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2.xml" ContentType="application/vnd.openxmlformats-officedocument.drawingml.chart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3.xml" ContentType="application/vnd.openxmlformats-officedocument.drawingml.chart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drawings/drawing4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charts/chart8.xml" ContentType="application/vnd.openxmlformats-officedocument.drawingml.chart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charts/chart13.xml" ContentType="application/vnd.openxmlformats-officedocument.drawingml.chart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AppData\Local\Temp\claude\C--Users-Caio-Documents-Documentos-XP-pesquisa-assessores\dfa2fcf0-b732-431b-9817-3a1399820905\scratchpad\"/>
    </mc:Choice>
  </mc:AlternateContent>
  <xr:revisionPtr revIDLastSave="0" documentId="13_ncr:1_{0B0A4088-C59A-44BA-AB4D-A6C03E1D6666}" xr6:coauthVersionLast="47" xr6:coauthVersionMax="47" xr10:uidLastSave="{00000000-0000-0000-0000-000000000000}"/>
  <bookViews>
    <workbookView xWindow="-108" yWindow="-108" windowWidth="23256" windowHeight="12456" xr2:uid="{B13A5432-2487-4FCE-AA82-CBF792717383}"/>
  </bookViews>
  <sheets>
    <sheet name="s_setores" sheetId="33" r:id="rId1"/>
    <sheet name="s_sentimento" sheetId="32" r:id="rId2"/>
    <sheet name="s_riscos_bolsa" sheetId="31" r:id="rId3"/>
    <sheet name="s_regiao" sheetId="30" r:id="rId4"/>
    <sheet name="s_proximos_meses" sheetId="29" r:id="rId5"/>
    <sheet name="s_pct_internacional" sheetId="28" r:id="rId6"/>
    <sheet name="s_interesse_internacional" sheetId="27" r:id="rId7"/>
    <sheet name="s_ibovespa_alvo" sheetId="26" r:id="rId8"/>
    <sheet name="s_classes_ativos" sheetId="25" r:id="rId9"/>
    <sheet name="s_apetite_risco" sheetId="24" r:id="rId10"/>
    <sheet name="s_alocacao_rv" sheetId="23" r:id="rId11"/>
    <sheet name="q_mes_5" sheetId="22" r:id="rId12"/>
    <sheet name="q_mes_4" sheetId="21" r:id="rId13"/>
    <sheet name="q_mes_3" sheetId="20" r:id="rId14"/>
    <sheet name="q_mes_2" sheetId="19" r:id="rId15"/>
    <sheet name="q_mes_1" sheetId="18" r:id="rId16"/>
    <sheet name="q_mes" sheetId="17" r:id="rId17"/>
    <sheet name="meta" sheetId="16" r:id="rId18"/>
    <sheet name="medias" sheetId="15" r:id="rId19"/>
    <sheet name="d_setores" sheetId="14" r:id="rId20"/>
    <sheet name="d_sentimento" sheetId="13" r:id="rId21"/>
    <sheet name="d_riscos_bolsa" sheetId="12" r:id="rId22"/>
    <sheet name="d_regiao" sheetId="11" r:id="rId23"/>
    <sheet name="d_proximos_meses" sheetId="10" r:id="rId24"/>
    <sheet name="d_pct_internacional" sheetId="9" r:id="rId25"/>
    <sheet name="d_interesse_internacional" sheetId="8" r:id="rId26"/>
    <sheet name="d_ibovespa_alvo" sheetId="7" r:id="rId27"/>
    <sheet name="d_classes_ativos" sheetId="6" r:id="rId28"/>
    <sheet name="d_apetite_risco" sheetId="5" r:id="rId29"/>
    <sheet name="d_alocacao_rv" sheetId="4" r:id="rId30"/>
    <sheet name="corrente" sheetId="3" r:id="rId31"/>
    <sheet name="capa" sheetId="2" r:id="rId32"/>
  </sheets>
  <definedNames>
    <definedName name="ExternalData_1" localSheetId="31" hidden="1">capa!$A$1:$F$37</definedName>
    <definedName name="ExternalData_1" localSheetId="30" hidden="1">corrente!$A$1:$E$2</definedName>
    <definedName name="ExternalData_1" localSheetId="29" hidden="1">d_alocacao_rv!$A$1:$G$6</definedName>
    <definedName name="ExternalData_1" localSheetId="28" hidden="1">d_apetite_risco!$A$1:$G$7</definedName>
    <definedName name="ExternalData_1" localSheetId="27" hidden="1">d_classes_ativos!$A$1:$G$10</definedName>
    <definedName name="ExternalData_1" localSheetId="26" hidden="1">d_ibovespa_alvo!$A$1:$G$7</definedName>
    <definedName name="ExternalData_1" localSheetId="25" hidden="1">d_interesse_internacional!$A$1:$G$7</definedName>
    <definedName name="ExternalData_1" localSheetId="24" hidden="1">d_pct_internacional!$A$1:$G$6</definedName>
    <definedName name="ExternalData_1" localSheetId="23" hidden="1">d_proximos_meses!$A$1:$G$4</definedName>
    <definedName name="ExternalData_1" localSheetId="22" hidden="1">d_regiao!$A$1:$G$6</definedName>
    <definedName name="ExternalData_1" localSheetId="21" hidden="1">d_riscos_bolsa!$A$1:$G$10</definedName>
    <definedName name="ExternalData_1" localSheetId="20" hidden="1">d_sentimento!$A$1:$G$12</definedName>
    <definedName name="ExternalData_1" localSheetId="19" hidden="1">d_setores!$A$1:$G$16</definedName>
    <definedName name="ExternalData_1" localSheetId="18" hidden="1">medias!$A$1:$E$37</definedName>
    <definedName name="ExternalData_1" localSheetId="17" hidden="1">meta!$A$1:$D$77</definedName>
    <definedName name="ExternalData_1" localSheetId="16" hidden="1">q_mes!$A$1:$G$6</definedName>
    <definedName name="ExternalData_1" localSheetId="15" hidden="1">q_mes_1!$A$1:$F$6</definedName>
    <definedName name="ExternalData_1" localSheetId="14" hidden="1">q_mes_2!$A$1:$F$2</definedName>
    <definedName name="ExternalData_1" localSheetId="13" hidden="1">q_mes_3!$A$1:$F$2</definedName>
    <definedName name="ExternalData_1" localSheetId="12" hidden="1">q_mes_4!$A$1:$F$2</definedName>
    <definedName name="ExternalData_1" localSheetId="11" hidden="1">q_mes_5!$A$1:$F$2</definedName>
    <definedName name="ExternalData_1" localSheetId="10" hidden="1">s_alocacao_rv!$A$1:$G$19</definedName>
    <definedName name="ExternalData_1" localSheetId="9" hidden="1">s_apetite_risco!$A$1:$H$33</definedName>
    <definedName name="ExternalData_1" localSheetId="8" hidden="1">s_classes_ativos!$A$1:$K$37</definedName>
    <definedName name="ExternalData_1" localSheetId="7" hidden="1">s_ibovespa_alvo!$A$1:$H$5</definedName>
    <definedName name="ExternalData_1" localSheetId="6" hidden="1">s_interesse_internacional!$A$1:$H$37</definedName>
    <definedName name="ExternalData_1" localSheetId="5" hidden="1">s_pct_internacional!$A$1:$G$37</definedName>
    <definedName name="ExternalData_1" localSheetId="4" hidden="1">s_proximos_meses!$A$1:$E$19</definedName>
    <definedName name="ExternalData_1" localSheetId="3" hidden="1">s_regiao!$A$1:$G$37</definedName>
    <definedName name="ExternalData_1" localSheetId="2" hidden="1">s_riscos_bolsa!$A$1:$K$37</definedName>
    <definedName name="ExternalData_1" localSheetId="1" hidden="1">s_sentimento!$A$1:$M$37</definedName>
    <definedName name="ExternalData_1" localSheetId="0" hidden="1">s_setores!$A$1:$Q$37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D0AC6-3155-40AC-B808-94ABBFC56ED3}" keepAlive="1" name="Connection" type="5" refreshedVersion="8" saveData="1">
    <dbPr connection="Provider=Microsoft.Mashup.OleDb.1;Data Source=$Workbook$;Location=capa;Extended Properties=&quot;&quot;" command="SELECT * FROM [capa]"/>
  </connection>
  <connection id="2" xr16:uid="{35ABF8D3-A67C-4B3F-9880-75B94D493DE2}" keepAlive="1" name="Connection1" type="5" refreshedVersion="8" saveData="1">
    <dbPr connection="Provider=Microsoft.Mashup.OleDb.1;Data Source=$Workbook$;Location=corrente;Extended Properties=&quot;&quot;" command="SELECT * FROM [corrente]"/>
  </connection>
  <connection id="3" xr16:uid="{4DD27F29-03E0-41E5-9BFF-0E183428983B}" keepAlive="1" name="Connection10" type="5" refreshedVersion="8" saveData="1">
    <dbPr connection="Provider=Microsoft.Mashup.OleDb.1;Data Source=$Workbook$;Location=d_riscos_bolsa;Extended Properties=&quot;&quot;" command="SELECT * FROM [d_riscos_bolsa]"/>
  </connection>
  <connection id="4" xr16:uid="{9F6B94B0-2437-4B13-97F6-EBDFD2C0F2C4}" keepAlive="1" name="Connection11" type="5" refreshedVersion="8" saveData="1">
    <dbPr connection="Provider=Microsoft.Mashup.OleDb.1;Data Source=$Workbook$;Location=d_sentimento;Extended Properties=&quot;&quot;" command="SELECT * FROM [d_sentimento]"/>
  </connection>
  <connection id="5" xr16:uid="{65BE03BF-3626-4E6B-9587-6816461210D9}" keepAlive="1" name="Connection12" type="5" refreshedVersion="8" saveData="1">
    <dbPr connection="Provider=Microsoft.Mashup.OleDb.1;Data Source=$Workbook$;Location=d_setores;Extended Properties=&quot;&quot;" command="SELECT * FROM [d_setores]"/>
  </connection>
  <connection id="6" xr16:uid="{BA0DE56F-9E98-4800-8295-603EEF4F7F51}" keepAlive="1" name="Connection13" type="5" refreshedVersion="8" saveData="1">
    <dbPr connection="Provider=Microsoft.Mashup.OleDb.1;Data Source=$Workbook$;Location=medias;Extended Properties=&quot;&quot;" command="SELECT * FROM [medias]"/>
  </connection>
  <connection id="7" xr16:uid="{7376D21E-B65F-45AD-AEC0-2913376ABAAC}" keepAlive="1" name="Connection14" type="5" refreshedVersion="8" saveData="1">
    <dbPr connection="Provider=Microsoft.Mashup.OleDb.1;Data Source=$Workbook$;Location=meta;Extended Properties=&quot;&quot;" command="SELECT * FROM [meta]"/>
  </connection>
  <connection id="8" xr16:uid="{46344942-264C-4649-BB32-F7EFF52EAB9C}" keepAlive="1" name="Connection15" type="5" refreshedVersion="8" saveData="1">
    <dbPr connection="Provider=Microsoft.Mashup.OleDb.1;Data Source=$Workbook$;Location=q_mes;Extended Properties=&quot;&quot;" command="SELECT * FROM [q_mes]"/>
  </connection>
  <connection id="9" xr16:uid="{2F1658A2-BCF7-4B8A-B5F5-4723A7AC4C53}" keepAlive="1" name="Connection16" type="5" refreshedVersion="8" saveData="1">
    <dbPr connection="Provider=Microsoft.Mashup.OleDb.1;Data Source=$Workbook$;Location=q_mes_1;Extended Properties=&quot;&quot;" command="SELECT * FROM [q_mes_1]"/>
  </connection>
  <connection id="10" xr16:uid="{ED0F10E0-0B83-4F6A-80E7-BA4639399432}" keepAlive="1" name="Connection17" type="5" refreshedVersion="8" saveData="1">
    <dbPr connection="Provider=Microsoft.Mashup.OleDb.1;Data Source=$Workbook$;Location=q_mes_2;Extended Properties=&quot;&quot;" command="SELECT * FROM [q_mes_2]"/>
  </connection>
  <connection id="11" xr16:uid="{A2A20950-33FB-4D84-A3B4-F95C2C66B2E6}" keepAlive="1" name="Connection18" type="5" refreshedVersion="8" saveData="1">
    <dbPr connection="Provider=Microsoft.Mashup.OleDb.1;Data Source=$Workbook$;Location=q_mes_3;Extended Properties=&quot;&quot;" command="SELECT * FROM [q_mes_3]"/>
  </connection>
  <connection id="12" xr16:uid="{7F2C5851-F82E-492F-832C-1186606372D6}" keepAlive="1" name="Connection19" type="5" refreshedVersion="8" saveData="1">
    <dbPr connection="Provider=Microsoft.Mashup.OleDb.1;Data Source=$Workbook$;Location=q_mes_4;Extended Properties=&quot;&quot;" command="SELECT * FROM [q_mes_4]"/>
  </connection>
  <connection id="13" xr16:uid="{A166468F-F5B8-4505-BC55-1C0C36D2DD76}" keepAlive="1" name="Connection2" type="5" refreshedVersion="8" saveData="1">
    <dbPr connection="Provider=Microsoft.Mashup.OleDb.1;Data Source=$Workbook$;Location=d_alocacao_rv;Extended Properties=&quot;&quot;" command="SELECT * FROM [d_alocacao_rv]"/>
  </connection>
  <connection id="14" xr16:uid="{C150448B-C11F-4BBE-B6F7-30482178E408}" keepAlive="1" name="Connection20" type="5" refreshedVersion="8" saveData="1">
    <dbPr connection="Provider=Microsoft.Mashup.OleDb.1;Data Source=$Workbook$;Location=q_mes_5;Extended Properties=&quot;&quot;" command="SELECT * FROM [q_mes_5]"/>
  </connection>
  <connection id="15" xr16:uid="{FBD7A1CF-CE93-4D3A-8202-38E7DA771E15}" keepAlive="1" name="Connection21" type="5" refreshedVersion="8" saveData="1">
    <dbPr connection="Provider=Microsoft.Mashup.OleDb.1;Data Source=$Workbook$;Location=s_alocacao_rv;Extended Properties=&quot;&quot;" command="SELECT * FROM [s_alocacao_rv]"/>
  </connection>
  <connection id="16" xr16:uid="{1A687C8E-C80A-405B-B262-51AB6C9820CC}" keepAlive="1" name="Connection22" type="5" refreshedVersion="8" saveData="1">
    <dbPr connection="Provider=Microsoft.Mashup.OleDb.1;Data Source=$Workbook$;Location=s_apetite_risco;Extended Properties=&quot;&quot;" command="SELECT * FROM [s_apetite_risco]"/>
  </connection>
  <connection id="17" xr16:uid="{BE581504-136C-416A-AA6B-C1A03CB015A3}" keepAlive="1" name="Connection23" type="5" refreshedVersion="8" saveData="1">
    <dbPr connection="Provider=Microsoft.Mashup.OleDb.1;Data Source=$Workbook$;Location=s_classes_ativos;Extended Properties=&quot;&quot;" command="SELECT * FROM [s_classes_ativos]"/>
  </connection>
  <connection id="18" xr16:uid="{74AB04A7-BDF1-4DB0-9381-CCE137720A7A}" keepAlive="1" name="Connection24" type="5" refreshedVersion="8" saveData="1">
    <dbPr connection="Provider=Microsoft.Mashup.OleDb.1;Data Source=$Workbook$;Location=s_ibovespa_alvo;Extended Properties=&quot;&quot;" command="SELECT * FROM [s_ibovespa_alvo]"/>
  </connection>
  <connection id="19" xr16:uid="{1E7DDF42-B3E6-47AB-8A01-D83C0114A1C7}" keepAlive="1" name="Connection25" type="5" refreshedVersion="8" saveData="1">
    <dbPr connection="Provider=Microsoft.Mashup.OleDb.1;Data Source=$Workbook$;Location=s_interesse_internacional;Extended Properties=&quot;&quot;" command="SELECT * FROM [s_interesse_internacional]"/>
  </connection>
  <connection id="20" xr16:uid="{2F8A4696-ECA7-443D-9B84-03D55BDBECB4}" keepAlive="1" name="Connection26" type="5" refreshedVersion="8" saveData="1">
    <dbPr connection="Provider=Microsoft.Mashup.OleDb.1;Data Source=$Workbook$;Location=s_pct_internacional;Extended Properties=&quot;&quot;" command="SELECT * FROM [s_pct_internacional]"/>
  </connection>
  <connection id="21" xr16:uid="{4DF4EE26-C3D0-402B-8419-EEF6E6B03E91}" keepAlive="1" name="Connection27" type="5" refreshedVersion="8" saveData="1">
    <dbPr connection="Provider=Microsoft.Mashup.OleDb.1;Data Source=$Workbook$;Location=s_proximos_meses;Extended Properties=&quot;&quot;" command="SELECT * FROM [s_proximos_meses]"/>
  </connection>
  <connection id="22" xr16:uid="{E25222A2-AB88-446B-8A7A-3450923B2855}" keepAlive="1" name="Connection28" type="5" refreshedVersion="8" saveData="1">
    <dbPr connection="Provider=Microsoft.Mashup.OleDb.1;Data Source=$Workbook$;Location=s_regiao;Extended Properties=&quot;&quot;" command="SELECT * FROM [s_regiao]"/>
  </connection>
  <connection id="23" xr16:uid="{68F0F9EF-4FFB-4BDF-A5D3-9B0745ED1BAA}" keepAlive="1" name="Connection29" type="5" refreshedVersion="8" saveData="1">
    <dbPr connection="Provider=Microsoft.Mashup.OleDb.1;Data Source=$Workbook$;Location=s_riscos_bolsa;Extended Properties=&quot;&quot;" command="SELECT * FROM [s_riscos_bolsa]"/>
  </connection>
  <connection id="24" xr16:uid="{82170B9F-C5F1-40F2-BC02-84ECF75DC33D}" keepAlive="1" name="Connection3" type="5" refreshedVersion="8" saveData="1">
    <dbPr connection="Provider=Microsoft.Mashup.OleDb.1;Data Source=$Workbook$;Location=d_apetite_risco;Extended Properties=&quot;&quot;" command="SELECT * FROM [d_apetite_risco]"/>
  </connection>
  <connection id="25" xr16:uid="{5D7D558D-405F-426F-8375-516BD0DB232E}" keepAlive="1" name="Connection30" type="5" refreshedVersion="8" saveData="1">
    <dbPr connection="Provider=Microsoft.Mashup.OleDb.1;Data Source=$Workbook$;Location=s_sentimento;Extended Properties=&quot;&quot;" command="SELECT * FROM [s_sentimento]"/>
  </connection>
  <connection id="26" xr16:uid="{8ADD4C68-07B8-497C-A96C-DCDA62F8EBEF}" keepAlive="1" name="Connection31" type="5" refreshedVersion="8" saveData="1">
    <dbPr connection="Provider=Microsoft.Mashup.OleDb.1;Data Source=$Workbook$;Location=s_setores;Extended Properties=&quot;&quot;" command="SELECT * FROM [s_setores]"/>
  </connection>
  <connection id="27" xr16:uid="{93FE6DC6-7C1E-4492-94BB-AFC2FD6F9777}" keepAlive="1" name="Connection4" type="5" refreshedVersion="8" saveData="1">
    <dbPr connection="Provider=Microsoft.Mashup.OleDb.1;Data Source=$Workbook$;Location=d_classes_ativos;Extended Properties=&quot;&quot;" command="SELECT * FROM [d_classes_ativos]"/>
  </connection>
  <connection id="28" xr16:uid="{19AF1FC5-62F4-4443-8E79-CA6CFA169661}" keepAlive="1" name="Connection5" type="5" refreshedVersion="8" saveData="1">
    <dbPr connection="Provider=Microsoft.Mashup.OleDb.1;Data Source=$Workbook$;Location=d_ibovespa_alvo;Extended Properties=&quot;&quot;" command="SELECT * FROM [d_ibovespa_alvo]"/>
  </connection>
  <connection id="29" xr16:uid="{6C828F22-3157-4581-98CA-842DF0CAF0CD}" keepAlive="1" name="Connection6" type="5" refreshedVersion="8" saveData="1">
    <dbPr connection="Provider=Microsoft.Mashup.OleDb.1;Data Source=$Workbook$;Location=d_interesse_internacional;Extended Properties=&quot;&quot;" command="SELECT * FROM [d_interesse_internacional]"/>
  </connection>
  <connection id="30" xr16:uid="{79664AB1-5BC0-4F11-A20B-C805CCED8FE7}" keepAlive="1" name="Connection7" type="5" refreshedVersion="8" saveData="1">
    <dbPr connection="Provider=Microsoft.Mashup.OleDb.1;Data Source=$Workbook$;Location=d_pct_internacional;Extended Properties=&quot;&quot;" command="SELECT * FROM [d_pct_internacional]"/>
  </connection>
  <connection id="31" xr16:uid="{BDE71F21-58C6-4175-B74C-469914D2660A}" keepAlive="1" name="Connection8" type="5" refreshedVersion="8" saveData="1">
    <dbPr connection="Provider=Microsoft.Mashup.OleDb.1;Data Source=$Workbook$;Location=d_proximos_meses;Extended Properties=&quot;&quot;" command="SELECT * FROM [d_proximos_meses]"/>
  </connection>
  <connection id="32" xr16:uid="{088B0060-7F8F-4F54-BA5B-4A7C7971B9EC}" keepAlive="1" name="Connection9" type="5" refreshedVersion="8" saveData="1">
    <dbPr connection="Provider=Microsoft.Mashup.OleDb.1;Data Source=$Workbook$;Location=d_regiao;Extended Properties=&quot;&quot;" command="SELECT * FROM [d_regiao]"/>
  </connection>
</connections>
</file>

<file path=xl/sharedStrings.xml><?xml version="1.0" encoding="utf-8"?>
<sst xmlns="http://schemas.openxmlformats.org/spreadsheetml/2006/main" count="565" uniqueCount="243">
  <si>
    <t>onda</t>
  </si>
  <si>
    <t>data</t>
  </si>
  <si>
    <t>Não pretendem alterar seus investimentos em renda variável</t>
  </si>
  <si>
    <t>Planejam diminuir a alocação em renda variável</t>
  </si>
  <si>
    <t>Planejam aumentar a alocação em renda variável</t>
  </si>
  <si>
    <t>ibovespa</t>
  </si>
  <si>
    <t>respondentes</t>
  </si>
  <si>
    <t>mes_pt</t>
  </si>
  <si>
    <t>mes_en</t>
  </si>
  <si>
    <t>jul/2026</t>
  </si>
  <si>
    <t>Jul 2026</t>
  </si>
  <si>
    <t>ordem</t>
  </si>
  <si>
    <t>alternativa_id</t>
  </si>
  <si>
    <t>rotulo_pt</t>
  </si>
  <si>
    <t>rotulo_en</t>
  </si>
  <si>
    <t>atual</t>
  </si>
  <si>
    <t>anterior</t>
  </si>
  <si>
    <t>delta</t>
  </si>
  <si>
    <t>25_a_50</t>
  </si>
  <si>
    <t>25% a 50%</t>
  </si>
  <si>
    <t>25% to 50%</t>
  </si>
  <si>
    <t>0_a_10</t>
  </si>
  <si>
    <t>0% a 10%</t>
  </si>
  <si>
    <t>0% to 10%</t>
  </si>
  <si>
    <t>10_a_25</t>
  </si>
  <si>
    <t>10% a 25%</t>
  </si>
  <si>
    <t>10% to 25%</t>
  </si>
  <si>
    <t>50_a_75</t>
  </si>
  <si>
    <t>50% a 75%</t>
  </si>
  <si>
    <t>50% to 75%</t>
  </si>
  <si>
    <t>75_a_100</t>
  </si>
  <si>
    <t>75% a 100%</t>
  </si>
  <si>
    <t>75% to 100%</t>
  </si>
  <si>
    <t>cortes_de_juros_no_brasil</t>
  </si>
  <si>
    <t>Cortes de juros no Brasil</t>
  </si>
  <si>
    <t>queda_de_juros_nos_eua_e_no_mundo</t>
  </si>
  <si>
    <t>Queda de juros nos EUA e no mundo</t>
  </si>
  <si>
    <t>mercado_voltando_a_ter_performance_solida</t>
  </si>
  <si>
    <t>Mercado voltando a ter performance sólida</t>
  </si>
  <si>
    <t>mudanca_de_rumo_na_politica_economica</t>
  </si>
  <si>
    <t>Mudança de rumo na política econômica</t>
  </si>
  <si>
    <t>melhora_na_recuperacao_economica_global</t>
  </si>
  <si>
    <t>outra</t>
  </si>
  <si>
    <t>Outra</t>
  </si>
  <si>
    <t>tesouro_direto_e_renda_fixa</t>
  </si>
  <si>
    <t>Tesouro Direto e Renda Fixa</t>
  </si>
  <si>
    <t>Fixed Income</t>
  </si>
  <si>
    <t>fundos_de_renda_fixa</t>
  </si>
  <si>
    <t>Fundos de Renda Fixa</t>
  </si>
  <si>
    <t>Fixed Income Funds</t>
  </si>
  <si>
    <t>acoes</t>
  </si>
  <si>
    <t>Ações</t>
  </si>
  <si>
    <t>Equities</t>
  </si>
  <si>
    <t>investimentos_internacionais_dolar_fundos_etfs_etc</t>
  </si>
  <si>
    <t>Investimentos Internacionais (dólar, fundos, ETFs, etc)</t>
  </si>
  <si>
    <t>fundos_imobiliarios</t>
  </si>
  <si>
    <t>Fundos Imobiliários</t>
  </si>
  <si>
    <t>REITs</t>
  </si>
  <si>
    <t>fundos_multimercado</t>
  </si>
  <si>
    <t>Fundos Multimercado</t>
  </si>
  <si>
    <t>Hedge Funds</t>
  </si>
  <si>
    <t>ouro_e_commodities</t>
  </si>
  <si>
    <t>Ouro e commodities</t>
  </si>
  <si>
    <t>criptoativos</t>
  </si>
  <si>
    <t>Criptoativos</t>
  </si>
  <si>
    <t>Cryptocurrencies</t>
  </si>
  <si>
    <t>fundos_de_renda_variavel</t>
  </si>
  <si>
    <t>Fundos de Renda Variável</t>
  </si>
  <si>
    <t>Equities Funds</t>
  </si>
  <si>
    <t>abaixo_de_150_mil_pontos</t>
  </si>
  <si>
    <t>Abaixo de 150 mil pontos</t>
  </si>
  <si>
    <t>entre_150_mil_e_170_mil_pontos</t>
  </si>
  <si>
    <t>Entre 150 mil e 170 mil pontos</t>
  </si>
  <si>
    <t>entre_170_mil_e_190_mil_pontos</t>
  </si>
  <si>
    <t>Entre 170 mil e 190 mil pontos</t>
  </si>
  <si>
    <t>entre_190_e_200_mil_pontos</t>
  </si>
  <si>
    <t>Entre 190 e 200 mil pontos</t>
  </si>
  <si>
    <t>entre_200_e_210_mil_pontos</t>
  </si>
  <si>
    <t>Entre 200 e 210 mil pontos</t>
  </si>
  <si>
    <t>acima_de_210_mil_pontos</t>
  </si>
  <si>
    <t>Acima de 210 mil pontos</t>
  </si>
  <si>
    <t>etfs</t>
  </si>
  <si>
    <t>ETFs</t>
  </si>
  <si>
    <t>fundos_internacionais</t>
  </si>
  <si>
    <t>Fundos Internacionais</t>
  </si>
  <si>
    <t>acoes_internacionais</t>
  </si>
  <si>
    <t>Ações internacionais</t>
  </si>
  <si>
    <t>bonds</t>
  </si>
  <si>
    <t>Bonds</t>
  </si>
  <si>
    <t>dolar</t>
  </si>
  <si>
    <t>Dólar</t>
  </si>
  <si>
    <t>nao_estao_interessados_por_investimentos_internacion</t>
  </si>
  <si>
    <t>Não estão interessados por investimentos internacionais</t>
  </si>
  <si>
    <t>0_a_5</t>
  </si>
  <si>
    <t>0% a 5%</t>
  </si>
  <si>
    <t>0% to 5%</t>
  </si>
  <si>
    <t>5_a_10</t>
  </si>
  <si>
    <t>5% a 10%</t>
  </si>
  <si>
    <t>5% to 10%</t>
  </si>
  <si>
    <t>10_a_20</t>
  </si>
  <si>
    <t>10% a 20%</t>
  </si>
  <si>
    <t>10% to 20%</t>
  </si>
  <si>
    <t>20_a_50</t>
  </si>
  <si>
    <t>20% a 50%</t>
  </si>
  <si>
    <t>20% to 50%</t>
  </si>
  <si>
    <t>acima_de_50</t>
  </si>
  <si>
    <t>Acima de 50%</t>
  </si>
  <si>
    <t>Above 50%</t>
  </si>
  <si>
    <t>nao_pretendem_alterar_seus_investimentos_em_renda_va</t>
  </si>
  <si>
    <t>Do not wish to alter them</t>
  </si>
  <si>
    <t>planejam_diminuir_a_alocacao_em_renda_variavel</t>
  </si>
  <si>
    <t>Wish to decrease them</t>
  </si>
  <si>
    <t>planejam_aumentar_a_alocacao_em_renda_variavel</t>
  </si>
  <si>
    <t>Wish to increase them</t>
  </si>
  <si>
    <t>centro_oeste</t>
  </si>
  <si>
    <t>Centro Oeste</t>
  </si>
  <si>
    <t>Midwest</t>
  </si>
  <si>
    <t>nordeste</t>
  </si>
  <si>
    <t>Nordeste</t>
  </si>
  <si>
    <t>Northeast</t>
  </si>
  <si>
    <t>norte</t>
  </si>
  <si>
    <t>Norte</t>
  </si>
  <si>
    <t>North</t>
  </si>
  <si>
    <t>sudeste</t>
  </si>
  <si>
    <t>Sudeste</t>
  </si>
  <si>
    <t>Southeast</t>
  </si>
  <si>
    <t>sul</t>
  </si>
  <si>
    <t>Sul</t>
  </si>
  <si>
    <t>South</t>
  </si>
  <si>
    <t>riscos_fiscais_no_brasil</t>
  </si>
  <si>
    <t>Riscos fiscais no Brasil</t>
  </si>
  <si>
    <t>instabilidade_politica_eleicoes</t>
  </si>
  <si>
    <t>Instabilidade política/ Eleições</t>
  </si>
  <si>
    <t>Political instability / elections</t>
  </si>
  <si>
    <t>juros_mais_altos_que_o_esperado_o_brasil</t>
  </si>
  <si>
    <t>Juros mais altos que o esperado o Brasil</t>
  </si>
  <si>
    <t>inflacao_em_alta_no_brasil</t>
  </si>
  <si>
    <t>Inflação em alta no Brasil</t>
  </si>
  <si>
    <t>riscos_geopoliticos_guerra</t>
  </si>
  <si>
    <t>Riscos geopolíticos/ Guerra</t>
  </si>
  <si>
    <t>Geopolitical risks / war</t>
  </si>
  <si>
    <t>juros_mais_altos_nos_mercados_desenvolvidos</t>
  </si>
  <si>
    <t>Juros mais altos nos mercados desenvolvidos</t>
  </si>
  <si>
    <t>desaceleracao_economica_global</t>
  </si>
  <si>
    <t>Desaceleração econômica global</t>
  </si>
  <si>
    <t>Global economic slowdown</t>
  </si>
  <si>
    <t>choque_do_petroleo</t>
  </si>
  <si>
    <t>Choque do petróleo</t>
  </si>
  <si>
    <t>Oil shock</t>
  </si>
  <si>
    <t>dolar_mais_alto</t>
  </si>
  <si>
    <t>Dólar mais alto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</si>
  <si>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</si>
  <si>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</si>
  <si>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</si>
  <si>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</si>
  <si>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</si>
  <si>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</si>
  <si>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</si>
  <si>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</si>
  <si>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</si>
  <si>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</si>
  <si>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</si>
  <si>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eletricas_saneamento</t>
  </si>
  <si>
    <t>Elétricas &amp; Saneamento</t>
  </si>
  <si>
    <t>Utilities</t>
  </si>
  <si>
    <t>financeiro</t>
  </si>
  <si>
    <t>Financeiro</t>
  </si>
  <si>
    <t>Financials</t>
  </si>
  <si>
    <t>petroleo_gas</t>
  </si>
  <si>
    <t>Petróleo &amp; Gás</t>
  </si>
  <si>
    <t>Oil &amp; Gas</t>
  </si>
  <si>
    <t>mineracao_siderurgia</t>
  </si>
  <si>
    <t>Mineração &amp; Siderurgia</t>
  </si>
  <si>
    <t>Metals &amp; Mining</t>
  </si>
  <si>
    <t>telecomunicacoes_midia_e_tecnologia</t>
  </si>
  <si>
    <t>Telecomunicações, Mídia e Tecnologia</t>
  </si>
  <si>
    <t>TMT</t>
  </si>
  <si>
    <t>nao_estao_interessados</t>
  </si>
  <si>
    <t>Não estão interessados</t>
  </si>
  <si>
    <t>Not interested</t>
  </si>
  <si>
    <t>imobiliario</t>
  </si>
  <si>
    <t>Imobiliário</t>
  </si>
  <si>
    <t>Real Estate</t>
  </si>
  <si>
    <t>bens_de_capital</t>
  </si>
  <si>
    <t>Bens de Capital</t>
  </si>
  <si>
    <t>Capital Goods</t>
  </si>
  <si>
    <t>papel_celulose</t>
  </si>
  <si>
    <t>Papel &amp; Celulose</t>
  </si>
  <si>
    <t>Pulp &amp; Paper</t>
  </si>
  <si>
    <t>saude</t>
  </si>
  <si>
    <t>Saúde</t>
  </si>
  <si>
    <t>Health Care</t>
  </si>
  <si>
    <t>transportes</t>
  </si>
  <si>
    <t>Transportes</t>
  </si>
  <si>
    <t>Transportation</t>
  </si>
  <si>
    <t>agro</t>
  </si>
  <si>
    <t>Agro</t>
  </si>
  <si>
    <t>Agribusiness</t>
  </si>
  <si>
    <t>alimentos_bebidas</t>
  </si>
  <si>
    <t>Alimentos &amp; Bebidas</t>
  </si>
  <si>
    <t>Food &amp; Beverages</t>
  </si>
  <si>
    <t>educacao</t>
  </si>
  <si>
    <t>Educação</t>
  </si>
  <si>
    <t>Education</t>
  </si>
  <si>
    <t>varejo</t>
  </si>
  <si>
    <t>Varejo</t>
  </si>
  <si>
    <t>Retail</t>
  </si>
  <si>
    <t>sentimento_media</t>
  </si>
  <si>
    <t>ibovespa_media</t>
  </si>
  <si>
    <t>regime</t>
  </si>
  <si>
    <t>publicado</t>
  </si>
  <si>
    <t>pergunta</t>
  </si>
  <si>
    <t>pct</t>
  </si>
  <si>
    <t>qtd</t>
  </si>
  <si>
    <t>slot</t>
  </si>
  <si>
    <t>Qual das alternativas melhor descreve sua visão sobre a recente correção da Bolsa brasileira e a conversas que você tem tido com seus clientes?</t>
  </si>
  <si>
    <t>Other</t>
  </si>
  <si>
    <t>Ainda não tenho convicção suficiente sobre as causas da correção para alterar minhas orientações</t>
  </si>
  <si>
    <t>Vejo como reflexo de uma deterioração dos fundamentos e tenho visto os clientes reduzirem a exposição à Bolsa brasileira</t>
  </si>
  <si>
    <t>Vejo como uma oportunidade de compra e tenho conversado com os clientes sobre aumentar a exposição à Bolsa brasileira</t>
  </si>
  <si>
    <t>Vejo como uma oportunidade de compra, mas os clientes tem preferido aguardar melhores pontos de entrada antes de aumentar a exposição</t>
  </si>
  <si>
    <t>Melhora na recuperação econômica global</t>
  </si>
  <si>
    <t>Fiscal risks in Brazil</t>
  </si>
  <si>
    <t>Higher-than-expected local rates</t>
  </si>
  <si>
    <t>Rising inflation in Brazil</t>
  </si>
  <si>
    <t>Higher rates in developed markets</t>
  </si>
  <si>
    <t>Stronger US dollar</t>
  </si>
  <si>
    <t>International Funds</t>
  </si>
  <si>
    <t>BDRs</t>
  </si>
  <si>
    <t>Dollar</t>
  </si>
  <si>
    <t>Below 150k</t>
  </si>
  <si>
    <t>Between 150k - 170k</t>
  </si>
  <si>
    <t>Between 170k - 190k</t>
  </si>
  <si>
    <t>Between 190k - 200k</t>
  </si>
  <si>
    <t>Between 200k - 210k</t>
  </si>
  <si>
    <t>Above 210k points</t>
  </si>
  <si>
    <t>International Investments (USD, funds, ETFs, etc)</t>
  </si>
  <si>
    <t>Gold and commodities</t>
  </si>
  <si>
    <t>Rate cuts in Brazil</t>
  </si>
  <si>
    <t>Rate cuts in the US and globally</t>
  </si>
  <si>
    <t>Market returning to show solid performance</t>
  </si>
  <si>
    <t>Improvement in global economy recovery</t>
  </si>
  <si>
    <t>Change of direction in political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</si>
</sst>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00%"/>
    <numFmt numFmtId="165" formatCode="#.##0"/>
    <numFmt numFmtId="166" formatCode="#,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241">
    <dxf>
      <numFmt numFmtId="165" formatCode="#.##0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" formatCode="0"/>
    </dxf>
    <dxf>
      <numFmt numFmtId="165" formatCode="#.##0"/>
    </dxf>
    <dxf>
      <numFmt numFmtId="166" formatCode="#,000"/>
    </dxf>
    <dxf>
      <numFmt numFmtId="19" formatCode="dd/mm/yyyy"/>
    </dxf>
    <dxf>
      <numFmt numFmtId="1" formatCode="0"/>
    </dxf>
    <dxf>
      <font>
        <b/>
      </font>
    </dxf>
    <dxf>
      <numFmt numFmtId="0" formatCode="General"/>
    </dxf>
    <dxf>
      <numFmt numFmtId="1" formatCode="0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" formatCode="0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" formatCode="0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Intencao para os proximos meses -- ultimos 18 meses -- jul/2026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s_proximos_meses!$C$1</c:f>
              <c:strCache>
                <c:ptCount val="1"/>
                <c:pt idx="0">
                  <c:v>Não pretendem alterar seus investimentos em renda variável</c:v>
                </c:pt>
              </c:strCache>
            </c:strRef>
          </c:tx>
          <c:spPr>
            <a:solidFill>
              <a:srgbClr val="8EB3DF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s_proximos_meses!$B$2:$B$19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s_proximos_meses!$C$2:$C$19</c:f>
              <c:numCache>
                <c:formatCode>#.#00%</c:formatCode>
                <c:ptCount val="18"/>
                <c:pt idx="0">
                  <c:v>0.63354037267080743</c:v>
                </c:pt>
                <c:pt idx="1">
                  <c:v>0.68888888888888888</c:v>
                </c:pt>
                <c:pt idx="2">
                  <c:v>0.70289855072463769</c:v>
                </c:pt>
                <c:pt idx="3">
                  <c:v>0.67796610169491522</c:v>
                </c:pt>
                <c:pt idx="4">
                  <c:v>0.67226890756302526</c:v>
                </c:pt>
                <c:pt idx="5">
                  <c:v>0.58914728682170547</c:v>
                </c:pt>
                <c:pt idx="6">
                  <c:v>0.63725490196078427</c:v>
                </c:pt>
                <c:pt idx="7">
                  <c:v>0.68807339449541283</c:v>
                </c:pt>
                <c:pt idx="8">
                  <c:v>0.60683760683760679</c:v>
                </c:pt>
                <c:pt idx="9">
                  <c:v>0.61682242990654201</c:v>
                </c:pt>
                <c:pt idx="10">
                  <c:v>0.55555555555555558</c:v>
                </c:pt>
                <c:pt idx="11">
                  <c:v>0.66</c:v>
                </c:pt>
                <c:pt idx="12">
                  <c:v>0.57943925233644855</c:v>
                </c:pt>
                <c:pt idx="13">
                  <c:v>0.59134615384615385</c:v>
                </c:pt>
                <c:pt idx="14">
                  <c:v>0.63114754098360659</c:v>
                </c:pt>
                <c:pt idx="15">
                  <c:v>0.75471698113207553</c:v>
                </c:pt>
                <c:pt idx="16">
                  <c:v>0.68807339449541283</c:v>
                </c:pt>
                <c:pt idx="17">
                  <c:v>0.64485981308411211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A9-48E6-AB55-69461F3621A3}"/>
            </c:ext>
          </c:extLst>
        </c:ser>
        <c:ser>
          <c:idx val="1"/>
          <c:order val="1"/>
          <c:tx>
            <c:strRef>
              <c:f>s_proximos_meses!$D$1</c:f>
              <c:strCache>
                <c:ptCount val="1"/>
                <c:pt idx="0">
                  <c:v>Planejam diminuir a alocação em renda variável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s_proximos_meses!$B$2:$B$19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s_proximos_meses!$D$2:$D$19</c:f>
              <c:numCache>
                <c:formatCode>#.#00%</c:formatCode>
                <c:ptCount val="18"/>
                <c:pt idx="0">
                  <c:v>0.16770186335403728</c:v>
                </c:pt>
                <c:pt idx="1">
                  <c:v>0.15</c:v>
                </c:pt>
                <c:pt idx="2">
                  <c:v>0.11594202898550725</c:v>
                </c:pt>
                <c:pt idx="3">
                  <c:v>5.0847457627118647E-2</c:v>
                </c:pt>
                <c:pt idx="4">
                  <c:v>2.5210084033613446E-2</c:v>
                </c:pt>
                <c:pt idx="5">
                  <c:v>6.9767441860465115E-2</c:v>
                </c:pt>
                <c:pt idx="6">
                  <c:v>0.15686274509803921</c:v>
                </c:pt>
                <c:pt idx="7">
                  <c:v>8.2568807339449546E-2</c:v>
                </c:pt>
                <c:pt idx="8">
                  <c:v>7.6923076923076927E-2</c:v>
                </c:pt>
                <c:pt idx="9">
                  <c:v>9.3457943925233641E-2</c:v>
                </c:pt>
                <c:pt idx="10">
                  <c:v>4.0404040404040407E-2</c:v>
                </c:pt>
                <c:pt idx="11">
                  <c:v>0.03</c:v>
                </c:pt>
                <c:pt idx="12">
                  <c:v>9.3457943925233641E-2</c:v>
                </c:pt>
                <c:pt idx="13">
                  <c:v>8.6538461538461536E-2</c:v>
                </c:pt>
                <c:pt idx="14">
                  <c:v>8.1967213114754092E-2</c:v>
                </c:pt>
                <c:pt idx="15">
                  <c:v>4.716981132075472E-2</c:v>
                </c:pt>
                <c:pt idx="16">
                  <c:v>0.11009174311926606</c:v>
                </c:pt>
                <c:pt idx="17">
                  <c:v>0.14018691588785046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A9-48E6-AB55-69461F3621A3}"/>
            </c:ext>
          </c:extLst>
        </c:ser>
        <c:ser>
          <c:idx val="2"/>
          <c:order val="2"/>
          <c:tx>
            <c:strRef>
              <c:f>s_proximos_meses!$E$1</c:f>
              <c:strCache>
                <c:ptCount val="1"/>
                <c:pt idx="0">
                  <c:v>Planejam aumentar a alocação em renda variável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s_proximos_meses!$B$2:$B$19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s_proximos_meses!$E$2:$E$19</c:f>
              <c:numCache>
                <c:formatCode>#.#00%</c:formatCode>
                <c:ptCount val="18"/>
                <c:pt idx="0">
                  <c:v>0.19875776397515527</c:v>
                </c:pt>
                <c:pt idx="1">
                  <c:v>0.16111111111111112</c:v>
                </c:pt>
                <c:pt idx="2">
                  <c:v>0.18115942028985507</c:v>
                </c:pt>
                <c:pt idx="3">
                  <c:v>0.2711864406779661</c:v>
                </c:pt>
                <c:pt idx="4">
                  <c:v>0.30252100840336132</c:v>
                </c:pt>
                <c:pt idx="5">
                  <c:v>0.34108527131782945</c:v>
                </c:pt>
                <c:pt idx="6">
                  <c:v>0.20588235294117646</c:v>
                </c:pt>
                <c:pt idx="7">
                  <c:v>0.22935779816513763</c:v>
                </c:pt>
                <c:pt idx="8">
                  <c:v>0.31623931623931623</c:v>
                </c:pt>
                <c:pt idx="9">
                  <c:v>0.28971962616822428</c:v>
                </c:pt>
                <c:pt idx="10">
                  <c:v>0.40404040404040403</c:v>
                </c:pt>
                <c:pt idx="11">
                  <c:v>0.31</c:v>
                </c:pt>
                <c:pt idx="12">
                  <c:v>0.32710280373831774</c:v>
                </c:pt>
                <c:pt idx="13">
                  <c:v>0.32211538461538464</c:v>
                </c:pt>
                <c:pt idx="14">
                  <c:v>0.28688524590163933</c:v>
                </c:pt>
                <c:pt idx="15">
                  <c:v>0.19811320754716982</c:v>
                </c:pt>
                <c:pt idx="16">
                  <c:v>0.20183486238532111</c:v>
                </c:pt>
                <c:pt idx="17">
                  <c:v>0.21495327102803738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A9-48E6-AB55-69461F36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009456"/>
        <c:axId val="133301392"/>
      </c:barChart>
      <c:dateAx>
        <c:axId val="540009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301392"/>
        <c:crosses val="autoZero"/>
        <c:auto val="1"/>
        <c:lblOffset val="100"/>
        <c:baseTimeUnit val="months"/>
      </c:dateAx>
      <c:valAx>
        <c:axId val="133301392"/>
        <c:scaling>
          <c:orientation val="minMax"/>
        </c:scaling>
        <c:delete val="0"/>
        <c:axPos val="l"/>
        <c:majorGridlines/>
        <c:numFmt formatCode="#.#00%" sourceLinked="1"/>
        <c:majorTickMark val="out"/>
        <c:minorTickMark val="none"/>
        <c:tickLblPos val="nextTo"/>
        <c:crossAx val="5400094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Alocacao em renda variavel -- ultimos 18 meses -- jul/2026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s_alocacao_rv!$C$1</c:f>
              <c:strCache>
                <c:ptCount val="1"/>
                <c:pt idx="0">
                  <c:v>0% a 10%</c:v>
                </c:pt>
              </c:strCache>
            </c:strRef>
          </c:tx>
          <c:spPr>
            <a:solidFill>
              <a:srgbClr val="8EB3DF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s_alocacao_rv!$B$2:$B$19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s_alocacao_rv!$C$2:$C$19</c:f>
              <c:numCache>
                <c:formatCode>#.#00%</c:formatCode>
                <c:ptCount val="18"/>
                <c:pt idx="0">
                  <c:v>0.453416149068323</c:v>
                </c:pt>
                <c:pt idx="1">
                  <c:v>0.43333333333333335</c:v>
                </c:pt>
                <c:pt idx="2">
                  <c:v>0.39130434782608697</c:v>
                </c:pt>
                <c:pt idx="3">
                  <c:v>0.43220338983050849</c:v>
                </c:pt>
                <c:pt idx="4">
                  <c:v>0.37815126050420167</c:v>
                </c:pt>
                <c:pt idx="5">
                  <c:v>0.48837209302325579</c:v>
                </c:pt>
                <c:pt idx="6">
                  <c:v>0.42156862745098039</c:v>
                </c:pt>
                <c:pt idx="7">
                  <c:v>0.5321100917431193</c:v>
                </c:pt>
                <c:pt idx="8">
                  <c:v>0.57264957264957261</c:v>
                </c:pt>
                <c:pt idx="9">
                  <c:v>0.43925233644859812</c:v>
                </c:pt>
                <c:pt idx="10">
                  <c:v>0.37373737373737376</c:v>
                </c:pt>
                <c:pt idx="11">
                  <c:v>0.44</c:v>
                </c:pt>
                <c:pt idx="12">
                  <c:v>0.38317757009345793</c:v>
                </c:pt>
                <c:pt idx="13">
                  <c:v>0.43269230769230771</c:v>
                </c:pt>
                <c:pt idx="14">
                  <c:v>0.44262295081967212</c:v>
                </c:pt>
                <c:pt idx="15">
                  <c:v>0.35849056603773582</c:v>
                </c:pt>
                <c:pt idx="16">
                  <c:v>0.55045871559633031</c:v>
                </c:pt>
                <c:pt idx="17">
                  <c:v>0.51401869158878499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A-4731-B802-5B6BB5A33A24}"/>
            </c:ext>
          </c:extLst>
        </c:ser>
        <c:ser>
          <c:idx val="1"/>
          <c:order val="1"/>
          <c:tx>
            <c:strRef>
              <c:f>s_alocacao_rv!$D$1</c:f>
              <c:strCache>
                <c:ptCount val="1"/>
                <c:pt idx="0">
                  <c:v>10% a 25%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s_alocacao_rv!$B$2:$B$19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s_alocacao_rv!$D$2:$D$19</c:f>
              <c:numCache>
                <c:formatCode>#.#00%</c:formatCode>
                <c:ptCount val="18"/>
                <c:pt idx="0">
                  <c:v>0.34161490683229812</c:v>
                </c:pt>
                <c:pt idx="1">
                  <c:v>0.3611111111111111</c:v>
                </c:pt>
                <c:pt idx="2">
                  <c:v>0.43478260869565216</c:v>
                </c:pt>
                <c:pt idx="3">
                  <c:v>0.39830508474576271</c:v>
                </c:pt>
                <c:pt idx="4">
                  <c:v>0.38655462184873951</c:v>
                </c:pt>
                <c:pt idx="5">
                  <c:v>0.34108527131782945</c:v>
                </c:pt>
                <c:pt idx="6">
                  <c:v>0.35294117647058826</c:v>
                </c:pt>
                <c:pt idx="7">
                  <c:v>0.25688073394495414</c:v>
                </c:pt>
                <c:pt idx="8">
                  <c:v>0.29059829059829062</c:v>
                </c:pt>
                <c:pt idx="9">
                  <c:v>0.3925233644859813</c:v>
                </c:pt>
                <c:pt idx="10">
                  <c:v>0.45454545454545453</c:v>
                </c:pt>
                <c:pt idx="11">
                  <c:v>0.4</c:v>
                </c:pt>
                <c:pt idx="12">
                  <c:v>0.47663551401869159</c:v>
                </c:pt>
                <c:pt idx="13">
                  <c:v>0.37019230769230771</c:v>
                </c:pt>
                <c:pt idx="14">
                  <c:v>0.36885245901639346</c:v>
                </c:pt>
                <c:pt idx="15">
                  <c:v>0.45283018867924529</c:v>
                </c:pt>
                <c:pt idx="16">
                  <c:v>0.33027522935779818</c:v>
                </c:pt>
                <c:pt idx="17">
                  <c:v>0.31775700934579443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A-4731-B802-5B6BB5A33A24}"/>
            </c:ext>
          </c:extLst>
        </c:ser>
        <c:ser>
          <c:idx val="2"/>
          <c:order val="2"/>
          <c:tx>
            <c:strRef>
              <c:f>s_alocacao_rv!$E$1</c:f>
              <c:strCache>
                <c:ptCount val="1"/>
                <c:pt idx="0">
                  <c:v>25% a 50%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s_alocacao_rv!$B$2:$B$19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s_alocacao_rv!$E$2:$E$19</c:f>
              <c:numCache>
                <c:formatCode>#.#00%</c:formatCode>
                <c:ptCount val="18"/>
                <c:pt idx="0">
                  <c:v>0.14906832298136646</c:v>
                </c:pt>
                <c:pt idx="1">
                  <c:v>0.14444444444444443</c:v>
                </c:pt>
                <c:pt idx="2">
                  <c:v>0.12318840579710146</c:v>
                </c:pt>
                <c:pt idx="3">
                  <c:v>0.10169491525423729</c:v>
                </c:pt>
                <c:pt idx="4">
                  <c:v>0.19327731092436976</c:v>
                </c:pt>
                <c:pt idx="5">
                  <c:v>0.10077519379844961</c:v>
                </c:pt>
                <c:pt idx="6">
                  <c:v>0.16666666666666666</c:v>
                </c:pt>
                <c:pt idx="7">
                  <c:v>0.16513761467889909</c:v>
                </c:pt>
                <c:pt idx="8">
                  <c:v>9.4017094017094016E-2</c:v>
                </c:pt>
                <c:pt idx="9">
                  <c:v>0.11214953271028037</c:v>
                </c:pt>
                <c:pt idx="10">
                  <c:v>0.12121212121212122</c:v>
                </c:pt>
                <c:pt idx="11">
                  <c:v>0.11</c:v>
                </c:pt>
                <c:pt idx="12">
                  <c:v>9.3457943925233641E-2</c:v>
                </c:pt>
                <c:pt idx="13">
                  <c:v>0.15384615384615385</c:v>
                </c:pt>
                <c:pt idx="14">
                  <c:v>0.14754098360655737</c:v>
                </c:pt>
                <c:pt idx="15">
                  <c:v>0.10377358490566038</c:v>
                </c:pt>
                <c:pt idx="16">
                  <c:v>0.11926605504587157</c:v>
                </c:pt>
                <c:pt idx="17">
                  <c:v>0.13084112149532709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0A-4731-B802-5B6BB5A33A24}"/>
            </c:ext>
          </c:extLst>
        </c:ser>
        <c:ser>
          <c:idx val="3"/>
          <c:order val="3"/>
          <c:tx>
            <c:strRef>
              <c:f>s_alocacao_rv!$F$1</c:f>
              <c:strCache>
                <c:ptCount val="1"/>
                <c:pt idx="0">
                  <c:v>50% a 75%</c:v>
                </c:pt>
              </c:strCache>
            </c:strRef>
          </c:tx>
          <c:spPr>
            <a:solidFill>
              <a:srgbClr val="1F2F4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s_alocacao_rv!$B$2:$B$19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s_alocacao_rv!$F$2:$F$19</c:f>
              <c:numCache>
                <c:formatCode>#.#00%</c:formatCode>
                <c:ptCount val="18"/>
                <c:pt idx="0">
                  <c:v>4.9689440993788817E-2</c:v>
                </c:pt>
                <c:pt idx="1">
                  <c:v>4.4444444444444446E-2</c:v>
                </c:pt>
                <c:pt idx="2">
                  <c:v>3.6231884057971016E-2</c:v>
                </c:pt>
                <c:pt idx="3">
                  <c:v>6.7796610169491525E-2</c:v>
                </c:pt>
                <c:pt idx="4">
                  <c:v>2.5210084033613446E-2</c:v>
                </c:pt>
                <c:pt idx="5">
                  <c:v>4.6511627906976744E-2</c:v>
                </c:pt>
                <c:pt idx="6">
                  <c:v>3.9215686274509803E-2</c:v>
                </c:pt>
                <c:pt idx="7">
                  <c:v>4.5871559633027525E-2</c:v>
                </c:pt>
                <c:pt idx="8">
                  <c:v>4.2735042735042736E-2</c:v>
                </c:pt>
                <c:pt idx="9">
                  <c:v>4.6728971962616821E-2</c:v>
                </c:pt>
                <c:pt idx="10">
                  <c:v>4.0404040404040407E-2</c:v>
                </c:pt>
                <c:pt idx="11">
                  <c:v>0.03</c:v>
                </c:pt>
                <c:pt idx="12">
                  <c:v>2.8037383177570093E-2</c:v>
                </c:pt>
                <c:pt idx="13">
                  <c:v>2.8846153846153848E-2</c:v>
                </c:pt>
                <c:pt idx="14">
                  <c:v>2.4590163934426229E-2</c:v>
                </c:pt>
                <c:pt idx="15">
                  <c:v>5.6603773584905662E-2</c:v>
                </c:pt>
                <c:pt idx="16">
                  <c:v>0</c:v>
                </c:pt>
                <c:pt idx="17">
                  <c:v>3.7383177570093455E-2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0A-4731-B802-5B6BB5A33A24}"/>
            </c:ext>
          </c:extLst>
        </c:ser>
        <c:ser>
          <c:idx val="4"/>
          <c:order val="4"/>
          <c:tx>
            <c:strRef>
              <c:f>s_alocacao_rv!$G$1</c:f>
              <c:strCache>
                <c:ptCount val="1"/>
                <c:pt idx="0">
                  <c:v>75% a 100%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s_alocacao_rv!$B$2:$B$19</c:f>
              <c:numCache>
                <c:formatCode>m/d/yyyy</c:formatCode>
                <c:ptCount val="18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</c:numCache>
            </c:numRef>
          </c:cat>
          <c:val>
            <c:numRef>
              <c:f>s_alocacao_rv!$G$2:$G$19</c:f>
              <c:numCache>
                <c:formatCode>#.#00%</c:formatCode>
                <c:ptCount val="18"/>
                <c:pt idx="0">
                  <c:v>6.2111801242236021E-3</c:v>
                </c:pt>
                <c:pt idx="1">
                  <c:v>1.6666666666666666E-2</c:v>
                </c:pt>
                <c:pt idx="2">
                  <c:v>1.4492753623188406E-2</c:v>
                </c:pt>
                <c:pt idx="3">
                  <c:v>0</c:v>
                </c:pt>
                <c:pt idx="4">
                  <c:v>1.680672268907563E-2</c:v>
                </c:pt>
                <c:pt idx="5">
                  <c:v>2.3255813953488372E-2</c:v>
                </c:pt>
                <c:pt idx="6">
                  <c:v>1.9607843137254902E-2</c:v>
                </c:pt>
                <c:pt idx="7">
                  <c:v>0</c:v>
                </c:pt>
                <c:pt idx="8">
                  <c:v>0</c:v>
                </c:pt>
                <c:pt idx="9">
                  <c:v>9.3457943925233638E-3</c:v>
                </c:pt>
                <c:pt idx="10">
                  <c:v>1.0101010101010102E-2</c:v>
                </c:pt>
                <c:pt idx="11">
                  <c:v>0.02</c:v>
                </c:pt>
                <c:pt idx="12">
                  <c:v>1.8691588785046728E-2</c:v>
                </c:pt>
                <c:pt idx="13">
                  <c:v>1.4423076923076924E-2</c:v>
                </c:pt>
                <c:pt idx="14">
                  <c:v>1.6393442622950821E-2</c:v>
                </c:pt>
                <c:pt idx="15">
                  <c:v>2.8301886792452831E-2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0A-4731-B802-5B6BB5A3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7915552"/>
        <c:axId val="133302832"/>
      </c:barChart>
      <c:dateAx>
        <c:axId val="53791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302832"/>
        <c:crosses val="autoZero"/>
        <c:auto val="1"/>
        <c:lblOffset val="100"/>
        <c:baseTimeUnit val="months"/>
      </c:dateAx>
      <c:valAx>
        <c:axId val="133302832"/>
        <c:scaling>
          <c:orientation val="minMax"/>
        </c:scaling>
        <c:delete val="0"/>
        <c:axPos val="l"/>
        <c:majorGridlines/>
        <c:numFmt formatCode="#.#00%" sourceLinked="1"/>
        <c:majorTickMark val="out"/>
        <c:minorTickMark val="none"/>
        <c:tickLblPos val="nextTo"/>
        <c:crossAx val="5379155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Pergunta do mes 1 --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q_mes_1!$E$1</c:f>
              <c:strCache>
                <c:ptCount val="1"/>
                <c:pt idx="0">
                  <c:v>pct</c:v>
                </c:pt>
              </c:strCache>
            </c:strRef>
          </c:tx>
          <c:spPr>
            <a:solidFill>
              <a:srgbClr val="8EB3DF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q_mes_1!$C$2:$C$6</c:f>
              <c:strCache>
                <c:ptCount val="5"/>
                <c:pt idx="0">
                  <c:v>Outra</c:v>
                </c:pt>
                <c:pt idx="1">
                  <c:v>Ainda não tenho convicção suficiente sobre as causas da correção para alterar minhas orientações</c:v>
                </c:pt>
                <c:pt idx="2">
                  <c:v>Vejo como reflexo de uma deterioração dos fundamentos e tenho visto os clientes reduzirem a exposição à Bolsa brasileira</c:v>
                </c:pt>
                <c:pt idx="3">
                  <c:v>Vejo como uma oportunidade de compra e tenho conversado com os clientes sobre aumentar a exposição à Bolsa brasileira</c:v>
                </c:pt>
                <c:pt idx="4">
                  <c:v>Vejo como uma oportunidade de compra, mas os clientes tem preferido aguardar melhores pontos de entrada antes de aumentar a exposição</c:v>
                </c:pt>
              </c:strCache>
            </c:strRef>
          </c:cat>
          <c:val>
            <c:numRef>
              <c:f>q_mes_1!$E$2:$E$6</c:f>
              <c:numCache>
                <c:formatCode>#.#00%</c:formatCode>
                <c:ptCount val="5"/>
                <c:pt idx="0">
                  <c:v>2.803738317757009E-2</c:v>
                </c:pt>
                <c:pt idx="1">
                  <c:v>0.10280373831775701</c:v>
                </c:pt>
                <c:pt idx="2">
                  <c:v>0.16822429906542055</c:v>
                </c:pt>
                <c:pt idx="3">
                  <c:v>0.21495327102803738</c:v>
                </c:pt>
                <c:pt idx="4">
                  <c:v>0.48598130841121495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DA-44C4-9195-E73528505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507104"/>
        <c:axId val="133234672"/>
      </c:barChart>
      <c:catAx>
        <c:axId val="5425071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234672"/>
        <c:crosses val="autoZero"/>
        <c:auto val="1"/>
        <c:lblAlgn val="ctr"/>
        <c:lblOffset val="100"/>
        <c:noMultiLvlLbl val="0"/>
      </c:catAx>
      <c:valAx>
        <c:axId val="13323467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5425071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Sentimento medio -- jul/2026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medias!$C$1</c:f>
              <c:strCache>
                <c:ptCount val="1"/>
                <c:pt idx="0">
                  <c:v>sentimento_media</c:v>
                </c:pt>
              </c:strCache>
            </c:strRef>
          </c:tx>
          <c:spPr>
            <a:ln>
              <a:solidFill>
                <a:srgbClr val="1F2F44"/>
              </a:solidFill>
            </a:ln>
          </c:spPr>
          <c:marker>
            <c:spPr>
              <a:solidFill>
                <a:srgbClr val="1F2F44"/>
              </a:solidFill>
              <a:ln>
                <a:solidFill>
                  <a:srgbClr val="1F2F44"/>
                </a:solidFill>
              </a:ln>
            </c:spPr>
          </c:marker>
          <c:dLbls>
            <c:numFmt formatCode="#,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medias!$B$2:$B$37</c:f>
              <c:numCache>
                <c:formatCode>m/d/yyyy</c:formatCode>
                <c:ptCount val="36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  <c:pt idx="35">
                  <c:v>46204</c:v>
                </c:pt>
              </c:numCache>
            </c:numRef>
          </c:cat>
          <c:val>
            <c:numRef>
              <c:f>medias!$C$2:$C$37</c:f>
              <c:numCache>
                <c:formatCode>#.000</c:formatCode>
                <c:ptCount val="36"/>
                <c:pt idx="0">
                  <c:v>7.5864197530864201</c:v>
                </c:pt>
                <c:pt idx="1">
                  <c:v>6.9754098360655741</c:v>
                </c:pt>
                <c:pt idx="2">
                  <c:v>6.174757281553398</c:v>
                </c:pt>
                <c:pt idx="3">
                  <c:v>6.6398891966759006</c:v>
                </c:pt>
                <c:pt idx="4">
                  <c:v>7.1465201465201469</c:v>
                </c:pt>
                <c:pt idx="5">
                  <c:v>7.5510204081632653</c:v>
                </c:pt>
                <c:pt idx="6">
                  <c:v>6.873239436619718</c:v>
                </c:pt>
                <c:pt idx="7">
                  <c:v>7.3043478260869561</c:v>
                </c:pt>
                <c:pt idx="8">
                  <c:v>6.8612244897959185</c:v>
                </c:pt>
                <c:pt idx="9">
                  <c:v>6.1911468812877262</c:v>
                </c:pt>
                <c:pt idx="10">
                  <c:v>5.6327433628318584</c:v>
                </c:pt>
                <c:pt idx="11">
                  <c:v>6.4642857142857144</c:v>
                </c:pt>
                <c:pt idx="12">
                  <c:v>6.4901960784313726</c:v>
                </c:pt>
                <c:pt idx="13">
                  <c:v>6.5220125786163523</c:v>
                </c:pt>
                <c:pt idx="14">
                  <c:v>6.1589403973509933</c:v>
                </c:pt>
                <c:pt idx="15">
                  <c:v>5.5316455696202533</c:v>
                </c:pt>
                <c:pt idx="16">
                  <c:v>4.8865248226950353</c:v>
                </c:pt>
                <c:pt idx="17">
                  <c:v>5.0356083086053411</c:v>
                </c:pt>
                <c:pt idx="18">
                  <c:v>5.7826086956521738</c:v>
                </c:pt>
                <c:pt idx="19">
                  <c:v>5.9222222222222225</c:v>
                </c:pt>
                <c:pt idx="20">
                  <c:v>6.3768115942028984</c:v>
                </c:pt>
                <c:pt idx="21">
                  <c:v>6.9830508474576272</c:v>
                </c:pt>
                <c:pt idx="22">
                  <c:v>6.7478991596638656</c:v>
                </c:pt>
                <c:pt idx="23">
                  <c:v>6.8139534883720927</c:v>
                </c:pt>
                <c:pt idx="24">
                  <c:v>6.2352941176470589</c:v>
                </c:pt>
                <c:pt idx="25">
                  <c:v>6.8532110091743119</c:v>
                </c:pt>
                <c:pt idx="26">
                  <c:v>6.5299145299145298</c:v>
                </c:pt>
                <c:pt idx="27">
                  <c:v>6.9345794392523361</c:v>
                </c:pt>
                <c:pt idx="28">
                  <c:v>7.1111111111111107</c:v>
                </c:pt>
                <c:pt idx="29">
                  <c:v>7.02</c:v>
                </c:pt>
                <c:pt idx="30">
                  <c:v>7.1495327102803738</c:v>
                </c:pt>
                <c:pt idx="31">
                  <c:v>6.759615384615385</c:v>
                </c:pt>
                <c:pt idx="32">
                  <c:v>7.3934426229508201</c:v>
                </c:pt>
                <c:pt idx="33">
                  <c:v>6.9622641509433958</c:v>
                </c:pt>
                <c:pt idx="34">
                  <c:v>6.4036697247706424</c:v>
                </c:pt>
                <c:pt idx="35">
                  <c:v>6.5981308411214954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A3-4165-A26A-59D4D5401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997616"/>
        <c:axId val="133225072"/>
      </c:lineChart>
      <c:dateAx>
        <c:axId val="496997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225072"/>
        <c:crosses val="autoZero"/>
        <c:auto val="1"/>
        <c:lblOffset val="100"/>
        <c:baseTimeUnit val="months"/>
      </c:dateAx>
      <c:valAx>
        <c:axId val="133225072"/>
        <c:scaling>
          <c:orientation val="minMax"/>
        </c:scaling>
        <c:delete val="0"/>
        <c:axPos val="l"/>
        <c:majorGridlines/>
        <c:numFmt formatCode="#.000" sourceLinked="1"/>
        <c:majorTickMark val="out"/>
        <c:minorTickMark val="none"/>
        <c:tickLblPos val="nextTo"/>
        <c:crossAx val="4969976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Setores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d_setores!$F$1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d_setores!$C$2:$C$16</c:f>
              <c:strCache>
                <c:ptCount val="15"/>
                <c:pt idx="0">
                  <c:v>Elétricas &amp; Saneamento</c:v>
                </c:pt>
                <c:pt idx="1">
                  <c:v>Financeiro</c:v>
                </c:pt>
                <c:pt idx="2">
                  <c:v>Petróleo &amp; Gás</c:v>
                </c:pt>
                <c:pt idx="3">
                  <c:v>Mineração &amp; Siderurgia</c:v>
                </c:pt>
                <c:pt idx="4">
                  <c:v>Telecomunicações, Mídia e Tecnologia</c:v>
                </c:pt>
                <c:pt idx="5">
                  <c:v>Não estão interessados</c:v>
                </c:pt>
                <c:pt idx="6">
                  <c:v>Imobiliário</c:v>
                </c:pt>
                <c:pt idx="7">
                  <c:v>Bens de Capital</c:v>
                </c:pt>
                <c:pt idx="8">
                  <c:v>Papel &amp; Celulose</c:v>
                </c:pt>
                <c:pt idx="9">
                  <c:v>Saúde</c:v>
                </c:pt>
                <c:pt idx="10">
                  <c:v>Transportes</c:v>
                </c:pt>
                <c:pt idx="11">
                  <c:v>Agro</c:v>
                </c:pt>
                <c:pt idx="12">
                  <c:v>Alimentos &amp; Bebidas</c:v>
                </c:pt>
                <c:pt idx="13">
                  <c:v>Educação</c:v>
                </c:pt>
                <c:pt idx="14">
                  <c:v>Varejo</c:v>
                </c:pt>
              </c:strCache>
            </c:strRef>
          </c:cat>
          <c:val>
            <c:numRef>
              <c:f>d_setores!$F$2:$F$16</c:f>
              <c:numCache>
                <c:formatCode>#.#00%</c:formatCode>
                <c:ptCount val="15"/>
                <c:pt idx="0">
                  <c:v>0.55963302752293576</c:v>
                </c:pt>
                <c:pt idx="1">
                  <c:v>0.62385321100917435</c:v>
                </c:pt>
                <c:pt idx="2">
                  <c:v>0.49541284403669728</c:v>
                </c:pt>
                <c:pt idx="3">
                  <c:v>0.37614678899082571</c:v>
                </c:pt>
                <c:pt idx="4">
                  <c:v>0.26605504587155965</c:v>
                </c:pt>
                <c:pt idx="5">
                  <c:v>0.10091743119266056</c:v>
                </c:pt>
                <c:pt idx="6">
                  <c:v>0.1834862385321101</c:v>
                </c:pt>
                <c:pt idx="7">
                  <c:v>8.2568807339449546E-2</c:v>
                </c:pt>
                <c:pt idx="8">
                  <c:v>0.10091743119266056</c:v>
                </c:pt>
                <c:pt idx="9">
                  <c:v>4.5871559633027525E-2</c:v>
                </c:pt>
                <c:pt idx="10">
                  <c:v>9.1743119266055051E-3</c:v>
                </c:pt>
                <c:pt idx="11">
                  <c:v>0.11009174311926606</c:v>
                </c:pt>
                <c:pt idx="12">
                  <c:v>5.5045871559633031E-2</c:v>
                </c:pt>
                <c:pt idx="13">
                  <c:v>3.669724770642202E-2</c:v>
                </c:pt>
                <c:pt idx="14">
                  <c:v>1.834862385321101E-2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D3-4DDE-9E9A-28C5096A82F5}"/>
            </c:ext>
          </c:extLst>
        </c:ser>
        <c:ser>
          <c:idx val="1"/>
          <c:order val="1"/>
          <c:tx>
            <c:strRef>
              <c:f>d_setores!$E$1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d_setores!$C$2:$C$16</c:f>
              <c:strCache>
                <c:ptCount val="15"/>
                <c:pt idx="0">
                  <c:v>Elétricas &amp; Saneamento</c:v>
                </c:pt>
                <c:pt idx="1">
                  <c:v>Financeiro</c:v>
                </c:pt>
                <c:pt idx="2">
                  <c:v>Petróleo &amp; Gás</c:v>
                </c:pt>
                <c:pt idx="3">
                  <c:v>Mineração &amp; Siderurgia</c:v>
                </c:pt>
                <c:pt idx="4">
                  <c:v>Telecomunicações, Mídia e Tecnologia</c:v>
                </c:pt>
                <c:pt idx="5">
                  <c:v>Não estão interessados</c:v>
                </c:pt>
                <c:pt idx="6">
                  <c:v>Imobiliário</c:v>
                </c:pt>
                <c:pt idx="7">
                  <c:v>Bens de Capital</c:v>
                </c:pt>
                <c:pt idx="8">
                  <c:v>Papel &amp; Celulose</c:v>
                </c:pt>
                <c:pt idx="9">
                  <c:v>Saúde</c:v>
                </c:pt>
                <c:pt idx="10">
                  <c:v>Transportes</c:v>
                </c:pt>
                <c:pt idx="11">
                  <c:v>Agro</c:v>
                </c:pt>
                <c:pt idx="12">
                  <c:v>Alimentos &amp; Bebidas</c:v>
                </c:pt>
                <c:pt idx="13">
                  <c:v>Educação</c:v>
                </c:pt>
                <c:pt idx="14">
                  <c:v>Varejo</c:v>
                </c:pt>
              </c:strCache>
            </c:strRef>
          </c:cat>
          <c:val>
            <c:numRef>
              <c:f>d_setores!$E$2:$E$16</c:f>
              <c:numCache>
                <c:formatCode>#.#00%</c:formatCode>
                <c:ptCount val="15"/>
                <c:pt idx="0">
                  <c:v>0.63551401869158874</c:v>
                </c:pt>
                <c:pt idx="1">
                  <c:v>0.61682242990654201</c:v>
                </c:pt>
                <c:pt idx="2">
                  <c:v>0.38317757009345793</c:v>
                </c:pt>
                <c:pt idx="3">
                  <c:v>0.27102803738317754</c:v>
                </c:pt>
                <c:pt idx="4">
                  <c:v>0.20560747663551401</c:v>
                </c:pt>
                <c:pt idx="5">
                  <c:v>0.14953271028037382</c:v>
                </c:pt>
                <c:pt idx="6">
                  <c:v>0.14018691588785046</c:v>
                </c:pt>
                <c:pt idx="7">
                  <c:v>0.12149532710280374</c:v>
                </c:pt>
                <c:pt idx="8">
                  <c:v>9.3457943925233641E-2</c:v>
                </c:pt>
                <c:pt idx="9">
                  <c:v>5.6074766355140186E-2</c:v>
                </c:pt>
                <c:pt idx="10">
                  <c:v>4.6728971962616821E-2</c:v>
                </c:pt>
                <c:pt idx="11">
                  <c:v>3.7383177570093455E-2</c:v>
                </c:pt>
                <c:pt idx="12">
                  <c:v>2.8037383177570093E-2</c:v>
                </c:pt>
                <c:pt idx="13">
                  <c:v>1.8691588785046728E-2</c:v>
                </c:pt>
                <c:pt idx="14">
                  <c:v>9.3457943925233638E-3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3-4DDE-9E9A-28C5096A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89264"/>
        <c:axId val="133191472"/>
      </c:barChart>
      <c:catAx>
        <c:axId val="4969892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191472"/>
        <c:crosses val="autoZero"/>
        <c:auto val="1"/>
        <c:lblAlgn val="ctr"/>
        <c:lblOffset val="100"/>
        <c:noMultiLvlLbl val="0"/>
      </c:catAx>
      <c:valAx>
        <c:axId val="13319147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4969892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Sentimento (0 a 10)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d_sentimento!$E$1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d_sentimento!$C$2:$C$12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d_sentimento!$E$2:$E$12</c:f>
              <c:numCache>
                <c:formatCode>#.#00%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9.3457943925233638E-3</c:v>
                </c:pt>
                <c:pt idx="3">
                  <c:v>2.8037383177570093E-2</c:v>
                </c:pt>
                <c:pt idx="4">
                  <c:v>4.6728971962616821E-2</c:v>
                </c:pt>
                <c:pt idx="5">
                  <c:v>0.15887850467289721</c:v>
                </c:pt>
                <c:pt idx="6">
                  <c:v>0.16822429906542055</c:v>
                </c:pt>
                <c:pt idx="7">
                  <c:v>0.30841121495327101</c:v>
                </c:pt>
                <c:pt idx="8">
                  <c:v>0.20560747663551401</c:v>
                </c:pt>
                <c:pt idx="9">
                  <c:v>4.6728971962616821E-2</c:v>
                </c:pt>
                <c:pt idx="10">
                  <c:v>2.8037383177570093E-2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C-45CC-939C-05A0FD09C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85552"/>
        <c:axId val="133203952"/>
      </c:barChart>
      <c:catAx>
        <c:axId val="4969855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203952"/>
        <c:crosses val="autoZero"/>
        <c:auto val="1"/>
        <c:lblAlgn val="ctr"/>
        <c:lblOffset val="100"/>
        <c:noMultiLvlLbl val="0"/>
      </c:catAx>
      <c:valAx>
        <c:axId val="13320395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4969855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Riscos para a Bolsa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d_riscos_bolsa!$F$1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d_riscos_bolsa!$C$2:$C$10</c:f>
              <c:strCache>
                <c:ptCount val="9"/>
                <c:pt idx="0">
                  <c:v>Riscos fiscais no Brasil</c:v>
                </c:pt>
                <c:pt idx="1">
                  <c:v>Instabilidade política/ Eleições</c:v>
                </c:pt>
                <c:pt idx="2">
                  <c:v>Juros mais altos que o esperado o Brasil</c:v>
                </c:pt>
                <c:pt idx="3">
                  <c:v>Inflação em alta no Brasil</c:v>
                </c:pt>
                <c:pt idx="4">
                  <c:v>Riscos geopolíticos/ Guerra</c:v>
                </c:pt>
                <c:pt idx="5">
                  <c:v>Juros mais altos nos mercados desenvolvidos</c:v>
                </c:pt>
                <c:pt idx="6">
                  <c:v>Desaceleração econômica global</c:v>
                </c:pt>
                <c:pt idx="7">
                  <c:v>Choque do petróleo</c:v>
                </c:pt>
                <c:pt idx="8">
                  <c:v>Dólar mais alto</c:v>
                </c:pt>
              </c:strCache>
            </c:strRef>
          </c:cat>
          <c:val>
            <c:numRef>
              <c:f>d_riscos_bolsa!$F$2:$F$10</c:f>
              <c:numCache>
                <c:formatCode>#.#00%</c:formatCode>
                <c:ptCount val="9"/>
                <c:pt idx="0">
                  <c:v>0.69724770642201839</c:v>
                </c:pt>
                <c:pt idx="1">
                  <c:v>0.62385321100917435</c:v>
                </c:pt>
                <c:pt idx="2">
                  <c:v>0.44954128440366975</c:v>
                </c:pt>
                <c:pt idx="3">
                  <c:v>0.43119266055045874</c:v>
                </c:pt>
                <c:pt idx="4">
                  <c:v>0.3669724770642202</c:v>
                </c:pt>
                <c:pt idx="5">
                  <c:v>0.29357798165137616</c:v>
                </c:pt>
                <c:pt idx="6">
                  <c:v>0.13761467889908258</c:v>
                </c:pt>
                <c:pt idx="7">
                  <c:v>9.1743119266055051E-2</c:v>
                </c:pt>
                <c:pt idx="8">
                  <c:v>8.2568807339449546E-2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D-4C86-BAE3-669FB268EF5F}"/>
            </c:ext>
          </c:extLst>
        </c:ser>
        <c:ser>
          <c:idx val="1"/>
          <c:order val="1"/>
          <c:tx>
            <c:strRef>
              <c:f>d_riscos_bolsa!$E$1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d_riscos_bolsa!$C$2:$C$10</c:f>
              <c:strCache>
                <c:ptCount val="9"/>
                <c:pt idx="0">
                  <c:v>Riscos fiscais no Brasil</c:v>
                </c:pt>
                <c:pt idx="1">
                  <c:v>Instabilidade política/ Eleições</c:v>
                </c:pt>
                <c:pt idx="2">
                  <c:v>Juros mais altos que o esperado o Brasil</c:v>
                </c:pt>
                <c:pt idx="3">
                  <c:v>Inflação em alta no Brasil</c:v>
                </c:pt>
                <c:pt idx="4">
                  <c:v>Riscos geopolíticos/ Guerra</c:v>
                </c:pt>
                <c:pt idx="5">
                  <c:v>Juros mais altos nos mercados desenvolvidos</c:v>
                </c:pt>
                <c:pt idx="6">
                  <c:v>Desaceleração econômica global</c:v>
                </c:pt>
                <c:pt idx="7">
                  <c:v>Choque do petróleo</c:v>
                </c:pt>
                <c:pt idx="8">
                  <c:v>Dólar mais alto</c:v>
                </c:pt>
              </c:strCache>
            </c:strRef>
          </c:cat>
          <c:val>
            <c:numRef>
              <c:f>d_riscos_bolsa!$E$2:$E$10</c:f>
              <c:numCache>
                <c:formatCode>#.#00%</c:formatCode>
                <c:ptCount val="9"/>
                <c:pt idx="0">
                  <c:v>0.7289719626168224</c:v>
                </c:pt>
                <c:pt idx="1">
                  <c:v>0.62616822429906538</c:v>
                </c:pt>
                <c:pt idx="2">
                  <c:v>0.42056074766355139</c:v>
                </c:pt>
                <c:pt idx="3">
                  <c:v>0.3925233644859813</c:v>
                </c:pt>
                <c:pt idx="4">
                  <c:v>0.30841121495327101</c:v>
                </c:pt>
                <c:pt idx="5">
                  <c:v>0.27102803738317754</c:v>
                </c:pt>
                <c:pt idx="6">
                  <c:v>0.15887850467289721</c:v>
                </c:pt>
                <c:pt idx="7">
                  <c:v>0.15887850467289721</c:v>
                </c:pt>
                <c:pt idx="8">
                  <c:v>7.476635514018691E-2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5D-4C86-BAE3-669FB268E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627600"/>
        <c:axId val="133186192"/>
      </c:barChart>
      <c:catAx>
        <c:axId val="5396276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186192"/>
        <c:crosses val="autoZero"/>
        <c:auto val="1"/>
        <c:lblAlgn val="ctr"/>
        <c:lblOffset val="100"/>
        <c:noMultiLvlLbl val="0"/>
      </c:catAx>
      <c:valAx>
        <c:axId val="13318619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5396276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Regiao do escritorio -- jul/2026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d_regiao!$E$1</c:f>
              <c:strCache>
                <c:ptCount val="1"/>
                <c:pt idx="0">
                  <c:v>atual</c:v>
                </c:pt>
              </c:strCache>
            </c:strRef>
          </c:tx>
          <c:dPt>
            <c:idx val="0"/>
            <c:bubble3D val="0"/>
            <c:spPr>
              <a:solidFill>
                <a:srgbClr val="8EB3DF"/>
              </a:solidFill>
            </c:spPr>
            <c:extLst>
              <c:ext xmlns:c16="http://schemas.microsoft.com/office/drawing/2014/chart" uri="{C3380CC4-5D6E-409C-BE32-E72D297353CC}">
                <c16:uniqueId val="{00000004-0EB9-4619-8FE5-16E755E33380}"/>
              </c:ext>
            </c:extLst>
          </c:dPt>
          <c:dPt>
            <c:idx val="1"/>
            <c:bubble3D val="0"/>
            <c:spPr>
              <a:solidFill>
                <a:srgbClr val="74797C"/>
              </a:solidFill>
            </c:spPr>
            <c:extLst>
              <c:ext xmlns:c16="http://schemas.microsoft.com/office/drawing/2014/chart" uri="{C3380CC4-5D6E-409C-BE32-E72D297353CC}">
                <c16:uniqueId val="{00000005-0EB9-4619-8FE5-16E755E33380}"/>
              </c:ext>
            </c:extLst>
          </c:dPt>
          <c:dPt>
            <c:idx val="2"/>
            <c:bubble3D val="0"/>
            <c:spPr>
              <a:solidFill>
                <a:srgbClr val="FFBC00"/>
              </a:solidFill>
            </c:spPr>
            <c:extLst>
              <c:ext xmlns:c16="http://schemas.microsoft.com/office/drawing/2014/chart" uri="{C3380CC4-5D6E-409C-BE32-E72D297353CC}">
                <c16:uniqueId val="{00000006-0EB9-4619-8FE5-16E755E33380}"/>
              </c:ext>
            </c:extLst>
          </c:dPt>
          <c:dPt>
            <c:idx val="3"/>
            <c:bubble3D val="0"/>
            <c:spPr>
              <a:solidFill>
                <a:srgbClr val="1F2F44"/>
              </a:solidFill>
            </c:spPr>
            <c:extLst>
              <c:ext xmlns:c16="http://schemas.microsoft.com/office/drawing/2014/chart" uri="{C3380CC4-5D6E-409C-BE32-E72D297353CC}">
                <c16:uniqueId val="{00000007-0EB9-4619-8FE5-16E755E33380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8-0EB9-4619-8FE5-16E755E33380}"/>
              </c:ext>
            </c:extLst>
          </c:dPt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d_regiao!$C$2:$C$6</c:f>
              <c:strCache>
                <c:ptCount val="5"/>
                <c:pt idx="0">
                  <c:v>Centro 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d_regiao!$E$2:$E$6</c:f>
              <c:numCache>
                <c:formatCode>#.#00%</c:formatCode>
                <c:ptCount val="5"/>
                <c:pt idx="0">
                  <c:v>2.8037383177570093E-2</c:v>
                </c:pt>
                <c:pt idx="1">
                  <c:v>0.13084112149532709</c:v>
                </c:pt>
                <c:pt idx="2">
                  <c:v>0</c:v>
                </c:pt>
                <c:pt idx="3">
                  <c:v>0.57009345794392519</c:v>
                </c:pt>
                <c:pt idx="4">
                  <c:v>0.14018691588785046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B9-4619-8FE5-16E755E33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% de clientes no internacional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d_pct_internacional!$F$1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d_pct_internacional!$C$2:$C$6</c:f>
              <c:strCache>
                <c:ptCount val="5"/>
                <c:pt idx="0">
                  <c:v>0% a 5%</c:v>
                </c:pt>
                <c:pt idx="1">
                  <c:v>5% a 10%</c:v>
                </c:pt>
                <c:pt idx="2">
                  <c:v>10% a 20%</c:v>
                </c:pt>
                <c:pt idx="3">
                  <c:v>20% a 50%</c:v>
                </c:pt>
                <c:pt idx="4">
                  <c:v>Acima de 50%</c:v>
                </c:pt>
              </c:strCache>
            </c:strRef>
          </c:cat>
          <c:val>
            <c:numRef>
              <c:f>d_pct_internacional!$F$2:$F$6</c:f>
              <c:numCache>
                <c:formatCode>#.#00%</c:formatCode>
                <c:ptCount val="5"/>
                <c:pt idx="0">
                  <c:v>0.59633027522935778</c:v>
                </c:pt>
                <c:pt idx="1">
                  <c:v>0.1834862385321101</c:v>
                </c:pt>
                <c:pt idx="2">
                  <c:v>0.15596330275229359</c:v>
                </c:pt>
                <c:pt idx="3">
                  <c:v>5.5045871559633031E-2</c:v>
                </c:pt>
                <c:pt idx="4">
                  <c:v>9.1743119266055051E-3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E-4843-8E18-20A723E7640A}"/>
            </c:ext>
          </c:extLst>
        </c:ser>
        <c:ser>
          <c:idx val="1"/>
          <c:order val="1"/>
          <c:tx>
            <c:strRef>
              <c:f>d_pct_internacional!$E$1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d_pct_internacional!$C$2:$C$6</c:f>
              <c:strCache>
                <c:ptCount val="5"/>
                <c:pt idx="0">
                  <c:v>0% a 5%</c:v>
                </c:pt>
                <c:pt idx="1">
                  <c:v>5% a 10%</c:v>
                </c:pt>
                <c:pt idx="2">
                  <c:v>10% a 20%</c:v>
                </c:pt>
                <c:pt idx="3">
                  <c:v>20% a 50%</c:v>
                </c:pt>
                <c:pt idx="4">
                  <c:v>Acima de 50%</c:v>
                </c:pt>
              </c:strCache>
            </c:strRef>
          </c:cat>
          <c:val>
            <c:numRef>
              <c:f>d_pct_internacional!$E$2:$E$6</c:f>
              <c:numCache>
                <c:formatCode>#.#00%</c:formatCode>
                <c:ptCount val="5"/>
                <c:pt idx="0">
                  <c:v>0.56074766355140182</c:v>
                </c:pt>
                <c:pt idx="1">
                  <c:v>0.21495327102803738</c:v>
                </c:pt>
                <c:pt idx="2">
                  <c:v>0.14018691588785046</c:v>
                </c:pt>
                <c:pt idx="3">
                  <c:v>4.6728971962616821E-2</c:v>
                </c:pt>
                <c:pt idx="4">
                  <c:v>3.7383177570093455E-2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0E-4843-8E18-20A723E76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633632"/>
        <c:axId val="133182352"/>
      </c:barChart>
      <c:catAx>
        <c:axId val="5396336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182352"/>
        <c:crosses val="autoZero"/>
        <c:auto val="1"/>
        <c:lblAlgn val="ctr"/>
        <c:lblOffset val="100"/>
        <c:noMultiLvlLbl val="0"/>
      </c:catAx>
      <c:valAx>
        <c:axId val="13318235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5396336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Interesse no internacional -- jul/2026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d_interesse_internacional!$F$1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d_interesse_internacional!$C$2:$C$7</c:f>
              <c:strCache>
                <c:ptCount val="6"/>
                <c:pt idx="0">
                  <c:v>ETFs</c:v>
                </c:pt>
                <c:pt idx="1">
                  <c:v>Fundos Internacionais</c:v>
                </c:pt>
                <c:pt idx="2">
                  <c:v>Ações internacionais</c:v>
                </c:pt>
                <c:pt idx="3">
                  <c:v>Bonds</c:v>
                </c:pt>
                <c:pt idx="4">
                  <c:v>Dólar</c:v>
                </c:pt>
                <c:pt idx="5">
                  <c:v>Não estão interessados por investimentos internacionais</c:v>
                </c:pt>
              </c:strCache>
            </c:strRef>
          </c:cat>
          <c:val>
            <c:numRef>
              <c:f>d_interesse_internacional!$F$2:$F$7</c:f>
              <c:numCache>
                <c:formatCode>#.#00%</c:formatCode>
                <c:ptCount val="6"/>
                <c:pt idx="0">
                  <c:v>0.69724770642201839</c:v>
                </c:pt>
                <c:pt idx="1">
                  <c:v>0.50458715596330272</c:v>
                </c:pt>
                <c:pt idx="2">
                  <c:v>0.42201834862385323</c:v>
                </c:pt>
                <c:pt idx="3">
                  <c:v>0.22935779816513763</c:v>
                </c:pt>
                <c:pt idx="4">
                  <c:v>0.28440366972477066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63-4888-BDE0-AC01462C4E8F}"/>
            </c:ext>
          </c:extLst>
        </c:ser>
        <c:ser>
          <c:idx val="1"/>
          <c:order val="1"/>
          <c:tx>
            <c:strRef>
              <c:f>d_interesse_internacional!$E$1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d_interesse_internacional!$C$2:$C$7</c:f>
              <c:strCache>
                <c:ptCount val="6"/>
                <c:pt idx="0">
                  <c:v>ETFs</c:v>
                </c:pt>
                <c:pt idx="1">
                  <c:v>Fundos Internacionais</c:v>
                </c:pt>
                <c:pt idx="2">
                  <c:v>Ações internacionais</c:v>
                </c:pt>
                <c:pt idx="3">
                  <c:v>Bonds</c:v>
                </c:pt>
                <c:pt idx="4">
                  <c:v>Dólar</c:v>
                </c:pt>
                <c:pt idx="5">
                  <c:v>Não estão interessados por investimentos internacionais</c:v>
                </c:pt>
              </c:strCache>
            </c:strRef>
          </c:cat>
          <c:val>
            <c:numRef>
              <c:f>d_interesse_internacional!$E$2:$E$7</c:f>
              <c:numCache>
                <c:formatCode>#.#00%</c:formatCode>
                <c:ptCount val="6"/>
                <c:pt idx="0">
                  <c:v>0.67289719626168221</c:v>
                </c:pt>
                <c:pt idx="1">
                  <c:v>0.46728971962616822</c:v>
                </c:pt>
                <c:pt idx="2">
                  <c:v>0.35514018691588783</c:v>
                </c:pt>
                <c:pt idx="3">
                  <c:v>0.28037383177570091</c:v>
                </c:pt>
                <c:pt idx="4">
                  <c:v>0.23364485981308411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63-4888-BDE0-AC01462C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628528"/>
        <c:axId val="133188592"/>
      </c:barChart>
      <c:catAx>
        <c:axId val="53962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188592"/>
        <c:crosses val="autoZero"/>
        <c:auto val="1"/>
        <c:lblAlgn val="ctr"/>
        <c:lblOffset val="100"/>
        <c:noMultiLvlLbl val="0"/>
      </c:catAx>
      <c:valAx>
        <c:axId val="133188592"/>
        <c:scaling>
          <c:orientation val="minMax"/>
        </c:scaling>
        <c:delete val="0"/>
        <c:axPos val="l"/>
        <c:majorGridlines/>
        <c:numFmt formatCode="#.#00%" sourceLinked="1"/>
        <c:majorTickMark val="out"/>
        <c:minorTickMark val="none"/>
        <c:tickLblPos val="nextTo"/>
        <c:crossAx val="5396285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Ibovespa esperado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d_ibovespa_alvo!$F$1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d_ibovespa_alvo!$C$2:$C$7</c:f>
              <c:strCache>
                <c:ptCount val="6"/>
                <c:pt idx="0">
                  <c:v>Abaixo de 150 mil pontos</c:v>
                </c:pt>
                <c:pt idx="1">
                  <c:v>Entre 150 mil e 170 mil pontos</c:v>
                </c:pt>
                <c:pt idx="2">
                  <c:v>Entre 170 mil e 190 mil pontos</c:v>
                </c:pt>
                <c:pt idx="3">
                  <c:v>Entre 190 e 200 mil pontos</c:v>
                </c:pt>
                <c:pt idx="4">
                  <c:v>Entre 200 e 210 mil pontos</c:v>
                </c:pt>
                <c:pt idx="5">
                  <c:v>Acima de 210 mil pontos</c:v>
                </c:pt>
              </c:strCache>
            </c:strRef>
          </c:cat>
          <c:val>
            <c:numRef>
              <c:f>d_ibovespa_alvo!$F$2:$F$7</c:f>
              <c:numCache>
                <c:formatCode>#.#00%</c:formatCode>
                <c:ptCount val="6"/>
                <c:pt idx="0">
                  <c:v>2.7522935779816515E-2</c:v>
                </c:pt>
                <c:pt idx="1">
                  <c:v>0.20183486238532111</c:v>
                </c:pt>
                <c:pt idx="2">
                  <c:v>0.38532110091743121</c:v>
                </c:pt>
                <c:pt idx="3">
                  <c:v>0.27522935779816515</c:v>
                </c:pt>
                <c:pt idx="4">
                  <c:v>6.4220183486238536E-2</c:v>
                </c:pt>
                <c:pt idx="5">
                  <c:v>4.5871559633027525E-2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A2-4DBE-AEE1-3E5CB7EDB383}"/>
            </c:ext>
          </c:extLst>
        </c:ser>
        <c:ser>
          <c:idx val="1"/>
          <c:order val="1"/>
          <c:tx>
            <c:strRef>
              <c:f>d_ibovespa_alvo!$E$1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d_ibovespa_alvo!$C$2:$C$7</c:f>
              <c:strCache>
                <c:ptCount val="6"/>
                <c:pt idx="0">
                  <c:v>Abaixo de 150 mil pontos</c:v>
                </c:pt>
                <c:pt idx="1">
                  <c:v>Entre 150 mil e 170 mil pontos</c:v>
                </c:pt>
                <c:pt idx="2">
                  <c:v>Entre 170 mil e 190 mil pontos</c:v>
                </c:pt>
                <c:pt idx="3">
                  <c:v>Entre 190 e 200 mil pontos</c:v>
                </c:pt>
                <c:pt idx="4">
                  <c:v>Entre 200 e 210 mil pontos</c:v>
                </c:pt>
                <c:pt idx="5">
                  <c:v>Acima de 210 mil pontos</c:v>
                </c:pt>
              </c:strCache>
            </c:strRef>
          </c:cat>
          <c:val>
            <c:numRef>
              <c:f>d_ibovespa_alvo!$E$2:$E$7</c:f>
              <c:numCache>
                <c:formatCode>#.#00%</c:formatCode>
                <c:ptCount val="6"/>
                <c:pt idx="0">
                  <c:v>1.8691588785046728E-2</c:v>
                </c:pt>
                <c:pt idx="1">
                  <c:v>0.15887850467289721</c:v>
                </c:pt>
                <c:pt idx="2">
                  <c:v>0.42056074766355139</c:v>
                </c:pt>
                <c:pt idx="3">
                  <c:v>0.27102803738317754</c:v>
                </c:pt>
                <c:pt idx="4">
                  <c:v>6.5420560747663545E-2</c:v>
                </c:pt>
                <c:pt idx="5">
                  <c:v>6.5420560747663545E-2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A2-4DBE-AEE1-3E5CB7ED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94832"/>
        <c:axId val="133192912"/>
      </c:barChart>
      <c:catAx>
        <c:axId val="4969948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192912"/>
        <c:crosses val="autoZero"/>
        <c:auto val="1"/>
        <c:lblAlgn val="ctr"/>
        <c:lblOffset val="100"/>
        <c:noMultiLvlLbl val="0"/>
      </c:catAx>
      <c:valAx>
        <c:axId val="13319291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4969948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Classes de ativos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d_classes_ativos!$F$1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d_classes_ativos!$C$2:$C$10</c:f>
              <c:strCache>
                <c:ptCount val="9"/>
                <c:pt idx="0">
                  <c:v>Tesouro Direto e Renda Fixa</c:v>
                </c:pt>
                <c:pt idx="1">
                  <c:v>Fundos de Renda Fixa</c:v>
                </c:pt>
                <c:pt idx="2">
                  <c:v>Ações</c:v>
                </c:pt>
                <c:pt idx="3">
                  <c:v>Investimentos Internacionais (dólar, fundos, ETFs, etc)</c:v>
                </c:pt>
                <c:pt idx="4">
                  <c:v>Fundos Imobiliários</c:v>
                </c:pt>
                <c:pt idx="5">
                  <c:v>Fundos Multimercado</c:v>
                </c:pt>
                <c:pt idx="6">
                  <c:v>Ouro e commodities</c:v>
                </c:pt>
                <c:pt idx="7">
                  <c:v>Criptoativos</c:v>
                </c:pt>
                <c:pt idx="8">
                  <c:v>Fundos de Renda Variável</c:v>
                </c:pt>
              </c:strCache>
            </c:strRef>
          </c:cat>
          <c:val>
            <c:numRef>
              <c:f>d_classes_ativos!$F$2:$F$10</c:f>
              <c:numCache>
                <c:formatCode>#.#00%</c:formatCode>
                <c:ptCount val="9"/>
                <c:pt idx="0">
                  <c:v>0.76146788990825687</c:v>
                </c:pt>
                <c:pt idx="1">
                  <c:v>0.56880733944954132</c:v>
                </c:pt>
                <c:pt idx="2">
                  <c:v>0.33027522935779818</c:v>
                </c:pt>
                <c:pt idx="3">
                  <c:v>0.3577981651376147</c:v>
                </c:pt>
                <c:pt idx="4">
                  <c:v>0.28440366972477066</c:v>
                </c:pt>
                <c:pt idx="5">
                  <c:v>6.4220183486238536E-2</c:v>
                </c:pt>
                <c:pt idx="6">
                  <c:v>6.4220183486238536E-2</c:v>
                </c:pt>
                <c:pt idx="7">
                  <c:v>1.834862385321101E-2</c:v>
                </c:pt>
                <c:pt idx="8">
                  <c:v>7.3394495412844041E-2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E5-48A2-944A-415AE2DCA13D}"/>
            </c:ext>
          </c:extLst>
        </c:ser>
        <c:ser>
          <c:idx val="1"/>
          <c:order val="1"/>
          <c:tx>
            <c:strRef>
              <c:f>d_classes_ativos!$E$1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d_classes_ativos!$C$2:$C$10</c:f>
              <c:strCache>
                <c:ptCount val="9"/>
                <c:pt idx="0">
                  <c:v>Tesouro Direto e Renda Fixa</c:v>
                </c:pt>
                <c:pt idx="1">
                  <c:v>Fundos de Renda Fixa</c:v>
                </c:pt>
                <c:pt idx="2">
                  <c:v>Ações</c:v>
                </c:pt>
                <c:pt idx="3">
                  <c:v>Investimentos Internacionais (dólar, fundos, ETFs, etc)</c:v>
                </c:pt>
                <c:pt idx="4">
                  <c:v>Fundos Imobiliários</c:v>
                </c:pt>
                <c:pt idx="5">
                  <c:v>Fundos Multimercado</c:v>
                </c:pt>
                <c:pt idx="6">
                  <c:v>Ouro e commodities</c:v>
                </c:pt>
                <c:pt idx="7">
                  <c:v>Criptoativos</c:v>
                </c:pt>
                <c:pt idx="8">
                  <c:v>Fundos de Renda Variável</c:v>
                </c:pt>
              </c:strCache>
            </c:strRef>
          </c:cat>
          <c:val>
            <c:numRef>
              <c:f>d_classes_ativos!$E$2:$E$10</c:f>
              <c:numCache>
                <c:formatCode>#.#00%</c:formatCode>
                <c:ptCount val="9"/>
                <c:pt idx="0">
                  <c:v>0.57943925233644855</c:v>
                </c:pt>
                <c:pt idx="1">
                  <c:v>0.35514018691588783</c:v>
                </c:pt>
                <c:pt idx="2">
                  <c:v>0.25233644859813081</c:v>
                </c:pt>
                <c:pt idx="3">
                  <c:v>0.21495327102803738</c:v>
                </c:pt>
                <c:pt idx="4">
                  <c:v>0.20560747663551401</c:v>
                </c:pt>
                <c:pt idx="5">
                  <c:v>5.6074766355140186E-2</c:v>
                </c:pt>
                <c:pt idx="6">
                  <c:v>1.8691588785046728E-2</c:v>
                </c:pt>
                <c:pt idx="7">
                  <c:v>1.8691588785046728E-2</c:v>
                </c:pt>
                <c:pt idx="8">
                  <c:v>9.3457943925233638E-3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E5-48A2-944A-415AE2DCA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014560"/>
        <c:axId val="133302352"/>
      </c:barChart>
      <c:catAx>
        <c:axId val="5400145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302352"/>
        <c:crosses val="autoZero"/>
        <c:auto val="1"/>
        <c:lblAlgn val="ctr"/>
        <c:lblOffset val="100"/>
        <c:noMultiLvlLbl val="0"/>
      </c:catAx>
      <c:valAx>
        <c:axId val="13330235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540014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pt-BR"/>
              <a:t>Apetite a risco -- jul/2026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d_apetite_risco!$F$1</c:f>
              <c:strCache>
                <c:ptCount val="1"/>
                <c:pt idx="0">
                  <c:v>anterior</c:v>
                </c:pt>
              </c:strCache>
            </c:strRef>
          </c:tx>
          <c:spPr>
            <a:solidFill>
              <a:srgbClr val="74797C"/>
            </a:solidFill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d_apetite_risco!$C$2:$C$7</c:f>
              <c:strCache>
                <c:ptCount val="6"/>
                <c:pt idx="0">
                  <c:v>Cortes de juros no Brasil</c:v>
                </c:pt>
                <c:pt idx="1">
                  <c:v>Queda de juros nos EUA e no mundo</c:v>
                </c:pt>
                <c:pt idx="2">
                  <c:v>Mercado voltando a ter performance sólida</c:v>
                </c:pt>
                <c:pt idx="3">
                  <c:v>Melhora na recuperação econômica global</c:v>
                </c:pt>
                <c:pt idx="4">
                  <c:v>Mudança de rumo na política econômica</c:v>
                </c:pt>
                <c:pt idx="5">
                  <c:v>Outra</c:v>
                </c:pt>
              </c:strCache>
            </c:strRef>
          </c:cat>
          <c:val>
            <c:numRef>
              <c:f>d_apetite_risco!$F$2:$F$7</c:f>
              <c:numCache>
                <c:formatCode>#.#00%</c:formatCode>
                <c:ptCount val="6"/>
                <c:pt idx="0">
                  <c:v>0.67889908256880738</c:v>
                </c:pt>
                <c:pt idx="1">
                  <c:v>0.39449541284403672</c:v>
                </c:pt>
                <c:pt idx="2">
                  <c:v>0.31192660550458717</c:v>
                </c:pt>
                <c:pt idx="3">
                  <c:v>0.1743119266055046</c:v>
                </c:pt>
                <c:pt idx="4">
                  <c:v>0.55963302752293576</c:v>
                </c:pt>
                <c:pt idx="5">
                  <c:v>2.7522935779816515E-2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65-424F-871E-B0BCB3FD38EC}"/>
            </c:ext>
          </c:extLst>
        </c:ser>
        <c:ser>
          <c:idx val="1"/>
          <c:order val="1"/>
          <c:tx>
            <c:strRef>
              <c:f>d_apetite_risco!$E$1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FFBC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d_apetite_risco!$C$2:$C$7</c:f>
              <c:strCache>
                <c:ptCount val="6"/>
                <c:pt idx="0">
                  <c:v>Cortes de juros no Brasil</c:v>
                </c:pt>
                <c:pt idx="1">
                  <c:v>Queda de juros nos EUA e no mundo</c:v>
                </c:pt>
                <c:pt idx="2">
                  <c:v>Mercado voltando a ter performance sólida</c:v>
                </c:pt>
                <c:pt idx="3">
                  <c:v>Melhora na recuperação econômica global</c:v>
                </c:pt>
                <c:pt idx="4">
                  <c:v>Mudança de rumo na política econômica</c:v>
                </c:pt>
                <c:pt idx="5">
                  <c:v>Outra</c:v>
                </c:pt>
              </c:strCache>
            </c:strRef>
          </c:cat>
          <c:val>
            <c:numRef>
              <c:f>d_apetite_risco!$E$2:$E$7</c:f>
              <c:numCache>
                <c:formatCode>#.#00%</c:formatCode>
                <c:ptCount val="6"/>
                <c:pt idx="0">
                  <c:v>0.49532710280373832</c:v>
                </c:pt>
                <c:pt idx="1">
                  <c:v>0.35514018691588783</c:v>
                </c:pt>
                <c:pt idx="2">
                  <c:v>0.28037383177570091</c:v>
                </c:pt>
                <c:pt idx="3">
                  <c:v>0.21495327102803738</c:v>
                </c:pt>
                <c:pt idx="4">
                  <c:v>0.15887850467289721</c:v>
                </c:pt>
                <c:pt idx="5">
                  <c:v>2.8037383177570093E-2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65-424F-871E-B0BCB3FD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99472"/>
        <c:axId val="133209232"/>
      </c:barChart>
      <c:catAx>
        <c:axId val="4969994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33209232"/>
        <c:crosses val="autoZero"/>
        <c:auto val="1"/>
        <c:lblAlgn val="ctr"/>
        <c:lblOffset val="100"/>
        <c:noMultiLvlLbl val="0"/>
      </c:catAx>
      <c:valAx>
        <c:axId val="133209232"/>
        <c:scaling>
          <c:orientation val="minMax"/>
        </c:scaling>
        <c:delete val="0"/>
        <c:axPos val="t"/>
        <c:majorGridlines/>
        <c:numFmt formatCode="#.#00%" sourceLinked="1"/>
        <c:majorTickMark val="out"/>
        <c:minorTickMark val="none"/>
        <c:tickLblPos val="nextTo"/>
        <c:crossAx val="4969994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0</xdr:row>
      <xdr:rowOff>101600</xdr:rowOff>
    </xdr:from>
    <xdr:to>
      <xdr:col>5</xdr:col>
      <xdr:colOff>378460</xdr:colOff>
      <xdr:row>21</xdr:row>
      <xdr:rowOff>71120</xdr:rowOff>
    </xdr:to>
    <xdr:graphicFrame macro="">
      <xdr:nvGraphicFramePr>
        <xdr:cNvPr id="2" name="g_s_proximos_meses">
          <a:extLst>
            <a:ext uri="{FF2B5EF4-FFF2-40B4-BE49-F238E27FC236}">
              <a16:creationId xmlns:a16="http://schemas.microsoft.com/office/drawing/2014/main" id="{F840699B-E399-37AD-4630-0CE7050A7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104140</xdr:colOff>
      <xdr:row>0</xdr:row>
      <xdr:rowOff>101600</xdr:rowOff>
    </xdr:from>
    <xdr:to>
      <xdr:col>17</xdr:col>
      <xdr:colOff>104140</xdr:colOff>
      <xdr:row>21</xdr:row>
      <xdr:rowOff>71120</xdr:rowOff>
    </xdr:to>
    <xdr:graphicFrame macro="">
      <xdr:nvGraphicFramePr>
        <xdr:cNvPr id="2" name="g_s_alocacao_rv">
          <a:extLst>
            <a:ext uri="{FF2B5EF4-FFF2-40B4-BE49-F238E27FC236}">
              <a16:creationId xmlns:a16="http://schemas.microsoft.com/office/drawing/2014/main" id="{384669EF-AA12-03B8-2A0D-BA2B4A768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4859020</xdr:colOff>
      <xdr:row>0</xdr:row>
      <xdr:rowOff>101600</xdr:rowOff>
    </xdr:from>
    <xdr:to>
      <xdr:col>2</xdr:col>
      <xdr:colOff>5407660</xdr:colOff>
      <xdr:row>21</xdr:row>
      <xdr:rowOff>71120</xdr:rowOff>
    </xdr:to>
    <xdr:graphicFrame macro="">
      <xdr:nvGraphicFramePr>
        <xdr:cNvPr id="2" name="g_q_mes_1">
          <a:extLst>
            <a:ext uri="{FF2B5EF4-FFF2-40B4-BE49-F238E27FC236}">
              <a16:creationId xmlns:a16="http://schemas.microsoft.com/office/drawing/2014/main" id="{5A0C31F7-670A-C8C2-9461-4258C62C5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119380</xdr:colOff>
      <xdr:row>0</xdr:row>
      <xdr:rowOff>101600</xdr:rowOff>
    </xdr:from>
    <xdr:to>
      <xdr:col>16</xdr:col>
      <xdr:colOff>119380</xdr:colOff>
      <xdr:row>21</xdr:row>
      <xdr:rowOff>71120</xdr:rowOff>
    </xdr:to>
    <xdr:graphicFrame macro="">
      <xdr:nvGraphicFramePr>
        <xdr:cNvPr id="2" name="g_medias">
          <a:extLst>
            <a:ext uri="{FF2B5EF4-FFF2-40B4-BE49-F238E27FC236}">
              <a16:creationId xmlns:a16="http://schemas.microsoft.com/office/drawing/2014/main" id="{00305ADC-3699-C4A6-28EE-CF8A0E8BA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0</xdr:row>
      <xdr:rowOff>101600</xdr:rowOff>
    </xdr:from>
    <xdr:to>
      <xdr:col>12</xdr:col>
      <xdr:colOff>584200</xdr:colOff>
      <xdr:row>21</xdr:row>
      <xdr:rowOff>71120</xdr:rowOff>
    </xdr:to>
    <xdr:graphicFrame macro="">
      <xdr:nvGraphicFramePr>
        <xdr:cNvPr id="2" name="g_d_setores">
          <a:extLst>
            <a:ext uri="{FF2B5EF4-FFF2-40B4-BE49-F238E27FC236}">
              <a16:creationId xmlns:a16="http://schemas.microsoft.com/office/drawing/2014/main" id="{4573E509-9D43-87AB-2618-5D23E2737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599440</xdr:colOff>
      <xdr:row>0</xdr:row>
      <xdr:rowOff>101600</xdr:rowOff>
    </xdr:from>
    <xdr:to>
      <xdr:col>17</xdr:col>
      <xdr:colOff>599440</xdr:colOff>
      <xdr:row>21</xdr:row>
      <xdr:rowOff>71120</xdr:rowOff>
    </xdr:to>
    <xdr:graphicFrame macro="">
      <xdr:nvGraphicFramePr>
        <xdr:cNvPr id="2" name="g_d_sentimento">
          <a:extLst>
            <a:ext uri="{FF2B5EF4-FFF2-40B4-BE49-F238E27FC236}">
              <a16:creationId xmlns:a16="http://schemas.microsoft.com/office/drawing/2014/main" id="{A8701D8F-AB91-DD5C-94F9-7254505F6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2054860</xdr:colOff>
      <xdr:row>0</xdr:row>
      <xdr:rowOff>101600</xdr:rowOff>
    </xdr:from>
    <xdr:to>
      <xdr:col>10</xdr:col>
      <xdr:colOff>5080</xdr:colOff>
      <xdr:row>21</xdr:row>
      <xdr:rowOff>71120</xdr:rowOff>
    </xdr:to>
    <xdr:graphicFrame macro="">
      <xdr:nvGraphicFramePr>
        <xdr:cNvPr id="2" name="g_d_riscos_bolsa">
          <a:extLst>
            <a:ext uri="{FF2B5EF4-FFF2-40B4-BE49-F238E27FC236}">
              <a16:creationId xmlns:a16="http://schemas.microsoft.com/office/drawing/2014/main" id="{0C807937-C068-7093-41E0-A9CD44DC8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553720</xdr:colOff>
      <xdr:row>0</xdr:row>
      <xdr:rowOff>101600</xdr:rowOff>
    </xdr:from>
    <xdr:to>
      <xdr:col>17</xdr:col>
      <xdr:colOff>553720</xdr:colOff>
      <xdr:row>21</xdr:row>
      <xdr:rowOff>71120</xdr:rowOff>
    </xdr:to>
    <xdr:graphicFrame macro="">
      <xdr:nvGraphicFramePr>
        <xdr:cNvPr id="2" name="g_d_regiao">
          <a:extLst>
            <a:ext uri="{FF2B5EF4-FFF2-40B4-BE49-F238E27FC236}">
              <a16:creationId xmlns:a16="http://schemas.microsoft.com/office/drawing/2014/main" id="{59CA43A2-B216-E755-38C2-AFAED5E6C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515620</xdr:colOff>
      <xdr:row>0</xdr:row>
      <xdr:rowOff>101600</xdr:rowOff>
    </xdr:from>
    <xdr:to>
      <xdr:col>17</xdr:col>
      <xdr:colOff>515620</xdr:colOff>
      <xdr:row>21</xdr:row>
      <xdr:rowOff>71120</xdr:rowOff>
    </xdr:to>
    <xdr:graphicFrame macro="">
      <xdr:nvGraphicFramePr>
        <xdr:cNvPr id="2" name="g_d_pct_internacional">
          <a:extLst>
            <a:ext uri="{FF2B5EF4-FFF2-40B4-BE49-F238E27FC236}">
              <a16:creationId xmlns:a16="http://schemas.microsoft.com/office/drawing/2014/main" id="{630482A0-F6AB-094E-C9E1-62213B4B3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1551940</xdr:colOff>
      <xdr:row>0</xdr:row>
      <xdr:rowOff>101600</xdr:rowOff>
    </xdr:from>
    <xdr:to>
      <xdr:col>9</xdr:col>
      <xdr:colOff>287020</xdr:colOff>
      <xdr:row>21</xdr:row>
      <xdr:rowOff>71120</xdr:rowOff>
    </xdr:to>
    <xdr:graphicFrame macro="">
      <xdr:nvGraphicFramePr>
        <xdr:cNvPr id="2" name="g_d_interesse_internacional">
          <a:extLst>
            <a:ext uri="{FF2B5EF4-FFF2-40B4-BE49-F238E27FC236}">
              <a16:creationId xmlns:a16="http://schemas.microsoft.com/office/drawing/2014/main" id="{A8EA5357-D9BE-C5F3-F8B7-604BEE1D3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1064260</xdr:colOff>
      <xdr:row>0</xdr:row>
      <xdr:rowOff>101600</xdr:rowOff>
    </xdr:from>
    <xdr:to>
      <xdr:col>13</xdr:col>
      <xdr:colOff>553720</xdr:colOff>
      <xdr:row>21</xdr:row>
      <xdr:rowOff>71120</xdr:rowOff>
    </xdr:to>
    <xdr:graphicFrame macro="">
      <xdr:nvGraphicFramePr>
        <xdr:cNvPr id="2" name="g_d_ibovespa_alvo">
          <a:extLst>
            <a:ext uri="{FF2B5EF4-FFF2-40B4-BE49-F238E27FC236}">
              <a16:creationId xmlns:a16="http://schemas.microsoft.com/office/drawing/2014/main" id="{E085796C-1CA4-DE74-4099-CFEAA94E0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1765300</xdr:colOff>
      <xdr:row>0</xdr:row>
      <xdr:rowOff>101600</xdr:rowOff>
    </xdr:from>
    <xdr:to>
      <xdr:col>7</xdr:col>
      <xdr:colOff>226060</xdr:colOff>
      <xdr:row>21</xdr:row>
      <xdr:rowOff>71120</xdr:rowOff>
    </xdr:to>
    <xdr:graphicFrame macro="">
      <xdr:nvGraphicFramePr>
        <xdr:cNvPr id="2" name="g_d_classes_ativos">
          <a:extLst>
            <a:ext uri="{FF2B5EF4-FFF2-40B4-BE49-F238E27FC236}">
              <a16:creationId xmlns:a16="http://schemas.microsoft.com/office/drawing/2014/main" id="{FA57F171-4310-2C12-190D-03203BA44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2123440</xdr:colOff>
      <xdr:row>0</xdr:row>
      <xdr:rowOff>101600</xdr:rowOff>
    </xdr:from>
    <xdr:to>
      <xdr:col>9</xdr:col>
      <xdr:colOff>180340</xdr:colOff>
      <xdr:row>21</xdr:row>
      <xdr:rowOff>71120</xdr:rowOff>
    </xdr:to>
    <xdr:graphicFrame macro="">
      <xdr:nvGraphicFramePr>
        <xdr:cNvPr id="2" name="g_d_apetite_risco">
          <a:extLst>
            <a:ext uri="{FF2B5EF4-FFF2-40B4-BE49-F238E27FC236}">
              <a16:creationId xmlns:a16="http://schemas.microsoft.com/office/drawing/2014/main" id="{B8401F01-CF47-45E2-F9B0-494465BD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6" xr16:uid="{FAD95502-8697-409F-AA09-5DDC8FF65BC3}" autoFormatId="0" applyNumberFormats="0" applyBorderFormats="0" applyFontFormats="1" applyPatternFormats="1" applyAlignmentFormats="0" applyWidthHeightFormats="0">
  <queryTableRefresh nextId="18">
    <queryTableFields count="17">
      <queryTableField id="1" name="onda" tableColumnId="18"/>
      <queryTableField id="2" name="data" tableColumnId="19"/>
      <queryTableField id="3" name="Agro" tableColumnId="20"/>
      <queryTableField id="4" name="Bens de Capital" tableColumnId="21"/>
      <queryTableField id="5" name="Educação" tableColumnId="22"/>
      <queryTableField id="6" name="Financeiro" tableColumnId="23"/>
      <queryTableField id="7" name="Alimentos &amp; Bebidas" tableColumnId="24"/>
      <queryTableField id="8" name="Saúde" tableColumnId="25"/>
      <queryTableField id="9" name="Mineração &amp; Siderurgia" tableColumnId="26"/>
      <queryTableField id="10" name="Petróleo &amp; Gás" tableColumnId="27"/>
      <queryTableField id="11" name="Papel &amp; Celulose" tableColumnId="28"/>
      <queryTableField id="12" name="Imobiliário" tableColumnId="29"/>
      <queryTableField id="13" name="Varejo" tableColumnId="30"/>
      <queryTableField id="14" name="Telecomunicações, Mídia e Tecnologia" tableColumnId="31"/>
      <queryTableField id="15" name="Elétricas &amp; Saneamento" tableColumnId="32"/>
      <queryTableField id="16" name="Transportes" tableColumnId="33"/>
      <queryTableField id="17" name="Não estão interessados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5" xr16:uid="{374BA2F5-3A8E-4480-8BAB-A11B49BAA7E8}" autoFormatId="0" applyNumberFormats="0" applyBorderFormats="0" applyFontFormats="1" applyPatternFormats="1" applyAlignmentFormats="0" applyWidthHeightFormats="0">
  <queryTableRefresh nextId="14">
    <queryTableFields count="13">
      <queryTableField id="1" name="onda" tableColumnId="14"/>
      <queryTableField id="2" name="data" tableColumnId="15"/>
      <queryTableField id="3" name="0" tableColumnId="16"/>
      <queryTableField id="4" name="1" tableColumnId="17"/>
      <queryTableField id="5" name="2" tableColumnId="18"/>
      <queryTableField id="6" name="3" tableColumnId="19"/>
      <queryTableField id="7" name="4" tableColumnId="20"/>
      <queryTableField id="8" name="5" tableColumnId="21"/>
      <queryTableField id="9" name="6" tableColumnId="22"/>
      <queryTableField id="10" name="7" tableColumnId="23"/>
      <queryTableField id="11" name="8" tableColumnId="24"/>
      <queryTableField id="12" name="9" tableColumnId="25"/>
      <queryTableField id="13" name="10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3" xr16:uid="{E766108F-58EE-442C-8CCF-63CFD6663B02}" autoFormatId="0" applyNumberFormats="0" applyBorderFormats="0" applyFontFormats="1" applyPatternFormats="1" applyAlignmentFormats="0" applyWidthHeightFormats="0">
  <queryTableRefresh nextId="13">
    <queryTableFields count="11">
      <queryTableField id="1" name="onda" tableColumnId="13"/>
      <queryTableField id="2" name="data" tableColumnId="14"/>
      <queryTableField id="3" name="Riscos fiscais no Brasil" tableColumnId="15"/>
      <queryTableField id="4" name="Inflação em alta no Brasil" tableColumnId="16"/>
      <queryTableField id="5" name="Dólar mais alto" tableColumnId="17"/>
      <queryTableField id="6" name="Desaceleração econômica global" tableColumnId="18"/>
      <queryTableField id="7" name="Juros mais altos nos mercados desenvolvidos" tableColumnId="19"/>
      <queryTableField id="8" name="Juros mais altos que o esperado o Brasil" tableColumnId="20"/>
      <queryTableField id="9" name="Instabilidade política/ Eleições" tableColumnId="21"/>
      <queryTableField id="10" name="Riscos geopolíticos/ Guerra" tableColumnId="22"/>
      <queryTableField id="11" name="Choque do petróleo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2" xr16:uid="{496D6D73-21C0-4245-B082-4AC92DAF9BD7}" autoFormatId="0" applyNumberFormats="0" applyBorderFormats="0" applyFontFormats="1" applyPatternFormats="1" applyAlignmentFormats="0" applyWidthHeightFormats="0">
  <queryTableRefresh nextId="8">
    <queryTableFields count="7">
      <queryTableField id="1" name="onda" tableColumnId="8"/>
      <queryTableField id="2" name="data" tableColumnId="9"/>
      <queryTableField id="3" name="Centro Oeste" tableColumnId="10"/>
      <queryTableField id="4" name="Nordeste" tableColumnId="11"/>
      <queryTableField id="5" name="Norte" tableColumnId="12"/>
      <queryTableField id="6" name="Sudeste" tableColumnId="13"/>
      <queryTableField id="7" name="Sul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1" xr16:uid="{B55CE206-0419-4F4F-8496-627BCC31B045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Não pretendem alterar seus investimentos em renda variável" tableColumnId="8"/>
      <queryTableField id="4" name="Planejam diminuir a alocação em renda variável" tableColumnId="9"/>
      <queryTableField id="5" name="Planejam aumentar a alocação em renda variável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0" xr16:uid="{80A44CAC-166E-4DB1-81CE-74A288ED899C}" autoFormatId="0" applyNumberFormats="0" applyBorderFormats="0" applyFontFormats="1" applyPatternFormats="1" applyAlignmentFormats="0" applyWidthHeightFormats="0">
  <queryTableRefresh nextId="8">
    <queryTableFields count="7">
      <queryTableField id="1" name="onda" tableColumnId="8"/>
      <queryTableField id="2" name="data" tableColumnId="9"/>
      <queryTableField id="3" name="0% a 5%" tableColumnId="10"/>
      <queryTableField id="4" name="5% a 10%" tableColumnId="11"/>
      <queryTableField id="5" name="10% a 20%" tableColumnId="12"/>
      <queryTableField id="6" name="20% a 50%" tableColumnId="13"/>
      <queryTableField id="7" name="Acima de 50%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9" xr16:uid="{9786A303-B1DD-46DD-96FC-02EBB7A39857}" autoFormatId="0" applyNumberFormats="0" applyBorderFormats="0" applyFontFormats="1" applyPatternFormats="1" applyAlignmentFormats="0" applyWidthHeightFormats="0">
  <queryTableRefresh nextId="10">
    <queryTableFields count="8">
      <queryTableField id="1" name="onda" tableColumnId="10"/>
      <queryTableField id="2" name="data" tableColumnId="11"/>
      <queryTableField id="3" name="Fundos Internacionais" tableColumnId="12"/>
      <queryTableField id="4" name="Ações internacionais" tableColumnId="13"/>
      <queryTableField id="5" name="ETFs" tableColumnId="14"/>
      <queryTableField id="6" name="Dólar" tableColumnId="15"/>
      <queryTableField id="7" name="Bonds" tableColumnId="16"/>
      <queryTableField id="8" name="Não estão interessados por investimentos internacionais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8" xr16:uid="{BAE3C60A-1F01-4CB1-84FC-122E8EC8D8FA}" autoFormatId="0" applyNumberFormats="0" applyBorderFormats="0" applyFontFormats="1" applyPatternFormats="1" applyAlignmentFormats="0" applyWidthHeightFormats="0">
  <queryTableRefresh nextId="9">
    <queryTableFields count="8">
      <queryTableField id="1" name="onda" tableColumnId="9"/>
      <queryTableField id="2" name="data" tableColumnId="10"/>
      <queryTableField id="3" name="Abaixo de 150 mil pontos" tableColumnId="11"/>
      <queryTableField id="4" name="Entre 150 mil e 170 mil pontos" tableColumnId="12"/>
      <queryTableField id="5" name="Entre 170 mil e 190 mil pontos" tableColumnId="13"/>
      <queryTableField id="6" name="Entre 190 e 200 mil pontos" tableColumnId="14"/>
      <queryTableField id="7" name="Entre 200 e 210 mil pontos" tableColumnId="15"/>
      <queryTableField id="8" name="Acima de 210 mil pontos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7" xr16:uid="{D7BAEB13-A488-4719-A570-27473B2432AC}" autoFormatId="0" applyNumberFormats="0" applyBorderFormats="0" applyFontFormats="1" applyPatternFormats="1" applyAlignmentFormats="0" applyWidthHeightFormats="0">
  <queryTableRefresh nextId="13">
    <queryTableFields count="11">
      <queryTableField id="1" name="onda" tableColumnId="13"/>
      <queryTableField id="2" name="data" tableColumnId="14"/>
      <queryTableField id="3" name="Ações" tableColumnId="15"/>
      <queryTableField id="4" name="Fundos Imobiliários" tableColumnId="16"/>
      <queryTableField id="5" name="Investimentos Internacionais (dólar, fundos, ETFs, etc)" tableColumnId="17"/>
      <queryTableField id="6" name="Fundos Multimercado" tableColumnId="18"/>
      <queryTableField id="7" name="Fundos de Renda Variável" tableColumnId="19"/>
      <queryTableField id="8" name="Ouro e commodities" tableColumnId="20"/>
      <queryTableField id="9" name="Fundos de Renda Fixa" tableColumnId="21"/>
      <queryTableField id="10" name="Tesouro Direto e Renda Fixa" tableColumnId="22"/>
      <queryTableField id="11" name="Criptoativos" tableColumnId="2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6" xr16:uid="{2D635634-7145-4EA3-860D-7EA85562D339}" autoFormatId="0" applyNumberFormats="0" applyBorderFormats="0" applyFontFormats="1" applyPatternFormats="1" applyAlignmentFormats="0" applyWidthHeightFormats="0">
  <queryTableRefresh nextId="15">
    <queryTableFields count="8">
      <queryTableField id="1" name="onda" tableColumnId="9"/>
      <queryTableField id="2" name="data" tableColumnId="10"/>
      <queryTableField id="9" name="Cortes de juros no Brasil" tableColumnId="1"/>
      <queryTableField id="4" name="Queda de juros nos EUA e no mundo" tableColumnId="12"/>
      <queryTableField id="5" name="Mercado voltando a ter performance sólida" tableColumnId="13"/>
      <queryTableField id="10" name="Mudança de rumo na política econômica" tableColumnId="2"/>
      <queryTableField id="11" name="Melhora na recuperação econômica global" tableColumnId="3"/>
      <queryTableField id="8" name="Outra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5" xr16:uid="{E03E42A8-1738-4FF0-A689-B5AA4A784568}" autoFormatId="0" applyNumberFormats="0" applyBorderFormats="0" applyFontFormats="1" applyPatternFormats="1" applyAlignmentFormats="0" applyWidthHeightFormats="0">
  <queryTableRefresh nextId="10">
    <queryTableFields count="7">
      <queryTableField id="1" name="onda" tableColumnId="8"/>
      <queryTableField id="2" name="data" tableColumnId="9"/>
      <queryTableField id="4" name="0% a 10%" tableColumnId="11"/>
      <queryTableField id="5" name="10% a 25%" tableColumnId="12"/>
      <queryTableField id="3" name="25% a 50%" tableColumnId="10"/>
      <queryTableField id="6" name="50% a 75%" tableColumnId="13"/>
      <queryTableField id="7" name="75% a 100%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4" xr16:uid="{87C0A615-363C-4A8D-831D-366F66E0A2C4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2" xr16:uid="{0755823E-088F-4772-991C-B0E96E2548A5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5FDCB311-BA40-4E0A-B5C4-B933B021D27E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0918695D-A6A9-4294-BC17-2026BD2B063A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6BBC939F-0D9D-4A30-8E3E-2BFFA718602C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EEF1D400-75A4-4106-8FE7-0F40A752F952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pergunta" tableColumnId="9"/>
      <queryTableField id="3" name="rotulo_pt" tableColumnId="10"/>
      <queryTableField id="4" name="rotulo_en" tableColumnId="11"/>
      <queryTableField id="5" name="pct" tableColumnId="12"/>
      <queryTableField id="6" name="qtd" tableColumnId="13"/>
      <queryTableField id="7" name="slot" tableColumnId="1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ECEA06F2-DC5F-4DD3-BCF5-E894EB0B7161}" autoFormatId="0" applyNumberFormats="0" applyBorderFormats="0" applyFontFormats="1" applyPatternFormats="1" applyAlignmentFormats="0" applyWidthHeightFormats="0">
  <queryTableRefresh nextId="5">
    <queryTableFields count="4">
      <queryTableField id="1" name="onda" tableColumnId="5"/>
      <queryTableField id="2" name="data" tableColumnId="6"/>
      <queryTableField id="3" name="respondentes" tableColumnId="7"/>
      <queryTableField id="4" name="regime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A74F10C5-094F-405A-8B38-154F37478520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sentimento_media" tableColumnId="8"/>
      <queryTableField id="4" name="ibovespa_media" tableColumnId="9"/>
      <queryTableField id="5" name="respondentes" tableColumnId="1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86C80EF2-6FC4-4F07-9326-75A14B32F2A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6D879578-0037-4904-B57F-7FAD6BAED87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34D354FB-41FD-48B3-B76B-A2B416EA4951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2" xr16:uid="{EB170175-30D6-4654-95F8-C60DCC20575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1" xr16:uid="{29441E25-713C-4B9E-8A35-074C318D5DE0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0" xr16:uid="{44E1209D-0306-475B-A885-15BEDF61880C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9" xr16:uid="{8A914AF6-28CB-4980-BE7F-8F6D85FF0BDE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8" xr16:uid="{6C77ADAF-6900-4E80-A1BB-9B3483E85CBF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7" xr16:uid="{41621FD0-A236-4B9F-A89F-4CE9FDEE7201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4" xr16:uid="{66CF1804-AF87-4EB5-9919-3E067262EE2E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3" xr16:uid="{AAE369A1-F6CF-46C7-914B-E0330D7FDEB4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A40057C-869D-4B7C-8871-CFF2E3033266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respondentes" tableColumnId="8"/>
      <queryTableField id="4" name="mes_pt" tableColumnId="9"/>
      <queryTableField id="5" name="mes_en" tableColumnId="10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9B42EB7-0907-4D0B-9358-6464794E5CBB}" autoFormatId="0" applyNumberFormats="0" applyBorderFormats="0" applyFontFormats="1" applyPatternFormats="1" applyAlignmentFormats="0" applyWidthHeightFormats="0">
  <queryTableRefresh nextId="7">
    <queryTableFields count="6">
      <queryTableField id="1" name="onda" tableColumnId="7"/>
      <queryTableField id="2" name="data" tableColumnId="8"/>
      <queryTableField id="3" name="Não pretendem alterar seus investimentos em renda variável" tableColumnId="9"/>
      <queryTableField id="4" name="Planejam diminuir a alocação em renda variável" tableColumnId="10"/>
      <queryTableField id="5" name="Planejam aumentar a alocação em renda variável" tableColumnId="11"/>
      <queryTableField id="6" name="ibovesp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ABB80AB-79A4-4E0E-9258-FAE738C87E53}" name="t_s_setores" displayName="t_s_setores" ref="A1:Q37" tableType="queryTable" totalsRowShown="0" headerRowDxfId="240">
  <autoFilter ref="A1:Q37" xr:uid="{FABB80AB-79A4-4E0E-9258-FAE738C87E53}"/>
  <tableColumns count="17">
    <tableColumn id="18" xr3:uid="{77538C05-0909-4740-9326-EBBDEC1CFE85}" uniqueName="18" name="onda" queryTableFieldId="1" dataDxfId="239"/>
    <tableColumn id="19" xr3:uid="{147D4DD1-E9FE-4463-847F-7DCCB1A308BA}" uniqueName="19" name="data" queryTableFieldId="2" dataDxfId="238"/>
    <tableColumn id="20" xr3:uid="{9D2821D8-1425-4CB7-9763-11FB69CA3EAE}" uniqueName="20" name="Agro" queryTableFieldId="3" dataDxfId="237"/>
    <tableColumn id="21" xr3:uid="{79B4A504-DF13-49B5-AF74-3D0F5BE7AEC8}" uniqueName="21" name="Bens de Capital" queryTableFieldId="4" dataDxfId="236"/>
    <tableColumn id="22" xr3:uid="{34ABB3CF-D8FE-46AC-818C-1E8B09FA86A4}" uniqueName="22" name="Educação" queryTableFieldId="5" dataDxfId="235"/>
    <tableColumn id="23" xr3:uid="{55AC5835-722E-494D-80BD-CCDC286CA734}" uniqueName="23" name="Financeiro" queryTableFieldId="6" dataDxfId="234"/>
    <tableColumn id="24" xr3:uid="{E0E1DBD4-9F49-4726-8286-42C921C29559}" uniqueName="24" name="Alimentos &amp; Bebidas" queryTableFieldId="7" dataDxfId="233"/>
    <tableColumn id="25" xr3:uid="{09944458-34E6-408E-8ADB-DD69F0A1AA99}" uniqueName="25" name="Saúde" queryTableFieldId="8" dataDxfId="232"/>
    <tableColumn id="26" xr3:uid="{3CDA65D8-E5D0-451D-9D45-913F02DE034D}" uniqueName="26" name="Mineração &amp; Siderurgia" queryTableFieldId="9" dataDxfId="231"/>
    <tableColumn id="27" xr3:uid="{16D09DC8-5E1B-4B7B-A4FD-AB7D134D3957}" uniqueName="27" name="Petróleo &amp; Gás" queryTableFieldId="10" dataDxfId="230"/>
    <tableColumn id="28" xr3:uid="{75146323-25F5-43D4-ABD1-279456C61358}" uniqueName="28" name="Papel &amp; Celulose" queryTableFieldId="11" dataDxfId="229"/>
    <tableColumn id="29" xr3:uid="{FF3B7C68-90A9-4DA1-B697-28AF9AFB6407}" uniqueName="29" name="Imobiliário" queryTableFieldId="12" dataDxfId="228"/>
    <tableColumn id="30" xr3:uid="{05E9E8D7-6DAB-40FB-B2BC-9A7A6BE1C5A1}" uniqueName="30" name="Varejo" queryTableFieldId="13" dataDxfId="227"/>
    <tableColumn id="31" xr3:uid="{79253590-EEDF-4B06-BE13-AF18ED5A855B}" uniqueName="31" name="Telecomunicações, Mídia e Tecnologia" queryTableFieldId="14" dataDxfId="226"/>
    <tableColumn id="32" xr3:uid="{267E43B0-D1F8-48C4-96DD-6EEB81D640CD}" uniqueName="32" name="Elétricas &amp; Saneamento" queryTableFieldId="15" dataDxfId="225"/>
    <tableColumn id="33" xr3:uid="{7D691945-654B-49C4-96D8-9CEE8F7DFBA6}" uniqueName="33" name="Transportes" queryTableFieldId="16" dataDxfId="224"/>
    <tableColumn id="34" xr3:uid="{57F273AA-CCB8-4EA8-A12E-F21C34713BA7}" uniqueName="34" name="Não estão interessados" queryTableFieldId="17" dataDxfId="2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8BF334-50E9-4CCC-9551-0089238055DB}" name="t_s_sentimento" displayName="t_s_sentimento" ref="A1:M37" tableType="queryTable" totalsRowShown="0" headerRowDxfId="222">
  <autoFilter ref="A1:M37" xr:uid="{578BF334-50E9-4CCC-9551-0089238055DB}"/>
  <tableColumns count="13">
    <tableColumn id="14" xr3:uid="{F358E68B-2CA9-4FF1-B59A-529D4A8A5285}" uniqueName="14" name="onda" queryTableFieldId="1" dataDxfId="221"/>
    <tableColumn id="15" xr3:uid="{C191463C-5000-442F-8F5E-101071E5B826}" uniqueName="15" name="data" queryTableFieldId="2" dataDxfId="220"/>
    <tableColumn id="16" xr3:uid="{2AFC6724-CBCA-475C-AB96-E61B9E81797C}" uniqueName="16" name="0" queryTableFieldId="3" dataDxfId="219"/>
    <tableColumn id="17" xr3:uid="{70C71A6E-5327-48B3-B65A-2E6DB6ACD63E}" uniqueName="17" name="1" queryTableFieldId="4" dataDxfId="218"/>
    <tableColumn id="18" xr3:uid="{00F699EB-D112-4B1D-8ECC-345E8726F6F2}" uniqueName="18" name="2" queryTableFieldId="5" dataDxfId="217"/>
    <tableColumn id="19" xr3:uid="{D276C599-E23C-44CF-B2C3-A6F1E2F2CF4B}" uniqueName="19" name="3" queryTableFieldId="6" dataDxfId="216"/>
    <tableColumn id="20" xr3:uid="{162ABDE0-EDC4-4F6B-9B03-0474DAF4A4E3}" uniqueName="20" name="4" queryTableFieldId="7" dataDxfId="215"/>
    <tableColumn id="21" xr3:uid="{B207B167-9240-4EFE-B60C-96614E7CA125}" uniqueName="21" name="5" queryTableFieldId="8" dataDxfId="214"/>
    <tableColumn id="22" xr3:uid="{C318279C-B619-4147-9C37-7C21E9EB89E9}" uniqueName="22" name="6" queryTableFieldId="9" dataDxfId="213"/>
    <tableColumn id="23" xr3:uid="{4F4763FE-2603-4447-B01E-6A34626415C8}" uniqueName="23" name="7" queryTableFieldId="10" dataDxfId="212"/>
    <tableColumn id="24" xr3:uid="{F1B577E4-69A3-407F-BE5D-5F25A3C66B09}" uniqueName="24" name="8" queryTableFieldId="11" dataDxfId="211"/>
    <tableColumn id="25" xr3:uid="{AE99E6E3-D5F0-4535-A49E-7A37199ED077}" uniqueName="25" name="9" queryTableFieldId="12" dataDxfId="210"/>
    <tableColumn id="26" xr3:uid="{768838A2-7399-435E-8BF2-4281EC7ED633}" uniqueName="26" name="10" queryTableFieldId="13" dataDxfId="2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28076F4-EA47-4CDB-BC15-2425029D14F2}" name="t_s_riscos_bolsa" displayName="t_s_riscos_bolsa" ref="A1:K37" tableType="queryTable" totalsRowShown="0" headerRowDxfId="208">
  <autoFilter ref="A1:K37" xr:uid="{828076F4-EA47-4CDB-BC15-2425029D14F2}"/>
  <tableColumns count="11">
    <tableColumn id="13" xr3:uid="{2E6E2A99-BBBA-4FF9-A1C3-C5C62ED8C0E9}" uniqueName="13" name="onda" queryTableFieldId="1" dataDxfId="207"/>
    <tableColumn id="14" xr3:uid="{C55BE683-27CA-457B-9C1F-AC354464DC19}" uniqueName="14" name="data" queryTableFieldId="2" dataDxfId="206"/>
    <tableColumn id="15" xr3:uid="{8AE24C93-F4C8-43CA-9748-AB1E65EDFDB2}" uniqueName="15" name="Riscos fiscais no Brasil" queryTableFieldId="3" dataDxfId="205"/>
    <tableColumn id="16" xr3:uid="{FC42CD5F-4DFA-4528-B339-3E0FF09BF2FE}" uniqueName="16" name="Inflação em alta no Brasil" queryTableFieldId="4" dataDxfId="204"/>
    <tableColumn id="17" xr3:uid="{5F60165E-1E43-4469-BB48-745B751FD623}" uniqueName="17" name="Dólar mais alto" queryTableFieldId="5" dataDxfId="203"/>
    <tableColumn id="18" xr3:uid="{1250EF0B-9CDB-4194-8341-8430D42697F1}" uniqueName="18" name="Desaceleração econômica global" queryTableFieldId="6" dataDxfId="202"/>
    <tableColumn id="19" xr3:uid="{FA3742D9-37EC-453D-B0D1-033359782EAB}" uniqueName="19" name="Juros mais altos nos mercados desenvolvidos" queryTableFieldId="7" dataDxfId="201"/>
    <tableColumn id="20" xr3:uid="{32D4BAF2-9A14-4D76-8C8C-D0819CBB280F}" uniqueName="20" name="Juros mais altos que o esperado o Brasil" queryTableFieldId="8" dataDxfId="200"/>
    <tableColumn id="21" xr3:uid="{FCA65630-DD9B-4170-90BD-0564ED49652A}" uniqueName="21" name="Instabilidade política/ Eleições" queryTableFieldId="9" dataDxfId="199"/>
    <tableColumn id="22" xr3:uid="{064BC773-5012-483B-A5E4-B54A091864EE}" uniqueName="22" name="Riscos geopolíticos/ Guerra" queryTableFieldId="10" dataDxfId="198"/>
    <tableColumn id="23" xr3:uid="{8C6DAEB8-B9AE-43BE-A9A0-F1F49BBAD91C}" uniqueName="23" name="Choque do petróleo" queryTableFieldId="11" dataDxfId="19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194E8B-0CCF-47F5-81B6-37CABC82A6E8}" name="t_s_regiao" displayName="t_s_regiao" ref="A1:G37" tableType="queryTable" totalsRowShown="0" headerRowDxfId="196">
  <autoFilter ref="A1:G37" xr:uid="{D2194E8B-0CCF-47F5-81B6-37CABC82A6E8}"/>
  <tableColumns count="7">
    <tableColumn id="8" xr3:uid="{6F030E77-2DF0-4E41-8BC5-419F5F79EA89}" uniqueName="8" name="onda" queryTableFieldId="1" dataDxfId="195"/>
    <tableColumn id="9" xr3:uid="{F7B4CCBF-DA92-4A30-B0A4-323DE1AB1775}" uniqueName="9" name="data" queryTableFieldId="2" dataDxfId="194"/>
    <tableColumn id="10" xr3:uid="{A952BCA2-7B4D-4774-AC98-67CCBA2A0195}" uniqueName="10" name="Centro Oeste" queryTableFieldId="3" dataDxfId="193"/>
    <tableColumn id="11" xr3:uid="{B9DC6A2E-C9D3-4514-B775-F04F5D153DDD}" uniqueName="11" name="Nordeste" queryTableFieldId="4" dataDxfId="192"/>
    <tableColumn id="12" xr3:uid="{FB888519-D65C-49FA-80D9-4FEC2A0086B2}" uniqueName="12" name="Norte" queryTableFieldId="5" dataDxfId="191"/>
    <tableColumn id="13" xr3:uid="{A3301821-E573-4012-9402-A955F48B572A}" uniqueName="13" name="Sudeste" queryTableFieldId="6" dataDxfId="190"/>
    <tableColumn id="14" xr3:uid="{C452B513-1889-4027-BB1F-EC0F68AAD9CA}" uniqueName="14" name="Sul" queryTableFieldId="7" dataDxfId="18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574435A-6822-46E5-9C4A-5F020F87EE63}" name="t_s_proximos_meses" displayName="t_s_proximos_meses" ref="A1:E19" tableType="queryTable" totalsRowShown="0" headerRowDxfId="188">
  <autoFilter ref="A1:E19" xr:uid="{3574435A-6822-46E5-9C4A-5F020F87EE63}"/>
  <tableColumns count="5">
    <tableColumn id="6" xr3:uid="{7BC2EE61-A561-4612-9429-985A7A121F96}" uniqueName="6" name="onda" queryTableFieldId="1" dataDxfId="187"/>
    <tableColumn id="7" xr3:uid="{374E5930-1270-4ADB-9606-A158A010799B}" uniqueName="7" name="data" queryTableFieldId="2" dataDxfId="186"/>
    <tableColumn id="8" xr3:uid="{8ADA4AAC-8E1D-4232-9E89-E1E12D61444C}" uniqueName="8" name="Não pretendem alterar seus investimentos em renda variável" queryTableFieldId="3" dataDxfId="185"/>
    <tableColumn id="9" xr3:uid="{3CC561D4-667A-4C60-A2D3-89243306943D}" uniqueName="9" name="Planejam diminuir a alocação em renda variável" queryTableFieldId="4" dataDxfId="184"/>
    <tableColumn id="10" xr3:uid="{A12A7CFD-9677-43B3-836B-ADF224C17FED}" uniqueName="10" name="Planejam aumentar a alocação em renda variável" queryTableFieldId="5" dataDxfId="18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6271D35-C1E4-47FD-9313-3EAF50502167}" name="t_s_pct_internacional" displayName="t_s_pct_internacional" ref="A1:G37" tableType="queryTable" totalsRowShown="0" headerRowDxfId="182">
  <autoFilter ref="A1:G37" xr:uid="{26271D35-C1E4-47FD-9313-3EAF50502167}"/>
  <tableColumns count="7">
    <tableColumn id="8" xr3:uid="{B2AE522F-510C-4EF3-81FB-88C501BEDD47}" uniqueName="8" name="onda" queryTableFieldId="1" dataDxfId="181"/>
    <tableColumn id="9" xr3:uid="{37CF5940-98B6-4745-9A5C-1A6EE44C3526}" uniqueName="9" name="data" queryTableFieldId="2" dataDxfId="180"/>
    <tableColumn id="10" xr3:uid="{D34BE731-3B72-437B-92DE-547266423325}" uniqueName="10" name="0% a 5%" queryTableFieldId="3" dataDxfId="179"/>
    <tableColumn id="11" xr3:uid="{1688526C-BDD5-48A5-BA43-855EDBD21E24}" uniqueName="11" name="5% a 10%" queryTableFieldId="4" dataDxfId="178"/>
    <tableColumn id="12" xr3:uid="{FD9D4C6B-197E-442C-AB55-426D138C28C4}" uniqueName="12" name="10% a 20%" queryTableFieldId="5" dataDxfId="177"/>
    <tableColumn id="13" xr3:uid="{66F04824-3337-4EEC-B6C6-A8F6CB2C4F5B}" uniqueName="13" name="20% a 50%" queryTableFieldId="6" dataDxfId="176"/>
    <tableColumn id="14" xr3:uid="{DDFD90DC-0B93-4F32-AC54-6AF7DF954F34}" uniqueName="14" name="Acima de 50%" queryTableFieldId="7" dataDxfId="17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E062FBB-EAB9-4654-AFA9-C4F7435066EA}" name="t_s_interesse_internacional" displayName="t_s_interesse_internacional" ref="A1:H37" tableType="queryTable" totalsRowShown="0" headerRowDxfId="174">
  <autoFilter ref="A1:H37" xr:uid="{2E062FBB-EAB9-4654-AFA9-C4F7435066EA}"/>
  <tableColumns count="8">
    <tableColumn id="10" xr3:uid="{F527E5F0-9860-4E56-B775-94AF62039F4B}" uniqueName="10" name="onda" queryTableFieldId="1" dataDxfId="173"/>
    <tableColumn id="11" xr3:uid="{338EF24A-3A0C-4611-A10B-1892AC409A64}" uniqueName="11" name="data" queryTableFieldId="2" dataDxfId="172"/>
    <tableColumn id="12" xr3:uid="{B41A1FF6-DCCC-4474-BD01-0175204F4A68}" uniqueName="12" name="Fundos Internacionais" queryTableFieldId="3" dataDxfId="171"/>
    <tableColumn id="13" xr3:uid="{7208F6D8-E285-46A7-9162-BF423B46E8BD}" uniqueName="13" name="Ações internacionais" queryTableFieldId="4" dataDxfId="170"/>
    <tableColumn id="14" xr3:uid="{D1307C50-0429-4FD7-AA91-C630F2ABCE8C}" uniqueName="14" name="ETFs" queryTableFieldId="5" dataDxfId="169"/>
    <tableColumn id="15" xr3:uid="{1F7F17AA-5CCC-43A1-893E-45A0EB8085F5}" uniqueName="15" name="Dólar" queryTableFieldId="6" dataDxfId="168"/>
    <tableColumn id="16" xr3:uid="{8E36B7B4-B1B3-4085-A817-10169A55E8BF}" uniqueName="16" name="Bonds" queryTableFieldId="7" dataDxfId="167"/>
    <tableColumn id="17" xr3:uid="{74101D0B-09F9-498B-975C-B736CC0AF392}" uniqueName="17" name="Não estão interessados por investimentos internacionais" queryTableFieldId="8" dataDxfId="1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7BD363C-5E60-49A8-9033-1EB4429AD6EE}" name="t_s_ibovespa_alvo" displayName="t_s_ibovespa_alvo" ref="A1:H5" tableType="queryTable" totalsRowShown="0" headerRowDxfId="165">
  <autoFilter ref="A1:H5" xr:uid="{17BD363C-5E60-49A8-9033-1EB4429AD6EE}"/>
  <tableColumns count="8">
    <tableColumn id="9" xr3:uid="{418FCEEF-F712-4F47-917A-4EF52D9EB46B}" uniqueName="9" name="onda" queryTableFieldId="1" dataDxfId="164"/>
    <tableColumn id="10" xr3:uid="{BFB89698-CC3A-4009-AF47-EBAC2748BBB2}" uniqueName="10" name="data" queryTableFieldId="2" dataDxfId="163"/>
    <tableColumn id="11" xr3:uid="{549A18C9-D814-4BFE-9BF5-3F1AEC17064C}" uniqueName="11" name="Abaixo de 150 mil pontos" queryTableFieldId="3" dataDxfId="162"/>
    <tableColumn id="12" xr3:uid="{6237F52F-1DFB-4EB8-9C50-269175ADF367}" uniqueName="12" name="Entre 150 mil e 170 mil pontos" queryTableFieldId="4" dataDxfId="161"/>
    <tableColumn id="13" xr3:uid="{E13A79AF-F9F2-4FC4-9FE4-C7570BAEC709}" uniqueName="13" name="Entre 170 mil e 190 mil pontos" queryTableFieldId="5" dataDxfId="160"/>
    <tableColumn id="14" xr3:uid="{9B025753-657A-4EC2-BD77-C40FAA1C477A}" uniqueName="14" name="Entre 190 e 200 mil pontos" queryTableFieldId="6" dataDxfId="159"/>
    <tableColumn id="15" xr3:uid="{58DDB582-681E-4272-B1F2-746A38B677E7}" uniqueName="15" name="Entre 200 e 210 mil pontos" queryTableFieldId="7" dataDxfId="158"/>
    <tableColumn id="16" xr3:uid="{4B01A474-CFA6-4AD6-B9DF-D991E230DB4D}" uniqueName="16" name="Acima de 210 mil pontos" queryTableFieldId="8" dataDxfId="15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63B26DD-D863-4758-9507-34F0DE192E34}" name="t_s_classes_ativos" displayName="t_s_classes_ativos" ref="A1:K37" tableType="queryTable" totalsRowShown="0" headerRowDxfId="156">
  <autoFilter ref="A1:K37" xr:uid="{D63B26DD-D863-4758-9507-34F0DE192E34}"/>
  <tableColumns count="11">
    <tableColumn id="13" xr3:uid="{3B4B46E8-7C72-4BCD-AC4C-2F6EF9063321}" uniqueName="13" name="onda" queryTableFieldId="1" dataDxfId="155"/>
    <tableColumn id="14" xr3:uid="{C03828A4-F293-47FE-9AF6-A23AA162DFA2}" uniqueName="14" name="data" queryTableFieldId="2" dataDxfId="154"/>
    <tableColumn id="15" xr3:uid="{2E15E929-A8DA-40C5-8D55-FAE56A64802E}" uniqueName="15" name="Ações" queryTableFieldId="3" dataDxfId="153"/>
    <tableColumn id="16" xr3:uid="{769CACE3-7730-4546-9CC1-45AF91E93078}" uniqueName="16" name="Fundos Imobiliários" queryTableFieldId="4" dataDxfId="152"/>
    <tableColumn id="17" xr3:uid="{2D7CF56E-87EF-4428-B801-BB0F25B34636}" uniqueName="17" name="Investimentos Internacionais (dólar, fundos, ETFs, etc)" queryTableFieldId="5" dataDxfId="151"/>
    <tableColumn id="18" xr3:uid="{B5A7D509-8956-4A9E-AC10-DE2714E5B1C1}" uniqueName="18" name="Fundos Multimercado" queryTableFieldId="6" dataDxfId="150"/>
    <tableColumn id="19" xr3:uid="{953323A0-EFA9-4589-B54B-48F512A972E2}" uniqueName="19" name="Fundos de Renda Variável" queryTableFieldId="7" dataDxfId="149"/>
    <tableColumn id="20" xr3:uid="{3E40AA34-5401-411C-837F-371BF02EDA76}" uniqueName="20" name="Ouro e commodities" queryTableFieldId="8" dataDxfId="148"/>
    <tableColumn id="21" xr3:uid="{08031A68-03F9-418C-A261-8D560A252AED}" uniqueName="21" name="Fundos de Renda Fixa" queryTableFieldId="9" dataDxfId="147"/>
    <tableColumn id="22" xr3:uid="{D9D72B26-2648-4750-93F5-A455B9597801}" uniqueName="22" name="Tesouro Direto e Renda Fixa" queryTableFieldId="10" dataDxfId="146"/>
    <tableColumn id="23" xr3:uid="{BE329E5B-C6F7-4DC5-A29E-0F65EAFEC419}" uniqueName="23" name="Criptoativos" queryTableFieldId="11" dataDxfId="14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C6A952-16F0-45AD-8667-26A873A50C23}" name="t_s_apetite_risco" displayName="t_s_apetite_risco" ref="A1:H33" tableType="queryTable" totalsRowShown="0" headerRowDxfId="144">
  <autoFilter ref="A1:H33" xr:uid="{7EC6A952-16F0-45AD-8667-26A873A50C23}"/>
  <tableColumns count="8">
    <tableColumn id="9" xr3:uid="{FB6D1C12-9139-4AB5-B729-F28E2C354A24}" uniqueName="9" name="onda" queryTableFieldId="1" dataDxfId="143"/>
    <tableColumn id="10" xr3:uid="{E9D2A886-F112-41DF-AC5A-DA2F4A33B284}" uniqueName="10" name="data" queryTableFieldId="2" dataDxfId="142"/>
    <tableColumn id="1" xr3:uid="{A4758716-46AF-4B58-BF9A-D80FD85BADAA}" uniqueName="1" name="Cortes de juros no Brasil" queryTableFieldId="9"/>
    <tableColumn id="12" xr3:uid="{C9E7F24A-2F38-455E-8F7F-937B5E22C40D}" uniqueName="12" name="Queda de juros nos EUA e no mundo" queryTableFieldId="4" dataDxfId="141"/>
    <tableColumn id="13" xr3:uid="{924AA61A-C78A-41BE-81DD-0D3F4D8BB1A7}" uniqueName="13" name="Mercado voltando a ter performance sólida" queryTableFieldId="5" dataDxfId="140"/>
    <tableColumn id="2" xr3:uid="{BC70C1E6-286C-4D3B-A355-68DAB381B40C}" uniqueName="2" name="Mudança de rumo na política econômica" queryTableFieldId="10"/>
    <tableColumn id="3" xr3:uid="{CCE927C3-C7BA-494D-A08C-B7166562294C}" uniqueName="3" name="Melhora na recuperação econômica global" queryTableFieldId="11"/>
    <tableColumn id="16" xr3:uid="{A72C881E-8EC3-485F-AE5C-638961FD6A87}" uniqueName="16" name="Outra" queryTableFieldId="8" dataDxfId="13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C3679BE-A6DC-4D78-8044-C5729DFD4BAD}" name="t_s_alocacao_rv" displayName="t_s_alocacao_rv" ref="A1:G19" tableType="queryTable" totalsRowShown="0" headerRowDxfId="138">
  <autoFilter ref="A1:G19" xr:uid="{5C3679BE-A6DC-4D78-8044-C5729DFD4BAD}"/>
  <tableColumns count="7">
    <tableColumn id="8" xr3:uid="{CB9CF7B5-B741-4801-B964-68997C36BAEF}" uniqueName="8" name="onda" queryTableFieldId="1" dataDxfId="137"/>
    <tableColumn id="9" xr3:uid="{4E805F5C-1B06-40DF-856D-EED7B856B469}" uniqueName="9" name="data" queryTableFieldId="2" dataDxfId="136"/>
    <tableColumn id="11" xr3:uid="{80E50D64-663E-4AD0-BCB8-5863E938C0A4}" uniqueName="11" name="0% a 10%" queryTableFieldId="4" dataDxfId="135"/>
    <tableColumn id="12" xr3:uid="{4B569DE1-C931-47FF-89C7-8E61734A2B43}" uniqueName="12" name="10% a 25%" queryTableFieldId="5" dataDxfId="134"/>
    <tableColumn id="10" xr3:uid="{DB0FC468-0A16-4E9D-8CD0-9CC3429AC04C}" uniqueName="10" name="25% a 50%" queryTableFieldId="3" dataDxfId="133"/>
    <tableColumn id="13" xr3:uid="{E0634547-97B0-42D5-88A8-D7FC65E9D6D5}" uniqueName="13" name="50% a 75%" queryTableFieldId="6" dataDxfId="132"/>
    <tableColumn id="14" xr3:uid="{D2987F3D-34BF-42BA-9F18-8BFDEAD5B699}" uniqueName="14" name="75% a 100%" queryTableFieldId="7" dataDxfId="1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BC322C7-08CB-414D-A8C5-CD607FBAD62F}" name="t_q_mes_5" displayName="t_q_mes_5" ref="A1:F2" tableType="queryTable" insertRow="1" totalsRowShown="0" headerRowDxfId="130">
  <autoFilter ref="A1:F2" xr:uid="{FBC322C7-08CB-414D-A8C5-CD607FBAD62F}"/>
  <tableColumns count="6">
    <tableColumn id="7" xr3:uid="{CA6CC70E-9FBA-42EA-B6B3-CEEAD3395D37}" uniqueName="7" name="ordem" queryTableFieldId="1"/>
    <tableColumn id="8" xr3:uid="{531F0BB6-C2AD-4D53-B847-548C969CF1BC}" uniqueName="8" name="pergunta" queryTableFieldId="2"/>
    <tableColumn id="9" xr3:uid="{41E6B623-FF0B-4087-951C-95CEE7BC5AB4}" uniqueName="9" name="rotulo_pt" queryTableFieldId="3"/>
    <tableColumn id="10" xr3:uid="{87EBE4EE-7B36-40B1-86E1-34D536381320}" uniqueName="10" name="rotulo_en" queryTableFieldId="4"/>
    <tableColumn id="11" xr3:uid="{DECAEBE0-7692-4082-AC74-C736DF29E0E7}" uniqueName="11" name="pct" queryTableFieldId="5"/>
    <tableColumn id="12" xr3:uid="{31B2528E-EE2A-427F-AE23-2F4B1C82EC70}" uniqueName="12" name="qtd" queryTableFieldId="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6EC05A-EAAD-45A3-ABDF-F3801CF5903F}" name="t_q_mes_4" displayName="t_q_mes_4" ref="A1:F2" tableType="queryTable" insertRow="1" totalsRowShown="0" headerRowDxfId="129">
  <autoFilter ref="A1:F2" xr:uid="{0C6EC05A-EAAD-45A3-ABDF-F3801CF5903F}"/>
  <tableColumns count="6">
    <tableColumn id="7" xr3:uid="{93107B67-3791-4F61-8243-8A381A6847B2}" uniqueName="7" name="ordem" queryTableFieldId="1"/>
    <tableColumn id="8" xr3:uid="{235648D5-0BDC-4428-BDC3-E1F4677A8E90}" uniqueName="8" name="pergunta" queryTableFieldId="2"/>
    <tableColumn id="9" xr3:uid="{876A2436-AF3C-4AFB-AEDD-17BD837D1F60}" uniqueName="9" name="rotulo_pt" queryTableFieldId="3"/>
    <tableColumn id="10" xr3:uid="{15A6F85B-E329-495A-8FF8-E7E5648CB043}" uniqueName="10" name="rotulo_en" queryTableFieldId="4"/>
    <tableColumn id="11" xr3:uid="{8736943D-CE9D-4F88-9DF2-4A290868A61A}" uniqueName="11" name="pct" queryTableFieldId="5"/>
    <tableColumn id="12" xr3:uid="{DF7824A7-4129-47E5-AFDD-DED5F97441F8}" uniqueName="12" name="qtd" queryTableField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51E7FB9-4EAE-412F-B81F-709B9835CFCA}" name="t_q_mes_3" displayName="t_q_mes_3" ref="A1:F2" tableType="queryTable" insertRow="1" totalsRowShown="0" headerRowDxfId="128">
  <autoFilter ref="A1:F2" xr:uid="{C51E7FB9-4EAE-412F-B81F-709B9835CFCA}"/>
  <tableColumns count="6">
    <tableColumn id="7" xr3:uid="{A8EB1951-6A58-4CC2-82EF-730D658ECA6C}" uniqueName="7" name="ordem" queryTableFieldId="1"/>
    <tableColumn id="8" xr3:uid="{2525EF3F-5A37-4C18-9C3C-F4B71C697B15}" uniqueName="8" name="pergunta" queryTableFieldId="2"/>
    <tableColumn id="9" xr3:uid="{51096B35-4B65-4D26-9745-6B874BF4D534}" uniqueName="9" name="rotulo_pt" queryTableFieldId="3"/>
    <tableColumn id="10" xr3:uid="{FF043DDE-C577-4BFC-917C-F2BA4C2154D4}" uniqueName="10" name="rotulo_en" queryTableFieldId="4"/>
    <tableColumn id="11" xr3:uid="{52B50C23-3E58-48C5-ADD7-7E31E1985212}" uniqueName="11" name="pct" queryTableFieldId="5"/>
    <tableColumn id="12" xr3:uid="{50237E1F-8439-44DD-91F7-25CCD550A55B}" uniqueName="12" name="qtd" queryTableFieldId="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A96FFA-F4E4-4177-9A8D-3CF396DEB598}" name="t_q_mes_2" displayName="t_q_mes_2" ref="A1:F2" tableType="queryTable" insertRow="1" totalsRowShown="0" headerRowDxfId="127">
  <autoFilter ref="A1:F2" xr:uid="{AFA96FFA-F4E4-4177-9A8D-3CF396DEB598}"/>
  <tableColumns count="6">
    <tableColumn id="7" xr3:uid="{9B8A2CAE-91C5-4E5C-9CE5-148026C997F6}" uniqueName="7" name="ordem" queryTableFieldId="1"/>
    <tableColumn id="8" xr3:uid="{AA5B8500-E90C-4743-B0FE-7E18795F94A1}" uniqueName="8" name="pergunta" queryTableFieldId="2"/>
    <tableColumn id="9" xr3:uid="{281D0CC2-EF91-4560-9409-CF6B04C4DFC4}" uniqueName="9" name="rotulo_pt" queryTableFieldId="3"/>
    <tableColumn id="10" xr3:uid="{5E05CAFE-92F2-4503-A94C-796B69044C4D}" uniqueName="10" name="rotulo_en" queryTableFieldId="4"/>
    <tableColumn id="11" xr3:uid="{9476C390-FE95-4E26-A828-7D306704508F}" uniqueName="11" name="pct" queryTableFieldId="5"/>
    <tableColumn id="12" xr3:uid="{1D68E3A1-8744-4E05-854A-12D017528A93}" uniqueName="12" name="qtd" queryTableFieldId="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DB90A6C-5E01-4631-8FDC-7F48FCEB9484}" name="t_q_mes_1" displayName="t_q_mes_1" ref="A1:F6" tableType="queryTable" totalsRowShown="0" headerRowDxfId="126">
  <autoFilter ref="A1:F6" xr:uid="{7DB90A6C-5E01-4631-8FDC-7F48FCEB9484}"/>
  <tableColumns count="6">
    <tableColumn id="7" xr3:uid="{F2A2A2AF-34C7-42C9-B1A4-349859367B0B}" uniqueName="7" name="ordem" queryTableFieldId="1" dataDxfId="125"/>
    <tableColumn id="8" xr3:uid="{E1099B3C-7A87-43AF-93B6-4715FB3EA8CB}" uniqueName="8" name="pergunta" queryTableFieldId="2" dataDxfId="124"/>
    <tableColumn id="9" xr3:uid="{47938EB2-83F7-4007-8D0B-008C6EF865CD}" uniqueName="9" name="rotulo_pt" queryTableFieldId="3" dataDxfId="123"/>
    <tableColumn id="10" xr3:uid="{5F0DCCD8-2086-49E0-9188-35E0A27EE939}" uniqueName="10" name="rotulo_en" queryTableFieldId="4" dataDxfId="122"/>
    <tableColumn id="11" xr3:uid="{68FD4D58-9084-4BB5-AA89-033D9AE2969F}" uniqueName="11" name="pct" queryTableFieldId="5" dataDxfId="121"/>
    <tableColumn id="12" xr3:uid="{505C1688-7780-46EA-9A4E-B037C661AAB2}" uniqueName="12" name="qtd" queryTableFieldId="6" dataDxfId="12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4AC0A01-AB9E-4147-A2EC-01A09B088FC8}" name="t_q_mes" displayName="t_q_mes" ref="A1:G6" tableType="queryTable" totalsRowShown="0" headerRowDxfId="119">
  <autoFilter ref="A1:G6" xr:uid="{F4AC0A01-AB9E-4147-A2EC-01A09B088FC8}"/>
  <tableColumns count="7">
    <tableColumn id="8" xr3:uid="{788E2BCE-301C-42E2-8169-7E873387EA12}" uniqueName="8" name="ordem" queryTableFieldId="1" dataDxfId="118"/>
    <tableColumn id="9" xr3:uid="{48EF7C31-F659-4AC9-9B21-A71C49579039}" uniqueName="9" name="pergunta" queryTableFieldId="2" dataDxfId="117"/>
    <tableColumn id="10" xr3:uid="{194E5A6D-5BF4-4642-977C-91D1F0FDD121}" uniqueName="10" name="rotulo_pt" queryTableFieldId="3" dataDxfId="116"/>
    <tableColumn id="11" xr3:uid="{DC6E9D2A-329B-4E52-A623-3F3305FCF6E4}" uniqueName="11" name="rotulo_en" queryTableFieldId="4" dataDxfId="115"/>
    <tableColumn id="12" xr3:uid="{B111A14B-7FB6-4ED7-9937-5126B964A2F4}" uniqueName="12" name="pct" queryTableFieldId="5" dataDxfId="114"/>
    <tableColumn id="13" xr3:uid="{2016A7FB-BBE2-4D9D-8B6A-82B9A0932F0F}" uniqueName="13" name="qtd" queryTableFieldId="6" dataDxfId="113"/>
    <tableColumn id="14" xr3:uid="{65CA3906-4B8E-49AF-986D-E34FBAFF7601}" uniqueName="14" name="slot" queryTableFieldId="7" dataDxfId="1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4403B3-3B41-480C-AF4E-1E85E7B7619D}" name="t_meta" displayName="t_meta" ref="A1:D77" tableType="queryTable" totalsRowShown="0" headerRowDxfId="111">
  <autoFilter ref="A1:D77" xr:uid="{F44403B3-3B41-480C-AF4E-1E85E7B7619D}"/>
  <tableColumns count="4">
    <tableColumn id="5" xr3:uid="{5ACDAC8A-F36F-4D0C-8E4B-5246D439963F}" uniqueName="5" name="onda" queryTableFieldId="1" dataDxfId="110"/>
    <tableColumn id="6" xr3:uid="{4F4D850B-4352-42EB-88FB-126FBF6CCD4C}" uniqueName="6" name="data" queryTableFieldId="2" dataDxfId="109"/>
    <tableColumn id="7" xr3:uid="{1AABDD57-B391-4028-AAE3-15F252D2D5E0}" uniqueName="7" name="respondentes" queryTableFieldId="3" dataDxfId="108"/>
    <tableColumn id="8" xr3:uid="{ED47BDA4-C649-4F4F-A876-A979F27F9B26}" uniqueName="8" name="regime" queryTableFieldId="4" dataDxfId="10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DE3E2-BD36-4778-A6D4-E61EDA6DC91E}" name="t_medias" displayName="t_medias" ref="A1:E37" tableType="queryTable" totalsRowShown="0" headerRowDxfId="106">
  <autoFilter ref="A1:E37" xr:uid="{80FDE3E2-BD36-4778-A6D4-E61EDA6DC91E}"/>
  <tableColumns count="5">
    <tableColumn id="6" xr3:uid="{ED782D89-D516-4610-8C38-174013B69ED0}" uniqueName="6" name="onda" queryTableFieldId="1" dataDxfId="105"/>
    <tableColumn id="7" xr3:uid="{3276139B-09D2-4972-ACFE-7AC89A189E21}" uniqueName="7" name="data" queryTableFieldId="2" dataDxfId="104"/>
    <tableColumn id="8" xr3:uid="{78646E91-D2E5-4F14-B4EF-F495ED76E1C0}" uniqueName="8" name="sentimento_media" queryTableFieldId="3" dataDxfId="103"/>
    <tableColumn id="9" xr3:uid="{206EC57A-3D1F-40AC-91AC-BD28145000D6}" uniqueName="9" name="ibovespa_media" queryTableFieldId="4" dataDxfId="102"/>
    <tableColumn id="10" xr3:uid="{DD07BB88-44D3-48E1-BE59-C3DB6B95460B}" uniqueName="10" name="respondentes" queryTableFieldId="5" dataDxfId="10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5DE8F6-61CB-4747-9D15-2E797E3FD562}" name="t_d_setores" displayName="t_d_setores" ref="A1:G16" tableType="queryTable" totalsRowShown="0" headerRowDxfId="100">
  <autoFilter ref="A1:G16" xr:uid="{9E5DE8F6-61CB-4747-9D15-2E797E3FD562}"/>
  <tableColumns count="7">
    <tableColumn id="8" xr3:uid="{486F617B-A2D5-4E22-96B3-2DCE64768A6B}" uniqueName="8" name="ordem" queryTableFieldId="1" dataDxfId="99"/>
    <tableColumn id="9" xr3:uid="{27138653-0523-415E-9475-D6E7AE88A481}" uniqueName="9" name="alternativa_id" queryTableFieldId="2" dataDxfId="98"/>
    <tableColumn id="10" xr3:uid="{5A8FD9CA-B02A-4767-868B-9B63BB329C12}" uniqueName="10" name="rotulo_pt" queryTableFieldId="3" dataDxfId="97"/>
    <tableColumn id="11" xr3:uid="{EAC2704E-C19B-439F-8246-C5F54D25E3D7}" uniqueName="11" name="rotulo_en" queryTableFieldId="4" dataDxfId="96"/>
    <tableColumn id="12" xr3:uid="{E318FB1F-58B2-455F-AF5C-9125B28CFA3B}" uniqueName="12" name="atual" queryTableFieldId="5" dataDxfId="95"/>
    <tableColumn id="13" xr3:uid="{035AFA9D-D797-4D28-AE84-5DCA47AF3121}" uniqueName="13" name="anterior" queryTableFieldId="6" dataDxfId="94"/>
    <tableColumn id="14" xr3:uid="{3EC8E0B1-6491-434C-8B62-66F2CD82E766}" uniqueName="14" name="delta" queryTableFieldId="7" dataDxfId="9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FF26CD-02A0-453E-89F7-BADEE5D9FE67}" name="t_d_sentimento" displayName="t_d_sentimento" ref="A1:G12" tableType="queryTable" totalsRowShown="0" headerRowDxfId="92">
  <autoFilter ref="A1:G12" xr:uid="{D9FF26CD-02A0-453E-89F7-BADEE5D9FE67}"/>
  <tableColumns count="7">
    <tableColumn id="8" xr3:uid="{B4821EA4-7DFA-4BD6-971B-2D8B5A63CBC7}" uniqueName="8" name="ordem" queryTableFieldId="1" dataDxfId="91"/>
    <tableColumn id="9" xr3:uid="{FA9FB9C2-BE47-49A1-9E14-84431562A353}" uniqueName="9" name="alternativa_id" queryTableFieldId="2" dataDxfId="90"/>
    <tableColumn id="10" xr3:uid="{F4710766-0D27-412C-A9E0-E7E6CECB914C}" uniqueName="10" name="rotulo_pt" queryTableFieldId="3" dataDxfId="89"/>
    <tableColumn id="11" xr3:uid="{0063F38B-DBFB-4A15-8D2C-7943AB4CFC9F}" uniqueName="11" name="rotulo_en" queryTableFieldId="4" dataDxfId="88"/>
    <tableColumn id="12" xr3:uid="{BCF3C8F0-D561-4A95-BB0A-7813864D5E5F}" uniqueName="12" name="atual" queryTableFieldId="5" dataDxfId="87"/>
    <tableColumn id="13" xr3:uid="{309951D4-90A3-4768-B7A3-B5FF2D554048}" uniqueName="13" name="anterior" queryTableFieldId="6" dataDxfId="86"/>
    <tableColumn id="14" xr3:uid="{A9FD2472-4099-4103-A91E-7E73A66D1882}" uniqueName="14" name="delta" queryTableFieldId="7" dataDxfId="8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065019-9618-463F-906D-E33BDFCE5392}" name="t_d_riscos_bolsa" displayName="t_d_riscos_bolsa" ref="A1:G10" tableType="queryTable" totalsRowShown="0" headerRowDxfId="84">
  <autoFilter ref="A1:G10" xr:uid="{22065019-9618-463F-906D-E33BDFCE5392}"/>
  <tableColumns count="7">
    <tableColumn id="8" xr3:uid="{F0EC22DA-7DAC-498C-B4FE-7134773DAEDB}" uniqueName="8" name="ordem" queryTableFieldId="1" dataDxfId="83"/>
    <tableColumn id="9" xr3:uid="{42430BBF-CD68-4BC7-8221-C5EE489D4397}" uniqueName="9" name="alternativa_id" queryTableFieldId="2" dataDxfId="82"/>
    <tableColumn id="10" xr3:uid="{786574DC-271E-46A5-BDDD-C71AA88AC38B}" uniqueName="10" name="rotulo_pt" queryTableFieldId="3" dataDxfId="81"/>
    <tableColumn id="11" xr3:uid="{A5806E93-06DE-463B-B8B4-5D2D0B1D810A}" uniqueName="11" name="rotulo_en" queryTableFieldId="4" dataDxfId="80"/>
    <tableColumn id="12" xr3:uid="{47DF9329-F22A-4702-9D8D-260FBE1ECD7A}" uniqueName="12" name="atual" queryTableFieldId="5" dataDxfId="79"/>
    <tableColumn id="13" xr3:uid="{5A6032DD-DF20-472F-B73D-59943346B043}" uniqueName="13" name="anterior" queryTableFieldId="6" dataDxfId="78"/>
    <tableColumn id="14" xr3:uid="{156FC634-A9F3-4AC2-ABDC-896BD9C33098}" uniqueName="14" name="delta" queryTableFieldId="7" dataDxfId="7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44479A-649B-4F21-B8A7-8D4F3F23F442}" name="t_d_regiao" displayName="t_d_regiao" ref="A1:G6" tableType="queryTable" totalsRowShown="0" headerRowDxfId="76">
  <autoFilter ref="A1:G6" xr:uid="{7C44479A-649B-4F21-B8A7-8D4F3F23F442}"/>
  <tableColumns count="7">
    <tableColumn id="8" xr3:uid="{F304C0B4-0853-49B7-A5B3-F50C6575CBD7}" uniqueName="8" name="ordem" queryTableFieldId="1" dataDxfId="75"/>
    <tableColumn id="9" xr3:uid="{ECAF8B3A-FFB2-4D01-BABF-378F7D044A4F}" uniqueName="9" name="alternativa_id" queryTableFieldId="2" dataDxfId="74"/>
    <tableColumn id="10" xr3:uid="{2608EF5A-40EC-44FB-9A68-A63F6F7AF332}" uniqueName="10" name="rotulo_pt" queryTableFieldId="3" dataDxfId="73"/>
    <tableColumn id="11" xr3:uid="{27A4AC89-DC51-495F-8218-08935462286F}" uniqueName="11" name="rotulo_en" queryTableFieldId="4" dataDxfId="72"/>
    <tableColumn id="12" xr3:uid="{7DF4F0E0-F0DE-4DFF-A1D2-E4CAC728D07C}" uniqueName="12" name="atual" queryTableFieldId="5" dataDxfId="71"/>
    <tableColumn id="13" xr3:uid="{86965A52-B698-428C-8C35-23D5531C2F81}" uniqueName="13" name="anterior" queryTableFieldId="6" dataDxfId="70"/>
    <tableColumn id="14" xr3:uid="{2CA0F758-3A65-4999-9428-0A3B755DC735}" uniqueName="14" name="delta" queryTableFieldId="7" dataDxfId="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91AF8A-878F-424B-893B-4CA63BB916EA}" name="t_d_proximos_meses" displayName="t_d_proximos_meses" ref="A1:G4" tableType="queryTable" totalsRowShown="0" headerRowDxfId="68">
  <autoFilter ref="A1:G4" xr:uid="{1E91AF8A-878F-424B-893B-4CA63BB916EA}"/>
  <tableColumns count="7">
    <tableColumn id="8" xr3:uid="{8790FB79-4BF5-4370-BFC6-4D92062C5CCF}" uniqueName="8" name="ordem" queryTableFieldId="1" dataDxfId="67"/>
    <tableColumn id="9" xr3:uid="{843A1FCD-551A-42A6-B3FB-F2DCE887DBAA}" uniqueName="9" name="alternativa_id" queryTableFieldId="2" dataDxfId="66"/>
    <tableColumn id="10" xr3:uid="{B220BA7C-AE2F-4EC0-84E9-EF1D8CE91239}" uniqueName="10" name="rotulo_pt" queryTableFieldId="3" dataDxfId="65"/>
    <tableColumn id="11" xr3:uid="{36B48E7E-431E-4774-8128-3EB87BFF6AC3}" uniqueName="11" name="rotulo_en" queryTableFieldId="4" dataDxfId="64"/>
    <tableColumn id="12" xr3:uid="{EF39DF9F-D91B-410D-93BB-1C807304C060}" uniqueName="12" name="atual" queryTableFieldId="5" dataDxfId="63"/>
    <tableColumn id="13" xr3:uid="{83299D07-BAE8-4D06-9BE8-194A09684FDE}" uniqueName="13" name="anterior" queryTableFieldId="6" dataDxfId="62"/>
    <tableColumn id="14" xr3:uid="{30D777B9-BF43-4E1B-A13C-1068A0FE066E}" uniqueName="14" name="delta" queryTableFieldId="7" dataDxfId="6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852417-D226-4F0B-9E66-83B94F884C2E}" name="t_d_pct_internacional" displayName="t_d_pct_internacional" ref="A1:G6" tableType="queryTable" totalsRowShown="0" headerRowDxfId="60">
  <autoFilter ref="A1:G6" xr:uid="{3C852417-D226-4F0B-9E66-83B94F884C2E}"/>
  <tableColumns count="7">
    <tableColumn id="8" xr3:uid="{3F356FA8-5FB7-4318-A5AA-66C9EB8EE4FE}" uniqueName="8" name="ordem" queryTableFieldId="1" dataDxfId="59"/>
    <tableColumn id="9" xr3:uid="{382914EB-ED67-4C70-8E8D-395161A5A11B}" uniqueName="9" name="alternativa_id" queryTableFieldId="2" dataDxfId="58"/>
    <tableColumn id="10" xr3:uid="{A9533052-DFBB-477B-B309-3C7310B4CD03}" uniqueName="10" name="rotulo_pt" queryTableFieldId="3" dataDxfId="57"/>
    <tableColumn id="11" xr3:uid="{80169EED-A334-4751-8132-3F77C684124D}" uniqueName="11" name="rotulo_en" queryTableFieldId="4" dataDxfId="56"/>
    <tableColumn id="12" xr3:uid="{FA24674A-9471-4E40-ADA6-2DB67A06F7A4}" uniqueName="12" name="atual" queryTableFieldId="5" dataDxfId="55"/>
    <tableColumn id="13" xr3:uid="{451A1E5C-62BA-49A3-A446-C1395A7F684C}" uniqueName="13" name="anterior" queryTableFieldId="6" dataDxfId="54"/>
    <tableColumn id="14" xr3:uid="{B7B300BE-5B93-46E7-AB6A-25D581D6C1C6}" uniqueName="14" name="delta" queryTableFieldId="7" dataDxfId="5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EAE423-A68C-4546-BEBA-2B735F20B0C8}" name="t_d_interesse_internacional" displayName="t_d_interesse_internacional" ref="A1:G7" tableType="queryTable" totalsRowShown="0" headerRowDxfId="52">
  <autoFilter ref="A1:G7" xr:uid="{52EAE423-A68C-4546-BEBA-2B735F20B0C8}"/>
  <tableColumns count="7">
    <tableColumn id="8" xr3:uid="{2FB7DC50-C9F5-4823-B6BE-9D0182FA60D7}" uniqueName="8" name="ordem" queryTableFieldId="1" dataDxfId="51"/>
    <tableColumn id="9" xr3:uid="{BC9ADF0C-501B-4323-BF77-2F335091E6E1}" uniqueName="9" name="alternativa_id" queryTableFieldId="2" dataDxfId="50"/>
    <tableColumn id="10" xr3:uid="{74AA1AB0-C695-4096-B0BB-77113FA915CA}" uniqueName="10" name="rotulo_pt" queryTableFieldId="3" dataDxfId="49"/>
    <tableColumn id="11" xr3:uid="{3732A38B-9D61-44EF-A2AA-AFCC758408B0}" uniqueName="11" name="rotulo_en" queryTableFieldId="4" dataDxfId="48"/>
    <tableColumn id="12" xr3:uid="{15F79A52-9AD6-4B21-A465-A1DEFA17AD88}" uniqueName="12" name="atual" queryTableFieldId="5" dataDxfId="47"/>
    <tableColumn id="13" xr3:uid="{7842CFA7-C10C-4698-987E-E7591100C0B5}" uniqueName="13" name="anterior" queryTableFieldId="6" dataDxfId="46"/>
    <tableColumn id="14" xr3:uid="{FF9DECC6-9E51-40CE-B9DC-04060415CEA3}" uniqueName="14" name="delta" queryTableFieldId="7" dataDxfId="4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F31BF5-E155-4C00-8B11-BD125A81E976}" name="t_d_ibovespa_alvo" displayName="t_d_ibovespa_alvo" ref="A1:G7" tableType="queryTable" totalsRowShown="0" headerRowDxfId="44">
  <autoFilter ref="A1:G7" xr:uid="{79F31BF5-E155-4C00-8B11-BD125A81E976}"/>
  <tableColumns count="7">
    <tableColumn id="8" xr3:uid="{F0D74A66-DA0E-427C-9CA7-46136DC5B530}" uniqueName="8" name="ordem" queryTableFieldId="1" dataDxfId="43"/>
    <tableColumn id="9" xr3:uid="{881D40C4-6AFA-43D0-9189-510436BDF252}" uniqueName="9" name="alternativa_id" queryTableFieldId="2" dataDxfId="42"/>
    <tableColumn id="10" xr3:uid="{B30DD3A8-D589-441A-BC5B-E4F7069B96FB}" uniqueName="10" name="rotulo_pt" queryTableFieldId="3" dataDxfId="41"/>
    <tableColumn id="11" xr3:uid="{A5DD426C-8576-42BC-B60D-B5D480687BD4}" uniqueName="11" name="rotulo_en" queryTableFieldId="4" dataDxfId="40"/>
    <tableColumn id="12" xr3:uid="{059CF884-3112-4283-BBE6-93FCE3A23582}" uniqueName="12" name="atual" queryTableFieldId="5" dataDxfId="39"/>
    <tableColumn id="13" xr3:uid="{11F41BD7-CF71-4E35-94C8-C5DE2EE69AB4}" uniqueName="13" name="anterior" queryTableFieldId="6" dataDxfId="38"/>
    <tableColumn id="14" xr3:uid="{C1EA803A-EA6B-4D7A-B471-D95902F952D6}" uniqueName="14" name="delta" queryTableFieldId="7" dataDxfId="3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23E06-C295-4F07-ADC2-99E3C9A2A333}" name="t_d_classes_ativos" displayName="t_d_classes_ativos" ref="A1:G10" tableType="queryTable" totalsRowShown="0" headerRowDxfId="36">
  <autoFilter ref="A1:G10" xr:uid="{C8423E06-C295-4F07-ADC2-99E3C9A2A333}"/>
  <tableColumns count="7">
    <tableColumn id="8" xr3:uid="{4D53DC93-1C07-436F-884C-79984BB4ECF4}" uniqueName="8" name="ordem" queryTableFieldId="1" dataDxfId="35"/>
    <tableColumn id="9" xr3:uid="{482F851A-C93F-48AA-B6E0-422DEEA6EC0C}" uniqueName="9" name="alternativa_id" queryTableFieldId="2" dataDxfId="34"/>
    <tableColumn id="10" xr3:uid="{20452733-DD7C-48BC-BEB1-8AFA3C101FD0}" uniqueName="10" name="rotulo_pt" queryTableFieldId="3" dataDxfId="33"/>
    <tableColumn id="11" xr3:uid="{B74A8065-F8EF-43BC-9742-A6FECAD74A4A}" uniqueName="11" name="rotulo_en" queryTableFieldId="4" dataDxfId="32"/>
    <tableColumn id="12" xr3:uid="{476E043C-C132-49AF-9582-1F9F166B1F9A}" uniqueName="12" name="atual" queryTableFieldId="5" dataDxfId="31"/>
    <tableColumn id="13" xr3:uid="{AF09DC58-5A5B-4F9D-81FB-011E31A9AF4F}" uniqueName="13" name="anterior" queryTableFieldId="6" dataDxfId="30"/>
    <tableColumn id="14" xr3:uid="{7B0AB857-683C-4DE0-A7EF-A17C1676AA3D}" uniqueName="14" name="delta" queryTableFieldId="7" dataDxfId="2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431B2-59DE-46E1-A4D5-871E02142211}" name="t_d_apetite_risco" displayName="t_d_apetite_risco" ref="A1:G7" tableType="queryTable" totalsRowShown="0" headerRowDxfId="28">
  <autoFilter ref="A1:G7" xr:uid="{018431B2-59DE-46E1-A4D5-871E02142211}"/>
  <tableColumns count="7">
    <tableColumn id="8" xr3:uid="{BA2ACCF5-63D9-437C-8525-AEA064BBD4A3}" uniqueName="8" name="ordem" queryTableFieldId="1" dataDxfId="27"/>
    <tableColumn id="9" xr3:uid="{8D63635E-0072-4D46-B125-EDBE84C74DEB}" uniqueName="9" name="alternativa_id" queryTableFieldId="2" dataDxfId="26"/>
    <tableColumn id="10" xr3:uid="{699066F5-E0AE-4524-B869-2C6171F67C62}" uniqueName="10" name="rotulo_pt" queryTableFieldId="3" dataDxfId="25"/>
    <tableColumn id="11" xr3:uid="{EEACF573-A3A4-4F49-879F-6BAFF562C6B7}" uniqueName="11" name="rotulo_en" queryTableFieldId="4" dataDxfId="24"/>
    <tableColumn id="12" xr3:uid="{4E8D40F1-223F-4BB6-9248-EA72A7CFEEAB}" uniqueName="12" name="atual" queryTableFieldId="5" dataDxfId="23"/>
    <tableColumn id="13" xr3:uid="{504742A5-2100-4D47-A30A-BBC7650FFAD9}" uniqueName="13" name="anterior" queryTableFieldId="6" dataDxfId="22"/>
    <tableColumn id="14" xr3:uid="{CC05D8FA-5537-4B11-B4F1-B5BDDB58465C}" uniqueName="14" name="delta" queryTableFieldId="7" dataDxfId="2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83146B-0942-4B33-A286-1D7BEAF370DE}" name="t_d_alocacao_rv" displayName="t_d_alocacao_rv" ref="A1:G6" tableType="queryTable" totalsRowShown="0" headerRowDxfId="20">
  <autoFilter ref="A1:G6" xr:uid="{D483146B-0942-4B33-A286-1D7BEAF370DE}"/>
  <tableColumns count="7">
    <tableColumn id="8" xr3:uid="{5C4ABB21-B936-4F3D-836F-819477464F91}" uniqueName="8" name="ordem" queryTableFieldId="1" dataDxfId="19"/>
    <tableColumn id="9" xr3:uid="{2C6A60BB-1FDB-46F7-A08D-75F204D37367}" uniqueName="9" name="alternativa_id" queryTableFieldId="2" dataDxfId="18"/>
    <tableColumn id="10" xr3:uid="{05691518-BBCE-444D-BEEF-CA82BBEC6AA0}" uniqueName="10" name="rotulo_pt" queryTableFieldId="3" dataDxfId="17"/>
    <tableColumn id="11" xr3:uid="{3F9B39CB-9FFE-4E0F-9366-7B1C2430271E}" uniqueName="11" name="rotulo_en" queryTableFieldId="4" dataDxfId="16"/>
    <tableColumn id="12" xr3:uid="{95DE4A5B-36CE-405F-8555-E6A04B84917A}" uniqueName="12" name="atual" queryTableFieldId="5" dataDxfId="15"/>
    <tableColumn id="13" xr3:uid="{6D52FF6F-2795-44F8-BBF8-73C7EC53446C}" uniqueName="13" name="anterior" queryTableFieldId="6" dataDxfId="14"/>
    <tableColumn id="14" xr3:uid="{942D49B2-D3C4-4486-BEAF-3536A6D5FA81}" uniqueName="14" name="delta" queryTableFieldId="7" dataDxfId="1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83D5F7-0B0F-45F1-8C8A-5C49C4F69763}" name="t_corrente" displayName="t_corrente" ref="A1:E2" tableType="queryTable" totalsRowShown="0" headerRowDxfId="12">
  <autoFilter ref="A1:E2" xr:uid="{EB83D5F7-0B0F-45F1-8C8A-5C49C4F69763}"/>
  <tableColumns count="5">
    <tableColumn id="6" xr3:uid="{A39967CE-8520-4155-B2B0-4D1F1C72F780}" uniqueName="6" name="onda" queryTableFieldId="1" dataDxfId="11"/>
    <tableColumn id="7" xr3:uid="{BF94EA3B-4FDF-4566-BD25-2F25146967C6}" uniqueName="7" name="data" queryTableFieldId="2" dataDxfId="10"/>
    <tableColumn id="8" xr3:uid="{E8BF1C16-16BE-4C58-9FC5-FE4BD77FDA2A}" uniqueName="8" name="respondentes" queryTableFieldId="3" dataDxfId="9"/>
    <tableColumn id="9" xr3:uid="{91B7D200-AFBC-4369-901F-B88DF6BE5A38}" uniqueName="9" name="mes_pt" queryTableFieldId="4" dataDxfId="8"/>
    <tableColumn id="10" xr3:uid="{63D06291-8AD0-4199-B16C-27687E1165C3}" uniqueName="10" name="mes_en" queryTableFieldId="5" dataDxfId="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E54A-C18F-4E65-9CAE-0D0B7ADDA61D}" name="t_capa" displayName="t_capa" ref="A1:F37" tableType="queryTable" totalsRowShown="0" headerRowDxfId="6">
  <autoFilter ref="A1:F37" xr:uid="{BDF3E54A-C18F-4E65-9CAE-0D0B7ADDA61D}"/>
  <tableColumns count="6">
    <tableColumn id="7" xr3:uid="{1DC4C918-EB47-492E-A7F0-879938EEB2C0}" uniqueName="7" name="onda" queryTableFieldId="1" dataDxfId="5"/>
    <tableColumn id="8" xr3:uid="{EA4E8E0D-A3D3-4F2E-A511-AB52EA14BDF4}" uniqueName="8" name="data" queryTableFieldId="2" dataDxfId="4"/>
    <tableColumn id="9" xr3:uid="{52956D4B-86AF-44E5-A893-8C22EBCF6428}" uniqueName="9" name="Não pretendem alterar seus investimentos em renda variável" queryTableFieldId="3" dataDxfId="3"/>
    <tableColumn id="10" xr3:uid="{A3467B52-660E-4517-95AA-271EF5F72072}" uniqueName="10" name="Planejam diminuir a alocação em renda variável" queryTableFieldId="4" dataDxfId="2"/>
    <tableColumn id="11" xr3:uid="{8CC6B412-A3CF-4C80-BF05-CB80B46F513A}" uniqueName="11" name="Planejam aumentar a alocação em renda variável" queryTableFieldId="5" dataDxfId="1"/>
    <tableColumn id="12" xr3:uid="{CEF6B5CA-3CA8-42CE-BD5D-1A7FB458A453}" uniqueName="12" name="ibovespa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1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1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4806-5FCD-4BFA-88BC-BD1854984838}">
  <dimension ref="A1:Q37"/>
  <sheetViews>
    <sheetView tabSelected="1"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7.21875" bestFit="1" customWidth="1"/>
    <col min="4" max="4" width="16.109375" bestFit="1" customWidth="1"/>
    <col min="5" max="5" width="11.33203125" bestFit="1" customWidth="1"/>
    <col min="6" max="6" width="11.88671875" bestFit="1" customWidth="1"/>
    <col min="7" max="7" width="20.77734375" bestFit="1" customWidth="1"/>
    <col min="8" max="8" width="8.44140625" bestFit="1" customWidth="1"/>
    <col min="9" max="9" width="23.21875" bestFit="1" customWidth="1"/>
    <col min="10" max="10" width="15.77734375" bestFit="1" customWidth="1"/>
    <col min="11" max="11" width="17.33203125" bestFit="1" customWidth="1"/>
    <col min="12" max="12" width="12.21875" bestFit="1" customWidth="1"/>
    <col min="13" max="13" width="8.77734375" bestFit="1" customWidth="1"/>
    <col min="14" max="14" width="36.109375" bestFit="1" customWidth="1"/>
    <col min="15" max="15" width="23.33203125" bestFit="1" customWidth="1"/>
    <col min="16" max="16" width="13.109375" bestFit="1" customWidth="1"/>
    <col min="17" max="17" width="22.77734375" bestFit="1" customWidth="1"/>
  </cols>
  <sheetData>
    <row r="1" spans="1:17" s="5" customFormat="1" x14ac:dyDescent="0.3">
      <c r="A1" s="5" t="s">
        <v>0</v>
      </c>
      <c r="B1" s="5" t="s">
        <v>1</v>
      </c>
      <c r="C1" s="5" t="s">
        <v>196</v>
      </c>
      <c r="D1" s="5" t="s">
        <v>184</v>
      </c>
      <c r="E1" s="5" t="s">
        <v>202</v>
      </c>
      <c r="F1" s="5" t="s">
        <v>166</v>
      </c>
      <c r="G1" s="5" t="s">
        <v>199</v>
      </c>
      <c r="H1" s="5" t="s">
        <v>190</v>
      </c>
      <c r="I1" s="5" t="s">
        <v>172</v>
      </c>
      <c r="J1" s="5" t="s">
        <v>169</v>
      </c>
      <c r="K1" s="5" t="s">
        <v>187</v>
      </c>
      <c r="L1" s="5" t="s">
        <v>181</v>
      </c>
      <c r="M1" s="5" t="s">
        <v>205</v>
      </c>
      <c r="N1" s="5" t="s">
        <v>175</v>
      </c>
      <c r="O1" s="5" t="s">
        <v>163</v>
      </c>
      <c r="P1" s="5" t="s">
        <v>193</v>
      </c>
      <c r="Q1" s="5" t="s">
        <v>178</v>
      </c>
    </row>
    <row r="2" spans="1:17" x14ac:dyDescent="0.3">
      <c r="A2" s="2">
        <v>202308</v>
      </c>
      <c r="B2" s="1">
        <v>45139</v>
      </c>
      <c r="C2" s="3">
        <v>0.3888888888888889</v>
      </c>
      <c r="D2" s="3">
        <v>0.12345679012345678</v>
      </c>
      <c r="E2" s="3">
        <v>9.8765432098765427E-2</v>
      </c>
      <c r="F2" s="3">
        <v>0.54938271604938271</v>
      </c>
      <c r="G2" s="3">
        <v>7.407407407407407E-2</v>
      </c>
      <c r="H2" s="3">
        <v>9.8765432098765427E-2</v>
      </c>
      <c r="I2" s="3">
        <v>0.40123456790123457</v>
      </c>
      <c r="J2" s="3">
        <v>0.41358024691358025</v>
      </c>
      <c r="K2" s="3">
        <v>0.20370370370370369</v>
      </c>
      <c r="L2" s="3">
        <v>0.29629629629629628</v>
      </c>
      <c r="M2" s="3">
        <v>0.1419753086419753</v>
      </c>
      <c r="N2" s="3">
        <v>8.0246913580246909E-2</v>
      </c>
      <c r="O2" s="3">
        <v>0.52469135802469136</v>
      </c>
      <c r="P2" s="3">
        <v>5.5555555555555552E-2</v>
      </c>
      <c r="Q2" s="3"/>
    </row>
    <row r="3" spans="1:17" x14ac:dyDescent="0.3">
      <c r="A3" s="2">
        <v>202309</v>
      </c>
      <c r="B3" s="1">
        <v>45170</v>
      </c>
      <c r="C3" s="3">
        <v>0.36065573770491804</v>
      </c>
      <c r="D3" s="3">
        <v>0.13934426229508196</v>
      </c>
      <c r="E3" s="3">
        <v>4.0983606557377046E-2</v>
      </c>
      <c r="F3" s="3">
        <v>0.41803278688524592</v>
      </c>
      <c r="G3" s="3">
        <v>6.5573770491803282E-2</v>
      </c>
      <c r="H3" s="3">
        <v>9.8360655737704916E-2</v>
      </c>
      <c r="I3" s="3">
        <v>0.37704918032786883</v>
      </c>
      <c r="J3" s="3">
        <v>0.4344262295081967</v>
      </c>
      <c r="K3" s="3">
        <v>0.27049180327868855</v>
      </c>
      <c r="L3" s="3">
        <v>0.23770491803278687</v>
      </c>
      <c r="M3" s="3">
        <v>7.3770491803278687E-2</v>
      </c>
      <c r="N3" s="3">
        <v>9.0163934426229511E-2</v>
      </c>
      <c r="O3" s="3">
        <v>0.63114754098360659</v>
      </c>
      <c r="P3" s="3">
        <v>2.4590163934426229E-2</v>
      </c>
      <c r="Q3" s="3"/>
    </row>
    <row r="4" spans="1:17" x14ac:dyDescent="0.3">
      <c r="A4" s="2">
        <v>202310</v>
      </c>
      <c r="B4" s="1">
        <v>45200</v>
      </c>
      <c r="C4" s="3">
        <v>0.37475728155339805</v>
      </c>
      <c r="D4" s="3">
        <v>5.6310679611650483E-2</v>
      </c>
      <c r="E4" s="3">
        <v>2.524271844660194E-2</v>
      </c>
      <c r="F4" s="3">
        <v>0.44271844660194176</v>
      </c>
      <c r="G4" s="3">
        <v>5.6310679611650483E-2</v>
      </c>
      <c r="H4" s="3">
        <v>6.4077669902912623E-2</v>
      </c>
      <c r="I4" s="3">
        <v>0.42135922330097086</v>
      </c>
      <c r="J4" s="3">
        <v>0.4</v>
      </c>
      <c r="K4" s="3">
        <v>0.18640776699029127</v>
      </c>
      <c r="L4" s="3">
        <v>0.22330097087378642</v>
      </c>
      <c r="M4" s="3">
        <v>3.3009708737864081E-2</v>
      </c>
      <c r="N4" s="3">
        <v>0.10485436893203884</v>
      </c>
      <c r="O4" s="3">
        <v>0.56504854368932034</v>
      </c>
      <c r="P4" s="3">
        <v>1.7475728155339806E-2</v>
      </c>
      <c r="Q4" s="3"/>
    </row>
    <row r="5" spans="1:17" x14ac:dyDescent="0.3">
      <c r="A5" s="2">
        <v>202311</v>
      </c>
      <c r="B5" s="1">
        <v>45231</v>
      </c>
      <c r="C5" s="3">
        <v>0.38781163434903049</v>
      </c>
      <c r="D5" s="3">
        <v>5.2631578947368418E-2</v>
      </c>
      <c r="E5" s="3">
        <v>3.6011080332409975E-2</v>
      </c>
      <c r="F5" s="3">
        <v>0.47645429362880887</v>
      </c>
      <c r="G5" s="3">
        <v>6.3711911357340723E-2</v>
      </c>
      <c r="H5" s="3">
        <v>9.141274238227147E-2</v>
      </c>
      <c r="I5" s="3">
        <v>0.4376731301939058</v>
      </c>
      <c r="J5" s="3">
        <v>0.46814404432132967</v>
      </c>
      <c r="K5" s="3">
        <v>0.13019390581717452</v>
      </c>
      <c r="L5" s="3">
        <v>0.26592797783933519</v>
      </c>
      <c r="M5" s="3">
        <v>3.8781163434903045E-2</v>
      </c>
      <c r="N5" s="3">
        <v>0.12742382271468145</v>
      </c>
      <c r="O5" s="3">
        <v>0.52077562326869808</v>
      </c>
      <c r="P5" s="3">
        <v>3.8781163434903045E-2</v>
      </c>
      <c r="Q5" s="3"/>
    </row>
    <row r="6" spans="1:17" x14ac:dyDescent="0.3">
      <c r="A6" s="2">
        <v>202312</v>
      </c>
      <c r="B6" s="1">
        <v>45261</v>
      </c>
      <c r="C6" s="3">
        <v>0.42857142857142855</v>
      </c>
      <c r="D6" s="3">
        <v>8.0586080586080591E-2</v>
      </c>
      <c r="E6" s="3">
        <v>2.564102564102564E-2</v>
      </c>
      <c r="F6" s="3">
        <v>0.61904761904761907</v>
      </c>
      <c r="G6" s="3">
        <v>3.6630036630036632E-2</v>
      </c>
      <c r="H6" s="3">
        <v>6.5934065934065936E-2</v>
      </c>
      <c r="I6" s="3">
        <v>0.49450549450549453</v>
      </c>
      <c r="J6" s="3">
        <v>0.47252747252747251</v>
      </c>
      <c r="K6" s="3">
        <v>0.21978021978021978</v>
      </c>
      <c r="L6" s="3">
        <v>0.31135531135531136</v>
      </c>
      <c r="M6" s="3">
        <v>5.4945054945054944E-2</v>
      </c>
      <c r="N6" s="3">
        <v>0.16849816849816851</v>
      </c>
      <c r="O6" s="3">
        <v>0.61172161172161177</v>
      </c>
      <c r="P6" s="3">
        <v>2.564102564102564E-2</v>
      </c>
      <c r="Q6" s="3"/>
    </row>
    <row r="7" spans="1:17" x14ac:dyDescent="0.3">
      <c r="A7" s="2">
        <v>202401</v>
      </c>
      <c r="B7" s="1">
        <v>45292</v>
      </c>
      <c r="C7" s="3">
        <v>0.34693877551020408</v>
      </c>
      <c r="D7" s="3">
        <v>0.11564625850340136</v>
      </c>
      <c r="E7" s="3">
        <v>6.8027210884353748E-2</v>
      </c>
      <c r="F7" s="3">
        <v>0.60544217687074831</v>
      </c>
      <c r="G7" s="3">
        <v>6.8027210884353748E-2</v>
      </c>
      <c r="H7" s="3">
        <v>0.10884353741496598</v>
      </c>
      <c r="I7" s="3">
        <v>0.51700680272108845</v>
      </c>
      <c r="J7" s="3">
        <v>0.65986394557823125</v>
      </c>
      <c r="K7" s="3">
        <v>0.15646258503401361</v>
      </c>
      <c r="L7" s="3">
        <v>0.31292517006802723</v>
      </c>
      <c r="M7" s="3">
        <v>6.8027210884353748E-2</v>
      </c>
      <c r="N7" s="3">
        <v>0.14285714285714285</v>
      </c>
      <c r="O7" s="3">
        <v>0.65306122448979587</v>
      </c>
      <c r="P7" s="3">
        <v>2.7210884353741496E-2</v>
      </c>
      <c r="Q7" s="3"/>
    </row>
    <row r="8" spans="1:17" x14ac:dyDescent="0.3">
      <c r="A8" s="2">
        <v>202402</v>
      </c>
      <c r="B8" s="1">
        <v>45323</v>
      </c>
      <c r="C8" s="3">
        <v>0.21126760563380281</v>
      </c>
      <c r="D8" s="3">
        <v>9.154929577464789E-2</v>
      </c>
      <c r="E8" s="3">
        <v>2.1126760563380281E-2</v>
      </c>
      <c r="F8" s="3">
        <v>0.56338028169014087</v>
      </c>
      <c r="G8" s="3">
        <v>6.3380281690140844E-2</v>
      </c>
      <c r="H8" s="3">
        <v>9.154929577464789E-2</v>
      </c>
      <c r="I8" s="3">
        <v>0.352112676056338</v>
      </c>
      <c r="J8" s="3">
        <v>0.55633802816901412</v>
      </c>
      <c r="K8" s="3">
        <v>0.10563380281690141</v>
      </c>
      <c r="L8" s="3">
        <v>0.28873239436619719</v>
      </c>
      <c r="M8" s="3">
        <v>6.3380281690140844E-2</v>
      </c>
      <c r="N8" s="3">
        <v>0.176056338028169</v>
      </c>
      <c r="O8" s="3">
        <v>0.65492957746478875</v>
      </c>
      <c r="P8" s="3">
        <v>4.2253521126760563E-2</v>
      </c>
      <c r="Q8" s="3"/>
    </row>
    <row r="9" spans="1:17" x14ac:dyDescent="0.3">
      <c r="A9" s="2">
        <v>202403</v>
      </c>
      <c r="B9" s="1">
        <v>45352</v>
      </c>
      <c r="C9" s="3">
        <v>0.33333333333333331</v>
      </c>
      <c r="D9" s="3">
        <v>8.6956521739130432E-2</v>
      </c>
      <c r="E9" s="3">
        <v>4.3478260869565216E-2</v>
      </c>
      <c r="F9" s="3">
        <v>0.60869565217391308</v>
      </c>
      <c r="G9" s="3">
        <v>5.0724637681159424E-2</v>
      </c>
      <c r="H9" s="3">
        <v>4.3478260869565216E-2</v>
      </c>
      <c r="I9" s="3">
        <v>0.36956521739130432</v>
      </c>
      <c r="J9" s="3">
        <v>0.52173913043478259</v>
      </c>
      <c r="K9" s="3">
        <v>0.13043478260869565</v>
      </c>
      <c r="L9" s="3">
        <v>0.28260869565217389</v>
      </c>
      <c r="M9" s="3">
        <v>7.2463768115942032E-2</v>
      </c>
      <c r="N9" s="3">
        <v>0.25362318840579712</v>
      </c>
      <c r="O9" s="3">
        <v>0.65217391304347827</v>
      </c>
      <c r="P9" s="3">
        <v>5.7971014492753624E-2</v>
      </c>
      <c r="Q9" s="3"/>
    </row>
    <row r="10" spans="1:17" x14ac:dyDescent="0.3">
      <c r="A10" s="2">
        <v>202404</v>
      </c>
      <c r="B10" s="1">
        <v>45383</v>
      </c>
      <c r="C10" s="3">
        <v>0.29795918367346941</v>
      </c>
      <c r="D10" s="3">
        <v>7.3469387755102047E-2</v>
      </c>
      <c r="E10" s="3">
        <v>4.0816326530612242E-2</v>
      </c>
      <c r="F10" s="3">
        <v>0.56326530612244896</v>
      </c>
      <c r="G10" s="3">
        <v>6.9387755102040816E-2</v>
      </c>
      <c r="H10" s="3">
        <v>3.2653061224489799E-2</v>
      </c>
      <c r="I10" s="3">
        <v>0.49795918367346936</v>
      </c>
      <c r="J10" s="3">
        <v>0.55102040816326525</v>
      </c>
      <c r="K10" s="3">
        <v>0.19591836734693877</v>
      </c>
      <c r="L10" s="3">
        <v>0.27755102040816326</v>
      </c>
      <c r="M10" s="3">
        <v>4.8979591836734691E-2</v>
      </c>
      <c r="N10" s="3">
        <v>0.17551020408163265</v>
      </c>
      <c r="O10" s="3">
        <v>0.55102040816326525</v>
      </c>
      <c r="P10" s="3">
        <v>4.0816326530612242E-2</v>
      </c>
      <c r="Q10" s="3"/>
    </row>
    <row r="11" spans="1:17" x14ac:dyDescent="0.3">
      <c r="A11" s="2">
        <v>202405</v>
      </c>
      <c r="B11" s="1">
        <v>45413</v>
      </c>
      <c r="C11" s="3">
        <v>0.26358148893360162</v>
      </c>
      <c r="D11" s="3">
        <v>4.2253521126760563E-2</v>
      </c>
      <c r="E11" s="3">
        <v>1.6096579476861168E-2</v>
      </c>
      <c r="F11" s="3">
        <v>0.60563380281690138</v>
      </c>
      <c r="G11" s="3">
        <v>4.2253521126760563E-2</v>
      </c>
      <c r="H11" s="3">
        <v>5.2313883299798795E-2</v>
      </c>
      <c r="I11" s="3">
        <v>0.43661971830985913</v>
      </c>
      <c r="J11" s="3">
        <v>0.54929577464788737</v>
      </c>
      <c r="K11" s="3">
        <v>0.15694164989939638</v>
      </c>
      <c r="L11" s="3">
        <v>0.23340040241448692</v>
      </c>
      <c r="M11" s="3">
        <v>5.4325955734406441E-2</v>
      </c>
      <c r="N11" s="3">
        <v>0.13279678068410464</v>
      </c>
      <c r="O11" s="3">
        <v>0.57344064386317906</v>
      </c>
      <c r="P11" s="3">
        <v>2.6156941649899398E-2</v>
      </c>
      <c r="Q11" s="3"/>
    </row>
    <row r="12" spans="1:17" x14ac:dyDescent="0.3">
      <c r="A12" s="2">
        <v>202406</v>
      </c>
      <c r="B12" s="1">
        <v>45444</v>
      </c>
      <c r="C12" s="3">
        <v>0.22123893805309736</v>
      </c>
      <c r="D12" s="3">
        <v>7.0796460176991149E-2</v>
      </c>
      <c r="E12" s="3">
        <v>2.6548672566371681E-2</v>
      </c>
      <c r="F12" s="3">
        <v>0.60176991150442483</v>
      </c>
      <c r="G12" s="3">
        <v>4.4247787610619468E-2</v>
      </c>
      <c r="H12" s="3">
        <v>5.3097345132743362E-2</v>
      </c>
      <c r="I12" s="3">
        <v>0.45132743362831856</v>
      </c>
      <c r="J12" s="3">
        <v>0.50442477876106195</v>
      </c>
      <c r="K12" s="3">
        <v>0.14601769911504425</v>
      </c>
      <c r="L12" s="3">
        <v>0.22123893805309736</v>
      </c>
      <c r="M12" s="3">
        <v>3.5398230088495575E-2</v>
      </c>
      <c r="N12" s="3">
        <v>0.10619469026548672</v>
      </c>
      <c r="O12" s="3">
        <v>0.60619469026548678</v>
      </c>
      <c r="P12" s="3">
        <v>1.7699115044247787E-2</v>
      </c>
      <c r="Q12" s="3"/>
    </row>
    <row r="13" spans="1:17" x14ac:dyDescent="0.3">
      <c r="A13" s="2">
        <v>202407</v>
      </c>
      <c r="B13" s="1">
        <v>45474</v>
      </c>
      <c r="C13" s="3">
        <v>0.19642857142857142</v>
      </c>
      <c r="D13" s="3">
        <v>0.125</v>
      </c>
      <c r="E13" s="3">
        <v>3.5714285714285712E-2</v>
      </c>
      <c r="F13" s="3">
        <v>0.6696428571428571</v>
      </c>
      <c r="G13" s="3">
        <v>5.3571428571428568E-2</v>
      </c>
      <c r="H13" s="3">
        <v>4.4642857142857144E-2</v>
      </c>
      <c r="I13" s="3">
        <v>0.48214285714285715</v>
      </c>
      <c r="J13" s="3">
        <v>0.5178571428571429</v>
      </c>
      <c r="K13" s="3">
        <v>0.22321428571428573</v>
      </c>
      <c r="L13" s="3">
        <v>0.16964285714285715</v>
      </c>
      <c r="M13" s="3">
        <v>6.25E-2</v>
      </c>
      <c r="N13" s="3">
        <v>9.8214285714285712E-2</v>
      </c>
      <c r="O13" s="3">
        <v>0.6339285714285714</v>
      </c>
      <c r="P13" s="3">
        <v>4.4642857142857144E-2</v>
      </c>
      <c r="Q13" s="3"/>
    </row>
    <row r="14" spans="1:17" x14ac:dyDescent="0.3">
      <c r="A14" s="2">
        <v>202408</v>
      </c>
      <c r="B14" s="1">
        <v>45505</v>
      </c>
      <c r="C14" s="3">
        <v>0.24019607843137256</v>
      </c>
      <c r="D14" s="3">
        <v>6.3725490196078427E-2</v>
      </c>
      <c r="E14" s="3">
        <v>7.3529411764705881E-3</v>
      </c>
      <c r="F14" s="3">
        <v>0.66176470588235292</v>
      </c>
      <c r="G14" s="3">
        <v>6.3725490196078427E-2</v>
      </c>
      <c r="H14" s="3">
        <v>5.6372549019607844E-2</v>
      </c>
      <c r="I14" s="3">
        <v>0.39705882352941174</v>
      </c>
      <c r="J14" s="3">
        <v>0.51960784313725494</v>
      </c>
      <c r="K14" s="3">
        <v>0.13725490196078433</v>
      </c>
      <c r="L14" s="3">
        <v>0.26470588235294118</v>
      </c>
      <c r="M14" s="3">
        <v>3.6764705882352942E-2</v>
      </c>
      <c r="N14" s="3">
        <v>0.17401960784313725</v>
      </c>
      <c r="O14" s="3">
        <v>0.55882352941176472</v>
      </c>
      <c r="P14" s="3">
        <v>3.4313725490196081E-2</v>
      </c>
      <c r="Q14" s="3"/>
    </row>
    <row r="15" spans="1:17" x14ac:dyDescent="0.3">
      <c r="A15" s="2">
        <v>202409</v>
      </c>
      <c r="B15" s="1">
        <v>45536</v>
      </c>
      <c r="C15" s="3">
        <v>0.23270440251572327</v>
      </c>
      <c r="D15" s="3">
        <v>8.8050314465408799E-2</v>
      </c>
      <c r="E15" s="3">
        <v>6.2893081761006293E-3</v>
      </c>
      <c r="F15" s="3">
        <v>0.72955974842767291</v>
      </c>
      <c r="G15" s="3">
        <v>5.6603773584905662E-2</v>
      </c>
      <c r="H15" s="3">
        <v>6.9182389937106917E-2</v>
      </c>
      <c r="I15" s="3">
        <v>0.47169811320754718</v>
      </c>
      <c r="J15" s="3">
        <v>0.53459119496855345</v>
      </c>
      <c r="K15" s="3">
        <v>0.21383647798742139</v>
      </c>
      <c r="L15" s="3">
        <v>0.22012578616352202</v>
      </c>
      <c r="M15" s="3">
        <v>3.7735849056603772E-2</v>
      </c>
      <c r="N15" s="3">
        <v>0.14465408805031446</v>
      </c>
      <c r="O15" s="3">
        <v>0.62893081761006286</v>
      </c>
      <c r="P15" s="3">
        <v>6.9182389937106917E-2</v>
      </c>
      <c r="Q15" s="3"/>
    </row>
    <row r="16" spans="1:17" x14ac:dyDescent="0.3">
      <c r="A16" s="2">
        <v>202410</v>
      </c>
      <c r="B16" s="1">
        <v>45566</v>
      </c>
      <c r="C16" s="3">
        <v>0.12582781456953643</v>
      </c>
      <c r="D16" s="3">
        <v>7.9470198675496692E-2</v>
      </c>
      <c r="E16" s="3">
        <v>0</v>
      </c>
      <c r="F16" s="3">
        <v>0.62913907284768211</v>
      </c>
      <c r="G16" s="3">
        <v>7.9470198675496692E-2</v>
      </c>
      <c r="H16" s="3">
        <v>3.3112582781456956E-2</v>
      </c>
      <c r="I16" s="3">
        <v>0.53642384105960261</v>
      </c>
      <c r="J16" s="3">
        <v>0.66225165562913912</v>
      </c>
      <c r="K16" s="3">
        <v>0.19205298013245034</v>
      </c>
      <c r="L16" s="3">
        <v>0.19867549668874171</v>
      </c>
      <c r="M16" s="3">
        <v>1.3245033112582781E-2</v>
      </c>
      <c r="N16" s="3">
        <v>0.18543046357615894</v>
      </c>
      <c r="O16" s="3">
        <v>0.56953642384105962</v>
      </c>
      <c r="P16" s="3">
        <v>2.6490066225165563E-2</v>
      </c>
      <c r="Q16" s="3"/>
    </row>
    <row r="17" spans="1:17" x14ac:dyDescent="0.3">
      <c r="A17" s="2">
        <v>202411</v>
      </c>
      <c r="B17" s="1">
        <v>45597</v>
      </c>
      <c r="C17" s="3">
        <v>0.19620253164556961</v>
      </c>
      <c r="D17" s="3">
        <v>7.5949367088607597E-2</v>
      </c>
      <c r="E17" s="3">
        <v>1.2658227848101266E-2</v>
      </c>
      <c r="F17" s="3">
        <v>0.63291139240506333</v>
      </c>
      <c r="G17" s="3">
        <v>5.6962025316455694E-2</v>
      </c>
      <c r="H17" s="3">
        <v>5.6962025316455694E-2</v>
      </c>
      <c r="I17" s="3">
        <v>0.42405063291139239</v>
      </c>
      <c r="J17" s="3">
        <v>0.43037974683544306</v>
      </c>
      <c r="K17" s="3">
        <v>0.22151898734177214</v>
      </c>
      <c r="L17" s="3">
        <v>0.14556962025316456</v>
      </c>
      <c r="M17" s="3">
        <v>2.5316455696202531E-2</v>
      </c>
      <c r="N17" s="3">
        <v>0.17088607594936708</v>
      </c>
      <c r="O17" s="3">
        <v>0.569620253164557</v>
      </c>
      <c r="P17" s="3">
        <v>1.8987341772151899E-2</v>
      </c>
      <c r="Q17" s="3"/>
    </row>
    <row r="18" spans="1:17" x14ac:dyDescent="0.3">
      <c r="A18" s="2">
        <v>202412</v>
      </c>
      <c r="B18" s="1">
        <v>45627</v>
      </c>
      <c r="C18" s="3">
        <v>0.10638297872340426</v>
      </c>
      <c r="D18" s="3">
        <v>0.12056737588652482</v>
      </c>
      <c r="E18" s="3">
        <v>0</v>
      </c>
      <c r="F18" s="3">
        <v>0.67375886524822692</v>
      </c>
      <c r="G18" s="3">
        <v>3.5460992907801421E-2</v>
      </c>
      <c r="H18" s="3">
        <v>3.5460992907801421E-2</v>
      </c>
      <c r="I18" s="3">
        <v>0.40425531914893614</v>
      </c>
      <c r="J18" s="3">
        <v>0.58865248226950351</v>
      </c>
      <c r="K18" s="3">
        <v>0.21985815602836881</v>
      </c>
      <c r="L18" s="3">
        <v>9.9290780141843976E-2</v>
      </c>
      <c r="M18" s="3">
        <v>1.4184397163120567E-2</v>
      </c>
      <c r="N18" s="3">
        <v>0.1276595744680851</v>
      </c>
      <c r="O18" s="3">
        <v>0.53191489361702127</v>
      </c>
      <c r="P18" s="3">
        <v>2.1276595744680851E-2</v>
      </c>
      <c r="Q18" s="3"/>
    </row>
    <row r="19" spans="1:17" x14ac:dyDescent="0.3">
      <c r="A19" s="2">
        <v>202501</v>
      </c>
      <c r="B19" s="1">
        <v>45658</v>
      </c>
      <c r="C19" s="3">
        <v>0.16023738872403562</v>
      </c>
      <c r="D19" s="3">
        <v>5.9347181008902079E-2</v>
      </c>
      <c r="E19" s="3">
        <v>8.9020771513353119E-3</v>
      </c>
      <c r="F19" s="3">
        <v>0.66468842729970323</v>
      </c>
      <c r="G19" s="3">
        <v>8.0118694362017809E-2</v>
      </c>
      <c r="H19" s="3">
        <v>5.3412462908011868E-2</v>
      </c>
      <c r="I19" s="3">
        <v>0.32047477744807124</v>
      </c>
      <c r="J19" s="3">
        <v>0.49851632047477745</v>
      </c>
      <c r="K19" s="3">
        <v>0.19584569732937684</v>
      </c>
      <c r="L19" s="3">
        <v>0.13353115727002968</v>
      </c>
      <c r="M19" s="3">
        <v>2.967359050445104E-2</v>
      </c>
      <c r="N19" s="3">
        <v>0.16320474777448071</v>
      </c>
      <c r="O19" s="3">
        <v>0.60534124629080122</v>
      </c>
      <c r="P19" s="3">
        <v>3.5608308605341248E-2</v>
      </c>
      <c r="Q19" s="3"/>
    </row>
    <row r="20" spans="1:17" x14ac:dyDescent="0.3">
      <c r="A20" s="2">
        <v>202502</v>
      </c>
      <c r="B20" s="1">
        <v>45689</v>
      </c>
      <c r="C20" s="3">
        <v>0.2236024844720497</v>
      </c>
      <c r="D20" s="3">
        <v>8.6956521739130432E-2</v>
      </c>
      <c r="E20" s="3">
        <v>3.1055900621118012E-2</v>
      </c>
      <c r="F20" s="3">
        <v>0.70807453416149069</v>
      </c>
      <c r="G20" s="3">
        <v>8.0745341614906832E-2</v>
      </c>
      <c r="H20" s="3">
        <v>2.4844720496894408E-2</v>
      </c>
      <c r="I20" s="3">
        <v>0.38509316770186336</v>
      </c>
      <c r="J20" s="3">
        <v>0.53416149068322982</v>
      </c>
      <c r="K20" s="3">
        <v>0.18633540372670807</v>
      </c>
      <c r="L20" s="3">
        <v>0.12422360248447205</v>
      </c>
      <c r="M20" s="3">
        <v>1.2422360248447204E-2</v>
      </c>
      <c r="N20" s="3">
        <v>0.16149068322981366</v>
      </c>
      <c r="O20" s="3">
        <v>0.59006211180124224</v>
      </c>
      <c r="P20" s="3">
        <v>3.7267080745341616E-2</v>
      </c>
      <c r="Q20" s="3"/>
    </row>
    <row r="21" spans="1:17" x14ac:dyDescent="0.3">
      <c r="A21" s="2">
        <v>202503</v>
      </c>
      <c r="B21" s="1">
        <v>45717</v>
      </c>
      <c r="C21" s="3">
        <v>0.15555555555555556</v>
      </c>
      <c r="D21" s="3">
        <v>9.4444444444444442E-2</v>
      </c>
      <c r="E21" s="3">
        <v>2.7777777777777776E-2</v>
      </c>
      <c r="F21" s="3">
        <v>0.65</v>
      </c>
      <c r="G21" s="3">
        <v>0.05</v>
      </c>
      <c r="H21" s="3">
        <v>7.7777777777777779E-2</v>
      </c>
      <c r="I21" s="3">
        <v>0.3611111111111111</v>
      </c>
      <c r="J21" s="3">
        <v>0.48888888888888887</v>
      </c>
      <c r="K21" s="3">
        <v>0.18333333333333332</v>
      </c>
      <c r="L21" s="3">
        <v>0.14444444444444443</v>
      </c>
      <c r="M21" s="3">
        <v>7.2222222222222215E-2</v>
      </c>
      <c r="N21" s="3">
        <v>0.16111111111111112</v>
      </c>
      <c r="O21" s="3">
        <v>0.62222222222222223</v>
      </c>
      <c r="P21" s="3">
        <v>3.888888888888889E-2</v>
      </c>
      <c r="Q21" s="3"/>
    </row>
    <row r="22" spans="1:17" x14ac:dyDescent="0.3">
      <c r="A22" s="2">
        <v>202504</v>
      </c>
      <c r="B22" s="1">
        <v>45748</v>
      </c>
      <c r="C22" s="3">
        <v>0.20289855072463769</v>
      </c>
      <c r="D22" s="3">
        <v>9.420289855072464E-2</v>
      </c>
      <c r="E22" s="3">
        <v>1.4492753623188406E-2</v>
      </c>
      <c r="F22" s="3">
        <v>0.74637681159420288</v>
      </c>
      <c r="G22" s="3">
        <v>6.5217391304347824E-2</v>
      </c>
      <c r="H22" s="3">
        <v>5.7971014492753624E-2</v>
      </c>
      <c r="I22" s="3">
        <v>0.29710144927536231</v>
      </c>
      <c r="J22" s="3">
        <v>0.51449275362318836</v>
      </c>
      <c r="K22" s="3">
        <v>0.10869565217391304</v>
      </c>
      <c r="L22" s="3">
        <v>0.13768115942028986</v>
      </c>
      <c r="M22" s="3">
        <v>1.4492753623188406E-2</v>
      </c>
      <c r="N22" s="3">
        <v>0.19565217391304349</v>
      </c>
      <c r="O22" s="3">
        <v>0.61594202898550721</v>
      </c>
      <c r="P22" s="3">
        <v>7.246376811594203E-3</v>
      </c>
      <c r="Q22" s="3"/>
    </row>
    <row r="23" spans="1:17" x14ac:dyDescent="0.3">
      <c r="A23" s="2">
        <v>202505</v>
      </c>
      <c r="B23" s="1">
        <v>45778</v>
      </c>
      <c r="C23" s="3">
        <v>0.16101694915254236</v>
      </c>
      <c r="D23" s="3">
        <v>0.10169491525423729</v>
      </c>
      <c r="E23" s="3">
        <v>0</v>
      </c>
      <c r="F23" s="3">
        <v>0.77118644067796616</v>
      </c>
      <c r="G23" s="3">
        <v>8.4745762711864403E-2</v>
      </c>
      <c r="H23" s="3">
        <v>5.9322033898305086E-2</v>
      </c>
      <c r="I23" s="3">
        <v>0.4152542372881356</v>
      </c>
      <c r="J23" s="3">
        <v>0.60169491525423724</v>
      </c>
      <c r="K23" s="3">
        <v>0.1271186440677966</v>
      </c>
      <c r="L23" s="3">
        <v>0.16949152542372881</v>
      </c>
      <c r="M23" s="3">
        <v>3.3898305084745763E-2</v>
      </c>
      <c r="N23" s="3">
        <v>0.21186440677966101</v>
      </c>
      <c r="O23" s="3">
        <v>0.5847457627118644</v>
      </c>
      <c r="P23" s="3">
        <v>2.5423728813559324E-2</v>
      </c>
      <c r="Q23" s="3"/>
    </row>
    <row r="24" spans="1:17" x14ac:dyDescent="0.3">
      <c r="A24" s="2">
        <v>202506</v>
      </c>
      <c r="B24" s="1">
        <v>45809</v>
      </c>
      <c r="C24" s="3">
        <v>0.21848739495798319</v>
      </c>
      <c r="D24" s="3">
        <v>0.12605042016806722</v>
      </c>
      <c r="E24" s="3">
        <v>8.4033613445378148E-3</v>
      </c>
      <c r="F24" s="3">
        <v>0.77310924369747902</v>
      </c>
      <c r="G24" s="3">
        <v>4.2016806722689079E-2</v>
      </c>
      <c r="H24" s="3">
        <v>5.8823529411764705E-2</v>
      </c>
      <c r="I24" s="3">
        <v>0.36134453781512604</v>
      </c>
      <c r="J24" s="3">
        <v>0.53781512605042014</v>
      </c>
      <c r="K24" s="3">
        <v>0.16806722689075632</v>
      </c>
      <c r="L24" s="3">
        <v>0.22689075630252101</v>
      </c>
      <c r="M24" s="3">
        <v>5.8823529411764705E-2</v>
      </c>
      <c r="N24" s="3">
        <v>0.20168067226890757</v>
      </c>
      <c r="O24" s="3">
        <v>0.63025210084033612</v>
      </c>
      <c r="P24" s="3">
        <v>3.3613445378151259E-2</v>
      </c>
      <c r="Q24" s="3"/>
    </row>
    <row r="25" spans="1:17" x14ac:dyDescent="0.3">
      <c r="A25" s="2">
        <v>202507</v>
      </c>
      <c r="B25" s="1">
        <v>45839</v>
      </c>
      <c r="C25" s="3">
        <v>0.21705426356589147</v>
      </c>
      <c r="D25" s="3">
        <v>6.2015503875968991E-2</v>
      </c>
      <c r="E25" s="3">
        <v>3.1007751937984496E-2</v>
      </c>
      <c r="F25" s="3">
        <v>0.72868217054263562</v>
      </c>
      <c r="G25" s="3">
        <v>7.7519379844961239E-2</v>
      </c>
      <c r="H25" s="3">
        <v>6.9767441860465115E-2</v>
      </c>
      <c r="I25" s="3">
        <v>0.33333333333333331</v>
      </c>
      <c r="J25" s="3">
        <v>0.50387596899224807</v>
      </c>
      <c r="K25" s="3">
        <v>0.10852713178294573</v>
      </c>
      <c r="L25" s="3">
        <v>0.14728682170542637</v>
      </c>
      <c r="M25" s="3">
        <v>1.5503875968992248E-2</v>
      </c>
      <c r="N25" s="3">
        <v>0.2868217054263566</v>
      </c>
      <c r="O25" s="3">
        <v>0.58914728682170547</v>
      </c>
      <c r="P25" s="3">
        <v>3.875968992248062E-2</v>
      </c>
      <c r="Q25" s="3"/>
    </row>
    <row r="26" spans="1:17" x14ac:dyDescent="0.3">
      <c r="A26" s="2">
        <v>202508</v>
      </c>
      <c r="B26" s="1">
        <v>45870</v>
      </c>
      <c r="C26" s="3">
        <v>0.13725490196078433</v>
      </c>
      <c r="D26" s="3">
        <v>0.10784313725490197</v>
      </c>
      <c r="E26" s="3">
        <v>2.9411764705882353E-2</v>
      </c>
      <c r="F26" s="3">
        <v>0.74509803921568629</v>
      </c>
      <c r="G26" s="3">
        <v>3.9215686274509803E-2</v>
      </c>
      <c r="H26" s="3">
        <v>5.8823529411764705E-2</v>
      </c>
      <c r="I26" s="3">
        <v>0.34313725490196079</v>
      </c>
      <c r="J26" s="3">
        <v>0.47058823529411764</v>
      </c>
      <c r="K26" s="3">
        <v>0.12745098039215685</v>
      </c>
      <c r="L26" s="3">
        <v>0.20588235294117646</v>
      </c>
      <c r="M26" s="3">
        <v>2.9411764705882353E-2</v>
      </c>
      <c r="N26" s="3">
        <v>0.20588235294117646</v>
      </c>
      <c r="O26" s="3">
        <v>0.61764705882352944</v>
      </c>
      <c r="P26" s="3">
        <v>1.9607843137254902E-2</v>
      </c>
      <c r="Q26" s="3"/>
    </row>
    <row r="27" spans="1:17" x14ac:dyDescent="0.3">
      <c r="A27" s="2">
        <v>202509</v>
      </c>
      <c r="B27" s="1">
        <v>45901</v>
      </c>
      <c r="C27" s="3">
        <v>0.14678899082568808</v>
      </c>
      <c r="D27" s="3">
        <v>0.10091743119266056</v>
      </c>
      <c r="E27" s="3">
        <v>9.1743119266055051E-3</v>
      </c>
      <c r="F27" s="3">
        <v>0.72477064220183485</v>
      </c>
      <c r="G27" s="3">
        <v>5.5045871559633031E-2</v>
      </c>
      <c r="H27" s="3">
        <v>4.5871559633027525E-2</v>
      </c>
      <c r="I27" s="3">
        <v>0.39449541284403672</v>
      </c>
      <c r="J27" s="3">
        <v>0.52293577981651373</v>
      </c>
      <c r="K27" s="3">
        <v>0.13761467889908258</v>
      </c>
      <c r="L27" s="3">
        <v>0.15596330275229359</v>
      </c>
      <c r="M27" s="3">
        <v>3.669724770642202E-2</v>
      </c>
      <c r="N27" s="3">
        <v>0.21100917431192662</v>
      </c>
      <c r="O27" s="3">
        <v>0.61467889908256879</v>
      </c>
      <c r="P27" s="3">
        <v>1.834862385321101E-2</v>
      </c>
      <c r="Q27" s="3"/>
    </row>
    <row r="28" spans="1:17" x14ac:dyDescent="0.3">
      <c r="A28" s="2">
        <v>202510</v>
      </c>
      <c r="B28" s="1">
        <v>45931</v>
      </c>
      <c r="C28" s="3">
        <v>0.11965811965811966</v>
      </c>
      <c r="D28" s="3">
        <v>8.5470085470085472E-2</v>
      </c>
      <c r="E28" s="3">
        <v>8.5470085470085479E-3</v>
      </c>
      <c r="F28" s="3">
        <v>0.74358974358974361</v>
      </c>
      <c r="G28" s="3">
        <v>3.4188034188034191E-2</v>
      </c>
      <c r="H28" s="3">
        <v>1.7094017094017096E-2</v>
      </c>
      <c r="I28" s="3">
        <v>0.25641025641025639</v>
      </c>
      <c r="J28" s="3">
        <v>0.46153846153846156</v>
      </c>
      <c r="K28" s="3">
        <v>0.25641025641025639</v>
      </c>
      <c r="L28" s="3">
        <v>0.17948717948717949</v>
      </c>
      <c r="M28" s="3">
        <v>2.564102564102564E-2</v>
      </c>
      <c r="N28" s="3">
        <v>0.17948717948717949</v>
      </c>
      <c r="O28" s="3">
        <v>0.57264957264957261</v>
      </c>
      <c r="P28" s="3">
        <v>2.564102564102564E-2</v>
      </c>
      <c r="Q28" s="3"/>
    </row>
    <row r="29" spans="1:17" x14ac:dyDescent="0.3">
      <c r="A29" s="2">
        <v>202511</v>
      </c>
      <c r="B29" s="1">
        <v>45962</v>
      </c>
      <c r="C29" s="3">
        <v>0.10280373831775701</v>
      </c>
      <c r="D29" s="3">
        <v>0.10280373831775701</v>
      </c>
      <c r="E29" s="3">
        <v>3.7383177570093455E-2</v>
      </c>
      <c r="F29" s="3">
        <v>0.73831775700934577</v>
      </c>
      <c r="G29" s="3">
        <v>8.4112149532710276E-2</v>
      </c>
      <c r="H29" s="3">
        <v>6.5420560747663545E-2</v>
      </c>
      <c r="I29" s="3">
        <v>0.34579439252336447</v>
      </c>
      <c r="J29" s="3">
        <v>0.47663551401869159</v>
      </c>
      <c r="K29" s="3">
        <v>0.14953271028037382</v>
      </c>
      <c r="L29" s="3">
        <v>0.22429906542056074</v>
      </c>
      <c r="M29" s="3">
        <v>7.476635514018691E-2</v>
      </c>
      <c r="N29" s="3">
        <v>0.17757009345794392</v>
      </c>
      <c r="O29" s="3">
        <v>0.60747663551401865</v>
      </c>
      <c r="P29" s="3">
        <v>2.8037383177570093E-2</v>
      </c>
      <c r="Q29" s="3"/>
    </row>
    <row r="30" spans="1:17" x14ac:dyDescent="0.3">
      <c r="A30" s="2">
        <v>202512</v>
      </c>
      <c r="B30" s="1">
        <v>45992</v>
      </c>
      <c r="C30" s="3">
        <v>0.13131313131313133</v>
      </c>
      <c r="D30" s="3">
        <v>8.0808080808080815E-2</v>
      </c>
      <c r="E30" s="3">
        <v>2.0202020202020204E-2</v>
      </c>
      <c r="F30" s="3">
        <v>0.75757575757575757</v>
      </c>
      <c r="G30" s="3">
        <v>3.0303030303030304E-2</v>
      </c>
      <c r="H30" s="3">
        <v>6.0606060606060608E-2</v>
      </c>
      <c r="I30" s="3">
        <v>0.45454545454545453</v>
      </c>
      <c r="J30" s="3">
        <v>0.54545454545454541</v>
      </c>
      <c r="K30" s="3">
        <v>0.13131313131313133</v>
      </c>
      <c r="L30" s="3">
        <v>0.17171717171717171</v>
      </c>
      <c r="M30" s="3">
        <v>5.0505050505050504E-2</v>
      </c>
      <c r="N30" s="3">
        <v>0.25252525252525254</v>
      </c>
      <c r="O30" s="3">
        <v>0.58585858585858586</v>
      </c>
      <c r="P30" s="3">
        <v>2.0202020202020204E-2</v>
      </c>
      <c r="Q30" s="3"/>
    </row>
    <row r="31" spans="1:17" x14ac:dyDescent="0.3">
      <c r="A31" s="2">
        <v>202601</v>
      </c>
      <c r="B31" s="1">
        <v>46023</v>
      </c>
      <c r="C31" s="3">
        <v>0.15</v>
      </c>
      <c r="D31" s="3">
        <v>0.11</v>
      </c>
      <c r="E31" s="3">
        <v>0.03</v>
      </c>
      <c r="F31" s="3">
        <v>0.73</v>
      </c>
      <c r="G31" s="3">
        <v>0.09</v>
      </c>
      <c r="H31" s="3">
        <v>0.04</v>
      </c>
      <c r="I31" s="3">
        <v>0.48</v>
      </c>
      <c r="J31" s="3">
        <v>0.56000000000000005</v>
      </c>
      <c r="K31" s="3">
        <v>0.16</v>
      </c>
      <c r="L31" s="3">
        <v>0.27</v>
      </c>
      <c r="M31" s="3">
        <v>7.0000000000000007E-2</v>
      </c>
      <c r="N31" s="3">
        <v>0.25</v>
      </c>
      <c r="O31" s="3">
        <v>0.54</v>
      </c>
      <c r="P31" s="3">
        <v>0.06</v>
      </c>
      <c r="Q31" s="3"/>
    </row>
    <row r="32" spans="1:17" x14ac:dyDescent="0.3">
      <c r="A32" s="2">
        <v>202602</v>
      </c>
      <c r="B32" s="1">
        <v>46054</v>
      </c>
      <c r="C32" s="3">
        <v>0.10280373831775701</v>
      </c>
      <c r="D32" s="3">
        <v>0.10280373831775701</v>
      </c>
      <c r="E32" s="3">
        <v>0</v>
      </c>
      <c r="F32" s="3">
        <v>0.76635514018691586</v>
      </c>
      <c r="G32" s="3">
        <v>2.8037383177570093E-2</v>
      </c>
      <c r="H32" s="3">
        <v>5.6074766355140186E-2</v>
      </c>
      <c r="I32" s="3">
        <v>0.41121495327102803</v>
      </c>
      <c r="J32" s="3">
        <v>0.58878504672897192</v>
      </c>
      <c r="K32" s="3">
        <v>0.22429906542056074</v>
      </c>
      <c r="L32" s="3">
        <v>0.18691588785046728</v>
      </c>
      <c r="M32" s="3">
        <v>5.6074766355140186E-2</v>
      </c>
      <c r="N32" s="3">
        <v>0.15887850467289721</v>
      </c>
      <c r="O32" s="3">
        <v>0.57009345794392519</v>
      </c>
      <c r="P32" s="3">
        <v>5.6074766355140186E-2</v>
      </c>
      <c r="Q32" s="3"/>
    </row>
    <row r="33" spans="1:17" x14ac:dyDescent="0.3">
      <c r="A33" s="2">
        <v>202603</v>
      </c>
      <c r="B33" s="1">
        <v>46082</v>
      </c>
      <c r="C33" s="3">
        <v>0.12980769230769232</v>
      </c>
      <c r="D33" s="3">
        <v>7.2115384615384609E-2</v>
      </c>
      <c r="E33" s="3">
        <v>2.403846153846154E-2</v>
      </c>
      <c r="F33" s="3">
        <v>0.70192307692307687</v>
      </c>
      <c r="G33" s="3">
        <v>6.7307692307692304E-2</v>
      </c>
      <c r="H33" s="3">
        <v>5.7692307692307696E-2</v>
      </c>
      <c r="I33" s="3">
        <v>0.40384615384615385</v>
      </c>
      <c r="J33" s="3">
        <v>0.66346153846153844</v>
      </c>
      <c r="K33" s="3">
        <v>0.16826923076923078</v>
      </c>
      <c r="L33" s="3">
        <v>0.21153846153846154</v>
      </c>
      <c r="M33" s="3">
        <v>3.3653846153846152E-2</v>
      </c>
      <c r="N33" s="3">
        <v>0.19711538461538461</v>
      </c>
      <c r="O33" s="3">
        <v>0.49519230769230771</v>
      </c>
      <c r="P33" s="3">
        <v>3.3653846153846152E-2</v>
      </c>
      <c r="Q33" s="3"/>
    </row>
    <row r="34" spans="1:17" x14ac:dyDescent="0.3">
      <c r="A34" s="2">
        <v>202604</v>
      </c>
      <c r="B34" s="1">
        <v>46113</v>
      </c>
      <c r="C34" s="3">
        <v>0.19672131147540983</v>
      </c>
      <c r="D34" s="3">
        <v>9.8360655737704916E-2</v>
      </c>
      <c r="E34" s="3">
        <v>4.0983606557377046E-2</v>
      </c>
      <c r="F34" s="3">
        <v>0.68032786885245899</v>
      </c>
      <c r="G34" s="3">
        <v>0.13114754098360656</v>
      </c>
      <c r="H34" s="3">
        <v>9.8360655737704916E-2</v>
      </c>
      <c r="I34" s="3">
        <v>0.41803278688524592</v>
      </c>
      <c r="J34" s="3">
        <v>0.64754098360655743</v>
      </c>
      <c r="K34" s="3">
        <v>0.16393442622950818</v>
      </c>
      <c r="L34" s="3">
        <v>0.28688524590163933</v>
      </c>
      <c r="M34" s="3">
        <v>4.9180327868852458E-2</v>
      </c>
      <c r="N34" s="3">
        <v>0.25409836065573771</v>
      </c>
      <c r="O34" s="3">
        <v>0.54918032786885251</v>
      </c>
      <c r="P34" s="3">
        <v>6.5573770491803282E-2</v>
      </c>
      <c r="Q34" s="3"/>
    </row>
    <row r="35" spans="1:17" x14ac:dyDescent="0.3">
      <c r="A35" s="2">
        <v>202605</v>
      </c>
      <c r="B35" s="1">
        <v>46143</v>
      </c>
      <c r="C35" s="3">
        <v>0.17924528301886791</v>
      </c>
      <c r="D35" s="3">
        <v>8.4905660377358486E-2</v>
      </c>
      <c r="E35" s="3">
        <v>4.716981132075472E-2</v>
      </c>
      <c r="F35" s="3">
        <v>0.80188679245283023</v>
      </c>
      <c r="G35" s="3">
        <v>6.6037735849056603E-2</v>
      </c>
      <c r="H35" s="3">
        <v>7.5471698113207544E-2</v>
      </c>
      <c r="I35" s="3">
        <v>0.33962264150943394</v>
      </c>
      <c r="J35" s="3">
        <v>0.57547169811320753</v>
      </c>
      <c r="K35" s="3">
        <v>0.14150943396226415</v>
      </c>
      <c r="L35" s="3">
        <v>0.19811320754716982</v>
      </c>
      <c r="M35" s="3">
        <v>4.716981132075472E-2</v>
      </c>
      <c r="N35" s="3">
        <v>0.18867924528301888</v>
      </c>
      <c r="O35" s="3">
        <v>0.62264150943396224</v>
      </c>
      <c r="P35" s="3">
        <v>5.6603773584905662E-2</v>
      </c>
      <c r="Q35" s="3"/>
    </row>
    <row r="36" spans="1:17" x14ac:dyDescent="0.3">
      <c r="A36" s="2">
        <v>202606</v>
      </c>
      <c r="B36" s="1">
        <v>46174</v>
      </c>
      <c r="C36" s="3">
        <v>0.11009174311926606</v>
      </c>
      <c r="D36" s="3">
        <v>8.2568807339449546E-2</v>
      </c>
      <c r="E36" s="3">
        <v>3.669724770642202E-2</v>
      </c>
      <c r="F36" s="3">
        <v>0.62385321100917435</v>
      </c>
      <c r="G36" s="3">
        <v>5.5045871559633031E-2</v>
      </c>
      <c r="H36" s="3">
        <v>4.5871559633027525E-2</v>
      </c>
      <c r="I36" s="3">
        <v>0.37614678899082571</v>
      </c>
      <c r="J36" s="3">
        <v>0.49541284403669728</v>
      </c>
      <c r="K36" s="3">
        <v>0.10091743119266056</v>
      </c>
      <c r="L36" s="3">
        <v>0.1834862385321101</v>
      </c>
      <c r="M36" s="3">
        <v>1.834862385321101E-2</v>
      </c>
      <c r="N36" s="3">
        <v>0.26605504587155965</v>
      </c>
      <c r="O36" s="3">
        <v>0.55963302752293576</v>
      </c>
      <c r="P36" s="3">
        <v>9.1743119266055051E-3</v>
      </c>
      <c r="Q36" s="3">
        <v>0.10091743119266056</v>
      </c>
    </row>
    <row r="37" spans="1:17" x14ac:dyDescent="0.3">
      <c r="A37" s="2">
        <v>202607</v>
      </c>
      <c r="B37" s="1">
        <v>46204</v>
      </c>
      <c r="C37" s="3">
        <v>3.7383177570093455E-2</v>
      </c>
      <c r="D37" s="3">
        <v>0.12149532710280374</v>
      </c>
      <c r="E37" s="3">
        <v>1.8691588785046728E-2</v>
      </c>
      <c r="F37" s="3">
        <v>0.61682242990654201</v>
      </c>
      <c r="G37" s="3">
        <v>2.8037383177570093E-2</v>
      </c>
      <c r="H37" s="3">
        <v>5.6074766355140186E-2</v>
      </c>
      <c r="I37" s="3">
        <v>0.27102803738317754</v>
      </c>
      <c r="J37" s="3">
        <v>0.38317757009345793</v>
      </c>
      <c r="K37" s="3">
        <v>9.3457943925233641E-2</v>
      </c>
      <c r="L37" s="3">
        <v>0.14018691588785046</v>
      </c>
      <c r="M37" s="3">
        <v>9.3457943925233638E-3</v>
      </c>
      <c r="N37" s="3">
        <v>0.20560747663551401</v>
      </c>
      <c r="O37" s="3">
        <v>0.63551401869158874</v>
      </c>
      <c r="P37" s="3">
        <v>4.6728971962616821E-2</v>
      </c>
      <c r="Q37" s="3">
        <v>0.14953271028037382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F077-0411-4629-993D-427D1703D03A}">
  <dimension ref="A1:M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12" width="4.44140625" bestFit="1" customWidth="1"/>
    <col min="13" max="13" width="5.21875" bestFit="1" customWidth="1"/>
  </cols>
  <sheetData>
    <row r="1" spans="1:13" s="5" customFormat="1" x14ac:dyDescent="0.3">
      <c r="A1" s="5" t="s">
        <v>0</v>
      </c>
      <c r="B1" s="5" t="s">
        <v>1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</row>
    <row r="2" spans="1:13" x14ac:dyDescent="0.3">
      <c r="A2" s="2">
        <v>202308</v>
      </c>
      <c r="B2" s="1">
        <v>45139</v>
      </c>
      <c r="C2" s="3">
        <v>0</v>
      </c>
      <c r="D2" s="3">
        <v>0</v>
      </c>
      <c r="E2" s="3">
        <v>0</v>
      </c>
      <c r="F2" s="3">
        <v>6.1728395061728392E-3</v>
      </c>
      <c r="G2" s="3">
        <v>3.0864197530864196E-2</v>
      </c>
      <c r="H2" s="3">
        <v>1.8518518518518517E-2</v>
      </c>
      <c r="I2" s="3">
        <v>9.8765432098765427E-2</v>
      </c>
      <c r="J2" s="3">
        <v>0.3271604938271605</v>
      </c>
      <c r="K2" s="3">
        <v>0.31481481481481483</v>
      </c>
      <c r="L2" s="3">
        <v>8.6419753086419748E-2</v>
      </c>
      <c r="M2" s="3">
        <v>0.11728395061728394</v>
      </c>
    </row>
    <row r="3" spans="1:13" x14ac:dyDescent="0.3">
      <c r="A3" s="2">
        <v>202309</v>
      </c>
      <c r="B3" s="1">
        <v>45170</v>
      </c>
      <c r="C3" s="3">
        <v>8.1967213114754103E-3</v>
      </c>
      <c r="D3" s="3">
        <v>0</v>
      </c>
      <c r="E3" s="3">
        <v>8.1967213114754103E-3</v>
      </c>
      <c r="F3" s="3">
        <v>2.4590163934426229E-2</v>
      </c>
      <c r="G3" s="3">
        <v>2.4590163934426229E-2</v>
      </c>
      <c r="H3" s="3">
        <v>0.12295081967213115</v>
      </c>
      <c r="I3" s="3">
        <v>9.8360655737704916E-2</v>
      </c>
      <c r="J3" s="3">
        <v>0.31967213114754101</v>
      </c>
      <c r="K3" s="3">
        <v>0.27049180327868855</v>
      </c>
      <c r="L3" s="3">
        <v>4.9180327868852458E-2</v>
      </c>
      <c r="M3" s="3">
        <v>7.3770491803278687E-2</v>
      </c>
    </row>
    <row r="4" spans="1:13" x14ac:dyDescent="0.3">
      <c r="A4" s="2">
        <v>202310</v>
      </c>
      <c r="B4" s="1">
        <v>45200</v>
      </c>
      <c r="C4" s="3">
        <v>1.1650485436893204E-2</v>
      </c>
      <c r="D4" s="3">
        <v>2.3300970873786409E-2</v>
      </c>
      <c r="E4" s="3">
        <v>2.1359223300970873E-2</v>
      </c>
      <c r="F4" s="3">
        <v>6.4077669902912623E-2</v>
      </c>
      <c r="G4" s="3">
        <v>7.7669902912621352E-2</v>
      </c>
      <c r="H4" s="3">
        <v>0.12621359223300971</v>
      </c>
      <c r="I4" s="3">
        <v>0.17281553398058253</v>
      </c>
      <c r="J4" s="3">
        <v>0.23106796116504855</v>
      </c>
      <c r="K4" s="3">
        <v>0.18446601941747573</v>
      </c>
      <c r="L4" s="3">
        <v>2.9126213592233011E-2</v>
      </c>
      <c r="M4" s="3">
        <v>5.8252427184466021E-2</v>
      </c>
    </row>
    <row r="5" spans="1:13" x14ac:dyDescent="0.3">
      <c r="A5" s="2">
        <v>202311</v>
      </c>
      <c r="B5" s="1">
        <v>45231</v>
      </c>
      <c r="C5" s="3">
        <v>1.9390581717451522E-2</v>
      </c>
      <c r="D5" s="3">
        <v>1.1080332409972299E-2</v>
      </c>
      <c r="E5" s="3">
        <v>5.5401662049861496E-3</v>
      </c>
      <c r="F5" s="3">
        <v>4.4321329639889197E-2</v>
      </c>
      <c r="G5" s="3">
        <v>3.3240997229916899E-2</v>
      </c>
      <c r="H5" s="3">
        <v>0.11634349030470914</v>
      </c>
      <c r="I5" s="3">
        <v>0.14127423822714683</v>
      </c>
      <c r="J5" s="3">
        <v>0.29362880886426596</v>
      </c>
      <c r="K5" s="3">
        <v>0.21329639889196675</v>
      </c>
      <c r="L5" s="3">
        <v>5.817174515235457E-2</v>
      </c>
      <c r="M5" s="3">
        <v>6.3711911357340723E-2</v>
      </c>
    </row>
    <row r="6" spans="1:13" x14ac:dyDescent="0.3">
      <c r="A6" s="2">
        <v>202312</v>
      </c>
      <c r="B6" s="1">
        <v>45261</v>
      </c>
      <c r="C6" s="3">
        <v>3.663003663003663E-3</v>
      </c>
      <c r="D6" s="3">
        <v>0</v>
      </c>
      <c r="E6" s="3">
        <v>2.564102564102564E-2</v>
      </c>
      <c r="F6" s="3">
        <v>7.326007326007326E-3</v>
      </c>
      <c r="G6" s="3">
        <v>1.098901098901099E-2</v>
      </c>
      <c r="H6" s="3">
        <v>9.1575091575091569E-2</v>
      </c>
      <c r="I6" s="3">
        <v>0.15384615384615385</v>
      </c>
      <c r="J6" s="3">
        <v>0.26373626373626374</v>
      </c>
      <c r="K6" s="3">
        <v>0.27472527472527475</v>
      </c>
      <c r="L6" s="3">
        <v>8.0586080586080591E-2</v>
      </c>
      <c r="M6" s="3">
        <v>8.7912087912087919E-2</v>
      </c>
    </row>
    <row r="7" spans="1:13" x14ac:dyDescent="0.3">
      <c r="A7" s="2">
        <v>202401</v>
      </c>
      <c r="B7" s="1">
        <v>45292</v>
      </c>
      <c r="C7" s="3">
        <v>0</v>
      </c>
      <c r="D7" s="3">
        <v>0</v>
      </c>
      <c r="E7" s="3">
        <v>6.8027210884353739E-3</v>
      </c>
      <c r="F7" s="3">
        <v>1.3605442176870748E-2</v>
      </c>
      <c r="G7" s="3">
        <v>6.8027210884353739E-3</v>
      </c>
      <c r="H7" s="3">
        <v>6.8027210884353748E-2</v>
      </c>
      <c r="I7" s="3">
        <v>9.5238095238095233E-2</v>
      </c>
      <c r="J7" s="3">
        <v>0.24489795918367346</v>
      </c>
      <c r="K7" s="3">
        <v>0.33333333333333331</v>
      </c>
      <c r="L7" s="3">
        <v>0.1360544217687075</v>
      </c>
      <c r="M7" s="3">
        <v>9.5238095238095233E-2</v>
      </c>
    </row>
    <row r="8" spans="1:13" x14ac:dyDescent="0.3">
      <c r="A8" s="2">
        <v>202402</v>
      </c>
      <c r="B8" s="1">
        <v>45323</v>
      </c>
      <c r="C8" s="3">
        <v>4.2253521126760563E-2</v>
      </c>
      <c r="D8" s="3">
        <v>7.0422535211267607E-3</v>
      </c>
      <c r="E8" s="3">
        <v>1.4084507042253521E-2</v>
      </c>
      <c r="F8" s="3">
        <v>2.1126760563380281E-2</v>
      </c>
      <c r="G8" s="3">
        <v>1.4084507042253521E-2</v>
      </c>
      <c r="H8" s="3">
        <v>6.3380281690140844E-2</v>
      </c>
      <c r="I8" s="3">
        <v>6.3380281690140844E-2</v>
      </c>
      <c r="J8" s="3">
        <v>0.35915492957746481</v>
      </c>
      <c r="K8" s="3">
        <v>0.29577464788732394</v>
      </c>
      <c r="L8" s="3">
        <v>5.6338028169014086E-2</v>
      </c>
      <c r="M8" s="3">
        <v>6.3380281690140844E-2</v>
      </c>
    </row>
    <row r="9" spans="1:13" x14ac:dyDescent="0.3">
      <c r="A9" s="2">
        <v>202403</v>
      </c>
      <c r="B9" s="1">
        <v>45352</v>
      </c>
      <c r="C9" s="3">
        <v>7.246376811594203E-3</v>
      </c>
      <c r="D9" s="3">
        <v>0</v>
      </c>
      <c r="E9" s="3">
        <v>7.246376811594203E-3</v>
      </c>
      <c r="F9" s="3">
        <v>2.8985507246376812E-2</v>
      </c>
      <c r="G9" s="3">
        <v>2.1739130434782608E-2</v>
      </c>
      <c r="H9" s="3">
        <v>7.9710144927536225E-2</v>
      </c>
      <c r="I9" s="3">
        <v>9.420289855072464E-2</v>
      </c>
      <c r="J9" s="3">
        <v>0.24637681159420291</v>
      </c>
      <c r="K9" s="3">
        <v>0.29710144927536231</v>
      </c>
      <c r="L9" s="3">
        <v>0.12318840579710146</v>
      </c>
      <c r="M9" s="3">
        <v>9.420289855072464E-2</v>
      </c>
    </row>
    <row r="10" spans="1:13" x14ac:dyDescent="0.3">
      <c r="A10" s="2">
        <v>202404</v>
      </c>
      <c r="B10" s="1">
        <v>45383</v>
      </c>
      <c r="C10" s="3">
        <v>4.0816326530612249E-3</v>
      </c>
      <c r="D10" s="3">
        <v>4.0816326530612249E-3</v>
      </c>
      <c r="E10" s="3">
        <v>8.1632653061224497E-3</v>
      </c>
      <c r="F10" s="3">
        <v>2.0408163265306121E-2</v>
      </c>
      <c r="G10" s="3">
        <v>3.6734693877551024E-2</v>
      </c>
      <c r="H10" s="3">
        <v>0.10204081632653061</v>
      </c>
      <c r="I10" s="3">
        <v>0.17959183673469387</v>
      </c>
      <c r="J10" s="3">
        <v>0.27346938775510204</v>
      </c>
      <c r="K10" s="3">
        <v>0.2530612244897959</v>
      </c>
      <c r="L10" s="3">
        <v>7.7551020408163265E-2</v>
      </c>
      <c r="M10" s="3">
        <v>4.0816326530612242E-2</v>
      </c>
    </row>
    <row r="11" spans="1:13" x14ac:dyDescent="0.3">
      <c r="A11" s="2">
        <v>202405</v>
      </c>
      <c r="B11" s="1">
        <v>45413</v>
      </c>
      <c r="C11" s="3">
        <v>1.4084507042253521E-2</v>
      </c>
      <c r="D11" s="3">
        <v>1.4084507042253521E-2</v>
      </c>
      <c r="E11" s="3">
        <v>3.0181086519114688E-2</v>
      </c>
      <c r="F11" s="3">
        <v>4.4265593561368208E-2</v>
      </c>
      <c r="G11" s="3">
        <v>8.8531187122736416E-2</v>
      </c>
      <c r="H11" s="3">
        <v>0.12877263581488935</v>
      </c>
      <c r="I11" s="3">
        <v>0.16096579476861167</v>
      </c>
      <c r="J11" s="3">
        <v>0.26559356136820927</v>
      </c>
      <c r="K11" s="3">
        <v>0.16297786720321933</v>
      </c>
      <c r="L11" s="3">
        <v>4.8289738430583498E-2</v>
      </c>
      <c r="M11" s="3">
        <v>4.2253521126760563E-2</v>
      </c>
    </row>
    <row r="12" spans="1:13" x14ac:dyDescent="0.3">
      <c r="A12" s="2">
        <v>202406</v>
      </c>
      <c r="B12" s="1">
        <v>45444</v>
      </c>
      <c r="C12" s="3">
        <v>2.2123893805309734E-2</v>
      </c>
      <c r="D12" s="3">
        <v>2.6548672566371681E-2</v>
      </c>
      <c r="E12" s="3">
        <v>3.9823008849557522E-2</v>
      </c>
      <c r="F12" s="3">
        <v>8.8495575221238937E-2</v>
      </c>
      <c r="G12" s="3">
        <v>0.11061946902654868</v>
      </c>
      <c r="H12" s="3">
        <v>0.1415929203539823</v>
      </c>
      <c r="I12" s="3">
        <v>0.18141592920353983</v>
      </c>
      <c r="J12" s="3">
        <v>0.20796460176991149</v>
      </c>
      <c r="K12" s="3">
        <v>0.10176991150442478</v>
      </c>
      <c r="L12" s="3">
        <v>4.4247787610619468E-2</v>
      </c>
      <c r="M12" s="3">
        <v>3.5398230088495575E-2</v>
      </c>
    </row>
    <row r="13" spans="1:13" x14ac:dyDescent="0.3">
      <c r="A13" s="2">
        <v>202407</v>
      </c>
      <c r="B13" s="1">
        <v>45474</v>
      </c>
      <c r="C13" s="3">
        <v>8.9285714285714281E-3</v>
      </c>
      <c r="D13" s="3">
        <v>8.9285714285714281E-3</v>
      </c>
      <c r="E13" s="3">
        <v>2.6785714285714284E-2</v>
      </c>
      <c r="F13" s="3">
        <v>4.4642857142857144E-2</v>
      </c>
      <c r="G13" s="3">
        <v>5.3571428571428568E-2</v>
      </c>
      <c r="H13" s="3">
        <v>0.13392857142857142</v>
      </c>
      <c r="I13" s="3">
        <v>0.1875</v>
      </c>
      <c r="J13" s="3">
        <v>0.23214285714285715</v>
      </c>
      <c r="K13" s="3">
        <v>0.17857142857142858</v>
      </c>
      <c r="L13" s="3">
        <v>4.4642857142857144E-2</v>
      </c>
      <c r="M13" s="3">
        <v>8.0357142857142863E-2</v>
      </c>
    </row>
    <row r="14" spans="1:13" x14ac:dyDescent="0.3">
      <c r="A14" s="2">
        <v>202408</v>
      </c>
      <c r="B14" s="1">
        <v>45505</v>
      </c>
      <c r="C14" s="3">
        <v>7.3529411764705881E-3</v>
      </c>
      <c r="D14" s="3">
        <v>9.8039215686274508E-3</v>
      </c>
      <c r="E14" s="3">
        <v>1.7156862745098041E-2</v>
      </c>
      <c r="F14" s="3">
        <v>2.6960784313725492E-2</v>
      </c>
      <c r="G14" s="3">
        <v>3.9215686274509803E-2</v>
      </c>
      <c r="H14" s="3">
        <v>0.14215686274509803</v>
      </c>
      <c r="I14" s="3">
        <v>0.19607843137254902</v>
      </c>
      <c r="J14" s="3">
        <v>0.29411764705882354</v>
      </c>
      <c r="K14" s="3">
        <v>0.17647058823529413</v>
      </c>
      <c r="L14" s="3">
        <v>5.6372549019607844E-2</v>
      </c>
      <c r="M14" s="3">
        <v>3.4313725490196081E-2</v>
      </c>
    </row>
    <row r="15" spans="1:13" x14ac:dyDescent="0.3">
      <c r="A15" s="2">
        <v>202409</v>
      </c>
      <c r="B15" s="1">
        <v>45536</v>
      </c>
      <c r="C15" s="3">
        <v>1.2578616352201259E-2</v>
      </c>
      <c r="D15" s="3">
        <v>1.2578616352201259E-2</v>
      </c>
      <c r="E15" s="3">
        <v>0</v>
      </c>
      <c r="F15" s="3">
        <v>3.1446540880503145E-2</v>
      </c>
      <c r="G15" s="3">
        <v>4.40251572327044E-2</v>
      </c>
      <c r="H15" s="3">
        <v>0.1761006289308176</v>
      </c>
      <c r="I15" s="3">
        <v>0.13836477987421383</v>
      </c>
      <c r="J15" s="3">
        <v>0.27672955974842767</v>
      </c>
      <c r="K15" s="3">
        <v>0.21383647798742139</v>
      </c>
      <c r="L15" s="3">
        <v>6.2893081761006289E-2</v>
      </c>
      <c r="M15" s="3">
        <v>3.1446540880503145E-2</v>
      </c>
    </row>
    <row r="16" spans="1:13" x14ac:dyDescent="0.3">
      <c r="A16" s="2">
        <v>202410</v>
      </c>
      <c r="B16" s="1">
        <v>45566</v>
      </c>
      <c r="C16" s="3">
        <v>6.6225165562913907E-3</v>
      </c>
      <c r="D16" s="3">
        <v>1.3245033112582781E-2</v>
      </c>
      <c r="E16" s="3">
        <v>1.9867549668874173E-2</v>
      </c>
      <c r="F16" s="3">
        <v>3.3112582781456956E-2</v>
      </c>
      <c r="G16" s="3">
        <v>0.11258278145695365</v>
      </c>
      <c r="H16" s="3">
        <v>0.15231788079470199</v>
      </c>
      <c r="I16" s="3">
        <v>0.13907284768211919</v>
      </c>
      <c r="J16" s="3">
        <v>0.28476821192052981</v>
      </c>
      <c r="K16" s="3">
        <v>0.19867549668874171</v>
      </c>
      <c r="L16" s="3">
        <v>1.9867549668874173E-2</v>
      </c>
      <c r="M16" s="3">
        <v>1.9867549668874173E-2</v>
      </c>
    </row>
    <row r="17" spans="1:13" x14ac:dyDescent="0.3">
      <c r="A17" s="2">
        <v>202411</v>
      </c>
      <c r="B17" s="1">
        <v>45597</v>
      </c>
      <c r="C17" s="3">
        <v>4.4303797468354431E-2</v>
      </c>
      <c r="D17" s="3">
        <v>3.1645569620253167E-2</v>
      </c>
      <c r="E17" s="3">
        <v>1.8987341772151899E-2</v>
      </c>
      <c r="F17" s="3">
        <v>8.2278481012658222E-2</v>
      </c>
      <c r="G17" s="3">
        <v>8.8607594936708861E-2</v>
      </c>
      <c r="H17" s="3">
        <v>0.17721518987341772</v>
      </c>
      <c r="I17" s="3">
        <v>0.19620253164556961</v>
      </c>
      <c r="J17" s="3">
        <v>0.15189873417721519</v>
      </c>
      <c r="K17" s="3">
        <v>0.16455696202531644</v>
      </c>
      <c r="L17" s="3">
        <v>2.5316455696202531E-2</v>
      </c>
      <c r="M17" s="3">
        <v>1.8987341772151899E-2</v>
      </c>
    </row>
    <row r="18" spans="1:13" x14ac:dyDescent="0.3">
      <c r="A18" s="2">
        <v>202412</v>
      </c>
      <c r="B18" s="1">
        <v>45627</v>
      </c>
      <c r="C18" s="3">
        <v>2.8368794326241134E-2</v>
      </c>
      <c r="D18" s="3">
        <v>5.6737588652482268E-2</v>
      </c>
      <c r="E18" s="3">
        <v>4.9645390070921988E-2</v>
      </c>
      <c r="F18" s="3">
        <v>0.14893617021276595</v>
      </c>
      <c r="G18" s="3">
        <v>0.1773049645390071</v>
      </c>
      <c r="H18" s="3">
        <v>0.1773049645390071</v>
      </c>
      <c r="I18" s="3">
        <v>0.1276595744680851</v>
      </c>
      <c r="J18" s="3">
        <v>8.5106382978723402E-2</v>
      </c>
      <c r="K18" s="3">
        <v>5.6737588652482268E-2</v>
      </c>
      <c r="L18" s="3">
        <v>4.9645390070921988E-2</v>
      </c>
      <c r="M18" s="3">
        <v>4.2553191489361701E-2</v>
      </c>
    </row>
    <row r="19" spans="1:13" x14ac:dyDescent="0.3">
      <c r="A19" s="2">
        <v>202501</v>
      </c>
      <c r="B19" s="1">
        <v>45658</v>
      </c>
      <c r="C19" s="3">
        <v>2.0771513353115726E-2</v>
      </c>
      <c r="D19" s="3">
        <v>2.0771513353115726E-2</v>
      </c>
      <c r="E19" s="3">
        <v>9.4955489614243327E-2</v>
      </c>
      <c r="F19" s="3">
        <v>0.1513353115727003</v>
      </c>
      <c r="G19" s="3">
        <v>0.13056379821958458</v>
      </c>
      <c r="H19" s="3">
        <v>0.17804154302670624</v>
      </c>
      <c r="I19" s="3">
        <v>0.12462908011869436</v>
      </c>
      <c r="J19" s="3">
        <v>0.12759643916913946</v>
      </c>
      <c r="K19" s="3">
        <v>8.0118694362017809E-2</v>
      </c>
      <c r="L19" s="3">
        <v>3.5608308605341248E-2</v>
      </c>
      <c r="M19" s="3">
        <v>3.5608308605341248E-2</v>
      </c>
    </row>
    <row r="20" spans="1:13" x14ac:dyDescent="0.3">
      <c r="A20" s="2">
        <v>202502</v>
      </c>
      <c r="B20" s="1">
        <v>45689</v>
      </c>
      <c r="C20" s="3">
        <v>3.7267080745341616E-2</v>
      </c>
      <c r="D20" s="3">
        <v>6.2111801242236021E-3</v>
      </c>
      <c r="E20" s="3">
        <v>1.8633540372670808E-2</v>
      </c>
      <c r="F20" s="3">
        <v>7.4534161490683232E-2</v>
      </c>
      <c r="G20" s="3">
        <v>0.10559006211180125</v>
      </c>
      <c r="H20" s="3">
        <v>0.18633540372670807</v>
      </c>
      <c r="I20" s="3">
        <v>0.19875776397515527</v>
      </c>
      <c r="J20" s="3">
        <v>0.14906832298136646</v>
      </c>
      <c r="K20" s="3">
        <v>0.13043478260869565</v>
      </c>
      <c r="L20" s="3">
        <v>4.9689440993788817E-2</v>
      </c>
      <c r="M20" s="3">
        <v>4.3478260869565216E-2</v>
      </c>
    </row>
    <row r="21" spans="1:13" x14ac:dyDescent="0.3">
      <c r="A21" s="2">
        <v>202503</v>
      </c>
      <c r="B21" s="1">
        <v>45717</v>
      </c>
      <c r="C21" s="3">
        <v>2.7777777777777776E-2</v>
      </c>
      <c r="D21" s="3">
        <v>1.1111111111111112E-2</v>
      </c>
      <c r="E21" s="3">
        <v>1.1111111111111112E-2</v>
      </c>
      <c r="F21" s="3">
        <v>3.3333333333333333E-2</v>
      </c>
      <c r="G21" s="3">
        <v>0.14444444444444443</v>
      </c>
      <c r="H21" s="3">
        <v>0.22777777777777777</v>
      </c>
      <c r="I21" s="3">
        <v>0.14444444444444443</v>
      </c>
      <c r="J21" s="3">
        <v>0.16111111111111112</v>
      </c>
      <c r="K21" s="3">
        <v>0.1388888888888889</v>
      </c>
      <c r="L21" s="3">
        <v>3.3333333333333333E-2</v>
      </c>
      <c r="M21" s="3">
        <v>6.6666666666666666E-2</v>
      </c>
    </row>
    <row r="22" spans="1:13" x14ac:dyDescent="0.3">
      <c r="A22" s="2">
        <v>202504</v>
      </c>
      <c r="B22" s="1">
        <v>45748</v>
      </c>
      <c r="C22" s="3">
        <v>7.246376811594203E-3</v>
      </c>
      <c r="D22" s="3">
        <v>0</v>
      </c>
      <c r="E22" s="3">
        <v>2.1739130434782608E-2</v>
      </c>
      <c r="F22" s="3">
        <v>4.3478260869565216E-2</v>
      </c>
      <c r="G22" s="3">
        <v>7.9710144927536225E-2</v>
      </c>
      <c r="H22" s="3">
        <v>0.13043478260869565</v>
      </c>
      <c r="I22" s="3">
        <v>0.16666666666666666</v>
      </c>
      <c r="J22" s="3">
        <v>0.32608695652173914</v>
      </c>
      <c r="K22" s="3">
        <v>0.13768115942028986</v>
      </c>
      <c r="L22" s="3">
        <v>2.1739130434782608E-2</v>
      </c>
      <c r="M22" s="3">
        <v>6.5217391304347824E-2</v>
      </c>
    </row>
    <row r="23" spans="1:13" x14ac:dyDescent="0.3">
      <c r="A23" s="2">
        <v>202505</v>
      </c>
      <c r="B23" s="1">
        <v>45778</v>
      </c>
      <c r="C23" s="3">
        <v>0</v>
      </c>
      <c r="D23" s="3">
        <v>8.4745762711864406E-3</v>
      </c>
      <c r="E23" s="3">
        <v>8.4745762711864406E-3</v>
      </c>
      <c r="F23" s="3">
        <v>2.5423728813559324E-2</v>
      </c>
      <c r="G23" s="3">
        <v>5.0847457627118647E-2</v>
      </c>
      <c r="H23" s="3">
        <v>7.6271186440677971E-2</v>
      </c>
      <c r="I23" s="3">
        <v>0.1271186440677966</v>
      </c>
      <c r="J23" s="3">
        <v>0.24576271186440679</v>
      </c>
      <c r="K23" s="3">
        <v>0.3559322033898305</v>
      </c>
      <c r="L23" s="3">
        <v>5.0847457627118647E-2</v>
      </c>
      <c r="M23" s="3">
        <v>5.0847457627118647E-2</v>
      </c>
    </row>
    <row r="24" spans="1:13" x14ac:dyDescent="0.3">
      <c r="A24" s="2">
        <v>202506</v>
      </c>
      <c r="B24" s="1">
        <v>45809</v>
      </c>
      <c r="C24" s="3">
        <v>1.680672268907563E-2</v>
      </c>
      <c r="D24" s="3">
        <v>0</v>
      </c>
      <c r="E24" s="3">
        <v>1.680672268907563E-2</v>
      </c>
      <c r="F24" s="3">
        <v>5.8823529411764705E-2</v>
      </c>
      <c r="G24" s="3">
        <v>8.4033613445378148E-3</v>
      </c>
      <c r="H24" s="3">
        <v>0.10084033613445378</v>
      </c>
      <c r="I24" s="3">
        <v>0.14285714285714285</v>
      </c>
      <c r="J24" s="3">
        <v>0.29411764705882354</v>
      </c>
      <c r="K24" s="3">
        <v>0.21008403361344538</v>
      </c>
      <c r="L24" s="3">
        <v>0.1092436974789916</v>
      </c>
      <c r="M24" s="3">
        <v>4.2016806722689079E-2</v>
      </c>
    </row>
    <row r="25" spans="1:13" x14ac:dyDescent="0.3">
      <c r="A25" s="2">
        <v>202507</v>
      </c>
      <c r="B25" s="1">
        <v>45839</v>
      </c>
      <c r="C25" s="3">
        <v>0</v>
      </c>
      <c r="D25" s="3">
        <v>7.7519379844961239E-3</v>
      </c>
      <c r="E25" s="3">
        <v>7.7519379844961239E-3</v>
      </c>
      <c r="F25" s="3">
        <v>4.6511627906976744E-2</v>
      </c>
      <c r="G25" s="3">
        <v>2.3255813953488372E-2</v>
      </c>
      <c r="H25" s="3">
        <v>0.13178294573643412</v>
      </c>
      <c r="I25" s="3">
        <v>0.13178294573643412</v>
      </c>
      <c r="J25" s="3">
        <v>0.29457364341085274</v>
      </c>
      <c r="K25" s="3">
        <v>0.22480620155038761</v>
      </c>
      <c r="L25" s="3">
        <v>6.9767441860465115E-2</v>
      </c>
      <c r="M25" s="3">
        <v>6.2015503875968991E-2</v>
      </c>
    </row>
    <row r="26" spans="1:13" x14ac:dyDescent="0.3">
      <c r="A26" s="2">
        <v>202508</v>
      </c>
      <c r="B26" s="1">
        <v>45870</v>
      </c>
      <c r="C26" s="3">
        <v>3.9215686274509803E-2</v>
      </c>
      <c r="D26" s="3">
        <v>0</v>
      </c>
      <c r="E26" s="3">
        <v>4.9019607843137254E-2</v>
      </c>
      <c r="F26" s="3">
        <v>6.8627450980392163E-2</v>
      </c>
      <c r="G26" s="3">
        <v>5.8823529411764705E-2</v>
      </c>
      <c r="H26" s="3">
        <v>5.8823529411764705E-2</v>
      </c>
      <c r="I26" s="3">
        <v>0.18627450980392157</v>
      </c>
      <c r="J26" s="3">
        <v>0.20588235294117646</v>
      </c>
      <c r="K26" s="3">
        <v>0.18627450980392157</v>
      </c>
      <c r="L26" s="3">
        <v>0.11764705882352941</v>
      </c>
      <c r="M26" s="3">
        <v>2.9411764705882353E-2</v>
      </c>
    </row>
    <row r="27" spans="1:13" x14ac:dyDescent="0.3">
      <c r="A27" s="2">
        <v>202509</v>
      </c>
      <c r="B27" s="1">
        <v>45901</v>
      </c>
      <c r="C27" s="3">
        <v>1.834862385321101E-2</v>
      </c>
      <c r="D27" s="3">
        <v>9.1743119266055051E-3</v>
      </c>
      <c r="E27" s="3">
        <v>3.669724770642202E-2</v>
      </c>
      <c r="F27" s="3">
        <v>2.7522935779816515E-2</v>
      </c>
      <c r="G27" s="3">
        <v>0</v>
      </c>
      <c r="H27" s="3">
        <v>0.10091743119266056</v>
      </c>
      <c r="I27" s="3">
        <v>0.10091743119266056</v>
      </c>
      <c r="J27" s="3">
        <v>0.28440366972477066</v>
      </c>
      <c r="K27" s="3">
        <v>0.25688073394495414</v>
      </c>
      <c r="L27" s="3">
        <v>0.11926605504587157</v>
      </c>
      <c r="M27" s="3">
        <v>4.5871559633027525E-2</v>
      </c>
    </row>
    <row r="28" spans="1:13" x14ac:dyDescent="0.3">
      <c r="A28" s="2">
        <v>202510</v>
      </c>
      <c r="B28" s="1">
        <v>45931</v>
      </c>
      <c r="C28" s="3">
        <v>0</v>
      </c>
      <c r="D28" s="3">
        <v>1.7094017094017096E-2</v>
      </c>
      <c r="E28" s="3">
        <v>3.4188034188034191E-2</v>
      </c>
      <c r="F28" s="3">
        <v>8.5470085470085479E-3</v>
      </c>
      <c r="G28" s="3">
        <v>7.6923076923076927E-2</v>
      </c>
      <c r="H28" s="3">
        <v>0.15384615384615385</v>
      </c>
      <c r="I28" s="3">
        <v>0.10256410256410256</v>
      </c>
      <c r="J28" s="3">
        <v>0.28205128205128205</v>
      </c>
      <c r="K28" s="3">
        <v>0.20512820512820512</v>
      </c>
      <c r="L28" s="3">
        <v>8.5470085470085472E-2</v>
      </c>
      <c r="M28" s="3">
        <v>3.4188034188034191E-2</v>
      </c>
    </row>
    <row r="29" spans="1:13" x14ac:dyDescent="0.3">
      <c r="A29" s="2">
        <v>202511</v>
      </c>
      <c r="B29" s="1">
        <v>45962</v>
      </c>
      <c r="C29" s="3">
        <v>1.8691588785046728E-2</v>
      </c>
      <c r="D29" s="3">
        <v>9.3457943925233638E-3</v>
      </c>
      <c r="E29" s="3">
        <v>1.8691588785046728E-2</v>
      </c>
      <c r="F29" s="3">
        <v>1.8691588785046728E-2</v>
      </c>
      <c r="G29" s="3">
        <v>1.8691588785046728E-2</v>
      </c>
      <c r="H29" s="3">
        <v>0.11214953271028037</v>
      </c>
      <c r="I29" s="3">
        <v>0.14018691588785046</v>
      </c>
      <c r="J29" s="3">
        <v>0.25233644859813081</v>
      </c>
      <c r="K29" s="3">
        <v>0.21495327102803738</v>
      </c>
      <c r="L29" s="3">
        <v>9.3457943925233641E-2</v>
      </c>
      <c r="M29" s="3">
        <v>0.10280373831775701</v>
      </c>
    </row>
    <row r="30" spans="1:13" x14ac:dyDescent="0.3">
      <c r="A30" s="2">
        <v>202512</v>
      </c>
      <c r="B30" s="1">
        <v>45992</v>
      </c>
      <c r="C30" s="3">
        <v>0</v>
      </c>
      <c r="D30" s="3">
        <v>0</v>
      </c>
      <c r="E30" s="3">
        <v>1.0101010101010102E-2</v>
      </c>
      <c r="F30" s="3">
        <v>2.0202020202020204E-2</v>
      </c>
      <c r="G30" s="3">
        <v>1.0101010101010102E-2</v>
      </c>
      <c r="H30" s="3">
        <v>9.0909090909090912E-2</v>
      </c>
      <c r="I30" s="3">
        <v>0.16161616161616163</v>
      </c>
      <c r="J30" s="3">
        <v>0.27272727272727271</v>
      </c>
      <c r="K30" s="3">
        <v>0.28282828282828282</v>
      </c>
      <c r="L30" s="3">
        <v>0.12121212121212122</v>
      </c>
      <c r="M30" s="3">
        <v>3.0303030303030304E-2</v>
      </c>
    </row>
    <row r="31" spans="1:13" x14ac:dyDescent="0.3">
      <c r="A31" s="2">
        <v>202601</v>
      </c>
      <c r="B31" s="1">
        <v>46023</v>
      </c>
      <c r="C31" s="3">
        <v>0</v>
      </c>
      <c r="D31" s="3">
        <v>0.01</v>
      </c>
      <c r="E31" s="3">
        <v>0.05</v>
      </c>
      <c r="F31" s="3">
        <v>0.03</v>
      </c>
      <c r="G31" s="3">
        <v>0.03</v>
      </c>
      <c r="H31" s="3">
        <v>0.09</v>
      </c>
      <c r="I31" s="3">
        <v>0.1</v>
      </c>
      <c r="J31" s="3">
        <v>0.18</v>
      </c>
      <c r="K31" s="3">
        <v>0.28999999999999998</v>
      </c>
      <c r="L31" s="3">
        <v>0.13</v>
      </c>
      <c r="M31" s="3">
        <v>0.09</v>
      </c>
    </row>
    <row r="32" spans="1:13" x14ac:dyDescent="0.3">
      <c r="A32" s="2">
        <v>202602</v>
      </c>
      <c r="B32" s="1">
        <v>46054</v>
      </c>
      <c r="C32" s="3">
        <v>0</v>
      </c>
      <c r="D32" s="3">
        <v>0</v>
      </c>
      <c r="E32" s="3">
        <v>3.7383177570093455E-2</v>
      </c>
      <c r="F32" s="3">
        <v>3.7383177570093455E-2</v>
      </c>
      <c r="G32" s="3">
        <v>2.8037383177570093E-2</v>
      </c>
      <c r="H32" s="3">
        <v>5.6074766355140186E-2</v>
      </c>
      <c r="I32" s="3">
        <v>9.3457943925233641E-2</v>
      </c>
      <c r="J32" s="3">
        <v>0.23364485981308411</v>
      </c>
      <c r="K32" s="3">
        <v>0.29906542056074764</v>
      </c>
      <c r="L32" s="3">
        <v>0.16822429906542055</v>
      </c>
      <c r="M32" s="3">
        <v>4.6728971962616821E-2</v>
      </c>
    </row>
    <row r="33" spans="1:13" x14ac:dyDescent="0.3">
      <c r="A33" s="2">
        <v>202603</v>
      </c>
      <c r="B33" s="1">
        <v>46082</v>
      </c>
      <c r="C33" s="3">
        <v>4.807692307692308E-3</v>
      </c>
      <c r="D33" s="3">
        <v>9.6153846153846159E-3</v>
      </c>
      <c r="E33" s="3">
        <v>2.403846153846154E-2</v>
      </c>
      <c r="F33" s="3">
        <v>2.403846153846154E-2</v>
      </c>
      <c r="G33" s="3">
        <v>2.403846153846154E-2</v>
      </c>
      <c r="H33" s="3">
        <v>9.1346153846153841E-2</v>
      </c>
      <c r="I33" s="3">
        <v>0.18269230769230768</v>
      </c>
      <c r="J33" s="3">
        <v>0.29326923076923078</v>
      </c>
      <c r="K33" s="3">
        <v>0.22596153846153846</v>
      </c>
      <c r="L33" s="3">
        <v>8.1730769230769232E-2</v>
      </c>
      <c r="M33" s="3">
        <v>3.8461538461538464E-2</v>
      </c>
    </row>
    <row r="34" spans="1:13" x14ac:dyDescent="0.3">
      <c r="A34" s="2">
        <v>202604</v>
      </c>
      <c r="B34" s="1">
        <v>46113</v>
      </c>
      <c r="C34" s="3">
        <v>1.6393442622950821E-2</v>
      </c>
      <c r="D34" s="3">
        <v>0</v>
      </c>
      <c r="E34" s="3">
        <v>8.1967213114754103E-3</v>
      </c>
      <c r="F34" s="3">
        <v>8.1967213114754103E-3</v>
      </c>
      <c r="G34" s="3">
        <v>0</v>
      </c>
      <c r="H34" s="3">
        <v>7.3770491803278687E-2</v>
      </c>
      <c r="I34" s="3">
        <v>0.11475409836065574</v>
      </c>
      <c r="J34" s="3">
        <v>0.22950819672131148</v>
      </c>
      <c r="K34" s="3">
        <v>0.35245901639344263</v>
      </c>
      <c r="L34" s="3">
        <v>9.8360655737704916E-2</v>
      </c>
      <c r="M34" s="3">
        <v>9.8360655737704916E-2</v>
      </c>
    </row>
    <row r="35" spans="1:13" x14ac:dyDescent="0.3">
      <c r="A35" s="2">
        <v>202605</v>
      </c>
      <c r="B35" s="1">
        <v>46143</v>
      </c>
      <c r="C35" s="3">
        <v>0</v>
      </c>
      <c r="D35" s="3">
        <v>0</v>
      </c>
      <c r="E35" s="3">
        <v>0</v>
      </c>
      <c r="F35" s="3">
        <v>9.433962264150943E-3</v>
      </c>
      <c r="G35" s="3">
        <v>7.5471698113207544E-2</v>
      </c>
      <c r="H35" s="3">
        <v>8.4905660377358486E-2</v>
      </c>
      <c r="I35" s="3">
        <v>0.17924528301886791</v>
      </c>
      <c r="J35" s="3">
        <v>0.29245283018867924</v>
      </c>
      <c r="K35" s="3">
        <v>0.20754716981132076</v>
      </c>
      <c r="L35" s="3">
        <v>8.4905660377358486E-2</v>
      </c>
      <c r="M35" s="3">
        <v>6.6037735849056603E-2</v>
      </c>
    </row>
    <row r="36" spans="1:13" x14ac:dyDescent="0.3">
      <c r="A36" s="2">
        <v>202606</v>
      </c>
      <c r="B36" s="1">
        <v>46174</v>
      </c>
      <c r="C36" s="3">
        <v>9.1743119266055051E-3</v>
      </c>
      <c r="D36" s="3">
        <v>0</v>
      </c>
      <c r="E36" s="3">
        <v>4.5871559633027525E-2</v>
      </c>
      <c r="F36" s="3">
        <v>3.669724770642202E-2</v>
      </c>
      <c r="G36" s="3">
        <v>5.5045871559633031E-2</v>
      </c>
      <c r="H36" s="3">
        <v>0.16513761467889909</v>
      </c>
      <c r="I36" s="3">
        <v>0.11926605504587157</v>
      </c>
      <c r="J36" s="3">
        <v>0.24770642201834864</v>
      </c>
      <c r="K36" s="3">
        <v>0.23853211009174313</v>
      </c>
      <c r="L36" s="3">
        <v>2.7522935779816515E-2</v>
      </c>
      <c r="M36" s="3">
        <v>5.5045871559633031E-2</v>
      </c>
    </row>
    <row r="37" spans="1:13" x14ac:dyDescent="0.3">
      <c r="A37" s="2">
        <v>202607</v>
      </c>
      <c r="B37" s="1">
        <v>46204</v>
      </c>
      <c r="C37" s="3">
        <v>0</v>
      </c>
      <c r="D37" s="3">
        <v>0</v>
      </c>
      <c r="E37" s="3">
        <v>9.3457943925233638E-3</v>
      </c>
      <c r="F37" s="3">
        <v>2.8037383177570093E-2</v>
      </c>
      <c r="G37" s="3">
        <v>4.6728971962616821E-2</v>
      </c>
      <c r="H37" s="3">
        <v>0.15887850467289721</v>
      </c>
      <c r="I37" s="3">
        <v>0.16822429906542055</v>
      </c>
      <c r="J37" s="3">
        <v>0.30841121495327101</v>
      </c>
      <c r="K37" s="3">
        <v>0.20560747663551401</v>
      </c>
      <c r="L37" s="3">
        <v>4.6728971962616821E-2</v>
      </c>
      <c r="M37" s="3">
        <v>2.8037383177570093E-2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32A9-6954-45F9-90C1-D093A8C30A43}">
  <dimension ref="A1:K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21.5546875" bestFit="1" customWidth="1"/>
    <col min="4" max="4" width="24.5546875" bestFit="1" customWidth="1"/>
    <col min="5" max="5" width="15.77734375" bestFit="1" customWidth="1"/>
    <col min="6" max="6" width="30.88671875" bestFit="1" customWidth="1"/>
    <col min="7" max="7" width="41.6640625" bestFit="1" customWidth="1"/>
    <col min="8" max="8" width="36.88671875" bestFit="1" customWidth="1"/>
    <col min="9" max="9" width="29" bestFit="1" customWidth="1"/>
    <col min="10" max="10" width="26.21875" bestFit="1" customWidth="1"/>
    <col min="11" max="11" width="20.21875" bestFit="1" customWidth="1"/>
    <col min="12" max="12" width="8" bestFit="1" customWidth="1"/>
  </cols>
  <sheetData>
    <row r="1" spans="1:11" s="5" customFormat="1" x14ac:dyDescent="0.3">
      <c r="A1" s="5" t="s">
        <v>0</v>
      </c>
      <c r="B1" s="5" t="s">
        <v>1</v>
      </c>
      <c r="C1" s="5" t="s">
        <v>130</v>
      </c>
      <c r="D1" s="5" t="s">
        <v>137</v>
      </c>
      <c r="E1" s="5" t="s">
        <v>150</v>
      </c>
      <c r="F1" s="5" t="s">
        <v>144</v>
      </c>
      <c r="G1" s="5" t="s">
        <v>142</v>
      </c>
      <c r="H1" s="5" t="s">
        <v>135</v>
      </c>
      <c r="I1" s="5" t="s">
        <v>132</v>
      </c>
      <c r="J1" s="5" t="s">
        <v>139</v>
      </c>
      <c r="K1" s="5" t="s">
        <v>147</v>
      </c>
    </row>
    <row r="2" spans="1:11" x14ac:dyDescent="0.3">
      <c r="A2" s="2">
        <v>202308</v>
      </c>
      <c r="B2" s="1">
        <v>45139</v>
      </c>
      <c r="C2" s="3">
        <v>0.37654320987654322</v>
      </c>
      <c r="D2" s="3">
        <v>0</v>
      </c>
      <c r="E2" s="3">
        <v>6.1728395061728392E-3</v>
      </c>
      <c r="F2" s="3"/>
      <c r="G2" s="3">
        <v>8.0246913580246909E-2</v>
      </c>
      <c r="H2" s="3">
        <v>6.1728395061728392E-3</v>
      </c>
      <c r="I2" s="3">
        <v>8.6419753086419748E-2</v>
      </c>
      <c r="J2" s="3">
        <v>4.9382716049382713E-2</v>
      </c>
      <c r="K2" s="3"/>
    </row>
    <row r="3" spans="1:11" x14ac:dyDescent="0.3">
      <c r="A3" s="2">
        <v>202309</v>
      </c>
      <c r="B3" s="1">
        <v>45170</v>
      </c>
      <c r="C3" s="3">
        <v>0.39344262295081966</v>
      </c>
      <c r="D3" s="3">
        <v>2.4590163934426229E-2</v>
      </c>
      <c r="E3" s="3">
        <v>0</v>
      </c>
      <c r="F3" s="3"/>
      <c r="G3" s="3">
        <v>0.11475409836065574</v>
      </c>
      <c r="H3" s="3">
        <v>1.6393442622950821E-2</v>
      </c>
      <c r="I3" s="3">
        <v>0.11475409836065574</v>
      </c>
      <c r="J3" s="3">
        <v>4.9180327868852458E-2</v>
      </c>
      <c r="K3" s="3"/>
    </row>
    <row r="4" spans="1:11" x14ac:dyDescent="0.3">
      <c r="A4" s="2">
        <v>202310</v>
      </c>
      <c r="B4" s="1">
        <v>45200</v>
      </c>
      <c r="C4" s="3">
        <v>0.27572815533980582</v>
      </c>
      <c r="D4" s="3">
        <v>2.1359223300970873E-2</v>
      </c>
      <c r="E4" s="3">
        <v>1.7475728155339806E-2</v>
      </c>
      <c r="F4" s="3"/>
      <c r="G4" s="3">
        <v>0.19805825242718447</v>
      </c>
      <c r="H4" s="3">
        <v>2.1359223300970873E-2</v>
      </c>
      <c r="I4" s="3">
        <v>7.7669902912621352E-2</v>
      </c>
      <c r="J4" s="3">
        <v>2.1359223300970873E-2</v>
      </c>
      <c r="K4" s="3"/>
    </row>
    <row r="5" spans="1:11" x14ac:dyDescent="0.3">
      <c r="A5" s="2">
        <v>202311</v>
      </c>
      <c r="B5" s="1">
        <v>45231</v>
      </c>
      <c r="C5" s="3">
        <v>0.46260387811634351</v>
      </c>
      <c r="D5" s="3">
        <v>2.2160664819944598E-2</v>
      </c>
      <c r="E5" s="3">
        <v>5.5401662049861496E-3</v>
      </c>
      <c r="F5" s="3"/>
      <c r="G5" s="3">
        <v>8.8642659279778394E-2</v>
      </c>
      <c r="H5" s="3">
        <v>2.4930747922437674E-2</v>
      </c>
      <c r="I5" s="3">
        <v>8.8642659279778394E-2</v>
      </c>
      <c r="J5" s="3">
        <v>7.2022160664819951E-2</v>
      </c>
      <c r="K5" s="3"/>
    </row>
    <row r="6" spans="1:11" x14ac:dyDescent="0.3">
      <c r="A6" s="2">
        <v>202312</v>
      </c>
      <c r="B6" s="1">
        <v>45261</v>
      </c>
      <c r="C6" s="3">
        <v>0.49816849816849818</v>
      </c>
      <c r="D6" s="3">
        <v>1.4652014652014652E-2</v>
      </c>
      <c r="E6" s="3">
        <v>3.663003663003663E-3</v>
      </c>
      <c r="F6" s="3"/>
      <c r="G6" s="3">
        <v>3.6630036630036632E-2</v>
      </c>
      <c r="H6" s="3">
        <v>1.098901098901099E-2</v>
      </c>
      <c r="I6" s="3">
        <v>0.12087912087912088</v>
      </c>
      <c r="J6" s="3">
        <v>6.5934065934065936E-2</v>
      </c>
      <c r="K6" s="3"/>
    </row>
    <row r="7" spans="1:11" x14ac:dyDescent="0.3">
      <c r="A7" s="2">
        <v>202401</v>
      </c>
      <c r="B7" s="1">
        <v>45292</v>
      </c>
      <c r="C7" s="3">
        <v>0.43537414965986393</v>
      </c>
      <c r="D7" s="3">
        <v>2.7210884353741496E-2</v>
      </c>
      <c r="E7" s="3">
        <v>0</v>
      </c>
      <c r="F7" s="3"/>
      <c r="G7" s="3">
        <v>8.8435374149659865E-2</v>
      </c>
      <c r="H7" s="3">
        <v>0</v>
      </c>
      <c r="I7" s="3">
        <v>0.12244897959183673</v>
      </c>
      <c r="J7" s="3">
        <v>8.8435374149659865E-2</v>
      </c>
      <c r="K7" s="3"/>
    </row>
    <row r="8" spans="1:11" x14ac:dyDescent="0.3">
      <c r="A8" s="2">
        <v>202402</v>
      </c>
      <c r="B8" s="1">
        <v>45323</v>
      </c>
      <c r="C8" s="3">
        <v>0.52112676056338025</v>
      </c>
      <c r="D8" s="3">
        <v>2.8169014084507043E-2</v>
      </c>
      <c r="E8" s="3">
        <v>7.0422535211267607E-3</v>
      </c>
      <c r="F8" s="3"/>
      <c r="G8" s="3">
        <v>0.10563380281690141</v>
      </c>
      <c r="H8" s="3">
        <v>7.0422535211267607E-3</v>
      </c>
      <c r="I8" s="3">
        <v>9.8591549295774641E-2</v>
      </c>
      <c r="J8" s="3">
        <v>5.6338028169014086E-2</v>
      </c>
      <c r="K8" s="3"/>
    </row>
    <row r="9" spans="1:11" x14ac:dyDescent="0.3">
      <c r="A9" s="2">
        <v>202403</v>
      </c>
      <c r="B9" s="1">
        <v>45352</v>
      </c>
      <c r="C9" s="3">
        <v>0.47101449275362317</v>
      </c>
      <c r="D9" s="3">
        <v>1.4492753623188406E-2</v>
      </c>
      <c r="E9" s="3">
        <v>2.1739130434782608E-2</v>
      </c>
      <c r="F9" s="3"/>
      <c r="G9" s="3">
        <v>6.5217391304347824E-2</v>
      </c>
      <c r="H9" s="3">
        <v>0</v>
      </c>
      <c r="I9" s="3">
        <v>0.10869565217391304</v>
      </c>
      <c r="J9" s="3">
        <v>7.9710144927536225E-2</v>
      </c>
      <c r="K9" s="3"/>
    </row>
    <row r="10" spans="1:11" x14ac:dyDescent="0.3">
      <c r="A10" s="2">
        <v>202404</v>
      </c>
      <c r="B10" s="1">
        <v>45383</v>
      </c>
      <c r="C10" s="3">
        <v>0.39183673469387753</v>
      </c>
      <c r="D10" s="3">
        <v>4.0816326530612242E-2</v>
      </c>
      <c r="E10" s="3">
        <v>8.1632653061224497E-3</v>
      </c>
      <c r="F10" s="3"/>
      <c r="G10" s="3">
        <v>0.13469387755102041</v>
      </c>
      <c r="H10" s="3">
        <v>8.1632653061224497E-3</v>
      </c>
      <c r="I10" s="3">
        <v>0.10612244897959183</v>
      </c>
      <c r="J10" s="3">
        <v>7.3469387755102047E-2</v>
      </c>
      <c r="K10" s="3"/>
    </row>
    <row r="11" spans="1:11" x14ac:dyDescent="0.3">
      <c r="A11" s="2">
        <v>202405</v>
      </c>
      <c r="B11" s="1">
        <v>45413</v>
      </c>
      <c r="C11" s="3">
        <v>0.51106639839034207</v>
      </c>
      <c r="D11" s="3">
        <v>3.2193158953722337E-2</v>
      </c>
      <c r="E11" s="3">
        <v>8.0482897384305842E-3</v>
      </c>
      <c r="F11" s="3"/>
      <c r="G11" s="3">
        <v>0.11267605633802817</v>
      </c>
      <c r="H11" s="3">
        <v>4.6277665995975853E-2</v>
      </c>
      <c r="I11" s="3">
        <v>0.10462776659959759</v>
      </c>
      <c r="J11" s="3">
        <v>4.2253521126760563E-2</v>
      </c>
      <c r="K11" s="3"/>
    </row>
    <row r="12" spans="1:11" x14ac:dyDescent="0.3">
      <c r="A12" s="2">
        <v>202406</v>
      </c>
      <c r="B12" s="1">
        <v>45444</v>
      </c>
      <c r="C12" s="3">
        <v>0.61061946902654862</v>
      </c>
      <c r="D12" s="3">
        <v>3.0973451327433628E-2</v>
      </c>
      <c r="E12" s="3">
        <v>8.8495575221238937E-3</v>
      </c>
      <c r="F12" s="3"/>
      <c r="G12" s="3">
        <v>0.11061946902654868</v>
      </c>
      <c r="H12" s="3">
        <v>7.5221238938053103E-2</v>
      </c>
      <c r="I12" s="3">
        <v>8.8495575221238937E-2</v>
      </c>
      <c r="J12" s="3">
        <v>2.2123893805309734E-2</v>
      </c>
      <c r="K12" s="3"/>
    </row>
    <row r="13" spans="1:11" x14ac:dyDescent="0.3">
      <c r="A13" s="2">
        <v>202407</v>
      </c>
      <c r="B13" s="1">
        <v>45474</v>
      </c>
      <c r="C13" s="3">
        <v>0.6785714285714286</v>
      </c>
      <c r="D13" s="3">
        <v>2.6785714285714284E-2</v>
      </c>
      <c r="E13" s="3">
        <v>3.5714285714285712E-2</v>
      </c>
      <c r="F13" s="3"/>
      <c r="G13" s="3">
        <v>2.6785714285714284E-2</v>
      </c>
      <c r="H13" s="3">
        <v>5.3571428571428568E-2</v>
      </c>
      <c r="I13" s="3">
        <v>9.8214285714285712E-2</v>
      </c>
      <c r="J13" s="3">
        <v>2.6785714285714284E-2</v>
      </c>
      <c r="K13" s="3"/>
    </row>
    <row r="14" spans="1:11" x14ac:dyDescent="0.3">
      <c r="A14" s="2">
        <v>202408</v>
      </c>
      <c r="B14" s="1">
        <v>45505</v>
      </c>
      <c r="C14" s="3">
        <v>0.54166666666666663</v>
      </c>
      <c r="D14" s="3">
        <v>3.6764705882352942E-2</v>
      </c>
      <c r="E14" s="3">
        <v>1.7156862745098041E-2</v>
      </c>
      <c r="F14" s="3"/>
      <c r="G14" s="3">
        <v>1.4705882352941176E-2</v>
      </c>
      <c r="H14" s="3">
        <v>9.5588235294117641E-2</v>
      </c>
      <c r="I14" s="3">
        <v>7.8431372549019607E-2</v>
      </c>
      <c r="J14" s="3">
        <v>4.1666666666666664E-2</v>
      </c>
      <c r="K14" s="3"/>
    </row>
    <row r="15" spans="1:11" x14ac:dyDescent="0.3">
      <c r="A15" s="2">
        <v>202409</v>
      </c>
      <c r="B15" s="1">
        <v>45536</v>
      </c>
      <c r="C15" s="3">
        <v>0.57861635220125784</v>
      </c>
      <c r="D15" s="3">
        <v>5.6603773584905662E-2</v>
      </c>
      <c r="E15" s="3">
        <v>1.8867924528301886E-2</v>
      </c>
      <c r="F15" s="3"/>
      <c r="G15" s="3">
        <v>2.5157232704402517E-2</v>
      </c>
      <c r="H15" s="3">
        <v>0.1069182389937107</v>
      </c>
      <c r="I15" s="3">
        <v>6.9182389937106917E-2</v>
      </c>
      <c r="J15" s="3">
        <v>0</v>
      </c>
      <c r="K15" s="3"/>
    </row>
    <row r="16" spans="1:11" x14ac:dyDescent="0.3">
      <c r="A16" s="2">
        <v>202410</v>
      </c>
      <c r="B16" s="1">
        <v>45566</v>
      </c>
      <c r="C16" s="3">
        <v>0.59602649006622521</v>
      </c>
      <c r="D16" s="3">
        <v>3.9735099337748346E-2</v>
      </c>
      <c r="E16" s="3">
        <v>6.6225165562913907E-3</v>
      </c>
      <c r="F16" s="3"/>
      <c r="G16" s="3">
        <v>6.6225165562913907E-3</v>
      </c>
      <c r="H16" s="3">
        <v>0.19205298013245034</v>
      </c>
      <c r="I16" s="3">
        <v>6.6225165562913912E-2</v>
      </c>
      <c r="J16" s="3">
        <v>3.3112582781456956E-2</v>
      </c>
      <c r="K16" s="3"/>
    </row>
    <row r="17" spans="1:11" x14ac:dyDescent="0.3">
      <c r="A17" s="2">
        <v>202411</v>
      </c>
      <c r="B17" s="1">
        <v>45597</v>
      </c>
      <c r="C17" s="3">
        <v>0.75316455696202533</v>
      </c>
      <c r="D17" s="3">
        <v>5.6962025316455694E-2</v>
      </c>
      <c r="E17" s="3">
        <v>1.2658227848101266E-2</v>
      </c>
      <c r="F17" s="3"/>
      <c r="G17" s="3">
        <v>1.8987341772151899E-2</v>
      </c>
      <c r="H17" s="3">
        <v>8.8607594936708861E-2</v>
      </c>
      <c r="I17" s="3">
        <v>3.1645569620253167E-2</v>
      </c>
      <c r="J17" s="3">
        <v>1.2658227848101266E-2</v>
      </c>
      <c r="K17" s="3"/>
    </row>
    <row r="18" spans="1:11" x14ac:dyDescent="0.3">
      <c r="A18" s="2">
        <v>202412</v>
      </c>
      <c r="B18" s="1">
        <v>45627</v>
      </c>
      <c r="C18" s="3">
        <v>0.65248226950354615</v>
      </c>
      <c r="D18" s="3">
        <v>4.9645390070921988E-2</v>
      </c>
      <c r="E18" s="3">
        <v>2.1276595744680851E-2</v>
      </c>
      <c r="F18" s="3"/>
      <c r="G18" s="3">
        <v>1.4184397163120567E-2</v>
      </c>
      <c r="H18" s="3">
        <v>0.16312056737588654</v>
      </c>
      <c r="I18" s="3">
        <v>4.9645390070921988E-2</v>
      </c>
      <c r="J18" s="3">
        <v>2.8368794326241134E-2</v>
      </c>
      <c r="K18" s="3"/>
    </row>
    <row r="19" spans="1:11" x14ac:dyDescent="0.3">
      <c r="A19" s="2">
        <v>202501</v>
      </c>
      <c r="B19" s="1">
        <v>45658</v>
      </c>
      <c r="C19" s="3">
        <v>0.60830860534124631</v>
      </c>
      <c r="D19" s="3">
        <v>4.7477744807121663E-2</v>
      </c>
      <c r="E19" s="3">
        <v>1.1869436201780416E-2</v>
      </c>
      <c r="F19" s="3"/>
      <c r="G19" s="3">
        <v>1.1869436201780416E-2</v>
      </c>
      <c r="H19" s="3">
        <v>0.18694362017804153</v>
      </c>
      <c r="I19" s="3">
        <v>8.9020771513353122E-2</v>
      </c>
      <c r="J19" s="3">
        <v>5.9347181008902079E-3</v>
      </c>
      <c r="K19" s="3"/>
    </row>
    <row r="20" spans="1:11" x14ac:dyDescent="0.3">
      <c r="A20" s="2">
        <v>202502</v>
      </c>
      <c r="B20" s="1">
        <v>45689</v>
      </c>
      <c r="C20" s="3">
        <v>0.6645962732919255</v>
      </c>
      <c r="D20" s="3">
        <v>4.9689440993788817E-2</v>
      </c>
      <c r="E20" s="3">
        <v>6.2111801242236021E-3</v>
      </c>
      <c r="F20" s="3"/>
      <c r="G20" s="3">
        <v>2.4844720496894408E-2</v>
      </c>
      <c r="H20" s="3">
        <v>0.13664596273291926</v>
      </c>
      <c r="I20" s="3">
        <v>6.8322981366459631E-2</v>
      </c>
      <c r="J20" s="3">
        <v>1.2422360248447204E-2</v>
      </c>
      <c r="K20" s="3"/>
    </row>
    <row r="21" spans="1:11" x14ac:dyDescent="0.3">
      <c r="A21" s="2">
        <v>202503</v>
      </c>
      <c r="B21" s="1">
        <v>45717</v>
      </c>
      <c r="C21" s="3">
        <v>0.6</v>
      </c>
      <c r="D21" s="3">
        <v>0.05</v>
      </c>
      <c r="E21" s="3">
        <v>5.5555555555555558E-3</v>
      </c>
      <c r="F21" s="3"/>
      <c r="G21" s="3">
        <v>1.6666666666666666E-2</v>
      </c>
      <c r="H21" s="3">
        <v>0.12222222222222222</v>
      </c>
      <c r="I21" s="3">
        <v>0.10555555555555556</v>
      </c>
      <c r="J21" s="3">
        <v>3.3333333333333333E-2</v>
      </c>
      <c r="K21" s="3"/>
    </row>
    <row r="22" spans="1:11" x14ac:dyDescent="0.3">
      <c r="A22" s="2">
        <v>202504</v>
      </c>
      <c r="B22" s="1">
        <v>45748</v>
      </c>
      <c r="C22" s="3">
        <v>0.4420289855072464</v>
      </c>
      <c r="D22" s="3">
        <v>6.5217391304347824E-2</v>
      </c>
      <c r="E22" s="3">
        <v>0</v>
      </c>
      <c r="F22" s="3"/>
      <c r="G22" s="3">
        <v>1.4492753623188406E-2</v>
      </c>
      <c r="H22" s="3">
        <v>5.7971014492753624E-2</v>
      </c>
      <c r="I22" s="3">
        <v>8.6956521739130432E-2</v>
      </c>
      <c r="J22" s="3">
        <v>9.420289855072464E-2</v>
      </c>
      <c r="K22" s="3"/>
    </row>
    <row r="23" spans="1:11" x14ac:dyDescent="0.3">
      <c r="A23" s="2">
        <v>202505</v>
      </c>
      <c r="B23" s="1">
        <v>45778</v>
      </c>
      <c r="C23" s="3">
        <v>0.55084745762711862</v>
      </c>
      <c r="D23" s="3">
        <v>5.0847457627118647E-2</v>
      </c>
      <c r="E23" s="3">
        <v>0</v>
      </c>
      <c r="F23" s="3"/>
      <c r="G23" s="3">
        <v>1.6949152542372881E-2</v>
      </c>
      <c r="H23" s="3">
        <v>8.4745762711864403E-2</v>
      </c>
      <c r="I23" s="3">
        <v>0.13559322033898305</v>
      </c>
      <c r="J23" s="3">
        <v>8.4745762711864406E-3</v>
      </c>
      <c r="K23" s="3"/>
    </row>
    <row r="24" spans="1:11" x14ac:dyDescent="0.3">
      <c r="A24" s="2">
        <v>202506</v>
      </c>
      <c r="B24" s="1">
        <v>45809</v>
      </c>
      <c r="C24" s="3">
        <v>0.65546218487394958</v>
      </c>
      <c r="D24" s="3">
        <v>3.3613445378151259E-2</v>
      </c>
      <c r="E24" s="3">
        <v>0</v>
      </c>
      <c r="F24" s="3"/>
      <c r="G24" s="3">
        <v>0</v>
      </c>
      <c r="H24" s="3">
        <v>2.5210084033613446E-2</v>
      </c>
      <c r="I24" s="3">
        <v>0.14285714285714285</v>
      </c>
      <c r="J24" s="3">
        <v>5.8823529411764705E-2</v>
      </c>
      <c r="K24" s="3"/>
    </row>
    <row r="25" spans="1:11" x14ac:dyDescent="0.3">
      <c r="A25" s="2">
        <v>202507</v>
      </c>
      <c r="B25" s="1">
        <v>45839</v>
      </c>
      <c r="C25" s="3">
        <v>0.46511627906976744</v>
      </c>
      <c r="D25" s="3">
        <v>3.1007751937984496E-2</v>
      </c>
      <c r="E25" s="3">
        <v>0</v>
      </c>
      <c r="F25" s="3"/>
      <c r="G25" s="3">
        <v>7.7519379844961239E-3</v>
      </c>
      <c r="H25" s="3">
        <v>8.5271317829457363E-2</v>
      </c>
      <c r="I25" s="3">
        <v>0.21705426356589147</v>
      </c>
      <c r="J25" s="3">
        <v>3.875968992248062E-2</v>
      </c>
      <c r="K25" s="3"/>
    </row>
    <row r="26" spans="1:11" x14ac:dyDescent="0.3">
      <c r="A26" s="2">
        <v>202508</v>
      </c>
      <c r="B26" s="1">
        <v>45870</v>
      </c>
      <c r="C26" s="3">
        <v>0.41176470588235292</v>
      </c>
      <c r="D26" s="3">
        <v>1.9607843137254902E-2</v>
      </c>
      <c r="E26" s="3">
        <v>0</v>
      </c>
      <c r="F26" s="3"/>
      <c r="G26" s="3">
        <v>9.8039215686274508E-3</v>
      </c>
      <c r="H26" s="3">
        <v>4.9019607843137254E-2</v>
      </c>
      <c r="I26" s="3">
        <v>0.28431372549019607</v>
      </c>
      <c r="J26" s="3">
        <v>0.11764705882352941</v>
      </c>
      <c r="K26" s="3"/>
    </row>
    <row r="27" spans="1:11" x14ac:dyDescent="0.3">
      <c r="A27" s="2">
        <v>202509</v>
      </c>
      <c r="B27" s="1">
        <v>45901</v>
      </c>
      <c r="C27" s="3">
        <v>0.40366972477064222</v>
      </c>
      <c r="D27" s="3">
        <v>9.1743119266055051E-3</v>
      </c>
      <c r="E27" s="3">
        <v>9.1743119266055051E-3</v>
      </c>
      <c r="F27" s="3"/>
      <c r="G27" s="3">
        <v>9.1743119266055051E-3</v>
      </c>
      <c r="H27" s="3">
        <v>9.1743119266055051E-2</v>
      </c>
      <c r="I27" s="3">
        <v>0.29357798165137616</v>
      </c>
      <c r="J27" s="3">
        <v>5.5045871559633031E-2</v>
      </c>
      <c r="K27" s="3"/>
    </row>
    <row r="28" spans="1:11" x14ac:dyDescent="0.3">
      <c r="A28" s="2">
        <v>202510</v>
      </c>
      <c r="B28" s="1">
        <v>45931</v>
      </c>
      <c r="C28" s="3">
        <v>0.66666666666666663</v>
      </c>
      <c r="D28" s="3">
        <v>1.7094017094017096E-2</v>
      </c>
      <c r="E28" s="3">
        <v>0</v>
      </c>
      <c r="F28" s="3"/>
      <c r="G28" s="3">
        <v>0</v>
      </c>
      <c r="H28" s="3">
        <v>5.128205128205128E-2</v>
      </c>
      <c r="I28" s="3">
        <v>0.15384615384615385</v>
      </c>
      <c r="J28" s="3">
        <v>4.2735042735042736E-2</v>
      </c>
      <c r="K28" s="3"/>
    </row>
    <row r="29" spans="1:11" x14ac:dyDescent="0.3">
      <c r="A29" s="2">
        <v>202511</v>
      </c>
      <c r="B29" s="1">
        <v>45962</v>
      </c>
      <c r="C29" s="3">
        <v>0.56074766355140182</v>
      </c>
      <c r="D29" s="3">
        <v>9.3457943925233638E-3</v>
      </c>
      <c r="E29" s="3">
        <v>0</v>
      </c>
      <c r="F29" s="3"/>
      <c r="G29" s="3">
        <v>9.3457943925233638E-3</v>
      </c>
      <c r="H29" s="3">
        <v>0.14018691588785046</v>
      </c>
      <c r="I29" s="3">
        <v>0.12149532710280374</v>
      </c>
      <c r="J29" s="3">
        <v>7.476635514018691E-2</v>
      </c>
      <c r="K29" s="3"/>
    </row>
    <row r="30" spans="1:11" x14ac:dyDescent="0.3">
      <c r="A30" s="2">
        <v>202512</v>
      </c>
      <c r="B30" s="1">
        <v>45992</v>
      </c>
      <c r="C30" s="3">
        <v>0.40404040404040403</v>
      </c>
      <c r="D30" s="3">
        <v>4.0404040404040407E-2</v>
      </c>
      <c r="E30" s="3">
        <v>0</v>
      </c>
      <c r="F30" s="3"/>
      <c r="G30" s="3">
        <v>1.0101010101010102E-2</v>
      </c>
      <c r="H30" s="3">
        <v>8.0808080808080815E-2</v>
      </c>
      <c r="I30" s="3">
        <v>0.34343434343434343</v>
      </c>
      <c r="J30" s="3">
        <v>4.0404040404040407E-2</v>
      </c>
      <c r="K30" s="3"/>
    </row>
    <row r="31" spans="1:11" x14ac:dyDescent="0.3">
      <c r="A31" s="2">
        <v>202601</v>
      </c>
      <c r="B31" s="1">
        <v>46023</v>
      </c>
      <c r="C31" s="3">
        <v>0.41</v>
      </c>
      <c r="D31" s="3">
        <v>0.02</v>
      </c>
      <c r="E31" s="3">
        <v>0.02</v>
      </c>
      <c r="F31" s="3"/>
      <c r="G31" s="3">
        <v>0</v>
      </c>
      <c r="H31" s="3">
        <v>0.03</v>
      </c>
      <c r="I31" s="3">
        <v>0.3</v>
      </c>
      <c r="J31" s="3">
        <v>0.14000000000000001</v>
      </c>
      <c r="K31" s="3"/>
    </row>
    <row r="32" spans="1:11" x14ac:dyDescent="0.3">
      <c r="A32" s="2">
        <v>202602</v>
      </c>
      <c r="B32" s="1">
        <v>46054</v>
      </c>
      <c r="C32" s="3">
        <v>0.46728971962616822</v>
      </c>
      <c r="D32" s="3">
        <v>9.3457943925233638E-3</v>
      </c>
      <c r="E32" s="3">
        <v>0</v>
      </c>
      <c r="F32" s="3"/>
      <c r="G32" s="3">
        <v>2.8037383177570093E-2</v>
      </c>
      <c r="H32" s="3">
        <v>1.8691588785046728E-2</v>
      </c>
      <c r="I32" s="3">
        <v>0.29906542056074764</v>
      </c>
      <c r="J32" s="3">
        <v>0.10280373831775701</v>
      </c>
      <c r="K32" s="3"/>
    </row>
    <row r="33" spans="1:11" x14ac:dyDescent="0.3">
      <c r="A33" s="2">
        <v>202603</v>
      </c>
      <c r="B33" s="1">
        <v>46082</v>
      </c>
      <c r="C33" s="3">
        <v>0.29807692307692307</v>
      </c>
      <c r="D33" s="3">
        <v>9.6153846153846159E-3</v>
      </c>
      <c r="E33" s="3">
        <v>0</v>
      </c>
      <c r="F33" s="3"/>
      <c r="G33" s="3">
        <v>1.9230769230769232E-2</v>
      </c>
      <c r="H33" s="3">
        <v>9.6153846153846159E-2</v>
      </c>
      <c r="I33" s="3">
        <v>0.26442307692307693</v>
      </c>
      <c r="J33" s="3">
        <v>0.25961538461538464</v>
      </c>
      <c r="K33" s="3"/>
    </row>
    <row r="34" spans="1:11" x14ac:dyDescent="0.3">
      <c r="A34" s="2">
        <v>202604</v>
      </c>
      <c r="B34" s="1">
        <v>46113</v>
      </c>
      <c r="C34" s="3">
        <v>0.54918032786885251</v>
      </c>
      <c r="D34" s="3">
        <v>0.40163934426229508</v>
      </c>
      <c r="E34" s="3">
        <v>8.1967213114754092E-2</v>
      </c>
      <c r="F34" s="3">
        <v>0.22950819672131148</v>
      </c>
      <c r="G34" s="3">
        <v>0</v>
      </c>
      <c r="H34" s="3">
        <v>0</v>
      </c>
      <c r="I34" s="3">
        <v>0</v>
      </c>
      <c r="J34" s="3">
        <v>0.56557377049180324</v>
      </c>
      <c r="K34" s="3">
        <v>0.31147540983606559</v>
      </c>
    </row>
    <row r="35" spans="1:11" x14ac:dyDescent="0.3">
      <c r="A35" s="2">
        <v>202605</v>
      </c>
      <c r="B35" s="1">
        <v>46143</v>
      </c>
      <c r="C35" s="3">
        <v>0.59433962264150941</v>
      </c>
      <c r="D35" s="3">
        <v>0.41509433962264153</v>
      </c>
      <c r="E35" s="3">
        <v>4.716981132075472E-2</v>
      </c>
      <c r="F35" s="3">
        <v>0.18867924528301888</v>
      </c>
      <c r="G35" s="3">
        <v>0</v>
      </c>
      <c r="H35" s="3">
        <v>0</v>
      </c>
      <c r="I35" s="3">
        <v>0</v>
      </c>
      <c r="J35" s="3">
        <v>0.44339622641509435</v>
      </c>
      <c r="K35" s="3">
        <v>0.13207547169811321</v>
      </c>
    </row>
    <row r="36" spans="1:11" x14ac:dyDescent="0.3">
      <c r="A36" s="2">
        <v>202606</v>
      </c>
      <c r="B36" s="1">
        <v>46174</v>
      </c>
      <c r="C36" s="3">
        <v>0.69724770642201839</v>
      </c>
      <c r="D36" s="3">
        <v>0.43119266055045874</v>
      </c>
      <c r="E36" s="3">
        <v>8.2568807339449546E-2</v>
      </c>
      <c r="F36" s="3">
        <v>0.13761467889908258</v>
      </c>
      <c r="G36" s="3">
        <v>0</v>
      </c>
      <c r="H36" s="3">
        <v>0</v>
      </c>
      <c r="I36" s="3">
        <v>0</v>
      </c>
      <c r="J36" s="3">
        <v>0.3669724770642202</v>
      </c>
      <c r="K36" s="3">
        <v>9.1743119266055051E-2</v>
      </c>
    </row>
    <row r="37" spans="1:11" x14ac:dyDescent="0.3">
      <c r="A37" s="2">
        <v>202607</v>
      </c>
      <c r="B37" s="1">
        <v>46204</v>
      </c>
      <c r="C37" s="3">
        <v>0.7289719626168224</v>
      </c>
      <c r="D37" s="3">
        <v>0.3925233644859813</v>
      </c>
      <c r="E37" s="3">
        <v>7.476635514018691E-2</v>
      </c>
      <c r="F37" s="3">
        <v>0.15887850467289721</v>
      </c>
      <c r="G37" s="3">
        <v>0</v>
      </c>
      <c r="H37" s="3">
        <v>0</v>
      </c>
      <c r="I37" s="3">
        <v>0</v>
      </c>
      <c r="J37" s="3">
        <v>0.30841121495327101</v>
      </c>
      <c r="K37" s="3">
        <v>0.15887850467289721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41E9-9368-4BA6-984F-9EDFCDEA838D}">
  <dimension ref="A1:G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4.109375" bestFit="1" customWidth="1"/>
    <col min="4" max="4" width="10.88671875" bestFit="1" customWidth="1"/>
    <col min="5" max="5" width="8" bestFit="1" customWidth="1"/>
    <col min="6" max="6" width="9.88671875" bestFit="1" customWidth="1"/>
    <col min="7" max="7" width="5.77734375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115</v>
      </c>
      <c r="D1" s="5" t="s">
        <v>118</v>
      </c>
      <c r="E1" s="5" t="s">
        <v>121</v>
      </c>
      <c r="F1" s="5" t="s">
        <v>124</v>
      </c>
      <c r="G1" s="5" t="s">
        <v>127</v>
      </c>
    </row>
    <row r="2" spans="1:7" x14ac:dyDescent="0.3">
      <c r="A2" s="2">
        <v>202308</v>
      </c>
      <c r="B2" s="1">
        <v>45139</v>
      </c>
      <c r="C2" s="3">
        <v>5.5555555555555552E-2</v>
      </c>
      <c r="D2" s="3">
        <v>3.0864197530864196E-2</v>
      </c>
      <c r="E2" s="3">
        <v>2.4691358024691357E-2</v>
      </c>
      <c r="F2" s="3">
        <v>0.72222222222222221</v>
      </c>
      <c r="G2" s="3">
        <v>0.16666666666666666</v>
      </c>
    </row>
    <row r="3" spans="1:7" x14ac:dyDescent="0.3">
      <c r="A3" s="2">
        <v>202309</v>
      </c>
      <c r="B3" s="1">
        <v>45170</v>
      </c>
      <c r="C3" s="3">
        <v>8.1967213114754092E-2</v>
      </c>
      <c r="D3" s="3">
        <v>4.0983606557377046E-2</v>
      </c>
      <c r="E3" s="3">
        <v>8.1967213114754103E-3</v>
      </c>
      <c r="F3" s="3">
        <v>0.72950819672131151</v>
      </c>
      <c r="G3" s="3">
        <v>0.13934426229508196</v>
      </c>
    </row>
    <row r="4" spans="1:7" x14ac:dyDescent="0.3">
      <c r="A4" s="2">
        <v>202310</v>
      </c>
      <c r="B4" s="1">
        <v>45200</v>
      </c>
      <c r="C4" s="3">
        <v>6.4077669902912623E-2</v>
      </c>
      <c r="D4" s="3">
        <v>6.9902912621359226E-2</v>
      </c>
      <c r="E4" s="3">
        <v>5.8252427184466021E-3</v>
      </c>
      <c r="F4" s="3">
        <v>0.64466019417475728</v>
      </c>
      <c r="G4" s="3">
        <v>0.21553398058252426</v>
      </c>
    </row>
    <row r="5" spans="1:7" x14ac:dyDescent="0.3">
      <c r="A5" s="2">
        <v>202311</v>
      </c>
      <c r="B5" s="1">
        <v>45231</v>
      </c>
      <c r="C5" s="3">
        <v>6.3711911357340723E-2</v>
      </c>
      <c r="D5" s="3">
        <v>4.9861495844875349E-2</v>
      </c>
      <c r="E5" s="3">
        <v>1.3850415512465374E-2</v>
      </c>
      <c r="F5" s="3">
        <v>0.69806094182825484</v>
      </c>
      <c r="G5" s="3">
        <v>0.17451523545706371</v>
      </c>
    </row>
    <row r="6" spans="1:7" x14ac:dyDescent="0.3">
      <c r="A6" s="2">
        <v>202312</v>
      </c>
      <c r="B6" s="1">
        <v>45261</v>
      </c>
      <c r="C6" s="3">
        <v>4.3956043956043959E-2</v>
      </c>
      <c r="D6" s="3">
        <v>6.5934065934065936E-2</v>
      </c>
      <c r="E6" s="3">
        <v>1.098901098901099E-2</v>
      </c>
      <c r="F6" s="3">
        <v>0.64102564102564108</v>
      </c>
      <c r="G6" s="3">
        <v>0.23809523809523808</v>
      </c>
    </row>
    <row r="7" spans="1:7" x14ac:dyDescent="0.3">
      <c r="A7" s="2">
        <v>202401</v>
      </c>
      <c r="B7" s="1">
        <v>45292</v>
      </c>
      <c r="C7" s="3">
        <v>5.4421768707482991E-2</v>
      </c>
      <c r="D7" s="3">
        <v>9.5238095238095233E-2</v>
      </c>
      <c r="E7" s="3">
        <v>0</v>
      </c>
      <c r="F7" s="3">
        <v>0.67346938775510201</v>
      </c>
      <c r="G7" s="3">
        <v>0.17687074829931973</v>
      </c>
    </row>
    <row r="8" spans="1:7" x14ac:dyDescent="0.3">
      <c r="A8" s="2">
        <v>202402</v>
      </c>
      <c r="B8" s="1">
        <v>45323</v>
      </c>
      <c r="C8" s="3">
        <v>9.154929577464789E-2</v>
      </c>
      <c r="D8" s="3">
        <v>6.3380281690140844E-2</v>
      </c>
      <c r="E8" s="3">
        <v>0</v>
      </c>
      <c r="F8" s="3">
        <v>0.647887323943662</v>
      </c>
      <c r="G8" s="3">
        <v>0.19718309859154928</v>
      </c>
    </row>
    <row r="9" spans="1:7" x14ac:dyDescent="0.3">
      <c r="A9" s="2">
        <v>202403</v>
      </c>
      <c r="B9" s="1">
        <v>45352</v>
      </c>
      <c r="C9" s="3">
        <v>5.7971014492753624E-2</v>
      </c>
      <c r="D9" s="3">
        <v>7.9710144927536225E-2</v>
      </c>
      <c r="E9" s="3">
        <v>0</v>
      </c>
      <c r="F9" s="3">
        <v>0.6376811594202898</v>
      </c>
      <c r="G9" s="3">
        <v>0.22463768115942029</v>
      </c>
    </row>
    <row r="10" spans="1:7" x14ac:dyDescent="0.3">
      <c r="A10" s="2">
        <v>202404</v>
      </c>
      <c r="B10" s="1">
        <v>45383</v>
      </c>
      <c r="C10" s="3">
        <v>8.1632653061224483E-2</v>
      </c>
      <c r="D10" s="3">
        <v>8.9795918367346933E-2</v>
      </c>
      <c r="E10" s="3">
        <v>1.2244897959183673E-2</v>
      </c>
      <c r="F10" s="3">
        <v>0.66122448979591841</v>
      </c>
      <c r="G10" s="3">
        <v>0.15510204081632653</v>
      </c>
    </row>
    <row r="11" spans="1:7" x14ac:dyDescent="0.3">
      <c r="A11" s="2">
        <v>202405</v>
      </c>
      <c r="B11" s="1">
        <v>45413</v>
      </c>
      <c r="C11" s="3">
        <v>5.4325955734406441E-2</v>
      </c>
      <c r="D11" s="3">
        <v>7.847082494969819E-2</v>
      </c>
      <c r="E11" s="3">
        <v>1.4084507042253521E-2</v>
      </c>
      <c r="F11" s="3">
        <v>0.66398390342052316</v>
      </c>
      <c r="G11" s="3">
        <v>0.18108651911468812</v>
      </c>
    </row>
    <row r="12" spans="1:7" x14ac:dyDescent="0.3">
      <c r="A12" s="2">
        <v>202406</v>
      </c>
      <c r="B12" s="1">
        <v>45444</v>
      </c>
      <c r="C12" s="3">
        <v>3.0973451327433628E-2</v>
      </c>
      <c r="D12" s="3">
        <v>7.9646017699115043E-2</v>
      </c>
      <c r="E12" s="3">
        <v>4.4247787610619468E-3</v>
      </c>
      <c r="F12" s="3">
        <v>0.65044247787610621</v>
      </c>
      <c r="G12" s="3">
        <v>0.22123893805309736</v>
      </c>
    </row>
    <row r="13" spans="1:7" x14ac:dyDescent="0.3">
      <c r="A13" s="2">
        <v>202407</v>
      </c>
      <c r="B13" s="1">
        <v>45474</v>
      </c>
      <c r="C13" s="3">
        <v>2.6785714285714284E-2</v>
      </c>
      <c r="D13" s="3">
        <v>5.3571428571428568E-2</v>
      </c>
      <c r="E13" s="3">
        <v>1.7857142857142856E-2</v>
      </c>
      <c r="F13" s="3">
        <v>0.7232142857142857</v>
      </c>
      <c r="G13" s="3">
        <v>0.17857142857142858</v>
      </c>
    </row>
    <row r="14" spans="1:7" x14ac:dyDescent="0.3">
      <c r="A14" s="2">
        <v>202408</v>
      </c>
      <c r="B14" s="1">
        <v>45505</v>
      </c>
      <c r="C14" s="3">
        <v>5.1470588235294115E-2</v>
      </c>
      <c r="D14" s="3">
        <v>6.8627450980392163E-2</v>
      </c>
      <c r="E14" s="3">
        <v>9.8039215686274508E-3</v>
      </c>
      <c r="F14" s="3">
        <v>0.67156862745098034</v>
      </c>
      <c r="G14" s="3">
        <v>0.19362745098039216</v>
      </c>
    </row>
    <row r="15" spans="1:7" x14ac:dyDescent="0.3">
      <c r="A15" s="2">
        <v>202409</v>
      </c>
      <c r="B15" s="1">
        <v>45536</v>
      </c>
      <c r="C15" s="3">
        <v>3.7735849056603772E-2</v>
      </c>
      <c r="D15" s="3">
        <v>3.7735849056603772E-2</v>
      </c>
      <c r="E15" s="3">
        <v>1.2578616352201259E-2</v>
      </c>
      <c r="F15" s="3">
        <v>0.74213836477987416</v>
      </c>
      <c r="G15" s="3">
        <v>0.16981132075471697</v>
      </c>
    </row>
    <row r="16" spans="1:7" x14ac:dyDescent="0.3">
      <c r="A16" s="2">
        <v>202410</v>
      </c>
      <c r="B16" s="1">
        <v>45566</v>
      </c>
      <c r="C16" s="3">
        <v>1.9867549668874173E-2</v>
      </c>
      <c r="D16" s="3">
        <v>0.10596026490066225</v>
      </c>
      <c r="E16" s="3">
        <v>6.6225165562913907E-3</v>
      </c>
      <c r="F16" s="3">
        <v>0.72185430463576161</v>
      </c>
      <c r="G16" s="3">
        <v>0.13907284768211919</v>
      </c>
    </row>
    <row r="17" spans="1:7" x14ac:dyDescent="0.3">
      <c r="A17" s="2">
        <v>202411</v>
      </c>
      <c r="B17" s="1">
        <v>45597</v>
      </c>
      <c r="C17" s="3">
        <v>5.0632911392405063E-2</v>
      </c>
      <c r="D17" s="3">
        <v>0.10126582278481013</v>
      </c>
      <c r="E17" s="3">
        <v>6.3291139240506328E-3</v>
      </c>
      <c r="F17" s="3">
        <v>0.70253164556962022</v>
      </c>
      <c r="G17" s="3">
        <v>0.13924050632911392</v>
      </c>
    </row>
    <row r="18" spans="1:7" x14ac:dyDescent="0.3">
      <c r="A18" s="2">
        <v>202412</v>
      </c>
      <c r="B18" s="1">
        <v>45627</v>
      </c>
      <c r="C18" s="3">
        <v>5.6737588652482268E-2</v>
      </c>
      <c r="D18" s="3">
        <v>5.6737588652482268E-2</v>
      </c>
      <c r="E18" s="3">
        <v>7.0921985815602835E-3</v>
      </c>
      <c r="F18" s="3">
        <v>0.72340425531914898</v>
      </c>
      <c r="G18" s="3">
        <v>0.14893617021276595</v>
      </c>
    </row>
    <row r="19" spans="1:7" x14ac:dyDescent="0.3">
      <c r="A19" s="2">
        <v>202501</v>
      </c>
      <c r="B19" s="1">
        <v>45658</v>
      </c>
      <c r="C19" s="3">
        <v>4.7477744807121663E-2</v>
      </c>
      <c r="D19" s="3">
        <v>0.10682492581602374</v>
      </c>
      <c r="E19" s="3">
        <v>2.3738872403560832E-2</v>
      </c>
      <c r="F19" s="3">
        <v>0.60830860534124631</v>
      </c>
      <c r="G19" s="3">
        <v>0.20474777448071216</v>
      </c>
    </row>
    <row r="20" spans="1:7" x14ac:dyDescent="0.3">
      <c r="A20" s="2">
        <v>202502</v>
      </c>
      <c r="B20" s="1">
        <v>45689</v>
      </c>
      <c r="C20" s="3">
        <v>3.1055900621118012E-2</v>
      </c>
      <c r="D20" s="3">
        <v>0.11180124223602485</v>
      </c>
      <c r="E20" s="3">
        <v>6.2111801242236021E-3</v>
      </c>
      <c r="F20" s="3">
        <v>0.69565217391304346</v>
      </c>
      <c r="G20" s="3">
        <v>0.14906832298136646</v>
      </c>
    </row>
    <row r="21" spans="1:7" x14ac:dyDescent="0.3">
      <c r="A21" s="2">
        <v>202503</v>
      </c>
      <c r="B21" s="1">
        <v>45717</v>
      </c>
      <c r="C21" s="3">
        <v>6.1111111111111109E-2</v>
      </c>
      <c r="D21" s="3">
        <v>7.2222222222222215E-2</v>
      </c>
      <c r="E21" s="3">
        <v>5.5555555555555558E-3</v>
      </c>
      <c r="F21" s="3">
        <v>0.65555555555555556</v>
      </c>
      <c r="G21" s="3">
        <v>0.18888888888888888</v>
      </c>
    </row>
    <row r="22" spans="1:7" x14ac:dyDescent="0.3">
      <c r="A22" s="2">
        <v>202504</v>
      </c>
      <c r="B22" s="1">
        <v>45748</v>
      </c>
      <c r="C22" s="3">
        <v>2.1739130434782608E-2</v>
      </c>
      <c r="D22" s="3">
        <v>7.2463768115942032E-2</v>
      </c>
      <c r="E22" s="3">
        <v>1.4492753623188406E-2</v>
      </c>
      <c r="F22" s="3">
        <v>0.70289855072463769</v>
      </c>
      <c r="G22" s="3">
        <v>0.18840579710144928</v>
      </c>
    </row>
    <row r="23" spans="1:7" x14ac:dyDescent="0.3">
      <c r="A23" s="2">
        <v>202505</v>
      </c>
      <c r="B23" s="1">
        <v>45778</v>
      </c>
      <c r="C23" s="3">
        <v>1.6949152542372881E-2</v>
      </c>
      <c r="D23" s="3">
        <v>0.11016949152542373</v>
      </c>
      <c r="E23" s="3">
        <v>0</v>
      </c>
      <c r="F23" s="3">
        <v>0.72881355932203384</v>
      </c>
      <c r="G23" s="3">
        <v>0.1440677966101695</v>
      </c>
    </row>
    <row r="24" spans="1:7" x14ac:dyDescent="0.3">
      <c r="A24" s="2">
        <v>202506</v>
      </c>
      <c r="B24" s="1">
        <v>45809</v>
      </c>
      <c r="C24" s="3">
        <v>3.3613445378151259E-2</v>
      </c>
      <c r="D24" s="3">
        <v>8.4033613445378158E-2</v>
      </c>
      <c r="E24" s="3">
        <v>0</v>
      </c>
      <c r="F24" s="3">
        <v>0.69747899159663862</v>
      </c>
      <c r="G24" s="3">
        <v>0.16806722689075632</v>
      </c>
    </row>
    <row r="25" spans="1:7" x14ac:dyDescent="0.3">
      <c r="A25" s="2">
        <v>202507</v>
      </c>
      <c r="B25" s="1">
        <v>45839</v>
      </c>
      <c r="C25" s="3">
        <v>3.875968992248062E-2</v>
      </c>
      <c r="D25" s="3">
        <v>9.3023255813953487E-2</v>
      </c>
      <c r="E25" s="3">
        <v>7.7519379844961239E-3</v>
      </c>
      <c r="F25" s="3">
        <v>0.65891472868217049</v>
      </c>
      <c r="G25" s="3">
        <v>0.20155038759689922</v>
      </c>
    </row>
    <row r="26" spans="1:7" x14ac:dyDescent="0.3">
      <c r="A26" s="2">
        <v>202508</v>
      </c>
      <c r="B26" s="1">
        <v>45870</v>
      </c>
      <c r="C26" s="3">
        <v>4.9019607843137254E-2</v>
      </c>
      <c r="D26" s="3">
        <v>8.8235294117647065E-2</v>
      </c>
      <c r="E26" s="3">
        <v>0</v>
      </c>
      <c r="F26" s="3">
        <v>0.63725490196078427</v>
      </c>
      <c r="G26" s="3">
        <v>0.21568627450980393</v>
      </c>
    </row>
    <row r="27" spans="1:7" x14ac:dyDescent="0.3">
      <c r="A27" s="2">
        <v>202509</v>
      </c>
      <c r="B27" s="1">
        <v>45901</v>
      </c>
      <c r="C27" s="3">
        <v>2.7522935779816515E-2</v>
      </c>
      <c r="D27" s="3">
        <v>0.10091743119266056</v>
      </c>
      <c r="E27" s="3">
        <v>9.1743119266055051E-3</v>
      </c>
      <c r="F27" s="3">
        <v>0.59633027522935778</v>
      </c>
      <c r="G27" s="3">
        <v>0.24770642201834864</v>
      </c>
    </row>
    <row r="28" spans="1:7" x14ac:dyDescent="0.3">
      <c r="A28" s="2">
        <v>202510</v>
      </c>
      <c r="B28" s="1">
        <v>45931</v>
      </c>
      <c r="C28" s="3">
        <v>5.9829059829059832E-2</v>
      </c>
      <c r="D28" s="3">
        <v>8.5470085470085472E-2</v>
      </c>
      <c r="E28" s="3">
        <v>0</v>
      </c>
      <c r="F28" s="3">
        <v>0.69230769230769229</v>
      </c>
      <c r="G28" s="3">
        <v>0.15384615384615385</v>
      </c>
    </row>
    <row r="29" spans="1:7" x14ac:dyDescent="0.3">
      <c r="A29" s="2">
        <v>202511</v>
      </c>
      <c r="B29" s="1">
        <v>45962</v>
      </c>
      <c r="C29" s="3">
        <v>2.8037383177570093E-2</v>
      </c>
      <c r="D29" s="3">
        <v>8.4112149532710276E-2</v>
      </c>
      <c r="E29" s="3">
        <v>9.3457943925233638E-3</v>
      </c>
      <c r="F29" s="3">
        <v>0.7009345794392523</v>
      </c>
      <c r="G29" s="3">
        <v>0.17757009345794392</v>
      </c>
    </row>
    <row r="30" spans="1:7" x14ac:dyDescent="0.3">
      <c r="A30" s="2">
        <v>202512</v>
      </c>
      <c r="B30" s="1">
        <v>45992</v>
      </c>
      <c r="C30" s="3">
        <v>9.0909090909090912E-2</v>
      </c>
      <c r="D30" s="3">
        <v>9.0909090909090912E-2</v>
      </c>
      <c r="E30" s="3">
        <v>0</v>
      </c>
      <c r="F30" s="3">
        <v>0.66666666666666663</v>
      </c>
      <c r="G30" s="3">
        <v>0.14141414141414141</v>
      </c>
    </row>
    <row r="31" spans="1:7" x14ac:dyDescent="0.3">
      <c r="A31" s="2">
        <v>202601</v>
      </c>
      <c r="B31" s="1">
        <v>46023</v>
      </c>
      <c r="C31" s="3">
        <v>0.03</v>
      </c>
      <c r="D31" s="3">
        <v>0.08</v>
      </c>
      <c r="E31" s="3">
        <v>0</v>
      </c>
      <c r="F31" s="3">
        <v>0.75</v>
      </c>
      <c r="G31" s="3">
        <v>0.14000000000000001</v>
      </c>
    </row>
    <row r="32" spans="1:7" x14ac:dyDescent="0.3">
      <c r="A32" s="2">
        <v>202602</v>
      </c>
      <c r="B32" s="1">
        <v>46054</v>
      </c>
      <c r="C32" s="3">
        <v>2.8037383177570093E-2</v>
      </c>
      <c r="D32" s="3">
        <v>7.476635514018691E-2</v>
      </c>
      <c r="E32" s="3">
        <v>2.8037383177570093E-2</v>
      </c>
      <c r="F32" s="3">
        <v>0.71028037383177567</v>
      </c>
      <c r="G32" s="3">
        <v>0.15887850467289721</v>
      </c>
    </row>
    <row r="33" spans="1:7" x14ac:dyDescent="0.3">
      <c r="A33" s="2">
        <v>202603</v>
      </c>
      <c r="B33" s="1">
        <v>46082</v>
      </c>
      <c r="C33" s="3">
        <v>5.7692307692307696E-2</v>
      </c>
      <c r="D33" s="3">
        <v>8.6538461538461536E-2</v>
      </c>
      <c r="E33" s="3">
        <v>0</v>
      </c>
      <c r="F33" s="3">
        <v>0.64423076923076927</v>
      </c>
      <c r="G33" s="3">
        <v>0.21153846153846154</v>
      </c>
    </row>
    <row r="34" spans="1:7" x14ac:dyDescent="0.3">
      <c r="A34" s="2">
        <v>202604</v>
      </c>
      <c r="B34" s="1">
        <v>46113</v>
      </c>
      <c r="C34" s="3">
        <v>6.5573770491803282E-2</v>
      </c>
      <c r="D34" s="3">
        <v>0.11475409836065574</v>
      </c>
      <c r="E34" s="3">
        <v>0</v>
      </c>
      <c r="F34" s="3">
        <v>0.64754098360655743</v>
      </c>
      <c r="G34" s="3">
        <v>0.1721311475409836</v>
      </c>
    </row>
    <row r="35" spans="1:7" x14ac:dyDescent="0.3">
      <c r="A35" s="2">
        <v>202605</v>
      </c>
      <c r="B35" s="1">
        <v>46143</v>
      </c>
      <c r="C35" s="3">
        <v>4.716981132075472E-2</v>
      </c>
      <c r="D35" s="3">
        <v>0.13207547169811321</v>
      </c>
      <c r="E35" s="3">
        <v>0</v>
      </c>
      <c r="F35" s="3">
        <v>0.58490566037735847</v>
      </c>
      <c r="G35" s="3">
        <v>0.23584905660377359</v>
      </c>
    </row>
    <row r="36" spans="1:7" x14ac:dyDescent="0.3">
      <c r="A36" s="2">
        <v>202606</v>
      </c>
      <c r="B36" s="1">
        <v>46174</v>
      </c>
      <c r="C36" s="3">
        <v>1.834862385321101E-2</v>
      </c>
      <c r="D36" s="3">
        <v>0.14678899082568808</v>
      </c>
      <c r="E36" s="3">
        <v>0</v>
      </c>
      <c r="F36" s="3">
        <v>0.69724770642201839</v>
      </c>
      <c r="G36" s="3">
        <v>0.13761467889908258</v>
      </c>
    </row>
    <row r="37" spans="1:7" x14ac:dyDescent="0.3">
      <c r="A37" s="2">
        <v>202607</v>
      </c>
      <c r="B37" s="1">
        <v>46204</v>
      </c>
      <c r="C37" s="3">
        <v>2.8037383177570093E-2</v>
      </c>
      <c r="D37" s="3">
        <v>0.13084112149532709</v>
      </c>
      <c r="E37" s="3">
        <v>0</v>
      </c>
      <c r="F37" s="3">
        <v>0.57009345794392519</v>
      </c>
      <c r="G37" s="3">
        <v>0.14018691588785046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26BA-802F-47B1-9FDB-8957AA091074}">
  <dimension ref="A1:E19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55.21875" bestFit="1" customWidth="1"/>
    <col min="4" max="4" width="44.21875" bestFit="1" customWidth="1"/>
    <col min="5" max="5" width="45.4414062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>
        <v>202502</v>
      </c>
      <c r="B2" s="1">
        <v>45689</v>
      </c>
      <c r="C2" s="3">
        <v>0.63354037267080743</v>
      </c>
      <c r="D2" s="3">
        <v>0.16770186335403728</v>
      </c>
      <c r="E2" s="3">
        <v>0.19875776397515527</v>
      </c>
    </row>
    <row r="3" spans="1:5" x14ac:dyDescent="0.3">
      <c r="A3" s="2">
        <v>202503</v>
      </c>
      <c r="B3" s="1">
        <v>45717</v>
      </c>
      <c r="C3" s="3">
        <v>0.68888888888888888</v>
      </c>
      <c r="D3" s="3">
        <v>0.15</v>
      </c>
      <c r="E3" s="3">
        <v>0.16111111111111112</v>
      </c>
    </row>
    <row r="4" spans="1:5" x14ac:dyDescent="0.3">
      <c r="A4" s="2">
        <v>202504</v>
      </c>
      <c r="B4" s="1">
        <v>45748</v>
      </c>
      <c r="C4" s="3">
        <v>0.70289855072463769</v>
      </c>
      <c r="D4" s="3">
        <v>0.11594202898550725</v>
      </c>
      <c r="E4" s="3">
        <v>0.18115942028985507</v>
      </c>
    </row>
    <row r="5" spans="1:5" x14ac:dyDescent="0.3">
      <c r="A5" s="2">
        <v>202505</v>
      </c>
      <c r="B5" s="1">
        <v>45778</v>
      </c>
      <c r="C5" s="3">
        <v>0.67796610169491522</v>
      </c>
      <c r="D5" s="3">
        <v>5.0847457627118647E-2</v>
      </c>
      <c r="E5" s="3">
        <v>0.2711864406779661</v>
      </c>
    </row>
    <row r="6" spans="1:5" x14ac:dyDescent="0.3">
      <c r="A6" s="2">
        <v>202506</v>
      </c>
      <c r="B6" s="1">
        <v>45809</v>
      </c>
      <c r="C6" s="3">
        <v>0.67226890756302526</v>
      </c>
      <c r="D6" s="3">
        <v>2.5210084033613446E-2</v>
      </c>
      <c r="E6" s="3">
        <v>0.30252100840336132</v>
      </c>
    </row>
    <row r="7" spans="1:5" x14ac:dyDescent="0.3">
      <c r="A7" s="2">
        <v>202507</v>
      </c>
      <c r="B7" s="1">
        <v>45839</v>
      </c>
      <c r="C7" s="3">
        <v>0.58914728682170547</v>
      </c>
      <c r="D7" s="3">
        <v>6.9767441860465115E-2</v>
      </c>
      <c r="E7" s="3">
        <v>0.34108527131782945</v>
      </c>
    </row>
    <row r="8" spans="1:5" x14ac:dyDescent="0.3">
      <c r="A8" s="2">
        <v>202508</v>
      </c>
      <c r="B8" s="1">
        <v>45870</v>
      </c>
      <c r="C8" s="3">
        <v>0.63725490196078427</v>
      </c>
      <c r="D8" s="3">
        <v>0.15686274509803921</v>
      </c>
      <c r="E8" s="3">
        <v>0.20588235294117646</v>
      </c>
    </row>
    <row r="9" spans="1:5" x14ac:dyDescent="0.3">
      <c r="A9" s="2">
        <v>202509</v>
      </c>
      <c r="B9" s="1">
        <v>45901</v>
      </c>
      <c r="C9" s="3">
        <v>0.68807339449541283</v>
      </c>
      <c r="D9" s="3">
        <v>8.2568807339449546E-2</v>
      </c>
      <c r="E9" s="3">
        <v>0.22935779816513763</v>
      </c>
    </row>
    <row r="10" spans="1:5" x14ac:dyDescent="0.3">
      <c r="A10" s="2">
        <v>202510</v>
      </c>
      <c r="B10" s="1">
        <v>45931</v>
      </c>
      <c r="C10" s="3">
        <v>0.60683760683760679</v>
      </c>
      <c r="D10" s="3">
        <v>7.6923076923076927E-2</v>
      </c>
      <c r="E10" s="3">
        <v>0.31623931623931623</v>
      </c>
    </row>
    <row r="11" spans="1:5" x14ac:dyDescent="0.3">
      <c r="A11" s="2">
        <v>202511</v>
      </c>
      <c r="B11" s="1">
        <v>45962</v>
      </c>
      <c r="C11" s="3">
        <v>0.61682242990654201</v>
      </c>
      <c r="D11" s="3">
        <v>9.3457943925233641E-2</v>
      </c>
      <c r="E11" s="3">
        <v>0.28971962616822428</v>
      </c>
    </row>
    <row r="12" spans="1:5" x14ac:dyDescent="0.3">
      <c r="A12" s="2">
        <v>202512</v>
      </c>
      <c r="B12" s="1">
        <v>45992</v>
      </c>
      <c r="C12" s="3">
        <v>0.55555555555555558</v>
      </c>
      <c r="D12" s="3">
        <v>4.0404040404040407E-2</v>
      </c>
      <c r="E12" s="3">
        <v>0.40404040404040403</v>
      </c>
    </row>
    <row r="13" spans="1:5" x14ac:dyDescent="0.3">
      <c r="A13" s="2">
        <v>202601</v>
      </c>
      <c r="B13" s="1">
        <v>46023</v>
      </c>
      <c r="C13" s="3">
        <v>0.66</v>
      </c>
      <c r="D13" s="3">
        <v>0.03</v>
      </c>
      <c r="E13" s="3">
        <v>0.31</v>
      </c>
    </row>
    <row r="14" spans="1:5" x14ac:dyDescent="0.3">
      <c r="A14" s="2">
        <v>202602</v>
      </c>
      <c r="B14" s="1">
        <v>46054</v>
      </c>
      <c r="C14" s="3">
        <v>0.57943925233644855</v>
      </c>
      <c r="D14" s="3">
        <v>9.3457943925233641E-2</v>
      </c>
      <c r="E14" s="3">
        <v>0.32710280373831774</v>
      </c>
    </row>
    <row r="15" spans="1:5" x14ac:dyDescent="0.3">
      <c r="A15" s="2">
        <v>202603</v>
      </c>
      <c r="B15" s="1">
        <v>46082</v>
      </c>
      <c r="C15" s="3">
        <v>0.59134615384615385</v>
      </c>
      <c r="D15" s="3">
        <v>8.6538461538461536E-2</v>
      </c>
      <c r="E15" s="3">
        <v>0.32211538461538464</v>
      </c>
    </row>
    <row r="16" spans="1:5" x14ac:dyDescent="0.3">
      <c r="A16" s="2">
        <v>202604</v>
      </c>
      <c r="B16" s="1">
        <v>46113</v>
      </c>
      <c r="C16" s="3">
        <v>0.63114754098360659</v>
      </c>
      <c r="D16" s="3">
        <v>8.1967213114754092E-2</v>
      </c>
      <c r="E16" s="3">
        <v>0.28688524590163933</v>
      </c>
    </row>
    <row r="17" spans="1:5" x14ac:dyDescent="0.3">
      <c r="A17" s="2">
        <v>202605</v>
      </c>
      <c r="B17" s="1">
        <v>46143</v>
      </c>
      <c r="C17" s="3">
        <v>0.75471698113207553</v>
      </c>
      <c r="D17" s="3">
        <v>4.716981132075472E-2</v>
      </c>
      <c r="E17" s="3">
        <v>0.19811320754716982</v>
      </c>
    </row>
    <row r="18" spans="1:5" x14ac:dyDescent="0.3">
      <c r="A18" s="2">
        <v>202606</v>
      </c>
      <c r="B18" s="1">
        <v>46174</v>
      </c>
      <c r="C18" s="3">
        <v>0.68807339449541283</v>
      </c>
      <c r="D18" s="3">
        <v>0.11009174311926606</v>
      </c>
      <c r="E18" s="3">
        <v>0.20183486238532111</v>
      </c>
    </row>
    <row r="19" spans="1:5" x14ac:dyDescent="0.3">
      <c r="A19" s="2">
        <v>202607</v>
      </c>
      <c r="B19" s="1">
        <v>46204</v>
      </c>
      <c r="C19" s="3">
        <v>0.64485981308411211</v>
      </c>
      <c r="D19" s="3">
        <v>0.14018691588785046</v>
      </c>
      <c r="E19" s="3">
        <v>0.21495327102803738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F641-82EA-4E8D-9712-108B61AEC871}">
  <dimension ref="A1:G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0" bestFit="1" customWidth="1"/>
    <col min="4" max="4" width="11" bestFit="1" customWidth="1"/>
    <col min="5" max="6" width="12" bestFit="1" customWidth="1"/>
    <col min="7" max="7" width="14.88671875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94</v>
      </c>
      <c r="D1" s="5" t="s">
        <v>97</v>
      </c>
      <c r="E1" s="5" t="s">
        <v>100</v>
      </c>
      <c r="F1" s="5" t="s">
        <v>103</v>
      </c>
      <c r="G1" s="5" t="s">
        <v>106</v>
      </c>
    </row>
    <row r="2" spans="1:7" x14ac:dyDescent="0.3">
      <c r="A2" s="2">
        <v>202308</v>
      </c>
      <c r="B2" s="1">
        <v>45139</v>
      </c>
      <c r="C2" s="3">
        <v>0.6728395061728395</v>
      </c>
      <c r="D2" s="3">
        <v>0.18518518518518517</v>
      </c>
      <c r="E2" s="3">
        <v>9.2592592592592587E-2</v>
      </c>
      <c r="F2" s="3">
        <v>3.0864197530864196E-2</v>
      </c>
      <c r="G2" s="3">
        <v>1.8518518518518517E-2</v>
      </c>
    </row>
    <row r="3" spans="1:7" x14ac:dyDescent="0.3">
      <c r="A3" s="2">
        <v>202309</v>
      </c>
      <c r="B3" s="1">
        <v>45170</v>
      </c>
      <c r="C3" s="3">
        <v>0.68852459016393441</v>
      </c>
      <c r="D3" s="3">
        <v>0.18852459016393441</v>
      </c>
      <c r="E3" s="3">
        <v>9.0163934426229511E-2</v>
      </c>
      <c r="F3" s="3">
        <v>1.6393442622950821E-2</v>
      </c>
      <c r="G3" s="3">
        <v>1.6393442622950821E-2</v>
      </c>
    </row>
    <row r="4" spans="1:7" x14ac:dyDescent="0.3">
      <c r="A4" s="2">
        <v>202310</v>
      </c>
      <c r="B4" s="1">
        <v>45200</v>
      </c>
      <c r="C4" s="3">
        <v>0.70291262135922328</v>
      </c>
      <c r="D4" s="3">
        <v>0.1766990291262136</v>
      </c>
      <c r="E4" s="3">
        <v>7.9611650485436891E-2</v>
      </c>
      <c r="F4" s="3">
        <v>2.9126213592233011E-2</v>
      </c>
      <c r="G4" s="3">
        <v>1.1650485436893204E-2</v>
      </c>
    </row>
    <row r="5" spans="1:7" x14ac:dyDescent="0.3">
      <c r="A5" s="2">
        <v>202311</v>
      </c>
      <c r="B5" s="1">
        <v>45231</v>
      </c>
      <c r="C5" s="3">
        <v>0.68421052631578949</v>
      </c>
      <c r="D5" s="3">
        <v>0.19390581717451524</v>
      </c>
      <c r="E5" s="3">
        <v>6.3711911357340723E-2</v>
      </c>
      <c r="F5" s="3">
        <v>4.1551246537396121E-2</v>
      </c>
      <c r="G5" s="3">
        <v>1.662049861495845E-2</v>
      </c>
    </row>
    <row r="6" spans="1:7" x14ac:dyDescent="0.3">
      <c r="A6" s="2">
        <v>202312</v>
      </c>
      <c r="B6" s="1">
        <v>45261</v>
      </c>
      <c r="C6" s="3">
        <v>0.70329670329670335</v>
      </c>
      <c r="D6" s="3">
        <v>0.18315018315018314</v>
      </c>
      <c r="E6" s="3">
        <v>6.95970695970696E-2</v>
      </c>
      <c r="F6" s="3">
        <v>3.6630036630036632E-2</v>
      </c>
      <c r="G6" s="3">
        <v>7.326007326007326E-3</v>
      </c>
    </row>
    <row r="7" spans="1:7" x14ac:dyDescent="0.3">
      <c r="A7" s="2">
        <v>202401</v>
      </c>
      <c r="B7" s="1">
        <v>45292</v>
      </c>
      <c r="C7" s="3">
        <v>0.69387755102040816</v>
      </c>
      <c r="D7" s="3">
        <v>0.17687074829931973</v>
      </c>
      <c r="E7" s="3">
        <v>8.1632653061224483E-2</v>
      </c>
      <c r="F7" s="3">
        <v>4.7619047619047616E-2</v>
      </c>
      <c r="G7" s="3">
        <v>0</v>
      </c>
    </row>
    <row r="8" spans="1:7" x14ac:dyDescent="0.3">
      <c r="A8" s="2">
        <v>202402</v>
      </c>
      <c r="B8" s="1">
        <v>45323</v>
      </c>
      <c r="C8" s="3">
        <v>0.66901408450704225</v>
      </c>
      <c r="D8" s="3">
        <v>0.21126760563380281</v>
      </c>
      <c r="E8" s="3">
        <v>4.9295774647887321E-2</v>
      </c>
      <c r="F8" s="3">
        <v>2.8169014084507043E-2</v>
      </c>
      <c r="G8" s="3">
        <v>4.2253521126760563E-2</v>
      </c>
    </row>
    <row r="9" spans="1:7" x14ac:dyDescent="0.3">
      <c r="A9" s="2">
        <v>202403</v>
      </c>
      <c r="B9" s="1">
        <v>45352</v>
      </c>
      <c r="C9" s="3">
        <v>0.70289855072463769</v>
      </c>
      <c r="D9" s="3">
        <v>0.20289855072463769</v>
      </c>
      <c r="E9" s="3">
        <v>7.2463768115942032E-2</v>
      </c>
      <c r="F9" s="3">
        <v>1.4492753623188406E-2</v>
      </c>
      <c r="G9" s="3">
        <v>7.246376811594203E-3</v>
      </c>
    </row>
    <row r="10" spans="1:7" x14ac:dyDescent="0.3">
      <c r="A10" s="2">
        <v>202404</v>
      </c>
      <c r="B10" s="1">
        <v>45383</v>
      </c>
      <c r="C10" s="3">
        <v>0.68163265306122445</v>
      </c>
      <c r="D10" s="3">
        <v>0.2</v>
      </c>
      <c r="E10" s="3">
        <v>7.7551020408163265E-2</v>
      </c>
      <c r="F10" s="3">
        <v>3.2653061224489799E-2</v>
      </c>
      <c r="G10" s="3">
        <v>8.1632653061224497E-3</v>
      </c>
    </row>
    <row r="11" spans="1:7" x14ac:dyDescent="0.3">
      <c r="A11" s="2">
        <v>202405</v>
      </c>
      <c r="B11" s="1">
        <v>45413</v>
      </c>
      <c r="C11" s="3">
        <v>0.67806841046277666</v>
      </c>
      <c r="D11" s="3">
        <v>0.2152917505030181</v>
      </c>
      <c r="E11" s="3">
        <v>6.4386317907444673E-2</v>
      </c>
      <c r="F11" s="3">
        <v>3.2193158953722337E-2</v>
      </c>
      <c r="G11" s="3">
        <v>1.0060362173038229E-2</v>
      </c>
    </row>
    <row r="12" spans="1:7" x14ac:dyDescent="0.3">
      <c r="A12" s="2">
        <v>202406</v>
      </c>
      <c r="B12" s="1">
        <v>45444</v>
      </c>
      <c r="C12" s="3">
        <v>0.6415929203539823</v>
      </c>
      <c r="D12" s="3">
        <v>0.23451327433628319</v>
      </c>
      <c r="E12" s="3">
        <v>7.5221238938053103E-2</v>
      </c>
      <c r="F12" s="3">
        <v>4.4247787610619468E-2</v>
      </c>
      <c r="G12" s="3">
        <v>4.4247787610619468E-3</v>
      </c>
    </row>
    <row r="13" spans="1:7" x14ac:dyDescent="0.3">
      <c r="A13" s="2">
        <v>202407</v>
      </c>
      <c r="B13" s="1">
        <v>45474</v>
      </c>
      <c r="C13" s="3">
        <v>0.6517857142857143</v>
      </c>
      <c r="D13" s="3">
        <v>0.24107142857142858</v>
      </c>
      <c r="E13" s="3">
        <v>8.0357142857142863E-2</v>
      </c>
      <c r="F13" s="3">
        <v>8.9285714285714281E-3</v>
      </c>
      <c r="G13" s="3">
        <v>1.7857142857142856E-2</v>
      </c>
    </row>
    <row r="14" spans="1:7" x14ac:dyDescent="0.3">
      <c r="A14" s="2">
        <v>202408</v>
      </c>
      <c r="B14" s="1">
        <v>45505</v>
      </c>
      <c r="C14" s="3">
        <v>0.7009803921568627</v>
      </c>
      <c r="D14" s="3">
        <v>0.18627450980392157</v>
      </c>
      <c r="E14" s="3">
        <v>6.1274509803921566E-2</v>
      </c>
      <c r="F14" s="3">
        <v>4.4117647058823532E-2</v>
      </c>
      <c r="G14" s="3">
        <v>7.3529411764705881E-3</v>
      </c>
    </row>
    <row r="15" spans="1:7" x14ac:dyDescent="0.3">
      <c r="A15" s="2">
        <v>202409</v>
      </c>
      <c r="B15" s="1">
        <v>45536</v>
      </c>
      <c r="C15" s="3">
        <v>0.69811320754716977</v>
      </c>
      <c r="D15" s="3">
        <v>0.18867924528301888</v>
      </c>
      <c r="E15" s="3">
        <v>5.6603773584905662E-2</v>
      </c>
      <c r="F15" s="3">
        <v>5.0314465408805034E-2</v>
      </c>
      <c r="G15" s="3">
        <v>6.2893081761006293E-3</v>
      </c>
    </row>
    <row r="16" spans="1:7" x14ac:dyDescent="0.3">
      <c r="A16" s="2">
        <v>202410</v>
      </c>
      <c r="B16" s="1">
        <v>45566</v>
      </c>
      <c r="C16" s="3">
        <v>0.71523178807947019</v>
      </c>
      <c r="D16" s="3">
        <v>0.17218543046357615</v>
      </c>
      <c r="E16" s="3">
        <v>5.9602649006622516E-2</v>
      </c>
      <c r="F16" s="3">
        <v>3.9735099337748346E-2</v>
      </c>
      <c r="G16" s="3">
        <v>1.3245033112582781E-2</v>
      </c>
    </row>
    <row r="17" spans="1:7" x14ac:dyDescent="0.3">
      <c r="A17" s="2">
        <v>202411</v>
      </c>
      <c r="B17" s="1">
        <v>45597</v>
      </c>
      <c r="C17" s="3">
        <v>0.65822784810126578</v>
      </c>
      <c r="D17" s="3">
        <v>0.18354430379746836</v>
      </c>
      <c r="E17" s="3">
        <v>6.9620253164556958E-2</v>
      </c>
      <c r="F17" s="3">
        <v>7.5949367088607597E-2</v>
      </c>
      <c r="G17" s="3">
        <v>1.2658227848101266E-2</v>
      </c>
    </row>
    <row r="18" spans="1:7" x14ac:dyDescent="0.3">
      <c r="A18" s="2">
        <v>202412</v>
      </c>
      <c r="B18" s="1">
        <v>45627</v>
      </c>
      <c r="C18" s="3">
        <v>0.56028368794326244</v>
      </c>
      <c r="D18" s="3">
        <v>0.28368794326241137</v>
      </c>
      <c r="E18" s="3">
        <v>0.11347517730496454</v>
      </c>
      <c r="F18" s="3">
        <v>3.5460992907801421E-2</v>
      </c>
      <c r="G18" s="3">
        <v>7.0921985815602835E-3</v>
      </c>
    </row>
    <row r="19" spans="1:7" x14ac:dyDescent="0.3">
      <c r="A19" s="2">
        <v>202501</v>
      </c>
      <c r="B19" s="1">
        <v>45658</v>
      </c>
      <c r="C19" s="3">
        <v>0.55192878338278928</v>
      </c>
      <c r="D19" s="3">
        <v>0.23442136498516319</v>
      </c>
      <c r="E19" s="3">
        <v>0.11869436201780416</v>
      </c>
      <c r="F19" s="3">
        <v>5.3412462908011868E-2</v>
      </c>
      <c r="G19" s="3">
        <v>4.1543026706231452E-2</v>
      </c>
    </row>
    <row r="20" spans="1:7" x14ac:dyDescent="0.3">
      <c r="A20" s="2">
        <v>202502</v>
      </c>
      <c r="B20" s="1">
        <v>45689</v>
      </c>
      <c r="C20" s="3">
        <v>0.68944099378881984</v>
      </c>
      <c r="D20" s="3">
        <v>0.14285714285714285</v>
      </c>
      <c r="E20" s="3">
        <v>8.6956521739130432E-2</v>
      </c>
      <c r="F20" s="3">
        <v>6.2111801242236024E-2</v>
      </c>
      <c r="G20" s="3">
        <v>1.8633540372670808E-2</v>
      </c>
    </row>
    <row r="21" spans="1:7" x14ac:dyDescent="0.3">
      <c r="A21" s="2">
        <v>202503</v>
      </c>
      <c r="B21" s="1">
        <v>45717</v>
      </c>
      <c r="C21" s="3">
        <v>0.57777777777777772</v>
      </c>
      <c r="D21" s="3">
        <v>0.20555555555555555</v>
      </c>
      <c r="E21" s="3">
        <v>0.1</v>
      </c>
      <c r="F21" s="3">
        <v>8.8888888888888892E-2</v>
      </c>
      <c r="G21" s="3">
        <v>2.7777777777777776E-2</v>
      </c>
    </row>
    <row r="22" spans="1:7" x14ac:dyDescent="0.3">
      <c r="A22" s="2">
        <v>202504</v>
      </c>
      <c r="B22" s="1">
        <v>45748</v>
      </c>
      <c r="C22" s="3">
        <v>0.60869565217391308</v>
      </c>
      <c r="D22" s="3">
        <v>0.21739130434782608</v>
      </c>
      <c r="E22" s="3">
        <v>5.7971014492753624E-2</v>
      </c>
      <c r="F22" s="3">
        <v>6.5217391304347824E-2</v>
      </c>
      <c r="G22" s="3">
        <v>5.0724637681159424E-2</v>
      </c>
    </row>
    <row r="23" spans="1:7" x14ac:dyDescent="0.3">
      <c r="A23" s="2">
        <v>202505</v>
      </c>
      <c r="B23" s="1">
        <v>45778</v>
      </c>
      <c r="C23" s="3">
        <v>0.65254237288135597</v>
      </c>
      <c r="D23" s="3">
        <v>0.21186440677966101</v>
      </c>
      <c r="E23" s="3">
        <v>8.4745762711864403E-2</v>
      </c>
      <c r="F23" s="3">
        <v>2.5423728813559324E-2</v>
      </c>
      <c r="G23" s="3">
        <v>2.5423728813559324E-2</v>
      </c>
    </row>
    <row r="24" spans="1:7" x14ac:dyDescent="0.3">
      <c r="A24" s="2">
        <v>202506</v>
      </c>
      <c r="B24" s="1">
        <v>45809</v>
      </c>
      <c r="C24" s="3">
        <v>0.55462184873949583</v>
      </c>
      <c r="D24" s="3">
        <v>0.30252100840336132</v>
      </c>
      <c r="E24" s="3">
        <v>6.7226890756302518E-2</v>
      </c>
      <c r="F24" s="3">
        <v>5.8823529411764705E-2</v>
      </c>
      <c r="G24" s="3">
        <v>1.680672268907563E-2</v>
      </c>
    </row>
    <row r="25" spans="1:7" x14ac:dyDescent="0.3">
      <c r="A25" s="2">
        <v>202507</v>
      </c>
      <c r="B25" s="1">
        <v>45839</v>
      </c>
      <c r="C25" s="3">
        <v>0.61240310077519378</v>
      </c>
      <c r="D25" s="3">
        <v>0.20930232558139536</v>
      </c>
      <c r="E25" s="3">
        <v>9.3023255813953487E-2</v>
      </c>
      <c r="F25" s="3">
        <v>6.9767441860465115E-2</v>
      </c>
      <c r="G25" s="3">
        <v>1.5503875968992248E-2</v>
      </c>
    </row>
    <row r="26" spans="1:7" x14ac:dyDescent="0.3">
      <c r="A26" s="2">
        <v>202508</v>
      </c>
      <c r="B26" s="1">
        <v>45870</v>
      </c>
      <c r="C26" s="3">
        <v>0.62745098039215685</v>
      </c>
      <c r="D26" s="3">
        <v>0.14705882352941177</v>
      </c>
      <c r="E26" s="3">
        <v>0.17647058823529413</v>
      </c>
      <c r="F26" s="3">
        <v>2.9411764705882353E-2</v>
      </c>
      <c r="G26" s="3">
        <v>1.9607843137254902E-2</v>
      </c>
    </row>
    <row r="27" spans="1:7" x14ac:dyDescent="0.3">
      <c r="A27" s="2">
        <v>202509</v>
      </c>
      <c r="B27" s="1">
        <v>45901</v>
      </c>
      <c r="C27" s="3">
        <v>0.62385321100917435</v>
      </c>
      <c r="D27" s="3">
        <v>0.19266055045871561</v>
      </c>
      <c r="E27" s="3">
        <v>0.11926605504587157</v>
      </c>
      <c r="F27" s="3">
        <v>4.5871559633027525E-2</v>
      </c>
      <c r="G27" s="3">
        <v>1.834862385321101E-2</v>
      </c>
    </row>
    <row r="28" spans="1:7" x14ac:dyDescent="0.3">
      <c r="A28" s="2">
        <v>202510</v>
      </c>
      <c r="B28" s="1">
        <v>45931</v>
      </c>
      <c r="C28" s="3">
        <v>0.61538461538461542</v>
      </c>
      <c r="D28" s="3">
        <v>0.22222222222222221</v>
      </c>
      <c r="E28" s="3">
        <v>0.12820512820512819</v>
      </c>
      <c r="F28" s="3">
        <v>3.4188034188034191E-2</v>
      </c>
      <c r="G28" s="3">
        <v>0</v>
      </c>
    </row>
    <row r="29" spans="1:7" x14ac:dyDescent="0.3">
      <c r="A29" s="2">
        <v>202511</v>
      </c>
      <c r="B29" s="1">
        <v>45962</v>
      </c>
      <c r="C29" s="3">
        <v>0.56074766355140182</v>
      </c>
      <c r="D29" s="3">
        <v>0.21495327102803738</v>
      </c>
      <c r="E29" s="3">
        <v>0.12149532710280374</v>
      </c>
      <c r="F29" s="3">
        <v>8.4112149532710276E-2</v>
      </c>
      <c r="G29" s="3">
        <v>1.8691588785046728E-2</v>
      </c>
    </row>
    <row r="30" spans="1:7" x14ac:dyDescent="0.3">
      <c r="A30" s="2">
        <v>202512</v>
      </c>
      <c r="B30" s="1">
        <v>45992</v>
      </c>
      <c r="C30" s="3">
        <v>0.50505050505050508</v>
      </c>
      <c r="D30" s="3">
        <v>0.32323232323232326</v>
      </c>
      <c r="E30" s="3">
        <v>0.12121212121212122</v>
      </c>
      <c r="F30" s="3">
        <v>5.0505050505050504E-2</v>
      </c>
      <c r="G30" s="3">
        <v>0</v>
      </c>
    </row>
    <row r="31" spans="1:7" x14ac:dyDescent="0.3">
      <c r="A31" s="2">
        <v>202601</v>
      </c>
      <c r="B31" s="1">
        <v>46023</v>
      </c>
      <c r="C31" s="3">
        <v>0.6</v>
      </c>
      <c r="D31" s="3">
        <v>0.18</v>
      </c>
      <c r="E31" s="3">
        <v>0.11</v>
      </c>
      <c r="F31" s="3">
        <v>0.09</v>
      </c>
      <c r="G31" s="3">
        <v>0.02</v>
      </c>
    </row>
    <row r="32" spans="1:7" x14ac:dyDescent="0.3">
      <c r="A32" s="2">
        <v>202602</v>
      </c>
      <c r="B32" s="1">
        <v>46054</v>
      </c>
      <c r="C32" s="3">
        <v>0.57009345794392519</v>
      </c>
      <c r="D32" s="3">
        <v>0.25233644859813081</v>
      </c>
      <c r="E32" s="3">
        <v>0.13084112149532709</v>
      </c>
      <c r="F32" s="3">
        <v>3.7383177570093455E-2</v>
      </c>
      <c r="G32" s="3">
        <v>9.3457943925233638E-3</v>
      </c>
    </row>
    <row r="33" spans="1:7" x14ac:dyDescent="0.3">
      <c r="A33" s="2">
        <v>202603</v>
      </c>
      <c r="B33" s="1">
        <v>46082</v>
      </c>
      <c r="C33" s="3">
        <v>0.58653846153846156</v>
      </c>
      <c r="D33" s="3">
        <v>0.26442307692307693</v>
      </c>
      <c r="E33" s="3">
        <v>0.11057692307692307</v>
      </c>
      <c r="F33" s="3">
        <v>2.403846153846154E-2</v>
      </c>
      <c r="G33" s="3">
        <v>1.4423076923076924E-2</v>
      </c>
    </row>
    <row r="34" spans="1:7" x14ac:dyDescent="0.3">
      <c r="A34" s="2">
        <v>202604</v>
      </c>
      <c r="B34" s="1">
        <v>46113</v>
      </c>
      <c r="C34" s="3">
        <v>0.52459016393442626</v>
      </c>
      <c r="D34" s="3">
        <v>0.25409836065573771</v>
      </c>
      <c r="E34" s="3">
        <v>9.0163934426229511E-2</v>
      </c>
      <c r="F34" s="3">
        <v>8.1967213114754092E-2</v>
      </c>
      <c r="G34" s="3">
        <v>4.9180327868852458E-2</v>
      </c>
    </row>
    <row r="35" spans="1:7" x14ac:dyDescent="0.3">
      <c r="A35" s="2">
        <v>202605</v>
      </c>
      <c r="B35" s="1">
        <v>46143</v>
      </c>
      <c r="C35" s="3">
        <v>0.52830188679245282</v>
      </c>
      <c r="D35" s="3">
        <v>0.21698113207547171</v>
      </c>
      <c r="E35" s="3">
        <v>0.10377358490566038</v>
      </c>
      <c r="F35" s="3">
        <v>0.13207547169811321</v>
      </c>
      <c r="G35" s="3">
        <v>1.8867924528301886E-2</v>
      </c>
    </row>
    <row r="36" spans="1:7" x14ac:dyDescent="0.3">
      <c r="A36" s="2">
        <v>202606</v>
      </c>
      <c r="B36" s="1">
        <v>46174</v>
      </c>
      <c r="C36" s="3">
        <v>0.59633027522935778</v>
      </c>
      <c r="D36" s="3">
        <v>0.1834862385321101</v>
      </c>
      <c r="E36" s="3">
        <v>0.15596330275229359</v>
      </c>
      <c r="F36" s="3">
        <v>5.5045871559633031E-2</v>
      </c>
      <c r="G36" s="3">
        <v>9.1743119266055051E-3</v>
      </c>
    </row>
    <row r="37" spans="1:7" x14ac:dyDescent="0.3">
      <c r="A37" s="2">
        <v>202607</v>
      </c>
      <c r="B37" s="1">
        <v>46204</v>
      </c>
      <c r="C37" s="3">
        <v>0.56074766355140182</v>
      </c>
      <c r="D37" s="3">
        <v>0.21495327102803738</v>
      </c>
      <c r="E37" s="3">
        <v>0.14018691588785046</v>
      </c>
      <c r="F37" s="3">
        <v>4.6728971962616821E-2</v>
      </c>
      <c r="G37" s="3">
        <v>3.7383177570093455E-2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1BB1-593E-45E8-99D2-738E881142CF}">
  <dimension ref="A1:H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21.88671875" bestFit="1" customWidth="1"/>
    <col min="4" max="4" width="20.6640625" bestFit="1" customWidth="1"/>
    <col min="5" max="5" width="6.88671875" bestFit="1" customWidth="1"/>
    <col min="6" max="6" width="7.6640625" bestFit="1" customWidth="1"/>
    <col min="7" max="7" width="8.44140625" bestFit="1" customWidth="1"/>
    <col min="8" max="8" width="51.33203125" bestFit="1" customWidth="1"/>
    <col min="9" max="9" width="8.88671875" bestFit="1" customWidth="1"/>
  </cols>
  <sheetData>
    <row r="1" spans="1:8" s="5" customFormat="1" x14ac:dyDescent="0.3">
      <c r="A1" s="5" t="s">
        <v>0</v>
      </c>
      <c r="B1" s="5" t="s">
        <v>1</v>
      </c>
      <c r="C1" s="5" t="s">
        <v>84</v>
      </c>
      <c r="D1" s="5" t="s">
        <v>86</v>
      </c>
      <c r="E1" s="5" t="s">
        <v>82</v>
      </c>
      <c r="F1" s="5" t="s">
        <v>90</v>
      </c>
      <c r="G1" s="5" t="s">
        <v>88</v>
      </c>
      <c r="H1" s="5" t="s">
        <v>92</v>
      </c>
    </row>
    <row r="2" spans="1:8" x14ac:dyDescent="0.3">
      <c r="A2" s="2">
        <v>202308</v>
      </c>
      <c r="B2" s="1">
        <v>45139</v>
      </c>
      <c r="C2" s="3">
        <v>0.35802469135802467</v>
      </c>
      <c r="D2" s="3">
        <v>0.37037037037037035</v>
      </c>
      <c r="E2" s="3">
        <v>0.3271604938271605</v>
      </c>
      <c r="F2" s="3">
        <v>0.43209876543209874</v>
      </c>
      <c r="G2" s="3">
        <v>0.51851851851851849</v>
      </c>
      <c r="H2" s="3">
        <v>8.6419753086419748E-2</v>
      </c>
    </row>
    <row r="3" spans="1:8" x14ac:dyDescent="0.3">
      <c r="A3" s="2">
        <v>202309</v>
      </c>
      <c r="B3" s="1">
        <v>45170</v>
      </c>
      <c r="C3" s="3">
        <v>0.4098360655737705</v>
      </c>
      <c r="D3" s="3">
        <v>0.35245901639344263</v>
      </c>
      <c r="E3" s="3">
        <v>0.39344262295081966</v>
      </c>
      <c r="F3" s="3">
        <v>0.33606557377049179</v>
      </c>
      <c r="G3" s="3">
        <v>0.46721311475409838</v>
      </c>
      <c r="H3" s="3">
        <v>0.11475409836065574</v>
      </c>
    </row>
    <row r="4" spans="1:8" x14ac:dyDescent="0.3">
      <c r="A4" s="2">
        <v>202310</v>
      </c>
      <c r="B4" s="1">
        <v>45200</v>
      </c>
      <c r="C4" s="3">
        <v>0.27184466019417475</v>
      </c>
      <c r="D4" s="3">
        <v>0.27572815533980582</v>
      </c>
      <c r="E4" s="3">
        <v>0.36504854368932038</v>
      </c>
      <c r="F4" s="3">
        <v>0.31456310679611649</v>
      </c>
      <c r="G4" s="3">
        <v>0.51067961165048548</v>
      </c>
      <c r="H4" s="3">
        <v>0.11262135922330097</v>
      </c>
    </row>
    <row r="5" spans="1:8" x14ac:dyDescent="0.3">
      <c r="A5" s="2">
        <v>202311</v>
      </c>
      <c r="B5" s="1">
        <v>45231</v>
      </c>
      <c r="C5" s="3">
        <v>0.24653739612188366</v>
      </c>
      <c r="D5" s="3">
        <v>0.30747922437673131</v>
      </c>
      <c r="E5" s="3">
        <v>0.36011080332409973</v>
      </c>
      <c r="F5" s="3">
        <v>0.34349030470914127</v>
      </c>
      <c r="G5" s="3">
        <v>0.51523545706371188</v>
      </c>
      <c r="H5" s="3">
        <v>0.11911357340720222</v>
      </c>
    </row>
    <row r="6" spans="1:8" x14ac:dyDescent="0.3">
      <c r="A6" s="2">
        <v>202312</v>
      </c>
      <c r="B6" s="1">
        <v>45261</v>
      </c>
      <c r="C6" s="3">
        <v>0.32234432234432236</v>
      </c>
      <c r="D6" s="3">
        <v>0.36996336996336998</v>
      </c>
      <c r="E6" s="3">
        <v>0.38827838827838829</v>
      </c>
      <c r="F6" s="3">
        <v>0.27472527472527475</v>
      </c>
      <c r="G6" s="3">
        <v>0.4432234432234432</v>
      </c>
      <c r="H6" s="3">
        <v>0.13553113553113552</v>
      </c>
    </row>
    <row r="7" spans="1:8" x14ac:dyDescent="0.3">
      <c r="A7" s="2">
        <v>202401</v>
      </c>
      <c r="B7" s="1">
        <v>45292</v>
      </c>
      <c r="C7" s="3">
        <v>0.31972789115646261</v>
      </c>
      <c r="D7" s="3">
        <v>0.37414965986394561</v>
      </c>
      <c r="E7" s="3">
        <v>0.3401360544217687</v>
      </c>
      <c r="F7" s="3">
        <v>0.27891156462585032</v>
      </c>
      <c r="G7" s="3">
        <v>0.48979591836734693</v>
      </c>
      <c r="H7" s="3">
        <v>0.1360544217687075</v>
      </c>
    </row>
    <row r="8" spans="1:8" x14ac:dyDescent="0.3">
      <c r="A8" s="2">
        <v>202402</v>
      </c>
      <c r="B8" s="1">
        <v>45323</v>
      </c>
      <c r="C8" s="3">
        <v>0.23239436619718309</v>
      </c>
      <c r="D8" s="3">
        <v>0.35915492957746481</v>
      </c>
      <c r="E8" s="3">
        <v>0.43661971830985913</v>
      </c>
      <c r="F8" s="3">
        <v>0.20422535211267606</v>
      </c>
      <c r="G8" s="3">
        <v>0.41549295774647887</v>
      </c>
      <c r="H8" s="3">
        <v>0.14084507042253522</v>
      </c>
    </row>
    <row r="9" spans="1:8" x14ac:dyDescent="0.3">
      <c r="A9" s="2">
        <v>202403</v>
      </c>
      <c r="B9" s="1">
        <v>45352</v>
      </c>
      <c r="C9" s="3">
        <v>0.2608695652173913</v>
      </c>
      <c r="D9" s="3">
        <v>0.4420289855072464</v>
      </c>
      <c r="E9" s="3">
        <v>0.43478260869565216</v>
      </c>
      <c r="F9" s="3">
        <v>0.31159420289855072</v>
      </c>
      <c r="G9" s="3">
        <v>0.44927536231884058</v>
      </c>
      <c r="H9" s="3">
        <v>0.13043478260869565</v>
      </c>
    </row>
    <row r="10" spans="1:8" x14ac:dyDescent="0.3">
      <c r="A10" s="2">
        <v>202404</v>
      </c>
      <c r="B10" s="1">
        <v>45383</v>
      </c>
      <c r="C10" s="3">
        <v>0.26122448979591839</v>
      </c>
      <c r="D10" s="3">
        <v>0.37959183673469388</v>
      </c>
      <c r="E10" s="3">
        <v>0.40408163265306124</v>
      </c>
      <c r="F10" s="3">
        <v>0.24489795918367346</v>
      </c>
      <c r="G10" s="3">
        <v>0.57551020408163267</v>
      </c>
      <c r="H10" s="3">
        <v>9.7959183673469383E-2</v>
      </c>
    </row>
    <row r="11" spans="1:8" x14ac:dyDescent="0.3">
      <c r="A11" s="2">
        <v>202405</v>
      </c>
      <c r="B11" s="1">
        <v>45413</v>
      </c>
      <c r="C11" s="3">
        <v>0.2595573440643863</v>
      </c>
      <c r="D11" s="3">
        <v>0.3501006036217304</v>
      </c>
      <c r="E11" s="3">
        <v>0.47283702213279677</v>
      </c>
      <c r="F11" s="3">
        <v>0.25150905432595572</v>
      </c>
      <c r="G11" s="3">
        <v>0.51710261569416494</v>
      </c>
      <c r="H11" s="3">
        <v>0.10261569416498995</v>
      </c>
    </row>
    <row r="12" spans="1:8" x14ac:dyDescent="0.3">
      <c r="A12" s="2">
        <v>202406</v>
      </c>
      <c r="B12" s="1">
        <v>45444</v>
      </c>
      <c r="C12" s="3">
        <v>0.26548672566371684</v>
      </c>
      <c r="D12" s="3">
        <v>0.38053097345132741</v>
      </c>
      <c r="E12" s="3">
        <v>0.46902654867256638</v>
      </c>
      <c r="F12" s="3">
        <v>0.24778761061946902</v>
      </c>
      <c r="G12" s="3">
        <v>0.52654867256637172</v>
      </c>
      <c r="H12" s="3">
        <v>0.10619469026548672</v>
      </c>
    </row>
    <row r="13" spans="1:8" x14ac:dyDescent="0.3">
      <c r="A13" s="2">
        <v>202407</v>
      </c>
      <c r="B13" s="1">
        <v>45474</v>
      </c>
      <c r="C13" s="3">
        <v>0.25892857142857145</v>
      </c>
      <c r="D13" s="3">
        <v>0.375</v>
      </c>
      <c r="E13" s="3">
        <v>0.5178571428571429</v>
      </c>
      <c r="F13" s="3">
        <v>0.29464285714285715</v>
      </c>
      <c r="G13" s="3">
        <v>0.5982142857142857</v>
      </c>
      <c r="H13" s="3">
        <v>8.0357142857142863E-2</v>
      </c>
    </row>
    <row r="14" spans="1:8" x14ac:dyDescent="0.3">
      <c r="A14" s="2">
        <v>202408</v>
      </c>
      <c r="B14" s="1">
        <v>45505</v>
      </c>
      <c r="C14" s="3">
        <v>0.30882352941176472</v>
      </c>
      <c r="D14" s="3">
        <v>0.35539215686274511</v>
      </c>
      <c r="E14" s="3">
        <v>0.48039215686274511</v>
      </c>
      <c r="F14" s="3">
        <v>0.30882352941176472</v>
      </c>
      <c r="G14" s="3">
        <v>0.46568627450980393</v>
      </c>
      <c r="H14" s="3">
        <v>0.12009803921568628</v>
      </c>
    </row>
    <row r="15" spans="1:8" x14ac:dyDescent="0.3">
      <c r="A15" s="2">
        <v>202409</v>
      </c>
      <c r="B15" s="1">
        <v>45536</v>
      </c>
      <c r="C15" s="3">
        <v>0.33962264150943394</v>
      </c>
      <c r="D15" s="3">
        <v>0.36477987421383645</v>
      </c>
      <c r="E15" s="3">
        <v>0.49685534591194969</v>
      </c>
      <c r="F15" s="3">
        <v>0.2389937106918239</v>
      </c>
      <c r="G15" s="3">
        <v>0.51572327044025157</v>
      </c>
      <c r="H15" s="3">
        <v>0.12578616352201258</v>
      </c>
    </row>
    <row r="16" spans="1:8" x14ac:dyDescent="0.3">
      <c r="A16" s="2">
        <v>202410</v>
      </c>
      <c r="B16" s="1">
        <v>45566</v>
      </c>
      <c r="C16" s="3">
        <v>0.28476821192052981</v>
      </c>
      <c r="D16" s="3">
        <v>0.40397350993377484</v>
      </c>
      <c r="E16" s="3">
        <v>0.4370860927152318</v>
      </c>
      <c r="F16" s="3">
        <v>0.25165562913907286</v>
      </c>
      <c r="G16" s="3">
        <v>0.50993377483443714</v>
      </c>
      <c r="H16" s="3">
        <v>0.13907284768211919</v>
      </c>
    </row>
    <row r="17" spans="1:8" x14ac:dyDescent="0.3">
      <c r="A17" s="2">
        <v>202411</v>
      </c>
      <c r="B17" s="1">
        <v>45597</v>
      </c>
      <c r="C17" s="3">
        <v>0.379746835443038</v>
      </c>
      <c r="D17" s="3">
        <v>0.38607594936708861</v>
      </c>
      <c r="E17" s="3">
        <v>0.569620253164557</v>
      </c>
      <c r="F17" s="3">
        <v>0.34177215189873417</v>
      </c>
      <c r="G17" s="3">
        <v>0.55063291139240511</v>
      </c>
      <c r="H17" s="3">
        <v>0.10126582278481013</v>
      </c>
    </row>
    <row r="18" spans="1:8" x14ac:dyDescent="0.3">
      <c r="A18" s="2">
        <v>202412</v>
      </c>
      <c r="B18" s="1">
        <v>45627</v>
      </c>
      <c r="C18" s="3">
        <v>0.3546099290780142</v>
      </c>
      <c r="D18" s="3">
        <v>0.49645390070921985</v>
      </c>
      <c r="E18" s="3">
        <v>0.51773049645390068</v>
      </c>
      <c r="F18" s="3">
        <v>0.36170212765957449</v>
      </c>
      <c r="G18" s="3">
        <v>0.53191489361702127</v>
      </c>
      <c r="H18" s="3">
        <v>4.9645390070921988E-2</v>
      </c>
    </row>
    <row r="19" spans="1:8" x14ac:dyDescent="0.3">
      <c r="A19" s="2">
        <v>202501</v>
      </c>
      <c r="B19" s="1">
        <v>45658</v>
      </c>
      <c r="C19" s="3">
        <v>0.27893175074183979</v>
      </c>
      <c r="D19" s="3">
        <v>0.39762611275964393</v>
      </c>
      <c r="E19" s="3">
        <v>0.56083086053412468</v>
      </c>
      <c r="F19" s="3">
        <v>0.3857566765578635</v>
      </c>
      <c r="G19" s="3">
        <v>0.51632047477744802</v>
      </c>
      <c r="H19" s="3">
        <v>7.418397626112759E-2</v>
      </c>
    </row>
    <row r="20" spans="1:8" x14ac:dyDescent="0.3">
      <c r="A20" s="2">
        <v>202502</v>
      </c>
      <c r="B20" s="1">
        <v>45689</v>
      </c>
      <c r="C20" s="3">
        <v>0.30434782608695654</v>
      </c>
      <c r="D20" s="3">
        <v>0.34161490683229812</v>
      </c>
      <c r="E20" s="3">
        <v>0.58385093167701863</v>
      </c>
      <c r="F20" s="3">
        <v>0.44099378881987578</v>
      </c>
      <c r="G20" s="3">
        <v>0.48447204968944102</v>
      </c>
      <c r="H20" s="3">
        <v>6.2111801242236024E-2</v>
      </c>
    </row>
    <row r="21" spans="1:8" x14ac:dyDescent="0.3">
      <c r="A21" s="2">
        <v>202503</v>
      </c>
      <c r="B21" s="1">
        <v>45717</v>
      </c>
      <c r="C21" s="3">
        <v>0.28888888888888886</v>
      </c>
      <c r="D21" s="3">
        <v>0.39444444444444443</v>
      </c>
      <c r="E21" s="3">
        <v>0.6</v>
      </c>
      <c r="F21" s="3">
        <v>0.36666666666666664</v>
      </c>
      <c r="G21" s="3">
        <v>0.51666666666666672</v>
      </c>
      <c r="H21" s="3">
        <v>8.8888888888888892E-2</v>
      </c>
    </row>
    <row r="22" spans="1:8" x14ac:dyDescent="0.3">
      <c r="A22" s="2">
        <v>202504</v>
      </c>
      <c r="B22" s="1">
        <v>45748</v>
      </c>
      <c r="C22" s="3">
        <v>0.26811594202898553</v>
      </c>
      <c r="D22" s="3">
        <v>0.34782608695652173</v>
      </c>
      <c r="E22" s="3">
        <v>0.57246376811594202</v>
      </c>
      <c r="F22" s="3">
        <v>0.31159420289855072</v>
      </c>
      <c r="G22" s="3">
        <v>0.54347826086956519</v>
      </c>
      <c r="H22" s="3">
        <v>9.420289855072464E-2</v>
      </c>
    </row>
    <row r="23" spans="1:8" x14ac:dyDescent="0.3">
      <c r="A23" s="2">
        <v>202505</v>
      </c>
      <c r="B23" s="1">
        <v>45778</v>
      </c>
      <c r="C23" s="3">
        <v>0.29661016949152541</v>
      </c>
      <c r="D23" s="3">
        <v>0.38983050847457629</v>
      </c>
      <c r="E23" s="3">
        <v>0.5847457627118644</v>
      </c>
      <c r="F23" s="3">
        <v>0.28813559322033899</v>
      </c>
      <c r="G23" s="3">
        <v>0.53389830508474578</v>
      </c>
      <c r="H23" s="3">
        <v>8.4745762711864403E-2</v>
      </c>
    </row>
    <row r="24" spans="1:8" x14ac:dyDescent="0.3">
      <c r="A24" s="2">
        <v>202506</v>
      </c>
      <c r="B24" s="1">
        <v>45809</v>
      </c>
      <c r="C24" s="3">
        <v>0.42016806722689076</v>
      </c>
      <c r="D24" s="3">
        <v>0.44537815126050423</v>
      </c>
      <c r="E24" s="3">
        <v>0.59663865546218486</v>
      </c>
      <c r="F24" s="3">
        <v>0.36134453781512604</v>
      </c>
      <c r="G24" s="3">
        <v>0.44537815126050423</v>
      </c>
      <c r="H24" s="3">
        <v>8.4033613445378158E-2</v>
      </c>
    </row>
    <row r="25" spans="1:8" x14ac:dyDescent="0.3">
      <c r="A25" s="2">
        <v>202507</v>
      </c>
      <c r="B25" s="1">
        <v>45839</v>
      </c>
      <c r="C25" s="3">
        <v>0.37984496124031009</v>
      </c>
      <c r="D25" s="3">
        <v>0.37984496124031009</v>
      </c>
      <c r="E25" s="3">
        <v>0.58139534883720934</v>
      </c>
      <c r="F25" s="3">
        <v>0.31007751937984496</v>
      </c>
      <c r="G25" s="3">
        <v>0.50387596899224807</v>
      </c>
      <c r="H25" s="3">
        <v>0.10077519379844961</v>
      </c>
    </row>
    <row r="26" spans="1:8" x14ac:dyDescent="0.3">
      <c r="A26" s="2">
        <v>202508</v>
      </c>
      <c r="B26" s="1">
        <v>45870</v>
      </c>
      <c r="C26" s="3">
        <v>0.41176470588235292</v>
      </c>
      <c r="D26" s="3">
        <v>0.42156862745098039</v>
      </c>
      <c r="E26" s="3">
        <v>0.61764705882352944</v>
      </c>
      <c r="F26" s="3">
        <v>0.29411764705882354</v>
      </c>
      <c r="G26" s="3">
        <v>0.46078431372549017</v>
      </c>
      <c r="H26" s="3">
        <v>7.8431372549019607E-2</v>
      </c>
    </row>
    <row r="27" spans="1:8" x14ac:dyDescent="0.3">
      <c r="A27" s="2">
        <v>202509</v>
      </c>
      <c r="B27" s="1">
        <v>45901</v>
      </c>
      <c r="C27" s="3">
        <v>0.33027522935779818</v>
      </c>
      <c r="D27" s="3">
        <v>0.37614678899082571</v>
      </c>
      <c r="E27" s="3">
        <v>0.69724770642201839</v>
      </c>
      <c r="F27" s="3">
        <v>0.22018348623853212</v>
      </c>
      <c r="G27" s="3">
        <v>0.49541284403669728</v>
      </c>
      <c r="H27" s="3">
        <v>9.1743119266055051E-2</v>
      </c>
    </row>
    <row r="28" spans="1:8" x14ac:dyDescent="0.3">
      <c r="A28" s="2">
        <v>202510</v>
      </c>
      <c r="B28" s="1">
        <v>45931</v>
      </c>
      <c r="C28" s="3">
        <v>0.40170940170940173</v>
      </c>
      <c r="D28" s="3">
        <v>0.41025641025641024</v>
      </c>
      <c r="E28" s="3">
        <v>0.58974358974358976</v>
      </c>
      <c r="F28" s="3">
        <v>0.31623931623931623</v>
      </c>
      <c r="G28" s="3">
        <v>0.42735042735042733</v>
      </c>
      <c r="H28" s="3">
        <v>7.6923076923076927E-2</v>
      </c>
    </row>
    <row r="29" spans="1:8" x14ac:dyDescent="0.3">
      <c r="A29" s="2">
        <v>202511</v>
      </c>
      <c r="B29" s="1">
        <v>45962</v>
      </c>
      <c r="C29" s="3">
        <v>0.45794392523364486</v>
      </c>
      <c r="D29" s="3">
        <v>0.44859813084112149</v>
      </c>
      <c r="E29" s="3">
        <v>0.59813084112149528</v>
      </c>
      <c r="F29" s="3">
        <v>0.28037383177570091</v>
      </c>
      <c r="G29" s="3">
        <v>0.42990654205607476</v>
      </c>
      <c r="H29" s="3">
        <v>0.10280373831775701</v>
      </c>
    </row>
    <row r="30" spans="1:8" x14ac:dyDescent="0.3">
      <c r="A30" s="2">
        <v>202512</v>
      </c>
      <c r="B30" s="1">
        <v>45992</v>
      </c>
      <c r="C30" s="3">
        <v>0.59595959595959591</v>
      </c>
      <c r="D30" s="3">
        <v>0.33333333333333331</v>
      </c>
      <c r="E30" s="3">
        <v>0.44444444444444442</v>
      </c>
      <c r="F30" s="3">
        <v>0.25252525252525254</v>
      </c>
      <c r="G30" s="3">
        <v>0.31313131313131315</v>
      </c>
      <c r="H30" s="3">
        <v>9.0909090909090912E-2</v>
      </c>
    </row>
    <row r="31" spans="1:8" x14ac:dyDescent="0.3">
      <c r="A31" s="2">
        <v>202601</v>
      </c>
      <c r="B31" s="1">
        <v>46023</v>
      </c>
      <c r="C31" s="3">
        <v>0.48</v>
      </c>
      <c r="D31" s="3">
        <v>0.43</v>
      </c>
      <c r="E31" s="3">
        <v>0.57999999999999996</v>
      </c>
      <c r="F31" s="3">
        <v>0.19</v>
      </c>
      <c r="G31" s="3">
        <v>0.27</v>
      </c>
      <c r="H31" s="3">
        <v>0.14000000000000001</v>
      </c>
    </row>
    <row r="32" spans="1:8" x14ac:dyDescent="0.3">
      <c r="A32" s="2">
        <v>202602</v>
      </c>
      <c r="B32" s="1">
        <v>46054</v>
      </c>
      <c r="C32" s="3">
        <v>0.32710280373831774</v>
      </c>
      <c r="D32" s="3">
        <v>0.41121495327102803</v>
      </c>
      <c r="E32" s="3">
        <v>0.7009345794392523</v>
      </c>
      <c r="F32" s="3">
        <v>0.28037383177570091</v>
      </c>
      <c r="G32" s="3">
        <v>0.34579439252336447</v>
      </c>
      <c r="H32" s="3">
        <v>5.6074766355140186E-2</v>
      </c>
    </row>
    <row r="33" spans="1:8" x14ac:dyDescent="0.3">
      <c r="A33" s="2">
        <v>202603</v>
      </c>
      <c r="B33" s="1">
        <v>46082</v>
      </c>
      <c r="C33" s="3">
        <v>0.37980769230769229</v>
      </c>
      <c r="D33" s="3">
        <v>0.35096153846153844</v>
      </c>
      <c r="E33" s="3">
        <v>0.62019230769230771</v>
      </c>
      <c r="F33" s="3">
        <v>0.3125</v>
      </c>
      <c r="G33" s="3">
        <v>0.25</v>
      </c>
      <c r="H33" s="3">
        <v>0.125</v>
      </c>
    </row>
    <row r="34" spans="1:8" x14ac:dyDescent="0.3">
      <c r="A34" s="2">
        <v>202604</v>
      </c>
      <c r="B34" s="1">
        <v>46113</v>
      </c>
      <c r="C34" s="3">
        <v>0.4344262295081967</v>
      </c>
      <c r="D34" s="3">
        <v>0.36065573770491804</v>
      </c>
      <c r="E34" s="3">
        <v>0.63934426229508201</v>
      </c>
      <c r="F34" s="3">
        <v>0.36885245901639346</v>
      </c>
      <c r="G34" s="3">
        <v>0.32786885245901637</v>
      </c>
      <c r="H34" s="3">
        <v>0</v>
      </c>
    </row>
    <row r="35" spans="1:8" x14ac:dyDescent="0.3">
      <c r="A35" s="2">
        <v>202605</v>
      </c>
      <c r="B35" s="1">
        <v>46143</v>
      </c>
      <c r="C35" s="3">
        <v>0.49056603773584906</v>
      </c>
      <c r="D35" s="3">
        <v>0.31132075471698112</v>
      </c>
      <c r="E35" s="3">
        <v>0.55660377358490565</v>
      </c>
      <c r="F35" s="3">
        <v>0.330188679245283</v>
      </c>
      <c r="G35" s="3">
        <v>0.31132075471698112</v>
      </c>
      <c r="H35" s="3">
        <v>0</v>
      </c>
    </row>
    <row r="36" spans="1:8" x14ac:dyDescent="0.3">
      <c r="A36" s="2">
        <v>202606</v>
      </c>
      <c r="B36" s="1">
        <v>46174</v>
      </c>
      <c r="C36" s="3">
        <v>0.50458715596330272</v>
      </c>
      <c r="D36" s="3">
        <v>0.42201834862385323</v>
      </c>
      <c r="E36" s="3">
        <v>0.69724770642201839</v>
      </c>
      <c r="F36" s="3">
        <v>0.28440366972477066</v>
      </c>
      <c r="G36" s="3">
        <v>0.22935779816513763</v>
      </c>
      <c r="H36" s="3">
        <v>0</v>
      </c>
    </row>
    <row r="37" spans="1:8" x14ac:dyDescent="0.3">
      <c r="A37" s="2">
        <v>202607</v>
      </c>
      <c r="B37" s="1">
        <v>46204</v>
      </c>
      <c r="C37" s="3">
        <v>0.46728971962616822</v>
      </c>
      <c r="D37" s="3">
        <v>0.35514018691588783</v>
      </c>
      <c r="E37" s="3">
        <v>0.67289719626168221</v>
      </c>
      <c r="F37" s="3">
        <v>0.23364485981308411</v>
      </c>
      <c r="G37" s="3">
        <v>0.28037383177570091</v>
      </c>
      <c r="H37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D1B2-A0F5-432B-A043-A0A83EF73B26}">
  <dimension ref="A1:H5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24.6640625" bestFit="1" customWidth="1"/>
    <col min="4" max="5" width="28.77734375" bestFit="1" customWidth="1"/>
    <col min="6" max="7" width="25.6640625" bestFit="1" customWidth="1"/>
    <col min="8" max="8" width="24.109375" bestFit="1" customWidth="1"/>
  </cols>
  <sheetData>
    <row r="1" spans="1:8" s="5" customFormat="1" x14ac:dyDescent="0.3">
      <c r="A1" s="5" t="s">
        <v>0</v>
      </c>
      <c r="B1" s="5" t="s">
        <v>1</v>
      </c>
      <c r="C1" s="5" t="s">
        <v>70</v>
      </c>
      <c r="D1" s="5" t="s">
        <v>72</v>
      </c>
      <c r="E1" s="5" t="s">
        <v>74</v>
      </c>
      <c r="F1" s="5" t="s">
        <v>76</v>
      </c>
      <c r="G1" s="5" t="s">
        <v>78</v>
      </c>
      <c r="H1" s="5" t="s">
        <v>80</v>
      </c>
    </row>
    <row r="2" spans="1:8" x14ac:dyDescent="0.3">
      <c r="A2" s="2">
        <v>202604</v>
      </c>
      <c r="B2" s="1">
        <v>46113</v>
      </c>
      <c r="C2" s="3">
        <v>1.6393442622950821E-2</v>
      </c>
      <c r="D2" s="3">
        <v>5.737704918032787E-2</v>
      </c>
      <c r="E2" s="3">
        <v>0.13114754098360656</v>
      </c>
      <c r="F2" s="3">
        <v>0.26229508196721313</v>
      </c>
      <c r="G2" s="3">
        <v>0.30327868852459017</v>
      </c>
      <c r="H2" s="3">
        <v>0.22950819672131148</v>
      </c>
    </row>
    <row r="3" spans="1:8" x14ac:dyDescent="0.3">
      <c r="A3" s="2">
        <v>202605</v>
      </c>
      <c r="B3" s="1">
        <v>46143</v>
      </c>
      <c r="C3" s="3">
        <v>1.8867924528301886E-2</v>
      </c>
      <c r="D3" s="3">
        <v>9.4339622641509441E-2</v>
      </c>
      <c r="E3" s="3">
        <v>0.25471698113207547</v>
      </c>
      <c r="F3" s="3">
        <v>0.31132075471698112</v>
      </c>
      <c r="G3" s="3">
        <v>0.24528301886792453</v>
      </c>
      <c r="H3" s="3">
        <v>7.5471698113207544E-2</v>
      </c>
    </row>
    <row r="4" spans="1:8" x14ac:dyDescent="0.3">
      <c r="A4" s="2">
        <v>202606</v>
      </c>
      <c r="B4" s="1">
        <v>46174</v>
      </c>
      <c r="C4" s="3">
        <v>2.7522935779816515E-2</v>
      </c>
      <c r="D4" s="3">
        <v>0.20183486238532111</v>
      </c>
      <c r="E4" s="3">
        <v>0.38532110091743121</v>
      </c>
      <c r="F4" s="3">
        <v>0.27522935779816515</v>
      </c>
      <c r="G4" s="3">
        <v>6.4220183486238536E-2</v>
      </c>
      <c r="H4" s="3">
        <v>4.5871559633027525E-2</v>
      </c>
    </row>
    <row r="5" spans="1:8" x14ac:dyDescent="0.3">
      <c r="A5" s="2">
        <v>202607</v>
      </c>
      <c r="B5" s="1">
        <v>46204</v>
      </c>
      <c r="C5" s="3">
        <v>1.8691588785046728E-2</v>
      </c>
      <c r="D5" s="3">
        <v>0.15887850467289721</v>
      </c>
      <c r="E5" s="3">
        <v>0.42056074766355139</v>
      </c>
      <c r="F5" s="3">
        <v>0.27102803738317754</v>
      </c>
      <c r="G5" s="3">
        <v>6.5420560747663545E-2</v>
      </c>
      <c r="H5" s="3">
        <v>6.5420560747663545E-2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6698-9C48-4D3E-B362-5065D78F5743}">
  <dimension ref="A1:K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8.21875" bestFit="1" customWidth="1"/>
    <col min="4" max="4" width="19.77734375" bestFit="1" customWidth="1"/>
    <col min="5" max="5" width="49.6640625" bestFit="1" customWidth="1"/>
    <col min="6" max="6" width="21.88671875" bestFit="1" customWidth="1"/>
    <col min="7" max="7" width="25.21875" bestFit="1" customWidth="1"/>
    <col min="8" max="8" width="20.44140625" bestFit="1" customWidth="1"/>
    <col min="9" max="9" width="21.5546875" bestFit="1" customWidth="1"/>
    <col min="10" max="10" width="26.77734375" bestFit="1" customWidth="1"/>
    <col min="11" max="11" width="13.33203125" bestFit="1" customWidth="1"/>
    <col min="12" max="12" width="8" bestFit="1" customWidth="1"/>
  </cols>
  <sheetData>
    <row r="1" spans="1:11" s="5" customFormat="1" x14ac:dyDescent="0.3">
      <c r="A1" s="5" t="s">
        <v>0</v>
      </c>
      <c r="B1" s="5" t="s">
        <v>1</v>
      </c>
      <c r="C1" s="5" t="s">
        <v>51</v>
      </c>
      <c r="D1" s="5" t="s">
        <v>56</v>
      </c>
      <c r="E1" s="5" t="s">
        <v>54</v>
      </c>
      <c r="F1" s="5" t="s">
        <v>59</v>
      </c>
      <c r="G1" s="5" t="s">
        <v>67</v>
      </c>
      <c r="H1" s="5" t="s">
        <v>62</v>
      </c>
      <c r="I1" s="5" t="s">
        <v>48</v>
      </c>
      <c r="J1" s="5" t="s">
        <v>45</v>
      </c>
      <c r="K1" s="5" t="s">
        <v>64</v>
      </c>
    </row>
    <row r="2" spans="1:11" x14ac:dyDescent="0.3">
      <c r="A2" s="2">
        <v>202308</v>
      </c>
      <c r="B2" s="1">
        <v>45139</v>
      </c>
      <c r="C2" s="3"/>
      <c r="D2" s="3">
        <v>0.70987654320987659</v>
      </c>
      <c r="E2" s="3">
        <v>0.41975308641975306</v>
      </c>
      <c r="F2" s="3">
        <v>0.46296296296296297</v>
      </c>
      <c r="G2" s="3">
        <v>0.23456790123456789</v>
      </c>
      <c r="H2" s="3">
        <v>0</v>
      </c>
      <c r="I2" s="3">
        <v>0.45061728395061729</v>
      </c>
      <c r="J2" s="3">
        <v>0.69753086419753085</v>
      </c>
      <c r="K2" s="3">
        <v>7.407407407407407E-2</v>
      </c>
    </row>
    <row r="3" spans="1:11" x14ac:dyDescent="0.3">
      <c r="A3" s="2">
        <v>202309</v>
      </c>
      <c r="B3" s="1">
        <v>45170</v>
      </c>
      <c r="C3" s="3"/>
      <c r="D3" s="3">
        <v>0.72131147540983609</v>
      </c>
      <c r="E3" s="3">
        <v>0.46721311475409838</v>
      </c>
      <c r="F3" s="3">
        <v>0.46721311475409838</v>
      </c>
      <c r="G3" s="3">
        <v>0.1721311475409836</v>
      </c>
      <c r="H3" s="3">
        <v>0</v>
      </c>
      <c r="I3" s="3">
        <v>0.59836065573770492</v>
      </c>
      <c r="J3" s="3">
        <v>0.69672131147540983</v>
      </c>
      <c r="K3" s="3">
        <v>4.9180327868852458E-2</v>
      </c>
    </row>
    <row r="4" spans="1:11" x14ac:dyDescent="0.3">
      <c r="A4" s="2">
        <v>202310</v>
      </c>
      <c r="B4" s="1">
        <v>45200</v>
      </c>
      <c r="C4" s="3">
        <v>0.40388349514563104</v>
      </c>
      <c r="D4" s="3">
        <v>0.53980582524271847</v>
      </c>
      <c r="E4" s="3">
        <v>0.27766990291262134</v>
      </c>
      <c r="F4" s="3">
        <v>0.21553398058252426</v>
      </c>
      <c r="G4" s="3">
        <v>9.9029126213592236E-2</v>
      </c>
      <c r="H4" s="3">
        <v>0</v>
      </c>
      <c r="I4" s="3">
        <v>0.52621359223300967</v>
      </c>
      <c r="J4" s="3">
        <v>0.67961165048543692</v>
      </c>
      <c r="K4" s="3">
        <v>2.9126213592233011E-2</v>
      </c>
    </row>
    <row r="5" spans="1:11" x14ac:dyDescent="0.3">
      <c r="A5" s="2">
        <v>202311</v>
      </c>
      <c r="B5" s="1">
        <v>45231</v>
      </c>
      <c r="C5" s="3">
        <v>0.44044321329639891</v>
      </c>
      <c r="D5" s="3">
        <v>0.53185595567867039</v>
      </c>
      <c r="E5" s="3">
        <v>0.26869806094182824</v>
      </c>
      <c r="F5" s="3">
        <v>0.19667590027700832</v>
      </c>
      <c r="G5" s="3">
        <v>9.4182825484764546E-2</v>
      </c>
      <c r="H5" s="3">
        <v>0</v>
      </c>
      <c r="I5" s="3">
        <v>0.50692520775623273</v>
      </c>
      <c r="J5" s="3">
        <v>0.64265927977839332</v>
      </c>
      <c r="K5" s="3">
        <v>4.4321329639889197E-2</v>
      </c>
    </row>
    <row r="6" spans="1:11" x14ac:dyDescent="0.3">
      <c r="A6" s="2">
        <v>202312</v>
      </c>
      <c r="B6" s="1">
        <v>45261</v>
      </c>
      <c r="C6" s="3">
        <v>0.5567765567765568</v>
      </c>
      <c r="D6" s="3">
        <v>0.65934065934065933</v>
      </c>
      <c r="E6" s="3">
        <v>0.24908424908424909</v>
      </c>
      <c r="F6" s="3">
        <v>0.2087912087912088</v>
      </c>
      <c r="G6" s="3">
        <v>0.12454212454212454</v>
      </c>
      <c r="H6" s="3">
        <v>0</v>
      </c>
      <c r="I6" s="3">
        <v>0.45787545787545786</v>
      </c>
      <c r="J6" s="3">
        <v>0.64468864468864473</v>
      </c>
      <c r="K6" s="3">
        <v>2.564102564102564E-2</v>
      </c>
    </row>
    <row r="7" spans="1:11" x14ac:dyDescent="0.3">
      <c r="A7" s="2">
        <v>202401</v>
      </c>
      <c r="B7" s="1">
        <v>45292</v>
      </c>
      <c r="C7" s="3">
        <v>0.61224489795918369</v>
      </c>
      <c r="D7" s="3">
        <v>0.69387755102040816</v>
      </c>
      <c r="E7" s="3">
        <v>0.2857142857142857</v>
      </c>
      <c r="F7" s="3">
        <v>0.29251700680272108</v>
      </c>
      <c r="G7" s="3">
        <v>0.1360544217687075</v>
      </c>
      <c r="H7" s="3">
        <v>0</v>
      </c>
      <c r="I7" s="3">
        <v>0.51020408163265307</v>
      </c>
      <c r="J7" s="3">
        <v>0.62585034013605445</v>
      </c>
      <c r="K7" s="3">
        <v>0.12244897959183673</v>
      </c>
    </row>
    <row r="8" spans="1:11" x14ac:dyDescent="0.3">
      <c r="A8" s="2">
        <v>202402</v>
      </c>
      <c r="B8" s="1">
        <v>45323</v>
      </c>
      <c r="C8" s="3">
        <v>0.63380281690140849</v>
      </c>
      <c r="D8" s="3">
        <v>0.68309859154929575</v>
      </c>
      <c r="E8" s="3">
        <v>0.22535211267605634</v>
      </c>
      <c r="F8" s="3">
        <v>0.22535211267605634</v>
      </c>
      <c r="G8" s="3">
        <v>9.8591549295774641E-2</v>
      </c>
      <c r="H8" s="3">
        <v>0</v>
      </c>
      <c r="I8" s="3">
        <v>0.47183098591549294</v>
      </c>
      <c r="J8" s="3">
        <v>0.65492957746478875</v>
      </c>
      <c r="K8" s="3">
        <v>7.0422535211267609E-2</v>
      </c>
    </row>
    <row r="9" spans="1:11" x14ac:dyDescent="0.3">
      <c r="A9" s="2">
        <v>202403</v>
      </c>
      <c r="B9" s="1">
        <v>45352</v>
      </c>
      <c r="C9" s="3">
        <v>0.59420289855072461</v>
      </c>
      <c r="D9" s="3">
        <v>0.65217391304347827</v>
      </c>
      <c r="E9" s="3">
        <v>0.32608695652173914</v>
      </c>
      <c r="F9" s="3">
        <v>0.21739130434782608</v>
      </c>
      <c r="G9" s="3">
        <v>0.14492753623188406</v>
      </c>
      <c r="H9" s="3">
        <v>0</v>
      </c>
      <c r="I9" s="3">
        <v>0.45652173913043476</v>
      </c>
      <c r="J9" s="3">
        <v>0.58695652173913049</v>
      </c>
      <c r="K9" s="3">
        <v>0.20289855072463769</v>
      </c>
    </row>
    <row r="10" spans="1:11" x14ac:dyDescent="0.3">
      <c r="A10" s="2">
        <v>202404</v>
      </c>
      <c r="B10" s="1">
        <v>45383</v>
      </c>
      <c r="C10" s="3">
        <v>0.50204081632653064</v>
      </c>
      <c r="D10" s="3">
        <v>0.72244897959183674</v>
      </c>
      <c r="E10" s="3">
        <v>0.27755102040816326</v>
      </c>
      <c r="F10" s="3">
        <v>0.19183673469387755</v>
      </c>
      <c r="G10" s="3">
        <v>9.7959183673469383E-2</v>
      </c>
      <c r="H10" s="3">
        <v>0</v>
      </c>
      <c r="I10" s="3">
        <v>0.41224489795918368</v>
      </c>
      <c r="J10" s="3">
        <v>0.59183673469387754</v>
      </c>
      <c r="K10" s="3">
        <v>0.20408163265306123</v>
      </c>
    </row>
    <row r="11" spans="1:11" x14ac:dyDescent="0.3">
      <c r="A11" s="2">
        <v>202405</v>
      </c>
      <c r="B11" s="1">
        <v>45413</v>
      </c>
      <c r="C11" s="3">
        <v>0.39235412474849096</v>
      </c>
      <c r="D11" s="3">
        <v>0.5855130784708249</v>
      </c>
      <c r="E11" s="3">
        <v>0.30985915492957744</v>
      </c>
      <c r="F11" s="3">
        <v>0.10663983903420524</v>
      </c>
      <c r="G11" s="3">
        <v>5.6338028169014086E-2</v>
      </c>
      <c r="H11" s="3">
        <v>0</v>
      </c>
      <c r="I11" s="3">
        <v>0.50503018108651909</v>
      </c>
      <c r="J11" s="3">
        <v>0.68209255533199198</v>
      </c>
      <c r="K11" s="3">
        <v>0.10865191146881288</v>
      </c>
    </row>
    <row r="12" spans="1:11" x14ac:dyDescent="0.3">
      <c r="A12" s="2">
        <v>202406</v>
      </c>
      <c r="B12" s="1">
        <v>45444</v>
      </c>
      <c r="C12" s="3">
        <v>0.2831858407079646</v>
      </c>
      <c r="D12" s="3">
        <v>0.47345132743362833</v>
      </c>
      <c r="E12" s="3">
        <v>0.34513274336283184</v>
      </c>
      <c r="F12" s="3">
        <v>7.5221238938053103E-2</v>
      </c>
      <c r="G12" s="3">
        <v>3.0973451327433628E-2</v>
      </c>
      <c r="H12" s="3">
        <v>0</v>
      </c>
      <c r="I12" s="3">
        <v>0.60619469026548678</v>
      </c>
      <c r="J12" s="3">
        <v>0.75663716814159288</v>
      </c>
      <c r="K12" s="3">
        <v>0.12389380530973451</v>
      </c>
    </row>
    <row r="13" spans="1:11" x14ac:dyDescent="0.3">
      <c r="A13" s="2">
        <v>202407</v>
      </c>
      <c r="B13" s="1">
        <v>45474</v>
      </c>
      <c r="C13" s="3">
        <v>0.3392857142857143</v>
      </c>
      <c r="D13" s="3">
        <v>0.4375</v>
      </c>
      <c r="E13" s="3">
        <v>0.38392857142857145</v>
      </c>
      <c r="F13" s="3">
        <v>4.4642857142857144E-2</v>
      </c>
      <c r="G13" s="3">
        <v>8.0357142857142863E-2</v>
      </c>
      <c r="H13" s="3">
        <v>0</v>
      </c>
      <c r="I13" s="3">
        <v>0.4375</v>
      </c>
      <c r="J13" s="3">
        <v>0.8214285714285714</v>
      </c>
      <c r="K13" s="3">
        <v>7.1428571428571425E-2</v>
      </c>
    </row>
    <row r="14" spans="1:11" x14ac:dyDescent="0.3">
      <c r="A14" s="2">
        <v>202408</v>
      </c>
      <c r="B14" s="1">
        <v>45505</v>
      </c>
      <c r="C14" s="3">
        <v>0.36764705882352944</v>
      </c>
      <c r="D14" s="3">
        <v>0.47549019607843135</v>
      </c>
      <c r="E14" s="3">
        <v>0.34558823529411764</v>
      </c>
      <c r="F14" s="3">
        <v>0.1053921568627451</v>
      </c>
      <c r="G14" s="3">
        <v>6.1274509803921566E-2</v>
      </c>
      <c r="H14" s="3">
        <v>0</v>
      </c>
      <c r="I14" s="3">
        <v>0.61519607843137258</v>
      </c>
      <c r="J14" s="3">
        <v>0.70343137254901966</v>
      </c>
      <c r="K14" s="3">
        <v>0.10049019607843138</v>
      </c>
    </row>
    <row r="15" spans="1:11" x14ac:dyDescent="0.3">
      <c r="A15" s="2">
        <v>202409</v>
      </c>
      <c r="B15" s="1">
        <v>45536</v>
      </c>
      <c r="C15" s="3">
        <v>0.39622641509433965</v>
      </c>
      <c r="D15" s="3">
        <v>0.55974842767295596</v>
      </c>
      <c r="E15" s="3">
        <v>0.4088050314465409</v>
      </c>
      <c r="F15" s="3">
        <v>0.10062893081761007</v>
      </c>
      <c r="G15" s="3">
        <v>6.2893081761006289E-2</v>
      </c>
      <c r="H15" s="3">
        <v>0</v>
      </c>
      <c r="I15" s="3">
        <v>0.62893081761006286</v>
      </c>
      <c r="J15" s="3">
        <v>0.71069182389937102</v>
      </c>
      <c r="K15" s="3">
        <v>8.1761006289308172E-2</v>
      </c>
    </row>
    <row r="16" spans="1:11" x14ac:dyDescent="0.3">
      <c r="A16" s="2">
        <v>202410</v>
      </c>
      <c r="B16" s="1">
        <v>45566</v>
      </c>
      <c r="C16" s="3">
        <v>0.27814569536423839</v>
      </c>
      <c r="D16" s="3">
        <v>0.40397350993377484</v>
      </c>
      <c r="E16" s="3">
        <v>0.37086092715231789</v>
      </c>
      <c r="F16" s="3">
        <v>9.9337748344370855E-2</v>
      </c>
      <c r="G16" s="3">
        <v>9.2715231788079472E-2</v>
      </c>
      <c r="H16" s="3">
        <v>0</v>
      </c>
      <c r="I16" s="3">
        <v>0.72185430463576161</v>
      </c>
      <c r="J16" s="3">
        <v>0.73509933774834435</v>
      </c>
      <c r="K16" s="3">
        <v>9.2715231788079472E-2</v>
      </c>
    </row>
    <row r="17" spans="1:11" x14ac:dyDescent="0.3">
      <c r="A17" s="2">
        <v>202411</v>
      </c>
      <c r="B17" s="1">
        <v>45597</v>
      </c>
      <c r="C17" s="3">
        <v>0.30379746835443039</v>
      </c>
      <c r="D17" s="3">
        <v>0.31645569620253167</v>
      </c>
      <c r="E17" s="3">
        <v>0.36075949367088606</v>
      </c>
      <c r="F17" s="3">
        <v>8.2278481012658222E-2</v>
      </c>
      <c r="G17" s="3">
        <v>3.7974683544303799E-2</v>
      </c>
      <c r="H17" s="3">
        <v>0</v>
      </c>
      <c r="I17" s="3">
        <v>0.65822784810126578</v>
      </c>
      <c r="J17" s="3">
        <v>0.77848101265822789</v>
      </c>
      <c r="K17" s="3">
        <v>0.19620253164556961</v>
      </c>
    </row>
    <row r="18" spans="1:11" x14ac:dyDescent="0.3">
      <c r="A18" s="2">
        <v>202412</v>
      </c>
      <c r="B18" s="1">
        <v>45627</v>
      </c>
      <c r="C18" s="3">
        <v>0.18439716312056736</v>
      </c>
      <c r="D18" s="3">
        <v>0.1773049645390071</v>
      </c>
      <c r="E18" s="3">
        <v>0.52482269503546097</v>
      </c>
      <c r="F18" s="3">
        <v>4.9645390070921988E-2</v>
      </c>
      <c r="G18" s="3">
        <v>2.1276595744680851E-2</v>
      </c>
      <c r="H18" s="3">
        <v>0</v>
      </c>
      <c r="I18" s="3">
        <v>0.6028368794326241</v>
      </c>
      <c r="J18" s="3">
        <v>0.85106382978723405</v>
      </c>
      <c r="K18" s="3">
        <v>0.32624113475177308</v>
      </c>
    </row>
    <row r="19" spans="1:11" x14ac:dyDescent="0.3">
      <c r="A19" s="2">
        <v>202501</v>
      </c>
      <c r="B19" s="1">
        <v>45658</v>
      </c>
      <c r="C19" s="3">
        <v>0.18397626112759644</v>
      </c>
      <c r="D19" s="3">
        <v>0.20178041543026706</v>
      </c>
      <c r="E19" s="3">
        <v>0.5400593471810089</v>
      </c>
      <c r="F19" s="3">
        <v>7.1216617210682495E-2</v>
      </c>
      <c r="G19" s="3">
        <v>4.1543026706231452E-2</v>
      </c>
      <c r="H19" s="3">
        <v>0</v>
      </c>
      <c r="I19" s="3">
        <v>0.56083086053412468</v>
      </c>
      <c r="J19" s="3">
        <v>0.82195845697329373</v>
      </c>
      <c r="K19" s="3">
        <v>0.3086053412462908</v>
      </c>
    </row>
    <row r="20" spans="1:11" x14ac:dyDescent="0.3">
      <c r="A20" s="2">
        <v>202502</v>
      </c>
      <c r="B20" s="1">
        <v>45689</v>
      </c>
      <c r="C20" s="3">
        <v>0.2608695652173913</v>
      </c>
      <c r="D20" s="3">
        <v>0.2360248447204969</v>
      </c>
      <c r="E20" s="3">
        <v>0.46583850931677018</v>
      </c>
      <c r="F20" s="3">
        <v>8.6956521739130432E-2</v>
      </c>
      <c r="G20" s="3">
        <v>3.1055900621118012E-2</v>
      </c>
      <c r="H20" s="3">
        <v>0</v>
      </c>
      <c r="I20" s="3">
        <v>0.53416149068322982</v>
      </c>
      <c r="J20" s="3">
        <v>0.75776397515527949</v>
      </c>
      <c r="K20" s="3">
        <v>0.24223602484472051</v>
      </c>
    </row>
    <row r="21" spans="1:11" x14ac:dyDescent="0.3">
      <c r="A21" s="2">
        <v>202503</v>
      </c>
      <c r="B21" s="1">
        <v>45717</v>
      </c>
      <c r="C21" s="3">
        <v>0.21111111111111111</v>
      </c>
      <c r="D21" s="3">
        <v>0.20555555555555555</v>
      </c>
      <c r="E21" s="3">
        <v>0.48333333333333334</v>
      </c>
      <c r="F21" s="3">
        <v>7.2222222222222215E-2</v>
      </c>
      <c r="G21" s="3">
        <v>1.6666666666666666E-2</v>
      </c>
      <c r="H21" s="3">
        <v>0</v>
      </c>
      <c r="I21" s="3">
        <v>0.57222222222222219</v>
      </c>
      <c r="J21" s="3">
        <v>0.77222222222222225</v>
      </c>
      <c r="K21" s="3">
        <v>0.18333333333333332</v>
      </c>
    </row>
    <row r="22" spans="1:11" x14ac:dyDescent="0.3">
      <c r="A22" s="2">
        <v>202504</v>
      </c>
      <c r="B22" s="1">
        <v>45748</v>
      </c>
      <c r="C22" s="3">
        <v>0.28260869565217389</v>
      </c>
      <c r="D22" s="3">
        <v>0.21739130434782608</v>
      </c>
      <c r="E22" s="3">
        <v>0.41304347826086957</v>
      </c>
      <c r="F22" s="3">
        <v>5.7971014492753624E-2</v>
      </c>
      <c r="G22" s="3">
        <v>2.1739130434782608E-2</v>
      </c>
      <c r="H22" s="3">
        <v>0</v>
      </c>
      <c r="I22" s="3">
        <v>0.60869565217391308</v>
      </c>
      <c r="J22" s="3">
        <v>0.75362318840579712</v>
      </c>
      <c r="K22" s="3">
        <v>0.12318840579710146</v>
      </c>
    </row>
    <row r="23" spans="1:11" x14ac:dyDescent="0.3">
      <c r="A23" s="2">
        <v>202505</v>
      </c>
      <c r="B23" s="1">
        <v>45778</v>
      </c>
      <c r="C23" s="3">
        <v>0.40677966101694918</v>
      </c>
      <c r="D23" s="3">
        <v>0.3559322033898305</v>
      </c>
      <c r="E23" s="3">
        <v>0.38983050847457629</v>
      </c>
      <c r="F23" s="3">
        <v>5.9322033898305086E-2</v>
      </c>
      <c r="G23" s="3">
        <v>7.6271186440677971E-2</v>
      </c>
      <c r="H23" s="3">
        <v>0</v>
      </c>
      <c r="I23" s="3">
        <v>0.5423728813559322</v>
      </c>
      <c r="J23" s="3">
        <v>0.74576271186440679</v>
      </c>
      <c r="K23" s="3">
        <v>0.19491525423728814</v>
      </c>
    </row>
    <row r="24" spans="1:11" x14ac:dyDescent="0.3">
      <c r="A24" s="2">
        <v>202506</v>
      </c>
      <c r="B24" s="1">
        <v>45809</v>
      </c>
      <c r="C24" s="3">
        <v>0.43697478991596639</v>
      </c>
      <c r="D24" s="3">
        <v>0.36134453781512604</v>
      </c>
      <c r="E24" s="3">
        <v>0.36974789915966388</v>
      </c>
      <c r="F24" s="3">
        <v>8.4033613445378158E-2</v>
      </c>
      <c r="G24" s="3">
        <v>5.0420168067226892E-2</v>
      </c>
      <c r="H24" s="3">
        <v>0</v>
      </c>
      <c r="I24" s="3">
        <v>0.59663865546218486</v>
      </c>
      <c r="J24" s="3">
        <v>0.73949579831932777</v>
      </c>
      <c r="K24" s="3">
        <v>0.25210084033613445</v>
      </c>
    </row>
    <row r="25" spans="1:11" x14ac:dyDescent="0.3">
      <c r="A25" s="2">
        <v>202507</v>
      </c>
      <c r="B25" s="1">
        <v>45839</v>
      </c>
      <c r="C25" s="3">
        <v>0.36434108527131781</v>
      </c>
      <c r="D25" s="3">
        <v>0.31007751937984496</v>
      </c>
      <c r="E25" s="3">
        <v>0.41860465116279072</v>
      </c>
      <c r="F25" s="3">
        <v>9.3023255813953487E-2</v>
      </c>
      <c r="G25" s="3">
        <v>3.875968992248062E-2</v>
      </c>
      <c r="H25" s="3">
        <v>0</v>
      </c>
      <c r="I25" s="3">
        <v>0.58914728682170547</v>
      </c>
      <c r="J25" s="3">
        <v>0.72868217054263562</v>
      </c>
      <c r="K25" s="3">
        <v>0.15503875968992248</v>
      </c>
    </row>
    <row r="26" spans="1:11" x14ac:dyDescent="0.3">
      <c r="A26" s="2">
        <v>202508</v>
      </c>
      <c r="B26" s="1">
        <v>45870</v>
      </c>
      <c r="C26" s="3">
        <v>0.31372549019607843</v>
      </c>
      <c r="D26" s="3">
        <v>0.30392156862745096</v>
      </c>
      <c r="E26" s="3">
        <v>0.48039215686274511</v>
      </c>
      <c r="F26" s="3">
        <v>8.8235294117647065E-2</v>
      </c>
      <c r="G26" s="3">
        <v>5.8823529411764705E-2</v>
      </c>
      <c r="H26" s="3">
        <v>0</v>
      </c>
      <c r="I26" s="3">
        <v>0.70588235294117652</v>
      </c>
      <c r="J26" s="3">
        <v>0.77450980392156865</v>
      </c>
      <c r="K26" s="3">
        <v>0.14705882352941177</v>
      </c>
    </row>
    <row r="27" spans="1:11" x14ac:dyDescent="0.3">
      <c r="A27" s="2">
        <v>202509</v>
      </c>
      <c r="B27" s="1">
        <v>45901</v>
      </c>
      <c r="C27" s="3">
        <v>0.3669724770642202</v>
      </c>
      <c r="D27" s="3">
        <v>0.3577981651376147</v>
      </c>
      <c r="E27" s="3">
        <v>0.38532110091743121</v>
      </c>
      <c r="F27" s="3">
        <v>0.12844036697247707</v>
      </c>
      <c r="G27" s="3">
        <v>7.3394495412844041E-2</v>
      </c>
      <c r="H27" s="3">
        <v>0</v>
      </c>
      <c r="I27" s="3">
        <v>0.59633027522935778</v>
      </c>
      <c r="J27" s="3">
        <v>0.75229357798165142</v>
      </c>
      <c r="K27" s="3">
        <v>0.19266055045871561</v>
      </c>
    </row>
    <row r="28" spans="1:11" x14ac:dyDescent="0.3">
      <c r="A28" s="2">
        <v>202510</v>
      </c>
      <c r="B28" s="1">
        <v>45931</v>
      </c>
      <c r="C28" s="3">
        <v>0.35897435897435898</v>
      </c>
      <c r="D28" s="3">
        <v>0.24786324786324787</v>
      </c>
      <c r="E28" s="3">
        <v>0.42735042735042733</v>
      </c>
      <c r="F28" s="3">
        <v>0.10256410256410256</v>
      </c>
      <c r="G28" s="3">
        <v>5.128205128205128E-2</v>
      </c>
      <c r="H28" s="3">
        <v>0</v>
      </c>
      <c r="I28" s="3">
        <v>0.5641025641025641</v>
      </c>
      <c r="J28" s="3">
        <v>0.62393162393162394</v>
      </c>
      <c r="K28" s="3">
        <v>0.19658119658119658</v>
      </c>
    </row>
    <row r="29" spans="1:11" x14ac:dyDescent="0.3">
      <c r="A29" s="2">
        <v>202511</v>
      </c>
      <c r="B29" s="1">
        <v>45962</v>
      </c>
      <c r="C29" s="3">
        <v>0.3925233644859813</v>
      </c>
      <c r="D29" s="3">
        <v>0.34579439252336447</v>
      </c>
      <c r="E29" s="3">
        <v>0.3644859813084112</v>
      </c>
      <c r="F29" s="3">
        <v>0.14953271028037382</v>
      </c>
      <c r="G29" s="3">
        <v>9.3457943925233641E-2</v>
      </c>
      <c r="H29" s="3">
        <v>0</v>
      </c>
      <c r="I29" s="3">
        <v>0.49532710280373832</v>
      </c>
      <c r="J29" s="3">
        <v>0.7009345794392523</v>
      </c>
      <c r="K29" s="3">
        <v>9.3457943925233641E-2</v>
      </c>
    </row>
    <row r="30" spans="1:11" x14ac:dyDescent="0.3">
      <c r="A30" s="2">
        <v>202512</v>
      </c>
      <c r="B30" s="1">
        <v>45992</v>
      </c>
      <c r="C30" s="3">
        <v>0.43434343434343436</v>
      </c>
      <c r="D30" s="3">
        <v>0.33333333333333331</v>
      </c>
      <c r="E30" s="3">
        <v>0.33333333333333331</v>
      </c>
      <c r="F30" s="3">
        <v>0.15151515151515152</v>
      </c>
      <c r="G30" s="3">
        <v>4.0404040404040407E-2</v>
      </c>
      <c r="H30" s="3">
        <v>0</v>
      </c>
      <c r="I30" s="3">
        <v>0.55555555555555558</v>
      </c>
      <c r="J30" s="3">
        <v>0.72727272727272729</v>
      </c>
      <c r="K30" s="3">
        <v>9.0909090909090912E-2</v>
      </c>
    </row>
    <row r="31" spans="1:11" x14ac:dyDescent="0.3">
      <c r="A31" s="2">
        <v>202601</v>
      </c>
      <c r="B31" s="1">
        <v>46023</v>
      </c>
      <c r="C31" s="3">
        <v>0.4</v>
      </c>
      <c r="D31" s="3">
        <v>0.4</v>
      </c>
      <c r="E31" s="3">
        <v>0.38</v>
      </c>
      <c r="F31" s="3">
        <v>0.19</v>
      </c>
      <c r="G31" s="3">
        <v>0.14000000000000001</v>
      </c>
      <c r="H31" s="3">
        <v>0</v>
      </c>
      <c r="I31" s="3">
        <v>0.6</v>
      </c>
      <c r="J31" s="3">
        <v>0.69</v>
      </c>
      <c r="K31" s="3">
        <v>0.11</v>
      </c>
    </row>
    <row r="32" spans="1:11" x14ac:dyDescent="0.3">
      <c r="A32" s="2">
        <v>202602</v>
      </c>
      <c r="B32" s="1">
        <v>46054</v>
      </c>
      <c r="C32" s="3">
        <v>0.45794392523364486</v>
      </c>
      <c r="D32" s="3">
        <v>0.3925233644859813</v>
      </c>
      <c r="E32" s="3">
        <v>0.3925233644859813</v>
      </c>
      <c r="F32" s="3">
        <v>0.14018691588785046</v>
      </c>
      <c r="G32" s="3">
        <v>2.8037383177570093E-2</v>
      </c>
      <c r="H32" s="3">
        <v>0</v>
      </c>
      <c r="I32" s="3">
        <v>0.54205607476635509</v>
      </c>
      <c r="J32" s="3">
        <v>0.74766355140186913</v>
      </c>
      <c r="K32" s="3">
        <v>0.11214953271028037</v>
      </c>
    </row>
    <row r="33" spans="1:11" x14ac:dyDescent="0.3">
      <c r="A33" s="2">
        <v>202603</v>
      </c>
      <c r="B33" s="1">
        <v>46082</v>
      </c>
      <c r="C33" s="3">
        <v>0.40384615384615385</v>
      </c>
      <c r="D33" s="3">
        <v>0.32211538461538464</v>
      </c>
      <c r="E33" s="3">
        <v>0.24519230769230768</v>
      </c>
      <c r="F33" s="3">
        <v>0.13461538461538461</v>
      </c>
      <c r="G33" s="3">
        <v>5.2884615384615384E-2</v>
      </c>
      <c r="H33" s="3">
        <v>0</v>
      </c>
      <c r="I33" s="3">
        <v>0.40384615384615385</v>
      </c>
      <c r="J33" s="3">
        <v>0.60096153846153844</v>
      </c>
      <c r="K33" s="3">
        <v>6.7307692307692304E-2</v>
      </c>
    </row>
    <row r="34" spans="1:11" x14ac:dyDescent="0.3">
      <c r="A34" s="2">
        <v>202604</v>
      </c>
      <c r="B34" s="1">
        <v>46113</v>
      </c>
      <c r="C34" s="3">
        <v>0.50819672131147542</v>
      </c>
      <c r="D34" s="3">
        <v>0.4098360655737705</v>
      </c>
      <c r="E34" s="3">
        <v>0.33606557377049179</v>
      </c>
      <c r="F34" s="3">
        <v>0.12295081967213115</v>
      </c>
      <c r="G34" s="3">
        <v>9.8360655737704916E-2</v>
      </c>
      <c r="H34" s="3">
        <v>0.15573770491803279</v>
      </c>
      <c r="I34" s="3">
        <v>0.48360655737704916</v>
      </c>
      <c r="J34" s="3">
        <v>0.68852459016393441</v>
      </c>
      <c r="K34" s="3">
        <v>8.1967213114754092E-2</v>
      </c>
    </row>
    <row r="35" spans="1:11" x14ac:dyDescent="0.3">
      <c r="A35" s="2">
        <v>202605</v>
      </c>
      <c r="B35" s="1">
        <v>46143</v>
      </c>
      <c r="C35" s="3">
        <v>0.39622641509433965</v>
      </c>
      <c r="D35" s="3">
        <v>0.36792452830188677</v>
      </c>
      <c r="E35" s="3">
        <v>0.41509433962264153</v>
      </c>
      <c r="F35" s="3">
        <v>0.17924528301886791</v>
      </c>
      <c r="G35" s="3">
        <v>9.4339622641509441E-2</v>
      </c>
      <c r="H35" s="3">
        <v>8.4905660377358486E-2</v>
      </c>
      <c r="I35" s="3">
        <v>0.60377358490566035</v>
      </c>
      <c r="J35" s="3">
        <v>0.73584905660377353</v>
      </c>
      <c r="K35" s="3">
        <v>7.5471698113207544E-2</v>
      </c>
    </row>
    <row r="36" spans="1:11" x14ac:dyDescent="0.3">
      <c r="A36" s="2">
        <v>202606</v>
      </c>
      <c r="B36" s="1">
        <v>46174</v>
      </c>
      <c r="C36" s="3">
        <v>0.33027522935779818</v>
      </c>
      <c r="D36" s="3">
        <v>0.28440366972477066</v>
      </c>
      <c r="E36" s="3">
        <v>0.3577981651376147</v>
      </c>
      <c r="F36" s="3">
        <v>6.4220183486238536E-2</v>
      </c>
      <c r="G36" s="3">
        <v>7.3394495412844041E-2</v>
      </c>
      <c r="H36" s="3">
        <v>6.4220183486238536E-2</v>
      </c>
      <c r="I36" s="3">
        <v>0.56880733944954132</v>
      </c>
      <c r="J36" s="3">
        <v>0.76146788990825687</v>
      </c>
      <c r="K36" s="3">
        <v>1.834862385321101E-2</v>
      </c>
    </row>
    <row r="37" spans="1:11" x14ac:dyDescent="0.3">
      <c r="A37" s="2">
        <v>202607</v>
      </c>
      <c r="B37" s="1">
        <v>46204</v>
      </c>
      <c r="C37" s="3">
        <v>0.25233644859813081</v>
      </c>
      <c r="D37" s="3">
        <v>0.20560747663551401</v>
      </c>
      <c r="E37" s="3">
        <v>0.21495327102803738</v>
      </c>
      <c r="F37" s="3">
        <v>5.6074766355140186E-2</v>
      </c>
      <c r="G37" s="3">
        <v>9.3457943925233638E-3</v>
      </c>
      <c r="H37" s="3">
        <v>1.8691588785046728E-2</v>
      </c>
      <c r="I37" s="3">
        <v>0.35514018691588783</v>
      </c>
      <c r="J37" s="3">
        <v>0.57943925233644855</v>
      </c>
      <c r="K37" s="3">
        <v>1.8691588785046728E-2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4BBF-339D-4B59-8571-18FABEE2BED3}">
  <dimension ref="A1:H33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23.6640625" bestFit="1" customWidth="1"/>
    <col min="4" max="4" width="34.6640625" bestFit="1" customWidth="1"/>
    <col min="5" max="5" width="40.44140625" bestFit="1" customWidth="1"/>
    <col min="6" max="6" width="38.21875" bestFit="1" customWidth="1"/>
    <col min="7" max="7" width="39.6640625" bestFit="1" customWidth="1"/>
    <col min="8" max="8" width="8" bestFit="1" customWidth="1"/>
    <col min="9" max="9" width="40.33203125" bestFit="1" customWidth="1"/>
    <col min="10" max="10" width="38.77734375" bestFit="1" customWidth="1"/>
    <col min="11" max="11" width="8" bestFit="1" customWidth="1"/>
  </cols>
  <sheetData>
    <row r="1" spans="1:8" s="5" customFormat="1" x14ac:dyDescent="0.3">
      <c r="A1" s="5" t="s">
        <v>0</v>
      </c>
      <c r="B1" s="5" t="s">
        <v>1</v>
      </c>
      <c r="C1" t="s">
        <v>34</v>
      </c>
      <c r="D1" s="5" t="s">
        <v>36</v>
      </c>
      <c r="E1" s="5" t="s">
        <v>38</v>
      </c>
      <c r="F1" t="s">
        <v>40</v>
      </c>
      <c r="G1" t="s">
        <v>221</v>
      </c>
      <c r="H1" s="5" t="s">
        <v>43</v>
      </c>
    </row>
    <row r="2" spans="1:8" x14ac:dyDescent="0.3">
      <c r="A2" s="2">
        <v>202312</v>
      </c>
      <c r="B2" s="1">
        <v>45261</v>
      </c>
      <c r="C2">
        <v>0</v>
      </c>
      <c r="D2" s="3">
        <v>0</v>
      </c>
      <c r="E2" s="3">
        <v>0</v>
      </c>
      <c r="F2">
        <v>0</v>
      </c>
      <c r="G2">
        <v>0</v>
      </c>
      <c r="H2" s="3">
        <v>7.326007326007326E-3</v>
      </c>
    </row>
    <row r="3" spans="1:8" x14ac:dyDescent="0.3">
      <c r="A3" s="2">
        <v>202401</v>
      </c>
      <c r="B3" s="1">
        <v>45292</v>
      </c>
      <c r="C3">
        <v>0</v>
      </c>
      <c r="D3" s="3">
        <v>0</v>
      </c>
      <c r="E3" s="3">
        <v>0</v>
      </c>
      <c r="F3">
        <v>0</v>
      </c>
      <c r="G3">
        <v>0</v>
      </c>
      <c r="H3" s="3">
        <v>1.3605442176870748E-2</v>
      </c>
    </row>
    <row r="4" spans="1:8" x14ac:dyDescent="0.3">
      <c r="A4" s="2">
        <v>202402</v>
      </c>
      <c r="B4" s="1">
        <v>45323</v>
      </c>
      <c r="C4">
        <v>0</v>
      </c>
      <c r="D4" s="3">
        <v>0</v>
      </c>
      <c r="E4" s="3">
        <v>0</v>
      </c>
      <c r="F4">
        <v>0</v>
      </c>
      <c r="G4">
        <v>0</v>
      </c>
      <c r="H4" s="3">
        <v>1.4084507042253521E-2</v>
      </c>
    </row>
    <row r="5" spans="1:8" x14ac:dyDescent="0.3">
      <c r="A5" s="2">
        <v>202403</v>
      </c>
      <c r="B5" s="1">
        <v>45352</v>
      </c>
      <c r="C5">
        <v>0</v>
      </c>
      <c r="D5" s="3">
        <v>0</v>
      </c>
      <c r="E5" s="3">
        <v>0</v>
      </c>
      <c r="F5">
        <v>0</v>
      </c>
      <c r="G5">
        <v>0</v>
      </c>
      <c r="H5" s="3">
        <v>1.4492753623188406E-2</v>
      </c>
    </row>
    <row r="6" spans="1:8" x14ac:dyDescent="0.3">
      <c r="A6" s="2">
        <v>202404</v>
      </c>
      <c r="B6" s="1">
        <v>45383</v>
      </c>
      <c r="C6">
        <v>0</v>
      </c>
      <c r="D6" s="3">
        <v>0</v>
      </c>
      <c r="E6" s="3">
        <v>0</v>
      </c>
      <c r="F6">
        <v>0</v>
      </c>
      <c r="G6">
        <v>0</v>
      </c>
      <c r="H6" s="3">
        <v>8.1632653061224497E-3</v>
      </c>
    </row>
    <row r="7" spans="1:8" x14ac:dyDescent="0.3">
      <c r="A7" s="2">
        <v>202405</v>
      </c>
      <c r="B7" s="1">
        <v>45413</v>
      </c>
      <c r="C7">
        <v>0</v>
      </c>
      <c r="D7" s="3">
        <v>0</v>
      </c>
      <c r="E7" s="3">
        <v>0</v>
      </c>
      <c r="F7">
        <v>0</v>
      </c>
      <c r="G7">
        <v>0</v>
      </c>
      <c r="H7" s="3">
        <v>4.0241448692152921E-3</v>
      </c>
    </row>
    <row r="8" spans="1:8" x14ac:dyDescent="0.3">
      <c r="A8" s="2">
        <v>202406</v>
      </c>
      <c r="B8" s="1">
        <v>45444</v>
      </c>
      <c r="C8">
        <v>0</v>
      </c>
      <c r="D8" s="3">
        <v>0</v>
      </c>
      <c r="E8" s="3">
        <v>0</v>
      </c>
      <c r="F8">
        <v>0</v>
      </c>
      <c r="G8">
        <v>0</v>
      </c>
      <c r="H8" s="3">
        <v>8.8495575221238937E-3</v>
      </c>
    </row>
    <row r="9" spans="1:8" x14ac:dyDescent="0.3">
      <c r="A9" s="2">
        <v>202407</v>
      </c>
      <c r="B9" s="1">
        <v>45474</v>
      </c>
      <c r="C9">
        <v>0</v>
      </c>
      <c r="D9" s="3">
        <v>0</v>
      </c>
      <c r="E9" s="3">
        <v>0</v>
      </c>
      <c r="F9">
        <v>0</v>
      </c>
      <c r="G9">
        <v>0</v>
      </c>
      <c r="H9" s="3">
        <v>1.7857142857142856E-2</v>
      </c>
    </row>
    <row r="10" spans="1:8" x14ac:dyDescent="0.3">
      <c r="A10" s="2">
        <v>202408</v>
      </c>
      <c r="B10" s="1">
        <v>45505</v>
      </c>
      <c r="C10">
        <v>0</v>
      </c>
      <c r="D10" s="3">
        <v>0</v>
      </c>
      <c r="E10" s="3">
        <v>0</v>
      </c>
      <c r="F10">
        <v>0</v>
      </c>
      <c r="G10">
        <v>0</v>
      </c>
      <c r="H10" s="3">
        <v>4.9019607843137254E-3</v>
      </c>
    </row>
    <row r="11" spans="1:8" x14ac:dyDescent="0.3">
      <c r="A11" s="2">
        <v>202409</v>
      </c>
      <c r="B11" s="1">
        <v>45536</v>
      </c>
      <c r="C11">
        <v>0</v>
      </c>
      <c r="D11" s="3">
        <v>0</v>
      </c>
      <c r="E11" s="3">
        <v>0</v>
      </c>
      <c r="F11">
        <v>0</v>
      </c>
      <c r="G11">
        <v>0</v>
      </c>
      <c r="H11" s="3">
        <v>1.2578616352201259E-2</v>
      </c>
    </row>
    <row r="12" spans="1:8" x14ac:dyDescent="0.3">
      <c r="A12" s="2">
        <v>202410</v>
      </c>
      <c r="B12" s="1">
        <v>45566</v>
      </c>
      <c r="C12">
        <v>0.49668874172185429</v>
      </c>
      <c r="D12" s="3">
        <v>0</v>
      </c>
      <c r="E12" s="3">
        <v>0</v>
      </c>
      <c r="F12">
        <v>0</v>
      </c>
      <c r="G12">
        <v>0</v>
      </c>
      <c r="H12" s="3">
        <v>0</v>
      </c>
    </row>
    <row r="13" spans="1:8" x14ac:dyDescent="0.3">
      <c r="A13" s="2">
        <v>202411</v>
      </c>
      <c r="B13" s="1">
        <v>45597</v>
      </c>
      <c r="C13">
        <v>0.44303797468354428</v>
      </c>
      <c r="D13" s="3">
        <v>0</v>
      </c>
      <c r="E13" s="3">
        <v>0</v>
      </c>
      <c r="F13">
        <v>0</v>
      </c>
      <c r="G13">
        <v>0</v>
      </c>
      <c r="H13" s="3">
        <v>6.3291139240506328E-3</v>
      </c>
    </row>
    <row r="14" spans="1:8" x14ac:dyDescent="0.3">
      <c r="A14" s="2">
        <v>202412</v>
      </c>
      <c r="B14" s="1">
        <v>45627</v>
      </c>
      <c r="C14">
        <v>0.3971631205673759</v>
      </c>
      <c r="D14" s="3">
        <v>0</v>
      </c>
      <c r="E14" s="3">
        <v>0</v>
      </c>
      <c r="F14">
        <v>0</v>
      </c>
      <c r="G14">
        <v>0</v>
      </c>
      <c r="H14" s="3">
        <v>7.0921985815602835E-3</v>
      </c>
    </row>
    <row r="15" spans="1:8" x14ac:dyDescent="0.3">
      <c r="A15" s="2">
        <v>202501</v>
      </c>
      <c r="B15" s="1">
        <v>45658</v>
      </c>
      <c r="C15">
        <v>0.4599406528189911</v>
      </c>
      <c r="D15" s="3">
        <v>0</v>
      </c>
      <c r="E15" s="3">
        <v>0</v>
      </c>
      <c r="F15">
        <v>0</v>
      </c>
      <c r="G15">
        <v>0</v>
      </c>
      <c r="H15" s="3">
        <v>2.967359050445104E-3</v>
      </c>
    </row>
    <row r="16" spans="1:8" x14ac:dyDescent="0.3">
      <c r="A16" s="2">
        <v>202502</v>
      </c>
      <c r="B16" s="1">
        <v>45689</v>
      </c>
      <c r="C16">
        <v>0.53416149068322982</v>
      </c>
      <c r="D16" s="3">
        <v>0</v>
      </c>
      <c r="E16" s="3">
        <v>0</v>
      </c>
      <c r="F16">
        <v>0</v>
      </c>
      <c r="G16">
        <v>0</v>
      </c>
      <c r="H16" s="3">
        <v>6.2111801242236021E-3</v>
      </c>
    </row>
    <row r="17" spans="1:8" x14ac:dyDescent="0.3">
      <c r="A17" s="2">
        <v>202503</v>
      </c>
      <c r="B17" s="1">
        <v>45717</v>
      </c>
      <c r="C17">
        <v>0.48333333333333334</v>
      </c>
      <c r="D17" s="3">
        <v>0</v>
      </c>
      <c r="E17" s="3">
        <v>0</v>
      </c>
      <c r="F17">
        <v>0.31111111111111112</v>
      </c>
      <c r="G17">
        <v>0</v>
      </c>
      <c r="H17" s="3">
        <v>5.5555555555555558E-3</v>
      </c>
    </row>
    <row r="18" spans="1:8" x14ac:dyDescent="0.3">
      <c r="A18" s="2">
        <v>202504</v>
      </c>
      <c r="B18" s="1">
        <v>45748</v>
      </c>
      <c r="C18">
        <v>0.46376811594202899</v>
      </c>
      <c r="D18" s="3">
        <v>0</v>
      </c>
      <c r="E18" s="3">
        <v>0</v>
      </c>
      <c r="F18">
        <v>0.15942028985507245</v>
      </c>
      <c r="G18">
        <v>0</v>
      </c>
      <c r="H18" s="3">
        <v>7.246376811594203E-3</v>
      </c>
    </row>
    <row r="19" spans="1:8" x14ac:dyDescent="0.3">
      <c r="A19" s="2">
        <v>202505</v>
      </c>
      <c r="B19" s="1">
        <v>45778</v>
      </c>
      <c r="C19">
        <v>0.5</v>
      </c>
      <c r="D19" s="3">
        <v>0</v>
      </c>
      <c r="E19" s="3">
        <v>0</v>
      </c>
      <c r="F19">
        <v>0.20338983050847459</v>
      </c>
      <c r="G19">
        <v>0</v>
      </c>
      <c r="H19" s="3">
        <v>2.5423728813559324E-2</v>
      </c>
    </row>
    <row r="20" spans="1:8" x14ac:dyDescent="0.3">
      <c r="A20" s="2">
        <v>202506</v>
      </c>
      <c r="B20" s="1">
        <v>45809</v>
      </c>
      <c r="C20">
        <v>0.52941176470588236</v>
      </c>
      <c r="D20" s="3">
        <v>0</v>
      </c>
      <c r="E20" s="3">
        <v>0</v>
      </c>
      <c r="F20">
        <v>0.2857142857142857</v>
      </c>
      <c r="G20">
        <v>0</v>
      </c>
      <c r="H20" s="3">
        <v>1.680672268907563E-2</v>
      </c>
    </row>
    <row r="21" spans="1:8" x14ac:dyDescent="0.3">
      <c r="A21" s="2">
        <v>202507</v>
      </c>
      <c r="B21" s="1">
        <v>45839</v>
      </c>
      <c r="C21">
        <v>0.58914728682170547</v>
      </c>
      <c r="D21" s="3">
        <v>0</v>
      </c>
      <c r="E21" s="3">
        <v>0</v>
      </c>
      <c r="F21">
        <v>0.32558139534883723</v>
      </c>
      <c r="G21">
        <v>0</v>
      </c>
      <c r="H21" s="3">
        <v>1.5503875968992248E-2</v>
      </c>
    </row>
    <row r="22" spans="1:8" x14ac:dyDescent="0.3">
      <c r="A22" s="2">
        <v>202508</v>
      </c>
      <c r="B22" s="1">
        <v>45870</v>
      </c>
      <c r="C22">
        <v>0.50980392156862742</v>
      </c>
      <c r="D22" s="3">
        <v>0</v>
      </c>
      <c r="E22" s="3">
        <v>0</v>
      </c>
      <c r="F22">
        <v>0.22549019607843138</v>
      </c>
      <c r="G22">
        <v>0</v>
      </c>
      <c r="H22" s="3">
        <v>1.9607843137254902E-2</v>
      </c>
    </row>
    <row r="23" spans="1:8" x14ac:dyDescent="0.3">
      <c r="A23" s="2">
        <v>202509</v>
      </c>
      <c r="B23" s="1">
        <v>45901</v>
      </c>
      <c r="C23">
        <v>0.55045871559633031</v>
      </c>
      <c r="D23" s="3">
        <v>0</v>
      </c>
      <c r="E23" s="3">
        <v>0.15596330275229359</v>
      </c>
      <c r="F23">
        <v>0.48623853211009177</v>
      </c>
      <c r="G23">
        <v>0</v>
      </c>
      <c r="H23" s="3">
        <v>2.7522935779816515E-2</v>
      </c>
    </row>
    <row r="24" spans="1:8" x14ac:dyDescent="0.3">
      <c r="A24" s="2">
        <v>202510</v>
      </c>
      <c r="B24" s="1">
        <v>45931</v>
      </c>
      <c r="C24">
        <v>0.5641025641025641</v>
      </c>
      <c r="D24" s="3">
        <v>0</v>
      </c>
      <c r="E24" s="3">
        <v>0.14529914529914531</v>
      </c>
      <c r="F24">
        <v>0.42735042735042733</v>
      </c>
      <c r="G24">
        <v>0</v>
      </c>
      <c r="H24" s="3">
        <v>2.564102564102564E-2</v>
      </c>
    </row>
    <row r="25" spans="1:8" x14ac:dyDescent="0.3">
      <c r="A25" s="2">
        <v>202511</v>
      </c>
      <c r="B25" s="1">
        <v>45962</v>
      </c>
      <c r="C25">
        <v>0.71962616822429903</v>
      </c>
      <c r="D25" s="3">
        <v>0</v>
      </c>
      <c r="E25" s="3">
        <v>0.16822429906542055</v>
      </c>
      <c r="F25">
        <v>0.42990654205607476</v>
      </c>
      <c r="G25">
        <v>0</v>
      </c>
      <c r="H25" s="3">
        <v>2.8037383177570093E-2</v>
      </c>
    </row>
    <row r="26" spans="1:8" x14ac:dyDescent="0.3">
      <c r="A26" s="2">
        <v>202512</v>
      </c>
      <c r="B26" s="1">
        <v>45992</v>
      </c>
      <c r="C26">
        <v>0.6262626262626263</v>
      </c>
      <c r="D26" s="3">
        <v>0</v>
      </c>
      <c r="E26" s="3">
        <v>0.15151515151515152</v>
      </c>
      <c r="F26">
        <v>0.47474747474747475</v>
      </c>
      <c r="G26">
        <v>0</v>
      </c>
      <c r="H26" s="3">
        <v>3.0303030303030304E-2</v>
      </c>
    </row>
    <row r="27" spans="1:8" x14ac:dyDescent="0.3">
      <c r="A27" s="2">
        <v>202601</v>
      </c>
      <c r="B27" s="1">
        <v>46023</v>
      </c>
      <c r="C27">
        <v>0.61</v>
      </c>
      <c r="D27" s="3">
        <v>0</v>
      </c>
      <c r="E27" s="3">
        <v>0.14000000000000001</v>
      </c>
      <c r="F27">
        <v>0.38</v>
      </c>
      <c r="G27">
        <v>0</v>
      </c>
      <c r="H27" s="3">
        <v>0.03</v>
      </c>
    </row>
    <row r="28" spans="1:8" x14ac:dyDescent="0.3">
      <c r="A28" s="2">
        <v>202602</v>
      </c>
      <c r="B28" s="1">
        <v>46054</v>
      </c>
      <c r="C28">
        <v>0.57009345794392519</v>
      </c>
      <c r="D28" s="3">
        <v>0</v>
      </c>
      <c r="E28" s="3">
        <v>0.10280373831775701</v>
      </c>
      <c r="F28">
        <v>0.42990654205607476</v>
      </c>
      <c r="G28">
        <v>0</v>
      </c>
      <c r="H28" s="3">
        <v>2.8037383177570093E-2</v>
      </c>
    </row>
    <row r="29" spans="1:8" x14ac:dyDescent="0.3">
      <c r="A29" s="2">
        <v>202603</v>
      </c>
      <c r="B29" s="1">
        <v>46082</v>
      </c>
      <c r="C29">
        <v>0.40384615384615385</v>
      </c>
      <c r="D29" s="3">
        <v>0</v>
      </c>
      <c r="E29" s="3">
        <v>0.20192307692307693</v>
      </c>
      <c r="F29">
        <v>0.28846153846153844</v>
      </c>
      <c r="G29">
        <v>0</v>
      </c>
      <c r="H29" s="3">
        <v>1.4423076923076924E-2</v>
      </c>
    </row>
    <row r="30" spans="1:8" x14ac:dyDescent="0.3">
      <c r="A30" s="2">
        <v>202604</v>
      </c>
      <c r="B30" s="1">
        <v>46113</v>
      </c>
      <c r="C30">
        <v>0.80327868852459017</v>
      </c>
      <c r="D30" s="3">
        <v>0.31147540983606559</v>
      </c>
      <c r="E30" s="3">
        <v>0.24590163934426229</v>
      </c>
      <c r="F30">
        <v>0.53278688524590168</v>
      </c>
      <c r="G30">
        <v>0.24590163934426229</v>
      </c>
      <c r="H30" s="3">
        <v>2.4590163934426229E-2</v>
      </c>
    </row>
    <row r="31" spans="1:8" x14ac:dyDescent="0.3">
      <c r="A31" s="2">
        <v>202605</v>
      </c>
      <c r="B31" s="1">
        <v>46143</v>
      </c>
      <c r="C31">
        <v>0.68867924528301883</v>
      </c>
      <c r="D31" s="3">
        <v>0.30188679245283018</v>
      </c>
      <c r="E31" s="3">
        <v>0.25471698113207547</v>
      </c>
      <c r="F31">
        <v>0.53773584905660377</v>
      </c>
      <c r="G31">
        <v>0.23584905660377359</v>
      </c>
      <c r="H31" s="3">
        <v>2.8301886792452831E-2</v>
      </c>
    </row>
    <row r="32" spans="1:8" x14ac:dyDescent="0.3">
      <c r="A32" s="2">
        <v>202606</v>
      </c>
      <c r="B32" s="1">
        <v>46174</v>
      </c>
      <c r="C32">
        <v>0.67889908256880738</v>
      </c>
      <c r="D32" s="3">
        <v>0.39449541284403672</v>
      </c>
      <c r="E32" s="3">
        <v>0.31192660550458717</v>
      </c>
      <c r="F32">
        <v>0.55963302752293576</v>
      </c>
      <c r="G32">
        <v>0.1743119266055046</v>
      </c>
      <c r="H32" s="3">
        <v>2.7522935779816515E-2</v>
      </c>
    </row>
    <row r="33" spans="1:8" x14ac:dyDescent="0.3">
      <c r="A33" s="2">
        <v>202607</v>
      </c>
      <c r="B33" s="1">
        <v>46204</v>
      </c>
      <c r="C33">
        <v>0.49532710280373832</v>
      </c>
      <c r="D33" s="3">
        <v>0.35514018691588783</v>
      </c>
      <c r="E33" s="3">
        <v>0.28037383177570091</v>
      </c>
      <c r="F33">
        <v>0.15887850467289721</v>
      </c>
      <c r="G33">
        <v>0.21495327102803738</v>
      </c>
      <c r="H33" s="3">
        <v>2.8037383177570093E-2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E162-9660-4133-909F-6477E82181CB}">
  <dimension ref="A1:G19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1" bestFit="1" customWidth="1"/>
    <col min="4" max="6" width="12" bestFit="1" customWidth="1"/>
    <col min="7" max="7" width="13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22</v>
      </c>
      <c r="D1" s="5" t="s">
        <v>25</v>
      </c>
      <c r="E1" s="5" t="s">
        <v>19</v>
      </c>
      <c r="F1" s="5" t="s">
        <v>28</v>
      </c>
      <c r="G1" s="5" t="s">
        <v>31</v>
      </c>
    </row>
    <row r="2" spans="1:7" x14ac:dyDescent="0.3">
      <c r="A2" s="2">
        <v>202502</v>
      </c>
      <c r="B2" s="1">
        <v>45689</v>
      </c>
      <c r="C2" s="3">
        <v>0.453416149068323</v>
      </c>
      <c r="D2" s="3">
        <v>0.34161490683229812</v>
      </c>
      <c r="E2" s="3">
        <v>0.14906832298136646</v>
      </c>
      <c r="F2" s="3">
        <v>4.9689440993788817E-2</v>
      </c>
      <c r="G2" s="3">
        <v>6.2111801242236021E-3</v>
      </c>
    </row>
    <row r="3" spans="1:7" x14ac:dyDescent="0.3">
      <c r="A3" s="2">
        <v>202503</v>
      </c>
      <c r="B3" s="1">
        <v>45717</v>
      </c>
      <c r="C3" s="3">
        <v>0.43333333333333335</v>
      </c>
      <c r="D3" s="3">
        <v>0.3611111111111111</v>
      </c>
      <c r="E3" s="3">
        <v>0.14444444444444443</v>
      </c>
      <c r="F3" s="3">
        <v>4.4444444444444446E-2</v>
      </c>
      <c r="G3" s="3">
        <v>1.6666666666666666E-2</v>
      </c>
    </row>
    <row r="4" spans="1:7" x14ac:dyDescent="0.3">
      <c r="A4" s="2">
        <v>202504</v>
      </c>
      <c r="B4" s="1">
        <v>45748</v>
      </c>
      <c r="C4" s="3">
        <v>0.39130434782608697</v>
      </c>
      <c r="D4" s="3">
        <v>0.43478260869565216</v>
      </c>
      <c r="E4" s="3">
        <v>0.12318840579710146</v>
      </c>
      <c r="F4" s="3">
        <v>3.6231884057971016E-2</v>
      </c>
      <c r="G4" s="3">
        <v>1.4492753623188406E-2</v>
      </c>
    </row>
    <row r="5" spans="1:7" x14ac:dyDescent="0.3">
      <c r="A5" s="2">
        <v>202505</v>
      </c>
      <c r="B5" s="1">
        <v>45778</v>
      </c>
      <c r="C5" s="3">
        <v>0.43220338983050849</v>
      </c>
      <c r="D5" s="3">
        <v>0.39830508474576271</v>
      </c>
      <c r="E5" s="3">
        <v>0.10169491525423729</v>
      </c>
      <c r="F5" s="3">
        <v>6.7796610169491525E-2</v>
      </c>
      <c r="G5" s="3">
        <v>0</v>
      </c>
    </row>
    <row r="6" spans="1:7" x14ac:dyDescent="0.3">
      <c r="A6" s="2">
        <v>202506</v>
      </c>
      <c r="B6" s="1">
        <v>45809</v>
      </c>
      <c r="C6" s="3">
        <v>0.37815126050420167</v>
      </c>
      <c r="D6" s="3">
        <v>0.38655462184873951</v>
      </c>
      <c r="E6" s="3">
        <v>0.19327731092436976</v>
      </c>
      <c r="F6" s="3">
        <v>2.5210084033613446E-2</v>
      </c>
      <c r="G6" s="3">
        <v>1.680672268907563E-2</v>
      </c>
    </row>
    <row r="7" spans="1:7" x14ac:dyDescent="0.3">
      <c r="A7" s="2">
        <v>202507</v>
      </c>
      <c r="B7" s="1">
        <v>45839</v>
      </c>
      <c r="C7" s="3">
        <v>0.48837209302325579</v>
      </c>
      <c r="D7" s="3">
        <v>0.34108527131782945</v>
      </c>
      <c r="E7" s="3">
        <v>0.10077519379844961</v>
      </c>
      <c r="F7" s="3">
        <v>4.6511627906976744E-2</v>
      </c>
      <c r="G7" s="3">
        <v>2.3255813953488372E-2</v>
      </c>
    </row>
    <row r="8" spans="1:7" x14ac:dyDescent="0.3">
      <c r="A8" s="2">
        <v>202508</v>
      </c>
      <c r="B8" s="1">
        <v>45870</v>
      </c>
      <c r="C8" s="3">
        <v>0.42156862745098039</v>
      </c>
      <c r="D8" s="3">
        <v>0.35294117647058826</v>
      </c>
      <c r="E8" s="3">
        <v>0.16666666666666666</v>
      </c>
      <c r="F8" s="3">
        <v>3.9215686274509803E-2</v>
      </c>
      <c r="G8" s="3">
        <v>1.9607843137254902E-2</v>
      </c>
    </row>
    <row r="9" spans="1:7" x14ac:dyDescent="0.3">
      <c r="A9" s="2">
        <v>202509</v>
      </c>
      <c r="B9" s="1">
        <v>45901</v>
      </c>
      <c r="C9" s="3">
        <v>0.5321100917431193</v>
      </c>
      <c r="D9" s="3">
        <v>0.25688073394495414</v>
      </c>
      <c r="E9" s="3">
        <v>0.16513761467889909</v>
      </c>
      <c r="F9" s="3">
        <v>4.5871559633027525E-2</v>
      </c>
      <c r="G9" s="3">
        <v>0</v>
      </c>
    </row>
    <row r="10" spans="1:7" x14ac:dyDescent="0.3">
      <c r="A10" s="2">
        <v>202510</v>
      </c>
      <c r="B10" s="1">
        <v>45931</v>
      </c>
      <c r="C10" s="3">
        <v>0.57264957264957261</v>
      </c>
      <c r="D10" s="3">
        <v>0.29059829059829062</v>
      </c>
      <c r="E10" s="3">
        <v>9.4017094017094016E-2</v>
      </c>
      <c r="F10" s="3">
        <v>4.2735042735042736E-2</v>
      </c>
      <c r="G10" s="3">
        <v>0</v>
      </c>
    </row>
    <row r="11" spans="1:7" x14ac:dyDescent="0.3">
      <c r="A11" s="2">
        <v>202511</v>
      </c>
      <c r="B11" s="1">
        <v>45962</v>
      </c>
      <c r="C11" s="3">
        <v>0.43925233644859812</v>
      </c>
      <c r="D11" s="3">
        <v>0.3925233644859813</v>
      </c>
      <c r="E11" s="3">
        <v>0.11214953271028037</v>
      </c>
      <c r="F11" s="3">
        <v>4.6728971962616821E-2</v>
      </c>
      <c r="G11" s="3">
        <v>9.3457943925233638E-3</v>
      </c>
    </row>
    <row r="12" spans="1:7" x14ac:dyDescent="0.3">
      <c r="A12" s="2">
        <v>202512</v>
      </c>
      <c r="B12" s="1">
        <v>45992</v>
      </c>
      <c r="C12" s="3">
        <v>0.37373737373737376</v>
      </c>
      <c r="D12" s="3">
        <v>0.45454545454545453</v>
      </c>
      <c r="E12" s="3">
        <v>0.12121212121212122</v>
      </c>
      <c r="F12" s="3">
        <v>4.0404040404040407E-2</v>
      </c>
      <c r="G12" s="3">
        <v>1.0101010101010102E-2</v>
      </c>
    </row>
    <row r="13" spans="1:7" x14ac:dyDescent="0.3">
      <c r="A13" s="2">
        <v>202601</v>
      </c>
      <c r="B13" s="1">
        <v>46023</v>
      </c>
      <c r="C13" s="3">
        <v>0.44</v>
      </c>
      <c r="D13" s="3">
        <v>0.4</v>
      </c>
      <c r="E13" s="3">
        <v>0.11</v>
      </c>
      <c r="F13" s="3">
        <v>0.03</v>
      </c>
      <c r="G13" s="3">
        <v>0.02</v>
      </c>
    </row>
    <row r="14" spans="1:7" x14ac:dyDescent="0.3">
      <c r="A14" s="2">
        <v>202602</v>
      </c>
      <c r="B14" s="1">
        <v>46054</v>
      </c>
      <c r="C14" s="3">
        <v>0.38317757009345793</v>
      </c>
      <c r="D14" s="3">
        <v>0.47663551401869159</v>
      </c>
      <c r="E14" s="3">
        <v>9.3457943925233641E-2</v>
      </c>
      <c r="F14" s="3">
        <v>2.8037383177570093E-2</v>
      </c>
      <c r="G14" s="3">
        <v>1.8691588785046728E-2</v>
      </c>
    </row>
    <row r="15" spans="1:7" x14ac:dyDescent="0.3">
      <c r="A15" s="2">
        <v>202603</v>
      </c>
      <c r="B15" s="1">
        <v>46082</v>
      </c>
      <c r="C15" s="3">
        <v>0.43269230769230771</v>
      </c>
      <c r="D15" s="3">
        <v>0.37019230769230771</v>
      </c>
      <c r="E15" s="3">
        <v>0.15384615384615385</v>
      </c>
      <c r="F15" s="3">
        <v>2.8846153846153848E-2</v>
      </c>
      <c r="G15" s="3">
        <v>1.4423076923076924E-2</v>
      </c>
    </row>
    <row r="16" spans="1:7" x14ac:dyDescent="0.3">
      <c r="A16" s="2">
        <v>202604</v>
      </c>
      <c r="B16" s="1">
        <v>46113</v>
      </c>
      <c r="C16" s="3">
        <v>0.44262295081967212</v>
      </c>
      <c r="D16" s="3">
        <v>0.36885245901639346</v>
      </c>
      <c r="E16" s="3">
        <v>0.14754098360655737</v>
      </c>
      <c r="F16" s="3">
        <v>2.4590163934426229E-2</v>
      </c>
      <c r="G16" s="3">
        <v>1.6393442622950821E-2</v>
      </c>
    </row>
    <row r="17" spans="1:7" x14ac:dyDescent="0.3">
      <c r="A17" s="2">
        <v>202605</v>
      </c>
      <c r="B17" s="1">
        <v>46143</v>
      </c>
      <c r="C17" s="3">
        <v>0.35849056603773582</v>
      </c>
      <c r="D17" s="3">
        <v>0.45283018867924529</v>
      </c>
      <c r="E17" s="3">
        <v>0.10377358490566038</v>
      </c>
      <c r="F17" s="3">
        <v>5.6603773584905662E-2</v>
      </c>
      <c r="G17" s="3">
        <v>2.8301886792452831E-2</v>
      </c>
    </row>
    <row r="18" spans="1:7" x14ac:dyDescent="0.3">
      <c r="A18" s="2">
        <v>202606</v>
      </c>
      <c r="B18" s="1">
        <v>46174</v>
      </c>
      <c r="C18" s="3">
        <v>0.55045871559633031</v>
      </c>
      <c r="D18" s="3">
        <v>0.33027522935779818</v>
      </c>
      <c r="E18" s="3">
        <v>0.11926605504587157</v>
      </c>
      <c r="F18" s="3">
        <v>0</v>
      </c>
      <c r="G18" s="3">
        <v>0</v>
      </c>
    </row>
    <row r="19" spans="1:7" x14ac:dyDescent="0.3">
      <c r="A19" s="2">
        <v>202607</v>
      </c>
      <c r="B19" s="1">
        <v>46204</v>
      </c>
      <c r="C19" s="3">
        <v>0.51401869158878499</v>
      </c>
      <c r="D19" s="3">
        <v>0.31775700934579443</v>
      </c>
      <c r="E19" s="3">
        <v>0.13084112149532709</v>
      </c>
      <c r="F19" s="3">
        <v>3.7383177570093455E-2</v>
      </c>
      <c r="G19" s="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8C80-6EA6-40AA-B14E-9F24B332D8C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1.109375" bestFit="1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8607-ABD5-43B1-AB21-0EB314649F8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1.109375" bestFit="1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F9DB-F5E3-4371-B60E-098BDCFF28D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1.109375" bestFit="1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A714-E4D5-4B03-94F3-619CB3917781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1.109375" bestFit="1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DF2E-5D90-4F3D-9DEB-87869ACA2772}">
  <dimension ref="A1:F6"/>
  <sheetViews>
    <sheetView workbookViewId="0"/>
  </sheetViews>
  <sheetFormatPr defaultRowHeight="14.4" x14ac:dyDescent="0.3"/>
  <cols>
    <col min="1" max="1" width="8.77734375" bestFit="1" customWidth="1"/>
    <col min="2" max="3" width="80.88671875" bestFit="1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</row>
    <row r="2" spans="1:6" x14ac:dyDescent="0.3">
      <c r="A2" s="2">
        <v>1</v>
      </c>
      <c r="B2" t="s">
        <v>215</v>
      </c>
      <c r="C2" t="s">
        <v>43</v>
      </c>
      <c r="D2" t="s">
        <v>216</v>
      </c>
      <c r="E2" s="3">
        <v>2.803738317757009E-2</v>
      </c>
      <c r="F2" s="2">
        <v>3</v>
      </c>
    </row>
    <row r="3" spans="1:6" x14ac:dyDescent="0.3">
      <c r="A3" s="2">
        <v>2</v>
      </c>
      <c r="B3" t="s">
        <v>215</v>
      </c>
      <c r="C3" t="s">
        <v>217</v>
      </c>
      <c r="E3" s="3">
        <v>0.10280373831775701</v>
      </c>
      <c r="F3" s="2">
        <v>11</v>
      </c>
    </row>
    <row r="4" spans="1:6" x14ac:dyDescent="0.3">
      <c r="A4" s="2">
        <v>3</v>
      </c>
      <c r="B4" t="s">
        <v>215</v>
      </c>
      <c r="C4" t="s">
        <v>218</v>
      </c>
      <c r="E4" s="3">
        <v>0.16822429906542055</v>
      </c>
      <c r="F4" s="2">
        <v>18</v>
      </c>
    </row>
    <row r="5" spans="1:6" x14ac:dyDescent="0.3">
      <c r="A5" s="2">
        <v>4</v>
      </c>
      <c r="B5" t="s">
        <v>215</v>
      </c>
      <c r="C5" t="s">
        <v>219</v>
      </c>
      <c r="E5" s="3">
        <v>0.21495327102803738</v>
      </c>
      <c r="F5" s="2">
        <v>23</v>
      </c>
    </row>
    <row r="6" spans="1:6" x14ac:dyDescent="0.3">
      <c r="A6" s="2">
        <v>5</v>
      </c>
      <c r="B6" t="s">
        <v>215</v>
      </c>
      <c r="C6" t="s">
        <v>220</v>
      </c>
      <c r="E6" s="3">
        <v>0.48598130841121495</v>
      </c>
      <c r="F6" s="2">
        <v>52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F32E-A856-47CF-A4CB-81F6B78D28C9}">
  <dimension ref="A1:G6"/>
  <sheetViews>
    <sheetView workbookViewId="0"/>
  </sheetViews>
  <sheetFormatPr defaultRowHeight="14.4" x14ac:dyDescent="0.3"/>
  <cols>
    <col min="1" max="1" width="8.77734375" bestFit="1" customWidth="1"/>
    <col min="2" max="3" width="80.88671875" bestFit="1" customWidth="1"/>
    <col min="4" max="4" width="11.44140625" bestFit="1" customWidth="1"/>
    <col min="5" max="5" width="5.88671875" bestFit="1" customWidth="1"/>
    <col min="6" max="6" width="6.109375" bestFit="1" customWidth="1"/>
    <col min="7" max="7" width="6.21875" bestFit="1" customWidth="1"/>
  </cols>
  <sheetData>
    <row r="1" spans="1:7" s="5" customFormat="1" x14ac:dyDescent="0.3">
      <c r="A1" s="5" t="s">
        <v>11</v>
      </c>
      <c r="B1" s="5" t="s">
        <v>211</v>
      </c>
      <c r="C1" s="5" t="s">
        <v>13</v>
      </c>
      <c r="D1" s="5" t="s">
        <v>14</v>
      </c>
      <c r="E1" s="5" t="s">
        <v>212</v>
      </c>
      <c r="F1" s="5" t="s">
        <v>213</v>
      </c>
      <c r="G1" s="5" t="s">
        <v>214</v>
      </c>
    </row>
    <row r="2" spans="1:7" x14ac:dyDescent="0.3">
      <c r="A2" s="2">
        <v>1</v>
      </c>
      <c r="B2" t="s">
        <v>215</v>
      </c>
      <c r="C2" t="s">
        <v>43</v>
      </c>
      <c r="D2" t="s">
        <v>216</v>
      </c>
      <c r="E2" s="3">
        <v>2.803738317757009E-2</v>
      </c>
      <c r="F2" s="2">
        <v>3</v>
      </c>
      <c r="G2" s="3">
        <v>1</v>
      </c>
    </row>
    <row r="3" spans="1:7" x14ac:dyDescent="0.3">
      <c r="A3" s="2">
        <v>2</v>
      </c>
      <c r="B3" t="s">
        <v>215</v>
      </c>
      <c r="C3" t="s">
        <v>217</v>
      </c>
      <c r="E3" s="3">
        <v>0.10280373831775701</v>
      </c>
      <c r="F3" s="2">
        <v>11</v>
      </c>
      <c r="G3" s="3">
        <v>1</v>
      </c>
    </row>
    <row r="4" spans="1:7" x14ac:dyDescent="0.3">
      <c r="A4" s="2">
        <v>3</v>
      </c>
      <c r="B4" t="s">
        <v>215</v>
      </c>
      <c r="C4" t="s">
        <v>218</v>
      </c>
      <c r="E4" s="3">
        <v>0.16822429906542055</v>
      </c>
      <c r="F4" s="2">
        <v>18</v>
      </c>
      <c r="G4" s="3">
        <v>1</v>
      </c>
    </row>
    <row r="5" spans="1:7" x14ac:dyDescent="0.3">
      <c r="A5" s="2">
        <v>4</v>
      </c>
      <c r="B5" t="s">
        <v>215</v>
      </c>
      <c r="C5" t="s">
        <v>219</v>
      </c>
      <c r="E5" s="3">
        <v>0.21495327102803738</v>
      </c>
      <c r="F5" s="2">
        <v>23</v>
      </c>
      <c r="G5" s="3">
        <v>1</v>
      </c>
    </row>
    <row r="6" spans="1:7" x14ac:dyDescent="0.3">
      <c r="A6" s="2">
        <v>5</v>
      </c>
      <c r="B6" t="s">
        <v>215</v>
      </c>
      <c r="C6" t="s">
        <v>220</v>
      </c>
      <c r="E6" s="3">
        <v>0.48598130841121495</v>
      </c>
      <c r="F6" s="2">
        <v>52</v>
      </c>
      <c r="G6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79FC-85C5-4277-9361-B2C0B022067C}">
  <dimension ref="A1:D7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4.6640625" bestFit="1" customWidth="1"/>
    <col min="4" max="4" width="9" bestFit="1" customWidth="1"/>
  </cols>
  <sheetData>
    <row r="1" spans="1:4" s="5" customFormat="1" x14ac:dyDescent="0.3">
      <c r="A1" s="5" t="s">
        <v>0</v>
      </c>
      <c r="B1" s="5" t="s">
        <v>1</v>
      </c>
      <c r="C1" s="5" t="s">
        <v>6</v>
      </c>
      <c r="D1" s="5" t="s">
        <v>209</v>
      </c>
    </row>
    <row r="2" spans="1:4" x14ac:dyDescent="0.3">
      <c r="A2" s="2">
        <v>202002</v>
      </c>
      <c r="B2" s="1">
        <v>43862</v>
      </c>
      <c r="C2" s="2">
        <v>590</v>
      </c>
      <c r="D2" t="s">
        <v>210</v>
      </c>
    </row>
    <row r="3" spans="1:4" x14ac:dyDescent="0.3">
      <c r="A3" s="2">
        <v>202003</v>
      </c>
      <c r="B3" s="1">
        <v>43891</v>
      </c>
      <c r="C3" s="2">
        <v>319</v>
      </c>
      <c r="D3" t="s">
        <v>210</v>
      </c>
    </row>
    <row r="4" spans="1:4" x14ac:dyDescent="0.3">
      <c r="A4" s="2">
        <v>202004</v>
      </c>
      <c r="B4" s="1">
        <v>43922</v>
      </c>
      <c r="C4" s="2">
        <v>250</v>
      </c>
      <c r="D4" t="s">
        <v>210</v>
      </c>
    </row>
    <row r="5" spans="1:4" x14ac:dyDescent="0.3">
      <c r="A5" s="2">
        <v>202005</v>
      </c>
      <c r="B5" s="1">
        <v>43952</v>
      </c>
      <c r="C5" s="2">
        <v>295</v>
      </c>
      <c r="D5" t="s">
        <v>210</v>
      </c>
    </row>
    <row r="6" spans="1:4" x14ac:dyDescent="0.3">
      <c r="A6" s="2">
        <v>202006</v>
      </c>
      <c r="B6" s="1">
        <v>43983</v>
      </c>
      <c r="C6" s="2">
        <v>356</v>
      </c>
      <c r="D6" t="s">
        <v>210</v>
      </c>
    </row>
    <row r="7" spans="1:4" x14ac:dyDescent="0.3">
      <c r="A7" s="2">
        <v>202007</v>
      </c>
      <c r="B7" s="1">
        <v>44013</v>
      </c>
      <c r="C7" s="2">
        <v>357</v>
      </c>
      <c r="D7" t="s">
        <v>210</v>
      </c>
    </row>
    <row r="8" spans="1:4" x14ac:dyDescent="0.3">
      <c r="A8" s="2">
        <v>202008</v>
      </c>
      <c r="B8" s="1">
        <v>44044</v>
      </c>
      <c r="C8" s="2">
        <v>429</v>
      </c>
      <c r="D8" t="s">
        <v>210</v>
      </c>
    </row>
    <row r="9" spans="1:4" x14ac:dyDescent="0.3">
      <c r="A9" s="2">
        <v>202009</v>
      </c>
      <c r="B9" s="1">
        <v>44075</v>
      </c>
      <c r="C9" s="2">
        <v>274</v>
      </c>
      <c r="D9" t="s">
        <v>210</v>
      </c>
    </row>
    <row r="10" spans="1:4" x14ac:dyDescent="0.3">
      <c r="A10" s="2">
        <v>202010</v>
      </c>
      <c r="B10" s="1">
        <v>44105</v>
      </c>
      <c r="C10" s="2">
        <v>173</v>
      </c>
      <c r="D10" t="s">
        <v>210</v>
      </c>
    </row>
    <row r="11" spans="1:4" x14ac:dyDescent="0.3">
      <c r="A11" s="2">
        <v>202011</v>
      </c>
      <c r="B11" s="1">
        <v>44136</v>
      </c>
      <c r="C11" s="2">
        <v>154</v>
      </c>
      <c r="D11" t="s">
        <v>210</v>
      </c>
    </row>
    <row r="12" spans="1:4" x14ac:dyDescent="0.3">
      <c r="A12" s="2">
        <v>202101</v>
      </c>
      <c r="B12" s="1">
        <v>44197</v>
      </c>
      <c r="C12" s="2">
        <v>252</v>
      </c>
      <c r="D12" t="s">
        <v>210</v>
      </c>
    </row>
    <row r="13" spans="1:4" x14ac:dyDescent="0.3">
      <c r="A13" s="2">
        <v>202102</v>
      </c>
      <c r="B13" s="1">
        <v>44228</v>
      </c>
      <c r="C13" s="2">
        <v>150</v>
      </c>
      <c r="D13" t="s">
        <v>210</v>
      </c>
    </row>
    <row r="14" spans="1:4" x14ac:dyDescent="0.3">
      <c r="A14" s="2">
        <v>202103</v>
      </c>
      <c r="B14" s="1">
        <v>44256</v>
      </c>
      <c r="C14" s="2">
        <v>166</v>
      </c>
      <c r="D14" t="s">
        <v>210</v>
      </c>
    </row>
    <row r="15" spans="1:4" x14ac:dyDescent="0.3">
      <c r="A15" s="2">
        <v>202104</v>
      </c>
      <c r="B15" s="1">
        <v>44287</v>
      </c>
      <c r="C15" s="2">
        <v>165</v>
      </c>
      <c r="D15" t="s">
        <v>210</v>
      </c>
    </row>
    <row r="16" spans="1:4" x14ac:dyDescent="0.3">
      <c r="A16" s="2">
        <v>202105</v>
      </c>
      <c r="B16" s="1">
        <v>44317</v>
      </c>
      <c r="C16" s="2">
        <v>126</v>
      </c>
      <c r="D16" t="s">
        <v>210</v>
      </c>
    </row>
    <row r="17" spans="1:4" x14ac:dyDescent="0.3">
      <c r="A17" s="2">
        <v>202106</v>
      </c>
      <c r="B17" s="1">
        <v>44348</v>
      </c>
      <c r="C17" s="2">
        <v>130</v>
      </c>
      <c r="D17" t="s">
        <v>210</v>
      </c>
    </row>
    <row r="18" spans="1:4" x14ac:dyDescent="0.3">
      <c r="A18" s="2">
        <v>202107</v>
      </c>
      <c r="B18" s="1">
        <v>44378</v>
      </c>
      <c r="C18" s="2">
        <v>101</v>
      </c>
      <c r="D18" t="s">
        <v>210</v>
      </c>
    </row>
    <row r="19" spans="1:4" x14ac:dyDescent="0.3">
      <c r="A19" s="2">
        <v>202108</v>
      </c>
      <c r="B19" s="1">
        <v>44409</v>
      </c>
      <c r="C19" s="2">
        <v>293</v>
      </c>
      <c r="D19" t="s">
        <v>210</v>
      </c>
    </row>
    <row r="20" spans="1:4" x14ac:dyDescent="0.3">
      <c r="A20" s="2">
        <v>202109</v>
      </c>
      <c r="B20" s="1">
        <v>44440</v>
      </c>
      <c r="C20" s="2">
        <v>448</v>
      </c>
      <c r="D20" t="s">
        <v>210</v>
      </c>
    </row>
    <row r="21" spans="1:4" x14ac:dyDescent="0.3">
      <c r="A21" s="2">
        <v>202110</v>
      </c>
      <c r="B21" s="1">
        <v>44470</v>
      </c>
      <c r="C21" s="2">
        <v>570</v>
      </c>
      <c r="D21" t="s">
        <v>210</v>
      </c>
    </row>
    <row r="22" spans="1:4" x14ac:dyDescent="0.3">
      <c r="A22" s="2">
        <v>202111</v>
      </c>
      <c r="B22" s="1">
        <v>44501</v>
      </c>
      <c r="C22" s="2">
        <v>134</v>
      </c>
      <c r="D22" t="s">
        <v>210</v>
      </c>
    </row>
    <row r="23" spans="1:4" x14ac:dyDescent="0.3">
      <c r="A23" s="2">
        <v>202201</v>
      </c>
      <c r="B23" s="1">
        <v>44562</v>
      </c>
      <c r="C23" s="2"/>
      <c r="D23" t="s">
        <v>210</v>
      </c>
    </row>
    <row r="24" spans="1:4" x14ac:dyDescent="0.3">
      <c r="A24" s="2">
        <v>202202</v>
      </c>
      <c r="B24" s="1">
        <v>44593</v>
      </c>
      <c r="C24" s="2"/>
      <c r="D24" t="s">
        <v>210</v>
      </c>
    </row>
    <row r="25" spans="1:4" x14ac:dyDescent="0.3">
      <c r="A25" s="2">
        <v>202203</v>
      </c>
      <c r="B25" s="1">
        <v>44621</v>
      </c>
      <c r="C25" s="2"/>
      <c r="D25" t="s">
        <v>210</v>
      </c>
    </row>
    <row r="26" spans="1:4" x14ac:dyDescent="0.3">
      <c r="A26" s="2">
        <v>202204</v>
      </c>
      <c r="B26" s="1">
        <v>44652</v>
      </c>
      <c r="C26" s="2"/>
      <c r="D26" t="s">
        <v>210</v>
      </c>
    </row>
    <row r="27" spans="1:4" x14ac:dyDescent="0.3">
      <c r="A27" s="2">
        <v>202205</v>
      </c>
      <c r="B27" s="1">
        <v>44682</v>
      </c>
      <c r="C27" s="2"/>
      <c r="D27" t="s">
        <v>210</v>
      </c>
    </row>
    <row r="28" spans="1:4" x14ac:dyDescent="0.3">
      <c r="A28" s="2">
        <v>202206</v>
      </c>
      <c r="B28" s="1">
        <v>44713</v>
      </c>
      <c r="C28" s="2"/>
      <c r="D28" t="s">
        <v>210</v>
      </c>
    </row>
    <row r="29" spans="1:4" x14ac:dyDescent="0.3">
      <c r="A29" s="2">
        <v>202207</v>
      </c>
      <c r="B29" s="1">
        <v>44743</v>
      </c>
      <c r="C29" s="2"/>
      <c r="D29" t="s">
        <v>210</v>
      </c>
    </row>
    <row r="30" spans="1:4" x14ac:dyDescent="0.3">
      <c r="A30" s="2">
        <v>202208</v>
      </c>
      <c r="B30" s="1">
        <v>44774</v>
      </c>
      <c r="C30" s="2"/>
      <c r="D30" t="s">
        <v>210</v>
      </c>
    </row>
    <row r="31" spans="1:4" x14ac:dyDescent="0.3">
      <c r="A31" s="2">
        <v>202209</v>
      </c>
      <c r="B31" s="1">
        <v>44805</v>
      </c>
      <c r="C31" s="2"/>
      <c r="D31" t="s">
        <v>210</v>
      </c>
    </row>
    <row r="32" spans="1:4" x14ac:dyDescent="0.3">
      <c r="A32" s="2">
        <v>202210</v>
      </c>
      <c r="B32" s="1">
        <v>44835</v>
      </c>
      <c r="C32" s="2"/>
      <c r="D32" t="s">
        <v>210</v>
      </c>
    </row>
    <row r="33" spans="1:4" x14ac:dyDescent="0.3">
      <c r="A33" s="2">
        <v>202211</v>
      </c>
      <c r="B33" s="1">
        <v>44866</v>
      </c>
      <c r="C33" s="2"/>
      <c r="D33" t="s">
        <v>210</v>
      </c>
    </row>
    <row r="34" spans="1:4" x14ac:dyDescent="0.3">
      <c r="A34" s="2">
        <v>202212</v>
      </c>
      <c r="B34" s="1">
        <v>44896</v>
      </c>
      <c r="C34" s="2"/>
      <c r="D34" t="s">
        <v>210</v>
      </c>
    </row>
    <row r="35" spans="1:4" x14ac:dyDescent="0.3">
      <c r="A35" s="2">
        <v>202301</v>
      </c>
      <c r="B35" s="1">
        <v>44927</v>
      </c>
      <c r="C35" s="2"/>
      <c r="D35" t="s">
        <v>210</v>
      </c>
    </row>
    <row r="36" spans="1:4" x14ac:dyDescent="0.3">
      <c r="A36" s="2">
        <v>202302</v>
      </c>
      <c r="B36" s="1">
        <v>44958</v>
      </c>
      <c r="C36" s="2">
        <v>190</v>
      </c>
      <c r="D36" t="s">
        <v>210</v>
      </c>
    </row>
    <row r="37" spans="1:4" x14ac:dyDescent="0.3">
      <c r="A37" s="2">
        <v>202303</v>
      </c>
      <c r="B37" s="1">
        <v>44986</v>
      </c>
      <c r="C37" s="2"/>
      <c r="D37" t="s">
        <v>210</v>
      </c>
    </row>
    <row r="38" spans="1:4" x14ac:dyDescent="0.3">
      <c r="A38" s="2">
        <v>202304</v>
      </c>
      <c r="B38" s="1">
        <v>45017</v>
      </c>
      <c r="C38" s="2">
        <v>156</v>
      </c>
      <c r="D38" t="s">
        <v>210</v>
      </c>
    </row>
    <row r="39" spans="1:4" x14ac:dyDescent="0.3">
      <c r="A39" s="2">
        <v>202305</v>
      </c>
      <c r="B39" s="1">
        <v>45047</v>
      </c>
      <c r="C39" s="2">
        <v>161</v>
      </c>
      <c r="D39" t="s">
        <v>210</v>
      </c>
    </row>
    <row r="40" spans="1:4" x14ac:dyDescent="0.3">
      <c r="A40" s="2">
        <v>202306</v>
      </c>
      <c r="B40" s="1">
        <v>45078</v>
      </c>
      <c r="C40" s="2">
        <v>178</v>
      </c>
      <c r="D40" t="s">
        <v>210</v>
      </c>
    </row>
    <row r="41" spans="1:4" x14ac:dyDescent="0.3">
      <c r="A41" s="2">
        <v>202307</v>
      </c>
      <c r="B41" s="1">
        <v>45108</v>
      </c>
      <c r="C41" s="2">
        <v>203</v>
      </c>
      <c r="D41" t="s">
        <v>210</v>
      </c>
    </row>
    <row r="42" spans="1:4" x14ac:dyDescent="0.3">
      <c r="A42" s="2">
        <v>202308</v>
      </c>
      <c r="B42" s="1">
        <v>45139</v>
      </c>
      <c r="C42" s="2">
        <v>162</v>
      </c>
      <c r="D42" t="s">
        <v>210</v>
      </c>
    </row>
    <row r="43" spans="1:4" x14ac:dyDescent="0.3">
      <c r="A43" s="2">
        <v>202309</v>
      </c>
      <c r="B43" s="1">
        <v>45170</v>
      </c>
      <c r="C43" s="2">
        <v>122</v>
      </c>
      <c r="D43" t="s">
        <v>210</v>
      </c>
    </row>
    <row r="44" spans="1:4" x14ac:dyDescent="0.3">
      <c r="A44" s="2">
        <v>202310</v>
      </c>
      <c r="B44" s="1">
        <v>45200</v>
      </c>
      <c r="C44" s="2">
        <v>515</v>
      </c>
      <c r="D44" t="s">
        <v>210</v>
      </c>
    </row>
    <row r="45" spans="1:4" x14ac:dyDescent="0.3">
      <c r="A45" s="2">
        <v>202311</v>
      </c>
      <c r="B45" s="1">
        <v>45231</v>
      </c>
      <c r="C45" s="2">
        <v>361</v>
      </c>
      <c r="D45" t="s">
        <v>210</v>
      </c>
    </row>
    <row r="46" spans="1:4" x14ac:dyDescent="0.3">
      <c r="A46" s="2">
        <v>202312</v>
      </c>
      <c r="B46" s="1">
        <v>45261</v>
      </c>
      <c r="C46" s="2">
        <v>273</v>
      </c>
      <c r="D46" t="s">
        <v>210</v>
      </c>
    </row>
    <row r="47" spans="1:4" x14ac:dyDescent="0.3">
      <c r="A47" s="2">
        <v>202401</v>
      </c>
      <c r="B47" s="1">
        <v>45292</v>
      </c>
      <c r="C47" s="2">
        <v>147</v>
      </c>
      <c r="D47" t="s">
        <v>210</v>
      </c>
    </row>
    <row r="48" spans="1:4" x14ac:dyDescent="0.3">
      <c r="A48" s="2">
        <v>202402</v>
      </c>
      <c r="B48" s="1">
        <v>45323</v>
      </c>
      <c r="C48" s="2">
        <v>142</v>
      </c>
      <c r="D48" t="s">
        <v>210</v>
      </c>
    </row>
    <row r="49" spans="1:4" x14ac:dyDescent="0.3">
      <c r="A49" s="2">
        <v>202403</v>
      </c>
      <c r="B49" s="1">
        <v>45352</v>
      </c>
      <c r="C49" s="2">
        <v>138</v>
      </c>
      <c r="D49" t="s">
        <v>210</v>
      </c>
    </row>
    <row r="50" spans="1:4" x14ac:dyDescent="0.3">
      <c r="A50" s="2">
        <v>202404</v>
      </c>
      <c r="B50" s="1">
        <v>45383</v>
      </c>
      <c r="C50" s="2">
        <v>245</v>
      </c>
      <c r="D50" t="s">
        <v>210</v>
      </c>
    </row>
    <row r="51" spans="1:4" x14ac:dyDescent="0.3">
      <c r="A51" s="2">
        <v>202405</v>
      </c>
      <c r="B51" s="1">
        <v>45413</v>
      </c>
      <c r="C51" s="2">
        <v>497</v>
      </c>
      <c r="D51" t="s">
        <v>210</v>
      </c>
    </row>
    <row r="52" spans="1:4" x14ac:dyDescent="0.3">
      <c r="A52" s="2">
        <v>202406</v>
      </c>
      <c r="B52" s="1">
        <v>45444</v>
      </c>
      <c r="C52" s="2">
        <v>226</v>
      </c>
      <c r="D52" t="s">
        <v>210</v>
      </c>
    </row>
    <row r="53" spans="1:4" x14ac:dyDescent="0.3">
      <c r="A53" s="2">
        <v>202407</v>
      </c>
      <c r="B53" s="1">
        <v>45474</v>
      </c>
      <c r="C53" s="2">
        <v>112</v>
      </c>
      <c r="D53" t="s">
        <v>210</v>
      </c>
    </row>
    <row r="54" spans="1:4" x14ac:dyDescent="0.3">
      <c r="A54" s="2">
        <v>202408</v>
      </c>
      <c r="B54" s="1">
        <v>45505</v>
      </c>
      <c r="C54" s="2">
        <v>408</v>
      </c>
      <c r="D54" t="s">
        <v>210</v>
      </c>
    </row>
    <row r="55" spans="1:4" x14ac:dyDescent="0.3">
      <c r="A55" s="2">
        <v>202409</v>
      </c>
      <c r="B55" s="1">
        <v>45536</v>
      </c>
      <c r="C55" s="2">
        <v>159</v>
      </c>
      <c r="D55" t="s">
        <v>210</v>
      </c>
    </row>
    <row r="56" spans="1:4" x14ac:dyDescent="0.3">
      <c r="A56" s="2">
        <v>202410</v>
      </c>
      <c r="B56" s="1">
        <v>45566</v>
      </c>
      <c r="C56" s="2">
        <v>151</v>
      </c>
      <c r="D56" t="s">
        <v>210</v>
      </c>
    </row>
    <row r="57" spans="1:4" x14ac:dyDescent="0.3">
      <c r="A57" s="2">
        <v>202411</v>
      </c>
      <c r="B57" s="1">
        <v>45597</v>
      </c>
      <c r="C57" s="2">
        <v>158</v>
      </c>
      <c r="D57" t="s">
        <v>210</v>
      </c>
    </row>
    <row r="58" spans="1:4" x14ac:dyDescent="0.3">
      <c r="A58" s="2">
        <v>202412</v>
      </c>
      <c r="B58" s="1">
        <v>45627</v>
      </c>
      <c r="C58" s="2">
        <v>141</v>
      </c>
      <c r="D58" t="s">
        <v>210</v>
      </c>
    </row>
    <row r="59" spans="1:4" x14ac:dyDescent="0.3">
      <c r="A59" s="2">
        <v>202501</v>
      </c>
      <c r="B59" s="1">
        <v>45658</v>
      </c>
      <c r="C59" s="2">
        <v>337</v>
      </c>
      <c r="D59" t="s">
        <v>210</v>
      </c>
    </row>
    <row r="60" spans="1:4" x14ac:dyDescent="0.3">
      <c r="A60" s="2">
        <v>202502</v>
      </c>
      <c r="B60" s="1">
        <v>45689</v>
      </c>
      <c r="C60" s="2">
        <v>161</v>
      </c>
      <c r="D60" t="s">
        <v>210</v>
      </c>
    </row>
    <row r="61" spans="1:4" x14ac:dyDescent="0.3">
      <c r="A61" s="2">
        <v>202503</v>
      </c>
      <c r="B61" s="1">
        <v>45717</v>
      </c>
      <c r="C61" s="2">
        <v>180</v>
      </c>
      <c r="D61" t="s">
        <v>210</v>
      </c>
    </row>
    <row r="62" spans="1:4" x14ac:dyDescent="0.3">
      <c r="A62" s="2">
        <v>202504</v>
      </c>
      <c r="B62" s="1">
        <v>45748</v>
      </c>
      <c r="C62" s="2">
        <v>138</v>
      </c>
      <c r="D62" t="s">
        <v>210</v>
      </c>
    </row>
    <row r="63" spans="1:4" x14ac:dyDescent="0.3">
      <c r="A63" s="2">
        <v>202505</v>
      </c>
      <c r="B63" s="1">
        <v>45778</v>
      </c>
      <c r="C63" s="2">
        <v>118</v>
      </c>
      <c r="D63" t="s">
        <v>210</v>
      </c>
    </row>
    <row r="64" spans="1:4" x14ac:dyDescent="0.3">
      <c r="A64" s="2">
        <v>202506</v>
      </c>
      <c r="B64" s="1">
        <v>45809</v>
      </c>
      <c r="C64" s="2">
        <v>119</v>
      </c>
      <c r="D64" t="s">
        <v>210</v>
      </c>
    </row>
    <row r="65" spans="1:4" x14ac:dyDescent="0.3">
      <c r="A65" s="2">
        <v>202507</v>
      </c>
      <c r="B65" s="1">
        <v>45839</v>
      </c>
      <c r="C65" s="2">
        <v>129</v>
      </c>
      <c r="D65" t="s">
        <v>210</v>
      </c>
    </row>
    <row r="66" spans="1:4" x14ac:dyDescent="0.3">
      <c r="A66" s="2">
        <v>202508</v>
      </c>
      <c r="B66" s="1">
        <v>45870</v>
      </c>
      <c r="C66" s="2">
        <v>102</v>
      </c>
      <c r="D66" t="s">
        <v>210</v>
      </c>
    </row>
    <row r="67" spans="1:4" x14ac:dyDescent="0.3">
      <c r="A67" s="2">
        <v>202509</v>
      </c>
      <c r="B67" s="1">
        <v>45901</v>
      </c>
      <c r="C67" s="2">
        <v>109</v>
      </c>
      <c r="D67" t="s">
        <v>210</v>
      </c>
    </row>
    <row r="68" spans="1:4" x14ac:dyDescent="0.3">
      <c r="A68" s="2">
        <v>202510</v>
      </c>
      <c r="B68" s="1">
        <v>45931</v>
      </c>
      <c r="C68" s="2">
        <v>117</v>
      </c>
      <c r="D68" t="s">
        <v>210</v>
      </c>
    </row>
    <row r="69" spans="1:4" x14ac:dyDescent="0.3">
      <c r="A69" s="2">
        <v>202511</v>
      </c>
      <c r="B69" s="1">
        <v>45962</v>
      </c>
      <c r="C69" s="2">
        <v>107</v>
      </c>
      <c r="D69" t="s">
        <v>210</v>
      </c>
    </row>
    <row r="70" spans="1:4" x14ac:dyDescent="0.3">
      <c r="A70" s="2">
        <v>202512</v>
      </c>
      <c r="B70" s="1">
        <v>45992</v>
      </c>
      <c r="C70" s="2">
        <v>99</v>
      </c>
      <c r="D70" t="s">
        <v>210</v>
      </c>
    </row>
    <row r="71" spans="1:4" x14ac:dyDescent="0.3">
      <c r="A71" s="2">
        <v>202601</v>
      </c>
      <c r="B71" s="1">
        <v>46023</v>
      </c>
      <c r="C71" s="2">
        <v>100</v>
      </c>
      <c r="D71" t="s">
        <v>210</v>
      </c>
    </row>
    <row r="72" spans="1:4" x14ac:dyDescent="0.3">
      <c r="A72" s="2">
        <v>202602</v>
      </c>
      <c r="B72" s="1">
        <v>46054</v>
      </c>
      <c r="C72" s="2">
        <v>107</v>
      </c>
      <c r="D72" t="s">
        <v>210</v>
      </c>
    </row>
    <row r="73" spans="1:4" x14ac:dyDescent="0.3">
      <c r="A73" s="2">
        <v>202603</v>
      </c>
      <c r="B73" s="1">
        <v>46082</v>
      </c>
      <c r="C73" s="2">
        <v>208</v>
      </c>
      <c r="D73" t="s">
        <v>210</v>
      </c>
    </row>
    <row r="74" spans="1:4" x14ac:dyDescent="0.3">
      <c r="A74" s="2">
        <v>202604</v>
      </c>
      <c r="B74" s="1">
        <v>46113</v>
      </c>
      <c r="C74" s="2">
        <v>122</v>
      </c>
      <c r="D74" t="s">
        <v>210</v>
      </c>
    </row>
    <row r="75" spans="1:4" x14ac:dyDescent="0.3">
      <c r="A75" s="2">
        <v>202605</v>
      </c>
      <c r="B75" s="1">
        <v>46143</v>
      </c>
      <c r="C75" s="2">
        <v>106</v>
      </c>
      <c r="D75" t="s">
        <v>210</v>
      </c>
    </row>
    <row r="76" spans="1:4" x14ac:dyDescent="0.3">
      <c r="A76" s="2">
        <v>202606</v>
      </c>
      <c r="B76" s="1">
        <v>46174</v>
      </c>
      <c r="C76" s="2">
        <v>109</v>
      </c>
      <c r="D76" t="s">
        <v>210</v>
      </c>
    </row>
    <row r="77" spans="1:4" x14ac:dyDescent="0.3">
      <c r="A77" s="2">
        <v>202607</v>
      </c>
      <c r="B77" s="1">
        <v>46204</v>
      </c>
      <c r="C77" s="2">
        <v>107</v>
      </c>
      <c r="D77" t="s">
        <v>210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5D36-7140-4D50-BF63-3C9F6DD8625F}">
  <dimension ref="A1:E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9.109375" bestFit="1" customWidth="1"/>
    <col min="4" max="4" width="17.109375" bestFit="1" customWidth="1"/>
    <col min="5" max="5" width="14.664062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207</v>
      </c>
      <c r="D1" s="5" t="s">
        <v>208</v>
      </c>
      <c r="E1" s="5" t="s">
        <v>6</v>
      </c>
    </row>
    <row r="2" spans="1:5" x14ac:dyDescent="0.3">
      <c r="A2" s="2">
        <v>202308</v>
      </c>
      <c r="B2" s="1">
        <v>45139</v>
      </c>
      <c r="C2" s="6">
        <v>7.5864197530864201</v>
      </c>
      <c r="D2" s="4"/>
      <c r="E2" s="2">
        <v>162</v>
      </c>
    </row>
    <row r="3" spans="1:5" x14ac:dyDescent="0.3">
      <c r="A3" s="2">
        <v>202309</v>
      </c>
      <c r="B3" s="1">
        <v>45170</v>
      </c>
      <c r="C3" s="6">
        <v>6.9754098360655741</v>
      </c>
      <c r="D3" s="4"/>
      <c r="E3" s="2">
        <v>122</v>
      </c>
    </row>
    <row r="4" spans="1:5" x14ac:dyDescent="0.3">
      <c r="A4" s="2">
        <v>202310</v>
      </c>
      <c r="B4" s="1">
        <v>45200</v>
      </c>
      <c r="C4" s="6">
        <v>6.174757281553398</v>
      </c>
      <c r="D4" s="4"/>
      <c r="E4" s="2">
        <v>515</v>
      </c>
    </row>
    <row r="5" spans="1:5" x14ac:dyDescent="0.3">
      <c r="A5" s="2">
        <v>202311</v>
      </c>
      <c r="B5" s="1">
        <v>45231</v>
      </c>
      <c r="C5" s="6">
        <v>6.6398891966759006</v>
      </c>
      <c r="D5" s="4"/>
      <c r="E5" s="2">
        <v>361</v>
      </c>
    </row>
    <row r="6" spans="1:5" x14ac:dyDescent="0.3">
      <c r="A6" s="2">
        <v>202312</v>
      </c>
      <c r="B6" s="1">
        <v>45261</v>
      </c>
      <c r="C6" s="6">
        <v>7.1465201465201469</v>
      </c>
      <c r="D6" s="4"/>
      <c r="E6" s="2">
        <v>273</v>
      </c>
    </row>
    <row r="7" spans="1:5" x14ac:dyDescent="0.3">
      <c r="A7" s="2">
        <v>202401</v>
      </c>
      <c r="B7" s="1">
        <v>45292</v>
      </c>
      <c r="C7" s="6">
        <v>7.5510204081632653</v>
      </c>
      <c r="D7" s="4"/>
      <c r="E7" s="2">
        <v>147</v>
      </c>
    </row>
    <row r="8" spans="1:5" x14ac:dyDescent="0.3">
      <c r="A8" s="2">
        <v>202402</v>
      </c>
      <c r="B8" s="1">
        <v>45323</v>
      </c>
      <c r="C8" s="6">
        <v>6.873239436619718</v>
      </c>
      <c r="D8" s="4"/>
      <c r="E8" s="2">
        <v>142</v>
      </c>
    </row>
    <row r="9" spans="1:5" x14ac:dyDescent="0.3">
      <c r="A9" s="2">
        <v>202403</v>
      </c>
      <c r="B9" s="1">
        <v>45352</v>
      </c>
      <c r="C9" s="6">
        <v>7.3043478260869561</v>
      </c>
      <c r="D9" s="4"/>
      <c r="E9" s="2">
        <v>138</v>
      </c>
    </row>
    <row r="10" spans="1:5" x14ac:dyDescent="0.3">
      <c r="A10" s="2">
        <v>202404</v>
      </c>
      <c r="B10" s="1">
        <v>45383</v>
      </c>
      <c r="C10" s="6">
        <v>6.8612244897959185</v>
      </c>
      <c r="D10" s="4"/>
      <c r="E10" s="2">
        <v>245</v>
      </c>
    </row>
    <row r="11" spans="1:5" x14ac:dyDescent="0.3">
      <c r="A11" s="2">
        <v>202405</v>
      </c>
      <c r="B11" s="1">
        <v>45413</v>
      </c>
      <c r="C11" s="6">
        <v>6.1911468812877262</v>
      </c>
      <c r="D11" s="4"/>
      <c r="E11" s="2">
        <v>497</v>
      </c>
    </row>
    <row r="12" spans="1:5" x14ac:dyDescent="0.3">
      <c r="A12" s="2">
        <v>202406</v>
      </c>
      <c r="B12" s="1">
        <v>45444</v>
      </c>
      <c r="C12" s="6">
        <v>5.6327433628318584</v>
      </c>
      <c r="D12" s="4"/>
      <c r="E12" s="2">
        <v>226</v>
      </c>
    </row>
    <row r="13" spans="1:5" x14ac:dyDescent="0.3">
      <c r="A13" s="2">
        <v>202407</v>
      </c>
      <c r="B13" s="1">
        <v>45474</v>
      </c>
      <c r="C13" s="6">
        <v>6.4642857142857144</v>
      </c>
      <c r="D13" s="4"/>
      <c r="E13" s="2">
        <v>112</v>
      </c>
    </row>
    <row r="14" spans="1:5" x14ac:dyDescent="0.3">
      <c r="A14" s="2">
        <v>202408</v>
      </c>
      <c r="B14" s="1">
        <v>45505</v>
      </c>
      <c r="C14" s="6">
        <v>6.4901960784313726</v>
      </c>
      <c r="D14" s="4"/>
      <c r="E14" s="2">
        <v>408</v>
      </c>
    </row>
    <row r="15" spans="1:5" x14ac:dyDescent="0.3">
      <c r="A15" s="2">
        <v>202409</v>
      </c>
      <c r="B15" s="1">
        <v>45536</v>
      </c>
      <c r="C15" s="6">
        <v>6.5220125786163523</v>
      </c>
      <c r="D15" s="4"/>
      <c r="E15" s="2">
        <v>159</v>
      </c>
    </row>
    <row r="16" spans="1:5" x14ac:dyDescent="0.3">
      <c r="A16" s="2">
        <v>202410</v>
      </c>
      <c r="B16" s="1">
        <v>45566</v>
      </c>
      <c r="C16" s="6">
        <v>6.1589403973509933</v>
      </c>
      <c r="D16" s="4"/>
      <c r="E16" s="2">
        <v>151</v>
      </c>
    </row>
    <row r="17" spans="1:5" x14ac:dyDescent="0.3">
      <c r="A17" s="2">
        <v>202411</v>
      </c>
      <c r="B17" s="1">
        <v>45597</v>
      </c>
      <c r="C17" s="6">
        <v>5.5316455696202533</v>
      </c>
      <c r="D17" s="4"/>
      <c r="E17" s="2">
        <v>158</v>
      </c>
    </row>
    <row r="18" spans="1:5" x14ac:dyDescent="0.3">
      <c r="A18" s="2">
        <v>202412</v>
      </c>
      <c r="B18" s="1">
        <v>45627</v>
      </c>
      <c r="C18" s="6">
        <v>4.8865248226950353</v>
      </c>
      <c r="D18" s="4"/>
      <c r="E18" s="2">
        <v>141</v>
      </c>
    </row>
    <row r="19" spans="1:5" x14ac:dyDescent="0.3">
      <c r="A19" s="2">
        <v>202501</v>
      </c>
      <c r="B19" s="1">
        <v>45658</v>
      </c>
      <c r="C19" s="6">
        <v>5.0356083086053411</v>
      </c>
      <c r="D19" s="4"/>
      <c r="E19" s="2">
        <v>337</v>
      </c>
    </row>
    <row r="20" spans="1:5" x14ac:dyDescent="0.3">
      <c r="A20" s="2">
        <v>202502</v>
      </c>
      <c r="B20" s="1">
        <v>45689</v>
      </c>
      <c r="C20" s="6">
        <v>5.7826086956521738</v>
      </c>
      <c r="D20" s="4"/>
      <c r="E20" s="2">
        <v>161</v>
      </c>
    </row>
    <row r="21" spans="1:5" x14ac:dyDescent="0.3">
      <c r="A21" s="2">
        <v>202503</v>
      </c>
      <c r="B21" s="1">
        <v>45717</v>
      </c>
      <c r="C21" s="6">
        <v>5.9222222222222225</v>
      </c>
      <c r="D21" s="4"/>
      <c r="E21" s="2">
        <v>180</v>
      </c>
    </row>
    <row r="22" spans="1:5" x14ac:dyDescent="0.3">
      <c r="A22" s="2">
        <v>202504</v>
      </c>
      <c r="B22" s="1">
        <v>45748</v>
      </c>
      <c r="C22" s="6">
        <v>6.3768115942028984</v>
      </c>
      <c r="D22" s="4"/>
      <c r="E22" s="2">
        <v>138</v>
      </c>
    </row>
    <row r="23" spans="1:5" x14ac:dyDescent="0.3">
      <c r="A23" s="2">
        <v>202505</v>
      </c>
      <c r="B23" s="1">
        <v>45778</v>
      </c>
      <c r="C23" s="6">
        <v>6.9830508474576272</v>
      </c>
      <c r="D23" s="4"/>
      <c r="E23" s="2">
        <v>118</v>
      </c>
    </row>
    <row r="24" spans="1:5" x14ac:dyDescent="0.3">
      <c r="A24" s="2">
        <v>202506</v>
      </c>
      <c r="B24" s="1">
        <v>45809</v>
      </c>
      <c r="C24" s="6">
        <v>6.7478991596638656</v>
      </c>
      <c r="D24" s="4"/>
      <c r="E24" s="2">
        <v>119</v>
      </c>
    </row>
    <row r="25" spans="1:5" x14ac:dyDescent="0.3">
      <c r="A25" s="2">
        <v>202507</v>
      </c>
      <c r="B25" s="1">
        <v>45839</v>
      </c>
      <c r="C25" s="6">
        <v>6.8139534883720927</v>
      </c>
      <c r="D25" s="4"/>
      <c r="E25" s="2">
        <v>129</v>
      </c>
    </row>
    <row r="26" spans="1:5" x14ac:dyDescent="0.3">
      <c r="A26" s="2">
        <v>202508</v>
      </c>
      <c r="B26" s="1">
        <v>45870</v>
      </c>
      <c r="C26" s="6">
        <v>6.2352941176470589</v>
      </c>
      <c r="D26" s="4"/>
      <c r="E26" s="2">
        <v>102</v>
      </c>
    </row>
    <row r="27" spans="1:5" x14ac:dyDescent="0.3">
      <c r="A27" s="2">
        <v>202509</v>
      </c>
      <c r="B27" s="1">
        <v>45901</v>
      </c>
      <c r="C27" s="6">
        <v>6.8532110091743119</v>
      </c>
      <c r="D27" s="4"/>
      <c r="E27" s="2">
        <v>109</v>
      </c>
    </row>
    <row r="28" spans="1:5" x14ac:dyDescent="0.3">
      <c r="A28" s="2">
        <v>202510</v>
      </c>
      <c r="B28" s="1">
        <v>45931</v>
      </c>
      <c r="C28" s="6">
        <v>6.5299145299145298</v>
      </c>
      <c r="D28" s="4"/>
      <c r="E28" s="2">
        <v>117</v>
      </c>
    </row>
    <row r="29" spans="1:5" x14ac:dyDescent="0.3">
      <c r="A29" s="2">
        <v>202511</v>
      </c>
      <c r="B29" s="1">
        <v>45962</v>
      </c>
      <c r="C29" s="6">
        <v>6.9345794392523361</v>
      </c>
      <c r="D29" s="4"/>
      <c r="E29" s="2">
        <v>107</v>
      </c>
    </row>
    <row r="30" spans="1:5" x14ac:dyDescent="0.3">
      <c r="A30" s="2">
        <v>202512</v>
      </c>
      <c r="B30" s="1">
        <v>45992</v>
      </c>
      <c r="C30" s="6">
        <v>7.1111111111111107</v>
      </c>
      <c r="D30" s="4">
        <v>16010.101010101011</v>
      </c>
      <c r="E30" s="2">
        <v>99</v>
      </c>
    </row>
    <row r="31" spans="1:5" x14ac:dyDescent="0.3">
      <c r="A31" s="2">
        <v>202601</v>
      </c>
      <c r="B31" s="1">
        <v>46023</v>
      </c>
      <c r="C31" s="6">
        <v>7.02</v>
      </c>
      <c r="D31" s="4">
        <v>22000</v>
      </c>
      <c r="E31" s="2">
        <v>100</v>
      </c>
    </row>
    <row r="32" spans="1:5" x14ac:dyDescent="0.3">
      <c r="A32" s="2">
        <v>202602</v>
      </c>
      <c r="B32" s="1">
        <v>46054</v>
      </c>
      <c r="C32" s="6">
        <v>7.1495327102803738</v>
      </c>
      <c r="D32" s="4">
        <v>103130.84112149532</v>
      </c>
      <c r="E32" s="2">
        <v>107</v>
      </c>
    </row>
    <row r="33" spans="1:5" x14ac:dyDescent="0.3">
      <c r="A33" s="2">
        <v>202603</v>
      </c>
      <c r="B33" s="1">
        <v>46082</v>
      </c>
      <c r="C33" s="6">
        <v>6.759615384615385</v>
      </c>
      <c r="D33" s="4">
        <v>112788.46153846153</v>
      </c>
      <c r="E33" s="2">
        <v>208</v>
      </c>
    </row>
    <row r="34" spans="1:5" x14ac:dyDescent="0.3">
      <c r="A34" s="2">
        <v>202604</v>
      </c>
      <c r="B34" s="1">
        <v>46113</v>
      </c>
      <c r="C34" s="6">
        <v>7.3934426229508201</v>
      </c>
      <c r="D34" s="4">
        <v>196762.29508196723</v>
      </c>
      <c r="E34" s="2">
        <v>122</v>
      </c>
    </row>
    <row r="35" spans="1:5" x14ac:dyDescent="0.3">
      <c r="A35" s="2">
        <v>202605</v>
      </c>
      <c r="B35" s="1">
        <v>46143</v>
      </c>
      <c r="C35" s="6">
        <v>6.9622641509433958</v>
      </c>
      <c r="D35" s="4">
        <v>190613.20754716979</v>
      </c>
      <c r="E35" s="2">
        <v>106</v>
      </c>
    </row>
    <row r="36" spans="1:5" x14ac:dyDescent="0.3">
      <c r="A36" s="2">
        <v>202606</v>
      </c>
      <c r="B36" s="1">
        <v>46174</v>
      </c>
      <c r="C36" s="6">
        <v>6.4036697247706424</v>
      </c>
      <c r="D36" s="4">
        <v>182247.70642201838</v>
      </c>
      <c r="E36" s="2">
        <v>109</v>
      </c>
    </row>
    <row r="37" spans="1:5" x14ac:dyDescent="0.3">
      <c r="A37" s="2">
        <v>202607</v>
      </c>
      <c r="B37" s="1">
        <v>46204</v>
      </c>
      <c r="C37" s="6">
        <v>6.5981308411214954</v>
      </c>
      <c r="D37" s="4">
        <v>183925.23364485981</v>
      </c>
      <c r="E37" s="2">
        <v>107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F1F6-424F-423C-9F3D-158708E3C4EC}">
  <dimension ref="A1:G16"/>
  <sheetViews>
    <sheetView workbookViewId="0"/>
  </sheetViews>
  <sheetFormatPr defaultRowHeight="14.4" x14ac:dyDescent="0.3"/>
  <cols>
    <col min="1" max="1" width="8.77734375" bestFit="1" customWidth="1"/>
    <col min="2" max="2" width="33.33203125" bestFit="1" customWidth="1"/>
    <col min="3" max="3" width="32.88671875" bestFit="1" customWidth="1"/>
    <col min="4" max="4" width="15.777343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162</v>
      </c>
      <c r="C2" t="s">
        <v>163</v>
      </c>
      <c r="D2" t="s">
        <v>164</v>
      </c>
      <c r="E2" s="3">
        <v>0.63551401869158874</v>
      </c>
      <c r="F2" s="3">
        <v>0.55963302752293576</v>
      </c>
      <c r="G2" s="3">
        <v>7.5880991168652989E-2</v>
      </c>
    </row>
    <row r="3" spans="1:7" x14ac:dyDescent="0.3">
      <c r="A3" s="2">
        <v>2</v>
      </c>
      <c r="B3" t="s">
        <v>165</v>
      </c>
      <c r="C3" t="s">
        <v>166</v>
      </c>
      <c r="D3" t="s">
        <v>167</v>
      </c>
      <c r="E3" s="3">
        <v>0.61682242990654201</v>
      </c>
      <c r="F3" s="3">
        <v>0.62385321100917435</v>
      </c>
      <c r="G3" s="3">
        <v>-7.030781102632333E-3</v>
      </c>
    </row>
    <row r="4" spans="1:7" x14ac:dyDescent="0.3">
      <c r="A4" s="2">
        <v>3</v>
      </c>
      <c r="B4" t="s">
        <v>168</v>
      </c>
      <c r="C4" t="s">
        <v>169</v>
      </c>
      <c r="D4" t="s">
        <v>170</v>
      </c>
      <c r="E4" s="3">
        <v>0.38317757009345793</v>
      </c>
      <c r="F4" s="3">
        <v>0.49541284403669728</v>
      </c>
      <c r="G4" s="3">
        <v>-0.11223527394323934</v>
      </c>
    </row>
    <row r="5" spans="1:7" x14ac:dyDescent="0.3">
      <c r="A5" s="2">
        <v>4</v>
      </c>
      <c r="B5" t="s">
        <v>171</v>
      </c>
      <c r="C5" t="s">
        <v>172</v>
      </c>
      <c r="D5" t="s">
        <v>173</v>
      </c>
      <c r="E5" s="3">
        <v>0.27102803738317754</v>
      </c>
      <c r="F5" s="3">
        <v>0.37614678899082571</v>
      </c>
      <c r="G5" s="3">
        <v>-0.10511875160764816</v>
      </c>
    </row>
    <row r="6" spans="1:7" x14ac:dyDescent="0.3">
      <c r="A6" s="2">
        <v>5</v>
      </c>
      <c r="B6" t="s">
        <v>174</v>
      </c>
      <c r="C6" t="s">
        <v>175</v>
      </c>
      <c r="D6" t="s">
        <v>176</v>
      </c>
      <c r="E6" s="3">
        <v>0.20560747663551401</v>
      </c>
      <c r="F6" s="3">
        <v>0.26605504587155965</v>
      </c>
      <c r="G6" s="3">
        <v>-6.0447569236045634E-2</v>
      </c>
    </row>
    <row r="7" spans="1:7" x14ac:dyDescent="0.3">
      <c r="A7" s="2">
        <v>6</v>
      </c>
      <c r="B7" t="s">
        <v>177</v>
      </c>
      <c r="C7" t="s">
        <v>178</v>
      </c>
      <c r="D7" t="s">
        <v>179</v>
      </c>
      <c r="E7" s="3">
        <v>0.14953271028037382</v>
      </c>
      <c r="F7" s="3">
        <v>0.10091743119266056</v>
      </c>
      <c r="G7" s="3">
        <v>4.8615279087713265E-2</v>
      </c>
    </row>
    <row r="8" spans="1:7" x14ac:dyDescent="0.3">
      <c r="A8" s="2">
        <v>7</v>
      </c>
      <c r="B8" t="s">
        <v>180</v>
      </c>
      <c r="C8" t="s">
        <v>181</v>
      </c>
      <c r="D8" t="s">
        <v>182</v>
      </c>
      <c r="E8" s="3">
        <v>0.14018691588785046</v>
      </c>
      <c r="F8" s="3">
        <v>0.1834862385321101</v>
      </c>
      <c r="G8" s="3">
        <v>-4.3299322644259647E-2</v>
      </c>
    </row>
    <row r="9" spans="1:7" x14ac:dyDescent="0.3">
      <c r="A9" s="2">
        <v>8</v>
      </c>
      <c r="B9" t="s">
        <v>183</v>
      </c>
      <c r="C9" t="s">
        <v>184</v>
      </c>
      <c r="D9" t="s">
        <v>185</v>
      </c>
      <c r="E9" s="3">
        <v>0.12149532710280374</v>
      </c>
      <c r="F9" s="3">
        <v>8.2568807339449546E-2</v>
      </c>
      <c r="G9" s="3">
        <v>3.8926519763354192E-2</v>
      </c>
    </row>
    <row r="10" spans="1:7" x14ac:dyDescent="0.3">
      <c r="A10" s="2">
        <v>9</v>
      </c>
      <c r="B10" t="s">
        <v>186</v>
      </c>
      <c r="C10" t="s">
        <v>187</v>
      </c>
      <c r="D10" t="s">
        <v>188</v>
      </c>
      <c r="E10" s="3">
        <v>9.3457943925233641E-2</v>
      </c>
      <c r="F10" s="3">
        <v>0.10091743119266056</v>
      </c>
      <c r="G10" s="3">
        <v>-7.4594872674269147E-3</v>
      </c>
    </row>
    <row r="11" spans="1:7" x14ac:dyDescent="0.3">
      <c r="A11" s="2">
        <v>10</v>
      </c>
      <c r="B11" t="s">
        <v>189</v>
      </c>
      <c r="C11" t="s">
        <v>190</v>
      </c>
      <c r="D11" t="s">
        <v>191</v>
      </c>
      <c r="E11" s="3">
        <v>5.6074766355140186E-2</v>
      </c>
      <c r="F11" s="3">
        <v>4.5871559633027525E-2</v>
      </c>
      <c r="G11" s="3">
        <v>1.0203206722112661E-2</v>
      </c>
    </row>
    <row r="12" spans="1:7" x14ac:dyDescent="0.3">
      <c r="A12" s="2">
        <v>11</v>
      </c>
      <c r="B12" t="s">
        <v>192</v>
      </c>
      <c r="C12" t="s">
        <v>193</v>
      </c>
      <c r="D12" t="s">
        <v>194</v>
      </c>
      <c r="E12" s="3">
        <v>4.6728971962616821E-2</v>
      </c>
      <c r="F12" s="3">
        <v>9.1743119266055051E-3</v>
      </c>
      <c r="G12" s="3">
        <v>3.7554660036011316E-2</v>
      </c>
    </row>
    <row r="13" spans="1:7" x14ac:dyDescent="0.3">
      <c r="A13" s="2">
        <v>12</v>
      </c>
      <c r="B13" t="s">
        <v>195</v>
      </c>
      <c r="C13" t="s">
        <v>196</v>
      </c>
      <c r="D13" t="s">
        <v>197</v>
      </c>
      <c r="E13" s="3">
        <v>3.7383177570093455E-2</v>
      </c>
      <c r="F13" s="3">
        <v>0.11009174311926606</v>
      </c>
      <c r="G13" s="3">
        <v>-7.2708565549172599E-2</v>
      </c>
    </row>
    <row r="14" spans="1:7" x14ac:dyDescent="0.3">
      <c r="A14" s="2">
        <v>13</v>
      </c>
      <c r="B14" t="s">
        <v>198</v>
      </c>
      <c r="C14" t="s">
        <v>199</v>
      </c>
      <c r="D14" t="s">
        <v>200</v>
      </c>
      <c r="E14" s="3">
        <v>2.8037383177570093E-2</v>
      </c>
      <c r="F14" s="3">
        <v>5.5045871559633031E-2</v>
      </c>
      <c r="G14" s="3">
        <v>-2.7008488382062937E-2</v>
      </c>
    </row>
    <row r="15" spans="1:7" x14ac:dyDescent="0.3">
      <c r="A15" s="2">
        <v>14</v>
      </c>
      <c r="B15" t="s">
        <v>201</v>
      </c>
      <c r="C15" t="s">
        <v>202</v>
      </c>
      <c r="D15" t="s">
        <v>203</v>
      </c>
      <c r="E15" s="3">
        <v>1.8691588785046728E-2</v>
      </c>
      <c r="F15" s="3">
        <v>3.669724770642202E-2</v>
      </c>
      <c r="G15" s="3">
        <v>-1.8005658921375293E-2</v>
      </c>
    </row>
    <row r="16" spans="1:7" x14ac:dyDescent="0.3">
      <c r="A16" s="2">
        <v>15</v>
      </c>
      <c r="B16" t="s">
        <v>204</v>
      </c>
      <c r="C16" t="s">
        <v>205</v>
      </c>
      <c r="D16" t="s">
        <v>206</v>
      </c>
      <c r="E16" s="3">
        <v>9.3457943925233638E-3</v>
      </c>
      <c r="F16" s="3">
        <v>1.834862385321101E-2</v>
      </c>
      <c r="G16" s="3">
        <v>-9.0028294606876464E-3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A7BE-A724-4B10-81CE-C2DB3C9C59C2}">
  <dimension ref="A1:G12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1.109375" bestFit="1" customWidth="1"/>
    <col min="4" max="4" width="11.4414062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151</v>
      </c>
      <c r="C2" t="s">
        <v>151</v>
      </c>
      <c r="E2" s="3">
        <v>0</v>
      </c>
      <c r="F2" s="3">
        <v>9.1743119266055051E-3</v>
      </c>
      <c r="G2" s="3">
        <v>-9.1743119266055051E-3</v>
      </c>
    </row>
    <row r="3" spans="1:7" x14ac:dyDescent="0.3">
      <c r="A3" s="2">
        <v>2</v>
      </c>
      <c r="B3" t="s">
        <v>152</v>
      </c>
      <c r="C3" t="s">
        <v>152</v>
      </c>
      <c r="E3" s="3">
        <v>0</v>
      </c>
      <c r="F3" s="3">
        <v>0</v>
      </c>
      <c r="G3" s="3">
        <v>0</v>
      </c>
    </row>
    <row r="4" spans="1:7" x14ac:dyDescent="0.3">
      <c r="A4" s="2">
        <v>3</v>
      </c>
      <c r="B4" t="s">
        <v>153</v>
      </c>
      <c r="C4" t="s">
        <v>153</v>
      </c>
      <c r="E4" s="3">
        <v>9.3457943925233638E-3</v>
      </c>
      <c r="F4" s="3">
        <v>4.5871559633027525E-2</v>
      </c>
      <c r="G4" s="3">
        <v>-3.652576524050416E-2</v>
      </c>
    </row>
    <row r="5" spans="1:7" x14ac:dyDescent="0.3">
      <c r="A5" s="2">
        <v>4</v>
      </c>
      <c r="B5" t="s">
        <v>154</v>
      </c>
      <c r="C5" t="s">
        <v>154</v>
      </c>
      <c r="E5" s="3">
        <v>2.8037383177570093E-2</v>
      </c>
      <c r="F5" s="3">
        <v>3.669724770642202E-2</v>
      </c>
      <c r="G5" s="3">
        <v>-8.6598645288519273E-3</v>
      </c>
    </row>
    <row r="6" spans="1:7" x14ac:dyDescent="0.3">
      <c r="A6" s="2">
        <v>5</v>
      </c>
      <c r="B6" t="s">
        <v>155</v>
      </c>
      <c r="C6" t="s">
        <v>155</v>
      </c>
      <c r="E6" s="3">
        <v>4.6728971962616821E-2</v>
      </c>
      <c r="F6" s="3">
        <v>5.5045871559633031E-2</v>
      </c>
      <c r="G6" s="3">
        <v>-8.3168995970162099E-3</v>
      </c>
    </row>
    <row r="7" spans="1:7" x14ac:dyDescent="0.3">
      <c r="A7" s="2">
        <v>6</v>
      </c>
      <c r="B7" t="s">
        <v>156</v>
      </c>
      <c r="C7" t="s">
        <v>156</v>
      </c>
      <c r="E7" s="3">
        <v>0.15887850467289721</v>
      </c>
      <c r="F7" s="3">
        <v>0.16513761467889909</v>
      </c>
      <c r="G7" s="3">
        <v>-6.2591100060019056E-3</v>
      </c>
    </row>
    <row r="8" spans="1:7" x14ac:dyDescent="0.3">
      <c r="A8" s="2">
        <v>7</v>
      </c>
      <c r="B8" t="s">
        <v>157</v>
      </c>
      <c r="C8" t="s">
        <v>157</v>
      </c>
      <c r="E8" s="3">
        <v>0.16822429906542055</v>
      </c>
      <c r="F8" s="3">
        <v>0.11926605504587157</v>
      </c>
      <c r="G8" s="3">
        <v>4.8958244019548985E-2</v>
      </c>
    </row>
    <row r="9" spans="1:7" x14ac:dyDescent="0.3">
      <c r="A9" s="2">
        <v>8</v>
      </c>
      <c r="B9" t="s">
        <v>158</v>
      </c>
      <c r="C9" t="s">
        <v>158</v>
      </c>
      <c r="E9" s="3">
        <v>0.30841121495327101</v>
      </c>
      <c r="F9" s="3">
        <v>0.24770642201834864</v>
      </c>
      <c r="G9" s="3">
        <v>6.0704792934922369E-2</v>
      </c>
    </row>
    <row r="10" spans="1:7" x14ac:dyDescent="0.3">
      <c r="A10" s="2">
        <v>9</v>
      </c>
      <c r="B10" t="s">
        <v>159</v>
      </c>
      <c r="C10" t="s">
        <v>159</v>
      </c>
      <c r="E10" s="3">
        <v>0.20560747663551401</v>
      </c>
      <c r="F10" s="3">
        <v>0.23853211009174313</v>
      </c>
      <c r="G10" s="3">
        <v>-3.2924633456229119E-2</v>
      </c>
    </row>
    <row r="11" spans="1:7" x14ac:dyDescent="0.3">
      <c r="A11" s="2">
        <v>10</v>
      </c>
      <c r="B11" t="s">
        <v>160</v>
      </c>
      <c r="C11" t="s">
        <v>160</v>
      </c>
      <c r="E11" s="3">
        <v>4.6728971962616821E-2</v>
      </c>
      <c r="F11" s="3">
        <v>2.7522935779816515E-2</v>
      </c>
      <c r="G11" s="3">
        <v>1.9206036182800305E-2</v>
      </c>
    </row>
    <row r="12" spans="1:7" x14ac:dyDescent="0.3">
      <c r="A12" s="2">
        <v>11</v>
      </c>
      <c r="B12" t="s">
        <v>161</v>
      </c>
      <c r="C12" t="s">
        <v>161</v>
      </c>
      <c r="E12" s="3">
        <v>2.8037383177570093E-2</v>
      </c>
      <c r="F12" s="3">
        <v>5.5045871559633031E-2</v>
      </c>
      <c r="G12" s="3">
        <v>-2.7008488382062937E-2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423E-43CA-48D4-A543-D14C1AA11C06}">
  <dimension ref="A1:G10"/>
  <sheetViews>
    <sheetView workbookViewId="0"/>
  </sheetViews>
  <sheetFormatPr defaultRowHeight="14.4" x14ac:dyDescent="0.3"/>
  <cols>
    <col min="1" max="1" width="8.77734375" bestFit="1" customWidth="1"/>
    <col min="2" max="2" width="40.88671875" bestFit="1" customWidth="1"/>
    <col min="3" max="3" width="38.33203125" bestFit="1" customWidth="1"/>
    <col min="4" max="4" width="29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129</v>
      </c>
      <c r="C2" t="s">
        <v>130</v>
      </c>
      <c r="D2" t="s">
        <v>222</v>
      </c>
      <c r="E2" s="3">
        <v>0.7289719626168224</v>
      </c>
      <c r="F2" s="3">
        <v>0.69724770642201839</v>
      </c>
      <c r="G2" s="3">
        <v>3.1724256194804012E-2</v>
      </c>
    </row>
    <row r="3" spans="1:7" x14ac:dyDescent="0.3">
      <c r="A3" s="2">
        <v>2</v>
      </c>
      <c r="B3" t="s">
        <v>131</v>
      </c>
      <c r="C3" t="s">
        <v>132</v>
      </c>
      <c r="D3" t="s">
        <v>133</v>
      </c>
      <c r="E3" s="3">
        <v>0.62616822429906538</v>
      </c>
      <c r="F3" s="3">
        <v>0.62385321100917435</v>
      </c>
      <c r="G3" s="3">
        <v>2.3150132898910325E-3</v>
      </c>
    </row>
    <row r="4" spans="1:7" x14ac:dyDescent="0.3">
      <c r="A4" s="2">
        <v>3</v>
      </c>
      <c r="B4" t="s">
        <v>134</v>
      </c>
      <c r="C4" t="s">
        <v>135</v>
      </c>
      <c r="D4" t="s">
        <v>223</v>
      </c>
      <c r="E4" s="3">
        <v>0.42056074766355139</v>
      </c>
      <c r="F4" s="3">
        <v>0.44954128440366975</v>
      </c>
      <c r="G4" s="3">
        <v>-2.8980536740118357E-2</v>
      </c>
    </row>
    <row r="5" spans="1:7" x14ac:dyDescent="0.3">
      <c r="A5" s="2">
        <v>4</v>
      </c>
      <c r="B5" t="s">
        <v>136</v>
      </c>
      <c r="C5" t="s">
        <v>137</v>
      </c>
      <c r="D5" t="s">
        <v>224</v>
      </c>
      <c r="E5" s="3">
        <v>0.3925233644859813</v>
      </c>
      <c r="F5" s="3">
        <v>0.43119266055045874</v>
      </c>
      <c r="G5" s="3">
        <v>-3.8669296064477443E-2</v>
      </c>
    </row>
    <row r="6" spans="1:7" x14ac:dyDescent="0.3">
      <c r="A6" s="2">
        <v>5</v>
      </c>
      <c r="B6" t="s">
        <v>138</v>
      </c>
      <c r="C6" t="s">
        <v>139</v>
      </c>
      <c r="D6" t="s">
        <v>140</v>
      </c>
      <c r="E6" s="3">
        <v>0.30841121495327101</v>
      </c>
      <c r="F6" s="3">
        <v>0.3669724770642202</v>
      </c>
      <c r="G6" s="3">
        <v>-5.8561262110949197E-2</v>
      </c>
    </row>
    <row r="7" spans="1:7" x14ac:dyDescent="0.3">
      <c r="A7" s="2">
        <v>6</v>
      </c>
      <c r="B7" t="s">
        <v>141</v>
      </c>
      <c r="C7" t="s">
        <v>142</v>
      </c>
      <c r="D7" t="s">
        <v>225</v>
      </c>
      <c r="E7" s="3">
        <v>0.27102803738317754</v>
      </c>
      <c r="F7" s="3">
        <v>0.29357798165137616</v>
      </c>
      <c r="G7" s="3">
        <v>-2.2549944268198618E-2</v>
      </c>
    </row>
    <row r="8" spans="1:7" x14ac:dyDescent="0.3">
      <c r="A8" s="2">
        <v>7</v>
      </c>
      <c r="B8" t="s">
        <v>143</v>
      </c>
      <c r="C8" t="s">
        <v>144</v>
      </c>
      <c r="D8" t="s">
        <v>145</v>
      </c>
      <c r="E8" s="3">
        <v>0.15887850467289721</v>
      </c>
      <c r="F8" s="3">
        <v>0.13761467889908258</v>
      </c>
      <c r="G8" s="3">
        <v>2.126382577381461E-2</v>
      </c>
    </row>
    <row r="9" spans="1:7" x14ac:dyDescent="0.3">
      <c r="A9" s="2">
        <v>8</v>
      </c>
      <c r="B9" t="s">
        <v>146</v>
      </c>
      <c r="C9" t="s">
        <v>147</v>
      </c>
      <c r="D9" t="s">
        <v>148</v>
      </c>
      <c r="E9" s="3">
        <v>0.15887850467289721</v>
      </c>
      <c r="F9" s="3">
        <v>9.1743119266055051E-2</v>
      </c>
      <c r="G9" s="3">
        <v>6.7135385406842135E-2</v>
      </c>
    </row>
    <row r="10" spans="1:7" x14ac:dyDescent="0.3">
      <c r="A10" s="2">
        <v>9</v>
      </c>
      <c r="B10" t="s">
        <v>149</v>
      </c>
      <c r="C10" t="s">
        <v>150</v>
      </c>
      <c r="D10" t="s">
        <v>226</v>
      </c>
      <c r="E10" s="3">
        <v>7.476635514018691E-2</v>
      </c>
      <c r="F10" s="3">
        <v>8.2568807339449546E-2</v>
      </c>
      <c r="G10" s="3">
        <v>-7.8024521992626356E-3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3102-4937-4C98-89FC-91048E6097B6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1.77734375" bestFit="1" customWidth="1"/>
    <col min="4" max="4" width="11.4414062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114</v>
      </c>
      <c r="C2" t="s">
        <v>115</v>
      </c>
      <c r="D2" t="s">
        <v>116</v>
      </c>
      <c r="E2" s="3">
        <v>2.8037383177570093E-2</v>
      </c>
      <c r="F2" s="3">
        <v>1.834862385321101E-2</v>
      </c>
      <c r="G2" s="3">
        <v>9.6887593243590829E-3</v>
      </c>
    </row>
    <row r="3" spans="1:7" x14ac:dyDescent="0.3">
      <c r="A3" s="2">
        <v>2</v>
      </c>
      <c r="B3" t="s">
        <v>117</v>
      </c>
      <c r="C3" t="s">
        <v>118</v>
      </c>
      <c r="D3" t="s">
        <v>119</v>
      </c>
      <c r="E3" s="3">
        <v>0.13084112149532709</v>
      </c>
      <c r="F3" s="3">
        <v>0.14678899082568808</v>
      </c>
      <c r="G3" s="3">
        <v>-1.5947869330360992E-2</v>
      </c>
    </row>
    <row r="4" spans="1:7" x14ac:dyDescent="0.3">
      <c r="A4" s="2">
        <v>3</v>
      </c>
      <c r="B4" t="s">
        <v>120</v>
      </c>
      <c r="C4" t="s">
        <v>121</v>
      </c>
      <c r="D4" t="s">
        <v>122</v>
      </c>
      <c r="E4" s="3">
        <v>0</v>
      </c>
      <c r="F4" s="3">
        <v>0</v>
      </c>
      <c r="G4" s="3">
        <v>0</v>
      </c>
    </row>
    <row r="5" spans="1:7" x14ac:dyDescent="0.3">
      <c r="A5" s="2">
        <v>4</v>
      </c>
      <c r="B5" t="s">
        <v>123</v>
      </c>
      <c r="C5" t="s">
        <v>124</v>
      </c>
      <c r="D5" t="s">
        <v>125</v>
      </c>
      <c r="E5" s="3">
        <v>0.57009345794392519</v>
      </c>
      <c r="F5" s="3">
        <v>0.69724770642201839</v>
      </c>
      <c r="G5" s="3">
        <v>-0.1271542484780932</v>
      </c>
    </row>
    <row r="6" spans="1:7" x14ac:dyDescent="0.3">
      <c r="A6" s="2">
        <v>5</v>
      </c>
      <c r="B6" t="s">
        <v>126</v>
      </c>
      <c r="C6" t="s">
        <v>127</v>
      </c>
      <c r="D6" t="s">
        <v>128</v>
      </c>
      <c r="E6" s="3">
        <v>0.14018691588785046</v>
      </c>
      <c r="F6" s="3">
        <v>0.13761467889908258</v>
      </c>
      <c r="G6" s="3">
        <v>2.5722369887678787E-3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22BB-001F-41C1-A1C3-BEC55D562375}">
  <dimension ref="A1:G4"/>
  <sheetViews>
    <sheetView workbookViewId="0"/>
  </sheetViews>
  <sheetFormatPr defaultRowHeight="14.4" x14ac:dyDescent="0.3"/>
  <cols>
    <col min="1" max="1" width="8.77734375" bestFit="1" customWidth="1"/>
    <col min="2" max="2" width="50.5546875" bestFit="1" customWidth="1"/>
    <col min="3" max="3" width="51.44140625" bestFit="1" customWidth="1"/>
    <col min="4" max="4" width="22.1093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108</v>
      </c>
      <c r="C2" t="s">
        <v>2</v>
      </c>
      <c r="D2" t="s">
        <v>109</v>
      </c>
      <c r="E2" s="3">
        <v>0.64485981308411211</v>
      </c>
      <c r="F2" s="3">
        <v>0.68807339449541283</v>
      </c>
      <c r="G2" s="3">
        <v>-4.3213581411300717E-2</v>
      </c>
    </row>
    <row r="3" spans="1:7" x14ac:dyDescent="0.3">
      <c r="A3" s="2">
        <v>2</v>
      </c>
      <c r="B3" t="s">
        <v>110</v>
      </c>
      <c r="C3" t="s">
        <v>3</v>
      </c>
      <c r="D3" t="s">
        <v>111</v>
      </c>
      <c r="E3" s="3">
        <v>0.14018691588785046</v>
      </c>
      <c r="F3" s="3">
        <v>0.11009174311926606</v>
      </c>
      <c r="G3" s="3">
        <v>3.0095172768584394E-2</v>
      </c>
    </row>
    <row r="4" spans="1:7" x14ac:dyDescent="0.3">
      <c r="A4" s="2">
        <v>3</v>
      </c>
      <c r="B4" t="s">
        <v>112</v>
      </c>
      <c r="C4" t="s">
        <v>4</v>
      </c>
      <c r="D4" t="s">
        <v>113</v>
      </c>
      <c r="E4" s="3">
        <v>0.21495327102803738</v>
      </c>
      <c r="F4" s="3">
        <v>0.20183486238532111</v>
      </c>
      <c r="G4" s="3">
        <v>1.3118408642716267E-2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C3DD-CD60-4BA7-9846-1E27469A4935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33203125" bestFit="1" customWidth="1"/>
    <col min="4" max="4" width="11.4414062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93</v>
      </c>
      <c r="C2" t="s">
        <v>94</v>
      </c>
      <c r="D2" t="s">
        <v>95</v>
      </c>
      <c r="E2" s="3">
        <v>0.56074766355140182</v>
      </c>
      <c r="F2" s="3">
        <v>0.59633027522935778</v>
      </c>
      <c r="G2" s="3">
        <v>-3.5582611677955955E-2</v>
      </c>
    </row>
    <row r="3" spans="1:7" x14ac:dyDescent="0.3">
      <c r="A3" s="2">
        <v>2</v>
      </c>
      <c r="B3" t="s">
        <v>96</v>
      </c>
      <c r="C3" t="s">
        <v>97</v>
      </c>
      <c r="D3" t="s">
        <v>98</v>
      </c>
      <c r="E3" s="3">
        <v>0.21495327102803738</v>
      </c>
      <c r="F3" s="3">
        <v>0.1834862385321101</v>
      </c>
      <c r="G3" s="3">
        <v>3.1467032495927277E-2</v>
      </c>
    </row>
    <row r="4" spans="1:7" x14ac:dyDescent="0.3">
      <c r="A4" s="2">
        <v>3</v>
      </c>
      <c r="B4" t="s">
        <v>99</v>
      </c>
      <c r="C4" t="s">
        <v>100</v>
      </c>
      <c r="D4" t="s">
        <v>101</v>
      </c>
      <c r="E4" s="3">
        <v>0.14018691588785046</v>
      </c>
      <c r="F4" s="3">
        <v>0.15596330275229359</v>
      </c>
      <c r="G4" s="3">
        <v>-1.5776386864443132E-2</v>
      </c>
    </row>
    <row r="5" spans="1:7" x14ac:dyDescent="0.3">
      <c r="A5" s="2">
        <v>4</v>
      </c>
      <c r="B5" t="s">
        <v>102</v>
      </c>
      <c r="C5" t="s">
        <v>103</v>
      </c>
      <c r="D5" t="s">
        <v>104</v>
      </c>
      <c r="E5" s="3">
        <v>4.6728971962616821E-2</v>
      </c>
      <c r="F5" s="3">
        <v>5.5045871559633031E-2</v>
      </c>
      <c r="G5" s="3">
        <v>-8.3168995970162099E-3</v>
      </c>
    </row>
    <row r="6" spans="1:7" x14ac:dyDescent="0.3">
      <c r="A6" s="2">
        <v>5</v>
      </c>
      <c r="B6" t="s">
        <v>105</v>
      </c>
      <c r="C6" t="s">
        <v>106</v>
      </c>
      <c r="D6" t="s">
        <v>107</v>
      </c>
      <c r="E6" s="3">
        <v>3.7383177570093455E-2</v>
      </c>
      <c r="F6" s="3">
        <v>9.1743119266055051E-3</v>
      </c>
      <c r="G6" s="3">
        <v>2.820886564348795E-2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E009-A42F-44E0-882C-1C19B6C1D952}">
  <dimension ref="A1:G7"/>
  <sheetViews>
    <sheetView workbookViewId="0"/>
  </sheetViews>
  <sheetFormatPr defaultRowHeight="14.4" x14ac:dyDescent="0.3"/>
  <cols>
    <col min="1" max="1" width="8.77734375" bestFit="1" customWidth="1"/>
    <col min="2" max="2" width="48.21875" bestFit="1" customWidth="1"/>
    <col min="3" max="3" width="48" bestFit="1" customWidth="1"/>
    <col min="4" max="4" width="16.777343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81</v>
      </c>
      <c r="C2" t="s">
        <v>82</v>
      </c>
      <c r="D2" t="s">
        <v>82</v>
      </c>
      <c r="E2" s="3">
        <v>0.67289719626168221</v>
      </c>
      <c r="F2" s="3">
        <v>0.69724770642201839</v>
      </c>
      <c r="G2" s="3">
        <v>-2.4350510160336181E-2</v>
      </c>
    </row>
    <row r="3" spans="1:7" x14ac:dyDescent="0.3">
      <c r="A3" s="2">
        <v>2</v>
      </c>
      <c r="B3" t="s">
        <v>83</v>
      </c>
      <c r="C3" t="s">
        <v>84</v>
      </c>
      <c r="D3" t="s">
        <v>227</v>
      </c>
      <c r="E3" s="3">
        <v>0.46728971962616822</v>
      </c>
      <c r="F3" s="3">
        <v>0.50458715596330272</v>
      </c>
      <c r="G3" s="3">
        <v>-3.7297436337134504E-2</v>
      </c>
    </row>
    <row r="4" spans="1:7" x14ac:dyDescent="0.3">
      <c r="A4" s="2">
        <v>3</v>
      </c>
      <c r="B4" t="s">
        <v>85</v>
      </c>
      <c r="C4" t="s">
        <v>86</v>
      </c>
      <c r="D4" t="s">
        <v>228</v>
      </c>
      <c r="E4" s="3">
        <v>0.35514018691588783</v>
      </c>
      <c r="F4" s="3">
        <v>0.42201834862385323</v>
      </c>
      <c r="G4" s="3">
        <v>-6.68781617079654E-2</v>
      </c>
    </row>
    <row r="5" spans="1:7" x14ac:dyDescent="0.3">
      <c r="A5" s="2">
        <v>4</v>
      </c>
      <c r="B5" t="s">
        <v>87</v>
      </c>
      <c r="C5" t="s">
        <v>88</v>
      </c>
      <c r="D5" t="s">
        <v>88</v>
      </c>
      <c r="E5" s="3">
        <v>0.28037383177570091</v>
      </c>
      <c r="F5" s="3">
        <v>0.22935779816513763</v>
      </c>
      <c r="G5" s="3">
        <v>5.1016033610563283E-2</v>
      </c>
    </row>
    <row r="6" spans="1:7" x14ac:dyDescent="0.3">
      <c r="A6" s="2">
        <v>5</v>
      </c>
      <c r="B6" t="s">
        <v>89</v>
      </c>
      <c r="C6" t="s">
        <v>90</v>
      </c>
      <c r="D6" t="s">
        <v>229</v>
      </c>
      <c r="E6" s="3">
        <v>0.23364485981308411</v>
      </c>
      <c r="F6" s="3">
        <v>0.28440366972477066</v>
      </c>
      <c r="G6" s="3">
        <v>-5.0758809911686548E-2</v>
      </c>
    </row>
    <row r="7" spans="1:7" x14ac:dyDescent="0.3">
      <c r="A7" s="2">
        <v>6</v>
      </c>
      <c r="B7" t="s">
        <v>91</v>
      </c>
      <c r="C7" t="s">
        <v>92</v>
      </c>
      <c r="D7" t="s">
        <v>179</v>
      </c>
      <c r="E7" s="3">
        <v>0</v>
      </c>
      <c r="F7" s="3">
        <v>0</v>
      </c>
      <c r="G7" s="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82C7-9688-4FBA-8E98-0636E651A4EE}">
  <dimension ref="A1:G7"/>
  <sheetViews>
    <sheetView workbookViewId="0"/>
  </sheetViews>
  <sheetFormatPr defaultRowHeight="14.4" x14ac:dyDescent="0.3"/>
  <cols>
    <col min="1" max="1" width="8.77734375" bestFit="1" customWidth="1"/>
    <col min="2" max="2" width="29.33203125" bestFit="1" customWidth="1"/>
    <col min="3" max="3" width="26" bestFit="1" customWidth="1"/>
    <col min="4" max="4" width="18.218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69</v>
      </c>
      <c r="C2" t="s">
        <v>70</v>
      </c>
      <c r="D2" t="s">
        <v>230</v>
      </c>
      <c r="E2" s="3">
        <v>1.8691588785046728E-2</v>
      </c>
      <c r="F2" s="3">
        <v>2.7522935779816515E-2</v>
      </c>
      <c r="G2" s="3">
        <v>-8.8313469947697877E-3</v>
      </c>
    </row>
    <row r="3" spans="1:7" x14ac:dyDescent="0.3">
      <c r="A3" s="2">
        <v>2</v>
      </c>
      <c r="B3" t="s">
        <v>71</v>
      </c>
      <c r="C3" t="s">
        <v>72</v>
      </c>
      <c r="D3" t="s">
        <v>231</v>
      </c>
      <c r="E3" s="3">
        <v>0.15887850467289721</v>
      </c>
      <c r="F3" s="3">
        <v>0.20183486238532111</v>
      </c>
      <c r="G3" s="3">
        <v>-4.2956357712423926E-2</v>
      </c>
    </row>
    <row r="4" spans="1:7" x14ac:dyDescent="0.3">
      <c r="A4" s="2">
        <v>3</v>
      </c>
      <c r="B4" t="s">
        <v>73</v>
      </c>
      <c r="C4" t="s">
        <v>74</v>
      </c>
      <c r="D4" t="s">
        <v>232</v>
      </c>
      <c r="E4" s="3">
        <v>0.42056074766355139</v>
      </c>
      <c r="F4" s="3">
        <v>0.38532110091743121</v>
      </c>
      <c r="G4" s="3">
        <v>3.5239646746120179E-2</v>
      </c>
    </row>
    <row r="5" spans="1:7" x14ac:dyDescent="0.3">
      <c r="A5" s="2">
        <v>4</v>
      </c>
      <c r="B5" t="s">
        <v>75</v>
      </c>
      <c r="C5" t="s">
        <v>76</v>
      </c>
      <c r="D5" t="s">
        <v>233</v>
      </c>
      <c r="E5" s="3">
        <v>0.27102803738317754</v>
      </c>
      <c r="F5" s="3">
        <v>0.27522935779816515</v>
      </c>
      <c r="G5" s="3">
        <v>-4.2013204149876082E-3</v>
      </c>
    </row>
    <row r="6" spans="1:7" x14ac:dyDescent="0.3">
      <c r="A6" s="2">
        <v>5</v>
      </c>
      <c r="B6" t="s">
        <v>77</v>
      </c>
      <c r="C6" t="s">
        <v>78</v>
      </c>
      <c r="D6" t="s">
        <v>234</v>
      </c>
      <c r="E6" s="3">
        <v>6.5420560747663545E-2</v>
      </c>
      <c r="F6" s="3">
        <v>6.4220183486238536E-2</v>
      </c>
      <c r="G6" s="3">
        <v>1.2003772614250091E-3</v>
      </c>
    </row>
    <row r="7" spans="1:7" x14ac:dyDescent="0.3">
      <c r="A7" s="2">
        <v>6</v>
      </c>
      <c r="B7" t="s">
        <v>79</v>
      </c>
      <c r="C7" t="s">
        <v>80</v>
      </c>
      <c r="D7" t="s">
        <v>235</v>
      </c>
      <c r="E7" s="3">
        <v>6.5420560747663545E-2</v>
      </c>
      <c r="F7" s="3">
        <v>4.5871559633027525E-2</v>
      </c>
      <c r="G7" s="3">
        <v>1.9549001114636019E-2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360B-36CD-4B7B-ACD1-5456A101EF69}">
  <dimension ref="A1:G10"/>
  <sheetViews>
    <sheetView workbookViewId="0"/>
  </sheetViews>
  <sheetFormatPr defaultRowHeight="14.4" x14ac:dyDescent="0.3"/>
  <cols>
    <col min="1" max="1" width="8.77734375" bestFit="1" customWidth="1"/>
    <col min="2" max="2" width="45.109375" bestFit="1" customWidth="1"/>
    <col min="3" max="3" width="45.5546875" bestFit="1" customWidth="1"/>
    <col min="4" max="4" width="41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44</v>
      </c>
      <c r="C2" t="s">
        <v>45</v>
      </c>
      <c r="D2" t="s">
        <v>46</v>
      </c>
      <c r="E2" s="3">
        <v>0.57943925233644855</v>
      </c>
      <c r="F2" s="3">
        <v>0.76146788990825687</v>
      </c>
      <c r="G2" s="3">
        <v>-0.18202863757180832</v>
      </c>
    </row>
    <row r="3" spans="1:7" x14ac:dyDescent="0.3">
      <c r="A3" s="2">
        <v>2</v>
      </c>
      <c r="B3" t="s">
        <v>47</v>
      </c>
      <c r="C3" t="s">
        <v>48</v>
      </c>
      <c r="D3" t="s">
        <v>49</v>
      </c>
      <c r="E3" s="3">
        <v>0.35514018691588783</v>
      </c>
      <c r="F3" s="3">
        <v>0.56880733944954132</v>
      </c>
      <c r="G3" s="3">
        <v>-0.21366715253365348</v>
      </c>
    </row>
    <row r="4" spans="1:7" x14ac:dyDescent="0.3">
      <c r="A4" s="2">
        <v>3</v>
      </c>
      <c r="B4" t="s">
        <v>50</v>
      </c>
      <c r="C4" t="s">
        <v>51</v>
      </c>
      <c r="D4" t="s">
        <v>52</v>
      </c>
      <c r="E4" s="3">
        <v>0.25233644859813081</v>
      </c>
      <c r="F4" s="3">
        <v>0.33027522935779818</v>
      </c>
      <c r="G4" s="3">
        <v>-7.793878075966737E-2</v>
      </c>
    </row>
    <row r="5" spans="1:7" x14ac:dyDescent="0.3">
      <c r="A5" s="2">
        <v>4</v>
      </c>
      <c r="B5" t="s">
        <v>53</v>
      </c>
      <c r="C5" t="s">
        <v>54</v>
      </c>
      <c r="D5" t="s">
        <v>236</v>
      </c>
      <c r="E5" s="3">
        <v>0.21495327102803738</v>
      </c>
      <c r="F5" s="3">
        <v>0.3577981651376147</v>
      </c>
      <c r="G5" s="3">
        <v>-0.14284489410957732</v>
      </c>
    </row>
    <row r="6" spans="1:7" x14ac:dyDescent="0.3">
      <c r="A6" s="2">
        <v>5</v>
      </c>
      <c r="B6" t="s">
        <v>55</v>
      </c>
      <c r="C6" t="s">
        <v>56</v>
      </c>
      <c r="D6" t="s">
        <v>57</v>
      </c>
      <c r="E6" s="3">
        <v>0.20560747663551401</v>
      </c>
      <c r="F6" s="3">
        <v>0.28440366972477066</v>
      </c>
      <c r="G6" s="3">
        <v>-7.8796193089256644E-2</v>
      </c>
    </row>
    <row r="7" spans="1:7" x14ac:dyDescent="0.3">
      <c r="A7" s="2">
        <v>6</v>
      </c>
      <c r="B7" t="s">
        <v>58</v>
      </c>
      <c r="C7" t="s">
        <v>59</v>
      </c>
      <c r="D7" t="s">
        <v>60</v>
      </c>
      <c r="E7" s="3">
        <v>5.6074766355140186E-2</v>
      </c>
      <c r="F7" s="3">
        <v>6.4220183486238536E-2</v>
      </c>
      <c r="G7" s="3">
        <v>-8.1454171310983495E-3</v>
      </c>
    </row>
    <row r="8" spans="1:7" x14ac:dyDescent="0.3">
      <c r="A8" s="2">
        <v>7</v>
      </c>
      <c r="B8" t="s">
        <v>61</v>
      </c>
      <c r="C8" t="s">
        <v>62</v>
      </c>
      <c r="D8" t="s">
        <v>237</v>
      </c>
      <c r="E8" s="3">
        <v>1.8691588785046728E-2</v>
      </c>
      <c r="F8" s="3">
        <v>6.4220183486238536E-2</v>
      </c>
      <c r="G8" s="3">
        <v>-4.5528594701191805E-2</v>
      </c>
    </row>
    <row r="9" spans="1:7" x14ac:dyDescent="0.3">
      <c r="A9" s="2">
        <v>8</v>
      </c>
      <c r="B9" t="s">
        <v>63</v>
      </c>
      <c r="C9" t="s">
        <v>64</v>
      </c>
      <c r="D9" t="s">
        <v>65</v>
      </c>
      <c r="E9" s="3">
        <v>1.8691588785046728E-2</v>
      </c>
      <c r="F9" s="3">
        <v>1.834862385321101E-2</v>
      </c>
      <c r="G9" s="3">
        <v>3.4296493183571738E-4</v>
      </c>
    </row>
    <row r="10" spans="1:7" x14ac:dyDescent="0.3">
      <c r="A10" s="2">
        <v>9</v>
      </c>
      <c r="B10" t="s">
        <v>66</v>
      </c>
      <c r="C10" t="s">
        <v>67</v>
      </c>
      <c r="D10" t="s">
        <v>68</v>
      </c>
      <c r="E10" s="3">
        <v>9.3457943925233638E-3</v>
      </c>
      <c r="F10" s="3">
        <v>7.3394495412844041E-2</v>
      </c>
      <c r="G10" s="3">
        <v>-6.4048701020320675E-2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9386-00D1-4A2B-845D-3C863F0A12A3}">
  <dimension ref="A1:G7"/>
  <sheetViews>
    <sheetView workbookViewId="0"/>
  </sheetViews>
  <sheetFormatPr defaultRowHeight="14.4" x14ac:dyDescent="0.3"/>
  <cols>
    <col min="1" max="1" width="8.77734375" bestFit="1" customWidth="1"/>
    <col min="2" max="2" width="39.88671875" bestFit="1" customWidth="1"/>
    <col min="3" max="3" width="37.109375" bestFit="1" customWidth="1"/>
    <col min="4" max="4" width="37.55468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33</v>
      </c>
      <c r="C2" t="s">
        <v>34</v>
      </c>
      <c r="D2" t="s">
        <v>238</v>
      </c>
      <c r="E2" s="3">
        <v>0.49532710280373832</v>
      </c>
      <c r="F2" s="3">
        <v>0.67889908256880738</v>
      </c>
      <c r="G2" s="3">
        <v>-0.18357197976506906</v>
      </c>
    </row>
    <row r="3" spans="1:7" x14ac:dyDescent="0.3">
      <c r="A3" s="2">
        <v>2</v>
      </c>
      <c r="B3" t="s">
        <v>35</v>
      </c>
      <c r="C3" t="s">
        <v>36</v>
      </c>
      <c r="D3" t="s">
        <v>239</v>
      </c>
      <c r="E3" s="3">
        <v>0.35514018691588783</v>
      </c>
      <c r="F3" s="3">
        <v>0.39449541284403672</v>
      </c>
      <c r="G3" s="3">
        <v>-3.9355225928148885E-2</v>
      </c>
    </row>
    <row r="4" spans="1:7" x14ac:dyDescent="0.3">
      <c r="A4" s="2">
        <v>3</v>
      </c>
      <c r="B4" t="s">
        <v>37</v>
      </c>
      <c r="C4" t="s">
        <v>38</v>
      </c>
      <c r="D4" t="s">
        <v>240</v>
      </c>
      <c r="E4" s="3">
        <v>0.28037383177570091</v>
      </c>
      <c r="F4" s="3">
        <v>0.31192660550458717</v>
      </c>
      <c r="G4" s="3">
        <v>-3.1552773728886263E-2</v>
      </c>
    </row>
    <row r="5" spans="1:7" x14ac:dyDescent="0.3">
      <c r="A5" s="2">
        <v>4</v>
      </c>
      <c r="B5" t="s">
        <v>41</v>
      </c>
      <c r="C5" t="s">
        <v>221</v>
      </c>
      <c r="D5" t="s">
        <v>241</v>
      </c>
      <c r="E5" s="3">
        <v>0.21495327102803738</v>
      </c>
      <c r="F5" s="3">
        <v>0.1743119266055046</v>
      </c>
      <c r="G5" s="3">
        <v>4.0641344422532782E-2</v>
      </c>
    </row>
    <row r="6" spans="1:7" x14ac:dyDescent="0.3">
      <c r="A6" s="2">
        <v>5</v>
      </c>
      <c r="B6" t="s">
        <v>39</v>
      </c>
      <c r="C6" t="s">
        <v>40</v>
      </c>
      <c r="D6" t="s">
        <v>242</v>
      </c>
      <c r="E6" s="3">
        <v>0.15887850467289721</v>
      </c>
      <c r="F6" s="3">
        <v>0.55963302752293576</v>
      </c>
      <c r="G6" s="3">
        <v>-0.40075452285003854</v>
      </c>
    </row>
    <row r="7" spans="1:7" x14ac:dyDescent="0.3">
      <c r="A7" s="2">
        <v>6</v>
      </c>
      <c r="B7" t="s">
        <v>42</v>
      </c>
      <c r="C7" t="s">
        <v>43</v>
      </c>
      <c r="D7" t="s">
        <v>216</v>
      </c>
      <c r="E7" s="3">
        <v>2.8037383177570093E-2</v>
      </c>
      <c r="F7" s="3">
        <v>2.7522935779816515E-2</v>
      </c>
      <c r="G7" s="3">
        <v>5.1444739775357781E-4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4992-EAED-4037-96E4-4C702DB76A68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1.109375" bestFit="1" customWidth="1"/>
    <col min="4" max="4" width="11.5546875" bestFit="1" customWidth="1"/>
    <col min="5" max="5" width="7.44140625" bestFit="1" customWidth="1"/>
    <col min="6" max="6" width="9.88671875" bestFit="1" customWidth="1"/>
    <col min="7" max="7" width="7.441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21</v>
      </c>
      <c r="C2" t="s">
        <v>22</v>
      </c>
      <c r="D2" t="s">
        <v>23</v>
      </c>
      <c r="E2" s="3">
        <v>0.51401869158878499</v>
      </c>
      <c r="F2" s="3">
        <v>0.55045871559633031</v>
      </c>
      <c r="G2" s="3">
        <v>-3.6440024007545313E-2</v>
      </c>
    </row>
    <row r="3" spans="1:7" x14ac:dyDescent="0.3">
      <c r="A3" s="2">
        <v>2</v>
      </c>
      <c r="B3" t="s">
        <v>24</v>
      </c>
      <c r="C3" t="s">
        <v>25</v>
      </c>
      <c r="D3" t="s">
        <v>26</v>
      </c>
      <c r="E3" s="3">
        <v>0.31775700934579443</v>
      </c>
      <c r="F3" s="3">
        <v>0.33027522935779818</v>
      </c>
      <c r="G3" s="3">
        <v>-1.2518220012003811E-2</v>
      </c>
    </row>
    <row r="4" spans="1:7" x14ac:dyDescent="0.3">
      <c r="A4" s="2">
        <v>3</v>
      </c>
      <c r="B4" t="s">
        <v>18</v>
      </c>
      <c r="C4" t="s">
        <v>19</v>
      </c>
      <c r="D4" t="s">
        <v>20</v>
      </c>
      <c r="E4" s="3">
        <v>0.13084112149532709</v>
      </c>
      <c r="F4" s="3">
        <v>0.11926605504587157</v>
      </c>
      <c r="G4" s="3">
        <v>1.1575066449455523E-2</v>
      </c>
    </row>
    <row r="5" spans="1:7" x14ac:dyDescent="0.3">
      <c r="A5" s="2">
        <v>4</v>
      </c>
      <c r="B5" t="s">
        <v>27</v>
      </c>
      <c r="C5" t="s">
        <v>28</v>
      </c>
      <c r="D5" t="s">
        <v>29</v>
      </c>
      <c r="E5" s="3">
        <v>3.7383177570093455E-2</v>
      </c>
      <c r="F5" s="3">
        <v>0</v>
      </c>
      <c r="G5" s="3">
        <v>3.7383177570093455E-2</v>
      </c>
    </row>
    <row r="6" spans="1:7" x14ac:dyDescent="0.3">
      <c r="A6" s="2">
        <v>5</v>
      </c>
      <c r="B6" t="s">
        <v>30</v>
      </c>
      <c r="C6" t="s">
        <v>31</v>
      </c>
      <c r="D6" t="s">
        <v>32</v>
      </c>
      <c r="E6" s="3">
        <v>0</v>
      </c>
      <c r="F6" s="3">
        <v>0</v>
      </c>
      <c r="G6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FEAA-70AF-4D3E-A907-BD39713AC712}">
  <dimension ref="A1:E2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14.6640625" bestFit="1" customWidth="1"/>
    <col min="4" max="4" width="9.44140625" bestFit="1" customWidth="1"/>
    <col min="5" max="5" width="9.7773437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6</v>
      </c>
      <c r="D1" s="5" t="s">
        <v>7</v>
      </c>
      <c r="E1" s="5" t="s">
        <v>8</v>
      </c>
    </row>
    <row r="2" spans="1:5" x14ac:dyDescent="0.3">
      <c r="A2" s="2">
        <v>202607</v>
      </c>
      <c r="B2" s="1">
        <v>46204</v>
      </c>
      <c r="C2" s="2">
        <v>107</v>
      </c>
      <c r="D2" t="s">
        <v>9</v>
      </c>
      <c r="E2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14D2-7D66-4E01-82A2-0F1D86228797}">
  <dimension ref="A1:F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55.21875" bestFit="1" customWidth="1"/>
    <col min="4" max="4" width="44.21875" bestFit="1" customWidth="1"/>
    <col min="5" max="5" width="45.44140625" bestFit="1" customWidth="1"/>
    <col min="6" max="6" width="10.77734375" bestFit="1" customWidth="1"/>
  </cols>
  <sheetData>
    <row r="1" spans="1:6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2">
        <v>202308</v>
      </c>
      <c r="B2" s="1">
        <v>45139</v>
      </c>
      <c r="C2" s="3">
        <v>0.33950617283950618</v>
      </c>
      <c r="D2" s="3">
        <v>1.8518518518518517E-2</v>
      </c>
      <c r="E2" s="3">
        <v>0.64197530864197527</v>
      </c>
      <c r="F2" s="4">
        <v>121942.98</v>
      </c>
    </row>
    <row r="3" spans="1:6" x14ac:dyDescent="0.3">
      <c r="A3" s="2">
        <v>202309</v>
      </c>
      <c r="B3" s="1">
        <v>45170</v>
      </c>
      <c r="C3" s="3">
        <v>0.45901639344262296</v>
      </c>
      <c r="D3" s="3">
        <v>2.4590163934426229E-2</v>
      </c>
      <c r="E3" s="3">
        <v>0.51639344262295084</v>
      </c>
      <c r="F3" s="4">
        <v>115741.81</v>
      </c>
    </row>
    <row r="4" spans="1:6" x14ac:dyDescent="0.3">
      <c r="A4" s="2">
        <v>202310</v>
      </c>
      <c r="B4" s="1">
        <v>45200</v>
      </c>
      <c r="C4" s="3">
        <v>0.50291262135922332</v>
      </c>
      <c r="D4" s="3">
        <v>0.12233009708737864</v>
      </c>
      <c r="E4" s="3">
        <v>0.37475728155339805</v>
      </c>
      <c r="F4" s="4">
        <v>116565.17</v>
      </c>
    </row>
    <row r="5" spans="1:6" x14ac:dyDescent="0.3">
      <c r="A5" s="2">
        <v>202311</v>
      </c>
      <c r="B5" s="1">
        <v>45231</v>
      </c>
      <c r="C5" s="3">
        <v>0.49861495844875348</v>
      </c>
      <c r="D5" s="3">
        <v>9.9722991689750698E-2</v>
      </c>
      <c r="E5" s="3">
        <v>0.40166204986149584</v>
      </c>
      <c r="F5" s="4">
        <v>113143.67</v>
      </c>
    </row>
    <row r="6" spans="1:6" x14ac:dyDescent="0.3">
      <c r="A6" s="2">
        <v>202312</v>
      </c>
      <c r="B6" s="1">
        <v>45261</v>
      </c>
      <c r="C6" s="3">
        <v>0.40293040293040294</v>
      </c>
      <c r="D6" s="3">
        <v>1.8315018315018316E-2</v>
      </c>
      <c r="E6" s="3">
        <v>0.57875457875457881</v>
      </c>
      <c r="F6" s="4">
        <v>127331.12</v>
      </c>
    </row>
    <row r="7" spans="1:6" x14ac:dyDescent="0.3">
      <c r="A7" s="2">
        <v>202401</v>
      </c>
      <c r="B7" s="1">
        <v>45292</v>
      </c>
      <c r="C7" s="3">
        <v>0.32653061224489793</v>
      </c>
      <c r="D7" s="3">
        <v>2.7210884353741496E-2</v>
      </c>
      <c r="E7" s="3">
        <v>0.6462585034013606</v>
      </c>
      <c r="F7" s="4">
        <v>134185.24</v>
      </c>
    </row>
    <row r="8" spans="1:6" x14ac:dyDescent="0.3">
      <c r="A8" s="2">
        <v>202402</v>
      </c>
      <c r="B8" s="1">
        <v>45323</v>
      </c>
      <c r="C8" s="3">
        <v>0.352112676056338</v>
      </c>
      <c r="D8" s="3">
        <v>9.154929577464789E-2</v>
      </c>
      <c r="E8" s="3">
        <v>0.55633802816901412</v>
      </c>
      <c r="F8" s="4">
        <v>127752.28</v>
      </c>
    </row>
    <row r="9" spans="1:6" x14ac:dyDescent="0.3">
      <c r="A9" s="2">
        <v>202403</v>
      </c>
      <c r="B9" s="1">
        <v>45352</v>
      </c>
      <c r="C9" s="3">
        <v>0.39855072463768115</v>
      </c>
      <c r="D9" s="3">
        <v>2.8985507246376812E-2</v>
      </c>
      <c r="E9" s="3">
        <v>0.57246376811594202</v>
      </c>
      <c r="F9" s="4">
        <v>129020.02</v>
      </c>
    </row>
    <row r="10" spans="1:6" x14ac:dyDescent="0.3">
      <c r="A10" s="2">
        <v>202404</v>
      </c>
      <c r="B10" s="1">
        <v>45383</v>
      </c>
      <c r="C10" s="3">
        <v>0.51020408163265307</v>
      </c>
      <c r="D10" s="3">
        <v>3.2653061224489799E-2</v>
      </c>
      <c r="E10" s="3">
        <v>0.45714285714285713</v>
      </c>
      <c r="F10" s="4">
        <v>128106.1</v>
      </c>
    </row>
    <row r="11" spans="1:6" x14ac:dyDescent="0.3">
      <c r="A11" s="2">
        <v>202405</v>
      </c>
      <c r="B11" s="1">
        <v>45413</v>
      </c>
      <c r="C11" s="3">
        <v>0.61167002012072436</v>
      </c>
      <c r="D11" s="3">
        <v>0.1227364185110664</v>
      </c>
      <c r="E11" s="3">
        <v>0.26559356136820927</v>
      </c>
      <c r="F11" s="4">
        <v>125924.19</v>
      </c>
    </row>
    <row r="12" spans="1:6" x14ac:dyDescent="0.3">
      <c r="A12" s="2">
        <v>202406</v>
      </c>
      <c r="B12" s="1">
        <v>45444</v>
      </c>
      <c r="C12" s="3">
        <v>0.60176991150442483</v>
      </c>
      <c r="D12" s="3">
        <v>0.20796460176991149</v>
      </c>
      <c r="E12" s="3">
        <v>0.19026548672566371</v>
      </c>
      <c r="F12" s="4">
        <v>119662.38</v>
      </c>
    </row>
    <row r="13" spans="1:6" x14ac:dyDescent="0.3">
      <c r="A13" s="2">
        <v>202407</v>
      </c>
      <c r="B13" s="1">
        <v>45474</v>
      </c>
      <c r="C13" s="3">
        <v>0.625</v>
      </c>
      <c r="D13" s="3">
        <v>0.10714285714285714</v>
      </c>
      <c r="E13" s="3">
        <v>0.26785714285714285</v>
      </c>
      <c r="F13" s="4">
        <v>129321</v>
      </c>
    </row>
    <row r="14" spans="1:6" x14ac:dyDescent="0.3">
      <c r="A14" s="2">
        <v>202408</v>
      </c>
      <c r="B14" s="1">
        <v>45505</v>
      </c>
      <c r="C14" s="3">
        <v>0.6470588235294118</v>
      </c>
      <c r="D14" s="3">
        <v>0.10294117647058823</v>
      </c>
      <c r="E14" s="3">
        <v>0.25</v>
      </c>
      <c r="F14" s="4">
        <v>133317</v>
      </c>
    </row>
    <row r="15" spans="1:6" x14ac:dyDescent="0.3">
      <c r="A15" s="2">
        <v>202409</v>
      </c>
      <c r="B15" s="1">
        <v>45536</v>
      </c>
      <c r="C15" s="3">
        <v>0.63522012578616349</v>
      </c>
      <c r="D15" s="3">
        <v>7.5471698113207544E-2</v>
      </c>
      <c r="E15" s="3">
        <v>0.28930817610062892</v>
      </c>
      <c r="F15" s="4">
        <v>134882</v>
      </c>
    </row>
    <row r="16" spans="1:6" x14ac:dyDescent="0.3">
      <c r="A16" s="2">
        <v>202410</v>
      </c>
      <c r="B16" s="1">
        <v>45566</v>
      </c>
      <c r="C16" s="3">
        <v>0.66887417218543044</v>
      </c>
      <c r="D16" s="3">
        <v>0.14569536423841059</v>
      </c>
      <c r="E16" s="3">
        <v>0.18543046357615894</v>
      </c>
      <c r="F16" s="4">
        <v>129992</v>
      </c>
    </row>
    <row r="17" spans="1:6" x14ac:dyDescent="0.3">
      <c r="A17" s="2">
        <v>202411</v>
      </c>
      <c r="B17" s="1">
        <v>45597</v>
      </c>
      <c r="C17" s="3">
        <v>0.65189873417721522</v>
      </c>
      <c r="D17" s="3">
        <v>0.18354430379746836</v>
      </c>
      <c r="E17" s="3">
        <v>0.16455696202531644</v>
      </c>
      <c r="F17" s="4">
        <v>127698</v>
      </c>
    </row>
    <row r="18" spans="1:6" x14ac:dyDescent="0.3">
      <c r="A18" s="2">
        <v>202412</v>
      </c>
      <c r="B18" s="1">
        <v>45627</v>
      </c>
      <c r="C18" s="3">
        <v>0.48226950354609927</v>
      </c>
      <c r="D18" s="3">
        <v>0.40425531914893614</v>
      </c>
      <c r="E18" s="3">
        <v>0.11347517730496454</v>
      </c>
      <c r="F18" s="4">
        <v>124612.22</v>
      </c>
    </row>
    <row r="19" spans="1:6" x14ac:dyDescent="0.3">
      <c r="A19" s="2">
        <v>202501</v>
      </c>
      <c r="B19" s="1">
        <v>45658</v>
      </c>
      <c r="C19" s="3">
        <v>0.52522255192878342</v>
      </c>
      <c r="D19" s="3">
        <v>0.29970326409495551</v>
      </c>
      <c r="E19" s="3">
        <v>0.17507418397626112</v>
      </c>
      <c r="F19" s="4">
        <v>119006.93</v>
      </c>
    </row>
    <row r="20" spans="1:6" x14ac:dyDescent="0.3">
      <c r="A20" s="2">
        <v>202502</v>
      </c>
      <c r="B20" s="1">
        <v>45689</v>
      </c>
      <c r="C20" s="3">
        <v>0.63354037267080743</v>
      </c>
      <c r="D20" s="3">
        <v>0.16770186335403728</v>
      </c>
      <c r="E20" s="3">
        <v>0.19875776397515527</v>
      </c>
      <c r="F20" s="4">
        <v>126224.74</v>
      </c>
    </row>
    <row r="21" spans="1:6" x14ac:dyDescent="0.3">
      <c r="A21" s="2">
        <v>202503</v>
      </c>
      <c r="B21" s="1">
        <v>45717</v>
      </c>
      <c r="C21" s="3">
        <v>0.68888888888888888</v>
      </c>
      <c r="D21" s="3">
        <v>0.15</v>
      </c>
      <c r="E21" s="3">
        <v>0.16111111111111112</v>
      </c>
      <c r="F21" s="4">
        <v>131474.73000000001</v>
      </c>
    </row>
    <row r="22" spans="1:6" x14ac:dyDescent="0.3">
      <c r="A22" s="2">
        <v>202504</v>
      </c>
      <c r="B22" s="1">
        <v>45748</v>
      </c>
      <c r="C22" s="3">
        <v>0.70289855072463769</v>
      </c>
      <c r="D22" s="3">
        <v>0.11594202898550725</v>
      </c>
      <c r="E22" s="3">
        <v>0.18115942028985507</v>
      </c>
      <c r="F22" s="4">
        <v>130790.96</v>
      </c>
    </row>
    <row r="23" spans="1:6" x14ac:dyDescent="0.3">
      <c r="A23" s="2">
        <v>202505</v>
      </c>
      <c r="B23" s="1">
        <v>45778</v>
      </c>
      <c r="C23" s="3">
        <v>0.67796610169491522</v>
      </c>
      <c r="D23" s="3">
        <v>5.0847457627118647E-2</v>
      </c>
      <c r="E23" s="3">
        <v>0.2711864406779661</v>
      </c>
      <c r="F23" s="4">
        <v>139187.39000000001</v>
      </c>
    </row>
    <row r="24" spans="1:6" x14ac:dyDescent="0.3">
      <c r="A24" s="2">
        <v>202506</v>
      </c>
      <c r="B24" s="1">
        <v>45809</v>
      </c>
      <c r="C24" s="3">
        <v>0.67226890756302526</v>
      </c>
      <c r="D24" s="3">
        <v>2.5210084033613446E-2</v>
      </c>
      <c r="E24" s="3">
        <v>0.30252100840336132</v>
      </c>
      <c r="F24" s="4">
        <v>137055.28</v>
      </c>
    </row>
    <row r="25" spans="1:6" x14ac:dyDescent="0.3">
      <c r="A25" s="2">
        <v>202507</v>
      </c>
      <c r="B25" s="1">
        <v>45839</v>
      </c>
      <c r="C25" s="3">
        <v>0.58914728682170547</v>
      </c>
      <c r="D25" s="3">
        <v>6.9767441860465115E-2</v>
      </c>
      <c r="E25" s="3">
        <v>0.34108527131782945</v>
      </c>
      <c r="F25" s="4">
        <v>136187.31</v>
      </c>
    </row>
    <row r="26" spans="1:6" x14ac:dyDescent="0.3">
      <c r="A26" s="2">
        <v>202508</v>
      </c>
      <c r="B26" s="1">
        <v>45870</v>
      </c>
      <c r="C26" s="3">
        <v>0.63725490196078427</v>
      </c>
      <c r="D26" s="3">
        <v>0.15686274509803921</v>
      </c>
      <c r="E26" s="3">
        <v>0.20588235294117646</v>
      </c>
      <c r="F26" s="4">
        <v>136340.76999999999</v>
      </c>
    </row>
    <row r="27" spans="1:6" x14ac:dyDescent="0.3">
      <c r="A27" s="2">
        <v>202509</v>
      </c>
      <c r="B27" s="1">
        <v>45901</v>
      </c>
      <c r="C27" s="3">
        <v>0.68807339449541283</v>
      </c>
      <c r="D27" s="3">
        <v>8.2568807339449546E-2</v>
      </c>
      <c r="E27" s="3">
        <v>0.22935779816513763</v>
      </c>
      <c r="F27" s="4">
        <v>144061.74</v>
      </c>
    </row>
    <row r="28" spans="1:6" x14ac:dyDescent="0.3">
      <c r="A28" s="2">
        <v>202510</v>
      </c>
      <c r="B28" s="1">
        <v>45931</v>
      </c>
      <c r="C28" s="3">
        <v>0.60683760683760679</v>
      </c>
      <c r="D28" s="3">
        <v>7.6923076923076927E-2</v>
      </c>
      <c r="E28" s="3">
        <v>0.31623931623931623</v>
      </c>
      <c r="F28" s="4">
        <v>142603.66</v>
      </c>
    </row>
    <row r="29" spans="1:6" x14ac:dyDescent="0.3">
      <c r="A29" s="2">
        <v>202511</v>
      </c>
      <c r="B29" s="1">
        <v>45962</v>
      </c>
      <c r="C29" s="3">
        <v>0.61682242990654201</v>
      </c>
      <c r="D29" s="3">
        <v>9.3457943925233641E-2</v>
      </c>
      <c r="E29" s="3">
        <v>0.28971962616822428</v>
      </c>
      <c r="F29" s="4">
        <v>155380.66</v>
      </c>
    </row>
    <row r="30" spans="1:6" x14ac:dyDescent="0.3">
      <c r="A30" s="2">
        <v>202512</v>
      </c>
      <c r="B30" s="1">
        <v>45992</v>
      </c>
      <c r="C30" s="3">
        <v>0.55555555555555558</v>
      </c>
      <c r="D30" s="3">
        <v>4.0404040404040407E-2</v>
      </c>
      <c r="E30" s="3">
        <v>0.40404040404040403</v>
      </c>
      <c r="F30" s="4">
        <v>158141.66</v>
      </c>
    </row>
    <row r="31" spans="1:6" x14ac:dyDescent="0.3">
      <c r="A31" s="2">
        <v>202601</v>
      </c>
      <c r="B31" s="1">
        <v>46023</v>
      </c>
      <c r="C31" s="3">
        <v>0.66</v>
      </c>
      <c r="D31" s="3">
        <v>0.03</v>
      </c>
      <c r="E31" s="3">
        <v>0.31</v>
      </c>
      <c r="F31" s="4">
        <v>178859</v>
      </c>
    </row>
    <row r="32" spans="1:6" x14ac:dyDescent="0.3">
      <c r="A32" s="2">
        <v>202602</v>
      </c>
      <c r="B32" s="1">
        <v>46054</v>
      </c>
      <c r="C32" s="3">
        <v>0.57943925233644855</v>
      </c>
      <c r="D32" s="3">
        <v>9.3457943925233641E-2</v>
      </c>
      <c r="E32" s="3">
        <v>0.32710280373831774</v>
      </c>
      <c r="F32" s="4">
        <v>188853</v>
      </c>
    </row>
    <row r="33" spans="1:6" x14ac:dyDescent="0.3">
      <c r="A33" s="2">
        <v>202603</v>
      </c>
      <c r="B33" s="1">
        <v>46082</v>
      </c>
      <c r="C33" s="3">
        <v>0.59134615384615385</v>
      </c>
      <c r="D33" s="3">
        <v>8.6538461538461536E-2</v>
      </c>
      <c r="E33" s="3">
        <v>0.32211538461538464</v>
      </c>
      <c r="F33" s="4">
        <v>180977.83</v>
      </c>
    </row>
    <row r="34" spans="1:6" x14ac:dyDescent="0.3">
      <c r="A34" s="2">
        <v>202604</v>
      </c>
      <c r="B34" s="1">
        <v>46113</v>
      </c>
      <c r="C34" s="3">
        <v>0.63114754098360659</v>
      </c>
      <c r="D34" s="3">
        <v>8.1967213114754092E-2</v>
      </c>
      <c r="E34" s="3">
        <v>0.28688524590163933</v>
      </c>
      <c r="F34" s="4">
        <v>190745</v>
      </c>
    </row>
    <row r="35" spans="1:6" x14ac:dyDescent="0.3">
      <c r="A35" s="2">
        <v>202605</v>
      </c>
      <c r="B35" s="1">
        <v>46143</v>
      </c>
      <c r="C35" s="3">
        <v>0.75471698113207553</v>
      </c>
      <c r="D35" s="3">
        <v>4.716981132075472E-2</v>
      </c>
      <c r="E35" s="3">
        <v>0.19811320754716982</v>
      </c>
      <c r="F35" s="4">
        <v>176000</v>
      </c>
    </row>
    <row r="36" spans="1:6" x14ac:dyDescent="0.3">
      <c r="A36" s="2">
        <v>202606</v>
      </c>
      <c r="B36" s="1">
        <v>46174</v>
      </c>
      <c r="C36" s="3">
        <v>0.68807339449541283</v>
      </c>
      <c r="D36" s="3">
        <v>0.11009174311926606</v>
      </c>
      <c r="E36" s="3">
        <v>0.20183486238532111</v>
      </c>
      <c r="F36" s="4">
        <v>176001</v>
      </c>
    </row>
    <row r="37" spans="1:6" x14ac:dyDescent="0.3">
      <c r="A37" s="2">
        <v>202607</v>
      </c>
      <c r="B37" s="1">
        <v>46204</v>
      </c>
      <c r="C37" s="3">
        <v>0.64485981308411211</v>
      </c>
      <c r="D37" s="3">
        <v>0.14018691588785046</v>
      </c>
      <c r="E37" s="3">
        <v>0.21495327102803738</v>
      </c>
      <c r="F37" s="4">
        <v>174751.84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5A813-DAEF-4EE1-BD1C-6A983AAE9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s_setores</vt:lpstr>
      <vt:lpstr>s_sentimento</vt:lpstr>
      <vt:lpstr>s_riscos_bolsa</vt:lpstr>
      <vt:lpstr>s_regiao</vt:lpstr>
      <vt:lpstr>s_proximos_meses</vt:lpstr>
      <vt:lpstr>s_pct_internacional</vt:lpstr>
      <vt:lpstr>s_interesse_internacional</vt:lpstr>
      <vt:lpstr>s_ibovespa_alvo</vt:lpstr>
      <vt:lpstr>s_classes_ativos</vt:lpstr>
      <vt:lpstr>s_apetite_risco</vt:lpstr>
      <vt:lpstr>s_alocacao_rv</vt:lpstr>
      <vt:lpstr>q_mes_5</vt:lpstr>
      <vt:lpstr>q_mes_4</vt:lpstr>
      <vt:lpstr>q_mes_3</vt:lpstr>
      <vt:lpstr>q_mes_2</vt:lpstr>
      <vt:lpstr>q_mes_1</vt:lpstr>
      <vt:lpstr>q_mes</vt:lpstr>
      <vt:lpstr>meta</vt:lpstr>
      <vt:lpstr>medias</vt:lpstr>
      <vt:lpstr>d_setores</vt:lpstr>
      <vt:lpstr>d_sentimento</vt:lpstr>
      <vt:lpstr>d_riscos_bolsa</vt:lpstr>
      <vt:lpstr>d_regiao</vt:lpstr>
      <vt:lpstr>d_proximos_meses</vt:lpstr>
      <vt:lpstr>d_pct_internacional</vt:lpstr>
      <vt:lpstr>d_interesse_internacional</vt:lpstr>
      <vt:lpstr>d_ibovespa_alvo</vt:lpstr>
      <vt:lpstr>d_classes_ativos</vt:lpstr>
      <vt:lpstr>d_apetite_risco</vt:lpstr>
      <vt:lpstr>d_alocacao_rv</vt:lpstr>
      <vt:lpstr>corrente</vt:lpstr>
      <vt:lpstr>capa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 Alzeri</dc:creator>
  <cp:lastModifiedBy>Lana  Alzeri</cp:lastModifiedBy>
  <dcterms:created xsi:type="dcterms:W3CDTF">2026-08-08T21:23:45Z</dcterms:created>
  <dcterms:modified xsi:type="dcterms:W3CDTF">2026-08-08T22:20:54Z</dcterms:modified>
</cp:coreProperties>
</file>