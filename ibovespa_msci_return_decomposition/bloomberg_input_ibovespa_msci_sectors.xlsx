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05" yWindow="4185" windowWidth="21600" windowHeight="11295" tabRatio="600" firstSheet="0" activeTab="4" autoFilterDateGrouping="1"/>
  </bookViews>
  <sheets>
    <sheet name="Control" sheetId="1" state="visible" r:id="rId1"/>
    <sheet name="Checks" sheetId="2" state="visible" r:id="rId2"/>
    <sheet name="IBOV" sheetId="3" state="visible" r:id="rId3"/>
    <sheet name="MSCI Brazil" sheetId="4" state="visible" r:id="rId4"/>
    <sheet name="Energy" sheetId="5" state="visible" r:id="rId5"/>
    <sheet name="Materials" sheetId="6" state="visible" r:id="rId6"/>
    <sheet name="Industrials" sheetId="7" state="visible" r:id="rId7"/>
    <sheet name="Cons Discretionary" sheetId="8" state="visible" r:id="rId8"/>
    <sheet name="Cons Staples" sheetId="9" state="visible" r:id="rId9"/>
    <sheet name="Health Care" sheetId="10" state="visible" r:id="rId10"/>
    <sheet name="Financials" sheetId="11" state="visible" r:id="rId11"/>
    <sheet name="Info Tech" sheetId="12" state="visible" r:id="rId12"/>
    <sheet name="Comm Services" sheetId="13" state="visible" r:id="rId13"/>
    <sheet name="Utilities" sheetId="14" state="visible" r:id="rId14"/>
  </sheets>
  <definedNames>
    <definedName name="SpreadsheetBuilder_1" hidden="1">Brazil!$A$1:$E$7</definedName>
    <definedName name="_xlnm._FilterDatabase" localSheetId="0" hidden="1">'Control'!$A$11:$G$23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Aptos Narrow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4" customWidth="1" min="4" max="4"/>
    <col width="24" customWidth="1" min="5" max="5"/>
    <col width="45" customWidth="1" min="6" max="6"/>
    <col width="30" customWidth="1" min="7" max="7"/>
  </cols>
  <sheetData>
    <row r="1">
      <c r="A1" s="3" t="inlineStr">
        <is>
          <t>Bloomberg input — Ibovespa and MSCI Brazil sectors</t>
        </is>
      </c>
    </row>
    <row r="3">
      <c r="A3" s="4" t="inlineStr">
        <is>
          <t>Workflow</t>
        </is>
      </c>
    </row>
    <row r="4">
      <c r="A4" t="inlineStr">
        <is>
          <t>1. Open this workbook on a machine with Bloomberg Terminal and the Bloomberg Excel Add-In.</t>
        </is>
      </c>
    </row>
    <row r="5">
      <c r="A5" t="inlineStr">
        <is>
          <t>2. Log in to Bloomberg and use Bloomberg ribbon &gt; Refresh Workbook (or force a full recalculation).</t>
        </is>
      </c>
    </row>
    <row r="6">
      <c r="A6" t="inlineStr">
        <is>
          <t>3. Wait until every BDH formula has finished and the sheets contain dates through the current day.</t>
        </is>
      </c>
    </row>
    <row r="7">
      <c r="A7" t="inlineStr">
        <is>
          <t>4. Save and close the workbook so Python can read the refreshed cached values.</t>
        </is>
      </c>
    </row>
    <row r="8">
      <c r="A8" t="inlineStr">
        <is>
          <t>5. Run run_from_bloomberg_workbook.bat in the same folder.</t>
        </is>
      </c>
    </row>
    <row r="10">
      <c r="A10" s="4" t="inlineStr">
        <is>
          <t>Series configuration</t>
        </is>
      </c>
    </row>
    <row r="11">
      <c r="A11" s="5" t="inlineStr">
        <is>
          <t>Sheet</t>
        </is>
      </c>
      <c r="B11" s="5" t="inlineStr">
        <is>
          <t>Series</t>
        </is>
      </c>
      <c r="C11" s="5" t="inlineStr">
        <is>
          <t>Family</t>
        </is>
      </c>
      <c r="D11" s="5" t="inlineStr">
        <is>
          <t>Total-return ticker</t>
        </is>
      </c>
      <c r="E11" s="5" t="inlineStr">
        <is>
          <t>Price-return ticker</t>
        </is>
      </c>
      <c r="F11" s="5" t="inlineStr">
        <is>
          <t>Dividend method</t>
        </is>
      </c>
      <c r="G11" s="5" t="inlineStr">
        <is>
          <t>Formula range</t>
        </is>
      </c>
    </row>
    <row r="12">
      <c r="A12" t="inlineStr">
        <is>
          <t>IBOV</t>
        </is>
      </c>
      <c r="B12" t="inlineStr">
        <is>
          <t>Ibovespa</t>
        </is>
      </c>
      <c r="C12" t="inlineStr">
        <is>
          <t>B3</t>
        </is>
      </c>
      <c r="D12" t="inlineStr">
        <is>
          <t>IBOV Index</t>
        </is>
      </c>
      <c r="E12" t="inlineStr"/>
      <c r="F12" t="inlineStr">
        <is>
          <t>INDX_GROSS_DAILY_DIV; DIV_YIELD fallback</t>
        </is>
      </c>
      <c r="G12" t="inlineStr">
        <is>
          <t>A7:E9006</t>
        </is>
      </c>
    </row>
    <row r="13">
      <c r="A13" t="inlineStr">
        <is>
          <t>MSCI Brazil</t>
        </is>
      </c>
      <c r="B13" t="inlineStr">
        <is>
          <t>MSCI Brazil</t>
        </is>
      </c>
      <c r="C13" t="inlineStr">
        <is>
          <t>MSCI Brazil</t>
        </is>
      </c>
      <c r="D13" t="inlineStr">
        <is>
          <t>M2BR Index</t>
        </is>
      </c>
      <c r="E13" t="inlineStr">
        <is>
          <t>MXBR Index</t>
        </is>
      </c>
      <c r="F13" t="inlineStr">
        <is>
          <t>Gross total return minus price return</t>
        </is>
      </c>
      <c r="G13" t="inlineStr">
        <is>
          <t>A7:E9006 and F7:J9006</t>
        </is>
      </c>
    </row>
    <row r="14">
      <c r="A14" t="inlineStr">
        <is>
          <t>Energy</t>
        </is>
      </c>
      <c r="B14" t="inlineStr">
        <is>
          <t>Energy</t>
        </is>
      </c>
      <c r="C14" t="inlineStr">
        <is>
          <t>MSCI Brazil</t>
        </is>
      </c>
      <c r="D14" t="inlineStr">
        <is>
          <t>M2BR0EN Index</t>
        </is>
      </c>
      <c r="E14" t="inlineStr">
        <is>
          <t>MXBR0EN Index</t>
        </is>
      </c>
      <c r="F14" t="inlineStr">
        <is>
          <t>Gross total return minus price return</t>
        </is>
      </c>
      <c r="G14" t="inlineStr">
        <is>
          <t>A7:E9006 and F7:J9006</t>
        </is>
      </c>
    </row>
    <row r="15">
      <c r="A15" t="inlineStr">
        <is>
          <t>Materials</t>
        </is>
      </c>
      <c r="B15" t="inlineStr">
        <is>
          <t>Materials</t>
        </is>
      </c>
      <c r="C15" t="inlineStr">
        <is>
          <t>MSCI Brazil</t>
        </is>
      </c>
      <c r="D15" t="inlineStr">
        <is>
          <t>M2BR0MT Index</t>
        </is>
      </c>
      <c r="E15" t="inlineStr">
        <is>
          <t>MXBR0MT Index</t>
        </is>
      </c>
      <c r="F15" t="inlineStr">
        <is>
          <t>Gross total return minus price return</t>
        </is>
      </c>
      <c r="G15" t="inlineStr">
        <is>
          <t>A7:E9006 and F7:J9006</t>
        </is>
      </c>
    </row>
    <row r="16">
      <c r="A16" t="inlineStr">
        <is>
          <t>Industrials</t>
        </is>
      </c>
      <c r="B16" t="inlineStr">
        <is>
          <t>Industrials</t>
        </is>
      </c>
      <c r="C16" t="inlineStr">
        <is>
          <t>MSCI Brazil</t>
        </is>
      </c>
      <c r="D16" t="inlineStr">
        <is>
          <t>M2BR0IN Index</t>
        </is>
      </c>
      <c r="E16" t="inlineStr">
        <is>
          <t>MXBR0IN Index</t>
        </is>
      </c>
      <c r="F16" t="inlineStr">
        <is>
          <t>Gross total return minus price return</t>
        </is>
      </c>
      <c r="G16" t="inlineStr">
        <is>
          <t>A7:E9006 and F7:J9006</t>
        </is>
      </c>
    </row>
    <row r="17">
      <c r="A17" t="inlineStr">
        <is>
          <t>Cons Discretionary</t>
        </is>
      </c>
      <c r="B17" t="inlineStr">
        <is>
          <t>Consumer Discretionary</t>
        </is>
      </c>
      <c r="C17" t="inlineStr">
        <is>
          <t>MSCI Brazil</t>
        </is>
      </c>
      <c r="D17" t="inlineStr">
        <is>
          <t>M2BR0CD Index</t>
        </is>
      </c>
      <c r="E17" t="inlineStr">
        <is>
          <t>MXBR0CD Index</t>
        </is>
      </c>
      <c r="F17" t="inlineStr">
        <is>
          <t>Gross total return minus price return</t>
        </is>
      </c>
      <c r="G17" t="inlineStr">
        <is>
          <t>A7:E9006 and F7:J9006</t>
        </is>
      </c>
    </row>
    <row r="18">
      <c r="A18" t="inlineStr">
        <is>
          <t>Cons Staples</t>
        </is>
      </c>
      <c r="B18" t="inlineStr">
        <is>
          <t>Consumer Staples</t>
        </is>
      </c>
      <c r="C18" t="inlineStr">
        <is>
          <t>MSCI Brazil</t>
        </is>
      </c>
      <c r="D18" t="inlineStr">
        <is>
          <t>M2BR0CS Index</t>
        </is>
      </c>
      <c r="E18" t="inlineStr">
        <is>
          <t>MXBR0CS Index</t>
        </is>
      </c>
      <c r="F18" t="inlineStr">
        <is>
          <t>Gross total return minus price return</t>
        </is>
      </c>
      <c r="G18" t="inlineStr">
        <is>
          <t>A7:E9006 and F7:J9006</t>
        </is>
      </c>
    </row>
    <row r="19">
      <c r="A19" t="inlineStr">
        <is>
          <t>Health Care</t>
        </is>
      </c>
      <c r="B19" t="inlineStr">
        <is>
          <t>Health Care</t>
        </is>
      </c>
      <c r="C19" t="inlineStr">
        <is>
          <t>MSCI Brazil</t>
        </is>
      </c>
      <c r="D19" t="inlineStr">
        <is>
          <t>M2BR0HC Index</t>
        </is>
      </c>
      <c r="E19" t="inlineStr">
        <is>
          <t>MXBR0HC Index</t>
        </is>
      </c>
      <c r="F19" t="inlineStr">
        <is>
          <t>Gross total return minus price return</t>
        </is>
      </c>
      <c r="G19" t="inlineStr">
        <is>
          <t>A7:E9006 and F7:J9006</t>
        </is>
      </c>
    </row>
    <row r="20">
      <c r="A20" t="inlineStr">
        <is>
          <t>Financials</t>
        </is>
      </c>
      <c r="B20" t="inlineStr">
        <is>
          <t>Financials</t>
        </is>
      </c>
      <c r="C20" t="inlineStr">
        <is>
          <t>MSCI Brazil</t>
        </is>
      </c>
      <c r="D20" t="inlineStr">
        <is>
          <t>M2BR0FN Index</t>
        </is>
      </c>
      <c r="E20" t="inlineStr">
        <is>
          <t>MXBR0FN Index</t>
        </is>
      </c>
      <c r="F20" t="inlineStr">
        <is>
          <t>Gross total return minus price return</t>
        </is>
      </c>
      <c r="G20" t="inlineStr">
        <is>
          <t>A7:E9006 and F7:J9006</t>
        </is>
      </c>
    </row>
    <row r="21">
      <c r="A21" t="inlineStr">
        <is>
          <t>Info Tech</t>
        </is>
      </c>
      <c r="B21" t="inlineStr">
        <is>
          <t>Information Technology</t>
        </is>
      </c>
      <c r="C21" t="inlineStr">
        <is>
          <t>MSCI Brazil</t>
        </is>
      </c>
      <c r="D21" t="inlineStr">
        <is>
          <t>M2BR0IT Index</t>
        </is>
      </c>
      <c r="E21" t="inlineStr">
        <is>
          <t>MXBR0IT Index</t>
        </is>
      </c>
      <c r="F21" t="inlineStr">
        <is>
          <t>Gross total return minus price return</t>
        </is>
      </c>
      <c r="G21" t="inlineStr">
        <is>
          <t>A7:E9006 and F7:J9006</t>
        </is>
      </c>
    </row>
    <row r="22">
      <c r="A22" t="inlineStr">
        <is>
          <t>Comm Services</t>
        </is>
      </c>
      <c r="B22" t="inlineStr">
        <is>
          <t>Communication Services</t>
        </is>
      </c>
      <c r="C22" t="inlineStr">
        <is>
          <t>MSCI Brazil</t>
        </is>
      </c>
      <c r="D22" t="inlineStr">
        <is>
          <t>M2BR0TC Index</t>
        </is>
      </c>
      <c r="E22" t="inlineStr">
        <is>
          <t>MXBR0TC Index</t>
        </is>
      </c>
      <c r="F22" t="inlineStr">
        <is>
          <t>Gross total return minus price return</t>
        </is>
      </c>
      <c r="G22" t="inlineStr">
        <is>
          <t>A7:E9006 and F7:J9006</t>
        </is>
      </c>
    </row>
    <row r="23">
      <c r="A23" t="inlineStr">
        <is>
          <t>Utilities</t>
        </is>
      </c>
      <c r="B23" t="inlineStr">
        <is>
          <t>Utilities</t>
        </is>
      </c>
      <c r="C23" t="inlineStr">
        <is>
          <t>MSCI Brazil</t>
        </is>
      </c>
      <c r="D23" t="inlineStr">
        <is>
          <t>M2BR0UT Index</t>
        </is>
      </c>
      <c r="E23" t="inlineStr">
        <is>
          <t>MXBR0UT Index</t>
        </is>
      </c>
      <c r="F23" t="inlineStr">
        <is>
          <t>Gross total return minus price return</t>
        </is>
      </c>
      <c r="G23" t="inlineStr">
        <is>
          <t>A7:E9006 and F7:J9006</t>
        </is>
      </c>
    </row>
  </sheetData>
  <autoFilter ref="A11:G2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2" customWidth="1" min="4" max="4"/>
  </cols>
  <sheetData>
    <row r="1">
      <c r="A1" s="3" t="inlineStr">
        <is>
          <t>Bloomberg refresh checks</t>
        </is>
      </c>
    </row>
    <row r="3">
      <c r="A3" s="6" t="inlineStr">
        <is>
          <t>Sheet</t>
        </is>
      </c>
      <c r="B3" s="6" t="inlineStr">
        <is>
          <t>Latest date</t>
        </is>
      </c>
      <c r="C3" s="6" t="inlineStr">
        <is>
          <t>Status</t>
        </is>
      </c>
      <c r="D3" s="6" t="inlineStr">
        <is>
          <t>Required action</t>
        </is>
      </c>
    </row>
    <row r="4">
      <c r="A4" t="inlineStr">
        <is>
          <t>IBOV</t>
        </is>
      </c>
      <c r="B4">
        <f>IFERROR(LOOKUP(2,1/('IBOV'!A:A&lt;&gt;""),'IBOV'!A:A),"")</f>
        <v/>
      </c>
      <c r="C4">
        <f>IF(B4="","NOT REFRESHED",IF(TODAY()-B4&lt;=7,"OK","STALE"))</f>
        <v/>
      </c>
      <c r="D4">
        <f>IF(C4="OK","Ready for Python","Refresh Bloomberg formulas and save")</f>
        <v/>
      </c>
    </row>
    <row r="5">
      <c r="A5" t="inlineStr">
        <is>
          <t>MSCI Brazil</t>
        </is>
      </c>
      <c r="B5">
        <f>IFERROR(LOOKUP(2,1/('MSCI Brazil'!A:A&lt;&gt;""),'MSCI Brazil'!A:A),"")</f>
        <v/>
      </c>
      <c r="C5">
        <f>IF(B5="","NOT REFRESHED",IF(TODAY()-B5&lt;=7,"OK","STALE"))</f>
        <v/>
      </c>
      <c r="D5">
        <f>IF(C5="OK","Ready for Python","Refresh Bloomberg formulas and save")</f>
        <v/>
      </c>
    </row>
    <row r="6">
      <c r="A6" t="inlineStr">
        <is>
          <t>Energy</t>
        </is>
      </c>
      <c r="B6">
        <f>IFERROR(LOOKUP(2,1/('Energy'!A:A&lt;&gt;""),'Energy'!A:A),"")</f>
        <v/>
      </c>
      <c r="C6">
        <f>IF(B6="","NOT REFRESHED",IF(TODAY()-B6&lt;=7,"OK","STALE"))</f>
        <v/>
      </c>
      <c r="D6">
        <f>IF(C6="OK","Ready for Python","Refresh Bloomberg formulas and save")</f>
        <v/>
      </c>
    </row>
    <row r="7">
      <c r="A7" t="inlineStr">
        <is>
          <t>Materials</t>
        </is>
      </c>
      <c r="B7">
        <f>IFERROR(LOOKUP(2,1/('Materials'!A:A&lt;&gt;""),'Materials'!A:A),"")</f>
        <v/>
      </c>
      <c r="C7">
        <f>IF(B7="","NOT REFRESHED",IF(TODAY()-B7&lt;=7,"OK","STALE"))</f>
        <v/>
      </c>
      <c r="D7">
        <f>IF(C7="OK","Ready for Python","Refresh Bloomberg formulas and save")</f>
        <v/>
      </c>
    </row>
    <row r="8">
      <c r="A8" t="inlineStr">
        <is>
          <t>Industrials</t>
        </is>
      </c>
      <c r="B8">
        <f>IFERROR(LOOKUP(2,1/('Industrials'!A:A&lt;&gt;""),'Industrials'!A:A),"")</f>
        <v/>
      </c>
      <c r="C8">
        <f>IF(B8="","NOT REFRESHED",IF(TODAY()-B8&lt;=7,"OK","STALE"))</f>
        <v/>
      </c>
      <c r="D8">
        <f>IF(C8="OK","Ready for Python","Refresh Bloomberg formulas and save")</f>
        <v/>
      </c>
    </row>
    <row r="9">
      <c r="A9" t="inlineStr">
        <is>
          <t>Cons Discretionary</t>
        </is>
      </c>
      <c r="B9">
        <f>IFERROR(LOOKUP(2,1/('Cons Discretionary'!A:A&lt;&gt;""),'Cons Discretionary'!A:A),"")</f>
        <v/>
      </c>
      <c r="C9">
        <f>IF(B9="","NOT REFRESHED",IF(TODAY()-B9&lt;=7,"OK","STALE"))</f>
        <v/>
      </c>
      <c r="D9">
        <f>IF(C9="OK","Ready for Python","Refresh Bloomberg formulas and save")</f>
        <v/>
      </c>
    </row>
    <row r="10">
      <c r="A10" t="inlineStr">
        <is>
          <t>Cons Staples</t>
        </is>
      </c>
      <c r="B10">
        <f>IFERROR(LOOKUP(2,1/('Cons Staples'!A:A&lt;&gt;""),'Cons Staples'!A:A),"")</f>
        <v/>
      </c>
      <c r="C10">
        <f>IF(B10="","NOT REFRESHED",IF(TODAY()-B10&lt;=7,"OK","STALE"))</f>
        <v/>
      </c>
      <c r="D10">
        <f>IF(C10="OK","Ready for Python","Refresh Bloomberg formulas and save")</f>
        <v/>
      </c>
    </row>
    <row r="11">
      <c r="A11" t="inlineStr">
        <is>
          <t>Health Care</t>
        </is>
      </c>
      <c r="B11">
        <f>IFERROR(LOOKUP(2,1/('Health Care'!A:A&lt;&gt;""),'Health Care'!A:A),"")</f>
        <v/>
      </c>
      <c r="C11">
        <f>IF(B11="","NOT REFRESHED",IF(TODAY()-B11&lt;=7,"OK","STALE"))</f>
        <v/>
      </c>
      <c r="D11">
        <f>IF(C11="OK","Ready for Python","Refresh Bloomberg formulas and save")</f>
        <v/>
      </c>
    </row>
    <row r="12">
      <c r="A12" t="inlineStr">
        <is>
          <t>Financials</t>
        </is>
      </c>
      <c r="B12">
        <f>IFERROR(LOOKUP(2,1/('Financials'!A:A&lt;&gt;""),'Financials'!A:A),"")</f>
        <v/>
      </c>
      <c r="C12">
        <f>IF(B12="","NOT REFRESHED",IF(TODAY()-B12&lt;=7,"OK","STALE"))</f>
        <v/>
      </c>
      <c r="D12">
        <f>IF(C12="OK","Ready for Python","Refresh Bloomberg formulas and save")</f>
        <v/>
      </c>
    </row>
    <row r="13">
      <c r="A13" t="inlineStr">
        <is>
          <t>Info Tech</t>
        </is>
      </c>
      <c r="B13">
        <f>IFERROR(LOOKUP(2,1/('Info Tech'!A:A&lt;&gt;""),'Info Tech'!A:A),"")</f>
        <v/>
      </c>
      <c r="C13">
        <f>IF(B13="","NOT REFRESHED",IF(TODAY()-B13&lt;=7,"OK","STALE"))</f>
        <v/>
      </c>
      <c r="D13">
        <f>IF(C13="OK","Ready for Python","Refresh Bloomberg formulas and save")</f>
        <v/>
      </c>
    </row>
    <row r="14">
      <c r="A14" t="inlineStr">
        <is>
          <t>Comm Services</t>
        </is>
      </c>
      <c r="B14">
        <f>IFERROR(LOOKUP(2,1/('Comm Services'!A:A&lt;&gt;""),'Comm Services'!A:A),"")</f>
        <v/>
      </c>
      <c r="C14">
        <f>IF(B14="","NOT REFRESHED",IF(TODAY()-B14&lt;=7,"OK","STALE"))</f>
        <v/>
      </c>
      <c r="D14">
        <f>IF(C14="OK","Ready for Python","Refresh Bloomberg formulas and save")</f>
        <v/>
      </c>
    </row>
    <row r="15">
      <c r="A15" t="inlineStr">
        <is>
          <t>Utilities</t>
        </is>
      </c>
      <c r="B15">
        <f>IFERROR(LOOKUP(2,1/('Utilities'!A:A&lt;&gt;""),'Utilities'!A:A),"")</f>
        <v/>
      </c>
      <c r="C15">
        <f>IF(B15="","NOT REFRESHED",IF(TODAY()-B15&lt;=7,"OK","STALE"))</f>
        <v/>
      </c>
      <c r="D15">
        <f>IF(C15="OK","Ready for Python","Refresh Bloomberg formulas and save")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24" bestFit="1" customWidth="1" min="2" max="2"/>
    <col width="24" customWidth="1" min="3" max="3"/>
    <col width="24" customWidth="1" min="4" max="4"/>
    <col width="24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IBOV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PE_RATIO</t>
        </is>
      </c>
      <c r="D6" t="inlineStr">
        <is>
          <t>INDX_GROSS_DAILY_DIV</t>
        </is>
      </c>
      <c r="E6" t="inlineStr">
        <is>
          <t>DIV_YIELD</t>
        </is>
      </c>
    </row>
    <row r="7">
      <c r="A7" s="1">
        <f t="array" ref="A7:E9006">_xll.BDH(B$4,B$6:E$6,$B1,$B2,"Dir=V","CDR=5D","Days=A","Dts=S")</f>
        <v/>
      </c>
      <c r="F7" s="1" t="n"/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 Index</t>
        </is>
      </c>
      <c r="G4" t="inlineStr">
        <is>
          <t>MXBR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  <headerFooter>
    <oddHeader/>
    <oddFooter>&amp;R&amp;"Calibri"&amp;10 &amp;K008000_x000d_# [ CLASSIFICAÇÃO: PÚBLICA ]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M2BR0EN Index</t>
        </is>
      </c>
      <c r="G4" t="inlineStr">
        <is>
          <t>MXBR0EN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M2BR0MT Index</t>
        </is>
      </c>
      <c r="G4" t="inlineStr">
        <is>
          <t>MXBR0MT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M2BR0IN Index</t>
        </is>
      </c>
      <c r="G4" t="inlineStr">
        <is>
          <t>MXBR0IN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M2BR0CD Index</t>
        </is>
      </c>
      <c r="G4" t="inlineStr">
        <is>
          <t>MXBR0CD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M2BR0CS Index</t>
        </is>
      </c>
      <c r="G4" t="inlineStr">
        <is>
          <t>MXBR0CS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M2BR0HC Index</t>
        </is>
      </c>
      <c r="G4" t="inlineStr">
        <is>
          <t>MXBR0HC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M2BR0FN Index</t>
        </is>
      </c>
      <c r="G4" t="inlineStr">
        <is>
          <t>MXBR0FN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M2BR0IT Index</t>
        </is>
      </c>
      <c r="G4" t="inlineStr">
        <is>
          <t>MXBR0IT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M2BR0TC Index</t>
        </is>
      </c>
      <c r="G4" t="inlineStr">
        <is>
          <t>MXBR0TC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M2BR0UT Index</t>
        </is>
      </c>
      <c r="G4" t="inlineStr">
        <is>
          <t>MXBR0UT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PE_RATIO</t>
        </is>
      </c>
      <c r="E6" t="inlineStr">
        <is>
          <t>TRAIL_12M_EPS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PE_RATIO</t>
        </is>
      </c>
      <c r="J6" t="inlineStr">
        <is>
          <t>TRAIL_12M_EPS</t>
        </is>
      </c>
    </row>
    <row r="7">
      <c r="A7" s="1">
        <f t="array" ref="A7:E9006">_xll.BDH(B$4,B$6:E$6,$B1,$B2,"Dir=V","CDR=5D","Days=A","Dts=S")</f>
        <v/>
      </c>
      <c r="F7" s="1">
        <f t="array" ref="F7:J9006">_xll.BDH(G$4,G$6:J$6,$B1,$B2,"Dir=V","CDR=5D","Days=A","Dts=S")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Júlia Aquino</dc:creator>
  <dcterms:created xsi:type="dcterms:W3CDTF">2025-05-29T17:06:29Z</dcterms:created>
  <dcterms:modified xsi:type="dcterms:W3CDTF">2026-07-29T19:15:15Z</dcterms:modified>
  <cp:lastModifiedBy>Lucas Rosa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eadsheetBuilder_1" fmtid="{D5CDD505-2E9C-101B-9397-08002B2CF9AE}" pid="2">
    <vt:lpwstr>eyIwIjoiSGlzdG9yeSIsIjEiOjAsIjIiOjEsIjMiOjEsIjQiOjEsIjUiOjEsIjYiOjEsIjciOjEsIjgiOjAsIjkiOjEsIjEwIjoxLCIxMSI6MCwiMTIiOjB9</vt:lpwstr>
  </property>
  <property name="MSIP_Label_e6a9157b-bcf3-4eac-b03e-7cf007ba9fdf_Enabled" fmtid="{D5CDD505-2E9C-101B-9397-08002B2CF9AE}" pid="3">
    <vt:lpwstr>true</vt:lpwstr>
  </property>
  <property name="MSIP_Label_e6a9157b-bcf3-4eac-b03e-7cf007ba9fdf_SetDate" fmtid="{D5CDD505-2E9C-101B-9397-08002B2CF9AE}" pid="4">
    <vt:lpwstr>2025-05-29T17:09:55Z</vt:lpwstr>
  </property>
  <property name="MSIP_Label_e6a9157b-bcf3-4eac-b03e-7cf007ba9fdf_Method" fmtid="{D5CDD505-2E9C-101B-9397-08002B2CF9AE}" pid="5">
    <vt:lpwstr>Standard</vt:lpwstr>
  </property>
  <property name="MSIP_Label_e6a9157b-bcf3-4eac-b03e-7cf007ba9fdf_Name" fmtid="{D5CDD505-2E9C-101B-9397-08002B2CF9AE}" pid="6">
    <vt:lpwstr>Publica</vt:lpwstr>
  </property>
  <property name="MSIP_Label_e6a9157b-bcf3-4eac-b03e-7cf007ba9fdf_SiteId" fmtid="{D5CDD505-2E9C-101B-9397-08002B2CF9AE}" pid="7">
    <vt:lpwstr>cf56e405-d2b0-4266-b210-aa04636b6161</vt:lpwstr>
  </property>
  <property name="MSIP_Label_e6a9157b-bcf3-4eac-b03e-7cf007ba9fdf_ActionId" fmtid="{D5CDD505-2E9C-101B-9397-08002B2CF9AE}" pid="8">
    <vt:lpwstr>a004c623-f290-43c8-94a4-c98e0f27dd9c</vt:lpwstr>
  </property>
  <property name="MSIP_Label_e6a9157b-bcf3-4eac-b03e-7cf007ba9fdf_ContentBits" fmtid="{D5CDD505-2E9C-101B-9397-08002B2CF9AE}" pid="9">
    <vt:lpwstr>2</vt:lpwstr>
  </property>
</Properties>
</file>