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cbaabad2a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0026fec85844919"/>
    <x:sheet xmlns:r="http://schemas.openxmlformats.org/officeDocument/2006/relationships" name="Painel Setorial" sheetId="2" r:id="R1c337987147b4dfb"/>
    <x:sheet xmlns:r="http://schemas.openxmlformats.org/officeDocument/2006/relationships" name="Sens Focus-Swap" sheetId="3" r:id="R04166f8358684041"/>
    <x:sheet xmlns:r="http://schemas.openxmlformats.org/officeDocument/2006/relationships" name="Inflacao" sheetId="4" r:id="Rc8bbae6176904eaf"/>
    <x:sheet xmlns:r="http://schemas.openxmlformats.org/officeDocument/2006/relationships" name="Ex-Commodities" sheetId="5" r:id="Rd5d0f18917434491"/>
    <x:sheet xmlns:r="http://schemas.openxmlformats.org/officeDocument/2006/relationships" name="Energia" sheetId="6" r:id="R05857f4a09b4473c"/>
    <x:sheet xmlns:r="http://schemas.openxmlformats.org/officeDocument/2006/relationships" name="Earnings 12M Fwd" sheetId="7" r:id="R9ed3e61d172e42e8"/>
    <x:sheet xmlns:r="http://schemas.openxmlformats.org/officeDocument/2006/relationships" name="Earnings Base 100" sheetId="8" r:id="Rd865b707b5974716"/>
    <x:sheet xmlns:r="http://schemas.openxmlformats.org/officeDocument/2006/relationships" name="Revisions 3M" sheetId="9" r:id="R880ce400277f480b"/>
    <x:sheet xmlns:r="http://schemas.openxmlformats.org/officeDocument/2006/relationships" name="Series Energia" sheetId="10" r:id="R8d32c395da8448eb"/>
    <x:sheet xmlns:r="http://schemas.openxmlformats.org/officeDocument/2006/relationships" name="Macro IBOV" sheetId="11" r:id="R0356087c0af74ecd"/>
    <x:sheet xmlns:r="http://schemas.openxmlformats.org/officeDocument/2006/relationships" name="Reg IBOV" sheetId="12" r:id="Ra437e59397004adc"/>
    <x:sheet xmlns:r="http://schemas.openxmlformats.org/officeDocument/2006/relationships" name="Reg Setores" sheetId="13" r:id="Rc149e06a23d546ac"/>
    <x:sheet xmlns:r="http://schemas.openxmlformats.org/officeDocument/2006/relationships" name="Swap Robustez" sheetId="14" r:id="Rc346393c1d084429"/>
    <x:sheet xmlns:r="http://schemas.openxmlformats.org/officeDocument/2006/relationships" name="Reg Energia" sheetId="15" r:id="R0bd482ed007d4e48"/>
    <x:sheet xmlns:r="http://schemas.openxmlformats.org/officeDocument/2006/relationships" name="Seams" sheetId="16" r:id="Rad88116928944ebf"/>
    <x:sheet xmlns:r="http://schemas.openxmlformats.org/officeDocument/2006/relationships" name="Fontes" sheetId="17" r:id="Rbba8915e53b643a4"/>
    <x:sheet xmlns:r="http://schemas.openxmlformats.org/officeDocument/2006/relationships" name="Dicionario" sheetId="18" r:id="R539f42484cba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mmm yyyy"/>
    <x:numFmt numFmtId="201" formatCode="#,##0.0"/>
    <x:numFmt numFmtId="202" formatCode="0.0"/>
    <x:numFmt numFmtId="203" formatCode="#,##0.00"/>
    <x:numFmt numFmtId="204" formatCode="0.00"/>
    <x:numFmt numFmtId="205" formatCode="0.0000"/>
    <x:numFmt numFmtId="206" formatCode="0"/>
    <x:numFmt numFmtId="207" formatCode="0.000"/>
    <x:numFmt numFmtId="208" formatCode="0.000000"/>
    <x:numFmt numFmtId="209" formatCode="0.0%"/>
    <x:numFmt numFmtId="210" formatCode="dd mmm yyyy"/>
  </x:numFmts>
  <x:fonts count="10">
    <x:font>
      <x:sz val="11"/>
      <x:name val="Carlito"/>
    </x:font>
    <x:font>
      <x:b/>
      <x:sz val="16"/>
      <x:color rgb="FF1F4E78"/>
      <x:name val="Arial"/>
    </x:font>
    <x:font>
      <x:i/>
      <x:sz val="9"/>
      <x:color rgb="FF666666"/>
      <x:name val="Arial"/>
    </x:font>
    <x:font>
      <x:sz val="9"/>
      <x:color rgb="FF222222"/>
      <x:name val="Arial"/>
    </x:font>
    <x:font>
      <x:b/>
      <x:sz val="9"/>
      <x:color rgb="FFFFFFFF"/>
      <x:name val="Arial"/>
    </x:font>
    <x:font>
      <x:b/>
      <x:sz val="10"/>
      <x:color rgb="FFFFFFFF"/>
      <x:name val="Arial"/>
    </x:font>
    <x:font>
      <x:i/>
      <x:sz val="9"/>
      <x:color rgb="FF222222"/>
      <x:name val="Arial"/>
    </x:font>
    <x:font>
      <x:b/>
      <x:sz val="9"/>
      <x:color rgb="FF548235"/>
      <x:name val="Arial"/>
    </x:font>
    <x:font>
      <x:b/>
      <x:sz val="9"/>
      <x:color rgb="FF1F4E78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9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hair">
        <x:color rgb="FFE7E6E6"/>
      </x:bottom>
    </x:border>
    <x:border>
      <x:top style="hair">
        <x:color rgb="FFE7E6E6"/>
      </x:top>
      <x:bottom style="hair">
        <x:color rgb="FFE7E6E6"/>
      </x:bottom>
    </x:border>
    <x:border>
      <x:top style="hair">
        <x:color rgb="FFE7E6E6"/>
      </x:top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horizontal="right" vertical="center"/>
    </x:xf>
    <x:xf numFmtId="200" fontId="3" fillId="0" borderId="4" xfId="0" applyNumberFormat="1" applyFont="1" applyFill="1" applyBorder="1" applyAlignment="1">
      <x:alignment horizontal="right" vertical="center"/>
    </x:xf>
    <x:xf numFmtId="200" fontId="3" fillId="0" borderId="5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horizontal="left" vertical="center"/>
    </x:xf>
    <x:xf numFmtId="201" fontId="3" fillId="0" borderId="4" xfId="0" applyNumberFormat="1" applyFont="1" applyFill="1" applyBorder="1" applyAlignment="1">
      <x:alignment horizontal="left" vertical="center"/>
    </x:xf>
    <x:xf numFmtId="201" fontId="3" fillId="0" borderId="5" xfId="0" applyNumberFormat="1" applyFont="1" applyFill="1" applyBorder="1" applyAlignment="1">
      <x:alignment horizontal="lef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5" xfId="0" applyNumberFormat="1" applyFont="1" applyFill="1" applyBorder="1" applyAlignment="1">
      <x:alignment horizontal="right" vertical="center"/>
    </x:xf>
    <x:xf numFmtId="202" fontId="3" fillId="0" borderId="3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horizontal="left" vertical="center"/>
    </x:xf>
    <x:xf numFmtId="202" fontId="3" fillId="0" borderId="4" xfId="0" applyNumberFormat="1" applyFont="1" applyFill="1" applyBorder="1" applyAlignment="1">
      <x:alignment horizontal="left" vertical="center"/>
    </x:xf>
    <x:xf numFmtId="202" fontId="3" fillId="0" borderId="5" xfId="0" applyNumberFormat="1" applyFont="1" applyFill="1" applyBorder="1" applyAlignment="1">
      <x:alignment horizontal="left" vertical="center"/>
    </x:xf>
    <x:xf numFmtId="202" fontId="3" fillId="0" borderId="3" xfId="0" applyNumberFormat="1" applyFont="1" applyFill="1" applyBorder="1" applyAlignment="1">
      <x:alignment horizontal="right" vertical="center"/>
    </x:xf>
    <x:xf numFmtId="202" fontId="3" fillId="0" borderId="4" xfId="0" applyNumberFormat="1" applyFont="1" applyFill="1" applyBorder="1" applyAlignment="1">
      <x:alignment horizontal="right" vertical="center"/>
    </x:xf>
    <x:xf numFmtId="202" fontId="3" fillId="0" borderId="5" xfId="0" applyNumberFormat="1" applyFont="1" applyFill="1" applyBorder="1" applyAlignment="1">
      <x:alignment horizontal="right" vertical="center"/>
    </x:xf>
    <x:xf numFmtId="203" fontId="3" fillId="0" borderId="3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203" fontId="3" fillId="0" borderId="3" xfId="0" applyNumberFormat="1" applyFont="1" applyFill="1" applyBorder="1" applyAlignment="1">
      <x:alignment horizontal="left" vertical="center"/>
    </x:xf>
    <x:xf numFmtId="203" fontId="3" fillId="0" borderId="4" xfId="0" applyNumberFormat="1" applyFont="1" applyFill="1" applyBorder="1" applyAlignment="1">
      <x:alignment horizontal="left" vertical="center"/>
    </x:xf>
    <x:xf numFmtId="203" fontId="3" fillId="0" borderId="5" xfId="0" applyNumberFormat="1" applyFont="1" applyFill="1" applyBorder="1" applyAlignment="1">
      <x:alignment horizontal="left" vertical="center"/>
    </x:xf>
    <x:xf numFmtId="203" fontId="3" fillId="0" borderId="3" xfId="0" applyNumberFormat="1" applyFont="1" applyFill="1" applyBorder="1" applyAlignment="1">
      <x:alignment horizontal="right" vertical="center"/>
    </x:xf>
    <x:xf numFmtId="203" fontId="3" fillId="0" borderId="4" xfId="0" applyNumberFormat="1" applyFont="1" applyFill="1" applyBorder="1" applyAlignment="1">
      <x:alignment horizontal="right" vertical="center"/>
    </x:xf>
    <x:xf numFmtId="203" fontId="3" fillId="0" borderId="5" xfId="0" applyNumberFormat="1" applyFont="1" applyFill="1" applyBorder="1" applyAlignment="1">
      <x:alignment horizontal="right" vertical="center"/>
    </x:xf>
    <x:xf numFmtId="204" fontId="3" fillId="0" borderId="3" xfId="0" applyNumberFormat="1" applyFont="1" applyFill="1" applyBorder="1" applyAlignment="1">
      <x:alignment vertical="center"/>
    </x:xf>
    <x:xf numFmtId="204" fontId="3" fillId="0" borderId="4" xfId="0" applyNumberFormat="1" applyFont="1" applyFill="1" applyBorder="1" applyAlignment="1">
      <x:alignment vertical="center"/>
    </x:xf>
    <x:xf numFmtId="204" fontId="3" fillId="0" borderId="5" xfId="0" applyNumberFormat="1" applyFont="1" applyFill="1" applyBorder="1" applyAlignment="1">
      <x:alignment vertical="center"/>
    </x:xf>
    <x:xf numFmtId="204" fontId="3" fillId="0" borderId="3" xfId="0" applyNumberFormat="1" applyFont="1" applyFill="1" applyBorder="1" applyAlignment="1">
      <x:alignment horizontal="right" vertical="center"/>
    </x:xf>
    <x:xf numFmtId="204" fontId="3" fillId="0" borderId="4" xfId="0" applyNumberFormat="1" applyFont="1" applyFill="1" applyBorder="1" applyAlignment="1">
      <x:alignment horizontal="right" vertical="center"/>
    </x:xf>
    <x:xf numFmtId="204" fontId="3" fillId="0" borderId="5" xfId="0" applyNumberFormat="1" applyFont="1" applyFill="1" applyBorder="1" applyAlignment="1">
      <x:alignment horizontal="right" vertical="center"/>
    </x:xf>
    <x:xf numFmtId="205" fontId="3" fillId="0" borderId="3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5" fontId="3" fillId="0" borderId="5" xfId="0" applyNumberFormat="1" applyFont="1" applyFill="1" applyBorder="1" applyAlignment="1">
      <x:alignment vertical="center"/>
    </x:xf>
    <x:xf numFmtId="205" fontId="3" fillId="0" borderId="3" xfId="0" applyNumberFormat="1" applyFont="1" applyFill="1" applyBorder="1" applyAlignment="1">
      <x:alignment horizontal="right" vertical="center"/>
    </x:xf>
    <x:xf numFmtId="205" fontId="3" fillId="0" borderId="4" xfId="0" applyNumberFormat="1" applyFont="1" applyFill="1" applyBorder="1" applyAlignment="1">
      <x:alignment horizontal="right" vertical="center"/>
    </x:xf>
    <x:xf numFmtId="205" fontId="3" fillId="0" borderId="5" xfId="0" applyNumberFormat="1" applyFont="1" applyFill="1" applyBorder="1" applyAlignment="1">
      <x:alignment horizontal="right" vertical="center"/>
    </x:xf>
    <x:xf numFmtId="206" fontId="3" fillId="0" borderId="3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206" fontId="3" fillId="0" borderId="5" xfId="0" applyNumberFormat="1" applyFont="1" applyFill="1" applyBorder="1" applyAlignment="1">
      <x:alignment vertical="center"/>
    </x:xf>
    <x:xf numFmtId="206" fontId="3" fillId="0" borderId="3" xfId="0" applyNumberFormat="1" applyFont="1" applyFill="1" applyBorder="1" applyAlignment="1">
      <x:alignment horizontal="right" vertical="center"/>
    </x:xf>
    <x:xf numFmtId="206" fontId="3" fillId="0" borderId="4" xfId="0" applyNumberFormat="1" applyFont="1" applyFill="1" applyBorder="1" applyAlignment="1">
      <x:alignment horizontal="right" vertical="center"/>
    </x:xf>
    <x:xf numFmtId="206" fontId="3" fillId="0" borderId="5" xfId="0" applyNumberFormat="1" applyFont="1" applyFill="1" applyBorder="1" applyAlignment="1">
      <x:alignment horizontal="right" vertical="center"/>
    </x:xf>
    <x:xf numFmtId="207" fontId="3" fillId="0" borderId="3" xfId="0" applyNumberFormat="1" applyFont="1" applyFill="1" applyBorder="1" applyAlignment="1">
      <x:alignment vertical="center"/>
    </x:xf>
    <x:xf numFmtId="207" fontId="3" fillId="0" borderId="4" xfId="0" applyNumberFormat="1" applyFont="1" applyFill="1" applyBorder="1" applyAlignment="1">
      <x:alignment vertical="center"/>
    </x:xf>
    <x:xf numFmtId="207" fontId="3" fillId="0" borderId="5" xfId="0" applyNumberFormat="1" applyFont="1" applyFill="1" applyBorder="1" applyAlignment="1">
      <x:alignment vertical="center"/>
    </x:xf>
    <x:xf numFmtId="207" fontId="3" fillId="0" borderId="3" xfId="0" applyNumberFormat="1" applyFont="1" applyFill="1" applyBorder="1" applyAlignment="1">
      <x:alignment horizontal="right" vertical="center"/>
    </x:xf>
    <x:xf numFmtId="207" fontId="3" fillId="0" borderId="4" xfId="0" applyNumberFormat="1" applyFont="1" applyFill="1" applyBorder="1" applyAlignment="1">
      <x:alignment horizontal="right" vertical="center"/>
    </x:xf>
    <x:xf numFmtId="207" fontId="3" fillId="0" borderId="5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4" fontId="4" fillId="2" borderId="2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209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10" fontId="3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0" xfId="0" applyNumberFormat="1" applyFont="1" applyFill="1" applyBorder="1"/>
    <x:xf numFmtId="208" fontId="9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29fe515134c3d" /><Relationship Type="http://schemas.openxmlformats.org/officeDocument/2006/relationships/theme" Target="/xl/theme/theme1.xml" Id="R3ae04b5a53aa41af" /><Relationship Type="http://schemas.openxmlformats.org/officeDocument/2006/relationships/sharedStrings" Target="/xl/sharedStrings.xml" Id="R997a4425f75341ca" /><Relationship Type="http://schemas.openxmlformats.org/officeDocument/2006/relationships/worksheet" Target="/xl/worksheets/sheet1.xml" Id="Rf0026fec85844919" /><Relationship Type="http://schemas.openxmlformats.org/officeDocument/2006/relationships/worksheet" Target="/xl/worksheets/sheet2.xml" Id="R1c337987147b4dfb" /><Relationship Type="http://schemas.openxmlformats.org/officeDocument/2006/relationships/worksheet" Target="/xl/worksheets/sheet3.xml" Id="R04166f8358684041" /><Relationship Type="http://schemas.openxmlformats.org/officeDocument/2006/relationships/worksheet" Target="/xl/worksheets/sheet4.xml" Id="Rc8bbae6176904eaf" /><Relationship Type="http://schemas.openxmlformats.org/officeDocument/2006/relationships/worksheet" Target="/xl/worksheets/sheet5.xml" Id="Rd5d0f18917434491" /><Relationship Type="http://schemas.openxmlformats.org/officeDocument/2006/relationships/worksheet" Target="/xl/worksheets/sheet6.xml" Id="R05857f4a09b4473c" /><Relationship Type="http://schemas.openxmlformats.org/officeDocument/2006/relationships/worksheet" Target="/xl/worksheets/sheet7.xml" Id="R9ed3e61d172e42e8" /><Relationship Type="http://schemas.openxmlformats.org/officeDocument/2006/relationships/worksheet" Target="/xl/worksheets/sheet8.xml" Id="Rd865b707b5974716" /><Relationship Type="http://schemas.openxmlformats.org/officeDocument/2006/relationships/worksheet" Target="/xl/worksheets/sheet9.xml" Id="R880ce400277f480b" /><Relationship Type="http://schemas.openxmlformats.org/officeDocument/2006/relationships/worksheet" Target="/xl/worksheets/sheet10.xml" Id="R8d32c395da8448eb" /><Relationship Type="http://schemas.openxmlformats.org/officeDocument/2006/relationships/worksheet" Target="/xl/worksheets/sheet11.xml" Id="R0356087c0af74ecd" /><Relationship Type="http://schemas.openxmlformats.org/officeDocument/2006/relationships/worksheet" Target="/xl/worksheets/sheet12.xml" Id="Ra437e59397004adc" /><Relationship Type="http://schemas.openxmlformats.org/officeDocument/2006/relationships/worksheet" Target="/xl/worksheets/sheet13.xml" Id="Rc149e06a23d546ac" /><Relationship Type="http://schemas.openxmlformats.org/officeDocument/2006/relationships/worksheet" Target="/xl/worksheets/sheet14.xml" Id="Rc346393c1d084429" /><Relationship Type="http://schemas.openxmlformats.org/officeDocument/2006/relationships/worksheet" Target="/xl/worksheets/sheet15.xml" Id="R0bd482ed007d4e48" /><Relationship Type="http://schemas.openxmlformats.org/officeDocument/2006/relationships/worksheet" Target="/xl/worksheets/sheet16.xml" Id="Rad88116928944ebf" /><Relationship Type="http://schemas.openxmlformats.org/officeDocument/2006/relationships/worksheet" Target="/xl/worksheets/sheet17.xml" Id="Rbba8915e53b643a4" /><Relationship Type="http://schemas.openxmlformats.org/officeDocument/2006/relationships/worksheet" Target="/xl/worksheets/sheet18.xml" Id="R539f42484cba45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209560807946f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b2b6ad1f86e4b3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ae724e3e67840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Beta Focus padronizado por setor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Focus beta pad.</c:v>
          </c:tx>
          <c:cat>
            <c:strRef>
              <c:f>'Painel Setorial'!$C$9:$C$19</c:f>
              <c:strCache>
                <c:ptCount val="0"/>
              </c:strCache>
            </c:strRef>
          </c:cat>
          <c:val>
            <c:numRef>
              <c:f>'Painel Setorial'!$F$9:$F$19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Earnings 12 meses forward por setor - base 100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IBOV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100'!$D$236:$D$460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Communication Services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100'!$E$236:$E$460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Consumer Discretionary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100'!$F$236:$F$460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Consumer Staples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100'!$G$236:$G$460</c:f>
              <c:numCache>
                <c:formatCode>0</c:formatCode>
                <c:ptCount val="0"/>
              </c:numCache>
            </c:numRef>
          </c:val>
          <c:smooth val="0"/>
        </c:ser>
        <c:ser>
          <c:idx val="4"/>
          <c:order val="4"/>
          <c:tx>
            <c:v>Energy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100'!$H$236:$H$460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Financials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100'!$I$236:$I$460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Health Care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100'!$J$236:$J$460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Industrials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100'!$K$236:$K$460</c:f>
              <c:numCache>
                <c:formatCode>0</c:formatCode>
                <c:ptCount val="0"/>
              </c:numCache>
            </c:numRef>
          </c:val>
          <c:smooth val="0"/>
        </c:ser>
        <c:ser>
          <c:idx val="8"/>
          <c:order val="8"/>
          <c:tx>
            <c:v>Information Technology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100'!$L$236:$L$460</c:f>
              <c:numCache>
                <c:formatCode>0</c:formatCode>
                <c:ptCount val="0"/>
              </c:numCache>
            </c:numRef>
          </c:val>
          <c:smooth val="0"/>
        </c:ser>
        <c:ser>
          <c:idx val="9"/>
          <c:order val="9"/>
          <c:tx>
            <c:v>Materials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100'!$M$236:$M$460</c:f>
              <c:numCache>
                <c:formatCode>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Real Estate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100'!$N$236:$N$460</c:f>
              <c:numCache>
                <c:formatCode>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Utilities</c:v>
          </c:tx>
          <c:marker>
            <c:symbol val="none"/>
          </c:marker>
          <c:cat>
            <c:strRef>
              <c:f>'Earnings Base 100'!$C$236:$C$460</c:f>
              <c:strCache>
                <c:ptCount val="0"/>
              </c:strCache>
            </c:strRef>
          </c:cat>
          <c:val>
            <c:numRef>
              <c:f>'Earnings Base 100'!$O$236:$O$460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8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Earnings de Energia e companhias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Energy reported</c:v>
          </c:tx>
          <c:marker>
            <c:symbol val="none"/>
          </c:marker>
          <c:cat>
            <c:strRef>
              <c:f>'Series Energia'!$C$236:$C$460</c:f>
              <c:strCache>
                <c:ptCount val="0"/>
              </c:strCache>
            </c:strRef>
          </c:cat>
          <c:val>
            <c:numRef>
              <c:f>'Series Energia'!$D$236:$D$460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Petrobras</c:v>
          </c:tx>
          <c:marker>
            <c:symbol val="none"/>
          </c:marker>
          <c:cat>
            <c:strRef>
              <c:f>'Series Energia'!$C$236:$C$460</c:f>
              <c:strCache>
                <c:ptCount val="0"/>
              </c:strCache>
            </c:strRef>
          </c:cat>
          <c:val>
            <c:numRef>
              <c:f>'Series Energia'!$E$236:$E$460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Ex-Petrobras dynamic</c:v>
          </c:tx>
          <c:marker>
            <c:symbol val="none"/>
          </c:marker>
          <c:cat>
            <c:strRef>
              <c:f>'Series Energia'!$C$236:$C$460</c:f>
              <c:strCache>
                <c:ptCount val="0"/>
              </c:strCache>
            </c:strRef>
          </c:cat>
          <c:val>
            <c:numRef>
              <c:f>'Series Energia'!$F$236:$F$460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Ex-Petrobras core (PRIO + Brava)</c:v>
          </c:tx>
          <c:marker>
            <c:symbol val="none"/>
          </c:marker>
          <c:cat>
            <c:strRef>
              <c:f>'Series Energia'!$C$236:$C$460</c:f>
              <c:strCache>
                <c:ptCount val="0"/>
              </c:strCache>
            </c:strRef>
          </c:cat>
          <c:val>
            <c:numRef>
              <c:f>'Series Energia'!$G$236:$G$460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8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5</xdr:row>
      <xdr:rowOff>0</xdr:rowOff>
    </xdr:from>
    <xdr:to>
      <xdr:col>22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209560807946f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17</xdr:col>
      <xdr:colOff>0</xdr:colOff>
      <xdr:row>1</xdr:row>
      <xdr:rowOff>0</xdr:rowOff>
    </xdr:from>
    <xdr:to>
      <xdr:col>30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2b6ad1f86e4b3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e724e3e67840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1" name="TblInflation" displayName="TblInflation" ref="C14:Q26" headerRowCount="1" totalsRowCount="0" totalsRowShown="0">
  <x:tableColumns count="15">
    <x:tableColumn id="1" name="sample"/>
    <x:tableColumn id="2" name="candidate"/>
    <x:tableColumn id="3" name="start"/>
    <x:tableColumn id="4" name="end"/>
    <x:tableColumn id="5" name="n"/>
    <x:tableColumn id="6" name="univariate_r2"/>
    <x:tableColumn id="7" name="base_r2"/>
    <x:tableColumn id="8" name="augmented_r2"/>
    <x:tableColumn id="9" name="delta_r2"/>
    <x:tableColumn id="10" name="delta_adj_r2"/>
    <x:tableColumn id="11" name="beta"/>
    <x:tableColumn id="12" name="se_hac"/>
    <x:tableColumn id="13" name="t_hac"/>
    <x:tableColumn id="14" name="p_hac"/>
    <x:tableColumn id="15" name="beta_st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2" name="TblExCommod" displayName="TblExCommod" ref="C18:Z24" headerRowCount="1" totalsRowCount="0" totalsRowShown="0">
  <x:tableColumns count="24">
    <x:tableColumn id="1" name="sample"/>
    <x:tableColumn id="2" name="start"/>
    <x:tableColumn id="3" name="end"/>
    <x:tableColumn id="4" name="n"/>
    <x:tableColumn id="5" name="corr_targets"/>
    <x:tableColumn id="6" name="beta_focus_ibov"/>
    <x:tableColumn id="7" name="p_focus_ibov"/>
    <x:tableColumn id="8" name="beta_std_focus_ibov"/>
    <x:tableColumn id="9" name="beta_focus_excommod"/>
    <x:tableColumn id="10" name="p_focus_excommod"/>
    <x:tableColumn id="11" name="beta_std_focus_excommod"/>
    <x:tableColumn id="12" name="beta_focus_commodities"/>
    <x:tableColumn id="13" name="p_focus_commodities"/>
    <x:tableColumn id="14" name="beta_std_focus_commodities"/>
    <x:tableColumn id="15" name="beta_focus_difference"/>
    <x:tableColumn id="16" name="p_focus_difference"/>
    <x:tableColumn id="17" name="beta_std_focus_difference"/>
    <x:tableColumn id="18" name="r2_ibov"/>
    <x:tableColumn id="19" name="r2_excommod"/>
    <x:tableColumn id="20" name="r2_commodities"/>
    <x:tableColumn id="21" name="simple_beta_focus_ibov"/>
    <x:tableColumn id="22" name="simple_beta_focus_excommod"/>
    <x:tableColumn id="23" name="simple_beta_focus_difference"/>
    <x:tableColumn id="24" name="simple_p_focus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TblEarnings12MFwd" displayName="TblEarnings12MFwd" ref="C6:R231" headerRowCount="1" totalsRowCount="0" totalsRowShown="0">
  <x:tableColumns count="16">
    <x:tableColumn id="1" name="month"/>
    <x:tableColumn id="2" name="date"/>
    <x:tableColumn id="3" name="source_file"/>
    <x:tableColumn id="4" name="IBOV"/>
    <x:tableColumn id="5" name="Communication Services"/>
    <x:tableColumn id="6" name="Consumer Discretionary"/>
    <x:tableColumn id="7" name="Consumer Staples"/>
    <x:tableColumn id="8" name="Energy"/>
    <x:tableColumn id="9" name="Financials"/>
    <x:tableColumn id="10" name="Health Care"/>
    <x:tableColumn id="11" name="Industrials"/>
    <x:tableColumn id="12" name="Information Technology"/>
    <x:tableColumn id="13" name="Materials"/>
    <x:tableColumn id="14" name="Real Estate"/>
    <x:tableColumn id="15" name="Utilities"/>
    <x:tableColumn id="16" name="Not Classifi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TblEarningsBase100" displayName="TblEarningsBase100" ref="C6:Q231" headerRowCount="1" totalsRowCount="0" totalsRowShown="0">
  <x:tableColumns count="15">
    <x:tableColumn id="1" name="month"/>
    <x:tableColumn id="2" name="date"/>
    <x:tableColumn id="3" name="source_file"/>
    <x:tableColumn id="4" name="IBOV"/>
    <x:tableColumn id="5" name="Communication Services"/>
    <x:tableColumn id="6" name="Consumer Discretionary"/>
    <x:tableColumn id="7" name="Consumer Staples"/>
    <x:tableColumn id="8" name="Energy"/>
    <x:tableColumn id="9" name="Financials"/>
    <x:tableColumn id="10" name="Health Care"/>
    <x:tableColumn id="11" name="Industrials"/>
    <x:tableColumn id="12" name="Information Technology"/>
    <x:tableColumn id="13" name="Materials"/>
    <x:tableColumn id="14" name="Real Estate"/>
    <x:tableColumn id="15" name="Utiliti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TblRevisions3M" displayName="TblRevisions3M" ref="C6:R231" headerRowCount="1" totalsRowCount="0" totalsRowShown="0">
  <x:tableColumns count="16">
    <x:tableColumn id="1" name="month"/>
    <x:tableColumn id="2" name="date"/>
    <x:tableColumn id="3" name="source_file"/>
    <x:tableColumn id="4" name="IBOV"/>
    <x:tableColumn id="5" name="Communication Services"/>
    <x:tableColumn id="6" name="Consumer Discretionary"/>
    <x:tableColumn id="7" name="Consumer Staples"/>
    <x:tableColumn id="8" name="Energy"/>
    <x:tableColumn id="9" name="Financials"/>
    <x:tableColumn id="10" name="Health Care"/>
    <x:tableColumn id="11" name="Industrials"/>
    <x:tableColumn id="12" name="Information Technology"/>
    <x:tableColumn id="13" name="Materials"/>
    <x:tableColumn id="14" name="Real Estate"/>
    <x:tableColumn id="15" name="Utilities"/>
    <x:tableColumn id="16" name="Not Classifi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TblEnergySeries" displayName="TblEnergySeries" ref="C6:L231" headerRowCount="1" totalsRowCount="0" totalsRowShown="0">
  <x:tableColumns count="10">
    <x:tableColumn id="1" name="month"/>
    <x:tableColumn id="2" name="Energy reported"/>
    <x:tableColumn id="3" name="IBOV"/>
    <x:tableColumn id="4" name="Brava Energia"/>
    <x:tableColumn id="5" name="Oleo e Gas Participacoes"/>
    <x:tableColumn id="6" name="PRIO"/>
    <x:tableColumn id="7" name="PetroReconcavo"/>
    <x:tableColumn id="8" name="Petrobras"/>
    <x:tableColumn id="9" name="Ex-Petrobras dynamic"/>
    <x:tableColumn id="10" name="Ex-Petrobras core (PRIO + Brava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TblMacroIbov" displayName="TblMacroIbov" ref="C6:X319" headerRowCount="1" totalsRowCount="0" totalsRowShown="0">
  <x:tableColumns count="22">
    <x:tableColumn id="1" name="month"/>
    <x:tableColumn id="2" name="eps"/>
    <x:tableColumn id="3" name="y_rev3"/>
    <x:tableColumn id="4" name="ibov_constant_basket"/>
    <x:tableColumn id="5" name="y_constant_basket_rev3"/>
    <x:tableColumn id="6" name="focus_pib"/>
    <x:tableColumn id="7" name="d_focus_pib3"/>
    <x:tableColumn id="8" name="focus_ipca"/>
    <x:tableColumn id="9" name="d_focus_ipca3"/>
    <x:tableColumn id="10" name="ipca12_available"/>
    <x:tableColumn id="11" name="d_ipca12_3_available"/>
    <x:tableColumn id="12" name="ipca3_flow_available"/>
    <x:tableColumn id="13" name="bcom_usd"/>
    <x:tableColumn id="14" name="d_bcom_usd3"/>
    <x:tableColumn id="15" name="bcom_brl"/>
    <x:tableColumn id="16" name="d_bcom_brl3"/>
    <x:tableColumn id="17" name="usdbrl"/>
    <x:tableColumn id="18" name="d_usdbrl3"/>
    <x:tableColumn id="19" name="swap360"/>
    <x:tableColumn id="20" name="d_swap360_3"/>
    <x:tableColumn id="21" name="brent_usd"/>
    <x:tableColumn id="22" name="d_brent3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TblRegIbov" displayName="TblRegIbov" ref="C6:N26" headerRowCount="1" totalsRowCount="0" totalsRowShown="0">
  <x:tableColumns count="12">
    <x:tableColumn id="1" name="target"/>
    <x:tableColumn id="2" name="sample"/>
    <x:tableColumn id="3" name="specification"/>
    <x:tableColumn id="4" name="n"/>
    <x:tableColumn id="5" name="r2"/>
    <x:tableColumn id="6" name="adj_r2"/>
    <x:tableColumn id="7" name="variable"/>
    <x:tableColumn id="8" name="beta"/>
    <x:tableColumn id="9" name="beta_std"/>
    <x:tableColumn id="10" name="se_hac"/>
    <x:tableColumn id="11" name="t_hac"/>
    <x:tableColumn id="12" name="p_hac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TblRegSetores" displayName="TblRegSetores" ref="C6:AR114" headerRowCount="1" totalsRowCount="0" totalsRowShown="0">
  <x:tableColumns count="42">
    <x:tableColumn id="1" name="target"/>
    <x:tableColumn id="2" name="sample"/>
    <x:tableColumn id="3" name="start"/>
    <x:tableColumn id="4" name="end"/>
    <x:tableColumn id="5" name="n"/>
    <x:tableColumn id="6" name="r2"/>
    <x:tableColumn id="7" name="adj_r2"/>
    <x:tableColumn id="8" name="invalid_nonpositive_windows_full"/>
    <x:tableColumn id="9" name="d_focus_pib3_beta"/>
    <x:tableColumn id="10" name="d_focus_pib3_beta_std"/>
    <x:tableColumn id="11" name="d_focus_pib3_t"/>
    <x:tableColumn id="12" name="d_focus_pib3_p"/>
    <x:tableColumn id="13" name="d_focus_pib3_partial_r2"/>
    <x:tableColumn id="14" name="d_bcom_usd3_beta"/>
    <x:tableColumn id="15" name="d_bcom_usd3_beta_std"/>
    <x:tableColumn id="16" name="d_bcom_usd3_t"/>
    <x:tableColumn id="17" name="d_bcom_usd3_p"/>
    <x:tableColumn id="18" name="d_bcom_usd3_partial_r2"/>
    <x:tableColumn id="19" name="d_usdbrl3_beta"/>
    <x:tableColumn id="20" name="d_usdbrl3_beta_std"/>
    <x:tableColumn id="21" name="d_usdbrl3_t"/>
    <x:tableColumn id="22" name="d_usdbrl3_p"/>
    <x:tableColumn id="23" name="d_usdbrl3_partial_r2"/>
    <x:tableColumn id="24" name="d_ipca12_3_available_beta"/>
    <x:tableColumn id="25" name="d_ipca12_3_available_beta_std"/>
    <x:tableColumn id="26" name="d_ipca12_3_available_t"/>
    <x:tableColumn id="27" name="d_ipca12_3_available_p"/>
    <x:tableColumn id="28" name="d_ipca12_3_available_partial_r2"/>
    <x:tableColumn id="29" name="d_swap360_3_beta"/>
    <x:tableColumn id="30" name="d_swap360_3_beta_std"/>
    <x:tableColumn id="31" name="d_swap360_3_t"/>
    <x:tableColumn id="32" name="d_swap360_3_p"/>
    <x:tableColumn id="33" name="d_swap360_3_partial_r2"/>
    <x:tableColumn id="34" name="focus_ibov_same_sample"/>
    <x:tableColumn id="35" name="focus_difference_vs_ibov"/>
    <x:tableColumn id="36" name="focus_difference_p"/>
    <x:tableColumn id="37" name="d_focus_pib3_q_bh"/>
    <x:tableColumn id="38" name="d_bcom_usd3_q_bh"/>
    <x:tableColumn id="39" name="d_usdbrl3_q_bh"/>
    <x:tableColumn id="40" name="d_ipca12_3_available_q_bh"/>
    <x:tableColumn id="41" name="d_swap360_3_q_bh"/>
    <x:tableColumn id="42" name="focus_difference_q_bh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3" name="TblSwapRobustness" displayName="TblSwapRobustness" ref="C20:L68" headerRowCount="1" totalsRowCount="0" totalsRowShown="0">
  <x:tableColumns count="10">
    <x:tableColumn id="1" name="target"/>
    <x:tableColumn id="2" name="sample"/>
    <x:tableColumn id="3" name="specification"/>
    <x:tableColumn id="4" name="n"/>
    <x:tableColumn id="5" name="r2"/>
    <x:tableColumn id="6" name="beta_swap"/>
    <x:tableColumn id="7" name="beta_std_swap"/>
    <x:tableColumn id="8" name="se_hac_swap"/>
    <x:tableColumn id="9" name="t_hac_swap"/>
    <x:tableColumn id="10" name="p_hac_swap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8" name="TblRegEnergy" displayName="TblRegEnergy" ref="C6:AI74" headerRowCount="1" totalsRowCount="0" totalsRowShown="0">
  <x:tableColumns count="33">
    <x:tableColumn id="1" name="target"/>
    <x:tableColumn id="2" name="sample"/>
    <x:tableColumn id="3" name="specification"/>
    <x:tableColumn id="4" name="start"/>
    <x:tableColumn id="5" name="end"/>
    <x:tableColumn id="6" name="n"/>
    <x:tableColumn id="7" name="r2"/>
    <x:tableColumn id="8" name="adj_r2"/>
    <x:tableColumn id="9" name="invalid_nonpositive_windows"/>
    <x:tableColumn id="10" name="d_focus_pib3_beta"/>
    <x:tableColumn id="11" name="d_focus_pib3_beta_std"/>
    <x:tableColumn id="12" name="d_focus_pib3_t"/>
    <x:tableColumn id="13" name="d_focus_pib3_p"/>
    <x:tableColumn id="14" name="d_bcom_usd3_beta"/>
    <x:tableColumn id="15" name="d_bcom_usd3_beta_std"/>
    <x:tableColumn id="16" name="d_bcom_usd3_t"/>
    <x:tableColumn id="17" name="d_bcom_usd3_p"/>
    <x:tableColumn id="18" name="d_usdbrl3_beta"/>
    <x:tableColumn id="19" name="d_usdbrl3_beta_std"/>
    <x:tableColumn id="20" name="d_usdbrl3_t"/>
    <x:tableColumn id="21" name="d_usdbrl3_p"/>
    <x:tableColumn id="22" name="d_ipca12_3_available_beta"/>
    <x:tableColumn id="23" name="d_ipca12_3_available_beta_std"/>
    <x:tableColumn id="24" name="d_ipca12_3_available_t"/>
    <x:tableColumn id="25" name="d_ipca12_3_available_p"/>
    <x:tableColumn id="26" name="d_swap360_3_beta"/>
    <x:tableColumn id="27" name="d_swap360_3_beta_std"/>
    <x:tableColumn id="28" name="d_swap360_3_t"/>
    <x:tableColumn id="29" name="d_swap360_3_p"/>
    <x:tableColumn id="30" name="d_brent3_beta"/>
    <x:tableColumn id="31" name="d_brent3_beta_std"/>
    <x:tableColumn id="32" name="d_brent3_t"/>
    <x:tableColumn id="33" name="d_brent3_p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TblSeams" displayName="TblSeams" ref="C6:F186" headerRowCount="1" totalsRowCount="0" totalsRowShown="0">
  <x:tableColumns count="4">
    <x:tableColumn id="1" name="seam_start"/>
    <x:tableColumn id="2" name="revision_month"/>
    <x:tableColumn id="3" name="target"/>
    <x:tableColumn id="4" name="revision_3m_log_pc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0" name="TblSources" displayName="TblSources" ref="C6:M19" headerRowCount="1" totalsRowCount="0" totalsRowShown="0">
  <x:tableColumns count="11">
    <x:tableColumn id="1" name="source_file"/>
    <x:tableColumn id="2" name="source_url"/>
    <x:tableColumn id="3" name="start_date"/>
    <x:tableColumn id="4" name="end_date"/>
    <x:tableColumn id="5" name="months"/>
    <x:tableColumn id="6" name="series"/>
    <x:tableColumn id="7" name="currency"/>
    <x:tableColumn id="8" name="benchmark"/>
    <x:tableColumn id="9" name="classification"/>
    <x:tableColumn id="10" name="metric"/>
    <x:tableColumn id="11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b5f19ed422449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59ade8bf8154e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9b199fedaff4a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ea805b7c28b642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1b6149821cec4015" /><Relationship Type="http://schemas.openxmlformats.org/officeDocument/2006/relationships/table" Target="/xl/tables/table4.xml" Id="Ra1fea12df06c47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9fb662049c9e457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8909939502c54390" /><Relationship Type="http://schemas.openxmlformats.org/officeDocument/2006/relationships/table" Target="/xl/tables/table6.xml" Id="R785356ec8a1a44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c6726f691d5049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b1e1b9d6be1d44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8a4b6f2a1b5d437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b7149ad5b9754a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9ba5697ec14f4af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bf66babba8a941b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3658833d8eea4f0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2" hidden="0" customWidth="1"/>
    <x:col min="4" max="4" width="34" hidden="0" customWidth="1"/>
    <x:col min="5" max="5" width="14" hidden="0" customWidth="1"/>
    <x:col min="6" max="6" width="22" hidden="0" customWidth="1"/>
    <x:col min="7" max="7" width="48" hidden="0" customWidth="1"/>
    <x:col min="8" max="8" width="20" hidden="0" customWidth="1"/>
  </x:cols>
  <x:sheetData>
    <x:row r="2">
      <x:c r="C2" s="2" t="str">
        <x:v>Earnings do Ibovespa e sensibilidades macro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3">
      <x:c r="C3" s="4" t="str">
        <x:v>Consolidação das análises contemporâneas do índice e dos setores. Dados disponíveis até setembro de 2026; macro até agosto de 2026.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</x:row>
    <x:row r="6">
      <x:c r="C6" s="74" t="str">
        <x:v>Cobertura e especificação principal</x:v>
      </x:c>
      <x:c r="D6" s="75"/>
      <x:c r="E6" s="75"/>
      <x:c r="F6" s="76"/>
      <x:c r="G6" s="99"/>
      <x:c r="H6" s="99"/>
      <x:c r="I6" s="99"/>
      <x:c r="J6" s="99"/>
      <x:c r="K6" s="99"/>
      <x:c r="L6" s="99"/>
      <x:c r="M6" s="99"/>
      <x:c r="N6" s="99"/>
    </x:row>
    <x:row r="7">
      <x:c r="C7" s="11" t="str">
        <x:v>Item</x:v>
      </x:c>
      <x:c r="D7" s="11" t="str">
        <x:v>Valor</x:v>
      </x:c>
      <x:c r="E7" s="11" t="str">
        <x:v>Unidade</x:v>
      </x:c>
      <x:c r="F7" s="11" t="str">
        <x:v>Observação</x:v>
      </x:c>
      <x:c r="G7" s="99"/>
      <x:c r="H7" s="99"/>
      <x:c r="I7" s="99"/>
      <x:c r="J7" s="99"/>
      <x:c r="K7" s="99"/>
      <x:c r="L7" s="99"/>
      <x:c r="M7" s="99"/>
      <x:c r="N7" s="99"/>
    </x:row>
    <x:row r="8">
      <x:c r="C8" s="6" t="str">
        <x:v>Cobertura setorial - início</x:v>
      </x:c>
      <x:c r="D8" s="79" t="n">
        <x:f>MIN('Earnings 12M Fwd'!$C$7:$C$231)</x:f>
        <x:v>39448</x:v>
      </x:c>
      <x:c r="E8" s="6" t="str">
        <x:v>mês</x:v>
      </x:c>
      <x:c r="F8" s="6" t="str">
        <x:v>Séries GICS consolidadas</x:v>
      </x:c>
      <x:c r="G8" s="99"/>
      <x:c r="H8" s="99"/>
      <x:c r="I8" s="99"/>
      <x:c r="J8" s="99"/>
      <x:c r="K8" s="99"/>
      <x:c r="L8" s="99"/>
      <x:c r="M8" s="99"/>
      <x:c r="N8" s="99"/>
    </x:row>
    <x:row r="9">
      <x:c r="C9" s="6" t="str">
        <x:v>Cobertura setorial - fim</x:v>
      </x:c>
      <x:c r="D9" s="79" t="n">
        <x:f>MAX('Earnings 12M Fwd'!$C$7:$C$231)</x:f>
        <x:v>46266</x:v>
      </x:c>
      <x:c r="E9" s="6" t="str">
        <x:v>mês</x:v>
      </x:c>
      <x:c r="F9" s="6" t="str">
        <x:v>Séries GICS consolidadas</x:v>
      </x:c>
      <x:c r="G9" s="99"/>
      <x:c r="H9" s="99"/>
      <x:c r="I9" s="99"/>
      <x:c r="J9" s="99"/>
      <x:c r="K9" s="99"/>
      <x:c r="L9" s="99"/>
      <x:c r="M9" s="99"/>
      <x:c r="N9" s="99"/>
    </x:row>
    <x:row r="10">
      <x:c r="C10" s="6" t="str">
        <x:v>Número de observações</x:v>
      </x:c>
      <x:c r="D10" s="6" t="n">
        <x:f>COUNTA('Earnings 12M Fwd'!$C$7:$C$231)</x:f>
        <x:v>225</x:v>
      </x:c>
      <x:c r="E10" s="6" t="str">
        <x:v>meses</x:v>
      </x:c>
      <x:c r="F10" s="6" t="str">
        <x:v>Earnings setoriais</x:v>
      </x:c>
      <x:c r="G10" s="99"/>
      <x:c r="H10" s="99"/>
      <x:c r="I10" s="99"/>
      <x:c r="J10" s="99"/>
      <x:c r="K10" s="99"/>
      <x:c r="L10" s="99"/>
      <x:c r="M10" s="99"/>
      <x:c r="N10" s="99"/>
    </x:row>
    <x:row r="11">
      <x:c r="C11" s="6" t="str">
        <x:v>Modelo principal</x:v>
      </x:c>
      <x:c r="D11" s="6" t="str">
        <x:v>ex_2013_14</x:v>
      </x:c>
      <x:c r="E11" s="6" t="str">
        <x:v>amostra</x:v>
      </x:c>
      <x:c r="F11" s="6" t="str">
        <x:v>Exclui 2013-2014</x:v>
      </x:c>
      <x:c r="G11" s="99"/>
      <x:c r="H11" s="99"/>
      <x:c r="I11" s="99"/>
      <x:c r="J11" s="99"/>
      <x:c r="K11" s="99"/>
      <x:c r="L11" s="99"/>
      <x:c r="M11" s="99"/>
      <x:c r="N11" s="99"/>
    </x:row>
    <x:row r="12">
      <x:c r="C12" s="99"/>
      <x:c r="D12" s="99"/>
      <x:c r="E12" s="99"/>
      <x:c r="F12" s="99"/>
      <x:c r="G12" s="99"/>
      <x:c r="H12" s="99"/>
      <x:c r="I12" s="99"/>
      <x:c r="J12" s="99"/>
      <x:c r="K12" s="99"/>
      <x:c r="L12" s="99"/>
      <x:c r="M12" s="99"/>
      <x:c r="N12" s="99"/>
    </x:row>
    <x:row r="13">
      <x:c r="C13" s="99"/>
      <x:c r="D13" s="99"/>
      <x:c r="E13" s="99"/>
      <x:c r="F13" s="99"/>
      <x:c r="G13" s="99"/>
      <x:c r="H13" s="99"/>
      <x:c r="I13" s="99"/>
      <x:c r="J13" s="99"/>
      <x:c r="K13" s="99"/>
      <x:c r="L13" s="99"/>
      <x:c r="M13" s="99"/>
      <x:c r="N13" s="99"/>
    </x:row>
    <x:row r="14">
      <x:c r="C14" s="74" t="str">
        <x:v>Modelo contemporâneo do IBOV - BEst EPS direto</x:v>
      </x:c>
      <x:c r="D14" s="75"/>
      <x:c r="E14" s="75"/>
      <x:c r="F14" s="75"/>
      <x:c r="G14" s="75"/>
      <x:c r="H14" s="76"/>
      <x:c r="I14" s="99"/>
      <x:c r="J14" s="99"/>
      <x:c r="K14" s="99"/>
      <x:c r="L14" s="99"/>
      <x:c r="M14" s="99"/>
      <x:c r="N14" s="99"/>
    </x:row>
    <x:row r="15">
      <x:c r="C15" s="11" t="str">
        <x:v>Variável</x:v>
      </x:c>
      <x:c r="D15" s="11" t="str">
        <x:v>Beta</x:v>
      </x:c>
      <x:c r="E15" s="11" t="str">
        <x:v>Beta padronizado</x:v>
      </x:c>
      <x:c r="F15" s="11" t="str">
        <x:v>p-valor HAC</x:v>
      </x:c>
      <x:c r="G15" s="11" t="str">
        <x:v>Leitura</x:v>
      </x:c>
      <x:c r="H15" s="11" t="str">
        <x:v>Amostra</x:v>
      </x:c>
      <x:c r="I15" s="99"/>
      <x:c r="J15" s="99"/>
      <x:c r="K15" s="99"/>
      <x:c r="L15" s="99"/>
      <x:c r="M15" s="99"/>
      <x:c r="N15" s="99"/>
    </x:row>
    <x:row r="16">
      <x:c r="C16" s="6" t="str">
        <x:v>Focus PIB</x:v>
      </x:c>
      <x:c r="D16" s="80" t="n">
        <x:f>SUMIFS('Reg IBOV'!$J$7:$J$26,'Reg IBOV'!$D$7:$D$26,"ex_2013_14",'Reg IBOV'!$I$7:$I$26,"d_focus_pib3")</x:f>
        <x:v>6.003022470385266</x:v>
      </x:c>
      <x:c r="E16" s="81" t="n">
        <x:f>SUMIFS('Reg IBOV'!$K$7:$K$26,'Reg IBOV'!$D$7:$D$26,"ex_2013_14",'Reg IBOV'!$I$7:$I$26,"d_focus_pib3")</x:f>
        <x:v>0.594136881041381</x:v>
      </x:c>
      <x:c r="F16" s="81" t="n">
        <x:f>SUMIFS('Reg IBOV'!$N$7:$N$26,'Reg IBOV'!$D$7:$D$26,"ex_2013_14",'Reg IBOV'!$I$7:$I$26,"d_focus_pib3")</x:f>
        <x:v>7.791545186819349e-13</x:v>
      </x:c>
      <x:c r="G16" s="6" t="str">
        <x:v>Principal driver contemporâneo</x:v>
      </x:c>
      <x:c r="H16" s="6" t="str">
        <x:v>ex_2013_14</x:v>
      </x:c>
      <x:c r="I16" s="99"/>
      <x:c r="J16" s="99"/>
      <x:c r="K16" s="99"/>
      <x:c r="L16" s="99"/>
      <x:c r="M16" s="99"/>
      <x:c r="N16" s="99"/>
    </x:row>
    <x:row r="17">
      <x:c r="C17" s="6" t="str">
        <x:v>BCOM em USD</x:v>
      </x:c>
      <x:c r="D17" s="80" t="n">
        <x:f>SUMIFS('Reg IBOV'!$J$7:$J$26,'Reg IBOV'!$D$7:$D$26,"ex_2013_14",'Reg IBOV'!$I$7:$I$26,"d_bcom_usd3")</x:f>
        <x:v>0.13682962510050256</x:v>
      </x:c>
      <x:c r="E17" s="81" t="n">
        <x:f>SUMIFS('Reg IBOV'!$K$7:$K$26,'Reg IBOV'!$D$7:$D$26,"ex_2013_14",'Reg IBOV'!$I$7:$I$26,"d_bcom_usd3")</x:f>
        <x:v>0.1162925306083771</x:v>
      </x:c>
      <x:c r="F17" s="81" t="n">
        <x:f>SUMIFS('Reg IBOV'!$N$7:$N$26,'Reg IBOV'!$D$7:$D$26,"ex_2013_14",'Reg IBOV'!$I$7:$I$26,"d_bcom_usd3")</x:f>
        <x:v>0.3264501418835484</x:v>
      </x:c>
      <x:c r="G17" s="6" t="str">
        <x:v>Sem significância no modelo completo</x:v>
      </x:c>
      <x:c r="H17" s="6" t="str">
        <x:v>ex_2013_14</x:v>
      </x:c>
      <x:c r="I17" s="99"/>
      <x:c r="J17" s="99"/>
      <x:c r="K17" s="99"/>
      <x:c r="L17" s="99"/>
      <x:c r="M17" s="99"/>
      <x:c r="N17" s="99"/>
    </x:row>
    <x:row r="18">
      <x:c r="C18" s="6" t="str">
        <x:v>USD/BRL</x:v>
      </x:c>
      <x:c r="D18" s="80" t="n">
        <x:f>SUMIFS('Reg IBOV'!$J$7:$J$26,'Reg IBOV'!$D$7:$D$26,"ex_2013_14",'Reg IBOV'!$I$7:$I$26,"d_usdbrl3")</x:f>
        <x:v>0.04276301496385937</x:v>
      </x:c>
      <x:c r="E18" s="81" t="n">
        <x:f>SUMIFS('Reg IBOV'!$K$7:$K$26,'Reg IBOV'!$D$7:$D$26,"ex_2013_14",'Reg IBOV'!$I$7:$I$26,"d_usdbrl3")</x:f>
        <x:v>0.03510773947912599</x:v>
      </x:c>
      <x:c r="F18" s="81" t="n">
        <x:f>SUMIFS('Reg IBOV'!$N$7:$N$26,'Reg IBOV'!$D$7:$D$26,"ex_2013_14",'Reg IBOV'!$I$7:$I$26,"d_usdbrl3")</x:f>
        <x:v>0.7310971121847265</x:v>
      </x:c>
      <x:c r="G18" s="6" t="str">
        <x:v>Sem significância no modelo completo</x:v>
      </x:c>
      <x:c r="H18" s="6" t="str">
        <x:v>ex_2013_14</x:v>
      </x:c>
      <x:c r="I18" s="99"/>
      <x:c r="J18" s="99"/>
      <x:c r="K18" s="99"/>
      <x:c r="L18" s="99"/>
      <x:c r="M18" s="99"/>
      <x:c r="N18" s="99"/>
    </x:row>
    <x:row r="19">
      <x:c r="C19" s="6" t="str">
        <x:v>IPCA realizado 12m</x:v>
      </x:c>
      <x:c r="D19" s="80" t="n">
        <x:f>SUMIFS('Reg IBOV'!$J$7:$J$26,'Reg IBOV'!$D$7:$D$26,"ex_2013_14",'Reg IBOV'!$I$7:$I$26,"d_ipca12_3_available")</x:f>
        <x:v>1.5469924567664708</x:v>
      </x:c>
      <x:c r="E19" s="81" t="n">
        <x:f>SUMIFS('Reg IBOV'!$K$7:$K$26,'Reg IBOV'!$D$7:$D$26,"ex_2013_14",'Reg IBOV'!$I$7:$I$26,"d_ipca12_3_available")</x:f>
        <x:v>0.19039122448228643</x:v>
      </x:c>
      <x:c r="F19" s="81" t="n">
        <x:f>SUMIFS('Reg IBOV'!$N$7:$N$26,'Reg IBOV'!$D$7:$D$26,"ex_2013_14",'Reg IBOV'!$I$7:$I$26,"d_ipca12_3_available")</x:f>
        <x:v>0.05770344804271921</x:v>
      </x:c>
      <x:c r="G19" s="6" t="str">
        <x:v>Significância marginal</x:v>
      </x:c>
      <x:c r="H19" s="6" t="str">
        <x:v>ex_2013_14</x:v>
      </x:c>
      <x:c r="I19" s="99"/>
      <x:c r="J19" s="99"/>
      <x:c r="K19" s="99"/>
      <x:c r="L19" s="99"/>
      <x:c r="M19" s="99"/>
      <x:c r="N19" s="99"/>
    </x:row>
    <x:row r="20">
      <x:c r="C20" s="6" t="str">
        <x:v>Swap pré-DI 360d</x:v>
      </x:c>
      <x:c r="D20" s="80" t="n">
        <x:f>SUMIFS('Reg IBOV'!$J$7:$J$26,'Reg IBOV'!$D$7:$D$26,"ex_2013_14",'Reg IBOV'!$I$7:$I$26,"d_swap360_3")</x:f>
        <x:v>1.7314797734629659</x:v>
      </x:c>
      <x:c r="E20" s="81" t="n">
        <x:f>SUMIFS('Reg IBOV'!$K$7:$K$26,'Reg IBOV'!$D$7:$D$26,"ex_2013_14",'Reg IBOV'!$I$7:$I$26,"d_swap360_3")</x:f>
        <x:v>0.208152502938589</x:v>
      </x:c>
      <x:c r="F20" s="81" t="n">
        <x:f>SUMIFS('Reg IBOV'!$N$7:$N$26,'Reg IBOV'!$D$7:$D$26,"ex_2013_14",'Reg IBOV'!$I$7:$I$26,"d_swap360_3")</x:f>
        <x:v>0.007614196116265237</x:v>
      </x:c>
      <x:c r="G20" s="6" t="str">
        <x:v>Sinal positivo, mas instável entre janelas</x:v>
      </x:c>
      <x:c r="H20" s="6" t="str">
        <x:v>ex_2013_14</x:v>
      </x:c>
      <x:c r="I20" s="99"/>
      <x:c r="J20" s="99"/>
      <x:c r="K20" s="99"/>
      <x:c r="L20" s="99"/>
      <x:c r="M20" s="99"/>
      <x:c r="N20" s="99"/>
    </x:row>
    <x:row r="21">
      <x:c r="C21" s="6" t="str">
        <x:v>R² do modelo</x:v>
      </x:c>
      <x:c r="D21" s="81" t="n">
        <x:f>SUMIFS('Reg IBOV'!$G$7:$G$26,'Reg IBOV'!$D$7:$D$26,"ex_2013_14",'Reg IBOV'!$I$7:$I$26,"d_focus_pib3")</x:f>
        <x:v>0.49329249230764305</x:v>
      </x:c>
      <x:c r="E21" s="81"/>
      <x:c r="F21" s="81"/>
      <x:c r="G21" s="6" t="str">
        <x:v>Poder explicativo do modelo completo</x:v>
      </x:c>
      <x:c r="H21" s="6" t="str">
        <x:v>ex_2013_14</x:v>
      </x:c>
      <x:c r="I21" s="99"/>
      <x:c r="J21" s="99"/>
      <x:c r="K21" s="99"/>
      <x:c r="L21" s="99"/>
      <x:c r="M21" s="99"/>
      <x:c r="N21" s="99"/>
    </x:row>
    <x:row r="22">
      <x:c r="C22" s="99"/>
      <x:c r="D22" s="99"/>
      <x:c r="E22" s="99"/>
      <x:c r="F22" s="99"/>
      <x:c r="G22" s="99"/>
      <x:c r="H22" s="99"/>
      <x:c r="I22" s="99"/>
      <x:c r="J22" s="99"/>
      <x:c r="K22" s="99"/>
      <x:c r="L22" s="99"/>
      <x:c r="M22" s="99"/>
      <x:c r="N22" s="99"/>
    </x:row>
    <x:row r="23">
      <x:c r="C23" s="99"/>
      <x:c r="D23" s="99"/>
      <x:c r="E23" s="99"/>
      <x:c r="F23" s="99"/>
      <x:c r="G23" s="99"/>
      <x:c r="H23" s="99"/>
      <x:c r="I23" s="99"/>
      <x:c r="J23" s="99"/>
      <x:c r="K23" s="99"/>
      <x:c r="L23" s="99"/>
      <x:c r="M23" s="99"/>
      <x:c r="N23" s="99"/>
    </x:row>
    <x:row r="24">
      <x:c r="C24" s="74" t="str">
        <x:v>Conclusões até aqui</x:v>
      </x:c>
      <x:c r="D24" s="75"/>
      <x:c r="E24" s="75"/>
      <x:c r="F24" s="75"/>
      <x:c r="G24" s="75"/>
      <x:c r="H24" s="76"/>
      <x:c r="I24" s="99"/>
      <x:c r="J24" s="99"/>
      <x:c r="K24" s="99"/>
      <x:c r="L24" s="99"/>
      <x:c r="M24" s="99"/>
      <x:c r="N24" s="99"/>
    </x:row>
    <x:row r="25">
      <x:c r="C25" s="11" t="str">
        <x:v>Tema</x:v>
      </x:c>
      <x:c r="D25" s="11" t="str">
        <x:v>Evidência</x:v>
      </x:c>
      <x:c r="E25" s="11" t="str">
        <x:v>Valor</x:v>
      </x:c>
      <x:c r="F25" s="11" t="str">
        <x:v>Unidade</x:v>
      </x:c>
      <x:c r="G25" s="11" t="str">
        <x:v>Interpretação</x:v>
      </x:c>
      <x:c r="H25" s="11" t="str">
        <x:v>Referência</x:v>
      </x:c>
      <x:c r="I25" s="99"/>
      <x:c r="J25" s="99"/>
      <x:c r="K25" s="99"/>
      <x:c r="L25" s="99"/>
      <x:c r="M25" s="99"/>
      <x:c r="N25" s="99"/>
    </x:row>
    <x:row r="26">
      <x:c r="C26" s="6" t="str">
        <x:v>Focus PIB</x:v>
      </x:c>
      <x:c r="D26" s="6" t="str">
        <x:v>Beta padronizado do IBOV</x:v>
      </x:c>
      <x:c r="E26" s="81" t="n">
        <x:f>E16</x:f>
        <x:v>0.594136881041381</x:v>
      </x:c>
      <x:c r="F26" s="6" t="str">
        <x:v>desvios-padrão</x:v>
      </x:c>
      <x:c r="G26" s="6" t="str">
        <x:v>É o driver mais consistente do índice.</x:v>
      </x:c>
      <x:c r="H26" s="6" t="str">
        <x:v>Reg IBOV</x:v>
      </x:c>
      <x:c r="I26" s="99"/>
      <x:c r="J26" s="99"/>
      <x:c r="K26" s="99"/>
      <x:c r="L26" s="99"/>
      <x:c r="M26" s="99"/>
      <x:c r="N26" s="99"/>
    </x:row>
    <x:row r="27">
      <x:c r="C27" s="6" t="str">
        <x:v>Inflação</x:v>
      </x:c>
      <x:c r="D27" s="6" t="str">
        <x:v>ΔR²: IPCA realizado menos Focus</x:v>
      </x:c>
      <x:c r="E27" s="81" t="n">
        <x:f>SUMIFS('Inflacao'!$K$15:$K$26,'Inflacao'!$C$15:$C$26,"ex_2013_14",'Inflacao'!$D$15:$D$26,"d_ipca12_3_available")-SUMIFS('Inflacao'!$K$15:$K$26,'Inflacao'!$C$15:$C$26,"ex_2013_14",'Inflacao'!$D$15:$D$26,"d_focus_ipca3")</x:f>
        <x:v>0.00771518480814215</x:v>
      </x:c>
      <x:c r="F27" s="6" t="str">
        <x:v>p.p. de R²</x:v>
      </x:c>
      <x:c r="G27" s="6" t="str">
        <x:v>O realizado melhora um pouco o ajuste, mas a diferença é pequena.</x:v>
      </x:c>
      <x:c r="H27" s="6" t="str">
        <x:v>Inflacao</x:v>
      </x:c>
      <x:c r="I27" s="99"/>
      <x:c r="J27" s="99"/>
      <x:c r="K27" s="99"/>
      <x:c r="L27" s="99"/>
      <x:c r="M27" s="99"/>
      <x:c r="N27" s="99"/>
    </x:row>
    <x:row r="28">
      <x:c r="C28" s="6" t="str">
        <x:v>Swap pré-DI</x:v>
      </x:c>
      <x:c r="D28" s="6" t="str">
        <x:v>Beta na amostra limpa</x:v>
      </x:c>
      <x:c r="E28" s="81" t="n">
        <x:f>SUMIFS('Swap Robustez'!$H$21:$H$68,'Swap Robustez'!$C$21:$C$68,"IBOV BEst EPS",'Swap Robustez'!$D$21:$D$68,"clean",'Swap Robustez'!$E$21:$E$68,"full")</x:f>
        <x:v>1.3149257652331197</x:v>
      </x:c>
      <x:c r="F28" s="6" t="str">
        <x:v>% revisão por 1 p.p.</x:v>
      </x:c>
      <x:c r="G28" s="6" t="str">
        <x:v>O sinal positivo não é robusto o suficiente para leitura causal.</x:v>
      </x:c>
      <x:c r="H28" s="6" t="str">
        <x:v>Swap Robustez</x:v>
      </x:c>
      <x:c r="I28" s="99"/>
      <x:c r="J28" s="99"/>
      <x:c r="K28" s="99"/>
      <x:c r="L28" s="99"/>
      <x:c r="M28" s="99"/>
      <x:c r="N28" s="99"/>
    </x:row>
    <x:row r="29">
      <x:c r="C29" s="6" t="str">
        <x:v>Setores</x:v>
      </x:c>
      <x:c r="D29" s="6" t="str">
        <x:v>Maior beta Focus padronizado</x:v>
      </x:c>
      <x:c r="E29" s="81" t="n">
        <x:f>SUMIFS('Reg Setores'!$L$7:$L$114,'Reg Setores'!$D$7:$D$114,"ex_2013_14",'Reg Setores'!$C$7:$C$114,"Energy")</x:f>
        <x:v>0.6296303188510535</x:v>
      </x:c>
      <x:c r="F29" s="6" t="str">
        <x:v>desvios-padrão</x:v>
      </x:c>
      <x:c r="G29" s="6" t="str">
        <x:v>Energia lidera na amostra principal.</x:v>
      </x:c>
      <x:c r="H29" s="6" t="str">
        <x:v>Painel Setorial</x:v>
      </x:c>
      <x:c r="I29" s="99"/>
      <x:c r="J29" s="99"/>
      <x:c r="K29" s="99"/>
      <x:c r="L29" s="99"/>
      <x:c r="M29" s="99"/>
      <x:c r="N29" s="99"/>
    </x:row>
    <x:row r="30">
      <x:c r="C30" s="6" t="str">
        <x:v>Ex-commodities</x:v>
      </x:c>
      <x:c r="D30" s="6" t="str">
        <x:v>Diferença de beta vs. IBOV</x:v>
      </x:c>
      <x:c r="E30" s="81" t="n">
        <x:f>SUMIFS('Ex-Commodities'!$Q$19:$Q$24,'Ex-Commodities'!$C$19:$C$24,"ex_2013_14")</x:f>
        <x:v>-3.6546584259595702</x:v>
      </x:c>
      <x:c r="F30" s="6" t="str">
        <x:v>% revisão por 1 p.p.</x:v>
      </x:c>
      <x:c r="G30" s="6" t="str">
        <x:v>O beta ex-commodities é menor, não maior.</x:v>
      </x:c>
      <x:c r="H30" s="6" t="str">
        <x:v>Ex-Commodities</x:v>
      </x:c>
      <x:c r="I30" s="99"/>
      <x:c r="J30" s="99"/>
      <x:c r="K30" s="99"/>
      <x:c r="L30" s="99"/>
      <x:c r="M30" s="99"/>
      <x:c r="N30" s="99"/>
    </x:row>
    <x:row r="31">
      <x:c r="C31" s="6" t="str">
        <x:v>Energia</x:v>
      </x:c>
      <x:c r="D31" s="6" t="str">
        <x:v>Correlação das revisions com Petrobras</x:v>
      </x:c>
      <x:c r="E31" s="81" t="n">
        <x:v>0.995008997648791</x:v>
      </x:c>
      <x:c r="F31" s="6" t="str">
        <x:v>correlação</x:v>
      </x:c>
      <x:c r="G31" s="6" t="str">
        <x:v>A liderança de Energia é majoritariamente Petrobras.</x:v>
      </x:c>
      <x:c r="H31" s="6" t="str">
        <x:v>Energia</x:v>
      </x:c>
      <x:c r="I31" s="99"/>
      <x:c r="J31" s="99"/>
      <x:c r="K31" s="99"/>
      <x:c r="L31" s="99"/>
      <x:c r="M31" s="99"/>
      <x:c r="N31" s="99"/>
    </x:row>
    <x:row r="32"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  <x:c r="M32" s="99"/>
      <x:c r="N32" s="99"/>
    </x:row>
    <x:row r="33">
      <x:c r="C33" s="84" t="str">
        <x:v>Nota metodológica</x:v>
      </x:c>
      <x:c r="D33" s="84" t="str">
        <x:v>As regressões são contemporâneas e associativas. Coeficientes não devem ser lidos como efeitos causais. Resultados setoriais usam BEst Net Income agregado; o modelo direto do índice usa BEst EPS.</x:v>
      </x:c>
      <x:c r="E33" s="84"/>
      <x:c r="F33" s="84"/>
      <x:c r="G33" s="84"/>
      <x:c r="H33" s="84"/>
      <x:c r="I33" s="99"/>
      <x:c r="J33" s="99"/>
      <x:c r="K33" s="99"/>
      <x:c r="L33" s="99"/>
      <x:c r="M33" s="99"/>
      <x:c r="N33" s="99"/>
    </x:row>
    <x:row r="34">
      <x:c r="C34" s="84"/>
      <x:c r="D34" s="84"/>
      <x:c r="E34" s="84"/>
      <x:c r="F34" s="84"/>
      <x:c r="G34" s="84"/>
      <x:c r="H34" s="84"/>
      <x:c r="I34" s="99"/>
      <x:c r="J34" s="99"/>
      <x:c r="K34" s="99"/>
      <x:c r="L34" s="99"/>
      <x:c r="M34" s="99"/>
      <x:c r="N34" s="99"/>
    </x:row>
    <x:row r="35">
      <x:c r="C35" s="84"/>
      <x:c r="D35" s="84"/>
      <x:c r="E35" s="84"/>
      <x:c r="F35" s="84"/>
      <x:c r="G35" s="84"/>
      <x:c r="H35" s="84"/>
      <x:c r="I35" s="99"/>
      <x:c r="J35" s="99"/>
      <x:c r="K35" s="99"/>
      <x:c r="L35" s="99"/>
      <x:c r="M35" s="99"/>
      <x:c r="N35" s="99"/>
    </x:row>
  </x:sheetData>
  <x:mergeCells>
    <x:mergeCell ref="C33:C35"/>
    <x:mergeCell ref="D33:H35"/>
  </x:mergeCells>
  <x:conditionalFormatting sqref="F16:F20">
    <x:cfRule type="cellIs" dxfId="0" priority="1" operator="lessThan">
      <x:formula>0.1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2">
      <x:c r="C2" s="2" t="str">
        <x:v>Sensibilidades contemporâneas por setor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</x:row>
    <x:row r="3">
      <x:c r="C3" s="4" t="str">
        <x:v>Amostra principal exclui 2013-2014. Betas padronizados permitem comparar a magnitude entre setores.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  <x:c r="P5" s="99"/>
      <x:c r="Q5" s="99"/>
      <x:c r="R5" s="99"/>
      <x:c r="S5" s="99"/>
      <x:c r="T5" s="99"/>
      <x:c r="U5" s="99"/>
    </x:row>
    <x:row r="6">
      <x:c r="C6" s="74" t="str">
        <x:v>Resultados do modelo completo</x:v>
      </x:c>
      <x:c r="D6" s="75"/>
      <x:c r="E6" s="75"/>
      <x:c r="F6" s="75"/>
      <x:c r="G6" s="75"/>
      <x:c r="H6" s="75"/>
      <x:c r="I6" s="75"/>
      <x:c r="J6" s="75"/>
      <x:c r="K6" s="75"/>
      <x:c r="L6" s="76"/>
      <x:c r="M6" s="99"/>
      <x:c r="N6" s="99"/>
      <x:c r="O6" s="99"/>
      <x:c r="P6" s="99"/>
      <x:c r="Q6" s="99"/>
      <x:c r="R6" s="99"/>
      <x:c r="S6" s="99"/>
      <x:c r="T6" s="99"/>
      <x:c r="U6" s="99"/>
    </x:row>
    <x:row r="7"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  <x:c r="P7" s="99"/>
      <x:c r="Q7" s="99"/>
      <x:c r="R7" s="99"/>
      <x:c r="S7" s="99"/>
      <x:c r="T7" s="99"/>
      <x:c r="U7" s="99"/>
    </x:row>
    <x:row r="8">
      <x:c r="C8" s="11" t="str">
        <x:v>Setor</x:v>
      </x:c>
      <x:c r="D8" s="11" t="str">
        <x:v>R²</x:v>
      </x:c>
      <x:c r="E8" s="11" t="str">
        <x:v>Focus beta</x:v>
      </x:c>
      <x:c r="F8" s="11" t="str">
        <x:v>Focus beta pad.</x:v>
      </x:c>
      <x:c r="G8" s="11" t="str">
        <x:v>Focus p</x:v>
      </x:c>
      <x:c r="H8" s="11" t="str">
        <x:v>Focus q BH</x:v>
      </x:c>
      <x:c r="I8" s="11" t="str">
        <x:v>Swap beta</x:v>
      </x:c>
      <x:c r="J8" s="11" t="str">
        <x:v>Swap beta pad.</x:v>
      </x:c>
      <x:c r="K8" s="11" t="str">
        <x:v>Swap p</x:v>
      </x:c>
      <x:c r="L8" s="11" t="str">
        <x:v>Swap q BH</x:v>
      </x:c>
      <x:c r="M8" s="99"/>
      <x:c r="N8" s="99"/>
      <x:c r="O8" s="99"/>
      <x:c r="P8" s="99"/>
      <x:c r="Q8" s="99"/>
      <x:c r="R8" s="99"/>
      <x:c r="S8" s="99"/>
      <x:c r="T8" s="99"/>
      <x:c r="U8" s="99"/>
    </x:row>
    <x:row r="9">
      <x:c r="C9" s="6" t="str">
        <x:v>Energy</x:v>
      </x:c>
      <x:c r="D9" s="81" t="n">
        <x:f>SUMIFS('Reg Setores'!$H$7:$H$114,'Reg Setores'!$D$7:$D$114,"ex_2013_14",'Reg Setores'!$C$7:$C$114,$C9)</x:f>
        <x:v>0.4993292883463868</x:v>
      </x:c>
      <x:c r="E9" s="81" t="n">
        <x:f>SUMIFS('Reg Setores'!$K$7:$K$114,'Reg Setores'!$D$7:$D$114,"ex_2013_14",'Reg Setores'!$C$7:$C$114,$C9)</x:f>
        <x:v>28.626538032501575</x:v>
      </x:c>
      <x:c r="F9" s="81" t="n">
        <x:f>SUMIFS('Reg Setores'!$L$7:$L$114,'Reg Setores'!$D$7:$D$114,"ex_2013_14",'Reg Setores'!$C$7:$C$114,$C9)</x:f>
        <x:v>0.6296303188510535</x:v>
      </x:c>
      <x:c r="G9" s="81" t="n">
        <x:f>SUMIFS('Reg Setores'!$N$7:$N$114,'Reg Setores'!$D$7:$D$114,"ex_2013_14",'Reg Setores'!$C$7:$C$114,$C9)</x:f>
        <x:v>0.0033552440821082996</x:v>
      </x:c>
      <x:c r="H9" s="81" t="n">
        <x:f>SUMIFS('Reg Setores'!$AM$7:$AM$114,'Reg Setores'!$D$7:$D$114,"ex_2013_14",'Reg Setores'!$C$7:$C$114,$C9)</x:f>
        <x:v>0.018453842451595648</x:v>
      </x:c>
      <x:c r="I9" s="81" t="n">
        <x:f>SUMIFS('Reg Setores'!$AE$7:$AE$114,'Reg Setores'!$D$7:$D$114,"ex_2013_14",'Reg Setores'!$C$7:$C$114,$C9)</x:f>
        <x:v>6.832861814191537</x:v>
      </x:c>
      <x:c r="J9" s="81" t="n">
        <x:f>SUMIFS('Reg Setores'!$AF$7:$AF$114,'Reg Setores'!$D$7:$D$114,"ex_2013_14",'Reg Setores'!$C$7:$C$114,$C9)</x:f>
        <x:v>0.18876383109007946</x:v>
      </x:c>
      <x:c r="K9" s="81" t="n">
        <x:f>SUMIFS('Reg Setores'!$AH$7:$AH$114,'Reg Setores'!$D$7:$D$114,"ex_2013_14",'Reg Setores'!$C$7:$C$114,$C9)</x:f>
        <x:v>0.0916707961480836</x:v>
      </x:c>
      <x:c r="L9" s="81" t="n">
        <x:f>SUMIFS('Reg Setores'!$AQ$7:$AQ$114,'Reg Setores'!$D$7:$D$114,"ex_2013_14",'Reg Setores'!$C$7:$C$114,$C9)</x:f>
        <x:v>0.3888261902065162</x:v>
      </x:c>
      <x:c r="M9" s="99"/>
      <x:c r="N9" s="99"/>
      <x:c r="O9" s="99"/>
      <x:c r="P9" s="99"/>
      <x:c r="Q9" s="99"/>
      <x:c r="R9" s="99"/>
      <x:c r="S9" s="99"/>
      <x:c r="T9" s="99"/>
      <x:c r="U9" s="99"/>
    </x:row>
    <x:row r="10">
      <x:c r="C10" s="6" t="str">
        <x:v>Real Estate</x:v>
      </x:c>
      <x:c r="D10" s="81" t="n">
        <x:f>SUMIFS('Reg Setores'!$H$7:$H$114,'Reg Setores'!$D$7:$D$114,"ex_2013_14",'Reg Setores'!$C$7:$C$114,$C10)</x:f>
        <x:v>0.2763767525922227</x:v>
      </x:c>
      <x:c r="E10" s="81" t="n">
        <x:f>SUMIFS('Reg Setores'!$K$7:$K$114,'Reg Setores'!$D$7:$D$114,"ex_2013_14",'Reg Setores'!$C$7:$C$114,$C10)</x:f>
        <x:v>4.353681161161876</x:v>
      </x:c>
      <x:c r="F10" s="81" t="n">
        <x:f>SUMIFS('Reg Setores'!$L$7:$L$114,'Reg Setores'!$D$7:$D$114,"ex_2013_14",'Reg Setores'!$C$7:$C$114,$C10)</x:f>
        <x:v>0.383942646429172</x:v>
      </x:c>
      <x:c r="G10" s="81" t="n">
        <x:f>SUMIFS('Reg Setores'!$N$7:$N$114,'Reg Setores'!$D$7:$D$114,"ex_2013_14",'Reg Setores'!$C$7:$C$114,$C10)</x:f>
        <x:v>0.0731940913298259</x:v>
      </x:c>
      <x:c r="H10" s="81" t="n">
        <x:f>SUMIFS('Reg Setores'!$AM$7:$AM$114,'Reg Setores'!$D$7:$D$114,"ex_2013_14",'Reg Setores'!$C$7:$C$114,$C10)</x:f>
        <x:v>0.161027000925617</x:v>
      </x:c>
      <x:c r="I10" s="81" t="n">
        <x:f>SUMIFS('Reg Setores'!$AE$7:$AE$114,'Reg Setores'!$D$7:$D$114,"ex_2013_14",'Reg Setores'!$C$7:$C$114,$C10)</x:f>
        <x:v>2.162643226599779</x:v>
      </x:c>
      <x:c r="J10" s="81" t="n">
        <x:f>SUMIFS('Reg Setores'!$AF$7:$AF$114,'Reg Setores'!$D$7:$D$114,"ex_2013_14",'Reg Setores'!$C$7:$C$114,$C10)</x:f>
        <x:v>0.23768680644303847</x:v>
      </x:c>
      <x:c r="K10" s="81" t="n">
        <x:f>SUMIFS('Reg Setores'!$AH$7:$AH$114,'Reg Setores'!$D$7:$D$114,"ex_2013_14",'Reg Setores'!$C$7:$C$114,$C10)</x:f>
        <x:v>0.1436462726368739</x:v>
      </x:c>
      <x:c r="L10" s="81" t="n">
        <x:f>SUMIFS('Reg Setores'!$AQ$7:$AQ$114,'Reg Setores'!$D$7:$D$114,"ex_2013_14",'Reg Setores'!$C$7:$C$114,$C10)</x:f>
        <x:v>0.3888261902065162</x:v>
      </x:c>
      <x:c r="M10" s="99"/>
      <x:c r="N10" s="99"/>
      <x:c r="O10" s="99"/>
      <x:c r="P10" s="99"/>
      <x:c r="Q10" s="99"/>
      <x:c r="R10" s="99"/>
      <x:c r="S10" s="99"/>
      <x:c r="T10" s="99"/>
      <x:c r="U10" s="99"/>
    </x:row>
    <x:row r="11">
      <x:c r="C11" s="6" t="str">
        <x:v>Consumer Discretionary</x:v>
      </x:c>
      <x:c r="D11" s="81" t="n">
        <x:f>SUMIFS('Reg Setores'!$H$7:$H$114,'Reg Setores'!$D$7:$D$114,"ex_2013_14",'Reg Setores'!$C$7:$C$114,$C11)</x:f>
        <x:v>0.2640832588475134</x:v>
      </x:c>
      <x:c r="E11" s="81" t="n">
        <x:f>SUMIFS('Reg Setores'!$K$7:$K$114,'Reg Setores'!$D$7:$D$114,"ex_2013_14",'Reg Setores'!$C$7:$C$114,$C11)</x:f>
        <x:v>4.538925815437483</x:v>
      </x:c>
      <x:c r="F11" s="81" t="n">
        <x:f>SUMIFS('Reg Setores'!$L$7:$L$114,'Reg Setores'!$D$7:$D$114,"ex_2013_14",'Reg Setores'!$C$7:$C$114,$C11)</x:f>
        <x:v>0.3542791715015566</x:v>
      </x:c>
      <x:c r="G11" s="81" t="n">
        <x:f>SUMIFS('Reg Setores'!$N$7:$N$114,'Reg Setores'!$D$7:$D$114,"ex_2013_14",'Reg Setores'!$C$7:$C$114,$C11)</x:f>
        <x:v>0.000011728507188335513</x:v>
      </x:c>
      <x:c r="H11" s="81" t="n">
        <x:f>SUMIFS('Reg Setores'!$AM$7:$AM$114,'Reg Setores'!$D$7:$D$114,"ex_2013_14",'Reg Setores'!$C$7:$C$114,$C11)</x:f>
        <x:v>0.00012901357907169064</x:v>
      </x:c>
      <x:c r="I11" s="81" t="n">
        <x:f>SUMIFS('Reg Setores'!$AE$7:$AE$114,'Reg Setores'!$D$7:$D$114,"ex_2013_14",'Reg Setores'!$C$7:$C$114,$C11)</x:f>
        <x:v>1.6635306492242994</x:v>
      </x:c>
      <x:c r="J11" s="81" t="n">
        <x:f>SUMIFS('Reg Setores'!$AF$7:$AF$114,'Reg Setores'!$D$7:$D$114,"ex_2013_14",'Reg Setores'!$C$7:$C$114,$C11)</x:f>
        <x:v>0.15771427878837674</x:v>
      </x:c>
      <x:c r="K11" s="81" t="n">
        <x:f>SUMIFS('Reg Setores'!$AH$7:$AH$114,'Reg Setores'!$D$7:$D$114,"ex_2013_14",'Reg Setores'!$C$7:$C$114,$C11)</x:f>
        <x:v>0.17477088985203348</x:v>
      </x:c>
      <x:c r="L11" s="81" t="n">
        <x:f>SUMIFS('Reg Setores'!$AQ$7:$AQ$114,'Reg Setores'!$D$7:$D$114,"ex_2013_14",'Reg Setores'!$C$7:$C$114,$C11)</x:f>
        <x:v>0.3888261902065162</x:v>
      </x:c>
      <x:c r="M11" s="99"/>
      <x:c r="N11" s="99"/>
      <x:c r="O11" s="99"/>
      <x:c r="P11" s="99"/>
      <x:c r="Q11" s="99"/>
      <x:c r="R11" s="99"/>
      <x:c r="S11" s="99"/>
      <x:c r="T11" s="99"/>
      <x:c r="U11" s="99"/>
    </x:row>
    <x:row r="12">
      <x:c r="C12" s="6" t="str">
        <x:v>Industrials</x:v>
      </x:c>
      <x:c r="D12" s="81" t="n">
        <x:f>SUMIFS('Reg Setores'!$H$7:$H$114,'Reg Setores'!$D$7:$D$114,"ex_2013_14",'Reg Setores'!$C$7:$C$114,$C12)</x:f>
        <x:v>0.13381460012775392</x:v>
      </x:c>
      <x:c r="E12" s="81" t="n">
        <x:f>SUMIFS('Reg Setores'!$K$7:$K$114,'Reg Setores'!$D$7:$D$114,"ex_2013_14",'Reg Setores'!$C$7:$C$114,$C12)</x:f>
        <x:v>2.997954806769225</x:v>
      </x:c>
      <x:c r="F12" s="81" t="n">
        <x:f>SUMIFS('Reg Setores'!$L$7:$L$114,'Reg Setores'!$D$7:$D$114,"ex_2013_14",'Reg Setores'!$C$7:$C$114,$C12)</x:f>
        <x:v>0.26770027791479883</x:v>
      </x:c>
      <x:c r="G12" s="81" t="n">
        <x:f>SUMIFS('Reg Setores'!$N$7:$N$114,'Reg Setores'!$D$7:$D$114,"ex_2013_14",'Reg Setores'!$C$7:$C$114,$C12)</x:f>
        <x:v>0.27721776121290276</x:v>
      </x:c>
      <x:c r="H12" s="81" t="n">
        <x:f>SUMIFS('Reg Setores'!$AM$7:$AM$114,'Reg Setores'!$D$7:$D$114,"ex_2013_14",'Reg Setores'!$C$7:$C$114,$C12)</x:f>
        <x:v>0.3811744216677413</x:v>
      </x:c>
      <x:c r="I12" s="81" t="n">
        <x:f>SUMIFS('Reg Setores'!$AE$7:$AE$114,'Reg Setores'!$D$7:$D$114,"ex_2013_14",'Reg Setores'!$C$7:$C$114,$C12)</x:f>
        <x:v>2.509348492780966</x:v>
      </x:c>
      <x:c r="J12" s="81" t="n">
        <x:f>SUMIFS('Reg Setores'!$AF$7:$AF$114,'Reg Setores'!$D$7:$D$114,"ex_2013_14",'Reg Setores'!$C$7:$C$114,$C12)</x:f>
        <x:v>0.2721650730829949</x:v>
      </x:c>
      <x:c r="K12" s="81" t="n">
        <x:f>SUMIFS('Reg Setores'!$AH$7:$AH$114,'Reg Setores'!$D$7:$D$114,"ex_2013_14",'Reg Setores'!$C$7:$C$114,$C12)</x:f>
        <x:v>0.04583456682598985</x:v>
      </x:c>
      <x:c r="L12" s="81" t="n">
        <x:f>SUMIFS('Reg Setores'!$AQ$7:$AQ$114,'Reg Setores'!$D$7:$D$114,"ex_2013_14",'Reg Setores'!$C$7:$C$114,$C12)</x:f>
        <x:v>0.3888261902065162</x:v>
      </x:c>
      <x:c r="M12" s="99"/>
      <x:c r="N12" s="99"/>
      <x:c r="O12" s="99"/>
      <x:c r="P12" s="99"/>
      <x:c r="Q12" s="99"/>
      <x:c r="R12" s="99"/>
      <x:c r="S12" s="99"/>
      <x:c r="T12" s="99"/>
      <x:c r="U12" s="99"/>
    </x:row>
    <x:row r="13">
      <x:c r="C13" s="6" t="str">
        <x:v>Financials</x:v>
      </x:c>
      <x:c r="D13" s="81" t="n">
        <x:f>SUMIFS('Reg Setores'!$H$7:$H$114,'Reg Setores'!$D$7:$D$114,"ex_2013_14",'Reg Setores'!$C$7:$C$114,$C13)</x:f>
        <x:v>0.14121226533587905</x:v>
      </x:c>
      <x:c r="E13" s="81" t="n">
        <x:f>SUMIFS('Reg Setores'!$K$7:$K$114,'Reg Setores'!$D$7:$D$114,"ex_2013_14",'Reg Setores'!$C$7:$C$114,$C13)</x:f>
        <x:v>1.7070586487209107</x:v>
      </x:c>
      <x:c r="F13" s="81" t="n">
        <x:f>SUMIFS('Reg Setores'!$L$7:$L$114,'Reg Setores'!$D$7:$D$114,"ex_2013_14",'Reg Setores'!$C$7:$C$114,$C13)</x:f>
        <x:v>0.2514328770161939</x:v>
      </x:c>
      <x:c r="G13" s="81" t="n">
        <x:f>SUMIFS('Reg Setores'!$N$7:$N$114,'Reg Setores'!$D$7:$D$114,"ex_2013_14",'Reg Setores'!$C$7:$C$114,$C13)</x:f>
        <x:v>0.014363514862337112</x:v>
      </x:c>
      <x:c r="H13" s="81" t="n">
        <x:f>SUMIFS('Reg Setores'!$AM$7:$AM$114,'Reg Setores'!$D$7:$D$114,"ex_2013_14",'Reg Setores'!$C$7:$C$114,$C13)</x:f>
        <x:v>0.05266622116190275</x:v>
      </x:c>
      <x:c r="I13" s="81" t="n">
        <x:f>SUMIFS('Reg Setores'!$AE$7:$AE$114,'Reg Setores'!$D$7:$D$114,"ex_2013_14",'Reg Setores'!$C$7:$C$114,$C13)</x:f>
        <x:v>0.5956276134517162</x:v>
      </x:c>
      <x:c r="J13" s="81" t="n">
        <x:f>SUMIFS('Reg Setores'!$AF$7:$AF$114,'Reg Setores'!$D$7:$D$114,"ex_2013_14",'Reg Setores'!$C$7:$C$114,$C13)</x:f>
        <x:v>0.10656046767715716</x:v>
      </x:c>
      <x:c r="K13" s="81" t="n">
        <x:f>SUMIFS('Reg Setores'!$AH$7:$AH$114,'Reg Setores'!$D$7:$D$114,"ex_2013_14",'Reg Setores'!$C$7:$C$114,$C13)</x:f>
        <x:v>0.3202182539855438</x:v>
      </x:c>
      <x:c r="L13" s="81" t="n">
        <x:f>SUMIFS('Reg Setores'!$AQ$7:$AQ$114,'Reg Setores'!$D$7:$D$114,"ex_2013_14",'Reg Setores'!$C$7:$C$114,$C13)</x:f>
        <x:v>0.5032001134058546</x:v>
      </x:c>
      <x:c r="M13" s="99"/>
      <x:c r="N13" s="99"/>
      <x:c r="O13" s="99"/>
      <x:c r="P13" s="99"/>
      <x:c r="Q13" s="99"/>
      <x:c r="R13" s="99"/>
      <x:c r="S13" s="99"/>
      <x:c r="T13" s="99"/>
      <x:c r="U13" s="99"/>
    </x:row>
    <x:row r="14">
      <x:c r="C14" s="6" t="str">
        <x:v>Materials</x:v>
      </x:c>
      <x:c r="D14" s="81" t="n">
        <x:f>SUMIFS('Reg Setores'!$H$7:$H$114,'Reg Setores'!$D$7:$D$114,"ex_2013_14",'Reg Setores'!$C$7:$C$114,$C14)</x:f>
        <x:v>0.031766264148429535</x:v>
      </x:c>
      <x:c r="E14" s="81" t="n">
        <x:f>SUMIFS('Reg Setores'!$K$7:$K$114,'Reg Setores'!$D$7:$D$114,"ex_2013_14",'Reg Setores'!$C$7:$C$114,$C14)</x:f>
        <x:v>6.773677135301451</x:v>
      </x:c>
      <x:c r="F14" s="81" t="n">
        <x:f>SUMIFS('Reg Setores'!$L$7:$L$114,'Reg Setores'!$D$7:$D$114,"ex_2013_14",'Reg Setores'!$C$7:$C$114,$C14)</x:f>
        <x:v>0.16589956054683025</x:v>
      </x:c>
      <x:c r="G14" s="81" t="n">
        <x:f>SUMIFS('Reg Setores'!$N$7:$N$114,'Reg Setores'!$D$7:$D$114,"ex_2013_14",'Reg Setores'!$C$7:$C$114,$C14)</x:f>
        <x:v>0.03477228867633153</x:v>
      </x:c>
      <x:c r="H14" s="81" t="n">
        <x:f>SUMIFS('Reg Setores'!$AM$7:$AM$114,'Reg Setores'!$D$7:$D$114,"ex_2013_14",'Reg Setores'!$C$7:$C$114,$C14)</x:f>
        <x:v>0.09562379385991171</x:v>
      </x:c>
      <x:c r="I14" s="81" t="n">
        <x:f>SUMIFS('Reg Setores'!$AE$7:$AE$114,'Reg Setores'!$D$7:$D$114,"ex_2013_14",'Reg Setores'!$C$7:$C$114,$C14)</x:f>
        <x:v>0.15087945034559494</x:v>
      </x:c>
      <x:c r="J14" s="81" t="n">
        <x:f>SUMIFS('Reg Setores'!$AF$7:$AF$114,'Reg Setores'!$D$7:$D$114,"ex_2013_14",'Reg Setores'!$C$7:$C$114,$C14)</x:f>
        <x:v>0.0044857874549679155</x:v>
      </x:c>
      <x:c r="K14" s="81" t="n">
        <x:f>SUMIFS('Reg Setores'!$AH$7:$AH$114,'Reg Setores'!$D$7:$D$114,"ex_2013_14",'Reg Setores'!$C$7:$C$114,$C14)</x:f>
        <x:v>0.9683227461635779</x:v>
      </x:c>
      <x:c r="L14" s="81" t="n">
        <x:f>SUMIFS('Reg Setores'!$AQ$7:$AQ$114,'Reg Setores'!$D$7:$D$114,"ex_2013_14",'Reg Setores'!$C$7:$C$114,$C14)</x:f>
        <x:v>0.9683227461635778</x:v>
      </x:c>
      <x:c r="M14" s="99"/>
      <x:c r="N14" s="99"/>
      <x:c r="O14" s="99"/>
      <x:c r="P14" s="99"/>
      <x:c r="Q14" s="99"/>
      <x:c r="R14" s="99"/>
      <x:c r="S14" s="99"/>
      <x:c r="T14" s="99"/>
      <x:c r="U14" s="99"/>
    </x:row>
    <x:row r="15">
      <x:c r="C15" s="6" t="str">
        <x:v>Utilities</x:v>
      </x:c>
      <x:c r="D15" s="81" t="n">
        <x:f>SUMIFS('Reg Setores'!$H$7:$H$114,'Reg Setores'!$D$7:$D$114,"ex_2013_14",'Reg Setores'!$C$7:$C$114,$C15)</x:f>
        <x:v>0.04312098206495507</x:v>
      </x:c>
      <x:c r="E15" s="81" t="n">
        <x:f>SUMIFS('Reg Setores'!$K$7:$K$114,'Reg Setores'!$D$7:$D$114,"ex_2013_14",'Reg Setores'!$C$7:$C$114,$C15)</x:f>
        <x:v>1.4329922282042227</x:v>
      </x:c>
      <x:c r="F15" s="81" t="n">
        <x:f>SUMIFS('Reg Setores'!$L$7:$L$114,'Reg Setores'!$D$7:$D$114,"ex_2013_14",'Reg Setores'!$C$7:$C$114,$C15)</x:f>
        <x:v>0.12531637185956535</x:v>
      </x:c>
      <x:c r="G15" s="81" t="n">
        <x:f>SUMIFS('Reg Setores'!$N$7:$N$114,'Reg Setores'!$D$7:$D$114,"ex_2013_14",'Reg Setores'!$C$7:$C$114,$C15)</x:f>
        <x:v>0.1506730236534013</x:v>
      </x:c>
      <x:c r="H15" s="81" t="n">
        <x:f>SUMIFS('Reg Setores'!$AM$7:$AM$114,'Reg Setores'!$D$7:$D$114,"ex_2013_14",'Reg Setores'!$C$7:$C$114,$C15)</x:f>
        <x:v>0.2762338766979024</x:v>
      </x:c>
      <x:c r="I15" s="81" t="n">
        <x:f>SUMIFS('Reg Setores'!$AE$7:$AE$114,'Reg Setores'!$D$7:$D$114,"ex_2013_14",'Reg Setores'!$C$7:$C$114,$C15)</x:f>
        <x:v>-0.95271040219425</x:v>
      </x:c>
      <x:c r="J15" s="81" t="n">
        <x:f>SUMIFS('Reg Setores'!$AF$7:$AF$114,'Reg Setores'!$D$7:$D$114,"ex_2013_14",'Reg Setores'!$C$7:$C$114,$C15)</x:f>
        <x:v>-0.10119814612244198</x:v>
      </x:c>
      <x:c r="K15" s="81" t="n">
        <x:f>SUMIFS('Reg Setores'!$AH$7:$AH$114,'Reg Setores'!$D$7:$D$114,"ex_2013_14",'Reg Setores'!$C$7:$C$114,$C15)</x:f>
        <x:v>0.2557255010199255</x:v>
      </x:c>
      <x:c r="L15" s="81" t="n">
        <x:f>SUMIFS('Reg Setores'!$AQ$7:$AQ$114,'Reg Setores'!$D$7:$D$114,"ex_2013_14",'Reg Setores'!$C$7:$C$114,$C15)</x:f>
        <x:v>0.4688300852031968</x:v>
      </x:c>
      <x:c r="M15" s="99"/>
      <x:c r="N15" s="99"/>
      <x:c r="O15" s="99"/>
      <x:c r="P15" s="99"/>
      <x:c r="Q15" s="99"/>
      <x:c r="R15" s="99"/>
      <x:c r="S15" s="99"/>
      <x:c r="T15" s="99"/>
      <x:c r="U15" s="99"/>
    </x:row>
    <x:row r="16">
      <x:c r="C16" s="6" t="str">
        <x:v>Consumer Staples</x:v>
      </x:c>
      <x:c r="D16" s="81" t="n">
        <x:f>SUMIFS('Reg Setores'!$H$7:$H$114,'Reg Setores'!$D$7:$D$114,"ex_2013_14",'Reg Setores'!$C$7:$C$114,$C16)</x:f>
        <x:v>0.10203261262098395</x:v>
      </x:c>
      <x:c r="E16" s="81" t="n">
        <x:f>SUMIFS('Reg Setores'!$K$7:$K$114,'Reg Setores'!$D$7:$D$114,"ex_2013_14",'Reg Setores'!$C$7:$C$114,$C16)</x:f>
        <x:v>0.9888551618659024</x:v>
      </x:c>
      <x:c r="F16" s="81" t="n">
        <x:f>SUMIFS('Reg Setores'!$L$7:$L$114,'Reg Setores'!$D$7:$D$114,"ex_2013_14",'Reg Setores'!$C$7:$C$114,$C16)</x:f>
        <x:v>0.09480915999020752</x:v>
      </x:c>
      <x:c r="G16" s="81" t="n">
        <x:f>SUMIFS('Reg Setores'!$N$7:$N$114,'Reg Setores'!$D$7:$D$114,"ex_2013_14",'Reg Setores'!$C$7:$C$114,$C16)</x:f>
        <x:v>0.4618863341205608</x:v>
      </x:c>
      <x:c r="H16" s="81" t="n">
        <x:f>SUMIFS('Reg Setores'!$AM$7:$AM$114,'Reg Setores'!$D$7:$D$114,"ex_2013_14",'Reg Setores'!$C$7:$C$114,$C16)</x:f>
        <x:v>0.5080749675326169</x:v>
      </x:c>
      <x:c r="I16" s="81" t="n">
        <x:f>SUMIFS('Reg Setores'!$AE$7:$AE$114,'Reg Setores'!$D$7:$D$114,"ex_2013_14",'Reg Setores'!$C$7:$C$114,$C16)</x:f>
        <x:v>0.9174294420639637</x:v>
      </x:c>
      <x:c r="J16" s="81" t="n">
        <x:f>SUMIFS('Reg Setores'!$AF$7:$AF$114,'Reg Setores'!$D$7:$D$114,"ex_2013_14",'Reg Setores'!$C$7:$C$114,$C16)</x:f>
        <x:v>0.106841003620856</x:v>
      </x:c>
      <x:c r="K16" s="81" t="n">
        <x:f>SUMIFS('Reg Setores'!$AH$7:$AH$114,'Reg Setores'!$D$7:$D$114,"ex_2013_14",'Reg Setores'!$C$7:$C$114,$C16)</x:f>
        <x:v>0.5512096509532962</x:v>
      </x:c>
      <x:c r="L16" s="81" t="n">
        <x:f>SUMIFS('Reg Setores'!$AQ$7:$AQ$114,'Reg Setores'!$D$7:$D$114,"ex_2013_14",'Reg Setores'!$C$7:$C$114,$C16)</x:f>
        <x:v>0.7209609207328858</x:v>
      </x:c>
      <x:c r="M16" s="99"/>
      <x:c r="N16" s="99"/>
      <x:c r="O16" s="99"/>
      <x:c r="P16" s="99"/>
      <x:c r="Q16" s="99"/>
      <x:c r="R16" s="99"/>
      <x:c r="S16" s="99"/>
      <x:c r="T16" s="99"/>
      <x:c r="U16" s="99"/>
    </x:row>
    <x:row r="17">
      <x:c r="C17" s="6" t="str">
        <x:v>Health Care</x:v>
      </x:c>
      <x:c r="D17" s="81" t="n">
        <x:f>SUMIFS('Reg Setores'!$H$7:$H$114,'Reg Setores'!$D$7:$D$114,"ex_2013_14",'Reg Setores'!$C$7:$C$114,$C17)</x:f>
        <x:v>0.1443502025827489</x:v>
      </x:c>
      <x:c r="E17" s="81" t="n">
        <x:f>SUMIFS('Reg Setores'!$K$7:$K$114,'Reg Setores'!$D$7:$D$114,"ex_2013_14",'Reg Setores'!$C$7:$C$114,$C17)</x:f>
        <x:v>-0.6044922285073145</x:v>
      </x:c>
      <x:c r="F17" s="81" t="n">
        <x:f>SUMIFS('Reg Setores'!$L$7:$L$114,'Reg Setores'!$D$7:$D$114,"ex_2013_14",'Reg Setores'!$C$7:$C$114,$C17)</x:f>
        <x:v>-0.05361663896746517</x:v>
      </x:c>
      <x:c r="G17" s="81" t="n">
        <x:f>SUMIFS('Reg Setores'!$N$7:$N$114,'Reg Setores'!$D$7:$D$114,"ex_2013_14",'Reg Setores'!$C$7:$C$114,$C17)</x:f>
        <x:v>0.5179129987007762</x:v>
      </x:c>
      <x:c r="H17" s="81" t="n">
        <x:f>SUMIFS('Reg Setores'!$AM$7:$AM$114,'Reg Setores'!$D$7:$D$114,"ex_2013_14",'Reg Setores'!$C$7:$C$114,$C17)</x:f>
        <x:v>0.5179129987007762</x:v>
      </x:c>
      <x:c r="I17" s="81" t="n">
        <x:f>SUMIFS('Reg Setores'!$AE$7:$AE$114,'Reg Setores'!$D$7:$D$114,"ex_2013_14",'Reg Setores'!$C$7:$C$114,$C17)</x:f>
        <x:v>2.2716491881932517</x:v>
      </x:c>
      <x:c r="J17" s="81" t="n">
        <x:f>SUMIFS('Reg Setores'!$AF$7:$AF$114,'Reg Setores'!$D$7:$D$114,"ex_2013_14",'Reg Setores'!$C$7:$C$114,$C17)</x:f>
        <x:v>0.25861757919330486</x:v>
      </x:c>
      <x:c r="K17" s="81" t="n">
        <x:f>SUMIFS('Reg Setores'!$AH$7:$AH$114,'Reg Setores'!$D$7:$D$114,"ex_2013_14",'Reg Setores'!$C$7:$C$114,$C17)</x:f>
        <x:v>0.17673917736659828</x:v>
      </x:c>
      <x:c r="L17" s="81" t="n">
        <x:f>SUMIFS('Reg Setores'!$AQ$7:$AQ$114,'Reg Setores'!$D$7:$D$114,"ex_2013_14",'Reg Setores'!$C$7:$C$114,$C17)</x:f>
        <x:v>0.3888261902065162</x:v>
      </x:c>
      <x:c r="M17" s="99"/>
      <x:c r="N17" s="99"/>
      <x:c r="O17" s="99"/>
      <x:c r="P17" s="99"/>
      <x:c r="Q17" s="99"/>
      <x:c r="R17" s="99"/>
      <x:c r="S17" s="99"/>
      <x:c r="T17" s="99"/>
      <x:c r="U17" s="99"/>
    </x:row>
    <x:row r="18">
      <x:c r="C18" s="6" t="str">
        <x:v>Communication Services</x:v>
      </x:c>
      <x:c r="D18" s="81" t="n">
        <x:f>SUMIFS('Reg Setores'!$H$7:$H$114,'Reg Setores'!$D$7:$D$114,"ex_2013_14",'Reg Setores'!$C$7:$C$114,$C18)</x:f>
        <x:v>0.07607061262603543</x:v>
      </x:c>
      <x:c r="E18" s="81" t="n">
        <x:f>SUMIFS('Reg Setores'!$K$7:$K$114,'Reg Setores'!$D$7:$D$114,"ex_2013_14",'Reg Setores'!$C$7:$C$114,$C18)</x:f>
        <x:v>-1.0551454972175867</x:v>
      </x:c>
      <x:c r="F18" s="81" t="n">
        <x:f>SUMIFS('Reg Setores'!$L$7:$L$114,'Reg Setores'!$D$7:$D$114,"ex_2013_14",'Reg Setores'!$C$7:$C$114,$C18)</x:f>
        <x:v>-0.07550815951397988</x:v>
      </x:c>
      <x:c r="G18" s="81" t="n">
        <x:f>SUMIFS('Reg Setores'!$N$7:$N$114,'Reg Setores'!$D$7:$D$114,"ex_2013_14",'Reg Setores'!$C$7:$C$114,$C18)</x:f>
        <x:v>0.3442137637735818</x:v>
      </x:c>
      <x:c r="H18" s="81" t="n">
        <x:f>SUMIFS('Reg Setores'!$AM$7:$AM$114,'Reg Setores'!$D$7:$D$114,"ex_2013_14",'Reg Setores'!$C$7:$C$114,$C18)</x:f>
        <x:v>0.42070571127882217</x:v>
      </x:c>
      <x:c r="I18" s="81" t="n">
        <x:f>SUMIFS('Reg Setores'!$AE$7:$AE$114,'Reg Setores'!$D$7:$D$114,"ex_2013_14",'Reg Setores'!$C$7:$C$114,$C18)</x:f>
        <x:v>-0.13581286269003734</x:v>
      </x:c>
      <x:c r="J18" s="81" t="n">
        <x:f>SUMIFS('Reg Setores'!$AF$7:$AF$114,'Reg Setores'!$D$7:$D$114,"ex_2013_14",'Reg Setores'!$C$7:$C$114,$C18)</x:f>
        <x:v>-0.011805111948994085</x:v>
      </x:c>
      <x:c r="K18" s="81" t="n">
        <x:f>SUMIFS('Reg Setores'!$AH$7:$AH$114,'Reg Setores'!$D$7:$D$114,"ex_2013_14",'Reg Setores'!$C$7:$C$114,$C18)</x:f>
        <x:v>0.9071711794881825</x:v>
      </x:c>
      <x:c r="L18" s="81" t="n">
        <x:f>SUMIFS('Reg Setores'!$AQ$7:$AQ$114,'Reg Setores'!$D$7:$D$114,"ex_2013_14",'Reg Setores'!$C$7:$C$114,$C18)</x:f>
        <x:v>0.9683227461635778</x:v>
      </x:c>
      <x:c r="M18" s="99"/>
      <x:c r="N18" s="99"/>
      <x:c r="O18" s="99"/>
      <x:c r="P18" s="99"/>
      <x:c r="Q18" s="99"/>
      <x:c r="R18" s="99"/>
      <x:c r="S18" s="99"/>
      <x:c r="T18" s="99"/>
      <x:c r="U18" s="99"/>
    </x:row>
    <x:row r="19">
      <x:c r="C19" s="6" t="str">
        <x:v>Information Technology</x:v>
      </x:c>
      <x:c r="D19" s="81" t="n">
        <x:f>SUMIFS('Reg Setores'!$H$7:$H$114,'Reg Setores'!$D$7:$D$114,"ex_2013_14",'Reg Setores'!$C$7:$C$114,$C19)</x:f>
        <x:v>0.024773621474271867</x:v>
      </x:c>
      <x:c r="E19" s="81" t="n">
        <x:f>SUMIFS('Reg Setores'!$K$7:$K$114,'Reg Setores'!$D$7:$D$114,"ex_2013_14",'Reg Setores'!$C$7:$C$114,$C19)</x:f>
        <x:v>-0.9401232980465728</x:v>
      </x:c>
      <x:c r="F19" s="81" t="n">
        <x:f>SUMIFS('Reg Setores'!$L$7:$L$114,'Reg Setores'!$D$7:$D$114,"ex_2013_14",'Reg Setores'!$C$7:$C$114,$C19)</x:f>
        <x:v>-0.10645216675960692</x:v>
      </x:c>
      <x:c r="G19" s="81" t="n">
        <x:f>SUMIFS('Reg Setores'!$N$7:$N$114,'Reg Setores'!$D$7:$D$114,"ex_2013_14",'Reg Setores'!$C$7:$C$114,$C19)</x:f>
        <x:v>0.22986521899469992</x:v>
      </x:c>
      <x:c r="H19" s="81" t="n">
        <x:f>SUMIFS('Reg Setores'!$AM$7:$AM$114,'Reg Setores'!$D$7:$D$114,"ex_2013_14",'Reg Setores'!$C$7:$C$114,$C19)</x:f>
        <x:v>0.36121677270595703</x:v>
      </x:c>
      <x:c r="I19" s="81" t="n">
        <x:f>SUMIFS('Reg Setores'!$AE$7:$AE$114,'Reg Setores'!$D$7:$D$114,"ex_2013_14",'Reg Setores'!$C$7:$C$114,$C19)</x:f>
        <x:v>0.4127522127106782</x:v>
      </x:c>
      <x:c r="J19" s="81" t="n">
        <x:f>SUMIFS('Reg Setores'!$AF$7:$AF$114,'Reg Setores'!$D$7:$D$114,"ex_2013_14",'Reg Setores'!$C$7:$C$114,$C19)</x:f>
        <x:v>0.05360184728739115</x:v>
      </x:c>
      <x:c r="K19" s="81" t="n">
        <x:f>SUMIFS('Reg Setores'!$AH$7:$AH$114,'Reg Setores'!$D$7:$D$114,"ex_2013_14",'Reg Setores'!$C$7:$C$114,$C19)</x:f>
        <x:v>0.5898771169632702</x:v>
      </x:c>
      <x:c r="L19" s="81" t="n">
        <x:f>SUMIFS('Reg Setores'!$AQ$7:$AQ$114,'Reg Setores'!$D$7:$D$114,"ex_2013_14",'Reg Setores'!$C$7:$C$114,$C19)</x:f>
        <x:v>0.7209609207328858</x:v>
      </x:c>
      <x:c r="M19" s="99"/>
      <x:c r="N19" s="99"/>
      <x:c r="O19" s="99"/>
      <x:c r="P19" s="99"/>
      <x:c r="Q19" s="99"/>
      <x:c r="R19" s="99"/>
      <x:c r="S19" s="99"/>
      <x:c r="T19" s="99"/>
      <x:c r="U19" s="99"/>
    </x:row>
    <x:row r="20">
      <x:c r="C20" s="99"/>
      <x:c r="D20" s="99"/>
      <x:c r="E20" s="99"/>
      <x:c r="F20" s="99"/>
      <x:c r="G20" s="99"/>
      <x:c r="H20" s="99"/>
      <x:c r="I20" s="99"/>
      <x:c r="J20" s="99"/>
      <x:c r="K20" s="99"/>
      <x:c r="L20" s="99"/>
      <x:c r="M20" s="99"/>
      <x:c r="N20" s="99"/>
      <x:c r="O20" s="99"/>
      <x:c r="P20" s="99"/>
      <x:c r="Q20" s="99"/>
      <x:c r="R20" s="99"/>
      <x:c r="S20" s="99"/>
      <x:c r="T20" s="99"/>
      <x:c r="U20" s="99"/>
    </x:row>
    <x:row r="21">
      <x:c r="C21" s="99"/>
      <x:c r="D21" s="99"/>
      <x:c r="E21" s="99"/>
      <x:c r="F21" s="99"/>
      <x:c r="G21" s="99"/>
      <x:c r="H21" s="99"/>
      <x:c r="I21" s="99"/>
      <x:c r="J21" s="99"/>
      <x:c r="K21" s="99"/>
      <x:c r="L21" s="99"/>
      <x:c r="M21" s="99"/>
      <x:c r="N21" s="99"/>
      <x:c r="O21" s="99"/>
      <x:c r="P21" s="99"/>
      <x:c r="Q21" s="99"/>
      <x:c r="R21" s="99"/>
      <x:c r="S21" s="99"/>
      <x:c r="T21" s="99"/>
      <x:c r="U21" s="99"/>
    </x:row>
    <x:row r="22">
      <x:c r="C22" s="11" t="str">
        <x:v>Leitura</x:v>
      </x:c>
      <x:c r="D22" s="11" t="str">
        <x:v>Energy</x:v>
      </x:c>
      <x:c r="E22" s="11" t="str">
        <x:v>Consumer Discretionary</x:v>
      </x:c>
      <x:c r="F22" s="11" t="str">
        <x:v>Financials</x:v>
      </x:c>
      <x:c r="G22" s="11" t="str">
        <x:v>Materials</x:v>
      </x:c>
      <x:c r="H22" s="11"/>
      <x:c r="I22" s="11"/>
      <x:c r="J22" s="11"/>
      <x:c r="K22" s="11"/>
      <x:c r="L22" s="11"/>
      <x:c r="M22" s="99"/>
      <x:c r="N22" s="99"/>
      <x:c r="O22" s="99"/>
      <x:c r="P22" s="99"/>
      <x:c r="Q22" s="99"/>
      <x:c r="R22" s="99"/>
      <x:c r="S22" s="99"/>
      <x:c r="T22" s="99"/>
      <x:c r="U22" s="99"/>
    </x:row>
    <x:row r="23">
      <x:c r="C23" s="85" t="str">
        <x:v>Focus q BH &lt; 10%</x:v>
      </x:c>
      <x:c r="D23" s="85" t="str">
        <x:v>Sim</x:v>
      </x:c>
      <x:c r="E23" s="85" t="str">
        <x:v>Sim</x:v>
      </x:c>
      <x:c r="F23" s="85" t="str">
        <x:v>Sim</x:v>
      </x:c>
      <x:c r="G23" s="85" t="str">
        <x:v>Sim</x:v>
      </x:c>
      <x:c r="H23" s="85"/>
      <x:c r="I23" s="85"/>
      <x:c r="J23" s="85"/>
      <x:c r="K23" s="85"/>
      <x:c r="L23" s="85"/>
      <x:c r="M23" s="99"/>
      <x:c r="N23" s="99"/>
      <x:c r="O23" s="99"/>
      <x:c r="P23" s="99"/>
      <x:c r="Q23" s="99"/>
      <x:c r="R23" s="99"/>
      <x:c r="S23" s="99"/>
      <x:c r="T23" s="99"/>
      <x:c r="U23" s="99"/>
    </x:row>
    <x:row r="24">
      <x:c r="C24" s="85" t="str">
        <x:v>Swap q BH &lt; 10%</x:v>
      </x:c>
      <x:c r="D24" s="85" t="str">
        <x:v>Não</x:v>
      </x:c>
      <x:c r="E24" s="85" t="str">
        <x:v>Não</x:v>
      </x:c>
      <x:c r="F24" s="85" t="str">
        <x:v>Não</x:v>
      </x:c>
      <x:c r="G24" s="85" t="str">
        <x:v>Não</x:v>
      </x:c>
      <x:c r="H24" s="85"/>
      <x:c r="I24" s="85"/>
      <x:c r="J24" s="85"/>
      <x:c r="K24" s="85"/>
      <x:c r="L24" s="85"/>
      <x:c r="M24" s="99"/>
      <x:c r="N24" s="99"/>
      <x:c r="O24" s="99"/>
      <x:c r="P24" s="99"/>
      <x:c r="Q24" s="99"/>
      <x:c r="R24" s="99"/>
      <x:c r="S24" s="99"/>
      <x:c r="T24" s="99"/>
      <x:c r="U24" s="99"/>
    </x:row>
    <x:row r="25" ht="34" customHeight="1">
      <x:c r="C25" s="85" t="str">
        <x:v>Conclusão</x:v>
      </x:c>
      <x:c r="D25" s="85" t="str">
        <x:v>Energia lidera, mas o resultado é concentrado em Petrobras.</x:v>
      </x:c>
      <x:c r="E25" s="85"/>
      <x:c r="F25" s="85"/>
      <x:c r="G25" s="85"/>
      <x:c r="H25" s="85"/>
      <x:c r="I25" s="85"/>
      <x:c r="J25" s="85"/>
      <x:c r="K25" s="85"/>
      <x:c r="L25" s="85"/>
      <x:c r="M25" s="99"/>
      <x:c r="N25" s="99"/>
      <x:c r="O25" s="99"/>
      <x:c r="P25" s="99"/>
      <x:c r="Q25" s="99"/>
      <x:c r="R25" s="99"/>
      <x:c r="S25" s="99"/>
      <x:c r="T25" s="99"/>
      <x:c r="U25" s="99"/>
    </x:row>
  </x:sheetData>
  <x:mergeCells>
    <x:mergeCell ref="D25:L25"/>
  </x:mergeCells>
  <x:conditionalFormatting sqref="H9:H19">
    <x:cfRule type="cellIs" dxfId="1" priority="1" operator="lessThan">
      <x:formula>0.1</x:formula>
    </x:cfRule>
  </x:conditionalFormatting>
  <x:conditionalFormatting sqref="L9:L19">
    <x:cfRule type="cellIs" dxfId="2" priority="2" operator="lessThan">
      <x:formula>0.1</x:formula>
    </x:cfRule>
  </x:conditionalFormatting>
  <x:pageMargins left="0.7" right="0.7" top="0.75" bottom="0.75" header="0.3" footer="0.3"/>
  <x:drawing xmlns:r="http://schemas.openxmlformats.org/officeDocument/2006/relationships" r:id="R7b5f19ed42244953"/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2">
      <x:c r="C2" s="2" t="str">
        <x:v>Matriz de sensibilidade: Focus PIB e swap pré-DI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</x:row>
    <x:row r="3">
      <x:c r="C3" s="4" t="str">
        <x:v>Impacto estimado sobre a revisão de earnings de três meses do BEst EPS do IBOV. Amostra ex_2013_14.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  <x:c r="P5" s="99"/>
      <x:c r="Q5" s="99"/>
      <x:c r="R5" s="99"/>
      <x:c r="S5" s="99"/>
      <x:c r="T5" s="99"/>
      <x:c r="U5" s="99"/>
    </x:row>
    <x:row r="6">
      <x:c r="C6" s="74" t="str">
        <x:v>Parâmetros do modelo</x:v>
      </x:c>
      <x:c r="D6" s="75"/>
      <x:c r="E6" s="75"/>
      <x:c r="F6" s="75"/>
      <x:c r="G6" s="76"/>
      <x:c r="H6" s="99"/>
      <x:c r="I6" s="99"/>
      <x:c r="J6" s="99"/>
      <x:c r="K6" s="99"/>
      <x:c r="L6" s="99"/>
      <x:c r="M6" s="99"/>
      <x:c r="N6" s="99"/>
      <x:c r="O6" s="99"/>
      <x:c r="P6" s="99"/>
      <x:c r="Q6" s="99"/>
      <x:c r="R6" s="99"/>
      <x:c r="S6" s="99"/>
      <x:c r="T6" s="99"/>
      <x:c r="U6" s="99"/>
    </x:row>
    <x:row r="7">
      <x:c r="C7" s="11" t="str">
        <x:v>Parâmetro</x:v>
      </x:c>
      <x:c r="D7" s="11" t="str">
        <x:v>Valor</x:v>
      </x:c>
      <x:c r="E7" s="11" t="str">
        <x:v>p-valor HAC</x:v>
      </x:c>
      <x:c r="F7" s="11" t="str">
        <x:v>Unidade</x:v>
      </x:c>
      <x:c r="G7" s="11" t="str">
        <x:v>Observação</x:v>
      </x:c>
      <x:c r="H7" s="99"/>
      <x:c r="I7" s="99"/>
      <x:c r="J7" s="99"/>
      <x:c r="K7" s="99"/>
      <x:c r="L7" s="99"/>
      <x:c r="M7" s="99"/>
      <x:c r="N7" s="99"/>
      <x:c r="O7" s="99"/>
      <x:c r="P7" s="99"/>
      <x:c r="Q7" s="99"/>
      <x:c r="R7" s="99"/>
      <x:c r="S7" s="99"/>
      <x:c r="T7" s="99"/>
      <x:c r="U7" s="99"/>
    </x:row>
    <x:row r="8">
      <x:c r="C8" s="6" t="str">
        <x:v>Beta Focus PIB</x:v>
      </x:c>
      <x:c r="D8" s="81" t="n">
        <x:f>SUMIFS('Reg IBOV'!$J$7:$J$26,'Reg IBOV'!$D$7:$D$26,"ex_2013_14",'Reg IBOV'!$I$7:$I$26,"d_focus_pib3")</x:f>
        <x:v>6.003022470385266</x:v>
      </x:c>
      <x:c r="E8" s="81" t="n">
        <x:f>SUMIFS('Reg IBOV'!$N$7:$N$26,'Reg IBOV'!$D$7:$D$26,"ex_2013_14",'Reg IBOV'!$I$7:$I$26,"d_focus_pib3")</x:f>
        <x:v>7.791545186819349e-13</x:v>
      </x:c>
      <x:c r="F8" s="6" t="str">
        <x:v>% revisão / 1 p.p.</x:v>
      </x:c>
      <x:c r="G8" s="6" t="str">
        <x:v>Coeficiente contemporâneo</x:v>
      </x:c>
      <x:c r="H8" s="99"/>
      <x:c r="I8" s="99"/>
      <x:c r="J8" s="99"/>
      <x:c r="K8" s="99"/>
      <x:c r="L8" s="99"/>
      <x:c r="M8" s="99"/>
      <x:c r="N8" s="99"/>
      <x:c r="O8" s="99"/>
      <x:c r="P8" s="99"/>
      <x:c r="Q8" s="99"/>
      <x:c r="R8" s="99"/>
      <x:c r="S8" s="99"/>
      <x:c r="T8" s="99"/>
      <x:c r="U8" s="99"/>
    </x:row>
    <x:row r="9">
      <x:c r="C9" s="6" t="str">
        <x:v>Beta swap 360d</x:v>
      </x:c>
      <x:c r="D9" s="81" t="n">
        <x:f>SUMIFS('Reg IBOV'!$J$7:$J$26,'Reg IBOV'!$D$7:$D$26,"ex_2013_14",'Reg IBOV'!$I$7:$I$26,"d_swap360_3")</x:f>
        <x:v>1.7314797734629659</x:v>
      </x:c>
      <x:c r="E9" s="81" t="n">
        <x:f>SUMIFS('Reg IBOV'!$N$7:$N$26,'Reg IBOV'!$D$7:$D$26,"ex_2013_14",'Reg IBOV'!$I$7:$I$26,"d_swap360_3")</x:f>
        <x:v>0.007614196116265237</x:v>
      </x:c>
      <x:c r="F9" s="6" t="str">
        <x:v>% revisão / 1 p.p.</x:v>
      </x:c>
      <x:c r="G9" s="6" t="str">
        <x:v>Sinal positivo na amostra principal</x:v>
      </x:c>
      <x:c r="H9" s="99"/>
      <x:c r="I9" s="99"/>
      <x:c r="J9" s="99"/>
      <x:c r="K9" s="99"/>
      <x:c r="L9" s="99"/>
      <x:c r="M9" s="99"/>
      <x:c r="N9" s="99"/>
      <x:c r="O9" s="99"/>
      <x:c r="P9" s="99"/>
      <x:c r="Q9" s="99"/>
      <x:c r="R9" s="99"/>
      <x:c r="S9" s="99"/>
      <x:c r="T9" s="99"/>
      <x:c r="U9" s="99"/>
    </x:row>
    <x:row r="10">
      <x:c r="C10" s="6" t="str">
        <x:v>R²</x:v>
      </x:c>
      <x:c r="D10" s="81" t="n">
        <x:f>SUMIFS('Reg IBOV'!$G$7:$G$26,'Reg IBOV'!$D$7:$D$26,"ex_2013_14",'Reg IBOV'!$I$7:$I$26,"d_focus_pib3")</x:f>
        <x:v>0.49329249230764305</x:v>
      </x:c>
      <x:c r="E10" s="81"/>
      <x:c r="F10" s="6" t="str">
        <x:v>proporção</x:v>
      </x:c>
      <x:c r="G10" s="6" t="str">
        <x:v>Modelo com cinco variáveis</x:v>
      </x:c>
      <x:c r="H10" s="99"/>
      <x:c r="I10" s="99"/>
      <x:c r="J10" s="99"/>
      <x:c r="K10" s="99"/>
      <x:c r="L10" s="99"/>
      <x:c r="M10" s="99"/>
      <x:c r="N10" s="99"/>
      <x:c r="O10" s="99"/>
      <x:c r="P10" s="99"/>
      <x:c r="Q10" s="99"/>
      <x:c r="R10" s="99"/>
      <x:c r="S10" s="99"/>
      <x:c r="T10" s="99"/>
      <x:c r="U10" s="99"/>
    </x:row>
    <x:row r="11">
      <x:c r="C11" s="6" t="str">
        <x:v>Amostra</x:v>
      </x:c>
      <x:c r="D11" s="6" t="str">
        <x:v>ex_2013_14</x:v>
      </x:c>
      <x:c r="E11" s="6"/>
      <x:c r="F11" s="6"/>
      <x:c r="G11" s="6" t="str">
        <x:v>2013-2014 excluídos</x:v>
      </x:c>
      <x:c r="H11" s="99"/>
      <x:c r="I11" s="99"/>
      <x:c r="J11" s="99"/>
      <x:c r="K11" s="99"/>
      <x:c r="L11" s="99"/>
      <x:c r="M11" s="99"/>
      <x:c r="N11" s="99"/>
      <x:c r="O11" s="99"/>
      <x:c r="P11" s="99"/>
      <x:c r="Q11" s="99"/>
      <x:c r="R11" s="99"/>
      <x:c r="S11" s="99"/>
      <x:c r="T11" s="99"/>
      <x:c r="U11" s="99"/>
    </x:row>
    <x:row r="12">
      <x:c r="C12" s="99"/>
      <x:c r="D12" s="99"/>
      <x:c r="E12" s="99"/>
      <x:c r="F12" s="99"/>
      <x:c r="G12" s="99"/>
      <x:c r="H12" s="99"/>
      <x:c r="I12" s="99"/>
      <x:c r="J12" s="99"/>
      <x:c r="K12" s="99"/>
      <x:c r="L12" s="99"/>
      <x:c r="M12" s="99"/>
      <x:c r="N12" s="99"/>
      <x:c r="O12" s="99"/>
      <x:c r="P12" s="99"/>
      <x:c r="Q12" s="99"/>
      <x:c r="R12" s="99"/>
      <x:c r="S12" s="99"/>
      <x:c r="T12" s="99"/>
      <x:c r="U12" s="99"/>
    </x:row>
    <x:row r="13">
      <x:c r="C13" s="99"/>
      <x:c r="D13" s="99"/>
      <x:c r="E13" s="99"/>
      <x:c r="F13" s="99"/>
      <x:c r="G13" s="99"/>
      <x:c r="H13" s="99"/>
      <x:c r="I13" s="99"/>
      <x:c r="J13" s="99"/>
      <x:c r="K13" s="99"/>
      <x:c r="L13" s="99"/>
      <x:c r="M13" s="99"/>
      <x:c r="N13" s="99"/>
      <x:c r="O13" s="99"/>
      <x:c r="P13" s="99"/>
      <x:c r="Q13" s="99"/>
      <x:c r="R13" s="99"/>
      <x:c r="S13" s="99"/>
      <x:c r="T13" s="99"/>
      <x:c r="U13" s="99"/>
    </x:row>
    <x:row r="14">
      <x:c r="C14" s="74" t="str">
        <x:v>Revisão prevista de earnings em três meses (%)</x:v>
      </x:c>
      <x:c r="D14" s="75"/>
      <x:c r="E14" s="75"/>
      <x:c r="F14" s="75"/>
      <x:c r="G14" s="75"/>
      <x:c r="H14" s="75"/>
      <x:c r="I14" s="75"/>
      <x:c r="J14" s="76"/>
      <x:c r="K14" s="99"/>
      <x:c r="L14" s="99"/>
      <x:c r="M14" s="74" t="str">
        <x:v>Matriz arquivada da análise original</x:v>
      </x:c>
      <x:c r="N14" s="75"/>
      <x:c r="O14" s="75"/>
      <x:c r="P14" s="75"/>
      <x:c r="Q14" s="75"/>
      <x:c r="R14" s="75"/>
      <x:c r="S14" s="75"/>
      <x:c r="T14" s="76"/>
      <x:c r="U14" s="99"/>
    </x:row>
    <x:row r="15">
      <x:c r="C15" s="99"/>
      <x:c r="D15" s="99"/>
      <x:c r="E15" s="99"/>
      <x:c r="F15" s="99"/>
      <x:c r="G15" s="99"/>
      <x:c r="H15" s="99"/>
      <x:c r="I15" s="99"/>
      <x:c r="J15" s="99"/>
      <x:c r="K15" s="99"/>
      <x:c r="L15" s="99"/>
      <x:c r="M15" s="99"/>
      <x:c r="N15" s="99"/>
      <x:c r="O15" s="99"/>
      <x:c r="P15" s="99"/>
      <x:c r="Q15" s="99"/>
      <x:c r="R15" s="99"/>
      <x:c r="S15" s="99"/>
      <x:c r="T15" s="99"/>
      <x:c r="U15" s="99"/>
    </x:row>
    <x:row r="16">
      <x:c r="C16" s="11" t="str">
        <x:v>Focus Δ (p.p.)</x:v>
      </x:c>
      <x:c r="D16" s="11" t="n">
        <x:v>-3</x:v>
      </x:c>
      <x:c r="E16" s="11" t="n">
        <x:v>-2</x:v>
      </x:c>
      <x:c r="F16" s="11" t="n">
        <x:v>-1</x:v>
      </x:c>
      <x:c r="G16" s="11" t="n">
        <x:v>0</x:v>
      </x:c>
      <x:c r="H16" s="11" t="n">
        <x:v>1</x:v>
      </x:c>
      <x:c r="I16" s="11" t="n">
        <x:v>2</x:v>
      </x:c>
      <x:c r="J16" s="11" t="n">
        <x:v>3</x:v>
      </x:c>
      <x:c r="K16" s="99"/>
      <x:c r="L16" s="99"/>
      <x:c r="M16" s="11" t="str">
        <x:v>focus_delta_pp</x:v>
      </x:c>
      <x:c r="N16" s="11" t="str">
        <x:v>swap_-3.00pp</x:v>
      </x:c>
      <x:c r="O16" s="11" t="str">
        <x:v>swap_-2.00pp</x:v>
      </x:c>
      <x:c r="P16" s="11" t="str">
        <x:v>swap_-1.00pp</x:v>
      </x:c>
      <x:c r="Q16" s="11" t="str">
        <x:v>swap_+0.00pp</x:v>
      </x:c>
      <x:c r="R16" s="11" t="str">
        <x:v>swap_+1.00pp</x:v>
      </x:c>
      <x:c r="S16" s="11" t="str">
        <x:v>swap_+2.00pp</x:v>
      </x:c>
      <x:c r="T16" s="11" t="str">
        <x:v>swap_+3.00pp</x:v>
      </x:c>
      <x:c r="U16" s="99"/>
    </x:row>
    <x:row r="17">
      <x:c r="C17" s="86" t="n">
        <x:v>-1</x:v>
      </x:c>
      <x:c r="D17" s="80" t="n">
        <x:f>$D$8*$C17+$D$9*D$16</x:f>
        <x:v>-11.197461790774163</x:v>
      </x:c>
      <x:c r="E17" s="80" t="n">
        <x:f>$D$8*$C17+$D$9*E$16</x:f>
        <x:v>-9.465982017311198</x:v>
      </x:c>
      <x:c r="F17" s="80" t="n">
        <x:f>$D$8*$C17+$D$9*F$16</x:f>
        <x:v>-7.734502243848232</x:v>
      </x:c>
      <x:c r="G17" s="80" t="n">
        <x:f>$D$8*$C17+$D$9*G$16</x:f>
        <x:v>-6.003022470385266</x:v>
      </x:c>
      <x:c r="H17" s="80" t="n">
        <x:f>$D$8*$C17+$D$9*H$16</x:f>
        <x:v>-4.2715426969223005</x:v>
      </x:c>
      <x:c r="I17" s="80" t="n">
        <x:f>$D$8*$C17+$D$9*I$16</x:f>
        <x:v>-2.5400629234593346</x:v>
      </x:c>
      <x:c r="J17" s="80" t="n">
        <x:f>$D$8*$C17+$D$9*J$16</x:f>
        <x:v>-0.8085831499963687</x:v>
      </x:c>
      <x:c r="K17" s="99"/>
      <x:c r="L17" s="99"/>
      <x:c r="M17" s="80" t="n">
        <x:v>-1</x:v>
      </x:c>
      <x:c r="N17" s="80" t="n">
        <x:v>-11.197461790774163</x:v>
      </x:c>
      <x:c r="O17" s="80" t="n">
        <x:v>-9.465982017311198</x:v>
      </x:c>
      <x:c r="P17" s="80" t="n">
        <x:v>-7.734502243848232</x:v>
      </x:c>
      <x:c r="Q17" s="80" t="n">
        <x:v>-6.003022470385266</x:v>
      </x:c>
      <x:c r="R17" s="80" t="n">
        <x:v>-4.2715426969223005</x:v>
      </x:c>
      <x:c r="S17" s="80" t="n">
        <x:v>-2.5400629234593346</x:v>
      </x:c>
      <x:c r="T17" s="80" t="n">
        <x:v>-0.8085831499963687</x:v>
      </x:c>
      <x:c r="U17" s="99"/>
    </x:row>
    <x:row r="18">
      <x:c r="C18" s="86" t="n">
        <x:v>-0.75</x:v>
      </x:c>
      <x:c r="D18" s="80" t="n">
        <x:f>$D$8*$C18+$D$9*D$16</x:f>
        <x:v>-9.696706173177848</x:v>
      </x:c>
      <x:c r="E18" s="80" t="n">
        <x:f>$D$8*$C18+$D$9*E$16</x:f>
        <x:v>-7.965226399714881</x:v>
      </x:c>
      <x:c r="F18" s="80" t="n">
        <x:f>$D$8*$C18+$D$9*F$16</x:f>
        <x:v>-6.233746626251915</x:v>
      </x:c>
      <x:c r="G18" s="80" t="n">
        <x:f>$D$8*$C18+$D$9*G$16</x:f>
        <x:v>-4.502266852788949</x:v>
      </x:c>
      <x:c r="H18" s="80" t="n">
        <x:f>$D$8*$C18+$D$9*H$16</x:f>
        <x:v>-2.7707870793259834</x:v>
      </x:c>
      <x:c r="I18" s="80" t="n">
        <x:f>$D$8*$C18+$D$9*I$16</x:f>
        <x:v>-1.0393073058630176</x:v>
      </x:c>
      <x:c r="J18" s="80" t="n">
        <x:f>$D$8*$C18+$D$9*J$16</x:f>
        <x:v>0.6921724675999483</x:v>
      </x:c>
      <x:c r="K18" s="99"/>
      <x:c r="L18" s="99"/>
      <x:c r="M18" s="80" t="n">
        <x:v>-0.75</x:v>
      </x:c>
      <x:c r="N18" s="80" t="n">
        <x:v>-9.696706173177848</x:v>
      </x:c>
      <x:c r="O18" s="80" t="n">
        <x:v>-7.965226399714881</x:v>
      </x:c>
      <x:c r="P18" s="80" t="n">
        <x:v>-6.233746626251915</x:v>
      </x:c>
      <x:c r="Q18" s="80" t="n">
        <x:v>-4.502266852788949</x:v>
      </x:c>
      <x:c r="R18" s="80" t="n">
        <x:v>-2.7707870793259834</x:v>
      </x:c>
      <x:c r="S18" s="80" t="n">
        <x:v>-1.0393073058630176</x:v>
      </x:c>
      <x:c r="T18" s="80" t="n">
        <x:v>0.6921724675999483</x:v>
      </x:c>
      <x:c r="U18" s="99"/>
    </x:row>
    <x:row r="19">
      <x:c r="C19" s="86" t="n">
        <x:v>-0.5</x:v>
      </x:c>
      <x:c r="D19" s="80" t="n">
        <x:f>$D$8*$C19+$D$9*D$16</x:f>
        <x:v>-8.19595055558153</x:v>
      </x:c>
      <x:c r="E19" s="80" t="n">
        <x:f>$D$8*$C19+$D$9*E$16</x:f>
        <x:v>-6.464470782118565</x:v>
      </x:c>
      <x:c r="F19" s="80" t="n">
        <x:f>$D$8*$C19+$D$9*F$16</x:f>
        <x:v>-4.732991008655599</x:v>
      </x:c>
      <x:c r="G19" s="80" t="n">
        <x:f>$D$8*$C19+$D$9*G$16</x:f>
        <x:v>-3.001511235192633</x:v>
      </x:c>
      <x:c r="H19" s="80" t="n">
        <x:f>$D$8*$C19+$D$9*H$16</x:f>
        <x:v>-1.2700314617296673</x:v>
      </x:c>
      <x:c r="I19" s="80" t="n">
        <x:f>$D$8*$C19+$D$9*I$16</x:f>
        <x:v>0.4614483117332986</x:v>
      </x:c>
      <x:c r="J19" s="80" t="n">
        <x:f>$D$8*$C19+$D$9*J$16</x:f>
        <x:v>2.1929280851962645</x:v>
      </x:c>
      <x:c r="K19" s="99"/>
      <x:c r="L19" s="99"/>
      <x:c r="M19" s="80" t="n">
        <x:v>-0.5</x:v>
      </x:c>
      <x:c r="N19" s="80" t="n">
        <x:v>-8.19595055558153</x:v>
      </x:c>
      <x:c r="O19" s="80" t="n">
        <x:v>-6.464470782118565</x:v>
      </x:c>
      <x:c r="P19" s="80" t="n">
        <x:v>-4.732991008655599</x:v>
      </x:c>
      <x:c r="Q19" s="80" t="n">
        <x:v>-3.001511235192633</x:v>
      </x:c>
      <x:c r="R19" s="80" t="n">
        <x:v>-1.2700314617296673</x:v>
      </x:c>
      <x:c r="S19" s="80" t="n">
        <x:v>0.4614483117332986</x:v>
      </x:c>
      <x:c r="T19" s="80" t="n">
        <x:v>2.1929280851962645</x:v>
      </x:c>
      <x:c r="U19" s="99"/>
    </x:row>
    <x:row r="20">
      <x:c r="C20" s="86" t="n">
        <x:v>-0.25</x:v>
      </x:c>
      <x:c r="D20" s="80" t="n">
        <x:f>$D$8*$C20+$D$9*D$16</x:f>
        <x:v>-6.695194937985214</x:v>
      </x:c>
      <x:c r="E20" s="80" t="n">
        <x:f>$D$8*$C20+$D$9*E$16</x:f>
        <x:v>-4.963715164522249</x:v>
      </x:c>
      <x:c r="F20" s="80" t="n">
        <x:f>$D$8*$C20+$D$9*F$16</x:f>
        <x:v>-3.2322353910592825</x:v>
      </x:c>
      <x:c r="G20" s="80" t="n">
        <x:f>$D$8*$C20+$D$9*G$16</x:f>
        <x:v>-1.5007556175963166</x:v>
      </x:c>
      <x:c r="H20" s="80" t="n">
        <x:f>$D$8*$C20+$D$9*H$16</x:f>
        <x:v>0.2307241558666493</x:v>
      </x:c>
      <x:c r="I20" s="80" t="n">
        <x:f>$D$8*$C20+$D$9*I$16</x:f>
        <x:v>1.9622039293296152</x:v>
      </x:c>
      <x:c r="J20" s="80" t="n">
        <x:f>$D$8*$C20+$D$9*J$16</x:f>
        <x:v>3.693683702792581</x:v>
      </x:c>
      <x:c r="K20" s="99"/>
      <x:c r="L20" s="99"/>
      <x:c r="M20" s="80" t="n">
        <x:v>-0.25</x:v>
      </x:c>
      <x:c r="N20" s="80" t="n">
        <x:v>-6.695194937985214</x:v>
      </x:c>
      <x:c r="O20" s="80" t="n">
        <x:v>-4.963715164522249</x:v>
      </x:c>
      <x:c r="P20" s="80" t="n">
        <x:v>-3.2322353910592825</x:v>
      </x:c>
      <x:c r="Q20" s="80" t="n">
        <x:v>-1.5007556175963166</x:v>
      </x:c>
      <x:c r="R20" s="80" t="n">
        <x:v>0.2307241558666493</x:v>
      </x:c>
      <x:c r="S20" s="80" t="n">
        <x:v>1.9622039293296152</x:v>
      </x:c>
      <x:c r="T20" s="80" t="n">
        <x:v>3.693683702792581</x:v>
      </x:c>
      <x:c r="U20" s="99"/>
    </x:row>
    <x:row r="21">
      <x:c r="C21" s="86" t="n">
        <x:v>0</x:v>
      </x:c>
      <x:c r="D21" s="80" t="n">
        <x:f>$D$8*$C21+$D$9*D$16</x:f>
        <x:v>-5.194439320388898</x:v>
      </x:c>
      <x:c r="E21" s="80" t="n">
        <x:f>$D$8*$C21+$D$9*E$16</x:f>
        <x:v>-3.4629595469259318</x:v>
      </x:c>
      <x:c r="F21" s="80" t="n">
        <x:f>$D$8*$C21+$D$9*F$16</x:f>
        <x:v>-1.7314797734629659</x:v>
      </x:c>
      <x:c r="G21" s="80" t="n">
        <x:f>$D$8*$C21+$D$9*G$16</x:f>
        <x:v>0</x:v>
      </x:c>
      <x:c r="H21" s="80" t="n">
        <x:f>$D$8*$C21+$D$9*H$16</x:f>
        <x:v>1.7314797734629659</x:v>
      </x:c>
      <x:c r="I21" s="80" t="n">
        <x:f>$D$8*$C21+$D$9*I$16</x:f>
        <x:v>3.4629595469259318</x:v>
      </x:c>
      <x:c r="J21" s="80" t="n">
        <x:f>$D$8*$C21+$D$9*J$16</x:f>
        <x:v>5.194439320388898</x:v>
      </x:c>
      <x:c r="K21" s="99"/>
      <x:c r="L21" s="99"/>
      <x:c r="M21" s="80" t="n">
        <x:v>0</x:v>
      </x:c>
      <x:c r="N21" s="80" t="n">
        <x:v>-5.194439320388898</x:v>
      </x:c>
      <x:c r="O21" s="80" t="n">
        <x:v>-3.4629595469259318</x:v>
      </x:c>
      <x:c r="P21" s="80" t="n">
        <x:v>-1.7314797734629659</x:v>
      </x:c>
      <x:c r="Q21" s="80" t="n">
        <x:v>0</x:v>
      </x:c>
      <x:c r="R21" s="80" t="n">
        <x:v>1.7314797734629659</x:v>
      </x:c>
      <x:c r="S21" s="80" t="n">
        <x:v>3.4629595469259318</x:v>
      </x:c>
      <x:c r="T21" s="80" t="n">
        <x:v>5.194439320388898</x:v>
      </x:c>
      <x:c r="U21" s="99"/>
    </x:row>
    <x:row r="22">
      <x:c r="C22" s="86" t="n">
        <x:v>0.25</x:v>
      </x:c>
      <x:c r="D22" s="80" t="n">
        <x:f>$D$8*$C22+$D$9*D$16</x:f>
        <x:v>-3.693683702792581</x:v>
      </x:c>
      <x:c r="E22" s="80" t="n">
        <x:f>$D$8*$C22+$D$9*E$16</x:f>
        <x:v>-1.9622039293296152</x:v>
      </x:c>
      <x:c r="F22" s="80" t="n">
        <x:f>$D$8*$C22+$D$9*F$16</x:f>
        <x:v>-0.2307241558666493</x:v>
      </x:c>
      <x:c r="G22" s="80" t="n">
        <x:f>$D$8*$C22+$D$9*G$16</x:f>
        <x:v>1.5007556175963166</x:v>
      </x:c>
      <x:c r="H22" s="80" t="n">
        <x:f>$D$8*$C22+$D$9*H$16</x:f>
        <x:v>3.2322353910592825</x:v>
      </x:c>
      <x:c r="I22" s="80" t="n">
        <x:f>$D$8*$C22+$D$9*I$16</x:f>
        <x:v>4.963715164522249</x:v>
      </x:c>
      <x:c r="J22" s="80" t="n">
        <x:f>$D$8*$C22+$D$9*J$16</x:f>
        <x:v>6.695194937985214</x:v>
      </x:c>
      <x:c r="K22" s="99"/>
      <x:c r="L22" s="99"/>
      <x:c r="M22" s="80" t="n">
        <x:v>0.25</x:v>
      </x:c>
      <x:c r="N22" s="80" t="n">
        <x:v>-3.693683702792581</x:v>
      </x:c>
      <x:c r="O22" s="80" t="n">
        <x:v>-1.9622039293296152</x:v>
      </x:c>
      <x:c r="P22" s="80" t="n">
        <x:v>-0.2307241558666493</x:v>
      </x:c>
      <x:c r="Q22" s="80" t="n">
        <x:v>1.5007556175963166</x:v>
      </x:c>
      <x:c r="R22" s="80" t="n">
        <x:v>3.2322353910592825</x:v>
      </x:c>
      <x:c r="S22" s="80" t="n">
        <x:v>4.963715164522249</x:v>
      </x:c>
      <x:c r="T22" s="80" t="n">
        <x:v>6.695194937985214</x:v>
      </x:c>
      <x:c r="U22" s="99"/>
    </x:row>
    <x:row r="23">
      <x:c r="C23" s="86" t="n">
        <x:v>0.5</x:v>
      </x:c>
      <x:c r="D23" s="80" t="n">
        <x:f>$D$8*$C23+$D$9*D$16</x:f>
        <x:v>-2.1929280851962645</x:v>
      </x:c>
      <x:c r="E23" s="80" t="n">
        <x:f>$D$8*$C23+$D$9*E$16</x:f>
        <x:v>-0.4614483117332986</x:v>
      </x:c>
      <x:c r="F23" s="80" t="n">
        <x:f>$D$8*$C23+$D$9*F$16</x:f>
        <x:v>1.2700314617296673</x:v>
      </x:c>
      <x:c r="G23" s="80" t="n">
        <x:f>$D$8*$C23+$D$9*G$16</x:f>
        <x:v>3.001511235192633</x:v>
      </x:c>
      <x:c r="H23" s="80" t="n">
        <x:f>$D$8*$C23+$D$9*H$16</x:f>
        <x:v>4.732991008655599</x:v>
      </x:c>
      <x:c r="I23" s="80" t="n">
        <x:f>$D$8*$C23+$D$9*I$16</x:f>
        <x:v>6.464470782118565</x:v>
      </x:c>
      <x:c r="J23" s="80" t="n">
        <x:f>$D$8*$C23+$D$9*J$16</x:f>
        <x:v>8.19595055558153</x:v>
      </x:c>
      <x:c r="K23" s="99"/>
      <x:c r="L23" s="99"/>
      <x:c r="M23" s="80" t="n">
        <x:v>0.5</x:v>
      </x:c>
      <x:c r="N23" s="80" t="n">
        <x:v>-2.1929280851962645</x:v>
      </x:c>
      <x:c r="O23" s="80" t="n">
        <x:v>-0.4614483117332986</x:v>
      </x:c>
      <x:c r="P23" s="80" t="n">
        <x:v>1.2700314617296673</x:v>
      </x:c>
      <x:c r="Q23" s="80" t="n">
        <x:v>3.001511235192633</x:v>
      </x:c>
      <x:c r="R23" s="80" t="n">
        <x:v>4.732991008655599</x:v>
      </x:c>
      <x:c r="S23" s="80" t="n">
        <x:v>6.464470782118565</x:v>
      </x:c>
      <x:c r="T23" s="80" t="n">
        <x:v>8.19595055558153</x:v>
      </x:c>
      <x:c r="U23" s="99"/>
    </x:row>
    <x:row r="24">
      <x:c r="C24" s="99"/>
      <x:c r="D24" s="99"/>
      <x:c r="E24" s="99"/>
      <x:c r="F24" s="99"/>
      <x:c r="G24" s="99"/>
      <x:c r="H24" s="99"/>
      <x:c r="I24" s="99"/>
      <x:c r="J24" s="99"/>
      <x:c r="K24" s="99"/>
      <x:c r="L24" s="99"/>
      <x:c r="M24" s="99"/>
      <x:c r="N24" s="99"/>
      <x:c r="O24" s="99"/>
      <x:c r="P24" s="99"/>
      <x:c r="Q24" s="99"/>
      <x:c r="R24" s="99"/>
      <x:c r="S24" s="99"/>
      <x:c r="T24" s="99"/>
      <x:c r="U24" s="99"/>
    </x:row>
    <x:row r="25">
      <x:c r="C25" s="99"/>
      <x:c r="D25" s="99"/>
      <x:c r="E25" s="99"/>
      <x:c r="F25" s="99"/>
      <x:c r="G25" s="99"/>
      <x:c r="H25" s="99"/>
      <x:c r="I25" s="99"/>
      <x:c r="J25" s="99"/>
      <x:c r="K25" s="99"/>
      <x:c r="L25" s="99"/>
      <x:c r="M25" s="99" t="str">
        <x:v>Checagem</x:v>
      </x:c>
      <x:c r="N25" s="99" t="str">
        <x:v>Máximo entre três diferenças</x:v>
      </x:c>
      <x:c r="O25" s="99"/>
      <x:c r="P25" s="99"/>
      <x:c r="Q25" s="99"/>
      <x:c r="R25" s="99"/>
      <x:c r="S25" s="99"/>
      <x:c r="T25" s="99"/>
      <x:c r="U25" s="99"/>
    </x:row>
    <x:row r="26">
      <x:c r="C26" s="84" t="str">
        <x:v>Interpretação</x:v>
      </x:c>
      <x:c r="D26" s="84" t="str">
        <x:v>A matriz combina mecanicamente os dois coeficientes. O beta positivo do swap não prova que juros maiores elevam lucros; o sinal perde significância em outras janelas e pode refletir composição, bancos e variáveis omitidas.</x:v>
      </x:c>
      <x:c r="E26" s="84"/>
      <x:c r="F26" s="84"/>
      <x:c r="G26" s="84"/>
      <x:c r="H26" s="84"/>
      <x:c r="I26" s="84"/>
      <x:c r="J26" s="84"/>
      <x:c r="K26" s="99"/>
      <x:c r="L26" s="99"/>
      <x:c r="M26" s="99"/>
      <x:c r="N26" s="100" t="n">
        <x:f>MAX(ABS(D17-N17),ABS(G20-Q20),ABS(J23-T23))</x:f>
        <x:v>0</x:v>
      </x:c>
      <x:c r="O26" s="99"/>
      <x:c r="P26" s="99"/>
      <x:c r="Q26" s="99"/>
      <x:c r="R26" s="99"/>
      <x:c r="S26" s="99"/>
      <x:c r="T26" s="99"/>
      <x:c r="U26" s="99"/>
    </x:row>
    <x:row r="27">
      <x:c r="C27" s="84"/>
      <x:c r="D27" s="84"/>
      <x:c r="E27" s="84"/>
      <x:c r="F27" s="84"/>
      <x:c r="G27" s="84"/>
      <x:c r="H27" s="84"/>
      <x:c r="I27" s="84"/>
      <x:c r="J27" s="84"/>
      <x:c r="K27" s="99"/>
      <x:c r="L27" s="99"/>
      <x:c r="M27" s="99"/>
      <x:c r="N27" s="99"/>
      <x:c r="O27" s="99"/>
      <x:c r="P27" s="99"/>
      <x:c r="Q27" s="99"/>
      <x:c r="R27" s="99"/>
      <x:c r="S27" s="99"/>
      <x:c r="T27" s="99"/>
      <x:c r="U27" s="99"/>
    </x:row>
    <x:row r="28">
      <x:c r="C28" s="84"/>
      <x:c r="D28" s="84"/>
      <x:c r="E28" s="84"/>
      <x:c r="F28" s="84"/>
      <x:c r="G28" s="84"/>
      <x:c r="H28" s="84"/>
      <x:c r="I28" s="84"/>
      <x:c r="J28" s="84"/>
      <x:c r="K28" s="99"/>
      <x:c r="L28" s="99"/>
      <x:c r="M28" s="99"/>
      <x:c r="N28" s="99"/>
      <x:c r="O28" s="99"/>
      <x:c r="P28" s="99"/>
      <x:c r="Q28" s="99"/>
      <x:c r="R28" s="99"/>
      <x:c r="S28" s="99"/>
      <x:c r="T28" s="99"/>
      <x:c r="U28" s="99"/>
    </x:row>
    <x:row r="29">
      <x:c r="C29" s="84"/>
      <x:c r="D29" s="84"/>
      <x:c r="E29" s="84"/>
      <x:c r="F29" s="84"/>
      <x:c r="G29" s="84"/>
      <x:c r="H29" s="84"/>
      <x:c r="I29" s="84"/>
      <x:c r="J29" s="84"/>
      <x:c r="K29" s="99"/>
      <x:c r="L29" s="99"/>
      <x:c r="M29" s="99"/>
      <x:c r="N29" s="99"/>
      <x:c r="O29" s="99"/>
      <x:c r="P29" s="99"/>
      <x:c r="Q29" s="99"/>
      <x:c r="R29" s="99"/>
      <x:c r="S29" s="99"/>
      <x:c r="T29" s="99"/>
      <x:c r="U29" s="99"/>
    </x:row>
  </x:sheetData>
  <x:mergeCells>
    <x:mergeCell ref="C26:C29"/>
    <x:mergeCell ref="D26:J29"/>
  </x:mergeCells>
  <x:conditionalFormatting sqref="D17:J2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30" hidden="0" customWidth="1"/>
    <x:col min="8" max="8" width="2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2">
      <x:c r="C2" s="2" t="str">
        <x:v>Teste de inflação: realizado e expectativa Focus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</x:row>
    <x:row r="3">
      <x:c r="C3" s="4" t="str">
        <x:v>Comparação incremental contra o modelo-base com Focus PIB, BCOM e USD/BRL.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  <x:c r="P5" s="99"/>
      <x:c r="Q5" s="99"/>
      <x:c r="R5" s="99"/>
      <x:c r="S5" s="99"/>
    </x:row>
    <x:row r="6">
      <x:c r="C6" s="74" t="str">
        <x:v>Resultado principal - amostra ex_2013_14</x:v>
      </x:c>
      <x:c r="D6" s="75"/>
      <x:c r="E6" s="75"/>
      <x:c r="F6" s="75"/>
      <x:c r="G6" s="75"/>
      <x:c r="H6" s="76"/>
      <x:c r="I6" s="99"/>
      <x:c r="J6" s="99"/>
      <x:c r="K6" s="99"/>
      <x:c r="L6" s="99"/>
      <x:c r="M6" s="99"/>
      <x:c r="N6" s="99"/>
      <x:c r="O6" s="99"/>
      <x:c r="P6" s="99"/>
      <x:c r="Q6" s="99"/>
      <x:c r="R6" s="99"/>
      <x:c r="S6" s="99"/>
    </x:row>
    <x:row r="7">
      <x:c r="C7" s="11" t="str">
        <x:v>Candidato</x:v>
      </x:c>
      <x:c r="D7" s="11" t="str">
        <x:v>ΔR²</x:v>
      </x:c>
      <x:c r="E7" s="11" t="str">
        <x:v>Beta pad.</x:v>
      </x:c>
      <x:c r="F7" s="11" t="str">
        <x:v>p-valor HAC</x:v>
      </x:c>
      <x:c r="G7" s="11" t="str">
        <x:v>Leitura</x:v>
      </x:c>
      <x:c r="H7" s="11" t="str">
        <x:v>Uso no modelo final</x:v>
      </x:c>
      <x:c r="I7" s="99"/>
      <x:c r="J7" s="99"/>
      <x:c r="K7" s="99"/>
      <x:c r="L7" s="99"/>
      <x:c r="M7" s="99"/>
      <x:c r="N7" s="99"/>
      <x:c r="O7" s="99"/>
      <x:c r="P7" s="99"/>
      <x:c r="Q7" s="99"/>
      <x:c r="R7" s="99"/>
      <x:c r="S7" s="99"/>
    </x:row>
    <x:row r="8">
      <x:c r="C8" s="6" t="str">
        <x:v>Focus IPCA</x:v>
      </x:c>
      <x:c r="D8" s="81" t="n">
        <x:f>SUMIFS('Inflacao'!$K$15:$K$26,'Inflacao'!$C$15:$C$26,"ex_2013_14",'Inflacao'!$D$15:$D$26,"d_focus_ipca3")</x:f>
        <x:v>0.07024424815459485</x:v>
      </x:c>
      <x:c r="E8" s="81" t="n">
        <x:f>SUMIFS('Inflacao'!$Q$15:$Q$26,'Inflacao'!$C$15:$C$26,"ex_2013_14",'Inflacao'!$D$15:$D$26,"d_focus_ipca3")</x:f>
        <x:v>0.2806834568450277</x:v>
      </x:c>
      <x:c r="F8" s="81" t="n">
        <x:f>SUMIFS('Inflacao'!$P$15:$P$26,'Inflacao'!$C$15:$C$26,"ex_2013_14",'Inflacao'!$D$15:$D$26,"d_focus_ipca3")</x:f>
        <x:v>0.009433702933443033</x:v>
      </x:c>
      <x:c r="G8" s="6" t="str">
        <x:v>Boa associação na amostra principal</x:v>
      </x:c>
      <x:c r="H8" s="6" t="str">
        <x:v>Teste alternativo</x:v>
      </x:c>
      <x:c r="I8" s="99"/>
      <x:c r="J8" s="99"/>
      <x:c r="K8" s="99"/>
      <x:c r="L8" s="99"/>
      <x:c r="M8" s="99"/>
      <x:c r="N8" s="99"/>
      <x:c r="O8" s="99"/>
      <x:c r="P8" s="99"/>
      <x:c r="Q8" s="99"/>
      <x:c r="R8" s="99"/>
      <x:c r="S8" s="99"/>
    </x:row>
    <x:row r="9">
      <x:c r="C9" s="6" t="str">
        <x:v>IPCA realizado 12m</x:v>
      </x:c>
      <x:c r="D9" s="81" t="n">
        <x:f>SUMIFS('Inflacao'!$K$15:$K$26,'Inflacao'!$C$15:$C$26,"ex_2013_14",'Inflacao'!$D$15:$D$26,"d_ipca12_3_available")</x:f>
        <x:v>0.077959432962737</x:v>
      </x:c>
      <x:c r="E9" s="81" t="n">
        <x:f>SUMIFS('Inflacao'!$Q$15:$Q$26,'Inflacao'!$C$15:$C$26,"ex_2013_14",'Inflacao'!$D$15:$D$26,"d_ipca12_3_available")</x:f>
        <x:v>0.28650397427844265</x:v>
      </x:c>
      <x:c r="F9" s="81" t="n">
        <x:f>SUMIFS('Inflacao'!$P$15:$P$26,'Inflacao'!$C$15:$C$26,"ex_2013_14",'Inflacao'!$D$15:$D$26,"d_ipca12_3_available")</x:f>
        <x:v>0.009356088512646021</x:v>
      </x:c>
      <x:c r="G9" s="6" t="str">
        <x:v>Maior ΔR² por pequena margem</x:v>
      </x:c>
      <x:c r="H9" s="89" t="str">
        <x:v>Selecionado</x:v>
      </x:c>
      <x:c r="I9" s="99"/>
      <x:c r="J9" s="99"/>
      <x:c r="K9" s="99"/>
      <x:c r="L9" s="99"/>
      <x:c r="M9" s="99"/>
      <x:c r="N9" s="99"/>
      <x:c r="O9" s="99"/>
      <x:c r="P9" s="99"/>
      <x:c r="Q9" s="99"/>
      <x:c r="R9" s="99"/>
      <x:c r="S9" s="99"/>
    </x:row>
    <x:row r="10">
      <x:c r="C10" s="6" t="str">
        <x:v>Fluxo IPCA 3m</x:v>
      </x:c>
      <x:c r="D10" s="81" t="n">
        <x:f>SUMIFS('Inflacao'!$K$15:$K$26,'Inflacao'!$C$15:$C$26,"ex_2013_14",'Inflacao'!$D$15:$D$26,"ipca3_flow_available")</x:f>
        <x:v>0.05415331340860896</x:v>
      </x:c>
      <x:c r="E10" s="81" t="n">
        <x:f>SUMIFS('Inflacao'!$Q$15:$Q$26,'Inflacao'!$C$15:$C$26,"ex_2013_14",'Inflacao'!$D$15:$D$26,"ipca3_flow_available")</x:f>
        <x:v>0.2351116261695464</x:v>
      </x:c>
      <x:c r="F10" s="81" t="n">
        <x:f>SUMIFS('Inflacao'!$P$15:$P$26,'Inflacao'!$C$15:$C$26,"ex_2013_14",'Inflacao'!$D$15:$D$26,"ipca3_flow_available")</x:f>
        <x:v>0.0621005251968576</x:v>
      </x:c>
      <x:c r="G10" s="6" t="str">
        <x:v>Mais fraco nesta especificação</x:v>
      </x:c>
      <x:c r="H10" s="6" t="str">
        <x:v>Não selecionado</x:v>
      </x:c>
      <x:c r="I10" s="99"/>
      <x:c r="J10" s="99"/>
      <x:c r="K10" s="99"/>
      <x:c r="L10" s="99"/>
      <x:c r="M10" s="99"/>
      <x:c r="N10" s="99"/>
      <x:c r="O10" s="99"/>
      <x:c r="P10" s="99"/>
      <x:c r="Q10" s="99"/>
      <x:c r="R10" s="99"/>
      <x:c r="S10" s="99"/>
    </x:row>
    <x:row r="11">
      <x:c r="C11" s="99"/>
      <x:c r="D11" s="99"/>
      <x:c r="E11" s="99"/>
      <x:c r="F11" s="99"/>
      <x:c r="G11" s="99"/>
      <x:c r="H11" s="99"/>
      <x:c r="I11" s="99"/>
      <x:c r="J11" s="99"/>
      <x:c r="K11" s="99"/>
      <x:c r="L11" s="99"/>
      <x:c r="M11" s="99"/>
      <x:c r="N11" s="99"/>
      <x:c r="O11" s="99"/>
      <x:c r="P11" s="99"/>
      <x:c r="Q11" s="99"/>
      <x:c r="R11" s="99"/>
      <x:c r="S11" s="99"/>
    </x:row>
    <x:row r="12">
      <x:c r="C12" s="74" t="str">
        <x:v>Resultados completos</x:v>
      </x:c>
      <x:c r="D12" s="75"/>
      <x:c r="E12" s="75"/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6"/>
      <x:c r="R12" s="99"/>
      <x:c r="S12" s="99"/>
    </x:row>
    <x:row r="13">
      <x:c r="C13" s="99"/>
      <x:c r="D13" s="99"/>
      <x:c r="E13" s="99"/>
      <x:c r="F13" s="99"/>
      <x:c r="G13" s="99"/>
      <x:c r="H13" s="99"/>
      <x:c r="I13" s="99"/>
      <x:c r="J13" s="99"/>
      <x:c r="K13" s="99"/>
      <x:c r="L13" s="99"/>
      <x:c r="M13" s="99"/>
      <x:c r="N13" s="99"/>
      <x:c r="O13" s="99"/>
      <x:c r="P13" s="99"/>
      <x:c r="Q13" s="99"/>
      <x:c r="R13" s="99"/>
      <x:c r="S13" s="99"/>
    </x:row>
    <x:row r="14">
      <x:c r="C14" s="11" t="str">
        <x:v>sample</x:v>
      </x:c>
      <x:c r="D14" s="11" t="str">
        <x:v>candidate</x:v>
      </x:c>
      <x:c r="E14" s="11" t="str">
        <x:v>start</x:v>
      </x:c>
      <x:c r="F14" s="11" t="str">
        <x:v>end</x:v>
      </x:c>
      <x:c r="G14" s="11" t="str">
        <x:v>n</x:v>
      </x:c>
      <x:c r="H14" s="11" t="str">
        <x:v>univariate_r2</x:v>
      </x:c>
      <x:c r="I14" s="11" t="str">
        <x:v>base_r2</x:v>
      </x:c>
      <x:c r="J14" s="11" t="str">
        <x:v>augmented_r2</x:v>
      </x:c>
      <x:c r="K14" s="11" t="str">
        <x:v>delta_r2</x:v>
      </x:c>
      <x:c r="L14" s="11" t="str">
        <x:v>delta_adj_r2</x:v>
      </x:c>
      <x:c r="M14" s="11" t="str">
        <x:v>beta</x:v>
      </x:c>
      <x:c r="N14" s="11" t="str">
        <x:v>se_hac</x:v>
      </x:c>
      <x:c r="O14" s="11" t="str">
        <x:v>t_hac</x:v>
      </x:c>
      <x:c r="P14" s="11" t="str">
        <x:v>p_hac</x:v>
      </x:c>
      <x:c r="Q14" s="11" t="str">
        <x:v>beta_std</x:v>
      </x:c>
      <x:c r="R14" s="99"/>
      <x:c r="S14" s="99"/>
    </x:row>
    <x:row r="15">
      <x:c r="C15" s="90" t="str">
        <x:v>full</x:v>
      </x:c>
      <x:c r="D15" s="90" t="str">
        <x:v>d_focus_ipca3</x:v>
      </x:c>
      <x:c r="E15" s="79" t="n">
        <x:v>39904</x:v>
      </x:c>
      <x:c r="F15" s="79" t="n">
        <x:v>46235</x:v>
      </x:c>
      <x:c r="G15" s="91" t="n">
        <x:v>209</x:v>
      </x:c>
      <x:c r="H15" s="81" t="n">
        <x:v>0.05108707799967549</x:v>
      </x:c>
      <x:c r="I15" s="81" t="n">
        <x:v>0.19438588342169894</x:v>
      </x:c>
      <x:c r="J15" s="81" t="n">
        <x:v>0.21666739428786252</x:v>
      </x:c>
      <x:c r="K15" s="81" t="n">
        <x:v>0.02228151086616359</x:v>
      </x:c>
      <x:c r="L15" s="81" t="n">
        <x:v>0.0186396031575915</x:v>
      </x:c>
      <x:c r="M15" s="80" t="n">
        <x:v>4.376995139030257</x:v>
      </x:c>
      <x:c r="N15" s="90" t="n">
        <x:v>1.962099865901085</x:v>
      </x:c>
      <x:c r="O15" s="90" t="n">
        <x:v>2.230770826244434</x:v>
      </x:c>
      <x:c r="P15" s="81" t="n">
        <x:v>0.025696313348855915</x:v>
      </x:c>
      <x:c r="Q15" s="81" t="n">
        <x:v>0.15618555881083424</x:v>
      </x:c>
      <x:c r="R15" s="99"/>
      <x:c r="S15" s="99"/>
    </x:row>
    <x:row r="16">
      <x:c r="C16" s="90" t="str">
        <x:v>full</x:v>
      </x:c>
      <x:c r="D16" s="90" t="str">
        <x:v>d_ipca12_3_available</x:v>
      </x:c>
      <x:c r="E16" s="79" t="n">
        <x:v>39904</x:v>
      </x:c>
      <x:c r="F16" s="79" t="n">
        <x:v>46204</x:v>
      </x:c>
      <x:c r="G16" s="91" t="n">
        <x:v>208</x:v>
      </x:c>
      <x:c r="H16" s="81" t="n">
        <x:v>0.034625008457869755</x:v>
      </x:c>
      <x:c r="I16" s="81" t="n">
        <x:v>0.19439343401809905</x:v>
      </x:c>
      <x:c r="J16" s="81" t="n">
        <x:v>0.23067587627177277</x:v>
      </x:c>
      <x:c r="K16" s="81" t="n">
        <x:v>0.03628244225367372</x:v>
      </x:c>
      <x:c r="L16" s="81" t="n">
        <x:v>0.032828428452328806</x:v>
      </x:c>
      <x:c r="M16" s="80" t="n">
        <x:v>2.3880205247812776</x:v>
      </x:c>
      <x:c r="N16" s="90" t="n">
        <x:v>0.924596879049526</x:v>
      </x:c>
      <x:c r="O16" s="90" t="n">
        <x:v>2.582769398092856</x:v>
      </x:c>
      <x:c r="P16" s="81" t="n">
        <x:v>0.009801080922240857</x:v>
      </x:c>
      <x:c r="Q16" s="81" t="n">
        <x:v>0.1943320632159091</x:v>
      </x:c>
      <x:c r="R16" s="99"/>
      <x:c r="S16" s="99"/>
    </x:row>
    <x:row r="17">
      <x:c r="C17" s="90" t="str">
        <x:v>full</x:v>
      </x:c>
      <x:c r="D17" s="90" t="str">
        <x:v>ipca3_flow_available</x:v>
      </x:c>
      <x:c r="E17" s="79" t="n">
        <x:v>39904</x:v>
      </x:c>
      <x:c r="F17" s="79" t="n">
        <x:v>46204</x:v>
      </x:c>
      <x:c r="G17" s="91" t="n">
        <x:v>208</x:v>
      </x:c>
      <x:c r="H17" s="81" t="n">
        <x:v>0.027085052285565014</x:v>
      </x:c>
      <x:c r="I17" s="81" t="n">
        <x:v>0.19439343401809905</x:v>
      </x:c>
      <x:c r="J17" s="81" t="n">
        <x:v>0.24320066085909886</x:v>
      </x:c>
      <x:c r="K17" s="81" t="n">
        <x:v>0.04880722684099981</x:v>
      </x:c>
      <x:c r="L17" s="81" t="n">
        <x:v>0.04553740104829218</x:v>
      </x:c>
      <x:c r="M17" s="80" t="n">
        <x:v>3.462494306964613</x:v>
      </x:c>
      <x:c r="N17" s="90" t="n">
        <x:v>1.5639023394248008</x:v>
      </x:c>
      <x:c r="O17" s="90" t="n">
        <x:v>2.2140092892489114</x:v>
      </x:c>
      <x:c r="P17" s="81" t="n">
        <x:v>0.02682813992846622</x:v>
      </x:c>
      <x:c r="Q17" s="81" t="n">
        <x:v>0.2229610589924066</x:v>
      </x:c>
      <x:c r="R17" s="99"/>
      <x:c r="S17" s="99"/>
    </x:row>
    <x:row r="18">
      <x:c r="C18" s="90" t="str">
        <x:v>ex_2013_14</x:v>
      </x:c>
      <x:c r="D18" s="90" t="str">
        <x:v>d_focus_ipca3</x:v>
      </x:c>
      <x:c r="E18" s="79" t="n">
        <x:v>39904</x:v>
      </x:c>
      <x:c r="F18" s="79" t="n">
        <x:v>46235</x:v>
      </x:c>
      <x:c r="G18" s="91" t="n">
        <x:v>185</x:v>
      </x:c>
      <x:c r="H18" s="81" t="n">
        <x:v>0.13375352839918997</x:v>
      </x:c>
      <x:c r="I18" s="81" t="n">
        <x:v>0.382233522103375</x:v>
      </x:c>
      <x:c r="J18" s="81" t="n">
        <x:v>0.45247777025796987</x:v>
      </x:c>
      <x:c r="K18" s="81" t="n">
        <x:v>0.07024424815459485</x:v>
      </x:c>
      <x:c r="L18" s="81" t="n">
        <x:v>0.06795793668472139</x:v>
      </x:c>
      <x:c r="M18" s="80" t="n">
        <x:v>5.188429822981783</x:v>
      </x:c>
      <x:c r="N18" s="90" t="n">
        <x:v>1.9986835333890471</x:v>
      </x:c>
      <x:c r="O18" s="90" t="n">
        <x:v>2.595923634885847</x:v>
      </x:c>
      <x:c r="P18" s="81" t="n">
        <x:v>0.009433702933443033</x:v>
      </x:c>
      <x:c r="Q18" s="81" t="n">
        <x:v>0.2806834568450277</x:v>
      </x:c>
      <x:c r="R18" s="99"/>
      <x:c r="S18" s="99"/>
    </x:row>
    <x:row r="19">
      <x:c r="C19" s="90" t="str">
        <x:v>ex_2013_14</x:v>
      </x:c>
      <x:c r="D19" s="90" t="str">
        <x:v>d_ipca12_3_available</x:v>
      </x:c>
      <x:c r="E19" s="79" t="n">
        <x:v>39904</x:v>
      </x:c>
      <x:c r="F19" s="79" t="n">
        <x:v>46204</x:v>
      </x:c>
      <x:c r="G19" s="91" t="n">
        <x:v>184</x:v>
      </x:c>
      <x:c r="H19" s="81" t="n">
        <x:v>0.07113506208684961</x:v>
      </x:c>
      <x:c r="I19" s="81" t="n">
        <x:v>0.38220688254943536</x:v>
      </x:c>
      <x:c r="J19" s="81" t="n">
        <x:v>0.46016631551217235</x:v>
      </x:c>
      <x:c r="K19" s="81" t="n">
        <x:v>0.077959432962737</x:v>
      </x:c>
      <x:c r="L19" s="81" t="n">
        <x:v>0.07578864817468645</x:v>
      </x:c>
      <x:c r="M19" s="80" t="n">
        <x:v>2.32794073491345</x:v>
      </x:c>
      <x:c r="N19" s="90" t="n">
        <x:v>0.8957886938793714</x:v>
      </x:c>
      <x:c r="O19" s="90" t="n">
        <x:v>2.598761014533339</x:v>
      </x:c>
      <x:c r="P19" s="81" t="n">
        <x:v>0.009356088512646021</x:v>
      </x:c>
      <x:c r="Q19" s="81" t="n">
        <x:v>0.28650397427844265</x:v>
      </x:c>
      <x:c r="R19" s="99"/>
      <x:c r="S19" s="99"/>
    </x:row>
    <x:row r="20">
      <x:c r="C20" s="90" t="str">
        <x:v>ex_2013_14</x:v>
      </x:c>
      <x:c r="D20" s="90" t="str">
        <x:v>ipca3_flow_available</x:v>
      </x:c>
      <x:c r="E20" s="79" t="n">
        <x:v>39904</x:v>
      </x:c>
      <x:c r="F20" s="79" t="n">
        <x:v>46204</x:v>
      </x:c>
      <x:c r="G20" s="91" t="n">
        <x:v>184</x:v>
      </x:c>
      <x:c r="H20" s="81" t="n">
        <x:v>0.022127964262770083</x:v>
      </x:c>
      <x:c r="I20" s="81" t="n">
        <x:v>0.38220688254943536</x:v>
      </x:c>
      <x:c r="J20" s="81" t="n">
        <x:v>0.4363601959580443</x:v>
      </x:c>
      <x:c r="K20" s="81" t="n">
        <x:v>0.05415331340860896</x:v>
      </x:c>
      <x:c r="L20" s="81" t="n">
        <x:v>0.05158575996132286</x:v>
      </x:c>
      <x:c r="M20" s="80" t="n">
        <x:v>2.460910917393001</x:v>
      </x:c>
      <x:c r="N20" s="90" t="n">
        <x:v>1.3191149415870802</x:v>
      </x:c>
      <x:c r="O20" s="90" t="n">
        <x:v>1.8655773199204158</x:v>
      </x:c>
      <x:c r="P20" s="81" t="n">
        <x:v>0.0621005251968576</x:v>
      </x:c>
      <x:c r="Q20" s="81" t="n">
        <x:v>0.2351116261695464</x:v>
      </x:c>
      <x:c r="R20" s="99"/>
      <x:c r="S20" s="99"/>
    </x:row>
    <x:row r="21">
      <x:c r="C21" s="90" t="str">
        <x:v>clean</x:v>
      </x:c>
      <x:c r="D21" s="90" t="str">
        <x:v>d_focus_ipca3</x:v>
      </x:c>
      <x:c r="E21" s="79" t="n">
        <x:v>39904</x:v>
      </x:c>
      <x:c r="F21" s="79" t="n">
        <x:v>46235</x:v>
      </x:c>
      <x:c r="G21" s="91" t="n">
        <x:v>161</x:v>
      </x:c>
      <x:c r="H21" s="81" t="n">
        <x:v>0.006670546914686382</x:v>
      </x:c>
      <x:c r="I21" s="81" t="n">
        <x:v>0.13793528743605332</x:v>
      </x:c>
      <x:c r="J21" s="81" t="n">
        <x:v>0.15172718935740515</x:v>
      </x:c>
      <x:c r="K21" s="81" t="n">
        <x:v>0.013791901921351823</x:v>
      </x:c>
      <x:c r="L21" s="81" t="n">
        <x:v>0.00849507887452805</x:v>
      </x:c>
      <x:c r="M21" s="80" t="n">
        <x:v>1.6472373558074542</x:v>
      </x:c>
      <x:c r="N21" s="90" t="n">
        <x:v>1.6108480891044175</x:v>
      </x:c>
      <x:c r="O21" s="90" t="n">
        <x:v>1.0225901293543254</x:v>
      </x:c>
      <x:c r="P21" s="81" t="n">
        <x:v>0.3065016785096728</x:v>
      </x:c>
      <x:c r="Q21" s="81" t="n">
        <x:v>0.12354967430094276</x:v>
      </x:c>
      <x:c r="R21" s="99"/>
      <x:c r="S21" s="99"/>
    </x:row>
    <x:row r="22">
      <x:c r="C22" s="90" t="str">
        <x:v>clean</x:v>
      </x:c>
      <x:c r="D22" s="90" t="str">
        <x:v>d_ipca12_3_available</x:v>
      </x:c>
      <x:c r="E22" s="79" t="n">
        <x:v>39904</x:v>
      </x:c>
      <x:c r="F22" s="79" t="n">
        <x:v>46204</x:v>
      </x:c>
      <x:c r="G22" s="91" t="n">
        <x:v>160</x:v>
      </x:c>
      <x:c r="H22" s="81" t="n">
        <x:v>0.0012211078466203285</x:v>
      </x:c>
      <x:c r="I22" s="81" t="n">
        <x:v>0.13789605106438896</x:v>
      </x:c>
      <x:c r="J22" s="81" t="n">
        <x:v>0.15205383145948148</x:v>
      </x:c>
      <x:c r="K22" s="81" t="n">
        <x:v>0.014157780395092523</x:v>
      </x:c>
      <x:c r="L22" s="81" t="n">
        <x:v>0.008833339217782621</x:v>
      </x:c>
      <x:c r="M22" s="80" t="n">
        <x:v>0.7731087672079957</x:v>
      </x:c>
      <x:c r="N22" s="90" t="n">
        <x:v>0.7896551918307381</x:v>
      </x:c>
      <x:c r="O22" s="90" t="n">
        <x:v>0.9790460130017241</x:v>
      </x:c>
      <x:c r="P22" s="81" t="n">
        <x:v>0.3275572448693871</x:v>
      </x:c>
      <x:c r="Q22" s="81" t="n">
        <x:v>0.12601101481390137</x:v>
      </x:c>
      <x:c r="R22" s="99"/>
      <x:c r="S22" s="99"/>
    </x:row>
    <x:row r="23">
      <x:c r="C23" s="90" t="str">
        <x:v>clean</x:v>
      </x:c>
      <x:c r="D23" s="90" t="str">
        <x:v>ipca3_flow_available</x:v>
      </x:c>
      <x:c r="E23" s="79" t="n">
        <x:v>39904</x:v>
      </x:c>
      <x:c r="F23" s="79" t="n">
        <x:v>46204</x:v>
      </x:c>
      <x:c r="G23" s="91" t="n">
        <x:v>160</x:v>
      </x:c>
      <x:c r="H23" s="81" t="n">
        <x:v>0.0028244293515343744</x:v>
      </x:c>
      <x:c r="I23" s="81" t="n">
        <x:v>0.13789605106438896</x:v>
      </x:c>
      <x:c r="J23" s="81" t="n">
        <x:v>0.13890136978852652</x:v>
      </x:c>
      <x:c r="K23" s="81" t="n">
        <x:v>0.0010053187241375605</x:v>
      </x:c>
      <x:c r="L23" s="81" t="n">
        <x:v>-0.004572054408383042</x:v>
      </x:c>
      <x:c r="M23" s="80" t="n">
        <x:v>0.2484788076765514</x:v>
      </x:c>
      <x:c r="N23" s="90" t="n">
        <x:v>1.148876997644306</x:v>
      </x:c>
      <x:c r="O23" s="90" t="n">
        <x:v>0.21627973071620396</x:v>
      </x:c>
      <x:c r="P23" s="81" t="n">
        <x:v>0.8287697077166609</x:v>
      </x:c>
      <x:c r="Q23" s="81" t="n">
        <x:v>0.03257440705011755</x:v>
      </x:c>
      <x:c r="R23" s="99"/>
      <x:c r="S23" s="99"/>
    </x:row>
    <x:row r="24">
      <x:c r="C24" s="90" t="str">
        <x:v>since_2015</x:v>
      </x:c>
      <x:c r="D24" s="90" t="str">
        <x:v>d_focus_ipca3</x:v>
      </x:c>
      <x:c r="E24" s="79" t="n">
        <x:v>42005</x:v>
      </x:c>
      <x:c r="F24" s="79" t="n">
        <x:v>46235</x:v>
      </x:c>
      <x:c r="G24" s="91" t="n">
        <x:v>140</x:v>
      </x:c>
      <x:c r="H24" s="81" t="n">
        <x:v>0.15108406139498454</x:v>
      </x:c>
      <x:c r="I24" s="81" t="n">
        <x:v>0.45191783995199886</x:v>
      </x:c>
      <x:c r="J24" s="81" t="n">
        <x:v>0.5267308768741832</x:v>
      </x:c>
      <x:c r="K24" s="81" t="n">
        <x:v>0.07481303692218433</x:v>
      </x:c>
      <x:c r="L24" s="81" t="n">
        <x:v>0.0723744762699916</x:v>
      </x:c>
      <x:c r="M24" s="80" t="n">
        <x:v>5.184311070341723</x:v>
      </x:c>
      <x:c r="N24" s="90" t="n">
        <x:v>2.036590836634047</x:v>
      </x:c>
      <x:c r="O24" s="90" t="n">
        <x:v>2.5455830287982812</x:v>
      </x:c>
      <x:c r="P24" s="81" t="n">
        <x:v>0.010909541595488514</x:v>
      </x:c>
      <x:c r="Q24" s="81" t="n">
        <x:v>0.29091184215982907</x:v>
      </x:c>
      <x:c r="R24" s="99"/>
      <x:c r="S24" s="99"/>
    </x:row>
    <x:row r="25">
      <x:c r="C25" s="90" t="str">
        <x:v>since_2015</x:v>
      </x:c>
      <x:c r="D25" s="90" t="str">
        <x:v>d_ipca12_3_available</x:v>
      </x:c>
      <x:c r="E25" s="79" t="n">
        <x:v>42005</x:v>
      </x:c>
      <x:c r="F25" s="79" t="n">
        <x:v>46204</x:v>
      </x:c>
      <x:c r="G25" s="91" t="n">
        <x:v>139</x:v>
      </x:c>
      <x:c r="H25" s="81" t="n">
        <x:v>0.08753233539558081</x:v>
      </x:c>
      <x:c r="I25" s="81" t="n">
        <x:v>0.4519394212591078</x:v>
      </x:c>
      <x:c r="J25" s="81" t="n">
        <x:v>0.5309873779388299</x:v>
      </x:c>
      <x:c r="K25" s="81" t="n">
        <x:v>0.07904795667972209</x:v>
      </x:c>
      <x:c r="L25" s="81" t="n">
        <x:v>0.07668516836049999</x:v>
      </x:c>
      <x:c r="M25" s="80" t="n">
        <x:v>2.2659847118905065</x:v>
      </x:c>
      <x:c r="N25" s="90" t="n">
        <x:v>0.887037116849498</x:v>
      </x:c>
      <x:c r="O25" s="90" t="n">
        <x:v>2.5545545601728996</x:v>
      </x:c>
      <x:c r="P25" s="81" t="n">
        <x:v>0.010632376501449992</x:v>
      </x:c>
      <x:c r="Q25" s="81" t="n">
        <x:v>0.2892801749342448</x:v>
      </x:c>
      <x:c r="R25" s="99"/>
      <x:c r="S25" s="99"/>
    </x:row>
    <x:row r="26">
      <x:c r="C26" s="90" t="str">
        <x:v>since_2015</x:v>
      </x:c>
      <x:c r="D26" s="90" t="str">
        <x:v>ipca3_flow_available</x:v>
      </x:c>
      <x:c r="E26" s="79" t="n">
        <x:v>42005</x:v>
      </x:c>
      <x:c r="F26" s="79" t="n">
        <x:v>46204</x:v>
      </x:c>
      <x:c r="G26" s="91" t="n">
        <x:v>139</x:v>
      </x:c>
      <x:c r="H26" s="81" t="n">
        <x:v>0.023783784019465015</x:v>
      </x:c>
      <x:c r="I26" s="81" t="n">
        <x:v>0.4519394212591078</x:v>
      </x:c>
      <x:c r="J26" s="81" t="n">
        <x:v>0.5022102679101381</x:v>
      </x:c>
      <x:c r="K26" s="81" t="n">
        <x:v>0.05027084665103032</x:v>
      </x:c>
      <x:c r="L26" s="81" t="n">
        <x:v>0.047268566997837325</x:v>
      </x:c>
      <x:c r="M26" s="80" t="n">
        <x:v>2.30669254514784</x:v>
      </x:c>
      <x:c r="N26" s="90" t="n">
        <x:v>1.416153349986307</x:v>
      </x:c>
      <x:c r="O26" s="90" t="n">
        <x:v>1.6288437584602995</x:v>
      </x:c>
      <x:c r="P26" s="81" t="n">
        <x:v>0.10334609860868671</x:v>
      </x:c>
      <x:c r="Q26" s="81" t="n">
        <x:v>0.22616223392367607</x:v>
      </x:c>
      <x:c r="R26" s="99"/>
      <x:c r="S26" s="99"/>
    </x:row>
  </x:sheetData>
  <x:pageMargins left="0.7" right="0.7" top="0.75" bottom="0.75" header="0.3" footer="0.3"/>
  <x:tableParts count="1">
    <x:tablePart xmlns:r="http://schemas.openxmlformats.org/officeDocument/2006/relationships" r:id="Rb59ade8bf8154e1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2">
      <x:c r="C2" s="2" t="str">
        <x:v>IBOV versus IBOV ex-commodities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  <x:c r="X2" s="98"/>
      <x:c r="Y2" s="98"/>
      <x:c r="Z2" s="98"/>
      <x:c r="AA2" s="98"/>
      <x:c r="AB2" s="98"/>
    </x:row>
    <x:row r="3">
      <x:c r="C3" s="4" t="str">
        <x:v>Comparação da sensibilidade contemporânea ao Focus PIB. O agregado ex-commodities não apresenta beta maior.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  <x:c r="AA4" s="99"/>
      <x:c r="AB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  <x:c r="P5" s="99"/>
      <x:c r="Q5" s="99"/>
      <x:c r="R5" s="99"/>
      <x:c r="S5" s="99"/>
      <x:c r="T5" s="99"/>
      <x:c r="U5" s="99"/>
      <x:c r="V5" s="99"/>
      <x:c r="W5" s="99"/>
      <x:c r="X5" s="99"/>
      <x:c r="Y5" s="99"/>
      <x:c r="Z5" s="99"/>
      <x:c r="AA5" s="99"/>
      <x:c r="AB5" s="99"/>
    </x:row>
    <x:row r="6">
      <x:c r="C6" s="74" t="str">
        <x:v>Amostra principal</x:v>
      </x:c>
      <x:c r="D6" s="75"/>
      <x:c r="E6" s="75"/>
      <x:c r="F6" s="75"/>
      <x:c r="G6" s="75"/>
      <x:c r="H6" s="76"/>
      <x:c r="I6" s="99"/>
      <x:c r="J6" s="99"/>
      <x:c r="K6" s="99"/>
      <x:c r="L6" s="99"/>
      <x:c r="M6" s="99"/>
      <x:c r="N6" s="99"/>
      <x:c r="O6" s="99"/>
      <x:c r="P6" s="99"/>
      <x:c r="Q6" s="99"/>
      <x:c r="R6" s="99"/>
      <x:c r="S6" s="99"/>
      <x:c r="T6" s="99"/>
      <x:c r="U6" s="99"/>
      <x:c r="V6" s="99"/>
      <x:c r="W6" s="99"/>
      <x:c r="X6" s="99"/>
      <x:c r="Y6" s="99"/>
      <x:c r="Z6" s="99"/>
      <x:c r="AA6" s="99"/>
      <x:c r="AB6" s="99"/>
    </x:row>
    <x:row r="7">
      <x:c r="C7" s="11" t="str">
        <x:v>Métrica</x:v>
      </x:c>
      <x:c r="D7" s="11" t="str">
        <x:v>IBOV</x:v>
      </x:c>
      <x:c r="E7" s="11" t="str">
        <x:v>Ex-commodities</x:v>
      </x:c>
      <x:c r="F7" s="11" t="str">
        <x:v>Commodities</x:v>
      </x:c>
      <x:c r="G7" s="11" t="str">
        <x:v>Diferença ex-commod. - IBOV</x:v>
      </x:c>
      <x:c r="H7" s="11" t="str">
        <x:v>p da diferença</x:v>
      </x:c>
      <x:c r="I7" s="99"/>
      <x:c r="J7" s="99"/>
      <x:c r="K7" s="99"/>
      <x:c r="L7" s="99"/>
      <x:c r="M7" s="99"/>
      <x:c r="N7" s="99"/>
      <x:c r="O7" s="99"/>
      <x:c r="P7" s="99"/>
      <x:c r="Q7" s="99"/>
      <x:c r="R7" s="99"/>
      <x:c r="S7" s="99"/>
      <x:c r="T7" s="99"/>
      <x:c r="U7" s="99"/>
      <x:c r="V7" s="99"/>
      <x:c r="W7" s="99"/>
      <x:c r="X7" s="99"/>
      <x:c r="Y7" s="99"/>
      <x:c r="Z7" s="99"/>
      <x:c r="AA7" s="99"/>
      <x:c r="AB7" s="99"/>
    </x:row>
    <x:row r="8">
      <x:c r="C8" s="6" t="str">
        <x:v>Beta Focus</x:v>
      </x:c>
      <x:c r="D8" s="81" t="n">
        <x:f>SUMIFS('Ex-Commodities'!$H$19:$H$24,'Ex-Commodities'!$C$19:$C$24,"ex_2013_14")</x:f>
        <x:v>5.686279851012402</x:v>
      </x:c>
      <x:c r="E8" s="81" t="n">
        <x:f>SUMIFS('Ex-Commodities'!$K$19:$K$24,'Ex-Commodities'!$C$19:$C$24,"ex_2013_14")</x:f>
        <x:v>2.0316214250528346</x:v>
      </x:c>
      <x:c r="F8" s="81" t="n">
        <x:f>SUMIFS('Ex-Commodities'!$N$19:$N$24,'Ex-Commodities'!$C$19:$C$24,"ex_2013_14")</x:f>
        <x:v>16.7756802573262</x:v>
      </x:c>
      <x:c r="G8" s="81" t="n">
        <x:f>SUMIFS('Ex-Commodities'!$Q$19:$Q$24,'Ex-Commodities'!$C$19:$C$24,"ex_2013_14")</x:f>
        <x:v>-3.6546584259595702</x:v>
      </x:c>
      <x:c r="H8" s="81" t="n">
        <x:f>SUMIFS('Ex-Commodities'!$R$19:$R$24,'Ex-Commodities'!$C$19:$C$24,"ex_2013_14")</x:f>
        <x:v>1.3212479998969684e-9</x:v>
      </x:c>
      <x:c r="I8" s="99"/>
      <x:c r="J8" s="99"/>
      <x:c r="K8" s="99"/>
      <x:c r="L8" s="99"/>
      <x:c r="M8" s="99"/>
      <x:c r="N8" s="99"/>
      <x:c r="O8" s="99"/>
      <x:c r="P8" s="99"/>
      <x:c r="Q8" s="99"/>
      <x:c r="R8" s="99"/>
      <x:c r="S8" s="99"/>
      <x:c r="T8" s="99"/>
      <x:c r="U8" s="99"/>
      <x:c r="V8" s="99"/>
      <x:c r="W8" s="99"/>
      <x:c r="X8" s="99"/>
      <x:c r="Y8" s="99"/>
      <x:c r="Z8" s="99"/>
      <x:c r="AA8" s="99"/>
      <x:c r="AB8" s="99"/>
    </x:row>
    <x:row r="9">
      <x:c r="C9" s="6" t="str">
        <x:v>Beta Focus padronizado</x:v>
      </x:c>
      <x:c r="D9" s="81" t="n">
        <x:f>SUMIFS('Ex-Commodities'!$J$19:$J$24,'Ex-Commodities'!$C$19:$C$24,"ex_2013_14")</x:f>
        <x:v>0.5837225321894806</x:v>
      </x:c>
      <x:c r="E9" s="81" t="n">
        <x:f>SUMIFS('Ex-Commodities'!$M$19:$M$24,'Ex-Commodities'!$C$19:$C$24,"ex_2013_14")</x:f>
        <x:v>0.43059679185231314</x:v>
      </x:c>
      <x:c r="F9" s="81" t="n">
        <x:f>SUMIFS('Ex-Commodities'!$P$19:$P$24,'Ex-Commodities'!$C$19:$C$24,"ex_2013_14")</x:f>
        <x:v>0.6442218077897744</x:v>
      </x:c>
      <x:c r="G9" s="81" t="n">
        <x:f>SUMIFS('Ex-Commodities'!$S$19:$S$24,'Ex-Commodities'!$C$19:$C$24,"ex_2013_14")</x:f>
        <x:v>-0.5445452357521144</x:v>
      </x:c>
      <x:c r="H9" s="81" t="n">
        <x:f>SUMIFS('Ex-Commodities'!$R$19:$R$24,'Ex-Commodities'!$C$19:$C$24,"ex_2013_14")</x:f>
        <x:v>1.3212479998969684e-9</x:v>
      </x:c>
      <x:c r="I9" s="99"/>
      <x:c r="J9" s="99"/>
      <x:c r="K9" s="99"/>
      <x:c r="L9" s="99"/>
      <x:c r="M9" s="99"/>
      <x:c r="N9" s="99"/>
      <x:c r="O9" s="99"/>
      <x:c r="P9" s="99"/>
      <x:c r="Q9" s="99"/>
      <x:c r="R9" s="99"/>
      <x:c r="S9" s="99"/>
      <x:c r="T9" s="99"/>
      <x:c r="U9" s="99"/>
      <x:c r="V9" s="99"/>
      <x:c r="W9" s="99"/>
      <x:c r="X9" s="99"/>
      <x:c r="Y9" s="99"/>
      <x:c r="Z9" s="99"/>
      <x:c r="AA9" s="99"/>
      <x:c r="AB9" s="99"/>
    </x:row>
    <x:row r="10">
      <x:c r="C10" s="6" t="str">
        <x:v>R²</x:v>
      </x:c>
      <x:c r="D10" s="81" t="n">
        <x:f>SUMIFS('Ex-Commodities'!$T$19:$T$24,'Ex-Commodities'!$C$19:$C$24,"ex_2013_14")</x:f>
        <x:v>0.5307452063720055</x:v>
      </x:c>
      <x:c r="E10" s="81" t="n">
        <x:f>SUMIFS('Ex-Commodities'!$U$19:$U$24,'Ex-Commodities'!$C$19:$C$24,"ex_2013_14")</x:f>
        <x:v>0.33632928892568925</x:v>
      </x:c>
      <x:c r="F10" s="81" t="n">
        <x:f>SUMIFS('Ex-Commodities'!$V$19:$V$24,'Ex-Commodities'!$C$19:$C$24,"ex_2013_14")</x:f>
        <x:v>0.4996130247718382</x:v>
      </x:c>
      <x:c r="G10" s="81" t="n">
        <x:f>SUMIFS('Ex-Commodities'!$Q$19:$Q$24,'Ex-Commodities'!$C$19:$C$24,"ex_2013_14")</x:f>
        <x:v>-3.6546584259595702</x:v>
      </x:c>
      <x:c r="H10" s="81" t="n">
        <x:f>SUMIFS('Ex-Commodities'!$R$19:$R$24,'Ex-Commodities'!$C$19:$C$24,"ex_2013_14")</x:f>
        <x:v>1.3212479998969684e-9</x:v>
      </x:c>
      <x:c r="I10" s="99"/>
      <x:c r="J10" s="99"/>
      <x:c r="K10" s="99"/>
      <x:c r="L10" s="99"/>
      <x:c r="M10" s="99"/>
      <x:c r="N10" s="99"/>
      <x:c r="O10" s="99"/>
      <x:c r="P10" s="99"/>
      <x:c r="Q10" s="99"/>
      <x:c r="R10" s="99"/>
      <x:c r="S10" s="99"/>
      <x:c r="T10" s="99"/>
      <x:c r="U10" s="99"/>
      <x:c r="V10" s="99"/>
      <x:c r="W10" s="99"/>
      <x:c r="X10" s="99"/>
      <x:c r="Y10" s="99"/>
      <x:c r="Z10" s="99"/>
      <x:c r="AA10" s="99"/>
      <x:c r="AB10" s="99"/>
    </x:row>
    <x:row r="11">
      <x:c r="C11" s="99"/>
      <x:c r="D11" s="99"/>
      <x:c r="E11" s="99"/>
      <x:c r="F11" s="99"/>
      <x:c r="G11" s="99"/>
      <x:c r="H11" s="99"/>
      <x:c r="I11" s="99"/>
      <x:c r="J11" s="99"/>
      <x:c r="K11" s="99"/>
      <x:c r="L11" s="99"/>
      <x:c r="M11" s="99"/>
      <x:c r="N11" s="99"/>
      <x:c r="O11" s="99"/>
      <x:c r="P11" s="99"/>
      <x:c r="Q11" s="99"/>
      <x:c r="R11" s="99"/>
      <x:c r="S11" s="99"/>
      <x:c r="T11" s="99"/>
      <x:c r="U11" s="99"/>
      <x:c r="V11" s="99"/>
      <x:c r="W11" s="99"/>
      <x:c r="X11" s="99"/>
      <x:c r="Y11" s="99"/>
      <x:c r="Z11" s="99"/>
      <x:c r="AA11" s="99"/>
      <x:c r="AB11" s="99"/>
    </x:row>
    <x:row r="12">
      <x:c r="C12" s="94" t="str">
        <x:v>Conclusão</x:v>
      </x:c>
      <x:c r="D12" s="94" t="str">
        <x:v>Na amostra ex_2013_14, o beta Focus do IBOV é 5,69; o ex-commodities é 2,03. A diferença é negativa e estatisticamente significativa.</x:v>
      </x:c>
      <x:c r="E12" s="94"/>
      <x:c r="F12" s="94"/>
      <x:c r="G12" s="94"/>
      <x:c r="H12" s="94"/>
      <x:c r="I12" s="99"/>
      <x:c r="J12" s="99"/>
      <x:c r="K12" s="99"/>
      <x:c r="L12" s="99"/>
      <x:c r="M12" s="99"/>
      <x:c r="N12" s="99"/>
      <x:c r="O12" s="99"/>
      <x:c r="P12" s="99"/>
      <x:c r="Q12" s="99"/>
      <x:c r="R12" s="99"/>
      <x:c r="S12" s="99"/>
      <x:c r="T12" s="99"/>
      <x:c r="U12" s="99"/>
      <x:c r="V12" s="99"/>
      <x:c r="W12" s="99"/>
      <x:c r="X12" s="99"/>
      <x:c r="Y12" s="99"/>
      <x:c r="Z12" s="99"/>
      <x:c r="AA12" s="99"/>
      <x:c r="AB12" s="99"/>
    </x:row>
    <x:row r="13">
      <x:c r="C13" s="94"/>
      <x:c r="D13" s="94"/>
      <x:c r="E13" s="94"/>
      <x:c r="F13" s="94"/>
      <x:c r="G13" s="94"/>
      <x:c r="H13" s="94"/>
      <x:c r="I13" s="99"/>
      <x:c r="J13" s="99"/>
      <x:c r="K13" s="99"/>
      <x:c r="L13" s="99"/>
      <x:c r="M13" s="99"/>
      <x:c r="N13" s="99"/>
      <x:c r="O13" s="99"/>
      <x:c r="P13" s="99"/>
      <x:c r="Q13" s="99"/>
      <x:c r="R13" s="99"/>
      <x:c r="S13" s="99"/>
      <x:c r="T13" s="99"/>
      <x:c r="U13" s="99"/>
      <x:c r="V13" s="99"/>
      <x:c r="W13" s="99"/>
      <x:c r="X13" s="99"/>
      <x:c r="Y13" s="99"/>
      <x:c r="Z13" s="99"/>
      <x:c r="AA13" s="99"/>
      <x:c r="AB13" s="99"/>
    </x:row>
    <x:row r="14">
      <x:c r="C14" s="94"/>
      <x:c r="D14" s="94"/>
      <x:c r="E14" s="94"/>
      <x:c r="F14" s="94"/>
      <x:c r="G14" s="94"/>
      <x:c r="H14" s="94"/>
      <x:c r="I14" s="99"/>
      <x:c r="J14" s="99"/>
      <x:c r="K14" s="99"/>
      <x:c r="L14" s="99"/>
      <x:c r="M14" s="99"/>
      <x:c r="N14" s="99"/>
      <x:c r="O14" s="99"/>
      <x:c r="P14" s="99"/>
      <x:c r="Q14" s="99"/>
      <x:c r="R14" s="99"/>
      <x:c r="S14" s="99"/>
      <x:c r="T14" s="99"/>
      <x:c r="U14" s="99"/>
      <x:c r="V14" s="99"/>
      <x:c r="W14" s="99"/>
      <x:c r="X14" s="99"/>
      <x:c r="Y14" s="99"/>
      <x:c r="Z14" s="99"/>
      <x:c r="AA14" s="99"/>
      <x:c r="AB14" s="99"/>
    </x:row>
    <x:row r="15">
      <x:c r="C15" s="99"/>
      <x:c r="D15" s="99"/>
      <x:c r="E15" s="99"/>
      <x:c r="F15" s="99"/>
      <x:c r="G15" s="99"/>
      <x:c r="H15" s="99"/>
      <x:c r="I15" s="99"/>
      <x:c r="J15" s="99"/>
      <x:c r="K15" s="99"/>
      <x:c r="L15" s="99"/>
      <x:c r="M15" s="99"/>
      <x:c r="N15" s="99"/>
      <x:c r="O15" s="99"/>
      <x:c r="P15" s="99"/>
      <x:c r="Q15" s="99"/>
      <x:c r="R15" s="99"/>
      <x:c r="S15" s="99"/>
      <x:c r="T15" s="99"/>
      <x:c r="U15" s="99"/>
      <x:c r="V15" s="99"/>
      <x:c r="W15" s="99"/>
      <x:c r="X15" s="99"/>
      <x:c r="Y15" s="99"/>
      <x:c r="Z15" s="99"/>
      <x:c r="AA15" s="99"/>
      <x:c r="AB15" s="99"/>
    </x:row>
    <x:row r="16">
      <x:c r="C16" s="74" t="str">
        <x:v>Resultados completos</x:v>
      </x:c>
      <x:c r="D16" s="75"/>
      <x:c r="E16" s="75"/>
      <x:c r="F16" s="75"/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6"/>
      <x:c r="AA16" s="99"/>
      <x:c r="AB16" s="99"/>
    </x:row>
    <x:row r="17">
      <x:c r="C17" s="99"/>
      <x:c r="D17" s="99"/>
      <x:c r="E17" s="99"/>
      <x:c r="F17" s="99"/>
      <x:c r="G17" s="99"/>
      <x:c r="H17" s="99"/>
      <x:c r="I17" s="99"/>
      <x:c r="J17" s="99"/>
      <x:c r="K17" s="99"/>
      <x:c r="L17" s="99"/>
      <x:c r="M17" s="99"/>
      <x:c r="N17" s="99"/>
      <x:c r="O17" s="99"/>
      <x:c r="P17" s="99"/>
      <x:c r="Q17" s="99"/>
      <x:c r="R17" s="99"/>
      <x:c r="S17" s="99"/>
      <x:c r="T17" s="99"/>
      <x:c r="U17" s="99"/>
      <x:c r="V17" s="99"/>
      <x:c r="W17" s="99"/>
      <x:c r="X17" s="99"/>
      <x:c r="Y17" s="99"/>
      <x:c r="Z17" s="99"/>
      <x:c r="AA17" s="99"/>
      <x:c r="AB17" s="99"/>
    </x:row>
    <x:row r="18">
      <x:c r="C18" s="11" t="str">
        <x:v>sample</x:v>
      </x:c>
      <x:c r="D18" s="11" t="str">
        <x:v>start</x:v>
      </x:c>
      <x:c r="E18" s="11" t="str">
        <x:v>end</x:v>
      </x:c>
      <x:c r="F18" s="11" t="str">
        <x:v>n</x:v>
      </x:c>
      <x:c r="G18" s="11" t="str">
        <x:v>corr_targets</x:v>
      </x:c>
      <x:c r="H18" s="11" t="str">
        <x:v>beta_focus_ibov</x:v>
      </x:c>
      <x:c r="I18" s="11" t="str">
        <x:v>p_focus_ibov</x:v>
      </x:c>
      <x:c r="J18" s="11" t="str">
        <x:v>beta_std_focus_ibov</x:v>
      </x:c>
      <x:c r="K18" s="11" t="str">
        <x:v>beta_focus_excommod</x:v>
      </x:c>
      <x:c r="L18" s="11" t="str">
        <x:v>p_focus_excommod</x:v>
      </x:c>
      <x:c r="M18" s="11" t="str">
        <x:v>beta_std_focus_excommod</x:v>
      </x:c>
      <x:c r="N18" s="11" t="str">
        <x:v>beta_focus_commodities</x:v>
      </x:c>
      <x:c r="O18" s="11" t="str">
        <x:v>p_focus_commodities</x:v>
      </x:c>
      <x:c r="P18" s="11" t="str">
        <x:v>beta_std_focus_commodities</x:v>
      </x:c>
      <x:c r="Q18" s="11" t="str">
        <x:v>beta_focus_difference</x:v>
      </x:c>
      <x:c r="R18" s="11" t="str">
        <x:v>p_focus_difference</x:v>
      </x:c>
      <x:c r="S18" s="11" t="str">
        <x:v>beta_std_focus_difference</x:v>
      </x:c>
      <x:c r="T18" s="11" t="str">
        <x:v>r2_ibov</x:v>
      </x:c>
      <x:c r="U18" s="11" t="str">
        <x:v>r2_excommod</x:v>
      </x:c>
      <x:c r="V18" s="11" t="str">
        <x:v>r2_commodities</x:v>
      </x:c>
      <x:c r="W18" s="11" t="str">
        <x:v>simple_beta_focus_ibov</x:v>
      </x:c>
      <x:c r="X18" s="11" t="str">
        <x:v>simple_beta_focus_excommod</x:v>
      </x:c>
      <x:c r="Y18" s="11" t="str">
        <x:v>simple_beta_focus_difference</x:v>
      </x:c>
      <x:c r="Z18" s="11" t="str">
        <x:v>simple_p_focus_difference</x:v>
      </x:c>
      <x:c r="AA18" s="99"/>
      <x:c r="AB18" s="99"/>
    </x:row>
    <x:row r="19">
      <x:c r="C19" s="90" t="str">
        <x:v>full</x:v>
      </x:c>
      <x:c r="D19" s="79" t="n">
        <x:v>40269</x:v>
      </x:c>
      <x:c r="E19" s="79" t="n">
        <x:v>46204</x:v>
      </x:c>
      <x:c r="F19" s="91" t="n">
        <x:v>196</x:v>
      </x:c>
      <x:c r="G19" s="81" t="n">
        <x:v>0.772733812466545</x:v>
      </x:c>
      <x:c r="H19" s="80" t="n">
        <x:v>5.6838321484921215</x:v>
      </x:c>
      <x:c r="I19" s="80" t="n">
        <x:v>0</x:v>
      </x:c>
      <x:c r="J19" s="81" t="n">
        <x:v>0.5849285682280206</x:v>
      </x:c>
      <x:c r="K19" s="80" t="n">
        <x:v>2.024588170012512</x:v>
      </x:c>
      <x:c r="L19" s="80" t="n">
        <x:v>0.0014139297586757138</x:v>
      </x:c>
      <x:c r="M19" s="81" t="n">
        <x:v>0.42979377379748357</x:v>
      </x:c>
      <x:c r="N19" s="80" t="n">
        <x:v>16.626686699187285</x:v>
      </x:c>
      <x:c r="O19" s="80" t="n">
        <x:v>2.220446049250313e-16</x:v>
      </x:c>
      <x:c r="P19" s="81" t="n">
        <x:v>0.6374633119230306</x:v>
      </x:c>
      <x:c r="Q19" s="80" t="n">
        <x:v>-3.6592439784796156</x:v>
      </x:c>
      <x:c r="R19" s="81" t="n">
        <x:v>7.292202397479741e-10</x:v>
      </x:c>
      <x:c r="S19" s="81" t="n">
        <x:v>-0.5402843522810422</x:v>
      </x:c>
      <x:c r="T19" s="81" t="n">
        <x:v>0.5295342389670157</x:v>
      </x:c>
      <x:c r="U19" s="81" t="n">
        <x:v>0.32539094329139273</x:v>
      </x:c>
      <x:c r="V19" s="81" t="n">
        <x:v>0.497937035886044</x:v>
      </x:c>
      <x:c r="W19" s="80" t="n">
        <x:v>5.814408347167369</x:v>
      </x:c>
      <x:c r="X19" s="80" t="n">
        <x:v>1.9599463327867115</x:v>
      </x:c>
      <x:c r="Y19" s="80" t="n">
        <x:v>-3.8544620143806587</x:v>
      </x:c>
      <x:c r="Z19" s="81" t="n">
        <x:v>2.2042354608231562e-9</x:v>
      </x:c>
      <x:c r="AA19" s="99"/>
      <x:c r="AB19" s="99"/>
    </x:row>
    <x:row r="20">
      <x:c r="C20" s="90" t="str">
        <x:v>ex_2013_14</x:v>
      </x:c>
      <x:c r="D20" s="79" t="n">
        <x:v>40269</x:v>
      </x:c>
      <x:c r="E20" s="79" t="n">
        <x:v>46204</x:v>
      </x:c>
      <x:c r="F20" s="91" t="n">
        <x:v>172</x:v>
      </x:c>
      <x:c r="G20" s="81" t="n">
        <x:v>0.7844963035924423</x:v>
      </x:c>
      <x:c r="H20" s="80" t="n">
        <x:v>5.686279851012402</x:v>
      </x:c>
      <x:c r="I20" s="80" t="n">
        <x:v>0</x:v>
      </x:c>
      <x:c r="J20" s="81" t="n">
        <x:v>0.5837225321894806</x:v>
      </x:c>
      <x:c r="K20" s="80" t="n">
        <x:v>2.0316214250528346</x:v>
      </x:c>
      <x:c r="L20" s="80" t="n">
        <x:v>0.0015772984438515714</x:v>
      </x:c>
      <x:c r="M20" s="81" t="n">
        <x:v>0.43059679185231314</x:v>
      </x:c>
      <x:c r="N20" s="80" t="n">
        <x:v>16.7756802573262</x:v>
      </x:c>
      <x:c r="O20" s="80" t="n">
        <x:v>4.440892098500626e-16</x:v>
      </x:c>
      <x:c r="P20" s="81" t="n">
        <x:v>0.6442218077897744</x:v>
      </x:c>
      <x:c r="Q20" s="80" t="n">
        <x:v>-3.6546584259595702</x:v>
      </x:c>
      <x:c r="R20" s="81" t="n">
        <x:v>1.3212479998969684e-9</x:v>
      </x:c>
      <x:c r="S20" s="81" t="n">
        <x:v>-0.5445452357521144</x:v>
      </x:c>
      <x:c r="T20" s="81" t="n">
        <x:v>0.5307452063720055</x:v>
      </x:c>
      <x:c r="U20" s="81" t="n">
        <x:v>0.33632928892568925</x:v>
      </x:c>
      <x:c r="V20" s="81" t="n">
        <x:v>0.4996130247718382</x:v>
      </x:c>
      <x:c r="W20" s="80" t="n">
        <x:v>5.814823345265812</x:v>
      </x:c>
      <x:c r="X20" s="80" t="n">
        <x:v>2.007450490870509</x:v>
      </x:c>
      <x:c r="Y20" s="80" t="n">
        <x:v>-3.8073728543953047</x:v>
      </x:c>
      <x:c r="Z20" s="81" t="n">
        <x:v>2.237384943981624e-9</x:v>
      </x:c>
      <x:c r="AA20" s="99"/>
      <x:c r="AB20" s="99"/>
    </x:row>
    <x:row r="21">
      <x:c r="C21" s="90" t="str">
        <x:v>ex_2020_21</x:v>
      </x:c>
      <x:c r="D21" s="79" t="n">
        <x:v>40269</x:v>
      </x:c>
      <x:c r="E21" s="79" t="n">
        <x:v>46204</x:v>
      </x:c>
      <x:c r="F21" s="91" t="n">
        <x:v>172</x:v>
      </x:c>
      <x:c r="G21" s="81" t="n">
        <x:v>0.6476094895684715</x:v>
      </x:c>
      <x:c r="H21" s="80" t="n">
        <x:v>2.976629966775055</x:v>
      </x:c>
      <x:c r="I21" s="80" t="n">
        <x:v>0.000030606538654609494</x:v>
      </x:c>
      <x:c r="J21" s="81" t="n">
        <x:v>0.29643848668793293</x:v>
      </x:c>
      <x:c r="K21" s="80" t="n">
        <x:v>0.5090614666108078</x:v>
      </x:c>
      <x:c r="L21" s="80" t="n">
        <x:v>0.4443362103594881</x:v>
      </x:c>
      <x:c r="M21" s="81" t="n">
        <x:v>0.11300113845013716</x:v>
      </x:c>
      <x:c r="N21" s="80" t="n">
        <x:v>11.303101788072295</x:v>
      </x:c>
      <x:c r="O21" s="80" t="n">
        <x:v>0.0006205278058810659</x:v>
      </x:c>
      <x:c r="P21" s="81" t="n">
        <x:v>0.3544149507262645</x:v>
      </x:c>
      <x:c r="Q21" s="80" t="n">
        <x:v>-2.4675685001642487</x:v>
      </x:c>
      <x:c r="R21" s="81" t="n">
        <x:v>0.00028699833745804426</x:v>
      </x:c>
      <x:c r="S21" s="81" t="n">
        <x:v>-0.31204424059288305</x:v>
      </x:c>
      <x:c r="T21" s="81" t="n">
        <x:v>0.17326481196862864</x:v>
      </x:c>
      <x:c r="U21" s="81" t="n">
        <x:v>0.09967059529017475</x:v>
      </x:c>
      <x:c r="V21" s="81" t="n">
        <x:v>0.16525825955420648</x:v>
      </x:c>
      <x:c r="W21" s="80" t="n">
        <x:v>2.5352897150639526</x:v>
      </x:c>
      <x:c r="X21" s="80" t="n">
        <x:v>0.32743711584956453</x:v>
      </x:c>
      <x:c r="Y21" s="80" t="n">
        <x:v>-2.2078525992143887</x:v>
      </x:c>
      <x:c r="Z21" s="81" t="n">
        <x:v>0.009434022985736368</x:v>
      </x:c>
      <x:c r="AA21" s="99"/>
      <x:c r="AB21" s="99"/>
    </x:row>
    <x:row r="22">
      <x:c r="C22" s="90" t="str">
        <x:v>clean</x:v>
      </x:c>
      <x:c r="D22" s="79" t="n">
        <x:v>40269</x:v>
      </x:c>
      <x:c r="E22" s="79" t="n">
        <x:v>46204</x:v>
      </x:c>
      <x:c r="F22" s="91" t="n">
        <x:v>148</x:v>
      </x:c>
      <x:c r="G22" s="81" t="n">
        <x:v>0.6718685399068023</x:v>
      </x:c>
      <x:c r="H22" s="80" t="n">
        <x:v>2.8658246233829088</x:v>
      </x:c>
      <x:c r="I22" s="80" t="n">
        <x:v>0.00007319539335082226</x:v>
      </x:c>
      <x:c r="J22" s="81" t="n">
        <x:v>0.2803964226417037</x:v>
      </x:c>
      <x:c r="K22" s="80" t="n">
        <x:v>0.5096119619662035</x:v>
      </x:c>
      <x:c r="L22" s="80" t="n">
        <x:v>0.4594416077393475</x:v>
      </x:c>
      <x:c r="M22" s="81" t="n">
        <x:v>0.11264325530570389</x:v>
      </x:c>
      <x:c r="N22" s="80" t="n">
        <x:v>11.16853174485441</x:v>
      </x:c>
      <x:c r="O22" s="80" t="n">
        <x:v>0.0011600299485774457</x:v>
      </x:c>
      <x:c r="P22" s="81" t="n">
        <x:v>0.34430372063647763</x:v>
      </x:c>
      <x:c r="Q22" s="80" t="n">
        <x:v>-2.356212661416707</x:v>
      </x:c>
      <x:c r="R22" s="81" t="n">
        <x:v>0.00037619336838812245</x:v>
      </x:c>
      <x:c r="S22" s="81" t="n">
        <x:v>-0.2973385576534141</x:v>
      </x:c>
      <x:c r="T22" s="81" t="n">
        <x:v>0.16189713913421167</x:v>
      </x:c>
      <x:c r="U22" s="81" t="n">
        <x:v>0.12049003640299061</x:v>
      </x:c>
      <x:c r="V22" s="81" t="n">
        <x:v>0.15527247816189726</x:v>
      </x:c>
      <x:c r="W22" s="80" t="n">
        <x:v>2.3728469269263543</x:v>
      </x:c>
      <x:c r="X22" s="80" t="n">
        <x:v>0.332338818513354</x:v>
      </x:c>
      <x:c r="Y22" s="80" t="n">
        <x:v>-2.0405081084130012</x:v>
      </x:c>
      <x:c r="Z22" s="81" t="n">
        <x:v>0.016598512554876432</x:v>
      </x:c>
      <x:c r="AA22" s="99"/>
      <x:c r="AB22" s="99"/>
    </x:row>
    <x:row r="23">
      <x:c r="C23" s="90" t="str">
        <x:v>since_2015</x:v>
      </x:c>
      <x:c r="D23" s="79" t="n">
        <x:v>42005</x:v>
      </x:c>
      <x:c r="E23" s="79" t="n">
        <x:v>46204</x:v>
      </x:c>
      <x:c r="F23" s="91" t="n">
        <x:v>139</x:v>
      </x:c>
      <x:c r="G23" s="81" t="n">
        <x:v>0.7836973780596262</x:v>
      </x:c>
      <x:c r="H23" s="80" t="n">
        <x:v>5.8920576587809315</x:v>
      </x:c>
      <x:c r="I23" s="80" t="n">
        <x:v>0</x:v>
      </x:c>
      <x:c r="J23" s="81" t="n">
        <x:v>0.6163409666400602</x:v>
      </x:c>
      <x:c r="K23" s="80" t="n">
        <x:v>2.3324491460171126</x:v>
      </x:c>
      <x:c r="L23" s="80" t="n">
        <x:v>0.0004748439120099146</x:v>
      </x:c>
      <x:c r="M23" s="81" t="n">
        <x:v>0.5065607316315247</x:v>
      </x:c>
      <x:c r="N23" s="80" t="n">
        <x:v>17.363720643627307</x:v>
      </x:c>
      <x:c r="O23" s="80" t="n">
        <x:v>0</x:v>
      </x:c>
      <x:c r="P23" s="81" t="n">
        <x:v>0.6656090321427688</x:v>
      </x:c>
      <x:c r="Q23" s="80" t="n">
        <x:v>-3.559608512763819</x:v>
      </x:c>
      <x:c r="R23" s="81" t="n">
        <x:v>1.5808829134655866e-8</x:v>
      </x:c>
      <x:c r="S23" s="81" t="n">
        <x:v>-0.5391068130769202</x:v>
      </x:c>
      <x:c r="T23" s="81" t="n">
        <x:v>0.5707175729730085</x:v>
      </x:c>
      <x:c r="U23" s="81" t="n">
        <x:v>0.37196196102687085</x:v>
      </x:c>
      <x:c r="V23" s="81" t="n">
        <x:v>0.523956009997717</x:v>
      </x:c>
      <x:c r="W23" s="80" t="n">
        <x:v>6.051768840618628</x:v>
      </x:c>
      <x:c r="X23" s="80" t="n">
        <x:v>2.16377377294235</x:v>
      </x:c>
      <x:c r="Y23" s="80" t="n">
        <x:v>-3.8879950676762784</x:v>
      </x:c>
      <x:c r="Z23" s="81" t="n">
        <x:v>8.309966048614115e-10</x:v>
      </x:c>
      <x:c r="AA23" s="99"/>
      <x:c r="AB23" s="99"/>
    </x:row>
    <x:row r="24">
      <x:c r="C24" s="90" t="str">
        <x:v>since_2022</x:v>
      </x:c>
      <x:c r="D24" s="79" t="n">
        <x:v>44562</x:v>
      </x:c>
      <x:c r="E24" s="79" t="n">
        <x:v>46204</x:v>
      </x:c>
      <x:c r="F24" s="91" t="n">
        <x:v>55</x:v>
      </x:c>
      <x:c r="G24" s="81" t="n">
        <x:v>0.6701566753454756</x:v>
      </x:c>
      <x:c r="H24" s="80" t="n">
        <x:v>2.1196906357251377</x:v>
      </x:c>
      <x:c r="I24" s="80" t="n">
        <x:v>0.3032455518147281</x:v>
      </x:c>
      <x:c r="J24" s="81" t="n">
        <x:v>0.1233117166867295</x:v>
      </x:c>
      <x:c r="K24" s="80" t="n">
        <x:v>1.0779142555886372</x:v>
      </x:c>
      <x:c r="L24" s="80" t="n">
        <x:v>0.2308625641962614</x:v>
      </x:c>
      <x:c r="M24" s="81" t="n">
        <x:v>0.165450872005806</x:v>
      </x:c>
      <x:c r="N24" s="80" t="n">
        <x:v>3.24108410024852</x:v>
      </x:c>
      <x:c r="O24" s="80" t="n">
        <x:v>0.417233075679621</x:v>
      </x:c>
      <x:c r="P24" s="81" t="n">
        <x:v>0.08628399997132066</x:v>
      </x:c>
      <x:c r="Q24" s="80" t="n">
        <x:v>-1.0417763801365</x:v>
      </x:c>
      <x:c r="R24" s="81" t="n">
        <x:v>0.47132578391473645</x:v>
      </x:c>
      <x:c r="S24" s="81" t="n">
        <x:v>-0.07601416296429885</x:v>
      </x:c>
      <x:c r="T24" s="81" t="n">
        <x:v>0.451028099759729</x:v>
      </x:c>
      <x:c r="U24" s="81" t="n">
        <x:v>0.38146338248873934</x:v>
      </x:c>
      <x:c r="V24" s="81" t="n">
        <x:v>0.36019948744493235</x:v>
      </x:c>
      <x:c r="W24" s="80" t="n">
        <x:v>2.2330527023370332</x:v>
      </x:c>
      <x:c r="X24" s="80" t="n">
        <x:v>1.3714855606494991</x:v>
      </x:c>
      <x:c r="Y24" s="80" t="n">
        <x:v>-0.8615671416875343</x:v>
      </x:c>
      <x:c r="Z24" s="81" t="n">
        <x:v>0.710554408767643</x:v>
      </x:c>
      <x:c r="AA24" s="99"/>
      <x:c r="AB24" s="99"/>
    </x:row>
  </x:sheetData>
  <x:mergeCells>
    <x:mergeCell ref="C12:C14"/>
    <x:mergeCell ref="D12:H14"/>
  </x:mergeCells>
  <x:pageMargins left="0.7" right="0.7" top="0.75" bottom="0.75" header="0.3" footer="0.3"/>
  <x:tableParts count="1">
    <x:tablePart xmlns:r="http://schemas.openxmlformats.org/officeDocument/2006/relationships" r:id="R19b199fedaff4a29"/>
  </x:tableParts>
</x:worksheet>
</file>

<file path=xl/worksheets/sheet6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1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C2" s="2" t="str">
        <x:v>Energia, Petrobras e Brent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</x:row>
    <x:row r="3">
      <x:c r="C3" s="4" t="str">
        <x:v>Decomposição da liderança setorial. A série agregada de Energia é fortemente dominada por Petrobras.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</x:row>
    <x:row r="6">
      <x:c r="C6" s="74" t="str">
        <x:v>Concentração e correlação</x:v>
      </x:c>
      <x:c r="D6" s="75"/>
      <x:c r="E6" s="75"/>
      <x:c r="F6" s="75"/>
      <x:c r="G6" s="75"/>
      <x:c r="H6" s="76"/>
      <x:c r="I6" s="99"/>
      <x:c r="J6" s="99"/>
      <x:c r="K6" s="99"/>
      <x:c r="L6" s="99"/>
      <x:c r="M6" s="99"/>
      <x:c r="N6" s="99"/>
      <x:c r="O6" s="99"/>
    </x:row>
    <x:row r="7">
      <x:c r="C7" s="11" t="str">
        <x:v>Métrica</x:v>
      </x:c>
      <x:c r="D7" s="11" t="str">
        <x:v>Valor</x:v>
      </x:c>
      <x:c r="E7" s="11" t="str">
        <x:v>Unidade</x:v>
      </x:c>
      <x:c r="F7" s="11" t="str">
        <x:v>Amostra</x:v>
      </x:c>
      <x:c r="G7" s="11" t="str">
        <x:v>Leitura</x:v>
      </x:c>
      <x:c r="H7" s="11" t="str">
        <x:v>Fonte</x:v>
      </x:c>
      <x:c r="I7" s="99"/>
      <x:c r="J7" s="99"/>
      <x:c r="K7" s="99"/>
      <x:c r="L7" s="99"/>
      <x:c r="M7" s="99"/>
      <x:c r="N7" s="99"/>
      <x:c r="O7" s="99"/>
    </x:row>
    <x:row r="8">
      <x:c r="C8" s="6" t="str">
        <x:v>Correlação revisions Energia-Petrobras</x:v>
      </x:c>
      <x:c r="D8" s="81" t="n">
        <x:v>0.995008997648791</x:v>
      </x:c>
      <x:c r="E8" s="6" t="str">
        <x:v>correlação</x:v>
      </x:c>
      <x:c r="F8" s="6" t="str">
        <x:v>primary</x:v>
      </x:c>
      <x:c r="G8" s="6" t="str">
        <x:v>Movimentos quase idênticos</x:v>
      </x:c>
      <x:c r="H8" s="6" t="str">
        <x:v>Resumo Energia</x:v>
      </x:c>
      <x:c r="I8" s="99"/>
      <x:c r="J8" s="99"/>
      <x:c r="K8" s="99"/>
      <x:c r="L8" s="99"/>
      <x:c r="M8" s="99"/>
      <x:c r="N8" s="99"/>
      <x:c r="O8" s="99"/>
    </x:row>
    <x:row r="9">
      <x:c r="C9" s="6" t="str">
        <x:v>Meses Energy = Petrobras</x:v>
      </x:c>
      <x:c r="D9" s="91" t="n">
        <x:v>106</x:v>
      </x:c>
      <x:c r="E9" s="6" t="str">
        <x:v>meses</x:v>
      </x:c>
      <x:c r="F9" s="6" t="str">
        <x:v>225 meses</x:v>
      </x:c>
      <x:c r="G9" s="6" t="str">
        <x:v>47,1% do histórico</x:v>
      </x:c>
      <x:c r="H9" s="6" t="str">
        <x:v>Resumo Energia</x:v>
      </x:c>
      <x:c r="I9" s="99"/>
      <x:c r="J9" s="99"/>
      <x:c r="K9" s="99"/>
      <x:c r="L9" s="99"/>
      <x:c r="M9" s="99"/>
      <x:c r="N9" s="99"/>
      <x:c r="O9" s="99"/>
    </x:row>
    <x:row r="10">
      <x:c r="C10" s="6" t="str">
        <x:v>Participação mediana Petrobras</x:v>
      </x:c>
      <x:c r="D10" s="95" t="n">
        <x:v>0.9212272038208894</x:v>
      </x:c>
      <x:c r="E10" s="6" t="str">
        <x:v>% do setor</x:v>
      </x:c>
      <x:c r="F10" s="6" t="str">
        <x:v>desde 2023</x:v>
      </x:c>
      <x:c r="G10" s="6" t="str">
        <x:v>92,1% do agregado</x:v>
      </x:c>
      <x:c r="H10" s="6" t="str">
        <x:v>Resumo Energia</x:v>
      </x:c>
      <x:c r="I10" s="99"/>
      <x:c r="J10" s="99"/>
      <x:c r="K10" s="99"/>
      <x:c r="L10" s="99"/>
      <x:c r="M10" s="99"/>
      <x:c r="N10" s="99"/>
      <x:c r="O10" s="99"/>
    </x:row>
    <x:row r="11">
      <x:c r="C11" s="6" t="str">
        <x:v>R² univariado Energia-Petrobras</x:v>
      </x:c>
      <x:c r="D11" s="81" t="n">
        <x:v>0.9900429054020519</x:v>
      </x:c>
      <x:c r="E11" s="6" t="str">
        <x:v>proporção</x:v>
      </x:c>
      <x:c r="F11" s="6" t="str">
        <x:v>primary</x:v>
      </x:c>
      <x:c r="G11" s="6" t="str">
        <x:v>Quase toda variação comum</x:v>
      </x:c>
      <x:c r="H11" s="6" t="str">
        <x:v>Resumo Energia</x:v>
      </x:c>
      <x:c r="I11" s="99"/>
      <x:c r="J11" s="99"/>
      <x:c r="K11" s="99"/>
      <x:c r="L11" s="99"/>
      <x:c r="M11" s="99"/>
      <x:c r="N11" s="99"/>
      <x:c r="O11" s="99"/>
    </x:row>
    <x:row r="12">
      <x:c r="C12" s="99"/>
      <x:c r="D12" s="99"/>
      <x:c r="E12" s="99"/>
      <x:c r="F12" s="99"/>
      <x:c r="G12" s="99"/>
      <x:c r="H12" s="99"/>
      <x:c r="I12" s="99"/>
      <x:c r="J12" s="99"/>
      <x:c r="K12" s="99"/>
      <x:c r="L12" s="99"/>
      <x:c r="M12" s="99"/>
      <x:c r="N12" s="99"/>
      <x:c r="O12" s="99"/>
    </x:row>
    <x:row r="13">
      <x:c r="C13" s="99"/>
      <x:c r="D13" s="99"/>
      <x:c r="E13" s="99"/>
      <x:c r="F13" s="99"/>
      <x:c r="G13" s="99"/>
      <x:c r="H13" s="99"/>
      <x:c r="I13" s="99"/>
      <x:c r="J13" s="99"/>
      <x:c r="K13" s="99"/>
      <x:c r="L13" s="99"/>
      <x:c r="M13" s="99"/>
      <x:c r="N13" s="99"/>
      <x:c r="O13" s="99"/>
    </x:row>
    <x:row r="14">
      <x:c r="C14" s="74" t="str">
        <x:v>Modelo com Brent - principais amostras</x:v>
      </x:c>
      <x:c r="D14" s="75"/>
      <x:c r="E14" s="75"/>
      <x:c r="F14" s="75"/>
      <x:c r="G14" s="75"/>
      <x:c r="H14" s="75"/>
      <x:c r="I14" s="75"/>
      <x:c r="J14" s="76"/>
      <x:c r="K14" s="99"/>
      <x:c r="L14" s="99"/>
      <x:c r="M14" s="99"/>
      <x:c r="N14" s="99"/>
      <x:c r="O14" s="99"/>
    </x:row>
    <x:row r="15">
      <x:c r="C15" s="11" t="str">
        <x:v>Target</x:v>
      </x:c>
      <x:c r="D15" s="11" t="str">
        <x:v>Amostra</x:v>
      </x:c>
      <x:c r="E15" s="11" t="str">
        <x:v>n</x:v>
      </x:c>
      <x:c r="F15" s="11" t="str">
        <x:v>R²</x:v>
      </x:c>
      <x:c r="G15" s="11" t="str">
        <x:v>Focus beta</x:v>
      </x:c>
      <x:c r="H15" s="11" t="str">
        <x:v>Focus p</x:v>
      </x:c>
      <x:c r="I15" s="11" t="str">
        <x:v>Brent beta</x:v>
      </x:c>
      <x:c r="J15" s="11" t="str">
        <x:v>Brent beta pad.</x:v>
      </x:c>
      <x:c r="K15" s="99"/>
      <x:c r="L15" s="99"/>
      <x:c r="M15" s="99"/>
      <x:c r="N15" s="99"/>
      <x:c r="O15" s="99"/>
    </x:row>
    <x:row r="16">
      <x:c r="C16" s="6" t="str">
        <x:v>Energy reported</x:v>
      </x:c>
      <x:c r="D16" s="6" t="str">
        <x:v>primary</x:v>
      </x:c>
      <x:c r="E16" s="91" t="n">
        <x:f>SUMIFS('Reg Energia'!$H$7:$H$74,'Reg Energia'!$C$7:$C$74,$C16,'Reg Energia'!$D$7:$D$74,$D16,'Reg Energia'!$E$7:$E$74,"Brent")</x:f>
        <x:v>182</x:v>
      </x:c>
      <x:c r="F16" s="81" t="n">
        <x:f>SUMIFS('Reg Energia'!$I$7:$I$74,'Reg Energia'!$C$7:$C$74,$C16,'Reg Energia'!$D$7:$D$74,$D16,'Reg Energia'!$E$7:$E$74,"Brent")</x:f>
        <x:v>0.49312583755746375</x:v>
      </x:c>
      <x:c r="G16" s="81" t="n">
        <x:f>SUMIFS('Reg Energia'!$L$7:$L$74,'Reg Energia'!$C$7:$C$74,$C16,'Reg Energia'!$D$7:$D$74,$D16,'Reg Energia'!$E$7:$E$74,"Brent")</x:f>
        <x:v>28.528348615089985</x:v>
      </x:c>
      <x:c r="H16" s="81" t="n">
        <x:f>SUMIFS('Reg Energia'!$O$7:$O$74,'Reg Energia'!$C$7:$C$74,$C16,'Reg Energia'!$D$7:$D$74,$D16,'Reg Energia'!$E$7:$E$74,"Brent")</x:f>
        <x:v>0.009553349316678617</x:v>
      </x:c>
      <x:c r="I16" s="81" t="n">
        <x:f>SUMIFS('Reg Energia'!$AF$7:$AF$74,'Reg Energia'!$C$7:$C$74,$C16,'Reg Energia'!$D$7:$D$74,$D16,'Reg Energia'!$E$7:$E$74,"Brent")</x:f>
        <x:v>0.09129803122504043</x:v>
      </x:c>
      <x:c r="J16" s="81" t="n">
        <x:f>SUMIFS('Reg Energia'!$AG$7:$AG$74,'Reg Energia'!$C$7:$C$74,$C16,'Reg Energia'!$D$7:$D$74,$D16,'Reg Energia'!$E$7:$E$74,"Brent")</x:f>
        <x:v>0.054349297314249506</x:v>
      </x:c>
      <x:c r="K16" s="99"/>
      <x:c r="L16" s="99"/>
      <x:c r="M16" s="99"/>
      <x:c r="N16" s="99"/>
      <x:c r="O16" s="99"/>
    </x:row>
    <x:row r="17">
      <x:c r="C17" s="6" t="str">
        <x:v>Petrobras</x:v>
      </x:c>
      <x:c r="D17" s="6" t="str">
        <x:v>primary</x:v>
      </x:c>
      <x:c r="E17" s="91" t="n">
        <x:f>SUMIFS('Reg Energia'!$H$7:$H$74,'Reg Energia'!$C$7:$C$74,$C17,'Reg Energia'!$D$7:$D$74,$D17,'Reg Energia'!$E$7:$E$74,"Brent")</x:f>
        <x:v>182</x:v>
      </x:c>
      <x:c r="F17" s="81" t="n">
        <x:f>SUMIFS('Reg Energia'!$I$7:$I$74,'Reg Energia'!$C$7:$C$74,$C17,'Reg Energia'!$D$7:$D$74,$D17,'Reg Energia'!$E$7:$E$74,"Brent")</x:f>
        <x:v>0.5026459369384499</x:v>
      </x:c>
      <x:c r="G17" s="81" t="n">
        <x:f>SUMIFS('Reg Energia'!$L$7:$L$74,'Reg Energia'!$C$7:$C$74,$C17,'Reg Energia'!$D$7:$D$74,$D17,'Reg Energia'!$E$7:$E$74,"Brent")</x:f>
        <x:v>28.64070111278911</x:v>
      </x:c>
      <x:c r="H17" s="81" t="n">
        <x:f>SUMIFS('Reg Energia'!$O$7:$O$74,'Reg Energia'!$C$7:$C$74,$C17,'Reg Energia'!$D$7:$D$74,$D17,'Reg Energia'!$E$7:$E$74,"Brent")</x:f>
        <x:v>0.009223535230559188</x:v>
      </x:c>
      <x:c r="I17" s="81" t="n">
        <x:f>SUMIFS('Reg Energia'!$AF$7:$AF$74,'Reg Energia'!$C$7:$C$74,$C17,'Reg Energia'!$D$7:$D$74,$D17,'Reg Energia'!$E$7:$E$74,"Brent")</x:f>
        <x:v>0.09323032178816604</x:v>
      </x:c>
      <x:c r="J17" s="81" t="n">
        <x:f>SUMIFS('Reg Energia'!$AG$7:$AG$74,'Reg Energia'!$C$7:$C$74,$C17,'Reg Energia'!$D$7:$D$74,$D17,'Reg Energia'!$E$7:$E$74,"Brent")</x:f>
        <x:v>0.05541942761789384</x:v>
      </x:c>
      <x:c r="K17" s="99"/>
      <x:c r="L17" s="99"/>
      <x:c r="M17" s="99"/>
      <x:c r="N17" s="99"/>
      <x:c r="O17" s="99"/>
    </x:row>
    <x:row r="18">
      <x:c r="C18" s="6" t="str">
        <x:v>Ex-Petrobras dynamic</x:v>
      </x:c>
      <x:c r="D18" s="6" t="str">
        <x:v>primary</x:v>
      </x:c>
      <x:c r="E18" s="91" t="n">
        <x:f>SUMIFS('Reg Energia'!$H$7:$H$74,'Reg Energia'!$C$7:$C$74,$C18,'Reg Energia'!$D$7:$D$74,$D18,'Reg Energia'!$E$7:$E$74,"Brent")</x:f>
        <x:v>94</x:v>
      </x:c>
      <x:c r="F18" s="81" t="n">
        <x:f>SUMIFS('Reg Energia'!$I$7:$I$74,'Reg Energia'!$C$7:$C$74,$C18,'Reg Energia'!$D$7:$D$74,$D18,'Reg Energia'!$E$7:$E$74,"Brent")</x:f>
        <x:v>0.25129209514595907</x:v>
      </x:c>
      <x:c r="G18" s="81" t="n">
        <x:f>SUMIFS('Reg Energia'!$L$7:$L$74,'Reg Energia'!$C$7:$C$74,$C18,'Reg Energia'!$D$7:$D$74,$D18,'Reg Energia'!$E$7:$E$74,"Brent")</x:f>
        <x:v>1.6901848285847043</x:v>
      </x:c>
      <x:c r="H18" s="81" t="n">
        <x:f>SUMIFS('Reg Energia'!$O$7:$O$74,'Reg Energia'!$C$7:$C$74,$C18,'Reg Energia'!$D$7:$D$74,$D18,'Reg Energia'!$E$7:$E$74,"Brent")</x:f>
        <x:v>0.7489669184012493</x:v>
      </x:c>
      <x:c r="I18" s="81" t="n">
        <x:f>SUMIFS('Reg Energia'!$AF$7:$AF$74,'Reg Energia'!$C$7:$C$74,$C18,'Reg Energia'!$D$7:$D$74,$D18,'Reg Energia'!$E$7:$E$74,"Brent")</x:f>
        <x:v>0.5777489650012007</x:v>
      </x:c>
      <x:c r="J18" s="81" t="n">
        <x:f>SUMIFS('Reg Energia'!$AG$7:$AG$74,'Reg Energia'!$C$7:$C$74,$C18,'Reg Energia'!$D$7:$D$74,$D18,'Reg Energia'!$E$7:$E$74,"Brent")</x:f>
        <x:v>0.3972832395236488</x:v>
      </x:c>
      <x:c r="K18" s="99"/>
      <x:c r="L18" s="99"/>
      <x:c r="M18" s="99"/>
      <x:c r="N18" s="99"/>
      <x:c r="O18" s="99"/>
    </x:row>
    <x:row r="19">
      <x:c r="C19" s="6" t="str">
        <x:v>Energy reported</x:v>
      </x:c>
      <x:c r="D19" s="6" t="str">
        <x:v>audit_clean</x:v>
      </x:c>
      <x:c r="E19" s="91" t="n">
        <x:f>SUMIFS('Reg Energia'!$H$7:$H$74,'Reg Energia'!$C$7:$C$74,$C19,'Reg Energia'!$D$7:$D$74,$D19,'Reg Energia'!$E$7:$E$74,"Brent")</x:f>
        <x:v>151</x:v>
      </x:c>
      <x:c r="F19" s="81" t="n">
        <x:f>SUMIFS('Reg Energia'!$I$7:$I$74,'Reg Energia'!$C$7:$C$74,$C19,'Reg Energia'!$D$7:$D$74,$D19,'Reg Energia'!$E$7:$E$74,"Brent")</x:f>
        <x:v>0.19145125489323378</x:v>
      </x:c>
      <x:c r="G19" s="81" t="n">
        <x:f>SUMIFS('Reg Energia'!$L$7:$L$74,'Reg Energia'!$C$7:$C$74,$C19,'Reg Energia'!$D$7:$D$74,$D19,'Reg Energia'!$E$7:$E$74,"Brent")</x:f>
        <x:v>9.4575230414712</x:v>
      </x:c>
      <x:c r="H19" s="81" t="n">
        <x:f>SUMIFS('Reg Energia'!$O$7:$O$74,'Reg Energia'!$C$7:$C$74,$C19,'Reg Energia'!$D$7:$D$74,$D19,'Reg Energia'!$E$7:$E$74,"Brent")</x:f>
        <x:v>0.024029414824056294</x:v>
      </x:c>
      <x:c r="I19" s="81" t="n">
        <x:f>SUMIFS('Reg Energia'!$AF$7:$AF$74,'Reg Energia'!$C$7:$C$74,$C19,'Reg Energia'!$D$7:$D$74,$D19,'Reg Energia'!$E$7:$E$74,"Brent")</x:f>
        <x:v>0.22777940550810882</x:v>
      </x:c>
      <x:c r="J19" s="81" t="n">
        <x:f>SUMIFS('Reg Energia'!$AG$7:$AG$74,'Reg Energia'!$C$7:$C$74,$C19,'Reg Energia'!$D$7:$D$74,$D19,'Reg Energia'!$E$7:$E$74,"Brent")</x:f>
        <x:v>0.22369535676353444</x:v>
      </x:c>
      <x:c r="K19" s="99"/>
      <x:c r="L19" s="99"/>
      <x:c r="M19" s="99"/>
      <x:c r="N19" s="99"/>
      <x:c r="O19" s="99"/>
    </x:row>
    <x:row r="20">
      <x:c r="C20" s="6" t="str">
        <x:v>Petrobras</x:v>
      </x:c>
      <x:c r="D20" s="6" t="str">
        <x:v>audit_clean</x:v>
      </x:c>
      <x:c r="E20" s="91" t="n">
        <x:f>SUMIFS('Reg Energia'!$H$7:$H$74,'Reg Energia'!$C$7:$C$74,$C20,'Reg Energia'!$D$7:$D$74,$D20,'Reg Energia'!$E$7:$E$74,"Brent")</x:f>
        <x:v>151</x:v>
      </x:c>
      <x:c r="F20" s="81" t="n">
        <x:f>SUMIFS('Reg Energia'!$I$7:$I$74,'Reg Energia'!$C$7:$C$74,$C20,'Reg Energia'!$D$7:$D$74,$D20,'Reg Energia'!$E$7:$E$74,"Brent")</x:f>
        <x:v>0.2161191638951493</x:v>
      </x:c>
      <x:c r="G20" s="81" t="n">
        <x:f>SUMIFS('Reg Energia'!$L$7:$L$74,'Reg Energia'!$C$7:$C$74,$C20,'Reg Energia'!$D$7:$D$74,$D20,'Reg Energia'!$E$7:$E$74,"Brent")</x:f>
        <x:v>9.631872961534452</x:v>
      </x:c>
      <x:c r="H20" s="81" t="n">
        <x:f>SUMIFS('Reg Energia'!$O$7:$O$74,'Reg Energia'!$C$7:$C$74,$C20,'Reg Energia'!$D$7:$D$74,$D20,'Reg Energia'!$E$7:$E$74,"Brent")</x:f>
        <x:v>0.019961184608590088</x:v>
      </x:c>
      <x:c r="I20" s="81" t="n">
        <x:f>SUMIFS('Reg Energia'!$AF$7:$AF$74,'Reg Energia'!$C$7:$C$74,$C20,'Reg Energia'!$D$7:$D$74,$D20,'Reg Energia'!$E$7:$E$74,"Brent")</x:f>
        <x:v>0.2289036893036247</x:v>
      </x:c>
      <x:c r="J20" s="81" t="n">
        <x:f>SUMIFS('Reg Energia'!$AG$7:$AG$74,'Reg Energia'!$C$7:$C$74,$C20,'Reg Energia'!$D$7:$D$74,$D20,'Reg Energia'!$E$7:$E$74,"Brent")</x:f>
        <x:v>0.2289442663454955</x:v>
      </x:c>
      <x:c r="K20" s="99"/>
      <x:c r="L20" s="99"/>
      <x:c r="M20" s="99"/>
      <x:c r="N20" s="99"/>
      <x:c r="O20" s="99"/>
    </x:row>
    <x:row r="21">
      <x:c r="C21" s="6" t="str">
        <x:v>Energy reported</x:v>
      </x:c>
      <x:c r="D21" s="6" t="str">
        <x:v>since_2022_ex_seams</x:v>
      </x:c>
      <x:c r="E21" s="91" t="n">
        <x:f>SUMIFS('Reg Energia'!$H$7:$H$74,'Reg Energia'!$C$7:$C$74,$C21,'Reg Energia'!$D$7:$D$74,$D21,'Reg Energia'!$E$7:$E$74,"Brent")</x:f>
        <x:v>52</x:v>
      </x:c>
      <x:c r="F21" s="81" t="n">
        <x:f>SUMIFS('Reg Energia'!$I$7:$I$74,'Reg Energia'!$C$7:$C$74,$C21,'Reg Energia'!$D$7:$D$74,$D21,'Reg Energia'!$E$7:$E$74,"Brent")</x:f>
        <x:v>0.34905857436165266</x:v>
      </x:c>
      <x:c r="G21" s="81" t="n">
        <x:f>SUMIFS('Reg Energia'!$L$7:$L$74,'Reg Energia'!$C$7:$C$74,$C21,'Reg Energia'!$D$7:$D$74,$D21,'Reg Energia'!$E$7:$E$74,"Brent")</x:f>
        <x:v>0.6205610729161011</x:v>
      </x:c>
      <x:c r="H21" s="81" t="n">
        <x:f>SUMIFS('Reg Energia'!$O$7:$O$74,'Reg Energia'!$C$7:$C$74,$C21,'Reg Energia'!$D$7:$D$74,$D21,'Reg Energia'!$E$7:$E$74,"Brent")</x:f>
        <x:v>0.8961556250654699</x:v>
      </x:c>
      <x:c r="I21" s="81" t="n">
        <x:f>SUMIFS('Reg Energia'!$AF$7:$AF$74,'Reg Energia'!$C$7:$C$74,$C21,'Reg Energia'!$D$7:$D$74,$D21,'Reg Energia'!$E$7:$E$74,"Brent")</x:f>
        <x:v>0.4109014436609413</x:v>
      </x:c>
      <x:c r="J21" s="81" t="n">
        <x:f>SUMIFS('Reg Energia'!$AG$7:$AG$74,'Reg Energia'!$C$7:$C$74,$C21,'Reg Energia'!$D$7:$D$74,$D21,'Reg Energia'!$E$7:$E$74,"Brent")</x:f>
        <x:v>0.5288755044502611</x:v>
      </x:c>
      <x:c r="K21" s="99"/>
      <x:c r="L21" s="99"/>
      <x:c r="M21" s="99"/>
      <x:c r="N21" s="99"/>
      <x:c r="O21" s="99"/>
    </x:row>
    <x:row r="22">
      <x:c r="C22" s="6" t="str">
        <x:v>Petrobras</x:v>
      </x:c>
      <x:c r="D22" s="6" t="str">
        <x:v>since_2022_ex_seams</x:v>
      </x:c>
      <x:c r="E22" s="91" t="n">
        <x:f>SUMIFS('Reg Energia'!$H$7:$H$74,'Reg Energia'!$C$7:$C$74,$C22,'Reg Energia'!$D$7:$D$74,$D22,'Reg Energia'!$E$7:$E$74,"Brent")</x:f>
        <x:v>52</x:v>
      </x:c>
      <x:c r="F22" s="81" t="n">
        <x:f>SUMIFS('Reg Energia'!$I$7:$I$74,'Reg Energia'!$C$7:$C$74,$C22,'Reg Energia'!$D$7:$D$74,$D22,'Reg Energia'!$E$7:$E$74,"Brent")</x:f>
        <x:v>0.3530668149562336</x:v>
      </x:c>
      <x:c r="G22" s="81" t="n">
        <x:f>SUMIFS('Reg Energia'!$L$7:$L$74,'Reg Energia'!$C$7:$C$74,$C22,'Reg Energia'!$D$7:$D$74,$D22,'Reg Energia'!$E$7:$E$74,"Brent")</x:f>
        <x:v>0.4705919768842717</x:v>
      </x:c>
      <x:c r="H22" s="81" t="n">
        <x:f>SUMIFS('Reg Energia'!$O$7:$O$74,'Reg Energia'!$C$7:$C$74,$C22,'Reg Energia'!$D$7:$D$74,$D22,'Reg Energia'!$E$7:$E$74,"Brent")</x:f>
        <x:v>0.9191363779593569</x:v>
      </x:c>
      <x:c r="I22" s="81" t="n">
        <x:f>SUMIFS('Reg Energia'!$AF$7:$AF$74,'Reg Energia'!$C$7:$C$74,$C22,'Reg Energia'!$D$7:$D$74,$D22,'Reg Energia'!$E$7:$E$74,"Brent")</x:f>
        <x:v>0.40124466486328425</x:v>
      </x:c>
      <x:c r="J22" s="81" t="n">
        <x:f>SUMIFS('Reg Energia'!$AG$7:$AG$74,'Reg Energia'!$C$7:$C$74,$C22,'Reg Energia'!$D$7:$D$74,$D22,'Reg Energia'!$E$7:$E$74,"Brent")</x:f>
        <x:v>0.5239148306409275</x:v>
      </x:c>
      <x:c r="K22" s="99"/>
      <x:c r="L22" s="99"/>
      <x:c r="M22" s="99"/>
      <x:c r="N22" s="99"/>
      <x:c r="O22" s="99"/>
    </x:row>
    <x:row r="23">
      <x:c r="C23" s="99"/>
      <x:c r="D23" s="99"/>
      <x:c r="E23" s="99"/>
      <x:c r="F23" s="99"/>
      <x:c r="G23" s="99"/>
      <x:c r="H23" s="99"/>
      <x:c r="I23" s="99"/>
      <x:c r="J23" s="99"/>
      <x:c r="K23" s="99"/>
      <x:c r="L23" s="99"/>
      <x:c r="M23" s="99"/>
      <x:c r="N23" s="99"/>
      <x:c r="O23" s="99"/>
    </x:row>
    <x:row r="24">
      <x:c r="C24" s="94" t="str">
        <x:v>Conclusão</x:v>
      </x:c>
      <x:c r="D24" s="94" t="str">
        <x:v>A sensibilidade de Energia ao Focus no histórico vem quase integralmente de Petrobras. Desde 2022, Focus deixa de ser significativo, enquanto Brent ganha força explicativa para Energia e Petrobras.</x:v>
      </x:c>
      <x:c r="E24" s="94"/>
      <x:c r="F24" s="94"/>
      <x:c r="G24" s="94"/>
      <x:c r="H24" s="94"/>
      <x:c r="I24" s="94"/>
      <x:c r="J24" s="94"/>
      <x:c r="K24" s="99"/>
      <x:c r="L24" s="99"/>
      <x:c r="M24" s="99"/>
      <x:c r="N24" s="99"/>
      <x:c r="O24" s="99"/>
    </x:row>
    <x:row r="25">
      <x:c r="C25" s="94"/>
      <x:c r="D25" s="94"/>
      <x:c r="E25" s="94"/>
      <x:c r="F25" s="94"/>
      <x:c r="G25" s="94"/>
      <x:c r="H25" s="94"/>
      <x:c r="I25" s="94"/>
      <x:c r="J25" s="94"/>
      <x:c r="K25" s="99"/>
      <x:c r="L25" s="99"/>
      <x:c r="M25" s="99"/>
      <x:c r="N25" s="99"/>
      <x:c r="O25" s="99"/>
    </x:row>
    <x:row r="26">
      <x:c r="C26" s="94"/>
      <x:c r="D26" s="94"/>
      <x:c r="E26" s="94"/>
      <x:c r="F26" s="94"/>
      <x:c r="G26" s="94"/>
      <x:c r="H26" s="94"/>
      <x:c r="I26" s="94"/>
      <x:c r="J26" s="94"/>
      <x:c r="K26" s="99"/>
      <x:c r="L26" s="99"/>
      <x:c r="M26" s="99"/>
      <x:c r="N26" s="99"/>
      <x:c r="O26" s="99"/>
    </x:row>
    <x:row r="27">
      <x:c r="C27" s="94"/>
      <x:c r="D27" s="94"/>
      <x:c r="E27" s="94"/>
      <x:c r="F27" s="94"/>
      <x:c r="G27" s="94"/>
      <x:c r="H27" s="94"/>
      <x:c r="I27" s="94"/>
      <x:c r="J27" s="94"/>
      <x:c r="K27" s="99"/>
      <x:c r="L27" s="99"/>
      <x:c r="M27" s="99"/>
      <x:c r="N27" s="99"/>
      <x:c r="O27" s="99"/>
    </x:row>
  </x:sheetData>
  <x:mergeCells>
    <x:mergeCell ref="C24:C27"/>
    <x:mergeCell ref="D24:J27"/>
  </x:mergeCells>
  <x:conditionalFormatting sqref="H16:H22">
    <x:cfRule type="cellIs" dxfId="4" priority="1" operator="lessThan">
      <x:formula>0.1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3" hidden="0" customWidth="1"/>
    <x:col min="5" max="5" width="2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2">
      <x:c r="C2" s="2" t="str">
        <x:v>Earnings 12 meses forward por setor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</x:row>
    <x:row r="3">
      <x:c r="C3" s="4" t="str">
        <x:v>BEst Net Income agregado, em BRL. Frequência mensal, janeiro de 2008 a setembro de 2026.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  <x:c r="P5" s="99"/>
      <x:c r="Q5" s="99"/>
      <x:c r="R5" s="99"/>
    </x:row>
    <x:row r="6" ht="36" customHeight="1">
      <x:c r="C6" s="11" t="str">
        <x:v>month</x:v>
      </x:c>
      <x:c r="D6" s="11" t="str">
        <x:v>date</x:v>
      </x:c>
      <x:c r="E6" s="11" t="str">
        <x:v>source_file</x:v>
      </x:c>
      <x:c r="F6" s="11" t="str">
        <x:v>IBOV</x:v>
      </x:c>
      <x:c r="G6" s="11" t="str">
        <x:v>Communication Services</x:v>
      </x:c>
      <x:c r="H6" s="11" t="str">
        <x:v>Consumer Discretionary</x:v>
      </x:c>
      <x:c r="I6" s="11" t="str">
        <x:v>Consumer Staples</x:v>
      </x:c>
      <x:c r="J6" s="11" t="str">
        <x:v>Energy</x:v>
      </x:c>
      <x:c r="K6" s="11" t="str">
        <x:v>Financials</x:v>
      </x:c>
      <x:c r="L6" s="11" t="str">
        <x:v>Health Care</x:v>
      </x:c>
      <x:c r="M6" s="11" t="str">
        <x:v>Industrials</x:v>
      </x:c>
      <x:c r="N6" s="11" t="str">
        <x:v>Information Technology</x:v>
      </x:c>
      <x:c r="O6" s="11" t="str">
        <x:v>Materials</x:v>
      </x:c>
      <x:c r="P6" s="11" t="str">
        <x:v>Real Estate</x:v>
      </x:c>
      <x:c r="Q6" s="11" t="str">
        <x:v>Utilities</x:v>
      </x:c>
      <x:c r="R6" s="11" t="str">
        <x:v>Not Classified</x:v>
      </x:c>
    </x:row>
    <x:row r="7">
      <x:c r="C7" s="18" t="n">
        <x:v>39448</x:v>
      </x:c>
      <x:c r="D7" s="18" t="n">
        <x:v>39478</x:v>
      </x:c>
      <x:c r="E7" s="24" t="str">
        <x:v>grid_20qvjmd3.xlsx</x:v>
      </x:c>
      <x:c r="F7" s="27" t="n">
        <x:v>9959.8780653506</x:v>
      </x:c>
      <x:c r="G7" s="27" t="n">
        <x:v>730.2101950858</x:v>
      </x:c>
      <x:c r="H7" s="27" t="n">
        <x:v>310.7799045995</x:v>
      </x:c>
      <x:c r="I7" s="27" t="n">
        <x:v>1538.5401598561</x:v>
      </x:c>
      <x:c r="J7" s="27" t="n">
        <x:v>29432.8344127123</x:v>
      </x:c>
      <x:c r="K7" s="27" t="n">
        <x:v>7614.5858066643</x:v>
      </x:c>
      <x:c r="L7" s="27"/>
      <x:c r="M7" s="27" t="n">
        <x:v>659.9120393811</x:v>
      </x:c>
      <x:c r="N7" s="27"/>
      <x:c r="O7" s="27" t="n">
        <x:v>13618.1637062303</x:v>
      </x:c>
      <x:c r="P7" s="27" t="n">
        <x:v>0</x:v>
      </x:c>
      <x:c r="Q7" s="27" t="n">
        <x:v>1217.2182465673</x:v>
      </x:c>
      <x:c r="R7" s="27" t="n">
        <x:v>1487.4809784656</x:v>
      </x:c>
    </x:row>
    <x:row r="8">
      <x:c r="C8" s="19" t="n">
        <x:v>39479</x:v>
      </x:c>
      <x:c r="D8" s="19" t="n">
        <x:v>39507</x:v>
      </x:c>
      <x:c r="E8" s="25" t="str">
        <x:v>grid_20qvjmd3.xlsx</x:v>
      </x:c>
      <x:c r="F8" s="28" t="n">
        <x:v>10289.6073694319</x:v>
      </x:c>
      <x:c r="G8" s="28" t="n">
        <x:v>799.9429246512</x:v>
      </x:c>
      <x:c r="H8" s="28" t="n">
        <x:v>322.5315564796</x:v>
      </x:c>
      <x:c r="I8" s="28" t="n">
        <x:v>1573.9042985474</x:v>
      </x:c>
      <x:c r="J8" s="28" t="n">
        <x:v>29645.2019747068</x:v>
      </x:c>
      <x:c r="K8" s="28" t="n">
        <x:v>7762.6190531529</x:v>
      </x:c>
      <x:c r="L8" s="28"/>
      <x:c r="M8" s="28" t="n">
        <x:v>623.1710746471</x:v>
      </x:c>
      <x:c r="N8" s="28"/>
      <x:c r="O8" s="28" t="n">
        <x:v>14526.6177522189</x:v>
      </x:c>
      <x:c r="P8" s="28" t="n">
        <x:v>0</x:v>
      </x:c>
      <x:c r="Q8" s="28" t="n">
        <x:v>1242.4284908891</x:v>
      </x:c>
      <x:c r="R8" s="28" t="n">
        <x:v>1474.0468882311</x:v>
      </x:c>
    </x:row>
    <x:row r="9">
      <x:c r="C9" s="19" t="n">
        <x:v>39508</x:v>
      </x:c>
      <x:c r="D9" s="19" t="n">
        <x:v>39538</x:v>
      </x:c>
      <x:c r="E9" s="25" t="str">
        <x:v>grid_20qvjmd3.xlsx</x:v>
      </x:c>
      <x:c r="F9" s="28" t="n">
        <x:v>10303.8674847883</x:v>
      </x:c>
      <x:c r="G9" s="28" t="n">
        <x:v>747.0940930993</x:v>
      </x:c>
      <x:c r="H9" s="28" t="n">
        <x:v>295.1303437993</x:v>
      </x:c>
      <x:c r="I9" s="28" t="n">
        <x:v>1515.5027737452</x:v>
      </x:c>
      <x:c r="J9" s="28" t="n">
        <x:v>30769.5536604932</x:v>
      </x:c>
      <x:c r="K9" s="28" t="n">
        <x:v>7843.4509066812</x:v>
      </x:c>
      <x:c r="L9" s="28"/>
      <x:c r="M9" s="28" t="n">
        <x:v>615.3892125718</x:v>
      </x:c>
      <x:c r="N9" s="28"/>
      <x:c r="O9" s="28" t="n">
        <x:v>14775.0506200506</x:v>
      </x:c>
      <x:c r="P9" s="28" t="n">
        <x:v>0</x:v>
      </x:c>
      <x:c r="Q9" s="28" t="n">
        <x:v>1312.0471238373</x:v>
      </x:c>
      <x:c r="R9" s="28" t="n">
        <x:v>1479.4427753401</x:v>
      </x:c>
    </x:row>
    <x:row r="10">
      <x:c r="C10" s="19" t="n">
        <x:v>39539</x:v>
      </x:c>
      <x:c r="D10" s="19" t="n">
        <x:v>39568</x:v>
      </x:c>
      <x:c r="E10" s="25" t="str">
        <x:v>grid_20qvjmd3.xlsx</x:v>
      </x:c>
      <x:c r="F10" s="28" t="n">
        <x:v>10682.5227605994</x:v>
      </x:c>
      <x:c r="G10" s="28" t="n">
        <x:v>711.0441969683</x:v>
      </x:c>
      <x:c r="H10" s="28" t="n">
        <x:v>300.9140290716</x:v>
      </x:c>
      <x:c r="I10" s="28" t="n">
        <x:v>1451.0768515842</x:v>
      </x:c>
      <x:c r="J10" s="28" t="n">
        <x:v>30957.4695837808</x:v>
      </x:c>
      <x:c r="K10" s="28" t="n">
        <x:v>7909.4795000898</x:v>
      </x:c>
      <x:c r="L10" s="28"/>
      <x:c r="M10" s="28" t="n">
        <x:v>601.7508929039</x:v>
      </x:c>
      <x:c r="N10" s="28"/>
      <x:c r="O10" s="28" t="n">
        <x:v>15217.4026277273</x:v>
      </x:c>
      <x:c r="P10" s="28" t="n">
        <x:v>0</x:v>
      </x:c>
      <x:c r="Q10" s="28" t="n">
        <x:v>1381.0617447563</x:v>
      </x:c>
      <x:c r="R10" s="28" t="n">
        <x:v>1445.746031554</x:v>
      </x:c>
    </x:row>
    <x:row r="11">
      <x:c r="C11" s="19" t="n">
        <x:v>39569</x:v>
      </x:c>
      <x:c r="D11" s="19" t="n">
        <x:v>39598</x:v>
      </x:c>
      <x:c r="E11" s="25" t="str">
        <x:v>grid_20qvjmd3.xlsx</x:v>
      </x:c>
      <x:c r="F11" s="28" t="n">
        <x:v>12096.372419705</x:v>
      </x:c>
      <x:c r="G11" s="28" t="n">
        <x:v>728.0505710438</x:v>
      </x:c>
      <x:c r="H11" s="28" t="n">
        <x:v>316.8836079574</x:v>
      </x:c>
      <x:c r="I11" s="28" t="n">
        <x:v>1504.671520933</x:v>
      </x:c>
      <x:c r="J11" s="28" t="n">
        <x:v>32324.6684019726</x:v>
      </x:c>
      <x:c r="K11" s="28" t="n">
        <x:v>7871.6928012216</x:v>
      </x:c>
      <x:c r="L11" s="28"/>
      <x:c r="M11" s="28" t="n">
        <x:v>560.6545943668</x:v>
      </x:c>
      <x:c r="N11" s="28"/>
      <x:c r="O11" s="28" t="n">
        <x:v>16212.1084286089</x:v>
      </x:c>
      <x:c r="P11" s="28" t="n">
        <x:v>15.0794520548</x:v>
      </x:c>
      <x:c r="Q11" s="28" t="n">
        <x:v>1352.8193680143</x:v>
      </x:c>
      <x:c r="R11" s="28" t="n">
        <x:v>1468.2037244533</x:v>
      </x:c>
    </x:row>
    <x:row r="12">
      <x:c r="C12" s="19" t="n">
        <x:v>39600</x:v>
      </x:c>
      <x:c r="D12" s="19" t="n">
        <x:v>39629</x:v>
      </x:c>
      <x:c r="E12" s="25" t="str">
        <x:v>grid_20qvjmd3.xlsx</x:v>
      </x:c>
      <x:c r="F12" s="28" t="n">
        <x:v>12518.4253993854</x:v>
      </x:c>
      <x:c r="G12" s="28" t="n">
        <x:v>698.8360388548</x:v>
      </x:c>
      <x:c r="H12" s="28" t="n">
        <x:v>312.2965781796</x:v>
      </x:c>
      <x:c r="I12" s="28" t="n">
        <x:v>1526.8364154997</x:v>
      </x:c>
      <x:c r="J12" s="28" t="n">
        <x:v>32989.7392997699</x:v>
      </x:c>
      <x:c r="K12" s="28" t="n">
        <x:v>7885.1989513663</x:v>
      </x:c>
      <x:c r="L12" s="28"/>
      <x:c r="M12" s="28" t="n">
        <x:v>550.0993734797</x:v>
      </x:c>
      <x:c r="N12" s="28"/>
      <x:c r="O12" s="28" t="n">
        <x:v>16313.3584253175</x:v>
      </x:c>
      <x:c r="P12" s="28" t="n">
        <x:v>32.8876712329</x:v>
      </x:c>
      <x:c r="Q12" s="28" t="n">
        <x:v>1312.6731020642</x:v>
      </x:c>
      <x:c r="R12" s="28" t="n">
        <x:v>1429.9286527747</x:v>
      </x:c>
    </x:row>
    <x:row r="13">
      <x:c r="C13" s="19" t="n">
        <x:v>39630</x:v>
      </x:c>
      <x:c r="D13" s="19" t="n">
        <x:v>39660</x:v>
      </x:c>
      <x:c r="E13" s="25" t="str">
        <x:v>grid_20qvjmd3.xlsx</x:v>
      </x:c>
      <x:c r="F13" s="28" t="n">
        <x:v>11614.2108805641</x:v>
      </x:c>
      <x:c r="G13" s="28" t="n">
        <x:v>737.0660817322</x:v>
      </x:c>
      <x:c r="H13" s="28" t="n">
        <x:v>294.206674022</x:v>
      </x:c>
      <x:c r="I13" s="28" t="n">
        <x:v>1419.8972573218</x:v>
      </x:c>
      <x:c r="J13" s="28" t="n">
        <x:v>34314.9850455671</x:v>
      </x:c>
      <x:c r="K13" s="28" t="n">
        <x:v>7863.2461458777</x:v>
      </x:c>
      <x:c r="L13" s="28"/>
      <x:c r="M13" s="28" t="n">
        <x:v>526.7919649769</x:v>
      </x:c>
      <x:c r="N13" s="28"/>
      <x:c r="O13" s="28" t="n">
        <x:v>16167.3167289624</x:v>
      </x:c>
      <x:c r="P13" s="28" t="n">
        <x:v>33.1424657534</x:v>
      </x:c>
      <x:c r="Q13" s="28" t="n">
        <x:v>1358.7448689128</x:v>
      </x:c>
      <x:c r="R13" s="28" t="n">
        <x:v>1440.5456344461</x:v>
      </x:c>
    </x:row>
    <x:row r="14">
      <x:c r="C14" s="19" t="n">
        <x:v>39661</x:v>
      </x:c>
      <x:c r="D14" s="19" t="n">
        <x:v>39689</x:v>
      </x:c>
      <x:c r="E14" s="25" t="str">
        <x:v>grid_20qvjmd3.xlsx</x:v>
      </x:c>
      <x:c r="F14" s="28" t="n">
        <x:v>12104.0246422624</x:v>
      </x:c>
      <x:c r="G14" s="28" t="n">
        <x:v>704.5649639506</x:v>
      </x:c>
      <x:c r="H14" s="28" t="n">
        <x:v>302.1259838042</x:v>
      </x:c>
      <x:c r="I14" s="28" t="n">
        <x:v>1507.0539463873</x:v>
      </x:c>
      <x:c r="J14" s="28" t="n">
        <x:v>34896.3779850521</x:v>
      </x:c>
      <x:c r="K14" s="28" t="n">
        <x:v>7875.0501176893</x:v>
      </x:c>
      <x:c r="L14" s="28"/>
      <x:c r="M14" s="28" t="n">
        <x:v>562.0758046251</x:v>
      </x:c>
      <x:c r="N14" s="28"/>
      <x:c r="O14" s="28" t="n">
        <x:v>17087.9530436288</x:v>
      </x:c>
      <x:c r="P14" s="28" t="n">
        <x:v>33.3808219178</x:v>
      </x:c>
      <x:c r="Q14" s="28" t="n">
        <x:v>1408.5326552152</x:v>
      </x:c>
      <x:c r="R14" s="28" t="n">
        <x:v>1464.0214502182</x:v>
      </x:c>
    </x:row>
    <x:row r="15">
      <x:c r="C15" s="19" t="n">
        <x:v>39692</x:v>
      </x:c>
      <x:c r="D15" s="19" t="n">
        <x:v>39721</x:v>
      </x:c>
      <x:c r="E15" s="25" t="str">
        <x:v>grid_20qvjmd3.xlsx</x:v>
      </x:c>
      <x:c r="F15" s="28" t="n">
        <x:v>14266.9874911289</x:v>
      </x:c>
      <x:c r="G15" s="28" t="n">
        <x:v>648.7169076389</x:v>
      </x:c>
      <x:c r="H15" s="28" t="n">
        <x:v>363.4855156733</x:v>
      </x:c>
      <x:c r="I15" s="28" t="n">
        <x:v>1740.5418340478</x:v>
      </x:c>
      <x:c r="J15" s="28" t="n">
        <x:v>36268.298789874</x:v>
      </x:c>
      <x:c r="K15" s="28" t="n">
        <x:v>6828.5199819498</x:v>
      </x:c>
      <x:c r="L15" s="28"/>
      <x:c r="M15" s="28" t="n">
        <x:v>570.9846148152</x:v>
      </x:c>
      <x:c r="N15" s="28"/>
      <x:c r="O15" s="28" t="n">
        <x:v>19240.0075325486</x:v>
      </x:c>
      <x:c r="P15" s="28"/>
      <x:c r="Q15" s="28" t="n">
        <x:v>1547.7115820521</x:v>
      </x:c>
      <x:c r="R15" s="28" t="n">
        <x:v>1549.4412992069</x:v>
      </x:c>
    </x:row>
    <x:row r="16">
      <x:c r="C16" s="19" t="n">
        <x:v>39722</x:v>
      </x:c>
      <x:c r="D16" s="19" t="n">
        <x:v>39752</x:v>
      </x:c>
      <x:c r="E16" s="25" t="str">
        <x:v>grid_20qvjmd3.xlsx</x:v>
      </x:c>
      <x:c r="F16" s="28" t="n">
        <x:v>13115.5788441607</x:v>
      </x:c>
      <x:c r="G16" s="28" t="n">
        <x:v>651.810286862</x:v>
      </x:c>
      <x:c r="H16" s="28" t="n">
        <x:v>372.634417409</x:v>
      </x:c>
      <x:c r="I16" s="28" t="n">
        <x:v>1602.335173261</x:v>
      </x:c>
      <x:c r="J16" s="28" t="n">
        <x:v>34382.2515326247</x:v>
      </x:c>
      <x:c r="K16" s="28" t="n">
        <x:v>6519.0678303595</x:v>
      </x:c>
      <x:c r="L16" s="28"/>
      <x:c r="M16" s="28" t="n">
        <x:v>615.4793387402</x:v>
      </x:c>
      <x:c r="N16" s="28"/>
      <x:c r="O16" s="28" t="n">
        <x:v>19187.9287140986</x:v>
      </x:c>
      <x:c r="P16" s="28"/>
      <x:c r="Q16" s="28" t="n">
        <x:v>1649.2130933475</x:v>
      </x:c>
      <x:c r="R16" s="28" t="n">
        <x:v>1504.1739236317</x:v>
      </x:c>
    </x:row>
    <x:row r="17">
      <x:c r="C17" s="19" t="n">
        <x:v>39753</x:v>
      </x:c>
      <x:c r="D17" s="19" t="n">
        <x:v>39780</x:v>
      </x:c>
      <x:c r="E17" s="25" t="str">
        <x:v>grid_20qvjmd3.xlsx</x:v>
      </x:c>
      <x:c r="F17" s="28" t="n">
        <x:v>11850.1015847353</x:v>
      </x:c>
      <x:c r="G17" s="28" t="n">
        <x:v>607.4941604664</x:v>
      </x:c>
      <x:c r="H17" s="28" t="n">
        <x:v>374.8486803421</x:v>
      </x:c>
      <x:c r="I17" s="28" t="n">
        <x:v>1660.5916094691</x:v>
      </x:c>
      <x:c r="J17" s="28" t="n">
        <x:v>33491.210374663</x:v>
      </x:c>
      <x:c r="K17" s="28" t="n">
        <x:v>6650.3507055996</x:v>
      </x:c>
      <x:c r="L17" s="28"/>
      <x:c r="M17" s="28" t="n">
        <x:v>564.2881046349</x:v>
      </x:c>
      <x:c r="N17" s="28"/>
      <x:c r="O17" s="28" t="n">
        <x:v>18370.2678918315</x:v>
      </x:c>
      <x:c r="P17" s="28"/>
      <x:c r="Q17" s="28" t="n">
        <x:v>1679.6568121983</x:v>
      </x:c>
      <x:c r="R17" s="28" t="n">
        <x:v>1435.6144774864</x:v>
      </x:c>
    </x:row>
    <x:row r="18">
      <x:c r="C18" s="19" t="n">
        <x:v>39783</x:v>
      </x:c>
      <x:c r="D18" s="19" t="n">
        <x:v>39813</x:v>
      </x:c>
      <x:c r="E18" s="25" t="str">
        <x:v>grid_20qvjmd3.xlsx</x:v>
      </x:c>
      <x:c r="F18" s="28" t="n">
        <x:v>11084.4648793578</x:v>
      </x:c>
      <x:c r="G18" s="28" t="n">
        <x:v>670.9664017456</x:v>
      </x:c>
      <x:c r="H18" s="28" t="n">
        <x:v>379.8318535739</x:v>
      </x:c>
      <x:c r="I18" s="28" t="n">
        <x:v>1698.7054993786</x:v>
      </x:c>
      <x:c r="J18" s="28" t="n">
        <x:v>29096.400896</x:v>
      </x:c>
      <x:c r="K18" s="28" t="n">
        <x:v>6484.0951073584</x:v>
      </x:c>
      <x:c r="L18" s="28"/>
      <x:c r="M18" s="28" t="n">
        <x:v>578.3441168105</x:v>
      </x:c>
      <x:c r="N18" s="28"/>
      <x:c r="O18" s="28" t="n">
        <x:v>15653.6763895153</x:v>
      </x:c>
      <x:c r="P18" s="28"/>
      <x:c r="Q18" s="28" t="n">
        <x:v>1771.2051401564</x:v>
      </x:c>
      <x:c r="R18" s="28" t="n">
        <x:v>1351.3938902352</x:v>
      </x:c>
    </x:row>
    <x:row r="19">
      <x:c r="C19" s="19" t="n">
        <x:v>39814</x:v>
      </x:c>
      <x:c r="D19" s="19" t="n">
        <x:v>39843</x:v>
      </x:c>
      <x:c r="E19" s="25" t="str">
        <x:v>grid_20qvjmd3.xlsx</x:v>
      </x:c>
      <x:c r="F19" s="28" t="n">
        <x:v>11033.7390162929</x:v>
      </x:c>
      <x:c r="G19" s="28" t="n">
        <x:v>640.1761199182</x:v>
      </x:c>
      <x:c r="H19" s="28" t="n">
        <x:v>347.016569718</x:v>
      </x:c>
      <x:c r="I19" s="28" t="n">
        <x:v>1563.1346492936</x:v>
      </x:c>
      <x:c r="J19" s="28" t="n">
        <x:v>26792.8816710137</x:v>
      </x:c>
      <x:c r="K19" s="28" t="n">
        <x:v>5406.3233420426</x:v>
      </x:c>
      <x:c r="L19" s="28"/>
      <x:c r="M19" s="28" t="n">
        <x:v>540.5457836361</x:v>
      </x:c>
      <x:c r="N19" s="28"/>
      <x:c r="O19" s="28" t="n">
        <x:v>13243.3520813108</x:v>
      </x:c>
      <x:c r="P19" s="28"/>
      <x:c r="Q19" s="28" t="n">
        <x:v>1779.3233593628</x:v>
      </x:c>
      <x:c r="R19" s="28" t="n">
        <x:v>1135.9492278552</x:v>
      </x:c>
    </x:row>
    <x:row r="20">
      <x:c r="C20" s="19" t="n">
        <x:v>39845</x:v>
      </x:c>
      <x:c r="D20" s="19" t="n">
        <x:v>39871</x:v>
      </x:c>
      <x:c r="E20" s="25" t="str">
        <x:v>grid_20qvjmd3.xlsx</x:v>
      </x:c>
      <x:c r="F20" s="28" t="n">
        <x:v>11190.3574737604</x:v>
      </x:c>
      <x:c r="G20" s="28" t="n">
        <x:v>645.278398119</x:v>
      </x:c>
      <x:c r="H20" s="28" t="n">
        <x:v>328.2065148325</x:v>
      </x:c>
      <x:c r="I20" s="28" t="n">
        <x:v>1504.9584119475</x:v>
      </x:c>
      <x:c r="J20" s="28" t="n">
        <x:v>27042.7876927123</x:v>
      </x:c>
      <x:c r="K20" s="28" t="n">
        <x:v>5467.7978954351</x:v>
      </x:c>
      <x:c r="L20" s="28"/>
      <x:c r="M20" s="28" t="n">
        <x:v>525.4351428682</x:v>
      </x:c>
      <x:c r="N20" s="28"/>
      <x:c r="O20" s="28" t="n">
        <x:v>12737.0257231951</x:v>
      </x:c>
      <x:c r="P20" s="28"/>
      <x:c r="Q20" s="28" t="n">
        <x:v>1765.0098568858</x:v>
      </x:c>
      <x:c r="R20" s="28" t="n">
        <x:v>1192.0434252132</x:v>
      </x:c>
    </x:row>
    <x:row r="21">
      <x:c r="C21" s="19" t="n">
        <x:v>39873</x:v>
      </x:c>
      <x:c r="D21" s="19" t="n">
        <x:v>39903</x:v>
      </x:c>
      <x:c r="E21" s="25" t="str">
        <x:v>grid_20qvjmd3.xlsx</x:v>
      </x:c>
      <x:c r="F21" s="28" t="n">
        <x:v>9959.6274718116</x:v>
      </x:c>
      <x:c r="G21" s="28" t="n">
        <x:v>630.3768017484</x:v>
      </x:c>
      <x:c r="H21" s="28" t="n">
        <x:v>340.8095350619</x:v>
      </x:c>
      <x:c r="I21" s="28" t="n">
        <x:v>1622.1641446852</x:v>
      </x:c>
      <x:c r="J21" s="28" t="n">
        <x:v>24508.1156734247</x:v>
      </x:c>
      <x:c r="K21" s="28" t="n">
        <x:v>5928.7117384491</x:v>
      </x:c>
      <x:c r="L21" s="28"/>
      <x:c r="M21" s="28" t="n">
        <x:v>546.0169707833</x:v>
      </x:c>
      <x:c r="N21" s="28"/>
      <x:c r="O21" s="28" t="n">
        <x:v>9925.1371023446</x:v>
      </x:c>
      <x:c r="P21" s="28"/>
      <x:c r="Q21" s="28" t="n">
        <x:v>1873.3138436703</x:v>
      </x:c>
      <x:c r="R21" s="28" t="n">
        <x:v>820.1045273747</x:v>
      </x:c>
    </x:row>
    <x:row r="22">
      <x:c r="C22" s="19" t="n">
        <x:v>39904</x:v>
      </x:c>
      <x:c r="D22" s="19" t="n">
        <x:v>39933</x:v>
      </x:c>
      <x:c r="E22" s="25" t="str">
        <x:v>grid_20qvjmd3.xlsx</x:v>
      </x:c>
      <x:c r="F22" s="28" t="n">
        <x:v>9074.7839544323</x:v>
      </x:c>
      <x:c r="G22" s="28" t="n">
        <x:v>629.5864827173</x:v>
      </x:c>
      <x:c r="H22" s="28" t="n">
        <x:v>333.6687009801</x:v>
      </x:c>
      <x:c r="I22" s="28" t="n">
        <x:v>1658.3478802313</x:v>
      </x:c>
      <x:c r="J22" s="28" t="n">
        <x:v>23604.0850165479</x:v>
      </x:c>
      <x:c r="K22" s="28" t="n">
        <x:v>6085.9007540989</x:v>
      </x:c>
      <x:c r="L22" s="28"/>
      <x:c r="M22" s="28" t="n">
        <x:v>525.9903149047</x:v>
      </x:c>
      <x:c r="N22" s="28"/>
      <x:c r="O22" s="28" t="n">
        <x:v>9126.5961764197</x:v>
      </x:c>
      <x:c r="P22" s="28"/>
      <x:c r="Q22" s="28" t="n">
        <x:v>1866.2612507437</x:v>
      </x:c>
      <x:c r="R22" s="28" t="n">
        <x:v>727.8076844644</x:v>
      </x:c>
    </x:row>
    <x:row r="23">
      <x:c r="C23" s="19" t="n">
        <x:v>39934</x:v>
      </x:c>
      <x:c r="D23" s="19" t="n">
        <x:v>39962</x:v>
      </x:c>
      <x:c r="E23" s="25" t="str">
        <x:v>grid_20qvjmd3.xlsx</x:v>
      </x:c>
      <x:c r="F23" s="28" t="n">
        <x:v>9195.7718891232</x:v>
      </x:c>
      <x:c r="G23" s="28" t="n">
        <x:v>638.4789535071</x:v>
      </x:c>
      <x:c r="H23" s="28" t="n">
        <x:v>339.3132289904</x:v>
      </x:c>
      <x:c r="I23" s="28" t="n">
        <x:v>1772.2348913648</x:v>
      </x:c>
      <x:c r="J23" s="28" t="n">
        <x:v>25104.4839760658</x:v>
      </x:c>
      <x:c r="K23" s="28" t="n">
        <x:v>6117.940696095</x:v>
      </x:c>
      <x:c r="L23" s="28"/>
      <x:c r="M23" s="28" t="n">
        <x:v>493.3957014979</x:v>
      </x:c>
      <x:c r="N23" s="28"/>
      <x:c r="O23" s="28" t="n">
        <x:v>8106.9492155235</x:v>
      </x:c>
      <x:c r="P23" s="28"/>
      <x:c r="Q23" s="28" t="n">
        <x:v>1833.8754737786</x:v>
      </x:c>
      <x:c r="R23" s="28" t="n">
        <x:v>660.4946823559</x:v>
      </x:c>
    </x:row>
    <x:row r="24">
      <x:c r="C24" s="19" t="n">
        <x:v>39965</x:v>
      </x:c>
      <x:c r="D24" s="19" t="n">
        <x:v>39994</x:v>
      </x:c>
      <x:c r="E24" s="25" t="str">
        <x:v>grid_20qvjmd3.xlsx</x:v>
      </x:c>
      <x:c r="F24" s="28" t="n">
        <x:v>8893.8981333335</x:v>
      </x:c>
      <x:c r="G24" s="28" t="n">
        <x:v>664.9810967866</x:v>
      </x:c>
      <x:c r="H24" s="28" t="n">
        <x:v>352.4164631081</x:v>
      </x:c>
      <x:c r="I24" s="28" t="n">
        <x:v>1886.2961644329</x:v>
      </x:c>
      <x:c r="J24" s="28" t="n">
        <x:v>25090.7494652493</x:v>
      </x:c>
      <x:c r="K24" s="28" t="n">
        <x:v>6197.1161373837</x:v>
      </x:c>
      <x:c r="L24" s="28"/>
      <x:c r="M24" s="28" t="n">
        <x:v>451.675785159</x:v>
      </x:c>
      <x:c r="N24" s="28"/>
      <x:c r="O24" s="28" t="n">
        <x:v>7502.1873271809</x:v>
      </x:c>
      <x:c r="P24" s="28"/>
      <x:c r="Q24" s="28" t="n">
        <x:v>1790.4214522114</x:v>
      </x:c>
      <x:c r="R24" s="28" t="n">
        <x:v>680.266123294</x:v>
      </x:c>
    </x:row>
    <x:row r="25">
      <x:c r="C25" s="19" t="n">
        <x:v>39995</x:v>
      </x:c>
      <x:c r="D25" s="19" t="n">
        <x:v>40025</x:v>
      </x:c>
      <x:c r="E25" s="25" t="str">
        <x:v>grid_20qvjmd3.xlsx</x:v>
      </x:c>
      <x:c r="F25" s="28" t="n">
        <x:v>8563.7339145049</x:v>
      </x:c>
      <x:c r="G25" s="28" t="n">
        <x:v>662.3138251309</x:v>
      </x:c>
      <x:c r="H25" s="28" t="n">
        <x:v>353.159887334</x:v>
      </x:c>
      <x:c r="I25" s="28" t="n">
        <x:v>1900.1432919411</x:v>
      </x:c>
      <x:c r="J25" s="28" t="n">
        <x:v>25347.7203687452</x:v>
      </x:c>
      <x:c r="K25" s="28" t="n">
        <x:v>6435.6718337469</x:v>
      </x:c>
      <x:c r="L25" s="28"/>
      <x:c r="M25" s="28" t="n">
        <x:v>443.422001161</x:v>
      </x:c>
      <x:c r="N25" s="28"/>
      <x:c r="O25" s="28" t="n">
        <x:v>7340.7243286723</x:v>
      </x:c>
      <x:c r="P25" s="28"/>
      <x:c r="Q25" s="28" t="n">
        <x:v>1799.9764764247</x:v>
      </x:c>
      <x:c r="R25" s="28" t="n">
        <x:v>615.9982155366</x:v>
      </x:c>
    </x:row>
    <x:row r="26">
      <x:c r="C26" s="19" t="n">
        <x:v>40026</x:v>
      </x:c>
      <x:c r="D26" s="19" t="n">
        <x:v>40056</x:v>
      </x:c>
      <x:c r="E26" s="25" t="str">
        <x:v>grid_20qvjmd3.xlsx</x:v>
      </x:c>
      <x:c r="F26" s="28" t="n">
        <x:v>8388.6174345144</x:v>
      </x:c>
      <x:c r="G26" s="28" t="n">
        <x:v>670.2474241293</x:v>
      </x:c>
      <x:c r="H26" s="28" t="n">
        <x:v>378.1099146997</x:v>
      </x:c>
      <x:c r="I26" s="28" t="n">
        <x:v>1999.4413492283</x:v>
      </x:c>
      <x:c r="J26" s="28" t="n">
        <x:v>25339.541907989</x:v>
      </x:c>
      <x:c r="K26" s="28" t="n">
        <x:v>6759.6342842298</x:v>
      </x:c>
      <x:c r="L26" s="28"/>
      <x:c r="M26" s="28" t="n">
        <x:v>443.3335790996</x:v>
      </x:c>
      <x:c r="N26" s="28"/>
      <x:c r="O26" s="28" t="n">
        <x:v>7170.4337352029</x:v>
      </x:c>
      <x:c r="P26" s="28"/>
      <x:c r="Q26" s="28" t="n">
        <x:v>1775.9241535114</x:v>
      </x:c>
      <x:c r="R26" s="28" t="n">
        <x:v>596.9381225263</x:v>
      </x:c>
    </x:row>
    <x:row r="27">
      <x:c r="C27" s="19" t="n">
        <x:v>40057</x:v>
      </x:c>
      <x:c r="D27" s="19" t="n">
        <x:v>40086</x:v>
      </x:c>
      <x:c r="E27" s="25" t="str">
        <x:v>grid_20qvjmd3.xlsx</x:v>
      </x:c>
      <x:c r="F27" s="28" t="n">
        <x:v>9160.297840549</x:v>
      </x:c>
      <x:c r="G27" s="28" t="n">
        <x:v>717.7082995734</x:v>
      </x:c>
      <x:c r="H27" s="28" t="n">
        <x:v>390.7425429973</x:v>
      </x:c>
      <x:c r="I27" s="28" t="n">
        <x:v>1687.1919824743</x:v>
      </x:c>
      <x:c r="J27" s="28" t="n">
        <x:v>26521.992946674</x:v>
      </x:c>
      <x:c r="K27" s="28" t="n">
        <x:v>6985.2663614825</x:v>
      </x:c>
      <x:c r="L27" s="28"/>
      <x:c r="M27" s="28" t="n">
        <x:v>481.841152599</x:v>
      </x:c>
      <x:c r="N27" s="28"/>
      <x:c r="O27" s="28" t="n">
        <x:v>7841.6340096077</x:v>
      </x:c>
      <x:c r="P27" s="28"/>
      <x:c r="Q27" s="28" t="n">
        <x:v>1755.3580589028</x:v>
      </x:c>
      <x:c r="R27" s="28" t="n">
        <x:v>861.9663609595</x:v>
      </x:c>
    </x:row>
    <x:row r="28">
      <x:c r="C28" s="19" t="n">
        <x:v>40087</x:v>
      </x:c>
      <x:c r="D28" s="19" t="n">
        <x:v>40116</x:v>
      </x:c>
      <x:c r="E28" s="25" t="str">
        <x:v>grid_20qvjmd3.xlsx</x:v>
      </x:c>
      <x:c r="F28" s="28" t="n">
        <x:v>9619.9296044267</x:v>
      </x:c>
      <x:c r="G28" s="28" t="n">
        <x:v>741.7649478</x:v>
      </x:c>
      <x:c r="H28" s="28" t="n">
        <x:v>449.2155484269</x:v>
      </x:c>
      <x:c r="I28" s="28" t="n">
        <x:v>1824.9211734857</x:v>
      </x:c>
      <x:c r="J28" s="28" t="n">
        <x:v>27343.9044481753</x:v>
      </x:c>
      <x:c r="K28" s="28" t="n">
        <x:v>7229.0055972808</x:v>
      </x:c>
      <x:c r="L28" s="28"/>
      <x:c r="M28" s="28" t="n">
        <x:v>475.6754532686</x:v>
      </x:c>
      <x:c r="N28" s="28"/>
      <x:c r="O28" s="28" t="n">
        <x:v>8393.0892688355</x:v>
      </x:c>
      <x:c r="P28" s="28"/>
      <x:c r="Q28" s="28" t="n">
        <x:v>1615.2142701073</x:v>
      </x:c>
      <x:c r="R28" s="28" t="n">
        <x:v>917.8394685788</x:v>
      </x:c>
    </x:row>
    <x:row r="29">
      <x:c r="C29" s="19" t="n">
        <x:v>40118</x:v>
      </x:c>
      <x:c r="D29" s="19" t="n">
        <x:v>40147</x:v>
      </x:c>
      <x:c r="E29" s="25" t="str">
        <x:v>grid_20qvjmd3.xlsx</x:v>
      </x:c>
      <x:c r="F29" s="28" t="n">
        <x:v>10130.9507990353</x:v>
      </x:c>
      <x:c r="G29" s="28" t="n">
        <x:v>815.399913378</x:v>
      </x:c>
      <x:c r="H29" s="28" t="n">
        <x:v>459.4675822828</x:v>
      </x:c>
      <x:c r="I29" s="28" t="n">
        <x:v>2025.4138722044</x:v>
      </x:c>
      <x:c r="J29" s="28" t="n">
        <x:v>28859.7220758795</x:v>
      </x:c>
      <x:c r="K29" s="28" t="n">
        <x:v>7529.0223790661</x:v>
      </x:c>
      <x:c r="L29" s="28"/>
      <x:c r="M29" s="28" t="n">
        <x:v>458.5764636784</x:v>
      </x:c>
      <x:c r="N29" s="28"/>
      <x:c r="O29" s="28" t="n">
        <x:v>8321.5410803198</x:v>
      </x:c>
      <x:c r="P29" s="28"/>
      <x:c r="Q29" s="28" t="n">
        <x:v>1679.2177498068</x:v>
      </x:c>
      <x:c r="R29" s="28" t="n">
        <x:v>1050.7124392069</x:v>
      </x:c>
    </x:row>
    <x:row r="30">
      <x:c r="C30" s="19" t="n">
        <x:v>40148</x:v>
      </x:c>
      <x:c r="D30" s="19" t="n">
        <x:v>40178</x:v>
      </x:c>
      <x:c r="E30" s="25" t="str">
        <x:v>grid_20qvjmd3.xlsx</x:v>
      </x:c>
      <x:c r="F30" s="28" t="n">
        <x:v>9965.8393607924</x:v>
      </x:c>
      <x:c r="G30" s="28" t="n">
        <x:v>822.6236333589</x:v>
      </x:c>
      <x:c r="H30" s="28" t="n">
        <x:v>498.3199053566</x:v>
      </x:c>
      <x:c r="I30" s="28" t="n">
        <x:v>1998.9294194711</x:v>
      </x:c>
      <x:c r="J30" s="28" t="n">
        <x:v>29662.500864</x:v>
      </x:c>
      <x:c r="K30" s="28" t="n">
        <x:v>7690.4444945255</x:v>
      </x:c>
      <x:c r="L30" s="28"/>
      <x:c r="M30" s="28" t="n">
        <x:v>454.9789037503</x:v>
      </x:c>
      <x:c r="N30" s="28"/>
      <x:c r="O30" s="28" t="n">
        <x:v>8417.9843690303</x:v>
      </x:c>
      <x:c r="P30" s="28"/>
      <x:c r="Q30" s="28" t="n">
        <x:v>1722.0871756904</x:v>
      </x:c>
      <x:c r="R30" s="28" t="n">
        <x:v>996.086274683</x:v>
      </x:c>
    </x:row>
    <x:row r="31">
      <x:c r="C31" s="19" t="n">
        <x:v>40179</x:v>
      </x:c>
      <x:c r="D31" s="19" t="n">
        <x:v>40207</x:v>
      </x:c>
      <x:c r="E31" s="25" t="str">
        <x:v>grid_20qvjmd3.xlsx</x:v>
      </x:c>
      <x:c r="F31" s="28" t="n">
        <x:v>9673.1700027944</x:v>
      </x:c>
      <x:c r="G31" s="28" t="n">
        <x:v>683.6826122838</x:v>
      </x:c>
      <x:c r="H31" s="28" t="n">
        <x:v>538.9534299356</x:v>
      </x:c>
      <x:c r="I31" s="28" t="n">
        <x:v>1867.991983556</x:v>
      </x:c>
      <x:c r="J31" s="28" t="n">
        <x:v>29007.9265739063</x:v>
      </x:c>
      <x:c r="K31" s="28" t="n">
        <x:v>7316.6661482468</x:v>
      </x:c>
      <x:c r="L31" s="28"/>
      <x:c r="M31" s="28" t="n">
        <x:v>396.7690537379</x:v>
      </x:c>
      <x:c r="N31" s="28"/>
      <x:c r="O31" s="28" t="n">
        <x:v>9683.5125582145</x:v>
      </x:c>
      <x:c r="P31" s="28"/>
      <x:c r="Q31" s="28" t="n">
        <x:v>1786.904224746</x:v>
      </x:c>
      <x:c r="R31" s="28" t="n">
        <x:v>1089.996679137</x:v>
      </x:c>
    </x:row>
    <x:row r="32">
      <x:c r="C32" s="19" t="n">
        <x:v>40210</x:v>
      </x:c>
      <x:c r="D32" s="19" t="n">
        <x:v>40235</x:v>
      </x:c>
      <x:c r="E32" s="25" t="str">
        <x:v>grid_20qvjmd3.xlsx</x:v>
      </x:c>
      <x:c r="F32" s="28" t="n">
        <x:v>9709.5848024094</x:v>
      </x:c>
      <x:c r="G32" s="28" t="n">
        <x:v>683.5694795647</x:v>
      </x:c>
      <x:c r="H32" s="28" t="n">
        <x:v>560.3004076196</x:v>
      </x:c>
      <x:c r="I32" s="28" t="n">
        <x:v>1919.179492643</x:v>
      </x:c>
      <x:c r="J32" s="28" t="n">
        <x:v>28320.1473912361</x:v>
      </x:c>
      <x:c r="K32" s="28" t="n">
        <x:v>7644.4121835278</x:v>
      </x:c>
      <x:c r="L32" s="28"/>
      <x:c r="M32" s="28" t="n">
        <x:v>379.3768965751</x:v>
      </x:c>
      <x:c r="N32" s="28"/>
      <x:c r="O32" s="28" t="n">
        <x:v>9900.1839358991</x:v>
      </x:c>
      <x:c r="P32" s="28"/>
      <x:c r="Q32" s="28" t="n">
        <x:v>1681.3905825473</x:v>
      </x:c>
      <x:c r="R32" s="28" t="n">
        <x:v>1118.5404848058</x:v>
      </x:c>
    </x:row>
    <x:row r="33">
      <x:c r="C33" s="19" t="n">
        <x:v>40238</x:v>
      </x:c>
      <x:c r="D33" s="19" t="n">
        <x:v>40268</x:v>
      </x:c>
      <x:c r="E33" s="25" t="str">
        <x:v>grid_20qvjmd3.xlsx</x:v>
      </x:c>
      <x:c r="F33" s="28" t="n">
        <x:v>10789.075082854</x:v>
      </x:c>
      <x:c r="G33" s="28" t="n">
        <x:v>690.9575538972</x:v>
      </x:c>
      <x:c r="H33" s="28" t="n">
        <x:v>567.440986895</x:v>
      </x:c>
      <x:c r="I33" s="28" t="n">
        <x:v>1841.8320069992</x:v>
      </x:c>
      <x:c r="J33" s="28" t="n">
        <x:v>29012.1788076429</x:v>
      </x:c>
      <x:c r="K33" s="28" t="n">
        <x:v>7839.9109034138</x:v>
      </x:c>
      <x:c r="L33" s="28"/>
      <x:c r="M33" s="28" t="n">
        <x:v>372.4844351215</x:v>
      </x:c>
      <x:c r="N33" s="28"/>
      <x:c r="O33" s="28" t="n">
        <x:v>12404.4742007157</x:v>
      </x:c>
      <x:c r="P33" s="28"/>
      <x:c r="Q33" s="28" t="n">
        <x:v>1870.9930164397</x:v>
      </x:c>
      <x:c r="R33" s="28" t="n">
        <x:v>1158.05692626</x:v>
      </x:c>
    </x:row>
    <x:row r="34">
      <x:c r="C34" s="19" t="n">
        <x:v>40269</x:v>
      </x:c>
      <x:c r="D34" s="19" t="n">
        <x:v>40298</x:v>
      </x:c>
      <x:c r="E34" s="25" t="str">
        <x:v>grid_20qvjmd3.xlsx</x:v>
      </x:c>
      <x:c r="F34" s="28" t="n">
        <x:v>11006.9069751206</x:v>
      </x:c>
      <x:c r="G34" s="28" t="n">
        <x:v>723.9318988663</x:v>
      </x:c>
      <x:c r="H34" s="28" t="n">
        <x:v>574.2410923822</x:v>
      </x:c>
      <x:c r="I34" s="28" t="n">
        <x:v>1910.8629555531</x:v>
      </x:c>
      <x:c r="J34" s="28" t="n">
        <x:v>29635.3195654762</x:v>
      </x:c>
      <x:c r="K34" s="28" t="n">
        <x:v>7813.2780016942</x:v>
      </x:c>
      <x:c r="L34" s="28"/>
      <x:c r="M34" s="28" t="n">
        <x:v>368.2508010134</x:v>
      </x:c>
      <x:c r="N34" s="28"/>
      <x:c r="O34" s="28" t="n">
        <x:v>13153.2641035548</x:v>
      </x:c>
      <x:c r="P34" s="28"/>
      <x:c r="Q34" s="28" t="n">
        <x:v>1805.2264428423</x:v>
      </x:c>
      <x:c r="R34" s="28" t="n">
        <x:v>1147.6178067416</x:v>
      </x:c>
    </x:row>
    <x:row r="35">
      <x:c r="C35" s="19" t="n">
        <x:v>40299</x:v>
      </x:c>
      <x:c r="D35" s="19" t="n">
        <x:v>40329</x:v>
      </x:c>
      <x:c r="E35" s="25" t="str">
        <x:v>grid_20qvjmd3.xlsx</x:v>
      </x:c>
      <x:c r="F35" s="28" t="n">
        <x:v>10281.7774589307</x:v>
      </x:c>
      <x:c r="G35" s="28" t="n">
        <x:v>691.5312637224</x:v>
      </x:c>
      <x:c r="H35" s="28" t="n">
        <x:v>603.2376509973</x:v>
      </x:c>
      <x:c r="I35" s="28" t="n">
        <x:v>1914.7374896618</x:v>
      </x:c>
      <x:c r="J35" s="28" t="n">
        <x:v>27099.4479235388</x:v>
      </x:c>
      <x:c r="K35" s="28" t="n">
        <x:v>6874.8620333292</x:v>
      </x:c>
      <x:c r="L35" s="28"/>
      <x:c r="M35" s="28" t="n">
        <x:v>335.7963160607</x:v>
      </x:c>
      <x:c r="N35" s="28"/>
      <x:c r="O35" s="28" t="n">
        <x:v>14723.7167551165</x:v>
      </x:c>
      <x:c r="P35" s="28"/>
      <x:c r="Q35" s="28" t="n">
        <x:v>1831.843347493</x:v>
      </x:c>
      <x:c r="R35" s="28" t="n">
        <x:v>976.925556645</x:v>
      </x:c>
    </x:row>
    <x:row r="36">
      <x:c r="C36" s="19" t="n">
        <x:v>40330</x:v>
      </x:c>
      <x:c r="D36" s="19" t="n">
        <x:v>40359</x:v>
      </x:c>
      <x:c r="E36" s="25" t="str">
        <x:v>grid_20qvjmd3.xlsx</x:v>
      </x:c>
      <x:c r="F36" s="28" t="n">
        <x:v>9981.9088020925</x:v>
      </x:c>
      <x:c r="G36" s="28" t="n">
        <x:v>793.6129991394</x:v>
      </x:c>
      <x:c r="H36" s="28" t="n">
        <x:v>630.8641667188</x:v>
      </x:c>
      <x:c r="I36" s="28" t="n">
        <x:v>1944.9335120771</x:v>
      </x:c>
      <x:c r="J36" s="28" t="n">
        <x:v>26950.7843853405</x:v>
      </x:c>
      <x:c r="K36" s="28" t="n">
        <x:v>6890.8878748159</x:v>
      </x:c>
      <x:c r="L36" s="28"/>
      <x:c r="M36" s="28" t="n">
        <x:v>349.3429815416</x:v>
      </x:c>
      <x:c r="N36" s="28"/>
      <x:c r="O36" s="28" t="n">
        <x:v>14978.6924384266</x:v>
      </x:c>
      <x:c r="P36" s="28"/>
      <x:c r="Q36" s="28" t="n">
        <x:v>1768.9044558794</x:v>
      </x:c>
      <x:c r="R36" s="28" t="n">
        <x:v>1140.9639581838</x:v>
      </x:c>
    </x:row>
    <x:row r="37">
      <x:c r="C37" s="19" t="n">
        <x:v>40360</x:v>
      </x:c>
      <x:c r="D37" s="19" t="n">
        <x:v>40389</x:v>
      </x:c>
      <x:c r="E37" s="25" t="str">
        <x:v>grid_20qvjmd3.xlsx</x:v>
      </x:c>
      <x:c r="F37" s="28" t="n">
        <x:v>10157.3473649416</x:v>
      </x:c>
      <x:c r="G37" s="28" t="n">
        <x:v>748.0841530662</x:v>
      </x:c>
      <x:c r="H37" s="28" t="n">
        <x:v>658.5066679494</x:v>
      </x:c>
      <x:c r="I37" s="28" t="n">
        <x:v>2013.4330910145</x:v>
      </x:c>
      <x:c r="J37" s="28" t="n">
        <x:v>27045.6020456823</x:v>
      </x:c>
      <x:c r="K37" s="28" t="n">
        <x:v>7278.446862614</x:v>
      </x:c>
      <x:c r="L37" s="28"/>
      <x:c r="M37" s="28" t="n">
        <x:v>346.4038837569</x:v>
      </x:c>
      <x:c r="N37" s="28"/>
      <x:c r="O37" s="28" t="n">
        <x:v>15976.9167406269</x:v>
      </x:c>
      <x:c r="P37" s="28"/>
      <x:c r="Q37" s="28" t="n">
        <x:v>1820.3868944764</x:v>
      </x:c>
      <x:c r="R37" s="28" t="n">
        <x:v>1101.0132319001</x:v>
      </x:c>
    </x:row>
    <x:row r="38">
      <x:c r="C38" s="19" t="n">
        <x:v>40391</x:v>
      </x:c>
      <x:c r="D38" s="19" t="n">
        <x:v>40421</x:v>
      </x:c>
      <x:c r="E38" s="25" t="str">
        <x:v>grid_20qvjmd3.xlsx</x:v>
      </x:c>
      <x:c r="F38" s="28" t="n">
        <x:v>10478.9497789164</x:v>
      </x:c>
      <x:c r="G38" s="28" t="n">
        <x:v>793.0398345657</x:v>
      </x:c>
      <x:c r="H38" s="28" t="n">
        <x:v>693.3080616973</x:v>
      </x:c>
      <x:c r="I38" s="28" t="n">
        <x:v>2092.0383510579</x:v>
      </x:c>
      <x:c r="J38" s="28" t="n">
        <x:v>26043.1805735969</x:v>
      </x:c>
      <x:c r="K38" s="28" t="n">
        <x:v>7309.0783400432</x:v>
      </x:c>
      <x:c r="L38" s="28"/>
      <x:c r="M38" s="28" t="n">
        <x:v>349.1379195881</x:v>
      </x:c>
      <x:c r="N38" s="28"/>
      <x:c r="O38" s="28" t="n">
        <x:v>17641.2324901528</x:v>
      </x:c>
      <x:c r="P38" s="28"/>
      <x:c r="Q38" s="28" t="n">
        <x:v>1804.8884684769</x:v>
      </x:c>
      <x:c r="R38" s="28" t="n">
        <x:v>1063.7802752556</x:v>
      </x:c>
    </x:row>
    <x:row r="39">
      <x:c r="C39" s="19" t="n">
        <x:v>40422</x:v>
      </x:c>
      <x:c r="D39" s="19" t="n">
        <x:v>40451</x:v>
      </x:c>
      <x:c r="E39" s="25" t="str">
        <x:v>grid_20qvjmd3.xlsx</x:v>
      </x:c>
      <x:c r="F39" s="28" t="n">
        <x:v>11407.2372415397</x:v>
      </x:c>
      <x:c r="G39" s="28" t="n">
        <x:v>813.2931876239</x:v>
      </x:c>
      <x:c r="H39" s="28" t="n">
        <x:v>714.3235488431</x:v>
      </x:c>
      <x:c r="I39" s="28" t="n">
        <x:v>1830.6057305408</x:v>
      </x:c>
      <x:c r="J39" s="28" t="n">
        <x:v>25585.3534653899</x:v>
      </x:c>
      <x:c r="K39" s="28" t="n">
        <x:v>7861.7464731104</x:v>
      </x:c>
      <x:c r="L39" s="28"/>
      <x:c r="M39" s="28" t="n">
        <x:v>388.9568936178</x:v>
      </x:c>
      <x:c r="N39" s="28"/>
      <x:c r="O39" s="28" t="n">
        <x:v>18750.0410601558</x:v>
      </x:c>
      <x:c r="P39" s="28"/>
      <x:c r="Q39" s="28" t="n">
        <x:v>1847.9593915774</x:v>
      </x:c>
      <x:c r="R39" s="28" t="n">
        <x:v>1144.7836852977</x:v>
      </x:c>
    </x:row>
    <x:row r="40">
      <x:c r="C40" s="19" t="n">
        <x:v>40452</x:v>
      </x:c>
      <x:c r="D40" s="19" t="n">
        <x:v>40480</x:v>
      </x:c>
      <x:c r="E40" s="25" t="str">
        <x:v>grid_20qvjmd3.xlsx</x:v>
      </x:c>
      <x:c r="F40" s="28" t="n">
        <x:v>11592.0156282558</x:v>
      </x:c>
      <x:c r="G40" s="28" t="n">
        <x:v>998.5752953865</x:v>
      </x:c>
      <x:c r="H40" s="28" t="n">
        <x:v>745.6496537702</x:v>
      </x:c>
      <x:c r="I40" s="28" t="n">
        <x:v>1988.4923283676</x:v>
      </x:c>
      <x:c r="J40" s="28" t="n">
        <x:v>25890.2192560051</x:v>
      </x:c>
      <x:c r="K40" s="28" t="n">
        <x:v>8039.1425945374</x:v>
      </x:c>
      <x:c r="L40" s="28"/>
      <x:c r="M40" s="28" t="n">
        <x:v>409.9445535775</x:v>
      </x:c>
      <x:c r="N40" s="28"/>
      <x:c r="O40" s="28" t="n">
        <x:v>19473.670049468</x:v>
      </x:c>
      <x:c r="P40" s="28"/>
      <x:c r="Q40" s="28" t="n">
        <x:v>1885.7993091111</x:v>
      </x:c>
      <x:c r="R40" s="28" t="n">
        <x:v>1106.566270726</x:v>
      </x:c>
    </x:row>
    <x:row r="41">
      <x:c r="C41" s="19" t="n">
        <x:v>40483</x:v>
      </x:c>
      <x:c r="D41" s="19" t="n">
        <x:v>40512</x:v>
      </x:c>
      <x:c r="E41" s="25" t="str">
        <x:v>grid_20qvjmd3.xlsx</x:v>
      </x:c>
      <x:c r="F41" s="28" t="n">
        <x:v>12019.0125511685</x:v>
      </x:c>
      <x:c r="G41" s="28" t="n">
        <x:v>1050.263438014</x:v>
      </x:c>
      <x:c r="H41" s="28" t="n">
        <x:v>770.5583287239</x:v>
      </x:c>
      <x:c r="I41" s="28" t="n">
        <x:v>2063.1691288027</x:v>
      </x:c>
      <x:c r="J41" s="28" t="n">
        <x:v>26577.3965953684</x:v>
      </x:c>
      <x:c r="K41" s="28" t="n">
        <x:v>8203.9961031094</x:v>
      </x:c>
      <x:c r="L41" s="28"/>
      <x:c r="M41" s="28" t="n">
        <x:v>429.8897877037</x:v>
      </x:c>
      <x:c r="N41" s="28"/>
      <x:c r="O41" s="28" t="n">
        <x:v>20625.6331557791</x:v>
      </x:c>
      <x:c r="P41" s="28"/>
      <x:c r="Q41" s="28" t="n">
        <x:v>1877.8978624342</x:v>
      </x:c>
      <x:c r="R41" s="28" t="n">
        <x:v>1119.1338538425</x:v>
      </x:c>
    </x:row>
    <x:row r="42">
      <x:c r="C42" s="19" t="n">
        <x:v>40513</x:v>
      </x:c>
      <x:c r="D42" s="19" t="n">
        <x:v>40543</x:v>
      </x:c>
      <x:c r="E42" s="25" t="str">
        <x:v>grid_20qvjmd3.xlsx</x:v>
      </x:c>
      <x:c r="F42" s="28" t="n">
        <x:v>12597.8633879485</x:v>
      </x:c>
      <x:c r="G42" s="28" t="n">
        <x:v>1081.8308536534</x:v>
      </x:c>
      <x:c r="H42" s="28" t="n">
        <x:v>796.7635569855</x:v>
      </x:c>
      <x:c r="I42" s="28" t="n">
        <x:v>2149.2761464495</x:v>
      </x:c>
      <x:c r="J42" s="28" t="n">
        <x:v>28108.4595888069</x:v>
      </x:c>
      <x:c r="K42" s="28" t="n">
        <x:v>8337.9012886036</x:v>
      </x:c>
      <x:c r="L42" s="28"/>
      <x:c r="M42" s="28" t="n">
        <x:v>490.4190985567</x:v>
      </x:c>
      <x:c r="N42" s="28"/>
      <x:c r="O42" s="28" t="n">
        <x:v>20834.8454090308</x:v>
      </x:c>
      <x:c r="P42" s="28"/>
      <x:c r="Q42" s="28" t="n">
        <x:v>1741.8560844764</x:v>
      </x:c>
      <x:c r="R42" s="28" t="n">
        <x:v>1154.9933405019</x:v>
      </x:c>
    </x:row>
    <x:row r="43">
      <x:c r="C43" s="19" t="n">
        <x:v>40544</x:v>
      </x:c>
      <x:c r="D43" s="19" t="n">
        <x:v>40574</x:v>
      </x:c>
      <x:c r="E43" s="25" t="str">
        <x:v>grid_u4lflnxf.xlsx</x:v>
      </x:c>
      <x:c r="F43" s="28" t="n">
        <x:v>13177.5163218255</x:v>
      </x:c>
      <x:c r="G43" s="28" t="n">
        <x:v>1126.5084946727</x:v>
      </x:c>
      <x:c r="H43" s="28" t="n">
        <x:v>813.823818924</x:v>
      </x:c>
      <x:c r="I43" s="28" t="n">
        <x:v>1953.6148351802</x:v>
      </x:c>
      <x:c r="J43" s="28" t="n">
        <x:v>27471.7172135821</x:v>
      </x:c>
      <x:c r="K43" s="28" t="n">
        <x:v>8650.6158009251</x:v>
      </x:c>
      <x:c r="L43" s="28" t="n">
        <x:v>554.6545479344</x:v>
      </x:c>
      <x:c r="M43" s="28" t="n">
        <x:v>495.6393780899</x:v>
      </x:c>
      <x:c r="N43" s="28"/>
      <x:c r="O43" s="28" t="n">
        <x:v>21251.8723283012</x:v>
      </x:c>
      <x:c r="P43" s="28"/>
      <x:c r="Q43" s="28" t="n">
        <x:v>1773.2683659766</x:v>
      </x:c>
      <x:c r="R43" s="28" t="n">
        <x:v>1189.0901067774</x:v>
      </x:c>
    </x:row>
    <x:row r="44">
      <x:c r="C44" s="19" t="n">
        <x:v>40575</x:v>
      </x:c>
      <x:c r="D44" s="19" t="n">
        <x:v>40602</x:v>
      </x:c>
      <x:c r="E44" s="25" t="str">
        <x:v>grid_u4lflnxf.xlsx</x:v>
      </x:c>
      <x:c r="F44" s="28" t="n">
        <x:v>13431.2669381568</x:v>
      </x:c>
      <x:c r="G44" s="28" t="n">
        <x:v>1141.2273017244</x:v>
      </x:c>
      <x:c r="H44" s="28" t="n">
        <x:v>825.2048575232</x:v>
      </x:c>
      <x:c r="I44" s="28" t="n">
        <x:v>1968.4379398901</x:v>
      </x:c>
      <x:c r="J44" s="28" t="n">
        <x:v>26929.3029852374</x:v>
      </x:c>
      <x:c r="K44" s="28" t="n">
        <x:v>8864.1092810686</x:v>
      </x:c>
      <x:c r="L44" s="28" t="n">
        <x:v>554.5053686557</x:v>
      </x:c>
      <x:c r="M44" s="28" t="n">
        <x:v>496.290567899</x:v>
      </x:c>
      <x:c r="N44" s="28"/>
      <x:c r="O44" s="28" t="n">
        <x:v>21797.3181102446</x:v>
      </x:c>
      <x:c r="P44" s="28"/>
      <x:c r="Q44" s="28" t="n">
        <x:v>1900.2078528719</x:v>
      </x:c>
      <x:c r="R44" s="28" t="n">
        <x:v>1206.2501192496</x:v>
      </x:c>
    </x:row>
    <x:row r="45">
      <x:c r="C45" s="19" t="n">
        <x:v>40603</x:v>
      </x:c>
      <x:c r="D45" s="19" t="n">
        <x:v>40633</x:v>
      </x:c>
      <x:c r="E45" s="25" t="str">
        <x:v>grid_u4lflnxf.xlsx</x:v>
      </x:c>
      <x:c r="F45" s="28" t="n">
        <x:v>13213.0492168076</x:v>
      </x:c>
      <x:c r="G45" s="28" t="n">
        <x:v>1183.8904661743</x:v>
      </x:c>
      <x:c r="H45" s="28" t="n">
        <x:v>816.0730206979</x:v>
      </x:c>
      <x:c r="I45" s="28" t="n">
        <x:v>2026.2886476501</x:v>
      </x:c>
      <x:c r="J45" s="28" t="n">
        <x:v>27197.9224803103</x:v>
      </x:c>
      <x:c r="K45" s="28" t="n">
        <x:v>8887.4956425418</x:v>
      </x:c>
      <x:c r="L45" s="28" t="n">
        <x:v>549.8488248306</x:v>
      </x:c>
      <x:c r="M45" s="28" t="n">
        <x:v>503.5199908637</x:v>
      </x:c>
      <x:c r="N45" s="28"/>
      <x:c r="O45" s="28" t="n">
        <x:v>21365.3467864683</x:v>
      </x:c>
      <x:c r="P45" s="28"/>
      <x:c r="Q45" s="28" t="n">
        <x:v>1844.7871981858</x:v>
      </x:c>
      <x:c r="R45" s="28" t="n">
        <x:v>1196.922704005</x:v>
      </x:c>
    </x:row>
    <x:row r="46">
      <x:c r="C46" s="19" t="n">
        <x:v>40634</x:v>
      </x:c>
      <x:c r="D46" s="19" t="n">
        <x:v>40662</x:v>
      </x:c>
      <x:c r="E46" s="25" t="str">
        <x:v>grid_u4lflnxf.xlsx</x:v>
      </x:c>
      <x:c r="F46" s="28" t="n">
        <x:v>13174.7446615963</x:v>
      </x:c>
      <x:c r="G46" s="28" t="n">
        <x:v>1236.4062459619</x:v>
      </x:c>
      <x:c r="H46" s="28" t="n">
        <x:v>771.0709361806</x:v>
      </x:c>
      <x:c r="I46" s="28" t="n">
        <x:v>2106.0355415409</x:v>
      </x:c>
      <x:c r="J46" s="28" t="n">
        <x:v>27678.808036833</x:v>
      </x:c>
      <x:c r="K46" s="28" t="n">
        <x:v>8780.3505616085</x:v>
      </x:c>
      <x:c r="L46" s="28" t="n">
        <x:v>561.7207984262</x:v>
      </x:c>
      <x:c r="M46" s="28" t="n">
        <x:v>537.4955870327</x:v>
      </x:c>
      <x:c r="N46" s="28"/>
      <x:c r="O46" s="28" t="n">
        <x:v>22602.4155235399</x:v>
      </x:c>
      <x:c r="P46" s="28"/>
      <x:c r="Q46" s="28" t="n">
        <x:v>1807.6411504251</x:v>
      </x:c>
      <x:c r="R46" s="28" t="n">
        <x:v>1192.0052435359</x:v>
      </x:c>
    </x:row>
    <x:row r="47">
      <x:c r="C47" s="19" t="n">
        <x:v>40664</x:v>
      </x:c>
      <x:c r="D47" s="19" t="n">
        <x:v>40694</x:v>
      </x:c>
      <x:c r="E47" s="25" t="str">
        <x:v>grid_u4lflnxf.xlsx</x:v>
      </x:c>
      <x:c r="F47" s="28" t="n">
        <x:v>12498.0567318548</x:v>
      </x:c>
      <x:c r="G47" s="28" t="n">
        <x:v>1319.9249367674</x:v>
      </x:c>
      <x:c r="H47" s="28" t="n">
        <x:v>790.075864851</x:v>
      </x:c>
      <x:c r="I47" s="28" t="n">
        <x:v>2435.7213562732</x:v>
      </x:c>
      <x:c r="J47" s="28" t="n">
        <x:v>26793.3038270447</x:v>
      </x:c>
      <x:c r="K47" s="28" t="n">
        <x:v>8103.5484130568</x:v>
      </x:c>
      <x:c r="L47" s="28" t="n">
        <x:v>553.0475275191</x:v>
      </x:c>
      <x:c r="M47" s="28" t="n">
        <x:v>520.8882852085</x:v>
      </x:c>
      <x:c r="N47" s="28"/>
      <x:c r="O47" s="28" t="n">
        <x:v>21850.6332452895</x:v>
      </x:c>
      <x:c r="P47" s="28"/>
      <x:c r="Q47" s="28" t="n">
        <x:v>1752.0980053611</x:v>
      </x:c>
      <x:c r="R47" s="28" t="n">
        <x:v>1139.2069275141</x:v>
      </x:c>
    </x:row>
    <x:row r="48">
      <x:c r="C48" s="19" t="n">
        <x:v>40695</x:v>
      </x:c>
      <x:c r="D48" s="19" t="n">
        <x:v>40724</x:v>
      </x:c>
      <x:c r="E48" s="25" t="str">
        <x:v>grid_u4lflnxf.xlsx</x:v>
      </x:c>
      <x:c r="F48" s="28" t="n">
        <x:v>13424.2893837919</x:v>
      </x:c>
      <x:c r="G48" s="28" t="n">
        <x:v>2389.7870647694</x:v>
      </x:c>
      <x:c r="H48" s="28" t="n">
        <x:v>787.4419924644</x:v>
      </x:c>
      <x:c r="I48" s="28" t="n">
        <x:v>2510.4603908635</x:v>
      </x:c>
      <x:c r="J48" s="28" t="n">
        <x:v>28449.1181149492</x:v>
      </x:c>
      <x:c r="K48" s="28" t="n">
        <x:v>9452.6372133544</x:v>
      </x:c>
      <x:c r="L48" s="28" t="n">
        <x:v>525.4246025792</x:v>
      </x:c>
      <x:c r="M48" s="28" t="n">
        <x:v>515.0624623386</x:v>
      </x:c>
      <x:c r="N48" s="28"/>
      <x:c r="O48" s="28" t="n">
        <x:v>22756.2240533617</x:v>
      </x:c>
      <x:c r="P48" s="28"/>
      <x:c r="Q48" s="28" t="n">
        <x:v>1795.0593674208</x:v>
      </x:c>
      <x:c r="R48" s="28" t="n">
        <x:v>921.371915574</x:v>
      </x:c>
    </x:row>
    <x:row r="49">
      <x:c r="C49" s="19" t="n">
        <x:v>40725</x:v>
      </x:c>
      <x:c r="D49" s="19" t="n">
        <x:v>40753</x:v>
      </x:c>
      <x:c r="E49" s="25" t="str">
        <x:v>grid_u4lflnxf.xlsx</x:v>
      </x:c>
      <x:c r="F49" s="28" t="n">
        <x:v>14082.4292593319</x:v>
      </x:c>
      <x:c r="G49" s="28" t="n">
        <x:v>2929.4215102342</x:v>
      </x:c>
      <x:c r="H49" s="28" t="n">
        <x:v>786.7087112515</x:v>
      </x:c>
      <x:c r="I49" s="28" t="n">
        <x:v>2490.1949147087</x:v>
      </x:c>
      <x:c r="J49" s="28" t="n">
        <x:v>29939.8687573529</x:v>
      </x:c>
      <x:c r="K49" s="28" t="n">
        <x:v>9316.5435544272</x:v>
      </x:c>
      <x:c r="L49" s="28" t="n">
        <x:v>545.8681822076</x:v>
      </x:c>
      <x:c r="M49" s="28" t="n">
        <x:v>494.3743968192</x:v>
      </x:c>
      <x:c r="N49" s="28"/>
      <x:c r="O49" s="28" t="n">
        <x:v>23901.6559763312</x:v>
      </x:c>
      <x:c r="P49" s="28"/>
      <x:c r="Q49" s="28" t="n">
        <x:v>1759.9508968575</x:v>
      </x:c>
      <x:c r="R49" s="28" t="n">
        <x:v>847.7228396374</x:v>
      </x:c>
    </x:row>
    <x:row r="50">
      <x:c r="C50" s="19" t="n">
        <x:v>40756</x:v>
      </x:c>
      <x:c r="D50" s="19" t="n">
        <x:v>40786</x:v>
      </x:c>
      <x:c r="E50" s="25" t="str">
        <x:v>grid_u4lflnxf.xlsx</x:v>
      </x:c>
      <x:c r="F50" s="28" t="n">
        <x:v>13480.6643563939</x:v>
      </x:c>
      <x:c r="G50" s="28" t="n">
        <x:v>2994.2119113416</x:v>
      </x:c>
      <x:c r="H50" s="28" t="n">
        <x:v>768.6649492088</x:v>
      </x:c>
      <x:c r="I50" s="28" t="n">
        <x:v>2898.5980283492</x:v>
      </x:c>
      <x:c r="J50" s="28" t="n">
        <x:v>31037.4498452394</x:v>
      </x:c>
      <x:c r="K50" s="28" t="n">
        <x:v>9078.7948755107</x:v>
      </x:c>
      <x:c r="L50" s="28" t="n">
        <x:v>438.4706773333</x:v>
      </x:c>
      <x:c r="M50" s="28" t="n">
        <x:v>491.5584673562</x:v>
      </x:c>
      <x:c r="N50" s="28"/>
      <x:c r="O50" s="28" t="n">
        <x:v>22698.7036046967</x:v>
      </x:c>
      <x:c r="P50" s="28"/>
      <x:c r="Q50" s="28" t="n">
        <x:v>1807.9884465755</x:v>
      </x:c>
      <x:c r="R50" s="28" t="n">
        <x:v>826.0067197808</x:v>
      </x:c>
    </x:row>
    <x:row r="51">
      <x:c r="C51" s="19" t="n">
        <x:v>40787</x:v>
      </x:c>
      <x:c r="D51" s="19" t="n">
        <x:v>40816</x:v>
      </x:c>
      <x:c r="E51" s="25" t="str">
        <x:v>grid_u4lflnxf.xlsx</x:v>
      </x:c>
      <x:c r="F51" s="28" t="n">
        <x:v>13359.1834293639</x:v>
      </x:c>
      <x:c r="G51" s="28" t="n">
        <x:v>2948.7514387733</x:v>
      </x:c>
      <x:c r="H51" s="28" t="n">
        <x:v>762.2980051366</x:v>
      </x:c>
      <x:c r="I51" s="28" t="n">
        <x:v>3004.3038723871</x:v>
      </x:c>
      <x:c r="J51" s="28" t="n">
        <x:v>28543.0045469092</x:v>
      </x:c>
      <x:c r="K51" s="28" t="n">
        <x:v>9527.1469130743</x:v>
      </x:c>
      <x:c r="L51" s="28" t="n">
        <x:v>403.3323367869</x:v>
      </x:c>
      <x:c r="M51" s="28" t="n">
        <x:v>472.1628707411</x:v>
      </x:c>
      <x:c r="N51" s="28"/>
      <x:c r="O51" s="28" t="n">
        <x:v>21510.8729959273</x:v>
      </x:c>
      <x:c r="P51" s="28" t="n">
        <x:v>460.5195633661</x:v>
      </x:c>
      <x:c r="Q51" s="28" t="n">
        <x:v>1855.7691537075</x:v>
      </x:c>
      <x:c r="R51" s="28" t="n">
        <x:v>872.9549825487</x:v>
      </x:c>
    </x:row>
    <x:row r="52">
      <x:c r="C52" s="19" t="n">
        <x:v>40817</x:v>
      </x:c>
      <x:c r="D52" s="19" t="n">
        <x:v>40847</x:v>
      </x:c>
      <x:c r="E52" s="25" t="str">
        <x:v>grid_u4lflnxf.xlsx</x:v>
      </x:c>
      <x:c r="F52" s="28" t="n">
        <x:v>12887.0678723443</x:v>
      </x:c>
      <x:c r="G52" s="28" t="n">
        <x:v>2977.0701891964</x:v>
      </x:c>
      <x:c r="H52" s="28" t="n">
        <x:v>752.131827794</x:v>
      </x:c>
      <x:c r="I52" s="28" t="n">
        <x:v>2899.0165610773</x:v>
      </x:c>
      <x:c r="J52" s="28" t="n">
        <x:v>26850.8698277753</x:v>
      </x:c>
      <x:c r="K52" s="28" t="n">
        <x:v>9437.524090057</x:v>
      </x:c>
      <x:c r="L52" s="28" t="n">
        <x:v>383.61716</x:v>
      </x:c>
      <x:c r="M52" s="28" t="n">
        <x:v>466.6707162304</x:v>
      </x:c>
      <x:c r="N52" s="28"/>
      <x:c r="O52" s="28" t="n">
        <x:v>20890.4847280369</x:v>
      </x:c>
      <x:c r="P52" s="28" t="n">
        <x:v>475.9303413333</x:v>
      </x:c>
      <x:c r="Q52" s="28" t="n">
        <x:v>1821.7665095419</x:v>
      </x:c>
      <x:c r="R52" s="28" t="n">
        <x:v>876.1319132994</x:v>
      </x:c>
    </x:row>
    <x:row r="53">
      <x:c r="C53" s="19" t="n">
        <x:v>40848</x:v>
      </x:c>
      <x:c r="D53" s="19" t="n">
        <x:v>40877</x:v>
      </x:c>
      <x:c r="E53" s="25" t="str">
        <x:v>grid_u4lflnxf.xlsx</x:v>
      </x:c>
      <x:c r="F53" s="28" t="n">
        <x:v>13114.066429376</x:v>
      </x:c>
      <x:c r="G53" s="28" t="n">
        <x:v>3089.3268573958</x:v>
      </x:c>
      <x:c r="H53" s="28" t="n">
        <x:v>766.4121137702</x:v>
      </x:c>
      <x:c r="I53" s="28" t="n">
        <x:v>2909.4205591021</x:v>
      </x:c>
      <x:c r="J53" s="28" t="n">
        <x:v>27913.4061246393</x:v>
      </x:c>
      <x:c r="K53" s="28" t="n">
        <x:v>9473.3467575968</x:v>
      </x:c>
      <x:c r="L53" s="28" t="n">
        <x:v>292.5145780328</x:v>
      </x:c>
      <x:c r="M53" s="28" t="n">
        <x:v>498.0255014364</x:v>
      </x:c>
      <x:c r="N53" s="28"/>
      <x:c r="O53" s="28" t="n">
        <x:v>20853.4362033576</x:v>
      </x:c>
      <x:c r="P53" s="28" t="n">
        <x:v>485.3912752787</x:v>
      </x:c>
      <x:c r="Q53" s="28" t="n">
        <x:v>1773.694406585</x:v>
      </x:c>
      <x:c r="R53" s="28" t="n">
        <x:v>935.7966939423</x:v>
      </x:c>
    </x:row>
    <x:row r="54">
      <x:c r="C54" s="19" t="n">
        <x:v>40878</x:v>
      </x:c>
      <x:c r="D54" s="19" t="n">
        <x:v>40907</x:v>
      </x:c>
      <x:c r="E54" s="25" t="str">
        <x:v>grid_u4lflnxf.xlsx</x:v>
      </x:c>
      <x:c r="F54" s="28" t="n">
        <x:v>12652.2355261844</x:v>
      </x:c>
      <x:c r="G54" s="28" t="n">
        <x:v>3118.0787084255</x:v>
      </x:c>
      <x:c r="H54" s="28" t="n">
        <x:v>825.7391919043</x:v>
      </x:c>
      <x:c r="I54" s="28" t="n">
        <x:v>3072.8995088738</x:v>
      </x:c>
      <x:c r="J54" s="28" t="n">
        <x:v>27142.8586176216</x:v>
      </x:c>
      <x:c r="K54" s="28" t="n">
        <x:v>9585.3141527091</x:v>
      </x:c>
      <x:c r="L54" s="28" t="n">
        <x:v>293.7991712295</x:v>
      </x:c>
      <x:c r="M54" s="28" t="n">
        <x:v>537.6127846518</x:v>
      </x:c>
      <x:c r="N54" s="28"/>
      <x:c r="O54" s="28" t="n">
        <x:v>19816.882645873</x:v>
      </x:c>
      <x:c r="P54" s="28" t="n">
        <x:v>485.7447106448</x:v>
      </x:c>
      <x:c r="Q54" s="28" t="n">
        <x:v>1776.3334837085</x:v>
      </x:c>
      <x:c r="R54" s="28" t="n">
        <x:v>947.7228499073</x:v>
      </x:c>
    </x:row>
    <x:row r="55">
      <x:c r="C55" s="19" t="n">
        <x:v>40909</x:v>
      </x:c>
      <x:c r="D55" s="19" t="n">
        <x:v>40939</x:v>
      </x:c>
      <x:c r="E55" s="25" t="str">
        <x:v>grid_u4lflnxf.xlsx</x:v>
      </x:c>
      <x:c r="F55" s="28" t="n">
        <x:v>11926.744740175</x:v>
      </x:c>
      <x:c r="G55" s="28" t="n">
        <x:v>2908.9099426677</x:v>
      </x:c>
      <x:c r="H55" s="28" t="n">
        <x:v>732.4313504667</x:v>
      </x:c>
      <x:c r="I55" s="28" t="n">
        <x:v>3225.8924329365</x:v>
      </x:c>
      <x:c r="J55" s="28" t="n">
        <x:v>26838.6281662673</x:v>
      </x:c>
      <x:c r="K55" s="28" t="n">
        <x:v>9646.2865666956</x:v>
      </x:c>
      <x:c r="L55" s="28" t="n">
        <x:v>310.0059637459</x:v>
      </x:c>
      <x:c r="M55" s="28" t="n">
        <x:v>516.6192959876</x:v>
      </x:c>
      <x:c r="N55" s="28"/>
      <x:c r="O55" s="28" t="n">
        <x:v>19404.5594182098</x:v>
      </x:c>
      <x:c r="P55" s="28" t="n">
        <x:v>486.6882275068</x:v>
      </x:c>
      <x:c r="Q55" s="28" t="n">
        <x:v>1805.4297649589</x:v>
      </x:c>
      <x:c r="R55" s="28" t="n">
        <x:v>935.7372489183</x:v>
      </x:c>
    </x:row>
    <x:row r="56">
      <x:c r="C56" s="19" t="n">
        <x:v>40940</x:v>
      </x:c>
      <x:c r="D56" s="19" t="n">
        <x:v>40968</x:v>
      </x:c>
      <x:c r="E56" s="25" t="str">
        <x:v>grid_u4lflnxf.xlsx</x:v>
      </x:c>
      <x:c r="F56" s="28" t="n">
        <x:v>10690.2097017882</x:v>
      </x:c>
      <x:c r="G56" s="28" t="n">
        <x:v>2889.3263111715</x:v>
      </x:c>
      <x:c r="H56" s="28" t="n">
        <x:v>702.847124523</x:v>
      </x:c>
      <x:c r="I56" s="28" t="n">
        <x:v>3167.9589913369</x:v>
      </x:c>
      <x:c r="J56" s="28" t="n">
        <x:v>24956.1722412991</x:v>
      </x:c>
      <x:c r="K56" s="28" t="n">
        <x:v>9593.8834497402</x:v>
      </x:c>
      <x:c r="L56" s="28" t="n">
        <x:v>319.1129456323</x:v>
      </x:c>
      <x:c r="M56" s="28" t="n">
        <x:v>521.6193512906</x:v>
      </x:c>
      <x:c r="N56" s="28"/>
      <x:c r="O56" s="28" t="n">
        <x:v>16928.6943933842</x:v>
      </x:c>
      <x:c r="P56" s="28" t="n">
        <x:v>495.145517589</x:v>
      </x:c>
      <x:c r="Q56" s="28" t="n">
        <x:v>1838.027807418</x:v>
      </x:c>
      <x:c r="R56" s="28" t="n">
        <x:v>965.9885148848</x:v>
      </x:c>
    </x:row>
    <x:row r="57">
      <x:c r="C57" s="19" t="n">
        <x:v>40969</x:v>
      </x:c>
      <x:c r="D57" s="19" t="n">
        <x:v>40998</x:v>
      </x:c>
      <x:c r="E57" s="25" t="str">
        <x:v>grid_u4lflnxf.xlsx</x:v>
      </x:c>
      <x:c r="F57" s="28" t="n">
        <x:v>10556.6456148429</x:v>
      </x:c>
      <x:c r="G57" s="28" t="n">
        <x:v>2931.2008005143</x:v>
      </x:c>
      <x:c r="H57" s="28" t="n">
        <x:v>702.3997653921</x:v>
      </x:c>
      <x:c r="I57" s="28" t="n">
        <x:v>3372.5555504163</x:v>
      </x:c>
      <x:c r="J57" s="28" t="n">
        <x:v>25459.2782226215</x:v>
      </x:c>
      <x:c r="K57" s="28" t="n">
        <x:v>9669.8944139814</x:v>
      </x:c>
      <x:c r="L57" s="28" t="n">
        <x:v>321.6138760697</x:v>
      </x:c>
      <x:c r="M57" s="28" t="n">
        <x:v>568.5961008173</x:v>
      </x:c>
      <x:c r="N57" s="28"/>
      <x:c r="O57" s="28" t="n">
        <x:v>16516.6653132999</x:v>
      </x:c>
      <x:c r="P57" s="28" t="n">
        <x:v>508.2415005808</x:v>
      </x:c>
      <x:c r="Q57" s="28" t="n">
        <x:v>1820.2239652472</x:v>
      </x:c>
      <x:c r="R57" s="28" t="n">
        <x:v>989.9978206137</x:v>
      </x:c>
    </x:row>
    <x:row r="58">
      <x:c r="C58" s="19" t="n">
        <x:v>41000</x:v>
      </x:c>
      <x:c r="D58" s="19" t="n">
        <x:v>41029</x:v>
      </x:c>
      <x:c r="E58" s="25" t="str">
        <x:v>grid_u4lflnxf.xlsx</x:v>
      </x:c>
      <x:c r="F58" s="28" t="n">
        <x:v>10530.9039228188</x:v>
      </x:c>
      <x:c r="G58" s="28" t="n">
        <x:v>2191.1385106592</x:v>
      </x:c>
      <x:c r="H58" s="28" t="n">
        <x:v>677.6007227319</x:v>
      </x:c>
      <x:c r="I58" s="28" t="n">
        <x:v>3424.301090892</x:v>
      </x:c>
      <x:c r="J58" s="28" t="n">
        <x:v>25130.9387485097</x:v>
      </x:c>
      <x:c r="K58" s="28" t="n">
        <x:v>9292.8961006017</x:v>
      </x:c>
      <x:c r="L58" s="28" t="n">
        <x:v>331.5316759832</x:v>
      </x:c>
      <x:c r="M58" s="28" t="n">
        <x:v>605.5455763733</x:v>
      </x:c>
      <x:c r="N58" s="28"/>
      <x:c r="O58" s="28" t="n">
        <x:v>16770.3474280973</x:v>
      </x:c>
      <x:c r="P58" s="28" t="n">
        <x:v>499.7701834521</x:v>
      </x:c>
      <x:c r="Q58" s="28" t="n">
        <x:v>1928.7015057533</x:v>
      </x:c>
      <x:c r="R58" s="28" t="n">
        <x:v>980.56302797</x:v>
      </x:c>
    </x:row>
    <x:row r="59">
      <x:c r="C59" s="19" t="n">
        <x:v>41030</x:v>
      </x:c>
      <x:c r="D59" s="19" t="n">
        <x:v>41060</x:v>
      </x:c>
      <x:c r="E59" s="25" t="str">
        <x:v>grid_u4lflnxf.xlsx</x:v>
      </x:c>
      <x:c r="F59" s="28" t="n">
        <x:v>11208.6571100341</x:v>
      </x:c>
      <x:c r="G59" s="28" t="n">
        <x:v>2245.8628879568</x:v>
      </x:c>
      <x:c r="H59" s="28" t="n">
        <x:v>648.2209387212</x:v>
      </x:c>
      <x:c r="I59" s="28" t="n">
        <x:v>3542.586994377</x:v>
      </x:c>
      <x:c r="J59" s="28" t="n">
        <x:v>26335.9323365328</x:v>
      </x:c>
      <x:c r="K59" s="28" t="n">
        <x:v>9753.8213579171</x:v>
      </x:c>
      <x:c r="L59" s="28" t="n">
        <x:v>304.4573313572</x:v>
      </x:c>
      <x:c r="M59" s="28" t="n">
        <x:v>627.3679257466</x:v>
      </x:c>
      <x:c r="N59" s="28"/>
      <x:c r="O59" s="28" t="n">
        <x:v>18261.9091363536</x:v>
      </x:c>
      <x:c r="P59" s="28" t="n">
        <x:v>508.7625258082</x:v>
      </x:c>
      <x:c r="Q59" s="28" t="n">
        <x:v>1947.3732744071</x:v>
      </x:c>
      <x:c r="R59" s="28" t="n">
        <x:v>1088.3169906209</x:v>
      </x:c>
    </x:row>
    <x:row r="60">
      <x:c r="C60" s="19" t="n">
        <x:v>41061</x:v>
      </x:c>
      <x:c r="D60" s="19" t="n">
        <x:v>41089</x:v>
      </x:c>
      <x:c r="E60" s="25" t="str">
        <x:v>grid_u4lflnxf.xlsx</x:v>
      </x:c>
      <x:c r="F60" s="28" t="n">
        <x:v>11266.0398633244</x:v>
      </x:c>
      <x:c r="G60" s="28" t="n">
        <x:v>2193.8774464956</x:v>
      </x:c>
      <x:c r="H60" s="28" t="n">
        <x:v>606.0499594459</x:v>
      </x:c>
      <x:c r="I60" s="28" t="n">
        <x:v>3484.3771867662</x:v>
      </x:c>
      <x:c r="J60" s="28" t="n">
        <x:v>28665.6245906013</x:v>
      </x:c>
      <x:c r="K60" s="28" t="n">
        <x:v>9520.5167377974</x:v>
      </x:c>
      <x:c r="L60" s="28" t="n">
        <x:v>304.4701727359</x:v>
      </x:c>
      <x:c r="M60" s="28" t="n">
        <x:v>634.5962224384</x:v>
      </x:c>
      <x:c r="N60" s="28"/>
      <x:c r="O60" s="28" t="n">
        <x:v>19056.9440499983</x:v>
      </x:c>
      <x:c r="P60" s="28" t="n">
        <x:v>522.4744933699</x:v>
      </x:c>
      <x:c r="Q60" s="28" t="n">
        <x:v>1949.2126297439</x:v>
      </x:c>
      <x:c r="R60" s="28" t="n">
        <x:v>1210.8091897124</x:v>
      </x:c>
    </x:row>
    <x:row r="61">
      <x:c r="C61" s="19" t="n">
        <x:v>41091</x:v>
      </x:c>
      <x:c r="D61" s="19" t="n">
        <x:v>41121</x:v>
      </x:c>
      <x:c r="E61" s="25" t="str">
        <x:v>grid_u4lflnxf.xlsx</x:v>
      </x:c>
      <x:c r="F61" s="28" t="n">
        <x:v>10632.0735664755</x:v>
      </x:c>
      <x:c r="G61" s="28" t="n">
        <x:v>2073.6007834344</x:v>
      </x:c>
      <x:c r="H61" s="28" t="n">
        <x:v>575.4531073831</x:v>
      </x:c>
      <x:c r="I61" s="28" t="n">
        <x:v>3460.7078492711</x:v>
      </x:c>
      <x:c r="J61" s="28" t="n">
        <x:v>28941.7036795952</x:v>
      </x:c>
      <x:c r="K61" s="28" t="n">
        <x:v>9447.5691956875</x:v>
      </x:c>
      <x:c r="L61" s="28" t="n">
        <x:v>314.1027579228</x:v>
      </x:c>
      <x:c r="M61" s="28" t="n">
        <x:v>621.2165973102</x:v>
      </x:c>
      <x:c r="N61" s="28"/>
      <x:c r="O61" s="28" t="n">
        <x:v>16550.5467700511</x:v>
      </x:c>
      <x:c r="P61" s="28" t="n">
        <x:v>495.2098428493</x:v>
      </x:c>
      <x:c r="Q61" s="28" t="n">
        <x:v>2019.2053152152</x:v>
      </x:c>
      <x:c r="R61" s="28" t="n">
        <x:v>1202.328842561</x:v>
      </x:c>
    </x:row>
    <x:row r="62">
      <x:c r="C62" s="19" t="n">
        <x:v>41122</x:v>
      </x:c>
      <x:c r="D62" s="19" t="n">
        <x:v>41152</x:v>
      </x:c>
      <x:c r="E62" s="25" t="str">
        <x:v>grid_u4lflnxf.xlsx</x:v>
      </x:c>
      <x:c r="F62" s="28" t="n">
        <x:v>10076.8460311019</x:v>
      </x:c>
      <x:c r="G62" s="28" t="n">
        <x:v>2040.0224317226</x:v>
      </x:c>
      <x:c r="H62" s="28" t="n">
        <x:v>512.826237977</x:v>
      </x:c>
      <x:c r="I62" s="28" t="n">
        <x:v>3321.323870976</x:v>
      </x:c>
      <x:c r="J62" s="28" t="n">
        <x:v>28081.1021458037</x:v>
      </x:c>
      <x:c r="K62" s="28" t="n">
        <x:v>9605.4210955242</x:v>
      </x:c>
      <x:c r="L62" s="28" t="n">
        <x:v>309.6026801545</x:v>
      </x:c>
      <x:c r="M62" s="28" t="n">
        <x:v>617.0288215231</x:v>
      </x:c>
      <x:c r="N62" s="28"/>
      <x:c r="O62" s="28" t="n">
        <x:v>14858.3270310621</x:v>
      </x:c>
      <x:c r="P62" s="28" t="n">
        <x:v>536.0638379836</x:v>
      </x:c>
      <x:c r="Q62" s="28" t="n">
        <x:v>2057.5545853049</x:v>
      </x:c>
      <x:c r="R62" s="28" t="n">
        <x:v>1212.2335743693</x:v>
      </x:c>
    </x:row>
    <x:row r="63">
      <x:c r="C63" s="19" t="n">
        <x:v>41153</x:v>
      </x:c>
      <x:c r="D63" s="19" t="n">
        <x:v>41180</x:v>
      </x:c>
      <x:c r="E63" s="25" t="str">
        <x:v>grid_u4lflnxf.xlsx</x:v>
      </x:c>
      <x:c r="F63" s="28" t="n">
        <x:v>9786.2754322708</x:v>
      </x:c>
      <x:c r="G63" s="28" t="n">
        <x:v>2019.7029000117</x:v>
      </x:c>
      <x:c r="H63" s="28" t="n">
        <x:v>494.7069129044</x:v>
      </x:c>
      <x:c r="I63" s="28" t="n">
        <x:v>3565.4871638252</x:v>
      </x:c>
      <x:c r="J63" s="28" t="n">
        <x:v>24122.8196027727</x:v>
      </x:c>
      <x:c r="K63" s="28" t="n">
        <x:v>9009.0730719903</x:v>
      </x:c>
      <x:c r="L63" s="28" t="n">
        <x:v>321.2284057989</x:v>
      </x:c>
      <x:c r="M63" s="28" t="n">
        <x:v>611.6576914426</x:v>
      </x:c>
      <x:c r="N63" s="28"/>
      <x:c r="O63" s="28" t="n">
        <x:v>13508.9680288745</x:v>
      </x:c>
      <x:c r="P63" s="28" t="n">
        <x:v>531.4847659836</x:v>
      </x:c>
      <x:c r="Q63" s="28" t="n">
        <x:v>1879.5766550803</x:v>
      </x:c>
      <x:c r="R63" s="28" t="n">
        <x:v>523.5809504438</x:v>
      </x:c>
    </x:row>
    <x:row r="64">
      <x:c r="C64" s="19" t="n">
        <x:v>41183</x:v>
      </x:c>
      <x:c r="D64" s="19" t="n">
        <x:v>41213</x:v>
      </x:c>
      <x:c r="E64" s="25" t="str">
        <x:v>grid_u4lflnxf.xlsx</x:v>
      </x:c>
      <x:c r="F64" s="28" t="n">
        <x:v>9497.0199476158</x:v>
      </x:c>
      <x:c r="G64" s="28" t="n">
        <x:v>2076.6676887866</x:v>
      </x:c>
      <x:c r="H64" s="28" t="n">
        <x:v>491.3008075197</x:v>
      </x:c>
      <x:c r="I64" s="28" t="n">
        <x:v>3776.8462276617</x:v>
      </x:c>
      <x:c r="J64" s="28" t="n">
        <x:v>24746.3216834776</x:v>
      </x:c>
      <x:c r="K64" s="28" t="n">
        <x:v>8833.2973666794</x:v>
      </x:c>
      <x:c r="L64" s="28" t="n">
        <x:v>330.0121246723</x:v>
      </x:c>
      <x:c r="M64" s="28" t="n">
        <x:v>654.6084797295</x:v>
      </x:c>
      <x:c r="N64" s="28"/>
      <x:c r="O64" s="28" t="n">
        <x:v>12741.1508552738</x:v>
      </x:c>
      <x:c r="P64" s="28" t="n">
        <x:v>550.4699807562</x:v>
      </x:c>
      <x:c r="Q64" s="28" t="n">
        <x:v>1915.7295621137</x:v>
      </x:c>
      <x:c r="R64" s="28" t="n">
        <x:v>534.0000747836</x:v>
      </x:c>
    </x:row>
    <x:row r="65">
      <x:c r="C65" s="19" t="n">
        <x:v>41214</x:v>
      </x:c>
      <x:c r="D65" s="19" t="n">
        <x:v>41243</x:v>
      </x:c>
      <x:c r="E65" s="25" t="str">
        <x:v>grid_u4lflnxf.xlsx</x:v>
      </x:c>
      <x:c r="F65" s="28" t="n">
        <x:v>9098.0576414327</x:v>
      </x:c>
      <x:c r="G65" s="28" t="n">
        <x:v>2120.7030596364</x:v>
      </x:c>
      <x:c r="H65" s="28" t="n">
        <x:v>489.5548022528</x:v>
      </x:c>
      <x:c r="I65" s="28" t="n">
        <x:v>3812.7252148568</x:v>
      </x:c>
      <x:c r="J65" s="28" t="n">
        <x:v>24043.5654353837</x:v>
      </x:c>
      <x:c r="K65" s="28" t="n">
        <x:v>8877.6591788869</x:v>
      </x:c>
      <x:c r="L65" s="28" t="n">
        <x:v>342.0314652834</x:v>
      </x:c>
      <x:c r="M65" s="28" t="n">
        <x:v>670.1346016697</x:v>
      </x:c>
      <x:c r="N65" s="28"/>
      <x:c r="O65" s="28" t="n">
        <x:v>12431.3268556299</x:v>
      </x:c>
      <x:c r="P65" s="28" t="n">
        <x:v>564.6154920329</x:v>
      </x:c>
      <x:c r="Q65" s="28" t="n">
        <x:v>1474.1588906973</x:v>
      </x:c>
      <x:c r="R65" s="28" t="n">
        <x:v>544.8751417863</x:v>
      </x:c>
    </x:row>
    <x:row r="66">
      <x:c r="C66" s="19" t="n">
        <x:v>41244</x:v>
      </x:c>
      <x:c r="D66" s="19" t="n">
        <x:v>41274</x:v>
      </x:c>
      <x:c r="E66" s="25" t="str">
        <x:v>grid_u4lflnxf.xlsx</x:v>
      </x:c>
      <x:c r="F66" s="28" t="n">
        <x:v>9301.8568644363</x:v>
      </x:c>
      <x:c r="G66" s="28" t="n">
        <x:v>2134.2832308123</x:v>
      </x:c>
      <x:c r="H66" s="28" t="n">
        <x:v>492.7488605359</x:v>
      </x:c>
      <x:c r="I66" s="28" t="n">
        <x:v>3868.3884340718</x:v>
      </x:c>
      <x:c r="J66" s="28" t="n">
        <x:v>24629.2664472646</x:v>
      </x:c>
      <x:c r="K66" s="28" t="n">
        <x:v>8987.1072175709</x:v>
      </x:c>
      <x:c r="L66" s="28" t="n">
        <x:v>365.3233877891</x:v>
      </x:c>
      <x:c r="M66" s="28" t="n">
        <x:v>666.1292039095</x:v>
      </x:c>
      <x:c r="N66" s="28"/>
      <x:c r="O66" s="28" t="n">
        <x:v>12747.4096102477</x:v>
      </x:c>
      <x:c r="P66" s="28" t="n">
        <x:v>576.286016</x:v>
      </x:c>
      <x:c r="Q66" s="28" t="n">
        <x:v>1478.4958756012</x:v>
      </x:c>
      <x:c r="R66" s="28" t="n">
        <x:v>564.777984</x:v>
      </x:c>
    </x:row>
    <x:row r="67">
      <x:c r="C67" s="19" t="n">
        <x:v>41275</x:v>
      </x:c>
      <x:c r="D67" s="19" t="n">
        <x:v>41305</x:v>
      </x:c>
      <x:c r="E67" s="25" t="str">
        <x:v>grid_u4lflnxf.xlsx</x:v>
      </x:c>
      <x:c r="F67" s="28" t="n">
        <x:v>8721.8682400607</x:v>
      </x:c>
      <x:c r="G67" s="28" t="n">
        <x:v>2078.1901142644</x:v>
      </x:c>
      <x:c r="H67" s="28" t="n">
        <x:v>500.2834897288</x:v>
      </x:c>
      <x:c r="I67" s="28" t="n">
        <x:v>4027.6209073705</x:v>
      </x:c>
      <x:c r="J67" s="28" t="n">
        <x:v>23926.6760853625</x:v>
      </x:c>
      <x:c r="K67" s="28" t="n">
        <x:v>8867.9089228475</x:v>
      </x:c>
      <x:c r="L67" s="28" t="n">
        <x:v>355.9095751728</x:v>
      </x:c>
      <x:c r="M67" s="28" t="n">
        <x:v>712.1489647819</x:v>
      </x:c>
      <x:c r="N67" s="28"/>
      <x:c r="O67" s="28" t="n">
        <x:v>11691.6710856971</x:v>
      </x:c>
      <x:c r="P67" s="28" t="n">
        <x:v>584.341791737</x:v>
      </x:c>
      <x:c r="Q67" s="28" t="n">
        <x:v>1239.6142553002</x:v>
      </x:c>
      <x:c r="R67" s="28" t="n">
        <x:v>572.3670703342</x:v>
      </x:c>
    </x:row>
    <x:row r="68">
      <x:c r="C68" s="19" t="n">
        <x:v>41306</x:v>
      </x:c>
      <x:c r="D68" s="19" t="n">
        <x:v>41333</x:v>
      </x:c>
      <x:c r="E68" s="25" t="str">
        <x:v>grid_u4lflnxf.xlsx</x:v>
      </x:c>
      <x:c r="F68" s="28" t="n">
        <x:v>8564.557840721</x:v>
      </x:c>
      <x:c r="G68" s="28" t="n">
        <x:v>2220.528215696</x:v>
      </x:c>
      <x:c r="H68" s="28" t="n">
        <x:v>483.7263884316</x:v>
      </x:c>
      <x:c r="I68" s="28" t="n">
        <x:v>4041.2124178934</x:v>
      </x:c>
      <x:c r="J68" s="28" t="n">
        <x:v>22734.3726385664</x:v>
      </x:c>
      <x:c r="K68" s="28" t="n">
        <x:v>8907.1813379542</x:v>
      </x:c>
      <x:c r="L68" s="28" t="n">
        <x:v>363.6386505006</x:v>
      </x:c>
      <x:c r="M68" s="28" t="n">
        <x:v>733.5962430722</x:v>
      </x:c>
      <x:c r="N68" s="28"/>
      <x:c r="O68" s="28" t="n">
        <x:v>12533.5395645364</x:v>
      </x:c>
      <x:c r="P68" s="28" t="n">
        <x:v>594.9695768548</x:v>
      </x:c>
      <x:c r="Q68" s="28" t="n">
        <x:v>1438.0107935126</x:v>
      </x:c>
      <x:c r="R68" s="28" t="n">
        <x:v>583.8380943781</x:v>
      </x:c>
    </x:row>
    <x:row r="69">
      <x:c r="C69" s="19" t="n">
        <x:v>41334</x:v>
      </x:c>
      <x:c r="D69" s="19" t="n">
        <x:v>41362</x:v>
      </x:c>
      <x:c r="E69" s="25" t="str">
        <x:v>grid_u4lflnxf.xlsx</x:v>
      </x:c>
      <x:c r="F69" s="28" t="n">
        <x:v>8834.0013893503</x:v>
      </x:c>
      <x:c r="G69" s="28" t="n">
        <x:v>2256.9896204269</x:v>
      </x:c>
      <x:c r="H69" s="28" t="n">
        <x:v>472.8572692698</x:v>
      </x:c>
      <x:c r="I69" s="28" t="n">
        <x:v>4078.4525157374</x:v>
      </x:c>
      <x:c r="J69" s="28" t="n">
        <x:v>25614.5324675052</x:v>
      </x:c>
      <x:c r="K69" s="28" t="n">
        <x:v>9131.3181471644</x:v>
      </x:c>
      <x:c r="L69" s="28" t="n">
        <x:v>365.0175160492</x:v>
      </x:c>
      <x:c r="M69" s="28" t="n">
        <x:v>761.8826294056</x:v>
      </x:c>
      <x:c r="N69" s="28"/>
      <x:c r="O69" s="28" t="n">
        <x:v>11757.7461652514</x:v>
      </x:c>
      <x:c r="P69" s="28" t="n">
        <x:v>603.661562389</x:v>
      </x:c>
      <x:c r="Q69" s="28" t="n">
        <x:v>1488.5537806868</x:v>
      </x:c>
      <x:c r="R69" s="28" t="n">
        <x:v>584.6712214795</x:v>
      </x:c>
    </x:row>
    <x:row r="70">
      <x:c r="C70" s="19" t="n">
        <x:v>41365</x:v>
      </x:c>
      <x:c r="D70" s="19" t="n">
        <x:v>41394</x:v>
      </x:c>
      <x:c r="E70" s="25" t="str">
        <x:v>grid_u4lflnxf.xlsx</x:v>
      </x:c>
      <x:c r="F70" s="28" t="n">
        <x:v>9500.2555266344</x:v>
      </x:c>
      <x:c r="G70" s="28" t="n">
        <x:v>2338.6433455496</x:v>
      </x:c>
      <x:c r="H70" s="28" t="n">
        <x:v>471.0635716292</x:v>
      </x:c>
      <x:c r="I70" s="28" t="n">
        <x:v>4028.9634886273</x:v>
      </x:c>
      <x:c r="J70" s="28" t="n">
        <x:v>27708.3166242333</x:v>
      </x:c>
      <x:c r="K70" s="28" t="n">
        <x:v>9033.5613442413</x:v>
      </x:c>
      <x:c r="L70" s="28" t="n">
        <x:v>368.654327119</x:v>
      </x:c>
      <x:c r="M70" s="28" t="n">
        <x:v>770.8932431916</x:v>
      </x:c>
      <x:c r="N70" s="28"/>
      <x:c r="O70" s="28" t="n">
        <x:v>12221.9587316094</x:v>
      </x:c>
      <x:c r="P70" s="28" t="n">
        <x:v>625.8535504658</x:v>
      </x:c>
      <x:c r="Q70" s="28" t="n">
        <x:v>1451.7871584986</x:v>
      </x:c>
      <x:c r="R70" s="28" t="n">
        <x:v>590.1753372055</x:v>
      </x:c>
    </x:row>
    <x:row r="71">
      <x:c r="C71" s="19" t="n">
        <x:v>41395</x:v>
      </x:c>
      <x:c r="D71" s="19" t="n">
        <x:v>41425</x:v>
      </x:c>
      <x:c r="E71" s="25" t="str">
        <x:v>grid_u4lflnxf.xlsx</x:v>
      </x:c>
      <x:c r="F71" s="28" t="n">
        <x:v>9065.5175875768</x:v>
      </x:c>
      <x:c r="G71" s="28" t="n">
        <x:v>2187.3733693276</x:v>
      </x:c>
      <x:c r="H71" s="28" t="n">
        <x:v>410.7915235656</x:v>
      </x:c>
      <x:c r="I71" s="28" t="n">
        <x:v>3835.2336206894</x:v>
      </x:c>
      <x:c r="J71" s="28" t="n">
        <x:v>24667.149536862</x:v>
      </x:c>
      <x:c r="K71" s="28" t="n">
        <x:v>9443.5089783577</x:v>
      </x:c>
      <x:c r="L71" s="28" t="n">
        <x:v>362.7173266929</x:v>
      </x:c>
      <x:c r="M71" s="28" t="n">
        <x:v>820.6422467219</x:v>
      </x:c>
      <x:c r="N71" s="28"/>
      <x:c r="O71" s="28" t="n">
        <x:v>11752.1107111209</x:v>
      </x:c>
      <x:c r="P71" s="28" t="n">
        <x:v>522.9467774578</x:v>
      </x:c>
      <x:c r="Q71" s="28" t="n">
        <x:v>1386.1759549246</x:v>
      </x:c>
      <x:c r="R71" s="28" t="n">
        <x:v>585.998867463</x:v>
      </x:c>
    </x:row>
    <x:row r="72">
      <x:c r="C72" s="19" t="n">
        <x:v>41426</x:v>
      </x:c>
      <x:c r="D72" s="19" t="n">
        <x:v>41453</x:v>
      </x:c>
      <x:c r="E72" s="25" t="str">
        <x:v>grid_u4lflnxf.xlsx</x:v>
      </x:c>
      <x:c r="F72" s="28" t="n">
        <x:v>8839.8019737839</x:v>
      </x:c>
      <x:c r="G72" s="28" t="n">
        <x:v>2180.4286953939</x:v>
      </x:c>
      <x:c r="H72" s="28" t="n">
        <x:v>431.7721243375</x:v>
      </x:c>
      <x:c r="I72" s="28" t="n">
        <x:v>4000.9288690379</x:v>
      </x:c>
      <x:c r="J72" s="28" t="n">
        <x:v>25703.1926968445</x:v>
      </x:c>
      <x:c r="K72" s="28" t="n">
        <x:v>9351.0750533163</x:v>
      </x:c>
      <x:c r="L72" s="28" t="n">
        <x:v>346.7067918402</x:v>
      </x:c>
      <x:c r="M72" s="28" t="n">
        <x:v>887.4316189195</x:v>
      </x:c>
      <x:c r="N72" s="28"/>
      <x:c r="O72" s="28" t="n">
        <x:v>11999.2722469657</x:v>
      </x:c>
      <x:c r="P72" s="28" t="n">
        <x:v>520.1135906039</x:v>
      </x:c>
      <x:c r="Q72" s="28" t="n">
        <x:v>1490.2990928503</x:v>
      </x:c>
      <x:c r="R72" s="28" t="n">
        <x:v>596.5340393205</x:v>
      </x:c>
    </x:row>
    <x:row r="73">
      <x:c r="C73" s="19" t="n">
        <x:v>41456</x:v>
      </x:c>
      <x:c r="D73" s="19" t="n">
        <x:v>41486</x:v>
      </x:c>
      <x:c r="E73" s="25" t="str">
        <x:v>grid_u4lflnxf.xlsx</x:v>
      </x:c>
      <x:c r="F73" s="28" t="n">
        <x:v>8638.2208788512</x:v>
      </x:c>
      <x:c r="G73" s="28" t="n">
        <x:v>2094.3018835893</x:v>
      </x:c>
      <x:c r="H73" s="28" t="n">
        <x:v>445.6313637991</x:v>
      </x:c>
      <x:c r="I73" s="28" t="n">
        <x:v>4181.2497094962</x:v>
      </x:c>
      <x:c r="J73" s="28" t="n">
        <x:v>24974.4183713068</x:v>
      </x:c>
      <x:c r="K73" s="28" t="n">
        <x:v>9343.4537147637</x:v>
      </x:c>
      <x:c r="L73" s="28" t="n">
        <x:v>359.0984878469</x:v>
      </x:c>
      <x:c r="M73" s="28" t="n">
        <x:v>862.4438740913</x:v>
      </x:c>
      <x:c r="N73" s="28"/>
      <x:c r="O73" s="28" t="n">
        <x:v>11546.9979740734</x:v>
      </x:c>
      <x:c r="P73" s="28" t="n">
        <x:v>497.3851313212</x:v>
      </x:c>
      <x:c r="Q73" s="28" t="n">
        <x:v>1497.1272791384</x:v>
      </x:c>
      <x:c r="R73" s="28" t="n">
        <x:v>579.7873902466</x:v>
      </x:c>
    </x:row>
    <x:row r="74">
      <x:c r="C74" s="19" t="n">
        <x:v>41487</x:v>
      </x:c>
      <x:c r="D74" s="19" t="n">
        <x:v>41516</x:v>
      </x:c>
      <x:c r="E74" s="25" t="str">
        <x:v>grid_u4lflnxf.xlsx</x:v>
      </x:c>
      <x:c r="F74" s="28" t="n">
        <x:v>8762.8312734115</x:v>
      </x:c>
      <x:c r="G74" s="28" t="n">
        <x:v>2130.4458969</x:v>
      </x:c>
      <x:c r="H74" s="28" t="n">
        <x:v>450.5176339959</x:v>
      </x:c>
      <x:c r="I74" s="28" t="n">
        <x:v>4202.7839698254</x:v>
      </x:c>
      <x:c r="J74" s="28" t="n">
        <x:v>28533.0969193723</x:v>
      </x:c>
      <x:c r="K74" s="28" t="n">
        <x:v>9405.3133664328</x:v>
      </x:c>
      <x:c r="L74" s="28" t="n">
        <x:v>361.7633262917</x:v>
      </x:c>
      <x:c r="M74" s="28" t="n">
        <x:v>811.0513916658</x:v>
      </x:c>
      <x:c r="N74" s="28"/>
      <x:c r="O74" s="28" t="n">
        <x:v>11099.5355012367</x:v>
      </x:c>
      <x:c r="P74" s="28" t="n">
        <x:v>498.1243909236</x:v>
      </x:c>
      <x:c r="Q74" s="28" t="n">
        <x:v>1434.417457186</x:v>
      </x:c>
      <x:c r="R74" s="28" t="n">
        <x:v>587.6580491397</x:v>
      </x:c>
    </x:row>
    <x:row r="75">
      <x:c r="C75" s="19" t="n">
        <x:v>41518</x:v>
      </x:c>
      <x:c r="D75" s="19" t="n">
        <x:v>41547</x:v>
      </x:c>
      <x:c r="E75" s="25" t="str">
        <x:v>grid_u4lflnxf.xlsx</x:v>
      </x:c>
      <x:c r="F75" s="28" t="n">
        <x:v>8556.5196115296</x:v>
      </x:c>
      <x:c r="G75" s="28" t="n">
        <x:v>1819.2841975912</x:v>
      </x:c>
      <x:c r="H75" s="28" t="n">
        <x:v>448.5617909639</x:v>
      </x:c>
      <x:c r="I75" s="28" t="n">
        <x:v>4179.5858057917</x:v>
      </x:c>
      <x:c r="J75" s="28" t="n">
        <x:v>23538.6862699703</x:v>
      </x:c>
      <x:c r="K75" s="28" t="n">
        <x:v>9583.5919754196</x:v>
      </x:c>
      <x:c r="L75" s="28" t="n">
        <x:v>375.7508343243</x:v>
      </x:c>
      <x:c r="M75" s="28" t="n">
        <x:v>777.7208881065</x:v>
      </x:c>
      <x:c r="N75" s="28"/>
      <x:c r="O75" s="28" t="n">
        <x:v>11767.3299107645</x:v>
      </x:c>
      <x:c r="P75" s="28" t="n">
        <x:v>508.0164345439</x:v>
      </x:c>
      <x:c r="Q75" s="28" t="n">
        <x:v>1482.533605963</x:v>
      </x:c>
      <x:c r="R75" s="28" t="n">
        <x:v>604.6098873863</x:v>
      </x:c>
    </x:row>
    <x:row r="76">
      <x:c r="C76" s="19" t="n">
        <x:v>41548</x:v>
      </x:c>
      <x:c r="D76" s="19" t="n">
        <x:v>41578</x:v>
      </x:c>
      <x:c r="E76" s="25" t="str">
        <x:v>grid_u4lflnxf.xlsx</x:v>
      </x:c>
      <x:c r="F76" s="28" t="n">
        <x:v>8664.9237666048</x:v>
      </x:c>
      <x:c r="G76" s="28" t="n">
        <x:v>1743.7489699416</x:v>
      </x:c>
      <x:c r="H76" s="28" t="n">
        <x:v>451.0040942718</x:v>
      </x:c>
      <x:c r="I76" s="28" t="n">
        <x:v>4285.0501436336</x:v>
      </x:c>
      <x:c r="J76" s="28" t="n">
        <x:v>24035.4780736236</x:v>
      </x:c>
      <x:c r="K76" s="28" t="n">
        <x:v>9697.0022195956</x:v>
      </x:c>
      <x:c r="L76" s="28" t="n">
        <x:v>386.0181280152</x:v>
      </x:c>
      <x:c r="M76" s="28" t="n">
        <x:v>795.3577684588</x:v>
      </x:c>
      <x:c r="N76" s="28"/>
      <x:c r="O76" s="28" t="n">
        <x:v>11330.4070557485</x:v>
      </x:c>
      <x:c r="P76" s="28" t="n">
        <x:v>489.6837839829</x:v>
      </x:c>
      <x:c r="Q76" s="28" t="n">
        <x:v>1480.8775236615</x:v>
      </x:c>
      <x:c r="R76" s="28" t="n">
        <x:v>576.5774265863</x:v>
      </x:c>
    </x:row>
    <x:row r="77">
      <x:c r="C77" s="19" t="n">
        <x:v>41579</x:v>
      </x:c>
      <x:c r="D77" s="19" t="n">
        <x:v>41607</x:v>
      </x:c>
      <x:c r="E77" s="25" t="str">
        <x:v>grid_u4lflnxf.xlsx</x:v>
      </x:c>
      <x:c r="F77" s="28" t="n">
        <x:v>9251.2241397479</x:v>
      </x:c>
      <x:c r="G77" s="28" t="n">
        <x:v>1669.831172512</x:v>
      </x:c>
      <x:c r="H77" s="28" t="n">
        <x:v>452.9724576136</x:v>
      </x:c>
      <x:c r="I77" s="28" t="n">
        <x:v>4547.1632789581</x:v>
      </x:c>
      <x:c r="J77" s="28" t="n">
        <x:v>29458.659328</x:v>
      </x:c>
      <x:c r="K77" s="28" t="n">
        <x:v>9762.8530478356</x:v>
      </x:c>
      <x:c r="L77" s="28" t="n">
        <x:v>389.1676215366</x:v>
      </x:c>
      <x:c r="M77" s="28" t="n">
        <x:v>836.7662567708</x:v>
      </x:c>
      <x:c r="N77" s="28"/>
      <x:c r="O77" s="28" t="n">
        <x:v>12223.521234596</x:v>
      </x:c>
      <x:c r="P77" s="28" t="n">
        <x:v>498.3902654547</x:v>
      </x:c>
      <x:c r="Q77" s="28" t="n">
        <x:v>1486.7814653657</x:v>
      </x:c>
      <x:c r="R77" s="28" t="n">
        <x:v>570.3773801205</x:v>
      </x:c>
    </x:row>
    <x:row r="78">
      <x:c r="C78" s="19" t="n">
        <x:v>41609</x:v>
      </x:c>
      <x:c r="D78" s="19" t="n">
        <x:v>41639</x:v>
      </x:c>
      <x:c r="E78" s="25" t="str">
        <x:v>grid_u4lflnxf.xlsx</x:v>
      </x:c>
      <x:c r="F78" s="28" t="n">
        <x:v>9121.4767045524</x:v>
      </x:c>
      <x:c r="G78" s="28" t="n">
        <x:v>1656.5205863382</x:v>
      </x:c>
      <x:c r="H78" s="28" t="n">
        <x:v>427.956792038</x:v>
      </x:c>
      <x:c r="I78" s="28" t="n">
        <x:v>4627.1785643606</x:v>
      </x:c>
      <x:c r="J78" s="28" t="n">
        <x:v>30840.199168</x:v>
      </x:c>
      <x:c r="K78" s="28" t="n">
        <x:v>9853.0191125744</x:v>
      </x:c>
      <x:c r="L78" s="28" t="n">
        <x:v>370.1177205208</x:v>
      </x:c>
      <x:c r="M78" s="28" t="n">
        <x:v>841.273995525</x:v>
      </x:c>
      <x:c r="N78" s="28"/>
      <x:c r="O78" s="28" t="n">
        <x:v>11864.0310398074</x:v>
      </x:c>
      <x:c r="P78" s="28" t="n">
        <x:v>489.6129788538</x:v>
      </x:c>
      <x:c r="Q78" s="28" t="n">
        <x:v>1534.2181854245</x:v>
      </x:c>
      <x:c r="R78" s="28" t="n">
        <x:v>550.899968</x:v>
      </x:c>
    </x:row>
    <x:row r="79">
      <x:c r="C79" s="19" t="n">
        <x:v>41640</x:v>
      </x:c>
      <x:c r="D79" s="19" t="n">
        <x:v>41670</x:v>
      </x:c>
      <x:c r="E79" s="25" t="str">
        <x:v>grid_vtqvtw11.xlsx</x:v>
      </x:c>
      <x:c r="F79" s="28" t="n">
        <x:v>10506.2989409663</x:v>
      </x:c>
      <x:c r="G79" s="28" t="n">
        <x:v>2217.0558954619</x:v>
      </x:c>
      <x:c r="H79" s="28" t="n">
        <x:v>544.8385351719</x:v>
      </x:c>
      <x:c r="I79" s="28" t="n">
        <x:v>6098.7104827689</x:v>
      </x:c>
      <x:c r="J79" s="28" t="n">
        <x:v>30005.7002657315</x:v>
      </x:c>
      <x:c r="K79" s="28" t="n">
        <x:v>10362.9416715802</x:v>
      </x:c>
      <x:c r="L79" s="28" t="n">
        <x:v>343.9345138931</x:v>
      </x:c>
      <x:c r="M79" s="28" t="n">
        <x:v>935.8736486291</x:v>
      </x:c>
      <x:c r="N79" s="28"/>
      <x:c r="O79" s="28" t="n">
        <x:v>15018.6781221746</x:v>
      </x:c>
      <x:c r="P79" s="28" t="n">
        <x:v>478.7313054443</x:v>
      </x:c>
      <x:c r="Q79" s="28" t="n">
        <x:v>1603.9574434008</x:v>
      </x:c>
      <x:c r="R79" s="28" t="n">
        <x:v>579.900032</x:v>
      </x:c>
    </x:row>
    <x:row r="80">
      <x:c r="C80" s="19" t="n">
        <x:v>41671</x:v>
      </x:c>
      <x:c r="D80" s="19" t="n">
        <x:v>41698</x:v>
      </x:c>
      <x:c r="E80" s="25" t="str">
        <x:v>grid_vtqvtw11.xlsx</x:v>
      </x:c>
      <x:c r="F80" s="28" t="n">
        <x:v>10482.9544789228</x:v>
      </x:c>
      <x:c r="G80" s="28" t="n">
        <x:v>2300.3766486163</x:v>
      </x:c>
      <x:c r="H80" s="28" t="n">
        <x:v>562.7980593323</x:v>
      </x:c>
      <x:c r="I80" s="28" t="n">
        <x:v>6356.0262866302</x:v>
      </x:c>
      <x:c r="J80" s="28" t="n">
        <x:v>29106.510373874</x:v>
      </x:c>
      <x:c r="K80" s="28" t="n">
        <x:v>10730.7931040729</x:v>
      </x:c>
      <x:c r="L80" s="28" t="n">
        <x:v>367.9751733775</x:v>
      </x:c>
      <x:c r="M80" s="28" t="n">
        <x:v>925.5430001999</x:v>
      </x:c>
      <x:c r="N80" s="28"/>
      <x:c r="O80" s="28" t="n">
        <x:v>15376.0576398182</x:v>
      </x:c>
      <x:c r="P80" s="28" t="n">
        <x:v>466.1257280754</x:v>
      </x:c>
      <x:c r="Q80" s="28" t="n">
        <x:v>1662.9233017543</x:v>
      </x:c>
      <x:c r="R80" s="28" t="n">
        <x:v>598.2841312438</x:v>
      </x:c>
    </x:row>
    <x:row r="81">
      <x:c r="C81" s="19" t="n">
        <x:v>41699</x:v>
      </x:c>
      <x:c r="D81" s="19" t="n">
        <x:v>41729</x:v>
      </x:c>
      <x:c r="E81" s="25" t="str">
        <x:v>grid_vtqvtw11.xlsx</x:v>
      </x:c>
      <x:c r="F81" s="28" t="n">
        <x:v>10863.9912019571</x:v>
      </x:c>
      <x:c r="G81" s="28" t="n">
        <x:v>2366.3601855804</x:v>
      </x:c>
      <x:c r="H81" s="28" t="n">
        <x:v>574.3929835435</x:v>
      </x:c>
      <x:c r="I81" s="28" t="n">
        <x:v>6327.371621166</x:v>
      </x:c>
      <x:c r="J81" s="28" t="n">
        <x:v>30657.6193227397</x:v>
      </x:c>
      <x:c r="K81" s="28" t="n">
        <x:v>10844.8228729468</x:v>
      </x:c>
      <x:c r="L81" s="28" t="n">
        <x:v>389.1965056023</x:v>
      </x:c>
      <x:c r="M81" s="28" t="n">
        <x:v>926.1905581096</x:v>
      </x:c>
      <x:c r="N81" s="28"/>
      <x:c r="O81" s="28" t="n">
        <x:v>15761.2900745958</x:v>
      </x:c>
      <x:c r="P81" s="28" t="n">
        <x:v>449.0479385791</x:v>
      </x:c>
      <x:c r="Q81" s="28" t="n">
        <x:v>1621.8200856881</x:v>
      </x:c>
      <x:c r="R81" s="28" t="n">
        <x:v>638.0673955068</x:v>
      </x:c>
    </x:row>
    <x:row r="82">
      <x:c r="C82" s="19" t="n">
        <x:v>41730</x:v>
      </x:c>
      <x:c r="D82" s="19" t="n">
        <x:v>41759</x:v>
      </x:c>
      <x:c r="E82" s="25" t="str">
        <x:v>grid_vtqvtw11.xlsx</x:v>
      </x:c>
      <x:c r="F82" s="28" t="n">
        <x:v>10885.2706433431</x:v>
      </x:c>
      <x:c r="G82" s="28" t="n">
        <x:v>2481.8657394069</x:v>
      </x:c>
      <x:c r="H82" s="28" t="n">
        <x:v>606.8221968339</x:v>
      </x:c>
      <x:c r="I82" s="28" t="n">
        <x:v>6078.2468224603</x:v>
      </x:c>
      <x:c r="J82" s="28" t="n">
        <x:v>30669.2978323288</x:v>
      </x:c>
      <x:c r="K82" s="28" t="n">
        <x:v>10959.2250728488</x:v>
      </x:c>
      <x:c r="L82" s="28" t="n">
        <x:v>400.0020868126</x:v>
      </x:c>
      <x:c r="M82" s="28" t="n">
        <x:v>882.8342524257</x:v>
      </x:c>
      <x:c r="N82" s="28"/>
      <x:c r="O82" s="28" t="n">
        <x:v>15136.2516694793</x:v>
      </x:c>
      <x:c r="P82" s="28" t="n">
        <x:v>454.3254869148</x:v>
      </x:c>
      <x:c r="Q82" s="28" t="n">
        <x:v>1617.2054238197</x:v>
      </x:c>
      <x:c r="R82" s="28" t="n">
        <x:v>632.7287566027</x:v>
      </x:c>
    </x:row>
    <x:row r="83">
      <x:c r="C83" s="19" t="n">
        <x:v>41760</x:v>
      </x:c>
      <x:c r="D83" s="19" t="n">
        <x:v>41789</x:v>
      </x:c>
      <x:c r="E83" s="25" t="str">
        <x:v>grid_vtqvtw11.xlsx</x:v>
      </x:c>
      <x:c r="F83" s="28" t="n">
        <x:v>11182.40257315</x:v>
      </x:c>
      <x:c r="G83" s="28" t="n">
        <x:v>2320.881941142</x:v>
      </x:c>
      <x:c r="H83" s="28" t="n">
        <x:v>776.387068045</x:v>
      </x:c>
      <x:c r="I83" s="28" t="n">
        <x:v>6958.0675949768</x:v>
      </x:c>
      <x:c r="J83" s="28" t="n">
        <x:v>29465.0029659178</x:v>
      </x:c>
      <x:c r="K83" s="28" t="n">
        <x:v>11576.8862615042</x:v>
      </x:c>
      <x:c r="L83" s="28" t="n">
        <x:v>419.9544362485</x:v>
      </x:c>
      <x:c r="M83" s="28" t="n">
        <x:v>1062.9503105065</x:v>
      </x:c>
      <x:c r="N83" s="28"/>
      <x:c r="O83" s="28" t="n">
        <x:v>15189.5957193358</x:v>
      </x:c>
      <x:c r="P83" s="28" t="n">
        <x:v>460.288424968</x:v>
      </x:c>
      <x:c r="Q83" s="28" t="n">
        <x:v>1680.9332855544</x:v>
      </x:c>
      <x:c r="R83" s="28" t="n">
        <x:v>621.5219498082</x:v>
      </x:c>
    </x:row>
    <x:row r="84">
      <x:c r="C84" s="19" t="n">
        <x:v>41791</x:v>
      </x:c>
      <x:c r="D84" s="19" t="n">
        <x:v>41820</x:v>
      </x:c>
      <x:c r="E84" s="25" t="str">
        <x:v>grid_vtqvtw11.xlsx</x:v>
      </x:c>
      <x:c r="F84" s="28" t="n">
        <x:v>11057.4390682972</x:v>
      </x:c>
      <x:c r="G84" s="28" t="n">
        <x:v>2242.8833558709</x:v>
      </x:c>
      <x:c r="H84" s="28" t="n">
        <x:v>785.8531081201</x:v>
      </x:c>
      <x:c r="I84" s="28" t="n">
        <x:v>6873.0722207775</x:v>
      </x:c>
      <x:c r="J84" s="28" t="n">
        <x:v>29770.9642794082</x:v>
      </x:c>
      <x:c r="K84" s="28" t="n">
        <x:v>11532.1500530231</x:v>
      </x:c>
      <x:c r="L84" s="28" t="n">
        <x:v>437.7315750285</x:v>
      </x:c>
      <x:c r="M84" s="28" t="n">
        <x:v>1068.0072689881</x:v>
      </x:c>
      <x:c r="N84" s="28"/>
      <x:c r="O84" s="28" t="n">
        <x:v>14246.6447168459</x:v>
      </x:c>
      <x:c r="P84" s="28" t="n">
        <x:v>455.0172497733</x:v>
      </x:c>
      <x:c r="Q84" s="28" t="n">
        <x:v>1647.6332806597</x:v>
      </x:c>
      <x:c r="R84" s="28" t="n">
        <x:v>619.3792256</x:v>
      </x:c>
    </x:row>
    <x:row r="85">
      <x:c r="C85" s="19" t="n">
        <x:v>41821</x:v>
      </x:c>
      <x:c r="D85" s="19" t="n">
        <x:v>41851</x:v>
      </x:c>
      <x:c r="E85" s="25" t="str">
        <x:v>grid_vtqvtw11.xlsx</x:v>
      </x:c>
      <x:c r="F85" s="28" t="n">
        <x:v>11294.3084906075</x:v>
      </x:c>
      <x:c r="G85" s="28" t="n">
        <x:v>2383.8869700001</x:v>
      </x:c>
      <x:c r="H85" s="28" t="n">
        <x:v>897.2003639366</x:v>
      </x:c>
      <x:c r="I85" s="28" t="n">
        <x:v>6823.6122665237</x:v>
      </x:c>
      <x:c r="J85" s="28" t="n">
        <x:v>28583.3419509479</x:v>
      </x:c>
      <x:c r="K85" s="28" t="n">
        <x:v>12040.0999955774</x:v>
      </x:c>
      <x:c r="L85" s="28" t="n">
        <x:v>430.2905774864</x:v>
      </x:c>
      <x:c r="M85" s="28" t="n">
        <x:v>1045.7926678823</x:v>
      </x:c>
      <x:c r="N85" s="28"/>
      <x:c r="O85" s="28" t="n">
        <x:v>13715.5468828686</x:v>
      </x:c>
      <x:c r="P85" s="28" t="n">
        <x:v>428.4147459639</x:v>
      </x:c>
      <x:c r="Q85" s="28" t="n">
        <x:v>1677.360736744</x:v>
      </x:c>
      <x:c r="R85" s="28" t="n">
        <x:v>614.8418111123</x:v>
      </x:c>
    </x:row>
    <x:row r="86">
      <x:c r="C86" s="19" t="n">
        <x:v>41852</x:v>
      </x:c>
      <x:c r="D86" s="19" t="n">
        <x:v>41880</x:v>
      </x:c>
      <x:c r="E86" s="25" t="str">
        <x:v>grid_vtqvtw11.xlsx</x:v>
      </x:c>
      <x:c r="F86" s="28" t="n">
        <x:v>11753.2473417033</x:v>
      </x:c>
      <x:c r="G86" s="28" t="n">
        <x:v>2415.1660942547</x:v>
      </x:c>
      <x:c r="H86" s="28" t="n">
        <x:v>945.9606636331</x:v>
      </x:c>
      <x:c r="I86" s="28" t="n">
        <x:v>6699.956426619</x:v>
      </x:c>
      <x:c r="J86" s="28" t="n">
        <x:v>29197.0874382027</x:v>
      </x:c>
      <x:c r="K86" s="28" t="n">
        <x:v>12690.9758036338</x:v>
      </x:c>
      <x:c r="L86" s="28" t="n">
        <x:v>440.4477258883</x:v>
      </x:c>
      <x:c r="M86" s="28" t="n">
        <x:v>1069.7254734829</x:v>
      </x:c>
      <x:c r="N86" s="28"/>
      <x:c r="O86" s="28" t="n">
        <x:v>12891.6446237666</x:v>
      </x:c>
      <x:c r="P86" s="28" t="n">
        <x:v>446.8031508064</x:v>
      </x:c>
      <x:c r="Q86" s="28" t="n">
        <x:v>1643.8974283499</x:v>
      </x:c>
      <x:c r="R86" s="28" t="n">
        <x:v>627.1698579288</x:v>
      </x:c>
    </x:row>
    <x:row r="87">
      <x:c r="C87" s="19" t="n">
        <x:v>41883</x:v>
      </x:c>
      <x:c r="D87" s="19" t="n">
        <x:v>41912</x:v>
      </x:c>
      <x:c r="E87" s="25" t="str">
        <x:v>grid_vtqvtw11.xlsx</x:v>
      </x:c>
      <x:c r="F87" s="28" t="n">
        <x:v>11234.3311949312</x:v>
      </x:c>
      <x:c r="G87" s="28" t="n">
        <x:v>2296.77982715</x:v>
      </x:c>
      <x:c r="H87" s="28" t="n">
        <x:v>1054.2665389471</x:v>
      </x:c>
      <x:c r="I87" s="28" t="n">
        <x:v>7680.7672522751</x:v>
      </x:c>
      <x:c r="J87" s="28" t="n">
        <x:v>29713.5725974795</x:v>
      </x:c>
      <x:c r="K87" s="28" t="n">
        <x:v>12795.4638664821</x:v>
      </x:c>
      <x:c r="L87" s="28" t="n">
        <x:v>449.5983144911</x:v>
      </x:c>
      <x:c r="M87" s="28" t="n">
        <x:v>1019.5630386395</x:v>
      </x:c>
      <x:c r="N87" s="28"/>
      <x:c r="O87" s="28" t="n">
        <x:v>12200.8363913755</x:v>
      </x:c>
      <x:c r="P87" s="28" t="n">
        <x:v>441.9182962321</x:v>
      </x:c>
      <x:c r="Q87" s="28" t="n">
        <x:v>1592.3189648589</x:v>
      </x:c>
      <x:c r="R87" s="28" t="n">
        <x:v>624.0881379945</x:v>
      </x:c>
    </x:row>
    <x:row r="88">
      <x:c r="C88" s="19" t="n">
        <x:v>41913</x:v>
      </x:c>
      <x:c r="D88" s="19" t="n">
        <x:v>41943</x:v>
      </x:c>
      <x:c r="E88" s="25" t="str">
        <x:v>grid_vtqvtw11.xlsx</x:v>
      </x:c>
      <x:c r="F88" s="28" t="n">
        <x:v>10491.6850864606</x:v>
      </x:c>
      <x:c r="G88" s="28" t="n">
        <x:v>2454.6360928029</x:v>
      </x:c>
      <x:c r="H88" s="28" t="n">
        <x:v>1081.044390754</x:v>
      </x:c>
      <x:c r="I88" s="28" t="n">
        <x:v>7712.1478804979</x:v>
      </x:c>
      <x:c r="J88" s="28" t="n">
        <x:v>28417.5929961206</x:v>
      </x:c>
      <x:c r="K88" s="28" t="n">
        <x:v>13258.2800457483</x:v>
      </x:c>
      <x:c r="L88" s="28" t="n">
        <x:v>444.0714746357</x:v>
      </x:c>
      <x:c r="M88" s="28" t="n">
        <x:v>1041.9849552417</x:v>
      </x:c>
      <x:c r="N88" s="28"/>
      <x:c r="O88" s="28" t="n">
        <x:v>9470.876620581</x:v>
      </x:c>
      <x:c r="P88" s="28" t="n">
        <x:v>439.1541102851</x:v>
      </x:c>
      <x:c r="Q88" s="28" t="n">
        <x:v>1534.6234954672</x:v>
      </x:c>
      <x:c r="R88" s="28" t="n">
        <x:v>626.384391189</x:v>
      </x:c>
    </x:row>
    <x:row r="89">
      <x:c r="C89" s="19" t="n">
        <x:v>41944</x:v>
      </x:c>
      <x:c r="D89" s="19" t="n">
        <x:v>41971</x:v>
      </x:c>
      <x:c r="E89" s="25" t="str">
        <x:v>grid_vtqvtw11.xlsx</x:v>
      </x:c>
      <x:c r="F89" s="28" t="n">
        <x:v>10142.2526218231</x:v>
      </x:c>
      <x:c r="G89" s="28" t="n">
        <x:v>2534.6012865672</x:v>
      </x:c>
      <x:c r="H89" s="28" t="n">
        <x:v>1106.3130747439</x:v>
      </x:c>
      <x:c r="I89" s="28" t="n">
        <x:v>7789.9257048311</x:v>
      </x:c>
      <x:c r="J89" s="28" t="n">
        <x:v>27400.5037392658</x:v>
      </x:c>
      <x:c r="K89" s="28" t="n">
        <x:v>13612.9470398772</x:v>
      </x:c>
      <x:c r="L89" s="28" t="n">
        <x:v>449.6162060784</x:v>
      </x:c>
      <x:c r="M89" s="28" t="n">
        <x:v>1040.2284473555</x:v>
      </x:c>
      <x:c r="N89" s="28"/>
      <x:c r="O89" s="28" t="n">
        <x:v>8739.2524745089</x:v>
      </x:c>
      <x:c r="P89" s="28" t="n">
        <x:v>434.0656482666</x:v>
      </x:c>
      <x:c r="Q89" s="28" t="n">
        <x:v>1490.3702400347</x:v>
      </x:c>
      <x:c r="R89" s="28" t="n">
        <x:v>639.6067941699</x:v>
      </x:c>
    </x:row>
    <x:row r="90">
      <x:c r="C90" s="19" t="n">
        <x:v>41974</x:v>
      </x:c>
      <x:c r="D90" s="19" t="n">
        <x:v>42004</x:v>
      </x:c>
      <x:c r="E90" s="25" t="str">
        <x:v>grid_vtqvtw11.xlsx</x:v>
      </x:c>
      <x:c r="F90" s="28" t="n">
        <x:v>9390.8632256243</x:v>
      </x:c>
      <x:c r="G90" s="28" t="n">
        <x:v>2676.4442043206</x:v>
      </x:c>
      <x:c r="H90" s="28" t="n">
        <x:v>1134.9091320951</x:v>
      </x:c>
      <x:c r="I90" s="28" t="n">
        <x:v>7950.7332334595</x:v>
      </x:c>
      <x:c r="J90" s="28" t="n">
        <x:v>23751.70048</x:v>
      </x:c>
      <x:c r="K90" s="28" t="n">
        <x:v>13651.9512513187</x:v>
      </x:c>
      <x:c r="L90" s="28" t="n">
        <x:v>463.0895115539</x:v>
      </x:c>
      <x:c r="M90" s="28" t="n">
        <x:v>1040.2284085031</x:v>
      </x:c>
      <x:c r="N90" s="28"/>
      <x:c r="O90" s="28" t="n">
        <x:v>6996.2449053129</x:v>
      </x:c>
      <x:c r="P90" s="28" t="n">
        <x:v>397.0420998047</x:v>
      </x:c>
      <x:c r="Q90" s="28" t="n">
        <x:v>1301.7570078925</x:v>
      </x:c>
      <x:c r="R90" s="28" t="n">
        <x:v>623.308032</x:v>
      </x:c>
    </x:row>
    <x:row r="91">
      <x:c r="C91" s="19" t="n">
        <x:v>42005</x:v>
      </x:c>
      <x:c r="D91" s="19" t="n">
        <x:v>42034</x:v>
      </x:c>
      <x:c r="E91" s="25" t="str">
        <x:v>grid_vtqvtw11.xlsx</x:v>
      </x:c>
      <x:c r="F91" s="28" t="n">
        <x:v>9114.363816116</x:v>
      </x:c>
      <x:c r="G91" s="28" t="n">
        <x:v>2848.7598265335</x:v>
      </x:c>
      <x:c r="H91" s="28" t="n">
        <x:v>1133.7665435737</x:v>
      </x:c>
      <x:c r="I91" s="28" t="n">
        <x:v>8057.1785996218</x:v>
      </x:c>
      <x:c r="J91" s="28" t="n">
        <x:v>20076.1406055519</x:v>
      </x:c>
      <x:c r="K91" s="28" t="n">
        <x:v>13884.5490066146</x:v>
      </x:c>
      <x:c r="L91" s="28" t="n">
        <x:v>476.2729639585</x:v>
      </x:c>
      <x:c r="M91" s="28" t="n">
        <x:v>1058.1115302883</x:v>
      </x:c>
      <x:c r="N91" s="28"/>
      <x:c r="O91" s="28" t="n">
        <x:v>5847.1793102156</x:v>
      </x:c>
      <x:c r="P91" s="28" t="n">
        <x:v>390.6746525056</x:v>
      </x:c>
      <x:c r="Q91" s="28" t="n">
        <x:v>1254.0923125393</x:v>
      </x:c>
      <x:c r="R91" s="28" t="n">
        <x:v>629.684221377</x:v>
      </x:c>
    </x:row>
    <x:row r="92">
      <x:c r="C92" s="19" t="n">
        <x:v>42036</x:v>
      </x:c>
      <x:c r="D92" s="19" t="n">
        <x:v>42062</x:v>
      </x:c>
      <x:c r="E92" s="25" t="str">
        <x:v>grid_vtqvtw11.xlsx</x:v>
      </x:c>
      <x:c r="F92" s="28" t="n">
        <x:v>9196.5745273739</x:v>
      </x:c>
      <x:c r="G92" s="28" t="n">
        <x:v>2694.709516968</x:v>
      </x:c>
      <x:c r="H92" s="28" t="n">
        <x:v>1117.1346095351</x:v>
      </x:c>
      <x:c r="I92" s="28" t="n">
        <x:v>8142.0168035586</x:v>
      </x:c>
      <x:c r="J92" s="28" t="n">
        <x:v>19511.5314304699</x:v>
      </x:c>
      <x:c r="K92" s="28" t="n">
        <x:v>14153.4766633183</x:v>
      </x:c>
      <x:c r="L92" s="28" t="n">
        <x:v>488.7994696266</x:v>
      </x:c>
      <x:c r="M92" s="28" t="n">
        <x:v>1092.7092195935</x:v>
      </x:c>
      <x:c r="N92" s="28"/>
      <x:c r="O92" s="28" t="n">
        <x:v>4952.1543350566</x:v>
      </x:c>
      <x:c r="P92" s="28" t="n">
        <x:v>394.0506840262</x:v>
      </x:c>
      <x:c r="Q92" s="28" t="n">
        <x:v>1162.477483913</x:v>
      </x:c>
      <x:c r="R92" s="28" t="n">
        <x:v>645.9197457486</x:v>
      </x:c>
    </x:row>
    <x:row r="93">
      <x:c r="C93" s="19" t="n">
        <x:v>42064</x:v>
      </x:c>
      <x:c r="D93" s="19" t="n">
        <x:v>42094</x:v>
      </x:c>
      <x:c r="E93" s="25" t="str">
        <x:v>grid_vtqvtw11.xlsx</x:v>
      </x:c>
      <x:c r="F93" s="28" t="n">
        <x:v>8856.0600535315</x:v>
      </x:c>
      <x:c r="G93" s="28" t="n">
        <x:v>2864.3412858384</x:v>
      </x:c>
      <x:c r="H93" s="28" t="n">
        <x:v>1104.8580316702</x:v>
      </x:c>
      <x:c r="I93" s="28" t="n">
        <x:v>8339.3781324766</x:v>
      </x:c>
      <x:c r="J93" s="28" t="n">
        <x:v>17652.234827541</x:v>
      </x:c>
      <x:c r="K93" s="28" t="n">
        <x:v>14109.7900143743</x:v>
      </x:c>
      <x:c r="L93" s="28" t="n">
        <x:v>503.7505478857</x:v>
      </x:c>
      <x:c r="M93" s="28" t="n">
        <x:v>1040.5298541559</x:v>
      </x:c>
      <x:c r="N93" s="28"/>
      <x:c r="O93" s="28" t="n">
        <x:v>3013.5822492068</x:v>
      </x:c>
      <x:c r="P93" s="28" t="n">
        <x:v>387.7624182975</x:v>
      </x:c>
      <x:c r="Q93" s="28" t="n">
        <x:v>1140.5924268993</x:v>
      </x:c>
      <x:c r="R93" s="28" t="n">
        <x:v>644.6636980109</x:v>
      </x:c>
    </x:row>
    <x:row r="94">
      <x:c r="C94" s="19" t="n">
        <x:v>42095</x:v>
      </x:c>
      <x:c r="D94" s="19" t="n">
        <x:v>42124</x:v>
      </x:c>
      <x:c r="E94" s="25" t="str">
        <x:v>grid_vtqvtw11.xlsx</x:v>
      </x:c>
      <x:c r="F94" s="28" t="n">
        <x:v>8613.7485548957</x:v>
      </x:c>
      <x:c r="G94" s="28" t="n">
        <x:v>2981.1549052123</x:v>
      </x:c>
      <x:c r="H94" s="28" t="n">
        <x:v>1098.971224631</x:v>
      </x:c>
      <x:c r="I94" s="28" t="n">
        <x:v>8359.825462903</x:v>
      </x:c>
      <x:c r="J94" s="28" t="n">
        <x:v>15999.5204770273</x:v>
      </x:c>
      <x:c r="K94" s="28" t="n">
        <x:v>14174.2117786923</x:v>
      </x:c>
      <x:c r="L94" s="28" t="n">
        <x:v>491.3495387964</x:v>
      </x:c>
      <x:c r="M94" s="28" t="n">
        <x:v>1041.4961065038</x:v>
      </x:c>
      <x:c r="N94" s="28"/>
      <x:c r="O94" s="28" t="n">
        <x:v>-60.3152694177</x:v>
      </x:c>
      <x:c r="P94" s="28" t="n">
        <x:v>400.7149012924</x:v>
      </x:c>
      <x:c r="Q94" s="28" t="n">
        <x:v>1157.9095744623</x:v>
      </x:c>
      <x:c r="R94" s="28" t="n">
        <x:v>646.1236146011</x:v>
      </x:c>
    </x:row>
    <x:row r="95">
      <x:c r="C95" s="19" t="n">
        <x:v>42125</x:v>
      </x:c>
      <x:c r="D95" s="19" t="n">
        <x:v>42153</x:v>
      </x:c>
      <x:c r="E95" s="25" t="str">
        <x:v>grid_vtqvtw11.xlsx</x:v>
      </x:c>
      <x:c r="F95" s="28" t="n">
        <x:v>8798.736616374</x:v>
      </x:c>
      <x:c r="G95" s="28" t="n">
        <x:v>3102.27513338</x:v>
      </x:c>
      <x:c r="H95" s="28" t="n">
        <x:v>1146.6358181114</x:v>
      </x:c>
      <x:c r="I95" s="28" t="n">
        <x:v>8336.832232413</x:v>
      </x:c>
      <x:c r="J95" s="28" t="n">
        <x:v>18243.9263853115</x:v>
      </x:c>
      <x:c r="K95" s="28" t="n">
        <x:v>14268.2613472436</x:v>
      </x:c>
      <x:c r="L95" s="28" t="n">
        <x:v>505.8764112024</x:v>
      </x:c>
      <x:c r="M95" s="28" t="n">
        <x:v>1033.6459338986</x:v>
      </x:c>
      <x:c r="N95" s="28"/>
      <x:c r="O95" s="28" t="n">
        <x:v>393.8514822066</x:v>
      </x:c>
      <x:c r="P95" s="28" t="n">
        <x:v>389.6463603153</x:v>
      </x:c>
      <x:c r="Q95" s="28" t="n">
        <x:v>1191.9810985571</x:v>
      </x:c>
      <x:c r="R95" s="28" t="n">
        <x:v>643.5410979672</x:v>
      </x:c>
    </x:row>
    <x:row r="96">
      <x:c r="C96" s="19" t="n">
        <x:v>42156</x:v>
      </x:c>
      <x:c r="D96" s="19" t="n">
        <x:v>42185</x:v>
      </x:c>
      <x:c r="E96" s="25" t="str">
        <x:v>grid_vtqvtw11.xlsx</x:v>
      </x:c>
      <x:c r="F96" s="28" t="n">
        <x:v>9112.8924910014</x:v>
      </x:c>
      <x:c r="G96" s="28" t="n">
        <x:v>3300.2141903726</x:v>
      </x:c>
      <x:c r="H96" s="28" t="n">
        <x:v>1158.2906012687</x:v>
      </x:c>
      <x:c r="I96" s="28" t="n">
        <x:v>8640.4165685248</x:v>
      </x:c>
      <x:c r="J96" s="28" t="n">
        <x:v>18968.5828154754</x:v>
      </x:c>
      <x:c r="K96" s="28" t="n">
        <x:v>14194.0819613056</x:v>
      </x:c>
      <x:c r="L96" s="28" t="n">
        <x:v>500.7913552055</x:v>
      </x:c>
      <x:c r="M96" s="28" t="n">
        <x:v>1047.2482616424</x:v>
      </x:c>
      <x:c r="N96" s="28"/>
      <x:c r="O96" s="28" t="n">
        <x:v>603.5467178886</x:v>
      </x:c>
      <x:c r="P96" s="28" t="n">
        <x:v>381.5063338689</x:v>
      </x:c>
      <x:c r="Q96" s="28" t="n">
        <x:v>1152.4499135431</x:v>
      </x:c>
      <x:c r="R96" s="28" t="n">
        <x:v>656.3378535519</x:v>
      </x:c>
    </x:row>
    <x:row r="97">
      <x:c r="C97" s="19" t="n">
        <x:v>42186</x:v>
      </x:c>
      <x:c r="D97" s="19" t="n">
        <x:v>42216</x:v>
      </x:c>
      <x:c r="E97" s="25" t="str">
        <x:v>grid_vtqvtw11.xlsx</x:v>
      </x:c>
      <x:c r="F97" s="28" t="n">
        <x:v>9058.7488773921</x:v>
      </x:c>
      <x:c r="G97" s="28" t="n">
        <x:v>3511.4549665028</x:v>
      </x:c>
      <x:c r="H97" s="28" t="n">
        <x:v>1174.5676108923</x:v>
      </x:c>
      <x:c r="I97" s="28" t="n">
        <x:v>8717.2163936256</x:v>
      </x:c>
      <x:c r="J97" s="28" t="n">
        <x:v>19366.2877460984</x:v>
      </x:c>
      <x:c r="K97" s="28" t="n">
        <x:v>14264.2044334025</x:v>
      </x:c>
      <x:c r="L97" s="28" t="n">
        <x:v>494.1655252629</x:v>
      </x:c>
      <x:c r="M97" s="28" t="n">
        <x:v>1111.19370241</x:v>
      </x:c>
      <x:c r="N97" s="28"/>
      <x:c r="O97" s="28" t="n">
        <x:v>980.6855623377</x:v>
      </x:c>
      <x:c r="P97" s="28" t="n">
        <x:v>359.0307338642</x:v>
      </x:c>
      <x:c r="Q97" s="28" t="n">
        <x:v>1178.5148474707</x:v>
      </x:c>
      <x:c r="R97" s="28" t="n">
        <x:v>646.0913673443</x:v>
      </x:c>
    </x:row>
    <x:row r="98">
      <x:c r="C98" s="19" t="n">
        <x:v>42217</x:v>
      </x:c>
      <x:c r="D98" s="19" t="n">
        <x:v>42247</x:v>
      </x:c>
      <x:c r="E98" s="25" t="str">
        <x:v>grid_vtqvtw11.xlsx</x:v>
      </x:c>
      <x:c r="F98" s="28" t="n">
        <x:v>8887.3233965241</x:v>
      </x:c>
      <x:c r="G98" s="28" t="n">
        <x:v>3509.5249716736</x:v>
      </x:c>
      <x:c r="H98" s="28" t="n">
        <x:v>1193.4206736645</x:v>
      </x:c>
      <x:c r="I98" s="28" t="n">
        <x:v>8871.7763969639</x:v>
      </x:c>
      <x:c r="J98" s="28" t="n">
        <x:v>18126.2329173333</x:v>
      </x:c>
      <x:c r="K98" s="28" t="n">
        <x:v>14234.8830636896</x:v>
      </x:c>
      <x:c r="L98" s="28" t="n">
        <x:v>493.1880043071</x:v>
      </x:c>
      <x:c r="M98" s="28" t="n">
        <x:v>1131.7438539944</x:v>
      </x:c>
      <x:c r="N98" s="28"/>
      <x:c r="O98" s="28" t="n">
        <x:v>1409.7014534541</x:v>
      </x:c>
      <x:c r="P98" s="28" t="n">
        <x:v>372.7102823394</x:v>
      </x:c>
      <x:c r="Q98" s="28" t="n">
        <x:v>1164.1415661716</x:v>
      </x:c>
      <x:c r="R98" s="28" t="n">
        <x:v>607.5556586667</x:v>
      </x:c>
    </x:row>
    <x:row r="99">
      <x:c r="C99" s="19" t="n">
        <x:v>42248</x:v>
      </x:c>
      <x:c r="D99" s="19" t="n">
        <x:v>42277</x:v>
      </x:c>
      <x:c r="E99" s="25" t="str">
        <x:v>grid_vtqvtw11.xlsx</x:v>
      </x:c>
      <x:c r="F99" s="28" t="n">
        <x:v>8191.0133325573</x:v>
      </x:c>
      <x:c r="G99" s="28" t="n">
        <x:v>3781.1001990538</x:v>
      </x:c>
      <x:c r="H99" s="28" t="n">
        <x:v>1236.8333462898</x:v>
      </x:c>
      <x:c r="I99" s="28" t="n">
        <x:v>8234.3600124856</x:v>
      </x:c>
      <x:c r="J99" s="28" t="n">
        <x:v>15299.9049428634</x:v>
      </x:c>
      <x:c r="K99" s="28" t="n">
        <x:v>14319.2340845897</x:v>
      </x:c>
      <x:c r="L99" s="28" t="n">
        <x:v>505.4647809293</x:v>
      </x:c>
      <x:c r="M99" s="28" t="n">
        <x:v>1188.1178968818</x:v>
      </x:c>
      <x:c r="N99" s="28"/>
      <x:c r="O99" s="28" t="n">
        <x:v>922.2648969144</x:v>
      </x:c>
      <x:c r="P99" s="28" t="n">
        <x:v>363.5689398415</x:v>
      </x:c>
      <x:c r="Q99" s="28" t="n">
        <x:v>1094.8456729428</x:v>
      </x:c>
      <x:c r="R99" s="28" t="n">
        <x:v>603.9115275191</x:v>
      </x:c>
    </x:row>
    <x:row r="100">
      <x:c r="C100" s="19" t="n">
        <x:v>42278</x:v>
      </x:c>
      <x:c r="D100" s="19" t="n">
        <x:v>42307</x:v>
      </x:c>
      <x:c r="E100" s="25" t="str">
        <x:v>grid_vtqvtw11.xlsx</x:v>
      </x:c>
      <x:c r="F100" s="28" t="n">
        <x:v>8130.8556847328</x:v>
      </x:c>
      <x:c r="G100" s="28" t="n">
        <x:v>3723.9411115586</x:v>
      </x:c>
      <x:c r="H100" s="28" t="n">
        <x:v>1263.1481604969</x:v>
      </x:c>
      <x:c r="I100" s="28" t="n">
        <x:v>9055.2110479296</x:v>
      </x:c>
      <x:c r="J100" s="28" t="n">
        <x:v>15234.394984918</x:v>
      </x:c>
      <x:c r="K100" s="28" t="n">
        <x:v>13622.517972111</x:v>
      </x:c>
      <x:c r="L100" s="28" t="n">
        <x:v>501.6680417943</x:v>
      </x:c>
      <x:c r="M100" s="28" t="n">
        <x:v>1247.786270152</x:v>
      </x:c>
      <x:c r="N100" s="28"/>
      <x:c r="O100" s="28" t="n">
        <x:v>1984.0613017326</x:v>
      </x:c>
      <x:c r="P100" s="28" t="n">
        <x:v>345.2505239293</x:v>
      </x:c>
      <x:c r="Q100" s="28" t="n">
        <x:v>1093.329328633</x:v>
      </x:c>
      <x:c r="R100" s="28" t="n">
        <x:v>604.964154929</x:v>
      </x:c>
    </x:row>
    <x:row r="101">
      <x:c r="C101" s="19" t="n">
        <x:v>42309</x:v>
      </x:c>
      <x:c r="D101" s="19" t="n">
        <x:v>42338</x:v>
      </x:c>
      <x:c r="E101" s="25" t="str">
        <x:v>grid_vtqvtw11.xlsx</x:v>
      </x:c>
      <x:c r="F101" s="28" t="n">
        <x:v>8169.2485399133</x:v>
      </x:c>
      <x:c r="G101" s="28" t="n">
        <x:v>3753.2710936132</x:v>
      </x:c>
      <x:c r="H101" s="28" t="n">
        <x:v>1262.0837969494</x:v>
      </x:c>
      <x:c r="I101" s="28" t="n">
        <x:v>9171.321813195</x:v>
      </x:c>
      <x:c r="J101" s="28" t="n">
        <x:v>14499.3757446995</x:v>
      </x:c>
      <x:c r="K101" s="28" t="n">
        <x:v>13461.9921084516</x:v>
      </x:c>
      <x:c r="L101" s="28" t="n">
        <x:v>523.9164231128</x:v>
      </x:c>
      <x:c r="M101" s="28" t="n">
        <x:v>1295.213691616</x:v>
      </x:c>
      <x:c r="N101" s="28"/>
      <x:c r="O101" s="28" t="n">
        <x:v>2283.3070470645</x:v>
      </x:c>
      <x:c r="P101" s="28" t="n">
        <x:v>358.5119324995</x:v>
      </x:c>
      <x:c r="Q101" s="28" t="n">
        <x:v>1067.6208479316</x:v>
      </x:c>
      <x:c r="R101" s="28" t="n">
        <x:v>606.7589642842</x:v>
      </x:c>
    </x:row>
    <x:row r="102">
      <x:c r="C102" s="19" t="n">
        <x:v>42339</x:v>
      </x:c>
      <x:c r="D102" s="19" t="n">
        <x:v>42369</x:v>
      </x:c>
      <x:c r="E102" s="25" t="str">
        <x:v>grid_vtqvtw11.xlsx</x:v>
      </x:c>
      <x:c r="F102" s="28" t="n">
        <x:v>7931.4097729592</x:v>
      </x:c>
      <x:c r="G102" s="28" t="n">
        <x:v>3703.0030560887</x:v>
      </x:c>
      <x:c r="H102" s="28" t="n">
        <x:v>1292.5355465378</x:v>
      </x:c>
      <x:c r="I102" s="28" t="n">
        <x:v>8290.0178301828</x:v>
      </x:c>
      <x:c r="J102" s="28" t="n">
        <x:v>13689.700352</x:v>
      </x:c>
      <x:c r="K102" s="28" t="n">
        <x:v>13234.84099825</x:v>
      </x:c>
      <x:c r="L102" s="28" t="n">
        <x:v>569.531837934</x:v>
      </x:c>
      <x:c r="M102" s="28" t="n">
        <x:v>1308.6548876809</x:v>
      </x:c>
      <x:c r="N102" s="28"/>
      <x:c r="O102" s="28" t="n">
        <x:v>2889.2048254966</x:v>
      </x:c>
      <x:c r="P102" s="28" t="n">
        <x:v>396.5867758281</x:v>
      </x:c>
      <x:c r="Q102" s="28" t="n">
        <x:v>1072.8324830486</x:v>
      </x:c>
      <x:c r="R102" s="28" t="n">
        <x:v>612.385024</x:v>
      </x:c>
    </x:row>
    <x:row r="103">
      <x:c r="C103" s="19" t="n">
        <x:v>42370</x:v>
      </x:c>
      <x:c r="D103" s="19" t="n">
        <x:v>42398</x:v>
      </x:c>
      <x:c r="E103" s="25" t="str">
        <x:v>grid_vtqvtw11.xlsx</x:v>
      </x:c>
      <x:c r="F103" s="28" t="n">
        <x:v>7605.2224976921</x:v>
      </x:c>
      <x:c r="G103" s="28" t="n">
        <x:v>3604.6957779234</x:v>
      </x:c>
      <x:c r="H103" s="28" t="n">
        <x:v>1269.41599951</x:v>
      </x:c>
      <x:c r="I103" s="28" t="n">
        <x:v>8718.9806660489</x:v>
      </x:c>
      <x:c r="J103" s="28" t="n">
        <x:v>10267.6395358685</x:v>
      </x:c>
      <x:c r="K103" s="28" t="n">
        <x:v>13122.83584687</x:v>
      </x:c>
      <x:c r="L103" s="28" t="n">
        <x:v>571.9692782267</x:v>
      </x:c>
      <x:c r="M103" s="28" t="n">
        <x:v>1318.0605098524</x:v>
      </x:c>
      <x:c r="N103" s="28"/>
      <x:c r="O103" s="28" t="n">
        <x:v>1559.1636864597</x:v>
      </x:c>
      <x:c r="P103" s="28" t="n">
        <x:v>391.8260576795</x:v>
      </x:c>
      <x:c r="Q103" s="28" t="n">
        <x:v>1144.4583367589</x:v>
      </x:c>
      <x:c r="R103" s="28" t="n">
        <x:v>568.0978688</x:v>
      </x:c>
    </x:row>
    <x:row r="104">
      <x:c r="C104" s="19" t="n">
        <x:v>42401</x:v>
      </x:c>
      <x:c r="D104" s="19" t="n">
        <x:v>42429</x:v>
      </x:c>
      <x:c r="E104" s="25" t="str">
        <x:v>grid_vtqvtw11.xlsx</x:v>
      </x:c>
      <x:c r="F104" s="28" t="n">
        <x:v>7277.6524141503</x:v>
      </x:c>
      <x:c r="G104" s="28" t="n">
        <x:v>3740.2014527829</x:v>
      </x:c>
      <x:c r="H104" s="28" t="n">
        <x:v>1314.7406247819</x:v>
      </x:c>
      <x:c r="I104" s="28" t="n">
        <x:v>8249.3632969789</x:v>
      </x:c>
      <x:c r="J104" s="28" t="n">
        <x:v>9491.0419729534</x:v>
      </x:c>
      <x:c r="K104" s="28" t="n">
        <x:v>12939.0541641612</x:v>
      </x:c>
      <x:c r="L104" s="28" t="n">
        <x:v>615.5801102523</x:v>
      </x:c>
      <x:c r="M104" s="28" t="n">
        <x:v>1298.3239183884</x:v>
      </x:c>
      <x:c r="N104" s="28"/>
      <x:c r="O104" s="28" t="n">
        <x:v>793.3364900584</x:v>
      </x:c>
      <x:c r="P104" s="28" t="n">
        <x:v>381.0400051041</x:v>
      </x:c>
      <x:c r="Q104" s="28" t="n">
        <x:v>1149.7864311212</x:v>
      </x:c>
      <x:c r="R104" s="28" t="n">
        <x:v>556.1534511342</x:v>
      </x:c>
    </x:row>
    <x:row r="105">
      <x:c r="C105" s="19" t="n">
        <x:v>42430</x:v>
      </x:c>
      <x:c r="D105" s="19" t="n">
        <x:v>42460</x:v>
      </x:c>
      <x:c r="E105" s="25" t="str">
        <x:v>grid_vtqvtw11.xlsx</x:v>
      </x:c>
      <x:c r="F105" s="28" t="n">
        <x:v>7329.8031638422</x:v>
      </x:c>
      <x:c r="G105" s="28" t="n">
        <x:v>3855.0382345307</x:v>
      </x:c>
      <x:c r="H105" s="28" t="n">
        <x:v>1334.4215612292</x:v>
      </x:c>
      <x:c r="I105" s="28" t="n">
        <x:v>8168.3620627214</x:v>
      </x:c>
      <x:c r="J105" s="28" t="n">
        <x:v>6269.2521591233</x:v>
      </x:c>
      <x:c r="K105" s="28" t="n">
        <x:v>12837.2885027491</x:v>
      </x:c>
      <x:c r="L105" s="28" t="n">
        <x:v>646.0396272847</x:v>
      </x:c>
      <x:c r="M105" s="28" t="n">
        <x:v>1208.5700476116</x:v>
      </x:c>
      <x:c r="N105" s="28"/>
      <x:c r="O105" s="28" t="n">
        <x:v>1706.9820030533</x:v>
      </x:c>
      <x:c r="P105" s="28" t="n">
        <x:v>396.2189422135</x:v>
      </x:c>
      <x:c r="Q105" s="28" t="n">
        <x:v>1167.2419113125</x:v>
      </x:c>
      <x:c r="R105" s="28" t="n">
        <x:v>493.9915870685</x:v>
      </x:c>
    </x:row>
    <x:row r="106">
      <x:c r="C106" s="19" t="n">
        <x:v>42461</x:v>
      </x:c>
      <x:c r="D106" s="19" t="n">
        <x:v>42489</x:v>
      </x:c>
      <x:c r="E106" s="25" t="str">
        <x:v>grid_vtqvtw11.xlsx</x:v>
      </x:c>
      <x:c r="F106" s="28" t="n">
        <x:v>7289.7894669903</x:v>
      </x:c>
      <x:c r="G106" s="28" t="n">
        <x:v>3886.4631177521</x:v>
      </x:c>
      <x:c r="H106" s="28" t="n">
        <x:v>1366.2931589482</x:v>
      </x:c>
      <x:c r="I106" s="28" t="n">
        <x:v>8352.2568585069</x:v>
      </x:c>
      <x:c r="J106" s="28" t="n">
        <x:v>6718.6066193534</x:v>
      </x:c>
      <x:c r="K106" s="28" t="n">
        <x:v>12708.8738445236</x:v>
      </x:c>
      <x:c r="L106" s="28" t="n">
        <x:v>689.8226771352</x:v>
      </x:c>
      <x:c r="M106" s="28" t="n">
        <x:v>1156.2730967097</x:v>
      </x:c>
      <x:c r="N106" s="28"/>
      <x:c r="O106" s="28" t="n">
        <x:v>1698.4829109243</x:v>
      </x:c>
      <x:c r="P106" s="28" t="n">
        <x:v>417.5572177815</x:v>
      </x:c>
      <x:c r="Q106" s="28" t="n">
        <x:v>1238.2587978392</x:v>
      </x:c>
      <x:c r="R106" s="28" t="n">
        <x:v>477.053753337</x:v>
      </x:c>
    </x:row>
    <x:row r="107">
      <x:c r="C107" s="19" t="n">
        <x:v>42491</x:v>
      </x:c>
      <x:c r="D107" s="19" t="n">
        <x:v>42521</x:v>
      </x:c>
      <x:c r="E107" s="25" t="str">
        <x:v>grid_vtqvtw11.xlsx</x:v>
      </x:c>
      <x:c r="F107" s="28" t="n">
        <x:v>7621.2464267266</x:v>
      </x:c>
      <x:c r="G107" s="28" t="n">
        <x:v>4033.9505156309</x:v>
      </x:c>
      <x:c r="H107" s="28" t="n">
        <x:v>1391.2302233044</x:v>
      </x:c>
      <x:c r="I107" s="28" t="n">
        <x:v>8721.7762487145</x:v>
      </x:c>
      <x:c r="J107" s="28" t="n">
        <x:v>8149.2303367014</x:v>
      </x:c>
      <x:c r="K107" s="28" t="n">
        <x:v>12419.4938679665</x:v>
      </x:c>
      <x:c r="L107" s="28" t="n">
        <x:v>726.1940373937</x:v>
      </x:c>
      <x:c r="M107" s="28" t="n">
        <x:v>1176.3820662136</x:v>
      </x:c>
      <x:c r="N107" s="28"/>
      <x:c r="O107" s="28" t="n">
        <x:v>3559.8752108191</x:v>
      </x:c>
      <x:c r="P107" s="28" t="n">
        <x:v>414.6191655209</x:v>
      </x:c>
      <x:c r="Q107" s="28" t="n">
        <x:v>1271.8589514545</x:v>
      </x:c>
      <x:c r="R107" s="28" t="n">
        <x:v>442.9838115068</x:v>
      </x:c>
    </x:row>
    <x:row r="108">
      <x:c r="C108" s="19" t="n">
        <x:v>42522</x:v>
      </x:c>
      <x:c r="D108" s="19" t="n">
        <x:v>42551</x:v>
      </x:c>
      <x:c r="E108" s="25" t="str">
        <x:v>grid_vtqvtw11.xlsx</x:v>
      </x:c>
      <x:c r="F108" s="28" t="n">
        <x:v>7725.2043395212</x:v>
      </x:c>
      <x:c r="G108" s="28" t="n">
        <x:v>4102.8098499709</x:v>
      </x:c>
      <x:c r="H108" s="28" t="n">
        <x:v>1394.9308065127</x:v>
      </x:c>
      <x:c r="I108" s="28" t="n">
        <x:v>8580.3139359306</x:v>
      </x:c>
      <x:c r="J108" s="28" t="n">
        <x:v>9287.0021568877</x:v>
      </x:c>
      <x:c r="K108" s="28" t="n">
        <x:v>12396.2043646597</x:v>
      </x:c>
      <x:c r="L108" s="28" t="n">
        <x:v>709.6652612444</x:v>
      </x:c>
      <x:c r="M108" s="28" t="n">
        <x:v>1172.508663623</x:v>
      </x:c>
      <x:c r="N108" s="28"/>
      <x:c r="O108" s="28" t="n">
        <x:v>3997.2299518046</x:v>
      </x:c>
      <x:c r="P108" s="28" t="n">
        <x:v>418.7292862327</x:v>
      </x:c>
      <x:c r="Q108" s="28" t="n">
        <x:v>1276.3135460738</x:v>
      </x:c>
      <x:c r="R108" s="28" t="n">
        <x:v>455.100927474</x:v>
      </x:c>
    </x:row>
    <x:row r="109">
      <x:c r="C109" s="19" t="n">
        <x:v>42552</x:v>
      </x:c>
      <x:c r="D109" s="19" t="n">
        <x:v>42580</x:v>
      </x:c>
      <x:c r="E109" s="25" t="str">
        <x:v>grid_vtqvtw11.xlsx</x:v>
      </x:c>
      <x:c r="F109" s="28" t="n">
        <x:v>7804.089718712</x:v>
      </x:c>
      <x:c r="G109" s="28" t="n">
        <x:v>3906.2807318923</x:v>
      </x:c>
      <x:c r="H109" s="28" t="n">
        <x:v>1397.5213714808</x:v>
      </x:c>
      <x:c r="I109" s="28" t="n">
        <x:v>8082.1929960304</x:v>
      </x:c>
      <x:c r="J109" s="28" t="n">
        <x:v>11264.5449012603</x:v>
      </x:c>
      <x:c r="K109" s="28" t="n">
        <x:v>12495.5822885256</x:v>
      </x:c>
      <x:c r="L109" s="28" t="n">
        <x:v>725.0396504615</x:v>
      </x:c>
      <x:c r="M109" s="28" t="n">
        <x:v>1122.5793569239</x:v>
      </x:c>
      <x:c r="N109" s="28"/>
      <x:c r="O109" s="28" t="n">
        <x:v>3374.7867072261</x:v>
      </x:c>
      <x:c r="P109" s="28" t="n">
        <x:v>405.5884184332</x:v>
      </x:c>
      <x:c r="Q109" s="28" t="n">
        <x:v>1289.3132730686</x:v>
      </x:c>
      <x:c r="R109" s="28" t="n">
        <x:v>501.2406290411</x:v>
      </x:c>
    </x:row>
    <x:row r="110">
      <x:c r="C110" s="19" t="n">
        <x:v>42583</x:v>
      </x:c>
      <x:c r="D110" s="19" t="n">
        <x:v>42613</x:v>
      </x:c>
      <x:c r="E110" s="25" t="str">
        <x:v>grid_vtqvtw11.xlsx</x:v>
      </x:c>
      <x:c r="F110" s="28" t="n">
        <x:v>8319.4965152189</x:v>
      </x:c>
      <x:c r="G110" s="28" t="n">
        <x:v>3922.1108663837</x:v>
      </x:c>
      <x:c r="H110" s="28" t="n">
        <x:v>1406.4054673756</x:v>
      </x:c>
      <x:c r="I110" s="28" t="n">
        <x:v>7939.8779965136</x:v>
      </x:c>
      <x:c r="J110" s="28" t="n">
        <x:v>13743.1301077918</x:v>
      </x:c>
      <x:c r="K110" s="28" t="n">
        <x:v>12924.8901751549</x:v>
      </x:c>
      <x:c r="L110" s="28" t="n">
        <x:v>722.0453071102</x:v>
      </x:c>
      <x:c r="M110" s="28" t="n">
        <x:v>1087.6776044775</x:v>
      </x:c>
      <x:c r="N110" s="28"/>
      <x:c r="O110" s="28" t="n">
        <x:v>3638.5681868464</x:v>
      </x:c>
      <x:c r="P110" s="28" t="n">
        <x:v>400.7266974636</x:v>
      </x:c>
      <x:c r="Q110" s="28" t="n">
        <x:v>1339.1184895892</x:v>
      </x:c>
      <x:c r="R110" s="28" t="n">
        <x:v>565.683142137</x:v>
      </x:c>
    </x:row>
    <x:row r="111">
      <x:c r="C111" s="19" t="n">
        <x:v>42614</x:v>
      </x:c>
      <x:c r="D111" s="19" t="n">
        <x:v>42643</x:v>
      </x:c>
      <x:c r="E111" s="25" t="str">
        <x:v>grid_vtqvtw11.xlsx</x:v>
      </x:c>
      <x:c r="F111" s="28" t="n">
        <x:v>8466.2432649311</x:v>
      </x:c>
      <x:c r="G111" s="28" t="n">
        <x:v>3907.9306900546</x:v>
      </x:c>
      <x:c r="H111" s="28" t="n">
        <x:v>1437.2745984504</x:v>
      </x:c>
      <x:c r="I111" s="28" t="n">
        <x:v>8311.0998598871</x:v>
      </x:c>
      <x:c r="J111" s="28" t="n">
        <x:v>12995.8300068822</x:v>
      </x:c>
      <x:c r="K111" s="28" t="n">
        <x:v>13004.4826825188</x:v>
      </x:c>
      <x:c r="L111" s="28" t="n">
        <x:v>761.8876305721</x:v>
      </x:c>
      <x:c r="M111" s="28" t="n">
        <x:v>1098.5226581169</x:v>
      </x:c>
      <x:c r="N111" s="28"/>
      <x:c r="O111" s="28" t="n">
        <x:v>4597.905812389</x:v>
      </x:c>
      <x:c r="P111" s="28" t="n">
        <x:v>388.6934704704</x:v>
      </x:c>
      <x:c r="Q111" s="28" t="n">
        <x:v>1443.768562532</x:v>
      </x:c>
      <x:c r="R111" s="28" t="n">
        <x:v>580.9849554411</x:v>
      </x:c>
    </x:row>
    <x:row r="112">
      <x:c r="C112" s="19" t="n">
        <x:v>42644</x:v>
      </x:c>
      <x:c r="D112" s="19" t="n">
        <x:v>42674</x:v>
      </x:c>
      <x:c r="E112" s="25" t="str">
        <x:v>grid_vtqvtw11.xlsx</x:v>
      </x:c>
      <x:c r="F112" s="28" t="n">
        <x:v>8744.3312115641</x:v>
      </x:c>
      <x:c r="G112" s="28" t="n">
        <x:v>3778.7244657294</x:v>
      </x:c>
      <x:c r="H112" s="28" t="n">
        <x:v>1460.3482449802</x:v>
      </x:c>
      <x:c r="I112" s="28" t="n">
        <x:v>7776.9995100317</x:v>
      </x:c>
      <x:c r="J112" s="28" t="n">
        <x:v>13090.9735136438</x:v>
      </x:c>
      <x:c r="K112" s="28" t="n">
        <x:v>13538.221446471</x:v>
      </x:c>
      <x:c r="L112" s="28" t="n">
        <x:v>754.9511614294</x:v>
      </x:c>
      <x:c r="M112" s="28" t="n">
        <x:v>1097.1428038983</x:v>
      </x:c>
      <x:c r="N112" s="28"/>
      <x:c r="O112" s="28" t="n">
        <x:v>4502.0987865149</x:v>
      </x:c>
      <x:c r="P112" s="28" t="n">
        <x:v>364.5108630334</x:v>
      </x:c>
      <x:c r="Q112" s="28" t="n">
        <x:v>1482.1043940517</x:v>
      </x:c>
      <x:c r="R112" s="28" t="n">
        <x:v>604.7547520877</x:v>
      </x:c>
    </x:row>
    <x:row r="113">
      <x:c r="C113" s="19" t="n">
        <x:v>42675</x:v>
      </x:c>
      <x:c r="D113" s="19" t="n">
        <x:v>42704</x:v>
      </x:c>
      <x:c r="E113" s="25" t="str">
        <x:v>grid_vtqvtw11.xlsx</x:v>
      </x:c>
      <x:c r="F113" s="28" t="n">
        <x:v>8959.2442892621</x:v>
      </x:c>
      <x:c r="G113" s="28" t="n">
        <x:v>3890.7851741151</x:v>
      </x:c>
      <x:c r="H113" s="28" t="n">
        <x:v>1475.1834897532</x:v>
      </x:c>
      <x:c r="I113" s="28" t="n">
        <x:v>7507.4655706775</x:v>
      </x:c>
      <x:c r="J113" s="28" t="n">
        <x:v>13235.4292019507</x:v>
      </x:c>
      <x:c r="K113" s="28" t="n">
        <x:v>14189.321221201</x:v>
      </x:c>
      <x:c r="L113" s="28" t="n">
        <x:v>772.5924283955</x:v>
      </x:c>
      <x:c r="M113" s="28" t="n">
        <x:v>1076.4976462258</x:v>
      </x:c>
      <x:c r="N113" s="28"/>
      <x:c r="O113" s="28" t="n">
        <x:v>5212.9091218744</x:v>
      </x:c>
      <x:c r="P113" s="28" t="n">
        <x:v>365.8790526433</x:v>
      </x:c>
      <x:c r="Q113" s="28" t="n">
        <x:v>1495.5364882</x:v>
      </x:c>
      <x:c r="R113" s="28" t="n">
        <x:v>593.6484951671</x:v>
      </x:c>
    </x:row>
    <x:row r="114">
      <x:c r="C114" s="19" t="n">
        <x:v>42705</x:v>
      </x:c>
      <x:c r="D114" s="19" t="n">
        <x:v>42734</x:v>
      </x:c>
      <x:c r="E114" s="25" t="str">
        <x:v>grid_vtqvtw11.xlsx</x:v>
      </x:c>
      <x:c r="F114" s="28" t="n">
        <x:v>9312.0446931239</x:v>
      </x:c>
      <x:c r="G114" s="28" t="n">
        <x:v>4070.3687240816</x:v>
      </x:c>
      <x:c r="H114" s="28" t="n">
        <x:v>1443.7708303249</x:v>
      </x:c>
      <x:c r="I114" s="28" t="n">
        <x:v>7451.2783605964</x:v>
      </x:c>
      <x:c r="J114" s="28" t="n">
        <x:v>13903.0569731507</x:v>
      </x:c>
      <x:c r="K114" s="28" t="n">
        <x:v>14258.8118949961</x:v>
      </x:c>
      <x:c r="L114" s="28" t="n">
        <x:v>789.1910859222</x:v>
      </x:c>
      <x:c r="M114" s="28" t="n">
        <x:v>1078.4990294078</x:v>
      </x:c>
      <x:c r="N114" s="28"/>
      <x:c r="O114" s="28" t="n">
        <x:v>7908.1606794906</x:v>
      </x:c>
      <x:c r="P114" s="28" t="n">
        <x:v>368.3940289866</x:v>
      </x:c>
      <x:c r="Q114" s="28" t="n">
        <x:v>1435.0006352413</x:v>
      </x:c>
      <x:c r="R114" s="28" t="n">
        <x:v>596.7356513315</x:v>
      </x:c>
    </x:row>
    <x:row r="115">
      <x:c r="C115" s="19" t="n">
        <x:v>42736</x:v>
      </x:c>
      <x:c r="D115" s="19" t="n">
        <x:v>42766</x:v>
      </x:c>
      <x:c r="E115" s="25" t="str">
        <x:v>grid_ovzcidwu.xlsx</x:v>
      </x:c>
      <x:c r="F115" s="28" t="n">
        <x:v>10103.2008931023</x:v>
      </x:c>
      <x:c r="G115" s="28" t="n">
        <x:v>4040.7494212189</x:v>
      </x:c>
      <x:c r="H115" s="28" t="n">
        <x:v>1437.2110730117</x:v>
      </x:c>
      <x:c r="I115" s="28" t="n">
        <x:v>7671.0948527501</x:v>
      </x:c>
      <x:c r="J115" s="28" t="n">
        <x:v>16266.5727635288</x:v>
      </x:c>
      <x:c r="K115" s="28" t="n">
        <x:v>14610.4659886263</x:v>
      </x:c>
      <x:c r="L115" s="28" t="n">
        <x:v>806.9059618571</x:v>
      </x:c>
      <x:c r="M115" s="28" t="n">
        <x:v>1109.0610283109</x:v>
      </x:c>
      <x:c r="N115" s="28"/>
      <x:c r="O115" s="28" t="n">
        <x:v>10295.4283505522</x:v>
      </x:c>
      <x:c r="P115" s="28" t="n">
        <x:v>381.4965190197</x:v>
      </x:c>
      <x:c r="Q115" s="28" t="n">
        <x:v>1487.2348821743</x:v>
      </x:c>
      <x:c r="R115" s="28" t="n">
        <x:v>580.6759967562</x:v>
      </x:c>
    </x:row>
    <x:row r="116">
      <x:c r="C116" s="19" t="n">
        <x:v>42767</x:v>
      </x:c>
      <x:c r="D116" s="19" t="n">
        <x:v>42794</x:v>
      </x:c>
      <x:c r="E116" s="25" t="str">
        <x:v>grid_ovzcidwu.xlsx</x:v>
      </x:c>
      <x:c r="F116" s="28" t="n">
        <x:v>10542.281555421</x:v>
      </x:c>
      <x:c r="G116" s="28" t="n">
        <x:v>3994.1579904778</x:v>
      </x:c>
      <x:c r="H116" s="28" t="n">
        <x:v>1421.2664063465</x:v>
      </x:c>
      <x:c r="I116" s="28" t="n">
        <x:v>7999.3130073169</x:v>
      </x:c>
      <x:c r="J116" s="28" t="n">
        <x:v>17396.0789398795</x:v>
      </x:c>
      <x:c r="K116" s="28" t="n">
        <x:v>14842.2328824586</x:v>
      </x:c>
      <x:c r="L116" s="28" t="n">
        <x:v>810.8651470147</x:v>
      </x:c>
      <x:c r="M116" s="28" t="n">
        <x:v>1187.4984100786</x:v>
      </x:c>
      <x:c r="N116" s="28"/>
      <x:c r="O116" s="28" t="n">
        <x:v>11561.4254883061</x:v>
      </x:c>
      <x:c r="P116" s="28" t="n">
        <x:v>401.444926972</x:v>
      </x:c>
      <x:c r="Q116" s="28" t="n">
        <x:v>1629.1252310325</x:v>
      </x:c>
      <x:c r="R116" s="28" t="n">
        <x:v>599.9233409753</x:v>
      </x:c>
    </x:row>
    <x:row r="117">
      <x:c r="C117" s="19" t="n">
        <x:v>42795</x:v>
      </x:c>
      <x:c r="D117" s="19" t="n">
        <x:v>42825</x:v>
      </x:c>
      <x:c r="E117" s="25" t="str">
        <x:v>grid_ovzcidwu.xlsx</x:v>
      </x:c>
      <x:c r="F117" s="28" t="n">
        <x:v>10715.6458658162</x:v>
      </x:c>
      <x:c r="G117" s="28" t="n">
        <x:v>4061.6093460328</x:v>
      </x:c>
      <x:c r="H117" s="28" t="n">
        <x:v>1421.5148571786</x:v>
      </x:c>
      <x:c r="I117" s="28" t="n">
        <x:v>7926.0616240377</x:v>
      </x:c>
      <x:c r="J117" s="28" t="n">
        <x:v>17036.398662137</x:v>
      </x:c>
      <x:c r="K117" s="28" t="n">
        <x:v>15164.7222772364</x:v>
      </x:c>
      <x:c r="L117" s="28" t="n">
        <x:v>816.7770157231</x:v>
      </x:c>
      <x:c r="M117" s="28" t="n">
        <x:v>1111.5542486412</x:v>
      </x:c>
      <x:c r="N117" s="28"/>
      <x:c r="O117" s="28" t="n">
        <x:v>13847.1619777538</x:v>
      </x:c>
      <x:c r="P117" s="28" t="n">
        <x:v>416.5773843293</x:v>
      </x:c>
      <x:c r="Q117" s="28" t="n">
        <x:v>1702.8969856977</x:v>
      </x:c>
      <x:c r="R117" s="28" t="n">
        <x:v>624.4481560548</x:v>
      </x:c>
    </x:row>
    <x:row r="118">
      <x:c r="C118" s="19" t="n">
        <x:v>42826</x:v>
      </x:c>
      <x:c r="D118" s="19" t="n">
        <x:v>42853</x:v>
      </x:c>
      <x:c r="E118" s="25" t="str">
        <x:v>grid_ovzcidwu.xlsx</x:v>
      </x:c>
      <x:c r="F118" s="28" t="n">
        <x:v>10418.1689107697</x:v>
      </x:c>
      <x:c r="G118" s="28" t="n">
        <x:v>3644.9622531389</x:v>
      </x:c>
      <x:c r="H118" s="28" t="n">
        <x:v>1403.7970679287</x:v>
      </x:c>
      <x:c r="I118" s="28" t="n">
        <x:v>7556.5445903447</x:v>
      </x:c>
      <x:c r="J118" s="28" t="n">
        <x:v>15244.3545571945</x:v>
      </x:c>
      <x:c r="K118" s="28" t="n">
        <x:v>15232.2335431195</x:v>
      </x:c>
      <x:c r="L118" s="28" t="n">
        <x:v>814.8834739472</x:v>
      </x:c>
      <x:c r="M118" s="28" t="n">
        <x:v>1126.3943335982</x:v>
      </x:c>
      <x:c r="N118" s="28"/>
      <x:c r="O118" s="28" t="n">
        <x:v>13609.2247734656</x:v>
      </x:c>
      <x:c r="P118" s="28" t="n">
        <x:v>423.6219709827</x:v>
      </x:c>
      <x:c r="Q118" s="28" t="n">
        <x:v>1700.7642448891</x:v>
      </x:c>
      <x:c r="R118" s="28" t="n">
        <x:v>653.5663535342</x:v>
      </x:c>
    </x:row>
    <x:row r="119">
      <x:c r="C119" s="19" t="n">
        <x:v>42856</x:v>
      </x:c>
      <x:c r="D119" s="19" t="n">
        <x:v>42886</x:v>
      </x:c>
      <x:c r="E119" s="25" t="str">
        <x:v>grid_ovzcidwu.xlsx</x:v>
      </x:c>
      <x:c r="F119" s="28" t="n">
        <x:v>10324.1600814848</x:v>
      </x:c>
      <x:c r="G119" s="28" t="n">
        <x:v>3769.7508504044</x:v>
      </x:c>
      <x:c r="H119" s="28" t="n">
        <x:v>1457.6921246901</x:v>
      </x:c>
      <x:c r="I119" s="28" t="n">
        <x:v>7224.7203018303</x:v>
      </x:c>
      <x:c r="J119" s="28" t="n">
        <x:v>18633.4273816548</x:v>
      </x:c>
      <x:c r="K119" s="28" t="n">
        <x:v>15014.9684469844</x:v>
      </x:c>
      <x:c r="L119" s="28" t="n">
        <x:v>795.1670338845</x:v>
      </x:c>
      <x:c r="M119" s="28" t="n">
        <x:v>1139.016144764</x:v>
      </x:c>
      <x:c r="N119" s="28"/>
      <x:c r="O119" s="28" t="n">
        <x:v>13271.0890101337</x:v>
      </x:c>
      <x:c r="P119" s="28" t="n">
        <x:v>435.6891558284</x:v>
      </x:c>
      <x:c r="Q119" s="28" t="n">
        <x:v>1575.6372320554</x:v>
      </x:c>
      <x:c r="R119" s="28" t="n">
        <x:v>692.9701803836</x:v>
      </x:c>
    </x:row>
    <x:row r="120">
      <x:c r="C120" s="19" t="n">
        <x:v>42887</x:v>
      </x:c>
      <x:c r="D120" s="19" t="n">
        <x:v>42916</x:v>
      </x:c>
      <x:c r="E120" s="25" t="str">
        <x:v>grid_ovzcidwu.xlsx</x:v>
      </x:c>
      <x:c r="F120" s="28" t="n">
        <x:v>10304.3419245021</x:v>
      </x:c>
      <x:c r="G120" s="28" t="n">
        <x:v>3801.7095298905</x:v>
      </x:c>
      <x:c r="H120" s="28" t="n">
        <x:v>1462.0662407885</x:v>
      </x:c>
      <x:c r="I120" s="28" t="n">
        <x:v>7570.0241979264</x:v>
      </x:c>
      <x:c r="J120" s="28" t="n">
        <x:v>18081.3291183342</x:v>
      </x:c>
      <x:c r="K120" s="28" t="n">
        <x:v>15131.0219673878</x:v>
      </x:c>
      <x:c r="L120" s="28" t="n">
        <x:v>795.8410885208</x:v>
      </x:c>
      <x:c r="M120" s="28" t="n">
        <x:v>1155.2084371111</x:v>
      </x:c>
      <x:c r="N120" s="28"/>
      <x:c r="O120" s="28" t="n">
        <x:v>12296.1385478934</x:v>
      </x:c>
      <x:c r="P120" s="28" t="n">
        <x:v>476.148401956</x:v>
      </x:c>
      <x:c r="Q120" s="28" t="n">
        <x:v>1890.1354826939</x:v>
      </x:c>
      <x:c r="R120" s="28" t="n">
        <x:v>744.9672384877</x:v>
      </x:c>
    </x:row>
    <x:row r="121">
      <x:c r="C121" s="19" t="n">
        <x:v>42917</x:v>
      </x:c>
      <x:c r="D121" s="19" t="n">
        <x:v>42947</x:v>
      </x:c>
      <x:c r="E121" s="25" t="str">
        <x:v>grid_ovzcidwu.xlsx</x:v>
      </x:c>
      <x:c r="F121" s="28" t="n">
        <x:v>10260.0104573124</x:v>
      </x:c>
      <x:c r="G121" s="28" t="n">
        <x:v>3757.9631642963</x:v>
      </x:c>
      <x:c r="H121" s="28" t="n">
        <x:v>1437.0602182607</x:v>
      </x:c>
      <x:c r="I121" s="28" t="n">
        <x:v>7556.2725673278</x:v>
      </x:c>
      <x:c r="J121" s="28" t="n">
        <x:v>18690.5115886466</x:v>
      </x:c>
      <x:c r="K121" s="28" t="n">
        <x:v>15242.9749021804</x:v>
      </x:c>
      <x:c r="L121" s="28" t="n">
        <x:v>790.9630446899</x:v>
      </x:c>
      <x:c r="M121" s="28" t="n">
        <x:v>1168.7369732283</x:v>
      </x:c>
      <x:c r="N121" s="28"/>
      <x:c r="O121" s="28" t="n">
        <x:v>11421.8821434595</x:v>
      </x:c>
      <x:c r="P121" s="28" t="n">
        <x:v>494.3730562729</x:v>
      </x:c>
      <x:c r="Q121" s="28" t="n">
        <x:v>1858.418012947</x:v>
      </x:c>
      <x:c r="R121" s="28" t="n">
        <x:v>726.2926379836</x:v>
      </x:c>
    </x:row>
    <x:row r="122">
      <x:c r="C122" s="19" t="n">
        <x:v>42948</x:v>
      </x:c>
      <x:c r="D122" s="19" t="n">
        <x:v>42978</x:v>
      </x:c>
      <x:c r="E122" s="25" t="str">
        <x:v>grid_ovzcidwu.xlsx</x:v>
      </x:c>
      <x:c r="F122" s="28" t="n">
        <x:v>10304.735824013</x:v>
      </x:c>
      <x:c r="G122" s="28" t="n">
        <x:v>3783.7180273885</x:v>
      </x:c>
      <x:c r="H122" s="28" t="n">
        <x:v>1452.9058426107</x:v>
      </x:c>
      <x:c r="I122" s="28" t="n">
        <x:v>7510.6289946823</x:v>
      </x:c>
      <x:c r="J122" s="28" t="n">
        <x:v>17463.8731432329</x:v>
      </x:c>
      <x:c r="K122" s="28" t="n">
        <x:v>15608.1778151665</x:v>
      </x:c>
      <x:c r="L122" s="28" t="n">
        <x:v>809.7386356574</x:v>
      </x:c>
      <x:c r="M122" s="28" t="n">
        <x:v>1148.5089060795</x:v>
      </x:c>
      <x:c r="N122" s="28"/>
      <x:c r="O122" s="28" t="n">
        <x:v>11588.0195852606</x:v>
      </x:c>
      <x:c r="P122" s="28" t="n">
        <x:v>507.2480284642</x:v>
      </x:c>
      <x:c r="Q122" s="28" t="n">
        <x:v>1900.6667789723</x:v>
      </x:c>
      <x:c r="R122" s="28" t="n">
        <x:v>732.5986514411</x:v>
      </x:c>
    </x:row>
    <x:row r="123">
      <x:c r="C123" s="19" t="n">
        <x:v>42979</x:v>
      </x:c>
      <x:c r="D123" s="19" t="n">
        <x:v>43007</x:v>
      </x:c>
      <x:c r="E123" s="25" t="str">
        <x:v>grid_ovzcidwu.xlsx</x:v>
      </x:c>
      <x:c r="F123" s="28" t="n">
        <x:v>10082.2129125069</x:v>
      </x:c>
      <x:c r="G123" s="28" t="n">
        <x:v>3734.6573127869</x:v>
      </x:c>
      <x:c r="H123" s="28" t="n">
        <x:v>1462.956131122</x:v>
      </x:c>
      <x:c r="I123" s="28" t="n">
        <x:v>7466.9661435084</x:v>
      </x:c>
      <x:c r="J123" s="28" t="n">
        <x:v>16782.7974284274</x:v>
      </x:c>
      <x:c r="K123" s="28" t="n">
        <x:v>15417.8638194822</x:v>
      </x:c>
      <x:c r="L123" s="28" t="n">
        <x:v>797.0846162409</x:v>
      </x:c>
      <x:c r="M123" s="28" t="n">
        <x:v>1118.8177048162</x:v>
      </x:c>
      <x:c r="N123" s="28"/>
      <x:c r="O123" s="28" t="n">
        <x:v>11356.493849653</x:v>
      </x:c>
      <x:c r="P123" s="28" t="n">
        <x:v>499.5568304204</x:v>
      </x:c>
      <x:c r="Q123" s="28" t="n">
        <x:v>1908.7450800269</x:v>
      </x:c>
      <x:c r="R123" s="28" t="n">
        <x:v>744.3843809315</x:v>
      </x:c>
    </x:row>
    <x:row r="124">
      <x:c r="C124" s="19" t="n">
        <x:v>43009</x:v>
      </x:c>
      <x:c r="D124" s="19" t="n">
        <x:v>43039</x:v>
      </x:c>
      <x:c r="E124" s="25" t="str">
        <x:v>grid_ovzcidwu.xlsx</x:v>
      </x:c>
      <x:c r="F124" s="28" t="n">
        <x:v>10148.8659376692</x:v>
      </x:c>
      <x:c r="G124" s="28" t="n">
        <x:v>3751.889625756</x:v>
      </x:c>
      <x:c r="H124" s="28" t="n">
        <x:v>1493.9334916565</x:v>
      </x:c>
      <x:c r="I124" s="28" t="n">
        <x:v>7569.9662988744</x:v>
      </x:c>
      <x:c r="J124" s="28" t="n">
        <x:v>16084.9583370521</x:v>
      </x:c>
      <x:c r="K124" s="28" t="n">
        <x:v>15838.9705253571</x:v>
      </x:c>
      <x:c r="L124" s="28" t="n">
        <x:v>825.5980832826</x:v>
      </x:c>
      <x:c r="M124" s="28" t="n">
        <x:v>1088.8064392186</x:v>
      </x:c>
      <x:c r="N124" s="28"/>
      <x:c r="O124" s="28" t="n">
        <x:v>10705.8069193946</x:v>
      </x:c>
      <x:c r="P124" s="28" t="n">
        <x:v>510.2665312498</x:v>
      </x:c>
      <x:c r="Q124" s="28" t="n">
        <x:v>1946.2613808308</x:v>
      </x:c>
      <x:c r="R124" s="28" t="n">
        <x:v>796.8395254356</x:v>
      </x:c>
    </x:row>
    <x:row r="125">
      <x:c r="C125" s="19" t="n">
        <x:v>43040</x:v>
      </x:c>
      <x:c r="D125" s="19" t="n">
        <x:v>43069</x:v>
      </x:c>
      <x:c r="E125" s="25" t="str">
        <x:v>grid_ovzcidwu.xlsx</x:v>
      </x:c>
      <x:c r="F125" s="28" t="n">
        <x:v>10459.4927583063</x:v>
      </x:c>
      <x:c r="G125" s="28" t="n">
        <x:v>3806.3764215815</x:v>
      </x:c>
      <x:c r="H125" s="28" t="n">
        <x:v>1503.0783133529</x:v>
      </x:c>
      <x:c r="I125" s="28" t="n">
        <x:v>7776.9107545905</x:v>
      </x:c>
      <x:c r="J125" s="28" t="n">
        <x:v>16380.8046570959</x:v>
      </x:c>
      <x:c r="K125" s="28" t="n">
        <x:v>15830.9379494143</x:v>
      </x:c>
      <x:c r="L125" s="28" t="n">
        <x:v>854.8128530274</x:v>
      </x:c>
      <x:c r="M125" s="28" t="n">
        <x:v>1077.9312188927</x:v>
      </x:c>
      <x:c r="N125" s="28"/>
      <x:c r="O125" s="28" t="n">
        <x:v>12515.4563406604</x:v>
      </x:c>
      <x:c r="P125" s="28" t="n">
        <x:v>528.5690759277</x:v>
      </x:c>
      <x:c r="Q125" s="28" t="n">
        <x:v>1961.903815409</x:v>
      </x:c>
      <x:c r="R125" s="28" t="n">
        <x:v>783.2264545315</x:v>
      </x:c>
    </x:row>
    <x:row r="126">
      <x:c r="C126" s="19" t="n">
        <x:v>43070</x:v>
      </x:c>
      <x:c r="D126" s="19" t="n">
        <x:v>43098</x:v>
      </x:c>
      <x:c r="E126" s="25" t="str">
        <x:v>grid_ovzcidwu.xlsx</x:v>
      </x:c>
      <x:c r="F126" s="28" t="n">
        <x:v>10870.1018472739</x:v>
      </x:c>
      <x:c r="G126" s="28" t="n">
        <x:v>3807.6416141301</x:v>
      </x:c>
      <x:c r="H126" s="28" t="n">
        <x:v>1453.7145367329</x:v>
      </x:c>
      <x:c r="I126" s="28" t="n">
        <x:v>7818.5437198685</x:v>
      </x:c>
      <x:c r="J126" s="28" t="n">
        <x:v>18573.9865438685</x:v>
      </x:c>
      <x:c r="K126" s="28" t="n">
        <x:v>15865.9778521574</x:v>
      </x:c>
      <x:c r="L126" s="28" t="n">
        <x:v>746.2353934091</x:v>
      </x:c>
      <x:c r="M126" s="28" t="n">
        <x:v>1058.7203421533</x:v>
      </x:c>
      <x:c r="N126" s="28"/>
      <x:c r="O126" s="28" t="n">
        <x:v>14506.0468376959</x:v>
      </x:c>
      <x:c r="P126" s="28" t="n">
        <x:v>489.1018869411</x:v>
      </x:c>
      <x:c r="Q126" s="28" t="n">
        <x:v>2068.5747023119</x:v>
      </x:c>
      <x:c r="R126" s="28" t="n">
        <x:v>884.2650248767</x:v>
      </x:c>
    </x:row>
    <x:row r="127">
      <x:c r="C127" s="19" t="n">
        <x:v>43101</x:v>
      </x:c>
      <x:c r="D127" s="19" t="n">
        <x:v>43131</x:v>
      </x:c>
      <x:c r="E127" s="25" t="str">
        <x:v>grid_ovzcidwu.xlsx</x:v>
      </x:c>
      <x:c r="F127" s="28" t="n">
        <x:v>11794.4992474787</x:v>
      </x:c>
      <x:c r="G127" s="28" t="n">
        <x:v>3917.9497637439</x:v>
      </x:c>
      <x:c r="H127" s="28" t="n">
        <x:v>1437.0492520269</x:v>
      </x:c>
      <x:c r="I127" s="28" t="n">
        <x:v>8409.4524869837</x:v>
      </x:c>
      <x:c r="J127" s="28" t="n">
        <x:v>20675.2763455123</x:v>
      </x:c>
      <x:c r="K127" s="28" t="n">
        <x:v>16381.214486984</x:v>
      </x:c>
      <x:c r="L127" s="28" t="n">
        <x:v>750.5395018067</x:v>
      </x:c>
      <x:c r="M127" s="28" t="n">
        <x:v>1074.0911080536</x:v>
      </x:c>
      <x:c r="N127" s="28"/>
      <x:c r="O127" s="28" t="n">
        <x:v>14742.1961575031</x:v>
      </x:c>
      <x:c r="P127" s="28" t="n">
        <x:v>491.9225059847</x:v>
      </x:c>
      <x:c r="Q127" s="28" t="n">
        <x:v>2045.1840364805</x:v>
      </x:c>
      <x:c r="R127" s="28" t="n">
        <x:v>790.8117644274</x:v>
      </x:c>
    </x:row>
    <x:row r="128">
      <x:c r="C128" s="19" t="n">
        <x:v>43132</x:v>
      </x:c>
      <x:c r="D128" s="19" t="n">
        <x:v>43159</x:v>
      </x:c>
      <x:c r="E128" s="25" t="str">
        <x:v>grid_ovzcidwu.xlsx</x:v>
      </x:c>
      <x:c r="F128" s="28" t="n">
        <x:v>12755.1722610102</x:v>
      </x:c>
      <x:c r="G128" s="28" t="n">
        <x:v>3877.0050861263</x:v>
      </x:c>
      <x:c r="H128" s="28" t="n">
        <x:v>1402.4955719909</x:v>
      </x:c>
      <x:c r="I128" s="28" t="n">
        <x:v>8783.9437495812</x:v>
      </x:c>
      <x:c r="J128" s="28" t="n">
        <x:v>24672.9254098411</x:v>
      </x:c>
      <x:c r="K128" s="28" t="n">
        <x:v>17105.2102924272</x:v>
      </x:c>
      <x:c r="L128" s="28" t="n">
        <x:v>770.4731227642</x:v>
      </x:c>
      <x:c r="M128" s="28" t="n">
        <x:v>1012.4466683518</x:v>
      </x:c>
      <x:c r="N128" s="28"/>
      <x:c r="O128" s="28" t="n">
        <x:v>15237.2600302465</x:v>
      </x:c>
      <x:c r="P128" s="28" t="n">
        <x:v>492.0770739819</x:v>
      </x:c>
      <x:c r="Q128" s="28" t="n">
        <x:v>2151.2494836569</x:v>
      </x:c>
      <x:c r="R128" s="28" t="n">
        <x:v>812.4194009425</x:v>
      </x:c>
    </x:row>
    <x:row r="129">
      <x:c r="C129" s="19" t="n">
        <x:v>43160</x:v>
      </x:c>
      <x:c r="D129" s="19" t="n">
        <x:v>43189</x:v>
      </x:c>
      <x:c r="E129" s="25" t="str">
        <x:v>grid_ovzcidwu.xlsx</x:v>
      </x:c>
      <x:c r="F129" s="28" t="n">
        <x:v>13303.4039465067</x:v>
      </x:c>
      <x:c r="G129" s="28" t="n">
        <x:v>3967.3604281085</x:v>
      </x:c>
      <x:c r="H129" s="28" t="n">
        <x:v>1380.270204812</x:v>
      </x:c>
      <x:c r="I129" s="28" t="n">
        <x:v>9548.7169830157</x:v>
      </x:c>
      <x:c r="J129" s="28" t="n">
        <x:v>26057.1317121753</x:v>
      </x:c>
      <x:c r="K129" s="28" t="n">
        <x:v>17581.410549852</x:v>
      </x:c>
      <x:c r="L129" s="28" t="n">
        <x:v>792.9809252382</x:v>
      </x:c>
      <x:c r="M129" s="28" t="n">
        <x:v>1031.6940715993</x:v>
      </x:c>
      <x:c r="N129" s="28"/>
      <x:c r="O129" s="28" t="n">
        <x:v>15565.0150288443</x:v>
      </x:c>
      <x:c r="P129" s="28" t="n">
        <x:v>493.3293164024</x:v>
      </x:c>
      <x:c r="Q129" s="28" t="n">
        <x:v>1769.5437004435</x:v>
      </x:c>
      <x:c r="R129" s="28" t="n">
        <x:v>843.8252908712</x:v>
      </x:c>
    </x:row>
    <x:row r="130">
      <x:c r="C130" s="19" t="n">
        <x:v>43191</x:v>
      </x:c>
      <x:c r="D130" s="19" t="n">
        <x:v>43220</x:v>
      </x:c>
      <x:c r="E130" s="25" t="str">
        <x:v>grid_ovzcidwu.xlsx</x:v>
      </x:c>
      <x:c r="F130" s="28" t="n">
        <x:v>13819.4205542614</x:v>
      </x:c>
      <x:c r="G130" s="28" t="n">
        <x:v>3764.4228083508</x:v>
      </x:c>
      <x:c r="H130" s="28" t="n">
        <x:v>1348.4428404249</x:v>
      </x:c>
      <x:c r="I130" s="28" t="n">
        <x:v>9406.6258765287</x:v>
      </x:c>
      <x:c r="J130" s="28" t="n">
        <x:v>27653.0278961096</x:v>
      </x:c>
      <x:c r="K130" s="28" t="n">
        <x:v>17701.1233000243</x:v>
      </x:c>
      <x:c r="L130" s="28" t="n">
        <x:v>780.9443603231</x:v>
      </x:c>
      <x:c r="M130" s="28" t="n">
        <x:v>1040.4729363552</x:v>
      </x:c>
      <x:c r="N130" s="28"/>
      <x:c r="O130" s="28" t="n">
        <x:v>16837.4873753812</x:v>
      </x:c>
      <x:c r="P130" s="28" t="n">
        <x:v>498.248165369</x:v>
      </x:c>
      <x:c r="Q130" s="28" t="n">
        <x:v>1827.8864812788</x:v>
      </x:c>
      <x:c r="R130" s="28" t="n">
        <x:v>852.7819230685</x:v>
      </x:c>
    </x:row>
    <x:row r="131">
      <x:c r="C131" s="19" t="n">
        <x:v>43221</x:v>
      </x:c>
      <x:c r="D131" s="19" t="n">
        <x:v>43251</x:v>
      </x:c>
      <x:c r="E131" s="25" t="str">
        <x:v>grid_ovzcidwu.xlsx</x:v>
      </x:c>
      <x:c r="F131" s="28" t="n">
        <x:v>14154.7305930742</x:v>
      </x:c>
      <x:c r="G131" s="28" t="n">
        <x:v>3908.5031711461</x:v>
      </x:c>
      <x:c r="H131" s="28" t="n">
        <x:v>1187.5078128937</x:v>
      </x:c>
      <x:c r="I131" s="28" t="n">
        <x:v>9146.8443844185</x:v>
      </x:c>
      <x:c r="J131" s="28" t="n">
        <x:v>31242.9382838356</x:v>
      </x:c>
      <x:c r="K131" s="28" t="n">
        <x:v>17881.4724578467</x:v>
      </x:c>
      <x:c r="L131" s="28" t="n">
        <x:v>785.4189797446</x:v>
      </x:c>
      <x:c r="M131" s="28" t="n">
        <x:v>1029.3460623878</x:v>
      </x:c>
      <x:c r="N131" s="28"/>
      <x:c r="O131" s="28" t="n">
        <x:v>18121.3588735215</x:v>
      </x:c>
      <x:c r="P131" s="28" t="n">
        <x:v>519.0089397926</x:v>
      </x:c>
      <x:c r="Q131" s="28" t="n">
        <x:v>2079.9186699432</x:v>
      </x:c>
      <x:c r="R131" s="28" t="n">
        <x:v>961.2017534247</x:v>
      </x:c>
    </x:row>
    <x:row r="132">
      <x:c r="C132" s="19" t="n">
        <x:v>43252</x:v>
      </x:c>
      <x:c r="D132" s="19" t="n">
        <x:v>43280</x:v>
      </x:c>
      <x:c r="E132" s="25" t="str">
        <x:v>grid_ovzcidwu.xlsx</x:v>
      </x:c>
      <x:c r="F132" s="28" t="n">
        <x:v>14190.3357213692</x:v>
      </x:c>
      <x:c r="G132" s="28" t="n">
        <x:v>4016.182167168</x:v>
      </x:c>
      <x:c r="H132" s="28" t="n">
        <x:v>1148.7267066224</x:v>
      </x:c>
      <x:c r="I132" s="28" t="n">
        <x:v>8697.9917660441</x:v>
      </x:c>
      <x:c r="J132" s="28" t="n">
        <x:v>32289.096914411</x:v>
      </x:c>
      <x:c r="K132" s="28" t="n">
        <x:v>17910.9787322471</x:v>
      </x:c>
      <x:c r="L132" s="28" t="n">
        <x:v>776.3767924401</x:v>
      </x:c>
      <x:c r="M132" s="28" t="n">
        <x:v>1043.1233318335</x:v>
      </x:c>
      <x:c r="N132" s="28"/>
      <x:c r="O132" s="28" t="n">
        <x:v>18675.0731665971</x:v>
      </x:c>
      <x:c r="P132" s="28" t="n">
        <x:v>530.9224095577</x:v>
      </x:c>
      <x:c r="Q132" s="28" t="n">
        <x:v>1981.7505838179</x:v>
      </x:c>
      <x:c r="R132" s="28" t="n">
        <x:v>938.3520227945</x:v>
      </x:c>
    </x:row>
    <x:row r="133">
      <x:c r="C133" s="19" t="n">
        <x:v>43282</x:v>
      </x:c>
      <x:c r="D133" s="19" t="n">
        <x:v>43312</x:v>
      </x:c>
      <x:c r="E133" s="25" t="str">
        <x:v>grid_ovzcidwu.xlsx</x:v>
      </x:c>
      <x:c r="F133" s="28" t="n">
        <x:v>14998.6007179106</x:v>
      </x:c>
      <x:c r="G133" s="28" t="n">
        <x:v>4058.0753032076</x:v>
      </x:c>
      <x:c r="H133" s="28" t="n">
        <x:v>1136.6958790169</x:v>
      </x:c>
      <x:c r="I133" s="28" t="n">
        <x:v>8544.8759495136</x:v>
      </x:c>
      <x:c r="J133" s="28" t="n">
        <x:v>33905.8481628932</x:v>
      </x:c>
      <x:c r="K133" s="28" t="n">
        <x:v>18346.416166241</x:v>
      </x:c>
      <x:c r="L133" s="28" t="n">
        <x:v>775.0168835706</x:v>
      </x:c>
      <x:c r="M133" s="28" t="n">
        <x:v>1079.1145080752</x:v>
      </x:c>
      <x:c r="N133" s="28"/>
      <x:c r="O133" s="28" t="n">
        <x:v>19668.1079422898</x:v>
      </x:c>
      <x:c r="P133" s="28" t="n">
        <x:v>528.654169016</x:v>
      </x:c>
      <x:c r="Q133" s="28" t="n">
        <x:v>2139.7072396312</x:v>
      </x:c>
      <x:c r="R133" s="28" t="n">
        <x:v>923.795066389</x:v>
      </x:c>
    </x:row>
    <x:row r="134">
      <x:c r="C134" s="19" t="n">
        <x:v>43313</x:v>
      </x:c>
      <x:c r="D134" s="19" t="n">
        <x:v>43343</x:v>
      </x:c>
      <x:c r="E134" s="25" t="str">
        <x:v>grid_ovzcidwu.xlsx</x:v>
      </x:c>
      <x:c r="F134" s="28" t="n">
        <x:v>15506.1863331426</x:v>
      </x:c>
      <x:c r="G134" s="28" t="n">
        <x:v>4024.4922325292</x:v>
      </x:c>
      <x:c r="H134" s="28" t="n">
        <x:v>1119.1379328983</x:v>
      </x:c>
      <x:c r="I134" s="28" t="n">
        <x:v>8646.0122170443</x:v>
      </x:c>
      <x:c r="J134" s="28" t="n">
        <x:v>37167.0989838027</x:v>
      </x:c>
      <x:c r="K134" s="28" t="n">
        <x:v>18524.3726818369</x:v>
      </x:c>
      <x:c r="L134" s="28" t="n">
        <x:v>806.46547573</x:v>
      </x:c>
      <x:c r="M134" s="28" t="n">
        <x:v>1046.6328477927</x:v>
      </x:c>
      <x:c r="N134" s="28"/>
      <x:c r="O134" s="28" t="n">
        <x:v>19633.4435411989</x:v>
      </x:c>
      <x:c r="P134" s="28" t="n">
        <x:v>535.4769382304</x:v>
      </x:c>
      <x:c r="Q134" s="28" t="n">
        <x:v>2187.813701661</x:v>
      </x:c>
      <x:c r="R134" s="28" t="n">
        <x:v>941.1255783452</x:v>
      </x:c>
    </x:row>
    <x:row r="135">
      <x:c r="C135" s="19" t="n">
        <x:v>43344</x:v>
      </x:c>
      <x:c r="D135" s="19" t="n">
        <x:v>43371</x:v>
      </x:c>
      <x:c r="E135" s="25" t="str">
        <x:v>grid_ovzcidwu.xlsx</x:v>
      </x:c>
      <x:c r="F135" s="28" t="n">
        <x:v>17153.3111884182</x:v>
      </x:c>
      <x:c r="G135" s="28" t="n">
        <x:v>4102.5563396785</x:v>
      </x:c>
      <x:c r="H135" s="28" t="n">
        <x:v>1104.7890832192</x:v>
      </x:c>
      <x:c r="I135" s="28" t="n">
        <x:v>8536.584749511</x:v>
      </x:c>
      <x:c r="J135" s="28" t="n">
        <x:v>40215.8085330411</x:v>
      </x:c>
      <x:c r="K135" s="28" t="n">
        <x:v>18888.2115831403</x:v>
      </x:c>
      <x:c r="L135" s="28" t="n">
        <x:v>845.0120018552</x:v>
      </x:c>
      <x:c r="M135" s="28" t="n">
        <x:v>1059.2427592631</x:v>
      </x:c>
      <x:c r="N135" s="28"/>
      <x:c r="O135" s="28" t="n">
        <x:v>22585.5465644345</x:v>
      </x:c>
      <x:c r="P135" s="28" t="n">
        <x:v>533.2558565727</x:v>
      </x:c>
      <x:c r="Q135" s="28" t="n">
        <x:v>2265.7050177318</x:v>
      </x:c>
      <x:c r="R135" s="28" t="n">
        <x:v>895.176377863</x:v>
      </x:c>
    </x:row>
    <x:row r="136">
      <x:c r="C136" s="19" t="n">
        <x:v>43374</x:v>
      </x:c>
      <x:c r="D136" s="19" t="n">
        <x:v>43404</x:v>
      </x:c>
      <x:c r="E136" s="25" t="str">
        <x:v>grid_ovzcidwu.xlsx</x:v>
      </x:c>
      <x:c r="F136" s="28" t="n">
        <x:v>18211.6287511249</x:v>
      </x:c>
      <x:c r="G136" s="28" t="n">
        <x:v>4244.9186340672</x:v>
      </x:c>
      <x:c r="H136" s="28" t="n">
        <x:v>1073.7252438648</x:v>
      </x:c>
      <x:c r="I136" s="28" t="n">
        <x:v>7830.2039033739</x:v>
      </x:c>
      <x:c r="J136" s="28" t="n">
        <x:v>46121.9973316384</x:v>
      </x:c>
      <x:c r="K136" s="28" t="n">
        <x:v>18674.4510934492</x:v>
      </x:c>
      <x:c r="L136" s="28" t="n">
        <x:v>863.4666681804</x:v>
      </x:c>
      <x:c r="M136" s="28" t="n">
        <x:v>1045.7545012878</x:v>
      </x:c>
      <x:c r="N136" s="28"/>
      <x:c r="O136" s="28" t="n">
        <x:v>23015.7634175755</x:v>
      </x:c>
      <x:c r="P136" s="28" t="n">
        <x:v>539.4573479032</x:v>
      </x:c>
      <x:c r="Q136" s="28" t="n">
        <x:v>2138.1840307135</x:v>
      </x:c>
      <x:c r="R136" s="28" t="n">
        <x:v>849.3981999342</x:v>
      </x:c>
    </x:row>
    <x:row r="137">
      <x:c r="C137" s="19" t="n">
        <x:v>43405</x:v>
      </x:c>
      <x:c r="D137" s="19" t="n">
        <x:v>43434</x:v>
      </x:c>
      <x:c r="E137" s="25" t="str">
        <x:v>grid_ovzcidwu.xlsx</x:v>
      </x:c>
      <x:c r="F137" s="28" t="n">
        <x:v>17635.5556792081</x:v>
      </x:c>
      <x:c r="G137" s="28" t="n">
        <x:v>4240.5226701042</x:v>
      </x:c>
      <x:c r="H137" s="28" t="n">
        <x:v>1057.9607827281</x:v>
      </x:c>
      <x:c r="I137" s="28" t="n">
        <x:v>7816.1401362399</x:v>
      </x:c>
      <x:c r="J137" s="28" t="n">
        <x:v>44268.5998851507</x:v>
      </x:c>
      <x:c r="K137" s="28" t="n">
        <x:v>19257.2258735154</x:v>
      </x:c>
      <x:c r="L137" s="28" t="n">
        <x:v>869.2167252149</x:v>
      </x:c>
      <x:c r="M137" s="28" t="n">
        <x:v>1105.7651379988</x:v>
      </x:c>
      <x:c r="N137" s="28"/>
      <x:c r="O137" s="28" t="n">
        <x:v>22868.3569943729</x:v>
      </x:c>
      <x:c r="P137" s="28" t="n">
        <x:v>549.0555821766</x:v>
      </x:c>
      <x:c r="Q137" s="28" t="n">
        <x:v>1840.2323908846</x:v>
      </x:c>
      <x:c r="R137" s="28" t="n">
        <x:v>852.3320547945</x:v>
      </x:c>
    </x:row>
    <x:row r="138">
      <x:c r="C138" s="19" t="n">
        <x:v>43435</x:v>
      </x:c>
      <x:c r="D138" s="19" t="n">
        <x:v>43465</x:v>
      </x:c>
      <x:c r="E138" s="25" t="str">
        <x:v>grid_ovzcidwu.xlsx</x:v>
      </x:c>
      <x:c r="F138" s="28" t="n">
        <x:v>17236.6533938273</x:v>
      </x:c>
      <x:c r="G138" s="28" t="n">
        <x:v>4146.1348304143</x:v>
      </x:c>
      <x:c r="H138" s="28" t="n">
        <x:v>1052.4229896887</x:v>
      </x:c>
      <x:c r="I138" s="28" t="n">
        <x:v>7722.4040923415</x:v>
      </x:c>
      <x:c r="J138" s="28" t="n">
        <x:v>40895.598592</x:v>
      </x:c>
      <x:c r="K138" s="28" t="n">
        <x:v>19961.3784453342</x:v>
      </x:c>
      <x:c r="L138" s="28" t="n">
        <x:v>867.8860797215</x:v>
      </x:c>
      <x:c r="M138" s="28" t="n">
        <x:v>1108.4125972761</x:v>
      </x:c>
      <x:c r="N138" s="28"/>
      <x:c r="O138" s="28" t="n">
        <x:v>23680.192177158</x:v>
      </x:c>
      <x:c r="P138" s="28" t="n">
        <x:v>538.5203678211</x:v>
      </x:c>
      <x:c r="Q138" s="28" t="n">
        <x:v>1857.2010212854</x:v>
      </x:c>
      <x:c r="R138" s="28" t="n">
        <x:v>828.777984</x:v>
      </x:c>
    </x:row>
    <x:row r="139">
      <x:c r="C139" s="19" t="n">
        <x:v>43466</x:v>
      </x:c>
      <x:c r="D139" s="19" t="n">
        <x:v>43496</x:v>
      </x:c>
      <x:c r="E139" s="25" t="str">
        <x:v>grid_ovzcidwu.xlsx</x:v>
      </x:c>
      <x:c r="F139" s="28" t="n">
        <x:v>16360.5918978485</x:v>
      </x:c>
      <x:c r="G139" s="28" t="n">
        <x:v>4192.1319018759</x:v>
      </x:c>
      <x:c r="H139" s="28" t="n">
        <x:v>1151.9989029969</x:v>
      </x:c>
      <x:c r="I139" s="28" t="n">
        <x:v>7784.4236929503</x:v>
      </x:c>
      <x:c r="J139" s="28" t="n">
        <x:v>38261.2847297049</x:v>
      </x:c>
      <x:c r="K139" s="28" t="n">
        <x:v>19387.8135386264</x:v>
      </x:c>
      <x:c r="L139" s="28" t="n">
        <x:v>849.2759789153</x:v>
      </x:c>
      <x:c r="M139" s="28" t="n">
        <x:v>1044.8560208317</x:v>
      </x:c>
      <x:c r="N139" s="28"/>
      <x:c r="O139" s="28" t="n">
        <x:v>22978.3397112039</x:v>
      </x:c>
      <x:c r="P139" s="28" t="n">
        <x:v>541.200905549</x:v>
      </x:c>
      <x:c r="Q139" s="28" t="n">
        <x:v>2667.4904537648</x:v>
      </x:c>
      <x:c r="R139" s="28" t="n">
        <x:v>837.9181352568</x:v>
      </x:c>
    </x:row>
    <x:row r="140">
      <x:c r="C140" s="19" t="n">
        <x:v>43497</x:v>
      </x:c>
      <x:c r="D140" s="19" t="n">
        <x:v>43524</x:v>
      </x:c>
      <x:c r="E140" s="25" t="str">
        <x:v>grid_ovzcidwu.xlsx</x:v>
      </x:c>
      <x:c r="F140" s="28" t="n">
        <x:v>17049.7278266039</x:v>
      </x:c>
      <x:c r="G140" s="28" t="n">
        <x:v>4206.4177658397</x:v>
      </x:c>
      <x:c r="H140" s="28" t="n">
        <x:v>1163.7210955408</x:v>
      </x:c>
      <x:c r="I140" s="28" t="n">
        <x:v>7547.5733690077</x:v>
      </x:c>
      <x:c r="J140" s="28" t="n">
        <x:v>40482.485096918</x:v>
      </x:c>
      <x:c r="K140" s="28" t="n">
        <x:v>19862.3006263094</x:v>
      </x:c>
      <x:c r="L140" s="28" t="n">
        <x:v>848.1129072052</x:v>
      </x:c>
      <x:c r="M140" s="28" t="n">
        <x:v>1083.6223639185</x:v>
      </x:c>
      <x:c r="N140" s="28"/>
      <x:c r="O140" s="28" t="n">
        <x:v>23527.9294315916</x:v>
      </x:c>
      <x:c r="P140" s="28" t="n">
        <x:v>534.261233569</x:v>
      </x:c>
      <x:c r="Q140" s="28" t="n">
        <x:v>2675.1205639691</x:v>
      </x:c>
      <x:c r="R140" s="28" t="n">
        <x:v>826.0914497049</x:v>
      </x:c>
    </x:row>
    <x:row r="141">
      <x:c r="C141" s="19" t="n">
        <x:v>43525</x:v>
      </x:c>
      <x:c r="D141" s="19" t="n">
        <x:v>43553</x:v>
      </x:c>
      <x:c r="E141" s="25" t="str">
        <x:v>grid_ovzcidwu.xlsx</x:v>
      </x:c>
      <x:c r="F141" s="28" t="n">
        <x:v>17523.374060413</x:v>
      </x:c>
      <x:c r="G141" s="28" t="n">
        <x:v>4172.8340773622</x:v>
      </x:c>
      <x:c r="H141" s="28" t="n">
        <x:v>1172.2316283944</x:v>
      </x:c>
      <x:c r="I141" s="28" t="n">
        <x:v>7344.7529701282</x:v>
      </x:c>
      <x:c r="J141" s="28" t="n">
        <x:v>39610.4062517159</x:v>
      </x:c>
      <x:c r="K141" s="28" t="n">
        <x:v>20372.17101362</x:v>
      </x:c>
      <x:c r="L141" s="28" t="n">
        <x:v>830.2591197462</x:v>
      </x:c>
      <x:c r="M141" s="28" t="n">
        <x:v>1077.5207547073</x:v>
      </x:c>
      <x:c r="N141" s="28"/>
      <x:c r="O141" s="28" t="n">
        <x:v>24101.6975566171</x:v>
      </x:c>
      <x:c r="P141" s="28" t="n">
        <x:v>540.5052659104</x:v>
      </x:c>
      <x:c r="Q141" s="28" t="n">
        <x:v>3099.815620977</x:v>
      </x:c>
      <x:c r="R141" s="28" t="n">
        <x:v>782.4965618361</x:v>
      </x:c>
    </x:row>
    <x:row r="142">
      <x:c r="C142" s="19" t="n">
        <x:v>43556</x:v>
      </x:c>
      <x:c r="D142" s="19" t="n">
        <x:v>43585</x:v>
      </x:c>
      <x:c r="E142" s="25" t="str">
        <x:v>grid_ovzcidwu.xlsx</x:v>
      </x:c>
      <x:c r="F142" s="28" t="n">
        <x:v>17325.3866335705</x:v>
      </x:c>
      <x:c r="G142" s="28" t="n">
        <x:v>4170.9792197756</x:v>
      </x:c>
      <x:c r="H142" s="28" t="n">
        <x:v>1163.4430363841</x:v>
      </x:c>
      <x:c r="I142" s="28" t="n">
        <x:v>7409.5844203374</x:v>
      </x:c>
      <x:c r="J142" s="28" t="n">
        <x:v>39509.657163541</x:v>
      </x:c>
      <x:c r="K142" s="28" t="n">
        <x:v>20600.7263621038</x:v>
      </x:c>
      <x:c r="L142" s="28" t="n">
        <x:v>838.6734380702</x:v>
      </x:c>
      <x:c r="M142" s="28" t="n">
        <x:v>1090.849362797</x:v>
      </x:c>
      <x:c r="N142" s="28"/>
      <x:c r="O142" s="28" t="n">
        <x:v>24644.7883387269</x:v>
      </x:c>
      <x:c r="P142" s="28" t="n">
        <x:v>540.5511699799</x:v>
      </x:c>
      <x:c r="Q142" s="28" t="n">
        <x:v>2916.3905704079</x:v>
      </x:c>
      <x:c r="R142" s="28" t="n">
        <x:v>766.9142543388</x:v>
      </x:c>
    </x:row>
    <x:row r="143">
      <x:c r="C143" s="19" t="n">
        <x:v>43586</x:v>
      </x:c>
      <x:c r="D143" s="19" t="n">
        <x:v>43616</x:v>
      </x:c>
      <x:c r="E143" s="25" t="str">
        <x:v>grid_ovzcidwu.xlsx</x:v>
      </x:c>
      <x:c r="F143" s="28" t="n">
        <x:v>16818.031872114</x:v>
      </x:c>
      <x:c r="G143" s="28" t="n">
        <x:v>4206.348441702</x:v>
      </x:c>
      <x:c r="H143" s="28" t="n">
        <x:v>1198.0832614206</x:v>
      </x:c>
      <x:c r="I143" s="28" t="n">
        <x:v>7356.8511703412</x:v>
      </x:c>
      <x:c r="J143" s="28" t="n">
        <x:v>40185.3242810055</x:v>
      </x:c>
      <x:c r="K143" s="28" t="n">
        <x:v>20013.5691492237</x:v>
      </x:c>
      <x:c r="L143" s="28" t="n">
        <x:v>863.4005632288</x:v>
      </x:c>
      <x:c r="M143" s="28" t="n">
        <x:v>1089.7336399539</x:v>
      </x:c>
      <x:c r="N143" s="28"/>
      <x:c r="O143" s="28" t="n">
        <x:v>23172.2407628447</x:v>
      </x:c>
      <x:c r="P143" s="28" t="n">
        <x:v>544.6983465268</x:v>
      </x:c>
      <x:c r="Q143" s="28" t="n">
        <x:v>2937.0509904182</x:v>
      </x:c>
      <x:c r="R143" s="28" t="n">
        <x:v>788.4136631257</x:v>
      </x:c>
    </x:row>
    <x:row r="144">
      <x:c r="C144" s="19" t="n">
        <x:v>43617</x:v>
      </x:c>
      <x:c r="D144" s="19" t="n">
        <x:v>43644</x:v>
      </x:c>
      <x:c r="E144" s="25" t="str">
        <x:v>grid_ovzcidwu.xlsx</x:v>
      </x:c>
      <x:c r="F144" s="28" t="n">
        <x:v>16933.5806126257</x:v>
      </x:c>
      <x:c r="G144" s="28" t="n">
        <x:v>4203.6362085139</x:v>
      </x:c>
      <x:c r="H144" s="28" t="n">
        <x:v>1164.6832055785</x:v>
      </x:c>
      <x:c r="I144" s="28" t="n">
        <x:v>7375.5179113326</x:v>
      </x:c>
      <x:c r="J144" s="28" t="n">
        <x:v>41076.0062405246</x:v>
      </x:c>
      <x:c r="K144" s="28" t="n">
        <x:v>20030.1513050832</x:v>
      </x:c>
      <x:c r="L144" s="28" t="n">
        <x:v>834.8562377479</x:v>
      </x:c>
      <x:c r="M144" s="28" t="n">
        <x:v>1139.3270657268</x:v>
      </x:c>
      <x:c r="N144" s="28"/>
      <x:c r="O144" s="28" t="n">
        <x:v>22812.368367869</x:v>
      </x:c>
      <x:c r="P144" s="28" t="n">
        <x:v>548.2689006456</x:v>
      </x:c>
      <x:c r="Q144" s="28" t="n">
        <x:v>2975.5797673739</x:v>
      </x:c>
      <x:c r="R144" s="28" t="n">
        <x:v>774.8830573115</x:v>
      </x:c>
    </x:row>
    <x:row r="145">
      <x:c r="C145" s="19" t="n">
        <x:v>43647</x:v>
      </x:c>
      <x:c r="D145" s="19" t="n">
        <x:v>43677</x:v>
      </x:c>
      <x:c r="E145" s="25" t="str">
        <x:v>grid_ovzcidwu.xlsx</x:v>
      </x:c>
      <x:c r="F145" s="28" t="n">
        <x:v>16307.7223540856</x:v>
      </x:c>
      <x:c r="G145" s="28" t="n">
        <x:v>4328.9945834239</x:v>
      </x:c>
      <x:c r="H145" s="28" t="n">
        <x:v>1135.320139392</x:v>
      </x:c>
      <x:c r="I145" s="28" t="n">
        <x:v>7571.1281379758</x:v>
      </x:c>
      <x:c r="J145" s="28" t="n">
        <x:v>40935.2073148852</x:v>
      </x:c>
      <x:c r="K145" s="28" t="n">
        <x:v>19414.5681598399</x:v>
      </x:c>
      <x:c r="L145" s="28" t="n">
        <x:v>831.6471658987</x:v>
      </x:c>
      <x:c r="M145" s="28" t="n">
        <x:v>1205.027146405</x:v>
      </x:c>
      <x:c r="N145" s="28"/>
      <x:c r="O145" s="28" t="n">
        <x:v>24301.0452470616</x:v>
      </x:c>
      <x:c r="P145" s="28" t="n">
        <x:v>552.8842385004</x:v>
      </x:c>
      <x:c r="Q145" s="28" t="n">
        <x:v>2729.9412130244</x:v>
      </x:c>
      <x:c r="R145" s="28" t="n">
        <x:v>797.8515320656</x:v>
      </x:c>
    </x:row>
    <x:row r="146">
      <x:c r="C146" s="19" t="n">
        <x:v>43678</x:v>
      </x:c>
      <x:c r="D146" s="19" t="n">
        <x:v>43707</x:v>
      </x:c>
      <x:c r="E146" s="25" t="str">
        <x:v>grid_ovzcidwu.xlsx</x:v>
      </x:c>
      <x:c r="F146" s="28" t="n">
        <x:v>15482.5294414579</x:v>
      </x:c>
      <x:c r="G146" s="28" t="n">
        <x:v>4414.8987353376</x:v>
      </x:c>
      <x:c r="H146" s="28" t="n">
        <x:v>1201.6112158825</x:v>
      </x:c>
      <x:c r="I146" s="28" t="n">
        <x:v>7412.1551987335</x:v>
      </x:c>
      <x:c r="J146" s="28" t="n">
        <x:v>36937.3267934426</x:v>
      </x:c>
      <x:c r="K146" s="28" t="n">
        <x:v>19295.2846870222</x:v>
      </x:c>
      <x:c r="L146" s="28" t="n">
        <x:v>827.2416020862</x:v>
      </x:c>
      <x:c r="M146" s="28" t="n">
        <x:v>1274.9378393957</x:v>
      </x:c>
      <x:c r="N146" s="28"/>
      <x:c r="O146" s="28" t="n">
        <x:v>23977.2813869106</x:v>
      </x:c>
      <x:c r="P146" s="28" t="n">
        <x:v>560.5912135534</x:v>
      </x:c>
      <x:c r="Q146" s="28" t="n">
        <x:v>3210.8470128352</x:v>
      </x:c>
      <x:c r="R146" s="28" t="n">
        <x:v>828.4602371148</x:v>
      </x:c>
    </x:row>
    <x:row r="147">
      <x:c r="C147" s="19" t="n">
        <x:v>43709</x:v>
      </x:c>
      <x:c r="D147" s="19" t="n">
        <x:v>43738</x:v>
      </x:c>
      <x:c r="E147" s="25" t="str">
        <x:v>grid_ovzcidwu.xlsx</x:v>
      </x:c>
      <x:c r="F147" s="28" t="n">
        <x:v>15535.9462691453</x:v>
      </x:c>
      <x:c r="G147" s="28" t="n">
        <x:v>4408.1529964442</x:v>
      </x:c>
      <x:c r="H147" s="28" t="n">
        <x:v>1148.2444709603</x:v>
      </x:c>
      <x:c r="I147" s="28" t="n">
        <x:v>7672.6960295924</x:v>
      </x:c>
      <x:c r="J147" s="28" t="n">
        <x:v>37058.5714374645</x:v>
      </x:c>
      <x:c r="K147" s="28" t="n">
        <x:v>19060.2563109972</x:v>
      </x:c>
      <x:c r="L147" s="28" t="n">
        <x:v>795.9576903814</x:v>
      </x:c>
      <x:c r="M147" s="28" t="n">
        <x:v>1293.2055411744</x:v>
      </x:c>
      <x:c r="N147" s="28"/>
      <x:c r="O147" s="28" t="n">
        <x:v>23944.8879406736</x:v>
      </x:c>
      <x:c r="P147" s="28" t="n">
        <x:v>563.983027813</x:v>
      </x:c>
      <x:c r="Q147" s="28" t="n">
        <x:v>2922.9744638067</x:v>
      </x:c>
      <x:c r="R147" s="28" t="n">
        <x:v>828.5753155847</x:v>
      </x:c>
    </x:row>
    <x:row r="148">
      <x:c r="C148" s="19" t="n">
        <x:v>43739</x:v>
      </x:c>
      <x:c r="D148" s="19" t="n">
        <x:v>43769</x:v>
      </x:c>
      <x:c r="E148" s="25" t="str">
        <x:v>grid_ovzcidwu.xlsx</x:v>
      </x:c>
      <x:c r="F148" s="28" t="n">
        <x:v>15437.0951305221</x:v>
      </x:c>
      <x:c r="G148" s="28" t="n">
        <x:v>4442.5568938845</x:v>
      </x:c>
      <x:c r="H148" s="28" t="n">
        <x:v>1105.9974828224</x:v>
      </x:c>
      <x:c r="I148" s="28" t="n">
        <x:v>7543.8468509773</x:v>
      </x:c>
      <x:c r="J148" s="28" t="n">
        <x:v>34620.2671786667</x:v>
      </x:c>
      <x:c r="K148" s="28" t="n">
        <x:v>19138.3545213275</x:v>
      </x:c>
      <x:c r="L148" s="28" t="n">
        <x:v>797.7205656283</x:v>
      </x:c>
      <x:c r="M148" s="28" t="n">
        <x:v>1300.1381482877</x:v>
      </x:c>
      <x:c r="N148" s="28"/>
      <x:c r="O148" s="28" t="n">
        <x:v>23229.5063085779</x:v>
      </x:c>
      <x:c r="P148" s="28" t="n">
        <x:v>578.8309770179</x:v>
      </x:c>
      <x:c r="Q148" s="28" t="n">
        <x:v>2923.1929334475</x:v>
      </x:c>
      <x:c r="R148" s="28" t="n">
        <x:v>811.9551893333</x:v>
      </x:c>
    </x:row>
    <x:row r="149">
      <x:c r="C149" s="19" t="n">
        <x:v>43770</x:v>
      </x:c>
      <x:c r="D149" s="19" t="n">
        <x:v>43798</x:v>
      </x:c>
      <x:c r="E149" s="25" t="str">
        <x:v>grid_ovzcidwu.xlsx</x:v>
      </x:c>
      <x:c r="F149" s="28" t="n">
        <x:v>15152.2360377196</x:v>
      </x:c>
      <x:c r="G149" s="28" t="n">
        <x:v>4375.1680803185</x:v>
      </x:c>
      <x:c r="H149" s="28" t="n">
        <x:v>1088.7000292652</x:v>
      </x:c>
      <x:c r="I149" s="28" t="n">
        <x:v>7736.0177025665</x:v>
      </x:c>
      <x:c r="J149" s="28" t="n">
        <x:v>35830.8080388197</x:v>
      </x:c>
      <x:c r="K149" s="28" t="n">
        <x:v>18858.334741242</x:v>
      </x:c>
      <x:c r="L149" s="28" t="n">
        <x:v>795.596114916</x:v>
      </x:c>
      <x:c r="M149" s="28" t="n">
        <x:v>1340.4424205942</x:v>
      </x:c>
      <x:c r="N149" s="28"/>
      <x:c r="O149" s="28" t="n">
        <x:v>22665.141570971</x:v>
      </x:c>
      <x:c r="P149" s="28" t="n">
        <x:v>590.0876866533</x:v>
      </x:c>
      <x:c r="Q149" s="28" t="n">
        <x:v>2661.2376206739</x:v>
      </x:c>
      <x:c r="R149" s="28" t="n">
        <x:v>834.1985196066</x:v>
      </x:c>
    </x:row>
    <x:row r="150">
      <x:c r="C150" s="19" t="n">
        <x:v>43800</x:v>
      </x:c>
      <x:c r="D150" s="19" t="n">
        <x:v>43830</x:v>
      </x:c>
      <x:c r="E150" s="25" t="str">
        <x:v>grid_ovzcidwu.xlsx</x:v>
      </x:c>
      <x:c r="F150" s="28" t="n">
        <x:v>15200.4732763017</x:v>
      </x:c>
      <x:c r="G150" s="28" t="n">
        <x:v>4291.4923965061</x:v>
      </x:c>
      <x:c r="H150" s="28" t="n">
        <x:v>1074.4851137622</x:v>
      </x:c>
      <x:c r="I150" s="28" t="n">
        <x:v>7417.5590219328</x:v>
      </x:c>
      <x:c r="J150" s="28" t="n">
        <x:v>36095.299584</x:v>
      </x:c>
      <x:c r="K150" s="28" t="n">
        <x:v>19373.3148117545</x:v>
      </x:c>
      <x:c r="L150" s="28" t="n">
        <x:v>805.7406978087</x:v>
      </x:c>
      <x:c r="M150" s="28" t="n">
        <x:v>1372.9495111483</x:v>
      </x:c>
      <x:c r="N150" s="28"/>
      <x:c r="O150" s="28" t="n">
        <x:v>23500.0777462258</x:v>
      </x:c>
      <x:c r="P150" s="28" t="n">
        <x:v>578.8325750208</x:v>
      </x:c>
      <x:c r="Q150" s="28" t="n">
        <x:v>2642.5136589508</x:v>
      </x:c>
      <x:c r="R150" s="28" t="n">
        <x:v>850.499968</x:v>
      </x:c>
    </x:row>
    <x:row r="151">
      <x:c r="C151" s="19" t="n">
        <x:v>43831</x:v>
      </x:c>
      <x:c r="D151" s="19" t="n">
        <x:v>43861</x:v>
      </x:c>
      <x:c r="E151" s="25" t="str">
        <x:v>grid_1mk3z2wn.xlsx</x:v>
      </x:c>
      <x:c r="F151" s="28" t="n">
        <x:v>14075.1634121047</x:v>
      </x:c>
      <x:c r="G151" s="28" t="n">
        <x:v>4265.2069193499</x:v>
      </x:c>
      <x:c r="H151" s="28" t="n">
        <x:v>1062.9496251142</x:v>
      </x:c>
      <x:c r="I151" s="28" t="n">
        <x:v>6820.1075757997</x:v>
      </x:c>
      <x:c r="J151" s="28" t="n">
        <x:v>36691.5466730959</x:v>
      </x:c>
      <x:c r="K151" s="28" t="n">
        <x:v>18147.4234275607</x:v>
      </x:c>
      <x:c r="L151" s="28" t="n">
        <x:v>842.964425612</x:v>
      </x:c>
      <x:c r="M151" s="28" t="n">
        <x:v>1382.8478360092</x:v>
      </x:c>
      <x:c r="N151" s="28" t="n">
        <x:v>342.3995686575</x:v>
      </x:c>
      <x:c r="O151" s="28" t="n">
        <x:v>23493.0291934303</x:v>
      </x:c>
      <x:c r="P151" s="28" t="n">
        <x:v>601.5160140237</x:v>
      </x:c>
      <x:c r="Q151" s="28" t="n">
        <x:v>2738.5197108862</x:v>
      </x:c>
      <x:c r="R151" s="28" t="n">
        <x:v>862.6165084932</x:v>
      </x:c>
    </x:row>
    <x:row r="152">
      <x:c r="C152" s="19" t="n">
        <x:v>43862</x:v>
      </x:c>
      <x:c r="D152" s="19" t="n">
        <x:v>43889</x:v>
      </x:c>
      <x:c r="E152" s="25" t="str">
        <x:v>grid_1mk3z2wn.xlsx</x:v>
      </x:c>
      <x:c r="F152" s="28" t="n">
        <x:v>13998.7570471167</x:v>
      </x:c>
      <x:c r="G152" s="28" t="n">
        <x:v>4170.3282600522</x:v>
      </x:c>
      <x:c r="H152" s="28" t="n">
        <x:v>1051.7615093429</x:v>
      </x:c>
      <x:c r="I152" s="28" t="n">
        <x:v>6335.7452077999</x:v>
      </x:c>
      <x:c r="J152" s="28" t="n">
        <x:v>36448.8134936548</x:v>
      </x:c>
      <x:c r="K152" s="28" t="n">
        <x:v>18278.6903734988</x:v>
      </x:c>
      <x:c r="L152" s="28" t="n">
        <x:v>881.3987363053</x:v>
      </x:c>
      <x:c r="M152" s="28" t="n">
        <x:v>1446.4256342301</x:v>
      </x:c>
      <x:c r="N152" s="28" t="n">
        <x:v>347.1980821918</x:v>
      </x:c>
      <x:c r="O152" s="28" t="n">
        <x:v>23371.9761249199</x:v>
      </x:c>
      <x:c r="P152" s="28" t="n">
        <x:v>630.8782666313</x:v>
      </x:c>
      <x:c r="Q152" s="28" t="n">
        <x:v>2835.0403608688</x:v>
      </x:c>
      <x:c r="R152" s="28" t="n">
        <x:v>899.666450411</x:v>
      </x:c>
    </x:row>
    <x:row r="153">
      <x:c r="C153" s="19" t="n">
        <x:v>43891</x:v>
      </x:c>
      <x:c r="D153" s="19" t="n">
        <x:v>43921</x:v>
      </x:c>
      <x:c r="E153" s="25" t="str">
        <x:v>grid_1mk3z2wn.xlsx</x:v>
      </x:c>
      <x:c r="F153" s="28" t="n">
        <x:v>12131.0251006431</x:v>
      </x:c>
      <x:c r="G153" s="28" t="n">
        <x:v>4350.7815029527</x:v>
      </x:c>
      <x:c r="H153" s="28" t="n">
        <x:v>882.3351127022</x:v>
      </x:c>
      <x:c r="I153" s="28" t="n">
        <x:v>5745.0428304698</x:v>
      </x:c>
      <x:c r="J153" s="28" t="n">
        <x:v>13820.3484721096</x:v>
      </x:c>
      <x:c r="K153" s="28" t="n">
        <x:v>18100.1159495801</x:v>
      </x:c>
      <x:c r="L153" s="28" t="n">
        <x:v>902.5309766113</x:v>
      </x:c>
      <x:c r="M153" s="28" t="n">
        <x:v>1376.0069901547</x:v>
      </x:c>
      <x:c r="N153" s="28" t="n">
        <x:v>341.9428747397</x:v>
      </x:c>
      <x:c r="O153" s="28" t="n">
        <x:v>24994.9253083713</x:v>
      </x:c>
      <x:c r="P153" s="28" t="n">
        <x:v>446.2254926475</x:v>
      </x:c>
      <x:c r="Q153" s="28" t="n">
        <x:v>2871.6139709025</x:v>
      </x:c>
      <x:c r="R153" s="28" t="n">
        <x:v>894.263283726</x:v>
      </x:c>
    </x:row>
    <x:row r="154">
      <x:c r="C154" s="19" t="n">
        <x:v>43922</x:v>
      </x:c>
      <x:c r="D154" s="19" t="n">
        <x:v>43951</x:v>
      </x:c>
      <x:c r="E154" s="25" t="str">
        <x:v>grid_1mk3z2wn.xlsx</x:v>
      </x:c>
      <x:c r="F154" s="28" t="n">
        <x:v>10238.6557084517</x:v>
      </x:c>
      <x:c r="G154" s="28" t="n">
        <x:v>4202.8748658855</x:v>
      </x:c>
      <x:c r="H154" s="28" t="n">
        <x:v>764.4135790295</x:v>
      </x:c>
      <x:c r="I154" s="28" t="n">
        <x:v>5002.4242889915</x:v>
      </x:c>
      <x:c r="J154" s="28" t="n">
        <x:v>6703.7099936438</x:v>
      </x:c>
      <x:c r="K154" s="28" t="n">
        <x:v>16567.0845276421</x:v>
      </x:c>
      <x:c r="L154" s="28" t="n">
        <x:v>871.3128270528</x:v>
      </x:c>
      <x:c r="M154" s="28" t="n">
        <x:v>1097.4056858103</x:v>
      </x:c>
      <x:c r="N154" s="28" t="n">
        <x:v>347.0444383562</x:v>
      </x:c>
      <x:c r="O154" s="28" t="n">
        <x:v>22781.8836047971</x:v>
      </x:c>
      <x:c r="P154" s="28" t="n">
        <x:v>349.7435352182</x:v>
      </x:c>
      <x:c r="Q154" s="28" t="n">
        <x:v>2750.2464470685</x:v>
      </x:c>
      <x:c r="R154" s="28" t="n">
        <x:v>827.8164795616</x:v>
      </x:c>
    </x:row>
    <x:row r="155">
      <x:c r="C155" s="19" t="n">
        <x:v>43952</x:v>
      </x:c>
      <x:c r="D155" s="19" t="n">
        <x:v>43980</x:v>
      </x:c>
      <x:c r="E155" s="25" t="str">
        <x:v>grid_1mk3z2wn.xlsx</x:v>
      </x:c>
      <x:c r="F155" s="28" t="n">
        <x:v>9576.3665825991</x:v>
      </x:c>
      <x:c r="G155" s="28" t="n">
        <x:v>4139.725467046</x:v>
      </x:c>
      <x:c r="H155" s="28" t="n">
        <x:v>742.4964928428</x:v>
      </x:c>
      <x:c r="I155" s="28" t="n">
        <x:v>4706.4042477116</x:v>
      </x:c>
      <x:c r="J155" s="28" t="n">
        <x:v>2076.5146799343</x:v>
      </x:c>
      <x:c r="K155" s="28" t="n">
        <x:v>15067.2971190411</x:v>
      </x:c>
      <x:c r="L155" s="28" t="n">
        <x:v>846.0113201612</x:v>
      </x:c>
      <x:c r="M155" s="28" t="n">
        <x:v>929.3403218891</x:v>
      </x:c>
      <x:c r="N155" s="28" t="n">
        <x:v>357.7873539507</x:v>
      </x:c>
      <x:c r="O155" s="28" t="n">
        <x:v>25110.3909901832</x:v>
      </x:c>
      <x:c r="P155" s="28" t="n">
        <x:v>364.2928642911</x:v>
      </x:c>
      <x:c r="Q155" s="28" t="n">
        <x:v>2412.2060083943</x:v>
      </x:c>
      <x:c r="R155" s="28" t="n">
        <x:v>890.9945063452</x:v>
      </x:c>
    </x:row>
    <x:row r="156">
      <x:c r="C156" s="19" t="n">
        <x:v>43983</x:v>
      </x:c>
      <x:c r="D156" s="19" t="n">
        <x:v>44012</x:v>
      </x:c>
      <x:c r="E156" s="25" t="str">
        <x:v>grid_1mk3z2wn.xlsx</x:v>
      </x:c>
      <x:c r="F156" s="28" t="n">
        <x:v>8906.9785976356</x:v>
      </x:c>
      <x:c r="G156" s="28" t="n">
        <x:v>4043.9670060888</x:v>
      </x:c>
      <x:c r="H156" s="28" t="n">
        <x:v>711.4350480318</x:v>
      </x:c>
      <x:c r="I156" s="28" t="n">
        <x:v>4715.4941536829</x:v>
      </x:c>
      <x:c r="J156" s="28" t="n">
        <x:v>-1170.5429174356</x:v>
      </x:c>
      <x:c r="K156" s="28" t="n">
        <x:v>13286.8351350122</x:v>
      </x:c>
      <x:c r="L156" s="28" t="n">
        <x:v>860.780125071</x:v>
      </x:c>
      <x:c r="M156" s="28" t="n">
        <x:v>847.107910557</x:v>
      </x:c>
      <x:c r="N156" s="28" t="n">
        <x:v>356.7541016548</x:v>
      </x:c>
      <x:c r="O156" s="28" t="n">
        <x:v>26414.7809162923</x:v>
      </x:c>
      <x:c r="P156" s="28" t="n">
        <x:v>404.4980460533</x:v>
      </x:c>
      <x:c r="Q156" s="28" t="n">
        <x:v>2660.9603980588</x:v>
      </x:c>
      <x:c r="R156" s="28" t="n">
        <x:v>880.6419175452</x:v>
      </x:c>
    </x:row>
    <x:row r="157">
      <x:c r="C157" s="19" t="n">
        <x:v>44013</x:v>
      </x:c>
      <x:c r="D157" s="19" t="n">
        <x:v>44043</x:v>
      </x:c>
      <x:c r="E157" s="25" t="str">
        <x:v>grid_1mk3z2wn.xlsx</x:v>
      </x:c>
      <x:c r="F157" s="28" t="n">
        <x:v>9429.4736035546</x:v>
      </x:c>
      <x:c r="G157" s="28" t="n">
        <x:v>3809.0112618196</x:v>
      </x:c>
      <x:c r="H157" s="28" t="n">
        <x:v>751.048091712</x:v>
      </x:c>
      <x:c r="I157" s="28" t="n">
        <x:v>4503.9625425043</x:v>
      </x:c>
      <x:c r="J157" s="28" t="n">
        <x:v>2054.6892954301</x:v>
      </x:c>
      <x:c r="K157" s="28" t="n">
        <x:v>12861.200068555</x:v>
      </x:c>
      <x:c r="L157" s="28" t="n">
        <x:v>853.1480285741</x:v>
      </x:c>
      <x:c r="M157" s="28" t="n">
        <x:v>1030.1114584043</x:v>
      </x:c>
      <x:c r="N157" s="28" t="n">
        <x:v>363.5456807452</x:v>
      </x:c>
      <x:c r="O157" s="28" t="n">
        <x:v>28718.0367399989</x:v>
      </x:c>
      <x:c r="P157" s="28" t="n">
        <x:v>413.9411654045</x:v>
      </x:c>
      <x:c r="Q157" s="28" t="n">
        <x:v>2767.0510014124</x:v>
      </x:c>
      <x:c r="R157" s="28" t="n">
        <x:v>950.3896914411</x:v>
      </x:c>
    </x:row>
    <x:row r="158">
      <x:c r="C158" s="19" t="n">
        <x:v>44044</x:v>
      </x:c>
      <x:c r="D158" s="19" t="n">
        <x:v>44074</x:v>
      </x:c>
      <x:c r="E158" s="25" t="str">
        <x:v>grid_1mk3z2wn.xlsx</x:v>
      </x:c>
      <x:c r="F158" s="28" t="n">
        <x:v>10412.2704765741</x:v>
      </x:c>
      <x:c r="G158" s="28" t="n">
        <x:v>3997.8642415748</x:v>
      </x:c>
      <x:c r="H158" s="28" t="n">
        <x:v>759.2673938341</x:v>
      </x:c>
      <x:c r="I158" s="28" t="n">
        <x:v>4586.6888817771</x:v>
      </x:c>
      <x:c r="J158" s="28" t="n">
        <x:v>6956.8558234301</x:v>
      </x:c>
      <x:c r="K158" s="28" t="n">
        <x:v>13010.7524204717</x:v>
      </x:c>
      <x:c r="L158" s="28" t="n">
        <x:v>845.4653413874</x:v>
      </x:c>
      <x:c r="M158" s="28" t="n">
        <x:v>1052.5887600021</x:v>
      </x:c>
      <x:c r="N158" s="28" t="n">
        <x:v>352.2202625753</x:v>
      </x:c>
      <x:c r="O158" s="28" t="n">
        <x:v>30758.19146183</x:v>
      </x:c>
      <x:c r="P158" s="28" t="n">
        <x:v>419.4177792786</x:v>
      </x:c>
      <x:c r="Q158" s="28" t="n">
        <x:v>3080.7230669866</x:v>
      </x:c>
      <x:c r="R158" s="28" t="n">
        <x:v>976.0799161863</x:v>
      </x:c>
    </x:row>
    <x:row r="159">
      <x:c r="C159" s="19" t="n">
        <x:v>44075</x:v>
      </x:c>
      <x:c r="D159" s="19" t="n">
        <x:v>44104</x:v>
      </x:c>
      <x:c r="E159" s="25" t="str">
        <x:v>grid_1mk3z2wn.xlsx</x:v>
      </x:c>
      <x:c r="F159" s="28" t="n">
        <x:v>11661.7103528959</x:v>
      </x:c>
      <x:c r="G159" s="28" t="n">
        <x:v>4032.6939602093</x:v>
      </x:c>
      <x:c r="H159" s="28" t="n">
        <x:v>815.6705699671</x:v>
      </x:c>
      <x:c r="I159" s="28" t="n">
        <x:v>4663.070717679</x:v>
      </x:c>
      <x:c r="J159" s="28" t="n">
        <x:v>10949.8817375326</x:v>
      </x:c>
      <x:c r="K159" s="28" t="n">
        <x:v>13822.7881923937</x:v>
      </x:c>
      <x:c r="L159" s="28" t="n">
        <x:v>843.8582570641</x:v>
      </x:c>
      <x:c r="M159" s="28" t="n">
        <x:v>1190.8300541429</x:v>
      </x:c>
      <x:c r="N159" s="28" t="n">
        <x:v>348.4200369096</x:v>
      </x:c>
      <x:c r="O159" s="28" t="n">
        <x:v>35406.7081873853</x:v>
      </x:c>
      <x:c r="P159" s="28" t="n">
        <x:v>384.7650732531</x:v>
      </x:c>
      <x:c r="Q159" s="28" t="n">
        <x:v>2919.8038385941</x:v>
      </x:c>
      <x:c r="R159" s="28" t="n">
        <x:v>979.9379855781</x:v>
      </x:c>
    </x:row>
    <x:row r="160">
      <x:c r="C160" s="19" t="n">
        <x:v>44105</x:v>
      </x:c>
      <x:c r="D160" s="19" t="n">
        <x:v>44134</x:v>
      </x:c>
      <x:c r="E160" s="25" t="str">
        <x:v>grid_1mk3z2wn.xlsx</x:v>
      </x:c>
      <x:c r="F160" s="28" t="n">
        <x:v>14070.5989312673</x:v>
      </x:c>
      <x:c r="G160" s="28" t="n">
        <x:v>4176.3403848375</x:v>
      </x:c>
      <x:c r="H160" s="28" t="n">
        <x:v>822.9926628527</x:v>
      </x:c>
      <x:c r="I160" s="28" t="n">
        <x:v>4797.9613025005</x:v>
      </x:c>
      <x:c r="J160" s="28" t="n">
        <x:v>19121.6516448055</x:v>
      </x:c>
      <x:c r="K160" s="28" t="n">
        <x:v>14682.199107123</x:v>
      </x:c>
      <x:c r="L160" s="28" t="n">
        <x:v>891.0679967797</x:v>
      </x:c>
      <x:c r="M160" s="28" t="n">
        <x:v>1396.6688641269</x:v>
      </x:c>
      <x:c r="N160" s="28" t="n">
        <x:v>381.8673972603</x:v>
      </x:c>
      <x:c r="O160" s="28" t="n">
        <x:v>42781.3998337149</x:v>
      </x:c>
      <x:c r="P160" s="28" t="n">
        <x:v>451.8720378314</x:v>
      </x:c>
      <x:c r="Q160" s="28" t="n">
        <x:v>2916.6318334937</x:v>
      </x:c>
      <x:c r="R160" s="28" t="n">
        <x:v>1105.2987602411</x:v>
      </x:c>
    </x:row>
    <x:row r="161">
      <x:c r="C161" s="19" t="n">
        <x:v>44136</x:v>
      </x:c>
      <x:c r="D161" s="19" t="n">
        <x:v>44165</x:v>
      </x:c>
      <x:c r="E161" s="25" t="str">
        <x:v>grid_1mk3z2wn.xlsx</x:v>
      </x:c>
      <x:c r="F161" s="28" t="n">
        <x:v>16663.0220148499</x:v>
      </x:c>
      <x:c r="G161" s="28" t="n">
        <x:v>4089.6057316331</x:v>
      </x:c>
      <x:c r="H161" s="28" t="n">
        <x:v>914.181422443</x:v>
      </x:c>
      <x:c r="I161" s="28" t="n">
        <x:v>5000.6226275674</x:v>
      </x:c>
      <x:c r="J161" s="28" t="n">
        <x:v>26183.0264269763</x:v>
      </x:c>
      <x:c r="K161" s="28" t="n">
        <x:v>15810.4978158414</x:v>
      </x:c>
      <x:c r="L161" s="28" t="n">
        <x:v>919.0893309236</x:v>
      </x:c>
      <x:c r="M161" s="28" t="n">
        <x:v>1339.292785433</x:v>
      </x:c>
      <x:c r="N161" s="28" t="n">
        <x:v>392.0487671233</x:v>
      </x:c>
      <x:c r="O161" s="28" t="n">
        <x:v>47451.5724827805</x:v>
      </x:c>
      <x:c r="P161" s="28" t="n">
        <x:v>476.0886406648</x:v>
      </x:c>
      <x:c r="Q161" s="28" t="n">
        <x:v>2827.0741681183</x:v>
      </x:c>
      <x:c r="R161" s="28" t="n">
        <x:v>1092.7449457973</x:v>
      </x:c>
    </x:row>
    <x:row r="162">
      <x:c r="C162" s="19" t="n">
        <x:v>44166</x:v>
      </x:c>
      <x:c r="D162" s="19" t="n">
        <x:v>44196</x:v>
      </x:c>
      <x:c r="E162" s="25" t="str">
        <x:v>grid_1mk3z2wn.xlsx</x:v>
      </x:c>
      <x:c r="F162" s="28" t="n">
        <x:v>17136.888024143</x:v>
      </x:c>
      <x:c r="G162" s="28" t="n">
        <x:v>4461.2084906991</x:v>
      </x:c>
      <x:c r="H162" s="28" t="n">
        <x:v>942.3162233599</x:v>
      </x:c>
      <x:c r="I162" s="28" t="n">
        <x:v>5296.9762350193</x:v>
      </x:c>
      <x:c r="J162" s="28" t="n">
        <x:v>33166.803124274</x:v>
      </x:c>
      <x:c r="K162" s="28" t="n">
        <x:v>15882.5306125575</x:v>
      </x:c>
      <x:c r="L162" s="28" t="n">
        <x:v>979.6606531793</x:v>
      </x:c>
      <x:c r="M162" s="28" t="n">
        <x:v>1429.5835969189</x:v>
      </x:c>
      <x:c r="N162" s="28" t="n">
        <x:v>402</x:v>
      </x:c>
      <x:c r="O162" s="28" t="n">
        <x:v>47321.9549363728</x:v>
      </x:c>
      <x:c r="P162" s="28" t="n">
        <x:v>452.3689278678</x:v>
      </x:c>
      <x:c r="Q162" s="28" t="n">
        <x:v>2982.2683717983</x:v>
      </x:c>
      <x:c r="R162" s="28" t="n">
        <x:v>981.839925364</x:v>
      </x:c>
    </x:row>
    <x:row r="163">
      <x:c r="C163" s="19" t="n">
        <x:v>44197</x:v>
      </x:c>
      <x:c r="D163" s="19" t="n">
        <x:v>44225</x:v>
      </x:c>
      <x:c r="E163" s="25" t="str">
        <x:v>grid_1mk3z2wn.xlsx</x:v>
      </x:c>
      <x:c r="F163" s="28" t="n">
        <x:v>19470.4803433839</x:v>
      </x:c>
      <x:c r="G163" s="28" t="n">
        <x:v>4462.5877508408</x:v>
      </x:c>
      <x:c r="H163" s="28" t="n">
        <x:v>938.0612310088</x:v>
      </x:c>
      <x:c r="I163" s="28" t="n">
        <x:v>5383.8648767405</x:v>
      </x:c>
      <x:c r="J163" s="28" t="n">
        <x:v>34392.6143611611</x:v>
      </x:c>
      <x:c r="K163" s="28" t="n">
        <x:v>16060.9906654107</x:v>
      </x:c>
      <x:c r="L163" s="28" t="n">
        <x:v>1029.8150995486</x:v>
      </x:c>
      <x:c r="M163" s="28" t="n">
        <x:v>1566.3242028094</x:v>
      </x:c>
      <x:c r="N163" s="28" t="n">
        <x:v>395.2858389918</x:v>
      </x:c>
      <x:c r="O163" s="28" t="n">
        <x:v>56913.4443497374</x:v>
      </x:c>
      <x:c r="P163" s="28" t="n">
        <x:v>445.3990670951</x:v>
      </x:c>
      <x:c r="Q163" s="28" t="n">
        <x:v>2845.5883685777</x:v>
      </x:c>
      <x:c r="R163" s="28" t="n">
        <x:v>929.8861120688</x:v>
      </x:c>
    </x:row>
    <x:row r="164">
      <x:c r="C164" s="19" t="n">
        <x:v>44228</x:v>
      </x:c>
      <x:c r="D164" s="19" t="n">
        <x:v>44253</x:v>
      </x:c>
      <x:c r="E164" s="25" t="str">
        <x:v>grid_1mk3z2wn.xlsx</x:v>
      </x:c>
      <x:c r="F164" s="28" t="n">
        <x:v>21360.5583328133</x:v>
      </x:c>
      <x:c r="G164" s="28" t="n">
        <x:v>4423.1890469846</x:v>
      </x:c>
      <x:c r="H164" s="28" t="n">
        <x:v>951.4289856997</x:v>
      </x:c>
      <x:c r="I164" s="28" t="n">
        <x:v>5372.0792249762</x:v>
      </x:c>
      <x:c r="J164" s="28" t="n">
        <x:v>37844.58279833</x:v>
      </x:c>
      <x:c r="K164" s="28" t="n">
        <x:v>16292.9692674595</x:v>
      </x:c>
      <x:c r="L164" s="28" t="n">
        <x:v>1011.0536195969</x:v>
      </x:c>
      <x:c r="M164" s="28" t="n">
        <x:v>1535.7878755787</x:v>
      </x:c>
      <x:c r="N164" s="28" t="n">
        <x:v>411.2137372055</x:v>
      </x:c>
      <x:c r="O164" s="28" t="n">
        <x:v>59664.0830509036</x:v>
      </x:c>
      <x:c r="P164" s="28" t="n">
        <x:v>431.9960316735</x:v>
      </x:c>
      <x:c r="Q164" s="28" t="n">
        <x:v>2991.3358570304</x:v>
      </x:c>
      <x:c r="R164" s="28" t="n">
        <x:v>936.1737389716</x:v>
      </x:c>
    </x:row>
    <x:row r="165">
      <x:c r="C165" s="19" t="n">
        <x:v>44256</x:v>
      </x:c>
      <x:c r="D165" s="19" t="n">
        <x:v>44286</x:v>
      </x:c>
      <x:c r="E165" s="25" t="str">
        <x:v>grid_1mk3z2wn.xlsx</x:v>
      </x:c>
      <x:c r="F165" s="28" t="n">
        <x:v>24107.4802086203</x:v>
      </x:c>
      <x:c r="G165" s="28" t="n">
        <x:v>4505.0303415891</x:v>
      </x:c>
      <x:c r="H165" s="28" t="n">
        <x:v>1045.4709736035</x:v>
      </x:c>
      <x:c r="I165" s="28" t="n">
        <x:v>5521.0875396384</x:v>
      </x:c>
      <x:c r="J165" s="28" t="n">
        <x:v>43905.3574941516</x:v>
      </x:c>
      <x:c r="K165" s="28" t="n">
        <x:v>16904.5043085343</x:v>
      </x:c>
      <x:c r="L165" s="28" t="n">
        <x:v>1072.9063073512</x:v>
      </x:c>
      <x:c r="M165" s="28" t="n">
        <x:v>1461.2506473994</x:v>
      </x:c>
      <x:c r="N165" s="28" t="n">
        <x:v>424.5923936438</x:v>
      </x:c>
      <x:c r="O165" s="28" t="n">
        <x:v>68660.4048040141</x:v>
      </x:c>
      <x:c r="P165" s="28" t="n">
        <x:v>422.3651998586</x:v>
      </x:c>
      <x:c r="Q165" s="28" t="n">
        <x:v>3058.8639916516</x:v>
      </x:c>
      <x:c r="R165" s="28" t="n">
        <x:v>855.9277889505</x:v>
      </x:c>
    </x:row>
    <x:row r="166">
      <x:c r="C166" s="19" t="n">
        <x:v>44287</x:v>
      </x:c>
      <x:c r="D166" s="19" t="n">
        <x:v>44316</x:v>
      </x:c>
      <x:c r="E166" s="25" t="str">
        <x:v>grid_1mk3z2wn.xlsx</x:v>
      </x:c>
      <x:c r="F166" s="28" t="n">
        <x:v>27876.2453567844</x:v>
      </x:c>
      <x:c r="G166" s="28" t="n">
        <x:v>4621.1617873415</x:v>
      </x:c>
      <x:c r="H166" s="28" t="n">
        <x:v>1024.7779326862</x:v>
      </x:c>
      <x:c r="I166" s="28" t="n">
        <x:v>5694.2008134486</x:v>
      </x:c>
      <x:c r="J166" s="28" t="n">
        <x:v>55462.9627999883</x:v>
      </x:c>
      <x:c r="K166" s="28" t="n">
        <x:v>17042.3440931236</x:v>
      </x:c>
      <x:c r="L166" s="28" t="n">
        <x:v>1040.6791437053</x:v>
      </x:c>
      <x:c r="M166" s="28" t="n">
        <x:v>1524.3539192599</x:v>
      </x:c>
      <x:c r="N166" s="28" t="n">
        <x:v>427.1506849315</x:v>
      </x:c>
      <x:c r="O166" s="28" t="n">
        <x:v>77029.9665891475</x:v>
      </x:c>
      <x:c r="P166" s="28" t="n">
        <x:v>393.9433696055</x:v>
      </x:c>
      <x:c r="Q166" s="28" t="n">
        <x:v>3117.6831402369</x:v>
      </x:c>
      <x:c r="R166" s="28" t="n">
        <x:v>885.689999767</x:v>
      </x:c>
    </x:row>
    <x:row r="167">
      <x:c r="C167" s="19" t="n">
        <x:v>44317</x:v>
      </x:c>
      <x:c r="D167" s="19" t="n">
        <x:v>44347</x:v>
      </x:c>
      <x:c r="E167" s="25" t="str">
        <x:v>grid_1mk3z2wn.xlsx</x:v>
      </x:c>
      <x:c r="F167" s="28" t="n">
        <x:v>26368.0874790811</x:v>
      </x:c>
      <x:c r="G167" s="28" t="n">
        <x:v>4447.5884872304</x:v>
      </x:c>
      <x:c r="H167" s="28" t="n">
        <x:v>1141.1816591686</x:v>
      </x:c>
      <x:c r="I167" s="28" t="n">
        <x:v>5988.8091451336</x:v>
      </x:c>
      <x:c r="J167" s="28" t="n">
        <x:v>55670.2483266638</x:v>
      </x:c>
      <x:c r="K167" s="28" t="n">
        <x:v>16844.3107936194</x:v>
      </x:c>
      <x:c r="L167" s="28" t="n">
        <x:v>1039.193522749</x:v>
      </x:c>
      <x:c r="M167" s="28" t="n">
        <x:v>1493.6949343333</x:v>
      </x:c>
      <x:c r="N167" s="28" t="n">
        <x:v>294.5098930081</x:v>
      </x:c>
      <x:c r="O167" s="28" t="n">
        <x:v>76456.7505052911</x:v>
      </x:c>
      <x:c r="P167" s="28" t="n">
        <x:v>415.6247765978</x:v>
      </x:c>
      <x:c r="Q167" s="28" t="n">
        <x:v>3362.3009404875</x:v>
      </x:c>
      <x:c r="R167" s="28" t="n">
        <x:v>791.925405494</x:v>
      </x:c>
    </x:row>
    <x:row r="168">
      <x:c r="C168" s="19" t="n">
        <x:v>44348</x:v>
      </x:c>
      <x:c r="D168" s="19" t="n">
        <x:v>44377</x:v>
      </x:c>
      <x:c r="E168" s="25" t="str">
        <x:v>grid_1mk3z2wn.xlsx</x:v>
      </x:c>
      <x:c r="F168" s="28" t="n">
        <x:v>27658.9707358983</x:v>
      </x:c>
      <x:c r="G168" s="28" t="n">
        <x:v>4559.0773039864</x:v>
      </x:c>
      <x:c r="H168" s="28" t="n">
        <x:v>1197.1443763513</x:v>
      </x:c>
      <x:c r="I168" s="28" t="n">
        <x:v>5834.9497941742</x:v>
      </x:c>
      <x:c r="J168" s="28" t="n">
        <x:v>62837.152712688</x:v>
      </x:c>
      <x:c r="K168" s="28" t="n">
        <x:v>16962.8147479647</x:v>
      </x:c>
      <x:c r="L168" s="28" t="n">
        <x:v>1040.1509545181</x:v>
      </x:c>
      <x:c r="M168" s="28" t="n">
        <x:v>1510.6252527212</x:v>
      </x:c>
      <x:c r="N168" s="28" t="n">
        <x:v>306.2855006806</x:v>
      </x:c>
      <x:c r="O168" s="28" t="n">
        <x:v>78671.3769113553</x:v>
      </x:c>
      <x:c r="P168" s="28" t="n">
        <x:v>443.5235615404</x:v>
      </x:c>
      <x:c r="Q168" s="28" t="n">
        <x:v>3496.0782588486</x:v>
      </x:c>
      <x:c r="R168" s="28" t="n">
        <x:v>658.5578126692</x:v>
      </x:c>
    </x:row>
    <x:row r="169">
      <x:c r="C169" s="19" t="n">
        <x:v>44378</x:v>
      </x:c>
      <x:c r="D169" s="19" t="n">
        <x:v>44407</x:v>
      </x:c>
      <x:c r="E169" s="25" t="str">
        <x:v>grid_1mk3z2wn.xlsx</x:v>
      </x:c>
      <x:c r="F169" s="28" t="n">
        <x:v>29127.3175263349</x:v>
      </x:c>
      <x:c r="G169" s="28" t="n">
        <x:v>4626.0733155786</x:v>
      </x:c>
      <x:c r="H169" s="28" t="n">
        <x:v>1328.370900173</x:v>
      </x:c>
      <x:c r="I169" s="28" t="n">
        <x:v>6191.2046535825</x:v>
      </x:c>
      <x:c r="J169" s="28" t="n">
        <x:v>63328.9639817172</x:v>
      </x:c>
      <x:c r="K169" s="28" t="n">
        <x:v>17480.2609399887</x:v>
      </x:c>
      <x:c r="L169" s="28" t="n">
        <x:v>1150.5323427855</x:v>
      </x:c>
      <x:c r="M169" s="28" t="n">
        <x:v>1653.2352896328</x:v>
      </x:c>
      <x:c r="N169" s="28" t="n">
        <x:v>436.9924967452</x:v>
      </x:c>
      <x:c r="O169" s="28" t="n">
        <x:v>85533.6280817734</x:v>
      </x:c>
      <x:c r="P169" s="28" t="n">
        <x:v>445.3145833217</x:v>
      </x:c>
      <x:c r="Q169" s="28" t="n">
        <x:v>3575.09332386</x:v>
      </x:c>
      <x:c r="R169" s="28" t="n">
        <x:v>679.4171915973</x:v>
      </x:c>
    </x:row>
    <x:row r="170">
      <x:c r="C170" s="19" t="n">
        <x:v>44409</x:v>
      </x:c>
      <x:c r="D170" s="19" t="n">
        <x:v>44439</x:v>
      </x:c>
      <x:c r="E170" s="25" t="str">
        <x:v>grid_1mk3z2wn.xlsx</x:v>
      </x:c>
      <x:c r="F170" s="28" t="n">
        <x:v>28384.9395133663</x:v>
      </x:c>
      <x:c r="G170" s="28" t="n">
        <x:v>4748.6747341066</x:v>
      </x:c>
      <x:c r="H170" s="28" t="n">
        <x:v>1340.7910781049</x:v>
      </x:c>
      <x:c r="I170" s="28" t="n">
        <x:v>6148.2606479707</x:v>
      </x:c>
      <x:c r="J170" s="28" t="n">
        <x:v>67138.0184479993</x:v>
      </x:c>
      <x:c r="K170" s="28" t="n">
        <x:v>18087.6190740055</x:v>
      </x:c>
      <x:c r="L170" s="28" t="n">
        <x:v>1206.4962308592</x:v>
      </x:c>
      <x:c r="M170" s="28" t="n">
        <x:v>1695.9953967108</x:v>
      </x:c>
      <x:c r="N170" s="28" t="n">
        <x:v>409.7452054795</x:v>
      </x:c>
      <x:c r="O170" s="28" t="n">
        <x:v>79486.7044871851</x:v>
      </x:c>
      <x:c r="P170" s="28" t="n">
        <x:v>448.5579444961</x:v>
      </x:c>
      <x:c r="Q170" s="28" t="n">
        <x:v>3447.8371379986</x:v>
      </x:c>
      <x:c r="R170" s="28" t="n">
        <x:v>736.1634781358</x:v>
      </x:c>
    </x:row>
    <x:row r="171">
      <x:c r="C171" s="19" t="n">
        <x:v>44440</x:v>
      </x:c>
      <x:c r="D171" s="19" t="n">
        <x:v>44469</x:v>
      </x:c>
      <x:c r="E171" s="25" t="str">
        <x:v>grid_1mk3z2wn.xlsx</x:v>
      </x:c>
      <x:c r="F171" s="28" t="n">
        <x:v>26596.8694792006</x:v>
      </x:c>
      <x:c r="G171" s="28" t="n">
        <x:v>4333.4023633928</x:v>
      </x:c>
      <x:c r="H171" s="28" t="n">
        <x:v>1389.9588833034</x:v>
      </x:c>
      <x:c r="I171" s="28" t="n">
        <x:v>6631.4283374796</x:v>
      </x:c>
      <x:c r="J171" s="28" t="n">
        <x:v>68014.0385750471</x:v>
      </x:c>
      <x:c r="K171" s="28" t="n">
        <x:v>17913.9190560641</x:v>
      </x:c>
      <x:c r="L171" s="28" t="n">
        <x:v>1493.1032532467</x:v>
      </x:c>
      <x:c r="M171" s="28" t="n">
        <x:v>1806.4243363811</x:v>
      </x:c>
      <x:c r="N171" s="28" t="n">
        <x:v>356.4869250403</x:v>
      </x:c>
      <x:c r="O171" s="28" t="n">
        <x:v>67716.5061254553</x:v>
      </x:c>
      <x:c r="P171" s="28" t="n">
        <x:v>451.2618060978</x:v>
      </x:c>
      <x:c r="Q171" s="28" t="n">
        <x:v>3444.2323544067</x:v>
      </x:c>
      <x:c r="R171" s="28" t="n">
        <x:v>654.2250573307</x:v>
      </x:c>
    </x:row>
    <x:row r="172">
      <x:c r="C172" s="19" t="n">
        <x:v>44470</x:v>
      </x:c>
      <x:c r="D172" s="19" t="n">
        <x:v>44498</x:v>
      </x:c>
      <x:c r="E172" s="25" t="str">
        <x:v>grid_1mk3z2wn.xlsx</x:v>
      </x:c>
      <x:c r="F172" s="28" t="n">
        <x:v>27010.4924005158</x:v>
      </x:c>
      <x:c r="G172" s="28" t="n">
        <x:v>4887.3303079716</x:v>
      </x:c>
      <x:c r="H172" s="28" t="n">
        <x:v>1394.0063439967</x:v>
      </x:c>
      <x:c r="I172" s="28" t="n">
        <x:v>7325.4915397399</x:v>
      </x:c>
      <x:c r="J172" s="28" t="n">
        <x:v>76278.1816544336</x:v>
      </x:c>
      <x:c r="K172" s="28" t="n">
        <x:v>18647.2001838061</x:v>
      </x:c>
      <x:c r="L172" s="28" t="n">
        <x:v>1485.034143054</x:v>
      </x:c>
      <x:c r="M172" s="28" t="n">
        <x:v>1878.8639920312</x:v>
      </x:c>
      <x:c r="N172" s="28" t="n">
        <x:v>370.8335211519</x:v>
      </x:c>
      <x:c r="O172" s="28" t="n">
        <x:v>60530.3538125251</x:v>
      </x:c>
      <x:c r="P172" s="28" t="n">
        <x:v>460.3683325108</x:v>
      </x:c>
      <x:c r="Q172" s="28" t="n">
        <x:v>3409.6173204804</x:v>
      </x:c>
      <x:c r="R172" s="28" t="n">
        <x:v>664.1142362098</x:v>
      </x:c>
    </x:row>
    <x:row r="173">
      <x:c r="C173" s="19" t="n">
        <x:v>44501</x:v>
      </x:c>
      <x:c r="D173" s="19" t="n">
        <x:v>44530</x:v>
      </x:c>
      <x:c r="E173" s="25" t="str">
        <x:v>grid_1mk3z2wn.xlsx</x:v>
      </x:c>
      <x:c r="F173" s="28" t="n">
        <x:v>27359.8042853086</x:v>
      </x:c>
      <x:c r="G173" s="28" t="n">
        <x:v>4579.5588532397</x:v>
      </x:c>
      <x:c r="H173" s="28" t="n">
        <x:v>1260.148888146</x:v>
      </x:c>
      <x:c r="I173" s="28" t="n">
        <x:v>8215.1070189763</x:v>
      </x:c>
      <x:c r="J173" s="28" t="n">
        <x:v>87991.2021795825</x:v>
      </x:c>
      <x:c r="K173" s="28" t="n">
        <x:v>18250.6193632186</x:v>
      </x:c>
      <x:c r="L173" s="28" t="n">
        <x:v>1327.889974481</x:v>
      </x:c>
      <x:c r="M173" s="28" t="n">
        <x:v>1862.8081863924</x:v>
      </x:c>
      <x:c r="N173" s="28" t="n">
        <x:v>428.4316091538</x:v>
      </x:c>
      <x:c r="O173" s="28" t="n">
        <x:v>51091.33671893</x:v>
      </x:c>
      <x:c r="P173" s="28" t="n">
        <x:v>547.4309612437</x:v>
      </x:c>
      <x:c r="Q173" s="28" t="n">
        <x:v>3467.9178802994</x:v>
      </x:c>
      <x:c r="R173" s="28" t="n">
        <x:v>649.3126659083</x:v>
      </x:c>
    </x:row>
    <x:row r="174">
      <x:c r="C174" s="19" t="n">
        <x:v>44531</x:v>
      </x:c>
      <x:c r="D174" s="19" t="n">
        <x:v>44561</x:v>
      </x:c>
      <x:c r="E174" s="25" t="str">
        <x:v>grid_1mk3z2wn.xlsx</x:v>
      </x:c>
      <x:c r="F174" s="28" t="n">
        <x:v>27028.5191873772</x:v>
      </x:c>
      <x:c r="G174" s="28" t="n">
        <x:v>4474.9345427142</x:v>
      </x:c>
      <x:c r="H174" s="28" t="n">
        <x:v>1178.7192110609</x:v>
      </x:c>
      <x:c r="I174" s="28" t="n">
        <x:v>7815.4131969995</x:v>
      </x:c>
      <x:c r="J174" s="28" t="n">
        <x:v>87803.1219232073</x:v>
      </x:c>
      <x:c r="K174" s="28" t="n">
        <x:v>18311.2625808892</x:v>
      </x:c>
      <x:c r="L174" s="28" t="n">
        <x:v>1355.77581703</x:v>
      </x:c>
      <x:c r="M174" s="28" t="n">
        <x:v>1873.0407779549</x:v>
      </x:c>
      <x:c r="N174" s="28" t="n">
        <x:v>400.1287450328</x:v>
      </x:c>
      <x:c r="O174" s="28" t="n">
        <x:v>48147.481145589</x:v>
      </x:c>
      <x:c r="P174" s="28" t="n">
        <x:v>507.7845525531</x:v>
      </x:c>
      <x:c r="Q174" s="28" t="n">
        <x:v>3330.3481641635</x:v>
      </x:c>
      <x:c r="R174" s="28" t="n">
        <x:v>647.8965113225</x:v>
      </x:c>
    </x:row>
    <x:row r="175">
      <x:c r="C175" s="19" t="n">
        <x:v>44562</x:v>
      </x:c>
      <x:c r="D175" s="19" t="n">
        <x:v>44592</x:v>
      </x:c>
      <x:c r="E175" s="25" t="str">
        <x:v>grid_1mk3z2wn.xlsx</x:v>
      </x:c>
      <x:c r="F175" s="28" t="n">
        <x:v>28151.2120295504</x:v>
      </x:c>
      <x:c r="G175" s="28" t="n">
        <x:v>4357.6493018404</x:v>
      </x:c>
      <x:c r="H175" s="28" t="n">
        <x:v>1258.0962074668</x:v>
      </x:c>
      <x:c r="I175" s="28" t="n">
        <x:v>7676.6249210467</x:v>
      </x:c>
      <x:c r="J175" s="28" t="n">
        <x:v>85992.8495500006</x:v>
      </x:c>
      <x:c r="K175" s="28" t="n">
        <x:v>18791.0804888265</x:v>
      </x:c>
      <x:c r="L175" s="28" t="n">
        <x:v>1334.8727735207</x:v>
      </x:c>
      <x:c r="M175" s="28" t="n">
        <x:v>1942.5185427144</x:v>
      </x:c>
      <x:c r="N175" s="28" t="n">
        <x:v>421.5779604206</x:v>
      </x:c>
      <x:c r="O175" s="28" t="n">
        <x:v>51488.0609814877</x:v>
      </x:c>
      <x:c r="P175" s="28" t="n">
        <x:v>506.7435729101</x:v>
      </x:c>
      <x:c r="Q175" s="28" t="n">
        <x:v>3310.7717743024</x:v>
      </x:c>
      <x:c r="R175" s="28" t="n">
        <x:v>1047.8246091397</x:v>
      </x:c>
    </x:row>
    <x:row r="176">
      <x:c r="C176" s="19" t="n">
        <x:v>44593</x:v>
      </x:c>
      <x:c r="D176" s="19" t="n">
        <x:v>44620</x:v>
      </x:c>
      <x:c r="E176" s="25" t="str">
        <x:v>grid_1mk3z2wn.xlsx</x:v>
      </x:c>
      <x:c r="F176" s="28" t="n">
        <x:v>30026.3429480347</x:v>
      </x:c>
      <x:c r="G176" s="28" t="n">
        <x:v>4622.7209478071</x:v>
      </x:c>
      <x:c r="H176" s="28" t="n">
        <x:v>1227.8967322146</x:v>
      </x:c>
      <x:c r="I176" s="28" t="n">
        <x:v>7942.9210265284</x:v>
      </x:c>
      <x:c r="J176" s="28" t="n">
        <x:v>85366.793760845</x:v>
      </x:c>
      <x:c r="K176" s="28" t="n">
        <x:v>18922.402821438</x:v>
      </x:c>
      <x:c r="L176" s="28" t="n">
        <x:v>1623.1394820658</x:v>
      </x:c>
      <x:c r="M176" s="28" t="n">
        <x:v>1891.7191436513</x:v>
      </x:c>
      <x:c r="N176" s="28" t="n">
        <x:v>455.8536709775</x:v>
      </x:c>
      <x:c r="O176" s="28" t="n">
        <x:v>55700.1272931369</x:v>
      </x:c>
      <x:c r="P176" s="28" t="n">
        <x:v>515.1106533382</x:v>
      </x:c>
      <x:c r="Q176" s="28" t="n">
        <x:v>3149.6357469891</x:v>
      </x:c>
      <x:c r="R176" s="28" t="n">
        <x:v>1047.5048085041</x:v>
      </x:c>
    </x:row>
    <x:row r="177">
      <x:c r="C177" s="19" t="n">
        <x:v>44621</x:v>
      </x:c>
      <x:c r="D177" s="19" t="n">
        <x:v>44651</x:v>
      </x:c>
      <x:c r="E177" s="25" t="str">
        <x:v>grid_1mk3z2wn.xlsx</x:v>
      </x:c>
      <x:c r="F177" s="28" t="n">
        <x:v>32087.0992383976</x:v>
      </x:c>
      <x:c r="G177" s="28" t="n">
        <x:v>4701.5248292304</x:v>
      </x:c>
      <x:c r="H177" s="28" t="n">
        <x:v>1241.2324653288</x:v>
      </x:c>
      <x:c r="I177" s="28" t="n">
        <x:v>7719.3142529119</x:v>
      </x:c>
      <x:c r="J177" s="28" t="n">
        <x:v>100411.172772043</x:v>
      </x:c>
      <x:c r="K177" s="28" t="n">
        <x:v>19267.5767821877</x:v>
      </x:c>
      <x:c r="L177" s="28" t="n">
        <x:v>1807.7692500195</x:v>
      </x:c>
      <x:c r="M177" s="28" t="n">
        <x:v>1982.3172324309</x:v>
      </x:c>
      <x:c r="N177" s="28" t="n">
        <x:v>477.6277511659</x:v>
      </x:c>
      <x:c r="O177" s="28" t="n">
        <x:v>59838.1127341454</x:v>
      </x:c>
      <x:c r="P177" s="28" t="n">
        <x:v>523.5815560886</x:v>
      </x:c>
      <x:c r="Q177" s="28" t="n">
        <x:v>3318.9030474904</x:v>
      </x:c>
      <x:c r="R177" s="28" t="n">
        <x:v>1104.183448548</x:v>
      </x:c>
    </x:row>
    <x:row r="178">
      <x:c r="C178" s="19" t="n">
        <x:v>44652</x:v>
      </x:c>
      <x:c r="D178" s="19" t="n">
        <x:v>44680</x:v>
      </x:c>
      <x:c r="E178" s="25" t="str">
        <x:v>grid_1mk3z2wn.xlsx</x:v>
      </x:c>
      <x:c r="F178" s="28" t="n">
        <x:v>34307.4987619675</x:v>
      </x:c>
      <x:c r="G178" s="28" t="n">
        <x:v>4465.2478708233</x:v>
      </x:c>
      <x:c r="H178" s="28" t="n">
        <x:v>1352.932819934</x:v>
      </x:c>
      <x:c r="I178" s="28" t="n">
        <x:v>8387.8718078129</x:v>
      </x:c>
      <x:c r="J178" s="28" t="n">
        <x:v>102698.618525494</x:v>
      </x:c>
      <x:c r="K178" s="28" t="n">
        <x:v>19540.5138812106</x:v>
      </x:c>
      <x:c r="L178" s="28" t="n">
        <x:v>1782.8072876683</x:v>
      </x:c>
      <x:c r="M178" s="28" t="n">
        <x:v>2009.1345344372</x:v>
      </x:c>
      <x:c r="N178" s="28" t="n">
        <x:v>516.9392347093</x:v>
      </x:c>
      <x:c r="O178" s="28" t="n">
        <x:v>65696.3448147469</x:v>
      </x:c>
      <x:c r="P178" s="28" t="n">
        <x:v>543.0933531319</x:v>
      </x:c>
      <x:c r="Q178" s="28" t="n">
        <x:v>3201.8607208666</x:v>
      </x:c>
      <x:c r="R178" s="28" t="n">
        <x:v>1058.2872211288</x:v>
      </x:c>
    </x:row>
    <x:row r="179">
      <x:c r="C179" s="19" t="n">
        <x:v>44682</x:v>
      </x:c>
      <x:c r="D179" s="19" t="n">
        <x:v>44712</x:v>
      </x:c>
      <x:c r="E179" s="25" t="str">
        <x:v>grid_1mk3z2wn.xlsx</x:v>
      </x:c>
      <x:c r="F179" s="28" t="n">
        <x:v>35005.2630952866</x:v>
      </x:c>
      <x:c r="G179" s="28" t="n">
        <x:v>4427.8760259734</x:v>
      </x:c>
      <x:c r="H179" s="28" t="n">
        <x:v>1472.8231307578</x:v>
      </x:c>
      <x:c r="I179" s="28" t="n">
        <x:v>7680.1000587818</x:v>
      </x:c>
      <x:c r="J179" s="28" t="n">
        <x:v>108357.285271325</x:v>
      </x:c>
      <x:c r="K179" s="28" t="n">
        <x:v>20678.630897651</x:v>
      </x:c>
      <x:c r="L179" s="28" t="n">
        <x:v>1814.8275331833</x:v>
      </x:c>
      <x:c r="M179" s="28" t="n">
        <x:v>2027.2333547875</x:v>
      </x:c>
      <x:c r="N179" s="28" t="n">
        <x:v>526.5576328176</x:v>
      </x:c>
      <x:c r="O179" s="28" t="n">
        <x:v>63945.5746420444</x:v>
      </x:c>
      <x:c r="P179" s="28" t="n">
        <x:v>572.3623868033</x:v>
      </x:c>
      <x:c r="Q179" s="28" t="n">
        <x:v>3477.4895260346</x:v>
      </x:c>
      <x:c r="R179" s="28" t="n">
        <x:v>1130.8931584</x:v>
      </x:c>
    </x:row>
    <x:row r="180">
      <x:c r="C180" s="19" t="n">
        <x:v>44713</x:v>
      </x:c>
      <x:c r="D180" s="19" t="n">
        <x:v>44742</x:v>
      </x:c>
      <x:c r="E180" s="25" t="str">
        <x:v>grid_1mk3z2wn.xlsx</x:v>
      </x:c>
      <x:c r="F180" s="28" t="n">
        <x:v>36390.7902981754</x:v>
      </x:c>
      <x:c r="G180" s="28" t="n">
        <x:v>4302.2693999586</x:v>
      </x:c>
      <x:c r="H180" s="28" t="n">
        <x:v>1421.5268170119</x:v>
      </x:c>
      <x:c r="I180" s="28" t="n">
        <x:v>7740.7564830896</x:v>
      </x:c>
      <x:c r="J180" s="28" t="n">
        <x:v>118723.990894534</x:v>
      </x:c>
      <x:c r="K180" s="28" t="n">
        <x:v>21569.0496305982</x:v>
      </x:c>
      <x:c r="L180" s="28" t="n">
        <x:v>1681.890922748</x:v>
      </x:c>
      <x:c r="M180" s="28" t="n">
        <x:v>2310.8955555655</x:v>
      </x:c>
      <x:c r="N180" s="28" t="n">
        <x:v>543.5311790361</x:v>
      </x:c>
      <x:c r="O180" s="28" t="n">
        <x:v>64153.0303066689</x:v>
      </x:c>
      <x:c r="P180" s="28" t="n">
        <x:v>575.604051707</x:v>
      </x:c>
      <x:c r="Q180" s="28" t="n">
        <x:v>4546.0295938943</x:v>
      </x:c>
      <x:c r="R180" s="28" t="n">
        <x:v>1127.1965282192</x:v>
      </x:c>
    </x:row>
    <x:row r="181">
      <x:c r="C181" s="19" t="n">
        <x:v>44743</x:v>
      </x:c>
      <x:c r="D181" s="19" t="n">
        <x:v>44771</x:v>
      </x:c>
      <x:c r="E181" s="25" t="str">
        <x:v>grid_1mk3z2wn.xlsx</x:v>
      </x:c>
      <x:c r="F181" s="28" t="n">
        <x:v>36053.5630492353</x:v>
      </x:c>
      <x:c r="G181" s="28" t="n">
        <x:v>4118.0905819382</x:v>
      </x:c>
      <x:c r="H181" s="28" t="n">
        <x:v>1437.0798466895</x:v>
      </x:c>
      <x:c r="I181" s="28" t="n">
        <x:v>7620.8806507427</x:v>
      </x:c>
      <x:c r="J181" s="28" t="n">
        <x:v>121159.615932195</x:v>
      </x:c>
      <x:c r="K181" s="28" t="n">
        <x:v>21723.8931849549</x:v>
      </x:c>
      <x:c r="L181" s="28" t="n">
        <x:v>1727.1446755437</x:v>
      </x:c>
      <x:c r="M181" s="28" t="n">
        <x:v>2494.09972407</x:v>
      </x:c>
      <x:c r="N181" s="28" t="n">
        <x:v>542.4782134701</x:v>
      </x:c>
      <x:c r="O181" s="28" t="n">
        <x:v>57236.5826704629</x:v>
      </x:c>
      <x:c r="P181" s="28" t="n">
        <x:v>593.3836472726</x:v>
      </x:c>
      <x:c r="Q181" s="28" t="n">
        <x:v>4364.0308195138</x:v>
      </x:c>
      <x:c r="R181" s="28"/>
    </x:row>
    <x:row r="182">
      <x:c r="C182" s="19" t="n">
        <x:v>44774</x:v>
      </x:c>
      <x:c r="D182" s="19" t="n">
        <x:v>44804</x:v>
      </x:c>
      <x:c r="E182" s="25" t="str">
        <x:v>grid_1mk3z2wn.xlsx</x:v>
      </x:c>
      <x:c r="F182" s="28" t="n">
        <x:v>34794.3544167372</x:v>
      </x:c>
      <x:c r="G182" s="28" t="n">
        <x:v>3793.6174895893</x:v>
      </x:c>
      <x:c r="H182" s="28" t="n">
        <x:v>1419.8493849651</x:v>
      </x:c>
      <x:c r="I182" s="28" t="n">
        <x:v>7713.3849015543</x:v>
      </x:c>
      <x:c r="J182" s="28" t="n">
        <x:v>124115.28047713</x:v>
      </x:c>
      <x:c r="K182" s="28" t="n">
        <x:v>21942.3081754997</x:v>
      </x:c>
      <x:c r="L182" s="28" t="n">
        <x:v>1703.9185862903</x:v>
      </x:c>
      <x:c r="M182" s="28" t="n">
        <x:v>2437.8257496247</x:v>
      </x:c>
      <x:c r="N182" s="28" t="n">
        <x:v>524.2157888156</x:v>
      </x:c>
      <x:c r="O182" s="28" t="n">
        <x:v>54872.6690877637</x:v>
      </x:c>
      <x:c r="P182" s="28" t="n">
        <x:v>606.4783816336</x:v>
      </x:c>
      <x:c r="Q182" s="28" t="n">
        <x:v>3871.2363783601</x:v>
      </x:c>
      <x:c r="R182" s="28"/>
    </x:row>
    <x:row r="183">
      <x:c r="C183" s="19" t="n">
        <x:v>44805</x:v>
      </x:c>
      <x:c r="D183" s="19" t="n">
        <x:v>44834</x:v>
      </x:c>
      <x:c r="E183" s="25" t="str">
        <x:v>grid_1mk3z2wn.xlsx</x:v>
      </x:c>
      <x:c r="F183" s="28" t="n">
        <x:v>33165.1950785359</x:v>
      </x:c>
      <x:c r="G183" s="28" t="n">
        <x:v>3663.6891772852</x:v>
      </x:c>
      <x:c r="H183" s="28" t="n">
        <x:v>1390.6181599188</x:v>
      </x:c>
      <x:c r="I183" s="28" t="n">
        <x:v>7447.2926815108</x:v>
      </x:c>
      <x:c r="J183" s="28" t="n">
        <x:v>117964.72608924</x:v>
      </x:c>
      <x:c r="K183" s="28" t="n">
        <x:v>22450.6930345987</x:v>
      </x:c>
      <x:c r="L183" s="28" t="n">
        <x:v>1721.1552536354</x:v>
      </x:c>
      <x:c r="M183" s="28" t="n">
        <x:v>2701.171445812</x:v>
      </x:c>
      <x:c r="N183" s="28" t="n">
        <x:v>545.7541801923</x:v>
      </x:c>
      <x:c r="O183" s="28" t="n">
        <x:v>54873.925637773</x:v>
      </x:c>
      <x:c r="P183" s="28" t="n">
        <x:v>609.6980322228</x:v>
      </x:c>
      <x:c r="Q183" s="28" t="n">
        <x:v>4159.2103745594</x:v>
      </x:c>
      <x:c r="R183" s="28"/>
    </x:row>
    <x:row r="184">
      <x:c r="C184" s="19" t="n">
        <x:v>44835</x:v>
      </x:c>
      <x:c r="D184" s="19" t="n">
        <x:v>44865</x:v>
      </x:c>
      <x:c r="E184" s="25" t="str">
        <x:v>grid_1mk3z2wn.xlsx</x:v>
      </x:c>
      <x:c r="F184" s="28" t="n">
        <x:v>30334.7730485954</x:v>
      </x:c>
      <x:c r="G184" s="28" t="n">
        <x:v>3631.0802189775</x:v>
      </x:c>
      <x:c r="H184" s="28" t="n">
        <x:v>1466.7867801392</x:v>
      </x:c>
      <x:c r="I184" s="28" t="n">
        <x:v>7308.0932500132</x:v>
      </x:c>
      <x:c r="J184" s="28" t="n">
        <x:v>115200.810833734</x:v>
      </x:c>
      <x:c r="K184" s="28" t="n">
        <x:v>22193.9487463124</x:v>
      </x:c>
      <x:c r="L184" s="28" t="n">
        <x:v>1760.444373282</x:v>
      </x:c>
      <x:c r="M184" s="28" t="n">
        <x:v>2833.4544784551</x:v>
      </x:c>
      <x:c r="N184" s="28" t="n">
        <x:v>559.4700923885</x:v>
      </x:c>
      <x:c r="O184" s="28" t="n">
        <x:v>47019.7327162002</x:v>
      </x:c>
      <x:c r="P184" s="28" t="n">
        <x:v>611.0064078391</x:v>
      </x:c>
      <x:c r="Q184" s="28" t="n">
        <x:v>4478.828061447</x:v>
      </x:c>
      <x:c r="R184" s="28"/>
    </x:row>
    <x:row r="185">
      <x:c r="C185" s="19" t="n">
        <x:v>44866</x:v>
      </x:c>
      <x:c r="D185" s="19" t="n">
        <x:v>44895</x:v>
      </x:c>
      <x:c r="E185" s="25" t="str">
        <x:v>grid_1mk3z2wn.xlsx</x:v>
      </x:c>
      <x:c r="F185" s="28" t="n">
        <x:v>31015.1158563236</x:v>
      </x:c>
      <x:c r="G185" s="28" t="n">
        <x:v>3694.1480640276</x:v>
      </x:c>
      <x:c r="H185" s="28" t="n">
        <x:v>1586.7140589589</x:v>
      </x:c>
      <x:c r="I185" s="28" t="n">
        <x:v>7568.471092552</x:v>
      </x:c>
      <x:c r="J185" s="28" t="n">
        <x:v>107975.048266181</x:v>
      </x:c>
      <x:c r="K185" s="28" t="n">
        <x:v>21687.5119062964</x:v>
      </x:c>
      <x:c r="L185" s="28" t="n">
        <x:v>1841.7810172458</x:v>
      </x:c>
      <x:c r="M185" s="28" t="n">
        <x:v>3005.1878793528</x:v>
      </x:c>
      <x:c r="N185" s="28" t="n">
        <x:v>592.9385516856</x:v>
      </x:c>
      <x:c r="O185" s="28" t="n">
        <x:v>48047.7427037984</x:v>
      </x:c>
      <x:c r="P185" s="28" t="n">
        <x:v>622.4572332289</x:v>
      </x:c>
      <x:c r="Q185" s="28" t="n">
        <x:v>4674.7747082797</x:v>
      </x:c>
      <x:c r="R185" s="28"/>
    </x:row>
    <x:row r="186">
      <x:c r="C186" s="19" t="n">
        <x:v>44896</x:v>
      </x:c>
      <x:c r="D186" s="19" t="n">
        <x:v>44925</x:v>
      </x:c>
      <x:c r="E186" s="25" t="str">
        <x:v>grid_1mk3z2wn.xlsx</x:v>
      </x:c>
      <x:c r="F186" s="28" t="n">
        <x:v>28805.7661125306</x:v>
      </x:c>
      <x:c r="G186" s="28" t="n">
        <x:v>3714.9071533854</x:v>
      </x:c>
      <x:c r="H186" s="28" t="n">
        <x:v>1198.6879632961</x:v>
      </x:c>
      <x:c r="I186" s="28" t="n">
        <x:v>7030.6354765899</x:v>
      </x:c>
      <x:c r="J186" s="28" t="n">
        <x:v>93337.229023338</x:v>
      </x:c>
      <x:c r="K186" s="28" t="n">
        <x:v>21768.3361037337</x:v>
      </x:c>
      <x:c r="L186" s="28" t="n">
        <x:v>1881.3476069745</x:v>
      </x:c>
      <x:c r="M186" s="28" t="n">
        <x:v>3104.9064206606</x:v>
      </x:c>
      <x:c r="N186" s="28" t="n">
        <x:v>626.8115966303</x:v>
      </x:c>
      <x:c r="O186" s="28" t="n">
        <x:v>45839.8640426304</x:v>
      </x:c>
      <x:c r="P186" s="28" t="n">
        <x:v>639.5282294216</x:v>
      </x:c>
      <x:c r="Q186" s="28" t="n">
        <x:v>4271.0148493473</x:v>
      </x:c>
      <x:c r="R186" s="28"/>
    </x:row>
    <x:row r="187">
      <x:c r="C187" s="19" t="n">
        <x:v>44927</x:v>
      </x:c>
      <x:c r="D187" s="19" t="n">
        <x:v>44957</x:v>
      </x:c>
      <x:c r="E187" s="25" t="str">
        <x:v>grid_22fp35k1.xlsx</x:v>
      </x:c>
      <x:c r="F187" s="28" t="n">
        <x:v>27839.4585870566</x:v>
      </x:c>
      <x:c r="G187" s="28" t="n">
        <x:v>3704.9739880322</x:v>
      </x:c>
      <x:c r="H187" s="28" t="n">
        <x:v>1216.3459443471</x:v>
      </x:c>
      <x:c r="I187" s="28" t="n">
        <x:v>6173.2730815017</x:v>
      </x:c>
      <x:c r="J187" s="28" t="n">
        <x:v>80428.649877372</x:v>
      </x:c>
      <x:c r="K187" s="28" t="n">
        <x:v>22028.6599726911</x:v>
      </x:c>
      <x:c r="L187" s="28" t="n">
        <x:v>1719.0503972327</x:v>
      </x:c>
      <x:c r="M187" s="28" t="n">
        <x:v>3022.8944999514</x:v>
      </x:c>
      <x:c r="N187" s="28" t="n">
        <x:v>655.5589534428</x:v>
      </x:c>
      <x:c r="O187" s="28" t="n">
        <x:v>46461.7276599395</x:v>
      </x:c>
      <x:c r="P187" s="28" t="n">
        <x:v>662.4114769296</x:v>
      </x:c>
      <x:c r="Q187" s="28" t="n">
        <x:v>4478.3207357595</x:v>
      </x:c>
      <x:c r="R187" s="28"/>
    </x:row>
    <x:row r="188">
      <x:c r="C188" s="19" t="n">
        <x:v>44958</x:v>
      </x:c>
      <x:c r="D188" s="19" t="n">
        <x:v>44985</x:v>
      </x:c>
      <x:c r="E188" s="25" t="str">
        <x:v>grid_22fp35k1.xlsx</x:v>
      </x:c>
      <x:c r="F188" s="28" t="n">
        <x:v>29979.2015456114</x:v>
      </x:c>
      <x:c r="G188" s="28" t="n">
        <x:v>3699.758390399</x:v>
      </x:c>
      <x:c r="H188" s="28" t="n">
        <x:v>1173.2886873672</x:v>
      </x:c>
      <x:c r="I188" s="28" t="n">
        <x:v>6445.9835525651</x:v>
      </x:c>
      <x:c r="J188" s="28" t="n">
        <x:v>94928.0577261821</x:v>
      </x:c>
      <x:c r="K188" s="28" t="n">
        <x:v>22522.8398771747</x:v>
      </x:c>
      <x:c r="L188" s="28" t="n">
        <x:v>1711.6697288625</x:v>
      </x:c>
      <x:c r="M188" s="28" t="n">
        <x:v>3140.8279214443</x:v>
      </x:c>
      <x:c r="N188" s="28" t="n">
        <x:v>678.4876177487</x:v>
      </x:c>
      <x:c r="O188" s="28" t="n">
        <x:v>45574.197832655</x:v>
      </x:c>
      <x:c r="P188" s="28" t="n">
        <x:v>697.2518852983</x:v>
      </x:c>
      <x:c r="Q188" s="28" t="n">
        <x:v>4488.9834838511</x:v>
      </x:c>
      <x:c r="R188" s="28"/>
    </x:row>
    <x:row r="189">
      <x:c r="C189" s="19" t="n">
        <x:v>44986</x:v>
      </x:c>
      <x:c r="D189" s="19" t="n">
        <x:v>45016</x:v>
      </x:c>
      <x:c r="E189" s="25" t="str">
        <x:v>grid_22fp35k1.xlsx</x:v>
      </x:c>
      <x:c r="F189" s="28" t="n">
        <x:v>29097.0078303024</x:v>
      </x:c>
      <x:c r="G189" s="28" t="n">
        <x:v>3689.7626947761</x:v>
      </x:c>
      <x:c r="H189" s="28" t="n">
        <x:v>1226.4265556962</x:v>
      </x:c>
      <x:c r="I189" s="28" t="n">
        <x:v>6649.6103601445</x:v>
      </x:c>
      <x:c r="J189" s="28" t="n">
        <x:v>90862.3011779233</x:v>
      </x:c>
      <x:c r="K189" s="28" t="n">
        <x:v>22464.8296325503</x:v>
      </x:c>
      <x:c r="L189" s="28" t="n">
        <x:v>1744.4767783302</x:v>
      </x:c>
      <x:c r="M189" s="28" t="n">
        <x:v>3075.4027003422</x:v>
      </x:c>
      <x:c r="N189" s="28" t="n">
        <x:v>704.517800446</x:v>
      </x:c>
      <x:c r="O189" s="28" t="n">
        <x:v>47349.1743509792</x:v>
      </x:c>
      <x:c r="P189" s="28" t="n">
        <x:v>739.2149694263</x:v>
      </x:c>
      <x:c r="Q189" s="28" t="n">
        <x:v>4549.6583448916</x:v>
      </x:c>
      <x:c r="R189" s="28"/>
    </x:row>
    <x:row r="190">
      <x:c r="C190" s="19" t="n">
        <x:v>45017</x:v>
      </x:c>
      <x:c r="D190" s="19" t="n">
        <x:v>45044</x:v>
      </x:c>
      <x:c r="E190" s="25" t="str">
        <x:v>grid_22fp35k1.xlsx</x:v>
      </x:c>
      <x:c r="F190" s="28" t="n">
        <x:v>27118.8137005969</x:v>
      </x:c>
      <x:c r="G190" s="28" t="n">
        <x:v>3769.0369323884</x:v>
      </x:c>
      <x:c r="H190" s="28" t="n">
        <x:v>1234.9342238731</x:v>
      </x:c>
      <x:c r="I190" s="28" t="n">
        <x:v>6844.4445442314</x:v>
      </x:c>
      <x:c r="J190" s="28" t="n">
        <x:v>89379.472800842</x:v>
      </x:c>
      <x:c r="K190" s="28" t="n">
        <x:v>22402.6481268852</x:v>
      </x:c>
      <x:c r="L190" s="28" t="n">
        <x:v>1745.9439847579</x:v>
      </x:c>
      <x:c r="M190" s="28" t="n">
        <x:v>3130.0813148595</x:v>
      </x:c>
      <x:c r="N190" s="28" t="n">
        <x:v>680.6687073619</x:v>
      </x:c>
      <x:c r="O190" s="28" t="n">
        <x:v>40154.8205575386</x:v>
      </x:c>
      <x:c r="P190" s="28" t="n">
        <x:v>713.8287519637</x:v>
      </x:c>
      <x:c r="Q190" s="28" t="n">
        <x:v>4461.6636250087</x:v>
      </x:c>
      <x:c r="R190" s="28"/>
    </x:row>
    <x:row r="191">
      <x:c r="C191" s="19" t="n">
        <x:v>45047</x:v>
      </x:c>
      <x:c r="D191" s="19" t="n">
        <x:v>45077</x:v>
      </x:c>
      <x:c r="E191" s="25" t="str">
        <x:v>grid_22fp35k1.xlsx</x:v>
      </x:c>
      <x:c r="F191" s="28" t="n">
        <x:v>26330.6170542406</x:v>
      </x:c>
      <x:c r="G191" s="28" t="n">
        <x:v>3865.747383303</x:v>
      </x:c>
      <x:c r="H191" s="28" t="n">
        <x:v>1186.5940940883</x:v>
      </x:c>
      <x:c r="I191" s="28" t="n">
        <x:v>7004.2610003787</x:v>
      </x:c>
      <x:c r="J191" s="28" t="n">
        <x:v>89818.8943085491</x:v>
      </x:c>
      <x:c r="K191" s="28" t="n">
        <x:v>22410.9688930123</x:v>
      </x:c>
      <x:c r="L191" s="28" t="n">
        <x:v>1742.3727932762</x:v>
      </x:c>
      <x:c r="M191" s="28" t="n">
        <x:v>3070.5445741159</x:v>
      </x:c>
      <x:c r="N191" s="28" t="n">
        <x:v>629.7499148103</x:v>
      </x:c>
      <x:c r="O191" s="28" t="n">
        <x:v>38071.8570416451</x:v>
      </x:c>
      <x:c r="P191" s="28" t="n">
        <x:v>959.3307581132</x:v>
      </x:c>
      <x:c r="Q191" s="28" t="n">
        <x:v>5002.4867467596</x:v>
      </x:c>
      <x:c r="R191" s="28"/>
    </x:row>
    <x:row r="192">
      <x:c r="C192" s="19" t="n">
        <x:v>45078</x:v>
      </x:c>
      <x:c r="D192" s="19" t="n">
        <x:v>45107</x:v>
      </x:c>
      <x:c r="E192" s="25" t="str">
        <x:v>grid_22fp35k1.xlsx</x:v>
      </x:c>
      <x:c r="F192" s="28" t="n">
        <x:v>25589.0167542496</x:v>
      </x:c>
      <x:c r="G192" s="28" t="n">
        <x:v>4002.8030402699</x:v>
      </x:c>
      <x:c r="H192" s="28" t="n">
        <x:v>989.122506174</x:v>
      </x:c>
      <x:c r="I192" s="28" t="n">
        <x:v>6936.7041194544</x:v>
      </x:c>
      <x:c r="J192" s="28" t="n">
        <x:v>88021.4492638256</x:v>
      </x:c>
      <x:c r="K192" s="28" t="n">
        <x:v>22718.1915724293</x:v>
      </x:c>
      <x:c r="L192" s="28" t="n">
        <x:v>1782.5057521574</x:v>
      </x:c>
      <x:c r="M192" s="28" t="n">
        <x:v>3122.4153889893</x:v>
      </x:c>
      <x:c r="N192" s="28" t="n">
        <x:v>633.8489773654</x:v>
      </x:c>
      <x:c r="O192" s="28" t="n">
        <x:v>35018.7197790732</x:v>
      </x:c>
      <x:c r="P192" s="28" t="n">
        <x:v>963.9245101228</x:v>
      </x:c>
      <x:c r="Q192" s="28" t="n">
        <x:v>4396.1741312578</x:v>
      </x:c>
      <x:c r="R192" s="28"/>
    </x:row>
    <x:row r="193">
      <x:c r="C193" s="19" t="n">
        <x:v>45108</x:v>
      </x:c>
      <x:c r="D193" s="19" t="n">
        <x:v>45138</x:v>
      </x:c>
      <x:c r="E193" s="25" t="str">
        <x:v>grid_22fp35k1.xlsx</x:v>
      </x:c>
      <x:c r="F193" s="28" t="n">
        <x:v>25474.4542968395</x:v>
      </x:c>
      <x:c r="G193" s="28" t="n">
        <x:v>4044.6585578439</x:v>
      </x:c>
      <x:c r="H193" s="28" t="n">
        <x:v>1031.8946721502</x:v>
      </x:c>
      <x:c r="I193" s="28" t="n">
        <x:v>6533.5477859831</x:v>
      </x:c>
      <x:c r="J193" s="28" t="n">
        <x:v>85807.5464401881</x:v>
      </x:c>
      <x:c r="K193" s="28" t="n">
        <x:v>22839.2415601508</x:v>
      </x:c>
      <x:c r="L193" s="28" t="n">
        <x:v>1903.8616439398</x:v>
      </x:c>
      <x:c r="M193" s="28" t="n">
        <x:v>3219.5403279837</x:v>
      </x:c>
      <x:c r="N193" s="28" t="n">
        <x:v>658.7433964018</x:v>
      </x:c>
      <x:c r="O193" s="28" t="n">
        <x:v>32658.2695198694</x:v>
      </x:c>
      <x:c r="P193" s="28" t="n">
        <x:v>1007.7298692583</x:v>
      </x:c>
      <x:c r="Q193" s="28" t="n">
        <x:v>4528.1914289613</x:v>
      </x:c>
      <x:c r="R193" s="28"/>
    </x:row>
    <x:row r="194">
      <x:c r="C194" s="19" t="n">
        <x:v>45139</x:v>
      </x:c>
      <x:c r="D194" s="19" t="n">
        <x:v>45169</x:v>
      </x:c>
      <x:c r="E194" s="25" t="str">
        <x:v>grid_22fp35k1.xlsx</x:v>
      </x:c>
      <x:c r="F194" s="28" t="n">
        <x:v>26642.1568551732</x:v>
      </x:c>
      <x:c r="G194" s="28" t="n">
        <x:v>4266.0726894265</x:v>
      </x:c>
      <x:c r="H194" s="28" t="n">
        <x:v>1215.4168471466</x:v>
      </x:c>
      <x:c r="I194" s="28" t="n">
        <x:v>6758.8273786286</x:v>
      </x:c>
      <x:c r="J194" s="28" t="n">
        <x:v>89188.3903361264</x:v>
      </x:c>
      <x:c r="K194" s="28" t="n">
        <x:v>23120.0500470521</x:v>
      </x:c>
      <x:c r="L194" s="28" t="n">
        <x:v>1975.6995233882</x:v>
      </x:c>
      <x:c r="M194" s="28" t="n">
        <x:v>3209.723878559</x:v>
      </x:c>
      <x:c r="N194" s="28" t="n">
        <x:v>651.8632332651</x:v>
      </x:c>
      <x:c r="O194" s="28" t="n">
        <x:v>30956.3268707593</x:v>
      </x:c>
      <x:c r="P194" s="28" t="n">
        <x:v>975.9145604404</x:v>
      </x:c>
      <x:c r="Q194" s="28" t="n">
        <x:v>4700.4401975456</x:v>
      </x:c>
      <x:c r="R194" s="28"/>
    </x:row>
    <x:row r="195">
      <x:c r="C195" s="19" t="n">
        <x:v>45170</x:v>
      </x:c>
      <x:c r="D195" s="19" t="n">
        <x:v>45198</x:v>
      </x:c>
      <x:c r="E195" s="25" t="str">
        <x:v>grid_22fp35k1.xlsx</x:v>
      </x:c>
      <x:c r="F195" s="28" t="n">
        <x:v>27437.4493531088</x:v>
      </x:c>
      <x:c r="G195" s="28" t="n">
        <x:v>4544.165021375</x:v>
      </x:c>
      <x:c r="H195" s="28" t="n">
        <x:v>1353.5361039244</x:v>
      </x:c>
      <x:c r="I195" s="28" t="n">
        <x:v>6428.8966393251</x:v>
      </x:c>
      <x:c r="J195" s="28" t="n">
        <x:v>88112.2523560734</x:v>
      </x:c>
      <x:c r="K195" s="28" t="n">
        <x:v>23527.3707520227</x:v>
      </x:c>
      <x:c r="L195" s="28" t="n">
        <x:v>2014.1082991378</x:v>
      </x:c>
      <x:c r="M195" s="28" t="n">
        <x:v>3304.7375341825</x:v>
      </x:c>
      <x:c r="N195" s="28" t="n">
        <x:v>650.0094617386</x:v>
      </x:c>
      <x:c r="O195" s="28" t="n">
        <x:v>32994.155959805</x:v>
      </x:c>
      <x:c r="P195" s="28" t="n">
        <x:v>926.7969148705</x:v>
      </x:c>
      <x:c r="Q195" s="28" t="n">
        <x:v>5301.082692255</x:v>
      </x:c>
      <x:c r="R195" s="28"/>
    </x:row>
    <x:row r="196">
      <x:c r="C196" s="19" t="n">
        <x:v>45200</x:v>
      </x:c>
      <x:c r="D196" s="19" t="n">
        <x:v>45230</x:v>
      </x:c>
      <x:c r="E196" s="25" t="str">
        <x:v>grid_22fp35k1.xlsx</x:v>
      </x:c>
      <x:c r="F196" s="28" t="n">
        <x:v>29781.0872283543</x:v>
      </x:c>
      <x:c r="G196" s="28" t="n">
        <x:v>4642.1245442533</x:v>
      </x:c>
      <x:c r="H196" s="28" t="n">
        <x:v>1527.6146030676</x:v>
      </x:c>
      <x:c r="I196" s="28" t="n">
        <x:v>6545.489769422</x:v>
      </x:c>
      <x:c r="J196" s="28" t="n">
        <x:v>94220.0116327529</x:v>
      </x:c>
      <x:c r="K196" s="28" t="n">
        <x:v>24192.0369741656</x:v>
      </x:c>
      <x:c r="L196" s="28" t="n">
        <x:v>2058.5926901683</x:v>
      </x:c>
      <x:c r="M196" s="28" t="n">
        <x:v>3296.200829154</x:v>
      </x:c>
      <x:c r="N196" s="28" t="n">
        <x:v>672.4703398162</x:v>
      </x:c>
      <x:c r="O196" s="28" t="n">
        <x:v>35443.5413796474</x:v>
      </x:c>
      <x:c r="P196" s="28" t="n">
        <x:v>949.638954409</x:v>
      </x:c>
      <x:c r="Q196" s="28" t="n">
        <x:v>5502.6788166319</x:v>
      </x:c>
      <x:c r="R196" s="28"/>
    </x:row>
    <x:row r="197">
      <x:c r="C197" s="19" t="n">
        <x:v>45231</x:v>
      </x:c>
      <x:c r="D197" s="19" t="n">
        <x:v>45260</x:v>
      </x:c>
      <x:c r="E197" s="25" t="str">
        <x:v>grid_22fp35k1.xlsx</x:v>
      </x:c>
      <x:c r="F197" s="28" t="n">
        <x:v>28689.2337264073</x:v>
      </x:c>
      <x:c r="G197" s="28" t="n">
        <x:v>4779.0887990832</x:v>
      </x:c>
      <x:c r="H197" s="28" t="n">
        <x:v>1650.6931335403</x:v>
      </x:c>
      <x:c r="I197" s="28" t="n">
        <x:v>6236.5757103012</x:v>
      </x:c>
      <x:c r="J197" s="28" t="n">
        <x:v>95337.0918038371</x:v>
      </x:c>
      <x:c r="K197" s="28" t="n">
        <x:v>24184.1372812351</x:v>
      </x:c>
      <x:c r="L197" s="28" t="n">
        <x:v>2136.0090942893</x:v>
      </x:c>
      <x:c r="M197" s="28" t="n">
        <x:v>3332.9805552306</x:v>
      </x:c>
      <x:c r="N197" s="28" t="n">
        <x:v>708.1105088393</x:v>
      </x:c>
      <x:c r="O197" s="28" t="n">
        <x:v>36080.827846901</x:v>
      </x:c>
      <x:c r="P197" s="28" t="n">
        <x:v>907.8040858918</x:v>
      </x:c>
      <x:c r="Q197" s="28" t="n">
        <x:v>5444.0605955267</x:v>
      </x:c>
      <x:c r="R197" s="28"/>
    </x:row>
    <x:row r="198">
      <x:c r="C198" s="19" t="n">
        <x:v>45261</x:v>
      </x:c>
      <x:c r="D198" s="19" t="n">
        <x:v>45289</x:v>
      </x:c>
      <x:c r="E198" s="25" t="str">
        <x:v>grid_22fp35k1.xlsx</x:v>
      </x:c>
      <x:c r="F198" s="28" t="n">
        <x:v>29546.262293585</x:v>
      </x:c>
      <x:c r="G198" s="28" t="n">
        <x:v>4778.3426690184</x:v>
      </x:c>
      <x:c r="H198" s="28" t="n">
        <x:v>1645.9264666358</x:v>
      </x:c>
      <x:c r="I198" s="28" t="n">
        <x:v>6180.7714892442</x:v>
      </x:c>
      <x:c r="J198" s="28" t="n">
        <x:v>100187.538338538</x:v>
      </x:c>
      <x:c r="K198" s="28" t="n">
        <x:v>24350.2854389375</x:v>
      </x:c>
      <x:c r="L198" s="28" t="n">
        <x:v>2222.2355993454</x:v>
      </x:c>
      <x:c r="M198" s="28" t="n">
        <x:v>3448.5655678887</x:v>
      </x:c>
      <x:c r="N198" s="28" t="n">
        <x:v>731.269304654</x:v>
      </x:c>
      <x:c r="O198" s="28" t="n">
        <x:v>37400.9673386505</x:v>
      </x:c>
      <x:c r="P198" s="28" t="n">
        <x:v>836.7706393083</x:v>
      </x:c>
      <x:c r="Q198" s="28" t="n">
        <x:v>5376.5443965301</x:v>
      </x:c>
      <x:c r="R198" s="28"/>
    </x:row>
    <x:row r="199">
      <x:c r="C199" s="19" t="n">
        <x:v>45292</x:v>
      </x:c>
      <x:c r="D199" s="19" t="n">
        <x:v>45322</x:v>
      </x:c>
      <x:c r="E199" s="25" t="str">
        <x:v>grid_22fp35k1.xlsx</x:v>
      </x:c>
      <x:c r="F199" s="28" t="n">
        <x:v>29813.1328602194</x:v>
      </x:c>
      <x:c r="G199" s="28" t="n">
        <x:v>4925.0965279909</x:v>
      </x:c>
      <x:c r="H199" s="28" t="n">
        <x:v>1776.890935613</x:v>
      </x:c>
      <x:c r="I199" s="28" t="n">
        <x:v>6789.9305166742</x:v>
      </x:c>
      <x:c r="J199" s="28" t="n">
        <x:v>95929.1657568959</x:v>
      </x:c>
      <x:c r="K199" s="28" t="n">
        <x:v>24875.6462108231</x:v>
      </x:c>
      <x:c r="L199" s="28" t="n">
        <x:v>2258.5988603614</x:v>
      </x:c>
      <x:c r="M199" s="28" t="n">
        <x:v>3468.7187150391</x:v>
      </x:c>
      <x:c r="N199" s="28" t="n">
        <x:v>735.3287293958</x:v>
      </x:c>
      <x:c r="O199" s="28" t="n">
        <x:v>39116.9148732803</x:v>
      </x:c>
      <x:c r="P199" s="28" t="n">
        <x:v>813.3254912775</x:v>
      </x:c>
      <x:c r="Q199" s="28" t="n">
        <x:v>4942.5224101152</x:v>
      </x:c>
      <x:c r="R199" s="28"/>
    </x:row>
    <x:row r="200">
      <x:c r="C200" s="19" t="n">
        <x:v>45323</x:v>
      </x:c>
      <x:c r="D200" s="19" t="n">
        <x:v>45351</x:v>
      </x:c>
      <x:c r="E200" s="25" t="str">
        <x:v>grid_22fp35k1.xlsx</x:v>
      </x:c>
      <x:c r="F200" s="28" t="n">
        <x:v>29187.809850116</x:v>
      </x:c>
      <x:c r="G200" s="28" t="n">
        <x:v>5024.7952555676</x:v>
      </x:c>
      <x:c r="H200" s="28" t="n">
        <x:v>1869.1099698858</x:v>
      </x:c>
      <x:c r="I200" s="28" t="n">
        <x:v>6412.337937158</x:v>
      </x:c>
      <x:c r="J200" s="28" t="n">
        <x:v>95003.5372743322</x:v>
      </x:c>
      <x:c r="K200" s="28" t="n">
        <x:v>25033.8427282399</x:v>
      </x:c>
      <x:c r="L200" s="28" t="n">
        <x:v>2270.4787517396</x:v>
      </x:c>
      <x:c r="M200" s="28" t="n">
        <x:v>3560.6048110939</x:v>
      </x:c>
      <x:c r="N200" s="28" t="n">
        <x:v>732.6188198915</x:v>
      </x:c>
      <x:c r="O200" s="28" t="n">
        <x:v>37919.4616883047</x:v>
      </x:c>
      <x:c r="P200" s="28" t="n">
        <x:v>816.768202333</x:v>
      </x:c>
      <x:c r="Q200" s="28" t="n">
        <x:v>5106.4971035057</x:v>
      </x:c>
      <x:c r="R200" s="28"/>
    </x:row>
    <x:row r="201">
      <x:c r="C201" s="19" t="n">
        <x:v>45352</x:v>
      </x:c>
      <x:c r="D201" s="19" t="n">
        <x:v>45380</x:v>
      </x:c>
      <x:c r="E201" s="25" t="str">
        <x:v>grid_22fp35k1.xlsx</x:v>
      </x:c>
      <x:c r="F201" s="28" t="n">
        <x:v>27849.5495720741</x:v>
      </x:c>
      <x:c r="G201" s="28" t="n">
        <x:v>5085.1277457808</x:v>
      </x:c>
      <x:c r="H201" s="28" t="n">
        <x:v>1903.7626357162</x:v>
      </x:c>
      <x:c r="I201" s="28" t="n">
        <x:v>6113.5248892092</x:v>
      </x:c>
      <x:c r="J201" s="28" t="n">
        <x:v>91684.1681568982</x:v>
      </x:c>
      <x:c r="K201" s="28" t="n">
        <x:v>25395.6191157047</x:v>
      </x:c>
      <x:c r="L201" s="28" t="n">
        <x:v>2357.0122180512</x:v>
      </x:c>
      <x:c r="M201" s="28" t="n">
        <x:v>3512.4497803933</x:v>
      </x:c>
      <x:c r="N201" s="28" t="n">
        <x:v>717.3745049118</x:v>
      </x:c>
      <x:c r="O201" s="28" t="n">
        <x:v>35629.9477465426</x:v>
      </x:c>
      <x:c r="P201" s="28" t="n">
        <x:v>843.1800846911</x:v>
      </x:c>
      <x:c r="Q201" s="28" t="n">
        <x:v>5189.3305107736</x:v>
      </x:c>
      <x:c r="R201" s="28"/>
    </x:row>
    <x:row r="202">
      <x:c r="C202" s="19" t="n">
        <x:v>45383</x:v>
      </x:c>
      <x:c r="D202" s="19" t="n">
        <x:v>45412</x:v>
      </x:c>
      <x:c r="E202" s="25" t="str">
        <x:v>grid_22fp35k1.xlsx</x:v>
      </x:c>
      <x:c r="F202" s="28" t="n">
        <x:v>30546.3561837988</x:v>
      </x:c>
      <x:c r="G202" s="28" t="n">
        <x:v>5119.4958111728</x:v>
      </x:c>
      <x:c r="H202" s="28" t="n">
        <x:v>1943.0906738445</x:v>
      </x:c>
      <x:c r="I202" s="28" t="n">
        <x:v>6485.5406763685</x:v>
      </x:c>
      <x:c r="J202" s="28" t="n">
        <x:v>100424.801224771</x:v>
      </x:c>
      <x:c r="K202" s="28" t="n">
        <x:v>25480.9516793158</x:v>
      </x:c>
      <x:c r="L202" s="28" t="n">
        <x:v>2370.5728250153</x:v>
      </x:c>
      <x:c r="M202" s="28" t="n">
        <x:v>3587.5497553436</x:v>
      </x:c>
      <x:c r="N202" s="28" t="n">
        <x:v>739.6669450661</x:v>
      </x:c>
      <x:c r="O202" s="28" t="n">
        <x:v>32886.8570579641</x:v>
      </x:c>
      <x:c r="P202" s="28" t="n">
        <x:v>825.6720594943</x:v>
      </x:c>
      <x:c r="Q202" s="28" t="n">
        <x:v>5092.5901502005</x:v>
      </x:c>
      <x:c r="R202" s="28"/>
    </x:row>
    <x:row r="203">
      <x:c r="C203" s="19" t="n">
        <x:v>45413</x:v>
      </x:c>
      <x:c r="D203" s="19" t="n">
        <x:v>45443</x:v>
      </x:c>
      <x:c r="E203" s="25" t="str">
        <x:v>grid_22fp35k1.xlsx</x:v>
      </x:c>
      <x:c r="F203" s="28" t="n">
        <x:v>29622.1865202115</x:v>
      </x:c>
      <x:c r="G203" s="28" t="n">
        <x:v>5062.731640067</x:v>
      </x:c>
      <x:c r="H203" s="28" t="n">
        <x:v>1911.7723737223</x:v>
      </x:c>
      <x:c r="I203" s="28" t="n">
        <x:v>7121.8343845888</x:v>
      </x:c>
      <x:c r="J203" s="28" t="n">
        <x:v>96521.7555952557</x:v>
      </x:c>
      <x:c r="K203" s="28" t="n">
        <x:v>25819.7282551223</x:v>
      </x:c>
      <x:c r="L203" s="28" t="n">
        <x:v>2435.9862005393</x:v>
      </x:c>
      <x:c r="M203" s="28" t="n">
        <x:v>3581.9823606543</x:v>
      </x:c>
      <x:c r="N203" s="28" t="n">
        <x:v>742.522717948</x:v>
      </x:c>
      <x:c r="O203" s="28" t="n">
        <x:v>34781.9969492048</x:v>
      </x:c>
      <x:c r="P203" s="28" t="n">
        <x:v>799.2895847134</x:v>
      </x:c>
      <x:c r="Q203" s="28" t="n">
        <x:v>5068.7010793181</x:v>
      </x:c>
      <x:c r="R203" s="28"/>
    </x:row>
    <x:row r="204">
      <x:c r="C204" s="19" t="n">
        <x:v>45444</x:v>
      </x:c>
      <x:c r="D204" s="19" t="n">
        <x:v>45471</x:v>
      </x:c>
      <x:c r="E204" s="25" t="str">
        <x:v>grid_22fp35k1.xlsx</x:v>
      </x:c>
      <x:c r="F204" s="28" t="n">
        <x:v>29058.4153921932</x:v>
      </x:c>
      <x:c r="G204" s="28" t="n">
        <x:v>5158.3476998947</x:v>
      </x:c>
      <x:c r="H204" s="28" t="n">
        <x:v>1927.3494096151</x:v>
      </x:c>
      <x:c r="I204" s="28" t="n">
        <x:v>7158.8022768356</x:v>
      </x:c>
      <x:c r="J204" s="28" t="n">
        <x:v>91041.7098165104</x:v>
      </x:c>
      <x:c r="K204" s="28" t="n">
        <x:v>26407.589147979</x:v>
      </x:c>
      <x:c r="L204" s="28" t="n">
        <x:v>2675.404043849</x:v>
      </x:c>
      <x:c r="M204" s="28" t="n">
        <x:v>3697.2650607958</x:v>
      </x:c>
      <x:c r="N204" s="28" t="n">
        <x:v>738.0845522797</x:v>
      </x:c>
      <x:c r="O204" s="28" t="n">
        <x:v>36801.0767443603</x:v>
      </x:c>
      <x:c r="P204" s="28" t="n">
        <x:v>803.0305820376</x:v>
      </x:c>
      <x:c r="Q204" s="28" t="n">
        <x:v>5021.0295685205</x:v>
      </x:c>
      <x:c r="R204" s="28"/>
    </x:row>
    <x:row r="205">
      <x:c r="C205" s="19" t="n">
        <x:v>45474</x:v>
      </x:c>
      <x:c r="D205" s="19" t="n">
        <x:v>45504</x:v>
      </x:c>
      <x:c r="E205" s="25" t="str">
        <x:v>grid_22fp35k1.xlsx</x:v>
      </x:c>
      <x:c r="F205" s="28" t="n">
        <x:v>30154.9579791481</x:v>
      </x:c>
      <x:c r="G205" s="28" t="n">
        <x:v>5198.3851055209</x:v>
      </x:c>
      <x:c r="H205" s="28" t="n">
        <x:v>1980.2349656338</x:v>
      </x:c>
      <x:c r="I205" s="28" t="n">
        <x:v>7299.1207603801</x:v>
      </x:c>
      <x:c r="J205" s="28" t="n">
        <x:v>101998.068524759</x:v>
      </x:c>
      <x:c r="K205" s="28" t="n">
        <x:v>26655.6480468261</x:v>
      </x:c>
      <x:c r="L205" s="28" t="n">
        <x:v>2688.7678551191</x:v>
      </x:c>
      <x:c r="M205" s="28" t="n">
        <x:v>3877.0203761805</x:v>
      </x:c>
      <x:c r="N205" s="28" t="n">
        <x:v>725.5384487499</x:v>
      </x:c>
      <x:c r="O205" s="28" t="n">
        <x:v>37830.8583362262</x:v>
      </x:c>
      <x:c r="P205" s="28" t="n">
        <x:v>817.6697699564</x:v>
      </x:c>
      <x:c r="Q205" s="28" t="n">
        <x:v>4812.9058026439</x:v>
      </x:c>
      <x:c r="R205" s="28"/>
    </x:row>
    <x:row r="206">
      <x:c r="C206" s="19" t="n">
        <x:v>45505</x:v>
      </x:c>
      <x:c r="D206" s="19" t="n">
        <x:v>45534</x:v>
      </x:c>
      <x:c r="E206" s="25" t="str">
        <x:v>grid_22fp35k1.xlsx</x:v>
      </x:c>
      <x:c r="F206" s="28" t="n">
        <x:v>28540.2016501304</x:v>
      </x:c>
      <x:c r="G206" s="28" t="n">
        <x:v>5290.6211451473</x:v>
      </x:c>
      <x:c r="H206" s="28" t="n">
        <x:v>1932.2625853721</x:v>
      </x:c>
      <x:c r="I206" s="28" t="n">
        <x:v>7627.834386466</x:v>
      </x:c>
      <x:c r="J206" s="28" t="n">
        <x:v>94043.860382815</x:v>
      </x:c>
      <x:c r="K206" s="28" t="n">
        <x:v>27031.3887827116</x:v>
      </x:c>
      <x:c r="L206" s="28" t="n">
        <x:v>2953.3703216828</x:v>
      </x:c>
      <x:c r="M206" s="28" t="n">
        <x:v>3897.9475433832</x:v>
      </x:c>
      <x:c r="N206" s="28" t="n">
        <x:v>726.9952573695</x:v>
      </x:c>
      <x:c r="O206" s="28" t="n">
        <x:v>36056.3306804187</x:v>
      </x:c>
      <x:c r="P206" s="28" t="n">
        <x:v>822.2789662161</x:v>
      </x:c>
      <x:c r="Q206" s="28" t="n">
        <x:v>4848.6259125749</x:v>
      </x:c>
      <x:c r="R206" s="28"/>
    </x:row>
    <x:row r="207">
      <x:c r="C207" s="19" t="n">
        <x:v>45536</x:v>
      </x:c>
      <x:c r="D207" s="19" t="n">
        <x:v>45565</x:v>
      </x:c>
      <x:c r="E207" s="25" t="str">
        <x:v>grid_22fp35k1.xlsx</x:v>
      </x:c>
      <x:c r="F207" s="28" t="n">
        <x:v>27009.5597759625</x:v>
      </x:c>
      <x:c r="G207" s="28" t="n">
        <x:v>5456.404709125</x:v>
      </x:c>
      <x:c r="H207" s="28" t="n">
        <x:v>1959.1786499609</x:v>
      </x:c>
      <x:c r="I207" s="28" t="n">
        <x:v>7849.3017582347</x:v>
      </x:c>
      <x:c r="J207" s="28" t="n">
        <x:v>85356.3788830976</x:v>
      </x:c>
      <x:c r="K207" s="28" t="n">
        <x:v>27081.3218062637</x:v>
      </x:c>
      <x:c r="L207" s="28" t="n">
        <x:v>2877.5720069972</x:v>
      </x:c>
      <x:c r="M207" s="28" t="n">
        <x:v>3702.4084447513</x:v>
      </x:c>
      <x:c r="N207" s="28" t="n">
        <x:v>747.5264108026</x:v>
      </x:c>
      <x:c r="O207" s="28" t="n">
        <x:v>36251.2768626653</x:v>
      </x:c>
      <x:c r="P207" s="28" t="n">
        <x:v>865.0747613004</x:v>
      </x:c>
      <x:c r="Q207" s="28" t="n">
        <x:v>4724.1145915089</x:v>
      </x:c>
      <x:c r="R207" s="28"/>
    </x:row>
    <x:row r="208">
      <x:c r="C208" s="19" t="n">
        <x:v>45566</x:v>
      </x:c>
      <x:c r="D208" s="19" t="n">
        <x:v>45596</x:v>
      </x:c>
      <x:c r="E208" s="25" t="str">
        <x:v>grid_22fp35k1.xlsx</x:v>
      </x:c>
      <x:c r="F208" s="28" t="n">
        <x:v>27629.9364588461</x:v>
      </x:c>
      <x:c r="G208" s="28" t="n">
        <x:v>5572.876687747</x:v>
      </x:c>
      <x:c r="H208" s="28" t="n">
        <x:v>1875.8854895608</x:v>
      </x:c>
      <x:c r="I208" s="28" t="n">
        <x:v>7998.8980836483</x:v>
      </x:c>
      <x:c r="J208" s="28" t="n">
        <x:v>89788.7905143947</x:v>
      </x:c>
      <x:c r="K208" s="28" t="n">
        <x:v>27340.4231550375</x:v>
      </x:c>
      <x:c r="L208" s="28" t="n">
        <x:v>2872.1238151596</x:v>
      </x:c>
      <x:c r="M208" s="28" t="n">
        <x:v>3968.8444530257</x:v>
      </x:c>
      <x:c r="N208" s="28" t="n">
        <x:v>756.1768890596</x:v>
      </x:c>
      <x:c r="O208" s="28" t="n">
        <x:v>35506.3087836457</x:v>
      </x:c>
      <x:c r="P208" s="28" t="n">
        <x:v>862.1417085508</x:v>
      </x:c>
      <x:c r="Q208" s="28" t="n">
        <x:v>4910.3379742009</x:v>
      </x:c>
      <x:c r="R208" s="28"/>
    </x:row>
    <x:row r="209">
      <x:c r="C209" s="19" t="n">
        <x:v>45597</x:v>
      </x:c>
      <x:c r="D209" s="19" t="n">
        <x:v>45625</x:v>
      </x:c>
      <x:c r="E209" s="25" t="str">
        <x:v>grid_22fp35k1.xlsx</x:v>
      </x:c>
      <x:c r="F209" s="28" t="n">
        <x:v>29600.8240345202</x:v>
      </x:c>
      <x:c r="G209" s="28" t="n">
        <x:v>5563.8564985524</x:v>
      </x:c>
      <x:c r="H209" s="28" t="n">
        <x:v>1911.8195660276</x:v>
      </x:c>
      <x:c r="I209" s="28" t="n">
        <x:v>8124.3728222607</x:v>
      </x:c>
      <x:c r="J209" s="28" t="n">
        <x:v>94491.8943942642</x:v>
      </x:c>
      <x:c r="K209" s="28" t="n">
        <x:v>27734.7992361363</x:v>
      </x:c>
      <x:c r="L209" s="28" t="n">
        <x:v>2963.0929150824</x:v>
      </x:c>
      <x:c r="M209" s="28" t="n">
        <x:v>4064.4444955246</x:v>
      </x:c>
      <x:c r="N209" s="28" t="n">
        <x:v>770.5095845548</x:v>
      </x:c>
      <x:c r="O209" s="28" t="n">
        <x:v>35245.7991186797</x:v>
      </x:c>
      <x:c r="P209" s="28" t="n">
        <x:v>843.5643456246</x:v>
      </x:c>
      <x:c r="Q209" s="28" t="n">
        <x:v>5231.0510316356</x:v>
      </x:c>
      <x:c r="R209" s="28"/>
    </x:row>
    <x:row r="210">
      <x:c r="C210" s="19" t="n">
        <x:v>45627</x:v>
      </x:c>
      <x:c r="D210" s="19" t="n">
        <x:v>45657</x:v>
      </x:c>
      <x:c r="E210" s="25" t="str">
        <x:v>grid_22fp35k1.xlsx</x:v>
      </x:c>
      <x:c r="F210" s="28" t="n">
        <x:v>29864.4831072854</x:v>
      </x:c>
      <x:c r="G210" s="28" t="n">
        <x:v>5493.3422102843</x:v>
      </x:c>
      <x:c r="H210" s="28" t="n">
        <x:v>1984.8254838618</x:v>
      </x:c>
      <x:c r="I210" s="28" t="n">
        <x:v>7054.2724090456</x:v>
      </x:c>
      <x:c r="J210" s="28" t="n">
        <x:v>96035.6918860495</x:v>
      </x:c>
      <x:c r="K210" s="28" t="n">
        <x:v>27226.6317366095</x:v>
      </x:c>
      <x:c r="L210" s="28" t="n">
        <x:v>2993.0412301768</x:v>
      </x:c>
      <x:c r="M210" s="28" t="n">
        <x:v>4210.9813081788</x:v>
      </x:c>
      <x:c r="N210" s="28" t="n">
        <x:v>790.4051251033</x:v>
      </x:c>
      <x:c r="O210" s="28" t="n">
        <x:v>35952.4628773105</x:v>
      </x:c>
      <x:c r="P210" s="28" t="n">
        <x:v>836.8585336397</x:v>
      </x:c>
      <x:c r="Q210" s="28" t="n">
        <x:v>5126.4289968228</x:v>
      </x:c>
      <x:c r="R210" s="28"/>
    </x:row>
    <x:row r="211">
      <x:c r="C211" s="19" t="n">
        <x:v>45658</x:v>
      </x:c>
      <x:c r="D211" s="19" t="n">
        <x:v>45688</x:v>
      </x:c>
      <x:c r="E211" s="25" t="str">
        <x:v>grid_22fp35k1.xlsx</x:v>
      </x:c>
      <x:c r="F211" s="28" t="n">
        <x:v>29278.3468063418</x:v>
      </x:c>
      <x:c r="G211" s="28" t="n">
        <x:v>5527.0957610804</x:v>
      </x:c>
      <x:c r="H211" s="28" t="n">
        <x:v>1819.2371873644</x:v>
      </x:c>
      <x:c r="I211" s="28" t="n">
        <x:v>6971.9397747244</x:v>
      </x:c>
      <x:c r="J211" s="28" t="n">
        <x:v>97370.6448217801</x:v>
      </x:c>
      <x:c r="K211" s="28" t="n">
        <x:v>27769.2666834339</x:v>
      </x:c>
      <x:c r="L211" s="28" t="n">
        <x:v>2935.4251410184</x:v>
      </x:c>
      <x:c r="M211" s="28" t="n">
        <x:v>4167.8108633737</x:v>
      </x:c>
      <x:c r="N211" s="28" t="n">
        <x:v>838.1909499883</x:v>
      </x:c>
      <x:c r="O211" s="28" t="n">
        <x:v>33547.9256466293</x:v>
      </x:c>
      <x:c r="P211" s="28" t="n">
        <x:v>820.0289699707</x:v>
      </x:c>
      <x:c r="Q211" s="28" t="n">
        <x:v>4988.3174702246</x:v>
      </x:c>
      <x:c r="R211" s="28"/>
    </x:row>
    <x:row r="212">
      <x:c r="C212" s="19" t="n">
        <x:v>45689</x:v>
      </x:c>
      <x:c r="D212" s="19" t="n">
        <x:v>45716</x:v>
      </x:c>
      <x:c r="E212" s="25" t="str">
        <x:v>grid_22fp35k1.xlsx</x:v>
      </x:c>
      <x:c r="F212" s="28" t="n">
        <x:v>29436.8131068519</x:v>
      </x:c>
      <x:c r="G212" s="28" t="n">
        <x:v>5509.1282563623</x:v>
      </x:c>
      <x:c r="H212" s="28" t="n">
        <x:v>1781.6988065196</x:v>
      </x:c>
      <x:c r="I212" s="28" t="n">
        <x:v>7929.5013780016</x:v>
      </x:c>
      <x:c r="J212" s="28" t="n">
        <x:v>99413.2251526841</x:v>
      </x:c>
      <x:c r="K212" s="28" t="n">
        <x:v>27687.1551560872</x:v>
      </x:c>
      <x:c r="L212" s="28" t="n">
        <x:v>3152.4132084344</x:v>
      </x:c>
      <x:c r="M212" s="28" t="n">
        <x:v>4007.5811301531</x:v>
      </x:c>
      <x:c r="N212" s="28" t="n">
        <x:v>865.6437074081</x:v>
      </x:c>
      <x:c r="O212" s="28" t="n">
        <x:v>34545.2412459078</x:v>
      </x:c>
      <x:c r="P212" s="28" t="n">
        <x:v>798.6032797892</x:v>
      </x:c>
      <x:c r="Q212" s="28" t="n">
        <x:v>5039.0338433289</x:v>
      </x:c>
      <x:c r="R212" s="28"/>
    </x:row>
    <x:row r="213">
      <x:c r="C213" s="19" t="n">
        <x:v>45717</x:v>
      </x:c>
      <x:c r="D213" s="19" t="n">
        <x:v>45747</x:v>
      </x:c>
      <x:c r="E213" s="25" t="str">
        <x:v>grid_22fp35k1.xlsx</x:v>
      </x:c>
      <x:c r="F213" s="28" t="n">
        <x:v>29278.2496750191</x:v>
      </x:c>
      <x:c r="G213" s="28" t="n">
        <x:v>5484.8786920243</x:v>
      </x:c>
      <x:c r="H213" s="28" t="n">
        <x:v>1748.1901103269</x:v>
      </x:c>
      <x:c r="I213" s="28" t="n">
        <x:v>8264.4527016818</x:v>
      </x:c>
      <x:c r="J213" s="28" t="n">
        <x:v>97594.9241391287</x:v>
      </x:c>
      <x:c r="K213" s="28" t="n">
        <x:v>27599.4009829503</x:v>
      </x:c>
      <x:c r="L213" s="28" t="n">
        <x:v>3172.8011023118</x:v>
      </x:c>
      <x:c r="M213" s="28" t="n">
        <x:v>4004.4264675657</x:v>
      </x:c>
      <x:c r="N213" s="28" t="n">
        <x:v>894.0299878397</x:v>
      </x:c>
      <x:c r="O213" s="28" t="n">
        <x:v>35346.2096908767</x:v>
      </x:c>
      <x:c r="P213" s="28" t="n">
        <x:v>809.5606103304</x:v>
      </x:c>
      <x:c r="Q213" s="28" t="n">
        <x:v>5264.1880704361</x:v>
      </x:c>
      <x:c r="R213" s="28"/>
    </x:row>
    <x:row r="214">
      <x:c r="C214" s="19" t="n">
        <x:v>45748</x:v>
      </x:c>
      <x:c r="D214" s="19" t="n">
        <x:v>45777</x:v>
      </x:c>
      <x:c r="E214" s="25" t="str">
        <x:v>grid_22fp35k1.xlsx</x:v>
      </x:c>
      <x:c r="F214" s="28" t="n">
        <x:v>24365.0599452765</x:v>
      </x:c>
      <x:c r="G214" s="28" t="n">
        <x:v>5571.388361431</x:v>
      </x:c>
      <x:c r="H214" s="28" t="n">
        <x:v>1662.5498005608</x:v>
      </x:c>
      <x:c r="I214" s="28" t="n">
        <x:v>8510.8528489634</x:v>
      </x:c>
      <x:c r="J214" s="28" t="n">
        <x:v>83356.3737068637</x:v>
      </x:c>
      <x:c r="K214" s="28" t="n">
        <x:v>27836.904549378</x:v>
      </x:c>
      <x:c r="L214" s="28" t="n">
        <x:v>3202.2059147359</x:v>
      </x:c>
      <x:c r="M214" s="28" t="n">
        <x:v>3979.7903007264</x:v>
      </x:c>
      <x:c r="N214" s="28" t="n">
        <x:v>903.9799184724</x:v>
      </x:c>
      <x:c r="O214" s="28" t="n">
        <x:v>32426.5425081437</x:v>
      </x:c>
      <x:c r="P214" s="28" t="n">
        <x:v>802.4768215326</x:v>
      </x:c>
      <x:c r="Q214" s="28" t="n">
        <x:v>5349.5502087507</x:v>
      </x:c>
      <x:c r="R214" s="28"/>
    </x:row>
    <x:row r="215">
      <x:c r="C215" s="19" t="n">
        <x:v>45778</x:v>
      </x:c>
      <x:c r="D215" s="19" t="n">
        <x:v>45807</x:v>
      </x:c>
      <x:c r="E215" s="25" t="str">
        <x:v>grid_22fp35k1.xlsx</x:v>
      </x:c>
      <x:c r="F215" s="28" t="n">
        <x:v>24243.1191738377</x:v>
      </x:c>
      <x:c r="G215" s="28" t="n">
        <x:v>5674.4262304025</x:v>
      </x:c>
      <x:c r="H215" s="28" t="n">
        <x:v>1529.4837866982</x:v>
      </x:c>
      <x:c r="I215" s="28" t="n">
        <x:v>8703.550728519</x:v>
      </x:c>
      <x:c r="J215" s="28" t="n">
        <x:v>79562.9342821914</x:v>
      </x:c>
      <x:c r="K215" s="28" t="n">
        <x:v>27137.275803457</x:v>
      </x:c>
      <x:c r="L215" s="28" t="n">
        <x:v>3375.1636102752</x:v>
      </x:c>
      <x:c r="M215" s="28" t="n">
        <x:v>4166.9975916062</x:v>
      </x:c>
      <x:c r="N215" s="28" t="n">
        <x:v>992.995910137</x:v>
      </x:c>
      <x:c r="O215" s="28" t="n">
        <x:v>32169.0414584297</x:v>
      </x:c>
      <x:c r="P215" s="28" t="n">
        <x:v>841.3923585353</x:v>
      </x:c>
      <x:c r="Q215" s="28" t="n">
        <x:v>4959.1851545633</x:v>
      </x:c>
      <x:c r="R215" s="28"/>
    </x:row>
    <x:row r="216">
      <x:c r="C216" s="19" t="n">
        <x:v>45809</x:v>
      </x:c>
      <x:c r="D216" s="19" t="n">
        <x:v>45838</x:v>
      </x:c>
      <x:c r="E216" s="25" t="str">
        <x:v>grid_22fp35k1.xlsx</x:v>
      </x:c>
      <x:c r="F216" s="28" t="n">
        <x:v>24371.6745925219</x:v>
      </x:c>
      <x:c r="G216" s="28" t="n">
        <x:v>5866.4554502485</x:v>
      </x:c>
      <x:c r="H216" s="28" t="n">
        <x:v>1475.4586942852</x:v>
      </x:c>
      <x:c r="I216" s="28" t="n">
        <x:v>7870.138452303</x:v>
      </x:c>
      <x:c r="J216" s="28" t="n">
        <x:v>78934.8227791654</x:v>
      </x:c>
      <x:c r="K216" s="28" t="n">
        <x:v>26598.6498470547</x:v>
      </x:c>
      <x:c r="L216" s="28" t="n">
        <x:v>3479.9547440388</x:v>
      </x:c>
      <x:c r="M216" s="28" t="n">
        <x:v>4119.7959323243</x:v>
      </x:c>
      <x:c r="N216" s="28" t="n">
        <x:v>1010.6813857315</x:v>
      </x:c>
      <x:c r="O216" s="28" t="n">
        <x:v>31655.9683725905</x:v>
      </x:c>
      <x:c r="P216" s="28" t="n">
        <x:v>861.5874153036</x:v>
      </x:c>
      <x:c r="Q216" s="28" t="n">
        <x:v>4938.455559057</x:v>
      </x:c>
      <x:c r="R216" s="28"/>
    </x:row>
    <x:row r="217">
      <x:c r="C217" s="19" t="n">
        <x:v>45839</x:v>
      </x:c>
      <x:c r="D217" s="19" t="n">
        <x:v>45869</x:v>
      </x:c>
      <x:c r="E217" s="25" t="str">
        <x:v>grid_22fp35k1.xlsx</x:v>
      </x:c>
      <x:c r="F217" s="28" t="n">
        <x:v>24628.1186664759</x:v>
      </x:c>
      <x:c r="G217" s="28" t="n">
        <x:v>6114.2649720935</x:v>
      </x:c>
      <x:c r="H217" s="28" t="n">
        <x:v>1493.3312086302</x:v>
      </x:c>
      <x:c r="I217" s="28" t="n">
        <x:v>7837.6123314919</x:v>
      </x:c>
      <x:c r="J217" s="28" t="n">
        <x:v>75155.5919994231</x:v>
      </x:c>
      <x:c r="K217" s="28" t="n">
        <x:v>26960.9800422588</x:v>
      </x:c>
      <x:c r="L217" s="28" t="n">
        <x:v>3471.9646109442</x:v>
      </x:c>
      <x:c r="M217" s="28" t="n">
        <x:v>3932.4101273846</x:v>
      </x:c>
      <x:c r="N217" s="28" t="n">
        <x:v>1027.847391737</x:v>
      </x:c>
      <x:c r="O217" s="28" t="n">
        <x:v>30630.2732535168</x:v>
      </x:c>
      <x:c r="P217" s="28" t="n">
        <x:v>841.0891395854</x:v>
      </x:c>
      <x:c r="Q217" s="28" t="n">
        <x:v>4837.6804692966</x:v>
      </x:c>
      <x:c r="R217" s="28"/>
    </x:row>
    <x:row r="218">
      <x:c r="C218" s="19" t="n">
        <x:v>45870</x:v>
      </x:c>
      <x:c r="D218" s="19" t="n">
        <x:v>45898</x:v>
      </x:c>
      <x:c r="E218" s="25" t="str">
        <x:v>grid_22fp35k1.xlsx</x:v>
      </x:c>
      <x:c r="F218" s="28" t="n">
        <x:v>22988.5333720822</x:v>
      </x:c>
      <x:c r="G218" s="28" t="n">
        <x:v>6179.705890137</x:v>
      </x:c>
      <x:c r="H218" s="28" t="n">
        <x:v>1558.9832584262</x:v>
      </x:c>
      <x:c r="I218" s="28" t="n">
        <x:v>7349.4613149691</x:v>
      </x:c>
      <x:c r="J218" s="28" t="n">
        <x:v>68013.3363593627</x:v>
      </x:c>
      <x:c r="K218" s="28" t="n">
        <x:v>27769.3845847303</x:v>
      </x:c>
      <x:c r="L218" s="28" t="n">
        <x:v>3696.1835488003</x:v>
      </x:c>
      <x:c r="M218" s="28" t="n">
        <x:v>3939.8756497599</x:v>
      </x:c>
      <x:c r="N218" s="28" t="n">
        <x:v>1044.4263122411</x:v>
      </x:c>
      <x:c r="O218" s="28" t="n">
        <x:v>30604.1682481438</x:v>
      </x:c>
      <x:c r="P218" s="28" t="n">
        <x:v>858.706536794</x:v>
      </x:c>
      <x:c r="Q218" s="28" t="n">
        <x:v>4895.2207814835</x:v>
      </x:c>
      <x:c r="R218" s="28"/>
    </x:row>
    <x:row r="219">
      <x:c r="C219" s="19" t="n">
        <x:v>45901</x:v>
      </x:c>
      <x:c r="D219" s="19" t="n">
        <x:v>45930</x:v>
      </x:c>
      <x:c r="E219" s="25" t="str">
        <x:v>grid_22fp35k1.xlsx</x:v>
      </x:c>
      <x:c r="F219" s="28" t="n">
        <x:v>22686.6585767034</x:v>
      </x:c>
      <x:c r="G219" s="28" t="n">
        <x:v>6183.9543449305</x:v>
      </x:c>
      <x:c r="H219" s="28" t="n">
        <x:v>1581.7304173511</x:v>
      </x:c>
      <x:c r="I219" s="28" t="n">
        <x:v>7601.0533358725</x:v>
      </x:c>
      <x:c r="J219" s="28" t="n">
        <x:v>68570.3855872596</x:v>
      </x:c>
      <x:c r="K219" s="28" t="n">
        <x:v>27377.1921172425</x:v>
      </x:c>
      <x:c r="L219" s="28" t="n">
        <x:v>3886.0480361974</x:v>
      </x:c>
      <x:c r="M219" s="28" t="n">
        <x:v>3991.9102910917</x:v>
      </x:c>
      <x:c r="N219" s="28" t="n">
        <x:v>1059.8336438356</x:v>
      </x:c>
      <x:c r="O219" s="28" t="n">
        <x:v>29894.2876877483</x:v>
      </x:c>
      <x:c r="P219" s="28" t="n">
        <x:v>861.362899486</x:v>
      </x:c>
      <x:c r="Q219" s="28" t="n">
        <x:v>5226.6903598415</x:v>
      </x:c>
      <x:c r="R219" s="28"/>
    </x:row>
    <x:row r="220">
      <x:c r="C220" s="19" t="n">
        <x:v>45931</x:v>
      </x:c>
      <x:c r="D220" s="19" t="n">
        <x:v>45961</x:v>
      </x:c>
      <x:c r="E220" s="25" t="str">
        <x:v>grid_22fp35k1.xlsx</x:v>
      </x:c>
      <x:c r="F220" s="28" t="n">
        <x:v>23123.5735169821</x:v>
      </x:c>
      <x:c r="G220" s="28" t="n">
        <x:v>6240.1718482972</x:v>
      </x:c>
      <x:c r="H220" s="28" t="n">
        <x:v>1626.3155685151</x:v>
      </x:c>
      <x:c r="I220" s="28" t="n">
        <x:v>7697.1663073984</x:v>
      </x:c>
      <x:c r="J220" s="28" t="n">
        <x:v>70552.6881284765</x:v>
      </x:c>
      <x:c r="K220" s="28" t="n">
        <x:v>27930.6601555876</x:v>
      </x:c>
      <x:c r="L220" s="28" t="n">
        <x:v>4047.0893811073</x:v>
      </x:c>
      <x:c r="M220" s="28" t="n">
        <x:v>4037.5813598243</x:v>
      </x:c>
      <x:c r="N220" s="28" t="n">
        <x:v>1082.4586616986</x:v>
      </x:c>
      <x:c r="O220" s="28" t="n">
        <x:v>32091.6557090166</x:v>
      </x:c>
      <x:c r="P220" s="28" t="n">
        <x:v>885.7018902924</x:v>
      </x:c>
      <x:c r="Q220" s="28" t="n">
        <x:v>5654.7333094253</x:v>
      </x:c>
      <x:c r="R220" s="28"/>
    </x:row>
    <x:row r="221">
      <x:c r="C221" s="19" t="n">
        <x:v>45962</x:v>
      </x:c>
      <x:c r="D221" s="19" t="n">
        <x:v>45989</x:v>
      </x:c>
      <x:c r="E221" s="25" t="str">
        <x:v>grid_22fp35k1.xlsx</x:v>
      </x:c>
      <x:c r="F221" s="28" t="n">
        <x:v>22764.3740478956</x:v>
      </x:c>
      <x:c r="G221" s="28" t="n">
        <x:v>6506.5089014947</x:v>
      </x:c>
      <x:c r="H221" s="28" t="n">
        <x:v>1828.0099036625</x:v>
      </x:c>
      <x:c r="I221" s="28" t="n">
        <x:v>7637.5074120598</x:v>
      </x:c>
      <x:c r="J221" s="28" t="n">
        <x:v>64896.1894050892</x:v>
      </x:c>
      <x:c r="K221" s="28" t="n">
        <x:v>28084.4975856932</x:v>
      </x:c>
      <x:c r="L221" s="28" t="n">
        <x:v>4410.1457351175</x:v>
      </x:c>
      <x:c r="M221" s="28" t="n">
        <x:v>4156.45572448</x:v>
      </x:c>
      <x:c r="N221" s="28" t="n">
        <x:v>1104.7890265425</x:v>
      </x:c>
      <x:c r="O221" s="28" t="n">
        <x:v>33393.5374748584</x:v>
      </x:c>
      <x:c r="P221" s="28" t="n">
        <x:v>887.0125843725</x:v>
      </x:c>
      <x:c r="Q221" s="28" t="n">
        <x:v>5823.0318850349</x:v>
      </x:c>
      <x:c r="R221" s="28"/>
    </x:row>
    <x:row r="222">
      <x:c r="C222" s="19" t="n">
        <x:v>45992</x:v>
      </x:c>
      <x:c r="D222" s="19" t="n">
        <x:v>46022</x:v>
      </x:c>
      <x:c r="E222" s="25" t="str">
        <x:v>grid_22fp35k1.xlsx</x:v>
      </x:c>
      <x:c r="F222" s="28" t="n">
        <x:v>22859.1884169585</x:v>
      </x:c>
      <x:c r="G222" s="28" t="n">
        <x:v>6675.6022730009</x:v>
      </x:c>
      <x:c r="H222" s="28" t="n">
        <x:v>1969.913546764</x:v>
      </x:c>
      <x:c r="I222" s="28" t="n">
        <x:v>7998.5888442324</x:v>
      </x:c>
      <x:c r="J222" s="28" t="n">
        <x:v>60921.4262587754</x:v>
      </x:c>
      <x:c r="K222" s="28" t="n">
        <x:v>28396.8394464313</x:v>
      </x:c>
      <x:c r="L222" s="28" t="n">
        <x:v>4386.8155514657</x:v>
      </x:c>
      <x:c r="M222" s="28" t="n">
        <x:v>4311.9540302205</x:v>
      </x:c>
      <x:c r="N222" s="28" t="n">
        <x:v>1109.080064</x:v>
      </x:c>
      <x:c r="O222" s="28" t="n">
        <x:v>34174.0511701381</x:v>
      </x:c>
      <x:c r="P222" s="28" t="n">
        <x:v>953.8604206626</x:v>
      </x:c>
      <x:c r="Q222" s="28" t="n">
        <x:v>5813.3694481372</x:v>
      </x:c>
      <x:c r="R222" s="28"/>
    </x:row>
    <x:row r="223">
      <x:c r="C223" s="19" t="n">
        <x:v>46023</x:v>
      </x:c>
      <x:c r="D223" s="19" t="n">
        <x:v>46052</x:v>
      </x:c>
      <x:c r="E223" s="25" t="str">
        <x:v>grid_22fp35k1.xlsx</x:v>
      </x:c>
      <x:c r="F223" s="28" t="n">
        <x:v>23899.0290112135</x:v>
      </x:c>
      <x:c r="G223" s="28" t="n">
        <x:v>6789.6705538816</x:v>
      </x:c>
      <x:c r="H223" s="28" t="n">
        <x:v>1900.3932904448</x:v>
      </x:c>
      <x:c r="I223" s="28" t="n">
        <x:v>8055.3960594413</x:v>
      </x:c>
      <x:c r="J223" s="28" t="n">
        <x:v>59573.0775264635</x:v>
      </x:c>
      <x:c r="K223" s="28" t="n">
        <x:v>29006.9830348022</x:v>
      </x:c>
      <x:c r="L223" s="28" t="n">
        <x:v>4399.5786297526</x:v>
      </x:c>
      <x:c r="M223" s="28" t="n">
        <x:v>4384.3445890063</x:v>
      </x:c>
      <x:c r="N223" s="28" t="n">
        <x:v>1100.6056311233</x:v>
      </x:c>
      <x:c r="O223" s="28" t="n">
        <x:v>35621.6643196523</x:v>
      </x:c>
      <x:c r="P223" s="28" t="n">
        <x:v>951.0341348001</x:v>
      </x:c>
      <x:c r="Q223" s="28" t="n">
        <x:v>6253.6218062743</x:v>
      </x:c>
      <x:c r="R223" s="28"/>
    </x:row>
    <x:row r="224">
      <x:c r="C224" s="19" t="n">
        <x:v>46054</x:v>
      </x:c>
      <x:c r="D224" s="19" t="n">
        <x:v>46080</x:v>
      </x:c>
      <x:c r="E224" s="25" t="str">
        <x:v>grid_22fp35k1.xlsx</x:v>
      </x:c>
      <x:c r="F224" s="28" t="n">
        <x:v>25065.0820117514</x:v>
      </x:c>
      <x:c r="G224" s="28" t="n">
        <x:v>6938.2975386725</x:v>
      </x:c>
      <x:c r="H224" s="28" t="n">
        <x:v>1868.8918379362</x:v>
      </x:c>
      <x:c r="I224" s="28" t="n">
        <x:v>8269.5939838386</x:v>
      </x:c>
      <x:c r="J224" s="28" t="n">
        <x:v>67165.2136108715</x:v>
      </x:c>
      <x:c r="K224" s="28" t="n">
        <x:v>29329.8968155196</x:v>
      </x:c>
      <x:c r="L224" s="28" t="n">
        <x:v>4295.1831739279</x:v>
      </x:c>
      <x:c r="M224" s="28" t="n">
        <x:v>4406.9961535724</x:v>
      </x:c>
      <x:c r="N224" s="28" t="n">
        <x:v>1101.0579431452</x:v>
      </x:c>
      <x:c r="O224" s="28" t="n">
        <x:v>35400.1440278417</x:v>
      </x:c>
      <x:c r="P224" s="28" t="n">
        <x:v>909.0471481099</x:v>
      </x:c>
      <x:c r="Q224" s="28" t="n">
        <x:v>6459.1408405781</x:v>
      </x:c>
      <x:c r="R224" s="28"/>
    </x:row>
    <x:row r="225">
      <x:c r="C225" s="19" t="n">
        <x:v>46082</x:v>
      </x:c>
      <x:c r="D225" s="19" t="n">
        <x:v>46112</x:v>
      </x:c>
      <x:c r="E225" s="25" t="str">
        <x:v>grid_22fp35k1.xlsx</x:v>
      </x:c>
      <x:c r="F225" s="28" t="n">
        <x:v>31513.3955390524</x:v>
      </x:c>
      <x:c r="G225" s="28" t="n">
        <x:v>7098.9605859682</x:v>
      </x:c>
      <x:c r="H225" s="28" t="n">
        <x:v>2004.3681270869</x:v>
      </x:c>
      <x:c r="I225" s="28" t="n">
        <x:v>8086.0150361572</x:v>
      </x:c>
      <x:c r="J225" s="28" t="n">
        <x:v>97087.7702336677</x:v>
      </x:c>
      <x:c r="K225" s="28" t="n">
        <x:v>29100.8489832944</x:v>
      </x:c>
      <x:c r="L225" s="28" t="n">
        <x:v>4180.6292670228</x:v>
      </x:c>
      <x:c r="M225" s="28" t="n">
        <x:v>4620.3842795279</x:v>
      </x:c>
      <x:c r="N225" s="28" t="n">
        <x:v>1155.965741589</x:v>
      </x:c>
      <x:c r="O225" s="28" t="n">
        <x:v>37077.8382269905</x:v>
      </x:c>
      <x:c r="P225" s="28" t="n">
        <x:v>926.1523123522</x:v>
      </x:c>
      <x:c r="Q225" s="28" t="n">
        <x:v>6533.7916719411</x:v>
      </x:c>
      <x:c r="R225" s="28"/>
    </x:row>
    <x:row r="226">
      <x:c r="C226" s="19" t="n">
        <x:v>46113</x:v>
      </x:c>
      <x:c r="D226" s="19" t="n">
        <x:v>46142</x:v>
      </x:c>
      <x:c r="E226" s="25" t="str">
        <x:v>grid_22fp35k1.xlsx</x:v>
      </x:c>
      <x:c r="F226" s="28" t="n">
        <x:v>33148.1585961502</x:v>
      </x:c>
      <x:c r="G226" s="28" t="n">
        <x:v>7279.7958814139</x:v>
      </x:c>
      <x:c r="H226" s="28" t="n">
        <x:v>2331.6650851592</x:v>
      </x:c>
      <x:c r="I226" s="28" t="n">
        <x:v>8037.4945185035</x:v>
      </x:c>
      <x:c r="J226" s="28" t="n">
        <x:v>107975.190914209</x:v>
      </x:c>
      <x:c r="K226" s="28" t="n">
        <x:v>29493.6099792023</x:v>
      </x:c>
      <x:c r="L226" s="28" t="n">
        <x:v>4247.9119400945</x:v>
      </x:c>
      <x:c r="M226" s="28" t="n">
        <x:v>4520.0337838731</x:v>
      </x:c>
      <x:c r="N226" s="28" t="n">
        <x:v>1198.9707011507</x:v>
      </x:c>
      <x:c r="O226" s="28" t="n">
        <x:v>33458.36298328</x:v>
      </x:c>
      <x:c r="P226" s="28" t="n">
        <x:v>935.8853732889</x:v>
      </x:c>
      <x:c r="Q226" s="28" t="n">
        <x:v>7050.6348680716</x:v>
      </x:c>
      <x:c r="R226" s="28"/>
    </x:row>
    <x:row r="227">
      <x:c r="C227" s="19" t="n">
        <x:v>46143</x:v>
      </x:c>
      <x:c r="D227" s="19" t="n">
        <x:v>46171</x:v>
      </x:c>
      <x:c r="E227" s="25" t="str">
        <x:v>grid_22fp35k1.xlsx</x:v>
      </x:c>
      <x:c r="F227" s="28" t="n">
        <x:v>31211.9427786988</x:v>
      </x:c>
      <x:c r="G227" s="28" t="n">
        <x:v>7144.9903250391</x:v>
      </x:c>
      <x:c r="H227" s="28" t="n">
        <x:v>2289.2335476963</x:v>
      </x:c>
      <x:c r="I227" s="28" t="n">
        <x:v>9396.0345236044</x:v>
      </x:c>
      <x:c r="J227" s="28" t="n">
        <x:v>106431.88100599</x:v>
      </x:c>
      <x:c r="K227" s="28" t="n">
        <x:v>29893.7697222331</x:v>
      </x:c>
      <x:c r="L227" s="28" t="n">
        <x:v>4092.4320165644</x:v>
      </x:c>
      <x:c r="M227" s="28" t="n">
        <x:v>4467.679082902</x:v>
      </x:c>
      <x:c r="N227" s="28" t="n">
        <x:v>1201.9640923178</x:v>
      </x:c>
      <x:c r="O227" s="28" t="n">
        <x:v>33106.2091590319</x:v>
      </x:c>
      <x:c r="P227" s="28" t="n">
        <x:v>988.2954404724</x:v>
      </x:c>
      <x:c r="Q227" s="28" t="n">
        <x:v>6588.1987832338</x:v>
      </x:c>
      <x:c r="R227" s="28"/>
    </x:row>
    <x:row r="228">
      <x:c r="C228" s="19" t="n">
        <x:v>46174</x:v>
      </x:c>
      <x:c r="D228" s="19" t="n">
        <x:v>46203</x:v>
      </x:c>
      <x:c r="E228" s="25" t="str">
        <x:v>grid_22fp35k1.xlsx</x:v>
      </x:c>
      <x:c r="F228" s="28" t="n">
        <x:v>29625.2963262043</x:v>
      </x:c>
      <x:c r="G228" s="28" t="n">
        <x:v>7232.6495762693</x:v>
      </x:c>
      <x:c r="H228" s="28" t="n">
        <x:v>2299.0832479986</x:v>
      </x:c>
      <x:c r="I228" s="28" t="n">
        <x:v>9551.2324171401</x:v>
      </x:c>
      <x:c r="J228" s="28" t="n">
        <x:v>104108.924582038</x:v>
      </x:c>
      <x:c r="K228" s="28" t="n">
        <x:v>30749.2068013437</x:v>
      </x:c>
      <x:c r="L228" s="28" t="n">
        <x:v>4250.6837361613</x:v>
      </x:c>
      <x:c r="M228" s="28" t="n">
        <x:v>4541.4315522418</x:v>
      </x:c>
      <x:c r="N228" s="28" t="n">
        <x:v>1114.5969898959</x:v>
      </x:c>
      <x:c r="O228" s="28" t="n">
        <x:v>33128.0725423342</x:v>
      </x:c>
      <x:c r="P228" s="28" t="n">
        <x:v>1017.984406053</x:v>
      </x:c>
      <x:c r="Q228" s="28" t="n">
        <x:v>6557.7896432373</x:v>
      </x:c>
      <x:c r="R228" s="28"/>
    </x:row>
    <x:row r="229">
      <x:c r="C229" s="19" t="n">
        <x:v>46204</x:v>
      </x:c>
      <x:c r="D229" s="19" t="n">
        <x:v>46234</x:v>
      </x:c>
      <x:c r="E229" s="25" t="str">
        <x:v>grid_22fp35k1.xlsx</x:v>
      </x:c>
      <x:c r="F229" s="28" t="n">
        <x:v>30945.8759482539</x:v>
      </x:c>
      <x:c r="G229" s="28" t="n">
        <x:v>7307.1169219975</x:v>
      </x:c>
      <x:c r="H229" s="28" t="n">
        <x:v>2709.7234384526</x:v>
      </x:c>
      <x:c r="I229" s="28" t="n">
        <x:v>9593.4221408842</x:v>
      </x:c>
      <x:c r="J229" s="28" t="n">
        <x:v>105934.636028838</x:v>
      </x:c>
      <x:c r="K229" s="28" t="n">
        <x:v>30667.0985452014</x:v>
      </x:c>
      <x:c r="L229" s="28" t="n">
        <x:v>4280.4668628445</x:v>
      </x:c>
      <x:c r="M229" s="28" t="n">
        <x:v>4593.2417011205</x:v>
      </x:c>
      <x:c r="N229" s="28" t="n">
        <x:v>1110.8093522411</x:v>
      </x:c>
      <x:c r="O229" s="28" t="n">
        <x:v>30849.4847036127</x:v>
      </x:c>
      <x:c r="P229" s="28" t="n">
        <x:v>1029.1878411647</x:v>
      </x:c>
      <x:c r="Q229" s="28" t="n">
        <x:v>6496.33239961</x:v>
      </x:c>
      <x:c r="R229" s="28"/>
    </x:row>
    <x:row r="230">
      <x:c r="C230" s="19" t="n">
        <x:v>46235</x:v>
      </x:c>
      <x:c r="D230" s="19" t="n">
        <x:v>46265</x:v>
      </x:c>
      <x:c r="E230" s="25" t="str">
        <x:v>grid_22fp35k1.xlsx</x:v>
      </x:c>
      <x:c r="F230" s="28" t="n">
        <x:v>31474.8151694147</x:v>
      </x:c>
      <x:c r="G230" s="28" t="n">
        <x:v>7181.0582994</x:v>
      </x:c>
      <x:c r="H230" s="28" t="n">
        <x:v>2823.622572068</x:v>
      </x:c>
      <x:c r="I230" s="28" t="n">
        <x:v>9147.6973342538</x:v>
      </x:c>
      <x:c r="J230" s="28" t="n">
        <x:v>109063.633669519</x:v>
      </x:c>
      <x:c r="K230" s="28" t="n">
        <x:v>29965.0728319876</x:v>
      </x:c>
      <x:c r="L230" s="28" t="n">
        <x:v>4308.9958238769</x:v>
      </x:c>
      <x:c r="M230" s="28" t="n">
        <x:v>4743.7046073098</x:v>
      </x:c>
      <x:c r="N230" s="28" t="n">
        <x:v>1132.9395897863</x:v>
      </x:c>
      <x:c r="O230" s="28" t="n">
        <x:v>30518.0008313643</x:v>
      </x:c>
      <x:c r="P230" s="28" t="n">
        <x:v>989.6965096379</x:v>
      </x:c>
      <x:c r="Q230" s="28" t="n">
        <x:v>6242.1160230637</x:v>
      </x:c>
      <x:c r="R230" s="28"/>
    </x:row>
    <x:row r="231">
      <x:c r="C231" s="20" t="n">
        <x:v>46266</x:v>
      </x:c>
      <x:c r="D231" s="20" t="n">
        <x:v>46268</x:v>
      </x:c>
      <x:c r="E231" s="26" t="str">
        <x:v>grid_22fp35k1.xlsx</x:v>
      </x:c>
      <x:c r="F231" s="29" t="n">
        <x:v>31592.4235889194</x:v>
      </x:c>
      <x:c r="G231" s="29" t="n">
        <x:v>7190.7213152938</x:v>
      </x:c>
      <x:c r="H231" s="29" t="n">
        <x:v>2837.0092518168</x:v>
      </x:c>
      <x:c r="I231" s="29" t="n">
        <x:v>9199.1045591193</x:v>
      </x:c>
      <x:c r="J231" s="29" t="n">
        <x:v>110049.060790029</x:v>
      </x:c>
      <x:c r="K231" s="29" t="n">
        <x:v>29964.0720731016</x:v>
      </x:c>
      <x:c r="L231" s="29" t="n">
        <x:v>4335.5364897021</x:v>
      </x:c>
      <x:c r="M231" s="29" t="n">
        <x:v>4779.3729036103</x:v>
      </x:c>
      <x:c r="N231" s="29" t="n">
        <x:v>1134.4730417096</x:v>
      </x:c>
      <x:c r="O231" s="29" t="n">
        <x:v>30228.4143912117</x:v>
      </x:c>
      <x:c r="P231" s="29" t="n">
        <x:v>990.5401565887</x:v>
      </x:c>
      <x:c r="Q231" s="29" t="n">
        <x:v>6250.7078821258</x:v>
      </x:c>
      <x:c r="R231" s="29"/>
    </x:row>
  </x:sheetData>
  <x:pageMargins left="0.7" right="0.7" top="0.75" bottom="0.75" header="0.3" footer="0.3"/>
  <x:tableParts count="1">
    <x:tablePart xmlns:r="http://schemas.openxmlformats.org/officeDocument/2006/relationships" r:id="Rea805b7c28b6423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3" hidden="0" customWidth="1"/>
    <x:col min="5" max="5" width="2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2">
      <x:c r="C2" s="2" t="str">
        <x:v>Earnings 12 meses forward em base 100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</x:row>
    <x:row r="3">
      <x:c r="C3" s="4" t="str">
        <x:v>Janeiro de 2020 = 100. Séries setoriais e IBOV calculadas a partir do consolidado mensal.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  <x:c r="P5" s="99"/>
      <x:c r="Q5" s="99"/>
    </x:row>
    <x:row r="6" ht="36" customHeight="1">
      <x:c r="C6" s="11" t="str">
        <x:v>month</x:v>
      </x:c>
      <x:c r="D6" s="11" t="str">
        <x:v>date</x:v>
      </x:c>
      <x:c r="E6" s="11" t="str">
        <x:v>source_file</x:v>
      </x:c>
      <x:c r="F6" s="11" t="str">
        <x:v>IBOV</x:v>
      </x:c>
      <x:c r="G6" s="11" t="str">
        <x:v>Communication Services</x:v>
      </x:c>
      <x:c r="H6" s="11" t="str">
        <x:v>Consumer Discretionary</x:v>
      </x:c>
      <x:c r="I6" s="11" t="str">
        <x:v>Consumer Staples</x:v>
      </x:c>
      <x:c r="J6" s="11" t="str">
        <x:v>Energy</x:v>
      </x:c>
      <x:c r="K6" s="11" t="str">
        <x:v>Financials</x:v>
      </x:c>
      <x:c r="L6" s="11" t="str">
        <x:v>Health Care</x:v>
      </x:c>
      <x:c r="M6" s="11" t="str">
        <x:v>Industrials</x:v>
      </x:c>
      <x:c r="N6" s="11" t="str">
        <x:v>Information Technology</x:v>
      </x:c>
      <x:c r="O6" s="11" t="str">
        <x:v>Materials</x:v>
      </x:c>
      <x:c r="P6" s="11" t="str">
        <x:v>Real Estate</x:v>
      </x:c>
      <x:c r="Q6" s="11" t="str">
        <x:v>Utilities</x:v>
      </x:c>
    </x:row>
    <x:row r="7">
      <x:c r="C7" s="18" t="n">
        <x:v>39448</x:v>
      </x:c>
      <x:c r="D7" s="18" t="n">
        <x:v>39478</x:v>
      </x:c>
      <x:c r="E7" s="33" t="str">
        <x:v>grid_20qvjmd3.xlsx</x:v>
      </x:c>
      <x:c r="F7" s="36" t="n">
        <x:v>70.76207766643095</x:v>
      </x:c>
      <x:c r="G7" s="36" t="n">
        <x:v>17.120158737740635</x:v>
      </x:c>
      <x:c r="H7" s="36" t="n">
        <x:v>29.23750074855248</x:v>
      </x:c>
      <x:c r="I7" s="36" t="n">
        <x:v>22.558884046278358</x:v>
      </x:c>
      <x:c r="J7" s="36" t="n">
        <x:v>80.21693572894254</x:v>
      </x:c>
      <x:c r="K7" s="36" t="n">
        <x:v>41.95959738890503</x:v>
      </x:c>
      <x:c r="L7" s="36"/>
      <x:c r="M7" s="36" t="n">
        <x:v>47.72123311018507</x:v>
      </x:c>
      <x:c r="N7" s="36"/>
      <x:c r="O7" s="36" t="n">
        <x:v>57.966827496381555</x:v>
      </x:c>
      <x:c r="P7" s="36" t="n">
        <x:v>0</x:v>
      </x:c>
      <x:c r="Q7" s="36" t="n">
        <x:v>44.44803671591619</x:v>
      </x:c>
    </x:row>
    <x:row r="8">
      <x:c r="C8" s="19" t="n">
        <x:v>39479</x:v>
      </x:c>
      <x:c r="D8" s="19" t="n">
        <x:v>39507</x:v>
      </x:c>
      <x:c r="E8" s="34" t="str">
        <x:v>grid_20qvjmd3.xlsx</x:v>
      </x:c>
      <x:c r="F8" s="37" t="n">
        <x:v>73.10470982228736</x:v>
      </x:c>
      <x:c r="G8" s="37" t="n">
        <x:v>18.75507893936191</x:v>
      </x:c>
      <x:c r="H8" s="37" t="n">
        <x:v>30.343070721244032</x:v>
      </x:c>
      <x:c r="I8" s="37" t="n">
        <x:v>23.077411625180268</x:v>
      </x:c>
      <x:c r="J8" s="37" t="n">
        <x:v>80.79572725246865</x:v>
      </x:c>
      <x:c r="K8" s="37" t="n">
        <x:v>42.77532336278505</x:v>
      </x:c>
      <x:c r="L8" s="37"/>
      <x:c r="M8" s="37" t="n">
        <x:v>45.06432728314687</x:v>
      </x:c>
      <x:c r="N8" s="37"/>
      <x:c r="O8" s="37" t="n">
        <x:v>61.83373643566233</x:v>
      </x:c>
      <x:c r="P8" s="37" t="n">
        <x:v>0</x:v>
      </x:c>
      <x:c r="Q8" s="37" t="n">
        <x:v>45.36861596979499</x:v>
      </x:c>
    </x:row>
    <x:row r="9">
      <x:c r="C9" s="19" t="n">
        <x:v>39508</x:v>
      </x:c>
      <x:c r="D9" s="19" t="n">
        <x:v>39538</x:v>
      </x:c>
      <x:c r="E9" s="34" t="str">
        <x:v>grid_20qvjmd3.xlsx</x:v>
      </x:c>
      <x:c r="F9" s="37" t="n">
        <x:v>73.20602385281674</x:v>
      </x:c>
      <x:c r="G9" s="37" t="n">
        <x:v>17.51601052952366</x:v>
      </x:c>
      <x:c r="H9" s="37" t="n">
        <x:v>27.7652239415948</x:v>
      </x:c>
      <x:c r="I9" s="37" t="n">
        <x:v>22.22109778917231</x:v>
      </x:c>
      <x:c r="J9" s="37" t="n">
        <x:v>83.86006165026288</x:v>
      </x:c>
      <x:c r="K9" s="37" t="n">
        <x:v>43.22074115915133</x:v>
      </x:c>
      <x:c r="L9" s="37"/>
      <x:c r="M9" s="37" t="n">
        <x:v>44.50158553581494</x:v>
      </x:c>
      <x:c r="N9" s="37"/>
      <x:c r="O9" s="37" t="n">
        <x:v>62.891211254197756</x:v>
      </x:c>
      <x:c r="P9" s="37" t="n">
        <x:v>0</x:v>
      </x:c>
      <x:c r="Q9" s="37" t="n">
        <x:v>47.91081541687039</x:v>
      </x:c>
    </x:row>
    <x:row r="10">
      <x:c r="C10" s="19" t="n">
        <x:v>39539</x:v>
      </x:c>
      <x:c r="D10" s="19" t="n">
        <x:v>39568</x:v>
      </x:c>
      <x:c r="E10" s="34" t="str">
        <x:v>grid_20qvjmd3.xlsx</x:v>
      </x:c>
      <x:c r="F10" s="37" t="n">
        <x:v>75.8962610083261</x:v>
      </x:c>
      <x:c r="G10" s="37" t="n">
        <x:v>16.670801919187472</x:v>
      </x:c>
      <x:c r="H10" s="37" t="n">
        <x:v>28.30934053335507</x:v>
      </x:c>
      <x:c r="I10" s="37" t="n">
        <x:v>21.276451074366705</x:v>
      </x:c>
      <x:c r="J10" s="37" t="n">
        <x:v>84.37221210541223</x:v>
      </x:c>
      <x:c r="K10" s="37" t="n">
        <x:v>43.58458671371266</x:v>
      </x:c>
      <x:c r="L10" s="37"/>
      <x:c r="M10" s="37" t="n">
        <x:v>43.51533677345948</x:v>
      </x:c>
      <x:c r="N10" s="37"/>
      <x:c r="O10" s="37" t="n">
        <x:v>64.77411875001103</x:v>
      </x:c>
      <x:c r="P10" s="37" t="n">
        <x:v>0</x:v>
      </x:c>
      <x:c r="Q10" s="37" t="n">
        <x:v>50.43095871343504</x:v>
      </x:c>
    </x:row>
    <x:row r="11">
      <x:c r="C11" s="19" t="n">
        <x:v>39569</x:v>
      </x:c>
      <x:c r="D11" s="19" t="n">
        <x:v>39598</x:v>
      </x:c>
      <x:c r="E11" s="34" t="str">
        <x:v>grid_20qvjmd3.xlsx</x:v>
      </x:c>
      <x:c r="F11" s="37" t="n">
        <x:v>85.94125741589663</x:v>
      </x:c>
      <x:c r="G11" s="37" t="n">
        <x:v>17.069525226100144</x:v>
      </x:c>
      <x:c r="H11" s="37" t="n">
        <x:v>29.811723949133995</x:v>
      </x:c>
      <x:c r="I11" s="37" t="n">
        <x:v>22.06228427059038</x:v>
      </x:c>
      <x:c r="J11" s="37" t="n">
        <x:v>88.09840776124787</x:v>
      </x:c>
      <x:c r="K11" s="37" t="n">
        <x:v>43.37636597637751</x:v>
      </x:c>
      <x:c r="L11" s="37"/>
      <x:c r="M11" s="37" t="n">
        <x:v>40.543477002126934</x:v>
      </x:c>
      <x:c r="N11" s="37"/>
      <x:c r="O11" s="37" t="n">
        <x:v>69.00816533758248</x:v>
      </x:c>
      <x:c r="P11" s="37" t="n">
        <x:v>2.506907830089103</x:v>
      </x:c>
      <x:c r="Q11" s="37" t="n">
        <x:v>49.39965787489331</x:v>
      </x:c>
    </x:row>
    <x:row r="12">
      <x:c r="C12" s="19" t="n">
        <x:v>39600</x:v>
      </x:c>
      <x:c r="D12" s="19" t="n">
        <x:v>39629</x:v>
      </x:c>
      <x:c r="E12" s="34" t="str">
        <x:v>grid_20qvjmd3.xlsx</x:v>
      </x:c>
      <x:c r="F12" s="37" t="n">
        <x:v>88.93982281313694</x:v>
      </x:c>
      <x:c r="G12" s="37" t="n">
        <x:v>16.384575287177768</x:v>
      </x:c>
      <x:c r="H12" s="37" t="n">
        <x:v>29.380186116162164</x:v>
      </x:c>
      <x:c r="I12" s="37" t="n">
        <x:v>22.38727759834007</x:v>
      </x:c>
      <x:c r="J12" s="37" t="n">
        <x:v>89.91100755084726</x:v>
      </x:c>
      <x:c r="K12" s="37" t="n">
        <x:v>43.45079059207357</x:v>
      </x:c>
      <x:c r="L12" s="37"/>
      <x:c r="M12" s="37" t="n">
        <x:v>39.78018109839529</x:v>
      </x:c>
      <x:c r="N12" s="37"/>
      <x:c r="O12" s="37" t="n">
        <x:v>69.43914422870357</x:v>
      </x:c>
      <x:c r="P12" s="37" t="n">
        <x:v>5.4674639521075505</x:v>
      </x:c>
      <x:c r="Q12" s="37" t="n">
        <x:v>47.93367368677481</x:v>
      </x:c>
    </x:row>
    <x:row r="13">
      <x:c r="C13" s="19" t="n">
        <x:v>39630</x:v>
      </x:c>
      <x:c r="D13" s="19" t="n">
        <x:v>39660</x:v>
      </x:c>
      <x:c r="E13" s="34" t="str">
        <x:v>grid_20qvjmd3.xlsx</x:v>
      </x:c>
      <x:c r="F13" s="37" t="n">
        <x:v>82.51563793977576</x:v>
      </x:c>
      <x:c r="G13" s="37" t="n">
        <x:v>17.280898574659144</x:v>
      </x:c>
      <x:c r="H13" s="37" t="n">
        <x:v>27.678327088209038</x:v>
      </x:c>
      <x:c r="I13" s="37" t="n">
        <x:v>20.81927948409682</x:v>
      </x:c>
      <x:c r="J13" s="37" t="n">
        <x:v>93.5228633213453</x:v>
      </x:c>
      <x:c r="K13" s="37" t="n">
        <x:v>43.3298213229306</x:v>
      </x:c>
      <x:c r="L13" s="37"/>
      <x:c r="M13" s="37" t="n">
        <x:v>38.094716660741504</x:v>
      </x:c>
      <x:c r="N13" s="37"/>
      <x:c r="O13" s="37" t="n">
        <x:v>68.81750580501344</x:v>
      </x:c>
      <x:c r="P13" s="37" t="n">
        <x:v>5.509822678153033</x:v>
      </x:c>
      <x:c r="Q13" s="37" t="n">
        <x:v>49.61603392926111</x:v>
      </x:c>
    </x:row>
    <x:row r="14">
      <x:c r="C14" s="19" t="n">
        <x:v>39661</x:v>
      </x:c>
      <x:c r="D14" s="19" t="n">
        <x:v>39689</x:v>
      </x:c>
      <x:c r="E14" s="34" t="str">
        <x:v>grid_20qvjmd3.xlsx</x:v>
      </x:c>
      <x:c r="F14" s="37" t="n">
        <x:v>85.99562426289764</x:v>
      </x:c>
      <x:c r="G14" s="37" t="n">
        <x:v>16.518892922971936</x:v>
      </x:c>
      <x:c r="H14" s="37" t="n">
        <x:v>28.42335861134911</x:v>
      </x:c>
      <x:c r="I14" s="37" t="n">
        <x:v>22.097216644131727</x:v>
      </x:c>
      <x:c r="J14" s="37" t="n">
        <x:v>95.10740524503399</x:v>
      </x:c>
      <x:c r="K14" s="37" t="n">
        <x:v>43.39486621406194</x:v>
      </x:c>
      <x:c r="L14" s="37"/>
      <x:c r="M14" s="37" t="n">
        <x:v>40.64625116290529</x:v>
      </x:c>
      <x:c r="N14" s="37"/>
      <x:c r="O14" s="37" t="n">
        <x:v>72.73626956717594</x:v>
      </x:c>
      <x:c r="P14" s="37" t="n">
        <x:v>5.549448583173511</x:v>
      </x:c>
      <x:c r="Q14" s="37" t="n">
        <x:v>51.43408862883048</x:v>
      </x:c>
    </x:row>
    <x:row r="15">
      <x:c r="C15" s="19" t="n">
        <x:v>39692</x:v>
      </x:c>
      <x:c r="D15" s="19" t="n">
        <x:v>39721</x:v>
      </x:c>
      <x:c r="E15" s="34" t="str">
        <x:v>grid_20qvjmd3.xlsx</x:v>
      </x:c>
      <x:c r="F15" s="37" t="n">
        <x:v>101.36285507605001</x:v>
      </x:c>
      <x:c r="G15" s="37" t="n">
        <x:v>15.20950612491684</x:v>
      </x:c>
      <x:c r="H15" s="37" t="n">
        <x:v>34.195930558256535</x:v>
      </x:c>
      <x:c r="I15" s="37" t="n">
        <x:v>25.52073870834377</x:v>
      </x:c>
      <x:c r="J15" s="37" t="n">
        <x:v>98.84647031374057</x:v>
      </x:c>
      <x:c r="K15" s="37" t="n">
        <x:v>37.628041298574914</x:v>
      </x:c>
      <x:c r="L15" s="37"/>
      <x:c r="M15" s="37" t="n">
        <x:v>41.29048764056505</x:v>
      </x:c>
      <x:c r="N15" s="37"/>
      <x:c r="O15" s="37" t="n">
        <x:v>81.89666549228554</x:v>
      </x:c>
      <x:c r="P15" s="37"/>
      <x:c r="Q15" s="37" t="n">
        <x:v>56.51635720932065</x:v>
      </x:c>
    </x:row>
    <x:row r="16">
      <x:c r="C16" s="19" t="n">
        <x:v>39722</x:v>
      </x:c>
      <x:c r="D16" s="19" t="n">
        <x:v>39752</x:v>
      </x:c>
      <x:c r="E16" s="34" t="str">
        <x:v>grid_20qvjmd3.xlsx</x:v>
      </x:c>
      <x:c r="F16" s="37" t="n">
        <x:v>93.18242680494386</x:v>
      </x:c>
      <x:c r="G16" s="37" t="n">
        <x:v>15.282032013615613</x:v>
      </x:c>
      <x:c r="H16" s="37" t="n">
        <x:v>35.05663943095754</x:v>
      </x:c>
      <x:c r="I16" s="37" t="n">
        <x:v>23.494280045474447</x:v>
      </x:c>
      <x:c r="J16" s="37" t="n">
        <x:v>93.70619297941863</x:v>
      </x:c>
      <x:c r="K16" s="37" t="n">
        <x:v>35.92282869456231</x:v>
      </x:c>
      <x:c r="L16" s="37"/>
      <x:c r="M16" s="37" t="n">
        <x:v>44.50810296788904</x:v>
      </x:c>
      <x:c r="N16" s="37"/>
      <x:c r="O16" s="37" t="n">
        <x:v>81.67498774259559</x:v>
      </x:c>
      <x:c r="P16" s="37"/>
      <x:c r="Q16" s="37" t="n">
        <x:v>60.222794336353545</x:v>
      </x:c>
    </x:row>
    <x:row r="17">
      <x:c r="C17" s="19" t="n">
        <x:v>39753</x:v>
      </x:c>
      <x:c r="D17" s="19" t="n">
        <x:v>39780</x:v>
      </x:c>
      <x:c r="E17" s="34" t="str">
        <x:v>grid_20qvjmd3.xlsx</x:v>
      </x:c>
      <x:c r="F17" s="37" t="n">
        <x:v>84.19157375142204</x:v>
      </x:c>
      <x:c r="G17" s="37" t="n">
        <x:v>14.243017324913133</x:v>
      </x:c>
      <x:c r="H17" s="37" t="n">
        <x:v>35.26495249498088</x:v>
      </x:c>
      <x:c r="I17" s="37" t="n">
        <x:v>24.3484665162981</x:v>
      </x:c>
      <x:c r="J17" s="37" t="n">
        <x:v>91.27772855435514</x:v>
      </x:c>
      <x:c r="K17" s="37" t="n">
        <x:v>36.64625301848435</x:v>
      </x:c>
      <x:c r="L17" s="37"/>
      <x:c r="M17" s="37" t="n">
        <x:v>40.806232612215325</x:v>
      </x:c>
      <x:c r="N17" s="37"/>
      <x:c r="O17" s="37" t="n">
        <x:v>78.19454758507109</x:v>
      </x:c>
      <x:c r="P17" s="37"/>
      <x:c r="Q17" s="37" t="n">
        <x:v>61.334479555553536</x:v>
      </x:c>
    </x:row>
    <x:row r="18">
      <x:c r="C18" s="19" t="n">
        <x:v>39783</x:v>
      </x:c>
      <x:c r="D18" s="19" t="n">
        <x:v>39813</x:v>
      </x:c>
      <x:c r="E18" s="34" t="str">
        <x:v>grid_20qvjmd3.xlsx</x:v>
      </x:c>
      <x:c r="F18" s="37" t="n">
        <x:v>78.75194450549053</x:v>
      </x:c>
      <x:c r="G18" s="37" t="n">
        <x:v>15.73115711459711</x:v>
      </x:c>
      <x:c r="H18" s="37" t="n">
        <x:v>35.733758646661364</x:v>
      </x:c>
      <x:c r="I18" s="37" t="n">
        <x:v>24.907312392054408</x:v>
      </x:c>
      <x:c r="J18" s="37" t="n">
        <x:v>79.30001194889653</x:v>
      </x:c>
      <x:c r="K18" s="37" t="n">
        <x:v>35.730114157753825</x:v>
      </x:c>
      <x:c r="L18" s="37"/>
      <x:c r="M18" s="37" t="n">
        <x:v>41.822686614570685</x:v>
      </x:c>
      <x:c r="N18" s="37"/>
      <x:c r="O18" s="37" t="n">
        <x:v>66.63115369512573</x:v>
      </x:c>
      <x:c r="P18" s="37"/>
      <x:c r="Q18" s="37" t="n">
        <x:v>64.67746546119358</x:v>
      </x:c>
    </x:row>
    <x:row r="19">
      <x:c r="C19" s="19" t="n">
        <x:v>39814</x:v>
      </x:c>
      <x:c r="D19" s="19" t="n">
        <x:v>39843</x:v>
      </x:c>
      <x:c r="E19" s="34" t="str">
        <x:v>grid_20qvjmd3.xlsx</x:v>
      </x:c>
      <x:c r="F19" s="37" t="n">
        <x:v>78.39155179401924</x:v>
      </x:c>
      <x:c r="G19" s="37" t="n">
        <x:v>15.009262903844656</x:v>
      </x:c>
      <x:c r="H19" s="37" t="n">
        <x:v>32.646567769447934</x:v>
      </x:c>
      <x:c r="I19" s="37" t="n">
        <x:v>22.919501370333045</x:v>
      </x:c>
      <x:c r="J19" s="37" t="n">
        <x:v>73.02194674355223</x:v>
      </x:c>
      <x:c r="K19" s="37" t="n">
        <x:v>29.79113461270736</x:v>
      </x:c>
      <x:c r="L19" s="37"/>
      <x:c r="M19" s="37" t="n">
        <x:v>39.089317679093064</x:v>
      </x:c>
      <x:c r="N19" s="37"/>
      <x:c r="O19" s="37" t="n">
        <x:v>56.37141116316424</x:v>
      </x:c>
      <x:c r="P19" s="37"/>
      <x:c r="Q19" s="37" t="n">
        <x:v>64.9739109888313</x:v>
      </x:c>
    </x:row>
    <x:row r="20">
      <x:c r="C20" s="19" t="n">
        <x:v>39845</x:v>
      </x:c>
      <x:c r="D20" s="19" t="n">
        <x:v>39871</x:v>
      </x:c>
      <x:c r="E20" s="34" t="str">
        <x:v>grid_20qvjmd3.xlsx</x:v>
      </x:c>
      <x:c r="F20" s="37" t="n">
        <x:v>79.50428102409558</x:v>
      </x:c>
      <x:c r="G20" s="37" t="n">
        <x:v>15.128888476466997</x:v>
      </x:c>
      <x:c r="H20" s="37" t="n">
        <x:v>30.87695851976414</x:v>
      </x:c>
      <x:c r="I20" s="37" t="n">
        <x:v>22.066490817353923</x:v>
      </x:c>
      <x:c r="J20" s="37" t="n">
        <x:v>73.70304646367345</x:v>
      </x:c>
      <x:c r="K20" s="37" t="n">
        <x:v>30.129885475263073</x:v>
      </x:c>
      <x:c r="L20" s="37"/>
      <x:c r="M20" s="37" t="n">
        <x:v>37.99659869914309</x:v>
      </x:c>
      <x:c r="N20" s="37"/>
      <x:c r="O20" s="37" t="n">
        <x:v>54.21619161294424</x:v>
      </x:c>
      <x:c r="P20" s="37"/>
      <x:c r="Q20" s="37" t="n">
        <x:v>64.45123801262082</x:v>
      </x:c>
    </x:row>
    <x:row r="21">
      <x:c r="C21" s="19" t="n">
        <x:v>39873</x:v>
      </x:c>
      <x:c r="D21" s="19" t="n">
        <x:v>39903</x:v>
      </x:c>
      <x:c r="E21" s="34" t="str">
        <x:v>grid_20qvjmd3.xlsx</x:v>
      </x:c>
      <x:c r="F21" s="37" t="n">
        <x:v>70.76029727119388</x:v>
      </x:c>
      <x:c r="G21" s="37" t="n">
        <x:v>14.77951278022595</x:v>
      </x:c>
      <x:c r="H21" s="37" t="n">
        <x:v>32.062623383990044</x:v>
      </x:c>
      <x:c r="I21" s="37" t="n">
        <x:v>23.785022841006892</x:v>
      </x:c>
      <x:c r="J21" s="37" t="n">
        <x:v>66.7949920230408</x:v>
      </x:c>
      <x:c r="K21" s="37" t="n">
        <x:v>32.66971623886341</x:v>
      </x:c>
      <x:c r="L21" s="37"/>
      <x:c r="M21" s="37" t="n">
        <x:v>39.48496404051699</x:v>
      </x:c>
      <x:c r="N21" s="37"/>
      <x:c r="O21" s="37" t="n">
        <x:v>42.24715774464756</x:v>
      </x:c>
      <x:c r="P21" s="37"/>
      <x:c r="Q21" s="37" t="n">
        <x:v>68.4060748667785</x:v>
      </x:c>
    </x:row>
    <x:row r="22">
      <x:c r="C22" s="19" t="n">
        <x:v>39904</x:v>
      </x:c>
      <x:c r="D22" s="19" t="n">
        <x:v>39933</x:v>
      </x:c>
      <x:c r="E22" s="34" t="str">
        <x:v>grid_20qvjmd3.xlsx</x:v>
      </x:c>
      <x:c r="F22" s="37" t="n">
        <x:v>64.47373780845732</x:v>
      </x:c>
      <x:c r="G22" s="37" t="n">
        <x:v>14.760983338488561</x:v>
      </x:c>
      <x:c r="H22" s="37" t="n">
        <x:v>31.39082916975033</x:v>
      </x:c>
      <x:c r="I22" s="37" t="n">
        <x:v>24.31556777954266</x:v>
      </x:c>
      <x:c r="J22" s="37" t="n">
        <x:v>64.33112571363912</x:v>
      </x:c>
      <x:c r="K22" s="37" t="n">
        <x:v>33.535894384081935</x:v>
      </x:c>
      <x:c r="L22" s="37"/>
      <x:c r="M22" s="37" t="n">
        <x:v>38.03674570751547</x:v>
      </x:c>
      <x:c r="N22" s="37"/>
      <x:c r="O22" s="37" t="n">
        <x:v>38.848102989511055</x:v>
      </x:c>
      <x:c r="P22" s="37"/>
      <x:c r="Q22" s="37" t="n">
        <x:v>68.14854183173901</x:v>
      </x:c>
    </x:row>
    <x:row r="23">
      <x:c r="C23" s="19" t="n">
        <x:v>39934</x:v>
      </x:c>
      <x:c r="D23" s="19" t="n">
        <x:v>39962</x:v>
      </x:c>
      <x:c r="E23" s="34" t="str">
        <x:v>grid_20qvjmd3.xlsx</x:v>
      </x:c>
      <x:c r="F23" s="37" t="n">
        <x:v>65.33332239123276</x:v>
      </x:c>
      <x:c r="G23" s="37" t="n">
        <x:v>14.969471952474853</x:v>
      </x:c>
      <x:c r="H23" s="37" t="n">
        <x:v>31.921854147504426</x:v>
      </x:c>
      <x:c r="I23" s="37" t="n">
        <x:v>25.985438963651458</x:v>
      </x:c>
      <x:c r="J23" s="37" t="n">
        <x:v>68.42034815194552</x:v>
      </x:c>
      <x:c r="K23" s="37" t="n">
        <x:v>33.712448053664815</x:v>
      </x:c>
      <x:c r="L23" s="37"/>
      <x:c r="M23" s="37" t="n">
        <x:v>35.679681353937305</x:v>
      </x:c>
      <x:c r="N23" s="37"/>
      <x:c r="O23" s="37" t="n">
        <x:v>34.507892314672496</x:v>
      </x:c>
      <x:c r="P23" s="37"/>
      <x:c r="Q23" s="37" t="n">
        <x:v>66.965940266508</x:v>
      </x:c>
    </x:row>
    <x:row r="24">
      <x:c r="C24" s="19" t="n">
        <x:v>39965</x:v>
      </x:c>
      <x:c r="D24" s="19" t="n">
        <x:v>39994</x:v>
      </x:c>
      <x:c r="E24" s="34" t="str">
        <x:v>grid_20qvjmd3.xlsx</x:v>
      </x:c>
      <x:c r="F24" s="37" t="n">
        <x:v>63.18859591842969</x:v>
      </x:c>
      <x:c r="G24" s="37" t="n">
        <x:v>15.590828519239952</x:v>
      </x:c>
      <x:c r="H24" s="37" t="n">
        <x:v>33.154578051639795</x:v>
      </x:c>
      <x:c r="I24" s="37" t="n">
        <x:v>27.657865267788246</x:v>
      </x:c>
      <x:c r="J24" s="37" t="n">
        <x:v>68.38291579473565</x:v>
      </x:c>
      <x:c r="K24" s="37" t="n">
        <x:v>34.14873831605245</x:v>
      </x:c>
      <x:c r="L24" s="37"/>
      <x:c r="M24" s="37" t="n">
        <x:v>32.66272495045472</x:v>
      </x:c>
      <x:c r="N24" s="37"/>
      <x:c r="O24" s="37" t="n">
        <x:v>31.93367388007523</x:v>
      </x:c>
      <x:c r="P24" s="37"/>
      <x:c r="Q24" s="37" t="n">
        <x:v>65.37916981550627</x:v>
      </x:c>
    </x:row>
    <x:row r="25">
      <x:c r="C25" s="19" t="n">
        <x:v>39995</x:v>
      </x:c>
      <x:c r="D25" s="19" t="n">
        <x:v>40025</x:v>
      </x:c>
      <x:c r="E25" s="34" t="str">
        <x:v>grid_20qvjmd3.xlsx</x:v>
      </x:c>
      <x:c r="F25" s="37" t="n">
        <x:v>60.84287381800523</x:v>
      </x:c>
      <x:c r="G25" s="37" t="n">
        <x:v>15.528292944621064</x:v>
      </x:c>
      <x:c r="H25" s="37" t="n">
        <x:v>33.22451779368732</x:v>
      </x:c>
      <x:c r="I25" s="37" t="n">
        <x:v>27.860899125455457</x:v>
      </x:c>
      <x:c r="J25" s="37" t="n">
        <x:v>69.08327030904758</x:v>
      </x:c>
      <x:c r="K25" s="37" t="n">
        <x:v>35.463281382264825</x:v>
      </x:c>
      <x:c r="L25" s="37"/>
      <x:c r="M25" s="37" t="n">
        <x:v>32.065856388124686</x:v>
      </x:c>
      <x:c r="N25" s="37"/>
      <x:c r="O25" s="37" t="n">
        <x:v>31.24639342262893</x:v>
      </x:c>
      <x:c r="P25" s="37"/>
      <x:c r="Q25" s="37" t="n">
        <x:v>65.72808182717873</x:v>
      </x:c>
    </x:row>
    <x:row r="26">
      <x:c r="C26" s="19" t="n">
        <x:v>40026</x:v>
      </x:c>
      <x:c r="D26" s="19" t="n">
        <x:v>40056</x:v>
      </x:c>
      <x:c r="E26" s="34" t="str">
        <x:v>grid_20qvjmd3.xlsx</x:v>
      </x:c>
      <x:c r="F26" s="37" t="n">
        <x:v>59.59872144219764</x:v>
      </x:c>
      <x:c r="G26" s="37" t="n">
        <x:v>15.714300309525397</x:v>
      </x:c>
      <x:c r="H26" s="37" t="n">
        <x:v>35.5717623644749</x:v>
      </x:c>
      <x:c r="I26" s="37" t="n">
        <x:v>29.316859404433266</x:v>
      </x:c>
      <x:c r="J26" s="37" t="n">
        <x:v>69.06098054070104</x:v>
      </x:c>
      <x:c r="K26" s="37" t="n">
        <x:v>37.24845188746666</x:v>
      </x:c>
      <x:c r="L26" s="37"/>
      <x:c r="M26" s="37" t="n">
        <x:v>32.05946218775806</x:v>
      </x:c>
      <x:c r="N26" s="37"/>
      <x:c r="O26" s="37" t="n">
        <x:v>30.521537585319454</x:v>
      </x:c>
      <x:c r="P26" s="37"/>
      <x:c r="Q26" s="37" t="n">
        <x:v>64.84978532203813</x:v>
      </x:c>
    </x:row>
    <x:row r="27">
      <x:c r="C27" s="19" t="n">
        <x:v>40057</x:v>
      </x:c>
      <x:c r="D27" s="19" t="n">
        <x:v>40086</x:v>
      </x:c>
      <x:c r="E27" s="34" t="str">
        <x:v>grid_20qvjmd3.xlsx</x:v>
      </x:c>
      <x:c r="F27" s="37" t="n">
        <x:v>65.08128944827104</x:v>
      </x:c>
      <x:c r="G27" s="37" t="n">
        <x:v>16.827045279266137</x:v>
      </x:c>
      <x:c r="H27" s="37" t="n">
        <x:v>36.76021269167105</x:v>
      </x:c>
      <x:c r="I27" s="37" t="n">
        <x:v>24.738495158948666</x:v>
      </x:c>
      <x:c r="J27" s="37" t="n">
        <x:v>72.283660274592</x:v>
      </x:c>
      <x:c r="K27" s="37" t="n">
        <x:v>38.491780331051814</x:v>
      </x:c>
      <x:c r="L27" s="37"/>
      <x:c r="M27" s="37" t="n">
        <x:v>34.844119508445644</x:v>
      </x:c>
      <x:c r="N27" s="37"/>
      <x:c r="O27" s="37" t="n">
        <x:v>33.37855644346014</x:v>
      </x:c>
      <x:c r="P27" s="37"/>
      <x:c r="Q27" s="37" t="n">
        <x:v>64.09879220240326</x:v>
      </x:c>
    </x:row>
    <x:row r="28">
      <x:c r="C28" s="19" t="n">
        <x:v>40087</x:v>
      </x:c>
      <x:c r="D28" s="19" t="n">
        <x:v>40116</x:v>
      </x:c>
      <x:c r="E28" s="34" t="str">
        <x:v>grid_20qvjmd3.xlsx</x:v>
      </x:c>
      <x:c r="F28" s="37" t="n">
        <x:v>68.34684133154376</x:v>
      </x:c>
      <x:c r="G28" s="37" t="n">
        <x:v>17.39106593949396</x:v>
      </x:c>
      <x:c r="H28" s="37" t="n">
        <x:v>42.26122647897238</x:v>
      </x:c>
      <x:c r="I28" s="37" t="n">
        <x:v>26.75795290914772</x:v>
      </x:c>
      <x:c r="J28" s="37" t="n">
        <x:v>74.52371711608777</x:v>
      </x:c>
      <x:c r="K28" s="37" t="n">
        <x:v>39.834886898059736</x:v>
      </x:c>
      <x:c r="L28" s="37"/>
      <x:c r="M28" s="37" t="n">
        <x:v>34.39824982055621</x:v>
      </x:c>
      <x:c r="N28" s="37"/>
      <x:c r="O28" s="37" t="n">
        <x:v>35.725870851863505</x:v>
      </x:c>
      <x:c r="P28" s="37"/>
      <x:c r="Q28" s="37" t="n">
        <x:v>58.981290647150686</x:v>
      </x:c>
    </x:row>
    <x:row r="29">
      <x:c r="C29" s="19" t="n">
        <x:v>40118</x:v>
      </x:c>
      <x:c r="D29" s="19" t="n">
        <x:v>40147</x:v>
      </x:c>
      <x:c r="E29" s="34" t="str">
        <x:v>grid_20qvjmd3.xlsx</x:v>
      </x:c>
      <x:c r="F29" s="37" t="n">
        <x:v>71.97750038427716</x:v>
      </x:c>
      <x:c r="G29" s="37" t="n">
        <x:v>19.117476098962218</x:v>
      </x:c>
      <x:c r="H29" s="37" t="n">
        <x:v>43.22571563383695</x:v>
      </x:c>
      <x:c r="I29" s="37" t="n">
        <x:v>29.697682180136397</x:v>
      </x:c>
      <x:c r="J29" s="37" t="n">
        <x:v>78.65496195351423</x:v>
      </x:c>
      <x:c r="K29" s="37" t="n">
        <x:v>41.48810661259872</x:v>
      </x:c>
      <x:c r="L29" s="37"/>
      <x:c r="M29" s="37" t="n">
        <x:v>33.16174431756851</x:v>
      </x:c>
      <x:c r="N29" s="37"/>
      <x:c r="O29" s="37" t="n">
        <x:v>35.42132013630185</x:v>
      </x:c>
      <x:c r="P29" s="37"/>
      <x:c r="Q29" s="37" t="n">
        <x:v>61.31844671891721</x:v>
      </x:c>
    </x:row>
    <x:row r="30">
      <x:c r="C30" s="19" t="n">
        <x:v>40148</x:v>
      </x:c>
      <x:c r="D30" s="19" t="n">
        <x:v>40178</x:v>
      </x:c>
      <x:c r="E30" s="34" t="str">
        <x:v>grid_20qvjmd3.xlsx</x:v>
      </x:c>
      <x:c r="F30" s="37" t="n">
        <x:v>70.80443096114776</x:v>
      </x:c>
      <x:c r="G30" s="37" t="n">
        <x:v>19.286839980187494</x:v>
      </x:c>
      <x:c r="H30" s="37" t="n">
        <x:v>46.88085809363374</x:v>
      </x:c>
      <x:c r="I30" s="37" t="n">
        <x:v>29.30935322140741</x:v>
      </x:c>
      <x:c r="J30" s="37" t="n">
        <x:v>80.84287405019654</x:v>
      </x:c>
      <x:c r="K30" s="37" t="n">
        <x:v>42.37761093316384</x:v>
      </x:c>
      <x:c r="L30" s="37"/>
      <x:c r="M30" s="37" t="n">
        <x:v>32.901588439646154</x:v>
      </x:c>
      <x:c r="N30" s="37"/>
      <x:c r="O30" s="37" t="n">
        <x:v>35.83183888174091</x:v>
      </x:c>
      <x:c r="P30" s="37"/>
      <x:c r="Q30" s="37" t="n">
        <x:v>62.88387002820306</x:v>
      </x:c>
    </x:row>
    <x:row r="31">
      <x:c r="C31" s="19" t="n">
        <x:v>40179</x:v>
      </x:c>
      <x:c r="D31" s="19" t="n">
        <x:v>40207</x:v>
      </x:c>
      <x:c r="E31" s="34" t="str">
        <x:v>grid_20qvjmd3.xlsx</x:v>
      </x:c>
      <x:c r="F31" s="37" t="n">
        <x:v>68.72509909530027</x:v>
      </x:c>
      <x:c r="G31" s="37" t="n">
        <x:v>16.029295300590164</x:v>
      </x:c>
      <x:c r="H31" s="37" t="n">
        <x:v>50.70357213566885</x:v>
      </x:c>
      <x:c r="I31" s="37" t="n">
        <x:v>27.389479752259867</x:v>
      </x:c>
      <x:c r="J31" s="37" t="n">
        <x:v>79.05888196088605</x:v>
      </x:c>
      <x:c r="K31" s="37" t="n">
        <x:v>40.31793371358104</x:v>
      </x:c>
      <x:c r="L31" s="37"/>
      <x:c r="M31" s="37" t="n">
        <x:v>28.692170129357624</x:v>
      </x:c>
      <x:c r="N31" s="37"/>
      <x:c r="O31" s="37" t="n">
        <x:v>41.218663112726404</x:v>
      </x:c>
      <x:c r="P31" s="37"/>
      <x:c r="Q31" s="37" t="n">
        <x:v>65.25073446222332</x:v>
      </x:c>
    </x:row>
    <x:row r="32">
      <x:c r="C32" s="19" t="n">
        <x:v>40210</x:v>
      </x:c>
      <x:c r="D32" s="19" t="n">
        <x:v>40235</x:v>
      </x:c>
      <x:c r="E32" s="34" t="str">
        <x:v>grid_20qvjmd3.xlsx</x:v>
      </x:c>
      <x:c r="F32" s="37" t="n">
        <x:v>68.98381580464718</x:v>
      </x:c>
      <x:c r="G32" s="37" t="n">
        <x:v>16.026642845006197</x:v>
      </x:c>
      <x:c r="H32" s="37" t="n">
        <x:v>52.71184959112273</x:v>
      </x:c>
      <x:c r="I32" s="37" t="n">
        <x:v>28.140017900201002</x:v>
      </x:c>
      <x:c r="J32" s="37" t="n">
        <x:v>77.18439248024904</x:v>
      </x:c>
      <x:c r="K32" s="37" t="n">
        <x:v>42.123953375762106</x:v>
      </x:c>
      <x:c r="L32" s="37"/>
      <x:c r="M32" s="37" t="n">
        <x:v>27.43446434930647</x:v>
      </x:c>
      <x:c r="N32" s="37"/>
      <x:c r="O32" s="37" t="n">
        <x:v>42.140942551025454</x:v>
      </x:c>
      <x:c r="P32" s="37"/>
      <x:c r="Q32" s="37" t="n">
        <x:v>61.3977900492523</x:v>
      </x:c>
    </x:row>
    <x:row r="33">
      <x:c r="C33" s="19" t="n">
        <x:v>40238</x:v>
      </x:c>
      <x:c r="D33" s="19" t="n">
        <x:v>40268</x:v>
      </x:c>
      <x:c r="E33" s="34" t="str">
        <x:v>grid_20qvjmd3.xlsx</x:v>
      </x:c>
      <x:c r="F33" s="37" t="n">
        <x:v>76.65328470414312</x:v>
      </x:c>
      <x:c r="G33" s="37" t="n">
        <x:v>16.199860099695123</x:v>
      </x:c>
      <x:c r="H33" s="37" t="n">
        <x:v>53.38361983372787</x:v>
      </x:c>
      <x:c r="I33" s="37" t="n">
        <x:v>27.005908433683818</x:v>
      </x:c>
      <x:c r="J33" s="37" t="n">
        <x:v>79.07047109822737</x:v>
      </x:c>
      <x:c r="K33" s="37" t="n">
        <x:v>43.201234239717124</x:v>
      </x:c>
      <x:c r="L33" s="37"/>
      <x:c r="M33" s="37" t="n">
        <x:v>26.936039195495542</x:v>
      </x:c>
      <x:c r="N33" s="37"/>
      <x:c r="O33" s="37" t="n">
        <x:v>52.80065886175523</x:v>
      </x:c>
      <x:c r="P33" s="37"/>
      <x:c r="Q33" s="37" t="n">
        <x:v>68.32132735806515</x:v>
      </x:c>
    </x:row>
    <x:row r="34">
      <x:c r="C34" s="19" t="n">
        <x:v>40269</x:v>
      </x:c>
      <x:c r="D34" s="19" t="n">
        <x:v>40298</x:v>
      </x:c>
      <x:c r="E34" s="34" t="str">
        <x:v>grid_20qvjmd3.xlsx</x:v>
      </x:c>
      <x:c r="F34" s="37" t="n">
        <x:v>78.2009178355586</x:v>
      </x:c>
      <x:c r="G34" s="37" t="n">
        <x:v>16.97296080952249</x:v>
      </x:c>
      <x:c r="H34" s="37" t="n">
        <x:v>54.02335903928706</x:v>
      </x:c>
      <x:c r="I34" s="37" t="n">
        <x:v>28.018076464564263</x:v>
      </x:c>
      <x:c r="J34" s="37" t="n">
        <x:v>80.76879350307223</x:v>
      </x:c>
      <x:c r="K34" s="37" t="n">
        <x:v>43.054475655359894</x:v>
      </x:c>
      <x:c r="L34" s="37"/>
      <x:c r="M34" s="37" t="n">
        <x:v>26.62988590820994</x:v>
      </x:c>
      <x:c r="N34" s="37"/>
      <x:c r="O34" s="37" t="n">
        <x:v>55.98794431853445</x:v>
      </x:c>
      <x:c r="P34" s="37"/>
      <x:c r="Q34" s="37" t="n">
        <x:v>65.91979001159422</x:v>
      </x:c>
    </x:row>
    <x:row r="35">
      <x:c r="C35" s="19" t="n">
        <x:v>40299</x:v>
      </x:c>
      <x:c r="D35" s="19" t="n">
        <x:v>40329</x:v>
      </x:c>
      <x:c r="E35" s="34" t="str">
        <x:v>grid_20qvjmd3.xlsx</x:v>
      </x:c>
      <x:c r="F35" s="37" t="n">
        <x:v>73.04908055339754</x:v>
      </x:c>
      <x:c r="G35" s="37" t="n">
        <x:v>16.21331102566538</x:v>
      </x:c>
      <x:c r="H35" s="37" t="n">
        <x:v>56.7512925113916</x:v>
      </x:c>
      <x:c r="I35" s="37" t="n">
        <x:v>28.0748869190276</x:v>
      </x:c>
      <x:c r="J35" s="37" t="n">
        <x:v>73.8574695827949</x:v>
      </x:c>
      <x:c r="K35" s="37" t="n">
        <x:v>37.88340565685081</x:v>
      </x:c>
      <x:c r="L35" s="37"/>
      <x:c r="M35" s="37" t="n">
        <x:v>24.28295487880895</x:v>
      </x:c>
      <x:c r="N35" s="37"/>
      <x:c r="O35" s="37" t="n">
        <x:v>62.67270446006984</x:v>
      </x:c>
      <x:c r="P35" s="37"/>
      <x:c r="Q35" s="37" t="n">
        <x:v>66.89173498408765</x:v>
      </x:c>
    </x:row>
    <x:row r="36">
      <x:c r="C36" s="19" t="n">
        <x:v>40330</x:v>
      </x:c>
      <x:c r="D36" s="19" t="n">
        <x:v>40359</x:v>
      </x:c>
      <x:c r="E36" s="34" t="str">
        <x:v>grid_20qvjmd3.xlsx</x:v>
      </x:c>
      <x:c r="F36" s="37" t="n">
        <x:v>70.91859973368419</x:v>
      </x:c>
      <x:c r="G36" s="37" t="n">
        <x:v>18.606670535467526</x:v>
      </x:c>
      <x:c r="H36" s="37" t="n">
        <x:v>59.35033531349352</x:v>
      </x:c>
      <x:c r="I36" s="37" t="n">
        <x:v>28.51763686218754</x:v>
      </x:c>
      <x:c r="J36" s="37" t="n">
        <x:v>73.4522984965967</x:v>
      </x:c>
      <x:c r="K36" s="37" t="n">
        <x:v>37.97171484052457</x:v>
      </x:c>
      <x:c r="L36" s="37"/>
      <x:c r="M36" s="37" t="n">
        <x:v>25.262575711133838</x:v>
      </x:c>
      <x:c r="N36" s="37"/>
      <x:c r="O36" s="37" t="n">
        <x:v>63.75802930775446</x:v>
      </x:c>
      <x:c r="P36" s="37"/>
      <x:c r="Q36" s="37" t="n">
        <x:v>64.59345349414968</x:v>
      </x:c>
    </x:row>
    <x:row r="37">
      <x:c r="C37" s="19" t="n">
        <x:v>40360</x:v>
      </x:c>
      <x:c r="D37" s="19" t="n">
        <x:v>40389</x:v>
      </x:c>
      <x:c r="E37" s="34" t="str">
        <x:v>grid_20qvjmd3.xlsx</x:v>
      </x:c>
      <x:c r="F37" s="37" t="n">
        <x:v>72.16504041584511</x:v>
      </x:c>
      <x:c r="G37" s="37" t="n">
        <x:v>17.539223001640973</x:v>
      </x:c>
      <x:c r="H37" s="37" t="n">
        <x:v>61.9508819976913</x:v>
      </x:c>
      <x:c r="I37" s="37" t="n">
        <x:v>29.522013672612964</x:v>
      </x:c>
      <x:c r="J37" s="37" t="n">
        <x:v>73.71071676712255</x:v>
      </x:c>
      <x:c r="K37" s="37" t="n">
        <x:v>40.10732923969878</x:v>
      </x:c>
      <x:c r="L37" s="37"/>
      <x:c r="M37" s="37" t="n">
        <x:v>25.05003621776615</x:v>
      </x:c>
      <x:c r="N37" s="37"/>
      <x:c r="O37" s="37" t="n">
        <x:v>68.00705268392873</x:v>
      </x:c>
      <x:c r="P37" s="37"/>
      <x:c r="Q37" s="37" t="n">
        <x:v>66.4733902494831</x:v>
      </x:c>
    </x:row>
    <x:row r="38">
      <x:c r="C38" s="19" t="n">
        <x:v>40391</x:v>
      </x:c>
      <x:c r="D38" s="19" t="n">
        <x:v>40421</x:v>
      </x:c>
      <x:c r="E38" s="34" t="str">
        <x:v>grid_20qvjmd3.xlsx</x:v>
      </x:c>
      <x:c r="F38" s="37" t="n">
        <x:v>74.44993334787473</x:v>
      </x:c>
      <x:c r="G38" s="37" t="n">
        <x:v>18.593232393202968</x:v>
      </x:c>
      <x:c r="H38" s="37" t="n">
        <x:v>65.22492179465354</x:v>
      </x:c>
      <x:c r="I38" s="37" t="n">
        <x:v>30.67456528810831</x:v>
      </x:c>
      <x:c r="J38" s="37" t="n">
        <x:v>70.97869382729803</x:v>
      </x:c>
      <x:c r="K38" s="37" t="n">
        <x:v>40.276121672142274</x:v>
      </x:c>
      <x:c r="L38" s="37"/>
      <x:c r="M38" s="37" t="n">
        <x:v>25.24774675105882</x:v>
      </x:c>
      <x:c r="N38" s="37"/>
      <x:c r="O38" s="37" t="n">
        <x:v>75.09134877798593</x:v>
      </x:c>
      <x:c r="P38" s="37"/>
      <x:c r="Q38" s="37" t="n">
        <x:v>65.90744851322718</x:v>
      </x:c>
    </x:row>
    <x:row r="39">
      <x:c r="C39" s="19" t="n">
        <x:v>40422</x:v>
      </x:c>
      <x:c r="D39" s="19" t="n">
        <x:v>40451</x:v>
      </x:c>
      <x:c r="E39" s="34" t="str">
        <x:v>grid_20qvjmd3.xlsx</x:v>
      </x:c>
      <x:c r="F39" s="37" t="n">
        <x:v>81.0451495840498</x:v>
      </x:c>
      <x:c r="G39" s="37" t="n">
        <x:v>19.068082815261437</x:v>
      </x:c>
      <x:c r="H39" s="37" t="n">
        <x:v>67.20201333777743</x:v>
      </x:c>
      <x:c r="I39" s="37" t="n">
        <x:v>26.841302870888374</x:v>
      </x:c>
      <x:c r="J39" s="37" t="n">
        <x:v>69.73092111200201</x:v>
      </x:c>
      <x:c r="K39" s="37" t="n">
        <x:v>43.32155748992265</x:v>
      </x:c>
      <x:c r="L39" s="37"/>
      <x:c r="M39" s="37" t="n">
        <x:v>28.12723739296594</x:v>
      </x:c>
      <x:c r="N39" s="37"/>
      <x:c r="O39" s="37" t="n">
        <x:v>79.81108313354137</x:v>
      </x:c>
      <x:c r="P39" s="37"/>
      <x:c r="Q39" s="37" t="n">
        <x:v>67.48022971064869</x:v>
      </x:c>
    </x:row>
    <x:row r="40">
      <x:c r="C40" s="19" t="n">
        <x:v>40452</x:v>
      </x:c>
      <x:c r="D40" s="19" t="n">
        <x:v>40480</x:v>
      </x:c>
      <x:c r="E40" s="34" t="str">
        <x:v>grid_20qvjmd3.xlsx</x:v>
      </x:c>
      <x:c r="F40" s="37" t="n">
        <x:v>82.35794703659795</x:v>
      </x:c>
      <x:c r="G40" s="37" t="n">
        <x:v>23.412118433370217</x:v>
      </x:c>
      <x:c r="H40" s="37" t="n">
        <x:v>70.14910548466393</x:v>
      </x:c>
      <x:c r="I40" s="37" t="n">
        <x:v>29.156319108858586</x:v>
      </x:c>
      <x:c r="J40" s="37" t="n">
        <x:v>70.5618094725593</x:v>
      </x:c>
      <x:c r="K40" s="37" t="n">
        <x:v>44.29908535846616</x:v>
      </x:c>
      <x:c r="L40" s="37"/>
      <x:c r="M40" s="37" t="n">
        <x:v>29.644950290450662</x:v>
      </x:c>
      <x:c r="N40" s="37"/>
      <x:c r="O40" s="37" t="n">
        <x:v>82.89126910425715</x:v>
      </x:c>
      <x:c r="P40" s="37"/>
      <x:c r="Q40" s="37" t="n">
        <x:v>68.86199509956586</x:v>
      </x:c>
    </x:row>
    <x:row r="41">
      <x:c r="C41" s="19" t="n">
        <x:v>40483</x:v>
      </x:c>
      <x:c r="D41" s="19" t="n">
        <x:v>40512</x:v>
      </x:c>
      <x:c r="E41" s="34" t="str">
        <x:v>grid_20qvjmd3.xlsx</x:v>
      </x:c>
      <x:c r="F41" s="37" t="n">
        <x:v>85.39163773283157</x:v>
      </x:c>
      <x:c r="G41" s="37" t="n">
        <x:v>24.623973886220753</x:v>
      </x:c>
      <x:c r="H41" s="37" t="n">
        <x:v>72.49245971003693</x:v>
      </x:c>
      <x:c r="I41" s="37" t="n">
        <x:v>30.251269585887446</x:v>
      </x:c>
      <x:c r="J41" s="37" t="n">
        <x:v>72.43465867536266</x:v>
      </x:c>
      <x:c r="K41" s="37" t="n">
        <x:v>45.20749811044744</x:v>
      </x:c>
      <x:c r="L41" s="37"/>
      <x:c r="M41" s="37" t="n">
        <x:v>31.087280647184667</x:v>
      </x:c>
      <x:c r="N41" s="37"/>
      <x:c r="O41" s="37" t="n">
        <x:v>87.79469427274603</x:v>
      </x:c>
      <x:c r="P41" s="37"/>
      <x:c r="Q41" s="37" t="n">
        <x:v>68.57346525457369</x:v>
      </x:c>
    </x:row>
    <x:row r="42">
      <x:c r="C42" s="19" t="n">
        <x:v>40513</x:v>
      </x:c>
      <x:c r="D42" s="19" t="n">
        <x:v>40543</x:v>
      </x:c>
      <x:c r="E42" s="34" t="str">
        <x:v>grid_20qvjmd3.xlsx</x:v>
      </x:c>
      <x:c r="F42" s="37" t="n">
        <x:v>89.50420694309157</x:v>
      </x:c>
      <x:c r="G42" s="37" t="n">
        <x:v>25.364088404374343</x:v>
      </x:c>
      <x:c r="H42" s="37" t="n">
        <x:v>74.95779086425645</x:v>
      </x:c>
      <x:c r="I42" s="37" t="n">
        <x:v>31.513815912170333</x:v>
      </x:c>
      <x:c r="J42" s="37" t="n">
        <x:v>76.60745358935073</x:v>
      </x:c>
      <x:c r="K42" s="37" t="n">
        <x:v>45.94537247607687</x:v>
      </x:c>
      <x:c r="L42" s="37"/>
      <x:c r="M42" s="37" t="n">
        <x:v>35.4644296925694</x:v>
      </x:c>
      <x:c r="N42" s="37"/>
      <x:c r="O42" s="37" t="n">
        <x:v>88.68522333789613</x:v>
      </x:c>
      <x:c r="P42" s="37"/>
      <x:c r="Q42" s="37" t="n">
        <x:v>63.60575304797518</x:v>
      </x:c>
    </x:row>
    <x:row r="43">
      <x:c r="C43" s="19" t="n">
        <x:v>40544</x:v>
      </x:c>
      <x:c r="D43" s="19" t="n">
        <x:v>40574</x:v>
      </x:c>
      <x:c r="E43" s="34" t="str">
        <x:v>grid_u4lflnxf.xlsx</x:v>
      </x:c>
      <x:c r="F43" s="37" t="n">
        <x:v>93.622474823225</x:v>
      </x:c>
      <x:c r="G43" s="37" t="n">
        <x:v>26.411578991914457</x:v>
      </x:c>
      <x:c r="H43" s="37" t="n">
        <x:v>76.56278338087425</x:v>
      </x:c>
      <x:c r="I43" s="37" t="n">
        <x:v>28.644926981978386</x:v>
      </x:c>
      <x:c r="J43" s="37" t="n">
        <x:v>74.87206101814658</x:v>
      </x:c>
      <x:c r="K43" s="37" t="n">
        <x:v>47.66856207139196</x:v>
      </x:c>
      <x:c r="L43" s="37" t="n">
        <x:v>65.79809670280162</x:v>
      </x:c>
      <x:c r="M43" s="37" t="n">
        <x:v>35.84193178623903</x:v>
      </x:c>
      <x:c r="N43" s="37"/>
      <x:c r="O43" s="37" t="n">
        <x:v>90.46033252384574</x:v>
      </x:c>
      <x:c r="P43" s="37"/>
      <x:c r="Q43" s="37" t="n">
        <x:v>64.75280637665233</x:v>
      </x:c>
    </x:row>
    <x:row r="44">
      <x:c r="C44" s="19" t="n">
        <x:v>40575</x:v>
      </x:c>
      <x:c r="D44" s="19" t="n">
        <x:v>40602</x:v>
      </x:c>
      <x:c r="E44" s="34" t="str">
        <x:v>grid_u4lflnxf.xlsx</x:v>
      </x:c>
      <x:c r="F44" s="37" t="n">
        <x:v>95.42530018945182</x:v>
      </x:c>
      <x:c r="G44" s="37" t="n">
        <x:v>26.756669097271956</x:v>
      </x:c>
      <x:c r="H44" s="37" t="n">
        <x:v>77.63348685828292</x:v>
      </x:c>
      <x:c r="I44" s="37" t="n">
        <x:v>28.86227113007508</x:v>
      </x:c>
      <x:c r="J44" s="37" t="n">
        <x:v>73.39375258602365</x:v>
      </x:c>
      <x:c r="K44" s="37" t="n">
        <x:v>48.84500169653052</x:v>
      </x:c>
      <x:c r="L44" s="37" t="n">
        <x:v>65.78039971889963</x:v>
      </x:c>
      <x:c r="M44" s="37" t="n">
        <x:v>35.889022275311156</x:v>
      </x:c>
      <x:c r="N44" s="37"/>
      <x:c r="O44" s="37" t="n">
        <x:v>92.78206710073856</x:v>
      </x:c>
      <x:c r="P44" s="37"/>
      <x:c r="Q44" s="37" t="n">
        <x:v>69.38813861073078</x:v>
      </x:c>
    </x:row>
    <x:row r="45">
      <x:c r="C45" s="19" t="n">
        <x:v>40603</x:v>
      </x:c>
      <x:c r="D45" s="19" t="n">
        <x:v>40633</x:v>
      </x:c>
      <x:c r="E45" s="34" t="str">
        <x:v>grid_u4lflnxf.xlsx</x:v>
      </x:c>
      <x:c r="F45" s="37" t="n">
        <x:v>93.87492585304071</x:v>
      </x:c>
      <x:c r="G45" s="37" t="n">
        <x:v>27.756929231343076</x:v>
      </x:c>
      <x:c r="H45" s="37" t="n">
        <x:v>76.77438341541573</x:v>
      </x:c>
      <x:c r="I45" s="37" t="n">
        <x:v>29.71050859725633</x:v>
      </x:c>
      <x:c r="J45" s="37" t="n">
        <x:v>74.12585444443309</x:v>
      </x:c>
      <x:c r="K45" s="37" t="n">
        <x:v>48.97387046716648</x:v>
      </x:c>
      <x:c r="L45" s="37" t="n">
        <x:v>65.22799872976903</x:v>
      </x:c>
      <x:c r="M45" s="37" t="n">
        <x:v>36.41181464453983</x:v>
      </x:c>
      <x:c r="N45" s="37"/>
      <x:c r="O45" s="37" t="n">
        <x:v>90.94334583487006</x:v>
      </x:c>
      <x:c r="P45" s="37"/>
      <x:c r="Q45" s="37" t="n">
        <x:v>67.364393648597</x:v>
      </x:c>
    </x:row>
    <x:row r="46">
      <x:c r="C46" s="19" t="n">
        <x:v>40634</x:v>
      </x:c>
      <x:c r="D46" s="19" t="n">
        <x:v>40662</x:v>
      </x:c>
      <x:c r="E46" s="34" t="str">
        <x:v>grid_u4lflnxf.xlsx</x:v>
      </x:c>
      <x:c r="F46" s="37" t="n">
        <x:v>93.60278297206813</x:v>
      </x:c>
      <x:c r="G46" s="37" t="n">
        <x:v>28.98818906892217</x:v>
      </x:c>
      <x:c r="H46" s="37" t="n">
        <x:v>72.54068471003586</x:v>
      </x:c>
      <x:c r="I46" s="37" t="n">
        <x:v>30.879799447942784</x:v>
      </x:c>
      <x:c r="J46" s="37" t="n">
        <x:v>75.43647119440867</x:v>
      </x:c>
      <x:c r="K46" s="37" t="n">
        <x:v>48.38345562750071</x:v>
      </x:c>
      <x:c r="L46" s="37" t="n">
        <x:v>66.63635870735416</x:v>
      </x:c>
      <x:c r="M46" s="37" t="n">
        <x:v>38.86874412617038</x:v>
      </x:c>
      <x:c r="N46" s="37"/>
      <x:c r="O46" s="37" t="n">
        <x:v>96.20903008055065</x:v>
      </x:c>
      <x:c r="P46" s="37"/>
      <x:c r="Q46" s="37" t="n">
        <x:v>66.00796566259287</x:v>
      </x:c>
    </x:row>
    <x:row r="47">
      <x:c r="C47" s="19" t="n">
        <x:v>40664</x:v>
      </x:c>
      <x:c r="D47" s="19" t="n">
        <x:v>40694</x:v>
      </x:c>
      <x:c r="E47" s="34" t="str">
        <x:v>grid_u4lflnxf.xlsx</x:v>
      </x:c>
      <x:c r="F47" s="37" t="n">
        <x:v>88.79510927103283</x:v>
      </x:c>
      <x:c r="G47" s="37" t="n">
        <x:v>30.946328319484717</x:v>
      </x:c>
      <x:c r="H47" s="37" t="n">
        <x:v>74.32862726360308</x:v>
      </x:c>
      <x:c r="I47" s="37" t="n">
        <x:v>35.71382605336099</x:v>
      </x:c>
      <x:c r="J47" s="37" t="n">
        <x:v>73.02309729747888</x:v>
      </x:c>
      <x:c r="K47" s="37" t="n">
        <x:v>44.653988735116236</x:v>
      </x:c>
      <x:c r="L47" s="37" t="n">
        <x:v>65.60745752913384</x:v>
      </x:c>
      <x:c r="M47" s="37" t="n">
        <x:v>37.667794795973094</x:v>
      </x:c>
      <x:c r="N47" s="37"/>
      <x:c r="O47" s="37" t="n">
        <x:v>93.00900733311954</x:v>
      </x:c>
      <x:c r="P47" s="37"/>
      <x:c r="Q47" s="37" t="n">
        <x:v>63.97974783223713</x:v>
      </x:c>
    </x:row>
    <x:row r="48">
      <x:c r="C48" s="19" t="n">
        <x:v>40695</x:v>
      </x:c>
      <x:c r="D48" s="19" t="n">
        <x:v>40724</x:v>
      </x:c>
      <x:c r="E48" s="34" t="str">
        <x:v>grid_u4lflnxf.xlsx</x:v>
      </x:c>
      <x:c r="F48" s="37" t="n">
        <x:v>95.37572666649791</x:v>
      </x:c>
      <x:c r="G48" s="37" t="n">
        <x:v>56.029803710757584</x:v>
      </x:c>
      <x:c r="H48" s="37" t="n">
        <x:v>74.08083825042976</x:v>
      </x:c>
      <x:c r="I48" s="37" t="n">
        <x:v>36.8096890402661</x:v>
      </x:c>
      <x:c r="J48" s="37" t="n">
        <x:v>77.53589230897572</x:v>
      </x:c>
      <x:c r="K48" s="37" t="n">
        <x:v>52.08804021731576</x:v>
      </x:c>
      <x:c r="L48" s="37" t="n">
        <x:v>62.33057844614699</x:v>
      </x:c>
      <x:c r="M48" s="37" t="n">
        <x:v>37.24650311671554</x:v>
      </x:c>
      <x:c r="N48" s="37"/>
      <x:c r="O48" s="37" t="n">
        <x:v>96.86372866605622</x:v>
      </x:c>
      <x:c r="P48" s="37"/>
      <x:c r="Q48" s="37" t="n">
        <x:v>65.54852829012171</x:v>
      </x:c>
    </x:row>
    <x:row r="49">
      <x:c r="C49" s="19" t="n">
        <x:v>40725</x:v>
      </x:c>
      <x:c r="D49" s="19" t="n">
        <x:v>40753</x:v>
      </x:c>
      <x:c r="E49" s="34" t="str">
        <x:v>grid_u4lflnxf.xlsx</x:v>
      </x:c>
      <x:c r="F49" s="37" t="n">
        <x:v>100.05162176107278</x:v>
      </x:c>
      <x:c r="G49" s="37" t="n">
        <x:v>68.68181463704228</x:v>
      </x:c>
      <x:c r="H49" s="37" t="n">
        <x:v>74.01185274109095</x:v>
      </x:c>
      <x:c r="I49" s="37" t="n">
        <x:v>36.51254598306991</x:v>
      </x:c>
      <x:c r="J49" s="37" t="n">
        <x:v>81.59881899801822</x:v>
      </x:c>
      <x:c r="K49" s="37" t="n">
        <x:v>51.33810643486755</x:v>
      </x:c>
      <x:c r="L49" s="37" t="n">
        <x:v>64.75577920281684</x:v>
      </x:c>
      <x:c r="M49" s="37" t="n">
        <x:v>35.7504552522517</x:v>
      </x:c>
      <x:c r="N49" s="37"/>
      <x:c r="O49" s="37" t="n">
        <x:v>101.73935331853745</x:v>
      </x:c>
      <x:c r="P49" s="37"/>
      <x:c r="Q49" s="37" t="n">
        <x:v>64.26650463245964</x:v>
      </x:c>
    </x:row>
    <x:row r="50">
      <x:c r="C50" s="19" t="n">
        <x:v>40756</x:v>
      </x:c>
      <x:c r="D50" s="19" t="n">
        <x:v>40786</x:v>
      </x:c>
      <x:c r="E50" s="34" t="str">
        <x:v>grid_u4lflnxf.xlsx</x:v>
      </x:c>
      <x:c r="F50" s="37" t="n">
        <x:v>95.7762546813522</x:v>
      </x:c>
      <x:c r="G50" s="37" t="n">
        <x:v>70.2008593711551</x:v>
      </x:c>
      <x:c r="H50" s="37" t="n">
        <x:v>72.31433466343402</x:v>
      </x:c>
      <x:c r="I50" s="37" t="n">
        <x:v>42.500766976675166</x:v>
      </x:c>
      <x:c r="J50" s="37" t="n">
        <x:v>84.59019218178018</x:v>
      </x:c>
      <x:c r="K50" s="37" t="n">
        <x:v>50.028010377068895</x:v>
      </x:c>
      <x:c r="L50" s="37" t="n">
        <x:v>52.01532401737667</x:v>
      </x:c>
      <x:c r="M50" s="37" t="n">
        <x:v>35.54682261895153</x:v>
      </x:c>
      <x:c r="N50" s="37"/>
      <x:c r="O50" s="37" t="n">
        <x:v>96.61888817234464</x:v>
      </x:c>
      <x:c r="P50" s="37"/>
      <x:c r="Q50" s="37" t="n">
        <x:v>66.02064755599021</x:v>
      </x:c>
    </x:row>
    <x:row r="51">
      <x:c r="C51" s="19" t="n">
        <x:v>40787</x:v>
      </x:c>
      <x:c r="D51" s="19" t="n">
        <x:v>40816</x:v>
      </x:c>
      <x:c r="E51" s="34" t="str">
        <x:v>grid_u4lflnxf.xlsx</x:v>
      </x:c>
      <x:c r="F51" s="37" t="n">
        <x:v>94.91316752937267</x:v>
      </x:c>
      <x:c r="G51" s="37" t="n">
        <x:v>69.13501488979922</x:v>
      </x:c>
      <x:c r="H51" s="37" t="n">
        <x:v>71.71534634622981</x:v>
      </x:c>
      <x:c r="I51" s="37" t="n">
        <x:v>44.05068159111592</x:v>
      </x:c>
      <x:c r="J51" s="37" t="n">
        <x:v>77.79177258787615</x:v>
      </x:c>
      <x:c r="K51" s="37" t="n">
        <x:v>52.49862026476614</x:v>
      </x:c>
      <x:c r="L51" s="37" t="n">
        <x:v>47.8468989357501</x:v>
      </x:c>
      <x:c r="M51" s="37" t="n">
        <x:v>34.144239043952105</x:v>
      </x:c>
      <x:c r="N51" s="37"/>
      <x:c r="O51" s="37" t="n">
        <x:v>91.56279004643089</x:v>
      </x:c>
      <x:c r="P51" s="37" t="n">
        <x:v>76.55981763237901</x:v>
      </x:c>
      <x:c r="Q51" s="37" t="n">
        <x:v>67.76541159555734</x:v>
      </x:c>
    </x:row>
    <x:row r="52">
      <x:c r="C52" s="19" t="n">
        <x:v>40817</x:v>
      </x:c>
      <x:c r="D52" s="19" t="n">
        <x:v>40847</x:v>
      </x:c>
      <x:c r="E52" s="34" t="str">
        <x:v>grid_u4lflnxf.xlsx</x:v>
      </x:c>
      <x:c r="F52" s="37" t="n">
        <x:v>91.55892187554547</x:v>
      </x:c>
      <x:c r="G52" s="37" t="n">
        <x:v>69.79896275818109</x:v>
      </x:c>
      <x:c r="H52" s="37" t="n">
        <x:v>70.758934386302</x:v>
      </x:c>
      <x:c r="I52" s="37" t="n">
        <x:v>42.506903723397244</x:v>
      </x:c>
      <x:c r="J52" s="37" t="n">
        <x:v>73.17998902309483</x:v>
      </x:c>
      <x:c r="K52" s="37" t="n">
        <x:v>52.004760497978594</x:v>
      </x:c>
      <x:c r="L52" s="37" t="n">
        <x:v>45.508107856567065</x:v>
      </x:c>
      <x:c r="M52" s="37" t="n">
        <x:v>33.74707643735976</x:v>
      </x:c>
      <x:c r="N52" s="37"/>
      <x:c r="O52" s="37" t="n">
        <x:v>88.92205664937757</x:v>
      </x:c>
      <x:c r="P52" s="37" t="n">
        <x:v>79.12180727320556</x:v>
      </x:c>
      <x:c r="Q52" s="37" t="n">
        <x:v>66.52376838114364</x:v>
      </x:c>
    </x:row>
    <x:row r="53">
      <x:c r="C53" s="19" t="n">
        <x:v>40848</x:v>
      </x:c>
      <x:c r="D53" s="19" t="n">
        <x:v>40877</x:v>
      </x:c>
      <x:c r="E53" s="34" t="str">
        <x:v>grid_u4lflnxf.xlsx</x:v>
      </x:c>
      <x:c r="F53" s="37" t="n">
        <x:v>93.17168153158242</x:v>
      </x:c>
      <x:c r="G53" s="37" t="n">
        <x:v>72.43087887203073</x:v>
      </x:c>
      <x:c r="H53" s="37" t="n">
        <x:v>72.10239278158258</x:v>
      </x:c>
      <x:c r="I53" s="37" t="n">
        <x:v>42.659452607841786</x:v>
      </x:c>
      <x:c r="J53" s="37" t="n">
        <x:v>76.07585031324618</x:v>
      </x:c>
      <x:c r="K53" s="37" t="n">
        <x:v>52.20215858968452</x:v>
      </x:c>
      <x:c r="L53" s="37" t="n">
        <x:v>34.700702561728114</x:v>
      </x:c>
      <x:c r="M53" s="37" t="n">
        <x:v>36.014483189536314</x:v>
      </x:c>
      <x:c r="N53" s="37"/>
      <x:c r="O53" s="37" t="n">
        <x:v>88.7643565742861</x:v>
      </x:c>
      <x:c r="P53" s="37" t="n">
        <x:v>80.69465549749692</x:v>
      </x:c>
      <x:c r="Q53" s="37" t="n">
        <x:v>64.76836370883827</x:v>
      </x:c>
    </x:row>
    <x:row r="54">
      <x:c r="C54" s="19" t="n">
        <x:v>40878</x:v>
      </x:c>
      <x:c r="D54" s="19" t="n">
        <x:v>40907</x:v>
      </x:c>
      <x:c r="E54" s="34" t="str">
        <x:v>grid_u4lflnxf.xlsx</x:v>
      </x:c>
      <x:c r="F54" s="37" t="n">
        <x:v>89.89050539408605</x:v>
      </x:c>
      <x:c r="G54" s="37" t="n">
        <x:v>73.10498100994253</x:v>
      </x:c>
      <x:c r="H54" s="37" t="n">
        <x:v>77.68375588030196</x:v>
      </x:c>
      <x:c r="I54" s="37" t="n">
        <x:v>45.05646684778991</x:v>
      </x:c>
      <x:c r="J54" s="37" t="n">
        <x:v>73.97578210439441</x:v>
      </x:c>
      <x:c r="K54" s="37" t="n">
        <x:v>52.8191464257773</x:v>
      </x:c>
      <x:c r="L54" s="37" t="n">
        <x:v>34.85309252714895</x:v>
      </x:c>
      <x:c r="M54" s="37" t="n">
        <x:v>38.87721921764813</x:v>
      </x:c>
      <x:c r="N54" s="37"/>
      <x:c r="O54" s="37" t="n">
        <x:v>84.35218158846321</x:v>
      </x:c>
      <x:c r="P54" s="37" t="n">
        <x:v>80.7534129300274</x:v>
      </x:c>
      <x:c r="Q54" s="37" t="n">
        <x:v>64.86473245553776</x:v>
      </x:c>
    </x:row>
    <x:row r="55">
      <x:c r="C55" s="19" t="n">
        <x:v>40909</x:v>
      </x:c>
      <x:c r="D55" s="19" t="n">
        <x:v>40939</x:v>
      </x:c>
      <x:c r="E55" s="34" t="str">
        <x:v>grid_u4lflnxf.xlsx</x:v>
      </x:c>
      <x:c r="F55" s="37" t="n">
        <x:v>84.7361013934513</x:v>
      </x:c>
      <x:c r="G55" s="37" t="n">
        <x:v>68.20091024120991</x:v>
      </x:c>
      <x:c r="H55" s="37" t="n">
        <x:v>68.90555612059319</x:v>
      </x:c>
      <x:c r="I55" s="37" t="n">
        <x:v>47.299729470297166</x:v>
      </x:c>
      <x:c r="J55" s="37" t="n">
        <x:v>73.1466253123277</x:v>
      </x:c>
      <x:c r="K55" s="37" t="n">
        <x:v>53.155130287232254</x:v>
      </x:c>
      <x:c r="L55" s="37" t="n">
        <x:v>36.77568760043851</x:v>
      </x:c>
      <x:c r="M55" s="37" t="n">
        <x:v>37.35908482010041</x:v>
      </x:c>
      <x:c r="N55" s="37"/>
      <x:c r="O55" s="37" t="n">
        <x:v>82.5970940505032</x:v>
      </x:c>
      <x:c r="P55" s="37" t="n">
        <x:v>80.91026941264846</x:v>
      </x:c>
      <x:c r="Q55" s="37" t="n">
        <x:v>65.92721453791009</x:v>
      </x:c>
    </x:row>
    <x:row r="56">
      <x:c r="C56" s="19" t="n">
        <x:v>40940</x:v>
      </x:c>
      <x:c r="D56" s="19" t="n">
        <x:v>40968</x:v>
      </x:c>
      <x:c r="E56" s="34" t="str">
        <x:v>grid_u4lflnxf.xlsx</x:v>
      </x:c>
      <x:c r="F56" s="37" t="n">
        <x:v>75.95087452124766</x:v>
      </x:c>
      <x:c r="G56" s="37" t="n">
        <x:v>67.74176179034919</x:v>
      </x:c>
      <x:c r="H56" s="37" t="n">
        <x:v>66.12233617820678</x:v>
      </x:c>
      <x:c r="I56" s="37" t="n">
        <x:v>46.45027891609814</x:v>
      </x:c>
      <x:c r="J56" s="37" t="n">
        <x:v>68.01613587905311</x:v>
      </x:c>
      <x:c r="K56" s="37" t="n">
        <x:v>52.86636688693701</x:v>
      </x:c>
      <x:c r="L56" s="37" t="n">
        <x:v>37.8560394646098</x:v>
      </x:c>
      <x:c r="M56" s="37" t="n">
        <x:v>37.720661500686596</x:v>
      </x:c>
      <x:c r="N56" s="37"/>
      <x:c r="O56" s="37" t="n">
        <x:v>72.05837209838492</x:v>
      </x:c>
      <x:c r="P56" s="37" t="n">
        <x:v>82.31626524401909</x:v>
      </x:c>
      <x:c r="Q56" s="37" t="n">
        <x:v>67.11756720652576</x:v>
      </x:c>
    </x:row>
    <x:row r="57">
      <x:c r="C57" s="19" t="n">
        <x:v>40969</x:v>
      </x:c>
      <x:c r="D57" s="19" t="n">
        <x:v>40998</x:v>
      </x:c>
      <x:c r="E57" s="34" t="str">
        <x:v>grid_u4lflnxf.xlsx</x:v>
      </x:c>
      <x:c r="F57" s="37" t="n">
        <x:v>75.00193998290734</x:v>
      </x:c>
      <x:c r="G57" s="37" t="n">
        <x:v>68.7235310253382</x:v>
      </x:c>
      <x:c r="H57" s="37" t="n">
        <x:v>66.08024959947056</x:v>
      </x:c>
      <x:c r="I57" s="37" t="n">
        <x:v>49.45018114352613</x:v>
      </x:c>
      <x:c r="J57" s="37" t="n">
        <x:v>69.38731269480533</x:v>
      </x:c>
      <x:c r="K57" s="37" t="n">
        <x:v>53.285219538635</x:v>
      </x:c>
      <x:c r="L57" s="37" t="n">
        <x:v>38.15272226182087</x:v>
      </x:c>
      <x:c r="M57" s="37" t="n">
        <x:v>41.11776335842038</x:v>
      </x:c>
      <x:c r="N57" s="37"/>
      <x:c r="O57" s="37" t="n">
        <x:v>70.30453662364962</x:v>
      </x:c>
      <x:c r="P57" s="37" t="n">
        <x:v>84.4934280603833</x:v>
      </x:c>
      <x:c r="Q57" s="37" t="n">
        <x:v>66.46744071300351</x:v>
      </x:c>
    </x:row>
    <x:row r="58">
      <x:c r="C58" s="19" t="n">
        <x:v>41000</x:v>
      </x:c>
      <x:c r="D58" s="19" t="n">
        <x:v>41029</x:v>
      </x:c>
      <x:c r="E58" s="34" t="str">
        <x:v>grid_u4lflnxf.xlsx</x:v>
      </x:c>
      <x:c r="F58" s="37" t="n">
        <x:v>74.81905264248782</x:v>
      </x:c>
      <x:c r="G58" s="37" t="n">
        <x:v>51.372384789087135</x:v>
      </x:c>
      <x:c r="H58" s="37" t="n">
        <x:v>63.7472093429734</x:v>
      </x:c>
      <x:c r="I58" s="37" t="n">
        <x:v>50.20890144083218</x:v>
      </x:c>
      <x:c r="J58" s="37" t="n">
        <x:v>68.49244860788868</x:v>
      </x:c>
      <x:c r="K58" s="37" t="n">
        <x:v>51.20779893463262</x:v>
      </x:c>
      <x:c r="L58" s="37" t="n">
        <x:v>39.32926063190685</x:v>
      </x:c>
      <x:c r="M58" s="37" t="n">
        <x:v>43.78974754885985</x:v>
      </x:c>
      <x:c r="N58" s="37"/>
      <x:c r="O58" s="37" t="n">
        <x:v>71.38435529117308</x:v>
      </x:c>
      <x:c r="P58" s="37" t="n">
        <x:v>83.08510028004157</x:v>
      </x:c>
      <x:c r="Q58" s="37" t="n">
        <x:v>70.42861506843643</x:v>
      </x:c>
    </x:row>
    <x:row r="59">
      <x:c r="C59" s="19" t="n">
        <x:v>41030</x:v>
      </x:c>
      <x:c r="D59" s="19" t="n">
        <x:v>41060</x:v>
      </x:c>
      <x:c r="E59" s="34" t="str">
        <x:v>grid_u4lflnxf.xlsx</x:v>
      </x:c>
      <x:c r="F59" s="37" t="n">
        <x:v>79.63429469241265</x:v>
      </x:c>
      <x:c r="G59" s="37" t="n">
        <x:v>52.65542634679756</x:v>
      </x:c>
      <x:c r="H59" s="37" t="n">
        <x:v>60.983222855133626</x:v>
      </x:c>
      <x:c r="I59" s="37" t="n">
        <x:v>51.94327149541493</x:v>
      </x:c>
      <x:c r="J59" s="37" t="n">
        <x:v>71.77656633331196</x:v>
      </x:c>
      <x:c r="K59" s="37" t="n">
        <x:v>53.74769259587485</x:v>
      </x:c>
      <x:c r="L59" s="37" t="n">
        <x:v>36.117459065506964</x:v>
      </x:c>
      <x:c r="M59" s="37" t="n">
        <x:v>45.367820624222766</x:v>
      </x:c>
      <x:c r="N59" s="37"/>
      <x:c r="O59" s="37" t="n">
        <x:v>77.73330968090077</x:v>
      </x:c>
      <x:c r="P59" s="37" t="n">
        <x:v>84.58004673972896</x:v>
      </x:c>
      <x:c r="Q59" s="37" t="n">
        <x:v>71.1104348333107</x:v>
      </x:c>
    </x:row>
    <x:row r="60">
      <x:c r="C60" s="19" t="n">
        <x:v>41061</x:v>
      </x:c>
      <x:c r="D60" s="19" t="n">
        <x:v>41089</x:v>
      </x:c>
      <x:c r="E60" s="34" t="str">
        <x:v>grid_u4lflnxf.xlsx</x:v>
      </x:c>
      <x:c r="F60" s="37" t="n">
        <x:v>80.04198270007693</x:v>
      </x:c>
      <x:c r="G60" s="37" t="n">
        <x:v>51.436600567786506</x:v>
      </x:c>
      <x:c r="H60" s="37" t="n">
        <x:v>57.015868403057</x:v>
      </x:c>
      <x:c r="I60" s="37" t="n">
        <x:v>51.08976871757972</x:v>
      </x:c>
      <x:c r="J60" s="37" t="n">
        <x:v>78.12596412464778</x:v>
      </x:c>
      <x:c r="K60" s="37" t="n">
        <x:v>52.46208518691684</x:v>
      </x:c>
      <x:c r="L60" s="37" t="n">
        <x:v>36.11898242501181</x:v>
      </x:c>
      <x:c r="M60" s="37" t="n">
        <x:v>45.89053154754896</x:v>
      </x:c>
      <x:c r="N60" s="37"/>
      <x:c r="O60" s="37" t="n">
        <x:v>81.11744080804817</x:v>
      </x:c>
      <x:c r="P60" s="37" t="n">
        <x:v>86.85961490450265</x:v>
      </x:c>
      <x:c r="Q60" s="37" t="n">
        <x:v>71.177600876684</x:v>
      </x:c>
    </x:row>
    <x:row r="61">
      <x:c r="C61" s="19" t="n">
        <x:v>41091</x:v>
      </x:c>
      <x:c r="D61" s="19" t="n">
        <x:v>41121</x:v>
      </x:c>
      <x:c r="E61" s="34" t="str">
        <x:v>grid_u4lflnxf.xlsx</x:v>
      </x:c>
      <x:c r="F61" s="37" t="n">
        <x:v>75.53783395034598</x:v>
      </x:c>
      <x:c r="G61" s="37" t="n">
        <x:v>48.6166514929704</x:v>
      </x:c>
      <x:c r="H61" s="37" t="n">
        <x:v>54.1373827871923</x:v>
      </x:c>
      <x:c r="I61" s="37" t="n">
        <x:v>50.74271645730325</x:v>
      </x:c>
      <x:c r="J61" s="37" t="n">
        <x:v>78.87839653490738</x:v>
      </x:c>
      <x:c r="K61" s="37" t="n">
        <x:v>52.060113290459554</x:v>
      </x:c>
      <x:c r="L61" s="37" t="n">
        <x:v>37.26168606637919</x:v>
      </x:c>
      <x:c r="M61" s="37" t="n">
        <x:v>44.9229901608688</x:v>
      </x:c>
      <x:c r="N61" s="37"/>
      <x:c r="O61" s="37" t="n">
        <x:v>70.44875581510524</x:v>
      </x:c>
      <x:c r="P61" s="37" t="n">
        <x:v>82.32695910067467</x:v>
      </x:c>
      <x:c r="Q61" s="37" t="n">
        <x:v>73.73345925495545</x:v>
      </x:c>
    </x:row>
    <x:row r="62">
      <x:c r="C62" s="19" t="n">
        <x:v>41122</x:v>
      </x:c>
      <x:c r="D62" s="19" t="n">
        <x:v>41152</x:v>
      </x:c>
      <x:c r="E62" s="34" t="str">
        <x:v>grid_u4lflnxf.xlsx</x:v>
      </x:c>
      <x:c r="F62" s="37" t="n">
        <x:v>71.59310152261374</x:v>
      </x:c>
      <x:c r="G62" s="37" t="n">
        <x:v>47.82938953014591</x:v>
      </x:c>
      <x:c r="H62" s="37" t="n">
        <x:v>48.245582467927726</x:v>
      </x:c>
      <x:c r="I62" s="37" t="n">
        <x:v>48.69899534666144</x:v>
      </x:c>
      <x:c r="J62" s="37" t="n">
        <x:v>76.53289297393991</x:v>
      </x:c>
      <x:c r="K62" s="37" t="n">
        <x:v>52.92994420869872</x:v>
      </x:c>
      <x:c r="L62" s="37" t="n">
        <x:v>36.72784648411771</x:v>
      </x:c>
      <x:c r="M62" s="37" t="n">
        <x:v>44.620153096800664</x:v>
      </x:c>
      <x:c r="N62" s="37"/>
      <x:c r="O62" s="37" t="n">
        <x:v>63.24568410793595</x:v>
      </x:c>
      <x:c r="P62" s="37" t="n">
        <x:v>89.11879741949461</x:v>
      </x:c>
      <x:c r="Q62" s="37" t="n">
        <x:v>75.1338242016547</x:v>
      </x:c>
    </x:row>
    <x:row r="63">
      <x:c r="C63" s="19" t="n">
        <x:v>41153</x:v>
      </x:c>
      <x:c r="D63" s="19" t="n">
        <x:v>41180</x:v>
      </x:c>
      <x:c r="E63" s="34" t="str">
        <x:v>grid_u4lflnxf.xlsx</x:v>
      </x:c>
      <x:c r="F63" s="37" t="n">
        <x:v>69.52868073882938</x:v>
      </x:c>
      <x:c r="G63" s="37" t="n">
        <x:v>47.352987515070936</x:v>
      </x:c>
      <x:c r="H63" s="37" t="n">
        <x:v>46.54095558397231</x:v>
      </x:c>
      <x:c r="I63" s="37" t="n">
        <x:v>52.27904580973013</x:v>
      </x:c>
      <x:c r="J63" s="37" t="n">
        <x:v>65.74489709495067</x:v>
      </x:c>
      <x:c r="K63" s="37" t="n">
        <x:v>49.6438136683807</x:v>
      </x:c>
      <x:c r="L63" s="37" t="n">
        <x:v>38.10699432134223</x:v>
      </x:c>
      <x:c r="M63" s="37" t="n">
        <x:v>44.231742315756186</x:v>
      </x:c>
      <x:c r="N63" s="37"/>
      <x:c r="O63" s="37" t="n">
        <x:v>57.502027165795255</x:v>
      </x:c>
      <x:c r="P63" s="37" t="n">
        <x:v>88.35754220878637</x:v>
      </x:c>
      <x:c r="Q63" s="37" t="n">
        <x:v>68.6347681781724</x:v>
      </x:c>
    </x:row>
    <x:row r="64">
      <x:c r="C64" s="19" t="n">
        <x:v>41183</x:v>
      </x:c>
      <x:c r="D64" s="19" t="n">
        <x:v>41213</x:v>
      </x:c>
      <x:c r="E64" s="34" t="str">
        <x:v>grid_u4lflnxf.xlsx</x:v>
      </x:c>
      <x:c r="F64" s="37" t="n">
        <x:v>67.47360346415817</x:v>
      </x:c>
      <x:c r="G64" s="37" t="n">
        <x:v>48.688556687963086</x:v>
      </x:c>
      <x:c r="H64" s="37" t="n">
        <x:v>46.22051656181883</x:v>
      </x:c>
      <x:c r="I64" s="37" t="n">
        <x:v>55.378103434370566</x:v>
      </x:c>
      <x:c r="J64" s="37" t="n">
        <x:v>67.44420425760589</x:v>
      </x:c>
      <x:c r="K64" s="37" t="n">
        <x:v>48.67521497990822</x:v>
      </x:c>
      <x:c r="L64" s="37" t="n">
        <x:v>39.14899782783931</x:v>
      </x:c>
      <x:c r="M64" s="37" t="n">
        <x:v>47.3377086533724</x:v>
      </x:c>
      <x:c r="N64" s="37"/>
      <x:c r="O64" s="37" t="n">
        <x:v>54.23375057498671</x:v>
      </x:c>
      <x:c r="P64" s="37" t="n">
        <x:v>91.5137698619128</x:v>
      </x:c>
      <x:c r="Q64" s="37" t="n">
        <x:v>69.95493055968399</x:v>
      </x:c>
    </x:row>
    <x:row r="65">
      <x:c r="C65" s="19" t="n">
        <x:v>41214</x:v>
      </x:c>
      <x:c r="D65" s="19" t="n">
        <x:v>41243</x:v>
      </x:c>
      <x:c r="E65" s="34" t="str">
        <x:v>grid_u4lflnxf.xlsx</x:v>
      </x:c>
      <x:c r="F65" s="37" t="n">
        <x:v>64.63909068088213</x:v>
      </x:c>
      <x:c r="G65" s="37" t="n">
        <x:v>49.72098891651513</x:v>
      </x:c>
      <x:c r="H65" s="37" t="n">
        <x:v>46.05625616549832</x:v>
      </x:c>
      <x:c r="I65" s="37" t="n">
        <x:v>55.90417999249424</x:v>
      </x:c>
      <x:c r="J65" s="37" t="n">
        <x:v>65.5288959323529</x:v>
      </x:c>
      <x:c r="K65" s="37" t="n">
        <x:v>48.919667380462926</x:v>
      </x:c>
      <x:c r="L65" s="37" t="n">
        <x:v>40.57483980241301</x:v>
      </x:c>
      <x:c r="M65" s="37" t="n">
        <x:v>48.46047296162828</x:v>
      </x:c>
      <x:c r="N65" s="37"/>
      <x:c r="O65" s="37" t="n">
        <x:v>52.91495938338278</x:v>
      </x:c>
      <x:c r="P65" s="37" t="n">
        <x:v>93.86541320089508</x:v>
      </x:c>
      <x:c r="Q65" s="37" t="n">
        <x:v>53.83050137770431</x:v>
      </x:c>
    </x:row>
    <x:row r="66">
      <x:c r="C66" s="19" t="n">
        <x:v>41244</x:v>
      </x:c>
      <x:c r="D66" s="19" t="n">
        <x:v>41274</x:v>
      </x:c>
      <x:c r="E66" s="34" t="str">
        <x:v>grid_u4lflnxf.xlsx</x:v>
      </x:c>
      <x:c r="F66" s="37" t="n">
        <x:v>66.08702572104183</x:v>
      </x:c>
      <x:c r="G66" s="37" t="n">
        <x:v>50.03938311010726</x:v>
      </x:c>
      <x:c r="H66" s="37" t="n">
        <x:v>46.356746255304486</x:v>
      </x:c>
      <x:c r="I66" s="37" t="n">
        <x:v>56.72034335350212</x:v>
      </x:c>
      <x:c r="J66" s="37" t="n">
        <x:v>67.12517917737173</x:v>
      </x:c>
      <x:c r="K66" s="37" t="n">
        <x:v>49.52277249409454</x:v>
      </x:c>
      <x:c r="L66" s="37" t="n">
        <x:v>43.3379365355628</x:v>
      </x:c>
      <x:c r="M66" s="37" t="n">
        <x:v>48.170824480002175</x:v>
      </x:c>
      <x:c r="N66" s="37"/>
      <x:c r="O66" s="37" t="n">
        <x:v>54.260391477368294</x:v>
      </x:c>
      <x:c r="P66" s="37" t="n">
        <x:v>95.8055982824248</x:v>
      </x:c>
      <x:c r="Q66" s="37" t="n">
        <x:v>53.98887105774202</x:v>
      </x:c>
    </x:row>
    <x:row r="67">
      <x:c r="C67" s="19" t="n">
        <x:v>41275</x:v>
      </x:c>
      <x:c r="D67" s="19" t="n">
        <x:v>41305</x:v>
      </x:c>
      <x:c r="E67" s="34" t="str">
        <x:v>grid_u4lflnxf.xlsx</x:v>
      </x:c>
      <x:c r="F67" s="37" t="n">
        <x:v>61.96637285617484</x:v>
      </x:c>
      <x:c r="G67" s="37" t="n">
        <x:v>48.72425074704597</x:v>
      </x:c>
      <x:c r="H67" s="37" t="n">
        <x:v>47.06558786123577</x:v>
      </x:c>
      <x:c r="I67" s="37" t="n">
        <x:v>59.05509352465362</x:v>
      </x:c>
      <x:c r="J67" s="37" t="n">
        <x:v>65.2103229622281</x:v>
      </x:c>
      <x:c r="K67" s="37" t="n">
        <x:v>48.865939334284256</x:v>
      </x:c>
      <x:c r="L67" s="37" t="n">
        <x:v>42.22118565850585</x:v>
      </x:c>
      <x:c r="M67" s="37" t="n">
        <x:v>51.498722146979745</x:v>
      </x:c>
      <x:c r="N67" s="37"/>
      <x:c r="O67" s="37" t="n">
        <x:v>49.76655411030015</x:v>
      </x:c>
      <x:c r="P67" s="37" t="n">
        <x:v>97.14484371383281</x:v>
      </x:c>
      <x:c r="Q67" s="37" t="n">
        <x:v>45.2658511228701</x:v>
      </x:c>
    </x:row>
    <x:row r="68">
      <x:c r="C68" s="19" t="n">
        <x:v>41306</x:v>
      </x:c>
      <x:c r="D68" s="19" t="n">
        <x:v>41333</x:v>
      </x:c>
      <x:c r="E68" s="34" t="str">
        <x:v>grid_u4lflnxf.xlsx</x:v>
      </x:c>
      <x:c r="F68" s="37" t="n">
        <x:v>60.84872757751035</x:v>
      </x:c>
      <x:c r="G68" s="37" t="n">
        <x:v>52.061441746757076</x:v>
      </x:c>
      <x:c r="H68" s="37" t="n">
        <x:v>45.507931608671484</x:v>
      </x:c>
      <x:c r="I68" s="37" t="n">
        <x:v>59.25437939180224</x:v>
      </x:c>
      <x:c r="J68" s="37" t="n">
        <x:v>61.96079124469396</x:v>
      </x:c>
      <x:c r="K68" s="37" t="n">
        <x:v>49.08234699823426</x:v>
      </x:c>
      <x:c r="L68" s="37" t="n">
        <x:v>43.138077889419236</x:v>
      </x:c>
      <x:c r="M68" s="37" t="n">
        <x:v>53.049672130905336</x:v>
      </x:c>
      <x:c r="N68" s="37"/>
      <x:c r="O68" s="37" t="n">
        <x:v>53.35003613770394</x:v>
      </x:c>
      <x:c r="P68" s="37" t="n">
        <x:v>98.91167699341716</x:v>
      </x:c>
      <x:c r="Q68" s="37" t="n">
        <x:v>52.510514633004114</x:v>
      </x:c>
    </x:row>
    <x:row r="69">
      <x:c r="C69" s="19" t="n">
        <x:v>41334</x:v>
      </x:c>
      <x:c r="D69" s="19" t="n">
        <x:v>41362</x:v>
      </x:c>
      <x:c r="E69" s="34" t="str">
        <x:v>grid_u4lflnxf.xlsx</x:v>
      </x:c>
      <x:c r="F69" s="37" t="n">
        <x:v>62.76304672777739</x:v>
      </x:c>
      <x:c r="G69" s="37" t="n">
        <x:v>52.916298390768546</x:v>
      </x:c>
      <x:c r="H69" s="37" t="n">
        <x:v>44.485388403895215</x:v>
      </x:c>
      <x:c r="I69" s="37" t="n">
        <x:v>59.80041326927569</x:v>
      </x:c>
      <x:c r="J69" s="37" t="n">
        <x:v>69.81044624724711</x:v>
      </x:c>
      <x:c r="K69" s="37" t="n">
        <x:v>50.317435880713305</x:v>
      </x:c>
      <x:c r="L69" s="37" t="n">
        <x:v>43.30165128667131</x:v>
      </x:c>
      <x:c r="M69" s="37" t="n">
        <x:v>55.095189041502856</x:v>
      </x:c>
      <x:c r="N69" s="37"/>
      <x:c r="O69" s="37" t="n">
        <x:v>50.047808089981814</x:v>
      </x:c>
      <x:c r="P69" s="37" t="n">
        <x:v>100.35669014877058</x:v>
      </x:c>
      <x:c r="Q69" s="37" t="n">
        <x:v>54.35614630668829</x:v>
      </x:c>
    </x:row>
    <x:row r="70">
      <x:c r="C70" s="19" t="n">
        <x:v>41365</x:v>
      </x:c>
      <x:c r="D70" s="19" t="n">
        <x:v>41394</x:v>
      </x:c>
      <x:c r="E70" s="34" t="str">
        <x:v>grid_u4lflnxf.xlsx</x:v>
      </x:c>
      <x:c r="F70" s="37" t="n">
        <x:v>67.49659132528537</x:v>
      </x:c>
      <x:c r="G70" s="37" t="n">
        <x:v>54.8307125485498</x:v>
      </x:c>
      <x:c r="H70" s="37" t="n">
        <x:v>44.316641212286086</x:v>
      </x:c>
      <x:c r="I70" s="37" t="n">
        <x:v>59.07477915632261</x:v>
      </x:c>
      <x:c r="J70" s="37" t="n">
        <x:v>75.51689458910283</x:v>
      </x:c>
      <x:c r="K70" s="37" t="n">
        <x:v>49.77875443475863</x:v>
      </x:c>
      <x:c r="L70" s="37" t="n">
        <x:v>43.733082431248924</x:v>
      </x:c>
      <x:c r="M70" s="37" t="n">
        <x:v>55.74678739899126</x:v>
      </x:c>
      <x:c r="N70" s="37"/>
      <x:c r="O70" s="37" t="n">
        <x:v>52.023766841558285</x:v>
      </x:c>
      <x:c r="P70" s="37" t="n">
        <x:v>104.0460330023967</x:v>
      </x:c>
      <x:c r="Q70" s="37" t="n">
        <x:v>53.01357345457242</x:v>
      </x:c>
    </x:row>
    <x:row r="71">
      <x:c r="C71" s="19" t="n">
        <x:v>41395</x:v>
      </x:c>
      <x:c r="D71" s="19" t="n">
        <x:v>41425</x:v>
      </x:c>
      <x:c r="E71" s="34" t="str">
        <x:v>grid_u4lflnxf.xlsx</x:v>
      </x:c>
      <x:c r="F71" s="37" t="n">
        <x:v>64.40790292907305</x:v>
      </x:c>
      <x:c r="G71" s="37" t="n">
        <x:v>51.28410908751404</x:v>
      </x:c>
      <x:c r="H71" s="37" t="n">
        <x:v>38.64637738796567</x:v>
      </x:c>
      <x:c r="I71" s="37" t="n">
        <x:v>56.23421006287713</x:v>
      </x:c>
      <x:c r="J71" s="37" t="n">
        <x:v>67.22842663634347</x:v>
      </x:c>
      <x:c r="K71" s="37" t="n">
        <x:v>52.03773977090177</x:v>
      </x:c>
      <x:c r="L71" s="37" t="n">
        <x:v>43.02878219677703</x:v>
      </x:c>
      <x:c r="M71" s="37" t="n">
        <x:v>59.34436351943211</x:v>
      </x:c>
      <x:c r="N71" s="37"/>
      <x:c r="O71" s="37" t="n">
        <x:v>50.02382031861313</x:v>
      </x:c>
      <x:c r="P71" s="37" t="n">
        <x:v>86.9381305344924</x:v>
      </x:c>
      <x:c r="Q71" s="37" t="n">
        <x:v>50.61770961203072</x:v>
      </x:c>
    </x:row>
    <x:row r="72">
      <x:c r="C72" s="19" t="n">
        <x:v>41426</x:v>
      </x:c>
      <x:c r="D72" s="19" t="n">
        <x:v>41453</x:v>
      </x:c>
      <x:c r="E72" s="34" t="str">
        <x:v>grid_u4lflnxf.xlsx</x:v>
      </x:c>
      <x:c r="F72" s="37" t="n">
        <x:v>62.8042582168647</x:v>
      </x:c>
      <x:c r="G72" s="37" t="n">
        <x:v>51.12128758635323</x:v>
      </x:c>
      <x:c r="H72" s="37" t="n">
        <x:v>40.62018689654383</x:v>
      </x:c>
      <x:c r="I72" s="37" t="n">
        <x:v>58.6637208368193</x:v>
      </x:c>
      <x:c r="J72" s="37" t="n">
        <x:v>70.05208291121558</x:v>
      </x:c>
      <x:c r="K72" s="37" t="n">
        <x:v>51.52838963968137</x:v>
      </x:c>
      <x:c r="L72" s="37" t="n">
        <x:v>41.129468967624305</x:v>
      </x:c>
      <x:c r="M72" s="37" t="n">
        <x:v>64.17420599800512</x:v>
      </x:c>
      <x:c r="N72" s="37"/>
      <x:c r="O72" s="37" t="n">
        <x:v>51.07588360857795</x:v>
      </x:c>
      <x:c r="P72" s="37" t="n">
        <x:v>86.46712281601987</x:v>
      </x:c>
      <x:c r="Q72" s="37" t="n">
        <x:v>54.41987826218826</x:v>
      </x:c>
    </x:row>
    <x:row r="73">
      <x:c r="C73" s="19" t="n">
        <x:v>41456</x:v>
      </x:c>
      <x:c r="D73" s="19" t="n">
        <x:v>41486</x:v>
      </x:c>
      <x:c r="E73" s="34" t="str">
        <x:v>grid_u4lflnxf.xlsx</x:v>
      </x:c>
      <x:c r="F73" s="37" t="n">
        <x:v>61.37208234060213</x:v>
      </x:c>
      <x:c r="G73" s="37" t="n">
        <x:v>49.10199957915552</x:v>
      </x:c>
      <x:c r="H73" s="37" t="n">
        <x:v>41.924034147076604</x:v>
      </x:c>
      <x:c r="I73" s="37" t="n">
        <x:v>61.307679725358625</x:v>
      </x:c>
      <x:c r="J73" s="37" t="n">
        <x:v>68.06586430879271</x:v>
      </x:c>
      <x:c r="K73" s="37" t="n">
        <x:v>51.48639283179831</x:v>
      </x:c>
      <x:c r="L73" s="37" t="n">
        <x:v>42.59948307856422</x:v>
      </x:c>
      <x:c r="M73" s="37" t="n">
        <x:v>62.367228818193865</x:v>
      </x:c>
      <x:c r="N73" s="37"/>
      <x:c r="O73" s="37" t="n">
        <x:v>49.15074117944082</x:v>
      </x:c>
      <x:c r="P73" s="37" t="n">
        <x:v>82.68859344143792</x:v>
      </x:c>
      <x:c r="Q73" s="37" t="n">
        <x:v>54.66921684686072</x:v>
      </x:c>
    </x:row>
    <x:row r="74">
      <x:c r="C74" s="19" t="n">
        <x:v>41487</x:v>
      </x:c>
      <x:c r="D74" s="19" t="n">
        <x:v>41516</x:v>
      </x:c>
      <x:c r="E74" s="34" t="str">
        <x:v>grid_u4lflnxf.xlsx</x:v>
      </x:c>
      <x:c r="F74" s="37" t="n">
        <x:v>62.25740346201189</x:v>
      </x:c>
      <x:c r="G74" s="37" t="n">
        <x:v>49.9494148158402</x:v>
      </x:c>
      <x:c r="H74" s="37" t="n">
        <x:v>42.38372387096875</x:v>
      </x:c>
      <x:c r="I74" s="37" t="n">
        <x:v>61.623426362634724</x:v>
      </x:c>
      <x:c r="J74" s="37" t="n">
        <x:v>77.76477010791756</x:v>
      </x:c>
      <x:c r="K74" s="37" t="n">
        <x:v>51.82726574919083</x:v>
      </x:c>
      <x:c r="L74" s="37" t="n">
        <x:v>42.91561011356517</x:v>
      </x:c>
      <x:c r="M74" s="37" t="n">
        <x:v>58.65080528356875</x:v>
      </x:c>
      <x:c r="N74" s="37"/>
      <x:c r="O74" s="37" t="n">
        <x:v>47.2460805707449</x:v>
      </x:c>
      <x:c r="P74" s="37" t="n">
        <x:v>82.81149284646871</x:v>
      </x:c>
      <x:c r="Q74" s="37" t="n">
        <x:v>52.379300082591506</x:v>
      </x:c>
    </x:row>
    <x:row r="75">
      <x:c r="C75" s="19" t="n">
        <x:v>41518</x:v>
      </x:c>
      <x:c r="D75" s="19" t="n">
        <x:v>41547</x:v>
      </x:c>
      <x:c r="E75" s="34" t="str">
        <x:v>grid_u4lflnxf.xlsx</x:v>
      </x:c>
      <x:c r="F75" s="37" t="n">
        <x:v>60.79161826406191</x:v>
      </x:c>
      <x:c r="G75" s="37" t="n">
        <x:v>42.65406654335293</x:v>
      </x:c>
      <x:c r="H75" s="37" t="n">
        <x:v>42.199722391896785</x:v>
      </x:c>
      <x:c r="I75" s="37" t="n">
        <x:v>61.283282695165084</x:v>
      </x:c>
      <x:c r="J75" s="37" t="n">
        <x:v>64.15288643918097</x:v>
      </x:c>
      <x:c r="K75" s="37" t="n">
        <x:v>52.80965649848059</x:v>
      </x:c>
      <x:c r="L75" s="37" t="n">
        <x:v>44.574933758503676</x:v>
      </x:c>
      <x:c r="M75" s="37" t="n">
        <x:v>56.24052537486315</x:v>
      </x:c>
      <x:c r="N75" s="37"/>
      <x:c r="O75" s="37" t="n">
        <x:v>50.08860208650816</x:v>
      </x:c>
      <x:c r="P75" s="37" t="n">
        <x:v>84.4560115940461</x:v>
      </x:c>
      <x:c r="Q75" s="37" t="n">
        <x:v>54.136313135509404</x:v>
      </x:c>
    </x:row>
    <x:row r="76">
      <x:c r="C76" s="19" t="n">
        <x:v>41548</x:v>
      </x:c>
      <x:c r="D76" s="19" t="n">
        <x:v>41578</x:v>
      </x:c>
      <x:c r="E76" s="34" t="str">
        <x:v>grid_u4lflnxf.xlsx</x:v>
      </x:c>
      <x:c r="F76" s="37" t="n">
        <x:v>61.561798701057555</x:v>
      </x:c>
      <x:c r="G76" s="37" t="n">
        <x:v>40.883103748865274</x:v>
      </x:c>
      <x:c r="H76" s="37" t="n">
        <x:v>42.429489000793005</x:v>
      </x:c>
      <x:c r="I76" s="37" t="n">
        <x:v>62.82965621889258</x:v>
      </x:c>
      <x:c r="J76" s="37" t="n">
        <x:v>65.5068544473423</x:v>
      </x:c>
      <x:c r="K76" s="37" t="n">
        <x:v>53.43459504487371</x:v>
      </x:c>
      <x:c r="L76" s="37" t="n">
        <x:v>45.79293221477849</x:v>
      </x:c>
      <x:c r="M76" s="37" t="n">
        <x:v>57.515928198878754</x:v>
      </x:c>
      <x:c r="N76" s="37"/>
      <x:c r="O76" s="37" t="n">
        <x:v>48.22880422298623</x:v>
      </x:c>
      <x:c r="P76" s="37" t="n">
        <x:v>81.40827053086674</x:v>
      </x:c>
      <x:c r="Q76" s="37" t="n">
        <x:v>54.075839504630764</x:v>
      </x:c>
    </x:row>
    <x:row r="77">
      <x:c r="C77" s="19" t="n">
        <x:v>41579</x:v>
      </x:c>
      <x:c r="D77" s="19" t="n">
        <x:v>41607</x:v>
      </x:c>
      <x:c r="E77" s="34" t="str">
        <x:v>grid_u4lflnxf.xlsx</x:v>
      </x:c>
      <x:c r="F77" s="37" t="n">
        <x:v>65.72729473102818</x:v>
      </x:c>
      <x:c r="G77" s="37" t="n">
        <x:v>39.15006244917455</x:v>
      </x:c>
      <x:c r="H77" s="37" t="n">
        <x:v>42.61466836351102</x:v>
      </x:c>
      <x:c r="I77" s="37" t="n">
        <x:v>66.67289670170513</x:v>
      </x:c>
      <x:c r="J77" s="37" t="n">
        <x:v>80.28731955745158</x:v>
      </x:c>
      <x:c r="K77" s="37" t="n">
        <x:v>53.79746103796003</x:v>
      </x:c>
      <x:c r="L77" s="37" t="n">
        <x:v>46.16655338142658</x:v>
      </x:c>
      <x:c r="M77" s="37" t="n">
        <x:v>60.510363829013016</x:v>
      </x:c>
      <x:c r="N77" s="37"/>
      <x:c r="O77" s="37" t="n">
        <x:v>52.0304177633008</x:v>
      </x:c>
      <x:c r="P77" s="37" t="n">
        <x:v>82.8556935867485</x:v>
      </x:c>
      <x:c r="Q77" s="37" t="n">
        <x:v>54.2914283017729</x:v>
      </x:c>
    </x:row>
    <x:row r="78">
      <x:c r="C78" s="19" t="n">
        <x:v>41609</x:v>
      </x:c>
      <x:c r="D78" s="19" t="n">
        <x:v>41639</x:v>
      </x:c>
      <x:c r="E78" s="34" t="str">
        <x:v>grid_u4lflnxf.xlsx</x:v>
      </x:c>
      <x:c r="F78" s="37" t="n">
        <x:v>64.80547640894807</x:v>
      </x:c>
      <x:c r="G78" s="37" t="n">
        <x:v>38.83798881651176</x:v>
      </x:c>
      <x:c r="H78" s="37" t="n">
        <x:v>40.261248692008486</x:v>
      </x:c>
      <x:c r="I78" s="37" t="n">
        <x:v>67.84612284972697</x:v>
      </x:c>
      <x:c r="J78" s="37" t="n">
        <x:v>84.05260056974811</x:v>
      </x:c>
      <x:c r="K78" s="37" t="n">
        <x:v>54.294314297039584</x:v>
      </x:c>
      <x:c r="L78" s="37" t="n">
        <x:v>43.9066832805063</x:v>
      </x:c>
      <x:c r="M78" s="37" t="n">
        <x:v>60.83633886667218</x:v>
      </x:c>
      <x:c r="N78" s="37"/>
      <x:c r="O78" s="37" t="n">
        <x:v>50.50021835040801</x:v>
      </x:c>
      <x:c r="P78" s="37" t="n">
        <x:v>81.39649941797045</x:v>
      </x:c>
      <x:c r="Q78" s="37" t="n">
        <x:v>56.02363128246459</x:v>
      </x:c>
    </x:row>
    <x:row r="79">
      <x:c r="C79" s="19" t="n">
        <x:v>41640</x:v>
      </x:c>
      <x:c r="D79" s="19" t="n">
        <x:v>41670</x:v>
      </x:c>
      <x:c r="E79" s="34" t="str">
        <x:v>grid_vtqvtw11.xlsx</x:v>
      </x:c>
      <x:c r="F79" s="37" t="n">
        <x:v>74.6442413018867</x:v>
      </x:c>
      <x:c r="G79" s="37" t="n">
        <x:v>51.98003138848472</x:v>
      </x:c>
      <x:c r="H79" s="37" t="n">
        <x:v>51.257230098121</x:v>
      </x:c>
      <x:c r="I79" s="37" t="n">
        <x:v>89.42249685927848</x:v>
      </x:c>
      <x:c r="J79" s="37" t="n">
        <x:v>81.7782377316168</x:v>
      </x:c>
      <x:c r="K79" s="37" t="n">
        <x:v>57.104203871949565</x:v>
      </x:c>
      <x:c r="L79" s="37" t="n">
        <x:v>40.800596495326644</x:v>
      </x:c>
      <x:c r="M79" s="37" t="n">
        <x:v>67.67726891267839</x:v>
      </x:c>
      <x:c r="N79" s="37"/>
      <x:c r="O79" s="37" t="n">
        <x:v>63.92823164061999</x:v>
      </x:c>
      <x:c r="P79" s="37" t="n">
        <x:v>79.58745806980923</x:v>
      </x:c>
      <x:c r="Q79" s="37" t="n">
        <x:v>58.57023548250272</x:v>
      </x:c>
    </x:row>
    <x:row r="80">
      <x:c r="C80" s="19" t="n">
        <x:v>41671</x:v>
      </x:c>
      <x:c r="D80" s="19" t="n">
        <x:v>41698</x:v>
      </x:c>
      <x:c r="E80" s="34" t="str">
        <x:v>grid_vtqvtw11.xlsx</x:v>
      </x:c>
      <x:c r="F80" s="37" t="n">
        <x:v>74.47838559307536</x:v>
      </x:c>
      <x:c r="G80" s="37" t="n">
        <x:v>53.93352988761732</x:v>
      </x:c>
      <x:c r="H80" s="37" t="n">
        <x:v>52.94682325814215</x:v>
      </x:c>
      <x:c r="I80" s="37" t="n">
        <x:v>93.19539634805419</x:v>
      </x:c>
      <x:c r="J80" s="37" t="n">
        <x:v>79.3275645564878</x:v>
      </x:c>
      <x:c r="K80" s="37" t="n">
        <x:v>59.131221282774064</x:v>
      </x:c>
      <x:c r="L80" s="37" t="n">
        <x:v>43.65251512367757</x:v>
      </x:c>
      <x:c r="M80" s="37" t="n">
        <x:v>66.93021286209992</x:v>
      </x:c>
      <x:c r="N80" s="37"/>
      <x:c r="O80" s="37" t="n">
        <x:v>65.44944678363585</x:v>
      </x:c>
      <x:c r="P80" s="37" t="n">
        <x:v>77.491823527251</x:v>
      </x:c>
      <x:c r="Q80" s="37" t="n">
        <x:v>60.72343737910029</x:v>
      </x:c>
    </x:row>
    <x:row r="81">
      <x:c r="C81" s="19" t="n">
        <x:v>41699</x:v>
      </x:c>
      <x:c r="D81" s="19" t="n">
        <x:v>41729</x:v>
      </x:c>
      <x:c r="E81" s="34" t="str">
        <x:v>grid_vtqvtw11.xlsx</x:v>
      </x:c>
      <x:c r="F81" s="37" t="n">
        <x:v>77.18554224822728</x:v>
      </x:c>
      <x:c r="G81" s="37" t="n">
        <x:v>55.480548313962665</x:v>
      </x:c>
      <x:c r="H81" s="37" t="n">
        <x:v>54.03764863097713</x:v>
      </x:c>
      <x:c r="I81" s="37" t="n">
        <x:v>92.77524659021346</x:v>
      </x:c>
      <x:c r="J81" s="37" t="n">
        <x:v>83.55499318653531</x:v>
      </x:c>
      <x:c r="K81" s="37" t="n">
        <x:v>59.75957367301322</x:v>
      </x:c>
      <x:c r="L81" s="37" t="n">
        <x:v>46.16997986833664</x:v>
      </x:c>
      <x:c r="M81" s="37" t="n">
        <x:v>66.97704071205114</x:v>
      </x:c>
      <x:c r="N81" s="37"/>
      <x:c r="O81" s="37" t="n">
        <x:v>67.08922014621835</x:v>
      </x:c>
      <x:c r="P81" s="37" t="n">
        <x:v>74.65269886587048</x:v>
      </x:c>
      <x:c r="Q81" s="37" t="n">
        <x:v>59.22250912567908</x:v>
      </x:c>
    </x:row>
    <x:row r="82">
      <x:c r="C82" s="19" t="n">
        <x:v>41730</x:v>
      </x:c>
      <x:c r="D82" s="19" t="n">
        <x:v>41759</x:v>
      </x:c>
      <x:c r="E82" s="34" t="str">
        <x:v>grid_vtqvtw11.xlsx</x:v>
      </x:c>
      <x:c r="F82" s="37" t="n">
        <x:v>77.33672657741026</x:v>
      </x:c>
      <x:c r="G82" s="37" t="n">
        <x:v>58.18863624523014</x:v>
      </x:c>
      <x:c r="H82" s="37" t="n">
        <x:v>57.088518825029446</x:v>
      </x:c>
      <x:c r="I82" s="37" t="n">
        <x:v>89.12244792190963</x:v>
      </x:c>
      <x:c r="J82" s="37" t="n">
        <x:v>83.58682206988315</x:v>
      </x:c>
      <x:c r="K82" s="37" t="n">
        <x:v>60.38997831617737</x:v>
      </x:c>
      <x:c r="L82" s="37" t="n">
        <x:v>47.451834817607484</x:v>
      </x:c>
      <x:c r="M82" s="37" t="n">
        <x:v>63.841749571919394</x:v>
      </x:c>
      <x:c r="N82" s="37"/>
      <x:c r="O82" s="37" t="n">
        <x:v>64.42869305977823</x:v>
      </x:c>
      <x:c r="P82" s="37" t="n">
        <x:v>75.53007340165334</x:v>
      </x:c>
      <x:c r="Q82" s="37" t="n">
        <x:v>59.05399977188273</x:v>
      </x:c>
    </x:row>
    <x:row r="83">
      <x:c r="C83" s="19" t="n">
        <x:v>41760</x:v>
      </x:c>
      <x:c r="D83" s="19" t="n">
        <x:v>41789</x:v>
      </x:c>
      <x:c r="E83" s="34" t="str">
        <x:v>grid_vtqvtw11.xlsx</x:v>
      </x:c>
      <x:c r="F83" s="37" t="n">
        <x:v>79.44776373632074</x:v>
      </x:c>
      <x:c r="G83" s="37" t="n">
        <x:v>54.41428716184647</x:v>
      </x:c>
      <x:c r="H83" s="37" t="n">
        <x:v>73.04081488918982</x:v>
      </x:c>
      <x:c r="I83" s="37" t="n">
        <x:v>102.0228422740227</x:v>
      </x:c>
      <x:c r="J83" s="37" t="n">
        <x:v>80.30460865669376</x:v>
      </x:c>
      <x:c r="K83" s="37" t="n">
        <x:v>63.7935534359233</x:v>
      </x:c>
      <x:c r="L83" s="37" t="n">
        <x:v>49.8187614434155</x:v>
      </x:c>
      <x:c r="M83" s="37" t="n">
        <x:v>76.86675878772742</x:v>
      </x:c>
      <x:c r="N83" s="37"/>
      <x:c r="O83" s="37" t="n">
        <x:v>64.6557563704194</x:v>
      </x:c>
      <x:c r="P83" s="37" t="n">
        <x:v>76.52139165655937</x:v>
      </x:c>
      <x:c r="Q83" s="37" t="n">
        <x:v>61.38109135648474</x:v>
      </x:c>
    </x:row>
    <x:row r="84">
      <x:c r="C84" s="19" t="n">
        <x:v>41791</x:v>
      </x:c>
      <x:c r="D84" s="19" t="n">
        <x:v>41820</x:v>
      </x:c>
      <x:c r="E84" s="34" t="str">
        <x:v>grid_vtqvtw11.xlsx</x:v>
      </x:c>
      <x:c r="F84" s="37" t="n">
        <x:v>78.55993386753688</x:v>
      </x:c>
      <x:c r="G84" s="37" t="n">
        <x:v>52.585569663587584</x:v>
      </x:c>
      <x:c r="H84" s="37" t="n">
        <x:v>73.93135945042273</x:v>
      </x:c>
      <x:c r="I84" s="37" t="n">
        <x:v>100.77659544793309</x:v>
      </x:c>
      <x:c r="J84" s="37" t="n">
        <x:v>81.13848278093378</x:v>
      </x:c>
      <x:c r="K84" s="37" t="n">
        <x:v>63.54703795310739</x:v>
      </x:c>
      <x:c r="L84" s="37" t="n">
        <x:v>51.92764507359878</x:v>
      </x:c>
      <x:c r="M84" s="37" t="n">
        <x:v>77.23245039528662</x:v>
      </x:c>
      <x:c r="N84" s="37"/>
      <x:c r="O84" s="37" t="n">
        <x:v>60.64200831466169</x:v>
      </x:c>
      <x:c r="P84" s="37" t="n">
        <x:v>75.64507663388196</x:v>
      </x:c>
      <x:c r="Q84" s="37" t="n">
        <x:v>60.16510577265544</x:v>
      </x:c>
    </x:row>
    <x:row r="85">
      <x:c r="C85" s="19" t="n">
        <x:v>41821</x:v>
      </x:c>
      <x:c r="D85" s="19" t="n">
        <x:v>41851</x:v>
      </x:c>
      <x:c r="E85" s="34" t="str">
        <x:v>grid_vtqvtw11.xlsx</x:v>
      </x:c>
      <x:c r="F85" s="37" t="n">
        <x:v>80.24282319091476</x:v>
      </x:c>
      <x:c r="G85" s="37" t="n">
        <x:v>55.891472912724495</x:v>
      </x:c>
      <x:c r="H85" s="37" t="n">
        <x:v>84.40666826898853</x:v>
      </x:c>
      <x:c r="I85" s="37" t="n">
        <x:v>100.05138761647157</x:v>
      </x:c>
      <x:c r="J85" s="37" t="n">
        <x:v>77.90170909286485</x:v>
      </x:c>
      <x:c r="K85" s="37" t="n">
        <x:v>66.34605757471863</x:v>
      </x:c>
      <x:c r="L85" s="37" t="n">
        <x:v>51.04492721315079</x:v>
      </x:c>
      <x:c r="M85" s="37" t="n">
        <x:v>75.62601181778489</x:v>
      </x:c>
      <x:c r="N85" s="37"/>
      <x:c r="O85" s="37" t="n">
        <x:v>58.38134695164845</x:v>
      </x:c>
      <x:c r="P85" s="37" t="n">
        <x:v>71.22250047810368</x:v>
      </x:c>
      <x:c r="Q85" s="37" t="n">
        <x:v>61.25063588463991</x:v>
      </x:c>
    </x:row>
    <x:row r="86">
      <x:c r="C86" s="19" t="n">
        <x:v>41852</x:v>
      </x:c>
      <x:c r="D86" s="19" t="n">
        <x:v>41880</x:v>
      </x:c>
      <x:c r="E86" s="34" t="str">
        <x:v>grid_vtqvtw11.xlsx</x:v>
      </x:c>
      <x:c r="F86" s="37" t="n">
        <x:v>83.50345212756434</x:v>
      </x:c>
      <x:c r="G86" s="37" t="n">
        <x:v>56.624828289053276</x:v>
      </x:c>
      <x:c r="H86" s="37" t="n">
        <x:v>88.99393172385464</x:v>
      </x:c>
      <x:c r="I86" s="37" t="n">
        <x:v>98.2382807331802</x:v>
      </x:c>
      <x:c r="J86" s="37" t="n">
        <x:v>79.5744254073963</x:v>
      </x:c>
      <x:c r="K86" s="37" t="n">
        <x:v>69.93265933476744</x:v>
      </x:c>
      <x:c r="L86" s="37" t="n">
        <x:v>52.24985924744462</x:v>
      </x:c>
      <x:c r="M86" s="37" t="n">
        <x:v>77.35670155655386</x:v>
      </x:c>
      <x:c r="N86" s="37"/>
      <x:c r="O86" s="37" t="n">
        <x:v>54.87433960781729</x:v>
      </x:c>
      <x:c r="P86" s="37" t="n">
        <x:v>74.27951050174299</x:v>
      </x:c>
      <x:c r="Q86" s="37" t="n">
        <x:v>60.028687097451126</x:v>
      </x:c>
    </x:row>
    <x:row r="87">
      <x:c r="C87" s="19" t="n">
        <x:v>41883</x:v>
      </x:c>
      <x:c r="D87" s="19" t="n">
        <x:v>41912</x:v>
      </x:c>
      <x:c r="E87" s="34" t="str">
        <x:v>grid_vtqvtw11.xlsx</x:v>
      </x:c>
      <x:c r="F87" s="37" t="n">
        <x:v>79.81670170358113</x:v>
      </x:c>
      <x:c r="G87" s="37" t="n">
        <x:v>53.8492005330441</x:v>
      </x:c>
      <x:c r="H87" s="37" t="n">
        <x:v>99.18311404774546</x:v>
      </x:c>
      <x:c r="I87" s="37" t="n">
        <x:v>112.61944429629445</x:v>
      </x:c>
      <x:c r="J87" s="37" t="n">
        <x:v>80.98206614786014</x:v>
      </x:c>
      <x:c r="K87" s="37" t="n">
        <x:v>70.50843287785682</x:v>
      </x:c>
      <x:c r="L87" s="37" t="n">
        <x:v>53.335384131386974</x:v>
      </x:c>
      <x:c r="M87" s="37" t="n">
        <x:v>73.72922834242458</x:v>
      </x:c>
      <x:c r="N87" s="37"/>
      <x:c r="O87" s="37" t="n">
        <x:v>51.933857872987275</x:v>
      </x:c>
      <x:c r="P87" s="37" t="n">
        <x:v>73.46741997374124</x:v>
      </x:c>
      <x:c r="Q87" s="37" t="n">
        <x:v>58.14524388957628</x:v>
      </x:c>
    </x:row>
    <x:row r="88">
      <x:c r="C88" s="19" t="n">
        <x:v>41913</x:v>
      </x:c>
      <x:c r="D88" s="19" t="n">
        <x:v>41943</x:v>
      </x:c>
      <x:c r="E88" s="34" t="str">
        <x:v>grid_vtqvtw11.xlsx</x:v>
      </x:c>
      <x:c r="F88" s="37" t="n">
        <x:v>74.54041405613599</x:v>
      </x:c>
      <x:c r="G88" s="37" t="n">
        <x:v>57.55022298371948</x:v>
      </x:c>
      <x:c r="H88" s="37" t="n">
        <x:v>101.70231638567596</x:v>
      </x:c>
      <x:c r="I88" s="37" t="n">
        <x:v>113.0795635520984</x:v>
      </x:c>
      <x:c r="J88" s="37" t="n">
        <x:v>77.4499730123337</x:v>
      </x:c>
      <x:c r="K88" s="37" t="n">
        <x:v>73.05874632104961</x:v>
      </x:c>
      <x:c r="L88" s="37" t="n">
        <x:v>52.67974082219424</x:v>
      </x:c>
      <x:c r="M88" s="37" t="n">
        <x:v>75.35065884391113</x:v>
      </x:c>
      <x:c r="N88" s="37"/>
      <x:c r="O88" s="37" t="n">
        <x:v>40.31356085501942</x:v>
      </x:c>
      <x:c r="P88" s="37" t="n">
        <x:v>73.00788342233514</x:v>
      </x:c>
      <x:c r="Q88" s="37" t="n">
        <x:v>56.03843161569165</x:v>
      </x:c>
    </x:row>
    <x:row r="89">
      <x:c r="C89" s="19" t="n">
        <x:v>41944</x:v>
      </x:c>
      <x:c r="D89" s="19" t="n">
        <x:v>41971</x:v>
      </x:c>
      <x:c r="E89" s="34" t="str">
        <x:v>grid_vtqvtw11.xlsx</x:v>
      </x:c>
      <x:c r="F89" s="37" t="n">
        <x:v>72.05779659439492</x:v>
      </x:c>
      <x:c r="G89" s="37" t="n">
        <x:v>59.42504864344359</x:v>
      </x:c>
      <x:c r="H89" s="37" t="n">
        <x:v>104.0795394819431</x:v>
      </x:c>
      <x:c r="I89" s="37" t="n">
        <x:v>114.21998287054413</x:v>
      </x:c>
      <x:c r="J89" s="37" t="n">
        <x:v>74.67797414862655</x:v>
      </x:c>
      <x:c r="K89" s="37" t="n">
        <x:v>75.01311188453926</x:v>
      </x:c>
      <x:c r="L89" s="37" t="n">
        <x:v>53.337506591926996</x:v>
      </x:c>
      <x:c r="M89" s="37" t="n">
        <x:v>75.22363779065707</x:v>
      </x:c>
      <x:c r="N89" s="37"/>
      <x:c r="O89" s="37" t="n">
        <x:v>37.19934284571861</x:v>
      </x:c>
      <x:c r="P89" s="37" t="n">
        <x:v>72.16194384635247</x:v>
      </x:c>
      <x:c r="Q89" s="37" t="n">
        <x:v>54.42247627833973</x:v>
      </x:c>
    </x:row>
    <x:row r="90">
      <x:c r="C90" s="19" t="n">
        <x:v>41974</x:v>
      </x:c>
      <x:c r="D90" s="19" t="n">
        <x:v>42004</x:v>
      </x:c>
      <x:c r="E90" s="34" t="str">
        <x:v>grid_vtqvtw11.xlsx</x:v>
      </x:c>
      <x:c r="F90" s="37" t="n">
        <x:v>66.71939039477238</x:v>
      </x:c>
      <x:c r="G90" s="37" t="n">
        <x:v>62.75062980364249</x:v>
      </x:c>
      <x:c r="H90" s="37" t="n">
        <x:v>106.76979466201597</x:v>
      </x:c>
      <x:c r="I90" s="37" t="n">
        <x:v>116.57782733034425</x:v>
      </x:c>
      <x:c r="J90" s="37" t="n">
        <x:v>64.7334403523958</x:v>
      </x:c>
      <x:c r="K90" s="37" t="n">
        <x:v>75.2280416325401</x:v>
      </x:c>
      <x:c r="L90" s="37" t="n">
        <x:v>54.93583091809512</x:v>
      </x:c>
      <x:c r="M90" s="37" t="n">
        <x:v>75.22363498106377</x:v>
      </x:c>
      <x:c r="N90" s="37"/>
      <x:c r="O90" s="37" t="n">
        <x:v>29.780088585891523</x:v>
      </x:c>
      <x:c r="P90" s="37" t="n">
        <x:v>66.00690431311716</x:v>
      </x:c>
      <x:c r="Q90" s="37" t="n">
        <x:v>47.535060738023475</x:v>
      </x:c>
    </x:row>
    <x:row r="91">
      <x:c r="C91" s="19" t="n">
        <x:v>42005</x:v>
      </x:c>
      <x:c r="D91" s="19" t="n">
        <x:v>42034</x:v>
      </x:c>
      <x:c r="E91" s="34" t="str">
        <x:v>grid_vtqvtw11.xlsx</x:v>
      </x:c>
      <x:c r="F91" s="37" t="n">
        <x:v>64.7549413762231</x:v>
      </x:c>
      <x:c r="G91" s="37" t="n">
        <x:v>66.79065940762625</x:v>
      </x:c>
      <x:c r="H91" s="37" t="n">
        <x:v>106.66230240703001</x:v>
      </x:c>
      <x:c r="I91" s="37" t="n">
        <x:v>118.13858520665703</x:v>
      </x:c>
      <x:c r="J91" s="37" t="n">
        <x:v>54.715983450958596</x:v>
      </x:c>
      <x:c r="K91" s="37" t="n">
        <x:v>76.50975391651454</x:v>
      </x:c>
      <x:c r="L91" s="37" t="n">
        <x:v>56.4997702735464</x:v>
      </x:c>
      <x:c r="M91" s="37" t="n">
        <x:v>76.51684464011126</x:v>
      </x:c>
      <x:c r="N91" s="37"/>
      <x:c r="O91" s="37" t="n">
        <x:v>24.88899691083997</x:v>
      </x:c>
      <x:c r="P91" s="37" t="n">
        <x:v>64.94833776615086</x:v>
      </x:c>
      <x:c r="Q91" s="37" t="n">
        <x:v>45.79453299364674</x:v>
      </x:c>
    </x:row>
    <x:row r="92">
      <x:c r="C92" s="19" t="n">
        <x:v>42036</x:v>
      </x:c>
      <x:c r="D92" s="19" t="n">
        <x:v>42062</x:v>
      </x:c>
      <x:c r="E92" s="34" t="str">
        <x:v>grid_vtqvtw11.xlsx</x:v>
      </x:c>
      <x:c r="F92" s="37" t="n">
        <x:v>65.33902490584804</x:v>
      </x:c>
      <x:c r="G92" s="37" t="n">
        <x:v>63.17886958175352</x:v>
      </x:c>
      <x:c r="H92" s="37" t="n">
        <x:v>105.09760605212864</x:v>
      </x:c>
      <x:c r="I92" s="37" t="n">
        <x:v>119.38252751979354</x:v>
      </x:c>
      <x:c r="J92" s="37" t="n">
        <x:v>53.17718439156652</x:v>
      </x:c>
      <x:c r="K92" s="37" t="n">
        <x:v>77.99165936594201</x:v>
      </x:c>
      <x:c r="L92" s="37" t="n">
        <x:v>57.98577671551526</x:v>
      </x:c>
      <x:c r="M92" s="37" t="n">
        <x:v>79.01876049840601</x:v>
      </x:c>
      <x:c r="N92" s="37"/>
      <x:c r="O92" s="37" t="n">
        <x:v>21.079249909762353</x:v>
      </x:c>
      <x:c r="P92" s="37" t="n">
        <x:v>65.50959157185035</x:v>
      </x:c>
      <x:c r="Q92" s="37" t="n">
        <x:v>42.44911874440429</x:v>
      </x:c>
    </x:row>
    <x:row r="93">
      <x:c r="C93" s="19" t="n">
        <x:v>42064</x:v>
      </x:c>
      <x:c r="D93" s="19" t="n">
        <x:v>42094</x:v>
      </x:c>
      <x:c r="E93" s="34" t="str">
        <x:v>grid_vtqvtw11.xlsx</x:v>
      </x:c>
      <x:c r="F93" s="37" t="n">
        <x:v>62.919767211478714</x:v>
      </x:c>
      <x:c r="G93" s="37" t="n">
        <x:v>67.15597484482608</x:v>
      </x:c>
      <x:c r="H93" s="37" t="n">
        <x:v>103.94265217897767</x:v>
      </x:c>
      <x:c r="I93" s="37" t="n">
        <x:v>122.27634300180019</x:v>
      </x:c>
      <x:c r="J93" s="37" t="n">
        <x:v>48.10981391657854</x:v>
      </x:c>
      <x:c r="K93" s="37" t="n">
        <x:v>77.75092740132796</x:v>
      </x:c>
      <x:c r="L93" s="37" t="n">
        <x:v>59.75940770216637</x:v>
      </x:c>
      <x:c r="M93" s="37" t="n">
        <x:v>75.24543388365815</x:v>
      </x:c>
      <x:c r="N93" s="37"/>
      <x:c r="O93" s="37" t="n">
        <x:v>12.827559291713358</x:v>
      </x:c>
      <x:c r="P93" s="37" t="n">
        <x:v>64.46418869277551</x:v>
      </x:c>
      <x:c r="Q93" s="37" t="n">
        <x:v>41.64996229040098</x:v>
      </x:c>
    </x:row>
    <x:row r="94">
      <x:c r="C94" s="19" t="n">
        <x:v>42095</x:v>
      </x:c>
      <x:c r="D94" s="19" t="n">
        <x:v>42124</x:v>
      </x:c>
      <x:c r="E94" s="34" t="str">
        <x:v>grid_vtqvtw11.xlsx</x:v>
      </x:c>
      <x:c r="F94" s="37" t="n">
        <x:v>61.19821349631962</x:v>
      </x:c>
      <x:c r="G94" s="37" t="n">
        <x:v>69.89473105484612</x:v>
      </x:c>
      <x:c r="H94" s="37" t="n">
        <x:v>103.38883411459221</x:v>
      </x:c>
      <x:c r="I94" s="37" t="n">
        <x:v>122.57615250185785</x:v>
      </x:c>
      <x:c r="J94" s="37" t="n">
        <x:v>43.605467546994845</x:v>
      </x:c>
      <x:c r="K94" s="37" t="n">
        <x:v>78.10591864609144</x:v>
      </x:c>
      <x:c r="L94" s="37" t="n">
        <x:v>58.288288789847286</x:v>
      </x:c>
      <x:c r="M94" s="37" t="n">
        <x:v>75.31530797412125</x:v>
      </x:c>
      <x:c r="N94" s="37"/>
      <x:c r="O94" s="37" t="n">
        <x:v>-0.2567368768032981</x:v>
      </x:c>
      <x:c r="P94" s="37" t="n">
        <x:v>66.61749512068879</x:v>
      </x:c>
      <x:c r="Q94" s="37" t="n">
        <x:v>42.282316605550164</x:v>
      </x:c>
    </x:row>
    <x:row r="95">
      <x:c r="C95" s="19" t="n">
        <x:v>42125</x:v>
      </x:c>
      <x:c r="D95" s="19" t="n">
        <x:v>42153</x:v>
      </x:c>
      <x:c r="E95" s="34" t="str">
        <x:v>grid_vtqvtw11.xlsx</x:v>
      </x:c>
      <x:c r="F95" s="37" t="n">
        <x:v>62.51250062792912</x:v>
      </x:c>
      <x:c r="G95" s="37" t="n">
        <x:v>72.73445795339859</x:v>
      </x:c>
      <x:c r="H95" s="37" t="n">
        <x:v>107.87301590027928</x:v>
      </x:c>
      <x:c r="I95" s="37" t="n">
        <x:v>122.23901367766116</x:v>
      </x:c>
      <x:c r="J95" s="37" t="n">
        <x:v>49.72242393556244</x:v>
      </x:c>
      <x:c r="K95" s="37" t="n">
        <x:v>78.62417165829848</x:v>
      </x:c>
      <x:c r="L95" s="37" t="n">
        <x:v>60.0115966738607</x:v>
      </x:c>
      <x:c r="M95" s="37" t="n">
        <x:v>74.74762638249689</x:v>
      </x:c>
      <x:c r="N95" s="37"/>
      <x:c r="O95" s="37" t="n">
        <x:v>1.676461042821751</x:v>
      </x:c>
      <x:c r="P95" s="37" t="n">
        <x:v>64.77738767233349</x:v>
      </x:c>
      <x:c r="Q95" s="37" t="n">
        <x:v>43.526475044847075</x:v>
      </x:c>
    </x:row>
    <x:row r="96">
      <x:c r="C96" s="19" t="n">
        <x:v>42156</x:v>
      </x:c>
      <x:c r="D96" s="19" t="n">
        <x:v>42185</x:v>
      </x:c>
      <x:c r="E96" s="34" t="str">
        <x:v>grid_vtqvtw11.xlsx</x:v>
      </x:c>
      <x:c r="F96" s="37" t="n">
        <x:v>64.74448803318528</x:v>
      </x:c>
      <x:c r="G96" s="37" t="n">
        <x:v>77.37524234523225</x:v>
      </x:c>
      <x:c r="H96" s="37" t="n">
        <x:v>108.96947267319999</x:v>
      </x:c>
      <x:c r="I96" s="37" t="n">
        <x:v>126.69032669197537</x:v>
      </x:c>
      <x:c r="J96" s="37" t="n">
        <x:v>51.697419529561905</x:v>
      </x:c>
      <x:c r="K96" s="37" t="n">
        <x:v>78.21541177988321</x:v>
      </x:c>
      <x:c r="L96" s="37" t="n">
        <x:v>59.40836172794847</x:v>
      </x:c>
      <x:c r="M96" s="37" t="n">
        <x:v>75.73127240555141</x:v>
      </x:c>
      <x:c r="N96" s="37"/>
      <x:c r="O96" s="37" t="n">
        <x:v>2.5690459621843007</x:v>
      </x:c>
      <x:c r="P96" s="37" t="n">
        <x:v>63.42413584584441</x:v>
      </x:c>
      <x:c r="Q96" s="37" t="n">
        <x:v>42.08295120030963</x:v>
      </x:c>
    </x:row>
    <x:row r="97">
      <x:c r="C97" s="19" t="n">
        <x:v>42186</x:v>
      </x:c>
      <x:c r="D97" s="19" t="n">
        <x:v>42216</x:v>
      </x:c>
      <x:c r="E97" s="34" t="str">
        <x:v>grid_vtqvtw11.xlsx</x:v>
      </x:c>
      <x:c r="F97" s="37" t="n">
        <x:v>64.35981318413353</x:v>
      </x:c>
      <x:c r="G97" s="37" t="n">
        <x:v>82.32789247744195</x:v>
      </x:c>
      <x:c r="H97" s="37" t="n">
        <x:v>110.50077850736419</x:v>
      </x:c>
      <x:c r="I97" s="37" t="n">
        <x:v>127.81640607191527</x:v>
      </x:c>
      <x:c r="J97" s="37" t="n">
        <x:v>52.781333855023185</x:v>
      </x:c>
      <x:c r="K97" s="37" t="n">
        <x:v>78.60181634236454</x:v>
      </x:c>
      <x:c r="L97" s="37" t="n">
        <x:v>58.622346358700874</x:v>
      </x:c>
      <x:c r="M97" s="37" t="n">
        <x:v>80.35545730156586</x:v>
      </x:c>
      <x:c r="N97" s="37"/>
      <x:c r="O97" s="37" t="n">
        <x:v>4.17436829564722</x:v>
      </x:c>
      <x:c r="P97" s="37" t="n">
        <x:v>59.68764346979697</x:v>
      </x:c>
      <x:c r="Q97" s="37" t="n">
        <x:v>43.03474036669709</x:v>
      </x:c>
    </x:row>
    <x:row r="98">
      <x:c r="C98" s="19" t="n">
        <x:v>42217</x:v>
      </x:c>
      <x:c r="D98" s="19" t="n">
        <x:v>42247</x:v>
      </x:c>
      <x:c r="E98" s="34" t="str">
        <x:v>grid_vtqvtw11.xlsx</x:v>
      </x:c>
      <x:c r="F98" s="37" t="n">
        <x:v>63.14188429869997</x:v>
      </x:c>
      <x:c r="G98" s="37" t="n">
        <x:v>82.28264274241867</x:v>
      </x:c>
      <x:c r="H98" s="37" t="n">
        <x:v>112.27443384593909</x:v>
      </x:c>
      <x:c r="I98" s="37" t="n">
        <x:v>130.08264603397592</x:v>
      </x:c>
      <x:c r="J98" s="37" t="n">
        <x:v>49.40165940353877</x:v>
      </x:c>
      <x:c r="K98" s="37" t="n">
        <x:v>78.44024315909728</x:v>
      </x:c>
      <x:c r="L98" s="37" t="n">
        <x:v>58.50638405636642</x:v>
      </x:c>
      <x:c r="M98" s="37" t="n">
        <x:v>81.8415319837743</x:v>
      </x:c>
      <x:c r="N98" s="37"/>
      <x:c r="O98" s="37" t="n">
        <x:v>6.000509520706319</x:v>
      </x:c>
      <x:c r="P98" s="37" t="n">
        <x:v>61.96182207124332</x:v>
      </x:c>
      <x:c r="Q98" s="37" t="n">
        <x:v>42.50988450234224</x:v>
      </x:c>
    </x:row>
    <x:row r="99">
      <x:c r="C99" s="19" t="n">
        <x:v>42248</x:v>
      </x:c>
      <x:c r="D99" s="19" t="n">
        <x:v>42277</x:v>
      </x:c>
      <x:c r="E99" s="34" t="str">
        <x:v>grid_vtqvtw11.xlsx</x:v>
      </x:c>
      <x:c r="F99" s="37" t="n">
        <x:v>58.194800960626814</x:v>
      </x:c>
      <x:c r="G99" s="37" t="n">
        <x:v>88.64986554110985</x:v>
      </x:c>
      <x:c r="H99" s="37" t="n">
        <x:v>116.35860412076615</x:v>
      </x:c>
      <x:c r="I99" s="37" t="n">
        <x:v>120.73651215860875</x:v>
      </x:c>
      <x:c r="J99" s="37" t="n">
        <x:v>41.6987189969892</x:v>
      </x:c>
      <x:c r="K99" s="37" t="n">
        <x:v>78.90505306027585</x:v>
      </x:c>
      <x:c r="L99" s="37" t="n">
        <x:v>59.962765399302334</x:v>
      </x:c>
      <x:c r="M99" s="37" t="n">
        <x:v>85.91819475312798</x:v>
      </x:c>
      <x:c r="N99" s="37"/>
      <x:c r="O99" s="37" t="n">
        <x:v>3.925695955685044</x:v>
      </x:c>
      <x:c r="P99" s="37" t="n">
        <x:v>60.44210484264435</x:v>
      </x:c>
      <x:c r="Q99" s="37" t="n">
        <x:v>39.979470244108704</x:v>
      </x:c>
    </x:row>
    <x:row r="100">
      <x:c r="C100" s="19" t="n">
        <x:v>42278</x:v>
      </x:c>
      <x:c r="D100" s="19" t="n">
        <x:v>42307</x:v>
      </x:c>
      <x:c r="E100" s="34" t="str">
        <x:v>grid_vtqvtw11.xlsx</x:v>
      </x:c>
      <x:c r="F100" s="37" t="n">
        <x:v>57.76739812299607</x:v>
      </x:c>
      <x:c r="G100" s="37" t="n">
        <x:v>87.30974093341761</x:v>
      </x:c>
      <x:c r="H100" s="37" t="n">
        <x:v>118.83424488354197</x:v>
      </x:c>
      <x:c r="I100" s="37" t="n">
        <x:v>132.7722612479147</x:v>
      </x:c>
      <x:c r="J100" s="37" t="n">
        <x:v>41.52017662446655</x:v>
      </x:c>
      <x:c r="K100" s="37" t="n">
        <x:v>75.06585178049201</x:v>
      </x:c>
      <x:c r="L100" s="37" t="n">
        <x:v>59.512362153371335</x:v>
      </x:c>
      <x:c r="M100" s="37" t="n">
        <x:v>90.23308549645073</x:v>
      </x:c>
      <x:c r="N100" s="37"/>
      <x:c r="O100" s="37" t="n">
        <x:v>8.44531918552007</x:v>
      </x:c>
      <x:c r="P100" s="37" t="n">
        <x:v>57.396730241615316</x:v>
      </x:c>
      <x:c r="Q100" s="37" t="n">
        <x:v>39.92409929666683</x:v>
      </x:c>
    </x:row>
    <x:row r="101">
      <x:c r="C101" s="19" t="n">
        <x:v>42309</x:v>
      </x:c>
      <x:c r="D101" s="19" t="n">
        <x:v>42338</x:v>
      </x:c>
      <x:c r="E101" s="34" t="str">
        <x:v>grid_vtqvtw11.xlsx</x:v>
      </x:c>
      <x:c r="F101" s="37" t="n">
        <x:v>58.040168349929864</x:v>
      </x:c>
      <x:c r="G101" s="37" t="n">
        <x:v>87.99739765463175</x:v>
      </x:c>
      <x:c r="H101" s="37" t="n">
        <x:v>118.73411186478435</x:v>
      </x:c>
      <x:c r="I101" s="37" t="n">
        <x:v>134.47473828328296</x:v>
      </x:c>
      <x:c r="J101" s="37" t="n">
        <x:v>39.51693798542207</x:v>
      </x:c>
      <x:c r="K101" s="37" t="n">
        <x:v>74.18128618747451</x:v>
      </x:c>
      <x:c r="L101" s="37" t="n">
        <x:v>62.15166467225848</x:v>
      </x:c>
      <x:c r="M101" s="37" t="n">
        <x:v>93.66277748634255</x:v>
      </x:c>
      <x:c r="N101" s="37"/>
      <x:c r="O101" s="37" t="n">
        <x:v>9.719083172565139</x:v>
      </x:c>
      <x:c r="P101" s="37" t="n">
        <x:v>59.60139450009297</x:v>
      </x:c>
      <x:c r="Q101" s="37" t="n">
        <x:v>38.985326404173016</x:v>
      </x:c>
    </x:row>
    <x:row r="102">
      <x:c r="C102" s="19" t="n">
        <x:v>42339</x:v>
      </x:c>
      <x:c r="D102" s="19" t="n">
        <x:v>42369</x:v>
      </x:c>
      <x:c r="E102" s="34" t="str">
        <x:v>grid_vtqvtw11.xlsx</x:v>
      </x:c>
      <x:c r="F102" s="37" t="n">
        <x:v>56.35039211081667</x:v>
      </x:c>
      <x:c r="G102" s="37" t="n">
        <x:v>86.81883730632953</x:v>
      </x:c>
      <x:c r="H102" s="37" t="n">
        <x:v>121.59894655392856</x:v>
      </x:c>
      <x:c r="I102" s="37" t="n">
        <x:v>121.55259631972513</x:v>
      </x:c>
      <x:c r="J102" s="37" t="n">
        <x:v>37.31022972121799</x:v>
      </x:c>
      <x:c r="K102" s="37" t="n">
        <x:v>72.9295872280695</x:v>
      </x:c>
      <x:c r="L102" s="37" t="n">
        <x:v>67.56297426436645</x:v>
      </x:c>
      <x:c r="M102" s="37" t="n">
        <x:v>94.63477134675819</x:v>
      </x:c>
      <x:c r="N102" s="37"/>
      <x:c r="O102" s="37" t="n">
        <x:v>12.2981366162204</x:v>
      </x:c>
      <x:c r="P102" s="37" t="n">
        <x:v>65.93120824418722</x:v>
      </x:c>
      <x:c r="Q102" s="37" t="n">
        <x:v>39.17563487981708</x:v>
      </x:c>
    </x:row>
    <x:row r="103">
      <x:c r="C103" s="19" t="n">
        <x:v>42370</x:v>
      </x:c>
      <x:c r="D103" s="19" t="n">
        <x:v>42398</x:v>
      </x:c>
      <x:c r="E103" s="34" t="str">
        <x:v>grid_vtqvtw11.xlsx</x:v>
      </x:c>
      <x:c r="F103" s="37" t="n">
        <x:v>54.032925054010924</x:v>
      </x:c>
      <x:c r="G103" s="37" t="n">
        <x:v>84.51397191470433</x:v>
      </x:c>
      <x:c r="H103" s="37" t="n">
        <x:v>119.42390961129676</x:v>
      </x:c>
      <x:c r="I103" s="37" t="n">
        <x:v>127.84227476098931</x:v>
      </x:c>
      <x:c r="J103" s="37" t="n">
        <x:v>27.983665085989013</x:v>
      </x:c>
      <x:c r="K103" s="37" t="n">
        <x:v>72.31239133892802</x:v>
      </x:c>
      <x:c r="L103" s="37" t="n">
        <x:v>67.85212529122389</x:v>
      </x:c>
      <x:c r="M103" s="37" t="n">
        <x:v>95.3149345524688</x:v>
      </x:c>
      <x:c r="N103" s="37"/>
      <x:c r="O103" s="37" t="n">
        <x:v>6.636707738377612</x:v>
      </x:c>
      <x:c r="P103" s="37" t="n">
        <x:v>65.13975497650873</x:v>
      </x:c>
      <x:c r="Q103" s="37" t="n">
        <x:v>41.79113015726833</x:v>
      </x:c>
    </x:row>
    <x:row r="104">
      <x:c r="C104" s="19" t="n">
        <x:v>42401</x:v>
      </x:c>
      <x:c r="D104" s="19" t="n">
        <x:v>42429</x:v>
      </x:c>
      <x:c r="E104" s="34" t="str">
        <x:v>grid_vtqvtw11.xlsx</x:v>
      </x:c>
      <x:c r="F104" s="37" t="n">
        <x:v>51.70563354093274</x:v>
      </x:c>
      <x:c r="G104" s="37" t="n">
        <x:v>87.6909731111704</x:v>
      </x:c>
      <x:c r="H104" s="37" t="n">
        <x:v>123.68795225273712</x:v>
      </x:c>
      <x:c r="I104" s="37" t="n">
        <x:v>120.95649819734129</x:v>
      </x:c>
      <x:c r="J104" s="37" t="n">
        <x:v>25.867107913204197</x:v>
      </x:c>
      <x:c r="K104" s="37" t="n">
        <x:v>71.299676319397</x:v>
      </x:c>
      <x:c r="L104" s="37" t="n">
        <x:v>73.02563329471266</x:v>
      </x:c>
      <x:c r="M104" s="37" t="n">
        <x:v>93.88769209309899</x:v>
      </x:c>
      <x:c r="N104" s="37"/>
      <x:c r="O104" s="37" t="n">
        <x:v>3.376901648256805</x:v>
      </x:c>
      <x:c r="P104" s="37" t="n">
        <x:v>63.34661026814937</x:v>
      </x:c>
      <x:c r="Q104" s="37" t="n">
        <x:v>41.9856912678245</x:v>
      </x:c>
    </x:row>
    <x:row r="105">
      <x:c r="C105" s="19" t="n">
        <x:v>42430</x:v>
      </x:c>
      <x:c r="D105" s="19" t="n">
        <x:v>42460</x:v>
      </x:c>
      <x:c r="E105" s="34" t="str">
        <x:v>grid_vtqvtw11.xlsx</x:v>
      </x:c>
      <x:c r="F105" s="37" t="n">
        <x:v>52.07614966330365</x:v>
      </x:c>
      <x:c r="G105" s="37" t="n">
        <x:v>90.38338133237114</x:v>
      </x:c>
      <x:c r="H105" s="37" t="n">
        <x:v>125.53949215475136</x:v>
      </x:c>
      <x:c r="I105" s="37" t="n">
        <x:v>119.76881554927101</x:v>
      </x:c>
      <x:c r="J105" s="37" t="n">
        <x:v>17.086366554616333</x:v>
      </x:c>
      <x:c r="K105" s="37" t="n">
        <x:v>70.7389043628803</x:v>
      </x:c>
      <x:c r="L105" s="37" t="n">
        <x:v>76.63901437070363</x:v>
      </x:c>
      <x:c r="M105" s="37" t="n">
        <x:v>87.39718254898146</x:v>
      </x:c>
      <x:c r="N105" s="37"/>
      <x:c r="O105" s="37" t="n">
        <x:v>7.265908491403265</x:v>
      </x:c>
      <x:c r="P105" s="37" t="n">
        <x:v>65.8700571516104</x:v>
      </x:c>
      <x:c r="Q105" s="37" t="n">
        <x:v>42.6230969480506</x:v>
      </x:c>
    </x:row>
    <x:row r="106">
      <x:c r="C106" s="19" t="n">
        <x:v>42461</x:v>
      </x:c>
      <x:c r="D106" s="19" t="n">
        <x:v>42489</x:v>
      </x:c>
      <x:c r="E106" s="34" t="str">
        <x:v>grid_vtqvtw11.xlsx</x:v>
      </x:c>
      <x:c r="F106" s="37" t="n">
        <x:v>51.791863821069754</x:v>
      </x:c>
      <x:c r="G106" s="37" t="n">
        <x:v>91.12015410367177</x:v>
      </x:c>
      <x:c r="H106" s="37" t="n">
        <x:v>128.53790308279284</x:v>
      </x:c>
      <x:c r="I106" s="37" t="n">
        <x:v>122.46517764827993</x:v>
      </x:c>
      <x:c r="J106" s="37" t="n">
        <x:v>18.311047716829616</x:v>
      </x:c>
      <x:c r="K106" s="37" t="n">
        <x:v>70.0312851312131</x:v>
      </x:c>
      <x:c r="L106" s="37" t="n">
        <x:v>81.83295239705785</x:v>
      </x:c>
      <x:c r="M106" s="37" t="n">
        <x:v>83.61535279591004</x:v>
      </x:c>
      <x:c r="N106" s="37"/>
      <x:c r="O106" s="37" t="n">
        <x:v>7.229731410708295</x:v>
      </x:c>
      <x:c r="P106" s="37" t="n">
        <x:v>69.41747319216809</x:v>
      </x:c>
      <x:c r="Q106" s="37" t="n">
        <x:v>45.21635513218536</x:v>
      </x:c>
    </x:row>
    <x:row r="107">
      <x:c r="C107" s="19" t="n">
        <x:v>42491</x:v>
      </x:c>
      <x:c r="D107" s="19" t="n">
        <x:v>42521</x:v>
      </x:c>
      <x:c r="E107" s="34" t="str">
        <x:v>grid_vtqvtw11.xlsx</x:v>
      </x:c>
      <x:c r="F107" s="37" t="n">
        <x:v>54.1467704749509</x:v>
      </x:c>
      <x:c r="G107" s="37" t="n">
        <x:v>94.57807304330623</x:v>
      </x:c>
      <x:c r="H107" s="37" t="n">
        <x:v>130.88392812170477</x:v>
      </x:c>
      <x:c r="I107" s="37" t="n">
        <x:v>127.88326506260155</x:v>
      </x:c>
      <x:c r="J107" s="37" t="n">
        <x:v>22.210103077166895</x:v>
      </x:c>
      <x:c r="K107" s="37" t="n">
        <x:v>68.4366787248975</x:v>
      </x:c>
      <x:c r="L107" s="37" t="n">
        <x:v>86.1476493348431</x:v>
      </x:c>
      <x:c r="M107" s="37" t="n">
        <x:v>85.06952360055425</x:v>
      </x:c>
      <x:c r="N107" s="37"/>
      <x:c r="O107" s="37" t="n">
        <x:v>15.152899958148438</x:v>
      </x:c>
      <x:c r="P107" s="37" t="n">
        <x:v>68.92903195501023</x:v>
      </x:c>
      <x:c r="Q107" s="37" t="n">
        <x:v>46.443300970177035</x:v>
      </x:c>
    </x:row>
    <x:row r="108">
      <x:c r="C108" s="19" t="n">
        <x:v>42522</x:v>
      </x:c>
      <x:c r="D108" s="19" t="n">
        <x:v>42551</x:v>
      </x:c>
      <x:c r="E108" s="34" t="str">
        <x:v>grid_vtqvtw11.xlsx</x:v>
      </x:c>
      <x:c r="F108" s="37" t="n">
        <x:v>54.885361635499684</x:v>
      </x:c>
      <x:c r="G108" s="37" t="n">
        <x:v>96.19251603850084</x:v>
      </x:c>
      <x:c r="H108" s="37" t="n">
        <x:v>131.23207098011187</x:v>
      </x:c>
      <x:c r="I108" s="37" t="n">
        <x:v>125.80907031989896</x:v>
      </x:c>
      <x:c r="J108" s="37" t="n">
        <x:v>25.311013023327796</x:v>
      </x:c>
      <x:c r="K108" s="37" t="n">
        <x:v>68.30834368383911</x:v>
      </x:c>
      <x:c r="L108" s="37" t="n">
        <x:v>84.18685767542046</x:v>
      </x:c>
      <x:c r="M108" s="37" t="n">
        <x:v>84.78942028840832</x:v>
      </x:c>
      <x:c r="N108" s="37"/>
      <x:c r="O108" s="37" t="n">
        <x:v>17.01453617961878</x:v>
      </x:c>
      <x:c r="P108" s="37" t="n">
        <x:v>69.61232560239068</x:v>
      </x:c>
      <x:c r="Q108" s="37" t="n">
        <x:v>46.60596529578302</x:v>
      </x:c>
    </x:row>
    <x:row r="109">
      <x:c r="C109" s="19" t="n">
        <x:v>42552</x:v>
      </x:c>
      <x:c r="D109" s="19" t="n">
        <x:v>42580</x:v>
      </x:c>
      <x:c r="E109" s="34" t="str">
        <x:v>grid_vtqvtw11.xlsx</x:v>
      </x:c>
      <x:c r="F109" s="37" t="n">
        <x:v>55.44581963432446</x:v>
      </x:c>
      <x:c r="G109" s="37" t="n">
        <x:v>91.58478839961398</x:v>
      </x:c>
      <x:c r="H109" s="37" t="n">
        <x:v>131.47578572509067</x:v>
      </x:c>
      <x:c r="I109" s="37" t="n">
        <x:v>118.50535942730657</x:v>
      </x:c>
      <x:c r="J109" s="37" t="n">
        <x:v>30.700654299536613</x:v>
      </x:c>
      <x:c r="K109" s="37" t="n">
        <x:v>68.85595819375887</x:v>
      </x:c>
      <x:c r="L109" s="37" t="n">
        <x:v>86.01070560422694</x:v>
      </x:c>
      <x:c r="M109" s="37" t="n">
        <x:v>81.17880562792676</x:v>
      </x:c>
      <x:c r="N109" s="37"/>
      <x:c r="O109" s="37" t="n">
        <x:v>14.365055606238473</x:v>
      </x:c>
      <x:c r="P109" s="37" t="n">
        <x:v>67.42770083877096</x:v>
      </x:c>
      <x:c r="Q109" s="37" t="n">
        <x:v>47.08066434370747</x:v>
      </x:c>
    </x:row>
    <x:row r="110">
      <x:c r="C110" s="19" t="n">
        <x:v>42583</x:v>
      </x:c>
      <x:c r="D110" s="19" t="n">
        <x:v>42613</x:v>
      </x:c>
      <x:c r="E110" s="34" t="str">
        <x:v>grid_vtqvtw11.xlsx</x:v>
      </x:c>
      <x:c r="F110" s="37" t="n">
        <x:v>59.107637130977096</x:v>
      </x:c>
      <x:c r="G110" s="37" t="n">
        <x:v>91.95593415621452</x:v>
      </x:c>
      <x:c r="H110" s="37" t="n">
        <x:v>132.31158223744612</x:v>
      </x:c>
      <x:c r="I110" s="37" t="n">
        <x:v>116.4186621437947</x:v>
      </x:c>
      <x:c r="J110" s="37" t="n">
        <x:v>37.45584842807664</x:v>
      </x:c>
      <x:c r="K110" s="37" t="n">
        <x:v>71.2216267325626</x:v>
      </x:c>
      <x:c r="L110" s="37" t="n">
        <x:v>85.65548974216657</x:v>
      </x:c>
      <x:c r="M110" s="37" t="n">
        <x:v>78.6549015845778</x:v>
      </x:c>
      <x:c r="N110" s="37"/>
      <x:c r="O110" s="37" t="n">
        <x:v>15.48786304604732</x:v>
      </x:c>
      <x:c r="P110" s="37" t="n">
        <x:v>66.61945619419721</x:v>
      </x:c>
      <x:c r="Q110" s="37" t="n">
        <x:v>48.899355526488215</x:v>
      </x:c>
    </x:row>
    <x:row r="111">
      <x:c r="C111" s="19" t="n">
        <x:v>42614</x:v>
      </x:c>
      <x:c r="D111" s="19" t="n">
        <x:v>42643</x:v>
      </x:c>
      <x:c r="E111" s="34" t="str">
        <x:v>grid_vtqvtw11.xlsx</x:v>
      </x:c>
      <x:c r="F111" s="37" t="n">
        <x:v>60.150230708157146</x:v>
      </x:c>
      <x:c r="G111" s="37" t="n">
        <x:v>91.62347252897743</x:v>
      </x:c>
      <x:c r="H111" s="37" t="n">
        <x:v>135.21568327341794</x:v>
      </x:c>
      <x:c r="I111" s="37" t="n">
        <x:v>121.86171211401415</x:v>
      </x:c>
      <x:c r="J111" s="37" t="n">
        <x:v>35.41913924389402</x:v>
      </x:c>
      <x:c r="K111" s="37" t="n">
        <x:v>71.66021520591592</x:v>
      </x:c>
      <x:c r="L111" s="37" t="n">
        <x:v>90.38194346326803</x:v>
      </x:c>
      <x:c r="M111" s="37" t="n">
        <x:v>79.43915660938934</x:v>
      </x:c>
      <x:c r="N111" s="37"/>
      <x:c r="O111" s="37" t="n">
        <x:v>19.571362102911703</x:v>
      </x:c>
      <x:c r="P111" s="37" t="n">
        <x:v>64.61897296305153</x:v>
      </x:c>
      <x:c r="Q111" s="37" t="n">
        <x:v>52.72076577695286</x:v>
      </x:c>
    </x:row>
    <x:row r="112">
      <x:c r="C112" s="19" t="n">
        <x:v>42644</x:v>
      </x:c>
      <x:c r="D112" s="19" t="n">
        <x:v>42674</x:v>
      </x:c>
      <x:c r="E112" s="34" t="str">
        <x:v>grid_vtqvtw11.xlsx</x:v>
      </x:c>
      <x:c r="F112" s="37" t="n">
        <x:v>62.125965827465556</x:v>
      </x:c>
      <x:c r="G112" s="37" t="n">
        <x:v>88.59416523466933</x:v>
      </x:c>
      <x:c r="H112" s="37" t="n">
        <x:v>137.3864019965485</x:v>
      </x:c>
      <x:c r="I112" s="37" t="n">
        <x:v>114.03045221203566</x:v>
      </x:c>
      <x:c r="J112" s="37" t="n">
        <x:v>35.678445583878215</x:v>
      </x:c>
      <x:c r="K112" s="37" t="n">
        <x:v>74.60134217130982</x:v>
      </x:c>
      <x:c r="L112" s="37" t="n">
        <x:v>89.55907728624473</x:v>
      </x:c>
      <x:c r="M112" s="37" t="n">
        <x:v>79.33937309144407</x:v>
      </x:c>
      <x:c r="N112" s="37"/>
      <x:c r="O112" s="37" t="n">
        <x:v>19.16355166226877</x:v>
      </x:c>
      <x:c r="P112" s="37" t="n">
        <x:v>60.59869638300904</x:v>
      </x:c>
      <x:c r="Q112" s="37" t="n">
        <x:v>54.120639999778675</x:v>
      </x:c>
    </x:row>
    <x:row r="113">
      <x:c r="C113" s="19" t="n">
        <x:v>42675</x:v>
      </x:c>
      <x:c r="D113" s="19" t="n">
        <x:v>42704</x:v>
      </x:c>
      <x:c r="E113" s="34" t="str">
        <x:v>grid_vtqvtw11.xlsx</x:v>
      </x:c>
      <x:c r="F113" s="37" t="n">
        <x:v>63.652861618339095</x:v>
      </x:c>
      <x:c r="G113" s="37" t="n">
        <x:v>91.22148696851806</x:v>
      </x:c>
      <x:c r="H113" s="37" t="n">
        <x:v>138.7820697142361</x:v>
      </x:c>
      <x:c r="I113" s="37" t="n">
        <x:v>110.0784040022595</x:v>
      </x:c>
      <x:c r="J113" s="37" t="n">
        <x:v>36.072148497505516</x:v>
      </x:c>
      <x:c r="K113" s="37" t="n">
        <x:v>78.18917808272174</x:v>
      </x:c>
      <x:c r="L113" s="37" t="n">
        <x:v>91.65184258334396</x:v>
      </x:c>
      <x:c r="M113" s="37" t="n">
        <x:v>77.84642808803139</x:v>
      </x:c>
      <x:c r="N113" s="37"/>
      <x:c r="O113" s="37" t="n">
        <x:v>22.189173984137227</x:v>
      </x:c>
      <x:c r="P113" s="37" t="n">
        <x:v>60.8261532716042</x:v>
      </x:c>
      <x:c r="Q113" s="37" t="n">
        <x:v>54.611127400504856</x:v>
      </x:c>
    </x:row>
    <x:row r="114">
      <x:c r="C114" s="19" t="n">
        <x:v>42705</x:v>
      </x:c>
      <x:c r="D114" s="19" t="n">
        <x:v>42734</x:v>
      </x:c>
      <x:c r="E114" s="34" t="str">
        <x:v>grid_vtqvtw11.xlsx</x:v>
      </x:c>
      <x:c r="F114" s="37" t="n">
        <x:v>66.15940732251467</x:v>
      </x:c>
      <x:c r="G114" s="37" t="n">
        <x:v>95.43191692800693</x:v>
      </x:c>
      <x:c r="H114" s="37" t="n">
        <x:v>135.826834707222</x:v>
      </x:c>
      <x:c r="I114" s="37" t="n">
        <x:v>109.25455761191114</x:v>
      </x:c>
      <x:c r="J114" s="37" t="n">
        <x:v>37.891716849715486</x:v>
      </x:c>
      <x:c r="K114" s="37" t="n">
        <x:v>78.57210116859387</x:v>
      </x:c>
      <x:c r="L114" s="37" t="n">
        <x:v>93.62092419846068</x:v>
      </x:c>
      <x:c r="M114" s="37" t="n">
        <x:v>77.99115718474646</x:v>
      </x:c>
      <x:c r="N114" s="37"/>
      <x:c r="O114" s="37" t="n">
        <x:v>33.661732654306135</x:v>
      </x:c>
      <x:c r="P114" s="37" t="n">
        <x:v>61.24425957046675</x:v>
      </x:c>
      <x:c r="Q114" s="37" t="n">
        <x:v>52.400595458081476</x:v>
      </x:c>
    </x:row>
    <x:row r="115">
      <x:c r="C115" s="19" t="n">
        <x:v>42736</x:v>
      </x:c>
      <x:c r="D115" s="19" t="n">
        <x:v>42766</x:v>
      </x:c>
      <x:c r="E115" s="34" t="str">
        <x:v>grid_ovzcidwu.xlsx</x:v>
      </x:c>
      <x:c r="F115" s="37" t="n">
        <x:v>71.7803452598888</x:v>
      </x:c>
      <x:c r="G115" s="37" t="n">
        <x:v>94.73747692960201</x:v>
      </x:c>
      <x:c r="H115" s="37" t="n">
        <x:v>135.20970693764443</x:v>
      </x:c>
      <x:c r="I115" s="37" t="n">
        <x:v>112.47762249337565</x:v>
      </x:c>
      <x:c r="J115" s="37" t="n">
        <x:v>44.333298098486196</x:v>
      </x:c>
      <x:c r="K115" s="37" t="n">
        <x:v>80.50986437246632</x:v>
      </x:c>
      <x:c r="L115" s="37" t="n">
        <x:v>95.72242165157549</x:v>
      </x:c>
      <x:c r="M115" s="37" t="n">
        <x:v>80.20123396306356</x:v>
      </x:c>
      <x:c r="N115" s="37"/>
      <x:c r="O115" s="37" t="n">
        <x:v>43.823332724718455</x:v>
      </x:c>
      <x:c r="P115" s="37" t="n">
        <x:v>63.42250416040775</x:v>
      </x:c>
      <x:c r="Q115" s="37" t="n">
        <x:v>54.30798530542703</x:v>
      </x:c>
    </x:row>
    <x:row r="116">
      <x:c r="C116" s="19" t="n">
        <x:v>42767</x:v>
      </x:c>
      <x:c r="D116" s="19" t="n">
        <x:v>42794</x:v>
      </x:c>
      <x:c r="E116" s="34" t="str">
        <x:v>grid_ovzcidwu.xlsx</x:v>
      </x:c>
      <x:c r="F116" s="37" t="n">
        <x:v>74.89988745959847</x:v>
      </x:c>
      <x:c r="G116" s="37" t="n">
        <x:v>93.64511654423056</x:v>
      </x:c>
      <x:c r="H116" s="37" t="n">
        <x:v>133.7096672096576</x:v>
      </x:c>
      <x:c r="I116" s="37" t="n">
        <x:v>117.29012949445936</x:v>
      </x:c>
      <x:c r="J116" s="37" t="n">
        <x:v>47.41168066549559</x:v>
      </x:c>
      <x:c r="K116" s="37" t="n">
        <x:v>81.78699825738089</x:v>
      </x:c>
      <x:c r="L116" s="37" t="n">
        <x:v>96.19209570154807</x:v>
      </x:c>
      <x:c r="M116" s="37" t="n">
        <x:v>85.87339685222602</x:v>
      </x:c>
      <x:c r="N116" s="37"/>
      <x:c r="O116" s="37" t="n">
        <x:v>49.21215307364106</x:v>
      </x:c>
      <x:c r="P116" s="37" t="n">
        <x:v>66.73885941732931</x:v>
      </x:c>
      <x:c r="Q116" s="37" t="n">
        <x:v>59.4892643845644</x:v>
      </x:c>
    </x:row>
    <x:row r="117">
      <x:c r="C117" s="19" t="n">
        <x:v>42795</x:v>
      </x:c>
      <x:c r="D117" s="19" t="n">
        <x:v>42825</x:v>
      </x:c>
      <x:c r="E117" s="34" t="str">
        <x:v>grid_ovzcidwu.xlsx</x:v>
      </x:c>
      <x:c r="F117" s="37" t="n">
        <x:v>76.13159117286482</x:v>
      </x:c>
      <x:c r="G117" s="37" t="n">
        <x:v>95.22654874272473</x:v>
      </x:c>
      <x:c r="H117" s="37" t="n">
        <x:v>133.7330409261753</x:v>
      </x:c>
      <x:c r="I117" s="37" t="n">
        <x:v>116.21607923256725</x:v>
      </x:c>
      <x:c r="J117" s="37" t="n">
        <x:v>46.43139961889082</x:v>
      </x:c>
      <x:c r="K117" s="37" t="n">
        <x:v>83.56405160087664</x:v>
      </x:c>
      <x:c r="L117" s="37" t="n">
        <x:v>96.8934145862813</x:v>
      </x:c>
      <x:c r="M117" s="37" t="n">
        <x:v>80.3815300350808</x:v>
      </x:c>
      <x:c r="N117" s="37"/>
      <x:c r="O117" s="37" t="n">
        <x:v>58.94157736638783</x:v>
      </x:c>
      <x:c r="P117" s="37" t="n">
        <x:v>69.25457919943037</x:v>
      </x:c>
      <x:c r="Q117" s="37" t="n">
        <x:v>62.18311954916086</x:v>
      </x:c>
    </x:row>
    <x:row r="118">
      <x:c r="C118" s="19" t="n">
        <x:v>42826</x:v>
      </x:c>
      <x:c r="D118" s="19" t="n">
        <x:v>42853</x:v>
      </x:c>
      <x:c r="E118" s="34" t="str">
        <x:v>grid_ovzcidwu.xlsx</x:v>
      </x:c>
      <x:c r="F118" s="37" t="n">
        <x:v>74.01810270856274</x:v>
      </x:c>
      <x:c r="G118" s="37" t="n">
        <x:v>85.45804042009907</x:v>
      </x:c>
      <x:c r="H118" s="37" t="n">
        <x:v>132.06618966330416</x:v>
      </x:c>
      <x:c r="I118" s="37" t="n">
        <x:v>110.7980263707006</x:v>
      </x:c>
      <x:c r="J118" s="37" t="n">
        <x:v>41.54732067583412</x:v>
      </x:c>
      <x:c r="K118" s="37" t="n">
        <x:v>83.9360673096222</x:v>
      </x:c>
      <x:c r="L118" s="37" t="n">
        <x:v>96.66878567925177</x:v>
      </x:c>
      <x:c r="M118" s="37" t="n">
        <x:v>81.45468389702903</x:v>
      </x:c>
      <x:c r="N118" s="37"/>
      <x:c r="O118" s="37" t="n">
        <x:v>57.92877819805097</x:v>
      </x:c>
      <x:c r="P118" s="37" t="n">
        <x:v>70.42571787058178</x:v>
      </x:c>
      <x:c r="Q118" s="37" t="n">
        <x:v>62.105240218947465</x:v>
      </x:c>
    </x:row>
    <x:row r="119">
      <x:c r="C119" s="19" t="n">
        <x:v>42856</x:v>
      </x:c>
      <x:c r="D119" s="19" t="n">
        <x:v>42886</x:v>
      </x:c>
      <x:c r="E119" s="34" t="str">
        <x:v>grid_ovzcidwu.xlsx</x:v>
      </x:c>
      <x:c r="F119" s="37" t="n">
        <x:v>73.35019693345784</x:v>
      </x:c>
      <x:c r="G119" s="37" t="n">
        <x:v>88.38377414474847</x:v>
      </x:c>
      <x:c r="H119" s="37" t="n">
        <x:v>137.13651994876898</x:v>
      </x:c>
      <x:c r="I119" s="37" t="n">
        <x:v>105.93264433931098</x:v>
      </x:c>
      <x:c r="J119" s="37" t="n">
        <x:v>50.78397906654006</x:v>
      </x:c>
      <x:c r="K119" s="37" t="n">
        <x:v>82.73884448070459</x:v>
      </x:c>
      <x:c r="L119" s="37" t="n">
        <x:v>94.32984473896408</x:v>
      </x:c>
      <x:c r="M119" s="37" t="n">
        <x:v>82.36742431843544</x:v>
      </x:c>
      <x:c r="N119" s="37"/>
      <x:c r="O119" s="37" t="n">
        <x:v>56.489475668999255</x:v>
      </x:c>
      <x:c r="P119" s="37" t="n">
        <x:v>72.43184647969049</x:v>
      </x:c>
      <x:c r="Q119" s="37" t="n">
        <x:v>57.536092429494154</x:v>
      </x:c>
    </x:row>
    <x:row r="120">
      <x:c r="C120" s="19" t="n">
        <x:v>42887</x:v>
      </x:c>
      <x:c r="D120" s="19" t="n">
        <x:v>42916</x:v>
      </x:c>
      <x:c r="E120" s="34" t="str">
        <x:v>grid_ovzcidwu.xlsx</x:v>
      </x:c>
      <x:c r="F120" s="37" t="n">
        <x:v>73.20939461093803</x:v>
      </x:c>
      <x:c r="G120" s="37" t="n">
        <x:v>89.13306204778347</x:v>
      </x:c>
      <x:c r="H120" s="37" t="n">
        <x:v>137.54802732362975</x:v>
      </x:c>
      <x:c r="I120" s="37" t="n">
        <x:v>110.9956714581407</x:v>
      </x:c>
      <x:c r="J120" s="37" t="n">
        <x:v>49.27927753885705</x:v>
      </x:c>
      <x:c r="K120" s="37" t="n">
        <x:v>83.37834860021033</x:v>
      </x:c>
      <x:c r="L120" s="37" t="n">
        <x:v>94.40980714494707</x:v>
      </x:c>
      <x:c r="M120" s="37" t="n">
        <x:v>83.53836243074647</x:v>
      </x:c>
      <x:c r="N120" s="37"/>
      <x:c r="O120" s="37" t="n">
        <x:v>52.33951929592779</x:v>
      </x:c>
      <x:c r="P120" s="37" t="n">
        <x:v>79.1580591131593</x:v>
      </x:c>
      <x:c r="Q120" s="37" t="n">
        <x:v>69.0203351533388</x:v>
      </x:c>
    </x:row>
    <x:row r="121">
      <x:c r="C121" s="19" t="n">
        <x:v>42917</x:v>
      </x:c>
      <x:c r="D121" s="19" t="n">
        <x:v>42947</x:v>
      </x:c>
      <x:c r="E121" s="34" t="str">
        <x:v>grid_ovzcidwu.xlsx</x:v>
      </x:c>
      <x:c r="F121" s="37" t="n">
        <x:v>72.89443224857162</x:v>
      </x:c>
      <x:c r="G121" s="37" t="n">
        <x:v>88.10740569812933</x:v>
      </x:c>
      <x:c r="H121" s="37" t="n">
        <x:v>135.1955148491921</x:v>
      </x:c>
      <x:c r="I121" s="37" t="n">
        <x:v>110.79403782632828</x:v>
      </x:c>
      <x:c r="J121" s="37" t="n">
        <x:v>50.9395577002248</x:v>
      </x:c>
      <x:c r="K121" s="37" t="n">
        <x:v>83.99525675380846</x:v>
      </x:c>
      <x:c r="L121" s="37" t="n">
        <x:v>93.83112983868251</x:v>
      </x:c>
      <x:c r="M121" s="37" t="n">
        <x:v>84.51667224654244</x:v>
      </x:c>
      <x:c r="N121" s="37"/>
      <x:c r="O121" s="37" t="n">
        <x:v>48.61817541457603</x:v>
      </x:c>
      <x:c r="P121" s="37" t="n">
        <x:v>82.18784616653971</x:v>
      </x:c>
      <x:c r="Q121" s="37" t="n">
        <x:v>67.86213754676996</x:v>
      </x:c>
    </x:row>
    <x:row r="122">
      <x:c r="C122" s="19" t="n">
        <x:v>42948</x:v>
      </x:c>
      <x:c r="D122" s="19" t="n">
        <x:v>42978</x:v>
      </x:c>
      <x:c r="E122" s="34" t="str">
        <x:v>grid_ovzcidwu.xlsx</x:v>
      </x:c>
      <x:c r="F122" s="37" t="n">
        <x:v>73.21219315401258</x:v>
      </x:c>
      <x:c r="G122" s="37" t="n">
        <x:v>88.71124189128933</x:v>
      </x:c>
      <x:c r="H122" s="37" t="n">
        <x:v>136.6862368905398</x:v>
      </x:c>
      <x:c r="I122" s="37" t="n">
        <x:v>110.12478778682069</x:v>
      </x:c>
      <x:c r="J122" s="37" t="n">
        <x:v>47.5964485739117</x:v>
      </x:c>
      <x:c r="K122" s="37" t="n">
        <x:v>86.0076796988281</x:v>
      </x:c>
      <x:c r="L122" s="37" t="n">
        <x:v>96.05845882161897</x:v>
      </x:c>
      <x:c r="M122" s="37" t="n">
        <x:v>83.05388895093583</x:v>
      </x:c>
      <x:c r="N122" s="37"/>
      <x:c r="O122" s="37" t="n">
        <x:v>49.3253530221685</x:v>
      </x:c>
      <x:c r="P122" s="37" t="n">
        <x:v>84.32826668588315</x:v>
      </x:c>
      <x:c r="Q122" s="37" t="n">
        <x:v>69.40489679211525</x:v>
      </x:c>
    </x:row>
    <x:row r="123">
      <x:c r="C123" s="19" t="n">
        <x:v>42979</x:v>
      </x:c>
      <x:c r="D123" s="19" t="n">
        <x:v>43007</x:v>
      </x:c>
      <x:c r="E123" s="34" t="str">
        <x:v>grid_ovzcidwu.xlsx</x:v>
      </x:c>
      <x:c r="F123" s="37" t="n">
        <x:v>71.63123167604687</x:v>
      </x:c>
      <x:c r="G123" s="37" t="n">
        <x:v>87.56098785838353</x:v>
      </x:c>
      <x:c r="H123" s="37" t="n">
        <x:v>137.63174628005768</x:v>
      </x:c>
      <x:c r="I123" s="37" t="n">
        <x:v>109.48458012603786</x:v>
      </x:c>
      <x:c r="J123" s="37" t="n">
        <x:v>45.74022888147529</x:v>
      </x:c>
      <x:c r="K123" s="37" t="n">
        <x:v>84.95896886423509</x:v>
      </x:c>
      <x:c r="L123" s="37" t="n">
        <x:v>94.55732555525212</x:v>
      </x:c>
      <x:c r="M123" s="37" t="n">
        <x:v>80.90678350013027</x:v>
      </x:c>
      <x:c r="N123" s="37"/>
      <x:c r="O123" s="37" t="n">
        <x:v>48.33984479459457</x:v>
      </x:c>
      <x:c r="P123" s="37" t="n">
        <x:v>83.04963106114698</x:v>
      </x:c>
      <x:c r="Q123" s="37" t="n">
        <x:v>69.69988466539903</x:v>
      </x:c>
    </x:row>
    <x:row r="124">
      <x:c r="C124" s="19" t="n">
        <x:v>43009</x:v>
      </x:c>
      <x:c r="D124" s="19" t="n">
        <x:v>43039</x:v>
      </x:c>
      <x:c r="E124" s="34" t="str">
        <x:v>grid_ovzcidwu.xlsx</x:v>
      </x:c>
      <x:c r="F124" s="37" t="n">
        <x:v>72.10478230711789</x:v>
      </x:c>
      <x:c r="G124" s="37" t="n">
        <x:v>87.96500842045573</x:v>
      </x:c>
      <x:c r="H124" s="37" t="n">
        <x:v>140.54602930933783</x:v>
      </x:c>
      <x:c r="I124" s="37" t="n">
        <x:v>110.9948225118249</x:v>
      </x:c>
      <x:c r="J124" s="37" t="n">
        <x:v>43.83832189022003</x:v>
      </x:c>
      <x:c r="K124" s="37" t="n">
        <x:v>87.27944541869383</x:v>
      </x:c>
      <x:c r="L124" s="37" t="n">
        <x:v>97.93984872887229</x:v>
      </x:c>
      <x:c r="M124" s="37" t="n">
        <x:v>78.73653274541164</x:v>
      </x:c>
      <x:c r="N124" s="37"/>
      <x:c r="O124" s="37" t="n">
        <x:v>45.57014266337532</x:v>
      </x:c>
      <x:c r="P124" s="37" t="n">
        <x:v>84.83008255033675</x:v>
      </x:c>
      <x:c r="Q124" s="37" t="n">
        <x:v>71.06983284049393</x:v>
      </x:c>
    </x:row>
    <x:row r="125">
      <x:c r="C125" s="19" t="n">
        <x:v>43040</x:v>
      </x:c>
      <x:c r="D125" s="19" t="n">
        <x:v>43069</x:v>
      </x:c>
      <x:c r="E125" s="34" t="str">
        <x:v>grid_ovzcidwu.xlsx</x:v>
      </x:c>
      <x:c r="F125" s="37" t="n">
        <x:v>74.31169679572666</x:v>
      </x:c>
      <x:c r="G125" s="37" t="n">
        <x:v>89.24247975668354</x:v>
      </x:c>
      <x:c r="H125" s="37" t="n">
        <x:v>141.40635434077265</x:v>
      </x:c>
      <x:c r="I125" s="37" t="n">
        <x:v>114.02915083313196</x:v>
      </x:c>
      <x:c r="J125" s="37" t="n">
        <x:v>44.64462837459816</x:v>
      </x:c>
      <x:c r="K125" s="37" t="n">
        <x:v>87.23518251837157</x:v>
      </x:c>
      <x:c r="L125" s="37" t="n">
        <x:v>101.4055667185241</x:v>
      </x:c>
      <x:c r="M125" s="37" t="n">
        <x:v>77.95009623065488</x:v>
      </x:c>
      <x:c r="N125" s="37"/>
      <x:c r="O125" s="37" t="n">
        <x:v>53.27306341644644</x:v>
      </x:c>
      <x:c r="P125" s="37" t="n">
        <x:v>87.87281861241922</x:v>
      </x:c>
      <x:c r="Q125" s="37" t="n">
        <x:v>71.6410332052756</x:v>
      </x:c>
    </x:row>
    <x:row r="126">
      <x:c r="C126" s="19" t="n">
        <x:v>43070</x:v>
      </x:c>
      <x:c r="D126" s="19" t="n">
        <x:v>43098</x:v>
      </x:c>
      <x:c r="E126" s="34" t="str">
        <x:v>grid_ovzcidwu.xlsx</x:v>
      </x:c>
      <x:c r="F126" s="37" t="n">
        <x:v>77.22895663097998</x:v>
      </x:c>
      <x:c r="G126" s="37" t="n">
        <x:v>89.27214285562629</x:v>
      </x:c>
      <x:c r="H126" s="37" t="n">
        <x:v>136.76231708315598</x:v>
      </x:c>
      <x:c r="I126" s="37" t="n">
        <x:v>114.63959524057401</x:v>
      </x:c>
      <x:c r="J126" s="37" t="n">
        <x:v>50.62197761613546</x:v>
      </x:c>
      <x:c r="K126" s="37" t="n">
        <x:v>87.42826724405161</x:v>
      </x:c>
      <x:c r="L126" s="37" t="n">
        <x:v>88.52513471933601</x:v>
      </x:c>
      <x:c r="M126" s="37" t="n">
        <x:v>76.5608705878075</x:v>
      </x:c>
      <x:c r="N126" s="37"/>
      <x:c r="O126" s="37" t="n">
        <x:v>61.74617465572485</x:v>
      </x:c>
      <x:c r="P126" s="37" t="n">
        <x:v>81.31153211854958</x:v>
      </x:c>
      <x:c r="Q126" s="37" t="n">
        <x:v>75.53623565639768</x:v>
      </x:c>
    </x:row>
    <x:row r="127">
      <x:c r="C127" s="19" t="n">
        <x:v>43101</x:v>
      </x:c>
      <x:c r="D127" s="19" t="n">
        <x:v>43131</x:v>
      </x:c>
      <x:c r="E127" s="34" t="str">
        <x:v>grid_ovzcidwu.xlsx</x:v>
      </x:c>
      <x:c r="F127" s="37" t="n">
        <x:v>83.7965350891442</x:v>
      </x:c>
      <x:c r="G127" s="37" t="n">
        <x:v>91.85837493532603</x:v>
      </x:c>
      <x:c r="H127" s="37" t="n">
        <x:v>135.19448316965236</x:v>
      </x:c>
      <x:c r="I127" s="37" t="n">
        <x:v>123.30380999888612</x:v>
      </x:c>
      <x:c r="J127" s="37" t="n">
        <x:v>56.34888201830003</x:v>
      </x:c>
      <x:c r="K127" s="37" t="n">
        <x:v>90.26743963060706</x:v>
      </x:c>
      <x:c r="L127" s="37" t="n">
        <x:v>89.03572665736176</x:v>
      </x:c>
      <x:c r="M127" s="37" t="n">
        <x:v>77.67240039608046</x:v>
      </x:c>
      <x:c r="N127" s="37"/>
      <x:c r="O127" s="37" t="n">
        <x:v>62.751363547556814</x:v>
      </x:c>
      <x:c r="P127" s="37" t="n">
        <x:v>81.78045048112685</x:v>
      </x:c>
      <x:c r="Q127" s="37" t="n">
        <x:v>74.68210027302186</x:v>
      </x:c>
    </x:row>
    <x:row r="128">
      <x:c r="C128" s="19" t="n">
        <x:v>43132</x:v>
      </x:c>
      <x:c r="D128" s="19" t="n">
        <x:v>43159</x:v>
      </x:c>
      <x:c r="E128" s="34" t="str">
        <x:v>grid_ovzcidwu.xlsx</x:v>
      </x:c>
      <x:c r="F128" s="37" t="n">
        <x:v>90.62184137798855</x:v>
      </x:c>
      <x:c r="G128" s="37" t="n">
        <x:v>90.89840562101568</x:v>
      </x:c>
      <x:c r="H128" s="37" t="n">
        <x:v>131.94374774253487</x:v>
      </x:c>
      <x:c r="I128" s="37" t="n">
        <x:v>128.79479761800133</x:v>
      </x:c>
      <x:c r="J128" s="37" t="n">
        <x:v>67.24416833573423</x:v>
      </x:c>
      <x:c r="K128" s="37" t="n">
        <x:v>94.25696358883279</x:v>
      </x:c>
      <x:c r="L128" s="37" t="n">
        <x:v>91.40043154310212</x:v>
      </x:c>
      <x:c r="M128" s="37" t="n">
        <x:v>73.21461132510781</x:v>
      </x:c>
      <x:c r="N128" s="37"/>
      <x:c r="O128" s="37" t="n">
        <x:v>64.85864340775399</x:v>
      </x:c>
      <x:c r="P128" s="37" t="n">
        <x:v>81.8061468871404</x:v>
      </x:c>
      <x:c r="Q128" s="37" t="n">
        <x:v>78.55519443972685</x:v>
      </x:c>
    </x:row>
    <x:row r="129">
      <x:c r="C129" s="19" t="n">
        <x:v>43160</x:v>
      </x:c>
      <x:c r="D129" s="19" t="n">
        <x:v>43189</x:v>
      </x:c>
      <x:c r="E129" s="34" t="str">
        <x:v>grid_ovzcidwu.xlsx</x:v>
      </x:c>
      <x:c r="F129" s="37" t="n">
        <x:v>94.51687029839894</x:v>
      </x:c>
      <x:c r="G129" s="37" t="n">
        <x:v>93.01683372288072</x:v>
      </x:c>
      <x:c r="H129" s="37" t="n">
        <x:v>129.85283330465523</x:v>
      </x:c>
      <x:c r="I129" s="37" t="n">
        <x:v>140.00830451557874</x:v>
      </x:c>
      <x:c r="J129" s="37" t="n">
        <x:v>71.01671658687997</x:v>
      </x:c>
      <x:c r="K129" s="37" t="n">
        <x:v>96.88102897930352</x:v>
      </x:c>
      <x:c r="L129" s="37" t="n">
        <x:v>94.07050892598326</x:v>
      </x:c>
      <x:c r="M129" s="37" t="n">
        <x:v>74.6064783654502</x:v>
      </x:c>
      <x:c r="N129" s="37"/>
      <x:c r="O129" s="37" t="n">
        <x:v>66.25375936278569</x:v>
      </x:c>
      <x:c r="P129" s="37" t="n">
        <x:v>82.01432794821031</x:v>
      </x:c>
      <x:c r="Q129" s="37" t="n">
        <x:v>64.61679619866115</x:v>
      </x:c>
    </x:row>
    <x:row r="130">
      <x:c r="C130" s="19" t="n">
        <x:v>43191</x:v>
      </x:c>
      <x:c r="D130" s="19" t="n">
        <x:v>43220</x:v>
      </x:c>
      <x:c r="E130" s="34" t="str">
        <x:v>grid_ovzcidwu.xlsx</x:v>
      </x:c>
      <x:c r="F130" s="37" t="n">
        <x:v>98.18302032910425</x:v>
      </x:c>
      <x:c r="G130" s="37" t="n">
        <x:v>88.25885542088943</x:v>
      </x:c>
      <x:c r="H130" s="37" t="n">
        <x:v>126.85858375273686</x:v>
      </x:c>
      <x:c r="I130" s="37" t="n">
        <x:v>137.9248900692848</x:v>
      </x:c>
      <x:c r="J130" s="37" t="n">
        <x:v>75.36620939554504</x:v>
      </x:c>
      <x:c r="K130" s="37" t="n">
        <x:v>97.54069700683459</x:v>
      </x:c>
      <x:c r="L130" s="37" t="n">
        <x:v>92.6426236499989</x:v>
      </x:c>
      <x:c r="M130" s="37" t="n">
        <x:v>75.24131789929473</x:v>
      </x:c>
      <x:c r="N130" s="37"/>
      <x:c r="O130" s="37" t="n">
        <x:v>71.6701419674297</x:v>
      </x:c>
      <x:c r="P130" s="37" t="n">
        <x:v>82.83206992879309</x:v>
      </x:c>
      <x:c r="Q130" s="37" t="n">
        <x:v>66.7472457478601</x:v>
      </x:c>
    </x:row>
    <x:row r="131">
      <x:c r="C131" s="19" t="n">
        <x:v>43221</x:v>
      </x:c>
      <x:c r="D131" s="19" t="n">
        <x:v>43251</x:v>
      </x:c>
      <x:c r="E131" s="34" t="str">
        <x:v>grid_ovzcidwu.xlsx</x:v>
      </x:c>
      <x:c r="F131" s="37" t="n">
        <x:v>100.56530200495628</x:v>
      </x:c>
      <x:c r="G131" s="37" t="n">
        <x:v>91.63689464664544</x:v>
      </x:c>
      <x:c r="H131" s="37" t="n">
        <x:v>111.7181647028774</x:v>
      </x:c>
      <x:c r="I131" s="37" t="n">
        <x:v>134.1158373641339</x:v>
      </x:c>
      <x:c r="J131" s="37" t="n">
        <x:v>85.15023518140352</x:v>
      </x:c>
      <x:c r="K131" s="37" t="n">
        <x:v>98.5344973583958</x:v>
      </x:c>
      <x:c r="L131" s="37" t="n">
        <x:v>93.17344313484861</x:v>
      </x:c>
      <x:c r="M131" s="37" t="n">
        <x:v>74.43668316815096</x:v>
      </x:c>
      <x:c r="N131" s="37"/>
      <x:c r="O131" s="37" t="n">
        <x:v>77.13504599308565</x:v>
      </x:c>
      <x:c r="P131" s="37" t="n">
        <x:v>86.2834783600875</x:v>
      </x:c>
      <x:c r="Q131" s="37" t="n">
        <x:v>75.95047286587274</x:v>
      </x:c>
    </x:row>
    <x:row r="132">
      <x:c r="C132" s="19" t="n">
        <x:v>43252</x:v>
      </x:c>
      <x:c r="D132" s="19" t="n">
        <x:v>43280</x:v>
      </x:c>
      <x:c r="E132" s="34" t="str">
        <x:v>grid_ovzcidwu.xlsx</x:v>
      </x:c>
      <x:c r="F132" s="37" t="n">
        <x:v>100.81826623174727</x:v>
      </x:c>
      <x:c r="G132" s="37" t="n">
        <x:v>94.16148484960593</x:v>
      </x:c>
      <x:c r="H132" s="37" t="n">
        <x:v>108.06972216571262</x:v>
      </x:c>
      <x:c r="I132" s="37" t="n">
        <x:v>127.53452448327704</x:v>
      </x:c>
      <x:c r="J132" s="37" t="n">
        <x:v>88.00146039656322</x:v>
      </x:c>
      <x:c r="K132" s="37" t="n">
        <x:v>98.69708944491529</x:v>
      </x:c>
      <x:c r="L132" s="37" t="n">
        <x:v>92.10077778507002</x:v>
      </x:c>
      <x:c r="M132" s="37" t="n">
        <x:v>75.43298001925356</x:v>
      </x:c>
      <x:c r="N132" s="37"/>
      <x:c r="O132" s="37" t="n">
        <x:v>79.49197616380388</x:v>
      </x:c>
      <x:c r="P132" s="37" t="n">
        <x:v>88.26405235767861</x:v>
      </x:c>
      <x:c r="Q132" s="37" t="n">
        <x:v>72.36575935312858</x:v>
      </x:c>
    </x:row>
    <x:row r="133">
      <x:c r="C133" s="19" t="n">
        <x:v>43282</x:v>
      </x:c>
      <x:c r="D133" s="19" t="n">
        <x:v>43312</x:v>
      </x:c>
      <x:c r="E133" s="34" t="str">
        <x:v>grid_ovzcidwu.xlsx</x:v>
      </x:c>
      <x:c r="F133" s="37" t="n">
        <x:v>106.56075726276642</x:v>
      </x:c>
      <x:c r="G133" s="37" t="n">
        <x:v>95.14369126612335</x:v>
      </x:c>
      <x:c r="H133" s="37" t="n">
        <x:v>106.93788794504509</x:v>
      </x:c>
      <x:c r="I133" s="37" t="n">
        <x:v>125.2894599468493</x:v>
      </x:c>
      <x:c r="J133" s="37" t="n">
        <x:v>92.407792086221</x:v>
      </x:c>
      <x:c r="K133" s="37" t="n">
        <x:v>101.09653438943893</x:v>
      </x:c>
      <x:c r="L133" s="37" t="n">
        <x:v>91.93945319909919</x:v>
      </x:c>
      <x:c r="M133" s="37" t="n">
        <x:v>78.03566523916669</x:v>
      </x:c>
      <x:c r="N133" s="37"/>
      <x:c r="O133" s="37" t="n">
        <x:v>83.7189098960039</x:v>
      </x:c>
      <x:c r="P133" s="37" t="n">
        <x:v>87.88696505013925</x:v>
      </x:c>
      <x:c r="Q133" s="37" t="n">
        <x:v>78.13371695392249</x:v>
      </x:c>
    </x:row>
    <x:row r="134">
      <x:c r="C134" s="19" t="n">
        <x:v>43313</x:v>
      </x:c>
      <x:c r="D134" s="19" t="n">
        <x:v>43343</x:v>
      </x:c>
      <x:c r="E134" s="34" t="str">
        <x:v>grid_ovzcidwu.xlsx</x:v>
      </x:c>
      <x:c r="F134" s="37" t="n">
        <x:v>110.167007509179</x:v>
      </x:c>
      <x:c r="G134" s="37" t="n">
        <x:v>94.35631866466657</x:v>
      </x:c>
      <x:c r="H134" s="37" t="n">
        <x:v>105.28607437798978</x:v>
      </x:c>
      <x:c r="I134" s="37" t="n">
        <x:v>126.77237303006179</x:v>
      </x:c>
      <x:c r="J134" s="37" t="n">
        <x:v>101.29608139701425</x:v>
      </x:c>
      <x:c r="K134" s="37" t="n">
        <x:v>102.07715026753452</x:v>
      </x:c>
      <x:c r="L134" s="37" t="n">
        <x:v>95.67016723683192</x:v>
      </x:c>
      <x:c r="M134" s="37" t="n">
        <x:v>75.68676903839308</x:v>
      </x:c>
      <x:c r="N134" s="37"/>
      <x:c r="O134" s="37" t="n">
        <x:v>83.57135803793786</x:v>
      </x:c>
      <x:c r="P134" s="37" t="n">
        <x:v>89.02122732335135</x:v>
      </x:c>
      <x:c r="Q134" s="37" t="n">
        <x:v>79.89037628482183</x:v>
      </x:c>
    </x:row>
    <x:row r="135">
      <x:c r="C135" s="19" t="n">
        <x:v>43344</x:v>
      </x:c>
      <x:c r="D135" s="19" t="n">
        <x:v>43371</x:v>
      </x:c>
      <x:c r="E135" s="34" t="str">
        <x:v>grid_ovzcidwu.xlsx</x:v>
      </x:c>
      <x:c r="F135" s="37" t="n">
        <x:v>121.86935729404236</x:v>
      </x:c>
      <x:c r="G135" s="37" t="n">
        <x:v>96.18657235752137</x:v>
      </x:c>
      <x:c r="H135" s="37" t="n">
        <x:v>103.93616565794497</x:v>
      </x:c>
      <x:c r="I135" s="37" t="n">
        <x:v>125.16789001689656</x:v>
      </x:c>
      <x:c r="J135" s="37" t="n">
        <x:v>109.60510575186345</x:v>
      </x:c>
      <x:c r="K135" s="37" t="n">
        <x:v>104.08205692966061</x:v>
      </x:c>
      <x:c r="L135" s="37" t="n">
        <x:v>100.24290185694531</x:v>
      </x:c>
      <x:c r="M135" s="37" t="n">
        <x:v>76.59864893884485</x:v>
      </x:c>
      <x:c r="N135" s="37"/>
      <x:c r="O135" s="37" t="n">
        <x:v>96.13722597659066</x:v>
      </x:c>
      <x:c r="P135" s="37" t="n">
        <x:v>88.65198002055014</x:v>
      </x:c>
      <x:c r="Q135" s="37" t="n">
        <x:v>82.7346616759828</x:v>
      </x:c>
    </x:row>
    <x:row r="136">
      <x:c r="C136" s="19" t="n">
        <x:v>43374</x:v>
      </x:c>
      <x:c r="D136" s="19" t="n">
        <x:v>43404</x:v>
      </x:c>
      <x:c r="E136" s="34" t="str">
        <x:v>grid_ovzcidwu.xlsx</x:v>
      </x:c>
      <x:c r="F136" s="37" t="n">
        <x:v>129.38840010527213</x:v>
      </x:c>
      <x:c r="G136" s="37" t="n">
        <x:v>99.52433057372532</x:v>
      </x:c>
      <x:c r="H136" s="37" t="n">
        <x:v>101.01374688847011</x:v>
      </x:c>
      <x:c r="I136" s="37" t="n">
        <x:v>114.81056297643167</x:v>
      </x:c>
      <x:c r="J136" s="37" t="n">
        <x:v>125.70197092688214</x:v>
      </x:c>
      <x:c r="K136" s="37" t="n">
        <x:v>102.90414596866735</x:v>
      </x:c>
      <x:c r="L136" s="37" t="n">
        <x:v>102.43215988071088</x:v>
      </x:c>
      <x:c r="M136" s="37" t="n">
        <x:v>75.6232518182024</x:v>
      </x:c>
      <x:c r="N136" s="37"/>
      <x:c r="O136" s="37" t="n">
        <x:v>97.96847919472104</x:v>
      </x:c>
      <x:c r="P136" s="37" t="n">
        <x:v>89.68295694982864</x:v>
      </x:c>
      <x:c r="Q136" s="37" t="n">
        <x:v>78.07809533792151</x:v>
      </x:c>
    </x:row>
    <x:row r="137">
      <x:c r="C137" s="19" t="n">
        <x:v>43405</x:v>
      </x:c>
      <x:c r="D137" s="19" t="n">
        <x:v>43434</x:v>
      </x:c>
      <x:c r="E137" s="34" t="str">
        <x:v>grid_ovzcidwu.xlsx</x:v>
      </x:c>
      <x:c r="F137" s="37" t="n">
        <x:v>125.29556611784307</x:v>
      </x:c>
      <x:c r="G137" s="37" t="n">
        <x:v>99.42126490666338</x:v>
      </x:c>
      <x:c r="H137" s="37" t="n">
        <x:v>99.53066050655373</x:v>
      </x:c>
      <x:c r="I137" s="37" t="n">
        <x:v>114.60435263476631</x:v>
      </x:c>
      <x:c r="J137" s="37" t="n">
        <x:v>120.65067815091774</x:v>
      </x:c>
      <x:c r="K137" s="37" t="n">
        <x:v>106.1154821806231</x:v>
      </x:c>
      <x:c r="L137" s="37" t="n">
        <x:v>103.11428321353424</x:v>
      </x:c>
      <x:c r="M137" s="37" t="n">
        <x:v>79.96289318353053</x:v>
      </x:c>
      <x:c r="N137" s="37"/>
      <x:c r="O137" s="37" t="n">
        <x:v>97.34103169959843</x:v>
      </x:c>
      <x:c r="P137" s="37" t="n">
        <x:v>91.27863088861453</x:v>
      </x:c>
      <x:c r="Q137" s="37" t="n">
        <x:v>67.198069948859</x:v>
      </x:c>
    </x:row>
    <x:row r="138">
      <x:c r="C138" s="19" t="n">
        <x:v>43435</x:v>
      </x:c>
      <x:c r="D138" s="19" t="n">
        <x:v>43465</x:v>
      </x:c>
      <x:c r="E138" s="34" t="str">
        <x:v>grid_ovzcidwu.xlsx</x:v>
      </x:c>
      <x:c r="F138" s="37" t="n">
        <x:v>122.46147976515644</x:v>
      </x:c>
      <x:c r="G138" s="37" t="n">
        <x:v>97.20829279359444</x:v>
      </x:c>
      <x:c r="H138" s="37" t="n">
        <x:v>99.00967692383644</x:v>
      </x:c>
      <x:c r="I138" s="37" t="n">
        <x:v>113.22994551791949</x:v>
      </x:c>
      <x:c r="J138" s="37" t="n">
        <x:v>111.45782148776718</x:v>
      </x:c>
      <x:c r="K138" s="37" t="n">
        <x:v>109.99566150541584</x:v>
      </x:c>
      <x:c r="L138" s="37" t="n">
        <x:v>102.95643011167483</x:v>
      </x:c>
      <x:c r="M138" s="37" t="n">
        <x:v>80.15434297347565</x:v>
      </x:c>
      <x:c r="N138" s="37"/>
      <x:c r="O138" s="37" t="n">
        <x:v>100.79667454625239</x:v>
      </x:c>
      <x:c r="P138" s="37" t="n">
        <x:v>89.5271871847259</x:v>
      </x:c>
      <x:c r="Q138" s="37" t="n">
        <x:v>67.81769778404843</x:v>
      </x:c>
    </x:row>
    <x:row r="139">
      <x:c r="C139" s="19" t="n">
        <x:v>43466</x:v>
      </x:c>
      <x:c r="D139" s="19" t="n">
        <x:v>43496</x:v>
      </x:c>
      <x:c r="E139" s="34" t="str">
        <x:v>grid_ovzcidwu.xlsx</x:v>
      </x:c>
      <x:c r="F139" s="37" t="n">
        <x:v>116.23731404623211</x:v>
      </x:c>
      <x:c r="G139" s="37" t="n">
        <x:v>98.28671811577344</x:v>
      </x:c>
      <x:c r="H139" s="37" t="n">
        <x:v>108.37756331802957</x:v>
      </x:c>
      <x:c r="I139" s="37" t="n">
        <x:v>114.13930948204332</x:v>
      </x:c>
      <x:c r="J139" s="37" t="n">
        <x:v>104.27820083627057</x:v>
      </x:c>
      <x:c r="K139" s="37" t="n">
        <x:v>106.8350756018725</x:v>
      </x:c>
      <x:c r="L139" s="37" t="n">
        <x:v>100.74873305581285</x:v>
      </x:c>
      <x:c r="M139" s="37" t="n">
        <x:v>75.55827862066732</x:v>
      </x:c>
      <x:c r="N139" s="37"/>
      <x:c r="O139" s="37" t="n">
        <x:v>97.80918212807427</x:v>
      </x:c>
      <x:c r="P139" s="37" t="n">
        <x:v>89.9728175030227</x:v>
      </x:c>
      <x:c r="Q139" s="37" t="n">
        <x:v>97.40629009026141</x:v>
      </x:c>
    </x:row>
    <x:row r="140">
      <x:c r="C140" s="19" t="n">
        <x:v>43497</x:v>
      </x:c>
      <x:c r="D140" s="19" t="n">
        <x:v>43524</x:v>
      </x:c>
      <x:c r="E140" s="34" t="str">
        <x:v>grid_ovzcidwu.xlsx</x:v>
      </x:c>
      <x:c r="F140" s="37" t="n">
        <x:v>121.1334272108064</x:v>
      </x:c>
      <x:c r="G140" s="37" t="n">
        <x:v>98.62165764470905</x:v>
      </x:c>
      <x:c r="H140" s="37" t="n">
        <x:v>109.4803618201355</x:v>
      </x:c>
      <x:c r="I140" s="37" t="n">
        <x:v>110.66648561071561</x:v>
      </x:c>
      <x:c r="J140" s="37" t="n">
        <x:v>110.33191230012062</x:v>
      </x:c>
      <x:c r="K140" s="37" t="n">
        <x:v>109.44970070045478</x:v>
      </x:c>
      <x:c r="L140" s="37" t="n">
        <x:v>100.61075905895581</x:v>
      </x:c>
      <x:c r="M140" s="37" t="n">
        <x:v>78.36164874406984</x:v>
      </x:c>
      <x:c r="N140" s="37"/>
      <x:c r="O140" s="37" t="n">
        <x:v>100.14855571784274</x:v>
      </x:c>
      <x:c r="P140" s="37" t="n">
        <x:v>88.81912054097863</x:v>
      </x:c>
      <x:c r="Q140" s="37" t="n">
        <x:v>97.68491179139319</x:v>
      </x:c>
    </x:row>
    <x:row r="141">
      <x:c r="C141" s="19" t="n">
        <x:v>43525</x:v>
      </x:c>
      <x:c r="D141" s="19" t="n">
        <x:v>43553</x:v>
      </x:c>
      <x:c r="E141" s="34" t="str">
        <x:v>grid_ovzcidwu.xlsx</x:v>
      </x:c>
      <x:c r="F141" s="37" t="n">
        <x:v>124.49854788430255</x:v>
      </x:c>
      <x:c r="G141" s="37" t="n">
        <x:v>97.83427055863027</x:v>
      </x:c>
      <x:c r="H141" s="37" t="n">
        <x:v>110.28101433014375</x:v>
      </x:c>
      <x:c r="I141" s="37" t="n">
        <x:v>107.69262637718707</x:v>
      </x:c>
      <x:c r="J141" s="37" t="n">
        <x:v>107.9551282060297</x:v>
      </x:c>
      <x:c r="K141" s="37" t="n">
        <x:v>112.25930278719652</x:v>
      </x:c>
      <x:c r="L141" s="37" t="n">
        <x:v>98.49278267507245</x:v>
      </x:c>
      <x:c r="M141" s="37" t="n">
        <x:v>77.92041370343016</x:v>
      </x:c>
      <x:c r="N141" s="37"/>
      <x:c r="O141" s="37" t="n">
        <x:v>102.59084666423949</x:v>
      </x:c>
      <x:c r="P141" s="37" t="n">
        <x:v>89.85716976923308</x:v>
      </x:c>
      <x:c r="Q141" s="37" t="n">
        <x:v>113.193109717435</x:v>
      </x:c>
    </x:row>
    <x:row r="142">
      <x:c r="C142" s="19" t="n">
        <x:v>43556</x:v>
      </x:c>
      <x:c r="D142" s="19" t="n">
        <x:v>43585</x:v>
      </x:c>
      <x:c r="E142" s="34" t="str">
        <x:v>grid_ovzcidwu.xlsx</x:v>
      </x:c>
      <x:c r="F142" s="37" t="n">
        <x:v>123.09190398933909</x:v>
      </x:c>
      <x:c r="G142" s="37" t="n">
        <x:v>97.79078245543448</x:v>
      </x:c>
      <x:c r="H142" s="37" t="n">
        <x:v>109.454202616526</x:v>
      </x:c>
      <x:c r="I142" s="37" t="n">
        <x:v>108.64321915726644</x:v>
      </x:c>
      <x:c r="J142" s="37" t="n">
        <x:v>107.68054428327352</x:v>
      </x:c>
      <x:c r="K142" s="37" t="n">
        <x:v>113.51873969511969</x:v>
      </x:c>
      <x:c r="L142" s="37" t="n">
        <x:v>99.49096457555908</x:v>
      </x:c>
      <x:c r="M142" s="37" t="n">
        <x:v>78.88426581662905</x:v>
      </x:c>
      <x:c r="N142" s="37"/>
      <x:c r="O142" s="37" t="n">
        <x:v>104.90255699175091</x:v>
      </x:c>
      <x:c r="P142" s="37" t="n">
        <x:v>89.86480116531062</x:v>
      </x:c>
      <x:c r="Q142" s="37" t="n">
        <x:v>106.49514622131898</x:v>
      </x:c>
    </x:row>
    <x:row r="143">
      <x:c r="C143" s="19" t="n">
        <x:v>43586</x:v>
      </x:c>
      <x:c r="D143" s="19" t="n">
        <x:v>43616</x:v>
      </x:c>
      <x:c r="E143" s="34" t="str">
        <x:v>grid_ovzcidwu.xlsx</x:v>
      </x:c>
      <x:c r="F143" s="37" t="n">
        <x:v>119.48729389280427</x:v>
      </x:c>
      <x:c r="G143" s="37" t="n">
        <x:v>98.62003230415674</x:v>
      </x:c>
      <x:c r="H143" s="37" t="n">
        <x:v>112.71308000996581</x:v>
      </x:c>
      <x:c r="I143" s="37" t="n">
        <x:v>107.87001654410948</x:v>
      </x:c>
      <x:c r="J143" s="37" t="n">
        <x:v>109.52202325793863</x:v>
      </x:c>
      <x:c r="K143" s="37" t="n">
        <x:v>110.28325441962666</x:v>
      </x:c>
      <x:c r="L143" s="37" t="n">
        <x:v>102.42431791851278</x:v>
      </x:c>
      <x:c r="M143" s="37" t="n">
        <x:v>78.80358283661877</x:v>
      </x:c>
      <x:c r="N143" s="37"/>
      <x:c r="O143" s="37" t="n">
        <x:v>98.63453781143173</x:v>
      </x:c>
      <x:c r="P143" s="37" t="n">
        <x:v>90.55425521976855</x:v>
      </x:c>
      <x:c r="Q143" s="37" t="n">
        <x:v>107.24958373470147</x:v>
      </x:c>
    </x:row>
    <x:row r="144">
      <x:c r="C144" s="19" t="n">
        <x:v>43617</x:v>
      </x:c>
      <x:c r="D144" s="19" t="n">
        <x:v>43644</x:v>
      </x:c>
      <x:c r="E144" s="34" t="str">
        <x:v>grid_ovzcidwu.xlsx</x:v>
      </x:c>
      <x:c r="F144" s="37" t="n">
        <x:v>120.30823456062151</x:v>
      </x:c>
      <x:c r="G144" s="37" t="n">
        <x:v>98.55644258296887</x:v>
      </x:c>
      <x:c r="H144" s="37" t="n">
        <x:v>109.57087505001661</x:v>
      </x:c>
      <x:c r="I144" s="37" t="n">
        <x:v>108.14371810649592</x:v>
      </x:c>
      <x:c r="J144" s="37" t="n">
        <x:v>111.94950871516028</x:v>
      </x:c>
      <x:c r="K144" s="37" t="n">
        <x:v>110.37462913144563</x:v>
      </x:c>
      <x:c r="L144" s="37" t="n">
        <x:v>99.03813404009149</x:v>
      </x:c>
      <x:c r="M144" s="37" t="n">
        <x:v>82.38990842367852</x:v>
      </x:c>
      <x:c r="N144" s="37"/>
      <x:c r="O144" s="37" t="n">
        <x:v>97.10271153218658</x:v>
      </x:c>
      <x:c r="P144" s="37" t="n">
        <x:v>91.14784774857182</x:v>
      </x:c>
      <x:c r="Q144" s="37" t="n">
        <x:v>108.65650356816259</x:v>
      </x:c>
    </x:row>
    <x:row r="145">
      <x:c r="C145" s="19" t="n">
        <x:v>43647</x:v>
      </x:c>
      <x:c r="D145" s="19" t="n">
        <x:v>43677</x:v>
      </x:c>
      <x:c r="E145" s="34" t="str">
        <x:v>grid_ovzcidwu.xlsx</x:v>
      </x:c>
      <x:c r="F145" s="37" t="n">
        <x:v>115.86169109810042</x:v>
      </x:c>
      <x:c r="G145" s="37" t="n">
        <x:v>101.49553504156188</x:v>
      </x:c>
      <x:c r="H145" s="37" t="n">
        <x:v>106.80846133889222</x:v>
      </x:c>
      <x:c r="I145" s="37" t="n">
        <x:v>111.01185800706435</x:v>
      </x:c>
      <x:c r="J145" s="37" t="n">
        <x:v>111.56577202808668</x:v>
      </x:c>
      <x:c r="K145" s="37" t="n">
        <x:v>106.98250491226634</x:v>
      </x:c>
      <x:c r="L145" s="37" t="n">
        <x:v>98.65744515789221</x:v>
      </x:c>
      <x:c r="M145" s="37" t="n">
        <x:v>87.14097929115775</x:v>
      </x:c>
      <x:c r="N145" s="37"/>
      <x:c r="O145" s="37" t="n">
        <x:v>103.43938641108596</x:v>
      </x:c>
      <x:c r="P145" s="37" t="n">
        <x:v>91.91513203480832</x:v>
      </x:c>
      <x:c r="Q145" s="37" t="n">
        <x:v>99.6867469009736</x:v>
      </x:c>
    </x:row>
    <x:row r="146">
      <x:c r="C146" s="19" t="n">
        <x:v>43678</x:v>
      </x:c>
      <x:c r="D146" s="19" t="n">
        <x:v>43707</x:v>
      </x:c>
      <x:c r="E146" s="34" t="str">
        <x:v>grid_ovzcidwu.xlsx</x:v>
      </x:c>
      <x:c r="F146" s="37" t="n">
        <x:v>109.99893207735592</x:v>
      </x:c>
      <x:c r="G146" s="37" t="n">
        <x:v>103.50960267152796</x:v>
      </x:c>
      <x:c r="H146" s="37" t="n">
        <x:v>113.04498232956266</x:v>
      </x:c>
      <x:c r="I146" s="37" t="n">
        <x:v>108.68091326058563</x:v>
      </x:c>
      <x:c r="J146" s="37" t="n">
        <x:v>100.66985489201772</x:v>
      </x:c>
      <x:c r="K146" s="37" t="n">
        <x:v>106.32520238502966</x:v>
      </x:c>
      <x:c r="L146" s="37" t="n">
        <x:v>98.13481766868334</x:v>
      </x:c>
      <x:c r="M146" s="37" t="n">
        <x:v>92.19653863544954</x:v>
      </x:c>
      <x:c r="N146" s="37"/>
      <x:c r="O146" s="37" t="n">
        <x:v>102.06125906324468</x:v>
      </x:c>
      <x:c r="P146" s="37" t="n">
        <x:v>93.19639053388735</x:v>
      </x:c>
      <x:c r="Q146" s="37" t="n">
        <x:v>117.24754070863167</x:v>
      </x:c>
    </x:row>
    <x:row r="147">
      <x:c r="C147" s="19" t="n">
        <x:v>43709</x:v>
      </x:c>
      <x:c r="D147" s="19" t="n">
        <x:v>43738</x:v>
      </x:c>
      <x:c r="E147" s="34" t="str">
        <x:v>grid_ovzcidwu.xlsx</x:v>
      </x:c>
      <x:c r="F147" s="37" t="n">
        <x:v>110.3784433208379</x:v>
      </x:c>
      <x:c r="G147" s="37" t="n">
        <x:v>103.35144530610691</x:v>
      </x:c>
      <x:c r="H147" s="37" t="n">
        <x:v>108.02435447841061</x:v>
      </x:c>
      <x:c r="I147" s="37" t="n">
        <x:v>112.50109978936409</x:v>
      </x:c>
      <x:c r="J147" s="37" t="n">
        <x:v>101.00029788233952</x:v>
      </x:c>
      <x:c r="K147" s="37" t="n">
        <x:v>105.03009634993235</x:v>
      </x:c>
      <x:c r="L147" s="37" t="n">
        <x:v>94.42363950335476</x:v>
      </x:c>
      <x:c r="M147" s="37" t="n">
        <x:v>93.51755901838766</x:v>
      </x:c>
      <x:c r="N147" s="37"/>
      <x:c r="O147" s="37" t="n">
        <x:v>101.92337371023088</x:v>
      </x:c>
      <x:c r="P147" s="37" t="n">
        <x:v>93.76026816648955</x:v>
      </x:c>
      <x:c r="Q147" s="37" t="n">
        <x:v>106.73556418773447</x:v>
      </x:c>
    </x:row>
    <x:row r="148">
      <x:c r="C148" s="19" t="n">
        <x:v>43739</x:v>
      </x:c>
      <x:c r="D148" s="19" t="n">
        <x:v>43769</x:v>
      </x:c>
      <x:c r="E148" s="34" t="str">
        <x:v>grid_ovzcidwu.xlsx</x:v>
      </x:c>
      <x:c r="F148" s="37" t="n">
        <x:v>109.6761343264131</x:v>
      </x:c>
      <x:c r="G148" s="37" t="n">
        <x:v>104.15806261895568</x:v>
      </x:c>
      <x:c r="H148" s="37" t="n">
        <x:v>104.04984927706005</x:v>
      </x:c>
      <x:c r="I148" s="37" t="n">
        <x:v>110.6118454457478</x:v>
      </x:c>
      <x:c r="J148" s="37" t="n">
        <x:v>94.35488639145329</x:v>
      </x:c>
      <x:c r="K148" s="37" t="n">
        <x:v>105.46045061285041</x:v>
      </x:c>
      <x:c r="L148" s="37" t="n">
        <x:v>94.6327675748769</x:v>
      </x:c>
      <x:c r="M148" s="37" t="n">
        <x:v>94.01888728696325</x:v>
      </x:c>
      <x:c r="N148" s="37"/>
      <x:c r="O148" s="37" t="n">
        <x:v>98.87829328996837</x:v>
      </x:c>
      <x:c r="P148" s="37" t="n">
        <x:v>96.22868943188165</x:v>
      </x:c>
      <x:c r="Q148" s="37" t="n">
        <x:v>106.74354184222904</x:v>
      </x:c>
    </x:row>
    <x:row r="149">
      <x:c r="C149" s="19" t="n">
        <x:v>43770</x:v>
      </x:c>
      <x:c r="D149" s="19" t="n">
        <x:v>43798</x:v>
      </x:c>
      <x:c r="E149" s="34" t="str">
        <x:v>grid_ovzcidwu.xlsx</x:v>
      </x:c>
      <x:c r="F149" s="37" t="n">
        <x:v>107.6522921551917</x:v>
      </x:c>
      <x:c r="G149" s="37" t="n">
        <x:v>102.5780967500015</x:v>
      </x:c>
      <x:c r="H149" s="37" t="n">
        <x:v>102.42254228635093</x:v>
      </x:c>
      <x:c r="I149" s="37" t="n">
        <x:v>113.42955542250965</x:v>
      </x:c>
      <x:c r="J149" s="37" t="n">
        <x:v>97.65412278216296</x:v>
      </x:c>
      <x:c r="K149" s="37" t="n">
        <x:v>103.91742285905794</x:v>
      </x:c>
      <x:c r="L149" s="37" t="n">
        <x:v>94.38074617898494</x:v>
      </x:c>
      <x:c r="M149" s="37" t="n">
        <x:v>96.93347204871226</x:v>
      </x:c>
      <x:c r="N149" s="37"/>
      <x:c r="O149" s="37" t="n">
        <x:v>96.47602863111918</x:v>
      </x:c>
      <x:c r="P149" s="37" t="n">
        <x:v>98.10007928235312</x:v>
      </x:c>
      <x:c r="Q149" s="37" t="n">
        <x:v>97.1779611479484</x:v>
      </x:c>
    </x:row>
    <x:row r="150">
      <x:c r="C150" s="19" t="n">
        <x:v>43800</x:v>
      </x:c>
      <x:c r="D150" s="19" t="n">
        <x:v>43830</x:v>
      </x:c>
      <x:c r="E150" s="34" t="str">
        <x:v>grid_ovzcidwu.xlsx</x:v>
      </x:c>
      <x:c r="F150" s="37" t="n">
        <x:v>107.99500390332399</x:v>
      </x:c>
      <x:c r="G150" s="37" t="n">
        <x:v>100.61627671653983</x:v>
      </x:c>
      <x:c r="H150" s="37" t="n">
        <x:v>101.08523380369607</x:v>
      </x:c>
      <x:c r="I150" s="37" t="n">
        <x:v>108.76014695505805</x:v>
      </x:c>
      <x:c r="J150" s="37" t="n">
        <x:v>98.37497422932813</x:v>
      </x:c>
      <x:c r="K150" s="37" t="n">
        <x:v>106.75518146742542</x:v>
      </x:c>
      <x:c r="L150" s="37" t="n">
        <x:v>95.58418757988805</x:v>
      </x:c>
      <x:c r="M150" s="37" t="n">
        <x:v>99.28420722778395</x:v>
      </x:c>
      <x:c r="N150" s="37"/>
      <x:c r="O150" s="37" t="n">
        <x:v>100.03000274139818</x:v>
      </x:c>
      <x:c r="P150" s="37" t="n">
        <x:v>96.22895509445136</x:v>
      </x:c>
      <x:c r="Q150" s="37" t="n">
        <x:v>96.49423549687245</x:v>
      </x:c>
    </x:row>
    <x:row r="151">
      <x:c r="C151" s="19" t="n">
        <x:v>43831</x:v>
      </x:c>
      <x:c r="D151" s="19" t="n">
        <x:v>43861</x:v>
      </x:c>
      <x:c r="E151" s="34" t="str">
        <x:v>grid_1mk3z2wn.xlsx</x:v>
      </x:c>
      <x:c r="F151" s="37" t="n">
        <x:v>100</x:v>
      </x:c>
      <x:c r="G151" s="37" t="n">
        <x:v>100</x:v>
      </x:c>
      <x:c r="H151" s="37" t="n">
        <x:v>100</x:v>
      </x:c>
      <x:c r="I151" s="37" t="n">
        <x:v>100</x:v>
      </x:c>
      <x:c r="J151" s="37" t="n">
        <x:v>100</x:v>
      </x:c>
      <x:c r="K151" s="37" t="n">
        <x:v>100</x:v>
      </x:c>
      <x:c r="L151" s="37" t="n">
        <x:v>100</x:v>
      </x:c>
      <x:c r="M151" s="37" t="n">
        <x:v>100</x:v>
      </x:c>
      <x:c r="N151" s="37" t="n">
        <x:v>100</x:v>
      </x:c>
      <x:c r="O151" s="37" t="n">
        <x:v>100</x:v>
      </x:c>
      <x:c r="P151" s="37" t="n">
        <x:v>100</x:v>
      </x:c>
      <x:c r="Q151" s="37" t="n">
        <x:v>100</x:v>
      </x:c>
    </x:row>
    <x:row r="152">
      <x:c r="C152" s="19" t="n">
        <x:v>43862</x:v>
      </x:c>
      <x:c r="D152" s="19" t="n">
        <x:v>43889</x:v>
      </x:c>
      <x:c r="E152" s="34" t="str">
        <x:v>grid_1mk3z2wn.xlsx</x:v>
      </x:c>
      <x:c r="F152" s="37" t="n">
        <x:v>99.45715468623058</x:v>
      </x:c>
      <x:c r="G152" s="37" t="n">
        <x:v>97.7755203653247</x:v>
      </x:c>
      <x:c r="H152" s="37" t="n">
        <x:v>98.94744628466302</x:v>
      </x:c>
      <x:c r="I152" s="37" t="n">
        <x:v>92.89802451623345</x:v>
      </x:c>
      <x:c r="J152" s="37" t="n">
        <x:v>99.33844931203436</x:v>
      </x:c>
      <x:c r="K152" s="37" t="n">
        <x:v>100.72333654671188</x:v>
      </x:c>
      <x:c r="L152" s="37" t="n">
        <x:v>104.55942261921626</x:v>
      </x:c>
      <x:c r="M152" s="37" t="n">
        <x:v>104.59759899573487</x:v>
      </x:c>
      <x:c r="N152" s="37" t="n">
        <x:v>101.40143679301765</x:v>
      </x:c>
      <x:c r="O152" s="37" t="n">
        <x:v>99.48472771427768</x:v>
      </x:c>
      <x:c r="P152" s="37" t="n">
        <x:v>104.88137504622497</x:v>
      </x:c>
      <x:c r="Q152" s="37" t="n">
        <x:v>103.52455560567665</x:v>
      </x:c>
    </x:row>
    <x:row r="153">
      <x:c r="C153" s="19" t="n">
        <x:v>43891</x:v>
      </x:c>
      <x:c r="D153" s="19" t="n">
        <x:v>43921</x:v>
      </x:c>
      <x:c r="E153" s="34" t="str">
        <x:v>grid_1mk3z2wn.xlsx</x:v>
      </x:c>
      <x:c r="F153" s="37" t="n">
        <x:v>86.18745477733046</x:v>
      </x:c>
      <x:c r="G153" s="37" t="n">
        <x:v>102.00634072908808</x:v>
      </x:c>
      <x:c r="H153" s="37" t="n">
        <x:v>83.00817760836077</x:v>
      </x:c>
      <x:c r="I153" s="37" t="n">
        <x:v>84.23683595337069</x:v>
      </x:c>
      <x:c r="J153" s="37" t="n">
        <x:v>37.66630116534002</x:v>
      </x:c>
      <x:c r="K153" s="37" t="n">
        <x:v>99.73931573168258</x:v>
      </x:c>
      <x:c r="L153" s="37" t="n">
        <x:v>107.06631848147734</x:v>
      </x:c>
      <x:c r="M153" s="37" t="n">
        <x:v>99.50530740430254</x:v>
      </x:c>
      <x:c r="N153" s="37" t="n">
        <x:v>99.8666195989701</x:v>
      </x:c>
      <x:c r="O153" s="37" t="n">
        <x:v>106.39294363691934</x:v>
      </x:c>
      <x:c r="P153" s="37" t="n">
        <x:v>74.18347678935086</x:v>
      </x:c>
      <x:c r="Q153" s="37" t="n">
        <x:v>104.86008041085928</x:v>
      </x:c>
    </x:row>
    <x:row r="154">
      <x:c r="C154" s="19" t="n">
        <x:v>43922</x:v>
      </x:c>
      <x:c r="D154" s="19" t="n">
        <x:v>43951</x:v>
      </x:c>
      <x:c r="E154" s="34" t="str">
        <x:v>grid_1mk3z2wn.xlsx</x:v>
      </x:c>
      <x:c r="F154" s="37" t="n">
        <x:v>72.74271288137525</x:v>
      </x:c>
      <x:c r="G154" s="37" t="n">
        <x:v>98.5385925081004</x:v>
      </x:c>
      <x:c r="H154" s="37" t="n">
        <x:v>71.91437495896137</x:v>
      </x:c>
      <x:c r="I154" s="37" t="n">
        <x:v>73.3481727875082</x:v>
      </x:c>
      <x:c r="J154" s="37" t="n">
        <x:v>18.27044810449296</x:v>
      </x:c>
      <x:c r="K154" s="37" t="n">
        <x:v>91.29166238817945</x:v>
      </x:c>
      <x:c r="L154" s="37" t="n">
        <x:v>103.36294161170785</x:v>
      </x:c>
      <x:c r="M154" s="37" t="n">
        <x:v>79.35838327500547</x:v>
      </x:c>
      <x:c r="N154" s="37" t="n">
        <x:v>101.35656412095138</x:v>
      </x:c>
      <x:c r="O154" s="37" t="n">
        <x:v>96.97295064515535</x:v>
      </x:c>
      <x:c r="P154" s="37" t="n">
        <x:v>58.14367815059035</x:v>
      </x:c>
      <x:c r="Q154" s="37" t="n">
        <x:v>100.42821441582778</x:v>
      </x:c>
    </x:row>
    <x:row r="155">
      <x:c r="C155" s="19" t="n">
        <x:v>43952</x:v>
      </x:c>
      <x:c r="D155" s="19" t="n">
        <x:v>43980</x:v>
      </x:c>
      <x:c r="E155" s="34" t="str">
        <x:v>grid_1mk3z2wn.xlsx</x:v>
      </x:c>
      <x:c r="F155" s="37" t="n">
        <x:v>68.03733855312389</x:v>
      </x:c>
      <x:c r="G155" s="37" t="n">
        <x:v>97.05802192773741</x:v>
      </x:c>
      <x:c r="H155" s="37" t="n">
        <x:v>69.8524629295606</x:v>
      </x:c>
      <x:c r="I155" s="37" t="n">
        <x:v>69.00777143767772</x:v>
      </x:c>
      <x:c r="J155" s="37" t="n">
        <x:v>5.65938170564204</x:v>
      </x:c>
      <x:c r="K155" s="37" t="n">
        <x:v>83.02719765803349</x:v>
      </x:c>
      <x:c r="L155" s="37" t="n">
        <x:v>100.36144995644247</x:v>
      </x:c>
      <x:c r="M155" s="37" t="n">
        <x:v>67.20481441914171</x:v>
      </x:c>
      <x:c r="N155" s="37" t="n">
        <x:v>104.49410183357803</x:v>
      </x:c>
      <x:c r="O155" s="37" t="n">
        <x:v>106.88443275422816</x:v>
      </x:c>
      <x:c r="P155" s="37" t="n">
        <x:v>60.5624548304622</x:v>
      </x:c>
      <x:c r="Q155" s="37" t="n">
        <x:v>88.08430331194137</x:v>
      </x:c>
    </x:row>
    <x:row r="156">
      <x:c r="C156" s="19" t="n">
        <x:v>43983</x:v>
      </x:c>
      <x:c r="D156" s="19" t="n">
        <x:v>44012</x:v>
      </x:c>
      <x:c r="E156" s="34" t="str">
        <x:v>grid_1mk3z2wn.xlsx</x:v>
      </x:c>
      <x:c r="F156" s="37" t="n">
        <x:v>63.281528866482375</x:v>
      </x:c>
      <x:c r="G156" s="37" t="n">
        <x:v>94.81291488444784</x:v>
      </x:c>
      <x:c r="H156" s="37" t="n">
        <x:v>66.93026943354589</x:v>
      </x:c>
      <x:c r="I156" s="37" t="n">
        <x:v>69.14105241411796</x:v>
      </x:c>
      <x:c r="J156" s="37" t="n">
        <x:v>-3.190225061550488</x:v>
      </x:c>
      <x:c r="K156" s="37" t="n">
        <x:v>73.21609697403836</x:v>
      </x:c>
      <x:c r="L156" s="37" t="n">
        <x:v>102.11345804374434</x:v>
      </x:c>
      <x:c r="M156" s="37" t="n">
        <x:v>61.25821572687946</x:v>
      </x:c>
      <x:c r="N156" s="37" t="n">
        <x:v>104.19233384363832</x:v>
      </x:c>
      <x:c r="O156" s="37" t="n">
        <x:v>112.43667514651135</x:v>
      </x:c>
      <x:c r="P156" s="37" t="n">
        <x:v>67.24643012369785</x:v>
      </x:c>
      <x:c r="Q156" s="37" t="n">
        <x:v>97.16783806524798</x:v>
      </x:c>
    </x:row>
    <x:row r="157">
      <x:c r="C157" s="19" t="n">
        <x:v>44013</x:v>
      </x:c>
      <x:c r="D157" s="19" t="n">
        <x:v>44043</x:v>
      </x:c>
      <x:c r="E157" s="34" t="str">
        <x:v>grid_1mk3z2wn.xlsx</x:v>
      </x:c>
      <x:c r="F157" s="37" t="n">
        <x:v>66.99370605846902</x:v>
      </x:c>
      <x:c r="G157" s="37" t="n">
        <x:v>89.30425495980782</x:v>
      </x:c>
      <x:c r="H157" s="37" t="n">
        <x:v>70.65697884143002</x:v>
      </x:c>
      <x:c r="I157" s="37" t="n">
        <x:v>66.03946480970548</x:v>
      </x:c>
      <x:c r="J157" s="37" t="n">
        <x:v>5.599898291931918</x:v>
      </x:c>
      <x:c r="K157" s="37" t="n">
        <x:v>70.87066723214572</x:v>
      </x:c>
      <x:c r="L157" s="37" t="n">
        <x:v>101.20807031147329</x:v>
      </x:c>
      <x:c r="M157" s="37" t="n">
        <x:v>74.49203242615096</x:v>
      </x:c>
      <x:c r="N157" s="37" t="n">
        <x:v>106.17585827301443</x:v>
      </x:c>
      <x:c r="O157" s="37" t="n">
        <x:v>122.24067191824605</x:v>
      </x:c>
      <x:c r="P157" s="37" t="n">
        <x:v>68.8163167320414</x:v>
      </x:c>
      <x:c r="Q157" s="37" t="n">
        <x:v>101.04185083688762</x:v>
      </x:c>
    </x:row>
    <x:row r="158">
      <x:c r="C158" s="19" t="n">
        <x:v>44044</x:v>
      </x:c>
      <x:c r="D158" s="19" t="n">
        <x:v>44074</x:v>
      </x:c>
      <x:c r="E158" s="34" t="str">
        <x:v>grid_1mk3z2wn.xlsx</x:v>
      </x:c>
      <x:c r="F158" s="37" t="n">
        <x:v>73.97619602497477</x:v>
      </x:c>
      <x:c r="G158" s="37" t="n">
        <x:v>93.73201153354951</x:v>
      </x:c>
      <x:c r="H158" s="37" t="n">
        <x:v>71.43023299458116</x:v>
      </x:c>
      <x:c r="I158" s="37" t="n">
        <x:v>67.25244185373839</x:v>
      </x:c>
      <x:c r="J158" s="37" t="n">
        <x:v>18.96037767339805</x:v>
      </x:c>
      <x:c r="K158" s="37" t="n">
        <x:v>71.69476412123673</x:v>
      </x:c>
      <x:c r="L158" s="37" t="n">
        <x:v>100.29668105787314</x:v>
      </x:c>
      <x:c r="M158" s="37" t="n">
        <x:v>76.11746806791092</x:v>
      </x:c>
      <x:c r="N158" s="37" t="n">
        <x:v>102.86819693035991</x:v>
      </x:c>
      <x:c r="O158" s="37" t="n">
        <x:v>130.92475733368332</x:v>
      </x:c>
      <x:c r="P158" s="37" t="n">
        <x:v>69.72678523934938</x:v>
      </x:c>
      <x:c r="Q158" s="37" t="n">
        <x:v>112.49592452229096</x:v>
      </x:c>
    </x:row>
    <x:row r="159">
      <x:c r="C159" s="19" t="n">
        <x:v>44075</x:v>
      </x:c>
      <x:c r="D159" s="19" t="n">
        <x:v>44104</x:v>
      </x:c>
      <x:c r="E159" s="34" t="str">
        <x:v>grid_1mk3z2wn.xlsx</x:v>
      </x:c>
      <x:c r="F159" s="37" t="n">
        <x:v>82.85310807025358</x:v>
      </x:c>
      <x:c r="G159" s="37" t="n">
        <x:v>94.54861244630918</x:v>
      </x:c>
      <x:c r="H159" s="37" t="n">
        <x:v>76.73652172175768</x:v>
      </x:c>
      <x:c r="I159" s="37" t="n">
        <x:v>68.37239245646688</x:v>
      </x:c>
      <x:c r="J159" s="37" t="n">
        <x:v>29.84306394900929</x:v>
      </x:c>
      <x:c r="K159" s="37" t="n">
        <x:v>76.16942563538178</x:v>
      </x:c>
      <x:c r="L159" s="37" t="n">
        <x:v>100.10603430286528</x:v>
      </x:c>
      <x:c r="M159" s="37" t="n">
        <x:v>86.1143231477695</x:v>
      </x:c>
      <x:c r="N159" s="37" t="n">
        <x:v>101.7583165410241</x:v>
      </x:c>
      <x:c r="O159" s="37" t="n">
        <x:v>150.711548927401</x:v>
      </x:c>
      <x:c r="P159" s="37" t="n">
        <x:v>63.96589023113525</x:v>
      </x:c>
      <x:c r="Q159" s="37" t="n">
        <x:v>106.6197853894298</x:v>
      </x:c>
    </x:row>
    <x:row r="160">
      <x:c r="C160" s="19" t="n">
        <x:v>44105</x:v>
      </x:c>
      <x:c r="D160" s="19" t="n">
        <x:v>44134</x:v>
      </x:c>
      <x:c r="E160" s="34" t="str">
        <x:v>grid_1mk3z2wn.xlsx</x:v>
      </x:c>
      <x:c r="F160" s="37" t="n">
        <x:v>99.96757067251187</x:v>
      </x:c>
      <x:c r="G160" s="37" t="n">
        <x:v>97.91647776549269</x:v>
      </x:c>
      <x:c r="H160" s="37" t="n">
        <x:v>77.42536837192829</x:v>
      </x:c>
      <x:c r="I160" s="37" t="n">
        <x:v>70.35022907153939</x:v>
      </x:c>
      <x:c r="J160" s="37" t="n">
        <x:v>52.11459689930832</x:v>
      </x:c>
      <x:c r="K160" s="37" t="n">
        <x:v>80.90514427973822</x:v>
      </x:c>
      <x:c r="L160" s="37" t="n">
        <x:v>105.7064770120965</x:v>
      </x:c>
      <x:c r="M160" s="37" t="n">
        <x:v>100.9994612391763</x:v>
      </x:c>
      <x:c r="N160" s="37" t="n">
        <x:v>111.52683362235172</x:v>
      </x:c>
      <x:c r="O160" s="37" t="n">
        <x:v>182.102527015454</x:v>
      </x:c>
      <x:c r="P160" s="37" t="n">
        <x:v>75.12219580135668</x:v>
      </x:c>
      <x:c r="Q160" s="37" t="n">
        <x:v>106.5039562030343</x:v>
      </x:c>
    </x:row>
    <x:row r="161">
      <x:c r="C161" s="19" t="n">
        <x:v>44136</x:v>
      </x:c>
      <x:c r="D161" s="19" t="n">
        <x:v>44165</x:v>
      </x:c>
      <x:c r="E161" s="34" t="str">
        <x:v>grid_1mk3z2wn.xlsx</x:v>
      </x:c>
      <x:c r="F161" s="37" t="n">
        <x:v>118.38599330590813</x:v>
      </x:c>
      <x:c r="G161" s="37" t="n">
        <x:v>95.88293859976281</x:v>
      </x:c>
      <x:c r="H161" s="37" t="n">
        <x:v>86.00420949814843</x:v>
      </x:c>
      <x:c r="I161" s="37" t="n">
        <x:v>73.3217558812633</x:v>
      </x:c>
      <x:c r="J161" s="37" t="n">
        <x:v>71.35983298892936</x:v>
      </x:c>
      <x:c r="K161" s="37" t="n">
        <x:v>87.1225487130576</x:v>
      </x:c>
      <x:c r="L161" s="37" t="n">
        <x:v>109.03061896785651</x:v>
      </x:c>
      <x:c r="M161" s="37" t="n">
        <x:v>96.85033671514455</x:v>
      </x:c>
      <x:c r="N161" s="37" t="n">
        <x:v>114.50036828622987</x:v>
      </x:c>
      <x:c r="O161" s="37" t="n">
        <x:v>201.98149881859462</x:v>
      </x:c>
      <x:c r="P161" s="37" t="n">
        <x:v>79.14812400090845</x:v>
      </x:c>
      <x:c r="Q161" s="37" t="n">
        <x:v>103.23366148799578</x:v>
      </x:c>
    </x:row>
    <x:row r="162">
      <x:c r="C162" s="19" t="n">
        <x:v>44166</x:v>
      </x:c>
      <x:c r="D162" s="19" t="n">
        <x:v>44196</x:v>
      </x:c>
      <x:c r="E162" s="34" t="str">
        <x:v>grid_1mk3z2wn.xlsx</x:v>
      </x:c>
      <x:c r="F162" s="37" t="n">
        <x:v>121.75267542119765</x:v>
      </x:c>
      <x:c r="G162" s="37" t="n">
        <x:v>104.59535903076596</x:v>
      </x:c>
      <x:c r="H162" s="37" t="n">
        <x:v>88.65107067126164</x:v>
      </x:c>
      <x:c r="I162" s="37" t="n">
        <x:v>77.66704815353586</x:v>
      </x:c>
      <x:c r="J162" s="37" t="n">
        <x:v>90.39358144199896</x:v>
      </x:c>
      <x:c r="K162" s="37" t="n">
        <x:v>87.5194799744217</x:v>
      </x:c>
      <x:c r="L162" s="37" t="n">
        <x:v>116.21613242671032</x:v>
      </x:c>
      <x:c r="M162" s="37" t="n">
        <x:v>103.37967487764786</x:v>
      </x:c>
      <x:c r="N162" s="37" t="n">
        <x:v>117.4066899605583</x:v>
      </x:c>
      <x:c r="O162" s="37" t="n">
        <x:v>201.42977113230734</x:v>
      </x:c>
      <x:c r="P162" s="37" t="n">
        <x:v>75.20480208694434</x:v>
      </x:c>
      <x:c r="Q162" s="37" t="n">
        <x:v>108.90074517058056</x:v>
      </x:c>
    </x:row>
    <x:row r="163">
      <x:c r="C163" s="19" t="n">
        <x:v>44197</x:v>
      </x:c>
      <x:c r="D163" s="19" t="n">
        <x:v>44225</x:v>
      </x:c>
      <x:c r="E163" s="34" t="str">
        <x:v>grid_1mk3z2wn.xlsx</x:v>
      </x:c>
      <x:c r="F163" s="37" t="n">
        <x:v>138.33217969348198</x:v>
      </x:c>
      <x:c r="G163" s="37" t="n">
        <x:v>104.62769650390102</x:v>
      </x:c>
      <x:c r="H163" s="37" t="n">
        <x:v>88.25077020070613</x:v>
      </x:c>
      <x:c r="I163" s="37" t="n">
        <x:v>78.94105506259861</x:v>
      </x:c>
      <x:c r="J163" s="37" t="n">
        <x:v>93.73443607483438</x:v>
      </x:c>
      <x:c r="K163" s="37" t="n">
        <x:v>88.50287055637159</x:v>
      </x:c>
      <x:c r="L163" s="37" t="n">
        <x:v>122.16590264778311</x:v>
      </x:c>
      <x:c r="M163" s="37" t="n">
        <x:v>113.26800838259254</x:v>
      </x:c>
      <x:c r="N163" s="37" t="n">
        <x:v>115.44577598086923</x:v>
      </x:c>
      <x:c r="O163" s="37" t="n">
        <x:v>242.25673020341262</x:v>
      </x:c>
      <x:c r="P163" s="37" t="n">
        <x:v>74.04608634036319</x:v>
      </x:c>
      <x:c r="Q163" s="37" t="n">
        <x:v>103.90972748035661</x:v>
      </x:c>
    </x:row>
    <x:row r="164">
      <x:c r="C164" s="19" t="n">
        <x:v>44228</x:v>
      </x:c>
      <x:c r="D164" s="19" t="n">
        <x:v>44253</x:v>
      </x:c>
      <x:c r="E164" s="34" t="str">
        <x:v>grid_1mk3z2wn.xlsx</x:v>
      </x:c>
      <x:c r="F164" s="37" t="n">
        <x:v>151.76064182987125</x:v>
      </x:c>
      <x:c r="G164" s="37" t="n">
        <x:v>103.70397335046009</x:v>
      </x:c>
      <x:c r="H164" s="37" t="n">
        <x:v>89.50837962781928</x:v>
      </x:c>
      <x:c r="I164" s="37" t="n">
        <x:v>78.76824764521827</x:v>
      </x:c>
      <x:c r="J164" s="37" t="n">
        <x:v>103.14251164037071</x:v>
      </x:c>
      <x:c r="K164" s="37" t="n">
        <x:v>89.78117104335142</x:v>
      </x:c>
      <x:c r="L164" s="37" t="n">
        <x:v>119.94024764009059</x:v>
      </x:c>
      <x:c r="M164" s="37" t="n">
        <x:v>111.05978803936046</x:v>
      </x:c>
      <x:c r="N164" s="37" t="n">
        <x:v>120.0976212726583</x:v>
      </x:c>
      <x:c r="O164" s="37" t="n">
        <x:v>253.96504877961138</x:v>
      </x:c>
      <x:c r="P164" s="37" t="n">
        <x:v>71.81787709752963</x:v>
      </x:c>
      <x:c r="Q164" s="37" t="n">
        <x:v>109.23185417067482</x:v>
      </x:c>
    </x:row>
    <x:row r="165">
      <x:c r="C165" s="19" t="n">
        <x:v>44256</x:v>
      </x:c>
      <x:c r="D165" s="19" t="n">
        <x:v>44286</x:v>
      </x:c>
      <x:c r="E165" s="34" t="str">
        <x:v>grid_1mk3z2wn.xlsx</x:v>
      </x:c>
      <x:c r="F165" s="37" t="n">
        <x:v>171.27673407960413</x:v>
      </x:c>
      <x:c r="G165" s="37" t="n">
        <x:v>105.62278517253634</x:v>
      </x:c>
      <x:c r="H165" s="37" t="n">
        <x:v>98.3556462980245</x:v>
      </x:c>
      <x:c r="I165" s="37" t="n">
        <x:v>80.95308583150931</x:v>
      </x:c>
      <x:c r="J165" s="37" t="n">
        <x:v>119.66068883747883</x:v>
      </x:c>
      <x:c r="K165" s="37" t="n">
        <x:v>93.15098849162925</x:v>
      </x:c>
      <x:c r="L165" s="37" t="n">
        <x:v>127.27776816587011</x:v>
      </x:c>
      <x:c r="M165" s="37" t="n">
        <x:v>105.6696629483447</x:v>
      </x:c>
      <x:c r="N165" s="37" t="n">
        <x:v>124.00494407997252</x:v>
      </x:c>
      <x:c r="O165" s="37" t="n">
        <x:v>292.2586280325852</x:v>
      </x:c>
      <x:c r="P165" s="37" t="n">
        <x:v>70.21678392787705</x:v>
      </x:c>
      <x:c r="Q165" s="37" t="n">
        <x:v>111.69771681729964</x:v>
      </x:c>
    </x:row>
    <x:row r="166">
      <x:c r="C166" s="19" t="n">
        <x:v>44287</x:v>
      </x:c>
      <x:c r="D166" s="19" t="n">
        <x:v>44316</x:v>
      </x:c>
      <x:c r="E166" s="34" t="str">
        <x:v>grid_1mk3z2wn.xlsx</x:v>
      </x:c>
      <x:c r="F166" s="37" t="n">
        <x:v>198.0527297666094</x:v>
      </x:c>
      <x:c r="G166" s="37" t="n">
        <x:v>108.34554746633147</x:v>
      </x:c>
      <x:c r="H166" s="37" t="n">
        <x:v>96.40888979815023</x:v>
      </x:c>
      <x:c r="I166" s="37" t="n">
        <x:v>83.49136359159144</x:v>
      </x:c>
      <x:c r="J166" s="37" t="n">
        <x:v>151.16005682217957</x:v>
      </x:c>
      <x:c r="K166" s="37" t="n">
        <x:v>93.91054416706449</x:v>
      </x:c>
      <x:c r="L166" s="37" t="n">
        <x:v>123.45469299606057</x:v>
      </x:c>
      <x:c r="M166" s="37" t="n">
        <x:v>110.23294679037691</x:v>
      </x:c>
      <x:c r="N166" s="37" t="n">
        <x:v>124.75210953281777</x:v>
      </x:c>
      <x:c r="O166" s="37" t="n">
        <x:v>327.88435222601487</x:v>
      </x:c>
      <x:c r="P166" s="37" t="n">
        <x:v>65.49175091288234</x:v>
      </x:c>
      <x:c r="Q166" s="37" t="n">
        <x:v>113.84556144852434</x:v>
      </x:c>
    </x:row>
    <x:row r="167">
      <x:c r="C167" s="19" t="n">
        <x:v>44317</x:v>
      </x:c>
      <x:c r="D167" s="19" t="n">
        <x:v>44347</x:v>
      </x:c>
      <x:c r="E167" s="34" t="str">
        <x:v>grid_1mk3z2wn.xlsx</x:v>
      </x:c>
      <x:c r="F167" s="37" t="n">
        <x:v>187.33770050871618</x:v>
      </x:c>
      <x:c r="G167" s="37" t="n">
        <x:v>104.27603094830151</x:v>
      </x:c>
      <x:c r="H167" s="37" t="n">
        <x:v>107.35990043234598</x:v>
      </x:c>
      <x:c r="I167" s="37" t="n">
        <x:v>87.81106571374538</x:v>
      </x:c>
      <x:c r="J167" s="37" t="n">
        <x:v>151.7249976477117</x:v>
      </x:c>
      <x:c r="K167" s="37" t="n">
        <x:v>92.81929669441531</x:v>
      </x:c>
      <x:c r="L167" s="37" t="n">
        <x:v>123.2784553149483</x:v>
      </x:c>
      <x:c r="M167" s="37" t="n">
        <x:v>108.01585651274523</x:v>
      </x:c>
      <x:c r="N167" s="37" t="n">
        <x:v>86.0135116883562</x:v>
      </x:c>
      <x:c r="O167" s="37" t="n">
        <x:v>325.4444110879998</x:v>
      </x:c>
      <x:c r="P167" s="37" t="n">
        <x:v>69.09621139054566</x:v>
      </x:c>
      <x:c r="Q167" s="37" t="n">
        <x:v>122.77804417918325</x:v>
      </x:c>
    </x:row>
    <x:row r="168">
      <x:c r="C168" s="19" t="n">
        <x:v>44348</x:v>
      </x:c>
      <x:c r="D168" s="19" t="n">
        <x:v>44377</x:v>
      </x:c>
      <x:c r="E168" s="34" t="str">
        <x:v>grid_1mk3z2wn.xlsx</x:v>
      </x:c>
      <x:c r="F168" s="37" t="n">
        <x:v>196.50905588855522</x:v>
      </x:c>
      <x:c r="G168" s="37" t="n">
        <x:v>106.88994438472146</x:v>
      </x:c>
      <x:c r="H168" s="37" t="n">
        <x:v>112.62475173484185</x:v>
      </x:c>
      <x:c r="I168" s="37" t="n">
        <x:v>85.55509908492927</x:v>
      </x:c>
      <x:c r="J168" s="37" t="n">
        <x:v>171.25784658939816</x:v>
      </x:c>
      <x:c r="K168" s="37" t="n">
        <x:v>93.47230374424988</x:v>
      </x:c>
      <x:c r="L168" s="37" t="n">
        <x:v>123.39203445779347</x:v>
      </x:c>
      <x:c r="M168" s="37" t="n">
        <x:v>109.24016463595565</x:v>
      </x:c>
      <x:c r="N168" s="37" t="n">
        <x:v>89.45265377567556</x:v>
      </x:c>
      <x:c r="O168" s="37" t="n">
        <x:v>334.87114949550795</x:v>
      </x:c>
      <x:c r="P168" s="37" t="n">
        <x:v>73.73428989422133</x:v>
      </x:c>
      <x:c r="Q168" s="37" t="n">
        <x:v>127.6630672019976</x:v>
      </x:c>
    </x:row>
    <x:row r="169">
      <x:c r="C169" s="19" t="n">
        <x:v>44378</x:v>
      </x:c>
      <x:c r="D169" s="19" t="n">
        <x:v>44407</x:v>
      </x:c>
      <x:c r="E169" s="34" t="str">
        <x:v>grid_1mk3z2wn.xlsx</x:v>
      </x:c>
      <x:c r="F169" s="37" t="n">
        <x:v>206.94123878721925</x:v>
      </x:c>
      <x:c r="G169" s="37" t="n">
        <x:v>108.46070080660243</x:v>
      </x:c>
      <x:c r="H169" s="37" t="n">
        <x:v>124.9702590591049</x:v>
      </x:c>
      <x:c r="I169" s="37" t="n">
        <x:v>90.77869498057798</x:v>
      </x:c>
      <x:c r="J169" s="37" t="n">
        <x:v>172.59824053193483</x:v>
      </x:c>
      <x:c r="K169" s="37" t="n">
        <x:v>96.32365172810829</x:v>
      </x:c>
      <x:c r="L169" s="37" t="n">
        <x:v>136.48646465124585</x:v>
      </x:c>
      <x:c r="M169" s="37" t="n">
        <x:v>119.55294332338973</x:v>
      </x:c>
      <x:c r="N169" s="37" t="n">
        <x:v>127.62647408073128</x:v>
      </x:c>
      <x:c r="O169" s="37" t="n">
        <x:v>364.08088279093624</x:v>
      </x:c>
      <x:c r="P169" s="37" t="n">
        <x:v>74.0320411991815</x:v>
      </x:c>
      <x:c r="Q169" s="37" t="n">
        <x:v>130.5483874973856</x:v>
      </x:c>
    </x:row>
    <x:row r="170">
      <x:c r="C170" s="19" t="n">
        <x:v>44409</x:v>
      </x:c>
      <x:c r="D170" s="19" t="n">
        <x:v>44439</x:v>
      </x:c>
      <x:c r="E170" s="34" t="str">
        <x:v>grid_1mk3z2wn.xlsx</x:v>
      </x:c>
      <x:c r="F170" s="37" t="n">
        <x:v>201.66685588143957</x:v>
      </x:c>
      <x:c r="G170" s="37" t="n">
        <x:v>111.335154985409</x:v>
      </x:c>
      <x:c r="H170" s="37" t="n">
        <x:v>126.13872251574006</x:v>
      </x:c>
      <x:c r="I170" s="37" t="n">
        <x:v>90.14902741104899</x:v>
      </x:c>
      <x:c r="J170" s="37" t="n">
        <x:v>182.97952671814812</x:v>
      </x:c>
      <x:c r="K170" s="37" t="n">
        <x:v>99.67045264693401</x:v>
      </x:c>
      <x:c r="L170" s="37" t="n">
        <x:v>143.12540294725636</x:v>
      </x:c>
      <x:c r="M170" s="37" t="n">
        <x:v>122.64512063780795</x:v>
      </x:c>
      <x:c r="N170" s="37" t="n">
        <x:v>119.66872712078833</x:v>
      </x:c>
      <x:c r="O170" s="37" t="n">
        <x:v>338.3416579987613</x:v>
      </x:c>
      <x:c r="P170" s="37" t="n">
        <x:v>74.571239009179</x:v>
      </x:c>
      <x:c r="Q170" s="37" t="n">
        <x:v>125.90149065908535</x:v>
      </x:c>
    </x:row>
    <x:row r="171">
      <x:c r="C171" s="19" t="n">
        <x:v>44440</x:v>
      </x:c>
      <x:c r="D171" s="19" t="n">
        <x:v>44469</x:v>
      </x:c>
      <x:c r="E171" s="34" t="str">
        <x:v>grid_1mk3z2wn.xlsx</x:v>
      </x:c>
      <x:c r="F171" s="37" t="n">
        <x:v>188.96313101649093</x:v>
      </x:c>
      <x:c r="G171" s="37" t="n">
        <x:v>101.59887774104273</x:v>
      </x:c>
      <x:c r="H171" s="37" t="n">
        <x:v>130.76432320619776</x:v>
      </x:c>
      <x:c r="I171" s="37" t="n">
        <x:v>97.23348589119614</x:v>
      </x:c>
      <x:c r="J171" s="37" t="n">
        <x:v>185.3670524740197</x:v>
      </x:c>
      <x:c r="K171" s="37" t="n">
        <x:v>98.7132918762342</x:v>
      </x:c>
      <x:c r="L171" s="37" t="n">
        <x:v>177.12529827847635</x:v>
      </x:c>
      <x:c r="M171" s="37" t="n">
        <x:v>130.63073820141423</x:v>
      </x:c>
      <x:c r="N171" s="37" t="n">
        <x:v>104.11430319203802</x:v>
      </x:c>
      <x:c r="O171" s="37" t="n">
        <x:v>288.2408461161401</x:v>
      </x:c>
      <x:c r="P171" s="37" t="n">
        <x:v>75.0207468424972</x:v>
      </x:c>
      <x:c r="Q171" s="37" t="n">
        <x:v>125.7698580994375</x:v>
      </x:c>
    </x:row>
    <x:row r="172">
      <x:c r="C172" s="19" t="n">
        <x:v>44470</x:v>
      </x:c>
      <x:c r="D172" s="19" t="n">
        <x:v>44498</x:v>
      </x:c>
      <x:c r="E172" s="34" t="str">
        <x:v>grid_1mk3z2wn.xlsx</x:v>
      </x:c>
      <x:c r="F172" s="37" t="n">
        <x:v>191.90180326635968</x:v>
      </x:c>
      <x:c r="G172" s="37" t="n">
        <x:v>114.58600720634024</x:v>
      </x:c>
      <x:c r="H172" s="37" t="n">
        <x:v>131.1450995475851</x:v>
      </x:c>
      <x:c r="I172" s="37" t="n">
        <x:v>107.41020516646236</x:v>
      </x:c>
      <x:c r="J172" s="37" t="n">
        <x:v>207.89034142941873</x:v>
      </x:c>
      <x:c r="K172" s="37" t="n">
        <x:v>102.75398189853433</x:v>
      </x:c>
      <x:c r="L172" s="37" t="n">
        <x:v>176.16806806240385</x:v>
      </x:c>
      <x:c r="M172" s="37" t="n">
        <x:v>135.86917830767754</x:v>
      </x:c>
      <x:c r="N172" s="37" t="n">
        <x:v>108.3043190170728</x:v>
      </x:c>
      <x:c r="O172" s="37" t="n">
        <x:v>257.6524011192737</x:v>
      </x:c>
      <x:c r="P172" s="37" t="n">
        <x:v>76.53467601490345</x:v>
      </x:c>
      <x:c r="Q172" s="37" t="n">
        <x:v>124.5058528126142</x:v>
      </x:c>
    </x:row>
    <x:row r="173">
      <x:c r="C173" s="19" t="n">
        <x:v>44501</x:v>
      </x:c>
      <x:c r="D173" s="19" t="n">
        <x:v>44530</x:v>
      </x:c>
      <x:c r="E173" s="34" t="str">
        <x:v>grid_1mk3z2wn.xlsx</x:v>
      </x:c>
      <x:c r="F173" s="37" t="n">
        <x:v>194.38356404288035</x:v>
      </x:c>
      <x:c r="G173" s="37" t="n">
        <x:v>107.37014498555001</x:v>
      </x:c>
      <x:c r="H173" s="37" t="n">
        <x:v>118.55207983262738</x:v>
      </x:c>
      <x:c r="I173" s="37" t="n">
        <x:v>120.45421465383599</x:v>
      </x:c>
      <x:c r="J173" s="37" t="n">
        <x:v>239.81328169003598</x:v>
      </x:c>
      <x:c r="K173" s="37" t="n">
        <x:v>100.56865337423699</x:v>
      </x:c>
      <x:c r="L173" s="37" t="n">
        <x:v>157.52621749333485</x:v>
      </x:c>
      <x:c r="M173" s="37" t="n">
        <x:v>134.70811016838493</x:v>
      </x:c>
      <x:c r="N173" s="37" t="n">
        <x:v>125.12621170453555</x:v>
      </x:c>
      <x:c r="O173" s="37" t="n">
        <x:v>217.47445294631237</x:v>
      </x:c>
      <x:c r="P173" s="37" t="n">
        <x:v>91.00854316110211</x:v>
      </x:c>
      <x:c r="Q173" s="37" t="n">
        <x:v>126.63476061587897</x:v>
      </x:c>
    </x:row>
    <x:row r="174">
      <x:c r="C174" s="19" t="n">
        <x:v>44531</x:v>
      </x:c>
      <x:c r="D174" s="19" t="n">
        <x:v>44561</x:v>
      </x:c>
      <x:c r="E174" s="34" t="str">
        <x:v>grid_1mk3z2wn.xlsx</x:v>
      </x:c>
      <x:c r="F174" s="37" t="n">
        <x:v>192.02987841784173</x:v>
      </x:c>
      <x:c r="G174" s="37" t="n">
        <x:v>104.91717347669187</x:v>
      </x:c>
      <x:c r="H174" s="37" t="n">
        <x:v>110.89135206518014</x:v>
      </x:c>
      <x:c r="I174" s="37" t="n">
        <x:v>114.59369386974947</x:v>
      </x:c>
      <x:c r="J174" s="37" t="n">
        <x:v>239.30068335764378</x:v>
      </x:c>
      <x:c r="K174" s="37" t="n">
        <x:v>100.90282322436846</x:v>
      </x:c>
      <x:c r="L174" s="37" t="n">
        <x:v>160.83428622099848</x:v>
      </x:c>
      <x:c r="M174" s="37" t="n">
        <x:v>135.4480752821194</x:v>
      </x:c>
      <x:c r="N174" s="37" t="n">
        <x:v>116.86017789147569</x:v>
      </x:c>
      <x:c r="O174" s="37" t="n">
        <x:v>204.94369095260475</x:v>
      </x:c>
      <x:c r="P174" s="37" t="n">
        <x:v>84.41746199845863</x:v>
      </x:c>
      <x:c r="Q174" s="37" t="n">
        <x:v>121.61125409923675</x:v>
      </x:c>
    </x:row>
    <x:row r="175">
      <x:c r="C175" s="19" t="n">
        <x:v>44562</x:v>
      </x:c>
      <x:c r="D175" s="19" t="n">
        <x:v>44592</x:v>
      </x:c>
      <x:c r="E175" s="34" t="str">
        <x:v>grid_1mk3z2wn.xlsx</x:v>
      </x:c>
      <x:c r="F175" s="37" t="n">
        <x:v>200.0062891301158</x:v>
      </x:c>
      <x:c r="G175" s="37" t="n">
        <x:v>102.16735985471462</x:v>
      </x:c>
      <x:c r="H175" s="37" t="n">
        <x:v>118.35896807730978</x:v>
      </x:c>
      <x:c r="I175" s="37" t="n">
        <x:v>112.5587072597835</x:v>
      </x:c>
      <x:c r="J175" s="37" t="n">
        <x:v>234.36692466566123</x:v>
      </x:c>
      <x:c r="K175" s="37" t="n">
        <x:v>103.54682340352663</x:v>
      </x:c>
      <x:c r="L175" s="37" t="n">
        <x:v>158.35457973823392</x:v>
      </x:c>
      <x:c r="M175" s="37" t="n">
        <x:v>140.47232762213156</x:v>
      </x:c>
      <x:c r="N175" s="37" t="n">
        <x:v>123.12455943608434</x:v>
      </x:c>
      <x:c r="O175" s="37" t="n">
        <x:v>219.1631422136319</x:v>
      </x:c>
      <x:c r="P175" s="37" t="n">
        <x:v>84.24440265860221</x:v>
      </x:c>
      <x:c r="Q175" s="37" t="n">
        <x:v>120.89640111558724</x:v>
      </x:c>
    </x:row>
    <x:row r="176">
      <x:c r="C176" s="19" t="n">
        <x:v>44593</x:v>
      </x:c>
      <x:c r="D176" s="19" t="n">
        <x:v>44620</x:v>
      </x:c>
      <x:c r="E176" s="34" t="str">
        <x:v>grid_1mk3z2wn.xlsx</x:v>
      </x:c>
      <x:c r="F176" s="37" t="n">
        <x:v>213.32855661350206</x:v>
      </x:c>
      <x:c r="G176" s="37" t="n">
        <x:v>108.38210279635605</x:v>
      </x:c>
      <x:c r="H176" s="37" t="n">
        <x:v>115.51786681167309</x:v>
      </x:c>
      <x:c r="I176" s="37" t="n">
        <x:v>116.46328064842942</x:v>
      </x:c>
      <x:c r="J176" s="37" t="n">
        <x:v>232.6606575662297</x:v>
      </x:c>
      <x:c r="K176" s="37" t="n">
        <x:v>104.27046515430025</x:v>
      </x:c>
      <x:c r="L176" s="37" t="n">
        <x:v>192.55136192578775</x:v>
      </x:c>
      <x:c r="M176" s="37" t="n">
        <x:v>136.7987926358309</x:v>
      </x:c>
      <x:c r="N176" s="37" t="n">
        <x:v>133.13500153193456</x:v>
      </x:c>
      <x:c r="O176" s="37" t="n">
        <x:v>237.09214692804767</x:v>
      </x:c>
      <x:c r="P176" s="37" t="n">
        <x:v>85.63540144051832</x:v>
      </x:c>
      <x:c r="Q176" s="37" t="n">
        <x:v>115.01234533637374</x:v>
      </x:c>
    </x:row>
    <x:row r="177">
      <x:c r="C177" s="19" t="n">
        <x:v>44621</x:v>
      </x:c>
      <x:c r="D177" s="19" t="n">
        <x:v>44651</x:v>
      </x:c>
      <x:c r="E177" s="34" t="str">
        <x:v>grid_1mk3z2wn.xlsx</x:v>
      </x:c>
      <x:c r="F177" s="37" t="n">
        <x:v>227.9696391361436</x:v>
      </x:c>
      <x:c r="G177" s="37" t="n">
        <x:v>110.22970088276523</x:v>
      </x:c>
      <x:c r="H177" s="37" t="n">
        <x:v>116.77246371816028</x:v>
      </x:c>
      <x:c r="I177" s="37" t="n">
        <x:v>113.18464066905518</x:v>
      </x:c>
      <x:c r="J177" s="37" t="n">
        <x:v>273.66296020895066</x:v>
      </x:c>
      <x:c r="K177" s="37" t="n">
        <x:v>106.17252007756545</x:v>
      </x:c>
      <x:c r="L177" s="37" t="n">
        <x:v>214.4538007884547</x:v>
      </x:c>
      <x:c r="M177" s="37" t="n">
        <x:v>143.350351413336</x:v>
      </x:c>
      <x:c r="N177" s="37" t="n">
        <x:v>139.49426193456097</x:v>
      </x:c>
      <x:c r="O177" s="37" t="n">
        <x:v>254.70582035831634</x:v>
      </x:c>
      <x:c r="P177" s="37" t="n">
        <x:v>87.04366033187118</x:v>
      </x:c>
      <x:c r="Q177" s="37" t="n">
        <x:v>121.19332332343828</x:v>
      </x:c>
    </x:row>
    <x:row r="178">
      <x:c r="C178" s="19" t="n">
        <x:v>44652</x:v>
      </x:c>
      <x:c r="D178" s="19" t="n">
        <x:v>44680</x:v>
      </x:c>
      <x:c r="E178" s="34" t="str">
        <x:v>grid_1mk3z2wn.xlsx</x:v>
      </x:c>
      <x:c r="F178" s="37" t="n">
        <x:v>243.7449410531384</x:v>
      </x:c>
      <x:c r="G178" s="37" t="n">
        <x:v>104.69006440381304</x:v>
      </x:c>
      <x:c r="H178" s="37" t="n">
        <x:v>127.28099130649255</x:v>
      </x:c>
      <x:c r="I178" s="37" t="n">
        <x:v>122.98738274416985</x:v>
      </x:c>
      <x:c r="J178" s="37" t="n">
        <x:v>279.8972183988031</x:v>
      </x:c>
      <x:c r="K178" s="37" t="n">
        <x:v>107.67651925470696</x:v>
      </x:c>
      <x:c r="L178" s="37" t="n">
        <x:v>211.49258895165892</x:v>
      </x:c>
      <x:c r="M178" s="37" t="n">
        <x:v>145.28963217207027</x:v>
      </x:c>
      <x:c r="N178" s="37" t="n">
        <x:v>150.97543397503247</x:v>
      </x:c>
      <x:c r="O178" s="37" t="n">
        <x:v>279.6418642901893</x:v>
      </x:c>
      <x:c r="P178" s="37" t="n">
        <x:v>90.28743050397024</x:v>
      </x:c>
      <x:c r="Q178" s="37" t="n">
        <x:v>116.9193965680992</x:v>
      </x:c>
    </x:row>
    <x:row r="179">
      <x:c r="C179" s="19" t="n">
        <x:v>44682</x:v>
      </x:c>
      <x:c r="D179" s="19" t="n">
        <x:v>44712</x:v>
      </x:c>
      <x:c r="E179" s="34" t="str">
        <x:v>grid_1mk3z2wn.xlsx</x:v>
      </x:c>
      <x:c r="F179" s="37" t="n">
        <x:v>248.70235655794897</x:v>
      </x:c>
      <x:c r="G179" s="37" t="n">
        <x:v>103.81386201653011</x:v>
      </x:c>
      <x:c r="H179" s="37" t="n">
        <x:v>138.56001224889323</x:v>
      </x:c>
      <x:c r="I179" s="37" t="n">
        <x:v>112.60966155480709</x:v>
      </x:c>
      <x:c r="J179" s="37" t="n">
        <x:v>295.319481178421</x:v>
      </x:c>
      <x:c r="K179" s="37" t="n">
        <x:v>113.94802672783908</x:v>
      </x:c>
      <x:c r="L179" s="37" t="n">
        <x:v>215.29111763710767</x:v>
      </x:c>
      <x:c r="M179" s="37" t="n">
        <x:v>146.59843997282815</x:v>
      </x:c>
      <x:c r="N179" s="37" t="n">
        <x:v>153.78454911089915</x:v>
      </x:c>
      <x:c r="O179" s="37" t="n">
        <x:v>272.1895678737182</x:v>
      </x:c>
      <x:c r="P179" s="37" t="n">
        <x:v>95.15330821778399</x:v>
      </x:c>
      <x:c r="Q179" s="37" t="n">
        <x:v>126.98427958034546</x:v>
      </x:c>
    </x:row>
    <x:row r="180">
      <x:c r="C180" s="19" t="n">
        <x:v>44713</x:v>
      </x:c>
      <x:c r="D180" s="19" t="n">
        <x:v>44742</x:v>
      </x:c>
      <x:c r="E180" s="34" t="str">
        <x:v>grid_1mk3z2wn.xlsx</x:v>
      </x:c>
      <x:c r="F180" s="37" t="n">
        <x:v>258.5461300355431</x:v>
      </x:c>
      <x:c r="G180" s="37" t="n">
        <x:v>100.86894918135295</x:v>
      </x:c>
      <x:c r="H180" s="37" t="n">
        <x:v>133.7341660814054</x:v>
      </x:c>
      <x:c r="I180" s="37" t="n">
        <x:v>113.49903791190489</x:v>
      </x:c>
      <x:c r="J180" s="37" t="n">
        <x:v>323.57314329730457</x:v>
      </x:c>
      <x:c r="K180" s="37" t="n">
        <x:v>118.85461160200317</x:v>
      </x:c>
      <x:c r="L180" s="37" t="n">
        <x:v>199.5209847114167</x:v>
      </x:c>
      <x:c r="M180" s="37" t="n">
        <x:v>167.11134048085722</x:v>
      </x:c>
      <x:c r="N180" s="37" t="n">
        <x:v>158.74178263927385</x:v>
      </x:c>
      <x:c r="O180" s="37" t="n">
        <x:v>273.07261987572446</x:v>
      </x:c>
      <x:c r="P180" s="37" t="n">
        <x:v>95.69222402852287</x:v>
      </x:c>
      <x:c r="Q180" s="37" t="n">
        <x:v>166.00317229132452</x:v>
      </x:c>
    </x:row>
    <x:row r="181">
      <x:c r="C181" s="19" t="n">
        <x:v>44743</x:v>
      </x:c>
      <x:c r="D181" s="19" t="n">
        <x:v>44771</x:v>
      </x:c>
      <x:c r="E181" s="34" t="str">
        <x:v>grid_1mk3z2wn.xlsx</x:v>
      </x:c>
      <x:c r="F181" s="37" t="n">
        <x:v>256.1502271314952</x:v>
      </x:c>
      <x:c r="G181" s="37" t="n">
        <x:v>96.55078076647865</x:v>
      </x:c>
      <x:c r="H181" s="37" t="n">
        <x:v>135.1973614492883</x:v>
      </x:c>
      <x:c r="I181" s="37" t="n">
        <x:v>111.74135548513111</x:v>
      </x:c>
      <x:c r="J181" s="37" t="n">
        <x:v>330.2112527762024</x:v>
      </x:c>
      <x:c r="K181" s="37" t="n">
        <x:v>119.7078652607101</x:v>
      </x:c>
      <x:c r="L181" s="37" t="n">
        <x:v>204.88939071061947</x:v>
      </x:c>
      <x:c r="M181" s="37" t="n">
        <x:v>180.3596649699213</x:v>
      </x:c>
      <x:c r="N181" s="37" t="n">
        <x:v>158.43425726179498</x:v>
      </x:c>
      <x:c r="O181" s="37" t="n">
        <x:v>243.6321948915332</x:v>
      </x:c>
      <x:c r="P181" s="37" t="n">
        <x:v>98.6480215719112</x:v>
      </x:c>
      <x:c r="Q181" s="37" t="n">
        <x:v>159.35729080809048</x:v>
      </x:c>
    </x:row>
    <x:row r="182">
      <x:c r="C182" s="19" t="n">
        <x:v>44774</x:v>
      </x:c>
      <x:c r="D182" s="19" t="n">
        <x:v>44804</x:v>
      </x:c>
      <x:c r="E182" s="34" t="str">
        <x:v>grid_1mk3z2wn.xlsx</x:v>
      </x:c>
      <x:c r="F182" s="37" t="n">
        <x:v>247.20391087476764</x:v>
      </x:c>
      <x:c r="G182" s="37" t="n">
        <x:v>88.94333994392751</x:v>
      </x:c>
      <x:c r="H182" s="37" t="n">
        <x:v>133.57635690520667</x:v>
      </x:c>
      <x:c r="I182" s="37" t="n">
        <x:v>113.09770140465649</x:v>
      </x:c>
      <x:c r="J182" s="37" t="n">
        <x:v>338.2666900987785</x:v>
      </x:c>
      <x:c r="K182" s="37" t="n">
        <x:v>120.91142449553287</x:v>
      </x:c>
      <x:c r="L182" s="37" t="n">
        <x:v>202.1341037082602</x:v>
      </x:c>
      <x:c r="M182" s="37" t="n">
        <x:v>176.2902386035539</x:v>
      </x:c>
      <x:c r="N182" s="37" t="n">
        <x:v>153.1005984823449</x:v>
      </x:c>
      <x:c r="O182" s="37" t="n">
        <x:v>233.57000340811118</x:v>
      </x:c>
      <x:c r="P182" s="37" t="n">
        <x:v>100.82497680763399</x:v>
      </x:c>
      <x:c r="Q182" s="37" t="n">
        <x:v>141.3623704430941</x:v>
      </x:c>
    </x:row>
    <x:row r="183">
      <x:c r="C183" s="19" t="n">
        <x:v>44805</x:v>
      </x:c>
      <x:c r="D183" s="19" t="n">
        <x:v>44834</x:v>
      </x:c>
      <x:c r="E183" s="34" t="str">
        <x:v>grid_1mk3z2wn.xlsx</x:v>
      </x:c>
      <x:c r="F183" s="37" t="n">
        <x:v>235.62920093711804</x:v>
      </x:c>
      <x:c r="G183" s="37" t="n">
        <x:v>85.8971029204749</x:v>
      </x:c>
      <x:c r="H183" s="37" t="n">
        <x:v>130.82634652318507</x:v>
      </x:c>
      <x:c r="I183" s="37" t="n">
        <x:v>109.19611749141009</x:v>
      </x:c>
      <x:c r="J183" s="37" t="n">
        <x:v>321.50382522778114</x:v>
      </x:c>
      <x:c r="K183" s="37" t="n">
        <x:v>123.7128406917677</x:v>
      </x:c>
      <x:c r="L183" s="37" t="n">
        <x:v>204.17887176980517</x:v>
      </x:c>
      <x:c r="M183" s="37" t="n">
        <x:v>195.33396050337598</x:v>
      </x:c>
      <x:c r="N183" s="37" t="n">
        <x:v>159.39102444904486</x:v>
      </x:c>
      <x:c r="O183" s="37" t="n">
        <x:v>233.57535201598526</x:v>
      </x:c>
      <x:c r="P183" s="37" t="n">
        <x:v>101.36023281314961</x:v>
      </x:c>
      <x:c r="Q183" s="37" t="n">
        <x:v>151.87805141681662</x:v>
      </x:c>
    </x:row>
    <x:row r="184">
      <x:c r="C184" s="19" t="n">
        <x:v>44835</x:v>
      </x:c>
      <x:c r="D184" s="19" t="n">
        <x:v>44865</x:v>
      </x:c>
      <x:c r="E184" s="34" t="str">
        <x:v>grid_1mk3z2wn.xlsx</x:v>
      </x:c>
      <x:c r="F184" s="37" t="n">
        <x:v>215.51986403587594</x:v>
      </x:c>
      <x:c r="G184" s="37" t="n">
        <x:v>85.13256889142782</x:v>
      </x:c>
      <x:c r="H184" s="37" t="n">
        <x:v>137.99212544824152</x:v>
      </x:c>
      <x:c r="I184" s="37" t="n">
        <x:v>107.15510230285894</x:v>
      </x:c>
      <x:c r="J184" s="37" t="n">
        <x:v>313.97098590614894</x:v>
      </x:c>
      <x:c r="K184" s="37" t="n">
        <x:v>122.298070769684</x:v>
      </x:c>
      <x:c r="L184" s="37" t="n">
        <x:v>208.8396994931193</x:v>
      </x:c>
      <x:c r="M184" s="37" t="n">
        <x:v>204.89994666602271</x:v>
      </x:c>
      <x:c r="N184" s="37" t="n">
        <x:v>163.3968449732874</x:v>
      </x:c>
      <x:c r="O184" s="37" t="n">
        <x:v>200.14333753668944</x:v>
      </x:c>
      <x:c r="P184" s="37" t="n">
        <x:v>101.57774582789844</x:v>
      </x:c>
      <x:c r="Q184" s="37" t="n">
        <x:v>163.54923587523228</x:v>
      </x:c>
    </x:row>
    <x:row r="185">
      <x:c r="C185" s="19" t="n">
        <x:v>44866</x:v>
      </x:c>
      <x:c r="D185" s="19" t="n">
        <x:v>44895</x:v>
      </x:c>
      <x:c r="E185" s="34" t="str">
        <x:v>grid_1mk3z2wn.xlsx</x:v>
      </x:c>
      <x:c r="F185" s="37" t="n">
        <x:v>220.35350459697307</x:v>
      </x:c>
      <x:c r="G185" s="37" t="n">
        <x:v>86.61122740067813</x:v>
      </x:c>
      <x:c r="H185" s="37" t="n">
        <x:v>149.27462425968008</x:v>
      </x:c>
      <x:c r="I185" s="37" t="n">
        <x:v>110.97289901126743</x:v>
      </x:c>
      <x:c r="J185" s="37" t="n">
        <x:v>294.2777234990581</x:v>
      </x:c>
      <x:c r="K185" s="37" t="n">
        <x:v>119.50738898481492</x:v>
      </x:c>
      <x:c r="L185" s="37" t="n">
        <x:v>218.4885816395692</x:v>
      </x:c>
      <x:c r="M185" s="37" t="n">
        <x:v>217.3187679148819</x:v>
      </x:c>
      <x:c r="N185" s="37" t="n">
        <x:v>173.17152413784507</x:v>
      </x:c>
      <x:c r="O185" s="37" t="n">
        <x:v>204.51914611860568</x:v>
      </x:c>
      <x:c r="P185" s="37" t="n">
        <x:v>103.48140676506992</x:v>
      </x:c>
      <x:c r="Q185" s="37" t="n">
        <x:v>170.70443896008757</x:v>
      </x:c>
    </x:row>
    <x:row r="186">
      <x:c r="C186" s="19" t="n">
        <x:v>44896</x:v>
      </x:c>
      <x:c r="D186" s="19" t="n">
        <x:v>44925</x:v>
      </x:c>
      <x:c r="E186" s="34" t="str">
        <x:v>grid_1mk3z2wn.xlsx</x:v>
      </x:c>
      <x:c r="F186" s="37" t="n">
        <x:v>204.65670819677678</x:v>
      </x:c>
      <x:c r="G186" s="37" t="n">
        <x:v>87.0979350739594</x:v>
      </x:c>
      <x:c r="H186" s="37" t="n">
        <x:v>112.76996905354915</x:v>
      </x:c>
      <x:c r="I186" s="37" t="n">
        <x:v>103.08687067543087</x:v>
      </x:c>
      <x:c r="J186" s="37" t="n">
        <x:v>254.38346836378415</x:v>
      </x:c>
      <x:c r="K186" s="37" t="n">
        <x:v>119.95276459287261</x:v>
      </x:c>
      <x:c r="L186" s="37" t="n">
        <x:v>223.18232535241614</x:v>
      </x:c>
      <x:c r="M186" s="37" t="n">
        <x:v>224.52986798758263</x:v>
      </x:c>
      <x:c r="N186" s="37" t="n">
        <x:v>183.06436514740335</x:v>
      </x:c>
      <x:c r="O186" s="37" t="n">
        <x:v>195.1211300390725</x:v>
      </x:c>
      <x:c r="P186" s="37" t="n">
        <x:v>106.31940206273582</x:v>
      </x:c>
      <x:c r="Q186" s="37" t="n">
        <x:v>155.9607123647533</x:v>
      </x:c>
    </x:row>
    <x:row r="187">
      <x:c r="C187" s="19" t="n">
        <x:v>44927</x:v>
      </x:c>
      <x:c r="D187" s="19" t="n">
        <x:v>44957</x:v>
      </x:c>
      <x:c r="E187" s="34" t="str">
        <x:v>grid_22fp35k1.xlsx</x:v>
      </x:c>
      <x:c r="F187" s="37" t="n">
        <x:v>197.7913703162732</x:v>
      </x:c>
      <x:c r="G187" s="37" t="n">
        <x:v>86.8650468333412</x:v>
      </x:c>
      <x:c r="H187" s="37" t="n">
        <x:v>114.43119369052128</x:v>
      </x:c>
      <x:c r="I187" s="37" t="n">
        <x:v>90.51577285095604</x:v>
      </x:c>
      <x:c r="J187" s="37" t="n">
        <x:v>219.20212465817463</x:v>
      </x:c>
      <x:c r="K187" s="37" t="n">
        <x:v>121.38725952267097</x:v>
      </x:c>
      <x:c r="L187" s="37" t="n">
        <x:v>203.9291748266427</x:v>
      </x:c>
      <x:c r="M187" s="37" t="n">
        <x:v>218.59921397246845</x:v>
      </x:c>
      <x:c r="N187" s="37" t="n">
        <x:v>191.46021591474351</x:v>
      </x:c>
      <x:c r="O187" s="37" t="n">
        <x:v>197.76814338157922</x:v>
      </x:c>
      <x:c r="P187" s="37" t="n">
        <x:v>110.12366445550703</x:v>
      </x:c>
      <x:c r="Q187" s="37" t="n">
        <x:v>163.5307103307389</x:v>
      </x:c>
    </x:row>
    <x:row r="188">
      <x:c r="C188" s="19" t="n">
        <x:v>44958</x:v>
      </x:c>
      <x:c r="D188" s="19" t="n">
        <x:v>44985</x:v>
      </x:c>
      <x:c r="E188" s="34" t="str">
        <x:v>grid_22fp35k1.xlsx</x:v>
      </x:c>
      <x:c r="F188" s="37" t="n">
        <x:v>212.9936304670478</x:v>
      </x:c>
      <x:c r="G188" s="37" t="n">
        <x:v>86.74276442754422</x:v>
      </x:c>
      <x:c r="H188" s="37" t="n">
        <x:v>110.38046015032421</x:v>
      </x:c>
      <x:c r="I188" s="37" t="n">
        <x:v>94.51439703734098</x:v>
      </x:c>
      <x:c r="J188" s="37" t="n">
        <x:v>258.7191501408911</x:v>
      </x:c>
      <x:c r="K188" s="37" t="n">
        <x:v>124.1104003941904</x:v>
      </x:c>
      <x:c r="L188" s="37" t="n">
        <x:v>203.05361375360675</x:v>
      </x:c>
      <x:c r="M188" s="37" t="n">
        <x:v>227.12751465906078</x:v>
      </x:c>
      <x:c r="N188" s="37" t="n">
        <x:v>198.156680047511</x:v>
      </x:c>
      <x:c r="O188" s="37" t="n">
        <x:v>193.99030009037568</x:v>
      </x:c>
      <x:c r="P188" s="37" t="n">
        <x:v>115.91576434253135</x:v>
      </x:c>
      <x:c r="Q188" s="37" t="n">
        <x:v>163.92007207420974</x:v>
      </x:c>
    </x:row>
    <x:row r="189">
      <x:c r="C189" s="19" t="n">
        <x:v>44986</x:v>
      </x:c>
      <x:c r="D189" s="19" t="n">
        <x:v>45016</x:v>
      </x:c>
      <x:c r="E189" s="34" t="str">
        <x:v>grid_22fp35k1.xlsx</x:v>
      </x:c>
      <x:c r="F189" s="37" t="n">
        <x:v>206.72589708819186</x:v>
      </x:c>
      <x:c r="G189" s="37" t="n">
        <x:v>86.50841013215113</x:v>
      </x:c>
      <x:c r="H189" s="37" t="n">
        <x:v>115.37955578698629</x:v>
      </x:c>
      <x:c r="I189" s="37" t="n">
        <x:v>97.5000802588483</x:v>
      </x:c>
      <x:c r="J189" s="37" t="n">
        <x:v>247.63824209282555</x:v>
      </x:c>
      <x:c r="K189" s="37" t="n">
        <x:v>123.79073934227327</x:v>
      </x:c>
      <x:c r="L189" s="37" t="n">
        <x:v>206.94548018010295</x:v>
      </x:c>
      <x:c r="M189" s="37" t="n">
        <x:v>222.39632013436798</x:v>
      </x:c>
      <x:c r="N189" s="37" t="n">
        <x:v>205.758962608602</x:v>
      </x:c>
      <x:c r="O189" s="37" t="n">
        <x:v>201.54563279655798</x:v>
      </x:c>
      <x:c r="P189" s="37" t="n">
        <x:v>122.89198495007558</x:v>
      </x:c>
      <x:c r="Q189" s="37" t="n">
        <x:v>166.13568004662292</x:v>
      </x:c>
    </x:row>
    <x:row r="190">
      <x:c r="C190" s="19" t="n">
        <x:v>45017</x:v>
      </x:c>
      <x:c r="D190" s="19" t="n">
        <x:v>45044</x:v>
      </x:c>
      <x:c r="E190" s="34" t="str">
        <x:v>grid_22fp35k1.xlsx</x:v>
      </x:c>
      <x:c r="F190" s="37" t="n">
        <x:v>192.67139504238088</x:v>
      </x:c>
      <x:c r="G190" s="37" t="n">
        <x:v>88.36703596464376</x:v>
      </x:c>
      <x:c r="H190" s="37" t="n">
        <x:v>116.17993879441113</x:v>
      </x:c>
      <x:c r="I190" s="37" t="n">
        <x:v>100.35684141578729</x:v>
      </x:c>
      <x:c r="J190" s="37" t="n">
        <x:v>243.59690693109854</x:v>
      </x:c>
      <x:c r="K190" s="37" t="n">
        <x:v>123.448092872854</x:v>
      </x:c>
      <x:c r="L190" s="37" t="n">
        <x:v>207.11953336468832</x:v>
      </x:c>
      <x:c r="M190" s="37" t="n">
        <x:v>226.35037878735025</x:v>
      </x:c>
      <x:c r="N190" s="37" t="n">
        <x:v>198.79368132112583</x:v>
      </x:c>
      <x:c r="O190" s="37" t="n">
        <x:v>170.92227752718958</x:v>
      </x:c>
      <x:c r="P190" s="37" t="n">
        <x:v>118.67161227989764</x:v>
      </x:c>
      <x:c r="Q190" s="37" t="n">
        <x:v>162.92245797145938</x:v>
      </x:c>
    </x:row>
    <x:row r="191">
      <x:c r="C191" s="19" t="n">
        <x:v>45047</x:v>
      </x:c>
      <x:c r="D191" s="19" t="n">
        <x:v>45077</x:v>
      </x:c>
      <x:c r="E191" s="34" t="str">
        <x:v>grid_22fp35k1.xlsx</x:v>
      </x:c>
      <x:c r="F191" s="37" t="n">
        <x:v>187.07148388484185</x:v>
      </x:c>
      <x:c r="G191" s="37" t="n">
        <x:v>90.63446290882916</x:v>
      </x:c>
      <x:c r="H191" s="37" t="n">
        <x:v>111.63220401538933</x:v>
      </x:c>
      <x:c r="I191" s="37" t="n">
        <x:v>102.70015425024155</x:v>
      </x:c>
      <x:c r="J191" s="37" t="n">
        <x:v>244.7945165920434</x:v>
      </x:c>
      <x:c r="K191" s="37" t="n">
        <x:v>123.49394382332261</x:v>
      </x:c>
      <x:c r="L191" s="37" t="n">
        <x:v>206.69588660413766</x:v>
      </x:c>
      <x:c r="M191" s="37" t="n">
        <x:v>222.0450069891473</x:v>
      </x:c>
      <x:c r="N191" s="37" t="n">
        <x:v>183.9225199025395</x:v>
      </x:c>
      <x:c r="O191" s="37" t="n">
        <x:v>162.05597297896216</x:v>
      </x:c>
      <x:c r="P191" s="37" t="n">
        <x:v>159.4854892883038</x:v>
      </x:c>
      <x:c r="Q191" s="37" t="n">
        <x:v>182.6711973944773</x:v>
      </x:c>
    </x:row>
    <x:row r="192">
      <x:c r="C192" s="19" t="n">
        <x:v>45078</x:v>
      </x:c>
      <x:c r="D192" s="19" t="n">
        <x:v>45107</x:v>
      </x:c>
      <x:c r="E192" s="34" t="str">
        <x:v>grid_22fp35k1.xlsx</x:v>
      </x:c>
      <x:c r="F192" s="37" t="n">
        <x:v>181.80262640675943</x:v>
      </x:c>
      <x:c r="G192" s="37" t="n">
        <x:v>93.84780424392645</x:v>
      </x:c>
      <x:c r="H192" s="37" t="n">
        <x:v>93.05450444725749</x:v>
      </x:c>
      <x:c r="I192" s="37" t="n">
        <x:v>101.70959977330018</x:v>
      </x:c>
      <x:c r="J192" s="37" t="n">
        <x:v>239.89571780130868</x:v>
      </x:c>
      <x:c r="K192" s="37" t="n">
        <x:v>125.18687109006848</x:v>
      </x:c>
      <x:c r="L192" s="37" t="n">
        <x:v>211.4568181051394</x:v>
      </x:c>
      <x:c r="M192" s="37" t="n">
        <x:v>225.79602091292764</x:v>
      </x:c>
      <x:c r="N192" s="37" t="n">
        <x:v>185.11967753073745</x:v>
      </x:c>
      <x:c r="O192" s="37" t="n">
        <x:v>149.0600445380879</x:v>
      </x:c>
      <x:c r="P192" s="37" t="n">
        <x:v>160.24918500088694</x:v>
      </x:c>
      <x:c r="Q192" s="37" t="n">
        <x:v>160.53103849433947</x:v>
      </x:c>
    </x:row>
    <x:row r="193">
      <x:c r="C193" s="19" t="n">
        <x:v>45108</x:v>
      </x:c>
      <x:c r="D193" s="19" t="n">
        <x:v>45138</x:v>
      </x:c>
      <x:c r="E193" s="34" t="str">
        <x:v>grid_22fp35k1.xlsx</x:v>
      </x:c>
      <x:c r="F193" s="37" t="n">
        <x:v>180.98869299756308</x:v>
      </x:c>
      <x:c r="G193" s="37" t="n">
        <x:v>94.82912867590451</x:v>
      </x:c>
      <x:c r="H193" s="37" t="n">
        <x:v>97.07841724289959</x:v>
      </x:c>
      <x:c r="I193" s="37" t="n">
        <x:v>95.79830982676253</x:v>
      </x:c>
      <x:c r="J193" s="37" t="n">
        <x:v>233.86189523350492</x:v>
      </x:c>
      <x:c r="K193" s="37" t="n">
        <x:v>125.85390786366169</x:v>
      </x:c>
      <x:c r="L193" s="37" t="n">
        <x:v>225.8531423265672</x:v>
      </x:c>
      <x:c r="M193" s="37" t="n">
        <x:v>232.8195658370529</x:v>
      </x:c>
      <x:c r="N193" s="37" t="n">
        <x:v>192.39025299729178</x:v>
      </x:c>
      <x:c r="O193" s="37" t="n">
        <x:v>139.0125949743514</x:v>
      </x:c>
      <x:c r="P193" s="37" t="n">
        <x:v>167.5316775886527</x:v>
      </x:c>
      <x:c r="Q193" s="37" t="n">
        <x:v>165.35179246513266</x:v>
      </x:c>
    </x:row>
    <x:row r="194">
      <x:c r="C194" s="19" t="n">
        <x:v>45139</x:v>
      </x:c>
      <x:c r="D194" s="19" t="n">
        <x:v>45169</x:v>
      </x:c>
      <x:c r="E194" s="34" t="str">
        <x:v>grid_22fp35k1.xlsx</x:v>
      </x:c>
      <x:c r="F194" s="37" t="n">
        <x:v>189.28488483665373</x:v>
      </x:c>
      <x:c r="G194" s="37" t="n">
        <x:v>100.02029843083749</x:v>
      </x:c>
      <x:c r="H194" s="37" t="n">
        <x:v>114.3437862369084</x:v>
      </x:c>
      <x:c r="I194" s="37" t="n">
        <x:v>99.10147755750151</x:v>
      </x:c>
      <x:c r="J194" s="37" t="n">
        <x:v>243.0761263098343</x:v>
      </x:c>
      <x:c r="K194" s="37" t="n">
        <x:v>127.4012817265255</x:v>
      </x:c>
      <x:c r="L194" s="37" t="n">
        <x:v>234.37519583982728</x:v>
      </x:c>
      <x:c r="M194" s="37" t="n">
        <x:v>232.1096938490379</x:v>
      </x:c>
      <x:c r="N194" s="37" t="n">
        <x:v>190.38085702647436</x:v>
      </x:c>
      <x:c r="O194" s="37" t="n">
        <x:v>131.7681369051211</x:v>
      </x:c>
      <x:c r="P194" s="37" t="n">
        <x:v>162.24249025595327</x:v>
      </x:c>
      <x:c r="Q194" s="37" t="n">
        <x:v>171.64164197395942</x:v>
      </x:c>
    </x:row>
    <x:row r="195">
      <x:c r="C195" s="19" t="n">
        <x:v>45170</x:v>
      </x:c>
      <x:c r="D195" s="19" t="n">
        <x:v>45198</x:v>
      </x:c>
      <x:c r="E195" s="34" t="str">
        <x:v>grid_22fp35k1.xlsx</x:v>
      </x:c>
      <x:c r="F195" s="37" t="n">
        <x:v>194.93520998493332</x:v>
      </x:c>
      <x:c r="G195" s="37" t="n">
        <x:v>106.54031814399332</x:v>
      </x:c>
      <x:c r="H195" s="37" t="n">
        <x:v>127.33774695851466</x:v>
      </x:c>
      <x:c r="I195" s="37" t="n">
        <x:v>94.26385973935716</x:v>
      </x:c>
      <x:c r="J195" s="37" t="n">
        <x:v>240.14319467399764</x:v>
      </x:c>
      <x:c r="K195" s="37" t="n">
        <x:v>129.64579156890898</x:v>
      </x:c>
      <x:c r="L195" s="37" t="n">
        <x:v>238.93158927502057</x:v>
      </x:c>
      <x:c r="M195" s="37" t="n">
        <x:v>238.98056229525127</x:v>
      </x:c>
      <x:c r="N195" s="37" t="n">
        <x:v>189.8394511088885</x:v>
      </x:c>
      <x:c r="O195" s="37" t="n">
        <x:v>140.44232307441922</x:v>
      </x:c>
      <x:c r="P195" s="37" t="n">
        <x:v>154.07684804115354</x:v>
      </x:c>
      <x:c r="Q195" s="37" t="n">
        <x:v>193.5747502996625</x:v>
      </x:c>
    </x:row>
    <x:row r="196">
      <x:c r="C196" s="19" t="n">
        <x:v>45200</x:v>
      </x:c>
      <x:c r="D196" s="19" t="n">
        <x:v>45230</x:v>
      </x:c>
      <x:c r="E196" s="34" t="str">
        <x:v>grid_22fp35k1.xlsx</x:v>
      </x:c>
      <x:c r="F196" s="37" t="n">
        <x:v>211.58608505207437</x:v>
      </x:c>
      <x:c r="G196" s="37" t="n">
        <x:v>108.8370302316036</x:v>
      </x:c>
      <x:c r="H196" s="37" t="n">
        <x:v>143.71467536888005</x:v>
      </x:c>
      <x:c r="I196" s="37" t="n">
        <x:v>95.97340946127966</x:v>
      </x:c>
      <x:c r="J196" s="37" t="n">
        <x:v>256.78942474736226</x:v>
      </x:c>
      <x:c r="K196" s="37" t="n">
        <x:v>133.30838435953873</x:v>
      </x:c>
      <x:c r="L196" s="37" t="n">
        <x:v>244.20872668188136</x:v>
      </x:c>
      <x:c r="M196" s="37" t="n">
        <x:v>238.36323442979815</x:v>
      </x:c>
      <x:c r="N196" s="37" t="n">
        <x:v>196.39929525988026</x:v>
      </x:c>
      <x:c r="O196" s="37" t="n">
        <x:v>150.86833242244896</x:v>
      </x:c>
      <x:c r="P196" s="37" t="n">
        <x:v>157.87425974856652</x:v>
      </x:c>
      <x:c r="Q196" s="37" t="n">
        <x:v>200.93625014848638</x:v>
      </x:c>
    </x:row>
    <x:row r="197">
      <x:c r="C197" s="19" t="n">
        <x:v>45231</x:v>
      </x:c>
      <x:c r="D197" s="19" t="n">
        <x:v>45260</x:v>
      </x:c>
      <x:c r="E197" s="34" t="str">
        <x:v>grid_22fp35k1.xlsx</x:v>
      </x:c>
      <x:c r="F197" s="37" t="n">
        <x:v>203.82877900894874</x:v>
      </x:c>
      <x:c r="G197" s="37" t="n">
        <x:v>112.04822859594408</x:v>
      </x:c>
      <x:c r="H197" s="37" t="n">
        <x:v>155.29363711501895</x:v>
      </x:c>
      <x:c r="I197" s="37" t="n">
        <x:v>91.44394924840937</x:v>
      </x:c>
      <x:c r="J197" s="37" t="n">
        <x:v>259.83394118881085</x:v>
      </x:c>
      <x:c r="K197" s="37" t="n">
        <x:v>133.26485370097427</x:v>
      </x:c>
      <x:c r="L197" s="37" t="n">
        <x:v>253.3925548208677</x:v>
      </x:c>
      <x:c r="M197" s="37" t="n">
        <x:v>241.0229432653519</x:v>
      </x:c>
      <x:c r="N197" s="37" t="n">
        <x:v>206.80823624156437</x:v>
      </x:c>
      <x:c r="O197" s="37" t="n">
        <x:v>153.5809943870108</x:v>
      </x:c>
      <x:c r="P197" s="37" t="n">
        <x:v>150.91935455205223</x:v>
      </x:c>
      <x:c r="Q197" s="37" t="n">
        <x:v>198.79574260084374</x:v>
      </x:c>
    </x:row>
    <x:row r="198">
      <x:c r="C198" s="19" t="n">
        <x:v>45261</x:v>
      </x:c>
      <x:c r="D198" s="19" t="n">
        <x:v>45289</x:v>
      </x:c>
      <x:c r="E198" s="34" t="str">
        <x:v>grid_22fp35k1.xlsx</x:v>
      </x:c>
      <x:c r="F198" s="37" t="n">
        <x:v>209.91772122641996</x:v>
      </x:c>
      <x:c r="G198" s="37" t="n">
        <x:v>112.03073518756064</x:v>
      </x:c>
      <x:c r="H198" s="37" t="n">
        <x:v>154.8451994099877</x:v>
      </x:c>
      <x:c r="I198" s="37" t="n">
        <x:v>90.62571844432331</x:v>
      </x:c>
      <x:c r="J198" s="37" t="n">
        <x:v>273.0534616901298</x:v>
      </x:c>
      <x:c r="K198" s="37" t="n">
        <x:v>134.180400518767</x:v>
      </x:c>
      <x:c r="L198" s="37" t="n">
        <x:v>263.6215161431084</x:v>
      </x:c>
      <x:c r="M198" s="37" t="n">
        <x:v>249.38141985607137</x:v>
      </x:c>
      <x:c r="N198" s="37" t="n">
        <x:v>213.57191176414236</x:v>
      </x:c>
      <x:c r="O198" s="37" t="n">
        <x:v>159.20027609342725</x:v>
      </x:c>
      <x:c r="P198" s="37" t="n">
        <x:v>139.1102846474393</x:v>
      </x:c>
      <x:c r="Q198" s="37" t="n">
        <x:v>196.33031579642056</x:v>
      </x:c>
    </x:row>
    <x:row r="199">
      <x:c r="C199" s="19" t="n">
        <x:v>45292</x:v>
      </x:c>
      <x:c r="D199" s="19" t="n">
        <x:v>45322</x:v>
      </x:c>
      <x:c r="E199" s="34" t="str">
        <x:v>grid_22fp35k1.xlsx</x:v>
      </x:c>
      <x:c r="F199" s="37" t="n">
        <x:v>211.81376007741397</x:v>
      </x:c>
      <x:c r="G199" s="37" t="n">
        <x:v>115.47145592508743</x:v>
      </x:c>
      <x:c r="H199" s="37" t="n">
        <x:v>167.16605318169206</x:v>
      </x:c>
      <x:c r="I199" s="37" t="n">
        <x:v>99.55752810655686</x:v>
      </x:c>
      <x:c r="J199" s="37" t="n">
        <x:v>261.44759339686277</x:v>
      </x:c>
      <x:c r="K199" s="37" t="n">
        <x:v>137.07536119449423</x:v>
      </x:c>
      <x:c r="L199" s="37" t="n">
        <x:v>267.9352522761131</x:v>
      </x:c>
      <x:c r="M199" s="37" t="n">
        <x:v>250.83878534673593</x:v>
      </x:c>
      <x:c r="N199" s="37" t="n">
        <x:v>214.75749291359193</x:v>
      </x:c>
      <x:c r="O199" s="37" t="n">
        <x:v>166.50434710317876</x:v>
      </x:c>
      <x:c r="P199" s="37" t="n">
        <x:v>135.2126081959066</x:v>
      </x:c>
      <x:c r="Q199" s="37" t="n">
        <x:v>180.48153498649725</x:v>
      </x:c>
    </x:row>
    <x:row r="200">
      <x:c r="C200" s="19" t="n">
        <x:v>45323</x:v>
      </x:c>
      <x:c r="D200" s="19" t="n">
        <x:v>45351</x:v>
      </x:c>
      <x:c r="E200" s="34" t="str">
        <x:v>grid_22fp35k1.xlsx</x:v>
      </x:c>
      <x:c r="F200" s="37" t="n">
        <x:v>207.37101940155353</x:v>
      </x:c>
      <x:c r="G200" s="37" t="n">
        <x:v>117.80894457363105</x:v>
      </x:c>
      <x:c r="H200" s="37" t="n">
        <x:v>175.84182032003525</x:v>
      </x:c>
      <x:c r="I200" s="37" t="n">
        <x:v>94.02106734960283</x:v>
      </x:c>
      <x:c r="J200" s="37" t="n">
        <x:v>258.9248638678772</x:v>
      </x:c>
      <x:c r="K200" s="37" t="n">
        <x:v>137.9470911017633</x:v>
      </x:c>
      <x:c r="L200" s="37" t="n">
        <x:v>269.3445515320781</x:v>
      </x:c>
      <x:c r="M200" s="37" t="n">
        <x:v>257.48348577306604</x:v>
      </x:c>
      <x:c r="N200" s="37" t="n">
        <x:v>213.96604638375982</x:v>
      </x:c>
      <x:c r="O200" s="37" t="n">
        <x:v>161.40728969471795</x:v>
      </x:c>
      <x:c r="P200" s="37" t="n">
        <x:v>135.78494724844</x:v>
      </x:c>
      <x:c r="Q200" s="37" t="n">
        <x:v>186.46924771825758</x:v>
      </x:c>
    </x:row>
    <x:row r="201">
      <x:c r="C201" s="19" t="n">
        <x:v>45352</x:v>
      </x:c>
      <x:c r="D201" s="19" t="n">
        <x:v>45380</x:v>
      </x:c>
      <x:c r="E201" s="34" t="str">
        <x:v>grid_22fp35k1.xlsx</x:v>
      </x:c>
      <x:c r="F201" s="37" t="n">
        <x:v>197.86306387123983</x:v>
      </x:c>
      <x:c r="G201" s="37" t="n">
        <x:v>119.22347126258231</x:v>
      </x:c>
      <x:c r="H201" s="37" t="n">
        <x:v>179.10186811643737</x:v>
      </x:c>
      <x:c r="I201" s="37" t="n">
        <x:v>89.63971346877695</x:v>
      </x:c>
      <x:c r="J201" s="37" t="n">
        <x:v>249.87817759158588</x:v>
      </x:c>
      <x:c r="K201" s="37" t="n">
        <x:v>139.94063243785936</x:v>
      </x:c>
      <x:c r="L201" s="37" t="n">
        <x:v>279.60992735132174</x:v>
      </x:c>
      <x:c r="M201" s="37" t="n">
        <x:v>254.00117705864002</x:v>
      </x:c>
      <x:c r="N201" s="37" t="n">
        <x:v>209.51384597957392</x:v>
      </x:c>
      <x:c r="O201" s="37" t="n">
        <x:v>151.66178636727838</x:v>
      </x:c>
      <x:c r="P201" s="37" t="n">
        <x:v>140.17583323357346</x:v>
      </x:c>
      <x:c r="Q201" s="37" t="n">
        <x:v>189.49399889819688</x:v>
      </x:c>
    </x:row>
    <x:row r="202">
      <x:c r="C202" s="19" t="n">
        <x:v>45383</x:v>
      </x:c>
      <x:c r="D202" s="19" t="n">
        <x:v>45412</x:v>
      </x:c>
      <x:c r="E202" s="34" t="str">
        <x:v>grid_22fp35k1.xlsx</x:v>
      </x:c>
      <x:c r="F202" s="37" t="n">
        <x:v>217.02310154018397</x:v>
      </x:c>
      <x:c r="G202" s="37" t="n">
        <x:v>120.02924847437673</x:v>
      </x:c>
      <x:c r="H202" s="37" t="n">
        <x:v>182.80176481888694</x:v>
      </x:c>
      <x:c r="I202" s="37" t="n">
        <x:v>95.09440436660606</x:v>
      </x:c>
      <x:c r="J202" s="37" t="n">
        <x:v>273.700103512964</x:v>
      </x:c>
      <x:c r="K202" s="37" t="n">
        <x:v>140.4108510556798</x:v>
      </x:c>
      <x:c r="L202" s="37" t="n">
        <x:v>281.21860816300074</x:v>
      </x:c>
      <x:c r="M202" s="37" t="n">
        <x:v>259.43199692144094</x:v>
      </x:c>
      <x:c r="N202" s="37" t="n">
        <x:v>216.02449674987292</x:v>
      </x:c>
      <x:c r="O202" s="37" t="n">
        <x:v>139.98559652392862</x:v>
      </x:c>
      <x:c r="P202" s="37" t="n">
        <x:v>137.26518334419075</x:v>
      </x:c>
      <x:c r="Q202" s="37" t="n">
        <x:v>185.96142032340933</x:v>
      </x:c>
    </x:row>
    <x:row r="203">
      <x:c r="C203" s="19" t="n">
        <x:v>45413</x:v>
      </x:c>
      <x:c r="D203" s="19" t="n">
        <x:v>45443</x:v>
      </x:c>
      <x:c r="E203" s="34" t="str">
        <x:v>grid_22fp35k1.xlsx</x:v>
      </x:c>
      <x:c r="F203" s="37" t="n">
        <x:v>210.45714108538377</x:v>
      </x:c>
      <x:c r="G203" s="37" t="n">
        <x:v>118.6983828873338</x:v>
      </x:c>
      <x:c r="H203" s="37" t="n">
        <x:v>179.8554069311521</x:v>
      </x:c>
      <x:c r="I203" s="37" t="n">
        <x:v>104.4240769729167</x:v>
      </x:c>
      <x:c r="J203" s="37" t="n">
        <x:v>263.0626516107873</x:v>
      </x:c>
      <x:c r="K203" s="37" t="n">
        <x:v>142.27765367456837</x:v>
      </x:c>
      <x:c r="L203" s="37" t="n">
        <x:v>288.9785294048146</x:v>
      </x:c>
      <x:c r="M203" s="37" t="n">
        <x:v>259.02939335622386</x:v>
      </x:c>
      <x:c r="N203" s="37" t="n">
        <x:v>216.85854361888536</x:v>
      </x:c>
      <x:c r="O203" s="37" t="n">
        <x:v>148.05241445377933</x:v>
      </x:c>
      <x:c r="P203" s="37" t="n">
        <x:v>132.8791862691635</x:v>
      </x:c>
      <x:c r="Q203" s="37" t="n">
        <x:v>185.08908514220045</x:v>
      </x:c>
    </x:row>
    <x:row r="204">
      <x:c r="C204" s="19" t="n">
        <x:v>45444</x:v>
      </x:c>
      <x:c r="D204" s="19" t="n">
        <x:v>45471</x:v>
      </x:c>
      <x:c r="E204" s="34" t="str">
        <x:v>grid_22fp35k1.xlsx</x:v>
      </x:c>
      <x:c r="F204" s="37" t="n">
        <x:v>206.45170888177998</x:v>
      </x:c>
      <x:c r="G204" s="37" t="n">
        <x:v>120.94015126189778</x:v>
      </x:c>
      <x:c r="H204" s="37" t="n">
        <x:v>181.32086075180013</x:v>
      </x:c>
      <x:c r="I204" s="37" t="n">
        <x:v>104.96611962892956</x:v>
      </x:c>
      <x:c r="J204" s="37" t="n">
        <x:v>248.127206595155</x:v>
      </x:c>
      <x:c r="K204" s="37" t="n">
        <x:v>145.5170165251861</x:v>
      </x:c>
      <x:c r="L204" s="37" t="n">
        <x:v>317.3804211140502</x:v>
      </x:c>
      <x:c r="M204" s="37" t="n">
        <x:v>267.3660083574953</x:v>
      </x:c>
      <x:c r="N204" s="37" t="n">
        <x:v>215.56234874174183</x:v>
      </x:c>
      <x:c r="O204" s="37" t="n">
        <x:v>156.64679272033396</x:v>
      </x:c>
      <x:c r="P204" s="37" t="n">
        <x:v>133.50111440357432</x:v>
      </x:c>
      <x:c r="Q204" s="37" t="n">
        <x:v>183.34830852452282</x:v>
      </x:c>
    </x:row>
    <x:row r="205">
      <x:c r="C205" s="19" t="n">
        <x:v>45474</x:v>
      </x:c>
      <x:c r="D205" s="19" t="n">
        <x:v>45504</x:v>
      </x:c>
      <x:c r="E205" s="34" t="str">
        <x:v>grid_22fp35k1.xlsx</x:v>
      </x:c>
      <x:c r="F205" s="37" t="n">
        <x:v>214.24232952929492</x:v>
      </x:c>
      <x:c r="G205" s="37" t="n">
        <x:v>121.87884911134003</x:v>
      </x:c>
      <x:c r="H205" s="37" t="n">
        <x:v>186.29621939243356</x:v>
      </x:c>
      <x:c r="I205" s="37" t="n">
        <x:v>107.02354294645026</x:v>
      </x:c>
      <x:c r="J205" s="37" t="n">
        <x:v>277.98792303173514</x:v>
      </x:c>
      <x:c r="K205" s="37" t="n">
        <x:v>146.8839262677029</x:v>
      </x:c>
      <x:c r="L205" s="37" t="n">
        <x:v>318.96575625561303</x:v>
      </x:c>
      <x:c r="M205" s="37" t="n">
        <x:v>280.3649306325202</x:v>
      </x:c>
      <x:c r="N205" s="37" t="n">
        <x:v>211.89817837523367</x:v>
      </x:c>
      <x:c r="O205" s="37" t="n">
        <x:v>161.03014228069574</x:v>
      </x:c>
      <x:c r="P205" s="37" t="n">
        <x:v>135.93482981222567</x:v>
      </x:c>
      <x:c r="Q205" s="37" t="n">
        <x:v>175.7484448080316</x:v>
      </x:c>
    </x:row>
    <x:row r="206">
      <x:c r="C206" s="19" t="n">
        <x:v>45505</x:v>
      </x:c>
      <x:c r="D206" s="19" t="n">
        <x:v>45534</x:v>
      </x:c>
      <x:c r="E206" s="34" t="str">
        <x:v>grid_22fp35k1.xlsx</x:v>
      </x:c>
      <x:c r="F206" s="37" t="n">
        <x:v>202.76994884184228</x:v>
      </x:c>
      <x:c r="G206" s="37" t="n">
        <x:v>124.04137115002368</x:v>
      </x:c>
      <x:c r="H206" s="37" t="n">
        <x:v>181.7830816925594</x:v>
      </x:c>
      <x:c r="I206" s="37" t="n">
        <x:v>111.843314811227</x:v>
      </x:c>
      <x:c r="J206" s="37" t="n">
        <x:v>256.30933800829035</x:v>
      </x:c>
      <x:c r="K206" s="37" t="n">
        <x:v>148.9544170863326</x:v>
      </x:c>
      <x:c r="L206" s="37" t="n">
        <x:v>350.3552738347915</x:v>
      </x:c>
      <x:c r="M206" s="37" t="n">
        <x:v>281.87826902433443</x:v>
      </x:c>
      <x:c r="N206" s="37" t="n">
        <x:v>212.32364871835117</x:v>
      </x:c>
      <x:c r="O206" s="37" t="n">
        <x:v>153.47672019452335</x:v>
      </x:c>
      <x:c r="P206" s="37" t="n">
        <x:v>136.70109307907833</x:v>
      </x:c>
      <x:c r="Q206" s="37" t="n">
        <x:v>177.05280313669383</x:v>
      </x:c>
    </x:row>
    <x:row r="207">
      <x:c r="C207" s="19" t="n">
        <x:v>45536</x:v>
      </x:c>
      <x:c r="D207" s="19" t="n">
        <x:v>45565</x:v>
      </x:c>
      <x:c r="E207" s="34" t="str">
        <x:v>grid_22fp35k1.xlsx</x:v>
      </x:c>
      <x:c r="F207" s="37" t="n">
        <x:v>191.89517723633793</x:v>
      </x:c>
      <x:c r="G207" s="37" t="n">
        <x:v>127.92825324302581</x:v>
      </x:c>
      <x:c r="H207" s="37" t="n">
        <x:v>184.3152867898525</x:v>
      </x:c>
      <x:c r="I207" s="37" t="n">
        <x:v>115.09058575684301</x:v>
      </x:c>
      <x:c r="J207" s="37" t="n">
        <x:v>232.63227261467617</x:v>
      </x:c>
      <x:c r="K207" s="37" t="n">
        <x:v>149.22956922432846</x:v>
      </x:c>
      <x:c r="L207" s="37" t="n">
        <x:v>341.3633979759058</x:v>
      </x:c>
      <x:c r="M207" s="37" t="n">
        <x:v>267.73794978312196</x:v>
      </x:c>
      <x:c r="N207" s="37" t="n">
        <x:v>218.31990435430296</x:v>
      </x:c>
      <x:c r="O207" s="37" t="n">
        <x:v>154.30652456177415</x:v>
      </x:c>
      <x:c r="P207" s="37" t="n">
        <x:v>143.81574906272002</x:v>
      </x:c>
      <x:c r="Q207" s="37" t="n">
        <x:v>172.50613799599606</x:v>
      </x:c>
    </x:row>
    <x:row r="208">
      <x:c r="C208" s="19" t="n">
        <x:v>45566</x:v>
      </x:c>
      <x:c r="D208" s="19" t="n">
        <x:v>45596</x:v>
      </x:c>
      <x:c r="E208" s="34" t="str">
        <x:v>grid_22fp35k1.xlsx</x:v>
      </x:c>
      <x:c r="F208" s="37" t="n">
        <x:v>196.30277567565744</x:v>
      </x:c>
      <x:c r="G208" s="37" t="n">
        <x:v>130.65899950749434</x:v>
      </x:c>
      <x:c r="H208" s="37" t="n">
        <x:v>176.47924654559813</x:v>
      </x:c>
      <x:c r="I208" s="37" t="n">
        <x:v>117.28404566566356</x:v>
      </x:c>
      <x:c r="J208" s="37" t="n">
        <x:v>244.7124710069319</x:v>
      </x:c>
      <x:c r="K208" s="37" t="n">
        <x:v>150.65732754940453</x:v>
      </x:c>
      <x:c r="L208" s="37" t="n">
        <x:v>340.71708459991197</x:v>
      </x:c>
      <x:c r="M208" s="37" t="n">
        <x:v>287.00514616846795</x:v>
      </x:c>
      <x:c r="N208" s="37" t="n">
        <x:v>220.8463322615919</x:v>
      </x:c>
      <x:c r="O208" s="37" t="n">
        <x:v>151.13550701062786</x:v>
      </x:c>
      <x:c r="P208" s="37" t="n">
        <x:v>143.32813897733257</x:v>
      </x:c>
      <x:c r="Q208" s="37" t="n">
        <x:v>179.30628560682837</x:v>
      </x:c>
    </x:row>
    <x:row r="209">
      <x:c r="C209" s="19" t="n">
        <x:v>45597</x:v>
      </x:c>
      <x:c r="D209" s="19" t="n">
        <x:v>45625</x:v>
      </x:c>
      <x:c r="E209" s="34" t="str">
        <x:v>grid_22fp35k1.xlsx</x:v>
      </x:c>
      <x:c r="F209" s="37" t="n">
        <x:v>210.30536675022452</x:v>
      </x:c>
      <x:c r="G209" s="37" t="n">
        <x:v>130.44751646891822</x:v>
      </x:c>
      <x:c r="H209" s="37" t="n">
        <x:v>179.85984668108804</x:v>
      </x:c>
      <x:c r="I209" s="37" t="n">
        <x:v>119.12382219730702</x:v>
      </x:c>
      <x:c r="J209" s="37" t="n">
        <x:v>257.53042038849355</x:v>
      </x:c>
      <x:c r="K209" s="37" t="n">
        <x:v>152.83050702401718</x:v>
      </x:c>
      <x:c r="L209" s="37" t="n">
        <x:v>351.5086550575568</x:v>
      </x:c>
      <x:c r="M209" s="37" t="n">
        <x:v>293.9184189096536</x:v>
      </x:c>
      <x:c r="N209" s="37" t="n">
        <x:v>225.03228832204968</x:v>
      </x:c>
      <x:c r="O209" s="37" t="n">
        <x:v>150.02662631746102</x:v>
      </x:c>
      <x:c r="P209" s="37" t="n">
        <x:v>140.23971531227818</x:v>
      </x:c>
      <x:c r="Q209" s="37" t="n">
        <x:v>191.01746870183396</x:v>
      </x:c>
    </x:row>
    <x:row r="210">
      <x:c r="C210" s="19" t="n">
        <x:v>45627</x:v>
      </x:c>
      <x:c r="D210" s="19" t="n">
        <x:v>45657</x:v>
      </x:c>
      <x:c r="E210" s="34" t="str">
        <x:v>grid_22fp35k1.xlsx</x:v>
      </x:c>
      <x:c r="F210" s="37" t="n">
        <x:v>212.1785888581714</x:v>
      </x:c>
      <x:c r="G210" s="37" t="n">
        <x:v>128.79427221602631</x:v>
      </x:c>
      <x:c r="H210" s="37" t="n">
        <x:v>186.7280854112495</x:v>
      </x:c>
      <x:c r="I210" s="37" t="n">
        <x:v>103.43344779599673</x:v>
      </x:c>
      <x:c r="J210" s="37" t="n">
        <x:v>261.73792220230314</x:v>
      </x:c>
      <x:c r="K210" s="37" t="n">
        <x:v>150.03028857121444</x:v>
      </x:c>
      <x:c r="L210" s="37" t="n">
        <x:v>355.061392775125</x:v>
      </x:c>
      <x:c r="M210" s="37" t="n">
        <x:v>304.51516056396997</x:v>
      </x:c>
      <x:c r="N210" s="37" t="n">
        <x:v>230.8429091199986</x:v>
      </x:c>
      <x:c r="O210" s="37" t="n">
        <x:v>153.03459839638057</x:v>
      </x:c>
      <x:c r="P210" s="37" t="n">
        <x:v>139.12489678233695</x:v>
      </x:c>
      <x:c r="Q210" s="37" t="n">
        <x:v>187.19708229391784</x:v>
      </x:c>
    </x:row>
    <x:row r="211">
      <x:c r="C211" s="19" t="n">
        <x:v>45658</x:v>
      </x:c>
      <x:c r="D211" s="19" t="n">
        <x:v>45688</x:v>
      </x:c>
      <x:c r="E211" s="34" t="str">
        <x:v>grid_22fp35k1.xlsx</x:v>
      </x:c>
      <x:c r="F211" s="37" t="n">
        <x:v>208.01425851413063</x:v>
      </x:c>
      <x:c r="G211" s="37" t="n">
        <x:v>129.58564181272678</x:v>
      </x:c>
      <x:c r="H211" s="37" t="n">
        <x:v>171.1498968889468</x:v>
      </x:c>
      <x:c r="I211" s="37" t="n">
        <x:v>102.22624346078437</x:v>
      </x:c>
      <x:c r="J211" s="37" t="n">
        <x:v>265.3762341754243</x:v>
      </x:c>
      <x:c r="K211" s="37" t="n">
        <x:v>153.0204372773955</x:v>
      </x:c>
      <x:c r="L211" s="37" t="n">
        <x:v>348.2264555692554</x:v>
      </x:c>
      <x:c r="M211" s="37" t="n">
        <x:v>301.3933098671004</x:v>
      </x:c>
      <x:c r="N211" s="37" t="n">
        <x:v>244.7990671468213</x:v>
      </x:c>
      <x:c r="O211" s="37" t="n">
        <x:v>142.79948903315884</x:v>
      </x:c>
      <x:c r="P211" s="37" t="n">
        <x:v>136.3270388240055</x:v>
      </x:c>
      <x:c r="Q211" s="37" t="n">
        <x:v>182.15379098404784</x:v>
      </x:c>
    </x:row>
    <x:row r="212">
      <x:c r="C212" s="19" t="n">
        <x:v>45689</x:v>
      </x:c>
      <x:c r="D212" s="19" t="n">
        <x:v>45716</x:v>
      </x:c>
      <x:c r="E212" s="34" t="str">
        <x:v>grid_22fp35k1.xlsx</x:v>
      </x:c>
      <x:c r="F212" s="37" t="n">
        <x:v>209.140116139157</x:v>
      </x:c>
      <x:c r="G212" s="37" t="n">
        <x:v>129.16438429678806</x:v>
      </x:c>
      <x:c r="H212" s="37" t="n">
        <x:v>167.61836727005573</x:v>
      </x:c>
      <x:c r="I212" s="37" t="n">
        <x:v>116.2665147121498</x:v>
      </x:c>
      <x:c r="J212" s="37" t="n">
        <x:v>270.94313041204913</x:v>
      </x:c>
      <x:c r="K212" s="37" t="n">
        <x:v>152.5679679355384</x:v>
      </x:c>
      <x:c r="L212" s="37" t="n">
        <x:v>373.9675261083193</x:v>
      </x:c>
      <x:c r="M212" s="37" t="n">
        <x:v>289.80637101177325</x:v>
      </x:c>
      <x:c r="N212" s="37" t="n">
        <x:v>252.8168218208235</x:v>
      </x:c>
      <x:c r="O212" s="37" t="n">
        <x:v>147.04464444103357</x:v>
      </x:c>
      <x:c r="P212" s="37" t="n">
        <x:v>132.76509040002625</x:v>
      </x:c>
      <x:c r="Q212" s="37" t="n">
        <x:v>184.0057540319197</x:v>
      </x:c>
    </x:row>
    <x:row r="213">
      <x:c r="C213" s="19" t="n">
        <x:v>45717</x:v>
      </x:c>
      <x:c r="D213" s="19" t="n">
        <x:v>45747</x:v>
      </x:c>
      <x:c r="E213" s="34" t="str">
        <x:v>grid_22fp35k1.xlsx</x:v>
      </x:c>
      <x:c r="F213" s="37" t="n">
        <x:v>208.01356842393517</x:v>
      </x:c>
      <x:c r="G213" s="37" t="n">
        <x:v>128.59584061774666</x:v>
      </x:c>
      <x:c r="H213" s="37" t="n">
        <x:v>164.46594166107164</x:v>
      </x:c>
      <x:c r="I213" s="37" t="n">
        <x:v>121.17774697582743</x:v>
      </x:c>
      <x:c r="J213" s="37" t="n">
        <x:v>265.9874902757649</x:v>
      </x:c>
      <x:c r="K213" s="37" t="n">
        <x:v>152.08440522214727</x:v>
      </x:c>
      <x:c r="L213" s="37" t="n">
        <x:v>376.3861209218073</x:v>
      </x:c>
      <x:c r="M213" s="37" t="n">
        <x:v>289.5782430496611</x:v>
      </x:c>
      <x:c r="N213" s="37" t="n">
        <x:v>261.1072179048193</x:v>
      </x:c>
      <x:c r="O213" s="37" t="n">
        <x:v>150.45403212950112</x:v>
      </x:c>
      <x:c r="P213" s="37" t="n">
        <x:v>134.58670949008234</x:v>
      </x:c>
      <x:c r="Q213" s="37" t="n">
        <x:v>192.22750340301843</x:v>
      </x:c>
    </x:row>
    <x:row r="214">
      <x:c r="C214" s="19" t="n">
        <x:v>45748</x:v>
      </x:c>
      <x:c r="D214" s="19" t="n">
        <x:v>45777</x:v>
      </x:c>
      <x:c r="E214" s="34" t="str">
        <x:v>grid_22fp35k1.xlsx</x:v>
      </x:c>
      <x:c r="F214" s="37" t="n">
        <x:v>173.10676424774186</x:v>
      </x:c>
      <x:c r="G214" s="37" t="n">
        <x:v>130.62410492103834</x:v>
      </x:c>
      <x:c r="H214" s="37" t="n">
        <x:v>156.4090866848164</x:v>
      </x:c>
      <x:c r="I214" s="37" t="n">
        <x:v>124.79059537364337</x:v>
      </x:c>
      <x:c r="J214" s="37" t="n">
        <x:v>227.1814117009813</x:v>
      </x:c>
      <x:c r="K214" s="37" t="n">
        <x:v>153.3931506061724</x:v>
      </x:c>
      <x:c r="L214" s="37" t="n">
        <x:v>379.87438347840936</x:v>
      </x:c>
      <x:c r="M214" s="37" t="n">
        <x:v>287.7966900690817</x:v>
      </x:c>
      <x:c r="N214" s="37" t="n">
        <x:v>264.01315925039756</x:v>
      </x:c>
      <x:c r="O214" s="37" t="n">
        <x:v>138.02622999852062</x:v>
      </x:c>
      <x:c r="P214" s="37" t="n">
        <x:v>133.40905359520187</x:v>
      </x:c>
      <x:c r="Q214" s="37" t="n">
        <x:v>195.34459392368427</x:v>
      </x:c>
    </x:row>
    <x:row r="215">
      <x:c r="C215" s="19" t="n">
        <x:v>45778</x:v>
      </x:c>
      <x:c r="D215" s="19" t="n">
        <x:v>45807</x:v>
      </x:c>
      <x:c r="E215" s="34" t="str">
        <x:v>grid_22fp35k1.xlsx</x:v>
      </x:c>
      <x:c r="F215" s="37" t="n">
        <x:v>172.24041003309785</x:v>
      </x:c>
      <x:c r="G215" s="37" t="n">
        <x:v>133.03988148053065</x:v>
      </x:c>
      <x:c r="H215" s="37" t="n">
        <x:v>143.89052411904063</x:v>
      </x:c>
      <x:c r="I215" s="37" t="n">
        <x:v>127.61603291130572</x:v>
      </x:c>
      <x:c r="J215" s="37" t="n">
        <x:v>216.84268311461227</x:v>
      </x:c>
      <x:c r="K215" s="37" t="n">
        <x:v>149.53789948077866</x:v>
      </x:c>
      <x:c r="L215" s="37" t="n">
        <x:v>400.3921764343495</x:v>
      </x:c>
      <x:c r="M215" s="37" t="n">
        <x:v>301.33449849636804</x:v>
      </x:c>
      <x:c r="N215" s="37" t="n">
        <x:v>290.01085311830144</x:v>
      </x:c>
      <x:c r="O215" s="37" t="n">
        <x:v>136.9301557222157</x:v>
      </x:c>
      <x:c r="P215" s="37" t="n">
        <x:v>139.87862981519038</x:v>
      </x:c>
      <x:c r="Q215" s="37" t="n">
        <x:v>181.0899930663081</x:v>
      </x:c>
    </x:row>
    <x:row r="216">
      <x:c r="C216" s="19" t="n">
        <x:v>45809</x:v>
      </x:c>
      <x:c r="D216" s="19" t="n">
        <x:v>45838</x:v>
      </x:c>
      <x:c r="E216" s="34" t="str">
        <x:v>grid_22fp35k1.xlsx</x:v>
      </x:c>
      <x:c r="F216" s="37" t="n">
        <x:v>173.15375941967508</x:v>
      </x:c>
      <x:c r="G216" s="37" t="n">
        <x:v>137.542106659216</x:v>
      </x:c>
      <x:c r="H216" s="37" t="n">
        <x:v>138.80796036093258</x:v>
      </x:c>
      <x:c r="I216" s="37" t="n">
        <x:v>115.39610431115786</x:v>
      </x:c>
      <x:c r="J216" s="37" t="n">
        <x:v>215.1308133244882</x:v>
      </x:c>
      <x:c r="K216" s="37" t="n">
        <x:v>146.56984201216702</x:v>
      </x:c>
      <x:c r="L216" s="37" t="n">
        <x:v>412.8234405043036</x:v>
      </x:c>
      <x:c r="M216" s="37" t="n">
        <x:v>297.9211323939832</x:v>
      </x:c>
      <x:c r="N216" s="37" t="n">
        <x:v>295.17601020767574</x:v>
      </x:c>
      <x:c r="O216" s="37" t="n">
        <x:v>134.74621817369948</x:v>
      </x:c>
      <x:c r="P216" s="37" t="n">
        <x:v>143.23598960237376</x:v>
      </x:c>
      <x:c r="Q216" s="37" t="n">
        <x:v>180.33302953510199</x:v>
      </x:c>
    </x:row>
    <x:row r="217">
      <x:c r="C217" s="19" t="n">
        <x:v>45839</x:v>
      </x:c>
      <x:c r="D217" s="19" t="n">
        <x:v>45869</x:v>
      </x:c>
      <x:c r="E217" s="34" t="str">
        <x:v>grid_22fp35k1.xlsx</x:v>
      </x:c>
      <x:c r="F217" s="37" t="n">
        <x:v>174.97572102996415</x:v>
      </x:c>
      <x:c r="G217" s="37" t="n">
        <x:v>143.35213010076967</x:v>
      </x:c>
      <x:c r="H217" s="37" t="n">
        <x:v>140.48936782585167</x:v>
      </x:c>
      <x:c r="I217" s="37" t="n">
        <x:v>114.91918924127663</x:v>
      </x:c>
      <x:c r="J217" s="37" t="n">
        <x:v>204.83080931153816</x:v>
      </x:c>
      <x:c r="K217" s="37" t="n">
        <x:v>148.5664350637945</x:v>
      </x:c>
      <x:c r="L217" s="37" t="n">
        <x:v>411.8755792598865</x:v>
      </x:c>
      <x:c r="M217" s="37" t="n">
        <x:v>284.37041480523663</x:v>
      </x:c>
      <x:c r="N217" s="37" t="n">
        <x:v>300.1894528568021</x:v>
      </x:c>
      <x:c r="O217" s="37" t="n">
        <x:v>130.38026301896562</x:v>
      </x:c>
      <x:c r="P217" s="37" t="n">
        <x:v>139.8282206917704</x:v>
      </x:c>
      <x:c r="Q217" s="37" t="n">
        <x:v>176.65311847366985</x:v>
      </x:c>
    </x:row>
    <x:row r="218">
      <x:c r="C218" s="19" t="n">
        <x:v>45870</x:v>
      </x:c>
      <x:c r="D218" s="19" t="n">
        <x:v>45898</x:v>
      </x:c>
      <x:c r="E218" s="34" t="str">
        <x:v>grid_22fp35k1.xlsx</x:v>
      </x:c>
      <x:c r="F218" s="37" t="n">
        <x:v>163.326937663203</x:v>
      </x:c>
      <x:c r="G218" s="37" t="n">
        <x:v>144.8864265436132</x:v>
      </x:c>
      <x:c r="H218" s="37" t="n">
        <x:v>146.66577056826262</x:v>
      </x:c>
      <x:c r="I218" s="37" t="n">
        <x:v>107.7616626026215</x:v>
      </x:c>
      <x:c r="J218" s="37" t="n">
        <x:v>185.36513863895937</x:v>
      </x:c>
      <x:c r="K218" s="37" t="n">
        <x:v>153.02108696354443</x:v>
      </x:c>
      <x:c r="L218" s="37" t="n">
        <x:v>438.4744404981071</x:v>
      </x:c>
      <x:c r="M218" s="37" t="n">
        <x:v>284.91028059385764</x:v>
      </x:c>
      <x:c r="N218" s="37" t="n">
        <x:v>305.031433402836</x:v>
      </x:c>
      <x:c r="O218" s="37" t="n">
        <x:v>130.26914492875227</x:v>
      </x:c>
      <x:c r="P218" s="37" t="n">
        <x:v>142.75705330767246</x:v>
      </x:c>
      <x:c r="Q218" s="37" t="n">
        <x:v>178.75426501492592</x:v>
      </x:c>
    </x:row>
    <x:row r="219">
      <x:c r="C219" s="19" t="n">
        <x:v>45901</x:v>
      </x:c>
      <x:c r="D219" s="19" t="n">
        <x:v>45930</x:v>
      </x:c>
      <x:c r="E219" s="34" t="str">
        <x:v>grid_22fp35k1.xlsx</x:v>
      </x:c>
      <x:c r="F219" s="37" t="n">
        <x:v>161.1822038044175</x:v>
      </x:c>
      <x:c r="G219" s="37" t="n">
        <x:v>144.98603378128848</x:v>
      </x:c>
      <x:c r="H219" s="37" t="n">
        <x:v>148.8057740441993</x:v>
      </x:c>
      <x:c r="I219" s="37" t="n">
        <x:v>111.45063697886364</x:v>
      </x:c>
      <x:c r="J219" s="37" t="n">
        <x:v>186.8833336413667</x:v>
      </x:c>
      <x:c r="K219" s="37" t="n">
        <x:v>150.85994012607014</x:v>
      </x:c>
      <x:c r="L219" s="37" t="n">
        <x:v>460.99786872691493</x:v>
      </x:c>
      <x:c r="M219" s="37" t="n">
        <x:v>288.67314155200677</x:v>
      </x:c>
      <x:c r="N219" s="37" t="n">
        <x:v>309.53124385963946</x:v>
      </x:c>
      <x:c r="O219" s="37" t="n">
        <x:v>127.24748027005424</x:v>
      </x:c>
      <x:c r="P219" s="37" t="n">
        <x:v>143.1986646081316</x:v>
      </x:c>
      <x:c r="Q219" s="37" t="n">
        <x:v>190.85823406946065</x:v>
      </x:c>
    </x:row>
    <x:row r="220">
      <x:c r="C220" s="19" t="n">
        <x:v>45931</x:v>
      </x:c>
      <x:c r="D220" s="19" t="n">
        <x:v>45961</x:v>
      </x:c>
      <x:c r="E220" s="34" t="str">
        <x:v>grid_22fp35k1.xlsx</x:v>
      </x:c>
      <x:c r="F220" s="37" t="n">
        <x:v>164.28635917005218</x:v>
      </x:c>
      <x:c r="G220" s="37" t="n">
        <x:v>146.3040824581688</x:v>
      </x:c>
      <x:c r="H220" s="37" t="n">
        <x:v>153.00024856214364</x:v>
      </x:c>
      <x:c r="I220" s="37" t="n">
        <x:v>112.85989585722716</x:v>
      </x:c>
      <x:c r="J220" s="37" t="n">
        <x:v>192.28594737928913</x:v>
      </x:c>
      <x:c r="K220" s="37" t="n">
        <x:v>153.90978376119767</x:v>
      </x:c>
      <x:c r="L220" s="37" t="n">
        <x:v>480.10203730354044</x:v>
      </x:c>
      <x:c r="M220" s="37" t="n">
        <x:v>291.9758237085919</x:v>
      </x:c>
      <x:c r="N220" s="37" t="n">
        <x:v>316.1390260924587</x:v>
      </x:c>
      <x:c r="O220" s="37" t="n">
        <x:v>136.6007569513039</x:v>
      </x:c>
      <x:c r="P220" s="37" t="n">
        <x:v>147.24493939366724</x:v>
      </x:c>
      <x:c r="Q220" s="37" t="n">
        <x:v>206.48868390271318</x:v>
      </x:c>
    </x:row>
    <x:row r="221">
      <x:c r="C221" s="19" t="n">
        <x:v>45962</x:v>
      </x:c>
      <x:c r="D221" s="19" t="n">
        <x:v>45989</x:v>
      </x:c>
      <x:c r="E221" s="34" t="str">
        <x:v>grid_22fp35k1.xlsx</x:v>
      </x:c>
      <x:c r="F221" s="37" t="n">
        <x:v>161.7343499423825</x:v>
      </x:c>
      <x:c r="G221" s="37" t="n">
        <x:v>152.5484935320891</x:v>
      </x:c>
      <x:c r="H221" s="37" t="n">
        <x:v>171.97521504992338</x:v>
      </x:c>
      <x:c r="I221" s="37" t="n">
        <x:v>111.98514579389543</x:v>
      </x:c>
      <x:c r="J221" s="37" t="n">
        <x:v>176.8695933787778</x:v>
      </x:c>
      <x:c r="K221" s="37" t="n">
        <x:v>154.75749324855093</x:v>
      </x:c>
      <x:c r="L221" s="37" t="n">
        <x:v>523.1710379611445</x:v>
      </x:c>
      <x:c r="M221" s="37" t="n">
        <x:v>300.5721682636634</x:v>
      </x:c>
      <x:c r="N221" s="37" t="n">
        <x:v>322.66075301269234</x:v>
      </x:c>
      <x:c r="O221" s="37" t="n">
        <x:v>142.1423231542943</x:v>
      </x:c>
      <x:c r="P221" s="37" t="n">
        <x:v>147.4628378451702</x:v>
      </x:c>
      <x:c r="Q221" s="37" t="n">
        <x:v>212.63428785584807</x:v>
      </x:c>
    </x:row>
    <x:row r="222">
      <x:c r="C222" s="19" t="n">
        <x:v>45992</x:v>
      </x:c>
      <x:c r="D222" s="19" t="n">
        <x:v>46022</x:v>
      </x:c>
      <x:c r="E222" s="34" t="str">
        <x:v>grid_22fp35k1.xlsx</x:v>
      </x:c>
      <x:c r="F222" s="37" t="n">
        <x:v>162.40797884662214</x:v>
      </x:c>
      <x:c r="G222" s="37" t="n">
        <x:v>156.51297578825063</x:v>
      </x:c>
      <x:c r="H222" s="37" t="n">
        <x:v>185.3252026456436</x:v>
      </x:c>
      <x:c r="I222" s="37" t="n">
        <x:v>117.2795114348987</x:v>
      </x:c>
      <x:c r="J222" s="37" t="n">
        <x:v>166.03668087790388</x:v>
      </x:c>
      <x:c r="K222" s="37" t="n">
        <x:v>156.4786293755878</x:v>
      </x:c>
      <x:c r="L222" s="37" t="n">
        <x:v>520.4034023477125</x:v>
      </x:c>
      <x:c r="M222" s="37" t="n">
        <x:v>311.8169561348478</x:v>
      </x:c>
      <x:c r="N222" s="37" t="n">
        <x:v>323.9139781479705</x:v>
      </x:c>
      <x:c r="O222" s="37" t="n">
        <x:v>145.4646435279393</x:v>
      </x:c>
      <x:c r="P222" s="37" t="n">
        <x:v>158.57606421514447</x:v>
      </x:c>
      <x:c r="Q222" s="37" t="n">
        <x:v>212.28145355418903</x:v>
      </x:c>
    </x:row>
    <x:row r="223">
      <x:c r="C223" s="19" t="n">
        <x:v>46023</x:v>
      </x:c>
      <x:c r="D223" s="19" t="n">
        <x:v>46052</x:v>
      </x:c>
      <x:c r="E223" s="34" t="str">
        <x:v>grid_22fp35k1.xlsx</x:v>
      </x:c>
      <x:c r="F223" s="37" t="n">
        <x:v>169.79574809526002</x:v>
      </x:c>
      <x:c r="G223" s="37" t="n">
        <x:v>159.18736610594445</x:v>
      </x:c>
      <x:c r="H223" s="37" t="n">
        <x:v>178.7848874061767</x:v>
      </x:c>
      <x:c r="I223" s="37" t="n">
        <x:v>118.11244866613053</x:v>
      </x:c>
      <x:c r="J223" s="37" t="n">
        <x:v>162.36185968727642</x:v>
      </x:c>
      <x:c r="K223" s="37" t="n">
        <x:v>159.84077932930666</x:v>
      </x:c>
      <x:c r="L223" s="37" t="n">
        <x:v>521.9174731553428</x:v>
      </x:c>
      <x:c r="M223" s="37" t="n">
        <x:v>317.05184582413676</x:v>
      </x:c>
      <x:c r="N223" s="37" t="n">
        <x:v>321.4389654282037</x:v>
      </x:c>
      <x:c r="O223" s="37" t="n">
        <x:v>151.62652728330883</x:v>
      </x:c>
      <x:c r="P223" s="37" t="n">
        <x:v>158.10620376311857</x:v>
      </x:c>
      <x:c r="Q223" s="37" t="n">
        <x:v>228.35774310532875</x:v>
      </x:c>
    </x:row>
    <x:row r="224">
      <x:c r="C224" s="19" t="n">
        <x:v>46054</x:v>
      </x:c>
      <x:c r="D224" s="19" t="n">
        <x:v>46080</x:v>
      </x:c>
      <x:c r="E224" s="34" t="str">
        <x:v>grid_22fp35k1.xlsx</x:v>
      </x:c>
      <x:c r="F224" s="37" t="n">
        <x:v>178.08022029922103</x:v>
      </x:c>
      <x:c r="G224" s="37" t="n">
        <x:v>162.67200325488616</x:v>
      </x:c>
      <x:c r="H224" s="37" t="n">
        <x:v>175.82129893835864</x:v>
      </x:c>
      <x:c r="I224" s="37" t="n">
        <x:v>121.25313115561728</x:v>
      </x:c>
      <x:c r="J224" s="37" t="n">
        <x:v>183.05364505149205</x:v>
      </x:c>
      <x:c r="K224" s="37" t="n">
        <x:v>161.62017121932556</x:v>
      </x:c>
      <x:c r="L224" s="37" t="n">
        <x:v>509.5331479510012</x:v>
      </x:c>
      <x:c r="M224" s="37" t="n">
        <x:v>318.68988321163926</x:v>
      </x:c>
      <x:c r="N224" s="37" t="n">
        <x:v>321.57106606830473</x:v>
      </x:c>
      <x:c r="O224" s="37" t="n">
        <x:v>150.68360804549278</x:v>
      </x:c>
      <x:c r="P224" s="37" t="n">
        <x:v>151.12600943556643</x:v>
      </x:c>
      <x:c r="Q224" s="37" t="n">
        <x:v>235.8624922399367</x:v>
      </x:c>
    </x:row>
    <x:row r="225">
      <x:c r="C225" s="19" t="n">
        <x:v>46082</x:v>
      </x:c>
      <x:c r="D225" s="19" t="n">
        <x:v>46112</x:v>
      </x:c>
      <x:c r="E225" s="34" t="str">
        <x:v>grid_22fp35k1.xlsx</x:v>
      </x:c>
      <x:c r="F225" s="37" t="n">
        <x:v>223.89363886141987</x:v>
      </x:c>
      <x:c r="G225" s="37" t="n">
        <x:v>166.43883216456516</x:v>
      </x:c>
      <x:c r="H225" s="37" t="n">
        <x:v>188.56661498625175</x:v>
      </x:c>
      <x:c r="I225" s="37" t="n">
        <x:v>118.56140018743126</x:v>
      </x:c>
      <x:c r="J225" s="37" t="n">
        <x:v>264.6052811528312</x:v>
      </x:c>
      <x:c r="K225" s="37" t="n">
        <x:v>160.3580205171088</x:v>
      </x:c>
      <x:c r="L225" s="37" t="n">
        <x:v>495.9437361769596</x:v>
      </x:c>
      <x:c r="M225" s="37" t="n">
        <x:v>334.1209465867191</x:v>
      </x:c>
      <x:c r="N225" s="37" t="n">
        <x:v>337.60724235762825</x:v>
      </x:c>
      <x:c r="O225" s="37" t="n">
        <x:v>157.82485060444705</x:v>
      </x:c>
      <x:c r="P225" s="37" t="n">
        <x:v>153.96968505575134</x:v>
      </x:c>
      <x:c r="Q225" s="37" t="n">
        <x:v>238.58844783800112</x:v>
      </x:c>
    </x:row>
    <x:row r="226">
      <x:c r="C226" s="19" t="n">
        <x:v>46113</x:v>
      </x:c>
      <x:c r="D226" s="19" t="n">
        <x:v>46142</x:v>
      </x:c>
      <x:c r="E226" s="34" t="str">
        <x:v>grid_22fp35k1.xlsx</x:v>
      </x:c>
      <x:c r="F226" s="37" t="n">
        <x:v>235.5081616149667</x:v>
      </x:c>
      <x:c r="G226" s="37" t="n">
        <x:v>170.6786099494437</x:v>
      </x:c>
      <x:c r="H226" s="37" t="n">
        <x:v>219.3580043747316</x:v>
      </x:c>
      <x:c r="I226" s="37" t="n">
        <x:v>117.84996686890317</x:v>
      </x:c>
      <x:c r="J226" s="37" t="n">
        <x:v>294.278112275332</x:v>
      </x:c>
      <x:c r="K226" s="37" t="n">
        <x:v>162.52230018730933</x:v>
      </x:c>
      <x:c r="L226" s="37" t="n">
        <x:v>503.925410258028</x:v>
      </x:c>
      <x:c r="M226" s="37" t="n">
        <x:v>326.86414702846804</x:v>
      </x:c>
      <x:c r="N226" s="37" t="n">
        <x:v>350.1671178651578</x:v>
      </x:c>
      <x:c r="O226" s="37" t="n">
        <x:v>142.41825823226088</x:v>
      </x:c>
      <x:c r="P226" s="37" t="n">
        <x:v>155.58777347065373</x:v>
      </x:c>
      <x:c r="Q226" s="37" t="n">
        <x:v>257.4615344210897</x:v>
      </x:c>
    </x:row>
    <x:row r="227">
      <x:c r="C227" s="19" t="n">
        <x:v>46143</x:v>
      </x:c>
      <x:c r="D227" s="19" t="n">
        <x:v>46171</x:v>
      </x:c>
      <x:c r="E227" s="34" t="str">
        <x:v>grid_22fp35k1.xlsx</x:v>
      </x:c>
      <x:c r="F227" s="37" t="n">
        <x:v>221.7519034404702</x:v>
      </x:c>
      <x:c r="G227" s="37" t="n">
        <x:v>167.5180233958763</x:v>
      </x:c>
      <x:c r="H227" s="37" t="n">
        <x:v>215.36613717233791</x:v>
      </x:c>
      <x:c r="I227" s="37" t="n">
        <x:v>137.7695940888829</x:v>
      </x:c>
      <x:c r="J227" s="37" t="n">
        <x:v>290.07193933318496</x:v>
      </x:c>
      <x:c r="K227" s="37" t="n">
        <x:v>164.72735009220696</x:v>
      </x:c>
      <x:c r="L227" s="37" t="n">
        <x:v>485.48098736115185</x:v>
      </x:c>
      <x:c r="M227" s="37" t="n">
        <x:v>323.0781411059226</x:v>
      </x:c>
      <x:c r="N227" s="37" t="n">
        <x:v>351.0413570409945</x:v>
      </x:c>
      <x:c r="O227" s="37" t="n">
        <x:v>140.91928668053535</x:v>
      </x:c>
      <x:c r="P227" s="37" t="n">
        <x:v>164.30076962730053</x:v>
      </x:c>
      <x:c r="Q227" s="37" t="n">
        <x:v>240.57518217029093</x:v>
      </x:c>
    </x:row>
    <x:row r="228">
      <x:c r="C228" s="19" t="n">
        <x:v>46174</x:v>
      </x:c>
      <x:c r="D228" s="19" t="n">
        <x:v>46203</x:v>
      </x:c>
      <x:c r="E228" s="34" t="str">
        <x:v>grid_22fp35k1.xlsx</x:v>
      </x:c>
      <x:c r="F228" s="37" t="n">
        <x:v>210.47923536522796</x:v>
      </x:c>
      <x:c r="G228" s="37" t="n">
        <x:v>169.57324024438412</x:v>
      </x:c>
      <x:c r="H228" s="37" t="n">
        <x:v>216.29277565732187</x:v>
      </x:c>
      <x:c r="I228" s="37" t="n">
        <x:v>140.04518713211294</x:v>
      </x:c>
      <x:c r="J228" s="37" t="n">
        <x:v>283.7408995308882</x:v>
      </x:c>
      <x:c r="K228" s="37" t="n">
        <x:v>169.44117121687106</x:v>
      </x:c>
      <x:c r="L228" s="37" t="n">
        <x:v>504.2542255653628</x:v>
      </x:c>
      <x:c r="M228" s="37" t="n">
        <x:v>328.41151672537217</x:v>
      </x:c>
      <x:c r="N228" s="37" t="n">
        <x:v>325.52523189970015</x:v>
      </x:c>
      <x:c r="O228" s="37" t="n">
        <x:v>141.0123499595288</x:v>
      </x:c>
      <x:c r="P228" s="37" t="n">
        <x:v>169.2364595987117</x:v>
      </x:c>
      <x:c r="Q228" s="37" t="n">
        <x:v>239.46475963523972</x:v>
      </x:c>
    </x:row>
    <x:row r="229">
      <x:c r="C229" s="19" t="n">
        <x:v>46204</x:v>
      </x:c>
      <x:c r="D229" s="19" t="n">
        <x:v>46234</x:v>
      </x:c>
      <x:c r="E229" s="34" t="str">
        <x:v>grid_22fp35k1.xlsx</x:v>
      </x:c>
      <x:c r="F229" s="37" t="n">
        <x:v>219.86157490463177</x:v>
      </x:c>
      <x:c r="G229" s="37" t="n">
        <x:v>171.3191659904567</x:v>
      </x:c>
      <x:c r="H229" s="37" t="n">
        <x:v>254.9249159537053</x:v>
      </x:c>
      <x:c r="I229" s="37" t="n">
        <x:v>140.66379502466003</x:v>
      </x:c>
      <x:c r="J229" s="37" t="n">
        <x:v>288.7167362353646</x:v>
      </x:c>
      <x:c r="K229" s="37" t="n">
        <x:v>168.98871990073764</x:v>
      </x:c>
      <x:c r="L229" s="37" t="n">
        <x:v>507.7873671521596</x:v>
      </x:c>
      <x:c r="M229" s="37" t="n">
        <x:v>332.15814361587803</x:v>
      </x:c>
      <x:c r="N229" s="37" t="n">
        <x:v>324.4190279200483</x:v>
      </x:c>
      <x:c r="O229" s="37" t="n">
        <x:v>131.31335448320814</x:v>
      </x:c>
      <x:c r="P229" s="37" t="n">
        <x:v>171.09899274005855</x:v>
      </x:c>
      <x:c r="Q229" s="37" t="n">
        <x:v>237.22058211908035</x:v>
      </x:c>
    </x:row>
    <x:row r="230">
      <x:c r="C230" s="19" t="n">
        <x:v>46235</x:v>
      </x:c>
      <x:c r="D230" s="19" t="n">
        <x:v>46265</x:v>
      </x:c>
      <x:c r="E230" s="34" t="str">
        <x:v>grid_22fp35k1.xlsx</x:v>
      </x:c>
      <x:c r="F230" s="37" t="n">
        <x:v>223.61953639803733</x:v>
      </x:c>
      <x:c r="G230" s="37" t="n">
        <x:v>168.36365585973803</x:v>
      </x:c>
      <x:c r="H230" s="37" t="n">
        <x:v>265.64029991210907</x:v>
      </x:c>
      <x:c r="I230" s="37" t="n">
        <x:v>134.12834376268876</x:v>
      </x:c>
      <x:c r="J230" s="37" t="n">
        <x:v>297.24457963362437</x:v>
      </x:c>
      <x:c r="K230" s="37" t="n">
        <x:v>165.1202604689286</x:v>
      </x:c>
      <x:c r="L230" s="37" t="n">
        <x:v>511.1717283619091</x:v>
      </x:c>
      <x:c r="M230" s="37" t="n">
        <x:v>343.0387989035578</x:v>
      </x:c>
      <x:c r="N230" s="37" t="n">
        <x:v>330.8823063733389</x:v>
      </x:c>
      <x:c r="O230" s="37" t="n">
        <x:v>129.90236627253884</x:v>
      </x:c>
      <x:c r="P230" s="37" t="n">
        <x:v>164.53369263065133</x:v>
      </x:c>
      <x:c r="Q230" s="37" t="n">
        <x:v>227.93759702550096</x:v>
      </x:c>
    </x:row>
    <x:row r="231">
      <x:c r="C231" s="20" t="n">
        <x:v>46266</x:v>
      </x:c>
      <x:c r="D231" s="20" t="n">
        <x:v>46268</x:v>
      </x:c>
      <x:c r="E231" s="35" t="str">
        <x:v>grid_22fp35k1.xlsx</x:v>
      </x:c>
      <x:c r="F231" s="38" t="n">
        <x:v>224.45511049448834</x:v>
      </x:c>
      <x:c r="G231" s="38" t="n">
        <x:v>168.59021030543119</x:v>
      </x:c>
      <x:c r="H231" s="38" t="n">
        <x:v>266.8996897677066</x:v>
      </x:c>
      <x:c r="I231" s="38" t="n">
        <x:v>134.88210349879486</x:v>
      </x:c>
      <x:c r="J231" s="38" t="n">
        <x:v>299.93028576994425</x:v>
      </x:c>
      <x:c r="K231" s="38" t="n">
        <x:v>165.11474586301227</x:v>
      </x:c>
      <x:c r="L231" s="38" t="n">
        <x:v>514.320220162845</x:v>
      </x:c>
      <x:c r="M231" s="38" t="n">
        <x:v>345.61813521025056</x:v>
      </x:c>
      <x:c r="N231" s="38" t="n">
        <x:v>331.33016088709087</x:v>
      </x:c>
      <x:c r="O231" s="38" t="n">
        <x:v>128.66971790791848</x:v>
      </x:c>
      <x:c r="P231" s="38" t="n">
        <x:v>164.67394607879422</x:v>
      </x:c>
      <x:c r="Q231" s="38" t="n">
        <x:v>228.2513380231628</x:v>
      </x:c>
    </x:row>
    <x:row r="232">
      <x:c r="C232" s="99"/>
      <x:c r="D232" s="99"/>
      <x:c r="E232" s="99"/>
      <x:c r="F232" s="99"/>
      <x:c r="G232" s="99"/>
      <x:c r="H232" s="99"/>
      <x:c r="I232" s="99"/>
      <x:c r="J232" s="99"/>
      <x:c r="K232" s="99"/>
      <x:c r="L232" s="99"/>
      <x:c r="M232" s="99"/>
      <x:c r="N232" s="99"/>
      <x:c r="O232" s="99"/>
      <x:c r="P232" s="99"/>
      <x:c r="Q232" s="99"/>
    </x:row>
    <x:row r="233">
      <x:c r="C233" s="74" t="str">
        <x:v>Base auxiliar do gráfico</x:v>
      </x:c>
      <x:c r="D233" s="75"/>
      <x:c r="E233" s="75"/>
      <x:c r="F233" s="75"/>
      <x:c r="G233" s="75"/>
      <x:c r="H233" s="75"/>
      <x:c r="I233" s="75"/>
      <x:c r="J233" s="75"/>
      <x:c r="K233" s="75"/>
      <x:c r="L233" s="75"/>
      <x:c r="M233" s="75"/>
      <x:c r="N233" s="75"/>
      <x:c r="O233" s="76"/>
      <x:c r="P233" s="99"/>
      <x:c r="Q233" s="99"/>
    </x:row>
    <x:row r="234">
      <x:c r="C234" s="99"/>
      <x:c r="D234" s="99"/>
      <x:c r="E234" s="99"/>
      <x:c r="F234" s="99"/>
      <x:c r="G234" s="99"/>
      <x:c r="H234" s="99"/>
      <x:c r="I234" s="99"/>
      <x:c r="J234" s="99"/>
      <x:c r="K234" s="99"/>
      <x:c r="L234" s="99"/>
      <x:c r="M234" s="99"/>
      <x:c r="N234" s="99"/>
      <x:c r="O234" s="99"/>
      <x:c r="P234" s="99"/>
      <x:c r="Q234" s="99"/>
    </x:row>
    <x:row r="235">
      <x:c r="C235" s="11" t="str">
        <x:v>month_label</x:v>
      </x:c>
      <x:c r="D235" s="11" t="str">
        <x:v>IBOV</x:v>
      </x:c>
      <x:c r="E235" s="11" t="str">
        <x:v>Communication Services</x:v>
      </x:c>
      <x:c r="F235" s="11" t="str">
        <x:v>Consumer Discretionary</x:v>
      </x:c>
      <x:c r="G235" s="11" t="str">
        <x:v>Consumer Staples</x:v>
      </x:c>
      <x:c r="H235" s="11" t="str">
        <x:v>Energy</x:v>
      </x:c>
      <x:c r="I235" s="11" t="str">
        <x:v>Financials</x:v>
      </x:c>
      <x:c r="J235" s="11" t="str">
        <x:v>Health Care</x:v>
      </x:c>
      <x:c r="K235" s="11" t="str">
        <x:v>Industrials</x:v>
      </x:c>
      <x:c r="L235" s="11" t="str">
        <x:v>Information Technology</x:v>
      </x:c>
      <x:c r="M235" s="11" t="str">
        <x:v>Materials</x:v>
      </x:c>
      <x:c r="N235" s="11" t="str">
        <x:v>Real Estate</x:v>
      </x:c>
      <x:c r="O235" s="11" t="str">
        <x:v>Utilities</x:v>
      </x:c>
      <x:c r="P235" s="99"/>
      <x:c r="Q235" s="99"/>
    </x:row>
    <x:row r="236">
      <x:c r="C236" s="6" t="str">
        <x:v>2008-01</x:v>
      </x:c>
      <x:c r="D236" s="6" t="n">
        <x:f>F7</x:f>
        <x:v>70.76207766643095</x:v>
      </x:c>
      <x:c r="E236" s="6" t="n">
        <x:f>G7</x:f>
        <x:v>17.120158737740635</x:v>
      </x:c>
      <x:c r="F236" s="6" t="n">
        <x:f>H7</x:f>
        <x:v>29.23750074855248</x:v>
      </x:c>
      <x:c r="G236" s="6" t="n">
        <x:f>I7</x:f>
        <x:v>22.558884046278358</x:v>
      </x:c>
      <x:c r="H236" s="6" t="n">
        <x:f>J7</x:f>
        <x:v>80.21693572894254</x:v>
      </x:c>
      <x:c r="I236" s="6" t="n">
        <x:f>K7</x:f>
        <x:v>41.95959738890503</x:v>
      </x:c>
      <x:c r="J236" s="6" t="n">
        <x:f>L7</x:f>
        <x:v>0</x:v>
      </x:c>
      <x:c r="K236" s="6" t="n">
        <x:f>M7</x:f>
        <x:v>47.72123311018507</x:v>
      </x:c>
      <x:c r="L236" s="6" t="n">
        <x:f>N7</x:f>
        <x:v>0</x:v>
      </x:c>
      <x:c r="M236" s="6" t="n">
        <x:f>O7</x:f>
        <x:v>57.966827496381555</x:v>
      </x:c>
      <x:c r="N236" s="6" t="n">
        <x:f>P7</x:f>
        <x:v>0</x:v>
      </x:c>
      <x:c r="O236" s="6" t="n">
        <x:f>Q7</x:f>
        <x:v>44.44803671591619</x:v>
      </x:c>
      <x:c r="P236" s="99"/>
      <x:c r="Q236" s="99"/>
    </x:row>
    <x:row r="237">
      <x:c r="C237" s="6" t="str">
        <x:v>2008-02</x:v>
      </x:c>
      <x:c r="D237" s="6" t="n">
        <x:f>F8</x:f>
        <x:v>73.10470982228736</x:v>
      </x:c>
      <x:c r="E237" s="6" t="n">
        <x:f>G8</x:f>
        <x:v>18.75507893936191</x:v>
      </x:c>
      <x:c r="F237" s="6" t="n">
        <x:f>H8</x:f>
        <x:v>30.343070721244032</x:v>
      </x:c>
      <x:c r="G237" s="6" t="n">
        <x:f>I8</x:f>
        <x:v>23.077411625180268</x:v>
      </x:c>
      <x:c r="H237" s="6" t="n">
        <x:f>J8</x:f>
        <x:v>80.79572725246865</x:v>
      </x:c>
      <x:c r="I237" s="6" t="n">
        <x:f>K8</x:f>
        <x:v>42.77532336278505</x:v>
      </x:c>
      <x:c r="J237" s="6" t="n">
        <x:f>L8</x:f>
        <x:v>0</x:v>
      </x:c>
      <x:c r="K237" s="6" t="n">
        <x:f>M8</x:f>
        <x:v>45.06432728314687</x:v>
      </x:c>
      <x:c r="L237" s="6" t="n">
        <x:f>N8</x:f>
        <x:v>0</x:v>
      </x:c>
      <x:c r="M237" s="6" t="n">
        <x:f>O8</x:f>
        <x:v>61.83373643566233</x:v>
      </x:c>
      <x:c r="N237" s="6" t="n">
        <x:f>P8</x:f>
        <x:v>0</x:v>
      </x:c>
      <x:c r="O237" s="6" t="n">
        <x:f>Q8</x:f>
        <x:v>45.36861596979499</x:v>
      </x:c>
      <x:c r="P237" s="99"/>
      <x:c r="Q237" s="99"/>
    </x:row>
    <x:row r="238">
      <x:c r="C238" s="6" t="str">
        <x:v>2008-03</x:v>
      </x:c>
      <x:c r="D238" s="6" t="n">
        <x:f>F9</x:f>
        <x:v>73.20602385281674</x:v>
      </x:c>
      <x:c r="E238" s="6" t="n">
        <x:f>G9</x:f>
        <x:v>17.51601052952366</x:v>
      </x:c>
      <x:c r="F238" s="6" t="n">
        <x:f>H9</x:f>
        <x:v>27.7652239415948</x:v>
      </x:c>
      <x:c r="G238" s="6" t="n">
        <x:f>I9</x:f>
        <x:v>22.22109778917231</x:v>
      </x:c>
      <x:c r="H238" s="6" t="n">
        <x:f>J9</x:f>
        <x:v>83.86006165026288</x:v>
      </x:c>
      <x:c r="I238" s="6" t="n">
        <x:f>K9</x:f>
        <x:v>43.22074115915133</x:v>
      </x:c>
      <x:c r="J238" s="6" t="n">
        <x:f>L9</x:f>
        <x:v>0</x:v>
      </x:c>
      <x:c r="K238" s="6" t="n">
        <x:f>M9</x:f>
        <x:v>44.50158553581494</x:v>
      </x:c>
      <x:c r="L238" s="6" t="n">
        <x:f>N9</x:f>
        <x:v>0</x:v>
      </x:c>
      <x:c r="M238" s="6" t="n">
        <x:f>O9</x:f>
        <x:v>62.891211254197756</x:v>
      </x:c>
      <x:c r="N238" s="6" t="n">
        <x:f>P9</x:f>
        <x:v>0</x:v>
      </x:c>
      <x:c r="O238" s="6" t="n">
        <x:f>Q9</x:f>
        <x:v>47.91081541687039</x:v>
      </x:c>
      <x:c r="P238" s="99"/>
      <x:c r="Q238" s="99"/>
    </x:row>
    <x:row r="239">
      <x:c r="C239" s="6" t="str">
        <x:v>2008-04</x:v>
      </x:c>
      <x:c r="D239" s="6" t="n">
        <x:f>F10</x:f>
        <x:v>75.8962610083261</x:v>
      </x:c>
      <x:c r="E239" s="6" t="n">
        <x:f>G10</x:f>
        <x:v>16.670801919187472</x:v>
      </x:c>
      <x:c r="F239" s="6" t="n">
        <x:f>H10</x:f>
        <x:v>28.30934053335507</x:v>
      </x:c>
      <x:c r="G239" s="6" t="n">
        <x:f>I10</x:f>
        <x:v>21.276451074366705</x:v>
      </x:c>
      <x:c r="H239" s="6" t="n">
        <x:f>J10</x:f>
        <x:v>84.37221210541223</x:v>
      </x:c>
      <x:c r="I239" s="6" t="n">
        <x:f>K10</x:f>
        <x:v>43.58458671371266</x:v>
      </x:c>
      <x:c r="J239" s="6" t="n">
        <x:f>L10</x:f>
        <x:v>0</x:v>
      </x:c>
      <x:c r="K239" s="6" t="n">
        <x:f>M10</x:f>
        <x:v>43.51533677345948</x:v>
      </x:c>
      <x:c r="L239" s="6" t="n">
        <x:f>N10</x:f>
        <x:v>0</x:v>
      </x:c>
      <x:c r="M239" s="6" t="n">
        <x:f>O10</x:f>
        <x:v>64.77411875001103</x:v>
      </x:c>
      <x:c r="N239" s="6" t="n">
        <x:f>P10</x:f>
        <x:v>0</x:v>
      </x:c>
      <x:c r="O239" s="6" t="n">
        <x:f>Q10</x:f>
        <x:v>50.43095871343504</x:v>
      </x:c>
      <x:c r="P239" s="99"/>
      <x:c r="Q239" s="99"/>
    </x:row>
    <x:row r="240">
      <x:c r="C240" s="6" t="str">
        <x:v>2008-05</x:v>
      </x:c>
      <x:c r="D240" s="6" t="n">
        <x:f>F11</x:f>
        <x:v>85.94125741589663</x:v>
      </x:c>
      <x:c r="E240" s="6" t="n">
        <x:f>G11</x:f>
        <x:v>17.069525226100144</x:v>
      </x:c>
      <x:c r="F240" s="6" t="n">
        <x:f>H11</x:f>
        <x:v>29.811723949133995</x:v>
      </x:c>
      <x:c r="G240" s="6" t="n">
        <x:f>I11</x:f>
        <x:v>22.06228427059038</x:v>
      </x:c>
      <x:c r="H240" s="6" t="n">
        <x:f>J11</x:f>
        <x:v>88.09840776124787</x:v>
      </x:c>
      <x:c r="I240" s="6" t="n">
        <x:f>K11</x:f>
        <x:v>43.37636597637751</x:v>
      </x:c>
      <x:c r="J240" s="6" t="n">
        <x:f>L11</x:f>
        <x:v>0</x:v>
      </x:c>
      <x:c r="K240" s="6" t="n">
        <x:f>M11</x:f>
        <x:v>40.543477002126934</x:v>
      </x:c>
      <x:c r="L240" s="6" t="n">
        <x:f>N11</x:f>
        <x:v>0</x:v>
      </x:c>
      <x:c r="M240" s="6" t="n">
        <x:f>O11</x:f>
        <x:v>69.00816533758248</x:v>
      </x:c>
      <x:c r="N240" s="6" t="n">
        <x:f>P11</x:f>
        <x:v>2.506907830089103</x:v>
      </x:c>
      <x:c r="O240" s="6" t="n">
        <x:f>Q11</x:f>
        <x:v>49.39965787489331</x:v>
      </x:c>
      <x:c r="P240" s="99"/>
      <x:c r="Q240" s="99"/>
    </x:row>
    <x:row r="241">
      <x:c r="C241" s="6" t="str">
        <x:v>2008-06</x:v>
      </x:c>
      <x:c r="D241" s="6" t="n">
        <x:f>F12</x:f>
        <x:v>88.93982281313694</x:v>
      </x:c>
      <x:c r="E241" s="6" t="n">
        <x:f>G12</x:f>
        <x:v>16.384575287177768</x:v>
      </x:c>
      <x:c r="F241" s="6" t="n">
        <x:f>H12</x:f>
        <x:v>29.380186116162164</x:v>
      </x:c>
      <x:c r="G241" s="6" t="n">
        <x:f>I12</x:f>
        <x:v>22.38727759834007</x:v>
      </x:c>
      <x:c r="H241" s="6" t="n">
        <x:f>J12</x:f>
        <x:v>89.91100755084726</x:v>
      </x:c>
      <x:c r="I241" s="6" t="n">
        <x:f>K12</x:f>
        <x:v>43.45079059207357</x:v>
      </x:c>
      <x:c r="J241" s="6" t="n">
        <x:f>L12</x:f>
        <x:v>0</x:v>
      </x:c>
      <x:c r="K241" s="6" t="n">
        <x:f>M12</x:f>
        <x:v>39.78018109839529</x:v>
      </x:c>
      <x:c r="L241" s="6" t="n">
        <x:f>N12</x:f>
        <x:v>0</x:v>
      </x:c>
      <x:c r="M241" s="6" t="n">
        <x:f>O12</x:f>
        <x:v>69.43914422870357</x:v>
      </x:c>
      <x:c r="N241" s="6" t="n">
        <x:f>P12</x:f>
        <x:v>5.4674639521075505</x:v>
      </x:c>
      <x:c r="O241" s="6" t="n">
        <x:f>Q12</x:f>
        <x:v>47.93367368677481</x:v>
      </x:c>
      <x:c r="P241" s="99"/>
      <x:c r="Q241" s="99"/>
    </x:row>
    <x:row r="242">
      <x:c r="C242" s="6" t="str">
        <x:v>2008-07</x:v>
      </x:c>
      <x:c r="D242" s="6" t="n">
        <x:f>F13</x:f>
        <x:v>82.51563793977576</x:v>
      </x:c>
      <x:c r="E242" s="6" t="n">
        <x:f>G13</x:f>
        <x:v>17.280898574659144</x:v>
      </x:c>
      <x:c r="F242" s="6" t="n">
        <x:f>H13</x:f>
        <x:v>27.678327088209038</x:v>
      </x:c>
      <x:c r="G242" s="6" t="n">
        <x:f>I13</x:f>
        <x:v>20.81927948409682</x:v>
      </x:c>
      <x:c r="H242" s="6" t="n">
        <x:f>J13</x:f>
        <x:v>93.5228633213453</x:v>
      </x:c>
      <x:c r="I242" s="6" t="n">
        <x:f>K13</x:f>
        <x:v>43.3298213229306</x:v>
      </x:c>
      <x:c r="J242" s="6" t="n">
        <x:f>L13</x:f>
        <x:v>0</x:v>
      </x:c>
      <x:c r="K242" s="6" t="n">
        <x:f>M13</x:f>
        <x:v>38.094716660741504</x:v>
      </x:c>
      <x:c r="L242" s="6" t="n">
        <x:f>N13</x:f>
        <x:v>0</x:v>
      </x:c>
      <x:c r="M242" s="6" t="n">
        <x:f>O13</x:f>
        <x:v>68.81750580501344</x:v>
      </x:c>
      <x:c r="N242" s="6" t="n">
        <x:f>P13</x:f>
        <x:v>5.509822678153033</x:v>
      </x:c>
      <x:c r="O242" s="6" t="n">
        <x:f>Q13</x:f>
        <x:v>49.61603392926111</x:v>
      </x:c>
      <x:c r="P242" s="99"/>
      <x:c r="Q242" s="99"/>
    </x:row>
    <x:row r="243">
      <x:c r="C243" s="6" t="str">
        <x:v>2008-08</x:v>
      </x:c>
      <x:c r="D243" s="6" t="n">
        <x:f>F14</x:f>
        <x:v>85.99562426289764</x:v>
      </x:c>
      <x:c r="E243" s="6" t="n">
        <x:f>G14</x:f>
        <x:v>16.518892922971936</x:v>
      </x:c>
      <x:c r="F243" s="6" t="n">
        <x:f>H14</x:f>
        <x:v>28.42335861134911</x:v>
      </x:c>
      <x:c r="G243" s="6" t="n">
        <x:f>I14</x:f>
        <x:v>22.097216644131727</x:v>
      </x:c>
      <x:c r="H243" s="6" t="n">
        <x:f>J14</x:f>
        <x:v>95.10740524503399</x:v>
      </x:c>
      <x:c r="I243" s="6" t="n">
        <x:f>K14</x:f>
        <x:v>43.39486621406194</x:v>
      </x:c>
      <x:c r="J243" s="6" t="n">
        <x:f>L14</x:f>
        <x:v>0</x:v>
      </x:c>
      <x:c r="K243" s="6" t="n">
        <x:f>M14</x:f>
        <x:v>40.64625116290529</x:v>
      </x:c>
      <x:c r="L243" s="6" t="n">
        <x:f>N14</x:f>
        <x:v>0</x:v>
      </x:c>
      <x:c r="M243" s="6" t="n">
        <x:f>O14</x:f>
        <x:v>72.73626956717594</x:v>
      </x:c>
      <x:c r="N243" s="6" t="n">
        <x:f>P14</x:f>
        <x:v>5.549448583173511</x:v>
      </x:c>
      <x:c r="O243" s="6" t="n">
        <x:f>Q14</x:f>
        <x:v>51.43408862883048</x:v>
      </x:c>
      <x:c r="P243" s="99"/>
      <x:c r="Q243" s="99"/>
    </x:row>
    <x:row r="244">
      <x:c r="C244" s="6" t="str">
        <x:v>2008-09</x:v>
      </x:c>
      <x:c r="D244" s="6" t="n">
        <x:f>F15</x:f>
        <x:v>101.36285507605001</x:v>
      </x:c>
      <x:c r="E244" s="6" t="n">
        <x:f>G15</x:f>
        <x:v>15.20950612491684</x:v>
      </x:c>
      <x:c r="F244" s="6" t="n">
        <x:f>H15</x:f>
        <x:v>34.195930558256535</x:v>
      </x:c>
      <x:c r="G244" s="6" t="n">
        <x:f>I15</x:f>
        <x:v>25.52073870834377</x:v>
      </x:c>
      <x:c r="H244" s="6" t="n">
        <x:f>J15</x:f>
        <x:v>98.84647031374057</x:v>
      </x:c>
      <x:c r="I244" s="6" t="n">
        <x:f>K15</x:f>
        <x:v>37.628041298574914</x:v>
      </x:c>
      <x:c r="J244" s="6" t="n">
        <x:f>L15</x:f>
        <x:v>0</x:v>
      </x:c>
      <x:c r="K244" s="6" t="n">
        <x:f>M15</x:f>
        <x:v>41.29048764056505</x:v>
      </x:c>
      <x:c r="L244" s="6" t="n">
        <x:f>N15</x:f>
        <x:v>0</x:v>
      </x:c>
      <x:c r="M244" s="6" t="n">
        <x:f>O15</x:f>
        <x:v>81.89666549228554</x:v>
      </x:c>
      <x:c r="N244" s="6" t="n">
        <x:f>P15</x:f>
        <x:v>0</x:v>
      </x:c>
      <x:c r="O244" s="6" t="n">
        <x:f>Q15</x:f>
        <x:v>56.51635720932065</x:v>
      </x:c>
      <x:c r="P244" s="99"/>
      <x:c r="Q244" s="99"/>
    </x:row>
    <x:row r="245">
      <x:c r="C245" s="6" t="str">
        <x:v>2008-10</x:v>
      </x:c>
      <x:c r="D245" s="6" t="n">
        <x:f>F16</x:f>
        <x:v>93.18242680494386</x:v>
      </x:c>
      <x:c r="E245" s="6" t="n">
        <x:f>G16</x:f>
        <x:v>15.282032013615613</x:v>
      </x:c>
      <x:c r="F245" s="6" t="n">
        <x:f>H16</x:f>
        <x:v>35.05663943095754</x:v>
      </x:c>
      <x:c r="G245" s="6" t="n">
        <x:f>I16</x:f>
        <x:v>23.494280045474447</x:v>
      </x:c>
      <x:c r="H245" s="6" t="n">
        <x:f>J16</x:f>
        <x:v>93.70619297941863</x:v>
      </x:c>
      <x:c r="I245" s="6" t="n">
        <x:f>K16</x:f>
        <x:v>35.92282869456231</x:v>
      </x:c>
      <x:c r="J245" s="6" t="n">
        <x:f>L16</x:f>
        <x:v>0</x:v>
      </x:c>
      <x:c r="K245" s="6" t="n">
        <x:f>M16</x:f>
        <x:v>44.50810296788904</x:v>
      </x:c>
      <x:c r="L245" s="6" t="n">
        <x:f>N16</x:f>
        <x:v>0</x:v>
      </x:c>
      <x:c r="M245" s="6" t="n">
        <x:f>O16</x:f>
        <x:v>81.67498774259559</x:v>
      </x:c>
      <x:c r="N245" s="6" t="n">
        <x:f>P16</x:f>
        <x:v>0</x:v>
      </x:c>
      <x:c r="O245" s="6" t="n">
        <x:f>Q16</x:f>
        <x:v>60.222794336353545</x:v>
      </x:c>
      <x:c r="P245" s="99"/>
      <x:c r="Q245" s="99"/>
    </x:row>
    <x:row r="246">
      <x:c r="C246" s="6" t="str">
        <x:v>2008-11</x:v>
      </x:c>
      <x:c r="D246" s="6" t="n">
        <x:f>F17</x:f>
        <x:v>84.19157375142204</x:v>
      </x:c>
      <x:c r="E246" s="6" t="n">
        <x:f>G17</x:f>
        <x:v>14.243017324913133</x:v>
      </x:c>
      <x:c r="F246" s="6" t="n">
        <x:f>H17</x:f>
        <x:v>35.26495249498088</x:v>
      </x:c>
      <x:c r="G246" s="6" t="n">
        <x:f>I17</x:f>
        <x:v>24.3484665162981</x:v>
      </x:c>
      <x:c r="H246" s="6" t="n">
        <x:f>J17</x:f>
        <x:v>91.27772855435514</x:v>
      </x:c>
      <x:c r="I246" s="6" t="n">
        <x:f>K17</x:f>
        <x:v>36.64625301848435</x:v>
      </x:c>
      <x:c r="J246" s="6" t="n">
        <x:f>L17</x:f>
        <x:v>0</x:v>
      </x:c>
      <x:c r="K246" s="6" t="n">
        <x:f>M17</x:f>
        <x:v>40.806232612215325</x:v>
      </x:c>
      <x:c r="L246" s="6" t="n">
        <x:f>N17</x:f>
        <x:v>0</x:v>
      </x:c>
      <x:c r="M246" s="6" t="n">
        <x:f>O17</x:f>
        <x:v>78.19454758507109</x:v>
      </x:c>
      <x:c r="N246" s="6" t="n">
        <x:f>P17</x:f>
        <x:v>0</x:v>
      </x:c>
      <x:c r="O246" s="6" t="n">
        <x:f>Q17</x:f>
        <x:v>61.334479555553536</x:v>
      </x:c>
      <x:c r="P246" s="99"/>
      <x:c r="Q246" s="99"/>
    </x:row>
    <x:row r="247">
      <x:c r="C247" s="6" t="str">
        <x:v>2008-12</x:v>
      </x:c>
      <x:c r="D247" s="6" t="n">
        <x:f>F18</x:f>
        <x:v>78.75194450549053</x:v>
      </x:c>
      <x:c r="E247" s="6" t="n">
        <x:f>G18</x:f>
        <x:v>15.73115711459711</x:v>
      </x:c>
      <x:c r="F247" s="6" t="n">
        <x:f>H18</x:f>
        <x:v>35.733758646661364</x:v>
      </x:c>
      <x:c r="G247" s="6" t="n">
        <x:f>I18</x:f>
        <x:v>24.907312392054408</x:v>
      </x:c>
      <x:c r="H247" s="6" t="n">
        <x:f>J18</x:f>
        <x:v>79.30001194889653</x:v>
      </x:c>
      <x:c r="I247" s="6" t="n">
        <x:f>K18</x:f>
        <x:v>35.730114157753825</x:v>
      </x:c>
      <x:c r="J247" s="6" t="n">
        <x:f>L18</x:f>
        <x:v>0</x:v>
      </x:c>
      <x:c r="K247" s="6" t="n">
        <x:f>M18</x:f>
        <x:v>41.822686614570685</x:v>
      </x:c>
      <x:c r="L247" s="6" t="n">
        <x:f>N18</x:f>
        <x:v>0</x:v>
      </x:c>
      <x:c r="M247" s="6" t="n">
        <x:f>O18</x:f>
        <x:v>66.63115369512573</x:v>
      </x:c>
      <x:c r="N247" s="6" t="n">
        <x:f>P18</x:f>
        <x:v>0</x:v>
      </x:c>
      <x:c r="O247" s="6" t="n">
        <x:f>Q18</x:f>
        <x:v>64.67746546119358</x:v>
      </x:c>
      <x:c r="P247" s="99"/>
      <x:c r="Q247" s="99"/>
    </x:row>
    <x:row r="248">
      <x:c r="C248" s="6" t="str">
        <x:v>2009-01</x:v>
      </x:c>
      <x:c r="D248" s="6" t="n">
        <x:f>F19</x:f>
        <x:v>78.39155179401924</x:v>
      </x:c>
      <x:c r="E248" s="6" t="n">
        <x:f>G19</x:f>
        <x:v>15.009262903844656</x:v>
      </x:c>
      <x:c r="F248" s="6" t="n">
        <x:f>H19</x:f>
        <x:v>32.646567769447934</x:v>
      </x:c>
      <x:c r="G248" s="6" t="n">
        <x:f>I19</x:f>
        <x:v>22.919501370333045</x:v>
      </x:c>
      <x:c r="H248" s="6" t="n">
        <x:f>J19</x:f>
        <x:v>73.02194674355223</x:v>
      </x:c>
      <x:c r="I248" s="6" t="n">
        <x:f>K19</x:f>
        <x:v>29.79113461270736</x:v>
      </x:c>
      <x:c r="J248" s="6" t="n">
        <x:f>L19</x:f>
        <x:v>0</x:v>
      </x:c>
      <x:c r="K248" s="6" t="n">
        <x:f>M19</x:f>
        <x:v>39.089317679093064</x:v>
      </x:c>
      <x:c r="L248" s="6" t="n">
        <x:f>N19</x:f>
        <x:v>0</x:v>
      </x:c>
      <x:c r="M248" s="6" t="n">
        <x:f>O19</x:f>
        <x:v>56.37141116316424</x:v>
      </x:c>
      <x:c r="N248" s="6" t="n">
        <x:f>P19</x:f>
        <x:v>0</x:v>
      </x:c>
      <x:c r="O248" s="6" t="n">
        <x:f>Q19</x:f>
        <x:v>64.9739109888313</x:v>
      </x:c>
      <x:c r="P248" s="99"/>
      <x:c r="Q248" s="99"/>
    </x:row>
    <x:row r="249">
      <x:c r="C249" s="6" t="str">
        <x:v>2009-02</x:v>
      </x:c>
      <x:c r="D249" s="6" t="n">
        <x:f>F20</x:f>
        <x:v>79.50428102409558</x:v>
      </x:c>
      <x:c r="E249" s="6" t="n">
        <x:f>G20</x:f>
        <x:v>15.128888476466997</x:v>
      </x:c>
      <x:c r="F249" s="6" t="n">
        <x:f>H20</x:f>
        <x:v>30.87695851976414</x:v>
      </x:c>
      <x:c r="G249" s="6" t="n">
        <x:f>I20</x:f>
        <x:v>22.066490817353923</x:v>
      </x:c>
      <x:c r="H249" s="6" t="n">
        <x:f>J20</x:f>
        <x:v>73.70304646367345</x:v>
      </x:c>
      <x:c r="I249" s="6" t="n">
        <x:f>K20</x:f>
        <x:v>30.129885475263073</x:v>
      </x:c>
      <x:c r="J249" s="6" t="n">
        <x:f>L20</x:f>
        <x:v>0</x:v>
      </x:c>
      <x:c r="K249" s="6" t="n">
        <x:f>M20</x:f>
        <x:v>37.99659869914309</x:v>
      </x:c>
      <x:c r="L249" s="6" t="n">
        <x:f>N20</x:f>
        <x:v>0</x:v>
      </x:c>
      <x:c r="M249" s="6" t="n">
        <x:f>O20</x:f>
        <x:v>54.21619161294424</x:v>
      </x:c>
      <x:c r="N249" s="6" t="n">
        <x:f>P20</x:f>
        <x:v>0</x:v>
      </x:c>
      <x:c r="O249" s="6" t="n">
        <x:f>Q20</x:f>
        <x:v>64.45123801262082</x:v>
      </x:c>
      <x:c r="P249" s="99"/>
      <x:c r="Q249" s="99"/>
    </x:row>
    <x:row r="250">
      <x:c r="C250" s="6" t="str">
        <x:v>2009-03</x:v>
      </x:c>
      <x:c r="D250" s="6" t="n">
        <x:f>F21</x:f>
        <x:v>70.76029727119388</x:v>
      </x:c>
      <x:c r="E250" s="6" t="n">
        <x:f>G21</x:f>
        <x:v>14.77951278022595</x:v>
      </x:c>
      <x:c r="F250" s="6" t="n">
        <x:f>H21</x:f>
        <x:v>32.062623383990044</x:v>
      </x:c>
      <x:c r="G250" s="6" t="n">
        <x:f>I21</x:f>
        <x:v>23.785022841006892</x:v>
      </x:c>
      <x:c r="H250" s="6" t="n">
        <x:f>J21</x:f>
        <x:v>66.7949920230408</x:v>
      </x:c>
      <x:c r="I250" s="6" t="n">
        <x:f>K21</x:f>
        <x:v>32.66971623886341</x:v>
      </x:c>
      <x:c r="J250" s="6" t="n">
        <x:f>L21</x:f>
        <x:v>0</x:v>
      </x:c>
      <x:c r="K250" s="6" t="n">
        <x:f>M21</x:f>
        <x:v>39.48496404051699</x:v>
      </x:c>
      <x:c r="L250" s="6" t="n">
        <x:f>N21</x:f>
        <x:v>0</x:v>
      </x:c>
      <x:c r="M250" s="6" t="n">
        <x:f>O21</x:f>
        <x:v>42.24715774464756</x:v>
      </x:c>
      <x:c r="N250" s="6" t="n">
        <x:f>P21</x:f>
        <x:v>0</x:v>
      </x:c>
      <x:c r="O250" s="6" t="n">
        <x:f>Q21</x:f>
        <x:v>68.4060748667785</x:v>
      </x:c>
      <x:c r="P250" s="99"/>
      <x:c r="Q250" s="99"/>
    </x:row>
    <x:row r="251">
      <x:c r="C251" s="6" t="str">
        <x:v>2009-04</x:v>
      </x:c>
      <x:c r="D251" s="6" t="n">
        <x:f>F22</x:f>
        <x:v>64.47373780845732</x:v>
      </x:c>
      <x:c r="E251" s="6" t="n">
        <x:f>G22</x:f>
        <x:v>14.760983338488561</x:v>
      </x:c>
      <x:c r="F251" s="6" t="n">
        <x:f>H22</x:f>
        <x:v>31.39082916975033</x:v>
      </x:c>
      <x:c r="G251" s="6" t="n">
        <x:f>I22</x:f>
        <x:v>24.31556777954266</x:v>
      </x:c>
      <x:c r="H251" s="6" t="n">
        <x:f>J22</x:f>
        <x:v>64.33112571363912</x:v>
      </x:c>
      <x:c r="I251" s="6" t="n">
        <x:f>K22</x:f>
        <x:v>33.535894384081935</x:v>
      </x:c>
      <x:c r="J251" s="6" t="n">
        <x:f>L22</x:f>
        <x:v>0</x:v>
      </x:c>
      <x:c r="K251" s="6" t="n">
        <x:f>M22</x:f>
        <x:v>38.03674570751547</x:v>
      </x:c>
      <x:c r="L251" s="6" t="n">
        <x:f>N22</x:f>
        <x:v>0</x:v>
      </x:c>
      <x:c r="M251" s="6" t="n">
        <x:f>O22</x:f>
        <x:v>38.848102989511055</x:v>
      </x:c>
      <x:c r="N251" s="6" t="n">
        <x:f>P22</x:f>
        <x:v>0</x:v>
      </x:c>
      <x:c r="O251" s="6" t="n">
        <x:f>Q22</x:f>
        <x:v>68.14854183173901</x:v>
      </x:c>
      <x:c r="P251" s="99"/>
      <x:c r="Q251" s="99"/>
    </x:row>
    <x:row r="252">
      <x:c r="C252" s="6" t="str">
        <x:v>2009-05</x:v>
      </x:c>
      <x:c r="D252" s="6" t="n">
        <x:f>F23</x:f>
        <x:v>65.33332239123276</x:v>
      </x:c>
      <x:c r="E252" s="6" t="n">
        <x:f>G23</x:f>
        <x:v>14.969471952474853</x:v>
      </x:c>
      <x:c r="F252" s="6" t="n">
        <x:f>H23</x:f>
        <x:v>31.921854147504426</x:v>
      </x:c>
      <x:c r="G252" s="6" t="n">
        <x:f>I23</x:f>
        <x:v>25.985438963651458</x:v>
      </x:c>
      <x:c r="H252" s="6" t="n">
        <x:f>J23</x:f>
        <x:v>68.42034815194552</x:v>
      </x:c>
      <x:c r="I252" s="6" t="n">
        <x:f>K23</x:f>
        <x:v>33.712448053664815</x:v>
      </x:c>
      <x:c r="J252" s="6" t="n">
        <x:f>L23</x:f>
        <x:v>0</x:v>
      </x:c>
      <x:c r="K252" s="6" t="n">
        <x:f>M23</x:f>
        <x:v>35.679681353937305</x:v>
      </x:c>
      <x:c r="L252" s="6" t="n">
        <x:f>N23</x:f>
        <x:v>0</x:v>
      </x:c>
      <x:c r="M252" s="6" t="n">
        <x:f>O23</x:f>
        <x:v>34.507892314672496</x:v>
      </x:c>
      <x:c r="N252" s="6" t="n">
        <x:f>P23</x:f>
        <x:v>0</x:v>
      </x:c>
      <x:c r="O252" s="6" t="n">
        <x:f>Q23</x:f>
        <x:v>66.965940266508</x:v>
      </x:c>
      <x:c r="P252" s="99"/>
      <x:c r="Q252" s="99"/>
    </x:row>
    <x:row r="253">
      <x:c r="C253" s="6" t="str">
        <x:v>2009-06</x:v>
      </x:c>
      <x:c r="D253" s="6" t="n">
        <x:f>F24</x:f>
        <x:v>63.18859591842969</x:v>
      </x:c>
      <x:c r="E253" s="6" t="n">
        <x:f>G24</x:f>
        <x:v>15.590828519239952</x:v>
      </x:c>
      <x:c r="F253" s="6" t="n">
        <x:f>H24</x:f>
        <x:v>33.154578051639795</x:v>
      </x:c>
      <x:c r="G253" s="6" t="n">
        <x:f>I24</x:f>
        <x:v>27.657865267788246</x:v>
      </x:c>
      <x:c r="H253" s="6" t="n">
        <x:f>J24</x:f>
        <x:v>68.38291579473565</x:v>
      </x:c>
      <x:c r="I253" s="6" t="n">
        <x:f>K24</x:f>
        <x:v>34.14873831605245</x:v>
      </x:c>
      <x:c r="J253" s="6" t="n">
        <x:f>L24</x:f>
        <x:v>0</x:v>
      </x:c>
      <x:c r="K253" s="6" t="n">
        <x:f>M24</x:f>
        <x:v>32.66272495045472</x:v>
      </x:c>
      <x:c r="L253" s="6" t="n">
        <x:f>N24</x:f>
        <x:v>0</x:v>
      </x:c>
      <x:c r="M253" s="6" t="n">
        <x:f>O24</x:f>
        <x:v>31.93367388007523</x:v>
      </x:c>
      <x:c r="N253" s="6" t="n">
        <x:f>P24</x:f>
        <x:v>0</x:v>
      </x:c>
      <x:c r="O253" s="6" t="n">
        <x:f>Q24</x:f>
        <x:v>65.37916981550627</x:v>
      </x:c>
      <x:c r="P253" s="99"/>
      <x:c r="Q253" s="99"/>
    </x:row>
    <x:row r="254">
      <x:c r="C254" s="6" t="str">
        <x:v>2009-07</x:v>
      </x:c>
      <x:c r="D254" s="6" t="n">
        <x:f>F25</x:f>
        <x:v>60.84287381800523</x:v>
      </x:c>
      <x:c r="E254" s="6" t="n">
        <x:f>G25</x:f>
        <x:v>15.528292944621064</x:v>
      </x:c>
      <x:c r="F254" s="6" t="n">
        <x:f>H25</x:f>
        <x:v>33.22451779368732</x:v>
      </x:c>
      <x:c r="G254" s="6" t="n">
        <x:f>I25</x:f>
        <x:v>27.860899125455457</x:v>
      </x:c>
      <x:c r="H254" s="6" t="n">
        <x:f>J25</x:f>
        <x:v>69.08327030904758</x:v>
      </x:c>
      <x:c r="I254" s="6" t="n">
        <x:f>K25</x:f>
        <x:v>35.463281382264825</x:v>
      </x:c>
      <x:c r="J254" s="6" t="n">
        <x:f>L25</x:f>
        <x:v>0</x:v>
      </x:c>
      <x:c r="K254" s="6" t="n">
        <x:f>M25</x:f>
        <x:v>32.065856388124686</x:v>
      </x:c>
      <x:c r="L254" s="6" t="n">
        <x:f>N25</x:f>
        <x:v>0</x:v>
      </x:c>
      <x:c r="M254" s="6" t="n">
        <x:f>O25</x:f>
        <x:v>31.24639342262893</x:v>
      </x:c>
      <x:c r="N254" s="6" t="n">
        <x:f>P25</x:f>
        <x:v>0</x:v>
      </x:c>
      <x:c r="O254" s="6" t="n">
        <x:f>Q25</x:f>
        <x:v>65.72808182717873</x:v>
      </x:c>
      <x:c r="P254" s="99"/>
      <x:c r="Q254" s="99"/>
    </x:row>
    <x:row r="255">
      <x:c r="C255" s="6" t="str">
        <x:v>2009-08</x:v>
      </x:c>
      <x:c r="D255" s="6" t="n">
        <x:f>F26</x:f>
        <x:v>59.59872144219764</x:v>
      </x:c>
      <x:c r="E255" s="6" t="n">
        <x:f>G26</x:f>
        <x:v>15.714300309525397</x:v>
      </x:c>
      <x:c r="F255" s="6" t="n">
        <x:f>H26</x:f>
        <x:v>35.5717623644749</x:v>
      </x:c>
      <x:c r="G255" s="6" t="n">
        <x:f>I26</x:f>
        <x:v>29.316859404433266</x:v>
      </x:c>
      <x:c r="H255" s="6" t="n">
        <x:f>J26</x:f>
        <x:v>69.06098054070104</x:v>
      </x:c>
      <x:c r="I255" s="6" t="n">
        <x:f>K26</x:f>
        <x:v>37.24845188746666</x:v>
      </x:c>
      <x:c r="J255" s="6" t="n">
        <x:f>L26</x:f>
        <x:v>0</x:v>
      </x:c>
      <x:c r="K255" s="6" t="n">
        <x:f>M26</x:f>
        <x:v>32.05946218775806</x:v>
      </x:c>
      <x:c r="L255" s="6" t="n">
        <x:f>N26</x:f>
        <x:v>0</x:v>
      </x:c>
      <x:c r="M255" s="6" t="n">
        <x:f>O26</x:f>
        <x:v>30.521537585319454</x:v>
      </x:c>
      <x:c r="N255" s="6" t="n">
        <x:f>P26</x:f>
        <x:v>0</x:v>
      </x:c>
      <x:c r="O255" s="6" t="n">
        <x:f>Q26</x:f>
        <x:v>64.84978532203813</x:v>
      </x:c>
      <x:c r="P255" s="99"/>
      <x:c r="Q255" s="99"/>
    </x:row>
    <x:row r="256">
      <x:c r="C256" s="6" t="str">
        <x:v>2009-09</x:v>
      </x:c>
      <x:c r="D256" s="6" t="n">
        <x:f>F27</x:f>
        <x:v>65.08128944827104</x:v>
      </x:c>
      <x:c r="E256" s="6" t="n">
        <x:f>G27</x:f>
        <x:v>16.827045279266137</x:v>
      </x:c>
      <x:c r="F256" s="6" t="n">
        <x:f>H27</x:f>
        <x:v>36.76021269167105</x:v>
      </x:c>
      <x:c r="G256" s="6" t="n">
        <x:f>I27</x:f>
        <x:v>24.738495158948666</x:v>
      </x:c>
      <x:c r="H256" s="6" t="n">
        <x:f>J27</x:f>
        <x:v>72.283660274592</x:v>
      </x:c>
      <x:c r="I256" s="6" t="n">
        <x:f>K27</x:f>
        <x:v>38.491780331051814</x:v>
      </x:c>
      <x:c r="J256" s="6" t="n">
        <x:f>L27</x:f>
        <x:v>0</x:v>
      </x:c>
      <x:c r="K256" s="6" t="n">
        <x:f>M27</x:f>
        <x:v>34.844119508445644</x:v>
      </x:c>
      <x:c r="L256" s="6" t="n">
        <x:f>N27</x:f>
        <x:v>0</x:v>
      </x:c>
      <x:c r="M256" s="6" t="n">
        <x:f>O27</x:f>
        <x:v>33.37855644346014</x:v>
      </x:c>
      <x:c r="N256" s="6" t="n">
        <x:f>P27</x:f>
        <x:v>0</x:v>
      </x:c>
      <x:c r="O256" s="6" t="n">
        <x:f>Q27</x:f>
        <x:v>64.09879220240326</x:v>
      </x:c>
      <x:c r="P256" s="99"/>
      <x:c r="Q256" s="99"/>
    </x:row>
    <x:row r="257">
      <x:c r="C257" s="6" t="str">
        <x:v>2009-10</x:v>
      </x:c>
      <x:c r="D257" s="6" t="n">
        <x:f>F28</x:f>
        <x:v>68.34684133154376</x:v>
      </x:c>
      <x:c r="E257" s="6" t="n">
        <x:f>G28</x:f>
        <x:v>17.39106593949396</x:v>
      </x:c>
      <x:c r="F257" s="6" t="n">
        <x:f>H28</x:f>
        <x:v>42.26122647897238</x:v>
      </x:c>
      <x:c r="G257" s="6" t="n">
        <x:f>I28</x:f>
        <x:v>26.75795290914772</x:v>
      </x:c>
      <x:c r="H257" s="6" t="n">
        <x:f>J28</x:f>
        <x:v>74.52371711608777</x:v>
      </x:c>
      <x:c r="I257" s="6" t="n">
        <x:f>K28</x:f>
        <x:v>39.834886898059736</x:v>
      </x:c>
      <x:c r="J257" s="6" t="n">
        <x:f>L28</x:f>
        <x:v>0</x:v>
      </x:c>
      <x:c r="K257" s="6" t="n">
        <x:f>M28</x:f>
        <x:v>34.39824982055621</x:v>
      </x:c>
      <x:c r="L257" s="6" t="n">
        <x:f>N28</x:f>
        <x:v>0</x:v>
      </x:c>
      <x:c r="M257" s="6" t="n">
        <x:f>O28</x:f>
        <x:v>35.725870851863505</x:v>
      </x:c>
      <x:c r="N257" s="6" t="n">
        <x:f>P28</x:f>
        <x:v>0</x:v>
      </x:c>
      <x:c r="O257" s="6" t="n">
        <x:f>Q28</x:f>
        <x:v>58.981290647150686</x:v>
      </x:c>
      <x:c r="P257" s="99"/>
      <x:c r="Q257" s="99"/>
    </x:row>
    <x:row r="258">
      <x:c r="C258" s="6" t="str">
        <x:v>2009-11</x:v>
      </x:c>
      <x:c r="D258" s="6" t="n">
        <x:f>F29</x:f>
        <x:v>71.97750038427716</x:v>
      </x:c>
      <x:c r="E258" s="6" t="n">
        <x:f>G29</x:f>
        <x:v>19.117476098962218</x:v>
      </x:c>
      <x:c r="F258" s="6" t="n">
        <x:f>H29</x:f>
        <x:v>43.22571563383695</x:v>
      </x:c>
      <x:c r="G258" s="6" t="n">
        <x:f>I29</x:f>
        <x:v>29.697682180136397</x:v>
      </x:c>
      <x:c r="H258" s="6" t="n">
        <x:f>J29</x:f>
        <x:v>78.65496195351423</x:v>
      </x:c>
      <x:c r="I258" s="6" t="n">
        <x:f>K29</x:f>
        <x:v>41.48810661259872</x:v>
      </x:c>
      <x:c r="J258" s="6" t="n">
        <x:f>L29</x:f>
        <x:v>0</x:v>
      </x:c>
      <x:c r="K258" s="6" t="n">
        <x:f>M29</x:f>
        <x:v>33.16174431756851</x:v>
      </x:c>
      <x:c r="L258" s="6" t="n">
        <x:f>N29</x:f>
        <x:v>0</x:v>
      </x:c>
      <x:c r="M258" s="6" t="n">
        <x:f>O29</x:f>
        <x:v>35.42132013630185</x:v>
      </x:c>
      <x:c r="N258" s="6" t="n">
        <x:f>P29</x:f>
        <x:v>0</x:v>
      </x:c>
      <x:c r="O258" s="6" t="n">
        <x:f>Q29</x:f>
        <x:v>61.31844671891721</x:v>
      </x:c>
      <x:c r="P258" s="99"/>
      <x:c r="Q258" s="99"/>
    </x:row>
    <x:row r="259">
      <x:c r="C259" s="6" t="str">
        <x:v>2009-12</x:v>
      </x:c>
      <x:c r="D259" s="6" t="n">
        <x:f>F30</x:f>
        <x:v>70.80443096114776</x:v>
      </x:c>
      <x:c r="E259" s="6" t="n">
        <x:f>G30</x:f>
        <x:v>19.286839980187494</x:v>
      </x:c>
      <x:c r="F259" s="6" t="n">
        <x:f>H30</x:f>
        <x:v>46.88085809363374</x:v>
      </x:c>
      <x:c r="G259" s="6" t="n">
        <x:f>I30</x:f>
        <x:v>29.30935322140741</x:v>
      </x:c>
      <x:c r="H259" s="6" t="n">
        <x:f>J30</x:f>
        <x:v>80.84287405019654</x:v>
      </x:c>
      <x:c r="I259" s="6" t="n">
        <x:f>K30</x:f>
        <x:v>42.37761093316384</x:v>
      </x:c>
      <x:c r="J259" s="6" t="n">
        <x:f>L30</x:f>
        <x:v>0</x:v>
      </x:c>
      <x:c r="K259" s="6" t="n">
        <x:f>M30</x:f>
        <x:v>32.901588439646154</x:v>
      </x:c>
      <x:c r="L259" s="6" t="n">
        <x:f>N30</x:f>
        <x:v>0</x:v>
      </x:c>
      <x:c r="M259" s="6" t="n">
        <x:f>O30</x:f>
        <x:v>35.83183888174091</x:v>
      </x:c>
      <x:c r="N259" s="6" t="n">
        <x:f>P30</x:f>
        <x:v>0</x:v>
      </x:c>
      <x:c r="O259" s="6" t="n">
        <x:f>Q30</x:f>
        <x:v>62.88387002820306</x:v>
      </x:c>
      <x:c r="P259" s="99"/>
      <x:c r="Q259" s="99"/>
    </x:row>
    <x:row r="260">
      <x:c r="C260" s="6" t="str">
        <x:v>2010-01</x:v>
      </x:c>
      <x:c r="D260" s="6" t="n">
        <x:f>F31</x:f>
        <x:v>68.72509909530027</x:v>
      </x:c>
      <x:c r="E260" s="6" t="n">
        <x:f>G31</x:f>
        <x:v>16.029295300590164</x:v>
      </x:c>
      <x:c r="F260" s="6" t="n">
        <x:f>H31</x:f>
        <x:v>50.70357213566885</x:v>
      </x:c>
      <x:c r="G260" s="6" t="n">
        <x:f>I31</x:f>
        <x:v>27.389479752259867</x:v>
      </x:c>
      <x:c r="H260" s="6" t="n">
        <x:f>J31</x:f>
        <x:v>79.05888196088605</x:v>
      </x:c>
      <x:c r="I260" s="6" t="n">
        <x:f>K31</x:f>
        <x:v>40.31793371358104</x:v>
      </x:c>
      <x:c r="J260" s="6" t="n">
        <x:f>L31</x:f>
        <x:v>0</x:v>
      </x:c>
      <x:c r="K260" s="6" t="n">
        <x:f>M31</x:f>
        <x:v>28.692170129357624</x:v>
      </x:c>
      <x:c r="L260" s="6" t="n">
        <x:f>N31</x:f>
        <x:v>0</x:v>
      </x:c>
      <x:c r="M260" s="6" t="n">
        <x:f>O31</x:f>
        <x:v>41.218663112726404</x:v>
      </x:c>
      <x:c r="N260" s="6" t="n">
        <x:f>P31</x:f>
        <x:v>0</x:v>
      </x:c>
      <x:c r="O260" s="6" t="n">
        <x:f>Q31</x:f>
        <x:v>65.25073446222332</x:v>
      </x:c>
      <x:c r="P260" s="99"/>
      <x:c r="Q260" s="99"/>
    </x:row>
    <x:row r="261">
      <x:c r="C261" s="6" t="str">
        <x:v>2010-02</x:v>
      </x:c>
      <x:c r="D261" s="6" t="n">
        <x:f>F32</x:f>
        <x:v>68.98381580464718</x:v>
      </x:c>
      <x:c r="E261" s="6" t="n">
        <x:f>G32</x:f>
        <x:v>16.026642845006197</x:v>
      </x:c>
      <x:c r="F261" s="6" t="n">
        <x:f>H32</x:f>
        <x:v>52.71184959112273</x:v>
      </x:c>
      <x:c r="G261" s="6" t="n">
        <x:f>I32</x:f>
        <x:v>28.140017900201002</x:v>
      </x:c>
      <x:c r="H261" s="6" t="n">
        <x:f>J32</x:f>
        <x:v>77.18439248024904</x:v>
      </x:c>
      <x:c r="I261" s="6" t="n">
        <x:f>K32</x:f>
        <x:v>42.123953375762106</x:v>
      </x:c>
      <x:c r="J261" s="6" t="n">
        <x:f>L32</x:f>
        <x:v>0</x:v>
      </x:c>
      <x:c r="K261" s="6" t="n">
        <x:f>M32</x:f>
        <x:v>27.43446434930647</x:v>
      </x:c>
      <x:c r="L261" s="6" t="n">
        <x:f>N32</x:f>
        <x:v>0</x:v>
      </x:c>
      <x:c r="M261" s="6" t="n">
        <x:f>O32</x:f>
        <x:v>42.140942551025454</x:v>
      </x:c>
      <x:c r="N261" s="6" t="n">
        <x:f>P32</x:f>
        <x:v>0</x:v>
      </x:c>
      <x:c r="O261" s="6" t="n">
        <x:f>Q32</x:f>
        <x:v>61.3977900492523</x:v>
      </x:c>
      <x:c r="P261" s="99"/>
      <x:c r="Q261" s="99"/>
    </x:row>
    <x:row r="262">
      <x:c r="C262" s="6" t="str">
        <x:v>2010-03</x:v>
      </x:c>
      <x:c r="D262" s="6" t="n">
        <x:f>F33</x:f>
        <x:v>76.65328470414312</x:v>
      </x:c>
      <x:c r="E262" s="6" t="n">
        <x:f>G33</x:f>
        <x:v>16.199860099695123</x:v>
      </x:c>
      <x:c r="F262" s="6" t="n">
        <x:f>H33</x:f>
        <x:v>53.38361983372787</x:v>
      </x:c>
      <x:c r="G262" s="6" t="n">
        <x:f>I33</x:f>
        <x:v>27.005908433683818</x:v>
      </x:c>
      <x:c r="H262" s="6" t="n">
        <x:f>J33</x:f>
        <x:v>79.07047109822737</x:v>
      </x:c>
      <x:c r="I262" s="6" t="n">
        <x:f>K33</x:f>
        <x:v>43.201234239717124</x:v>
      </x:c>
      <x:c r="J262" s="6" t="n">
        <x:f>L33</x:f>
        <x:v>0</x:v>
      </x:c>
      <x:c r="K262" s="6" t="n">
        <x:f>M33</x:f>
        <x:v>26.936039195495542</x:v>
      </x:c>
      <x:c r="L262" s="6" t="n">
        <x:f>N33</x:f>
        <x:v>0</x:v>
      </x:c>
      <x:c r="M262" s="6" t="n">
        <x:f>O33</x:f>
        <x:v>52.80065886175523</x:v>
      </x:c>
      <x:c r="N262" s="6" t="n">
        <x:f>P33</x:f>
        <x:v>0</x:v>
      </x:c>
      <x:c r="O262" s="6" t="n">
        <x:f>Q33</x:f>
        <x:v>68.32132735806515</x:v>
      </x:c>
      <x:c r="P262" s="99"/>
      <x:c r="Q262" s="99"/>
    </x:row>
    <x:row r="263">
      <x:c r="C263" s="6" t="str">
        <x:v>2010-04</x:v>
      </x:c>
      <x:c r="D263" s="6" t="n">
        <x:f>F34</x:f>
        <x:v>78.2009178355586</x:v>
      </x:c>
      <x:c r="E263" s="6" t="n">
        <x:f>G34</x:f>
        <x:v>16.97296080952249</x:v>
      </x:c>
      <x:c r="F263" s="6" t="n">
        <x:f>H34</x:f>
        <x:v>54.02335903928706</x:v>
      </x:c>
      <x:c r="G263" s="6" t="n">
        <x:f>I34</x:f>
        <x:v>28.018076464564263</x:v>
      </x:c>
      <x:c r="H263" s="6" t="n">
        <x:f>J34</x:f>
        <x:v>80.76879350307223</x:v>
      </x:c>
      <x:c r="I263" s="6" t="n">
        <x:f>K34</x:f>
        <x:v>43.054475655359894</x:v>
      </x:c>
      <x:c r="J263" s="6" t="n">
        <x:f>L34</x:f>
        <x:v>0</x:v>
      </x:c>
      <x:c r="K263" s="6" t="n">
        <x:f>M34</x:f>
        <x:v>26.62988590820994</x:v>
      </x:c>
      <x:c r="L263" s="6" t="n">
        <x:f>N34</x:f>
        <x:v>0</x:v>
      </x:c>
      <x:c r="M263" s="6" t="n">
        <x:f>O34</x:f>
        <x:v>55.98794431853445</x:v>
      </x:c>
      <x:c r="N263" s="6" t="n">
        <x:f>P34</x:f>
        <x:v>0</x:v>
      </x:c>
      <x:c r="O263" s="6" t="n">
        <x:f>Q34</x:f>
        <x:v>65.91979001159422</x:v>
      </x:c>
      <x:c r="P263" s="99"/>
      <x:c r="Q263" s="99"/>
    </x:row>
    <x:row r="264">
      <x:c r="C264" s="6" t="str">
        <x:v>2010-05</x:v>
      </x:c>
      <x:c r="D264" s="6" t="n">
        <x:f>F35</x:f>
        <x:v>73.04908055339754</x:v>
      </x:c>
      <x:c r="E264" s="6" t="n">
        <x:f>G35</x:f>
        <x:v>16.21331102566538</x:v>
      </x:c>
      <x:c r="F264" s="6" t="n">
        <x:f>H35</x:f>
        <x:v>56.7512925113916</x:v>
      </x:c>
      <x:c r="G264" s="6" t="n">
        <x:f>I35</x:f>
        <x:v>28.0748869190276</x:v>
      </x:c>
      <x:c r="H264" s="6" t="n">
        <x:f>J35</x:f>
        <x:v>73.8574695827949</x:v>
      </x:c>
      <x:c r="I264" s="6" t="n">
        <x:f>K35</x:f>
        <x:v>37.88340565685081</x:v>
      </x:c>
      <x:c r="J264" s="6" t="n">
        <x:f>L35</x:f>
        <x:v>0</x:v>
      </x:c>
      <x:c r="K264" s="6" t="n">
        <x:f>M35</x:f>
        <x:v>24.28295487880895</x:v>
      </x:c>
      <x:c r="L264" s="6" t="n">
        <x:f>N35</x:f>
        <x:v>0</x:v>
      </x:c>
      <x:c r="M264" s="6" t="n">
        <x:f>O35</x:f>
        <x:v>62.67270446006984</x:v>
      </x:c>
      <x:c r="N264" s="6" t="n">
        <x:f>P35</x:f>
        <x:v>0</x:v>
      </x:c>
      <x:c r="O264" s="6" t="n">
        <x:f>Q35</x:f>
        <x:v>66.89173498408765</x:v>
      </x:c>
      <x:c r="P264" s="99"/>
      <x:c r="Q264" s="99"/>
    </x:row>
    <x:row r="265">
      <x:c r="C265" s="6" t="str">
        <x:v>2010-06</x:v>
      </x:c>
      <x:c r="D265" s="6" t="n">
        <x:f>F36</x:f>
        <x:v>70.91859973368419</x:v>
      </x:c>
      <x:c r="E265" s="6" t="n">
        <x:f>G36</x:f>
        <x:v>18.606670535467526</x:v>
      </x:c>
      <x:c r="F265" s="6" t="n">
        <x:f>H36</x:f>
        <x:v>59.35033531349352</x:v>
      </x:c>
      <x:c r="G265" s="6" t="n">
        <x:f>I36</x:f>
        <x:v>28.51763686218754</x:v>
      </x:c>
      <x:c r="H265" s="6" t="n">
        <x:f>J36</x:f>
        <x:v>73.4522984965967</x:v>
      </x:c>
      <x:c r="I265" s="6" t="n">
        <x:f>K36</x:f>
        <x:v>37.97171484052457</x:v>
      </x:c>
      <x:c r="J265" s="6" t="n">
        <x:f>L36</x:f>
        <x:v>0</x:v>
      </x:c>
      <x:c r="K265" s="6" t="n">
        <x:f>M36</x:f>
        <x:v>25.262575711133838</x:v>
      </x:c>
      <x:c r="L265" s="6" t="n">
        <x:f>N36</x:f>
        <x:v>0</x:v>
      </x:c>
      <x:c r="M265" s="6" t="n">
        <x:f>O36</x:f>
        <x:v>63.75802930775446</x:v>
      </x:c>
      <x:c r="N265" s="6" t="n">
        <x:f>P36</x:f>
        <x:v>0</x:v>
      </x:c>
      <x:c r="O265" s="6" t="n">
        <x:f>Q36</x:f>
        <x:v>64.59345349414968</x:v>
      </x:c>
      <x:c r="P265" s="99"/>
      <x:c r="Q265" s="99"/>
    </x:row>
    <x:row r="266">
      <x:c r="C266" s="6" t="str">
        <x:v>2010-07</x:v>
      </x:c>
      <x:c r="D266" s="6" t="n">
        <x:f>F37</x:f>
        <x:v>72.16504041584511</x:v>
      </x:c>
      <x:c r="E266" s="6" t="n">
        <x:f>G37</x:f>
        <x:v>17.539223001640973</x:v>
      </x:c>
      <x:c r="F266" s="6" t="n">
        <x:f>H37</x:f>
        <x:v>61.9508819976913</x:v>
      </x:c>
      <x:c r="G266" s="6" t="n">
        <x:f>I37</x:f>
        <x:v>29.522013672612964</x:v>
      </x:c>
      <x:c r="H266" s="6" t="n">
        <x:f>J37</x:f>
        <x:v>73.71071676712255</x:v>
      </x:c>
      <x:c r="I266" s="6" t="n">
        <x:f>K37</x:f>
        <x:v>40.10732923969878</x:v>
      </x:c>
      <x:c r="J266" s="6" t="n">
        <x:f>L37</x:f>
        <x:v>0</x:v>
      </x:c>
      <x:c r="K266" s="6" t="n">
        <x:f>M37</x:f>
        <x:v>25.05003621776615</x:v>
      </x:c>
      <x:c r="L266" s="6" t="n">
        <x:f>N37</x:f>
        <x:v>0</x:v>
      </x:c>
      <x:c r="M266" s="6" t="n">
        <x:f>O37</x:f>
        <x:v>68.00705268392873</x:v>
      </x:c>
      <x:c r="N266" s="6" t="n">
        <x:f>P37</x:f>
        <x:v>0</x:v>
      </x:c>
      <x:c r="O266" s="6" t="n">
        <x:f>Q37</x:f>
        <x:v>66.4733902494831</x:v>
      </x:c>
      <x:c r="P266" s="99"/>
      <x:c r="Q266" s="99"/>
    </x:row>
    <x:row r="267">
      <x:c r="C267" s="6" t="str">
        <x:v>2010-08</x:v>
      </x:c>
      <x:c r="D267" s="6" t="n">
        <x:f>F38</x:f>
        <x:v>74.44993334787473</x:v>
      </x:c>
      <x:c r="E267" s="6" t="n">
        <x:f>G38</x:f>
        <x:v>18.593232393202968</x:v>
      </x:c>
      <x:c r="F267" s="6" t="n">
        <x:f>H38</x:f>
        <x:v>65.22492179465354</x:v>
      </x:c>
      <x:c r="G267" s="6" t="n">
        <x:f>I38</x:f>
        <x:v>30.67456528810831</x:v>
      </x:c>
      <x:c r="H267" s="6" t="n">
        <x:f>J38</x:f>
        <x:v>70.97869382729803</x:v>
      </x:c>
      <x:c r="I267" s="6" t="n">
        <x:f>K38</x:f>
        <x:v>40.276121672142274</x:v>
      </x:c>
      <x:c r="J267" s="6" t="n">
        <x:f>L38</x:f>
        <x:v>0</x:v>
      </x:c>
      <x:c r="K267" s="6" t="n">
        <x:f>M38</x:f>
        <x:v>25.24774675105882</x:v>
      </x:c>
      <x:c r="L267" s="6" t="n">
        <x:f>N38</x:f>
        <x:v>0</x:v>
      </x:c>
      <x:c r="M267" s="6" t="n">
        <x:f>O38</x:f>
        <x:v>75.09134877798593</x:v>
      </x:c>
      <x:c r="N267" s="6" t="n">
        <x:f>P38</x:f>
        <x:v>0</x:v>
      </x:c>
      <x:c r="O267" s="6" t="n">
        <x:f>Q38</x:f>
        <x:v>65.90744851322718</x:v>
      </x:c>
      <x:c r="P267" s="99"/>
      <x:c r="Q267" s="99"/>
    </x:row>
    <x:row r="268">
      <x:c r="C268" s="6" t="str">
        <x:v>2010-09</x:v>
      </x:c>
      <x:c r="D268" s="6" t="n">
        <x:f>F39</x:f>
        <x:v>81.0451495840498</x:v>
      </x:c>
      <x:c r="E268" s="6" t="n">
        <x:f>G39</x:f>
        <x:v>19.068082815261437</x:v>
      </x:c>
      <x:c r="F268" s="6" t="n">
        <x:f>H39</x:f>
        <x:v>67.20201333777743</x:v>
      </x:c>
      <x:c r="G268" s="6" t="n">
        <x:f>I39</x:f>
        <x:v>26.841302870888374</x:v>
      </x:c>
      <x:c r="H268" s="6" t="n">
        <x:f>J39</x:f>
        <x:v>69.73092111200201</x:v>
      </x:c>
      <x:c r="I268" s="6" t="n">
        <x:f>K39</x:f>
        <x:v>43.32155748992265</x:v>
      </x:c>
      <x:c r="J268" s="6" t="n">
        <x:f>L39</x:f>
        <x:v>0</x:v>
      </x:c>
      <x:c r="K268" s="6" t="n">
        <x:f>M39</x:f>
        <x:v>28.12723739296594</x:v>
      </x:c>
      <x:c r="L268" s="6" t="n">
        <x:f>N39</x:f>
        <x:v>0</x:v>
      </x:c>
      <x:c r="M268" s="6" t="n">
        <x:f>O39</x:f>
        <x:v>79.81108313354137</x:v>
      </x:c>
      <x:c r="N268" s="6" t="n">
        <x:f>P39</x:f>
        <x:v>0</x:v>
      </x:c>
      <x:c r="O268" s="6" t="n">
        <x:f>Q39</x:f>
        <x:v>67.48022971064869</x:v>
      </x:c>
      <x:c r="P268" s="99"/>
      <x:c r="Q268" s="99"/>
    </x:row>
    <x:row r="269">
      <x:c r="C269" s="6" t="str">
        <x:v>2010-10</x:v>
      </x:c>
      <x:c r="D269" s="6" t="n">
        <x:f>F40</x:f>
        <x:v>82.35794703659795</x:v>
      </x:c>
      <x:c r="E269" s="6" t="n">
        <x:f>G40</x:f>
        <x:v>23.412118433370217</x:v>
      </x:c>
      <x:c r="F269" s="6" t="n">
        <x:f>H40</x:f>
        <x:v>70.14910548466393</x:v>
      </x:c>
      <x:c r="G269" s="6" t="n">
        <x:f>I40</x:f>
        <x:v>29.156319108858586</x:v>
      </x:c>
      <x:c r="H269" s="6" t="n">
        <x:f>J40</x:f>
        <x:v>70.5618094725593</x:v>
      </x:c>
      <x:c r="I269" s="6" t="n">
        <x:f>K40</x:f>
        <x:v>44.29908535846616</x:v>
      </x:c>
      <x:c r="J269" s="6" t="n">
        <x:f>L40</x:f>
        <x:v>0</x:v>
      </x:c>
      <x:c r="K269" s="6" t="n">
        <x:f>M40</x:f>
        <x:v>29.644950290450662</x:v>
      </x:c>
      <x:c r="L269" s="6" t="n">
        <x:f>N40</x:f>
        <x:v>0</x:v>
      </x:c>
      <x:c r="M269" s="6" t="n">
        <x:f>O40</x:f>
        <x:v>82.89126910425715</x:v>
      </x:c>
      <x:c r="N269" s="6" t="n">
        <x:f>P40</x:f>
        <x:v>0</x:v>
      </x:c>
      <x:c r="O269" s="6" t="n">
        <x:f>Q40</x:f>
        <x:v>68.86199509956586</x:v>
      </x:c>
      <x:c r="P269" s="99"/>
      <x:c r="Q269" s="99"/>
    </x:row>
    <x:row r="270">
      <x:c r="C270" s="6" t="str">
        <x:v>2010-11</x:v>
      </x:c>
      <x:c r="D270" s="6" t="n">
        <x:f>F41</x:f>
        <x:v>85.39163773283157</x:v>
      </x:c>
      <x:c r="E270" s="6" t="n">
        <x:f>G41</x:f>
        <x:v>24.623973886220753</x:v>
      </x:c>
      <x:c r="F270" s="6" t="n">
        <x:f>H41</x:f>
        <x:v>72.49245971003693</x:v>
      </x:c>
      <x:c r="G270" s="6" t="n">
        <x:f>I41</x:f>
        <x:v>30.251269585887446</x:v>
      </x:c>
      <x:c r="H270" s="6" t="n">
        <x:f>J41</x:f>
        <x:v>72.43465867536266</x:v>
      </x:c>
      <x:c r="I270" s="6" t="n">
        <x:f>K41</x:f>
        <x:v>45.20749811044744</x:v>
      </x:c>
      <x:c r="J270" s="6" t="n">
        <x:f>L41</x:f>
        <x:v>0</x:v>
      </x:c>
      <x:c r="K270" s="6" t="n">
        <x:f>M41</x:f>
        <x:v>31.087280647184667</x:v>
      </x:c>
      <x:c r="L270" s="6" t="n">
        <x:f>N41</x:f>
        <x:v>0</x:v>
      </x:c>
      <x:c r="M270" s="6" t="n">
        <x:f>O41</x:f>
        <x:v>87.79469427274603</x:v>
      </x:c>
      <x:c r="N270" s="6" t="n">
        <x:f>P41</x:f>
        <x:v>0</x:v>
      </x:c>
      <x:c r="O270" s="6" t="n">
        <x:f>Q41</x:f>
        <x:v>68.57346525457369</x:v>
      </x:c>
      <x:c r="P270" s="99"/>
      <x:c r="Q270" s="99"/>
    </x:row>
    <x:row r="271">
      <x:c r="C271" s="6" t="str">
        <x:v>2010-12</x:v>
      </x:c>
      <x:c r="D271" s="6" t="n">
        <x:f>F42</x:f>
        <x:v>89.50420694309157</x:v>
      </x:c>
      <x:c r="E271" s="6" t="n">
        <x:f>G42</x:f>
        <x:v>25.364088404374343</x:v>
      </x:c>
      <x:c r="F271" s="6" t="n">
        <x:f>H42</x:f>
        <x:v>74.95779086425645</x:v>
      </x:c>
      <x:c r="G271" s="6" t="n">
        <x:f>I42</x:f>
        <x:v>31.513815912170333</x:v>
      </x:c>
      <x:c r="H271" s="6" t="n">
        <x:f>J42</x:f>
        <x:v>76.60745358935073</x:v>
      </x:c>
      <x:c r="I271" s="6" t="n">
        <x:f>K42</x:f>
        <x:v>45.94537247607687</x:v>
      </x:c>
      <x:c r="J271" s="6" t="n">
        <x:f>L42</x:f>
        <x:v>0</x:v>
      </x:c>
      <x:c r="K271" s="6" t="n">
        <x:f>M42</x:f>
        <x:v>35.4644296925694</x:v>
      </x:c>
      <x:c r="L271" s="6" t="n">
        <x:f>N42</x:f>
        <x:v>0</x:v>
      </x:c>
      <x:c r="M271" s="6" t="n">
        <x:f>O42</x:f>
        <x:v>88.68522333789613</x:v>
      </x:c>
      <x:c r="N271" s="6" t="n">
        <x:f>P42</x:f>
        <x:v>0</x:v>
      </x:c>
      <x:c r="O271" s="6" t="n">
        <x:f>Q42</x:f>
        <x:v>63.60575304797518</x:v>
      </x:c>
      <x:c r="P271" s="99"/>
      <x:c r="Q271" s="99"/>
    </x:row>
    <x:row r="272">
      <x:c r="C272" s="6" t="str">
        <x:v>2011-01</x:v>
      </x:c>
      <x:c r="D272" s="6" t="n">
        <x:f>F43</x:f>
        <x:v>93.622474823225</x:v>
      </x:c>
      <x:c r="E272" s="6" t="n">
        <x:f>G43</x:f>
        <x:v>26.411578991914457</x:v>
      </x:c>
      <x:c r="F272" s="6" t="n">
        <x:f>H43</x:f>
        <x:v>76.56278338087425</x:v>
      </x:c>
      <x:c r="G272" s="6" t="n">
        <x:f>I43</x:f>
        <x:v>28.644926981978386</x:v>
      </x:c>
      <x:c r="H272" s="6" t="n">
        <x:f>J43</x:f>
        <x:v>74.87206101814658</x:v>
      </x:c>
      <x:c r="I272" s="6" t="n">
        <x:f>K43</x:f>
        <x:v>47.66856207139196</x:v>
      </x:c>
      <x:c r="J272" s="6" t="n">
        <x:f>L43</x:f>
        <x:v>65.79809670280162</x:v>
      </x:c>
      <x:c r="K272" s="6" t="n">
        <x:f>M43</x:f>
        <x:v>35.84193178623903</x:v>
      </x:c>
      <x:c r="L272" s="6" t="n">
        <x:f>N43</x:f>
        <x:v>0</x:v>
      </x:c>
      <x:c r="M272" s="6" t="n">
        <x:f>O43</x:f>
        <x:v>90.46033252384574</x:v>
      </x:c>
      <x:c r="N272" s="6" t="n">
        <x:f>P43</x:f>
        <x:v>0</x:v>
      </x:c>
      <x:c r="O272" s="6" t="n">
        <x:f>Q43</x:f>
        <x:v>64.75280637665233</x:v>
      </x:c>
      <x:c r="P272" s="99"/>
      <x:c r="Q272" s="99"/>
    </x:row>
    <x:row r="273">
      <x:c r="C273" s="6" t="str">
        <x:v>2011-02</x:v>
      </x:c>
      <x:c r="D273" s="6" t="n">
        <x:f>F44</x:f>
        <x:v>95.42530018945182</x:v>
      </x:c>
      <x:c r="E273" s="6" t="n">
        <x:f>G44</x:f>
        <x:v>26.756669097271956</x:v>
      </x:c>
      <x:c r="F273" s="6" t="n">
        <x:f>H44</x:f>
        <x:v>77.63348685828292</x:v>
      </x:c>
      <x:c r="G273" s="6" t="n">
        <x:f>I44</x:f>
        <x:v>28.86227113007508</x:v>
      </x:c>
      <x:c r="H273" s="6" t="n">
        <x:f>J44</x:f>
        <x:v>73.39375258602365</x:v>
      </x:c>
      <x:c r="I273" s="6" t="n">
        <x:f>K44</x:f>
        <x:v>48.84500169653052</x:v>
      </x:c>
      <x:c r="J273" s="6" t="n">
        <x:f>L44</x:f>
        <x:v>65.78039971889963</x:v>
      </x:c>
      <x:c r="K273" s="6" t="n">
        <x:f>M44</x:f>
        <x:v>35.889022275311156</x:v>
      </x:c>
      <x:c r="L273" s="6" t="n">
        <x:f>N44</x:f>
        <x:v>0</x:v>
      </x:c>
      <x:c r="M273" s="6" t="n">
        <x:f>O44</x:f>
        <x:v>92.78206710073856</x:v>
      </x:c>
      <x:c r="N273" s="6" t="n">
        <x:f>P44</x:f>
        <x:v>0</x:v>
      </x:c>
      <x:c r="O273" s="6" t="n">
        <x:f>Q44</x:f>
        <x:v>69.38813861073078</x:v>
      </x:c>
      <x:c r="P273" s="99"/>
      <x:c r="Q273" s="99"/>
    </x:row>
    <x:row r="274">
      <x:c r="C274" s="6" t="str">
        <x:v>2011-03</x:v>
      </x:c>
      <x:c r="D274" s="6" t="n">
        <x:f>F45</x:f>
        <x:v>93.87492585304071</x:v>
      </x:c>
      <x:c r="E274" s="6" t="n">
        <x:f>G45</x:f>
        <x:v>27.756929231343076</x:v>
      </x:c>
      <x:c r="F274" s="6" t="n">
        <x:f>H45</x:f>
        <x:v>76.77438341541573</x:v>
      </x:c>
      <x:c r="G274" s="6" t="n">
        <x:f>I45</x:f>
        <x:v>29.71050859725633</x:v>
      </x:c>
      <x:c r="H274" s="6" t="n">
        <x:f>J45</x:f>
        <x:v>74.12585444443309</x:v>
      </x:c>
      <x:c r="I274" s="6" t="n">
        <x:f>K45</x:f>
        <x:v>48.97387046716648</x:v>
      </x:c>
      <x:c r="J274" s="6" t="n">
        <x:f>L45</x:f>
        <x:v>65.22799872976903</x:v>
      </x:c>
      <x:c r="K274" s="6" t="n">
        <x:f>M45</x:f>
        <x:v>36.41181464453983</x:v>
      </x:c>
      <x:c r="L274" s="6" t="n">
        <x:f>N45</x:f>
        <x:v>0</x:v>
      </x:c>
      <x:c r="M274" s="6" t="n">
        <x:f>O45</x:f>
        <x:v>90.94334583487006</x:v>
      </x:c>
      <x:c r="N274" s="6" t="n">
        <x:f>P45</x:f>
        <x:v>0</x:v>
      </x:c>
      <x:c r="O274" s="6" t="n">
        <x:f>Q45</x:f>
        <x:v>67.364393648597</x:v>
      </x:c>
      <x:c r="P274" s="99"/>
      <x:c r="Q274" s="99"/>
    </x:row>
    <x:row r="275">
      <x:c r="C275" s="6" t="str">
        <x:v>2011-04</x:v>
      </x:c>
      <x:c r="D275" s="6" t="n">
        <x:f>F46</x:f>
        <x:v>93.60278297206813</x:v>
      </x:c>
      <x:c r="E275" s="6" t="n">
        <x:f>G46</x:f>
        <x:v>28.98818906892217</x:v>
      </x:c>
      <x:c r="F275" s="6" t="n">
        <x:f>H46</x:f>
        <x:v>72.54068471003586</x:v>
      </x:c>
      <x:c r="G275" s="6" t="n">
        <x:f>I46</x:f>
        <x:v>30.879799447942784</x:v>
      </x:c>
      <x:c r="H275" s="6" t="n">
        <x:f>J46</x:f>
        <x:v>75.43647119440867</x:v>
      </x:c>
      <x:c r="I275" s="6" t="n">
        <x:f>K46</x:f>
        <x:v>48.38345562750071</x:v>
      </x:c>
      <x:c r="J275" s="6" t="n">
        <x:f>L46</x:f>
        <x:v>66.63635870735416</x:v>
      </x:c>
      <x:c r="K275" s="6" t="n">
        <x:f>M46</x:f>
        <x:v>38.86874412617038</x:v>
      </x:c>
      <x:c r="L275" s="6" t="n">
        <x:f>N46</x:f>
        <x:v>0</x:v>
      </x:c>
      <x:c r="M275" s="6" t="n">
        <x:f>O46</x:f>
        <x:v>96.20903008055065</x:v>
      </x:c>
      <x:c r="N275" s="6" t="n">
        <x:f>P46</x:f>
        <x:v>0</x:v>
      </x:c>
      <x:c r="O275" s="6" t="n">
        <x:f>Q46</x:f>
        <x:v>66.00796566259287</x:v>
      </x:c>
      <x:c r="P275" s="99"/>
      <x:c r="Q275" s="99"/>
    </x:row>
    <x:row r="276">
      <x:c r="C276" s="6" t="str">
        <x:v>2011-05</x:v>
      </x:c>
      <x:c r="D276" s="6" t="n">
        <x:f>F47</x:f>
        <x:v>88.79510927103283</x:v>
      </x:c>
      <x:c r="E276" s="6" t="n">
        <x:f>G47</x:f>
        <x:v>30.946328319484717</x:v>
      </x:c>
      <x:c r="F276" s="6" t="n">
        <x:f>H47</x:f>
        <x:v>74.32862726360308</x:v>
      </x:c>
      <x:c r="G276" s="6" t="n">
        <x:f>I47</x:f>
        <x:v>35.71382605336099</x:v>
      </x:c>
      <x:c r="H276" s="6" t="n">
        <x:f>J47</x:f>
        <x:v>73.02309729747888</x:v>
      </x:c>
      <x:c r="I276" s="6" t="n">
        <x:f>K47</x:f>
        <x:v>44.653988735116236</x:v>
      </x:c>
      <x:c r="J276" s="6" t="n">
        <x:f>L47</x:f>
        <x:v>65.60745752913384</x:v>
      </x:c>
      <x:c r="K276" s="6" t="n">
        <x:f>M47</x:f>
        <x:v>37.667794795973094</x:v>
      </x:c>
      <x:c r="L276" s="6" t="n">
        <x:f>N47</x:f>
        <x:v>0</x:v>
      </x:c>
      <x:c r="M276" s="6" t="n">
        <x:f>O47</x:f>
        <x:v>93.00900733311954</x:v>
      </x:c>
      <x:c r="N276" s="6" t="n">
        <x:f>P47</x:f>
        <x:v>0</x:v>
      </x:c>
      <x:c r="O276" s="6" t="n">
        <x:f>Q47</x:f>
        <x:v>63.97974783223713</x:v>
      </x:c>
      <x:c r="P276" s="99"/>
      <x:c r="Q276" s="99"/>
    </x:row>
    <x:row r="277">
      <x:c r="C277" s="6" t="str">
        <x:v>2011-06</x:v>
      </x:c>
      <x:c r="D277" s="6" t="n">
        <x:f>F48</x:f>
        <x:v>95.37572666649791</x:v>
      </x:c>
      <x:c r="E277" s="6" t="n">
        <x:f>G48</x:f>
        <x:v>56.029803710757584</x:v>
      </x:c>
      <x:c r="F277" s="6" t="n">
        <x:f>H48</x:f>
        <x:v>74.08083825042976</x:v>
      </x:c>
      <x:c r="G277" s="6" t="n">
        <x:f>I48</x:f>
        <x:v>36.8096890402661</x:v>
      </x:c>
      <x:c r="H277" s="6" t="n">
        <x:f>J48</x:f>
        <x:v>77.53589230897572</x:v>
      </x:c>
      <x:c r="I277" s="6" t="n">
        <x:f>K48</x:f>
        <x:v>52.08804021731576</x:v>
      </x:c>
      <x:c r="J277" s="6" t="n">
        <x:f>L48</x:f>
        <x:v>62.33057844614699</x:v>
      </x:c>
      <x:c r="K277" s="6" t="n">
        <x:f>M48</x:f>
        <x:v>37.24650311671554</x:v>
      </x:c>
      <x:c r="L277" s="6" t="n">
        <x:f>N48</x:f>
        <x:v>0</x:v>
      </x:c>
      <x:c r="M277" s="6" t="n">
        <x:f>O48</x:f>
        <x:v>96.86372866605622</x:v>
      </x:c>
      <x:c r="N277" s="6" t="n">
        <x:f>P48</x:f>
        <x:v>0</x:v>
      </x:c>
      <x:c r="O277" s="6" t="n">
        <x:f>Q48</x:f>
        <x:v>65.54852829012171</x:v>
      </x:c>
      <x:c r="P277" s="99"/>
      <x:c r="Q277" s="99"/>
    </x:row>
    <x:row r="278">
      <x:c r="C278" s="6" t="str">
        <x:v>2011-07</x:v>
      </x:c>
      <x:c r="D278" s="6" t="n">
        <x:f>F49</x:f>
        <x:v>100.05162176107278</x:v>
      </x:c>
      <x:c r="E278" s="6" t="n">
        <x:f>G49</x:f>
        <x:v>68.68181463704228</x:v>
      </x:c>
      <x:c r="F278" s="6" t="n">
        <x:f>H49</x:f>
        <x:v>74.01185274109095</x:v>
      </x:c>
      <x:c r="G278" s="6" t="n">
        <x:f>I49</x:f>
        <x:v>36.51254598306991</x:v>
      </x:c>
      <x:c r="H278" s="6" t="n">
        <x:f>J49</x:f>
        <x:v>81.59881899801822</x:v>
      </x:c>
      <x:c r="I278" s="6" t="n">
        <x:f>K49</x:f>
        <x:v>51.33810643486755</x:v>
      </x:c>
      <x:c r="J278" s="6" t="n">
        <x:f>L49</x:f>
        <x:v>64.75577920281684</x:v>
      </x:c>
      <x:c r="K278" s="6" t="n">
        <x:f>M49</x:f>
        <x:v>35.7504552522517</x:v>
      </x:c>
      <x:c r="L278" s="6" t="n">
        <x:f>N49</x:f>
        <x:v>0</x:v>
      </x:c>
      <x:c r="M278" s="6" t="n">
        <x:f>O49</x:f>
        <x:v>101.73935331853745</x:v>
      </x:c>
      <x:c r="N278" s="6" t="n">
        <x:f>P49</x:f>
        <x:v>0</x:v>
      </x:c>
      <x:c r="O278" s="6" t="n">
        <x:f>Q49</x:f>
        <x:v>64.26650463245964</x:v>
      </x:c>
      <x:c r="P278" s="99"/>
      <x:c r="Q278" s="99"/>
    </x:row>
    <x:row r="279">
      <x:c r="C279" s="6" t="str">
        <x:v>2011-08</x:v>
      </x:c>
      <x:c r="D279" s="6" t="n">
        <x:f>F50</x:f>
        <x:v>95.7762546813522</x:v>
      </x:c>
      <x:c r="E279" s="6" t="n">
        <x:f>G50</x:f>
        <x:v>70.2008593711551</x:v>
      </x:c>
      <x:c r="F279" s="6" t="n">
        <x:f>H50</x:f>
        <x:v>72.31433466343402</x:v>
      </x:c>
      <x:c r="G279" s="6" t="n">
        <x:f>I50</x:f>
        <x:v>42.500766976675166</x:v>
      </x:c>
      <x:c r="H279" s="6" t="n">
        <x:f>J50</x:f>
        <x:v>84.59019218178018</x:v>
      </x:c>
      <x:c r="I279" s="6" t="n">
        <x:f>K50</x:f>
        <x:v>50.028010377068895</x:v>
      </x:c>
      <x:c r="J279" s="6" t="n">
        <x:f>L50</x:f>
        <x:v>52.01532401737667</x:v>
      </x:c>
      <x:c r="K279" s="6" t="n">
        <x:f>M50</x:f>
        <x:v>35.54682261895153</x:v>
      </x:c>
      <x:c r="L279" s="6" t="n">
        <x:f>N50</x:f>
        <x:v>0</x:v>
      </x:c>
      <x:c r="M279" s="6" t="n">
        <x:f>O50</x:f>
        <x:v>96.61888817234464</x:v>
      </x:c>
      <x:c r="N279" s="6" t="n">
        <x:f>P50</x:f>
        <x:v>0</x:v>
      </x:c>
      <x:c r="O279" s="6" t="n">
        <x:f>Q50</x:f>
        <x:v>66.02064755599021</x:v>
      </x:c>
      <x:c r="P279" s="99"/>
      <x:c r="Q279" s="99"/>
    </x:row>
    <x:row r="280">
      <x:c r="C280" s="6" t="str">
        <x:v>2011-09</x:v>
      </x:c>
      <x:c r="D280" s="6" t="n">
        <x:f>F51</x:f>
        <x:v>94.91316752937267</x:v>
      </x:c>
      <x:c r="E280" s="6" t="n">
        <x:f>G51</x:f>
        <x:v>69.13501488979922</x:v>
      </x:c>
      <x:c r="F280" s="6" t="n">
        <x:f>H51</x:f>
        <x:v>71.71534634622981</x:v>
      </x:c>
      <x:c r="G280" s="6" t="n">
        <x:f>I51</x:f>
        <x:v>44.05068159111592</x:v>
      </x:c>
      <x:c r="H280" s="6" t="n">
        <x:f>J51</x:f>
        <x:v>77.79177258787615</x:v>
      </x:c>
      <x:c r="I280" s="6" t="n">
        <x:f>K51</x:f>
        <x:v>52.49862026476614</x:v>
      </x:c>
      <x:c r="J280" s="6" t="n">
        <x:f>L51</x:f>
        <x:v>47.8468989357501</x:v>
      </x:c>
      <x:c r="K280" s="6" t="n">
        <x:f>M51</x:f>
        <x:v>34.144239043952105</x:v>
      </x:c>
      <x:c r="L280" s="6" t="n">
        <x:f>N51</x:f>
        <x:v>0</x:v>
      </x:c>
      <x:c r="M280" s="6" t="n">
        <x:f>O51</x:f>
        <x:v>91.56279004643089</x:v>
      </x:c>
      <x:c r="N280" s="6" t="n">
        <x:f>P51</x:f>
        <x:v>76.55981763237901</x:v>
      </x:c>
      <x:c r="O280" s="6" t="n">
        <x:f>Q51</x:f>
        <x:v>67.76541159555734</x:v>
      </x:c>
      <x:c r="P280" s="99"/>
      <x:c r="Q280" s="99"/>
    </x:row>
    <x:row r="281">
      <x:c r="C281" s="6" t="str">
        <x:v>2011-10</x:v>
      </x:c>
      <x:c r="D281" s="6" t="n">
        <x:f>F52</x:f>
        <x:v>91.55892187554547</x:v>
      </x:c>
      <x:c r="E281" s="6" t="n">
        <x:f>G52</x:f>
        <x:v>69.79896275818109</x:v>
      </x:c>
      <x:c r="F281" s="6" t="n">
        <x:f>H52</x:f>
        <x:v>70.758934386302</x:v>
      </x:c>
      <x:c r="G281" s="6" t="n">
        <x:f>I52</x:f>
        <x:v>42.506903723397244</x:v>
      </x:c>
      <x:c r="H281" s="6" t="n">
        <x:f>J52</x:f>
        <x:v>73.17998902309483</x:v>
      </x:c>
      <x:c r="I281" s="6" t="n">
        <x:f>K52</x:f>
        <x:v>52.004760497978594</x:v>
      </x:c>
      <x:c r="J281" s="6" t="n">
        <x:f>L52</x:f>
        <x:v>45.508107856567065</x:v>
      </x:c>
      <x:c r="K281" s="6" t="n">
        <x:f>M52</x:f>
        <x:v>33.74707643735976</x:v>
      </x:c>
      <x:c r="L281" s="6" t="n">
        <x:f>N52</x:f>
        <x:v>0</x:v>
      </x:c>
      <x:c r="M281" s="6" t="n">
        <x:f>O52</x:f>
        <x:v>88.92205664937757</x:v>
      </x:c>
      <x:c r="N281" s="6" t="n">
        <x:f>P52</x:f>
        <x:v>79.12180727320556</x:v>
      </x:c>
      <x:c r="O281" s="6" t="n">
        <x:f>Q52</x:f>
        <x:v>66.52376838114364</x:v>
      </x:c>
      <x:c r="P281" s="99"/>
      <x:c r="Q281" s="99"/>
    </x:row>
    <x:row r="282">
      <x:c r="C282" s="6" t="str">
        <x:v>2011-11</x:v>
      </x:c>
      <x:c r="D282" s="6" t="n">
        <x:f>F53</x:f>
        <x:v>93.17168153158242</x:v>
      </x:c>
      <x:c r="E282" s="6" t="n">
        <x:f>G53</x:f>
        <x:v>72.43087887203073</x:v>
      </x:c>
      <x:c r="F282" s="6" t="n">
        <x:f>H53</x:f>
        <x:v>72.10239278158258</x:v>
      </x:c>
      <x:c r="G282" s="6" t="n">
        <x:f>I53</x:f>
        <x:v>42.659452607841786</x:v>
      </x:c>
      <x:c r="H282" s="6" t="n">
        <x:f>J53</x:f>
        <x:v>76.07585031324618</x:v>
      </x:c>
      <x:c r="I282" s="6" t="n">
        <x:f>K53</x:f>
        <x:v>52.20215858968452</x:v>
      </x:c>
      <x:c r="J282" s="6" t="n">
        <x:f>L53</x:f>
        <x:v>34.700702561728114</x:v>
      </x:c>
      <x:c r="K282" s="6" t="n">
        <x:f>M53</x:f>
        <x:v>36.014483189536314</x:v>
      </x:c>
      <x:c r="L282" s="6" t="n">
        <x:f>N53</x:f>
        <x:v>0</x:v>
      </x:c>
      <x:c r="M282" s="6" t="n">
        <x:f>O53</x:f>
        <x:v>88.7643565742861</x:v>
      </x:c>
      <x:c r="N282" s="6" t="n">
        <x:f>P53</x:f>
        <x:v>80.69465549749692</x:v>
      </x:c>
      <x:c r="O282" s="6" t="n">
        <x:f>Q53</x:f>
        <x:v>64.76836370883827</x:v>
      </x:c>
      <x:c r="P282" s="99"/>
      <x:c r="Q282" s="99"/>
    </x:row>
    <x:row r="283">
      <x:c r="C283" s="6" t="str">
        <x:v>2011-12</x:v>
      </x:c>
      <x:c r="D283" s="6" t="n">
        <x:f>F54</x:f>
        <x:v>89.89050539408605</x:v>
      </x:c>
      <x:c r="E283" s="6" t="n">
        <x:f>G54</x:f>
        <x:v>73.10498100994253</x:v>
      </x:c>
      <x:c r="F283" s="6" t="n">
        <x:f>H54</x:f>
        <x:v>77.68375588030196</x:v>
      </x:c>
      <x:c r="G283" s="6" t="n">
        <x:f>I54</x:f>
        <x:v>45.05646684778991</x:v>
      </x:c>
      <x:c r="H283" s="6" t="n">
        <x:f>J54</x:f>
        <x:v>73.97578210439441</x:v>
      </x:c>
      <x:c r="I283" s="6" t="n">
        <x:f>K54</x:f>
        <x:v>52.8191464257773</x:v>
      </x:c>
      <x:c r="J283" s="6" t="n">
        <x:f>L54</x:f>
        <x:v>34.85309252714895</x:v>
      </x:c>
      <x:c r="K283" s="6" t="n">
        <x:f>M54</x:f>
        <x:v>38.87721921764813</x:v>
      </x:c>
      <x:c r="L283" s="6" t="n">
        <x:f>N54</x:f>
        <x:v>0</x:v>
      </x:c>
      <x:c r="M283" s="6" t="n">
        <x:f>O54</x:f>
        <x:v>84.35218158846321</x:v>
      </x:c>
      <x:c r="N283" s="6" t="n">
        <x:f>P54</x:f>
        <x:v>80.7534129300274</x:v>
      </x:c>
      <x:c r="O283" s="6" t="n">
        <x:f>Q54</x:f>
        <x:v>64.86473245553776</x:v>
      </x:c>
      <x:c r="P283" s="99"/>
      <x:c r="Q283" s="99"/>
    </x:row>
    <x:row r="284">
      <x:c r="C284" s="6" t="str">
        <x:v>2012-01</x:v>
      </x:c>
      <x:c r="D284" s="6" t="n">
        <x:f>F55</x:f>
        <x:v>84.7361013934513</x:v>
      </x:c>
      <x:c r="E284" s="6" t="n">
        <x:f>G55</x:f>
        <x:v>68.20091024120991</x:v>
      </x:c>
      <x:c r="F284" s="6" t="n">
        <x:f>H55</x:f>
        <x:v>68.90555612059319</x:v>
      </x:c>
      <x:c r="G284" s="6" t="n">
        <x:f>I55</x:f>
        <x:v>47.299729470297166</x:v>
      </x:c>
      <x:c r="H284" s="6" t="n">
        <x:f>J55</x:f>
        <x:v>73.1466253123277</x:v>
      </x:c>
      <x:c r="I284" s="6" t="n">
        <x:f>K55</x:f>
        <x:v>53.155130287232254</x:v>
      </x:c>
      <x:c r="J284" s="6" t="n">
        <x:f>L55</x:f>
        <x:v>36.77568760043851</x:v>
      </x:c>
      <x:c r="K284" s="6" t="n">
        <x:f>M55</x:f>
        <x:v>37.35908482010041</x:v>
      </x:c>
      <x:c r="L284" s="6" t="n">
        <x:f>N55</x:f>
        <x:v>0</x:v>
      </x:c>
      <x:c r="M284" s="6" t="n">
        <x:f>O55</x:f>
        <x:v>82.5970940505032</x:v>
      </x:c>
      <x:c r="N284" s="6" t="n">
        <x:f>P55</x:f>
        <x:v>80.91026941264846</x:v>
      </x:c>
      <x:c r="O284" s="6" t="n">
        <x:f>Q55</x:f>
        <x:v>65.92721453791009</x:v>
      </x:c>
      <x:c r="P284" s="99"/>
      <x:c r="Q284" s="99"/>
    </x:row>
    <x:row r="285">
      <x:c r="C285" s="6" t="str">
        <x:v>2012-02</x:v>
      </x:c>
      <x:c r="D285" s="6" t="n">
        <x:f>F56</x:f>
        <x:v>75.95087452124766</x:v>
      </x:c>
      <x:c r="E285" s="6" t="n">
        <x:f>G56</x:f>
        <x:v>67.74176179034919</x:v>
      </x:c>
      <x:c r="F285" s="6" t="n">
        <x:f>H56</x:f>
        <x:v>66.12233617820678</x:v>
      </x:c>
      <x:c r="G285" s="6" t="n">
        <x:f>I56</x:f>
        <x:v>46.45027891609814</x:v>
      </x:c>
      <x:c r="H285" s="6" t="n">
        <x:f>J56</x:f>
        <x:v>68.01613587905311</x:v>
      </x:c>
      <x:c r="I285" s="6" t="n">
        <x:f>K56</x:f>
        <x:v>52.86636688693701</x:v>
      </x:c>
      <x:c r="J285" s="6" t="n">
        <x:f>L56</x:f>
        <x:v>37.8560394646098</x:v>
      </x:c>
      <x:c r="K285" s="6" t="n">
        <x:f>M56</x:f>
        <x:v>37.720661500686596</x:v>
      </x:c>
      <x:c r="L285" s="6" t="n">
        <x:f>N56</x:f>
        <x:v>0</x:v>
      </x:c>
      <x:c r="M285" s="6" t="n">
        <x:f>O56</x:f>
        <x:v>72.05837209838492</x:v>
      </x:c>
      <x:c r="N285" s="6" t="n">
        <x:f>P56</x:f>
        <x:v>82.31626524401909</x:v>
      </x:c>
      <x:c r="O285" s="6" t="n">
        <x:f>Q56</x:f>
        <x:v>67.11756720652576</x:v>
      </x:c>
      <x:c r="P285" s="99"/>
      <x:c r="Q285" s="99"/>
    </x:row>
    <x:row r="286">
      <x:c r="C286" s="6" t="str">
        <x:v>2012-03</x:v>
      </x:c>
      <x:c r="D286" s="6" t="n">
        <x:f>F57</x:f>
        <x:v>75.00193998290734</x:v>
      </x:c>
      <x:c r="E286" s="6" t="n">
        <x:f>G57</x:f>
        <x:v>68.7235310253382</x:v>
      </x:c>
      <x:c r="F286" s="6" t="n">
        <x:f>H57</x:f>
        <x:v>66.08024959947056</x:v>
      </x:c>
      <x:c r="G286" s="6" t="n">
        <x:f>I57</x:f>
        <x:v>49.45018114352613</x:v>
      </x:c>
      <x:c r="H286" s="6" t="n">
        <x:f>J57</x:f>
        <x:v>69.38731269480533</x:v>
      </x:c>
      <x:c r="I286" s="6" t="n">
        <x:f>K57</x:f>
        <x:v>53.285219538635</x:v>
      </x:c>
      <x:c r="J286" s="6" t="n">
        <x:f>L57</x:f>
        <x:v>38.15272226182087</x:v>
      </x:c>
      <x:c r="K286" s="6" t="n">
        <x:f>M57</x:f>
        <x:v>41.11776335842038</x:v>
      </x:c>
      <x:c r="L286" s="6" t="n">
        <x:f>N57</x:f>
        <x:v>0</x:v>
      </x:c>
      <x:c r="M286" s="6" t="n">
        <x:f>O57</x:f>
        <x:v>70.30453662364962</x:v>
      </x:c>
      <x:c r="N286" s="6" t="n">
        <x:f>P57</x:f>
        <x:v>84.4934280603833</x:v>
      </x:c>
      <x:c r="O286" s="6" t="n">
        <x:f>Q57</x:f>
        <x:v>66.46744071300351</x:v>
      </x:c>
      <x:c r="P286" s="99"/>
      <x:c r="Q286" s="99"/>
    </x:row>
    <x:row r="287">
      <x:c r="C287" s="6" t="str">
        <x:v>2012-04</x:v>
      </x:c>
      <x:c r="D287" s="6" t="n">
        <x:f>F58</x:f>
        <x:v>74.81905264248782</x:v>
      </x:c>
      <x:c r="E287" s="6" t="n">
        <x:f>G58</x:f>
        <x:v>51.372384789087135</x:v>
      </x:c>
      <x:c r="F287" s="6" t="n">
        <x:f>H58</x:f>
        <x:v>63.7472093429734</x:v>
      </x:c>
      <x:c r="G287" s="6" t="n">
        <x:f>I58</x:f>
        <x:v>50.20890144083218</x:v>
      </x:c>
      <x:c r="H287" s="6" t="n">
        <x:f>J58</x:f>
        <x:v>68.49244860788868</x:v>
      </x:c>
      <x:c r="I287" s="6" t="n">
        <x:f>K58</x:f>
        <x:v>51.20779893463262</x:v>
      </x:c>
      <x:c r="J287" s="6" t="n">
        <x:f>L58</x:f>
        <x:v>39.32926063190685</x:v>
      </x:c>
      <x:c r="K287" s="6" t="n">
        <x:f>M58</x:f>
        <x:v>43.78974754885985</x:v>
      </x:c>
      <x:c r="L287" s="6" t="n">
        <x:f>N58</x:f>
        <x:v>0</x:v>
      </x:c>
      <x:c r="M287" s="6" t="n">
        <x:f>O58</x:f>
        <x:v>71.38435529117308</x:v>
      </x:c>
      <x:c r="N287" s="6" t="n">
        <x:f>P58</x:f>
        <x:v>83.08510028004157</x:v>
      </x:c>
      <x:c r="O287" s="6" t="n">
        <x:f>Q58</x:f>
        <x:v>70.42861506843643</x:v>
      </x:c>
      <x:c r="P287" s="99"/>
      <x:c r="Q287" s="99"/>
    </x:row>
    <x:row r="288">
      <x:c r="C288" s="6" t="str">
        <x:v>2012-05</x:v>
      </x:c>
      <x:c r="D288" s="6" t="n">
        <x:f>F59</x:f>
        <x:v>79.63429469241265</x:v>
      </x:c>
      <x:c r="E288" s="6" t="n">
        <x:f>G59</x:f>
        <x:v>52.65542634679756</x:v>
      </x:c>
      <x:c r="F288" s="6" t="n">
        <x:f>H59</x:f>
        <x:v>60.983222855133626</x:v>
      </x:c>
      <x:c r="G288" s="6" t="n">
        <x:f>I59</x:f>
        <x:v>51.94327149541493</x:v>
      </x:c>
      <x:c r="H288" s="6" t="n">
        <x:f>J59</x:f>
        <x:v>71.77656633331196</x:v>
      </x:c>
      <x:c r="I288" s="6" t="n">
        <x:f>K59</x:f>
        <x:v>53.74769259587485</x:v>
      </x:c>
      <x:c r="J288" s="6" t="n">
        <x:f>L59</x:f>
        <x:v>36.117459065506964</x:v>
      </x:c>
      <x:c r="K288" s="6" t="n">
        <x:f>M59</x:f>
        <x:v>45.367820624222766</x:v>
      </x:c>
      <x:c r="L288" s="6" t="n">
        <x:f>N59</x:f>
        <x:v>0</x:v>
      </x:c>
      <x:c r="M288" s="6" t="n">
        <x:f>O59</x:f>
        <x:v>77.73330968090077</x:v>
      </x:c>
      <x:c r="N288" s="6" t="n">
        <x:f>P59</x:f>
        <x:v>84.58004673972896</x:v>
      </x:c>
      <x:c r="O288" s="6" t="n">
        <x:f>Q59</x:f>
        <x:v>71.1104348333107</x:v>
      </x:c>
      <x:c r="P288" s="99"/>
      <x:c r="Q288" s="99"/>
    </x:row>
    <x:row r="289">
      <x:c r="C289" s="6" t="str">
        <x:v>2012-06</x:v>
      </x:c>
      <x:c r="D289" s="6" t="n">
        <x:f>F60</x:f>
        <x:v>80.04198270007693</x:v>
      </x:c>
      <x:c r="E289" s="6" t="n">
        <x:f>G60</x:f>
        <x:v>51.436600567786506</x:v>
      </x:c>
      <x:c r="F289" s="6" t="n">
        <x:f>H60</x:f>
        <x:v>57.015868403057</x:v>
      </x:c>
      <x:c r="G289" s="6" t="n">
        <x:f>I60</x:f>
        <x:v>51.08976871757972</x:v>
      </x:c>
      <x:c r="H289" s="6" t="n">
        <x:f>J60</x:f>
        <x:v>78.12596412464778</x:v>
      </x:c>
      <x:c r="I289" s="6" t="n">
        <x:f>K60</x:f>
        <x:v>52.46208518691684</x:v>
      </x:c>
      <x:c r="J289" s="6" t="n">
        <x:f>L60</x:f>
        <x:v>36.11898242501181</x:v>
      </x:c>
      <x:c r="K289" s="6" t="n">
        <x:f>M60</x:f>
        <x:v>45.89053154754896</x:v>
      </x:c>
      <x:c r="L289" s="6" t="n">
        <x:f>N60</x:f>
        <x:v>0</x:v>
      </x:c>
      <x:c r="M289" s="6" t="n">
        <x:f>O60</x:f>
        <x:v>81.11744080804817</x:v>
      </x:c>
      <x:c r="N289" s="6" t="n">
        <x:f>P60</x:f>
        <x:v>86.85961490450265</x:v>
      </x:c>
      <x:c r="O289" s="6" t="n">
        <x:f>Q60</x:f>
        <x:v>71.177600876684</x:v>
      </x:c>
      <x:c r="P289" s="99"/>
      <x:c r="Q289" s="99"/>
    </x:row>
    <x:row r="290">
      <x:c r="C290" s="6" t="str">
        <x:v>2012-07</x:v>
      </x:c>
      <x:c r="D290" s="6" t="n">
        <x:f>F61</x:f>
        <x:v>75.53783395034598</x:v>
      </x:c>
      <x:c r="E290" s="6" t="n">
        <x:f>G61</x:f>
        <x:v>48.6166514929704</x:v>
      </x:c>
      <x:c r="F290" s="6" t="n">
        <x:f>H61</x:f>
        <x:v>54.1373827871923</x:v>
      </x:c>
      <x:c r="G290" s="6" t="n">
        <x:f>I61</x:f>
        <x:v>50.74271645730325</x:v>
      </x:c>
      <x:c r="H290" s="6" t="n">
        <x:f>J61</x:f>
        <x:v>78.87839653490738</x:v>
      </x:c>
      <x:c r="I290" s="6" t="n">
        <x:f>K61</x:f>
        <x:v>52.060113290459554</x:v>
      </x:c>
      <x:c r="J290" s="6" t="n">
        <x:f>L61</x:f>
        <x:v>37.26168606637919</x:v>
      </x:c>
      <x:c r="K290" s="6" t="n">
        <x:f>M61</x:f>
        <x:v>44.9229901608688</x:v>
      </x:c>
      <x:c r="L290" s="6" t="n">
        <x:f>N61</x:f>
        <x:v>0</x:v>
      </x:c>
      <x:c r="M290" s="6" t="n">
        <x:f>O61</x:f>
        <x:v>70.44875581510524</x:v>
      </x:c>
      <x:c r="N290" s="6" t="n">
        <x:f>P61</x:f>
        <x:v>82.32695910067467</x:v>
      </x:c>
      <x:c r="O290" s="6" t="n">
        <x:f>Q61</x:f>
        <x:v>73.73345925495545</x:v>
      </x:c>
      <x:c r="P290" s="99"/>
      <x:c r="Q290" s="99"/>
    </x:row>
    <x:row r="291">
      <x:c r="C291" s="6" t="str">
        <x:v>2012-08</x:v>
      </x:c>
      <x:c r="D291" s="6" t="n">
        <x:f>F62</x:f>
        <x:v>71.59310152261374</x:v>
      </x:c>
      <x:c r="E291" s="6" t="n">
        <x:f>G62</x:f>
        <x:v>47.82938953014591</x:v>
      </x:c>
      <x:c r="F291" s="6" t="n">
        <x:f>H62</x:f>
        <x:v>48.245582467927726</x:v>
      </x:c>
      <x:c r="G291" s="6" t="n">
        <x:f>I62</x:f>
        <x:v>48.69899534666144</x:v>
      </x:c>
      <x:c r="H291" s="6" t="n">
        <x:f>J62</x:f>
        <x:v>76.53289297393991</x:v>
      </x:c>
      <x:c r="I291" s="6" t="n">
        <x:f>K62</x:f>
        <x:v>52.92994420869872</x:v>
      </x:c>
      <x:c r="J291" s="6" t="n">
        <x:f>L62</x:f>
        <x:v>36.72784648411771</x:v>
      </x:c>
      <x:c r="K291" s="6" t="n">
        <x:f>M62</x:f>
        <x:v>44.620153096800664</x:v>
      </x:c>
      <x:c r="L291" s="6" t="n">
        <x:f>N62</x:f>
        <x:v>0</x:v>
      </x:c>
      <x:c r="M291" s="6" t="n">
        <x:f>O62</x:f>
        <x:v>63.24568410793595</x:v>
      </x:c>
      <x:c r="N291" s="6" t="n">
        <x:f>P62</x:f>
        <x:v>89.11879741949461</x:v>
      </x:c>
      <x:c r="O291" s="6" t="n">
        <x:f>Q62</x:f>
        <x:v>75.1338242016547</x:v>
      </x:c>
      <x:c r="P291" s="99"/>
      <x:c r="Q291" s="99"/>
    </x:row>
    <x:row r="292">
      <x:c r="C292" s="6" t="str">
        <x:v>2012-09</x:v>
      </x:c>
      <x:c r="D292" s="6" t="n">
        <x:f>F63</x:f>
        <x:v>69.52868073882938</x:v>
      </x:c>
      <x:c r="E292" s="6" t="n">
        <x:f>G63</x:f>
        <x:v>47.352987515070936</x:v>
      </x:c>
      <x:c r="F292" s="6" t="n">
        <x:f>H63</x:f>
        <x:v>46.54095558397231</x:v>
      </x:c>
      <x:c r="G292" s="6" t="n">
        <x:f>I63</x:f>
        <x:v>52.27904580973013</x:v>
      </x:c>
      <x:c r="H292" s="6" t="n">
        <x:f>J63</x:f>
        <x:v>65.74489709495067</x:v>
      </x:c>
      <x:c r="I292" s="6" t="n">
        <x:f>K63</x:f>
        <x:v>49.6438136683807</x:v>
      </x:c>
      <x:c r="J292" s="6" t="n">
        <x:f>L63</x:f>
        <x:v>38.10699432134223</x:v>
      </x:c>
      <x:c r="K292" s="6" t="n">
        <x:f>M63</x:f>
        <x:v>44.231742315756186</x:v>
      </x:c>
      <x:c r="L292" s="6" t="n">
        <x:f>N63</x:f>
        <x:v>0</x:v>
      </x:c>
      <x:c r="M292" s="6" t="n">
        <x:f>O63</x:f>
        <x:v>57.502027165795255</x:v>
      </x:c>
      <x:c r="N292" s="6" t="n">
        <x:f>P63</x:f>
        <x:v>88.35754220878637</x:v>
      </x:c>
      <x:c r="O292" s="6" t="n">
        <x:f>Q63</x:f>
        <x:v>68.6347681781724</x:v>
      </x:c>
      <x:c r="P292" s="99"/>
      <x:c r="Q292" s="99"/>
    </x:row>
    <x:row r="293">
      <x:c r="C293" s="6" t="str">
        <x:v>2012-10</x:v>
      </x:c>
      <x:c r="D293" s="6" t="n">
        <x:f>F64</x:f>
        <x:v>67.47360346415817</x:v>
      </x:c>
      <x:c r="E293" s="6" t="n">
        <x:f>G64</x:f>
        <x:v>48.688556687963086</x:v>
      </x:c>
      <x:c r="F293" s="6" t="n">
        <x:f>H64</x:f>
        <x:v>46.22051656181883</x:v>
      </x:c>
      <x:c r="G293" s="6" t="n">
        <x:f>I64</x:f>
        <x:v>55.378103434370566</x:v>
      </x:c>
      <x:c r="H293" s="6" t="n">
        <x:f>J64</x:f>
        <x:v>67.44420425760589</x:v>
      </x:c>
      <x:c r="I293" s="6" t="n">
        <x:f>K64</x:f>
        <x:v>48.67521497990822</x:v>
      </x:c>
      <x:c r="J293" s="6" t="n">
        <x:f>L64</x:f>
        <x:v>39.14899782783931</x:v>
      </x:c>
      <x:c r="K293" s="6" t="n">
        <x:f>M64</x:f>
        <x:v>47.3377086533724</x:v>
      </x:c>
      <x:c r="L293" s="6" t="n">
        <x:f>N64</x:f>
        <x:v>0</x:v>
      </x:c>
      <x:c r="M293" s="6" t="n">
        <x:f>O64</x:f>
        <x:v>54.23375057498671</x:v>
      </x:c>
      <x:c r="N293" s="6" t="n">
        <x:f>P64</x:f>
        <x:v>91.5137698619128</x:v>
      </x:c>
      <x:c r="O293" s="6" t="n">
        <x:f>Q64</x:f>
        <x:v>69.95493055968399</x:v>
      </x:c>
      <x:c r="P293" s="99"/>
      <x:c r="Q293" s="99"/>
    </x:row>
    <x:row r="294">
      <x:c r="C294" s="6" t="str">
        <x:v>2012-11</x:v>
      </x:c>
      <x:c r="D294" s="6" t="n">
        <x:f>F65</x:f>
        <x:v>64.63909068088213</x:v>
      </x:c>
      <x:c r="E294" s="6" t="n">
        <x:f>G65</x:f>
        <x:v>49.72098891651513</x:v>
      </x:c>
      <x:c r="F294" s="6" t="n">
        <x:f>H65</x:f>
        <x:v>46.05625616549832</x:v>
      </x:c>
      <x:c r="G294" s="6" t="n">
        <x:f>I65</x:f>
        <x:v>55.90417999249424</x:v>
      </x:c>
      <x:c r="H294" s="6" t="n">
        <x:f>J65</x:f>
        <x:v>65.5288959323529</x:v>
      </x:c>
      <x:c r="I294" s="6" t="n">
        <x:f>K65</x:f>
        <x:v>48.919667380462926</x:v>
      </x:c>
      <x:c r="J294" s="6" t="n">
        <x:f>L65</x:f>
        <x:v>40.57483980241301</x:v>
      </x:c>
      <x:c r="K294" s="6" t="n">
        <x:f>M65</x:f>
        <x:v>48.46047296162828</x:v>
      </x:c>
      <x:c r="L294" s="6" t="n">
        <x:f>N65</x:f>
        <x:v>0</x:v>
      </x:c>
      <x:c r="M294" s="6" t="n">
        <x:f>O65</x:f>
        <x:v>52.91495938338278</x:v>
      </x:c>
      <x:c r="N294" s="6" t="n">
        <x:f>P65</x:f>
        <x:v>93.86541320089508</x:v>
      </x:c>
      <x:c r="O294" s="6" t="n">
        <x:f>Q65</x:f>
        <x:v>53.83050137770431</x:v>
      </x:c>
      <x:c r="P294" s="99"/>
      <x:c r="Q294" s="99"/>
    </x:row>
    <x:row r="295">
      <x:c r="C295" s="6" t="str">
        <x:v>2012-12</x:v>
      </x:c>
      <x:c r="D295" s="6" t="n">
        <x:f>F66</x:f>
        <x:v>66.08702572104183</x:v>
      </x:c>
      <x:c r="E295" s="6" t="n">
        <x:f>G66</x:f>
        <x:v>50.03938311010726</x:v>
      </x:c>
      <x:c r="F295" s="6" t="n">
        <x:f>H66</x:f>
        <x:v>46.356746255304486</x:v>
      </x:c>
      <x:c r="G295" s="6" t="n">
        <x:f>I66</x:f>
        <x:v>56.72034335350212</x:v>
      </x:c>
      <x:c r="H295" s="6" t="n">
        <x:f>J66</x:f>
        <x:v>67.12517917737173</x:v>
      </x:c>
      <x:c r="I295" s="6" t="n">
        <x:f>K66</x:f>
        <x:v>49.52277249409454</x:v>
      </x:c>
      <x:c r="J295" s="6" t="n">
        <x:f>L66</x:f>
        <x:v>43.3379365355628</x:v>
      </x:c>
      <x:c r="K295" s="6" t="n">
        <x:f>M66</x:f>
        <x:v>48.170824480002175</x:v>
      </x:c>
      <x:c r="L295" s="6" t="n">
        <x:f>N66</x:f>
        <x:v>0</x:v>
      </x:c>
      <x:c r="M295" s="6" t="n">
        <x:f>O66</x:f>
        <x:v>54.260391477368294</x:v>
      </x:c>
      <x:c r="N295" s="6" t="n">
        <x:f>P66</x:f>
        <x:v>95.8055982824248</x:v>
      </x:c>
      <x:c r="O295" s="6" t="n">
        <x:f>Q66</x:f>
        <x:v>53.98887105774202</x:v>
      </x:c>
      <x:c r="P295" s="99"/>
      <x:c r="Q295" s="99"/>
    </x:row>
    <x:row r="296">
      <x:c r="C296" s="6" t="str">
        <x:v>2013-01</x:v>
      </x:c>
      <x:c r="D296" s="6" t="n">
        <x:f>F67</x:f>
        <x:v>61.96637285617484</x:v>
      </x:c>
      <x:c r="E296" s="6" t="n">
        <x:f>G67</x:f>
        <x:v>48.72425074704597</x:v>
      </x:c>
      <x:c r="F296" s="6" t="n">
        <x:f>H67</x:f>
        <x:v>47.06558786123577</x:v>
      </x:c>
      <x:c r="G296" s="6" t="n">
        <x:f>I67</x:f>
        <x:v>59.05509352465362</x:v>
      </x:c>
      <x:c r="H296" s="6" t="n">
        <x:f>J67</x:f>
        <x:v>65.2103229622281</x:v>
      </x:c>
      <x:c r="I296" s="6" t="n">
        <x:f>K67</x:f>
        <x:v>48.865939334284256</x:v>
      </x:c>
      <x:c r="J296" s="6" t="n">
        <x:f>L67</x:f>
        <x:v>42.22118565850585</x:v>
      </x:c>
      <x:c r="K296" s="6" t="n">
        <x:f>M67</x:f>
        <x:v>51.498722146979745</x:v>
      </x:c>
      <x:c r="L296" s="6" t="n">
        <x:f>N67</x:f>
        <x:v>0</x:v>
      </x:c>
      <x:c r="M296" s="6" t="n">
        <x:f>O67</x:f>
        <x:v>49.76655411030015</x:v>
      </x:c>
      <x:c r="N296" s="6" t="n">
        <x:f>P67</x:f>
        <x:v>97.14484371383281</x:v>
      </x:c>
      <x:c r="O296" s="6" t="n">
        <x:f>Q67</x:f>
        <x:v>45.2658511228701</x:v>
      </x:c>
      <x:c r="P296" s="99"/>
      <x:c r="Q296" s="99"/>
    </x:row>
    <x:row r="297">
      <x:c r="C297" s="6" t="str">
        <x:v>2013-02</x:v>
      </x:c>
      <x:c r="D297" s="6" t="n">
        <x:f>F68</x:f>
        <x:v>60.84872757751035</x:v>
      </x:c>
      <x:c r="E297" s="6" t="n">
        <x:f>G68</x:f>
        <x:v>52.061441746757076</x:v>
      </x:c>
      <x:c r="F297" s="6" t="n">
        <x:f>H68</x:f>
        <x:v>45.507931608671484</x:v>
      </x:c>
      <x:c r="G297" s="6" t="n">
        <x:f>I68</x:f>
        <x:v>59.25437939180224</x:v>
      </x:c>
      <x:c r="H297" s="6" t="n">
        <x:f>J68</x:f>
        <x:v>61.96079124469396</x:v>
      </x:c>
      <x:c r="I297" s="6" t="n">
        <x:f>K68</x:f>
        <x:v>49.08234699823426</x:v>
      </x:c>
      <x:c r="J297" s="6" t="n">
        <x:f>L68</x:f>
        <x:v>43.138077889419236</x:v>
      </x:c>
      <x:c r="K297" s="6" t="n">
        <x:f>M68</x:f>
        <x:v>53.049672130905336</x:v>
      </x:c>
      <x:c r="L297" s="6" t="n">
        <x:f>N68</x:f>
        <x:v>0</x:v>
      </x:c>
      <x:c r="M297" s="6" t="n">
        <x:f>O68</x:f>
        <x:v>53.35003613770394</x:v>
      </x:c>
      <x:c r="N297" s="6" t="n">
        <x:f>P68</x:f>
        <x:v>98.91167699341716</x:v>
      </x:c>
      <x:c r="O297" s="6" t="n">
        <x:f>Q68</x:f>
        <x:v>52.510514633004114</x:v>
      </x:c>
      <x:c r="P297" s="99"/>
      <x:c r="Q297" s="99"/>
    </x:row>
    <x:row r="298">
      <x:c r="C298" s="6" t="str">
        <x:v>2013-03</x:v>
      </x:c>
      <x:c r="D298" s="6" t="n">
        <x:f>F69</x:f>
        <x:v>62.76304672777739</x:v>
      </x:c>
      <x:c r="E298" s="6" t="n">
        <x:f>G69</x:f>
        <x:v>52.916298390768546</x:v>
      </x:c>
      <x:c r="F298" s="6" t="n">
        <x:f>H69</x:f>
        <x:v>44.485388403895215</x:v>
      </x:c>
      <x:c r="G298" s="6" t="n">
        <x:f>I69</x:f>
        <x:v>59.80041326927569</x:v>
      </x:c>
      <x:c r="H298" s="6" t="n">
        <x:f>J69</x:f>
        <x:v>69.81044624724711</x:v>
      </x:c>
      <x:c r="I298" s="6" t="n">
        <x:f>K69</x:f>
        <x:v>50.317435880713305</x:v>
      </x:c>
      <x:c r="J298" s="6" t="n">
        <x:f>L69</x:f>
        <x:v>43.30165128667131</x:v>
      </x:c>
      <x:c r="K298" s="6" t="n">
        <x:f>M69</x:f>
        <x:v>55.095189041502856</x:v>
      </x:c>
      <x:c r="L298" s="6" t="n">
        <x:f>N69</x:f>
        <x:v>0</x:v>
      </x:c>
      <x:c r="M298" s="6" t="n">
        <x:f>O69</x:f>
        <x:v>50.047808089981814</x:v>
      </x:c>
      <x:c r="N298" s="6" t="n">
        <x:f>P69</x:f>
        <x:v>100.35669014877058</x:v>
      </x:c>
      <x:c r="O298" s="6" t="n">
        <x:f>Q69</x:f>
        <x:v>54.35614630668829</x:v>
      </x:c>
      <x:c r="P298" s="99"/>
      <x:c r="Q298" s="99"/>
    </x:row>
    <x:row r="299">
      <x:c r="C299" s="6" t="str">
        <x:v>2013-04</x:v>
      </x:c>
      <x:c r="D299" s="6" t="n">
        <x:f>F70</x:f>
        <x:v>67.49659132528537</x:v>
      </x:c>
      <x:c r="E299" s="6" t="n">
        <x:f>G70</x:f>
        <x:v>54.8307125485498</x:v>
      </x:c>
      <x:c r="F299" s="6" t="n">
        <x:f>H70</x:f>
        <x:v>44.316641212286086</x:v>
      </x:c>
      <x:c r="G299" s="6" t="n">
        <x:f>I70</x:f>
        <x:v>59.07477915632261</x:v>
      </x:c>
      <x:c r="H299" s="6" t="n">
        <x:f>J70</x:f>
        <x:v>75.51689458910283</x:v>
      </x:c>
      <x:c r="I299" s="6" t="n">
        <x:f>K70</x:f>
        <x:v>49.77875443475863</x:v>
      </x:c>
      <x:c r="J299" s="6" t="n">
        <x:f>L70</x:f>
        <x:v>43.733082431248924</x:v>
      </x:c>
      <x:c r="K299" s="6" t="n">
        <x:f>M70</x:f>
        <x:v>55.74678739899126</x:v>
      </x:c>
      <x:c r="L299" s="6" t="n">
        <x:f>N70</x:f>
        <x:v>0</x:v>
      </x:c>
      <x:c r="M299" s="6" t="n">
        <x:f>O70</x:f>
        <x:v>52.023766841558285</x:v>
      </x:c>
      <x:c r="N299" s="6" t="n">
        <x:f>P70</x:f>
        <x:v>104.0460330023967</x:v>
      </x:c>
      <x:c r="O299" s="6" t="n">
        <x:f>Q70</x:f>
        <x:v>53.01357345457242</x:v>
      </x:c>
      <x:c r="P299" s="99"/>
      <x:c r="Q299" s="99"/>
    </x:row>
    <x:row r="300">
      <x:c r="C300" s="6" t="str">
        <x:v>2013-05</x:v>
      </x:c>
      <x:c r="D300" s="6" t="n">
        <x:f>F71</x:f>
        <x:v>64.40790292907305</x:v>
      </x:c>
      <x:c r="E300" s="6" t="n">
        <x:f>G71</x:f>
        <x:v>51.28410908751404</x:v>
      </x:c>
      <x:c r="F300" s="6" t="n">
        <x:f>H71</x:f>
        <x:v>38.64637738796567</x:v>
      </x:c>
      <x:c r="G300" s="6" t="n">
        <x:f>I71</x:f>
        <x:v>56.23421006287713</x:v>
      </x:c>
      <x:c r="H300" s="6" t="n">
        <x:f>J71</x:f>
        <x:v>67.22842663634347</x:v>
      </x:c>
      <x:c r="I300" s="6" t="n">
        <x:f>K71</x:f>
        <x:v>52.03773977090177</x:v>
      </x:c>
      <x:c r="J300" s="6" t="n">
        <x:f>L71</x:f>
        <x:v>43.02878219677703</x:v>
      </x:c>
      <x:c r="K300" s="6" t="n">
        <x:f>M71</x:f>
        <x:v>59.34436351943211</x:v>
      </x:c>
      <x:c r="L300" s="6" t="n">
        <x:f>N71</x:f>
        <x:v>0</x:v>
      </x:c>
      <x:c r="M300" s="6" t="n">
        <x:f>O71</x:f>
        <x:v>50.02382031861313</x:v>
      </x:c>
      <x:c r="N300" s="6" t="n">
        <x:f>P71</x:f>
        <x:v>86.9381305344924</x:v>
      </x:c>
      <x:c r="O300" s="6" t="n">
        <x:f>Q71</x:f>
        <x:v>50.61770961203072</x:v>
      </x:c>
      <x:c r="P300" s="99"/>
      <x:c r="Q300" s="99"/>
    </x:row>
    <x:row r="301">
      <x:c r="C301" s="6" t="str">
        <x:v>2013-06</x:v>
      </x:c>
      <x:c r="D301" s="6" t="n">
        <x:f>F72</x:f>
        <x:v>62.8042582168647</x:v>
      </x:c>
      <x:c r="E301" s="6" t="n">
        <x:f>G72</x:f>
        <x:v>51.12128758635323</x:v>
      </x:c>
      <x:c r="F301" s="6" t="n">
        <x:f>H72</x:f>
        <x:v>40.62018689654383</x:v>
      </x:c>
      <x:c r="G301" s="6" t="n">
        <x:f>I72</x:f>
        <x:v>58.6637208368193</x:v>
      </x:c>
      <x:c r="H301" s="6" t="n">
        <x:f>J72</x:f>
        <x:v>70.05208291121558</x:v>
      </x:c>
      <x:c r="I301" s="6" t="n">
        <x:f>K72</x:f>
        <x:v>51.52838963968137</x:v>
      </x:c>
      <x:c r="J301" s="6" t="n">
        <x:f>L72</x:f>
        <x:v>41.129468967624305</x:v>
      </x:c>
      <x:c r="K301" s="6" t="n">
        <x:f>M72</x:f>
        <x:v>64.17420599800512</x:v>
      </x:c>
      <x:c r="L301" s="6" t="n">
        <x:f>N72</x:f>
        <x:v>0</x:v>
      </x:c>
      <x:c r="M301" s="6" t="n">
        <x:f>O72</x:f>
        <x:v>51.07588360857795</x:v>
      </x:c>
      <x:c r="N301" s="6" t="n">
        <x:f>P72</x:f>
        <x:v>86.46712281601987</x:v>
      </x:c>
      <x:c r="O301" s="6" t="n">
        <x:f>Q72</x:f>
        <x:v>54.41987826218826</x:v>
      </x:c>
      <x:c r="P301" s="99"/>
      <x:c r="Q301" s="99"/>
    </x:row>
    <x:row r="302">
      <x:c r="C302" s="6" t="str">
        <x:v>2013-07</x:v>
      </x:c>
      <x:c r="D302" s="6" t="n">
        <x:f>F73</x:f>
        <x:v>61.37208234060213</x:v>
      </x:c>
      <x:c r="E302" s="6" t="n">
        <x:f>G73</x:f>
        <x:v>49.10199957915552</x:v>
      </x:c>
      <x:c r="F302" s="6" t="n">
        <x:f>H73</x:f>
        <x:v>41.924034147076604</x:v>
      </x:c>
      <x:c r="G302" s="6" t="n">
        <x:f>I73</x:f>
        <x:v>61.307679725358625</x:v>
      </x:c>
      <x:c r="H302" s="6" t="n">
        <x:f>J73</x:f>
        <x:v>68.06586430879271</x:v>
      </x:c>
      <x:c r="I302" s="6" t="n">
        <x:f>K73</x:f>
        <x:v>51.48639283179831</x:v>
      </x:c>
      <x:c r="J302" s="6" t="n">
        <x:f>L73</x:f>
        <x:v>42.59948307856422</x:v>
      </x:c>
      <x:c r="K302" s="6" t="n">
        <x:f>M73</x:f>
        <x:v>62.367228818193865</x:v>
      </x:c>
      <x:c r="L302" s="6" t="n">
        <x:f>N73</x:f>
        <x:v>0</x:v>
      </x:c>
      <x:c r="M302" s="6" t="n">
        <x:f>O73</x:f>
        <x:v>49.15074117944082</x:v>
      </x:c>
      <x:c r="N302" s="6" t="n">
        <x:f>P73</x:f>
        <x:v>82.68859344143792</x:v>
      </x:c>
      <x:c r="O302" s="6" t="n">
        <x:f>Q73</x:f>
        <x:v>54.66921684686072</x:v>
      </x:c>
      <x:c r="P302" s="99"/>
      <x:c r="Q302" s="99"/>
    </x:row>
    <x:row r="303">
      <x:c r="C303" s="6" t="str">
        <x:v>2013-08</x:v>
      </x:c>
      <x:c r="D303" s="6" t="n">
        <x:f>F74</x:f>
        <x:v>62.25740346201189</x:v>
      </x:c>
      <x:c r="E303" s="6" t="n">
        <x:f>G74</x:f>
        <x:v>49.9494148158402</x:v>
      </x:c>
      <x:c r="F303" s="6" t="n">
        <x:f>H74</x:f>
        <x:v>42.38372387096875</x:v>
      </x:c>
      <x:c r="G303" s="6" t="n">
        <x:f>I74</x:f>
        <x:v>61.623426362634724</x:v>
      </x:c>
      <x:c r="H303" s="6" t="n">
        <x:f>J74</x:f>
        <x:v>77.76477010791756</x:v>
      </x:c>
      <x:c r="I303" s="6" t="n">
        <x:f>K74</x:f>
        <x:v>51.82726574919083</x:v>
      </x:c>
      <x:c r="J303" s="6" t="n">
        <x:f>L74</x:f>
        <x:v>42.91561011356517</x:v>
      </x:c>
      <x:c r="K303" s="6" t="n">
        <x:f>M74</x:f>
        <x:v>58.65080528356875</x:v>
      </x:c>
      <x:c r="L303" s="6" t="n">
        <x:f>N74</x:f>
        <x:v>0</x:v>
      </x:c>
      <x:c r="M303" s="6" t="n">
        <x:f>O74</x:f>
        <x:v>47.2460805707449</x:v>
      </x:c>
      <x:c r="N303" s="6" t="n">
        <x:f>P74</x:f>
        <x:v>82.81149284646871</x:v>
      </x:c>
      <x:c r="O303" s="6" t="n">
        <x:f>Q74</x:f>
        <x:v>52.379300082591506</x:v>
      </x:c>
      <x:c r="P303" s="99"/>
      <x:c r="Q303" s="99"/>
    </x:row>
    <x:row r="304">
      <x:c r="C304" s="6" t="str">
        <x:v>2013-09</x:v>
      </x:c>
      <x:c r="D304" s="6" t="n">
        <x:f>F75</x:f>
        <x:v>60.79161826406191</x:v>
      </x:c>
      <x:c r="E304" s="6" t="n">
        <x:f>G75</x:f>
        <x:v>42.65406654335293</x:v>
      </x:c>
      <x:c r="F304" s="6" t="n">
        <x:f>H75</x:f>
        <x:v>42.199722391896785</x:v>
      </x:c>
      <x:c r="G304" s="6" t="n">
        <x:f>I75</x:f>
        <x:v>61.283282695165084</x:v>
      </x:c>
      <x:c r="H304" s="6" t="n">
        <x:f>J75</x:f>
        <x:v>64.15288643918097</x:v>
      </x:c>
      <x:c r="I304" s="6" t="n">
        <x:f>K75</x:f>
        <x:v>52.80965649848059</x:v>
      </x:c>
      <x:c r="J304" s="6" t="n">
        <x:f>L75</x:f>
        <x:v>44.574933758503676</x:v>
      </x:c>
      <x:c r="K304" s="6" t="n">
        <x:f>M75</x:f>
        <x:v>56.24052537486315</x:v>
      </x:c>
      <x:c r="L304" s="6" t="n">
        <x:f>N75</x:f>
        <x:v>0</x:v>
      </x:c>
      <x:c r="M304" s="6" t="n">
        <x:f>O75</x:f>
        <x:v>50.08860208650816</x:v>
      </x:c>
      <x:c r="N304" s="6" t="n">
        <x:f>P75</x:f>
        <x:v>84.4560115940461</x:v>
      </x:c>
      <x:c r="O304" s="6" t="n">
        <x:f>Q75</x:f>
        <x:v>54.136313135509404</x:v>
      </x:c>
      <x:c r="P304" s="99"/>
      <x:c r="Q304" s="99"/>
    </x:row>
    <x:row r="305">
      <x:c r="C305" s="6" t="str">
        <x:v>2013-10</x:v>
      </x:c>
      <x:c r="D305" s="6" t="n">
        <x:f>F76</x:f>
        <x:v>61.561798701057555</x:v>
      </x:c>
      <x:c r="E305" s="6" t="n">
        <x:f>G76</x:f>
        <x:v>40.883103748865274</x:v>
      </x:c>
      <x:c r="F305" s="6" t="n">
        <x:f>H76</x:f>
        <x:v>42.429489000793005</x:v>
      </x:c>
      <x:c r="G305" s="6" t="n">
        <x:f>I76</x:f>
        <x:v>62.82965621889258</x:v>
      </x:c>
      <x:c r="H305" s="6" t="n">
        <x:f>J76</x:f>
        <x:v>65.5068544473423</x:v>
      </x:c>
      <x:c r="I305" s="6" t="n">
        <x:f>K76</x:f>
        <x:v>53.43459504487371</x:v>
      </x:c>
      <x:c r="J305" s="6" t="n">
        <x:f>L76</x:f>
        <x:v>45.79293221477849</x:v>
      </x:c>
      <x:c r="K305" s="6" t="n">
        <x:f>M76</x:f>
        <x:v>57.515928198878754</x:v>
      </x:c>
      <x:c r="L305" s="6" t="n">
        <x:f>N76</x:f>
        <x:v>0</x:v>
      </x:c>
      <x:c r="M305" s="6" t="n">
        <x:f>O76</x:f>
        <x:v>48.22880422298623</x:v>
      </x:c>
      <x:c r="N305" s="6" t="n">
        <x:f>P76</x:f>
        <x:v>81.40827053086674</x:v>
      </x:c>
      <x:c r="O305" s="6" t="n">
        <x:f>Q76</x:f>
        <x:v>54.075839504630764</x:v>
      </x:c>
      <x:c r="P305" s="99"/>
      <x:c r="Q305" s="99"/>
    </x:row>
    <x:row r="306">
      <x:c r="C306" s="6" t="str">
        <x:v>2013-11</x:v>
      </x:c>
      <x:c r="D306" s="6" t="n">
        <x:f>F77</x:f>
        <x:v>65.72729473102818</x:v>
      </x:c>
      <x:c r="E306" s="6" t="n">
        <x:f>G77</x:f>
        <x:v>39.15006244917455</x:v>
      </x:c>
      <x:c r="F306" s="6" t="n">
        <x:f>H77</x:f>
        <x:v>42.61466836351102</x:v>
      </x:c>
      <x:c r="G306" s="6" t="n">
        <x:f>I77</x:f>
        <x:v>66.67289670170513</x:v>
      </x:c>
      <x:c r="H306" s="6" t="n">
        <x:f>J77</x:f>
        <x:v>80.28731955745158</x:v>
      </x:c>
      <x:c r="I306" s="6" t="n">
        <x:f>K77</x:f>
        <x:v>53.79746103796003</x:v>
      </x:c>
      <x:c r="J306" s="6" t="n">
        <x:f>L77</x:f>
        <x:v>46.16655338142658</x:v>
      </x:c>
      <x:c r="K306" s="6" t="n">
        <x:f>M77</x:f>
        <x:v>60.510363829013016</x:v>
      </x:c>
      <x:c r="L306" s="6" t="n">
        <x:f>N77</x:f>
        <x:v>0</x:v>
      </x:c>
      <x:c r="M306" s="6" t="n">
        <x:f>O77</x:f>
        <x:v>52.0304177633008</x:v>
      </x:c>
      <x:c r="N306" s="6" t="n">
        <x:f>P77</x:f>
        <x:v>82.8556935867485</x:v>
      </x:c>
      <x:c r="O306" s="6" t="n">
        <x:f>Q77</x:f>
        <x:v>54.2914283017729</x:v>
      </x:c>
      <x:c r="P306" s="99"/>
      <x:c r="Q306" s="99"/>
    </x:row>
    <x:row r="307">
      <x:c r="C307" s="6" t="str">
        <x:v>2013-12</x:v>
      </x:c>
      <x:c r="D307" s="6" t="n">
        <x:f>F78</x:f>
        <x:v>64.80547640894807</x:v>
      </x:c>
      <x:c r="E307" s="6" t="n">
        <x:f>G78</x:f>
        <x:v>38.83798881651176</x:v>
      </x:c>
      <x:c r="F307" s="6" t="n">
        <x:f>H78</x:f>
        <x:v>40.261248692008486</x:v>
      </x:c>
      <x:c r="G307" s="6" t="n">
        <x:f>I78</x:f>
        <x:v>67.84612284972697</x:v>
      </x:c>
      <x:c r="H307" s="6" t="n">
        <x:f>J78</x:f>
        <x:v>84.05260056974811</x:v>
      </x:c>
      <x:c r="I307" s="6" t="n">
        <x:f>K78</x:f>
        <x:v>54.294314297039584</x:v>
      </x:c>
      <x:c r="J307" s="6" t="n">
        <x:f>L78</x:f>
        <x:v>43.9066832805063</x:v>
      </x:c>
      <x:c r="K307" s="6" t="n">
        <x:f>M78</x:f>
        <x:v>60.83633886667218</x:v>
      </x:c>
      <x:c r="L307" s="6" t="n">
        <x:f>N78</x:f>
        <x:v>0</x:v>
      </x:c>
      <x:c r="M307" s="6" t="n">
        <x:f>O78</x:f>
        <x:v>50.50021835040801</x:v>
      </x:c>
      <x:c r="N307" s="6" t="n">
        <x:f>P78</x:f>
        <x:v>81.39649941797045</x:v>
      </x:c>
      <x:c r="O307" s="6" t="n">
        <x:f>Q78</x:f>
        <x:v>56.02363128246459</x:v>
      </x:c>
      <x:c r="P307" s="99"/>
      <x:c r="Q307" s="99"/>
    </x:row>
    <x:row r="308">
      <x:c r="C308" s="6" t="str">
        <x:v>2014-01</x:v>
      </x:c>
      <x:c r="D308" s="6" t="n">
        <x:f>F79</x:f>
        <x:v>74.6442413018867</x:v>
      </x:c>
      <x:c r="E308" s="6" t="n">
        <x:f>G79</x:f>
        <x:v>51.98003138848472</x:v>
      </x:c>
      <x:c r="F308" s="6" t="n">
        <x:f>H79</x:f>
        <x:v>51.257230098121</x:v>
      </x:c>
      <x:c r="G308" s="6" t="n">
        <x:f>I79</x:f>
        <x:v>89.42249685927848</x:v>
      </x:c>
      <x:c r="H308" s="6" t="n">
        <x:f>J79</x:f>
        <x:v>81.7782377316168</x:v>
      </x:c>
      <x:c r="I308" s="6" t="n">
        <x:f>K79</x:f>
        <x:v>57.104203871949565</x:v>
      </x:c>
      <x:c r="J308" s="6" t="n">
        <x:f>L79</x:f>
        <x:v>40.800596495326644</x:v>
      </x:c>
      <x:c r="K308" s="6" t="n">
        <x:f>M79</x:f>
        <x:v>67.67726891267839</x:v>
      </x:c>
      <x:c r="L308" s="6" t="n">
        <x:f>N79</x:f>
        <x:v>0</x:v>
      </x:c>
      <x:c r="M308" s="6" t="n">
        <x:f>O79</x:f>
        <x:v>63.92823164061999</x:v>
      </x:c>
      <x:c r="N308" s="6" t="n">
        <x:f>P79</x:f>
        <x:v>79.58745806980923</x:v>
      </x:c>
      <x:c r="O308" s="6" t="n">
        <x:f>Q79</x:f>
        <x:v>58.57023548250272</x:v>
      </x:c>
      <x:c r="P308" s="99"/>
      <x:c r="Q308" s="99"/>
    </x:row>
    <x:row r="309">
      <x:c r="C309" s="6" t="str">
        <x:v>2014-02</x:v>
      </x:c>
      <x:c r="D309" s="6" t="n">
        <x:f>F80</x:f>
        <x:v>74.47838559307536</x:v>
      </x:c>
      <x:c r="E309" s="6" t="n">
        <x:f>G80</x:f>
        <x:v>53.93352988761732</x:v>
      </x:c>
      <x:c r="F309" s="6" t="n">
        <x:f>H80</x:f>
        <x:v>52.94682325814215</x:v>
      </x:c>
      <x:c r="G309" s="6" t="n">
        <x:f>I80</x:f>
        <x:v>93.19539634805419</x:v>
      </x:c>
      <x:c r="H309" s="6" t="n">
        <x:f>J80</x:f>
        <x:v>79.3275645564878</x:v>
      </x:c>
      <x:c r="I309" s="6" t="n">
        <x:f>K80</x:f>
        <x:v>59.131221282774064</x:v>
      </x:c>
      <x:c r="J309" s="6" t="n">
        <x:f>L80</x:f>
        <x:v>43.65251512367757</x:v>
      </x:c>
      <x:c r="K309" s="6" t="n">
        <x:f>M80</x:f>
        <x:v>66.93021286209992</x:v>
      </x:c>
      <x:c r="L309" s="6" t="n">
        <x:f>N80</x:f>
        <x:v>0</x:v>
      </x:c>
      <x:c r="M309" s="6" t="n">
        <x:f>O80</x:f>
        <x:v>65.44944678363585</x:v>
      </x:c>
      <x:c r="N309" s="6" t="n">
        <x:f>P80</x:f>
        <x:v>77.491823527251</x:v>
      </x:c>
      <x:c r="O309" s="6" t="n">
        <x:f>Q80</x:f>
        <x:v>60.72343737910029</x:v>
      </x:c>
      <x:c r="P309" s="99"/>
      <x:c r="Q309" s="99"/>
    </x:row>
    <x:row r="310">
      <x:c r="C310" s="6" t="str">
        <x:v>2014-03</x:v>
      </x:c>
      <x:c r="D310" s="6" t="n">
        <x:f>F81</x:f>
        <x:v>77.18554224822728</x:v>
      </x:c>
      <x:c r="E310" s="6" t="n">
        <x:f>G81</x:f>
        <x:v>55.480548313962665</x:v>
      </x:c>
      <x:c r="F310" s="6" t="n">
        <x:f>H81</x:f>
        <x:v>54.03764863097713</x:v>
      </x:c>
      <x:c r="G310" s="6" t="n">
        <x:f>I81</x:f>
        <x:v>92.77524659021346</x:v>
      </x:c>
      <x:c r="H310" s="6" t="n">
        <x:f>J81</x:f>
        <x:v>83.55499318653531</x:v>
      </x:c>
      <x:c r="I310" s="6" t="n">
        <x:f>K81</x:f>
        <x:v>59.75957367301322</x:v>
      </x:c>
      <x:c r="J310" s="6" t="n">
        <x:f>L81</x:f>
        <x:v>46.16997986833664</x:v>
      </x:c>
      <x:c r="K310" s="6" t="n">
        <x:f>M81</x:f>
        <x:v>66.97704071205114</x:v>
      </x:c>
      <x:c r="L310" s="6" t="n">
        <x:f>N81</x:f>
        <x:v>0</x:v>
      </x:c>
      <x:c r="M310" s="6" t="n">
        <x:f>O81</x:f>
        <x:v>67.08922014621835</x:v>
      </x:c>
      <x:c r="N310" s="6" t="n">
        <x:f>P81</x:f>
        <x:v>74.65269886587048</x:v>
      </x:c>
      <x:c r="O310" s="6" t="n">
        <x:f>Q81</x:f>
        <x:v>59.22250912567908</x:v>
      </x:c>
      <x:c r="P310" s="99"/>
      <x:c r="Q310" s="99"/>
    </x:row>
    <x:row r="311">
      <x:c r="C311" s="6" t="str">
        <x:v>2014-04</x:v>
      </x:c>
      <x:c r="D311" s="6" t="n">
        <x:f>F82</x:f>
        <x:v>77.33672657741026</x:v>
      </x:c>
      <x:c r="E311" s="6" t="n">
        <x:f>G82</x:f>
        <x:v>58.18863624523014</x:v>
      </x:c>
      <x:c r="F311" s="6" t="n">
        <x:f>H82</x:f>
        <x:v>57.088518825029446</x:v>
      </x:c>
      <x:c r="G311" s="6" t="n">
        <x:f>I82</x:f>
        <x:v>89.12244792190963</x:v>
      </x:c>
      <x:c r="H311" s="6" t="n">
        <x:f>J82</x:f>
        <x:v>83.58682206988315</x:v>
      </x:c>
      <x:c r="I311" s="6" t="n">
        <x:f>K82</x:f>
        <x:v>60.38997831617737</x:v>
      </x:c>
      <x:c r="J311" s="6" t="n">
        <x:f>L82</x:f>
        <x:v>47.451834817607484</x:v>
      </x:c>
      <x:c r="K311" s="6" t="n">
        <x:f>M82</x:f>
        <x:v>63.841749571919394</x:v>
      </x:c>
      <x:c r="L311" s="6" t="n">
        <x:f>N82</x:f>
        <x:v>0</x:v>
      </x:c>
      <x:c r="M311" s="6" t="n">
        <x:f>O82</x:f>
        <x:v>64.42869305977823</x:v>
      </x:c>
      <x:c r="N311" s="6" t="n">
        <x:f>P82</x:f>
        <x:v>75.53007340165334</x:v>
      </x:c>
      <x:c r="O311" s="6" t="n">
        <x:f>Q82</x:f>
        <x:v>59.05399977188273</x:v>
      </x:c>
      <x:c r="P311" s="99"/>
      <x:c r="Q311" s="99"/>
    </x:row>
    <x:row r="312">
      <x:c r="C312" s="6" t="str">
        <x:v>2014-05</x:v>
      </x:c>
      <x:c r="D312" s="6" t="n">
        <x:f>F83</x:f>
        <x:v>79.44776373632074</x:v>
      </x:c>
      <x:c r="E312" s="6" t="n">
        <x:f>G83</x:f>
        <x:v>54.41428716184647</x:v>
      </x:c>
      <x:c r="F312" s="6" t="n">
        <x:f>H83</x:f>
        <x:v>73.04081488918982</x:v>
      </x:c>
      <x:c r="G312" s="6" t="n">
        <x:f>I83</x:f>
        <x:v>102.0228422740227</x:v>
      </x:c>
      <x:c r="H312" s="6" t="n">
        <x:f>J83</x:f>
        <x:v>80.30460865669376</x:v>
      </x:c>
      <x:c r="I312" s="6" t="n">
        <x:f>K83</x:f>
        <x:v>63.7935534359233</x:v>
      </x:c>
      <x:c r="J312" s="6" t="n">
        <x:f>L83</x:f>
        <x:v>49.8187614434155</x:v>
      </x:c>
      <x:c r="K312" s="6" t="n">
        <x:f>M83</x:f>
        <x:v>76.86675878772742</x:v>
      </x:c>
      <x:c r="L312" s="6" t="n">
        <x:f>N83</x:f>
        <x:v>0</x:v>
      </x:c>
      <x:c r="M312" s="6" t="n">
        <x:f>O83</x:f>
        <x:v>64.6557563704194</x:v>
      </x:c>
      <x:c r="N312" s="6" t="n">
        <x:f>P83</x:f>
        <x:v>76.52139165655937</x:v>
      </x:c>
      <x:c r="O312" s="6" t="n">
        <x:f>Q83</x:f>
        <x:v>61.38109135648474</x:v>
      </x:c>
      <x:c r="P312" s="99"/>
      <x:c r="Q312" s="99"/>
    </x:row>
    <x:row r="313">
      <x:c r="C313" s="6" t="str">
        <x:v>2014-06</x:v>
      </x:c>
      <x:c r="D313" s="6" t="n">
        <x:f>F84</x:f>
        <x:v>78.55993386753688</x:v>
      </x:c>
      <x:c r="E313" s="6" t="n">
        <x:f>G84</x:f>
        <x:v>52.585569663587584</x:v>
      </x:c>
      <x:c r="F313" s="6" t="n">
        <x:f>H84</x:f>
        <x:v>73.93135945042273</x:v>
      </x:c>
      <x:c r="G313" s="6" t="n">
        <x:f>I84</x:f>
        <x:v>100.77659544793309</x:v>
      </x:c>
      <x:c r="H313" s="6" t="n">
        <x:f>J84</x:f>
        <x:v>81.13848278093378</x:v>
      </x:c>
      <x:c r="I313" s="6" t="n">
        <x:f>K84</x:f>
        <x:v>63.54703795310739</x:v>
      </x:c>
      <x:c r="J313" s="6" t="n">
        <x:f>L84</x:f>
        <x:v>51.92764507359878</x:v>
      </x:c>
      <x:c r="K313" s="6" t="n">
        <x:f>M84</x:f>
        <x:v>77.23245039528662</x:v>
      </x:c>
      <x:c r="L313" s="6" t="n">
        <x:f>N84</x:f>
        <x:v>0</x:v>
      </x:c>
      <x:c r="M313" s="6" t="n">
        <x:f>O84</x:f>
        <x:v>60.64200831466169</x:v>
      </x:c>
      <x:c r="N313" s="6" t="n">
        <x:f>P84</x:f>
        <x:v>75.64507663388196</x:v>
      </x:c>
      <x:c r="O313" s="6" t="n">
        <x:f>Q84</x:f>
        <x:v>60.16510577265544</x:v>
      </x:c>
      <x:c r="P313" s="99"/>
      <x:c r="Q313" s="99"/>
    </x:row>
    <x:row r="314">
      <x:c r="C314" s="6" t="str">
        <x:v>2014-07</x:v>
      </x:c>
      <x:c r="D314" s="6" t="n">
        <x:f>F85</x:f>
        <x:v>80.24282319091476</x:v>
      </x:c>
      <x:c r="E314" s="6" t="n">
        <x:f>G85</x:f>
        <x:v>55.891472912724495</x:v>
      </x:c>
      <x:c r="F314" s="6" t="n">
        <x:f>H85</x:f>
        <x:v>84.40666826898853</x:v>
      </x:c>
      <x:c r="G314" s="6" t="n">
        <x:f>I85</x:f>
        <x:v>100.05138761647157</x:v>
      </x:c>
      <x:c r="H314" s="6" t="n">
        <x:f>J85</x:f>
        <x:v>77.90170909286485</x:v>
      </x:c>
      <x:c r="I314" s="6" t="n">
        <x:f>K85</x:f>
        <x:v>66.34605757471863</x:v>
      </x:c>
      <x:c r="J314" s="6" t="n">
        <x:f>L85</x:f>
        <x:v>51.04492721315079</x:v>
      </x:c>
      <x:c r="K314" s="6" t="n">
        <x:f>M85</x:f>
        <x:v>75.62601181778489</x:v>
      </x:c>
      <x:c r="L314" s="6" t="n">
        <x:f>N85</x:f>
        <x:v>0</x:v>
      </x:c>
      <x:c r="M314" s="6" t="n">
        <x:f>O85</x:f>
        <x:v>58.38134695164845</x:v>
      </x:c>
      <x:c r="N314" s="6" t="n">
        <x:f>P85</x:f>
        <x:v>71.22250047810368</x:v>
      </x:c>
      <x:c r="O314" s="6" t="n">
        <x:f>Q85</x:f>
        <x:v>61.25063588463991</x:v>
      </x:c>
      <x:c r="P314" s="99"/>
      <x:c r="Q314" s="99"/>
    </x:row>
    <x:row r="315">
      <x:c r="C315" s="6" t="str">
        <x:v>2014-08</x:v>
      </x:c>
      <x:c r="D315" s="6" t="n">
        <x:f>F86</x:f>
        <x:v>83.50345212756434</x:v>
      </x:c>
      <x:c r="E315" s="6" t="n">
        <x:f>G86</x:f>
        <x:v>56.624828289053276</x:v>
      </x:c>
      <x:c r="F315" s="6" t="n">
        <x:f>H86</x:f>
        <x:v>88.99393172385464</x:v>
      </x:c>
      <x:c r="G315" s="6" t="n">
        <x:f>I86</x:f>
        <x:v>98.2382807331802</x:v>
      </x:c>
      <x:c r="H315" s="6" t="n">
        <x:f>J86</x:f>
        <x:v>79.5744254073963</x:v>
      </x:c>
      <x:c r="I315" s="6" t="n">
        <x:f>K86</x:f>
        <x:v>69.93265933476744</x:v>
      </x:c>
      <x:c r="J315" s="6" t="n">
        <x:f>L86</x:f>
        <x:v>52.24985924744462</x:v>
      </x:c>
      <x:c r="K315" s="6" t="n">
        <x:f>M86</x:f>
        <x:v>77.35670155655386</x:v>
      </x:c>
      <x:c r="L315" s="6" t="n">
        <x:f>N86</x:f>
        <x:v>0</x:v>
      </x:c>
      <x:c r="M315" s="6" t="n">
        <x:f>O86</x:f>
        <x:v>54.87433960781729</x:v>
      </x:c>
      <x:c r="N315" s="6" t="n">
        <x:f>P86</x:f>
        <x:v>74.27951050174299</x:v>
      </x:c>
      <x:c r="O315" s="6" t="n">
        <x:f>Q86</x:f>
        <x:v>60.028687097451126</x:v>
      </x:c>
      <x:c r="P315" s="99"/>
      <x:c r="Q315" s="99"/>
    </x:row>
    <x:row r="316">
      <x:c r="C316" s="6" t="str">
        <x:v>2014-09</x:v>
      </x:c>
      <x:c r="D316" s="6" t="n">
        <x:f>F87</x:f>
        <x:v>79.81670170358113</x:v>
      </x:c>
      <x:c r="E316" s="6" t="n">
        <x:f>G87</x:f>
        <x:v>53.8492005330441</x:v>
      </x:c>
      <x:c r="F316" s="6" t="n">
        <x:f>H87</x:f>
        <x:v>99.18311404774546</x:v>
      </x:c>
      <x:c r="G316" s="6" t="n">
        <x:f>I87</x:f>
        <x:v>112.61944429629445</x:v>
      </x:c>
      <x:c r="H316" s="6" t="n">
        <x:f>J87</x:f>
        <x:v>80.98206614786014</x:v>
      </x:c>
      <x:c r="I316" s="6" t="n">
        <x:f>K87</x:f>
        <x:v>70.50843287785682</x:v>
      </x:c>
      <x:c r="J316" s="6" t="n">
        <x:f>L87</x:f>
        <x:v>53.335384131386974</x:v>
      </x:c>
      <x:c r="K316" s="6" t="n">
        <x:f>M87</x:f>
        <x:v>73.72922834242458</x:v>
      </x:c>
      <x:c r="L316" s="6" t="n">
        <x:f>N87</x:f>
        <x:v>0</x:v>
      </x:c>
      <x:c r="M316" s="6" t="n">
        <x:f>O87</x:f>
        <x:v>51.933857872987275</x:v>
      </x:c>
      <x:c r="N316" s="6" t="n">
        <x:f>P87</x:f>
        <x:v>73.46741997374124</x:v>
      </x:c>
      <x:c r="O316" s="6" t="n">
        <x:f>Q87</x:f>
        <x:v>58.14524388957628</x:v>
      </x:c>
      <x:c r="P316" s="99"/>
      <x:c r="Q316" s="99"/>
    </x:row>
    <x:row r="317">
      <x:c r="C317" s="6" t="str">
        <x:v>2014-10</x:v>
      </x:c>
      <x:c r="D317" s="6" t="n">
        <x:f>F88</x:f>
        <x:v>74.54041405613599</x:v>
      </x:c>
      <x:c r="E317" s="6" t="n">
        <x:f>G88</x:f>
        <x:v>57.55022298371948</x:v>
      </x:c>
      <x:c r="F317" s="6" t="n">
        <x:f>H88</x:f>
        <x:v>101.70231638567596</x:v>
      </x:c>
      <x:c r="G317" s="6" t="n">
        <x:f>I88</x:f>
        <x:v>113.0795635520984</x:v>
      </x:c>
      <x:c r="H317" s="6" t="n">
        <x:f>J88</x:f>
        <x:v>77.4499730123337</x:v>
      </x:c>
      <x:c r="I317" s="6" t="n">
        <x:f>K88</x:f>
        <x:v>73.05874632104961</x:v>
      </x:c>
      <x:c r="J317" s="6" t="n">
        <x:f>L88</x:f>
        <x:v>52.67974082219424</x:v>
      </x:c>
      <x:c r="K317" s="6" t="n">
        <x:f>M88</x:f>
        <x:v>75.35065884391113</x:v>
      </x:c>
      <x:c r="L317" s="6" t="n">
        <x:f>N88</x:f>
        <x:v>0</x:v>
      </x:c>
      <x:c r="M317" s="6" t="n">
        <x:f>O88</x:f>
        <x:v>40.31356085501942</x:v>
      </x:c>
      <x:c r="N317" s="6" t="n">
        <x:f>P88</x:f>
        <x:v>73.00788342233514</x:v>
      </x:c>
      <x:c r="O317" s="6" t="n">
        <x:f>Q88</x:f>
        <x:v>56.03843161569165</x:v>
      </x:c>
      <x:c r="P317" s="99"/>
      <x:c r="Q317" s="99"/>
    </x:row>
    <x:row r="318">
      <x:c r="C318" s="6" t="str">
        <x:v>2014-11</x:v>
      </x:c>
      <x:c r="D318" s="6" t="n">
        <x:f>F89</x:f>
        <x:v>72.05779659439492</x:v>
      </x:c>
      <x:c r="E318" s="6" t="n">
        <x:f>G89</x:f>
        <x:v>59.42504864344359</x:v>
      </x:c>
      <x:c r="F318" s="6" t="n">
        <x:f>H89</x:f>
        <x:v>104.0795394819431</x:v>
      </x:c>
      <x:c r="G318" s="6" t="n">
        <x:f>I89</x:f>
        <x:v>114.21998287054413</x:v>
      </x:c>
      <x:c r="H318" s="6" t="n">
        <x:f>J89</x:f>
        <x:v>74.67797414862655</x:v>
      </x:c>
      <x:c r="I318" s="6" t="n">
        <x:f>K89</x:f>
        <x:v>75.01311188453926</x:v>
      </x:c>
      <x:c r="J318" s="6" t="n">
        <x:f>L89</x:f>
        <x:v>53.337506591926996</x:v>
      </x:c>
      <x:c r="K318" s="6" t="n">
        <x:f>M89</x:f>
        <x:v>75.22363779065707</x:v>
      </x:c>
      <x:c r="L318" s="6" t="n">
        <x:f>N89</x:f>
        <x:v>0</x:v>
      </x:c>
      <x:c r="M318" s="6" t="n">
        <x:f>O89</x:f>
        <x:v>37.19934284571861</x:v>
      </x:c>
      <x:c r="N318" s="6" t="n">
        <x:f>P89</x:f>
        <x:v>72.16194384635247</x:v>
      </x:c>
      <x:c r="O318" s="6" t="n">
        <x:f>Q89</x:f>
        <x:v>54.42247627833973</x:v>
      </x:c>
      <x:c r="P318" s="99"/>
      <x:c r="Q318" s="99"/>
    </x:row>
    <x:row r="319">
      <x:c r="C319" s="6" t="str">
        <x:v>2014-12</x:v>
      </x:c>
      <x:c r="D319" s="6" t="n">
        <x:f>F90</x:f>
        <x:v>66.71939039477238</x:v>
      </x:c>
      <x:c r="E319" s="6" t="n">
        <x:f>G90</x:f>
        <x:v>62.75062980364249</x:v>
      </x:c>
      <x:c r="F319" s="6" t="n">
        <x:f>H90</x:f>
        <x:v>106.76979466201597</x:v>
      </x:c>
      <x:c r="G319" s="6" t="n">
        <x:f>I90</x:f>
        <x:v>116.57782733034425</x:v>
      </x:c>
      <x:c r="H319" s="6" t="n">
        <x:f>J90</x:f>
        <x:v>64.7334403523958</x:v>
      </x:c>
      <x:c r="I319" s="6" t="n">
        <x:f>K90</x:f>
        <x:v>75.2280416325401</x:v>
      </x:c>
      <x:c r="J319" s="6" t="n">
        <x:f>L90</x:f>
        <x:v>54.93583091809512</x:v>
      </x:c>
      <x:c r="K319" s="6" t="n">
        <x:f>M90</x:f>
        <x:v>75.22363498106377</x:v>
      </x:c>
      <x:c r="L319" s="6" t="n">
        <x:f>N90</x:f>
        <x:v>0</x:v>
      </x:c>
      <x:c r="M319" s="6" t="n">
        <x:f>O90</x:f>
        <x:v>29.780088585891523</x:v>
      </x:c>
      <x:c r="N319" s="6" t="n">
        <x:f>P90</x:f>
        <x:v>66.00690431311716</x:v>
      </x:c>
      <x:c r="O319" s="6" t="n">
        <x:f>Q90</x:f>
        <x:v>47.535060738023475</x:v>
      </x:c>
      <x:c r="P319" s="99"/>
      <x:c r="Q319" s="99"/>
    </x:row>
    <x:row r="320">
      <x:c r="C320" s="6" t="str">
        <x:v>2015-01</x:v>
      </x:c>
      <x:c r="D320" s="6" t="n">
        <x:f>F91</x:f>
        <x:v>64.7549413762231</x:v>
      </x:c>
      <x:c r="E320" s="6" t="n">
        <x:f>G91</x:f>
        <x:v>66.79065940762625</x:v>
      </x:c>
      <x:c r="F320" s="6" t="n">
        <x:f>H91</x:f>
        <x:v>106.66230240703001</x:v>
      </x:c>
      <x:c r="G320" s="6" t="n">
        <x:f>I91</x:f>
        <x:v>118.13858520665703</x:v>
      </x:c>
      <x:c r="H320" s="6" t="n">
        <x:f>J91</x:f>
        <x:v>54.715983450958596</x:v>
      </x:c>
      <x:c r="I320" s="6" t="n">
        <x:f>K91</x:f>
        <x:v>76.50975391651454</x:v>
      </x:c>
      <x:c r="J320" s="6" t="n">
        <x:f>L91</x:f>
        <x:v>56.4997702735464</x:v>
      </x:c>
      <x:c r="K320" s="6" t="n">
        <x:f>M91</x:f>
        <x:v>76.51684464011126</x:v>
      </x:c>
      <x:c r="L320" s="6" t="n">
        <x:f>N91</x:f>
        <x:v>0</x:v>
      </x:c>
      <x:c r="M320" s="6" t="n">
        <x:f>O91</x:f>
        <x:v>24.88899691083997</x:v>
      </x:c>
      <x:c r="N320" s="6" t="n">
        <x:f>P91</x:f>
        <x:v>64.94833776615086</x:v>
      </x:c>
      <x:c r="O320" s="6" t="n">
        <x:f>Q91</x:f>
        <x:v>45.79453299364674</x:v>
      </x:c>
      <x:c r="P320" s="99"/>
      <x:c r="Q320" s="99"/>
    </x:row>
    <x:row r="321">
      <x:c r="C321" s="6" t="str">
        <x:v>2015-02</x:v>
      </x:c>
      <x:c r="D321" s="6" t="n">
        <x:f>F92</x:f>
        <x:v>65.33902490584804</x:v>
      </x:c>
      <x:c r="E321" s="6" t="n">
        <x:f>G92</x:f>
        <x:v>63.17886958175352</x:v>
      </x:c>
      <x:c r="F321" s="6" t="n">
        <x:f>H92</x:f>
        <x:v>105.09760605212864</x:v>
      </x:c>
      <x:c r="G321" s="6" t="n">
        <x:f>I92</x:f>
        <x:v>119.38252751979354</x:v>
      </x:c>
      <x:c r="H321" s="6" t="n">
        <x:f>J92</x:f>
        <x:v>53.17718439156652</x:v>
      </x:c>
      <x:c r="I321" s="6" t="n">
        <x:f>K92</x:f>
        <x:v>77.99165936594201</x:v>
      </x:c>
      <x:c r="J321" s="6" t="n">
        <x:f>L92</x:f>
        <x:v>57.98577671551526</x:v>
      </x:c>
      <x:c r="K321" s="6" t="n">
        <x:f>M92</x:f>
        <x:v>79.01876049840601</x:v>
      </x:c>
      <x:c r="L321" s="6" t="n">
        <x:f>N92</x:f>
        <x:v>0</x:v>
      </x:c>
      <x:c r="M321" s="6" t="n">
        <x:f>O92</x:f>
        <x:v>21.079249909762353</x:v>
      </x:c>
      <x:c r="N321" s="6" t="n">
        <x:f>P92</x:f>
        <x:v>65.50959157185035</x:v>
      </x:c>
      <x:c r="O321" s="6" t="n">
        <x:f>Q92</x:f>
        <x:v>42.44911874440429</x:v>
      </x:c>
      <x:c r="P321" s="99"/>
      <x:c r="Q321" s="99"/>
    </x:row>
    <x:row r="322">
      <x:c r="C322" s="6" t="str">
        <x:v>2015-03</x:v>
      </x:c>
      <x:c r="D322" s="6" t="n">
        <x:f>F93</x:f>
        <x:v>62.919767211478714</x:v>
      </x:c>
      <x:c r="E322" s="6" t="n">
        <x:f>G93</x:f>
        <x:v>67.15597484482608</x:v>
      </x:c>
      <x:c r="F322" s="6" t="n">
        <x:f>H93</x:f>
        <x:v>103.94265217897767</x:v>
      </x:c>
      <x:c r="G322" s="6" t="n">
        <x:f>I93</x:f>
        <x:v>122.27634300180019</x:v>
      </x:c>
      <x:c r="H322" s="6" t="n">
        <x:f>J93</x:f>
        <x:v>48.10981391657854</x:v>
      </x:c>
      <x:c r="I322" s="6" t="n">
        <x:f>K93</x:f>
        <x:v>77.75092740132796</x:v>
      </x:c>
      <x:c r="J322" s="6" t="n">
        <x:f>L93</x:f>
        <x:v>59.75940770216637</x:v>
      </x:c>
      <x:c r="K322" s="6" t="n">
        <x:f>M93</x:f>
        <x:v>75.24543388365815</x:v>
      </x:c>
      <x:c r="L322" s="6" t="n">
        <x:f>N93</x:f>
        <x:v>0</x:v>
      </x:c>
      <x:c r="M322" s="6" t="n">
        <x:f>O93</x:f>
        <x:v>12.827559291713358</x:v>
      </x:c>
      <x:c r="N322" s="6" t="n">
        <x:f>P93</x:f>
        <x:v>64.46418869277551</x:v>
      </x:c>
      <x:c r="O322" s="6" t="n">
        <x:f>Q93</x:f>
        <x:v>41.64996229040098</x:v>
      </x:c>
      <x:c r="P322" s="99"/>
      <x:c r="Q322" s="99"/>
    </x:row>
    <x:row r="323">
      <x:c r="C323" s="6" t="str">
        <x:v>2015-04</x:v>
      </x:c>
      <x:c r="D323" s="6" t="n">
        <x:f>F94</x:f>
        <x:v>61.19821349631962</x:v>
      </x:c>
      <x:c r="E323" s="6" t="n">
        <x:f>G94</x:f>
        <x:v>69.89473105484612</x:v>
      </x:c>
      <x:c r="F323" s="6" t="n">
        <x:f>H94</x:f>
        <x:v>103.38883411459221</x:v>
      </x:c>
      <x:c r="G323" s="6" t="n">
        <x:f>I94</x:f>
        <x:v>122.57615250185785</x:v>
      </x:c>
      <x:c r="H323" s="6" t="n">
        <x:f>J94</x:f>
        <x:v>43.605467546994845</x:v>
      </x:c>
      <x:c r="I323" s="6" t="n">
        <x:f>K94</x:f>
        <x:v>78.10591864609144</x:v>
      </x:c>
      <x:c r="J323" s="6" t="n">
        <x:f>L94</x:f>
        <x:v>58.288288789847286</x:v>
      </x:c>
      <x:c r="K323" s="6" t="n">
        <x:f>M94</x:f>
        <x:v>75.31530797412125</x:v>
      </x:c>
      <x:c r="L323" s="6" t="n">
        <x:f>N94</x:f>
        <x:v>0</x:v>
      </x:c>
      <x:c r="M323" s="6" t="n">
        <x:f>O94</x:f>
        <x:v>-0.2567368768032981</x:v>
      </x:c>
      <x:c r="N323" s="6" t="n">
        <x:f>P94</x:f>
        <x:v>66.61749512068879</x:v>
      </x:c>
      <x:c r="O323" s="6" t="n">
        <x:f>Q94</x:f>
        <x:v>42.282316605550164</x:v>
      </x:c>
      <x:c r="P323" s="99"/>
      <x:c r="Q323" s="99"/>
    </x:row>
    <x:row r="324">
      <x:c r="C324" s="6" t="str">
        <x:v>2015-05</x:v>
      </x:c>
      <x:c r="D324" s="6" t="n">
        <x:f>F95</x:f>
        <x:v>62.51250062792912</x:v>
      </x:c>
      <x:c r="E324" s="6" t="n">
        <x:f>G95</x:f>
        <x:v>72.73445795339859</x:v>
      </x:c>
      <x:c r="F324" s="6" t="n">
        <x:f>H95</x:f>
        <x:v>107.87301590027928</x:v>
      </x:c>
      <x:c r="G324" s="6" t="n">
        <x:f>I95</x:f>
        <x:v>122.23901367766116</x:v>
      </x:c>
      <x:c r="H324" s="6" t="n">
        <x:f>J95</x:f>
        <x:v>49.72242393556244</x:v>
      </x:c>
      <x:c r="I324" s="6" t="n">
        <x:f>K95</x:f>
        <x:v>78.62417165829848</x:v>
      </x:c>
      <x:c r="J324" s="6" t="n">
        <x:f>L95</x:f>
        <x:v>60.0115966738607</x:v>
      </x:c>
      <x:c r="K324" s="6" t="n">
        <x:f>M95</x:f>
        <x:v>74.74762638249689</x:v>
      </x:c>
      <x:c r="L324" s="6" t="n">
        <x:f>N95</x:f>
        <x:v>0</x:v>
      </x:c>
      <x:c r="M324" s="6" t="n">
        <x:f>O95</x:f>
        <x:v>1.676461042821751</x:v>
      </x:c>
      <x:c r="N324" s="6" t="n">
        <x:f>P95</x:f>
        <x:v>64.77738767233349</x:v>
      </x:c>
      <x:c r="O324" s="6" t="n">
        <x:f>Q95</x:f>
        <x:v>43.526475044847075</x:v>
      </x:c>
      <x:c r="P324" s="99"/>
      <x:c r="Q324" s="99"/>
    </x:row>
    <x:row r="325">
      <x:c r="C325" s="6" t="str">
        <x:v>2015-06</x:v>
      </x:c>
      <x:c r="D325" s="6" t="n">
        <x:f>F96</x:f>
        <x:v>64.74448803318528</x:v>
      </x:c>
      <x:c r="E325" s="6" t="n">
        <x:f>G96</x:f>
        <x:v>77.37524234523225</x:v>
      </x:c>
      <x:c r="F325" s="6" t="n">
        <x:f>H96</x:f>
        <x:v>108.96947267319999</x:v>
      </x:c>
      <x:c r="G325" s="6" t="n">
        <x:f>I96</x:f>
        <x:v>126.69032669197537</x:v>
      </x:c>
      <x:c r="H325" s="6" t="n">
        <x:f>J96</x:f>
        <x:v>51.697419529561905</x:v>
      </x:c>
      <x:c r="I325" s="6" t="n">
        <x:f>K96</x:f>
        <x:v>78.21541177988321</x:v>
      </x:c>
      <x:c r="J325" s="6" t="n">
        <x:f>L96</x:f>
        <x:v>59.40836172794847</x:v>
      </x:c>
      <x:c r="K325" s="6" t="n">
        <x:f>M96</x:f>
        <x:v>75.73127240555141</x:v>
      </x:c>
      <x:c r="L325" s="6" t="n">
        <x:f>N96</x:f>
        <x:v>0</x:v>
      </x:c>
      <x:c r="M325" s="6" t="n">
        <x:f>O96</x:f>
        <x:v>2.5690459621843007</x:v>
      </x:c>
      <x:c r="N325" s="6" t="n">
        <x:f>P96</x:f>
        <x:v>63.42413584584441</x:v>
      </x:c>
      <x:c r="O325" s="6" t="n">
        <x:f>Q96</x:f>
        <x:v>42.08295120030963</x:v>
      </x:c>
      <x:c r="P325" s="99"/>
      <x:c r="Q325" s="99"/>
    </x:row>
    <x:row r="326">
      <x:c r="C326" s="6" t="str">
        <x:v>2015-07</x:v>
      </x:c>
      <x:c r="D326" s="6" t="n">
        <x:f>F97</x:f>
        <x:v>64.35981318413353</x:v>
      </x:c>
      <x:c r="E326" s="6" t="n">
        <x:f>G97</x:f>
        <x:v>82.32789247744195</x:v>
      </x:c>
      <x:c r="F326" s="6" t="n">
        <x:f>H97</x:f>
        <x:v>110.50077850736419</x:v>
      </x:c>
      <x:c r="G326" s="6" t="n">
        <x:f>I97</x:f>
        <x:v>127.81640607191527</x:v>
      </x:c>
      <x:c r="H326" s="6" t="n">
        <x:f>J97</x:f>
        <x:v>52.781333855023185</x:v>
      </x:c>
      <x:c r="I326" s="6" t="n">
        <x:f>K97</x:f>
        <x:v>78.60181634236454</x:v>
      </x:c>
      <x:c r="J326" s="6" t="n">
        <x:f>L97</x:f>
        <x:v>58.622346358700874</x:v>
      </x:c>
      <x:c r="K326" s="6" t="n">
        <x:f>M97</x:f>
        <x:v>80.35545730156586</x:v>
      </x:c>
      <x:c r="L326" s="6" t="n">
        <x:f>N97</x:f>
        <x:v>0</x:v>
      </x:c>
      <x:c r="M326" s="6" t="n">
        <x:f>O97</x:f>
        <x:v>4.17436829564722</x:v>
      </x:c>
      <x:c r="N326" s="6" t="n">
        <x:f>P97</x:f>
        <x:v>59.68764346979697</x:v>
      </x:c>
      <x:c r="O326" s="6" t="n">
        <x:f>Q97</x:f>
        <x:v>43.03474036669709</x:v>
      </x:c>
      <x:c r="P326" s="99"/>
      <x:c r="Q326" s="99"/>
    </x:row>
    <x:row r="327">
      <x:c r="C327" s="6" t="str">
        <x:v>2015-08</x:v>
      </x:c>
      <x:c r="D327" s="6" t="n">
        <x:f>F98</x:f>
        <x:v>63.14188429869997</x:v>
      </x:c>
      <x:c r="E327" s="6" t="n">
        <x:f>G98</x:f>
        <x:v>82.28264274241867</x:v>
      </x:c>
      <x:c r="F327" s="6" t="n">
        <x:f>H98</x:f>
        <x:v>112.27443384593909</x:v>
      </x:c>
      <x:c r="G327" s="6" t="n">
        <x:f>I98</x:f>
        <x:v>130.08264603397592</x:v>
      </x:c>
      <x:c r="H327" s="6" t="n">
        <x:f>J98</x:f>
        <x:v>49.40165940353877</x:v>
      </x:c>
      <x:c r="I327" s="6" t="n">
        <x:f>K98</x:f>
        <x:v>78.44024315909728</x:v>
      </x:c>
      <x:c r="J327" s="6" t="n">
        <x:f>L98</x:f>
        <x:v>58.50638405636642</x:v>
      </x:c>
      <x:c r="K327" s="6" t="n">
        <x:f>M98</x:f>
        <x:v>81.8415319837743</x:v>
      </x:c>
      <x:c r="L327" s="6" t="n">
        <x:f>N98</x:f>
        <x:v>0</x:v>
      </x:c>
      <x:c r="M327" s="6" t="n">
        <x:f>O98</x:f>
        <x:v>6.000509520706319</x:v>
      </x:c>
      <x:c r="N327" s="6" t="n">
        <x:f>P98</x:f>
        <x:v>61.96182207124332</x:v>
      </x:c>
      <x:c r="O327" s="6" t="n">
        <x:f>Q98</x:f>
        <x:v>42.50988450234224</x:v>
      </x:c>
      <x:c r="P327" s="99"/>
      <x:c r="Q327" s="99"/>
    </x:row>
    <x:row r="328">
      <x:c r="C328" s="6" t="str">
        <x:v>2015-09</x:v>
      </x:c>
      <x:c r="D328" s="6" t="n">
        <x:f>F99</x:f>
        <x:v>58.194800960626814</x:v>
      </x:c>
      <x:c r="E328" s="6" t="n">
        <x:f>G99</x:f>
        <x:v>88.64986554110985</x:v>
      </x:c>
      <x:c r="F328" s="6" t="n">
        <x:f>H99</x:f>
        <x:v>116.35860412076615</x:v>
      </x:c>
      <x:c r="G328" s="6" t="n">
        <x:f>I99</x:f>
        <x:v>120.73651215860875</x:v>
      </x:c>
      <x:c r="H328" s="6" t="n">
        <x:f>J99</x:f>
        <x:v>41.6987189969892</x:v>
      </x:c>
      <x:c r="I328" s="6" t="n">
        <x:f>K99</x:f>
        <x:v>78.90505306027585</x:v>
      </x:c>
      <x:c r="J328" s="6" t="n">
        <x:f>L99</x:f>
        <x:v>59.962765399302334</x:v>
      </x:c>
      <x:c r="K328" s="6" t="n">
        <x:f>M99</x:f>
        <x:v>85.91819475312798</x:v>
      </x:c>
      <x:c r="L328" s="6" t="n">
        <x:f>N99</x:f>
        <x:v>0</x:v>
      </x:c>
      <x:c r="M328" s="6" t="n">
        <x:f>O99</x:f>
        <x:v>3.925695955685044</x:v>
      </x:c>
      <x:c r="N328" s="6" t="n">
        <x:f>P99</x:f>
        <x:v>60.44210484264435</x:v>
      </x:c>
      <x:c r="O328" s="6" t="n">
        <x:f>Q99</x:f>
        <x:v>39.979470244108704</x:v>
      </x:c>
      <x:c r="P328" s="99"/>
      <x:c r="Q328" s="99"/>
    </x:row>
    <x:row r="329">
      <x:c r="C329" s="6" t="str">
        <x:v>2015-10</x:v>
      </x:c>
      <x:c r="D329" s="6" t="n">
        <x:f>F100</x:f>
        <x:v>57.76739812299607</x:v>
      </x:c>
      <x:c r="E329" s="6" t="n">
        <x:f>G100</x:f>
        <x:v>87.30974093341761</x:v>
      </x:c>
      <x:c r="F329" s="6" t="n">
        <x:f>H100</x:f>
        <x:v>118.83424488354197</x:v>
      </x:c>
      <x:c r="G329" s="6" t="n">
        <x:f>I100</x:f>
        <x:v>132.7722612479147</x:v>
      </x:c>
      <x:c r="H329" s="6" t="n">
        <x:f>J100</x:f>
        <x:v>41.52017662446655</x:v>
      </x:c>
      <x:c r="I329" s="6" t="n">
        <x:f>K100</x:f>
        <x:v>75.06585178049201</x:v>
      </x:c>
      <x:c r="J329" s="6" t="n">
        <x:f>L100</x:f>
        <x:v>59.512362153371335</x:v>
      </x:c>
      <x:c r="K329" s="6" t="n">
        <x:f>M100</x:f>
        <x:v>90.23308549645073</x:v>
      </x:c>
      <x:c r="L329" s="6" t="n">
        <x:f>N100</x:f>
        <x:v>0</x:v>
      </x:c>
      <x:c r="M329" s="6" t="n">
        <x:f>O100</x:f>
        <x:v>8.44531918552007</x:v>
      </x:c>
      <x:c r="N329" s="6" t="n">
        <x:f>P100</x:f>
        <x:v>57.396730241615316</x:v>
      </x:c>
      <x:c r="O329" s="6" t="n">
        <x:f>Q100</x:f>
        <x:v>39.92409929666683</x:v>
      </x:c>
      <x:c r="P329" s="99"/>
      <x:c r="Q329" s="99"/>
    </x:row>
    <x:row r="330">
      <x:c r="C330" s="6" t="str">
        <x:v>2015-11</x:v>
      </x:c>
      <x:c r="D330" s="6" t="n">
        <x:f>F101</x:f>
        <x:v>58.040168349929864</x:v>
      </x:c>
      <x:c r="E330" s="6" t="n">
        <x:f>G101</x:f>
        <x:v>87.99739765463175</x:v>
      </x:c>
      <x:c r="F330" s="6" t="n">
        <x:f>H101</x:f>
        <x:v>118.73411186478435</x:v>
      </x:c>
      <x:c r="G330" s="6" t="n">
        <x:f>I101</x:f>
        <x:v>134.47473828328296</x:v>
      </x:c>
      <x:c r="H330" s="6" t="n">
        <x:f>J101</x:f>
        <x:v>39.51693798542207</x:v>
      </x:c>
      <x:c r="I330" s="6" t="n">
        <x:f>K101</x:f>
        <x:v>74.18128618747451</x:v>
      </x:c>
      <x:c r="J330" s="6" t="n">
        <x:f>L101</x:f>
        <x:v>62.15166467225848</x:v>
      </x:c>
      <x:c r="K330" s="6" t="n">
        <x:f>M101</x:f>
        <x:v>93.66277748634255</x:v>
      </x:c>
      <x:c r="L330" s="6" t="n">
        <x:f>N101</x:f>
        <x:v>0</x:v>
      </x:c>
      <x:c r="M330" s="6" t="n">
        <x:f>O101</x:f>
        <x:v>9.719083172565139</x:v>
      </x:c>
      <x:c r="N330" s="6" t="n">
        <x:f>P101</x:f>
        <x:v>59.60139450009297</x:v>
      </x:c>
      <x:c r="O330" s="6" t="n">
        <x:f>Q101</x:f>
        <x:v>38.985326404173016</x:v>
      </x:c>
      <x:c r="P330" s="99"/>
      <x:c r="Q330" s="99"/>
    </x:row>
    <x:row r="331">
      <x:c r="C331" s="6" t="str">
        <x:v>2015-12</x:v>
      </x:c>
      <x:c r="D331" s="6" t="n">
        <x:f>F102</x:f>
        <x:v>56.35039211081667</x:v>
      </x:c>
      <x:c r="E331" s="6" t="n">
        <x:f>G102</x:f>
        <x:v>86.81883730632953</x:v>
      </x:c>
      <x:c r="F331" s="6" t="n">
        <x:f>H102</x:f>
        <x:v>121.59894655392856</x:v>
      </x:c>
      <x:c r="G331" s="6" t="n">
        <x:f>I102</x:f>
        <x:v>121.55259631972513</x:v>
      </x:c>
      <x:c r="H331" s="6" t="n">
        <x:f>J102</x:f>
        <x:v>37.31022972121799</x:v>
      </x:c>
      <x:c r="I331" s="6" t="n">
        <x:f>K102</x:f>
        <x:v>72.9295872280695</x:v>
      </x:c>
      <x:c r="J331" s="6" t="n">
        <x:f>L102</x:f>
        <x:v>67.56297426436645</x:v>
      </x:c>
      <x:c r="K331" s="6" t="n">
        <x:f>M102</x:f>
        <x:v>94.63477134675819</x:v>
      </x:c>
      <x:c r="L331" s="6" t="n">
        <x:f>N102</x:f>
        <x:v>0</x:v>
      </x:c>
      <x:c r="M331" s="6" t="n">
        <x:f>O102</x:f>
        <x:v>12.2981366162204</x:v>
      </x:c>
      <x:c r="N331" s="6" t="n">
        <x:f>P102</x:f>
        <x:v>65.93120824418722</x:v>
      </x:c>
      <x:c r="O331" s="6" t="n">
        <x:f>Q102</x:f>
        <x:v>39.17563487981708</x:v>
      </x:c>
      <x:c r="P331" s="99"/>
      <x:c r="Q331" s="99"/>
    </x:row>
    <x:row r="332">
      <x:c r="C332" s="6" t="str">
        <x:v>2016-01</x:v>
      </x:c>
      <x:c r="D332" s="6" t="n">
        <x:f>F103</x:f>
        <x:v>54.032925054010924</x:v>
      </x:c>
      <x:c r="E332" s="6" t="n">
        <x:f>G103</x:f>
        <x:v>84.51397191470433</x:v>
      </x:c>
      <x:c r="F332" s="6" t="n">
        <x:f>H103</x:f>
        <x:v>119.42390961129676</x:v>
      </x:c>
      <x:c r="G332" s="6" t="n">
        <x:f>I103</x:f>
        <x:v>127.84227476098931</x:v>
      </x:c>
      <x:c r="H332" s="6" t="n">
        <x:f>J103</x:f>
        <x:v>27.983665085989013</x:v>
      </x:c>
      <x:c r="I332" s="6" t="n">
        <x:f>K103</x:f>
        <x:v>72.31239133892802</x:v>
      </x:c>
      <x:c r="J332" s="6" t="n">
        <x:f>L103</x:f>
        <x:v>67.85212529122389</x:v>
      </x:c>
      <x:c r="K332" s="6" t="n">
        <x:f>M103</x:f>
        <x:v>95.3149345524688</x:v>
      </x:c>
      <x:c r="L332" s="6" t="n">
        <x:f>N103</x:f>
        <x:v>0</x:v>
      </x:c>
      <x:c r="M332" s="6" t="n">
        <x:f>O103</x:f>
        <x:v>6.636707738377612</x:v>
      </x:c>
      <x:c r="N332" s="6" t="n">
        <x:f>P103</x:f>
        <x:v>65.13975497650873</x:v>
      </x:c>
      <x:c r="O332" s="6" t="n">
        <x:f>Q103</x:f>
        <x:v>41.79113015726833</x:v>
      </x:c>
      <x:c r="P332" s="99"/>
      <x:c r="Q332" s="99"/>
    </x:row>
    <x:row r="333">
      <x:c r="C333" s="6" t="str">
        <x:v>2016-02</x:v>
      </x:c>
      <x:c r="D333" s="6" t="n">
        <x:f>F104</x:f>
        <x:v>51.70563354093274</x:v>
      </x:c>
      <x:c r="E333" s="6" t="n">
        <x:f>G104</x:f>
        <x:v>87.6909731111704</x:v>
      </x:c>
      <x:c r="F333" s="6" t="n">
        <x:f>H104</x:f>
        <x:v>123.68795225273712</x:v>
      </x:c>
      <x:c r="G333" s="6" t="n">
        <x:f>I104</x:f>
        <x:v>120.95649819734129</x:v>
      </x:c>
      <x:c r="H333" s="6" t="n">
        <x:f>J104</x:f>
        <x:v>25.867107913204197</x:v>
      </x:c>
      <x:c r="I333" s="6" t="n">
        <x:f>K104</x:f>
        <x:v>71.299676319397</x:v>
      </x:c>
      <x:c r="J333" s="6" t="n">
        <x:f>L104</x:f>
        <x:v>73.02563329471266</x:v>
      </x:c>
      <x:c r="K333" s="6" t="n">
        <x:f>M104</x:f>
        <x:v>93.88769209309899</x:v>
      </x:c>
      <x:c r="L333" s="6" t="n">
        <x:f>N104</x:f>
        <x:v>0</x:v>
      </x:c>
      <x:c r="M333" s="6" t="n">
        <x:f>O104</x:f>
        <x:v>3.376901648256805</x:v>
      </x:c>
      <x:c r="N333" s="6" t="n">
        <x:f>P104</x:f>
        <x:v>63.34661026814937</x:v>
      </x:c>
      <x:c r="O333" s="6" t="n">
        <x:f>Q104</x:f>
        <x:v>41.9856912678245</x:v>
      </x:c>
      <x:c r="P333" s="99"/>
      <x:c r="Q333" s="99"/>
    </x:row>
    <x:row r="334">
      <x:c r="C334" s="6" t="str">
        <x:v>2016-03</x:v>
      </x:c>
      <x:c r="D334" s="6" t="n">
        <x:f>F105</x:f>
        <x:v>52.07614966330365</x:v>
      </x:c>
      <x:c r="E334" s="6" t="n">
        <x:f>G105</x:f>
        <x:v>90.38338133237114</x:v>
      </x:c>
      <x:c r="F334" s="6" t="n">
        <x:f>H105</x:f>
        <x:v>125.53949215475136</x:v>
      </x:c>
      <x:c r="G334" s="6" t="n">
        <x:f>I105</x:f>
        <x:v>119.76881554927101</x:v>
      </x:c>
      <x:c r="H334" s="6" t="n">
        <x:f>J105</x:f>
        <x:v>17.086366554616333</x:v>
      </x:c>
      <x:c r="I334" s="6" t="n">
        <x:f>K105</x:f>
        <x:v>70.7389043628803</x:v>
      </x:c>
      <x:c r="J334" s="6" t="n">
        <x:f>L105</x:f>
        <x:v>76.63901437070363</x:v>
      </x:c>
      <x:c r="K334" s="6" t="n">
        <x:f>M105</x:f>
        <x:v>87.39718254898146</x:v>
      </x:c>
      <x:c r="L334" s="6" t="n">
        <x:f>N105</x:f>
        <x:v>0</x:v>
      </x:c>
      <x:c r="M334" s="6" t="n">
        <x:f>O105</x:f>
        <x:v>7.265908491403265</x:v>
      </x:c>
      <x:c r="N334" s="6" t="n">
        <x:f>P105</x:f>
        <x:v>65.8700571516104</x:v>
      </x:c>
      <x:c r="O334" s="6" t="n">
        <x:f>Q105</x:f>
        <x:v>42.6230969480506</x:v>
      </x:c>
      <x:c r="P334" s="99"/>
      <x:c r="Q334" s="99"/>
    </x:row>
    <x:row r="335">
      <x:c r="C335" s="6" t="str">
        <x:v>2016-04</x:v>
      </x:c>
      <x:c r="D335" s="6" t="n">
        <x:f>F106</x:f>
        <x:v>51.791863821069754</x:v>
      </x:c>
      <x:c r="E335" s="6" t="n">
        <x:f>G106</x:f>
        <x:v>91.12015410367177</x:v>
      </x:c>
      <x:c r="F335" s="6" t="n">
        <x:f>H106</x:f>
        <x:v>128.53790308279284</x:v>
      </x:c>
      <x:c r="G335" s="6" t="n">
        <x:f>I106</x:f>
        <x:v>122.46517764827993</x:v>
      </x:c>
      <x:c r="H335" s="6" t="n">
        <x:f>J106</x:f>
        <x:v>18.311047716829616</x:v>
      </x:c>
      <x:c r="I335" s="6" t="n">
        <x:f>K106</x:f>
        <x:v>70.0312851312131</x:v>
      </x:c>
      <x:c r="J335" s="6" t="n">
        <x:f>L106</x:f>
        <x:v>81.83295239705785</x:v>
      </x:c>
      <x:c r="K335" s="6" t="n">
        <x:f>M106</x:f>
        <x:v>83.61535279591004</x:v>
      </x:c>
      <x:c r="L335" s="6" t="n">
        <x:f>N106</x:f>
        <x:v>0</x:v>
      </x:c>
      <x:c r="M335" s="6" t="n">
        <x:f>O106</x:f>
        <x:v>7.229731410708295</x:v>
      </x:c>
      <x:c r="N335" s="6" t="n">
        <x:f>P106</x:f>
        <x:v>69.41747319216809</x:v>
      </x:c>
      <x:c r="O335" s="6" t="n">
        <x:f>Q106</x:f>
        <x:v>45.21635513218536</x:v>
      </x:c>
      <x:c r="P335" s="99"/>
      <x:c r="Q335" s="99"/>
    </x:row>
    <x:row r="336">
      <x:c r="C336" s="6" t="str">
        <x:v>2016-05</x:v>
      </x:c>
      <x:c r="D336" s="6" t="n">
        <x:f>F107</x:f>
        <x:v>54.1467704749509</x:v>
      </x:c>
      <x:c r="E336" s="6" t="n">
        <x:f>G107</x:f>
        <x:v>94.57807304330623</x:v>
      </x:c>
      <x:c r="F336" s="6" t="n">
        <x:f>H107</x:f>
        <x:v>130.88392812170477</x:v>
      </x:c>
      <x:c r="G336" s="6" t="n">
        <x:f>I107</x:f>
        <x:v>127.88326506260155</x:v>
      </x:c>
      <x:c r="H336" s="6" t="n">
        <x:f>J107</x:f>
        <x:v>22.210103077166895</x:v>
      </x:c>
      <x:c r="I336" s="6" t="n">
        <x:f>K107</x:f>
        <x:v>68.4366787248975</x:v>
      </x:c>
      <x:c r="J336" s="6" t="n">
        <x:f>L107</x:f>
        <x:v>86.1476493348431</x:v>
      </x:c>
      <x:c r="K336" s="6" t="n">
        <x:f>M107</x:f>
        <x:v>85.06952360055425</x:v>
      </x:c>
      <x:c r="L336" s="6" t="n">
        <x:f>N107</x:f>
        <x:v>0</x:v>
      </x:c>
      <x:c r="M336" s="6" t="n">
        <x:f>O107</x:f>
        <x:v>15.152899958148438</x:v>
      </x:c>
      <x:c r="N336" s="6" t="n">
        <x:f>P107</x:f>
        <x:v>68.92903195501023</x:v>
      </x:c>
      <x:c r="O336" s="6" t="n">
        <x:f>Q107</x:f>
        <x:v>46.443300970177035</x:v>
      </x:c>
      <x:c r="P336" s="99"/>
      <x:c r="Q336" s="99"/>
    </x:row>
    <x:row r="337">
      <x:c r="C337" s="6" t="str">
        <x:v>2016-06</x:v>
      </x:c>
      <x:c r="D337" s="6" t="n">
        <x:f>F108</x:f>
        <x:v>54.885361635499684</x:v>
      </x:c>
      <x:c r="E337" s="6" t="n">
        <x:f>G108</x:f>
        <x:v>96.19251603850084</x:v>
      </x:c>
      <x:c r="F337" s="6" t="n">
        <x:f>H108</x:f>
        <x:v>131.23207098011187</x:v>
      </x:c>
      <x:c r="G337" s="6" t="n">
        <x:f>I108</x:f>
        <x:v>125.80907031989896</x:v>
      </x:c>
      <x:c r="H337" s="6" t="n">
        <x:f>J108</x:f>
        <x:v>25.311013023327796</x:v>
      </x:c>
      <x:c r="I337" s="6" t="n">
        <x:f>K108</x:f>
        <x:v>68.30834368383911</x:v>
      </x:c>
      <x:c r="J337" s="6" t="n">
        <x:f>L108</x:f>
        <x:v>84.18685767542046</x:v>
      </x:c>
      <x:c r="K337" s="6" t="n">
        <x:f>M108</x:f>
        <x:v>84.78942028840832</x:v>
      </x:c>
      <x:c r="L337" s="6" t="n">
        <x:f>N108</x:f>
        <x:v>0</x:v>
      </x:c>
      <x:c r="M337" s="6" t="n">
        <x:f>O108</x:f>
        <x:v>17.01453617961878</x:v>
      </x:c>
      <x:c r="N337" s="6" t="n">
        <x:f>P108</x:f>
        <x:v>69.61232560239068</x:v>
      </x:c>
      <x:c r="O337" s="6" t="n">
        <x:f>Q108</x:f>
        <x:v>46.60596529578302</x:v>
      </x:c>
      <x:c r="P337" s="99"/>
      <x:c r="Q337" s="99"/>
    </x:row>
    <x:row r="338">
      <x:c r="C338" s="6" t="str">
        <x:v>2016-07</x:v>
      </x:c>
      <x:c r="D338" s="6" t="n">
        <x:f>F109</x:f>
        <x:v>55.44581963432446</x:v>
      </x:c>
      <x:c r="E338" s="6" t="n">
        <x:f>G109</x:f>
        <x:v>91.58478839961398</x:v>
      </x:c>
      <x:c r="F338" s="6" t="n">
        <x:f>H109</x:f>
        <x:v>131.47578572509067</x:v>
      </x:c>
      <x:c r="G338" s="6" t="n">
        <x:f>I109</x:f>
        <x:v>118.50535942730657</x:v>
      </x:c>
      <x:c r="H338" s="6" t="n">
        <x:f>J109</x:f>
        <x:v>30.700654299536613</x:v>
      </x:c>
      <x:c r="I338" s="6" t="n">
        <x:f>K109</x:f>
        <x:v>68.85595819375887</x:v>
      </x:c>
      <x:c r="J338" s="6" t="n">
        <x:f>L109</x:f>
        <x:v>86.01070560422694</x:v>
      </x:c>
      <x:c r="K338" s="6" t="n">
        <x:f>M109</x:f>
        <x:v>81.17880562792676</x:v>
      </x:c>
      <x:c r="L338" s="6" t="n">
        <x:f>N109</x:f>
        <x:v>0</x:v>
      </x:c>
      <x:c r="M338" s="6" t="n">
        <x:f>O109</x:f>
        <x:v>14.365055606238473</x:v>
      </x:c>
      <x:c r="N338" s="6" t="n">
        <x:f>P109</x:f>
        <x:v>67.42770083877096</x:v>
      </x:c>
      <x:c r="O338" s="6" t="n">
        <x:f>Q109</x:f>
        <x:v>47.08066434370747</x:v>
      </x:c>
      <x:c r="P338" s="99"/>
      <x:c r="Q338" s="99"/>
    </x:row>
    <x:row r="339">
      <x:c r="C339" s="6" t="str">
        <x:v>2016-08</x:v>
      </x:c>
      <x:c r="D339" s="6" t="n">
        <x:f>F110</x:f>
        <x:v>59.107637130977096</x:v>
      </x:c>
      <x:c r="E339" s="6" t="n">
        <x:f>G110</x:f>
        <x:v>91.95593415621452</x:v>
      </x:c>
      <x:c r="F339" s="6" t="n">
        <x:f>H110</x:f>
        <x:v>132.31158223744612</x:v>
      </x:c>
      <x:c r="G339" s="6" t="n">
        <x:f>I110</x:f>
        <x:v>116.4186621437947</x:v>
      </x:c>
      <x:c r="H339" s="6" t="n">
        <x:f>J110</x:f>
        <x:v>37.45584842807664</x:v>
      </x:c>
      <x:c r="I339" s="6" t="n">
        <x:f>K110</x:f>
        <x:v>71.2216267325626</x:v>
      </x:c>
      <x:c r="J339" s="6" t="n">
        <x:f>L110</x:f>
        <x:v>85.65548974216657</x:v>
      </x:c>
      <x:c r="K339" s="6" t="n">
        <x:f>M110</x:f>
        <x:v>78.6549015845778</x:v>
      </x:c>
      <x:c r="L339" s="6" t="n">
        <x:f>N110</x:f>
        <x:v>0</x:v>
      </x:c>
      <x:c r="M339" s="6" t="n">
        <x:f>O110</x:f>
        <x:v>15.48786304604732</x:v>
      </x:c>
      <x:c r="N339" s="6" t="n">
        <x:f>P110</x:f>
        <x:v>66.61945619419721</x:v>
      </x:c>
      <x:c r="O339" s="6" t="n">
        <x:f>Q110</x:f>
        <x:v>48.899355526488215</x:v>
      </x:c>
      <x:c r="P339" s="99"/>
      <x:c r="Q339" s="99"/>
    </x:row>
    <x:row r="340">
      <x:c r="C340" s="6" t="str">
        <x:v>2016-09</x:v>
      </x:c>
      <x:c r="D340" s="6" t="n">
        <x:f>F111</x:f>
        <x:v>60.150230708157146</x:v>
      </x:c>
      <x:c r="E340" s="6" t="n">
        <x:f>G111</x:f>
        <x:v>91.62347252897743</x:v>
      </x:c>
      <x:c r="F340" s="6" t="n">
        <x:f>H111</x:f>
        <x:v>135.21568327341794</x:v>
      </x:c>
      <x:c r="G340" s="6" t="n">
        <x:f>I111</x:f>
        <x:v>121.86171211401415</x:v>
      </x:c>
      <x:c r="H340" s="6" t="n">
        <x:f>J111</x:f>
        <x:v>35.41913924389402</x:v>
      </x:c>
      <x:c r="I340" s="6" t="n">
        <x:f>K111</x:f>
        <x:v>71.66021520591592</x:v>
      </x:c>
      <x:c r="J340" s="6" t="n">
        <x:f>L111</x:f>
        <x:v>90.38194346326803</x:v>
      </x:c>
      <x:c r="K340" s="6" t="n">
        <x:f>M111</x:f>
        <x:v>79.43915660938934</x:v>
      </x:c>
      <x:c r="L340" s="6" t="n">
        <x:f>N111</x:f>
        <x:v>0</x:v>
      </x:c>
      <x:c r="M340" s="6" t="n">
        <x:f>O111</x:f>
        <x:v>19.571362102911703</x:v>
      </x:c>
      <x:c r="N340" s="6" t="n">
        <x:f>P111</x:f>
        <x:v>64.61897296305153</x:v>
      </x:c>
      <x:c r="O340" s="6" t="n">
        <x:f>Q111</x:f>
        <x:v>52.72076577695286</x:v>
      </x:c>
      <x:c r="P340" s="99"/>
      <x:c r="Q340" s="99"/>
    </x:row>
    <x:row r="341">
      <x:c r="C341" s="6" t="str">
        <x:v>2016-10</x:v>
      </x:c>
      <x:c r="D341" s="6" t="n">
        <x:f>F112</x:f>
        <x:v>62.125965827465556</x:v>
      </x:c>
      <x:c r="E341" s="6" t="n">
        <x:f>G112</x:f>
        <x:v>88.59416523466933</x:v>
      </x:c>
      <x:c r="F341" s="6" t="n">
        <x:f>H112</x:f>
        <x:v>137.3864019965485</x:v>
      </x:c>
      <x:c r="G341" s="6" t="n">
        <x:f>I112</x:f>
        <x:v>114.03045221203566</x:v>
      </x:c>
      <x:c r="H341" s="6" t="n">
        <x:f>J112</x:f>
        <x:v>35.678445583878215</x:v>
      </x:c>
      <x:c r="I341" s="6" t="n">
        <x:f>K112</x:f>
        <x:v>74.60134217130982</x:v>
      </x:c>
      <x:c r="J341" s="6" t="n">
        <x:f>L112</x:f>
        <x:v>89.55907728624473</x:v>
      </x:c>
      <x:c r="K341" s="6" t="n">
        <x:f>M112</x:f>
        <x:v>79.33937309144407</x:v>
      </x:c>
      <x:c r="L341" s="6" t="n">
        <x:f>N112</x:f>
        <x:v>0</x:v>
      </x:c>
      <x:c r="M341" s="6" t="n">
        <x:f>O112</x:f>
        <x:v>19.16355166226877</x:v>
      </x:c>
      <x:c r="N341" s="6" t="n">
        <x:f>P112</x:f>
        <x:v>60.59869638300904</x:v>
      </x:c>
      <x:c r="O341" s="6" t="n">
        <x:f>Q112</x:f>
        <x:v>54.120639999778675</x:v>
      </x:c>
      <x:c r="P341" s="99"/>
      <x:c r="Q341" s="99"/>
    </x:row>
    <x:row r="342">
      <x:c r="C342" s="6" t="str">
        <x:v>2016-11</x:v>
      </x:c>
      <x:c r="D342" s="6" t="n">
        <x:f>F113</x:f>
        <x:v>63.652861618339095</x:v>
      </x:c>
      <x:c r="E342" s="6" t="n">
        <x:f>G113</x:f>
        <x:v>91.22148696851806</x:v>
      </x:c>
      <x:c r="F342" s="6" t="n">
        <x:f>H113</x:f>
        <x:v>138.7820697142361</x:v>
      </x:c>
      <x:c r="G342" s="6" t="n">
        <x:f>I113</x:f>
        <x:v>110.0784040022595</x:v>
      </x:c>
      <x:c r="H342" s="6" t="n">
        <x:f>J113</x:f>
        <x:v>36.072148497505516</x:v>
      </x:c>
      <x:c r="I342" s="6" t="n">
        <x:f>K113</x:f>
        <x:v>78.18917808272174</x:v>
      </x:c>
      <x:c r="J342" s="6" t="n">
        <x:f>L113</x:f>
        <x:v>91.65184258334396</x:v>
      </x:c>
      <x:c r="K342" s="6" t="n">
        <x:f>M113</x:f>
        <x:v>77.84642808803139</x:v>
      </x:c>
      <x:c r="L342" s="6" t="n">
        <x:f>N113</x:f>
        <x:v>0</x:v>
      </x:c>
      <x:c r="M342" s="6" t="n">
        <x:f>O113</x:f>
        <x:v>22.189173984137227</x:v>
      </x:c>
      <x:c r="N342" s="6" t="n">
        <x:f>P113</x:f>
        <x:v>60.8261532716042</x:v>
      </x:c>
      <x:c r="O342" s="6" t="n">
        <x:f>Q113</x:f>
        <x:v>54.611127400504856</x:v>
      </x:c>
      <x:c r="P342" s="99"/>
      <x:c r="Q342" s="99"/>
    </x:row>
    <x:row r="343">
      <x:c r="C343" s="6" t="str">
        <x:v>2016-12</x:v>
      </x:c>
      <x:c r="D343" s="6" t="n">
        <x:f>F114</x:f>
        <x:v>66.15940732251467</x:v>
      </x:c>
      <x:c r="E343" s="6" t="n">
        <x:f>G114</x:f>
        <x:v>95.43191692800693</x:v>
      </x:c>
      <x:c r="F343" s="6" t="n">
        <x:f>H114</x:f>
        <x:v>135.826834707222</x:v>
      </x:c>
      <x:c r="G343" s="6" t="n">
        <x:f>I114</x:f>
        <x:v>109.25455761191114</x:v>
      </x:c>
      <x:c r="H343" s="6" t="n">
        <x:f>J114</x:f>
        <x:v>37.891716849715486</x:v>
      </x:c>
      <x:c r="I343" s="6" t="n">
        <x:f>K114</x:f>
        <x:v>78.57210116859387</x:v>
      </x:c>
      <x:c r="J343" s="6" t="n">
        <x:f>L114</x:f>
        <x:v>93.62092419846068</x:v>
      </x:c>
      <x:c r="K343" s="6" t="n">
        <x:f>M114</x:f>
        <x:v>77.99115718474646</x:v>
      </x:c>
      <x:c r="L343" s="6" t="n">
        <x:f>N114</x:f>
        <x:v>0</x:v>
      </x:c>
      <x:c r="M343" s="6" t="n">
        <x:f>O114</x:f>
        <x:v>33.661732654306135</x:v>
      </x:c>
      <x:c r="N343" s="6" t="n">
        <x:f>P114</x:f>
        <x:v>61.24425957046675</x:v>
      </x:c>
      <x:c r="O343" s="6" t="n">
        <x:f>Q114</x:f>
        <x:v>52.400595458081476</x:v>
      </x:c>
      <x:c r="P343" s="99"/>
      <x:c r="Q343" s="99"/>
    </x:row>
    <x:row r="344">
      <x:c r="C344" s="6" t="str">
        <x:v>2017-01</x:v>
      </x:c>
      <x:c r="D344" s="6" t="n">
        <x:f>F115</x:f>
        <x:v>71.7803452598888</x:v>
      </x:c>
      <x:c r="E344" s="6" t="n">
        <x:f>G115</x:f>
        <x:v>94.73747692960201</x:v>
      </x:c>
      <x:c r="F344" s="6" t="n">
        <x:f>H115</x:f>
        <x:v>135.20970693764443</x:v>
      </x:c>
      <x:c r="G344" s="6" t="n">
        <x:f>I115</x:f>
        <x:v>112.47762249337565</x:v>
      </x:c>
      <x:c r="H344" s="6" t="n">
        <x:f>J115</x:f>
        <x:v>44.333298098486196</x:v>
      </x:c>
      <x:c r="I344" s="6" t="n">
        <x:f>K115</x:f>
        <x:v>80.50986437246632</x:v>
      </x:c>
      <x:c r="J344" s="6" t="n">
        <x:f>L115</x:f>
        <x:v>95.72242165157549</x:v>
      </x:c>
      <x:c r="K344" s="6" t="n">
        <x:f>M115</x:f>
        <x:v>80.20123396306356</x:v>
      </x:c>
      <x:c r="L344" s="6" t="n">
        <x:f>N115</x:f>
        <x:v>0</x:v>
      </x:c>
      <x:c r="M344" s="6" t="n">
        <x:f>O115</x:f>
        <x:v>43.823332724718455</x:v>
      </x:c>
      <x:c r="N344" s="6" t="n">
        <x:f>P115</x:f>
        <x:v>63.42250416040775</x:v>
      </x:c>
      <x:c r="O344" s="6" t="n">
        <x:f>Q115</x:f>
        <x:v>54.30798530542703</x:v>
      </x:c>
      <x:c r="P344" s="99"/>
      <x:c r="Q344" s="99"/>
    </x:row>
    <x:row r="345">
      <x:c r="C345" s="6" t="str">
        <x:v>2017-02</x:v>
      </x:c>
      <x:c r="D345" s="6" t="n">
        <x:f>F116</x:f>
        <x:v>74.89988745959847</x:v>
      </x:c>
      <x:c r="E345" s="6" t="n">
        <x:f>G116</x:f>
        <x:v>93.64511654423056</x:v>
      </x:c>
      <x:c r="F345" s="6" t="n">
        <x:f>H116</x:f>
        <x:v>133.7096672096576</x:v>
      </x:c>
      <x:c r="G345" s="6" t="n">
        <x:f>I116</x:f>
        <x:v>117.29012949445936</x:v>
      </x:c>
      <x:c r="H345" s="6" t="n">
        <x:f>J116</x:f>
        <x:v>47.41168066549559</x:v>
      </x:c>
      <x:c r="I345" s="6" t="n">
        <x:f>K116</x:f>
        <x:v>81.78699825738089</x:v>
      </x:c>
      <x:c r="J345" s="6" t="n">
        <x:f>L116</x:f>
        <x:v>96.19209570154807</x:v>
      </x:c>
      <x:c r="K345" s="6" t="n">
        <x:f>M116</x:f>
        <x:v>85.87339685222602</x:v>
      </x:c>
      <x:c r="L345" s="6" t="n">
        <x:f>N116</x:f>
        <x:v>0</x:v>
      </x:c>
      <x:c r="M345" s="6" t="n">
        <x:f>O116</x:f>
        <x:v>49.21215307364106</x:v>
      </x:c>
      <x:c r="N345" s="6" t="n">
        <x:f>P116</x:f>
        <x:v>66.73885941732931</x:v>
      </x:c>
      <x:c r="O345" s="6" t="n">
        <x:f>Q116</x:f>
        <x:v>59.4892643845644</x:v>
      </x:c>
      <x:c r="P345" s="99"/>
      <x:c r="Q345" s="99"/>
    </x:row>
    <x:row r="346">
      <x:c r="C346" s="6" t="str">
        <x:v>2017-03</x:v>
      </x:c>
      <x:c r="D346" s="6" t="n">
        <x:f>F117</x:f>
        <x:v>76.13159117286482</x:v>
      </x:c>
      <x:c r="E346" s="6" t="n">
        <x:f>G117</x:f>
        <x:v>95.22654874272473</x:v>
      </x:c>
      <x:c r="F346" s="6" t="n">
        <x:f>H117</x:f>
        <x:v>133.7330409261753</x:v>
      </x:c>
      <x:c r="G346" s="6" t="n">
        <x:f>I117</x:f>
        <x:v>116.21607923256725</x:v>
      </x:c>
      <x:c r="H346" s="6" t="n">
        <x:f>J117</x:f>
        <x:v>46.43139961889082</x:v>
      </x:c>
      <x:c r="I346" s="6" t="n">
        <x:f>K117</x:f>
        <x:v>83.56405160087664</x:v>
      </x:c>
      <x:c r="J346" s="6" t="n">
        <x:f>L117</x:f>
        <x:v>96.8934145862813</x:v>
      </x:c>
      <x:c r="K346" s="6" t="n">
        <x:f>M117</x:f>
        <x:v>80.3815300350808</x:v>
      </x:c>
      <x:c r="L346" s="6" t="n">
        <x:f>N117</x:f>
        <x:v>0</x:v>
      </x:c>
      <x:c r="M346" s="6" t="n">
        <x:f>O117</x:f>
        <x:v>58.94157736638783</x:v>
      </x:c>
      <x:c r="N346" s="6" t="n">
        <x:f>P117</x:f>
        <x:v>69.25457919943037</x:v>
      </x:c>
      <x:c r="O346" s="6" t="n">
        <x:f>Q117</x:f>
        <x:v>62.18311954916086</x:v>
      </x:c>
      <x:c r="P346" s="99"/>
      <x:c r="Q346" s="99"/>
    </x:row>
    <x:row r="347">
      <x:c r="C347" s="6" t="str">
        <x:v>2017-04</x:v>
      </x:c>
      <x:c r="D347" s="6" t="n">
        <x:f>F118</x:f>
        <x:v>74.01810270856274</x:v>
      </x:c>
      <x:c r="E347" s="6" t="n">
        <x:f>G118</x:f>
        <x:v>85.45804042009907</x:v>
      </x:c>
      <x:c r="F347" s="6" t="n">
        <x:f>H118</x:f>
        <x:v>132.06618966330416</x:v>
      </x:c>
      <x:c r="G347" s="6" t="n">
        <x:f>I118</x:f>
        <x:v>110.7980263707006</x:v>
      </x:c>
      <x:c r="H347" s="6" t="n">
        <x:f>J118</x:f>
        <x:v>41.54732067583412</x:v>
      </x:c>
      <x:c r="I347" s="6" t="n">
        <x:f>K118</x:f>
        <x:v>83.9360673096222</x:v>
      </x:c>
      <x:c r="J347" s="6" t="n">
        <x:f>L118</x:f>
        <x:v>96.66878567925177</x:v>
      </x:c>
      <x:c r="K347" s="6" t="n">
        <x:f>M118</x:f>
        <x:v>81.45468389702903</x:v>
      </x:c>
      <x:c r="L347" s="6" t="n">
        <x:f>N118</x:f>
        <x:v>0</x:v>
      </x:c>
      <x:c r="M347" s="6" t="n">
        <x:f>O118</x:f>
        <x:v>57.92877819805097</x:v>
      </x:c>
      <x:c r="N347" s="6" t="n">
        <x:f>P118</x:f>
        <x:v>70.42571787058178</x:v>
      </x:c>
      <x:c r="O347" s="6" t="n">
        <x:f>Q118</x:f>
        <x:v>62.105240218947465</x:v>
      </x:c>
      <x:c r="P347" s="99"/>
      <x:c r="Q347" s="99"/>
    </x:row>
    <x:row r="348">
      <x:c r="C348" s="6" t="str">
        <x:v>2017-05</x:v>
      </x:c>
      <x:c r="D348" s="6" t="n">
        <x:f>F119</x:f>
        <x:v>73.35019693345784</x:v>
      </x:c>
      <x:c r="E348" s="6" t="n">
        <x:f>G119</x:f>
        <x:v>88.38377414474847</x:v>
      </x:c>
      <x:c r="F348" s="6" t="n">
        <x:f>H119</x:f>
        <x:v>137.13651994876898</x:v>
      </x:c>
      <x:c r="G348" s="6" t="n">
        <x:f>I119</x:f>
        <x:v>105.93264433931098</x:v>
      </x:c>
      <x:c r="H348" s="6" t="n">
        <x:f>J119</x:f>
        <x:v>50.78397906654006</x:v>
      </x:c>
      <x:c r="I348" s="6" t="n">
        <x:f>K119</x:f>
        <x:v>82.73884448070459</x:v>
      </x:c>
      <x:c r="J348" s="6" t="n">
        <x:f>L119</x:f>
        <x:v>94.32984473896408</x:v>
      </x:c>
      <x:c r="K348" s="6" t="n">
        <x:f>M119</x:f>
        <x:v>82.36742431843544</x:v>
      </x:c>
      <x:c r="L348" s="6" t="n">
        <x:f>N119</x:f>
        <x:v>0</x:v>
      </x:c>
      <x:c r="M348" s="6" t="n">
        <x:f>O119</x:f>
        <x:v>56.489475668999255</x:v>
      </x:c>
      <x:c r="N348" s="6" t="n">
        <x:f>P119</x:f>
        <x:v>72.43184647969049</x:v>
      </x:c>
      <x:c r="O348" s="6" t="n">
        <x:f>Q119</x:f>
        <x:v>57.536092429494154</x:v>
      </x:c>
      <x:c r="P348" s="99"/>
      <x:c r="Q348" s="99"/>
    </x:row>
    <x:row r="349">
      <x:c r="C349" s="6" t="str">
        <x:v>2017-06</x:v>
      </x:c>
      <x:c r="D349" s="6" t="n">
        <x:f>F120</x:f>
        <x:v>73.20939461093803</x:v>
      </x:c>
      <x:c r="E349" s="6" t="n">
        <x:f>G120</x:f>
        <x:v>89.13306204778347</x:v>
      </x:c>
      <x:c r="F349" s="6" t="n">
        <x:f>H120</x:f>
        <x:v>137.54802732362975</x:v>
      </x:c>
      <x:c r="G349" s="6" t="n">
        <x:f>I120</x:f>
        <x:v>110.9956714581407</x:v>
      </x:c>
      <x:c r="H349" s="6" t="n">
        <x:f>J120</x:f>
        <x:v>49.27927753885705</x:v>
      </x:c>
      <x:c r="I349" s="6" t="n">
        <x:f>K120</x:f>
        <x:v>83.37834860021033</x:v>
      </x:c>
      <x:c r="J349" s="6" t="n">
        <x:f>L120</x:f>
        <x:v>94.40980714494707</x:v>
      </x:c>
      <x:c r="K349" s="6" t="n">
        <x:f>M120</x:f>
        <x:v>83.53836243074647</x:v>
      </x:c>
      <x:c r="L349" s="6" t="n">
        <x:f>N120</x:f>
        <x:v>0</x:v>
      </x:c>
      <x:c r="M349" s="6" t="n">
        <x:f>O120</x:f>
        <x:v>52.33951929592779</x:v>
      </x:c>
      <x:c r="N349" s="6" t="n">
        <x:f>P120</x:f>
        <x:v>79.1580591131593</x:v>
      </x:c>
      <x:c r="O349" s="6" t="n">
        <x:f>Q120</x:f>
        <x:v>69.0203351533388</x:v>
      </x:c>
      <x:c r="P349" s="99"/>
      <x:c r="Q349" s="99"/>
    </x:row>
    <x:row r="350">
      <x:c r="C350" s="6" t="str">
        <x:v>2017-07</x:v>
      </x:c>
      <x:c r="D350" s="6" t="n">
        <x:f>F121</x:f>
        <x:v>72.89443224857162</x:v>
      </x:c>
      <x:c r="E350" s="6" t="n">
        <x:f>G121</x:f>
        <x:v>88.10740569812933</x:v>
      </x:c>
      <x:c r="F350" s="6" t="n">
        <x:f>H121</x:f>
        <x:v>135.1955148491921</x:v>
      </x:c>
      <x:c r="G350" s="6" t="n">
        <x:f>I121</x:f>
        <x:v>110.79403782632828</x:v>
      </x:c>
      <x:c r="H350" s="6" t="n">
        <x:f>J121</x:f>
        <x:v>50.9395577002248</x:v>
      </x:c>
      <x:c r="I350" s="6" t="n">
        <x:f>K121</x:f>
        <x:v>83.99525675380846</x:v>
      </x:c>
      <x:c r="J350" s="6" t="n">
        <x:f>L121</x:f>
        <x:v>93.83112983868251</x:v>
      </x:c>
      <x:c r="K350" s="6" t="n">
        <x:f>M121</x:f>
        <x:v>84.51667224654244</x:v>
      </x:c>
      <x:c r="L350" s="6" t="n">
        <x:f>N121</x:f>
        <x:v>0</x:v>
      </x:c>
      <x:c r="M350" s="6" t="n">
        <x:f>O121</x:f>
        <x:v>48.61817541457603</x:v>
      </x:c>
      <x:c r="N350" s="6" t="n">
        <x:f>P121</x:f>
        <x:v>82.18784616653971</x:v>
      </x:c>
      <x:c r="O350" s="6" t="n">
        <x:f>Q121</x:f>
        <x:v>67.86213754676996</x:v>
      </x:c>
      <x:c r="P350" s="99"/>
      <x:c r="Q350" s="99"/>
    </x:row>
    <x:row r="351">
      <x:c r="C351" s="6" t="str">
        <x:v>2017-08</x:v>
      </x:c>
      <x:c r="D351" s="6" t="n">
        <x:f>F122</x:f>
        <x:v>73.21219315401258</x:v>
      </x:c>
      <x:c r="E351" s="6" t="n">
        <x:f>G122</x:f>
        <x:v>88.71124189128933</x:v>
      </x:c>
      <x:c r="F351" s="6" t="n">
        <x:f>H122</x:f>
        <x:v>136.6862368905398</x:v>
      </x:c>
      <x:c r="G351" s="6" t="n">
        <x:f>I122</x:f>
        <x:v>110.12478778682069</x:v>
      </x:c>
      <x:c r="H351" s="6" t="n">
        <x:f>J122</x:f>
        <x:v>47.5964485739117</x:v>
      </x:c>
      <x:c r="I351" s="6" t="n">
        <x:f>K122</x:f>
        <x:v>86.0076796988281</x:v>
      </x:c>
      <x:c r="J351" s="6" t="n">
        <x:f>L122</x:f>
        <x:v>96.05845882161897</x:v>
      </x:c>
      <x:c r="K351" s="6" t="n">
        <x:f>M122</x:f>
        <x:v>83.05388895093583</x:v>
      </x:c>
      <x:c r="L351" s="6" t="n">
        <x:f>N122</x:f>
        <x:v>0</x:v>
      </x:c>
      <x:c r="M351" s="6" t="n">
        <x:f>O122</x:f>
        <x:v>49.3253530221685</x:v>
      </x:c>
      <x:c r="N351" s="6" t="n">
        <x:f>P122</x:f>
        <x:v>84.32826668588315</x:v>
      </x:c>
      <x:c r="O351" s="6" t="n">
        <x:f>Q122</x:f>
        <x:v>69.40489679211525</x:v>
      </x:c>
      <x:c r="P351" s="99"/>
      <x:c r="Q351" s="99"/>
    </x:row>
    <x:row r="352">
      <x:c r="C352" s="6" t="str">
        <x:v>2017-09</x:v>
      </x:c>
      <x:c r="D352" s="6" t="n">
        <x:f>F123</x:f>
        <x:v>71.63123167604687</x:v>
      </x:c>
      <x:c r="E352" s="6" t="n">
        <x:f>G123</x:f>
        <x:v>87.56098785838353</x:v>
      </x:c>
      <x:c r="F352" s="6" t="n">
        <x:f>H123</x:f>
        <x:v>137.63174628005768</x:v>
      </x:c>
      <x:c r="G352" s="6" t="n">
        <x:f>I123</x:f>
        <x:v>109.48458012603786</x:v>
      </x:c>
      <x:c r="H352" s="6" t="n">
        <x:f>J123</x:f>
        <x:v>45.74022888147529</x:v>
      </x:c>
      <x:c r="I352" s="6" t="n">
        <x:f>K123</x:f>
        <x:v>84.95896886423509</x:v>
      </x:c>
      <x:c r="J352" s="6" t="n">
        <x:f>L123</x:f>
        <x:v>94.55732555525212</x:v>
      </x:c>
      <x:c r="K352" s="6" t="n">
        <x:f>M123</x:f>
        <x:v>80.90678350013027</x:v>
      </x:c>
      <x:c r="L352" s="6" t="n">
        <x:f>N123</x:f>
        <x:v>0</x:v>
      </x:c>
      <x:c r="M352" s="6" t="n">
        <x:f>O123</x:f>
        <x:v>48.33984479459457</x:v>
      </x:c>
      <x:c r="N352" s="6" t="n">
        <x:f>P123</x:f>
        <x:v>83.04963106114698</x:v>
      </x:c>
      <x:c r="O352" s="6" t="n">
        <x:f>Q123</x:f>
        <x:v>69.69988466539903</x:v>
      </x:c>
      <x:c r="P352" s="99"/>
      <x:c r="Q352" s="99"/>
    </x:row>
    <x:row r="353">
      <x:c r="C353" s="6" t="str">
        <x:v>2017-10</x:v>
      </x:c>
      <x:c r="D353" s="6" t="n">
        <x:f>F124</x:f>
        <x:v>72.10478230711789</x:v>
      </x:c>
      <x:c r="E353" s="6" t="n">
        <x:f>G124</x:f>
        <x:v>87.96500842045573</x:v>
      </x:c>
      <x:c r="F353" s="6" t="n">
        <x:f>H124</x:f>
        <x:v>140.54602930933783</x:v>
      </x:c>
      <x:c r="G353" s="6" t="n">
        <x:f>I124</x:f>
        <x:v>110.9948225118249</x:v>
      </x:c>
      <x:c r="H353" s="6" t="n">
        <x:f>J124</x:f>
        <x:v>43.83832189022003</x:v>
      </x:c>
      <x:c r="I353" s="6" t="n">
        <x:f>K124</x:f>
        <x:v>87.27944541869383</x:v>
      </x:c>
      <x:c r="J353" s="6" t="n">
        <x:f>L124</x:f>
        <x:v>97.93984872887229</x:v>
      </x:c>
      <x:c r="K353" s="6" t="n">
        <x:f>M124</x:f>
        <x:v>78.73653274541164</x:v>
      </x:c>
      <x:c r="L353" s="6" t="n">
        <x:f>N124</x:f>
        <x:v>0</x:v>
      </x:c>
      <x:c r="M353" s="6" t="n">
        <x:f>O124</x:f>
        <x:v>45.57014266337532</x:v>
      </x:c>
      <x:c r="N353" s="6" t="n">
        <x:f>P124</x:f>
        <x:v>84.83008255033675</x:v>
      </x:c>
      <x:c r="O353" s="6" t="n">
        <x:f>Q124</x:f>
        <x:v>71.06983284049393</x:v>
      </x:c>
      <x:c r="P353" s="99"/>
      <x:c r="Q353" s="99"/>
    </x:row>
    <x:row r="354">
      <x:c r="C354" s="6" t="str">
        <x:v>2017-11</x:v>
      </x:c>
      <x:c r="D354" s="6" t="n">
        <x:f>F125</x:f>
        <x:v>74.31169679572666</x:v>
      </x:c>
      <x:c r="E354" s="6" t="n">
        <x:f>G125</x:f>
        <x:v>89.24247975668354</x:v>
      </x:c>
      <x:c r="F354" s="6" t="n">
        <x:f>H125</x:f>
        <x:v>141.40635434077265</x:v>
      </x:c>
      <x:c r="G354" s="6" t="n">
        <x:f>I125</x:f>
        <x:v>114.02915083313196</x:v>
      </x:c>
      <x:c r="H354" s="6" t="n">
        <x:f>J125</x:f>
        <x:v>44.64462837459816</x:v>
      </x:c>
      <x:c r="I354" s="6" t="n">
        <x:f>K125</x:f>
        <x:v>87.23518251837157</x:v>
      </x:c>
      <x:c r="J354" s="6" t="n">
        <x:f>L125</x:f>
        <x:v>101.4055667185241</x:v>
      </x:c>
      <x:c r="K354" s="6" t="n">
        <x:f>M125</x:f>
        <x:v>77.95009623065488</x:v>
      </x:c>
      <x:c r="L354" s="6" t="n">
        <x:f>N125</x:f>
        <x:v>0</x:v>
      </x:c>
      <x:c r="M354" s="6" t="n">
        <x:f>O125</x:f>
        <x:v>53.27306341644644</x:v>
      </x:c>
      <x:c r="N354" s="6" t="n">
        <x:f>P125</x:f>
        <x:v>87.87281861241922</x:v>
      </x:c>
      <x:c r="O354" s="6" t="n">
        <x:f>Q125</x:f>
        <x:v>71.6410332052756</x:v>
      </x:c>
      <x:c r="P354" s="99"/>
      <x:c r="Q354" s="99"/>
    </x:row>
    <x:row r="355">
      <x:c r="C355" s="6" t="str">
        <x:v>2017-12</x:v>
      </x:c>
      <x:c r="D355" s="6" t="n">
        <x:f>F126</x:f>
        <x:v>77.22895663097998</x:v>
      </x:c>
      <x:c r="E355" s="6" t="n">
        <x:f>G126</x:f>
        <x:v>89.27214285562629</x:v>
      </x:c>
      <x:c r="F355" s="6" t="n">
        <x:f>H126</x:f>
        <x:v>136.76231708315598</x:v>
      </x:c>
      <x:c r="G355" s="6" t="n">
        <x:f>I126</x:f>
        <x:v>114.63959524057401</x:v>
      </x:c>
      <x:c r="H355" s="6" t="n">
        <x:f>J126</x:f>
        <x:v>50.62197761613546</x:v>
      </x:c>
      <x:c r="I355" s="6" t="n">
        <x:f>K126</x:f>
        <x:v>87.42826724405161</x:v>
      </x:c>
      <x:c r="J355" s="6" t="n">
        <x:f>L126</x:f>
        <x:v>88.52513471933601</x:v>
      </x:c>
      <x:c r="K355" s="6" t="n">
        <x:f>M126</x:f>
        <x:v>76.5608705878075</x:v>
      </x:c>
      <x:c r="L355" s="6" t="n">
        <x:f>N126</x:f>
        <x:v>0</x:v>
      </x:c>
      <x:c r="M355" s="6" t="n">
        <x:f>O126</x:f>
        <x:v>61.74617465572485</x:v>
      </x:c>
      <x:c r="N355" s="6" t="n">
        <x:f>P126</x:f>
        <x:v>81.31153211854958</x:v>
      </x:c>
      <x:c r="O355" s="6" t="n">
        <x:f>Q126</x:f>
        <x:v>75.53623565639768</x:v>
      </x:c>
      <x:c r="P355" s="99"/>
      <x:c r="Q355" s="99"/>
    </x:row>
    <x:row r="356">
      <x:c r="C356" s="6" t="str">
        <x:v>2018-01</x:v>
      </x:c>
      <x:c r="D356" s="6" t="n">
        <x:f>F127</x:f>
        <x:v>83.7965350891442</x:v>
      </x:c>
      <x:c r="E356" s="6" t="n">
        <x:f>G127</x:f>
        <x:v>91.85837493532603</x:v>
      </x:c>
      <x:c r="F356" s="6" t="n">
        <x:f>H127</x:f>
        <x:v>135.19448316965236</x:v>
      </x:c>
      <x:c r="G356" s="6" t="n">
        <x:f>I127</x:f>
        <x:v>123.30380999888612</x:v>
      </x:c>
      <x:c r="H356" s="6" t="n">
        <x:f>J127</x:f>
        <x:v>56.34888201830003</x:v>
      </x:c>
      <x:c r="I356" s="6" t="n">
        <x:f>K127</x:f>
        <x:v>90.26743963060706</x:v>
      </x:c>
      <x:c r="J356" s="6" t="n">
        <x:f>L127</x:f>
        <x:v>89.03572665736176</x:v>
      </x:c>
      <x:c r="K356" s="6" t="n">
        <x:f>M127</x:f>
        <x:v>77.67240039608046</x:v>
      </x:c>
      <x:c r="L356" s="6" t="n">
        <x:f>N127</x:f>
        <x:v>0</x:v>
      </x:c>
      <x:c r="M356" s="6" t="n">
        <x:f>O127</x:f>
        <x:v>62.751363547556814</x:v>
      </x:c>
      <x:c r="N356" s="6" t="n">
        <x:f>P127</x:f>
        <x:v>81.78045048112685</x:v>
      </x:c>
      <x:c r="O356" s="6" t="n">
        <x:f>Q127</x:f>
        <x:v>74.68210027302186</x:v>
      </x:c>
      <x:c r="P356" s="99"/>
      <x:c r="Q356" s="99"/>
    </x:row>
    <x:row r="357">
      <x:c r="C357" s="6" t="str">
        <x:v>2018-02</x:v>
      </x:c>
      <x:c r="D357" s="6" t="n">
        <x:f>F128</x:f>
        <x:v>90.62184137798855</x:v>
      </x:c>
      <x:c r="E357" s="6" t="n">
        <x:f>G128</x:f>
        <x:v>90.89840562101568</x:v>
      </x:c>
      <x:c r="F357" s="6" t="n">
        <x:f>H128</x:f>
        <x:v>131.94374774253487</x:v>
      </x:c>
      <x:c r="G357" s="6" t="n">
        <x:f>I128</x:f>
        <x:v>128.79479761800133</x:v>
      </x:c>
      <x:c r="H357" s="6" t="n">
        <x:f>J128</x:f>
        <x:v>67.24416833573423</x:v>
      </x:c>
      <x:c r="I357" s="6" t="n">
        <x:f>K128</x:f>
        <x:v>94.25696358883279</x:v>
      </x:c>
      <x:c r="J357" s="6" t="n">
        <x:f>L128</x:f>
        <x:v>91.40043154310212</x:v>
      </x:c>
      <x:c r="K357" s="6" t="n">
        <x:f>M128</x:f>
        <x:v>73.21461132510781</x:v>
      </x:c>
      <x:c r="L357" s="6" t="n">
        <x:f>N128</x:f>
        <x:v>0</x:v>
      </x:c>
      <x:c r="M357" s="6" t="n">
        <x:f>O128</x:f>
        <x:v>64.85864340775399</x:v>
      </x:c>
      <x:c r="N357" s="6" t="n">
        <x:f>P128</x:f>
        <x:v>81.8061468871404</x:v>
      </x:c>
      <x:c r="O357" s="6" t="n">
        <x:f>Q128</x:f>
        <x:v>78.55519443972685</x:v>
      </x:c>
      <x:c r="P357" s="99"/>
      <x:c r="Q357" s="99"/>
    </x:row>
    <x:row r="358">
      <x:c r="C358" s="6" t="str">
        <x:v>2018-03</x:v>
      </x:c>
      <x:c r="D358" s="6" t="n">
        <x:f>F129</x:f>
        <x:v>94.51687029839894</x:v>
      </x:c>
      <x:c r="E358" s="6" t="n">
        <x:f>G129</x:f>
        <x:v>93.01683372288072</x:v>
      </x:c>
      <x:c r="F358" s="6" t="n">
        <x:f>H129</x:f>
        <x:v>129.85283330465523</x:v>
      </x:c>
      <x:c r="G358" s="6" t="n">
        <x:f>I129</x:f>
        <x:v>140.00830451557874</x:v>
      </x:c>
      <x:c r="H358" s="6" t="n">
        <x:f>J129</x:f>
        <x:v>71.01671658687997</x:v>
      </x:c>
      <x:c r="I358" s="6" t="n">
        <x:f>K129</x:f>
        <x:v>96.88102897930352</x:v>
      </x:c>
      <x:c r="J358" s="6" t="n">
        <x:f>L129</x:f>
        <x:v>94.07050892598326</x:v>
      </x:c>
      <x:c r="K358" s="6" t="n">
        <x:f>M129</x:f>
        <x:v>74.6064783654502</x:v>
      </x:c>
      <x:c r="L358" s="6" t="n">
        <x:f>N129</x:f>
        <x:v>0</x:v>
      </x:c>
      <x:c r="M358" s="6" t="n">
        <x:f>O129</x:f>
        <x:v>66.25375936278569</x:v>
      </x:c>
      <x:c r="N358" s="6" t="n">
        <x:f>P129</x:f>
        <x:v>82.01432794821031</x:v>
      </x:c>
      <x:c r="O358" s="6" t="n">
        <x:f>Q129</x:f>
        <x:v>64.61679619866115</x:v>
      </x:c>
      <x:c r="P358" s="99"/>
      <x:c r="Q358" s="99"/>
    </x:row>
    <x:row r="359">
      <x:c r="C359" s="6" t="str">
        <x:v>2018-04</x:v>
      </x:c>
      <x:c r="D359" s="6" t="n">
        <x:f>F130</x:f>
        <x:v>98.18302032910425</x:v>
      </x:c>
      <x:c r="E359" s="6" t="n">
        <x:f>G130</x:f>
        <x:v>88.25885542088943</x:v>
      </x:c>
      <x:c r="F359" s="6" t="n">
        <x:f>H130</x:f>
        <x:v>126.85858375273686</x:v>
      </x:c>
      <x:c r="G359" s="6" t="n">
        <x:f>I130</x:f>
        <x:v>137.9248900692848</x:v>
      </x:c>
      <x:c r="H359" s="6" t="n">
        <x:f>J130</x:f>
        <x:v>75.36620939554504</x:v>
      </x:c>
      <x:c r="I359" s="6" t="n">
        <x:f>K130</x:f>
        <x:v>97.54069700683459</x:v>
      </x:c>
      <x:c r="J359" s="6" t="n">
        <x:f>L130</x:f>
        <x:v>92.6426236499989</x:v>
      </x:c>
      <x:c r="K359" s="6" t="n">
        <x:f>M130</x:f>
        <x:v>75.24131789929473</x:v>
      </x:c>
      <x:c r="L359" s="6" t="n">
        <x:f>N130</x:f>
        <x:v>0</x:v>
      </x:c>
      <x:c r="M359" s="6" t="n">
        <x:f>O130</x:f>
        <x:v>71.6701419674297</x:v>
      </x:c>
      <x:c r="N359" s="6" t="n">
        <x:f>P130</x:f>
        <x:v>82.83206992879309</x:v>
      </x:c>
      <x:c r="O359" s="6" t="n">
        <x:f>Q130</x:f>
        <x:v>66.7472457478601</x:v>
      </x:c>
      <x:c r="P359" s="99"/>
      <x:c r="Q359" s="99"/>
    </x:row>
    <x:row r="360">
      <x:c r="C360" s="6" t="str">
        <x:v>2018-05</x:v>
      </x:c>
      <x:c r="D360" s="6" t="n">
        <x:f>F131</x:f>
        <x:v>100.56530200495628</x:v>
      </x:c>
      <x:c r="E360" s="6" t="n">
        <x:f>G131</x:f>
        <x:v>91.63689464664544</x:v>
      </x:c>
      <x:c r="F360" s="6" t="n">
        <x:f>H131</x:f>
        <x:v>111.7181647028774</x:v>
      </x:c>
      <x:c r="G360" s="6" t="n">
        <x:f>I131</x:f>
        <x:v>134.1158373641339</x:v>
      </x:c>
      <x:c r="H360" s="6" t="n">
        <x:f>J131</x:f>
        <x:v>85.15023518140352</x:v>
      </x:c>
      <x:c r="I360" s="6" t="n">
        <x:f>K131</x:f>
        <x:v>98.5344973583958</x:v>
      </x:c>
      <x:c r="J360" s="6" t="n">
        <x:f>L131</x:f>
        <x:v>93.17344313484861</x:v>
      </x:c>
      <x:c r="K360" s="6" t="n">
        <x:f>M131</x:f>
        <x:v>74.43668316815096</x:v>
      </x:c>
      <x:c r="L360" s="6" t="n">
        <x:f>N131</x:f>
        <x:v>0</x:v>
      </x:c>
      <x:c r="M360" s="6" t="n">
        <x:f>O131</x:f>
        <x:v>77.13504599308565</x:v>
      </x:c>
      <x:c r="N360" s="6" t="n">
        <x:f>P131</x:f>
        <x:v>86.2834783600875</x:v>
      </x:c>
      <x:c r="O360" s="6" t="n">
        <x:f>Q131</x:f>
        <x:v>75.95047286587274</x:v>
      </x:c>
      <x:c r="P360" s="99"/>
      <x:c r="Q360" s="99"/>
    </x:row>
    <x:row r="361">
      <x:c r="C361" s="6" t="str">
        <x:v>2018-06</x:v>
      </x:c>
      <x:c r="D361" s="6" t="n">
        <x:f>F132</x:f>
        <x:v>100.81826623174727</x:v>
      </x:c>
      <x:c r="E361" s="6" t="n">
        <x:f>G132</x:f>
        <x:v>94.16148484960593</x:v>
      </x:c>
      <x:c r="F361" s="6" t="n">
        <x:f>H132</x:f>
        <x:v>108.06972216571262</x:v>
      </x:c>
      <x:c r="G361" s="6" t="n">
        <x:f>I132</x:f>
        <x:v>127.53452448327704</x:v>
      </x:c>
      <x:c r="H361" s="6" t="n">
        <x:f>J132</x:f>
        <x:v>88.00146039656322</x:v>
      </x:c>
      <x:c r="I361" s="6" t="n">
        <x:f>K132</x:f>
        <x:v>98.69708944491529</x:v>
      </x:c>
      <x:c r="J361" s="6" t="n">
        <x:f>L132</x:f>
        <x:v>92.10077778507002</x:v>
      </x:c>
      <x:c r="K361" s="6" t="n">
        <x:f>M132</x:f>
        <x:v>75.43298001925356</x:v>
      </x:c>
      <x:c r="L361" s="6" t="n">
        <x:f>N132</x:f>
        <x:v>0</x:v>
      </x:c>
      <x:c r="M361" s="6" t="n">
        <x:f>O132</x:f>
        <x:v>79.49197616380388</x:v>
      </x:c>
      <x:c r="N361" s="6" t="n">
        <x:f>P132</x:f>
        <x:v>88.26405235767861</x:v>
      </x:c>
      <x:c r="O361" s="6" t="n">
        <x:f>Q132</x:f>
        <x:v>72.36575935312858</x:v>
      </x:c>
      <x:c r="P361" s="99"/>
      <x:c r="Q361" s="99"/>
    </x:row>
    <x:row r="362">
      <x:c r="C362" s="6" t="str">
        <x:v>2018-07</x:v>
      </x:c>
      <x:c r="D362" s="6" t="n">
        <x:f>F133</x:f>
        <x:v>106.56075726276642</x:v>
      </x:c>
      <x:c r="E362" s="6" t="n">
        <x:f>G133</x:f>
        <x:v>95.14369126612335</x:v>
      </x:c>
      <x:c r="F362" s="6" t="n">
        <x:f>H133</x:f>
        <x:v>106.93788794504509</x:v>
      </x:c>
      <x:c r="G362" s="6" t="n">
        <x:f>I133</x:f>
        <x:v>125.2894599468493</x:v>
      </x:c>
      <x:c r="H362" s="6" t="n">
        <x:f>J133</x:f>
        <x:v>92.407792086221</x:v>
      </x:c>
      <x:c r="I362" s="6" t="n">
        <x:f>K133</x:f>
        <x:v>101.09653438943893</x:v>
      </x:c>
      <x:c r="J362" s="6" t="n">
        <x:f>L133</x:f>
        <x:v>91.93945319909919</x:v>
      </x:c>
      <x:c r="K362" s="6" t="n">
        <x:f>M133</x:f>
        <x:v>78.03566523916669</x:v>
      </x:c>
      <x:c r="L362" s="6" t="n">
        <x:f>N133</x:f>
        <x:v>0</x:v>
      </x:c>
      <x:c r="M362" s="6" t="n">
        <x:f>O133</x:f>
        <x:v>83.7189098960039</x:v>
      </x:c>
      <x:c r="N362" s="6" t="n">
        <x:f>P133</x:f>
        <x:v>87.88696505013925</x:v>
      </x:c>
      <x:c r="O362" s="6" t="n">
        <x:f>Q133</x:f>
        <x:v>78.13371695392249</x:v>
      </x:c>
      <x:c r="P362" s="99"/>
      <x:c r="Q362" s="99"/>
    </x:row>
    <x:row r="363">
      <x:c r="C363" s="6" t="str">
        <x:v>2018-08</x:v>
      </x:c>
      <x:c r="D363" s="6" t="n">
        <x:f>F134</x:f>
        <x:v>110.167007509179</x:v>
      </x:c>
      <x:c r="E363" s="6" t="n">
        <x:f>G134</x:f>
        <x:v>94.35631866466657</x:v>
      </x:c>
      <x:c r="F363" s="6" t="n">
        <x:f>H134</x:f>
        <x:v>105.28607437798978</x:v>
      </x:c>
      <x:c r="G363" s="6" t="n">
        <x:f>I134</x:f>
        <x:v>126.77237303006179</x:v>
      </x:c>
      <x:c r="H363" s="6" t="n">
        <x:f>J134</x:f>
        <x:v>101.29608139701425</x:v>
      </x:c>
      <x:c r="I363" s="6" t="n">
        <x:f>K134</x:f>
        <x:v>102.07715026753452</x:v>
      </x:c>
      <x:c r="J363" s="6" t="n">
        <x:f>L134</x:f>
        <x:v>95.67016723683192</x:v>
      </x:c>
      <x:c r="K363" s="6" t="n">
        <x:f>M134</x:f>
        <x:v>75.68676903839308</x:v>
      </x:c>
      <x:c r="L363" s="6" t="n">
        <x:f>N134</x:f>
        <x:v>0</x:v>
      </x:c>
      <x:c r="M363" s="6" t="n">
        <x:f>O134</x:f>
        <x:v>83.57135803793786</x:v>
      </x:c>
      <x:c r="N363" s="6" t="n">
        <x:f>P134</x:f>
        <x:v>89.02122732335135</x:v>
      </x:c>
      <x:c r="O363" s="6" t="n">
        <x:f>Q134</x:f>
        <x:v>79.89037628482183</x:v>
      </x:c>
      <x:c r="P363" s="99"/>
      <x:c r="Q363" s="99"/>
    </x:row>
    <x:row r="364">
      <x:c r="C364" s="6" t="str">
        <x:v>2018-09</x:v>
      </x:c>
      <x:c r="D364" s="6" t="n">
        <x:f>F135</x:f>
        <x:v>121.86935729404236</x:v>
      </x:c>
      <x:c r="E364" s="6" t="n">
        <x:f>G135</x:f>
        <x:v>96.18657235752137</x:v>
      </x:c>
      <x:c r="F364" s="6" t="n">
        <x:f>H135</x:f>
        <x:v>103.93616565794497</x:v>
      </x:c>
      <x:c r="G364" s="6" t="n">
        <x:f>I135</x:f>
        <x:v>125.16789001689656</x:v>
      </x:c>
      <x:c r="H364" s="6" t="n">
        <x:f>J135</x:f>
        <x:v>109.60510575186345</x:v>
      </x:c>
      <x:c r="I364" s="6" t="n">
        <x:f>K135</x:f>
        <x:v>104.08205692966061</x:v>
      </x:c>
      <x:c r="J364" s="6" t="n">
        <x:f>L135</x:f>
        <x:v>100.24290185694531</x:v>
      </x:c>
      <x:c r="K364" s="6" t="n">
        <x:f>M135</x:f>
        <x:v>76.59864893884485</x:v>
      </x:c>
      <x:c r="L364" s="6" t="n">
        <x:f>N135</x:f>
        <x:v>0</x:v>
      </x:c>
      <x:c r="M364" s="6" t="n">
        <x:f>O135</x:f>
        <x:v>96.13722597659066</x:v>
      </x:c>
      <x:c r="N364" s="6" t="n">
        <x:f>P135</x:f>
        <x:v>88.65198002055014</x:v>
      </x:c>
      <x:c r="O364" s="6" t="n">
        <x:f>Q135</x:f>
        <x:v>82.7346616759828</x:v>
      </x:c>
      <x:c r="P364" s="99"/>
      <x:c r="Q364" s="99"/>
    </x:row>
    <x:row r="365">
      <x:c r="C365" s="6" t="str">
        <x:v>2018-10</x:v>
      </x:c>
      <x:c r="D365" s="6" t="n">
        <x:f>F136</x:f>
        <x:v>129.38840010527213</x:v>
      </x:c>
      <x:c r="E365" s="6" t="n">
        <x:f>G136</x:f>
        <x:v>99.52433057372532</x:v>
      </x:c>
      <x:c r="F365" s="6" t="n">
        <x:f>H136</x:f>
        <x:v>101.01374688847011</x:v>
      </x:c>
      <x:c r="G365" s="6" t="n">
        <x:f>I136</x:f>
        <x:v>114.81056297643167</x:v>
      </x:c>
      <x:c r="H365" s="6" t="n">
        <x:f>J136</x:f>
        <x:v>125.70197092688214</x:v>
      </x:c>
      <x:c r="I365" s="6" t="n">
        <x:f>K136</x:f>
        <x:v>102.90414596866735</x:v>
      </x:c>
      <x:c r="J365" s="6" t="n">
        <x:f>L136</x:f>
        <x:v>102.43215988071088</x:v>
      </x:c>
      <x:c r="K365" s="6" t="n">
        <x:f>M136</x:f>
        <x:v>75.6232518182024</x:v>
      </x:c>
      <x:c r="L365" s="6" t="n">
        <x:f>N136</x:f>
        <x:v>0</x:v>
      </x:c>
      <x:c r="M365" s="6" t="n">
        <x:f>O136</x:f>
        <x:v>97.96847919472104</x:v>
      </x:c>
      <x:c r="N365" s="6" t="n">
        <x:f>P136</x:f>
        <x:v>89.68295694982864</x:v>
      </x:c>
      <x:c r="O365" s="6" t="n">
        <x:f>Q136</x:f>
        <x:v>78.07809533792151</x:v>
      </x:c>
      <x:c r="P365" s="99"/>
      <x:c r="Q365" s="99"/>
    </x:row>
    <x:row r="366">
      <x:c r="C366" s="6" t="str">
        <x:v>2018-11</x:v>
      </x:c>
      <x:c r="D366" s="6" t="n">
        <x:f>F137</x:f>
        <x:v>125.29556611784307</x:v>
      </x:c>
      <x:c r="E366" s="6" t="n">
        <x:f>G137</x:f>
        <x:v>99.42126490666338</x:v>
      </x:c>
      <x:c r="F366" s="6" t="n">
        <x:f>H137</x:f>
        <x:v>99.53066050655373</x:v>
      </x:c>
      <x:c r="G366" s="6" t="n">
        <x:f>I137</x:f>
        <x:v>114.60435263476631</x:v>
      </x:c>
      <x:c r="H366" s="6" t="n">
        <x:f>J137</x:f>
        <x:v>120.65067815091774</x:v>
      </x:c>
      <x:c r="I366" s="6" t="n">
        <x:f>K137</x:f>
        <x:v>106.1154821806231</x:v>
      </x:c>
      <x:c r="J366" s="6" t="n">
        <x:f>L137</x:f>
        <x:v>103.11428321353424</x:v>
      </x:c>
      <x:c r="K366" s="6" t="n">
        <x:f>M137</x:f>
        <x:v>79.96289318353053</x:v>
      </x:c>
      <x:c r="L366" s="6" t="n">
        <x:f>N137</x:f>
        <x:v>0</x:v>
      </x:c>
      <x:c r="M366" s="6" t="n">
        <x:f>O137</x:f>
        <x:v>97.34103169959843</x:v>
      </x:c>
      <x:c r="N366" s="6" t="n">
        <x:f>P137</x:f>
        <x:v>91.27863088861453</x:v>
      </x:c>
      <x:c r="O366" s="6" t="n">
        <x:f>Q137</x:f>
        <x:v>67.198069948859</x:v>
      </x:c>
      <x:c r="P366" s="99"/>
      <x:c r="Q366" s="99"/>
    </x:row>
    <x:row r="367">
      <x:c r="C367" s="6" t="str">
        <x:v>2018-12</x:v>
      </x:c>
      <x:c r="D367" s="6" t="n">
        <x:f>F138</x:f>
        <x:v>122.46147976515644</x:v>
      </x:c>
      <x:c r="E367" s="6" t="n">
        <x:f>G138</x:f>
        <x:v>97.20829279359444</x:v>
      </x:c>
      <x:c r="F367" s="6" t="n">
        <x:f>H138</x:f>
        <x:v>99.00967692383644</x:v>
      </x:c>
      <x:c r="G367" s="6" t="n">
        <x:f>I138</x:f>
        <x:v>113.22994551791949</x:v>
      </x:c>
      <x:c r="H367" s="6" t="n">
        <x:f>J138</x:f>
        <x:v>111.45782148776718</x:v>
      </x:c>
      <x:c r="I367" s="6" t="n">
        <x:f>K138</x:f>
        <x:v>109.99566150541584</x:v>
      </x:c>
      <x:c r="J367" s="6" t="n">
        <x:f>L138</x:f>
        <x:v>102.95643011167483</x:v>
      </x:c>
      <x:c r="K367" s="6" t="n">
        <x:f>M138</x:f>
        <x:v>80.15434297347565</x:v>
      </x:c>
      <x:c r="L367" s="6" t="n">
        <x:f>N138</x:f>
        <x:v>0</x:v>
      </x:c>
      <x:c r="M367" s="6" t="n">
        <x:f>O138</x:f>
        <x:v>100.79667454625239</x:v>
      </x:c>
      <x:c r="N367" s="6" t="n">
        <x:f>P138</x:f>
        <x:v>89.5271871847259</x:v>
      </x:c>
      <x:c r="O367" s="6" t="n">
        <x:f>Q138</x:f>
        <x:v>67.81769778404843</x:v>
      </x:c>
      <x:c r="P367" s="99"/>
      <x:c r="Q367" s="99"/>
    </x:row>
    <x:row r="368">
      <x:c r="C368" s="6" t="str">
        <x:v>2019-01</x:v>
      </x:c>
      <x:c r="D368" s="6" t="n">
        <x:f>F139</x:f>
        <x:v>116.23731404623211</x:v>
      </x:c>
      <x:c r="E368" s="6" t="n">
        <x:f>G139</x:f>
        <x:v>98.28671811577344</x:v>
      </x:c>
      <x:c r="F368" s="6" t="n">
        <x:f>H139</x:f>
        <x:v>108.37756331802957</x:v>
      </x:c>
      <x:c r="G368" s="6" t="n">
        <x:f>I139</x:f>
        <x:v>114.13930948204332</x:v>
      </x:c>
      <x:c r="H368" s="6" t="n">
        <x:f>J139</x:f>
        <x:v>104.27820083627057</x:v>
      </x:c>
      <x:c r="I368" s="6" t="n">
        <x:f>K139</x:f>
        <x:v>106.8350756018725</x:v>
      </x:c>
      <x:c r="J368" s="6" t="n">
        <x:f>L139</x:f>
        <x:v>100.74873305581285</x:v>
      </x:c>
      <x:c r="K368" s="6" t="n">
        <x:f>M139</x:f>
        <x:v>75.55827862066732</x:v>
      </x:c>
      <x:c r="L368" s="6" t="n">
        <x:f>N139</x:f>
        <x:v>0</x:v>
      </x:c>
      <x:c r="M368" s="6" t="n">
        <x:f>O139</x:f>
        <x:v>97.80918212807427</x:v>
      </x:c>
      <x:c r="N368" s="6" t="n">
        <x:f>P139</x:f>
        <x:v>89.9728175030227</x:v>
      </x:c>
      <x:c r="O368" s="6" t="n">
        <x:f>Q139</x:f>
        <x:v>97.40629009026141</x:v>
      </x:c>
      <x:c r="P368" s="99"/>
      <x:c r="Q368" s="99"/>
    </x:row>
    <x:row r="369">
      <x:c r="C369" s="6" t="str">
        <x:v>2019-02</x:v>
      </x:c>
      <x:c r="D369" s="6" t="n">
        <x:f>F140</x:f>
        <x:v>121.1334272108064</x:v>
      </x:c>
      <x:c r="E369" s="6" t="n">
        <x:f>G140</x:f>
        <x:v>98.62165764470905</x:v>
      </x:c>
      <x:c r="F369" s="6" t="n">
        <x:f>H140</x:f>
        <x:v>109.4803618201355</x:v>
      </x:c>
      <x:c r="G369" s="6" t="n">
        <x:f>I140</x:f>
        <x:v>110.66648561071561</x:v>
      </x:c>
      <x:c r="H369" s="6" t="n">
        <x:f>J140</x:f>
        <x:v>110.33191230012062</x:v>
      </x:c>
      <x:c r="I369" s="6" t="n">
        <x:f>K140</x:f>
        <x:v>109.44970070045478</x:v>
      </x:c>
      <x:c r="J369" s="6" t="n">
        <x:f>L140</x:f>
        <x:v>100.61075905895581</x:v>
      </x:c>
      <x:c r="K369" s="6" t="n">
        <x:f>M140</x:f>
        <x:v>78.36164874406984</x:v>
      </x:c>
      <x:c r="L369" s="6" t="n">
        <x:f>N140</x:f>
        <x:v>0</x:v>
      </x:c>
      <x:c r="M369" s="6" t="n">
        <x:f>O140</x:f>
        <x:v>100.14855571784274</x:v>
      </x:c>
      <x:c r="N369" s="6" t="n">
        <x:f>P140</x:f>
        <x:v>88.81912054097863</x:v>
      </x:c>
      <x:c r="O369" s="6" t="n">
        <x:f>Q140</x:f>
        <x:v>97.68491179139319</x:v>
      </x:c>
      <x:c r="P369" s="99"/>
      <x:c r="Q369" s="99"/>
    </x:row>
    <x:row r="370">
      <x:c r="C370" s="6" t="str">
        <x:v>2019-03</x:v>
      </x:c>
      <x:c r="D370" s="6" t="n">
        <x:f>F141</x:f>
        <x:v>124.49854788430255</x:v>
      </x:c>
      <x:c r="E370" s="6" t="n">
        <x:f>G141</x:f>
        <x:v>97.83427055863027</x:v>
      </x:c>
      <x:c r="F370" s="6" t="n">
        <x:f>H141</x:f>
        <x:v>110.28101433014375</x:v>
      </x:c>
      <x:c r="G370" s="6" t="n">
        <x:f>I141</x:f>
        <x:v>107.69262637718707</x:v>
      </x:c>
      <x:c r="H370" s="6" t="n">
        <x:f>J141</x:f>
        <x:v>107.9551282060297</x:v>
      </x:c>
      <x:c r="I370" s="6" t="n">
        <x:f>K141</x:f>
        <x:v>112.25930278719652</x:v>
      </x:c>
      <x:c r="J370" s="6" t="n">
        <x:f>L141</x:f>
        <x:v>98.49278267507245</x:v>
      </x:c>
      <x:c r="K370" s="6" t="n">
        <x:f>M141</x:f>
        <x:v>77.92041370343016</x:v>
      </x:c>
      <x:c r="L370" s="6" t="n">
        <x:f>N141</x:f>
        <x:v>0</x:v>
      </x:c>
      <x:c r="M370" s="6" t="n">
        <x:f>O141</x:f>
        <x:v>102.59084666423949</x:v>
      </x:c>
      <x:c r="N370" s="6" t="n">
        <x:f>P141</x:f>
        <x:v>89.85716976923308</x:v>
      </x:c>
      <x:c r="O370" s="6" t="n">
        <x:f>Q141</x:f>
        <x:v>113.193109717435</x:v>
      </x:c>
      <x:c r="P370" s="99"/>
      <x:c r="Q370" s="99"/>
    </x:row>
    <x:row r="371">
      <x:c r="C371" s="6" t="str">
        <x:v>2019-04</x:v>
      </x:c>
      <x:c r="D371" s="6" t="n">
        <x:f>F142</x:f>
        <x:v>123.09190398933909</x:v>
      </x:c>
      <x:c r="E371" s="6" t="n">
        <x:f>G142</x:f>
        <x:v>97.79078245543448</x:v>
      </x:c>
      <x:c r="F371" s="6" t="n">
        <x:f>H142</x:f>
        <x:v>109.454202616526</x:v>
      </x:c>
      <x:c r="G371" s="6" t="n">
        <x:f>I142</x:f>
        <x:v>108.64321915726644</x:v>
      </x:c>
      <x:c r="H371" s="6" t="n">
        <x:f>J142</x:f>
        <x:v>107.68054428327352</x:v>
      </x:c>
      <x:c r="I371" s="6" t="n">
        <x:f>K142</x:f>
        <x:v>113.51873969511969</x:v>
      </x:c>
      <x:c r="J371" s="6" t="n">
        <x:f>L142</x:f>
        <x:v>99.49096457555908</x:v>
      </x:c>
      <x:c r="K371" s="6" t="n">
        <x:f>M142</x:f>
        <x:v>78.88426581662905</x:v>
      </x:c>
      <x:c r="L371" s="6" t="n">
        <x:f>N142</x:f>
        <x:v>0</x:v>
      </x:c>
      <x:c r="M371" s="6" t="n">
        <x:f>O142</x:f>
        <x:v>104.90255699175091</x:v>
      </x:c>
      <x:c r="N371" s="6" t="n">
        <x:f>P142</x:f>
        <x:v>89.86480116531062</x:v>
      </x:c>
      <x:c r="O371" s="6" t="n">
        <x:f>Q142</x:f>
        <x:v>106.49514622131898</x:v>
      </x:c>
      <x:c r="P371" s="99"/>
      <x:c r="Q371" s="99"/>
    </x:row>
    <x:row r="372">
      <x:c r="C372" s="6" t="str">
        <x:v>2019-05</x:v>
      </x:c>
      <x:c r="D372" s="6" t="n">
        <x:f>F143</x:f>
        <x:v>119.48729389280427</x:v>
      </x:c>
      <x:c r="E372" s="6" t="n">
        <x:f>G143</x:f>
        <x:v>98.62003230415674</x:v>
      </x:c>
      <x:c r="F372" s="6" t="n">
        <x:f>H143</x:f>
        <x:v>112.71308000996581</x:v>
      </x:c>
      <x:c r="G372" s="6" t="n">
        <x:f>I143</x:f>
        <x:v>107.87001654410948</x:v>
      </x:c>
      <x:c r="H372" s="6" t="n">
        <x:f>J143</x:f>
        <x:v>109.52202325793863</x:v>
      </x:c>
      <x:c r="I372" s="6" t="n">
        <x:f>K143</x:f>
        <x:v>110.28325441962666</x:v>
      </x:c>
      <x:c r="J372" s="6" t="n">
        <x:f>L143</x:f>
        <x:v>102.42431791851278</x:v>
      </x:c>
      <x:c r="K372" s="6" t="n">
        <x:f>M143</x:f>
        <x:v>78.80358283661877</x:v>
      </x:c>
      <x:c r="L372" s="6" t="n">
        <x:f>N143</x:f>
        <x:v>0</x:v>
      </x:c>
      <x:c r="M372" s="6" t="n">
        <x:f>O143</x:f>
        <x:v>98.63453781143173</x:v>
      </x:c>
      <x:c r="N372" s="6" t="n">
        <x:f>P143</x:f>
        <x:v>90.55425521976855</x:v>
      </x:c>
      <x:c r="O372" s="6" t="n">
        <x:f>Q143</x:f>
        <x:v>107.24958373470147</x:v>
      </x:c>
      <x:c r="P372" s="99"/>
      <x:c r="Q372" s="99"/>
    </x:row>
    <x:row r="373">
      <x:c r="C373" s="6" t="str">
        <x:v>2019-06</x:v>
      </x:c>
      <x:c r="D373" s="6" t="n">
        <x:f>F144</x:f>
        <x:v>120.30823456062151</x:v>
      </x:c>
      <x:c r="E373" s="6" t="n">
        <x:f>G144</x:f>
        <x:v>98.55644258296887</x:v>
      </x:c>
      <x:c r="F373" s="6" t="n">
        <x:f>H144</x:f>
        <x:v>109.57087505001661</x:v>
      </x:c>
      <x:c r="G373" s="6" t="n">
        <x:f>I144</x:f>
        <x:v>108.14371810649592</x:v>
      </x:c>
      <x:c r="H373" s="6" t="n">
        <x:f>J144</x:f>
        <x:v>111.94950871516028</x:v>
      </x:c>
      <x:c r="I373" s="6" t="n">
        <x:f>K144</x:f>
        <x:v>110.37462913144563</x:v>
      </x:c>
      <x:c r="J373" s="6" t="n">
        <x:f>L144</x:f>
        <x:v>99.03813404009149</x:v>
      </x:c>
      <x:c r="K373" s="6" t="n">
        <x:f>M144</x:f>
        <x:v>82.38990842367852</x:v>
      </x:c>
      <x:c r="L373" s="6" t="n">
        <x:f>N144</x:f>
        <x:v>0</x:v>
      </x:c>
      <x:c r="M373" s="6" t="n">
        <x:f>O144</x:f>
        <x:v>97.10271153218658</x:v>
      </x:c>
      <x:c r="N373" s="6" t="n">
        <x:f>P144</x:f>
        <x:v>91.14784774857182</x:v>
      </x:c>
      <x:c r="O373" s="6" t="n">
        <x:f>Q144</x:f>
        <x:v>108.65650356816259</x:v>
      </x:c>
      <x:c r="P373" s="99"/>
      <x:c r="Q373" s="99"/>
    </x:row>
    <x:row r="374">
      <x:c r="C374" s="6" t="str">
        <x:v>2019-07</x:v>
      </x:c>
      <x:c r="D374" s="6" t="n">
        <x:f>F145</x:f>
        <x:v>115.86169109810042</x:v>
      </x:c>
      <x:c r="E374" s="6" t="n">
        <x:f>G145</x:f>
        <x:v>101.49553504156188</x:v>
      </x:c>
      <x:c r="F374" s="6" t="n">
        <x:f>H145</x:f>
        <x:v>106.80846133889222</x:v>
      </x:c>
      <x:c r="G374" s="6" t="n">
        <x:f>I145</x:f>
        <x:v>111.01185800706435</x:v>
      </x:c>
      <x:c r="H374" s="6" t="n">
        <x:f>J145</x:f>
        <x:v>111.56577202808668</x:v>
      </x:c>
      <x:c r="I374" s="6" t="n">
        <x:f>K145</x:f>
        <x:v>106.98250491226634</x:v>
      </x:c>
      <x:c r="J374" s="6" t="n">
        <x:f>L145</x:f>
        <x:v>98.65744515789221</x:v>
      </x:c>
      <x:c r="K374" s="6" t="n">
        <x:f>M145</x:f>
        <x:v>87.14097929115775</x:v>
      </x:c>
      <x:c r="L374" s="6" t="n">
        <x:f>N145</x:f>
        <x:v>0</x:v>
      </x:c>
      <x:c r="M374" s="6" t="n">
        <x:f>O145</x:f>
        <x:v>103.43938641108596</x:v>
      </x:c>
      <x:c r="N374" s="6" t="n">
        <x:f>P145</x:f>
        <x:v>91.91513203480832</x:v>
      </x:c>
      <x:c r="O374" s="6" t="n">
        <x:f>Q145</x:f>
        <x:v>99.6867469009736</x:v>
      </x:c>
      <x:c r="P374" s="99"/>
      <x:c r="Q374" s="99"/>
    </x:row>
    <x:row r="375">
      <x:c r="C375" s="6" t="str">
        <x:v>2019-08</x:v>
      </x:c>
      <x:c r="D375" s="6" t="n">
        <x:f>F146</x:f>
        <x:v>109.99893207735592</x:v>
      </x:c>
      <x:c r="E375" s="6" t="n">
        <x:f>G146</x:f>
        <x:v>103.50960267152796</x:v>
      </x:c>
      <x:c r="F375" s="6" t="n">
        <x:f>H146</x:f>
        <x:v>113.04498232956266</x:v>
      </x:c>
      <x:c r="G375" s="6" t="n">
        <x:f>I146</x:f>
        <x:v>108.68091326058563</x:v>
      </x:c>
      <x:c r="H375" s="6" t="n">
        <x:f>J146</x:f>
        <x:v>100.66985489201772</x:v>
      </x:c>
      <x:c r="I375" s="6" t="n">
        <x:f>K146</x:f>
        <x:v>106.32520238502966</x:v>
      </x:c>
      <x:c r="J375" s="6" t="n">
        <x:f>L146</x:f>
        <x:v>98.13481766868334</x:v>
      </x:c>
      <x:c r="K375" s="6" t="n">
        <x:f>M146</x:f>
        <x:v>92.19653863544954</x:v>
      </x:c>
      <x:c r="L375" s="6" t="n">
        <x:f>N146</x:f>
        <x:v>0</x:v>
      </x:c>
      <x:c r="M375" s="6" t="n">
        <x:f>O146</x:f>
        <x:v>102.06125906324468</x:v>
      </x:c>
      <x:c r="N375" s="6" t="n">
        <x:f>P146</x:f>
        <x:v>93.19639053388735</x:v>
      </x:c>
      <x:c r="O375" s="6" t="n">
        <x:f>Q146</x:f>
        <x:v>117.24754070863167</x:v>
      </x:c>
      <x:c r="P375" s="99"/>
      <x:c r="Q375" s="99"/>
    </x:row>
    <x:row r="376">
      <x:c r="C376" s="6" t="str">
        <x:v>2019-09</x:v>
      </x:c>
      <x:c r="D376" s="6" t="n">
        <x:f>F147</x:f>
        <x:v>110.3784433208379</x:v>
      </x:c>
      <x:c r="E376" s="6" t="n">
        <x:f>G147</x:f>
        <x:v>103.35144530610691</x:v>
      </x:c>
      <x:c r="F376" s="6" t="n">
        <x:f>H147</x:f>
        <x:v>108.02435447841061</x:v>
      </x:c>
      <x:c r="G376" s="6" t="n">
        <x:f>I147</x:f>
        <x:v>112.50109978936409</x:v>
      </x:c>
      <x:c r="H376" s="6" t="n">
        <x:f>J147</x:f>
        <x:v>101.00029788233952</x:v>
      </x:c>
      <x:c r="I376" s="6" t="n">
        <x:f>K147</x:f>
        <x:v>105.03009634993235</x:v>
      </x:c>
      <x:c r="J376" s="6" t="n">
        <x:f>L147</x:f>
        <x:v>94.42363950335476</x:v>
      </x:c>
      <x:c r="K376" s="6" t="n">
        <x:f>M147</x:f>
        <x:v>93.51755901838766</x:v>
      </x:c>
      <x:c r="L376" s="6" t="n">
        <x:f>N147</x:f>
        <x:v>0</x:v>
      </x:c>
      <x:c r="M376" s="6" t="n">
        <x:f>O147</x:f>
        <x:v>101.92337371023088</x:v>
      </x:c>
      <x:c r="N376" s="6" t="n">
        <x:f>P147</x:f>
        <x:v>93.76026816648955</x:v>
      </x:c>
      <x:c r="O376" s="6" t="n">
        <x:f>Q147</x:f>
        <x:v>106.73556418773447</x:v>
      </x:c>
      <x:c r="P376" s="99"/>
      <x:c r="Q376" s="99"/>
    </x:row>
    <x:row r="377">
      <x:c r="C377" s="6" t="str">
        <x:v>2019-10</x:v>
      </x:c>
      <x:c r="D377" s="6" t="n">
        <x:f>F148</x:f>
        <x:v>109.6761343264131</x:v>
      </x:c>
      <x:c r="E377" s="6" t="n">
        <x:f>G148</x:f>
        <x:v>104.15806261895568</x:v>
      </x:c>
      <x:c r="F377" s="6" t="n">
        <x:f>H148</x:f>
        <x:v>104.04984927706005</x:v>
      </x:c>
      <x:c r="G377" s="6" t="n">
        <x:f>I148</x:f>
        <x:v>110.6118454457478</x:v>
      </x:c>
      <x:c r="H377" s="6" t="n">
        <x:f>J148</x:f>
        <x:v>94.35488639145329</x:v>
      </x:c>
      <x:c r="I377" s="6" t="n">
        <x:f>K148</x:f>
        <x:v>105.46045061285041</x:v>
      </x:c>
      <x:c r="J377" s="6" t="n">
        <x:f>L148</x:f>
        <x:v>94.6327675748769</x:v>
      </x:c>
      <x:c r="K377" s="6" t="n">
        <x:f>M148</x:f>
        <x:v>94.01888728696325</x:v>
      </x:c>
      <x:c r="L377" s="6" t="n">
        <x:f>N148</x:f>
        <x:v>0</x:v>
      </x:c>
      <x:c r="M377" s="6" t="n">
        <x:f>O148</x:f>
        <x:v>98.87829328996837</x:v>
      </x:c>
      <x:c r="N377" s="6" t="n">
        <x:f>P148</x:f>
        <x:v>96.22868943188165</x:v>
      </x:c>
      <x:c r="O377" s="6" t="n">
        <x:f>Q148</x:f>
        <x:v>106.74354184222904</x:v>
      </x:c>
      <x:c r="P377" s="99"/>
      <x:c r="Q377" s="99"/>
    </x:row>
    <x:row r="378">
      <x:c r="C378" s="6" t="str">
        <x:v>2019-11</x:v>
      </x:c>
      <x:c r="D378" s="6" t="n">
        <x:f>F149</x:f>
        <x:v>107.6522921551917</x:v>
      </x:c>
      <x:c r="E378" s="6" t="n">
        <x:f>G149</x:f>
        <x:v>102.5780967500015</x:v>
      </x:c>
      <x:c r="F378" s="6" t="n">
        <x:f>H149</x:f>
        <x:v>102.42254228635093</x:v>
      </x:c>
      <x:c r="G378" s="6" t="n">
        <x:f>I149</x:f>
        <x:v>113.42955542250965</x:v>
      </x:c>
      <x:c r="H378" s="6" t="n">
        <x:f>J149</x:f>
        <x:v>97.65412278216296</x:v>
      </x:c>
      <x:c r="I378" s="6" t="n">
        <x:f>K149</x:f>
        <x:v>103.91742285905794</x:v>
      </x:c>
      <x:c r="J378" s="6" t="n">
        <x:f>L149</x:f>
        <x:v>94.38074617898494</x:v>
      </x:c>
      <x:c r="K378" s="6" t="n">
        <x:f>M149</x:f>
        <x:v>96.93347204871226</x:v>
      </x:c>
      <x:c r="L378" s="6" t="n">
        <x:f>N149</x:f>
        <x:v>0</x:v>
      </x:c>
      <x:c r="M378" s="6" t="n">
        <x:f>O149</x:f>
        <x:v>96.47602863111918</x:v>
      </x:c>
      <x:c r="N378" s="6" t="n">
        <x:f>P149</x:f>
        <x:v>98.10007928235312</x:v>
      </x:c>
      <x:c r="O378" s="6" t="n">
        <x:f>Q149</x:f>
        <x:v>97.1779611479484</x:v>
      </x:c>
      <x:c r="P378" s="99"/>
      <x:c r="Q378" s="99"/>
    </x:row>
    <x:row r="379">
      <x:c r="C379" s="6" t="str">
        <x:v>2019-12</x:v>
      </x:c>
      <x:c r="D379" s="6" t="n">
        <x:f>F150</x:f>
        <x:v>107.99500390332399</x:v>
      </x:c>
      <x:c r="E379" s="6" t="n">
        <x:f>G150</x:f>
        <x:v>100.61627671653983</x:v>
      </x:c>
      <x:c r="F379" s="6" t="n">
        <x:f>H150</x:f>
        <x:v>101.08523380369607</x:v>
      </x:c>
      <x:c r="G379" s="6" t="n">
        <x:f>I150</x:f>
        <x:v>108.76014695505805</x:v>
      </x:c>
      <x:c r="H379" s="6" t="n">
        <x:f>J150</x:f>
        <x:v>98.37497422932813</x:v>
      </x:c>
      <x:c r="I379" s="6" t="n">
        <x:f>K150</x:f>
        <x:v>106.75518146742542</x:v>
      </x:c>
      <x:c r="J379" s="6" t="n">
        <x:f>L150</x:f>
        <x:v>95.58418757988805</x:v>
      </x:c>
      <x:c r="K379" s="6" t="n">
        <x:f>M150</x:f>
        <x:v>99.28420722778395</x:v>
      </x:c>
      <x:c r="L379" s="6" t="n">
        <x:f>N150</x:f>
        <x:v>0</x:v>
      </x:c>
      <x:c r="M379" s="6" t="n">
        <x:f>O150</x:f>
        <x:v>100.03000274139818</x:v>
      </x:c>
      <x:c r="N379" s="6" t="n">
        <x:f>P150</x:f>
        <x:v>96.22895509445136</x:v>
      </x:c>
      <x:c r="O379" s="6" t="n">
        <x:f>Q150</x:f>
        <x:v>96.49423549687245</x:v>
      </x:c>
      <x:c r="P379" s="99"/>
      <x:c r="Q379" s="99"/>
    </x:row>
    <x:row r="380">
      <x:c r="C380" s="6" t="str">
        <x:v>2020-01</x:v>
      </x:c>
      <x:c r="D380" s="6" t="n">
        <x:f>F151</x:f>
        <x:v>100</x:v>
      </x:c>
      <x:c r="E380" s="6" t="n">
        <x:f>G151</x:f>
        <x:v>100</x:v>
      </x:c>
      <x:c r="F380" s="6" t="n">
        <x:f>H151</x:f>
        <x:v>100</x:v>
      </x:c>
      <x:c r="G380" s="6" t="n">
        <x:f>I151</x:f>
        <x:v>100</x:v>
      </x:c>
      <x:c r="H380" s="6" t="n">
        <x:f>J151</x:f>
        <x:v>100</x:v>
      </x:c>
      <x:c r="I380" s="6" t="n">
        <x:f>K151</x:f>
        <x:v>100</x:v>
      </x:c>
      <x:c r="J380" s="6" t="n">
        <x:f>L151</x:f>
        <x:v>100</x:v>
      </x:c>
      <x:c r="K380" s="6" t="n">
        <x:f>M151</x:f>
        <x:v>100</x:v>
      </x:c>
      <x:c r="L380" s="6" t="n">
        <x:f>N151</x:f>
        <x:v>100</x:v>
      </x:c>
      <x:c r="M380" s="6" t="n">
        <x:f>O151</x:f>
        <x:v>100</x:v>
      </x:c>
      <x:c r="N380" s="6" t="n">
        <x:f>P151</x:f>
        <x:v>100</x:v>
      </x:c>
      <x:c r="O380" s="6" t="n">
        <x:f>Q151</x:f>
        <x:v>100</x:v>
      </x:c>
      <x:c r="P380" s="99"/>
      <x:c r="Q380" s="99"/>
    </x:row>
    <x:row r="381">
      <x:c r="C381" s="6" t="str">
        <x:v>2020-02</x:v>
      </x:c>
      <x:c r="D381" s="6" t="n">
        <x:f>F152</x:f>
        <x:v>99.45715468623058</x:v>
      </x:c>
      <x:c r="E381" s="6" t="n">
        <x:f>G152</x:f>
        <x:v>97.7755203653247</x:v>
      </x:c>
      <x:c r="F381" s="6" t="n">
        <x:f>H152</x:f>
        <x:v>98.94744628466302</x:v>
      </x:c>
      <x:c r="G381" s="6" t="n">
        <x:f>I152</x:f>
        <x:v>92.89802451623345</x:v>
      </x:c>
      <x:c r="H381" s="6" t="n">
        <x:f>J152</x:f>
        <x:v>99.33844931203436</x:v>
      </x:c>
      <x:c r="I381" s="6" t="n">
        <x:f>K152</x:f>
        <x:v>100.72333654671188</x:v>
      </x:c>
      <x:c r="J381" s="6" t="n">
        <x:f>L152</x:f>
        <x:v>104.55942261921626</x:v>
      </x:c>
      <x:c r="K381" s="6" t="n">
        <x:f>M152</x:f>
        <x:v>104.59759899573487</x:v>
      </x:c>
      <x:c r="L381" s="6" t="n">
        <x:f>N152</x:f>
        <x:v>101.40143679301765</x:v>
      </x:c>
      <x:c r="M381" s="6" t="n">
        <x:f>O152</x:f>
        <x:v>99.48472771427768</x:v>
      </x:c>
      <x:c r="N381" s="6" t="n">
        <x:f>P152</x:f>
        <x:v>104.88137504622497</x:v>
      </x:c>
      <x:c r="O381" s="6" t="n">
        <x:f>Q152</x:f>
        <x:v>103.52455560567665</x:v>
      </x:c>
      <x:c r="P381" s="99"/>
      <x:c r="Q381" s="99"/>
    </x:row>
    <x:row r="382">
      <x:c r="C382" s="6" t="str">
        <x:v>2020-03</x:v>
      </x:c>
      <x:c r="D382" s="6" t="n">
        <x:f>F153</x:f>
        <x:v>86.18745477733046</x:v>
      </x:c>
      <x:c r="E382" s="6" t="n">
        <x:f>G153</x:f>
        <x:v>102.00634072908808</x:v>
      </x:c>
      <x:c r="F382" s="6" t="n">
        <x:f>H153</x:f>
        <x:v>83.00817760836077</x:v>
      </x:c>
      <x:c r="G382" s="6" t="n">
        <x:f>I153</x:f>
        <x:v>84.23683595337069</x:v>
      </x:c>
      <x:c r="H382" s="6" t="n">
        <x:f>J153</x:f>
        <x:v>37.66630116534002</x:v>
      </x:c>
      <x:c r="I382" s="6" t="n">
        <x:f>K153</x:f>
        <x:v>99.73931573168258</x:v>
      </x:c>
      <x:c r="J382" s="6" t="n">
        <x:f>L153</x:f>
        <x:v>107.06631848147734</x:v>
      </x:c>
      <x:c r="K382" s="6" t="n">
        <x:f>M153</x:f>
        <x:v>99.50530740430254</x:v>
      </x:c>
      <x:c r="L382" s="6" t="n">
        <x:f>N153</x:f>
        <x:v>99.8666195989701</x:v>
      </x:c>
      <x:c r="M382" s="6" t="n">
        <x:f>O153</x:f>
        <x:v>106.39294363691934</x:v>
      </x:c>
      <x:c r="N382" s="6" t="n">
        <x:f>P153</x:f>
        <x:v>74.18347678935086</x:v>
      </x:c>
      <x:c r="O382" s="6" t="n">
        <x:f>Q153</x:f>
        <x:v>104.86008041085928</x:v>
      </x:c>
      <x:c r="P382" s="99"/>
      <x:c r="Q382" s="99"/>
    </x:row>
    <x:row r="383">
      <x:c r="C383" s="6" t="str">
        <x:v>2020-04</x:v>
      </x:c>
      <x:c r="D383" s="6" t="n">
        <x:f>F154</x:f>
        <x:v>72.74271288137525</x:v>
      </x:c>
      <x:c r="E383" s="6" t="n">
        <x:f>G154</x:f>
        <x:v>98.5385925081004</x:v>
      </x:c>
      <x:c r="F383" s="6" t="n">
        <x:f>H154</x:f>
        <x:v>71.91437495896137</x:v>
      </x:c>
      <x:c r="G383" s="6" t="n">
        <x:f>I154</x:f>
        <x:v>73.3481727875082</x:v>
      </x:c>
      <x:c r="H383" s="6" t="n">
        <x:f>J154</x:f>
        <x:v>18.27044810449296</x:v>
      </x:c>
      <x:c r="I383" s="6" t="n">
        <x:f>K154</x:f>
        <x:v>91.29166238817945</x:v>
      </x:c>
      <x:c r="J383" s="6" t="n">
        <x:f>L154</x:f>
        <x:v>103.36294161170785</x:v>
      </x:c>
      <x:c r="K383" s="6" t="n">
        <x:f>M154</x:f>
        <x:v>79.35838327500547</x:v>
      </x:c>
      <x:c r="L383" s="6" t="n">
        <x:f>N154</x:f>
        <x:v>101.35656412095138</x:v>
      </x:c>
      <x:c r="M383" s="6" t="n">
        <x:f>O154</x:f>
        <x:v>96.97295064515535</x:v>
      </x:c>
      <x:c r="N383" s="6" t="n">
        <x:f>P154</x:f>
        <x:v>58.14367815059035</x:v>
      </x:c>
      <x:c r="O383" s="6" t="n">
        <x:f>Q154</x:f>
        <x:v>100.42821441582778</x:v>
      </x:c>
      <x:c r="P383" s="99"/>
      <x:c r="Q383" s="99"/>
    </x:row>
    <x:row r="384">
      <x:c r="C384" s="6" t="str">
        <x:v>2020-05</x:v>
      </x:c>
      <x:c r="D384" s="6" t="n">
        <x:f>F155</x:f>
        <x:v>68.03733855312389</x:v>
      </x:c>
      <x:c r="E384" s="6" t="n">
        <x:f>G155</x:f>
        <x:v>97.05802192773741</x:v>
      </x:c>
      <x:c r="F384" s="6" t="n">
        <x:f>H155</x:f>
        <x:v>69.8524629295606</x:v>
      </x:c>
      <x:c r="G384" s="6" t="n">
        <x:f>I155</x:f>
        <x:v>69.00777143767772</x:v>
      </x:c>
      <x:c r="H384" s="6" t="n">
        <x:f>J155</x:f>
        <x:v>5.65938170564204</x:v>
      </x:c>
      <x:c r="I384" s="6" t="n">
        <x:f>K155</x:f>
        <x:v>83.02719765803349</x:v>
      </x:c>
      <x:c r="J384" s="6" t="n">
        <x:f>L155</x:f>
        <x:v>100.36144995644247</x:v>
      </x:c>
      <x:c r="K384" s="6" t="n">
        <x:f>M155</x:f>
        <x:v>67.20481441914171</x:v>
      </x:c>
      <x:c r="L384" s="6" t="n">
        <x:f>N155</x:f>
        <x:v>104.49410183357803</x:v>
      </x:c>
      <x:c r="M384" s="6" t="n">
        <x:f>O155</x:f>
        <x:v>106.88443275422816</x:v>
      </x:c>
      <x:c r="N384" s="6" t="n">
        <x:f>P155</x:f>
        <x:v>60.5624548304622</x:v>
      </x:c>
      <x:c r="O384" s="6" t="n">
        <x:f>Q155</x:f>
        <x:v>88.08430331194137</x:v>
      </x:c>
      <x:c r="P384" s="99"/>
      <x:c r="Q384" s="99"/>
    </x:row>
    <x:row r="385">
      <x:c r="C385" s="6" t="str">
        <x:v>2020-06</x:v>
      </x:c>
      <x:c r="D385" s="6" t="n">
        <x:f>F156</x:f>
        <x:v>63.281528866482375</x:v>
      </x:c>
      <x:c r="E385" s="6" t="n">
        <x:f>G156</x:f>
        <x:v>94.81291488444784</x:v>
      </x:c>
      <x:c r="F385" s="6" t="n">
        <x:f>H156</x:f>
        <x:v>66.93026943354589</x:v>
      </x:c>
      <x:c r="G385" s="6" t="n">
        <x:f>I156</x:f>
        <x:v>69.14105241411796</x:v>
      </x:c>
      <x:c r="H385" s="6" t="n">
        <x:f>J156</x:f>
        <x:v>-3.190225061550488</x:v>
      </x:c>
      <x:c r="I385" s="6" t="n">
        <x:f>K156</x:f>
        <x:v>73.21609697403836</x:v>
      </x:c>
      <x:c r="J385" s="6" t="n">
        <x:f>L156</x:f>
        <x:v>102.11345804374434</x:v>
      </x:c>
      <x:c r="K385" s="6" t="n">
        <x:f>M156</x:f>
        <x:v>61.25821572687946</x:v>
      </x:c>
      <x:c r="L385" s="6" t="n">
        <x:f>N156</x:f>
        <x:v>104.19233384363832</x:v>
      </x:c>
      <x:c r="M385" s="6" t="n">
        <x:f>O156</x:f>
        <x:v>112.43667514651135</x:v>
      </x:c>
      <x:c r="N385" s="6" t="n">
        <x:f>P156</x:f>
        <x:v>67.24643012369785</x:v>
      </x:c>
      <x:c r="O385" s="6" t="n">
        <x:f>Q156</x:f>
        <x:v>97.16783806524798</x:v>
      </x:c>
      <x:c r="P385" s="99"/>
      <x:c r="Q385" s="99"/>
    </x:row>
    <x:row r="386">
      <x:c r="C386" s="6" t="str">
        <x:v>2020-07</x:v>
      </x:c>
      <x:c r="D386" s="6" t="n">
        <x:f>F157</x:f>
        <x:v>66.99370605846902</x:v>
      </x:c>
      <x:c r="E386" s="6" t="n">
        <x:f>G157</x:f>
        <x:v>89.30425495980782</x:v>
      </x:c>
      <x:c r="F386" s="6" t="n">
        <x:f>H157</x:f>
        <x:v>70.65697884143002</x:v>
      </x:c>
      <x:c r="G386" s="6" t="n">
        <x:f>I157</x:f>
        <x:v>66.03946480970548</x:v>
      </x:c>
      <x:c r="H386" s="6" t="n">
        <x:f>J157</x:f>
        <x:v>5.599898291931918</x:v>
      </x:c>
      <x:c r="I386" s="6" t="n">
        <x:f>K157</x:f>
        <x:v>70.87066723214572</x:v>
      </x:c>
      <x:c r="J386" s="6" t="n">
        <x:f>L157</x:f>
        <x:v>101.20807031147329</x:v>
      </x:c>
      <x:c r="K386" s="6" t="n">
        <x:f>M157</x:f>
        <x:v>74.49203242615096</x:v>
      </x:c>
      <x:c r="L386" s="6" t="n">
        <x:f>N157</x:f>
        <x:v>106.17585827301443</x:v>
      </x:c>
      <x:c r="M386" s="6" t="n">
        <x:f>O157</x:f>
        <x:v>122.24067191824605</x:v>
      </x:c>
      <x:c r="N386" s="6" t="n">
        <x:f>P157</x:f>
        <x:v>68.8163167320414</x:v>
      </x:c>
      <x:c r="O386" s="6" t="n">
        <x:f>Q157</x:f>
        <x:v>101.04185083688762</x:v>
      </x:c>
      <x:c r="P386" s="99"/>
      <x:c r="Q386" s="99"/>
    </x:row>
    <x:row r="387">
      <x:c r="C387" s="6" t="str">
        <x:v>2020-08</x:v>
      </x:c>
      <x:c r="D387" s="6" t="n">
        <x:f>F158</x:f>
        <x:v>73.97619602497477</x:v>
      </x:c>
      <x:c r="E387" s="6" t="n">
        <x:f>G158</x:f>
        <x:v>93.73201153354951</x:v>
      </x:c>
      <x:c r="F387" s="6" t="n">
        <x:f>H158</x:f>
        <x:v>71.43023299458116</x:v>
      </x:c>
      <x:c r="G387" s="6" t="n">
        <x:f>I158</x:f>
        <x:v>67.25244185373839</x:v>
      </x:c>
      <x:c r="H387" s="6" t="n">
        <x:f>J158</x:f>
        <x:v>18.96037767339805</x:v>
      </x:c>
      <x:c r="I387" s="6" t="n">
        <x:f>K158</x:f>
        <x:v>71.69476412123673</x:v>
      </x:c>
      <x:c r="J387" s="6" t="n">
        <x:f>L158</x:f>
        <x:v>100.29668105787314</x:v>
      </x:c>
      <x:c r="K387" s="6" t="n">
        <x:f>M158</x:f>
        <x:v>76.11746806791092</x:v>
      </x:c>
      <x:c r="L387" s="6" t="n">
        <x:f>N158</x:f>
        <x:v>102.86819693035991</x:v>
      </x:c>
      <x:c r="M387" s="6" t="n">
        <x:f>O158</x:f>
        <x:v>130.92475733368332</x:v>
      </x:c>
      <x:c r="N387" s="6" t="n">
        <x:f>P158</x:f>
        <x:v>69.72678523934938</x:v>
      </x:c>
      <x:c r="O387" s="6" t="n">
        <x:f>Q158</x:f>
        <x:v>112.49592452229096</x:v>
      </x:c>
      <x:c r="P387" s="99"/>
      <x:c r="Q387" s="99"/>
    </x:row>
    <x:row r="388">
      <x:c r="C388" s="6" t="str">
        <x:v>2020-09</x:v>
      </x:c>
      <x:c r="D388" s="6" t="n">
        <x:f>F159</x:f>
        <x:v>82.85310807025358</x:v>
      </x:c>
      <x:c r="E388" s="6" t="n">
        <x:f>G159</x:f>
        <x:v>94.54861244630918</x:v>
      </x:c>
      <x:c r="F388" s="6" t="n">
        <x:f>H159</x:f>
        <x:v>76.73652172175768</x:v>
      </x:c>
      <x:c r="G388" s="6" t="n">
        <x:f>I159</x:f>
        <x:v>68.37239245646688</x:v>
      </x:c>
      <x:c r="H388" s="6" t="n">
        <x:f>J159</x:f>
        <x:v>29.84306394900929</x:v>
      </x:c>
      <x:c r="I388" s="6" t="n">
        <x:f>K159</x:f>
        <x:v>76.16942563538178</x:v>
      </x:c>
      <x:c r="J388" s="6" t="n">
        <x:f>L159</x:f>
        <x:v>100.10603430286528</x:v>
      </x:c>
      <x:c r="K388" s="6" t="n">
        <x:f>M159</x:f>
        <x:v>86.1143231477695</x:v>
      </x:c>
      <x:c r="L388" s="6" t="n">
        <x:f>N159</x:f>
        <x:v>101.7583165410241</x:v>
      </x:c>
      <x:c r="M388" s="6" t="n">
        <x:f>O159</x:f>
        <x:v>150.711548927401</x:v>
      </x:c>
      <x:c r="N388" s="6" t="n">
        <x:f>P159</x:f>
        <x:v>63.96589023113525</x:v>
      </x:c>
      <x:c r="O388" s="6" t="n">
        <x:f>Q159</x:f>
        <x:v>106.6197853894298</x:v>
      </x:c>
      <x:c r="P388" s="99"/>
      <x:c r="Q388" s="99"/>
    </x:row>
    <x:row r="389">
      <x:c r="C389" s="6" t="str">
        <x:v>2020-10</x:v>
      </x:c>
      <x:c r="D389" s="6" t="n">
        <x:f>F160</x:f>
        <x:v>99.96757067251187</x:v>
      </x:c>
      <x:c r="E389" s="6" t="n">
        <x:f>G160</x:f>
        <x:v>97.91647776549269</x:v>
      </x:c>
      <x:c r="F389" s="6" t="n">
        <x:f>H160</x:f>
        <x:v>77.42536837192829</x:v>
      </x:c>
      <x:c r="G389" s="6" t="n">
        <x:f>I160</x:f>
        <x:v>70.35022907153939</x:v>
      </x:c>
      <x:c r="H389" s="6" t="n">
        <x:f>J160</x:f>
        <x:v>52.11459689930832</x:v>
      </x:c>
      <x:c r="I389" s="6" t="n">
        <x:f>K160</x:f>
        <x:v>80.90514427973822</x:v>
      </x:c>
      <x:c r="J389" s="6" t="n">
        <x:f>L160</x:f>
        <x:v>105.7064770120965</x:v>
      </x:c>
      <x:c r="K389" s="6" t="n">
        <x:f>M160</x:f>
        <x:v>100.9994612391763</x:v>
      </x:c>
      <x:c r="L389" s="6" t="n">
        <x:f>N160</x:f>
        <x:v>111.52683362235172</x:v>
      </x:c>
      <x:c r="M389" s="6" t="n">
        <x:f>O160</x:f>
        <x:v>182.102527015454</x:v>
      </x:c>
      <x:c r="N389" s="6" t="n">
        <x:f>P160</x:f>
        <x:v>75.12219580135668</x:v>
      </x:c>
      <x:c r="O389" s="6" t="n">
        <x:f>Q160</x:f>
        <x:v>106.5039562030343</x:v>
      </x:c>
      <x:c r="P389" s="99"/>
      <x:c r="Q389" s="99"/>
    </x:row>
    <x:row r="390">
      <x:c r="C390" s="6" t="str">
        <x:v>2020-11</x:v>
      </x:c>
      <x:c r="D390" s="6" t="n">
        <x:f>F161</x:f>
        <x:v>118.38599330590813</x:v>
      </x:c>
      <x:c r="E390" s="6" t="n">
        <x:f>G161</x:f>
        <x:v>95.88293859976281</x:v>
      </x:c>
      <x:c r="F390" s="6" t="n">
        <x:f>H161</x:f>
        <x:v>86.00420949814843</x:v>
      </x:c>
      <x:c r="G390" s="6" t="n">
        <x:f>I161</x:f>
        <x:v>73.3217558812633</x:v>
      </x:c>
      <x:c r="H390" s="6" t="n">
        <x:f>J161</x:f>
        <x:v>71.35983298892936</x:v>
      </x:c>
      <x:c r="I390" s="6" t="n">
        <x:f>K161</x:f>
        <x:v>87.1225487130576</x:v>
      </x:c>
      <x:c r="J390" s="6" t="n">
        <x:f>L161</x:f>
        <x:v>109.03061896785651</x:v>
      </x:c>
      <x:c r="K390" s="6" t="n">
        <x:f>M161</x:f>
        <x:v>96.85033671514455</x:v>
      </x:c>
      <x:c r="L390" s="6" t="n">
        <x:f>N161</x:f>
        <x:v>114.50036828622987</x:v>
      </x:c>
      <x:c r="M390" s="6" t="n">
        <x:f>O161</x:f>
        <x:v>201.98149881859462</x:v>
      </x:c>
      <x:c r="N390" s="6" t="n">
        <x:f>P161</x:f>
        <x:v>79.14812400090845</x:v>
      </x:c>
      <x:c r="O390" s="6" t="n">
        <x:f>Q161</x:f>
        <x:v>103.23366148799578</x:v>
      </x:c>
      <x:c r="P390" s="99"/>
      <x:c r="Q390" s="99"/>
    </x:row>
    <x:row r="391">
      <x:c r="C391" s="6" t="str">
        <x:v>2020-12</x:v>
      </x:c>
      <x:c r="D391" s="6" t="n">
        <x:f>F162</x:f>
        <x:v>121.75267542119765</x:v>
      </x:c>
      <x:c r="E391" s="6" t="n">
        <x:f>G162</x:f>
        <x:v>104.59535903076596</x:v>
      </x:c>
      <x:c r="F391" s="6" t="n">
        <x:f>H162</x:f>
        <x:v>88.65107067126164</x:v>
      </x:c>
      <x:c r="G391" s="6" t="n">
        <x:f>I162</x:f>
        <x:v>77.66704815353586</x:v>
      </x:c>
      <x:c r="H391" s="6" t="n">
        <x:f>J162</x:f>
        <x:v>90.39358144199896</x:v>
      </x:c>
      <x:c r="I391" s="6" t="n">
        <x:f>K162</x:f>
        <x:v>87.5194799744217</x:v>
      </x:c>
      <x:c r="J391" s="6" t="n">
        <x:f>L162</x:f>
        <x:v>116.21613242671032</x:v>
      </x:c>
      <x:c r="K391" s="6" t="n">
        <x:f>M162</x:f>
        <x:v>103.37967487764786</x:v>
      </x:c>
      <x:c r="L391" s="6" t="n">
        <x:f>N162</x:f>
        <x:v>117.4066899605583</x:v>
      </x:c>
      <x:c r="M391" s="6" t="n">
        <x:f>O162</x:f>
        <x:v>201.42977113230734</x:v>
      </x:c>
      <x:c r="N391" s="6" t="n">
        <x:f>P162</x:f>
        <x:v>75.20480208694434</x:v>
      </x:c>
      <x:c r="O391" s="6" t="n">
        <x:f>Q162</x:f>
        <x:v>108.90074517058056</x:v>
      </x:c>
      <x:c r="P391" s="99"/>
      <x:c r="Q391" s="99"/>
    </x:row>
    <x:row r="392">
      <x:c r="C392" s="6" t="str">
        <x:v>2021-01</x:v>
      </x:c>
      <x:c r="D392" s="6" t="n">
        <x:f>F163</x:f>
        <x:v>138.33217969348198</x:v>
      </x:c>
      <x:c r="E392" s="6" t="n">
        <x:f>G163</x:f>
        <x:v>104.62769650390102</x:v>
      </x:c>
      <x:c r="F392" s="6" t="n">
        <x:f>H163</x:f>
        <x:v>88.25077020070613</x:v>
      </x:c>
      <x:c r="G392" s="6" t="n">
        <x:f>I163</x:f>
        <x:v>78.94105506259861</x:v>
      </x:c>
      <x:c r="H392" s="6" t="n">
        <x:f>J163</x:f>
        <x:v>93.73443607483438</x:v>
      </x:c>
      <x:c r="I392" s="6" t="n">
        <x:f>K163</x:f>
        <x:v>88.50287055637159</x:v>
      </x:c>
      <x:c r="J392" s="6" t="n">
        <x:f>L163</x:f>
        <x:v>122.16590264778311</x:v>
      </x:c>
      <x:c r="K392" s="6" t="n">
        <x:f>M163</x:f>
        <x:v>113.26800838259254</x:v>
      </x:c>
      <x:c r="L392" s="6" t="n">
        <x:f>N163</x:f>
        <x:v>115.44577598086923</x:v>
      </x:c>
      <x:c r="M392" s="6" t="n">
        <x:f>O163</x:f>
        <x:v>242.25673020341262</x:v>
      </x:c>
      <x:c r="N392" s="6" t="n">
        <x:f>P163</x:f>
        <x:v>74.04608634036319</x:v>
      </x:c>
      <x:c r="O392" s="6" t="n">
        <x:f>Q163</x:f>
        <x:v>103.90972748035661</x:v>
      </x:c>
      <x:c r="P392" s="99"/>
      <x:c r="Q392" s="99"/>
    </x:row>
    <x:row r="393">
      <x:c r="C393" s="6" t="str">
        <x:v>2021-02</x:v>
      </x:c>
      <x:c r="D393" s="6" t="n">
        <x:f>F164</x:f>
        <x:v>151.76064182987125</x:v>
      </x:c>
      <x:c r="E393" s="6" t="n">
        <x:f>G164</x:f>
        <x:v>103.70397335046009</x:v>
      </x:c>
      <x:c r="F393" s="6" t="n">
        <x:f>H164</x:f>
        <x:v>89.50837962781928</x:v>
      </x:c>
      <x:c r="G393" s="6" t="n">
        <x:f>I164</x:f>
        <x:v>78.76824764521827</x:v>
      </x:c>
      <x:c r="H393" s="6" t="n">
        <x:f>J164</x:f>
        <x:v>103.14251164037071</x:v>
      </x:c>
      <x:c r="I393" s="6" t="n">
        <x:f>K164</x:f>
        <x:v>89.78117104335142</x:v>
      </x:c>
      <x:c r="J393" s="6" t="n">
        <x:f>L164</x:f>
        <x:v>119.94024764009059</x:v>
      </x:c>
      <x:c r="K393" s="6" t="n">
        <x:f>M164</x:f>
        <x:v>111.05978803936046</x:v>
      </x:c>
      <x:c r="L393" s="6" t="n">
        <x:f>N164</x:f>
        <x:v>120.0976212726583</x:v>
      </x:c>
      <x:c r="M393" s="6" t="n">
        <x:f>O164</x:f>
        <x:v>253.96504877961138</x:v>
      </x:c>
      <x:c r="N393" s="6" t="n">
        <x:f>P164</x:f>
        <x:v>71.81787709752963</x:v>
      </x:c>
      <x:c r="O393" s="6" t="n">
        <x:f>Q164</x:f>
        <x:v>109.23185417067482</x:v>
      </x:c>
      <x:c r="P393" s="99"/>
      <x:c r="Q393" s="99"/>
    </x:row>
    <x:row r="394">
      <x:c r="C394" s="6" t="str">
        <x:v>2021-03</x:v>
      </x:c>
      <x:c r="D394" s="6" t="n">
        <x:f>F165</x:f>
        <x:v>171.27673407960413</x:v>
      </x:c>
      <x:c r="E394" s="6" t="n">
        <x:f>G165</x:f>
        <x:v>105.62278517253634</x:v>
      </x:c>
      <x:c r="F394" s="6" t="n">
        <x:f>H165</x:f>
        <x:v>98.3556462980245</x:v>
      </x:c>
      <x:c r="G394" s="6" t="n">
        <x:f>I165</x:f>
        <x:v>80.95308583150931</x:v>
      </x:c>
      <x:c r="H394" s="6" t="n">
        <x:f>J165</x:f>
        <x:v>119.66068883747883</x:v>
      </x:c>
      <x:c r="I394" s="6" t="n">
        <x:f>K165</x:f>
        <x:v>93.15098849162925</x:v>
      </x:c>
      <x:c r="J394" s="6" t="n">
        <x:f>L165</x:f>
        <x:v>127.27776816587011</x:v>
      </x:c>
      <x:c r="K394" s="6" t="n">
        <x:f>M165</x:f>
        <x:v>105.6696629483447</x:v>
      </x:c>
      <x:c r="L394" s="6" t="n">
        <x:f>N165</x:f>
        <x:v>124.00494407997252</x:v>
      </x:c>
      <x:c r="M394" s="6" t="n">
        <x:f>O165</x:f>
        <x:v>292.2586280325852</x:v>
      </x:c>
      <x:c r="N394" s="6" t="n">
        <x:f>P165</x:f>
        <x:v>70.21678392787705</x:v>
      </x:c>
      <x:c r="O394" s="6" t="n">
        <x:f>Q165</x:f>
        <x:v>111.69771681729964</x:v>
      </x:c>
      <x:c r="P394" s="99"/>
      <x:c r="Q394" s="99"/>
    </x:row>
    <x:row r="395">
      <x:c r="C395" s="6" t="str">
        <x:v>2021-04</x:v>
      </x:c>
      <x:c r="D395" s="6" t="n">
        <x:f>F166</x:f>
        <x:v>198.0527297666094</x:v>
      </x:c>
      <x:c r="E395" s="6" t="n">
        <x:f>G166</x:f>
        <x:v>108.34554746633147</x:v>
      </x:c>
      <x:c r="F395" s="6" t="n">
        <x:f>H166</x:f>
        <x:v>96.40888979815023</x:v>
      </x:c>
      <x:c r="G395" s="6" t="n">
        <x:f>I166</x:f>
        <x:v>83.49136359159144</x:v>
      </x:c>
      <x:c r="H395" s="6" t="n">
        <x:f>J166</x:f>
        <x:v>151.16005682217957</x:v>
      </x:c>
      <x:c r="I395" s="6" t="n">
        <x:f>K166</x:f>
        <x:v>93.91054416706449</x:v>
      </x:c>
      <x:c r="J395" s="6" t="n">
        <x:f>L166</x:f>
        <x:v>123.45469299606057</x:v>
      </x:c>
      <x:c r="K395" s="6" t="n">
        <x:f>M166</x:f>
        <x:v>110.23294679037691</x:v>
      </x:c>
      <x:c r="L395" s="6" t="n">
        <x:f>N166</x:f>
        <x:v>124.75210953281777</x:v>
      </x:c>
      <x:c r="M395" s="6" t="n">
        <x:f>O166</x:f>
        <x:v>327.88435222601487</x:v>
      </x:c>
      <x:c r="N395" s="6" t="n">
        <x:f>P166</x:f>
        <x:v>65.49175091288234</x:v>
      </x:c>
      <x:c r="O395" s="6" t="n">
        <x:f>Q166</x:f>
        <x:v>113.84556144852434</x:v>
      </x:c>
      <x:c r="P395" s="99"/>
      <x:c r="Q395" s="99"/>
    </x:row>
    <x:row r="396">
      <x:c r="C396" s="6" t="str">
        <x:v>2021-05</x:v>
      </x:c>
      <x:c r="D396" s="6" t="n">
        <x:f>F167</x:f>
        <x:v>187.33770050871618</x:v>
      </x:c>
      <x:c r="E396" s="6" t="n">
        <x:f>G167</x:f>
        <x:v>104.27603094830151</x:v>
      </x:c>
      <x:c r="F396" s="6" t="n">
        <x:f>H167</x:f>
        <x:v>107.35990043234598</x:v>
      </x:c>
      <x:c r="G396" s="6" t="n">
        <x:f>I167</x:f>
        <x:v>87.81106571374538</x:v>
      </x:c>
      <x:c r="H396" s="6" t="n">
        <x:f>J167</x:f>
        <x:v>151.7249976477117</x:v>
      </x:c>
      <x:c r="I396" s="6" t="n">
        <x:f>K167</x:f>
        <x:v>92.81929669441531</x:v>
      </x:c>
      <x:c r="J396" s="6" t="n">
        <x:f>L167</x:f>
        <x:v>123.2784553149483</x:v>
      </x:c>
      <x:c r="K396" s="6" t="n">
        <x:f>M167</x:f>
        <x:v>108.01585651274523</x:v>
      </x:c>
      <x:c r="L396" s="6" t="n">
        <x:f>N167</x:f>
        <x:v>86.0135116883562</x:v>
      </x:c>
      <x:c r="M396" s="6" t="n">
        <x:f>O167</x:f>
        <x:v>325.4444110879998</x:v>
      </x:c>
      <x:c r="N396" s="6" t="n">
        <x:f>P167</x:f>
        <x:v>69.09621139054566</x:v>
      </x:c>
      <x:c r="O396" s="6" t="n">
        <x:f>Q167</x:f>
        <x:v>122.77804417918325</x:v>
      </x:c>
      <x:c r="P396" s="99"/>
      <x:c r="Q396" s="99"/>
    </x:row>
    <x:row r="397">
      <x:c r="C397" s="6" t="str">
        <x:v>2021-06</x:v>
      </x:c>
      <x:c r="D397" s="6" t="n">
        <x:f>F168</x:f>
        <x:v>196.50905588855522</x:v>
      </x:c>
      <x:c r="E397" s="6" t="n">
        <x:f>G168</x:f>
        <x:v>106.88994438472146</x:v>
      </x:c>
      <x:c r="F397" s="6" t="n">
        <x:f>H168</x:f>
        <x:v>112.62475173484185</x:v>
      </x:c>
      <x:c r="G397" s="6" t="n">
        <x:f>I168</x:f>
        <x:v>85.55509908492927</x:v>
      </x:c>
      <x:c r="H397" s="6" t="n">
        <x:f>J168</x:f>
        <x:v>171.25784658939816</x:v>
      </x:c>
      <x:c r="I397" s="6" t="n">
        <x:f>K168</x:f>
        <x:v>93.47230374424988</x:v>
      </x:c>
      <x:c r="J397" s="6" t="n">
        <x:f>L168</x:f>
        <x:v>123.39203445779347</x:v>
      </x:c>
      <x:c r="K397" s="6" t="n">
        <x:f>M168</x:f>
        <x:v>109.24016463595565</x:v>
      </x:c>
      <x:c r="L397" s="6" t="n">
        <x:f>N168</x:f>
        <x:v>89.45265377567556</x:v>
      </x:c>
      <x:c r="M397" s="6" t="n">
        <x:f>O168</x:f>
        <x:v>334.87114949550795</x:v>
      </x:c>
      <x:c r="N397" s="6" t="n">
        <x:f>P168</x:f>
        <x:v>73.73428989422133</x:v>
      </x:c>
      <x:c r="O397" s="6" t="n">
        <x:f>Q168</x:f>
        <x:v>127.6630672019976</x:v>
      </x:c>
      <x:c r="P397" s="99"/>
      <x:c r="Q397" s="99"/>
    </x:row>
    <x:row r="398">
      <x:c r="C398" s="6" t="str">
        <x:v>2021-07</x:v>
      </x:c>
      <x:c r="D398" s="6" t="n">
        <x:f>F169</x:f>
        <x:v>206.94123878721925</x:v>
      </x:c>
      <x:c r="E398" s="6" t="n">
        <x:f>G169</x:f>
        <x:v>108.46070080660243</x:v>
      </x:c>
      <x:c r="F398" s="6" t="n">
        <x:f>H169</x:f>
        <x:v>124.9702590591049</x:v>
      </x:c>
      <x:c r="G398" s="6" t="n">
        <x:f>I169</x:f>
        <x:v>90.77869498057798</x:v>
      </x:c>
      <x:c r="H398" s="6" t="n">
        <x:f>J169</x:f>
        <x:v>172.59824053193483</x:v>
      </x:c>
      <x:c r="I398" s="6" t="n">
        <x:f>K169</x:f>
        <x:v>96.32365172810829</x:v>
      </x:c>
      <x:c r="J398" s="6" t="n">
        <x:f>L169</x:f>
        <x:v>136.48646465124585</x:v>
      </x:c>
      <x:c r="K398" s="6" t="n">
        <x:f>M169</x:f>
        <x:v>119.55294332338973</x:v>
      </x:c>
      <x:c r="L398" s="6" t="n">
        <x:f>N169</x:f>
        <x:v>127.62647408073128</x:v>
      </x:c>
      <x:c r="M398" s="6" t="n">
        <x:f>O169</x:f>
        <x:v>364.08088279093624</x:v>
      </x:c>
      <x:c r="N398" s="6" t="n">
        <x:f>P169</x:f>
        <x:v>74.0320411991815</x:v>
      </x:c>
      <x:c r="O398" s="6" t="n">
        <x:f>Q169</x:f>
        <x:v>130.5483874973856</x:v>
      </x:c>
      <x:c r="P398" s="99"/>
      <x:c r="Q398" s="99"/>
    </x:row>
    <x:row r="399">
      <x:c r="C399" s="6" t="str">
        <x:v>2021-08</x:v>
      </x:c>
      <x:c r="D399" s="6" t="n">
        <x:f>F170</x:f>
        <x:v>201.66685588143957</x:v>
      </x:c>
      <x:c r="E399" s="6" t="n">
        <x:f>G170</x:f>
        <x:v>111.335154985409</x:v>
      </x:c>
      <x:c r="F399" s="6" t="n">
        <x:f>H170</x:f>
        <x:v>126.13872251574006</x:v>
      </x:c>
      <x:c r="G399" s="6" t="n">
        <x:f>I170</x:f>
        <x:v>90.14902741104899</x:v>
      </x:c>
      <x:c r="H399" s="6" t="n">
        <x:f>J170</x:f>
        <x:v>182.97952671814812</x:v>
      </x:c>
      <x:c r="I399" s="6" t="n">
        <x:f>K170</x:f>
        <x:v>99.67045264693401</x:v>
      </x:c>
      <x:c r="J399" s="6" t="n">
        <x:f>L170</x:f>
        <x:v>143.12540294725636</x:v>
      </x:c>
      <x:c r="K399" s="6" t="n">
        <x:f>M170</x:f>
        <x:v>122.64512063780795</x:v>
      </x:c>
      <x:c r="L399" s="6" t="n">
        <x:f>N170</x:f>
        <x:v>119.66872712078833</x:v>
      </x:c>
      <x:c r="M399" s="6" t="n">
        <x:f>O170</x:f>
        <x:v>338.3416579987613</x:v>
      </x:c>
      <x:c r="N399" s="6" t="n">
        <x:f>P170</x:f>
        <x:v>74.571239009179</x:v>
      </x:c>
      <x:c r="O399" s="6" t="n">
        <x:f>Q170</x:f>
        <x:v>125.90149065908535</x:v>
      </x:c>
      <x:c r="P399" s="99"/>
      <x:c r="Q399" s="99"/>
    </x:row>
    <x:row r="400">
      <x:c r="C400" s="6" t="str">
        <x:v>2021-09</x:v>
      </x:c>
      <x:c r="D400" s="6" t="n">
        <x:f>F171</x:f>
        <x:v>188.96313101649093</x:v>
      </x:c>
      <x:c r="E400" s="6" t="n">
        <x:f>G171</x:f>
        <x:v>101.59887774104273</x:v>
      </x:c>
      <x:c r="F400" s="6" t="n">
        <x:f>H171</x:f>
        <x:v>130.76432320619776</x:v>
      </x:c>
      <x:c r="G400" s="6" t="n">
        <x:f>I171</x:f>
        <x:v>97.23348589119614</x:v>
      </x:c>
      <x:c r="H400" s="6" t="n">
        <x:f>J171</x:f>
        <x:v>185.3670524740197</x:v>
      </x:c>
      <x:c r="I400" s="6" t="n">
        <x:f>K171</x:f>
        <x:v>98.7132918762342</x:v>
      </x:c>
      <x:c r="J400" s="6" t="n">
        <x:f>L171</x:f>
        <x:v>177.12529827847635</x:v>
      </x:c>
      <x:c r="K400" s="6" t="n">
        <x:f>M171</x:f>
        <x:v>130.63073820141423</x:v>
      </x:c>
      <x:c r="L400" s="6" t="n">
        <x:f>N171</x:f>
        <x:v>104.11430319203802</x:v>
      </x:c>
      <x:c r="M400" s="6" t="n">
        <x:f>O171</x:f>
        <x:v>288.2408461161401</x:v>
      </x:c>
      <x:c r="N400" s="6" t="n">
        <x:f>P171</x:f>
        <x:v>75.0207468424972</x:v>
      </x:c>
      <x:c r="O400" s="6" t="n">
        <x:f>Q171</x:f>
        <x:v>125.7698580994375</x:v>
      </x:c>
      <x:c r="P400" s="99"/>
      <x:c r="Q400" s="99"/>
    </x:row>
    <x:row r="401">
      <x:c r="C401" s="6" t="str">
        <x:v>2021-10</x:v>
      </x:c>
      <x:c r="D401" s="6" t="n">
        <x:f>F172</x:f>
        <x:v>191.90180326635968</x:v>
      </x:c>
      <x:c r="E401" s="6" t="n">
        <x:f>G172</x:f>
        <x:v>114.58600720634024</x:v>
      </x:c>
      <x:c r="F401" s="6" t="n">
        <x:f>H172</x:f>
        <x:v>131.1450995475851</x:v>
      </x:c>
      <x:c r="G401" s="6" t="n">
        <x:f>I172</x:f>
        <x:v>107.41020516646236</x:v>
      </x:c>
      <x:c r="H401" s="6" t="n">
        <x:f>J172</x:f>
        <x:v>207.89034142941873</x:v>
      </x:c>
      <x:c r="I401" s="6" t="n">
        <x:f>K172</x:f>
        <x:v>102.75398189853433</x:v>
      </x:c>
      <x:c r="J401" s="6" t="n">
        <x:f>L172</x:f>
        <x:v>176.16806806240385</x:v>
      </x:c>
      <x:c r="K401" s="6" t="n">
        <x:f>M172</x:f>
        <x:v>135.86917830767754</x:v>
      </x:c>
      <x:c r="L401" s="6" t="n">
        <x:f>N172</x:f>
        <x:v>108.3043190170728</x:v>
      </x:c>
      <x:c r="M401" s="6" t="n">
        <x:f>O172</x:f>
        <x:v>257.6524011192737</x:v>
      </x:c>
      <x:c r="N401" s="6" t="n">
        <x:f>P172</x:f>
        <x:v>76.53467601490345</x:v>
      </x:c>
      <x:c r="O401" s="6" t="n">
        <x:f>Q172</x:f>
        <x:v>124.5058528126142</x:v>
      </x:c>
      <x:c r="P401" s="99"/>
      <x:c r="Q401" s="99"/>
    </x:row>
    <x:row r="402">
      <x:c r="C402" s="6" t="str">
        <x:v>2021-11</x:v>
      </x:c>
      <x:c r="D402" s="6" t="n">
        <x:f>F173</x:f>
        <x:v>194.38356404288035</x:v>
      </x:c>
      <x:c r="E402" s="6" t="n">
        <x:f>G173</x:f>
        <x:v>107.37014498555001</x:v>
      </x:c>
      <x:c r="F402" s="6" t="n">
        <x:f>H173</x:f>
        <x:v>118.55207983262738</x:v>
      </x:c>
      <x:c r="G402" s="6" t="n">
        <x:f>I173</x:f>
        <x:v>120.45421465383599</x:v>
      </x:c>
      <x:c r="H402" s="6" t="n">
        <x:f>J173</x:f>
        <x:v>239.81328169003598</x:v>
      </x:c>
      <x:c r="I402" s="6" t="n">
        <x:f>K173</x:f>
        <x:v>100.56865337423699</x:v>
      </x:c>
      <x:c r="J402" s="6" t="n">
        <x:f>L173</x:f>
        <x:v>157.52621749333485</x:v>
      </x:c>
      <x:c r="K402" s="6" t="n">
        <x:f>M173</x:f>
        <x:v>134.70811016838493</x:v>
      </x:c>
      <x:c r="L402" s="6" t="n">
        <x:f>N173</x:f>
        <x:v>125.12621170453555</x:v>
      </x:c>
      <x:c r="M402" s="6" t="n">
        <x:f>O173</x:f>
        <x:v>217.47445294631237</x:v>
      </x:c>
      <x:c r="N402" s="6" t="n">
        <x:f>P173</x:f>
        <x:v>91.00854316110211</x:v>
      </x:c>
      <x:c r="O402" s="6" t="n">
        <x:f>Q173</x:f>
        <x:v>126.63476061587897</x:v>
      </x:c>
      <x:c r="P402" s="99"/>
      <x:c r="Q402" s="99"/>
    </x:row>
    <x:row r="403">
      <x:c r="C403" s="6" t="str">
        <x:v>2021-12</x:v>
      </x:c>
      <x:c r="D403" s="6" t="n">
        <x:f>F174</x:f>
        <x:v>192.02987841784173</x:v>
      </x:c>
      <x:c r="E403" s="6" t="n">
        <x:f>G174</x:f>
        <x:v>104.91717347669187</x:v>
      </x:c>
      <x:c r="F403" s="6" t="n">
        <x:f>H174</x:f>
        <x:v>110.89135206518014</x:v>
      </x:c>
      <x:c r="G403" s="6" t="n">
        <x:f>I174</x:f>
        <x:v>114.59369386974947</x:v>
      </x:c>
      <x:c r="H403" s="6" t="n">
        <x:f>J174</x:f>
        <x:v>239.30068335764378</x:v>
      </x:c>
      <x:c r="I403" s="6" t="n">
        <x:f>K174</x:f>
        <x:v>100.90282322436846</x:v>
      </x:c>
      <x:c r="J403" s="6" t="n">
        <x:f>L174</x:f>
        <x:v>160.83428622099848</x:v>
      </x:c>
      <x:c r="K403" s="6" t="n">
        <x:f>M174</x:f>
        <x:v>135.4480752821194</x:v>
      </x:c>
      <x:c r="L403" s="6" t="n">
        <x:f>N174</x:f>
        <x:v>116.86017789147569</x:v>
      </x:c>
      <x:c r="M403" s="6" t="n">
        <x:f>O174</x:f>
        <x:v>204.94369095260475</x:v>
      </x:c>
      <x:c r="N403" s="6" t="n">
        <x:f>P174</x:f>
        <x:v>84.41746199845863</x:v>
      </x:c>
      <x:c r="O403" s="6" t="n">
        <x:f>Q174</x:f>
        <x:v>121.61125409923675</x:v>
      </x:c>
      <x:c r="P403" s="99"/>
      <x:c r="Q403" s="99"/>
    </x:row>
    <x:row r="404">
      <x:c r="C404" s="6" t="str">
        <x:v>2022-01</x:v>
      </x:c>
      <x:c r="D404" s="6" t="n">
        <x:f>F175</x:f>
        <x:v>200.0062891301158</x:v>
      </x:c>
      <x:c r="E404" s="6" t="n">
        <x:f>G175</x:f>
        <x:v>102.16735985471462</x:v>
      </x:c>
      <x:c r="F404" s="6" t="n">
        <x:f>H175</x:f>
        <x:v>118.35896807730978</x:v>
      </x:c>
      <x:c r="G404" s="6" t="n">
        <x:f>I175</x:f>
        <x:v>112.5587072597835</x:v>
      </x:c>
      <x:c r="H404" s="6" t="n">
        <x:f>J175</x:f>
        <x:v>234.36692466566123</x:v>
      </x:c>
      <x:c r="I404" s="6" t="n">
        <x:f>K175</x:f>
        <x:v>103.54682340352663</x:v>
      </x:c>
      <x:c r="J404" s="6" t="n">
        <x:f>L175</x:f>
        <x:v>158.35457973823392</x:v>
      </x:c>
      <x:c r="K404" s="6" t="n">
        <x:f>M175</x:f>
        <x:v>140.47232762213156</x:v>
      </x:c>
      <x:c r="L404" s="6" t="n">
        <x:f>N175</x:f>
        <x:v>123.12455943608434</x:v>
      </x:c>
      <x:c r="M404" s="6" t="n">
        <x:f>O175</x:f>
        <x:v>219.1631422136319</x:v>
      </x:c>
      <x:c r="N404" s="6" t="n">
        <x:f>P175</x:f>
        <x:v>84.24440265860221</x:v>
      </x:c>
      <x:c r="O404" s="6" t="n">
        <x:f>Q175</x:f>
        <x:v>120.89640111558724</x:v>
      </x:c>
      <x:c r="P404" s="99"/>
      <x:c r="Q404" s="99"/>
    </x:row>
    <x:row r="405">
      <x:c r="C405" s="6" t="str">
        <x:v>2022-02</x:v>
      </x:c>
      <x:c r="D405" s="6" t="n">
        <x:f>F176</x:f>
        <x:v>213.32855661350206</x:v>
      </x:c>
      <x:c r="E405" s="6" t="n">
        <x:f>G176</x:f>
        <x:v>108.38210279635605</x:v>
      </x:c>
      <x:c r="F405" s="6" t="n">
        <x:f>H176</x:f>
        <x:v>115.51786681167309</x:v>
      </x:c>
      <x:c r="G405" s="6" t="n">
        <x:f>I176</x:f>
        <x:v>116.46328064842942</x:v>
      </x:c>
      <x:c r="H405" s="6" t="n">
        <x:f>J176</x:f>
        <x:v>232.6606575662297</x:v>
      </x:c>
      <x:c r="I405" s="6" t="n">
        <x:f>K176</x:f>
        <x:v>104.27046515430025</x:v>
      </x:c>
      <x:c r="J405" s="6" t="n">
        <x:f>L176</x:f>
        <x:v>192.55136192578775</x:v>
      </x:c>
      <x:c r="K405" s="6" t="n">
        <x:f>M176</x:f>
        <x:v>136.7987926358309</x:v>
      </x:c>
      <x:c r="L405" s="6" t="n">
        <x:f>N176</x:f>
        <x:v>133.13500153193456</x:v>
      </x:c>
      <x:c r="M405" s="6" t="n">
        <x:f>O176</x:f>
        <x:v>237.09214692804767</x:v>
      </x:c>
      <x:c r="N405" s="6" t="n">
        <x:f>P176</x:f>
        <x:v>85.63540144051832</x:v>
      </x:c>
      <x:c r="O405" s="6" t="n">
        <x:f>Q176</x:f>
        <x:v>115.01234533637374</x:v>
      </x:c>
      <x:c r="P405" s="99"/>
      <x:c r="Q405" s="99"/>
    </x:row>
    <x:row r="406">
      <x:c r="C406" s="6" t="str">
        <x:v>2022-03</x:v>
      </x:c>
      <x:c r="D406" s="6" t="n">
        <x:f>F177</x:f>
        <x:v>227.9696391361436</x:v>
      </x:c>
      <x:c r="E406" s="6" t="n">
        <x:f>G177</x:f>
        <x:v>110.22970088276523</x:v>
      </x:c>
      <x:c r="F406" s="6" t="n">
        <x:f>H177</x:f>
        <x:v>116.77246371816028</x:v>
      </x:c>
      <x:c r="G406" s="6" t="n">
        <x:f>I177</x:f>
        <x:v>113.18464066905518</x:v>
      </x:c>
      <x:c r="H406" s="6" t="n">
        <x:f>J177</x:f>
        <x:v>273.66296020895066</x:v>
      </x:c>
      <x:c r="I406" s="6" t="n">
        <x:f>K177</x:f>
        <x:v>106.17252007756545</x:v>
      </x:c>
      <x:c r="J406" s="6" t="n">
        <x:f>L177</x:f>
        <x:v>214.4538007884547</x:v>
      </x:c>
      <x:c r="K406" s="6" t="n">
        <x:f>M177</x:f>
        <x:v>143.350351413336</x:v>
      </x:c>
      <x:c r="L406" s="6" t="n">
        <x:f>N177</x:f>
        <x:v>139.49426193456097</x:v>
      </x:c>
      <x:c r="M406" s="6" t="n">
        <x:f>O177</x:f>
        <x:v>254.70582035831634</x:v>
      </x:c>
      <x:c r="N406" s="6" t="n">
        <x:f>P177</x:f>
        <x:v>87.04366033187118</x:v>
      </x:c>
      <x:c r="O406" s="6" t="n">
        <x:f>Q177</x:f>
        <x:v>121.19332332343828</x:v>
      </x:c>
      <x:c r="P406" s="99"/>
      <x:c r="Q406" s="99"/>
    </x:row>
    <x:row r="407">
      <x:c r="C407" s="6" t="str">
        <x:v>2022-04</x:v>
      </x:c>
      <x:c r="D407" s="6" t="n">
        <x:f>F178</x:f>
        <x:v>243.7449410531384</x:v>
      </x:c>
      <x:c r="E407" s="6" t="n">
        <x:f>G178</x:f>
        <x:v>104.69006440381304</x:v>
      </x:c>
      <x:c r="F407" s="6" t="n">
        <x:f>H178</x:f>
        <x:v>127.28099130649255</x:v>
      </x:c>
      <x:c r="G407" s="6" t="n">
        <x:f>I178</x:f>
        <x:v>122.98738274416985</x:v>
      </x:c>
      <x:c r="H407" s="6" t="n">
        <x:f>J178</x:f>
        <x:v>279.8972183988031</x:v>
      </x:c>
      <x:c r="I407" s="6" t="n">
        <x:f>K178</x:f>
        <x:v>107.67651925470696</x:v>
      </x:c>
      <x:c r="J407" s="6" t="n">
        <x:f>L178</x:f>
        <x:v>211.49258895165892</x:v>
      </x:c>
      <x:c r="K407" s="6" t="n">
        <x:f>M178</x:f>
        <x:v>145.28963217207027</x:v>
      </x:c>
      <x:c r="L407" s="6" t="n">
        <x:f>N178</x:f>
        <x:v>150.97543397503247</x:v>
      </x:c>
      <x:c r="M407" s="6" t="n">
        <x:f>O178</x:f>
        <x:v>279.6418642901893</x:v>
      </x:c>
      <x:c r="N407" s="6" t="n">
        <x:f>P178</x:f>
        <x:v>90.28743050397024</x:v>
      </x:c>
      <x:c r="O407" s="6" t="n">
        <x:f>Q178</x:f>
        <x:v>116.9193965680992</x:v>
      </x:c>
      <x:c r="P407" s="99"/>
      <x:c r="Q407" s="99"/>
    </x:row>
    <x:row r="408">
      <x:c r="C408" s="6" t="str">
        <x:v>2022-05</x:v>
      </x:c>
      <x:c r="D408" s="6" t="n">
        <x:f>F179</x:f>
        <x:v>248.70235655794897</x:v>
      </x:c>
      <x:c r="E408" s="6" t="n">
        <x:f>G179</x:f>
        <x:v>103.81386201653011</x:v>
      </x:c>
      <x:c r="F408" s="6" t="n">
        <x:f>H179</x:f>
        <x:v>138.56001224889323</x:v>
      </x:c>
      <x:c r="G408" s="6" t="n">
        <x:f>I179</x:f>
        <x:v>112.60966155480709</x:v>
      </x:c>
      <x:c r="H408" s="6" t="n">
        <x:f>J179</x:f>
        <x:v>295.319481178421</x:v>
      </x:c>
      <x:c r="I408" s="6" t="n">
        <x:f>K179</x:f>
        <x:v>113.94802672783908</x:v>
      </x:c>
      <x:c r="J408" s="6" t="n">
        <x:f>L179</x:f>
        <x:v>215.29111763710767</x:v>
      </x:c>
      <x:c r="K408" s="6" t="n">
        <x:f>M179</x:f>
        <x:v>146.59843997282815</x:v>
      </x:c>
      <x:c r="L408" s="6" t="n">
        <x:f>N179</x:f>
        <x:v>153.78454911089915</x:v>
      </x:c>
      <x:c r="M408" s="6" t="n">
        <x:f>O179</x:f>
        <x:v>272.1895678737182</x:v>
      </x:c>
      <x:c r="N408" s="6" t="n">
        <x:f>P179</x:f>
        <x:v>95.15330821778399</x:v>
      </x:c>
      <x:c r="O408" s="6" t="n">
        <x:f>Q179</x:f>
        <x:v>126.98427958034546</x:v>
      </x:c>
      <x:c r="P408" s="99"/>
      <x:c r="Q408" s="99"/>
    </x:row>
    <x:row r="409">
      <x:c r="C409" s="6" t="str">
        <x:v>2022-06</x:v>
      </x:c>
      <x:c r="D409" s="6" t="n">
        <x:f>F180</x:f>
        <x:v>258.5461300355431</x:v>
      </x:c>
      <x:c r="E409" s="6" t="n">
        <x:f>G180</x:f>
        <x:v>100.86894918135295</x:v>
      </x:c>
      <x:c r="F409" s="6" t="n">
        <x:f>H180</x:f>
        <x:v>133.7341660814054</x:v>
      </x:c>
      <x:c r="G409" s="6" t="n">
        <x:f>I180</x:f>
        <x:v>113.49903791190489</x:v>
      </x:c>
      <x:c r="H409" s="6" t="n">
        <x:f>J180</x:f>
        <x:v>323.57314329730457</x:v>
      </x:c>
      <x:c r="I409" s="6" t="n">
        <x:f>K180</x:f>
        <x:v>118.85461160200317</x:v>
      </x:c>
      <x:c r="J409" s="6" t="n">
        <x:f>L180</x:f>
        <x:v>199.5209847114167</x:v>
      </x:c>
      <x:c r="K409" s="6" t="n">
        <x:f>M180</x:f>
        <x:v>167.11134048085722</x:v>
      </x:c>
      <x:c r="L409" s="6" t="n">
        <x:f>N180</x:f>
        <x:v>158.74178263927385</x:v>
      </x:c>
      <x:c r="M409" s="6" t="n">
        <x:f>O180</x:f>
        <x:v>273.07261987572446</x:v>
      </x:c>
      <x:c r="N409" s="6" t="n">
        <x:f>P180</x:f>
        <x:v>95.69222402852287</x:v>
      </x:c>
      <x:c r="O409" s="6" t="n">
        <x:f>Q180</x:f>
        <x:v>166.00317229132452</x:v>
      </x:c>
      <x:c r="P409" s="99"/>
      <x:c r="Q409" s="99"/>
    </x:row>
    <x:row r="410">
      <x:c r="C410" s="6" t="str">
        <x:v>2022-07</x:v>
      </x:c>
      <x:c r="D410" s="6" t="n">
        <x:f>F181</x:f>
        <x:v>256.1502271314952</x:v>
      </x:c>
      <x:c r="E410" s="6" t="n">
        <x:f>G181</x:f>
        <x:v>96.55078076647865</x:v>
      </x:c>
      <x:c r="F410" s="6" t="n">
        <x:f>H181</x:f>
        <x:v>135.1973614492883</x:v>
      </x:c>
      <x:c r="G410" s="6" t="n">
        <x:f>I181</x:f>
        <x:v>111.74135548513111</x:v>
      </x:c>
      <x:c r="H410" s="6" t="n">
        <x:f>J181</x:f>
        <x:v>330.2112527762024</x:v>
      </x:c>
      <x:c r="I410" s="6" t="n">
        <x:f>K181</x:f>
        <x:v>119.7078652607101</x:v>
      </x:c>
      <x:c r="J410" s="6" t="n">
        <x:f>L181</x:f>
        <x:v>204.88939071061947</x:v>
      </x:c>
      <x:c r="K410" s="6" t="n">
        <x:f>M181</x:f>
        <x:v>180.3596649699213</x:v>
      </x:c>
      <x:c r="L410" s="6" t="n">
        <x:f>N181</x:f>
        <x:v>158.43425726179498</x:v>
      </x:c>
      <x:c r="M410" s="6" t="n">
        <x:f>O181</x:f>
        <x:v>243.6321948915332</x:v>
      </x:c>
      <x:c r="N410" s="6" t="n">
        <x:f>P181</x:f>
        <x:v>98.6480215719112</x:v>
      </x:c>
      <x:c r="O410" s="6" t="n">
        <x:f>Q181</x:f>
        <x:v>159.35729080809048</x:v>
      </x:c>
      <x:c r="P410" s="99"/>
      <x:c r="Q410" s="99"/>
    </x:row>
    <x:row r="411">
      <x:c r="C411" s="6" t="str">
        <x:v>2022-08</x:v>
      </x:c>
      <x:c r="D411" s="6" t="n">
        <x:f>F182</x:f>
        <x:v>247.20391087476764</x:v>
      </x:c>
      <x:c r="E411" s="6" t="n">
        <x:f>G182</x:f>
        <x:v>88.94333994392751</x:v>
      </x:c>
      <x:c r="F411" s="6" t="n">
        <x:f>H182</x:f>
        <x:v>133.57635690520667</x:v>
      </x:c>
      <x:c r="G411" s="6" t="n">
        <x:f>I182</x:f>
        <x:v>113.09770140465649</x:v>
      </x:c>
      <x:c r="H411" s="6" t="n">
        <x:f>J182</x:f>
        <x:v>338.2666900987785</x:v>
      </x:c>
      <x:c r="I411" s="6" t="n">
        <x:f>K182</x:f>
        <x:v>120.91142449553287</x:v>
      </x:c>
      <x:c r="J411" s="6" t="n">
        <x:f>L182</x:f>
        <x:v>202.1341037082602</x:v>
      </x:c>
      <x:c r="K411" s="6" t="n">
        <x:f>M182</x:f>
        <x:v>176.2902386035539</x:v>
      </x:c>
      <x:c r="L411" s="6" t="n">
        <x:f>N182</x:f>
        <x:v>153.1005984823449</x:v>
      </x:c>
      <x:c r="M411" s="6" t="n">
        <x:f>O182</x:f>
        <x:v>233.57000340811118</x:v>
      </x:c>
      <x:c r="N411" s="6" t="n">
        <x:f>P182</x:f>
        <x:v>100.82497680763399</x:v>
      </x:c>
      <x:c r="O411" s="6" t="n">
        <x:f>Q182</x:f>
        <x:v>141.3623704430941</x:v>
      </x:c>
      <x:c r="P411" s="99"/>
      <x:c r="Q411" s="99"/>
    </x:row>
    <x:row r="412">
      <x:c r="C412" s="6" t="str">
        <x:v>2022-09</x:v>
      </x:c>
      <x:c r="D412" s="6" t="n">
        <x:f>F183</x:f>
        <x:v>235.62920093711804</x:v>
      </x:c>
      <x:c r="E412" s="6" t="n">
        <x:f>G183</x:f>
        <x:v>85.8971029204749</x:v>
      </x:c>
      <x:c r="F412" s="6" t="n">
        <x:f>H183</x:f>
        <x:v>130.82634652318507</x:v>
      </x:c>
      <x:c r="G412" s="6" t="n">
        <x:f>I183</x:f>
        <x:v>109.19611749141009</x:v>
      </x:c>
      <x:c r="H412" s="6" t="n">
        <x:f>J183</x:f>
        <x:v>321.50382522778114</x:v>
      </x:c>
      <x:c r="I412" s="6" t="n">
        <x:f>K183</x:f>
        <x:v>123.7128406917677</x:v>
      </x:c>
      <x:c r="J412" s="6" t="n">
        <x:f>L183</x:f>
        <x:v>204.17887176980517</x:v>
      </x:c>
      <x:c r="K412" s="6" t="n">
        <x:f>M183</x:f>
        <x:v>195.33396050337598</x:v>
      </x:c>
      <x:c r="L412" s="6" t="n">
        <x:f>N183</x:f>
        <x:v>159.39102444904486</x:v>
      </x:c>
      <x:c r="M412" s="6" t="n">
        <x:f>O183</x:f>
        <x:v>233.57535201598526</x:v>
      </x:c>
      <x:c r="N412" s="6" t="n">
        <x:f>P183</x:f>
        <x:v>101.36023281314961</x:v>
      </x:c>
      <x:c r="O412" s="6" t="n">
        <x:f>Q183</x:f>
        <x:v>151.87805141681662</x:v>
      </x:c>
      <x:c r="P412" s="99"/>
      <x:c r="Q412" s="99"/>
    </x:row>
    <x:row r="413">
      <x:c r="C413" s="6" t="str">
        <x:v>2022-10</x:v>
      </x:c>
      <x:c r="D413" s="6" t="n">
        <x:f>F184</x:f>
        <x:v>215.51986403587594</x:v>
      </x:c>
      <x:c r="E413" s="6" t="n">
        <x:f>G184</x:f>
        <x:v>85.13256889142782</x:v>
      </x:c>
      <x:c r="F413" s="6" t="n">
        <x:f>H184</x:f>
        <x:v>137.99212544824152</x:v>
      </x:c>
      <x:c r="G413" s="6" t="n">
        <x:f>I184</x:f>
        <x:v>107.15510230285894</x:v>
      </x:c>
      <x:c r="H413" s="6" t="n">
        <x:f>J184</x:f>
        <x:v>313.97098590614894</x:v>
      </x:c>
      <x:c r="I413" s="6" t="n">
        <x:f>K184</x:f>
        <x:v>122.298070769684</x:v>
      </x:c>
      <x:c r="J413" s="6" t="n">
        <x:f>L184</x:f>
        <x:v>208.8396994931193</x:v>
      </x:c>
      <x:c r="K413" s="6" t="n">
        <x:f>M184</x:f>
        <x:v>204.89994666602271</x:v>
      </x:c>
      <x:c r="L413" s="6" t="n">
        <x:f>N184</x:f>
        <x:v>163.3968449732874</x:v>
      </x:c>
      <x:c r="M413" s="6" t="n">
        <x:f>O184</x:f>
        <x:v>200.14333753668944</x:v>
      </x:c>
      <x:c r="N413" s="6" t="n">
        <x:f>P184</x:f>
        <x:v>101.57774582789844</x:v>
      </x:c>
      <x:c r="O413" s="6" t="n">
        <x:f>Q184</x:f>
        <x:v>163.54923587523228</x:v>
      </x:c>
      <x:c r="P413" s="99"/>
      <x:c r="Q413" s="99"/>
    </x:row>
    <x:row r="414">
      <x:c r="C414" s="6" t="str">
        <x:v>2022-11</x:v>
      </x:c>
      <x:c r="D414" s="6" t="n">
        <x:f>F185</x:f>
        <x:v>220.35350459697307</x:v>
      </x:c>
      <x:c r="E414" s="6" t="n">
        <x:f>G185</x:f>
        <x:v>86.61122740067813</x:v>
      </x:c>
      <x:c r="F414" s="6" t="n">
        <x:f>H185</x:f>
        <x:v>149.27462425968008</x:v>
      </x:c>
      <x:c r="G414" s="6" t="n">
        <x:f>I185</x:f>
        <x:v>110.97289901126743</x:v>
      </x:c>
      <x:c r="H414" s="6" t="n">
        <x:f>J185</x:f>
        <x:v>294.2777234990581</x:v>
      </x:c>
      <x:c r="I414" s="6" t="n">
        <x:f>K185</x:f>
        <x:v>119.50738898481492</x:v>
      </x:c>
      <x:c r="J414" s="6" t="n">
        <x:f>L185</x:f>
        <x:v>218.4885816395692</x:v>
      </x:c>
      <x:c r="K414" s="6" t="n">
        <x:f>M185</x:f>
        <x:v>217.3187679148819</x:v>
      </x:c>
      <x:c r="L414" s="6" t="n">
        <x:f>N185</x:f>
        <x:v>173.17152413784507</x:v>
      </x:c>
      <x:c r="M414" s="6" t="n">
        <x:f>O185</x:f>
        <x:v>204.51914611860568</x:v>
      </x:c>
      <x:c r="N414" s="6" t="n">
        <x:f>P185</x:f>
        <x:v>103.48140676506992</x:v>
      </x:c>
      <x:c r="O414" s="6" t="n">
        <x:f>Q185</x:f>
        <x:v>170.70443896008757</x:v>
      </x:c>
      <x:c r="P414" s="99"/>
      <x:c r="Q414" s="99"/>
    </x:row>
    <x:row r="415">
      <x:c r="C415" s="6" t="str">
        <x:v>2022-12</x:v>
      </x:c>
      <x:c r="D415" s="6" t="n">
        <x:f>F186</x:f>
        <x:v>204.65670819677678</x:v>
      </x:c>
      <x:c r="E415" s="6" t="n">
        <x:f>G186</x:f>
        <x:v>87.0979350739594</x:v>
      </x:c>
      <x:c r="F415" s="6" t="n">
        <x:f>H186</x:f>
        <x:v>112.76996905354915</x:v>
      </x:c>
      <x:c r="G415" s="6" t="n">
        <x:f>I186</x:f>
        <x:v>103.08687067543087</x:v>
      </x:c>
      <x:c r="H415" s="6" t="n">
        <x:f>J186</x:f>
        <x:v>254.38346836378415</x:v>
      </x:c>
      <x:c r="I415" s="6" t="n">
        <x:f>K186</x:f>
        <x:v>119.95276459287261</x:v>
      </x:c>
      <x:c r="J415" s="6" t="n">
        <x:f>L186</x:f>
        <x:v>223.18232535241614</x:v>
      </x:c>
      <x:c r="K415" s="6" t="n">
        <x:f>M186</x:f>
        <x:v>224.52986798758263</x:v>
      </x:c>
      <x:c r="L415" s="6" t="n">
        <x:f>N186</x:f>
        <x:v>183.06436514740335</x:v>
      </x:c>
      <x:c r="M415" s="6" t="n">
        <x:f>O186</x:f>
        <x:v>195.1211300390725</x:v>
      </x:c>
      <x:c r="N415" s="6" t="n">
        <x:f>P186</x:f>
        <x:v>106.31940206273582</x:v>
      </x:c>
      <x:c r="O415" s="6" t="n">
        <x:f>Q186</x:f>
        <x:v>155.9607123647533</x:v>
      </x:c>
      <x:c r="P415" s="99"/>
      <x:c r="Q415" s="99"/>
    </x:row>
    <x:row r="416">
      <x:c r="C416" s="6" t="str">
        <x:v>2023-01</x:v>
      </x:c>
      <x:c r="D416" s="6" t="n">
        <x:f>F187</x:f>
        <x:v>197.7913703162732</x:v>
      </x:c>
      <x:c r="E416" s="6" t="n">
        <x:f>G187</x:f>
        <x:v>86.8650468333412</x:v>
      </x:c>
      <x:c r="F416" s="6" t="n">
        <x:f>H187</x:f>
        <x:v>114.43119369052128</x:v>
      </x:c>
      <x:c r="G416" s="6" t="n">
        <x:f>I187</x:f>
        <x:v>90.51577285095604</x:v>
      </x:c>
      <x:c r="H416" s="6" t="n">
        <x:f>J187</x:f>
        <x:v>219.20212465817463</x:v>
      </x:c>
      <x:c r="I416" s="6" t="n">
        <x:f>K187</x:f>
        <x:v>121.38725952267097</x:v>
      </x:c>
      <x:c r="J416" s="6" t="n">
        <x:f>L187</x:f>
        <x:v>203.9291748266427</x:v>
      </x:c>
      <x:c r="K416" s="6" t="n">
        <x:f>M187</x:f>
        <x:v>218.59921397246845</x:v>
      </x:c>
      <x:c r="L416" s="6" t="n">
        <x:f>N187</x:f>
        <x:v>191.46021591474351</x:v>
      </x:c>
      <x:c r="M416" s="6" t="n">
        <x:f>O187</x:f>
        <x:v>197.76814338157922</x:v>
      </x:c>
      <x:c r="N416" s="6" t="n">
        <x:f>P187</x:f>
        <x:v>110.12366445550703</x:v>
      </x:c>
      <x:c r="O416" s="6" t="n">
        <x:f>Q187</x:f>
        <x:v>163.5307103307389</x:v>
      </x:c>
      <x:c r="P416" s="99"/>
      <x:c r="Q416" s="99"/>
    </x:row>
    <x:row r="417">
      <x:c r="C417" s="6" t="str">
        <x:v>2023-02</x:v>
      </x:c>
      <x:c r="D417" s="6" t="n">
        <x:f>F188</x:f>
        <x:v>212.9936304670478</x:v>
      </x:c>
      <x:c r="E417" s="6" t="n">
        <x:f>G188</x:f>
        <x:v>86.74276442754422</x:v>
      </x:c>
      <x:c r="F417" s="6" t="n">
        <x:f>H188</x:f>
        <x:v>110.38046015032421</x:v>
      </x:c>
      <x:c r="G417" s="6" t="n">
        <x:f>I188</x:f>
        <x:v>94.51439703734098</x:v>
      </x:c>
      <x:c r="H417" s="6" t="n">
        <x:f>J188</x:f>
        <x:v>258.7191501408911</x:v>
      </x:c>
      <x:c r="I417" s="6" t="n">
        <x:f>K188</x:f>
        <x:v>124.1104003941904</x:v>
      </x:c>
      <x:c r="J417" s="6" t="n">
        <x:f>L188</x:f>
        <x:v>203.05361375360675</x:v>
      </x:c>
      <x:c r="K417" s="6" t="n">
        <x:f>M188</x:f>
        <x:v>227.12751465906078</x:v>
      </x:c>
      <x:c r="L417" s="6" t="n">
        <x:f>N188</x:f>
        <x:v>198.156680047511</x:v>
      </x:c>
      <x:c r="M417" s="6" t="n">
        <x:f>O188</x:f>
        <x:v>193.99030009037568</x:v>
      </x:c>
      <x:c r="N417" s="6" t="n">
        <x:f>P188</x:f>
        <x:v>115.91576434253135</x:v>
      </x:c>
      <x:c r="O417" s="6" t="n">
        <x:f>Q188</x:f>
        <x:v>163.92007207420974</x:v>
      </x:c>
      <x:c r="P417" s="99"/>
      <x:c r="Q417" s="99"/>
    </x:row>
    <x:row r="418">
      <x:c r="C418" s="6" t="str">
        <x:v>2023-03</x:v>
      </x:c>
      <x:c r="D418" s="6" t="n">
        <x:f>F189</x:f>
        <x:v>206.72589708819186</x:v>
      </x:c>
      <x:c r="E418" s="6" t="n">
        <x:f>G189</x:f>
        <x:v>86.50841013215113</x:v>
      </x:c>
      <x:c r="F418" s="6" t="n">
        <x:f>H189</x:f>
        <x:v>115.37955578698629</x:v>
      </x:c>
      <x:c r="G418" s="6" t="n">
        <x:f>I189</x:f>
        <x:v>97.5000802588483</x:v>
      </x:c>
      <x:c r="H418" s="6" t="n">
        <x:f>J189</x:f>
        <x:v>247.63824209282555</x:v>
      </x:c>
      <x:c r="I418" s="6" t="n">
        <x:f>K189</x:f>
        <x:v>123.79073934227327</x:v>
      </x:c>
      <x:c r="J418" s="6" t="n">
        <x:f>L189</x:f>
        <x:v>206.94548018010295</x:v>
      </x:c>
      <x:c r="K418" s="6" t="n">
        <x:f>M189</x:f>
        <x:v>222.39632013436798</x:v>
      </x:c>
      <x:c r="L418" s="6" t="n">
        <x:f>N189</x:f>
        <x:v>205.758962608602</x:v>
      </x:c>
      <x:c r="M418" s="6" t="n">
        <x:f>O189</x:f>
        <x:v>201.54563279655798</x:v>
      </x:c>
      <x:c r="N418" s="6" t="n">
        <x:f>P189</x:f>
        <x:v>122.89198495007558</x:v>
      </x:c>
      <x:c r="O418" s="6" t="n">
        <x:f>Q189</x:f>
        <x:v>166.13568004662292</x:v>
      </x:c>
      <x:c r="P418" s="99"/>
      <x:c r="Q418" s="99"/>
    </x:row>
    <x:row r="419">
      <x:c r="C419" s="6" t="str">
        <x:v>2023-04</x:v>
      </x:c>
      <x:c r="D419" s="6" t="n">
        <x:f>F190</x:f>
        <x:v>192.67139504238088</x:v>
      </x:c>
      <x:c r="E419" s="6" t="n">
        <x:f>G190</x:f>
        <x:v>88.36703596464376</x:v>
      </x:c>
      <x:c r="F419" s="6" t="n">
        <x:f>H190</x:f>
        <x:v>116.17993879441113</x:v>
      </x:c>
      <x:c r="G419" s="6" t="n">
        <x:f>I190</x:f>
        <x:v>100.35684141578729</x:v>
      </x:c>
      <x:c r="H419" s="6" t="n">
        <x:f>J190</x:f>
        <x:v>243.59690693109854</x:v>
      </x:c>
      <x:c r="I419" s="6" t="n">
        <x:f>K190</x:f>
        <x:v>123.448092872854</x:v>
      </x:c>
      <x:c r="J419" s="6" t="n">
        <x:f>L190</x:f>
        <x:v>207.11953336468832</x:v>
      </x:c>
      <x:c r="K419" s="6" t="n">
        <x:f>M190</x:f>
        <x:v>226.35037878735025</x:v>
      </x:c>
      <x:c r="L419" s="6" t="n">
        <x:f>N190</x:f>
        <x:v>198.79368132112583</x:v>
      </x:c>
      <x:c r="M419" s="6" t="n">
        <x:f>O190</x:f>
        <x:v>170.92227752718958</x:v>
      </x:c>
      <x:c r="N419" s="6" t="n">
        <x:f>P190</x:f>
        <x:v>118.67161227989764</x:v>
      </x:c>
      <x:c r="O419" s="6" t="n">
        <x:f>Q190</x:f>
        <x:v>162.92245797145938</x:v>
      </x:c>
      <x:c r="P419" s="99"/>
      <x:c r="Q419" s="99"/>
    </x:row>
    <x:row r="420">
      <x:c r="C420" s="6" t="str">
        <x:v>2023-05</x:v>
      </x:c>
      <x:c r="D420" s="6" t="n">
        <x:f>F191</x:f>
        <x:v>187.07148388484185</x:v>
      </x:c>
      <x:c r="E420" s="6" t="n">
        <x:f>G191</x:f>
        <x:v>90.63446290882916</x:v>
      </x:c>
      <x:c r="F420" s="6" t="n">
        <x:f>H191</x:f>
        <x:v>111.63220401538933</x:v>
      </x:c>
      <x:c r="G420" s="6" t="n">
        <x:f>I191</x:f>
        <x:v>102.70015425024155</x:v>
      </x:c>
      <x:c r="H420" s="6" t="n">
        <x:f>J191</x:f>
        <x:v>244.7945165920434</x:v>
      </x:c>
      <x:c r="I420" s="6" t="n">
        <x:f>K191</x:f>
        <x:v>123.49394382332261</x:v>
      </x:c>
      <x:c r="J420" s="6" t="n">
        <x:f>L191</x:f>
        <x:v>206.69588660413766</x:v>
      </x:c>
      <x:c r="K420" s="6" t="n">
        <x:f>M191</x:f>
        <x:v>222.0450069891473</x:v>
      </x:c>
      <x:c r="L420" s="6" t="n">
        <x:f>N191</x:f>
        <x:v>183.9225199025395</x:v>
      </x:c>
      <x:c r="M420" s="6" t="n">
        <x:f>O191</x:f>
        <x:v>162.05597297896216</x:v>
      </x:c>
      <x:c r="N420" s="6" t="n">
        <x:f>P191</x:f>
        <x:v>159.4854892883038</x:v>
      </x:c>
      <x:c r="O420" s="6" t="n">
        <x:f>Q191</x:f>
        <x:v>182.6711973944773</x:v>
      </x:c>
      <x:c r="P420" s="99"/>
      <x:c r="Q420" s="99"/>
    </x:row>
    <x:row r="421">
      <x:c r="C421" s="6" t="str">
        <x:v>2023-06</x:v>
      </x:c>
      <x:c r="D421" s="6" t="n">
        <x:f>F192</x:f>
        <x:v>181.80262640675943</x:v>
      </x:c>
      <x:c r="E421" s="6" t="n">
        <x:f>G192</x:f>
        <x:v>93.84780424392645</x:v>
      </x:c>
      <x:c r="F421" s="6" t="n">
        <x:f>H192</x:f>
        <x:v>93.05450444725749</x:v>
      </x:c>
      <x:c r="G421" s="6" t="n">
        <x:f>I192</x:f>
        <x:v>101.70959977330018</x:v>
      </x:c>
      <x:c r="H421" s="6" t="n">
        <x:f>J192</x:f>
        <x:v>239.89571780130868</x:v>
      </x:c>
      <x:c r="I421" s="6" t="n">
        <x:f>K192</x:f>
        <x:v>125.18687109006848</x:v>
      </x:c>
      <x:c r="J421" s="6" t="n">
        <x:f>L192</x:f>
        <x:v>211.4568181051394</x:v>
      </x:c>
      <x:c r="K421" s="6" t="n">
        <x:f>M192</x:f>
        <x:v>225.79602091292764</x:v>
      </x:c>
      <x:c r="L421" s="6" t="n">
        <x:f>N192</x:f>
        <x:v>185.11967753073745</x:v>
      </x:c>
      <x:c r="M421" s="6" t="n">
        <x:f>O192</x:f>
        <x:v>149.0600445380879</x:v>
      </x:c>
      <x:c r="N421" s="6" t="n">
        <x:f>P192</x:f>
        <x:v>160.24918500088694</x:v>
      </x:c>
      <x:c r="O421" s="6" t="n">
        <x:f>Q192</x:f>
        <x:v>160.53103849433947</x:v>
      </x:c>
      <x:c r="P421" s="99"/>
      <x:c r="Q421" s="99"/>
    </x:row>
    <x:row r="422">
      <x:c r="C422" s="6" t="str">
        <x:v>2023-07</x:v>
      </x:c>
      <x:c r="D422" s="6" t="n">
        <x:f>F193</x:f>
        <x:v>180.98869299756308</x:v>
      </x:c>
      <x:c r="E422" s="6" t="n">
        <x:f>G193</x:f>
        <x:v>94.82912867590451</x:v>
      </x:c>
      <x:c r="F422" s="6" t="n">
        <x:f>H193</x:f>
        <x:v>97.07841724289959</x:v>
      </x:c>
      <x:c r="G422" s="6" t="n">
        <x:f>I193</x:f>
        <x:v>95.79830982676253</x:v>
      </x:c>
      <x:c r="H422" s="6" t="n">
        <x:f>J193</x:f>
        <x:v>233.86189523350492</x:v>
      </x:c>
      <x:c r="I422" s="6" t="n">
        <x:f>K193</x:f>
        <x:v>125.85390786366169</x:v>
      </x:c>
      <x:c r="J422" s="6" t="n">
        <x:f>L193</x:f>
        <x:v>225.8531423265672</x:v>
      </x:c>
      <x:c r="K422" s="6" t="n">
        <x:f>M193</x:f>
        <x:v>232.8195658370529</x:v>
      </x:c>
      <x:c r="L422" s="6" t="n">
        <x:f>N193</x:f>
        <x:v>192.39025299729178</x:v>
      </x:c>
      <x:c r="M422" s="6" t="n">
        <x:f>O193</x:f>
        <x:v>139.0125949743514</x:v>
      </x:c>
      <x:c r="N422" s="6" t="n">
        <x:f>P193</x:f>
        <x:v>167.5316775886527</x:v>
      </x:c>
      <x:c r="O422" s="6" t="n">
        <x:f>Q193</x:f>
        <x:v>165.35179246513266</x:v>
      </x:c>
      <x:c r="P422" s="99"/>
      <x:c r="Q422" s="99"/>
    </x:row>
    <x:row r="423">
      <x:c r="C423" s="6" t="str">
        <x:v>2023-08</x:v>
      </x:c>
      <x:c r="D423" s="6" t="n">
        <x:f>F194</x:f>
        <x:v>189.28488483665373</x:v>
      </x:c>
      <x:c r="E423" s="6" t="n">
        <x:f>G194</x:f>
        <x:v>100.02029843083749</x:v>
      </x:c>
      <x:c r="F423" s="6" t="n">
        <x:f>H194</x:f>
        <x:v>114.3437862369084</x:v>
      </x:c>
      <x:c r="G423" s="6" t="n">
        <x:f>I194</x:f>
        <x:v>99.10147755750151</x:v>
      </x:c>
      <x:c r="H423" s="6" t="n">
        <x:f>J194</x:f>
        <x:v>243.0761263098343</x:v>
      </x:c>
      <x:c r="I423" s="6" t="n">
        <x:f>K194</x:f>
        <x:v>127.4012817265255</x:v>
      </x:c>
      <x:c r="J423" s="6" t="n">
        <x:f>L194</x:f>
        <x:v>234.37519583982728</x:v>
      </x:c>
      <x:c r="K423" s="6" t="n">
        <x:f>M194</x:f>
        <x:v>232.1096938490379</x:v>
      </x:c>
      <x:c r="L423" s="6" t="n">
        <x:f>N194</x:f>
        <x:v>190.38085702647436</x:v>
      </x:c>
      <x:c r="M423" s="6" t="n">
        <x:f>O194</x:f>
        <x:v>131.7681369051211</x:v>
      </x:c>
      <x:c r="N423" s="6" t="n">
        <x:f>P194</x:f>
        <x:v>162.24249025595327</x:v>
      </x:c>
      <x:c r="O423" s="6" t="n">
        <x:f>Q194</x:f>
        <x:v>171.64164197395942</x:v>
      </x:c>
      <x:c r="P423" s="99"/>
      <x:c r="Q423" s="99"/>
    </x:row>
    <x:row r="424">
      <x:c r="C424" s="6" t="str">
        <x:v>2023-09</x:v>
      </x:c>
      <x:c r="D424" s="6" t="n">
        <x:f>F195</x:f>
        <x:v>194.93520998493332</x:v>
      </x:c>
      <x:c r="E424" s="6" t="n">
        <x:f>G195</x:f>
        <x:v>106.54031814399332</x:v>
      </x:c>
      <x:c r="F424" s="6" t="n">
        <x:f>H195</x:f>
        <x:v>127.33774695851466</x:v>
      </x:c>
      <x:c r="G424" s="6" t="n">
        <x:f>I195</x:f>
        <x:v>94.26385973935716</x:v>
      </x:c>
      <x:c r="H424" s="6" t="n">
        <x:f>J195</x:f>
        <x:v>240.14319467399764</x:v>
      </x:c>
      <x:c r="I424" s="6" t="n">
        <x:f>K195</x:f>
        <x:v>129.64579156890898</x:v>
      </x:c>
      <x:c r="J424" s="6" t="n">
        <x:f>L195</x:f>
        <x:v>238.93158927502057</x:v>
      </x:c>
      <x:c r="K424" s="6" t="n">
        <x:f>M195</x:f>
        <x:v>238.98056229525127</x:v>
      </x:c>
      <x:c r="L424" s="6" t="n">
        <x:f>N195</x:f>
        <x:v>189.8394511088885</x:v>
      </x:c>
      <x:c r="M424" s="6" t="n">
        <x:f>O195</x:f>
        <x:v>140.44232307441922</x:v>
      </x:c>
      <x:c r="N424" s="6" t="n">
        <x:f>P195</x:f>
        <x:v>154.07684804115354</x:v>
      </x:c>
      <x:c r="O424" s="6" t="n">
        <x:f>Q195</x:f>
        <x:v>193.5747502996625</x:v>
      </x:c>
      <x:c r="P424" s="99"/>
      <x:c r="Q424" s="99"/>
    </x:row>
    <x:row r="425">
      <x:c r="C425" s="6" t="str">
        <x:v>2023-10</x:v>
      </x:c>
      <x:c r="D425" s="6" t="n">
        <x:f>F196</x:f>
        <x:v>211.58608505207437</x:v>
      </x:c>
      <x:c r="E425" s="6" t="n">
        <x:f>G196</x:f>
        <x:v>108.8370302316036</x:v>
      </x:c>
      <x:c r="F425" s="6" t="n">
        <x:f>H196</x:f>
        <x:v>143.71467536888005</x:v>
      </x:c>
      <x:c r="G425" s="6" t="n">
        <x:f>I196</x:f>
        <x:v>95.97340946127966</x:v>
      </x:c>
      <x:c r="H425" s="6" t="n">
        <x:f>J196</x:f>
        <x:v>256.78942474736226</x:v>
      </x:c>
      <x:c r="I425" s="6" t="n">
        <x:f>K196</x:f>
        <x:v>133.30838435953873</x:v>
      </x:c>
      <x:c r="J425" s="6" t="n">
        <x:f>L196</x:f>
        <x:v>244.20872668188136</x:v>
      </x:c>
      <x:c r="K425" s="6" t="n">
        <x:f>M196</x:f>
        <x:v>238.36323442979815</x:v>
      </x:c>
      <x:c r="L425" s="6" t="n">
        <x:f>N196</x:f>
        <x:v>196.39929525988026</x:v>
      </x:c>
      <x:c r="M425" s="6" t="n">
        <x:f>O196</x:f>
        <x:v>150.86833242244896</x:v>
      </x:c>
      <x:c r="N425" s="6" t="n">
        <x:f>P196</x:f>
        <x:v>157.87425974856652</x:v>
      </x:c>
      <x:c r="O425" s="6" t="n">
        <x:f>Q196</x:f>
        <x:v>200.93625014848638</x:v>
      </x:c>
      <x:c r="P425" s="99"/>
      <x:c r="Q425" s="99"/>
    </x:row>
    <x:row r="426">
      <x:c r="C426" s="6" t="str">
        <x:v>2023-11</x:v>
      </x:c>
      <x:c r="D426" s="6" t="n">
        <x:f>F197</x:f>
        <x:v>203.82877900894874</x:v>
      </x:c>
      <x:c r="E426" s="6" t="n">
        <x:f>G197</x:f>
        <x:v>112.04822859594408</x:v>
      </x:c>
      <x:c r="F426" s="6" t="n">
        <x:f>H197</x:f>
        <x:v>155.29363711501895</x:v>
      </x:c>
      <x:c r="G426" s="6" t="n">
        <x:f>I197</x:f>
        <x:v>91.44394924840937</x:v>
      </x:c>
      <x:c r="H426" s="6" t="n">
        <x:f>J197</x:f>
        <x:v>259.83394118881085</x:v>
      </x:c>
      <x:c r="I426" s="6" t="n">
        <x:f>K197</x:f>
        <x:v>133.26485370097427</x:v>
      </x:c>
      <x:c r="J426" s="6" t="n">
        <x:f>L197</x:f>
        <x:v>253.3925548208677</x:v>
      </x:c>
      <x:c r="K426" s="6" t="n">
        <x:f>M197</x:f>
        <x:v>241.0229432653519</x:v>
      </x:c>
      <x:c r="L426" s="6" t="n">
        <x:f>N197</x:f>
        <x:v>206.80823624156437</x:v>
      </x:c>
      <x:c r="M426" s="6" t="n">
        <x:f>O197</x:f>
        <x:v>153.5809943870108</x:v>
      </x:c>
      <x:c r="N426" s="6" t="n">
        <x:f>P197</x:f>
        <x:v>150.91935455205223</x:v>
      </x:c>
      <x:c r="O426" s="6" t="n">
        <x:f>Q197</x:f>
        <x:v>198.79574260084374</x:v>
      </x:c>
      <x:c r="P426" s="99"/>
      <x:c r="Q426" s="99"/>
    </x:row>
    <x:row r="427">
      <x:c r="C427" s="6" t="str">
        <x:v>2023-12</x:v>
      </x:c>
      <x:c r="D427" s="6" t="n">
        <x:f>F198</x:f>
        <x:v>209.91772122641996</x:v>
      </x:c>
      <x:c r="E427" s="6" t="n">
        <x:f>G198</x:f>
        <x:v>112.03073518756064</x:v>
      </x:c>
      <x:c r="F427" s="6" t="n">
        <x:f>H198</x:f>
        <x:v>154.8451994099877</x:v>
      </x:c>
      <x:c r="G427" s="6" t="n">
        <x:f>I198</x:f>
        <x:v>90.62571844432331</x:v>
      </x:c>
      <x:c r="H427" s="6" t="n">
        <x:f>J198</x:f>
        <x:v>273.0534616901298</x:v>
      </x:c>
      <x:c r="I427" s="6" t="n">
        <x:f>K198</x:f>
        <x:v>134.180400518767</x:v>
      </x:c>
      <x:c r="J427" s="6" t="n">
        <x:f>L198</x:f>
        <x:v>263.6215161431084</x:v>
      </x:c>
      <x:c r="K427" s="6" t="n">
        <x:f>M198</x:f>
        <x:v>249.38141985607137</x:v>
      </x:c>
      <x:c r="L427" s="6" t="n">
        <x:f>N198</x:f>
        <x:v>213.57191176414236</x:v>
      </x:c>
      <x:c r="M427" s="6" t="n">
        <x:f>O198</x:f>
        <x:v>159.20027609342725</x:v>
      </x:c>
      <x:c r="N427" s="6" t="n">
        <x:f>P198</x:f>
        <x:v>139.1102846474393</x:v>
      </x:c>
      <x:c r="O427" s="6" t="n">
        <x:f>Q198</x:f>
        <x:v>196.33031579642056</x:v>
      </x:c>
      <x:c r="P427" s="99"/>
      <x:c r="Q427" s="99"/>
    </x:row>
    <x:row r="428">
      <x:c r="C428" s="6" t="str">
        <x:v>2024-01</x:v>
      </x:c>
      <x:c r="D428" s="6" t="n">
        <x:f>F199</x:f>
        <x:v>211.81376007741397</x:v>
      </x:c>
      <x:c r="E428" s="6" t="n">
        <x:f>G199</x:f>
        <x:v>115.47145592508743</x:v>
      </x:c>
      <x:c r="F428" s="6" t="n">
        <x:f>H199</x:f>
        <x:v>167.16605318169206</x:v>
      </x:c>
      <x:c r="G428" s="6" t="n">
        <x:f>I199</x:f>
        <x:v>99.55752810655686</x:v>
      </x:c>
      <x:c r="H428" s="6" t="n">
        <x:f>J199</x:f>
        <x:v>261.44759339686277</x:v>
      </x:c>
      <x:c r="I428" s="6" t="n">
        <x:f>K199</x:f>
        <x:v>137.07536119449423</x:v>
      </x:c>
      <x:c r="J428" s="6" t="n">
        <x:f>L199</x:f>
        <x:v>267.9352522761131</x:v>
      </x:c>
      <x:c r="K428" s="6" t="n">
        <x:f>M199</x:f>
        <x:v>250.83878534673593</x:v>
      </x:c>
      <x:c r="L428" s="6" t="n">
        <x:f>N199</x:f>
        <x:v>214.75749291359193</x:v>
      </x:c>
      <x:c r="M428" s="6" t="n">
        <x:f>O199</x:f>
        <x:v>166.50434710317876</x:v>
      </x:c>
      <x:c r="N428" s="6" t="n">
        <x:f>P199</x:f>
        <x:v>135.2126081959066</x:v>
      </x:c>
      <x:c r="O428" s="6" t="n">
        <x:f>Q199</x:f>
        <x:v>180.48153498649725</x:v>
      </x:c>
      <x:c r="P428" s="99"/>
      <x:c r="Q428" s="99"/>
    </x:row>
    <x:row r="429">
      <x:c r="C429" s="6" t="str">
        <x:v>2024-02</x:v>
      </x:c>
      <x:c r="D429" s="6" t="n">
        <x:f>F200</x:f>
        <x:v>207.37101940155353</x:v>
      </x:c>
      <x:c r="E429" s="6" t="n">
        <x:f>G200</x:f>
        <x:v>117.80894457363105</x:v>
      </x:c>
      <x:c r="F429" s="6" t="n">
        <x:f>H200</x:f>
        <x:v>175.84182032003525</x:v>
      </x:c>
      <x:c r="G429" s="6" t="n">
        <x:f>I200</x:f>
        <x:v>94.02106734960283</x:v>
      </x:c>
      <x:c r="H429" s="6" t="n">
        <x:f>J200</x:f>
        <x:v>258.9248638678772</x:v>
      </x:c>
      <x:c r="I429" s="6" t="n">
        <x:f>K200</x:f>
        <x:v>137.9470911017633</x:v>
      </x:c>
      <x:c r="J429" s="6" t="n">
        <x:f>L200</x:f>
        <x:v>269.3445515320781</x:v>
      </x:c>
      <x:c r="K429" s="6" t="n">
        <x:f>M200</x:f>
        <x:v>257.48348577306604</x:v>
      </x:c>
      <x:c r="L429" s="6" t="n">
        <x:f>N200</x:f>
        <x:v>213.96604638375982</x:v>
      </x:c>
      <x:c r="M429" s="6" t="n">
        <x:f>O200</x:f>
        <x:v>161.40728969471795</x:v>
      </x:c>
      <x:c r="N429" s="6" t="n">
        <x:f>P200</x:f>
        <x:v>135.78494724844</x:v>
      </x:c>
      <x:c r="O429" s="6" t="n">
        <x:f>Q200</x:f>
        <x:v>186.46924771825758</x:v>
      </x:c>
      <x:c r="P429" s="99"/>
      <x:c r="Q429" s="99"/>
    </x:row>
    <x:row r="430">
      <x:c r="C430" s="6" t="str">
        <x:v>2024-03</x:v>
      </x:c>
      <x:c r="D430" s="6" t="n">
        <x:f>F201</x:f>
        <x:v>197.86306387123983</x:v>
      </x:c>
      <x:c r="E430" s="6" t="n">
        <x:f>G201</x:f>
        <x:v>119.22347126258231</x:v>
      </x:c>
      <x:c r="F430" s="6" t="n">
        <x:f>H201</x:f>
        <x:v>179.10186811643737</x:v>
      </x:c>
      <x:c r="G430" s="6" t="n">
        <x:f>I201</x:f>
        <x:v>89.63971346877695</x:v>
      </x:c>
      <x:c r="H430" s="6" t="n">
        <x:f>J201</x:f>
        <x:v>249.87817759158588</x:v>
      </x:c>
      <x:c r="I430" s="6" t="n">
        <x:f>K201</x:f>
        <x:v>139.94063243785936</x:v>
      </x:c>
      <x:c r="J430" s="6" t="n">
        <x:f>L201</x:f>
        <x:v>279.60992735132174</x:v>
      </x:c>
      <x:c r="K430" s="6" t="n">
        <x:f>M201</x:f>
        <x:v>254.00117705864002</x:v>
      </x:c>
      <x:c r="L430" s="6" t="n">
        <x:f>N201</x:f>
        <x:v>209.51384597957392</x:v>
      </x:c>
      <x:c r="M430" s="6" t="n">
        <x:f>O201</x:f>
        <x:v>151.66178636727838</x:v>
      </x:c>
      <x:c r="N430" s="6" t="n">
        <x:f>P201</x:f>
        <x:v>140.17583323357346</x:v>
      </x:c>
      <x:c r="O430" s="6" t="n">
        <x:f>Q201</x:f>
        <x:v>189.49399889819688</x:v>
      </x:c>
      <x:c r="P430" s="99"/>
      <x:c r="Q430" s="99"/>
    </x:row>
    <x:row r="431">
      <x:c r="C431" s="6" t="str">
        <x:v>2024-04</x:v>
      </x:c>
      <x:c r="D431" s="6" t="n">
        <x:f>F202</x:f>
        <x:v>217.02310154018397</x:v>
      </x:c>
      <x:c r="E431" s="6" t="n">
        <x:f>G202</x:f>
        <x:v>120.02924847437673</x:v>
      </x:c>
      <x:c r="F431" s="6" t="n">
        <x:f>H202</x:f>
        <x:v>182.80176481888694</x:v>
      </x:c>
      <x:c r="G431" s="6" t="n">
        <x:f>I202</x:f>
        <x:v>95.09440436660606</x:v>
      </x:c>
      <x:c r="H431" s="6" t="n">
        <x:f>J202</x:f>
        <x:v>273.700103512964</x:v>
      </x:c>
      <x:c r="I431" s="6" t="n">
        <x:f>K202</x:f>
        <x:v>140.4108510556798</x:v>
      </x:c>
      <x:c r="J431" s="6" t="n">
        <x:f>L202</x:f>
        <x:v>281.21860816300074</x:v>
      </x:c>
      <x:c r="K431" s="6" t="n">
        <x:f>M202</x:f>
        <x:v>259.43199692144094</x:v>
      </x:c>
      <x:c r="L431" s="6" t="n">
        <x:f>N202</x:f>
        <x:v>216.02449674987292</x:v>
      </x:c>
      <x:c r="M431" s="6" t="n">
        <x:f>O202</x:f>
        <x:v>139.98559652392862</x:v>
      </x:c>
      <x:c r="N431" s="6" t="n">
        <x:f>P202</x:f>
        <x:v>137.26518334419075</x:v>
      </x:c>
      <x:c r="O431" s="6" t="n">
        <x:f>Q202</x:f>
        <x:v>185.96142032340933</x:v>
      </x:c>
      <x:c r="P431" s="99"/>
      <x:c r="Q431" s="99"/>
    </x:row>
    <x:row r="432">
      <x:c r="C432" s="6" t="str">
        <x:v>2024-05</x:v>
      </x:c>
      <x:c r="D432" s="6" t="n">
        <x:f>F203</x:f>
        <x:v>210.45714108538377</x:v>
      </x:c>
      <x:c r="E432" s="6" t="n">
        <x:f>G203</x:f>
        <x:v>118.6983828873338</x:v>
      </x:c>
      <x:c r="F432" s="6" t="n">
        <x:f>H203</x:f>
        <x:v>179.8554069311521</x:v>
      </x:c>
      <x:c r="G432" s="6" t="n">
        <x:f>I203</x:f>
        <x:v>104.4240769729167</x:v>
      </x:c>
      <x:c r="H432" s="6" t="n">
        <x:f>J203</x:f>
        <x:v>263.0626516107873</x:v>
      </x:c>
      <x:c r="I432" s="6" t="n">
        <x:f>K203</x:f>
        <x:v>142.27765367456837</x:v>
      </x:c>
      <x:c r="J432" s="6" t="n">
        <x:f>L203</x:f>
        <x:v>288.9785294048146</x:v>
      </x:c>
      <x:c r="K432" s="6" t="n">
        <x:f>M203</x:f>
        <x:v>259.02939335622386</x:v>
      </x:c>
      <x:c r="L432" s="6" t="n">
        <x:f>N203</x:f>
        <x:v>216.85854361888536</x:v>
      </x:c>
      <x:c r="M432" s="6" t="n">
        <x:f>O203</x:f>
        <x:v>148.05241445377933</x:v>
      </x:c>
      <x:c r="N432" s="6" t="n">
        <x:f>P203</x:f>
        <x:v>132.8791862691635</x:v>
      </x:c>
      <x:c r="O432" s="6" t="n">
        <x:f>Q203</x:f>
        <x:v>185.08908514220045</x:v>
      </x:c>
      <x:c r="P432" s="99"/>
      <x:c r="Q432" s="99"/>
    </x:row>
    <x:row r="433">
      <x:c r="C433" s="6" t="str">
        <x:v>2024-06</x:v>
      </x:c>
      <x:c r="D433" s="6" t="n">
        <x:f>F204</x:f>
        <x:v>206.45170888177998</x:v>
      </x:c>
      <x:c r="E433" s="6" t="n">
        <x:f>G204</x:f>
        <x:v>120.94015126189778</x:v>
      </x:c>
      <x:c r="F433" s="6" t="n">
        <x:f>H204</x:f>
        <x:v>181.32086075180013</x:v>
      </x:c>
      <x:c r="G433" s="6" t="n">
        <x:f>I204</x:f>
        <x:v>104.96611962892956</x:v>
      </x:c>
      <x:c r="H433" s="6" t="n">
        <x:f>J204</x:f>
        <x:v>248.127206595155</x:v>
      </x:c>
      <x:c r="I433" s="6" t="n">
        <x:f>K204</x:f>
        <x:v>145.5170165251861</x:v>
      </x:c>
      <x:c r="J433" s="6" t="n">
        <x:f>L204</x:f>
        <x:v>317.3804211140502</x:v>
      </x:c>
      <x:c r="K433" s="6" t="n">
        <x:f>M204</x:f>
        <x:v>267.3660083574953</x:v>
      </x:c>
      <x:c r="L433" s="6" t="n">
        <x:f>N204</x:f>
        <x:v>215.56234874174183</x:v>
      </x:c>
      <x:c r="M433" s="6" t="n">
        <x:f>O204</x:f>
        <x:v>156.64679272033396</x:v>
      </x:c>
      <x:c r="N433" s="6" t="n">
        <x:f>P204</x:f>
        <x:v>133.50111440357432</x:v>
      </x:c>
      <x:c r="O433" s="6" t="n">
        <x:f>Q204</x:f>
        <x:v>183.34830852452282</x:v>
      </x:c>
      <x:c r="P433" s="99"/>
      <x:c r="Q433" s="99"/>
    </x:row>
    <x:row r="434">
      <x:c r="C434" s="6" t="str">
        <x:v>2024-07</x:v>
      </x:c>
      <x:c r="D434" s="6" t="n">
        <x:f>F205</x:f>
        <x:v>214.24232952929492</x:v>
      </x:c>
      <x:c r="E434" s="6" t="n">
        <x:f>G205</x:f>
        <x:v>121.87884911134003</x:v>
      </x:c>
      <x:c r="F434" s="6" t="n">
        <x:f>H205</x:f>
        <x:v>186.29621939243356</x:v>
      </x:c>
      <x:c r="G434" s="6" t="n">
        <x:f>I205</x:f>
        <x:v>107.02354294645026</x:v>
      </x:c>
      <x:c r="H434" s="6" t="n">
        <x:f>J205</x:f>
        <x:v>277.98792303173514</x:v>
      </x:c>
      <x:c r="I434" s="6" t="n">
        <x:f>K205</x:f>
        <x:v>146.8839262677029</x:v>
      </x:c>
      <x:c r="J434" s="6" t="n">
        <x:f>L205</x:f>
        <x:v>318.96575625561303</x:v>
      </x:c>
      <x:c r="K434" s="6" t="n">
        <x:f>M205</x:f>
        <x:v>280.3649306325202</x:v>
      </x:c>
      <x:c r="L434" s="6" t="n">
        <x:f>N205</x:f>
        <x:v>211.89817837523367</x:v>
      </x:c>
      <x:c r="M434" s="6" t="n">
        <x:f>O205</x:f>
        <x:v>161.03014228069574</x:v>
      </x:c>
      <x:c r="N434" s="6" t="n">
        <x:f>P205</x:f>
        <x:v>135.93482981222567</x:v>
      </x:c>
      <x:c r="O434" s="6" t="n">
        <x:f>Q205</x:f>
        <x:v>175.7484448080316</x:v>
      </x:c>
      <x:c r="P434" s="99"/>
      <x:c r="Q434" s="99"/>
    </x:row>
    <x:row r="435">
      <x:c r="C435" s="6" t="str">
        <x:v>2024-08</x:v>
      </x:c>
      <x:c r="D435" s="6" t="n">
        <x:f>F206</x:f>
        <x:v>202.76994884184228</x:v>
      </x:c>
      <x:c r="E435" s="6" t="n">
        <x:f>G206</x:f>
        <x:v>124.04137115002368</x:v>
      </x:c>
      <x:c r="F435" s="6" t="n">
        <x:f>H206</x:f>
        <x:v>181.7830816925594</x:v>
      </x:c>
      <x:c r="G435" s="6" t="n">
        <x:f>I206</x:f>
        <x:v>111.843314811227</x:v>
      </x:c>
      <x:c r="H435" s="6" t="n">
        <x:f>J206</x:f>
        <x:v>256.30933800829035</x:v>
      </x:c>
      <x:c r="I435" s="6" t="n">
        <x:f>K206</x:f>
        <x:v>148.9544170863326</x:v>
      </x:c>
      <x:c r="J435" s="6" t="n">
        <x:f>L206</x:f>
        <x:v>350.3552738347915</x:v>
      </x:c>
      <x:c r="K435" s="6" t="n">
        <x:f>M206</x:f>
        <x:v>281.87826902433443</x:v>
      </x:c>
      <x:c r="L435" s="6" t="n">
        <x:f>N206</x:f>
        <x:v>212.32364871835117</x:v>
      </x:c>
      <x:c r="M435" s="6" t="n">
        <x:f>O206</x:f>
        <x:v>153.47672019452335</x:v>
      </x:c>
      <x:c r="N435" s="6" t="n">
        <x:f>P206</x:f>
        <x:v>136.70109307907833</x:v>
      </x:c>
      <x:c r="O435" s="6" t="n">
        <x:f>Q206</x:f>
        <x:v>177.05280313669383</x:v>
      </x:c>
      <x:c r="P435" s="99"/>
      <x:c r="Q435" s="99"/>
    </x:row>
    <x:row r="436">
      <x:c r="C436" s="6" t="str">
        <x:v>2024-09</x:v>
      </x:c>
      <x:c r="D436" s="6" t="n">
        <x:f>F207</x:f>
        <x:v>191.89517723633793</x:v>
      </x:c>
      <x:c r="E436" s="6" t="n">
        <x:f>G207</x:f>
        <x:v>127.92825324302581</x:v>
      </x:c>
      <x:c r="F436" s="6" t="n">
        <x:f>H207</x:f>
        <x:v>184.3152867898525</x:v>
      </x:c>
      <x:c r="G436" s="6" t="n">
        <x:f>I207</x:f>
        <x:v>115.09058575684301</x:v>
      </x:c>
      <x:c r="H436" s="6" t="n">
        <x:f>J207</x:f>
        <x:v>232.63227261467617</x:v>
      </x:c>
      <x:c r="I436" s="6" t="n">
        <x:f>K207</x:f>
        <x:v>149.22956922432846</x:v>
      </x:c>
      <x:c r="J436" s="6" t="n">
        <x:f>L207</x:f>
        <x:v>341.3633979759058</x:v>
      </x:c>
      <x:c r="K436" s="6" t="n">
        <x:f>M207</x:f>
        <x:v>267.73794978312196</x:v>
      </x:c>
      <x:c r="L436" s="6" t="n">
        <x:f>N207</x:f>
        <x:v>218.31990435430296</x:v>
      </x:c>
      <x:c r="M436" s="6" t="n">
        <x:f>O207</x:f>
        <x:v>154.30652456177415</x:v>
      </x:c>
      <x:c r="N436" s="6" t="n">
        <x:f>P207</x:f>
        <x:v>143.81574906272002</x:v>
      </x:c>
      <x:c r="O436" s="6" t="n">
        <x:f>Q207</x:f>
        <x:v>172.50613799599606</x:v>
      </x:c>
      <x:c r="P436" s="99"/>
      <x:c r="Q436" s="99"/>
    </x:row>
    <x:row r="437">
      <x:c r="C437" s="6" t="str">
        <x:v>2024-10</x:v>
      </x:c>
      <x:c r="D437" s="6" t="n">
        <x:f>F208</x:f>
        <x:v>196.30277567565744</x:v>
      </x:c>
      <x:c r="E437" s="6" t="n">
        <x:f>G208</x:f>
        <x:v>130.65899950749434</x:v>
      </x:c>
      <x:c r="F437" s="6" t="n">
        <x:f>H208</x:f>
        <x:v>176.47924654559813</x:v>
      </x:c>
      <x:c r="G437" s="6" t="n">
        <x:f>I208</x:f>
        <x:v>117.28404566566356</x:v>
      </x:c>
      <x:c r="H437" s="6" t="n">
        <x:f>J208</x:f>
        <x:v>244.7124710069319</x:v>
      </x:c>
      <x:c r="I437" s="6" t="n">
        <x:f>K208</x:f>
        <x:v>150.65732754940453</x:v>
      </x:c>
      <x:c r="J437" s="6" t="n">
        <x:f>L208</x:f>
        <x:v>340.71708459991197</x:v>
      </x:c>
      <x:c r="K437" s="6" t="n">
        <x:f>M208</x:f>
        <x:v>287.00514616846795</x:v>
      </x:c>
      <x:c r="L437" s="6" t="n">
        <x:f>N208</x:f>
        <x:v>220.8463322615919</x:v>
      </x:c>
      <x:c r="M437" s="6" t="n">
        <x:f>O208</x:f>
        <x:v>151.13550701062786</x:v>
      </x:c>
      <x:c r="N437" s="6" t="n">
        <x:f>P208</x:f>
        <x:v>143.32813897733257</x:v>
      </x:c>
      <x:c r="O437" s="6" t="n">
        <x:f>Q208</x:f>
        <x:v>179.30628560682837</x:v>
      </x:c>
      <x:c r="P437" s="99"/>
      <x:c r="Q437" s="99"/>
    </x:row>
    <x:row r="438">
      <x:c r="C438" s="6" t="str">
        <x:v>2024-11</x:v>
      </x:c>
      <x:c r="D438" s="6" t="n">
        <x:f>F209</x:f>
        <x:v>210.30536675022452</x:v>
      </x:c>
      <x:c r="E438" s="6" t="n">
        <x:f>G209</x:f>
        <x:v>130.44751646891822</x:v>
      </x:c>
      <x:c r="F438" s="6" t="n">
        <x:f>H209</x:f>
        <x:v>179.85984668108804</x:v>
      </x:c>
      <x:c r="G438" s="6" t="n">
        <x:f>I209</x:f>
        <x:v>119.12382219730702</x:v>
      </x:c>
      <x:c r="H438" s="6" t="n">
        <x:f>J209</x:f>
        <x:v>257.53042038849355</x:v>
      </x:c>
      <x:c r="I438" s="6" t="n">
        <x:f>K209</x:f>
        <x:v>152.83050702401718</x:v>
      </x:c>
      <x:c r="J438" s="6" t="n">
        <x:f>L209</x:f>
        <x:v>351.5086550575568</x:v>
      </x:c>
      <x:c r="K438" s="6" t="n">
        <x:f>M209</x:f>
        <x:v>293.9184189096536</x:v>
      </x:c>
      <x:c r="L438" s="6" t="n">
        <x:f>N209</x:f>
        <x:v>225.03228832204968</x:v>
      </x:c>
      <x:c r="M438" s="6" t="n">
        <x:f>O209</x:f>
        <x:v>150.02662631746102</x:v>
      </x:c>
      <x:c r="N438" s="6" t="n">
        <x:f>P209</x:f>
        <x:v>140.23971531227818</x:v>
      </x:c>
      <x:c r="O438" s="6" t="n">
        <x:f>Q209</x:f>
        <x:v>191.01746870183396</x:v>
      </x:c>
      <x:c r="P438" s="99"/>
      <x:c r="Q438" s="99"/>
    </x:row>
    <x:row r="439">
      <x:c r="C439" s="6" t="str">
        <x:v>2024-12</x:v>
      </x:c>
      <x:c r="D439" s="6" t="n">
        <x:f>F210</x:f>
        <x:v>212.1785888581714</x:v>
      </x:c>
      <x:c r="E439" s="6" t="n">
        <x:f>G210</x:f>
        <x:v>128.79427221602631</x:v>
      </x:c>
      <x:c r="F439" s="6" t="n">
        <x:f>H210</x:f>
        <x:v>186.7280854112495</x:v>
      </x:c>
      <x:c r="G439" s="6" t="n">
        <x:f>I210</x:f>
        <x:v>103.43344779599673</x:v>
      </x:c>
      <x:c r="H439" s="6" t="n">
        <x:f>J210</x:f>
        <x:v>261.73792220230314</x:v>
      </x:c>
      <x:c r="I439" s="6" t="n">
        <x:f>K210</x:f>
        <x:v>150.03028857121444</x:v>
      </x:c>
      <x:c r="J439" s="6" t="n">
        <x:f>L210</x:f>
        <x:v>355.061392775125</x:v>
      </x:c>
      <x:c r="K439" s="6" t="n">
        <x:f>M210</x:f>
        <x:v>304.51516056396997</x:v>
      </x:c>
      <x:c r="L439" s="6" t="n">
        <x:f>N210</x:f>
        <x:v>230.8429091199986</x:v>
      </x:c>
      <x:c r="M439" s="6" t="n">
        <x:f>O210</x:f>
        <x:v>153.03459839638057</x:v>
      </x:c>
      <x:c r="N439" s="6" t="n">
        <x:f>P210</x:f>
        <x:v>139.12489678233695</x:v>
      </x:c>
      <x:c r="O439" s="6" t="n">
        <x:f>Q210</x:f>
        <x:v>187.19708229391784</x:v>
      </x:c>
      <x:c r="P439" s="99"/>
      <x:c r="Q439" s="99"/>
    </x:row>
    <x:row r="440">
      <x:c r="C440" s="6" t="str">
        <x:v>2025-01</x:v>
      </x:c>
      <x:c r="D440" s="6" t="n">
        <x:f>F211</x:f>
        <x:v>208.01425851413063</x:v>
      </x:c>
      <x:c r="E440" s="6" t="n">
        <x:f>G211</x:f>
        <x:v>129.58564181272678</x:v>
      </x:c>
      <x:c r="F440" s="6" t="n">
        <x:f>H211</x:f>
        <x:v>171.1498968889468</x:v>
      </x:c>
      <x:c r="G440" s="6" t="n">
        <x:f>I211</x:f>
        <x:v>102.22624346078437</x:v>
      </x:c>
      <x:c r="H440" s="6" t="n">
        <x:f>J211</x:f>
        <x:v>265.3762341754243</x:v>
      </x:c>
      <x:c r="I440" s="6" t="n">
        <x:f>K211</x:f>
        <x:v>153.0204372773955</x:v>
      </x:c>
      <x:c r="J440" s="6" t="n">
        <x:f>L211</x:f>
        <x:v>348.2264555692554</x:v>
      </x:c>
      <x:c r="K440" s="6" t="n">
        <x:f>M211</x:f>
        <x:v>301.3933098671004</x:v>
      </x:c>
      <x:c r="L440" s="6" t="n">
        <x:f>N211</x:f>
        <x:v>244.7990671468213</x:v>
      </x:c>
      <x:c r="M440" s="6" t="n">
        <x:f>O211</x:f>
        <x:v>142.79948903315884</x:v>
      </x:c>
      <x:c r="N440" s="6" t="n">
        <x:f>P211</x:f>
        <x:v>136.3270388240055</x:v>
      </x:c>
      <x:c r="O440" s="6" t="n">
        <x:f>Q211</x:f>
        <x:v>182.15379098404784</x:v>
      </x:c>
      <x:c r="P440" s="99"/>
      <x:c r="Q440" s="99"/>
    </x:row>
    <x:row r="441">
      <x:c r="C441" s="6" t="str">
        <x:v>2025-02</x:v>
      </x:c>
      <x:c r="D441" s="6" t="n">
        <x:f>F212</x:f>
        <x:v>209.140116139157</x:v>
      </x:c>
      <x:c r="E441" s="6" t="n">
        <x:f>G212</x:f>
        <x:v>129.16438429678806</x:v>
      </x:c>
      <x:c r="F441" s="6" t="n">
        <x:f>H212</x:f>
        <x:v>167.61836727005573</x:v>
      </x:c>
      <x:c r="G441" s="6" t="n">
        <x:f>I212</x:f>
        <x:v>116.2665147121498</x:v>
      </x:c>
      <x:c r="H441" s="6" t="n">
        <x:f>J212</x:f>
        <x:v>270.94313041204913</x:v>
      </x:c>
      <x:c r="I441" s="6" t="n">
        <x:f>K212</x:f>
        <x:v>152.5679679355384</x:v>
      </x:c>
      <x:c r="J441" s="6" t="n">
        <x:f>L212</x:f>
        <x:v>373.9675261083193</x:v>
      </x:c>
      <x:c r="K441" s="6" t="n">
        <x:f>M212</x:f>
        <x:v>289.80637101177325</x:v>
      </x:c>
      <x:c r="L441" s="6" t="n">
        <x:f>N212</x:f>
        <x:v>252.8168218208235</x:v>
      </x:c>
      <x:c r="M441" s="6" t="n">
        <x:f>O212</x:f>
        <x:v>147.04464444103357</x:v>
      </x:c>
      <x:c r="N441" s="6" t="n">
        <x:f>P212</x:f>
        <x:v>132.76509040002625</x:v>
      </x:c>
      <x:c r="O441" s="6" t="n">
        <x:f>Q212</x:f>
        <x:v>184.0057540319197</x:v>
      </x:c>
      <x:c r="P441" s="99"/>
      <x:c r="Q441" s="99"/>
    </x:row>
    <x:row r="442">
      <x:c r="C442" s="6" t="str">
        <x:v>2025-03</x:v>
      </x:c>
      <x:c r="D442" s="6" t="n">
        <x:f>F213</x:f>
        <x:v>208.01356842393517</x:v>
      </x:c>
      <x:c r="E442" s="6" t="n">
        <x:f>G213</x:f>
        <x:v>128.59584061774666</x:v>
      </x:c>
      <x:c r="F442" s="6" t="n">
        <x:f>H213</x:f>
        <x:v>164.46594166107164</x:v>
      </x:c>
      <x:c r="G442" s="6" t="n">
        <x:f>I213</x:f>
        <x:v>121.17774697582743</x:v>
      </x:c>
      <x:c r="H442" s="6" t="n">
        <x:f>J213</x:f>
        <x:v>265.9874902757649</x:v>
      </x:c>
      <x:c r="I442" s="6" t="n">
        <x:f>K213</x:f>
        <x:v>152.08440522214727</x:v>
      </x:c>
      <x:c r="J442" s="6" t="n">
        <x:f>L213</x:f>
        <x:v>376.3861209218073</x:v>
      </x:c>
      <x:c r="K442" s="6" t="n">
        <x:f>M213</x:f>
        <x:v>289.5782430496611</x:v>
      </x:c>
      <x:c r="L442" s="6" t="n">
        <x:f>N213</x:f>
        <x:v>261.1072179048193</x:v>
      </x:c>
      <x:c r="M442" s="6" t="n">
        <x:f>O213</x:f>
        <x:v>150.45403212950112</x:v>
      </x:c>
      <x:c r="N442" s="6" t="n">
        <x:f>P213</x:f>
        <x:v>134.58670949008234</x:v>
      </x:c>
      <x:c r="O442" s="6" t="n">
        <x:f>Q213</x:f>
        <x:v>192.22750340301843</x:v>
      </x:c>
      <x:c r="P442" s="99"/>
      <x:c r="Q442" s="99"/>
    </x:row>
    <x:row r="443">
      <x:c r="C443" s="6" t="str">
        <x:v>2025-04</x:v>
      </x:c>
      <x:c r="D443" s="6" t="n">
        <x:f>F214</x:f>
        <x:v>173.10676424774186</x:v>
      </x:c>
      <x:c r="E443" s="6" t="n">
        <x:f>G214</x:f>
        <x:v>130.62410492103834</x:v>
      </x:c>
      <x:c r="F443" s="6" t="n">
        <x:f>H214</x:f>
        <x:v>156.4090866848164</x:v>
      </x:c>
      <x:c r="G443" s="6" t="n">
        <x:f>I214</x:f>
        <x:v>124.79059537364337</x:v>
      </x:c>
      <x:c r="H443" s="6" t="n">
        <x:f>J214</x:f>
        <x:v>227.1814117009813</x:v>
      </x:c>
      <x:c r="I443" s="6" t="n">
        <x:f>K214</x:f>
        <x:v>153.3931506061724</x:v>
      </x:c>
      <x:c r="J443" s="6" t="n">
        <x:f>L214</x:f>
        <x:v>379.87438347840936</x:v>
      </x:c>
      <x:c r="K443" s="6" t="n">
        <x:f>M214</x:f>
        <x:v>287.7966900690817</x:v>
      </x:c>
      <x:c r="L443" s="6" t="n">
        <x:f>N214</x:f>
        <x:v>264.01315925039756</x:v>
      </x:c>
      <x:c r="M443" s="6" t="n">
        <x:f>O214</x:f>
        <x:v>138.02622999852062</x:v>
      </x:c>
      <x:c r="N443" s="6" t="n">
        <x:f>P214</x:f>
        <x:v>133.40905359520187</x:v>
      </x:c>
      <x:c r="O443" s="6" t="n">
        <x:f>Q214</x:f>
        <x:v>195.34459392368427</x:v>
      </x:c>
      <x:c r="P443" s="99"/>
      <x:c r="Q443" s="99"/>
    </x:row>
    <x:row r="444">
      <x:c r="C444" s="6" t="str">
        <x:v>2025-05</x:v>
      </x:c>
      <x:c r="D444" s="6" t="n">
        <x:f>F215</x:f>
        <x:v>172.24041003309785</x:v>
      </x:c>
      <x:c r="E444" s="6" t="n">
        <x:f>G215</x:f>
        <x:v>133.03988148053065</x:v>
      </x:c>
      <x:c r="F444" s="6" t="n">
        <x:f>H215</x:f>
        <x:v>143.89052411904063</x:v>
      </x:c>
      <x:c r="G444" s="6" t="n">
        <x:f>I215</x:f>
        <x:v>127.61603291130572</x:v>
      </x:c>
      <x:c r="H444" s="6" t="n">
        <x:f>J215</x:f>
        <x:v>216.84268311461227</x:v>
      </x:c>
      <x:c r="I444" s="6" t="n">
        <x:f>K215</x:f>
        <x:v>149.53789948077866</x:v>
      </x:c>
      <x:c r="J444" s="6" t="n">
        <x:f>L215</x:f>
        <x:v>400.3921764343495</x:v>
      </x:c>
      <x:c r="K444" s="6" t="n">
        <x:f>M215</x:f>
        <x:v>301.33449849636804</x:v>
      </x:c>
      <x:c r="L444" s="6" t="n">
        <x:f>N215</x:f>
        <x:v>290.01085311830144</x:v>
      </x:c>
      <x:c r="M444" s="6" t="n">
        <x:f>O215</x:f>
        <x:v>136.9301557222157</x:v>
      </x:c>
      <x:c r="N444" s="6" t="n">
        <x:f>P215</x:f>
        <x:v>139.87862981519038</x:v>
      </x:c>
      <x:c r="O444" s="6" t="n">
        <x:f>Q215</x:f>
        <x:v>181.0899930663081</x:v>
      </x:c>
      <x:c r="P444" s="99"/>
      <x:c r="Q444" s="99"/>
    </x:row>
    <x:row r="445">
      <x:c r="C445" s="6" t="str">
        <x:v>2025-06</x:v>
      </x:c>
      <x:c r="D445" s="6" t="n">
        <x:f>F216</x:f>
        <x:v>173.15375941967508</x:v>
      </x:c>
      <x:c r="E445" s="6" t="n">
        <x:f>G216</x:f>
        <x:v>137.542106659216</x:v>
      </x:c>
      <x:c r="F445" s="6" t="n">
        <x:f>H216</x:f>
        <x:v>138.80796036093258</x:v>
      </x:c>
      <x:c r="G445" s="6" t="n">
        <x:f>I216</x:f>
        <x:v>115.39610431115786</x:v>
      </x:c>
      <x:c r="H445" s="6" t="n">
        <x:f>J216</x:f>
        <x:v>215.1308133244882</x:v>
      </x:c>
      <x:c r="I445" s="6" t="n">
        <x:f>K216</x:f>
        <x:v>146.56984201216702</x:v>
      </x:c>
      <x:c r="J445" s="6" t="n">
        <x:f>L216</x:f>
        <x:v>412.8234405043036</x:v>
      </x:c>
      <x:c r="K445" s="6" t="n">
        <x:f>M216</x:f>
        <x:v>297.9211323939832</x:v>
      </x:c>
      <x:c r="L445" s="6" t="n">
        <x:f>N216</x:f>
        <x:v>295.17601020767574</x:v>
      </x:c>
      <x:c r="M445" s="6" t="n">
        <x:f>O216</x:f>
        <x:v>134.74621817369948</x:v>
      </x:c>
      <x:c r="N445" s="6" t="n">
        <x:f>P216</x:f>
        <x:v>143.23598960237376</x:v>
      </x:c>
      <x:c r="O445" s="6" t="n">
        <x:f>Q216</x:f>
        <x:v>180.33302953510199</x:v>
      </x:c>
      <x:c r="P445" s="99"/>
      <x:c r="Q445" s="99"/>
    </x:row>
    <x:row r="446">
      <x:c r="C446" s="6" t="str">
        <x:v>2025-07</x:v>
      </x:c>
      <x:c r="D446" s="6" t="n">
        <x:f>F217</x:f>
        <x:v>174.97572102996415</x:v>
      </x:c>
      <x:c r="E446" s="6" t="n">
        <x:f>G217</x:f>
        <x:v>143.35213010076967</x:v>
      </x:c>
      <x:c r="F446" s="6" t="n">
        <x:f>H217</x:f>
        <x:v>140.48936782585167</x:v>
      </x:c>
      <x:c r="G446" s="6" t="n">
        <x:f>I217</x:f>
        <x:v>114.91918924127663</x:v>
      </x:c>
      <x:c r="H446" s="6" t="n">
        <x:f>J217</x:f>
        <x:v>204.83080931153816</x:v>
      </x:c>
      <x:c r="I446" s="6" t="n">
        <x:f>K217</x:f>
        <x:v>148.5664350637945</x:v>
      </x:c>
      <x:c r="J446" s="6" t="n">
        <x:f>L217</x:f>
        <x:v>411.8755792598865</x:v>
      </x:c>
      <x:c r="K446" s="6" t="n">
        <x:f>M217</x:f>
        <x:v>284.37041480523663</x:v>
      </x:c>
      <x:c r="L446" s="6" t="n">
        <x:f>N217</x:f>
        <x:v>300.1894528568021</x:v>
      </x:c>
      <x:c r="M446" s="6" t="n">
        <x:f>O217</x:f>
        <x:v>130.38026301896562</x:v>
      </x:c>
      <x:c r="N446" s="6" t="n">
        <x:f>P217</x:f>
        <x:v>139.8282206917704</x:v>
      </x:c>
      <x:c r="O446" s="6" t="n">
        <x:f>Q217</x:f>
        <x:v>176.65311847366985</x:v>
      </x:c>
      <x:c r="P446" s="99"/>
      <x:c r="Q446" s="99"/>
    </x:row>
    <x:row r="447">
      <x:c r="C447" s="6" t="str">
        <x:v>2025-08</x:v>
      </x:c>
      <x:c r="D447" s="6" t="n">
        <x:f>F218</x:f>
        <x:v>163.326937663203</x:v>
      </x:c>
      <x:c r="E447" s="6" t="n">
        <x:f>G218</x:f>
        <x:v>144.8864265436132</x:v>
      </x:c>
      <x:c r="F447" s="6" t="n">
        <x:f>H218</x:f>
        <x:v>146.66577056826262</x:v>
      </x:c>
      <x:c r="G447" s="6" t="n">
        <x:f>I218</x:f>
        <x:v>107.7616626026215</x:v>
      </x:c>
      <x:c r="H447" s="6" t="n">
        <x:f>J218</x:f>
        <x:v>185.36513863895937</x:v>
      </x:c>
      <x:c r="I447" s="6" t="n">
        <x:f>K218</x:f>
        <x:v>153.02108696354443</x:v>
      </x:c>
      <x:c r="J447" s="6" t="n">
        <x:f>L218</x:f>
        <x:v>438.4744404981071</x:v>
      </x:c>
      <x:c r="K447" s="6" t="n">
        <x:f>M218</x:f>
        <x:v>284.91028059385764</x:v>
      </x:c>
      <x:c r="L447" s="6" t="n">
        <x:f>N218</x:f>
        <x:v>305.031433402836</x:v>
      </x:c>
      <x:c r="M447" s="6" t="n">
        <x:f>O218</x:f>
        <x:v>130.26914492875227</x:v>
      </x:c>
      <x:c r="N447" s="6" t="n">
        <x:f>P218</x:f>
        <x:v>142.75705330767246</x:v>
      </x:c>
      <x:c r="O447" s="6" t="n">
        <x:f>Q218</x:f>
        <x:v>178.75426501492592</x:v>
      </x:c>
      <x:c r="P447" s="99"/>
      <x:c r="Q447" s="99"/>
    </x:row>
    <x:row r="448">
      <x:c r="C448" s="6" t="str">
        <x:v>2025-09</x:v>
      </x:c>
      <x:c r="D448" s="6" t="n">
        <x:f>F219</x:f>
        <x:v>161.1822038044175</x:v>
      </x:c>
      <x:c r="E448" s="6" t="n">
        <x:f>G219</x:f>
        <x:v>144.98603378128848</x:v>
      </x:c>
      <x:c r="F448" s="6" t="n">
        <x:f>H219</x:f>
        <x:v>148.8057740441993</x:v>
      </x:c>
      <x:c r="G448" s="6" t="n">
        <x:f>I219</x:f>
        <x:v>111.45063697886364</x:v>
      </x:c>
      <x:c r="H448" s="6" t="n">
        <x:f>J219</x:f>
        <x:v>186.8833336413667</x:v>
      </x:c>
      <x:c r="I448" s="6" t="n">
        <x:f>K219</x:f>
        <x:v>150.85994012607014</x:v>
      </x:c>
      <x:c r="J448" s="6" t="n">
        <x:f>L219</x:f>
        <x:v>460.99786872691493</x:v>
      </x:c>
      <x:c r="K448" s="6" t="n">
        <x:f>M219</x:f>
        <x:v>288.67314155200677</x:v>
      </x:c>
      <x:c r="L448" s="6" t="n">
        <x:f>N219</x:f>
        <x:v>309.53124385963946</x:v>
      </x:c>
      <x:c r="M448" s="6" t="n">
        <x:f>O219</x:f>
        <x:v>127.24748027005424</x:v>
      </x:c>
      <x:c r="N448" s="6" t="n">
        <x:f>P219</x:f>
        <x:v>143.1986646081316</x:v>
      </x:c>
      <x:c r="O448" s="6" t="n">
        <x:f>Q219</x:f>
        <x:v>190.85823406946065</x:v>
      </x:c>
      <x:c r="P448" s="99"/>
      <x:c r="Q448" s="99"/>
    </x:row>
    <x:row r="449">
      <x:c r="C449" s="6" t="str">
        <x:v>2025-10</x:v>
      </x:c>
      <x:c r="D449" s="6" t="n">
        <x:f>F220</x:f>
        <x:v>164.28635917005218</x:v>
      </x:c>
      <x:c r="E449" s="6" t="n">
        <x:f>G220</x:f>
        <x:v>146.3040824581688</x:v>
      </x:c>
      <x:c r="F449" s="6" t="n">
        <x:f>H220</x:f>
        <x:v>153.00024856214364</x:v>
      </x:c>
      <x:c r="G449" s="6" t="n">
        <x:f>I220</x:f>
        <x:v>112.85989585722716</x:v>
      </x:c>
      <x:c r="H449" s="6" t="n">
        <x:f>J220</x:f>
        <x:v>192.28594737928913</x:v>
      </x:c>
      <x:c r="I449" s="6" t="n">
        <x:f>K220</x:f>
        <x:v>153.90978376119767</x:v>
      </x:c>
      <x:c r="J449" s="6" t="n">
        <x:f>L220</x:f>
        <x:v>480.10203730354044</x:v>
      </x:c>
      <x:c r="K449" s="6" t="n">
        <x:f>M220</x:f>
        <x:v>291.9758237085919</x:v>
      </x:c>
      <x:c r="L449" s="6" t="n">
        <x:f>N220</x:f>
        <x:v>316.1390260924587</x:v>
      </x:c>
      <x:c r="M449" s="6" t="n">
        <x:f>O220</x:f>
        <x:v>136.6007569513039</x:v>
      </x:c>
      <x:c r="N449" s="6" t="n">
        <x:f>P220</x:f>
        <x:v>147.24493939366724</x:v>
      </x:c>
      <x:c r="O449" s="6" t="n">
        <x:f>Q220</x:f>
        <x:v>206.48868390271318</x:v>
      </x:c>
      <x:c r="P449" s="99"/>
      <x:c r="Q449" s="99"/>
    </x:row>
    <x:row r="450">
      <x:c r="C450" s="6" t="str">
        <x:v>2025-11</x:v>
      </x:c>
      <x:c r="D450" s="6" t="n">
        <x:f>F221</x:f>
        <x:v>161.7343499423825</x:v>
      </x:c>
      <x:c r="E450" s="6" t="n">
        <x:f>G221</x:f>
        <x:v>152.5484935320891</x:v>
      </x:c>
      <x:c r="F450" s="6" t="n">
        <x:f>H221</x:f>
        <x:v>171.97521504992338</x:v>
      </x:c>
      <x:c r="G450" s="6" t="n">
        <x:f>I221</x:f>
        <x:v>111.98514579389543</x:v>
      </x:c>
      <x:c r="H450" s="6" t="n">
        <x:f>J221</x:f>
        <x:v>176.8695933787778</x:v>
      </x:c>
      <x:c r="I450" s="6" t="n">
        <x:f>K221</x:f>
        <x:v>154.75749324855093</x:v>
      </x:c>
      <x:c r="J450" s="6" t="n">
        <x:f>L221</x:f>
        <x:v>523.1710379611445</x:v>
      </x:c>
      <x:c r="K450" s="6" t="n">
        <x:f>M221</x:f>
        <x:v>300.5721682636634</x:v>
      </x:c>
      <x:c r="L450" s="6" t="n">
        <x:f>N221</x:f>
        <x:v>322.66075301269234</x:v>
      </x:c>
      <x:c r="M450" s="6" t="n">
        <x:f>O221</x:f>
        <x:v>142.1423231542943</x:v>
      </x:c>
      <x:c r="N450" s="6" t="n">
        <x:f>P221</x:f>
        <x:v>147.4628378451702</x:v>
      </x:c>
      <x:c r="O450" s="6" t="n">
        <x:f>Q221</x:f>
        <x:v>212.63428785584807</x:v>
      </x:c>
      <x:c r="P450" s="99"/>
      <x:c r="Q450" s="99"/>
    </x:row>
    <x:row r="451">
      <x:c r="C451" s="6" t="str">
        <x:v>2025-12</x:v>
      </x:c>
      <x:c r="D451" s="6" t="n">
        <x:f>F222</x:f>
        <x:v>162.40797884662214</x:v>
      </x:c>
      <x:c r="E451" s="6" t="n">
        <x:f>G222</x:f>
        <x:v>156.51297578825063</x:v>
      </x:c>
      <x:c r="F451" s="6" t="n">
        <x:f>H222</x:f>
        <x:v>185.3252026456436</x:v>
      </x:c>
      <x:c r="G451" s="6" t="n">
        <x:f>I222</x:f>
        <x:v>117.2795114348987</x:v>
      </x:c>
      <x:c r="H451" s="6" t="n">
        <x:f>J222</x:f>
        <x:v>166.03668087790388</x:v>
      </x:c>
      <x:c r="I451" s="6" t="n">
        <x:f>K222</x:f>
        <x:v>156.4786293755878</x:v>
      </x:c>
      <x:c r="J451" s="6" t="n">
        <x:f>L222</x:f>
        <x:v>520.4034023477125</x:v>
      </x:c>
      <x:c r="K451" s="6" t="n">
        <x:f>M222</x:f>
        <x:v>311.8169561348478</x:v>
      </x:c>
      <x:c r="L451" s="6" t="n">
        <x:f>N222</x:f>
        <x:v>323.9139781479705</x:v>
      </x:c>
      <x:c r="M451" s="6" t="n">
        <x:f>O222</x:f>
        <x:v>145.4646435279393</x:v>
      </x:c>
      <x:c r="N451" s="6" t="n">
        <x:f>P222</x:f>
        <x:v>158.57606421514447</x:v>
      </x:c>
      <x:c r="O451" s="6" t="n">
        <x:f>Q222</x:f>
        <x:v>212.28145355418903</x:v>
      </x:c>
      <x:c r="P451" s="99"/>
      <x:c r="Q451" s="99"/>
    </x:row>
    <x:row r="452">
      <x:c r="C452" s="6" t="str">
        <x:v>2026-01</x:v>
      </x:c>
      <x:c r="D452" s="6" t="n">
        <x:f>F223</x:f>
        <x:v>169.79574809526002</x:v>
      </x:c>
      <x:c r="E452" s="6" t="n">
        <x:f>G223</x:f>
        <x:v>159.18736610594445</x:v>
      </x:c>
      <x:c r="F452" s="6" t="n">
        <x:f>H223</x:f>
        <x:v>178.7848874061767</x:v>
      </x:c>
      <x:c r="G452" s="6" t="n">
        <x:f>I223</x:f>
        <x:v>118.11244866613053</x:v>
      </x:c>
      <x:c r="H452" s="6" t="n">
        <x:f>J223</x:f>
        <x:v>162.36185968727642</x:v>
      </x:c>
      <x:c r="I452" s="6" t="n">
        <x:f>K223</x:f>
        <x:v>159.84077932930666</x:v>
      </x:c>
      <x:c r="J452" s="6" t="n">
        <x:f>L223</x:f>
        <x:v>521.9174731553428</x:v>
      </x:c>
      <x:c r="K452" s="6" t="n">
        <x:f>M223</x:f>
        <x:v>317.05184582413676</x:v>
      </x:c>
      <x:c r="L452" s="6" t="n">
        <x:f>N223</x:f>
        <x:v>321.4389654282037</x:v>
      </x:c>
      <x:c r="M452" s="6" t="n">
        <x:f>O223</x:f>
        <x:v>151.62652728330883</x:v>
      </x:c>
      <x:c r="N452" s="6" t="n">
        <x:f>P223</x:f>
        <x:v>158.10620376311857</x:v>
      </x:c>
      <x:c r="O452" s="6" t="n">
        <x:f>Q223</x:f>
        <x:v>228.35774310532875</x:v>
      </x:c>
      <x:c r="P452" s="99"/>
      <x:c r="Q452" s="99"/>
    </x:row>
    <x:row r="453">
      <x:c r="C453" s="6" t="str">
        <x:v>2026-02</x:v>
      </x:c>
      <x:c r="D453" s="6" t="n">
        <x:f>F224</x:f>
        <x:v>178.08022029922103</x:v>
      </x:c>
      <x:c r="E453" s="6" t="n">
        <x:f>G224</x:f>
        <x:v>162.67200325488616</x:v>
      </x:c>
      <x:c r="F453" s="6" t="n">
        <x:f>H224</x:f>
        <x:v>175.82129893835864</x:v>
      </x:c>
      <x:c r="G453" s="6" t="n">
        <x:f>I224</x:f>
        <x:v>121.25313115561728</x:v>
      </x:c>
      <x:c r="H453" s="6" t="n">
        <x:f>J224</x:f>
        <x:v>183.05364505149205</x:v>
      </x:c>
      <x:c r="I453" s="6" t="n">
        <x:f>K224</x:f>
        <x:v>161.62017121932556</x:v>
      </x:c>
      <x:c r="J453" s="6" t="n">
        <x:f>L224</x:f>
        <x:v>509.5331479510012</x:v>
      </x:c>
      <x:c r="K453" s="6" t="n">
        <x:f>M224</x:f>
        <x:v>318.68988321163926</x:v>
      </x:c>
      <x:c r="L453" s="6" t="n">
        <x:f>N224</x:f>
        <x:v>321.57106606830473</x:v>
      </x:c>
      <x:c r="M453" s="6" t="n">
        <x:f>O224</x:f>
        <x:v>150.68360804549278</x:v>
      </x:c>
      <x:c r="N453" s="6" t="n">
        <x:f>P224</x:f>
        <x:v>151.12600943556643</x:v>
      </x:c>
      <x:c r="O453" s="6" t="n">
        <x:f>Q224</x:f>
        <x:v>235.8624922399367</x:v>
      </x:c>
      <x:c r="P453" s="99"/>
      <x:c r="Q453" s="99"/>
    </x:row>
    <x:row r="454">
      <x:c r="C454" s="6" t="str">
        <x:v>2026-03</x:v>
      </x:c>
      <x:c r="D454" s="6" t="n">
        <x:f>F225</x:f>
        <x:v>223.89363886141987</x:v>
      </x:c>
      <x:c r="E454" s="6" t="n">
        <x:f>G225</x:f>
        <x:v>166.43883216456516</x:v>
      </x:c>
      <x:c r="F454" s="6" t="n">
        <x:f>H225</x:f>
        <x:v>188.56661498625175</x:v>
      </x:c>
      <x:c r="G454" s="6" t="n">
        <x:f>I225</x:f>
        <x:v>118.56140018743126</x:v>
      </x:c>
      <x:c r="H454" s="6" t="n">
        <x:f>J225</x:f>
        <x:v>264.6052811528312</x:v>
      </x:c>
      <x:c r="I454" s="6" t="n">
        <x:f>K225</x:f>
        <x:v>160.3580205171088</x:v>
      </x:c>
      <x:c r="J454" s="6" t="n">
        <x:f>L225</x:f>
        <x:v>495.9437361769596</x:v>
      </x:c>
      <x:c r="K454" s="6" t="n">
        <x:f>M225</x:f>
        <x:v>334.1209465867191</x:v>
      </x:c>
      <x:c r="L454" s="6" t="n">
        <x:f>N225</x:f>
        <x:v>337.60724235762825</x:v>
      </x:c>
      <x:c r="M454" s="6" t="n">
        <x:f>O225</x:f>
        <x:v>157.82485060444705</x:v>
      </x:c>
      <x:c r="N454" s="6" t="n">
        <x:f>P225</x:f>
        <x:v>153.96968505575134</x:v>
      </x:c>
      <x:c r="O454" s="6" t="n">
        <x:f>Q225</x:f>
        <x:v>238.58844783800112</x:v>
      </x:c>
      <x:c r="P454" s="99"/>
      <x:c r="Q454" s="99"/>
    </x:row>
    <x:row r="455">
      <x:c r="C455" s="6" t="str">
        <x:v>2026-04</x:v>
      </x:c>
      <x:c r="D455" s="6" t="n">
        <x:f>F226</x:f>
        <x:v>235.5081616149667</x:v>
      </x:c>
      <x:c r="E455" s="6" t="n">
        <x:f>G226</x:f>
        <x:v>170.6786099494437</x:v>
      </x:c>
      <x:c r="F455" s="6" t="n">
        <x:f>H226</x:f>
        <x:v>219.3580043747316</x:v>
      </x:c>
      <x:c r="G455" s="6" t="n">
        <x:f>I226</x:f>
        <x:v>117.84996686890317</x:v>
      </x:c>
      <x:c r="H455" s="6" t="n">
        <x:f>J226</x:f>
        <x:v>294.278112275332</x:v>
      </x:c>
      <x:c r="I455" s="6" t="n">
        <x:f>K226</x:f>
        <x:v>162.52230018730933</x:v>
      </x:c>
      <x:c r="J455" s="6" t="n">
        <x:f>L226</x:f>
        <x:v>503.925410258028</x:v>
      </x:c>
      <x:c r="K455" s="6" t="n">
        <x:f>M226</x:f>
        <x:v>326.86414702846804</x:v>
      </x:c>
      <x:c r="L455" s="6" t="n">
        <x:f>N226</x:f>
        <x:v>350.1671178651578</x:v>
      </x:c>
      <x:c r="M455" s="6" t="n">
        <x:f>O226</x:f>
        <x:v>142.41825823226088</x:v>
      </x:c>
      <x:c r="N455" s="6" t="n">
        <x:f>P226</x:f>
        <x:v>155.58777347065373</x:v>
      </x:c>
      <x:c r="O455" s="6" t="n">
        <x:f>Q226</x:f>
        <x:v>257.4615344210897</x:v>
      </x:c>
      <x:c r="P455" s="99"/>
      <x:c r="Q455" s="99"/>
    </x:row>
    <x:row r="456">
      <x:c r="C456" s="6" t="str">
        <x:v>2026-05</x:v>
      </x:c>
      <x:c r="D456" s="6" t="n">
        <x:f>F227</x:f>
        <x:v>221.7519034404702</x:v>
      </x:c>
      <x:c r="E456" s="6" t="n">
        <x:f>G227</x:f>
        <x:v>167.5180233958763</x:v>
      </x:c>
      <x:c r="F456" s="6" t="n">
        <x:f>H227</x:f>
        <x:v>215.36613717233791</x:v>
      </x:c>
      <x:c r="G456" s="6" t="n">
        <x:f>I227</x:f>
        <x:v>137.7695940888829</x:v>
      </x:c>
      <x:c r="H456" s="6" t="n">
        <x:f>J227</x:f>
        <x:v>290.07193933318496</x:v>
      </x:c>
      <x:c r="I456" s="6" t="n">
        <x:f>K227</x:f>
        <x:v>164.72735009220696</x:v>
      </x:c>
      <x:c r="J456" s="6" t="n">
        <x:f>L227</x:f>
        <x:v>485.48098736115185</x:v>
      </x:c>
      <x:c r="K456" s="6" t="n">
        <x:f>M227</x:f>
        <x:v>323.0781411059226</x:v>
      </x:c>
      <x:c r="L456" s="6" t="n">
        <x:f>N227</x:f>
        <x:v>351.0413570409945</x:v>
      </x:c>
      <x:c r="M456" s="6" t="n">
        <x:f>O227</x:f>
        <x:v>140.91928668053535</x:v>
      </x:c>
      <x:c r="N456" s="6" t="n">
        <x:f>P227</x:f>
        <x:v>164.30076962730053</x:v>
      </x:c>
      <x:c r="O456" s="6" t="n">
        <x:f>Q227</x:f>
        <x:v>240.57518217029093</x:v>
      </x:c>
      <x:c r="P456" s="99"/>
      <x:c r="Q456" s="99"/>
    </x:row>
    <x:row r="457">
      <x:c r="C457" s="6" t="str">
        <x:v>2026-06</x:v>
      </x:c>
      <x:c r="D457" s="6" t="n">
        <x:f>F228</x:f>
        <x:v>210.47923536522796</x:v>
      </x:c>
      <x:c r="E457" s="6" t="n">
        <x:f>G228</x:f>
        <x:v>169.57324024438412</x:v>
      </x:c>
      <x:c r="F457" s="6" t="n">
        <x:f>H228</x:f>
        <x:v>216.29277565732187</x:v>
      </x:c>
      <x:c r="G457" s="6" t="n">
        <x:f>I228</x:f>
        <x:v>140.04518713211294</x:v>
      </x:c>
      <x:c r="H457" s="6" t="n">
        <x:f>J228</x:f>
        <x:v>283.7408995308882</x:v>
      </x:c>
      <x:c r="I457" s="6" t="n">
        <x:f>K228</x:f>
        <x:v>169.44117121687106</x:v>
      </x:c>
      <x:c r="J457" s="6" t="n">
        <x:f>L228</x:f>
        <x:v>504.2542255653628</x:v>
      </x:c>
      <x:c r="K457" s="6" t="n">
        <x:f>M228</x:f>
        <x:v>328.41151672537217</x:v>
      </x:c>
      <x:c r="L457" s="6" t="n">
        <x:f>N228</x:f>
        <x:v>325.52523189970015</x:v>
      </x:c>
      <x:c r="M457" s="6" t="n">
        <x:f>O228</x:f>
        <x:v>141.0123499595288</x:v>
      </x:c>
      <x:c r="N457" s="6" t="n">
        <x:f>P228</x:f>
        <x:v>169.2364595987117</x:v>
      </x:c>
      <x:c r="O457" s="6" t="n">
        <x:f>Q228</x:f>
        <x:v>239.46475963523972</x:v>
      </x:c>
      <x:c r="P457" s="99"/>
      <x:c r="Q457" s="99"/>
    </x:row>
    <x:row r="458">
      <x:c r="C458" s="6" t="str">
        <x:v>2026-07</x:v>
      </x:c>
      <x:c r="D458" s="6" t="n">
        <x:f>F229</x:f>
        <x:v>219.86157490463177</x:v>
      </x:c>
      <x:c r="E458" s="6" t="n">
        <x:f>G229</x:f>
        <x:v>171.3191659904567</x:v>
      </x:c>
      <x:c r="F458" s="6" t="n">
        <x:f>H229</x:f>
        <x:v>254.9249159537053</x:v>
      </x:c>
      <x:c r="G458" s="6" t="n">
        <x:f>I229</x:f>
        <x:v>140.66379502466003</x:v>
      </x:c>
      <x:c r="H458" s="6" t="n">
        <x:f>J229</x:f>
        <x:v>288.7167362353646</x:v>
      </x:c>
      <x:c r="I458" s="6" t="n">
        <x:f>K229</x:f>
        <x:v>168.98871990073764</x:v>
      </x:c>
      <x:c r="J458" s="6" t="n">
        <x:f>L229</x:f>
        <x:v>507.7873671521596</x:v>
      </x:c>
      <x:c r="K458" s="6" t="n">
        <x:f>M229</x:f>
        <x:v>332.15814361587803</x:v>
      </x:c>
      <x:c r="L458" s="6" t="n">
        <x:f>N229</x:f>
        <x:v>324.4190279200483</x:v>
      </x:c>
      <x:c r="M458" s="6" t="n">
        <x:f>O229</x:f>
        <x:v>131.31335448320814</x:v>
      </x:c>
      <x:c r="N458" s="6" t="n">
        <x:f>P229</x:f>
        <x:v>171.09899274005855</x:v>
      </x:c>
      <x:c r="O458" s="6" t="n">
        <x:f>Q229</x:f>
        <x:v>237.22058211908035</x:v>
      </x:c>
      <x:c r="P458" s="99"/>
      <x:c r="Q458" s="99"/>
    </x:row>
    <x:row r="459">
      <x:c r="C459" s="6" t="str">
        <x:v>2026-08</x:v>
      </x:c>
      <x:c r="D459" s="6" t="n">
        <x:f>F230</x:f>
        <x:v>223.61953639803733</x:v>
      </x:c>
      <x:c r="E459" s="6" t="n">
        <x:f>G230</x:f>
        <x:v>168.36365585973803</x:v>
      </x:c>
      <x:c r="F459" s="6" t="n">
        <x:f>H230</x:f>
        <x:v>265.64029991210907</x:v>
      </x:c>
      <x:c r="G459" s="6" t="n">
        <x:f>I230</x:f>
        <x:v>134.12834376268876</x:v>
      </x:c>
      <x:c r="H459" s="6" t="n">
        <x:f>J230</x:f>
        <x:v>297.24457963362437</x:v>
      </x:c>
      <x:c r="I459" s="6" t="n">
        <x:f>K230</x:f>
        <x:v>165.1202604689286</x:v>
      </x:c>
      <x:c r="J459" s="6" t="n">
        <x:f>L230</x:f>
        <x:v>511.1717283619091</x:v>
      </x:c>
      <x:c r="K459" s="6" t="n">
        <x:f>M230</x:f>
        <x:v>343.0387989035578</x:v>
      </x:c>
      <x:c r="L459" s="6" t="n">
        <x:f>N230</x:f>
        <x:v>330.8823063733389</x:v>
      </x:c>
      <x:c r="M459" s="6" t="n">
        <x:f>O230</x:f>
        <x:v>129.90236627253884</x:v>
      </x:c>
      <x:c r="N459" s="6" t="n">
        <x:f>P230</x:f>
        <x:v>164.53369263065133</x:v>
      </x:c>
      <x:c r="O459" s="6" t="n">
        <x:f>Q230</x:f>
        <x:v>227.93759702550096</x:v>
      </x:c>
      <x:c r="P459" s="99"/>
      <x:c r="Q459" s="99"/>
    </x:row>
    <x:row r="460">
      <x:c r="C460" s="6" t="str">
        <x:v>2026-09</x:v>
      </x:c>
      <x:c r="D460" s="6" t="n">
        <x:f>F231</x:f>
        <x:v>224.45511049448834</x:v>
      </x:c>
      <x:c r="E460" s="6" t="n">
        <x:f>G231</x:f>
        <x:v>168.59021030543119</x:v>
      </x:c>
      <x:c r="F460" s="6" t="n">
        <x:f>H231</x:f>
        <x:v>266.8996897677066</x:v>
      </x:c>
      <x:c r="G460" s="6" t="n">
        <x:f>I231</x:f>
        <x:v>134.88210349879486</x:v>
      </x:c>
      <x:c r="H460" s="6" t="n">
        <x:f>J231</x:f>
        <x:v>299.93028576994425</x:v>
      </x:c>
      <x:c r="I460" s="6" t="n">
        <x:f>K231</x:f>
        <x:v>165.11474586301227</x:v>
      </x:c>
      <x:c r="J460" s="6" t="n">
        <x:f>L231</x:f>
        <x:v>514.320220162845</x:v>
      </x:c>
      <x:c r="K460" s="6" t="n">
        <x:f>M231</x:f>
        <x:v>345.61813521025056</x:v>
      </x:c>
      <x:c r="L460" s="6" t="n">
        <x:f>N231</x:f>
        <x:v>331.33016088709087</x:v>
      </x:c>
      <x:c r="M460" s="6" t="n">
        <x:f>O231</x:f>
        <x:v>128.66971790791848</x:v>
      </x:c>
      <x:c r="N460" s="6" t="n">
        <x:f>P231</x:f>
        <x:v>164.67394607879422</x:v>
      </x:c>
      <x:c r="O460" s="6" t="n">
        <x:f>Q231</x:f>
        <x:v>228.2513380231628</x:v>
      </x:c>
      <x:c r="P460" s="99"/>
      <x:c r="Q460" s="99"/>
    </x:row>
  </x:sheetData>
  <x:pageMargins left="0.7" right="0.7" top="0.75" bottom="0.75" header="0.3" footer="0.3"/>
  <x:drawing xmlns:r="http://schemas.openxmlformats.org/officeDocument/2006/relationships" r:id="R1b6149821cec4015"/>
  <x:tableParts count="1">
    <x:tablePart xmlns:r="http://schemas.openxmlformats.org/officeDocument/2006/relationships" r:id="Ra1fea12df06c477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3" hidden="0" customWidth="1"/>
    <x:col min="5" max="5" width="2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2">
      <x:c r="C2" s="2" t="str">
        <x:v>Earnings revisions de três meses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</x:row>
    <x:row r="3">
      <x:c r="C3" s="4" t="str">
        <x:v>100 × log(Earnings_t / Earnings_t-3). Valores em percentual logarítmico.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  <x:c r="P5" s="99"/>
      <x:c r="Q5" s="99"/>
      <x:c r="R5" s="99"/>
    </x:row>
    <x:row r="6" ht="36" customHeight="1">
      <x:c r="C6" s="11" t="str">
        <x:v>month</x:v>
      </x:c>
      <x:c r="D6" s="11" t="str">
        <x:v>date</x:v>
      </x:c>
      <x:c r="E6" s="11" t="str">
        <x:v>source_file</x:v>
      </x:c>
      <x:c r="F6" s="11" t="str">
        <x:v>IBOV</x:v>
      </x:c>
      <x:c r="G6" s="11" t="str">
        <x:v>Communication Services</x:v>
      </x:c>
      <x:c r="H6" s="11" t="str">
        <x:v>Consumer Discretionary</x:v>
      </x:c>
      <x:c r="I6" s="11" t="str">
        <x:v>Consumer Staples</x:v>
      </x:c>
      <x:c r="J6" s="11" t="str">
        <x:v>Energy</x:v>
      </x:c>
      <x:c r="K6" s="11" t="str">
        <x:v>Financials</x:v>
      </x:c>
      <x:c r="L6" s="11" t="str">
        <x:v>Health Care</x:v>
      </x:c>
      <x:c r="M6" s="11" t="str">
        <x:v>Industrials</x:v>
      </x:c>
      <x:c r="N6" s="11" t="str">
        <x:v>Information Technology</x:v>
      </x:c>
      <x:c r="O6" s="11" t="str">
        <x:v>Materials</x:v>
      </x:c>
      <x:c r="P6" s="11" t="str">
        <x:v>Real Estate</x:v>
      </x:c>
      <x:c r="Q6" s="11" t="str">
        <x:v>Utilities</x:v>
      </x:c>
      <x:c r="R6" s="11" t="str">
        <x:v>Not Classified</x:v>
      </x:c>
    </x:row>
    <x:row r="7">
      <x:c r="C7" s="18" t="n">
        <x:v>39448</x:v>
      </x:c>
      <x:c r="D7" s="18" t="n">
        <x:v>39478</x:v>
      </x:c>
      <x:c r="E7" s="42" t="str">
        <x:v>grid_20qvjmd3.xlsx</x:v>
      </x:c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</x:row>
    <x:row r="8">
      <x:c r="C8" s="19" t="n">
        <x:v>39479</x:v>
      </x:c>
      <x:c r="D8" s="19" t="n">
        <x:v>39507</x:v>
      </x:c>
      <x:c r="E8" s="43" t="str">
        <x:v>grid_20qvjmd3.xlsx</x:v>
      </x:c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</x:row>
    <x:row r="9">
      <x:c r="C9" s="19" t="n">
        <x:v>39508</x:v>
      </x:c>
      <x:c r="D9" s="19" t="n">
        <x:v>39538</x:v>
      </x:c>
      <x:c r="E9" s="43" t="str">
        <x:v>grid_20qvjmd3.xlsx</x:v>
      </x:c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</x:row>
    <x:row r="10">
      <x:c r="C10" s="19" t="n">
        <x:v>39539</x:v>
      </x:c>
      <x:c r="D10" s="19" t="n">
        <x:v>39568</x:v>
      </x:c>
      <x:c r="E10" s="43" t="str">
        <x:v>grid_20qvjmd3.xlsx</x:v>
      </x:c>
      <x:c r="F10" s="46" t="n">
        <x:v>7.004419009040412</x:v>
      </x:c>
      <x:c r="G10" s="46" t="n">
        <x:v>-2.65978415990891</x:v>
      </x:c>
      <x:c r="H10" s="46" t="n">
        <x:v>-3.2260353137325817</x:v>
      </x:c>
      <x:c r="I10" s="46" t="n">
        <x:v>-5.852808162841599</x:v>
      </x:c>
      <x:c r="J10" s="46" t="n">
        <x:v>5.050344566361565</x:v>
      </x:c>
      <x:c r="K10" s="46" t="n">
        <x:v>3.7996383747628206</x:v>
      </x:c>
      <x:c r="L10" s="46"/>
      <x:c r="M10" s="46" t="n">
        <x:v>-9.226299196638234</x:v>
      </x:c>
      <x:c r="N10" s="46"/>
      <x:c r="O10" s="46" t="n">
        <x:v>11.103521436105158</x:v>
      </x:c>
      <x:c r="P10" s="46"/>
      <x:c r="Q10" s="46" t="n">
        <x:v>12.628445407033528</x:v>
      </x:c>
      <x:c r="R10" s="46" t="n">
        <x:v>-2.845859762203202</x:v>
      </x:c>
    </x:row>
    <x:row r="11">
      <x:c r="C11" s="19" t="n">
        <x:v>39569</x:v>
      </x:c>
      <x:c r="D11" s="19" t="n">
        <x:v>39598</x:v>
      </x:c>
      <x:c r="E11" s="43" t="str">
        <x:v>grid_20qvjmd3.xlsx</x:v>
      </x:c>
      <x:c r="F11" s="46" t="n">
        <x:v>16.177121502911803</x:v>
      </x:c>
      <x:c r="G11" s="46" t="n">
        <x:v>-9.416986943324963</x:v>
      </x:c>
      <x:c r="H11" s="46" t="n">
        <x:v>-1.7666441869979934</x:v>
      </x:c>
      <x:c r="I11" s="46" t="n">
        <x:v>-4.498473085289487</x:v>
      </x:c>
      <x:c r="J11" s="46" t="n">
        <x:v>8.653037610415597</x:v>
      </x:c>
      <x:c r="K11" s="46" t="n">
        <x:v>1.3953350651322898</x:v>
      </x:c>
      <x:c r="L11" s="46"/>
      <x:c r="M11" s="46" t="n">
        <x:v>-10.57160596537007</x:v>
      </x:c>
      <x:c r="N11" s="46"/>
      <x:c r="O11" s="46" t="n">
        <x:v>10.977572328841456</x:v>
      </x:c>
      <x:c r="P11" s="46"/>
      <x:c r="Q11" s="46" t="n">
        <x:v>8.5122910754437</x:v>
      </x:c>
      <x:c r="R11" s="46" t="n">
        <x:v>-0.39719060194520356</x:v>
      </x:c>
    </x:row>
    <x:row r="12">
      <x:c r="C12" s="19" t="n">
        <x:v>39600</x:v>
      </x:c>
      <x:c r="D12" s="19" t="n">
        <x:v>39629</x:v>
      </x:c>
      <x:c r="E12" s="43" t="str">
        <x:v>grid_20qvjmd3.xlsx</x:v>
      </x:c>
      <x:c r="F12" s="46" t="n">
        <x:v>19.46822822212318</x:v>
      </x:c>
      <x:c r="G12" s="46" t="n">
        <x:v>-6.677498909298279</x:v>
      </x:c>
      <x:c r="H12" s="46" t="n">
        <x:v>5.653620524811854</x:v>
      </x:c>
      <x:c r="I12" s="46" t="n">
        <x:v>0.7450644703946969</x:v>
      </x:c>
      <x:c r="J12" s="46" t="n">
        <x:v>6.967089925021306</x:v>
      </x:c>
      <x:c r="K12" s="46" t="n">
        <x:v>0.5308547536185869</x:v>
      </x:c>
      <x:c r="L12" s="46"/>
      <x:c r="M12" s="46" t="n">
        <x:v>-11.215599264168565</x:v>
      </x:c>
      <x:c r="N12" s="46"/>
      <x:c r="O12" s="46" t="n">
        <x:v>9.904431812533554</x:v>
      </x:c>
      <x:c r="P12" s="46"/>
      <x:c r="Q12" s="46" t="n">
        <x:v>0.0476986638492766</x:v>
      </x:c>
      <x:c r="R12" s="46" t="n">
        <x:v>-3.4040963869771796</x:v>
      </x:c>
    </x:row>
    <x:row r="13">
      <x:c r="C13" s="19" t="n">
        <x:v>39630</x:v>
      </x:c>
      <x:c r="D13" s="19" t="n">
        <x:v>39660</x:v>
      </x:c>
      <x:c r="E13" s="43" t="str">
        <x:v>grid_20qvjmd3.xlsx</x:v>
      </x:c>
      <x:c r="F13" s="46" t="n">
        <x:v>8.362040505253745</x:v>
      </x:c>
      <x:c r="G13" s="46" t="n">
        <x:v>3.5942961736431376</x:v>
      </x:c>
      <x:c r="H13" s="46" t="n">
        <x:v>-2.254211301710712</x:v>
      </x:c>
      <x:c r="I13" s="46" t="n">
        <x:v>-2.1721422067982954</x:v>
      </x:c>
      <x:c r="J13" s="46" t="n">
        <x:v>10.296782697051231</x:v>
      </x:c>
      <x:c r="K13" s="46" t="n">
        <x:v>-0.5862460003906349</x:v>
      </x:c>
      <x:c r="L13" s="46"/>
      <x:c r="M13" s="46" t="n">
        <x:v>-13.303784326613908</x:v>
      </x:c>
      <x:c r="N13" s="46"/>
      <x:c r="O13" s="46" t="n">
        <x:v>6.055203584401029</x:v>
      </x:c>
      <x:c r="P13" s="46"/>
      <x:c r="Q13" s="46" t="n">
        <x:v>-1.6291200489007989</x:v>
      </x:c>
      <x:c r="R13" s="46" t="n">
        <x:v>-0.36035185193313757</x:v>
      </x:c>
    </x:row>
    <x:row r="14">
      <x:c r="C14" s="19" t="n">
        <x:v>39661</x:v>
      </x:c>
      <x:c r="D14" s="19" t="n">
        <x:v>39689</x:v>
      </x:c>
      <x:c r="E14" s="43" t="str">
        <x:v>grid_20qvjmd3.xlsx</x:v>
      </x:c>
      <x:c r="F14" s="46" t="n">
        <x:v>0.06324047322728446</x:v>
      </x:c>
      <x:c r="G14" s="46" t="n">
        <x:v>-3.278997156932658</x:v>
      </x:c>
      <x:c r="H14" s="46" t="n">
        <x:v>-4.769044382769173</x:v>
      </x:c>
      <x:c r="I14" s="46" t="n">
        <x:v>0.15821003455285745</x:v>
      </x:c>
      <x:c r="J14" s="46" t="n">
        <x:v>7.655237480699418</x:v>
      </x:c>
      <x:c r="K14" s="46" t="n">
        <x:v>0.04264140890419096</x:v>
      </x:c>
      <x:c r="L14" s="46"/>
      <x:c r="M14" s="46" t="n">
        <x:v>0.25317048842418377</x:v>
      </x:c>
      <x:c r="N14" s="46"/>
      <x:c r="O14" s="46" t="n">
        <x:v>5.26153179455247</x:v>
      </x:c>
      <x:c r="P14" s="46" t="n">
        <x:v>79.46485149612084</x:v>
      </x:c>
      <x:c r="Q14" s="46" t="n">
        <x:v>4.035765697435195</x:v>
      </x:c>
      <x:c r="R14" s="46" t="n">
        <x:v>-0.28526302190776665</x:v>
      </x:c>
    </x:row>
    <x:row r="15">
      <x:c r="C15" s="19" t="n">
        <x:v>39692</x:v>
      </x:c>
      <x:c r="D15" s="19" t="n">
        <x:v>39721</x:v>
      </x:c>
      <x:c r="E15" s="43" t="str">
        <x:v>grid_20qvjmd3.xlsx</x:v>
      </x:c>
      <x:c r="F15" s="46" t="n">
        <x:v>13.074671042235785</x:v>
      </x:c>
      <x:c r="G15" s="46" t="n">
        <x:v>-7.441972565908564</x:v>
      </x:c>
      <x:c r="H15" s="46" t="n">
        <x:v>15.1786141947327</x:v>
      </x:c>
      <x:c r="I15" s="46" t="n">
        <x:v>13.099857116104896</x:v>
      </x:c>
      <x:c r="J15" s="46" t="n">
        <x:v>9.474746533074521</x:v>
      </x:c>
      <x:c r="K15" s="46" t="n">
        <x:v>-14.387949533246397</x:v>
      </x:c>
      <x:c r="L15" s="46"/>
      <x:c r="M15" s="46" t="n">
        <x:v>3.7263324051373115</x:v>
      </x:c>
      <x:c r="N15" s="46"/>
      <x:c r="O15" s="46" t="n">
        <x:v>16.500752926950593</x:v>
      </x:c>
      <x:c r="P15" s="46"/>
      <x:c r="Q15" s="46" t="n">
        <x:v>16.471184723036032</x:v>
      </x:c>
      <x:c r="R15" s="46" t="n">
        <x:v>8.026986396552758</x:v>
      </x:c>
    </x:row>
    <x:row r="16">
      <x:c r="C16" s="19" t="n">
        <x:v>39722</x:v>
      </x:c>
      <x:c r="D16" s="19" t="n">
        <x:v>39752</x:v>
      </x:c>
      <x:c r="E16" s="43" t="str">
        <x:v>grid_20qvjmd3.xlsx</x:v>
      </x:c>
      <x:c r="F16" s="46" t="n">
        <x:v>12.157132415474301</x:v>
      </x:c>
      <x:c r="G16" s="46" t="n">
        <x:v>-12.292400279134574</x:v>
      </x:c>
      <x:c r="H16" s="46" t="n">
        <x:v>23.63153315999112</x:v>
      </x:c>
      <x:c r="I16" s="46" t="n">
        <x:v>12.087753352651093</x:v>
      </x:c>
      <x:c r="J16" s="46" t="n">
        <x:v>0.19583468537042684</x:v>
      </x:c>
      <x:c r="K16" s="46" t="n">
        <x:v>-18.746812192711797</x:v>
      </x:c>
      <x:c r="L16" s="46"/>
      <x:c r="M16" s="46" t="n">
        <x:v>15.559565956672833</x:v>
      </x:c>
      <x:c r="N16" s="46"/>
      <x:c r="O16" s="46" t="n">
        <x:v>17.128964999775878</x:v>
      </x:c>
      <x:c r="P16" s="46"/>
      <x:c r="Q16" s="46" t="n">
        <x:v>19.373687791350257</x:v>
      </x:c>
      <x:c r="R16" s="46" t="n">
        <x:v>4.322190492597181</x:v>
      </x:c>
    </x:row>
    <x:row r="17">
      <x:c r="C17" s="19" t="n">
        <x:v>39753</x:v>
      </x:c>
      <x:c r="D17" s="19" t="n">
        <x:v>39780</x:v>
      </x:c>
      <x:c r="E17" s="43" t="str">
        <x:v>grid_20qvjmd3.xlsx</x:v>
      </x:c>
      <x:c r="F17" s="46" t="n">
        <x:v>-2.120157226567846</x:v>
      </x:c>
      <x:c r="G17" s="46" t="n">
        <x:v>-14.823797716671708</x:v>
      </x:c>
      <x:c r="H17" s="46" t="n">
        <x:v>21.567833014659442</x:v>
      </x:c>
      <x:c r="I17" s="46" t="n">
        <x:v>9.701721391438989</x:v>
      </x:c>
      <x:c r="J17" s="46" t="n">
        <x:v>-4.1100013630869725</x:v>
      </x:c>
      <x:c r="K17" s="46" t="n">
        <x:v>-16.902995788113763</x:v>
      </x:c>
      <x:c r="L17" s="46"/>
      <x:c r="M17" s="46" t="n">
        <x:v>0.3928220420469101</x:v>
      </x:c>
      <x:c r="N17" s="46"/>
      <x:c r="O17" s="46" t="n">
        <x:v>7.235976737716126</x:v>
      </x:c>
      <x:c r="P17" s="46"/>
      <x:c r="Q17" s="46" t="n">
        <x:v>17.60410016372148</x:v>
      </x:c>
      <x:c r="R17" s="46" t="n">
        <x:v>-1.959410235557647</x:v>
      </x:c>
    </x:row>
    <x:row r="18">
      <x:c r="C18" s="19" t="n">
        <x:v>39783</x:v>
      </x:c>
      <x:c r="D18" s="19" t="n">
        <x:v>39813</x:v>
      </x:c>
      <x:c r="E18" s="43" t="str">
        <x:v>grid_20qvjmd3.xlsx</x:v>
      </x:c>
      <x:c r="F18" s="46" t="n">
        <x:v>-25.240373376212354</x:v>
      </x:c>
      <x:c r="G18" s="46" t="n">
        <x:v>3.3722640044617362</x:v>
      </x:c>
      <x:c r="H18" s="46" t="n">
        <x:v>4.398921485890182</x:v>
      </x:c>
      <x:c r="I18" s="46" t="n">
        <x:v>-2.4329973587777687</x:v>
      </x:c>
      <x:c r="J18" s="46" t="n">
        <x:v>-22.032956215982246</x:v>
      </x:c>
      <x:c r="K18" s="46" t="n">
        <x:v>-5.17556846166167</x:v>
      </x:c>
      <x:c r="L18" s="46"/>
      <x:c r="M18" s="46" t="n">
        <x:v>1.2806784309468684</x:v>
      </x:c>
      <x:c r="N18" s="46"/>
      <x:c r="O18" s="46" t="n">
        <x:v>-20.628603427561064</x:v>
      </x:c>
      <x:c r="P18" s="46"/>
      <x:c r="Q18" s="46" t="n">
        <x:v>13.488274373903122</x:v>
      </x:c>
      <x:c r="R18" s="46" t="n">
        <x:v>-13.675784276556941</x:v>
      </x:c>
    </x:row>
    <x:row r="19">
      <x:c r="C19" s="19" t="n">
        <x:v>39814</x:v>
      </x:c>
      <x:c r="D19" s="19" t="n">
        <x:v>39843</x:v>
      </x:c>
      <x:c r="E19" s="43" t="str">
        <x:v>grid_20qvjmd3.xlsx</x:v>
      </x:c>
      <x:c r="F19" s="46" t="n">
        <x:v>-17.284298649732413</x:v>
      </x:c>
      <x:c r="G19" s="46" t="n">
        <x:v>-1.8010222647000225</x:v>
      </x:c>
      <x:c r="H19" s="46" t="n">
        <x:v>-7.122529467734676</x:v>
      </x:c>
      <x:c r="I19" s="46" t="n">
        <x:v>-2.476885281390543</x:v>
      </x:c>
      <x:c r="J19" s="46" t="n">
        <x:v>-24.940424446960982</x:v>
      </x:c>
      <x:c r="K19" s="46" t="n">
        <x:v>-18.71621371493025</x:v>
      </x:c>
      <x:c r="L19" s="46"/>
      <x:c r="M19" s="46" t="n">
        <x:v>-12.982203723630755</x:v>
      </x:c>
      <x:c r="N19" s="46"/>
      <x:c r="O19" s="46" t="n">
        <x:v>-37.07856716922259</x:v>
      </x:c>
      <x:c r="P19" s="46"/>
      <x:c r="Q19" s="46" t="n">
        <x:v>7.593489581433052</x:v>
      </x:c>
      <x:c r="R19" s="46" t="n">
        <x:v>-28.0775234043617</x:v>
      </x:c>
    </x:row>
    <x:row r="20">
      <x:c r="C20" s="19" t="n">
        <x:v>39845</x:v>
      </x:c>
      <x:c r="D20" s="19" t="n">
        <x:v>39871</x:v>
      </x:c>
      <x:c r="E20" s="43" t="str">
        <x:v>grid_20qvjmd3.xlsx</x:v>
      </x:c>
      <x:c r="F20" s="46" t="n">
        <x:v>-5.728397245922926</x:v>
      </x:c>
      <x:c r="G20" s="46" t="n">
        <x:v>6.033928589568268</x:v>
      </x:c>
      <x:c r="H20" s="46" t="n">
        <x:v>-13.28793967975318</x:v>
      </x:c>
      <x:c r="I20" s="46" t="n">
        <x:v>-9.840866556106372</x:v>
      </x:c>
      <x:c r="J20" s="46" t="n">
        <x:v>-21.386268652294525</x:v>
      </x:c>
      <x:c r="K20" s="46" t="n">
        <x:v>-19.579363411499273</x:v>
      </x:c>
      <x:c r="L20" s="46"/>
      <x:c r="M20" s="46" t="n">
        <x:v>-7.133818204377032</x:v>
      </x:c>
      <x:c r="N20" s="46"/>
      <x:c r="O20" s="46" t="n">
        <x:v>-36.62203190659437</x:v>
      </x:c>
      <x:c r="P20" s="46"/>
      <x:c r="Q20" s="46" t="n">
        <x:v>4.956678091342365</x:v>
      </x:c>
      <x:c r="R20" s="46" t="n">
        <x:v>-18.592396633702666</x:v>
      </x:c>
    </x:row>
    <x:row r="21">
      <x:c r="C21" s="19" t="n">
        <x:v>39873</x:v>
      </x:c>
      <x:c r="D21" s="19" t="n">
        <x:v>39903</x:v>
      </x:c>
      <x:c r="E21" s="43" t="str">
        <x:v>grid_20qvjmd3.xlsx</x:v>
      </x:c>
      <x:c r="F21" s="46" t="n">
        <x:v>-10.700489913216009</x:v>
      </x:c>
      <x:c r="G21" s="46" t="n">
        <x:v>-6.240132519430333</x:v>
      </x:c>
      <x:c r="H21" s="46" t="n">
        <x:v>-10.840489116579185</x:v>
      </x:c>
      <x:c r="I21" s="46" t="n">
        <x:v>-4.610534052639799</x:v>
      </x:c>
      <x:c r="J21" s="46" t="n">
        <x:v>-17.161017130317216</x:v>
      </x:c>
      <x:c r="K21" s="46" t="n">
        <x:v>-8.954532714537065</x:v>
      </x:c>
      <x:c r="L21" s="46"/>
      <x:c r="M21" s="46" t="n">
        <x:v>-5.751899203829884</x:v>
      </x:c>
      <x:c r="N21" s="46"/>
      <x:c r="O21" s="46" t="n">
        <x:v>-45.56351621503873</x:v>
      </x:c>
      <x:c r="P21" s="46"/>
      <x:c r="Q21" s="46" t="n">
        <x:v>5.604878640497626</x:v>
      </x:c>
      <x:c r="R21" s="46" t="n">
        <x:v>-49.9460045502108</x:v>
      </x:c>
    </x:row>
    <x:row r="22">
      <x:c r="C22" s="19" t="n">
        <x:v>39904</x:v>
      </x:c>
      <x:c r="D22" s="19" t="n">
        <x:v>39933</x:v>
      </x:c>
      <x:c r="E22" s="43" t="str">
        <x:v>grid_20qvjmd3.xlsx</x:v>
      </x:c>
      <x:c r="F22" s="46" t="n">
        <x:v>-19.545818869384476</x:v>
      </x:c>
      <x:c r="G22" s="46" t="n">
        <x:v>-1.6680098631888203</x:v>
      </x:c>
      <x:c r="H22" s="46" t="n">
        <x:v>-3.9223942683521287</x:v>
      </x:c>
      <x:c r="I22" s="46" t="n">
        <x:v>5.912865819338095</x:v>
      </x:c>
      <x:c r="J22" s="46" t="n">
        <x:v>-12.671645197182132</x:v>
      </x:c>
      <x:c r="K22" s="46" t="n">
        <x:v>11.840548633129341</x:v>
      </x:c>
      <x:c r="L22" s="46"/>
      <x:c r="M22" s="46" t="n">
        <x:v>-2.729653973216041</x:v>
      </x:c>
      <x:c r="N22" s="46"/>
      <x:c r="O22" s="46" t="n">
        <x:v>-37.23028891968818</x:v>
      </x:c>
      <x:c r="P22" s="46"/>
      <x:c r="Q22" s="46" t="n">
        <x:v>4.770394153801157</x:v>
      </x:c>
      <x:c r="R22" s="46" t="n">
        <x:v>-44.51870608868944</x:v>
      </x:c>
    </x:row>
    <x:row r="23">
      <x:c r="C23" s="19" t="n">
        <x:v>39934</x:v>
      </x:c>
      <x:c r="D23" s="19" t="n">
        <x:v>39962</x:v>
      </x:c>
      <x:c r="E23" s="43" t="str">
        <x:v>grid_20qvjmd3.xlsx</x:v>
      </x:c>
      <x:c r="F23" s="46" t="n">
        <x:v>-19.630866648889196</x:v>
      </x:c>
      <x:c r="G23" s="46" t="n">
        <x:v>-1.0593136134660175</x:v>
      </x:c>
      <x:c r="H23" s="46" t="n">
        <x:v>3.3280631447622264</x:v>
      </x:c>
      <x:c r="I23" s="46" t="n">
        <x:v>16.347613604001268</x:v>
      </x:c>
      <x:c r="J23" s="46" t="n">
        <x:v>-7.437386635802097</x:v>
      </x:c>
      <x:c r="K23" s="46" t="n">
        <x:v>11.234959548707685</x:v>
      </x:c>
      <x:c r="L23" s="46"/>
      <x:c r="M23" s="46" t="n">
        <x:v>-6.291527079428818</x:v>
      </x:c>
      <x:c r="N23" s="46"/>
      <x:c r="O23" s="46" t="n">
        <x:v>-45.17915414591817</x:v>
      </x:c>
      <x:c r="P23" s="46"/>
      <x:c r="Q23" s="46" t="n">
        <x:v>3.8275197818485327</x:v>
      </x:c>
      <x:c r="R23" s="46" t="n">
        <x:v>-59.043520451705454</x:v>
      </x:c>
    </x:row>
    <x:row r="24">
      <x:c r="C24" s="19" t="n">
        <x:v>39965</x:v>
      </x:c>
      <x:c r="D24" s="19" t="n">
        <x:v>39994</x:v>
      </x:c>
      <x:c r="E24" s="43" t="str">
        <x:v>grid_20qvjmd3.xlsx</x:v>
      </x:c>
      <x:c r="F24" s="46" t="n">
        <x:v>-11.31742298598187</x:v>
      </x:c>
      <x:c r="G24" s="46" t="n">
        <x:v>5.344087575743861</x:v>
      </x:c>
      <x:c r="H24" s="46" t="n">
        <x:v>3.3489837044873036</x:v>
      </x:c>
      <x:c r="I24" s="46" t="n">
        <x:v>15.085405547045877</x:v>
      </x:c>
      <x:c r="J24" s="46" t="n">
        <x:v>2.3494916330927955</x:v>
      </x:c>
      <x:c r="K24" s="46" t="n">
        <x:v>4.427710008098096</x:v>
      </x:c>
      <x:c r="L24" s="46"/>
      <x:c r="M24" s="46" t="n">
        <x:v>-18.9685424296748</x:v>
      </x:c>
      <x:c r="N24" s="46"/>
      <x:c r="O24" s="46" t="n">
        <x:v>-27.987601866944097</x:v>
      </x:c>
      <x:c r="P24" s="46"/>
      <x:c r="Q24" s="46" t="n">
        <x:v>-4.525793114676728</x:v>
      </x:c>
      <x:c r="R24" s="46" t="n">
        <x:v>-18.694772514758977</x:v>
      </x:c>
    </x:row>
    <x:row r="25">
      <x:c r="C25" s="19" t="n">
        <x:v>39995</x:v>
      </x:c>
      <x:c r="D25" s="19" t="n">
        <x:v>40025</x:v>
      </x:c>
      <x:c r="E25" s="43" t="str">
        <x:v>grid_20qvjmd3.xlsx</x:v>
      </x:c>
      <x:c r="F25" s="46" t="n">
        <x:v>-5.7963273183956625</x:v>
      </x:c>
      <x:c r="G25" s="46" t="n">
        <x:v>5.067627245997504</x:v>
      </x:c>
      <x:c r="H25" s="46" t="n">
        <x:v>5.677230553880971</x:v>
      </x:c>
      <x:c r="I25" s="46" t="n">
        <x:v>13.610744623704873</x:v>
      </x:c>
      <x:c r="J25" s="46" t="n">
        <x:v>7.12690087372798</x:v>
      </x:c>
      <x:c r="K25" s="46" t="n">
        <x:v>5.588149457164492</x:v>
      </x:c>
      <x:c r="L25" s="46"/>
      <x:c r="M25" s="46" t="n">
        <x:v>-17.076088467085686</x:v>
      </x:c>
      <x:c r="N25" s="46"/>
      <x:c r="O25" s="46" t="n">
        <x:v>-21.775528747642767</x:v>
      </x:c>
      <x:c r="P25" s="46"/>
      <x:c r="Q25" s="46" t="n">
        <x:v>-3.6163502219091592</x:v>
      </x:c>
      <x:c r="R25" s="46" t="n">
        <x:v>-16.679277693281335</x:v>
      </x:c>
    </x:row>
    <x:row r="26">
      <x:c r="C26" s="19" t="n">
        <x:v>40026</x:v>
      </x:c>
      <x:c r="D26" s="19" t="n">
        <x:v>40056</x:v>
      </x:c>
      <x:c r="E26" s="43" t="str">
        <x:v>grid_20qvjmd3.xlsx</x:v>
      </x:c>
      <x:c r="F26" s="46" t="n">
        <x:v>-9.186808155218236</x:v>
      </x:c>
      <x:c r="G26" s="46" t="n">
        <x:v>4.855822143102135</x:v>
      </x:c>
      <x:c r="H26" s="46" t="n">
        <x:v>10.826127288318817</x:v>
      </x:c>
      <x:c r="I26" s="46" t="n">
        <x:v>12.062641555392252</x:v>
      </x:c>
      <x:c r="J26" s="46" t="n">
        <x:v>0.9319622260038428</x:v>
      </x:c>
      <x:c r="K26" s="46" t="n">
        <x:v>9.974323629199636</x:v>
      </x:c>
      <x:c r="L26" s="46"/>
      <x:c r="M26" s="46" t="n">
        <x:v>-10.698900514713577</x:v>
      </x:c>
      <x:c r="N26" s="46"/>
      <x:c r="O26" s="46" t="n">
        <x:v>-12.275547587436794</x:v>
      </x:c>
      <x:c r="P26" s="46"/>
      <x:c r="Q26" s="46" t="n">
        <x:v>-3.211053552415624</x:v>
      </x:c>
      <x:c r="R26" s="46" t="n">
        <x:v>-10.11756123314389</x:v>
      </x:c>
    </x:row>
    <x:row r="27">
      <x:c r="C27" s="19" t="n">
        <x:v>40057</x:v>
      </x:c>
      <x:c r="D27" s="19" t="n">
        <x:v>40086</x:v>
      </x:c>
      <x:c r="E27" s="43" t="str">
        <x:v>grid_20qvjmd3.xlsx</x:v>
      </x:c>
      <x:c r="F27" s="46" t="n">
        <x:v>2.951325489255795</x:v>
      </x:c>
      <x:c r="G27" s="46" t="n">
        <x:v>7.63046041283798</x:v>
      </x:c>
      <x:c r="H27" s="46" t="n">
        <x:v>10.323527522273793</x:v>
      </x:c>
      <x:c r="I27" s="46" t="n">
        <x:v>-11.154960678619751</x:v>
      </x:c>
      <x:c r="J27" s="46" t="n">
        <x:v>5.547508030660454</x:v>
      </x:c>
      <x:c r="K27" s="46" t="n">
        <x:v>11.971908062793368</x:v>
      </x:c>
      <x:c r="L27" s="46"/>
      <x:c r="M27" s="46" t="n">
        <x:v>6.464986782507083</x:v>
      </x:c>
      <x:c r="N27" s="46"/>
      <x:c r="O27" s="46" t="n">
        <x:v>4.425261059213949</x:v>
      </x:c>
      <x:c r="P27" s="46"/>
      <x:c r="Q27" s="46" t="n">
        <x:v>-1.9778182026913407</x:v>
      </x:c>
      <x:c r="R27" s="46" t="n">
        <x:v>23.673216609832558</x:v>
      </x:c>
    </x:row>
    <x:row r="28">
      <x:c r="C28" s="19" t="n">
        <x:v>40087</x:v>
      </x:c>
      <x:c r="D28" s="19" t="n">
        <x:v>40116</x:v>
      </x:c>
      <x:c r="E28" s="43" t="str">
        <x:v>grid_20qvjmd3.xlsx</x:v>
      </x:c>
      <x:c r="F28" s="46" t="n">
        <x:v>11.630064701423109</x:v>
      </x:c>
      <x:c r="G28" s="46" t="n">
        <x:v>11.329291134378952</x:v>
      </x:c>
      <x:c r="H28" s="46" t="n">
        <x:v>24.058194284951778</x:v>
      </x:c>
      <x:c r="I28" s="46" t="n">
        <x:v>-4.039250664874357</x:v>
      </x:c>
      <x:c r="J28" s="46" t="n">
        <x:v>7.580483222100575</x:v>
      </x:c>
      <x:c r="K28" s="46" t="n">
        <x:v>11.62452496321975</x:v>
      </x:c>
      <x:c r="L28" s="46"/>
      <x:c r="M28" s="46" t="n">
        <x:v>7.021388565295035</x:v>
      </x:c>
      <x:c r="N28" s="46"/>
      <x:c r="O28" s="46" t="n">
        <x:v>13.397114101180971</x:v>
      </x:c>
      <x:c r="P28" s="46"/>
      <x:c r="Q28" s="46" t="n">
        <x:v>-10.830597330066672</x:v>
      </x:c>
      <x:c r="R28" s="46" t="n">
        <x:v>39.87784378264554</x:v>
      </x:c>
    </x:row>
    <x:row r="29">
      <x:c r="C29" s="19" t="n">
        <x:v>40118</x:v>
      </x:c>
      <x:c r="D29" s="19" t="n">
        <x:v>40147</x:v>
      </x:c>
      <x:c r="E29" s="43" t="str">
        <x:v>grid_20qvjmd3.xlsx</x:v>
      </x:c>
      <x:c r="F29" s="46" t="n">
        <x:v>18.871945398752672</x:v>
      </x:c>
      <x:c r="G29" s="46" t="n">
        <x:v>19.60317501930631</x:v>
      </x:c>
      <x:c r="H29" s="46" t="n">
        <x:v>19.488345634372855</x:v>
      </x:c>
      <x:c r="I29" s="46" t="n">
        <x:v>1.2906244855495208</x:v>
      </x:c>
      <x:c r="J29" s="46" t="n">
        <x:v>13.008082631142273</x:v>
      </x:c>
      <x:c r="K29" s="46" t="n">
        <x:v>10.779641462042541</x:v>
      </x:c>
      <x:c r="L29" s="46"/>
      <x:c r="M29" s="46" t="n">
        <x:v>3.380456008498245</x:v>
      </x:c>
      <x:c r="N29" s="46"/>
      <x:c r="O29" s="46" t="n">
        <x:v>14.888131784417979</x:v>
      </x:c>
      <x:c r="P29" s="46"/>
      <x:c r="Q29" s="46" t="n">
        <x:v>-5.599287743871054</x:v>
      </x:c>
      <x:c r="R29" s="46" t="n">
        <x:v>56.54102659345045</x:v>
      </x:c>
    </x:row>
    <x:row r="30">
      <x:c r="C30" s="19" t="n">
        <x:v>40148</x:v>
      </x:c>
      <x:c r="D30" s="19" t="n">
        <x:v>40178</x:v>
      </x:c>
      <x:c r="E30" s="43" t="str">
        <x:v>grid_20qvjmd3.xlsx</x:v>
      </x:c>
      <x:c r="F30" s="46" t="n">
        <x:v>8.428448750367798</x:v>
      </x:c>
      <x:c r="G30" s="46" t="n">
        <x:v>13.643556696225772</x:v>
      </x:c>
      <x:c r="H30" s="46" t="n">
        <x:v>24.319336572152622</x:v>
      </x:c>
      <x:c r="I30" s="46" t="n">
        <x:v>16.95461487765131</x:v>
      </x:c>
      <x:c r="J30" s="46" t="n">
        <x:v>11.190933957665896</x:v>
      </x:c>
      <x:c r="K30" s="46" t="n">
        <x:v>9.617545813935061</x:v>
      </x:c>
      <x:c r="L30" s="46"/>
      <x:c r="M30" s="46" t="n">
        <x:v>-5.736344831880113</x:v>
      </x:c>
      <x:c r="N30" s="46"/>
      <x:c r="O30" s="46" t="n">
        <x:v>7.092318125710525</x:v>
      </x:c>
      <x:c r="P30" s="46"/>
      <x:c r="Q30" s="46" t="n">
        <x:v>-1.913582887579225</x:v>
      </x:c>
      <x:c r="R30" s="46" t="n">
        <x:v>14.46176295075839</x:v>
      </x:c>
    </x:row>
    <x:row r="31">
      <x:c r="C31" s="19" t="n">
        <x:v>40179</x:v>
      </x:c>
      <x:c r="D31" s="19" t="n">
        <x:v>40207</x:v>
      </x:c>
      <x:c r="E31" s="43" t="str">
        <x:v>grid_20qvjmd3.xlsx</x:v>
      </x:c>
      <x:c r="F31" s="46" t="n">
        <x:v>0.5519127003622458</x:v>
      </x:c>
      <x:c r="G31" s="46" t="n">
        <x:v>-8.153861823634092</x:v>
      </x:c>
      <x:c r="H31" s="46" t="n">
        <x:v>18.212633045432277</x:v>
      </x:c>
      <x:c r="I31" s="46" t="n">
        <x:v>2.332725484814658</x:v>
      </x:c>
      <x:c r="J31" s="46" t="n">
        <x:v>5.907549084095133</x:v>
      </x:c>
      <x:c r="K31" s="46" t="n">
        <x:v>1.2053291699078867</x:v>
      </x:c>
      <x:c r="L31" s="46"/>
      <x:c r="M31" s="46" t="n">
        <x:v>-18.138141802403158</x:v>
      </x:c>
      <x:c r="N31" s="46"/>
      <x:c r="O31" s="46" t="n">
        <x:v>14.301604190223829</x:v>
      </x:c>
      <x:c r="P31" s="46"/>
      <x:c r="Q31" s="46" t="n">
        <x:v>10.101701632444433</x:v>
      </x:c>
      <x:c r="R31" s="46" t="n">
        <x:v>17.190742405563505</x:v>
      </x:c>
    </x:row>
    <x:row r="32">
      <x:c r="C32" s="19" t="n">
        <x:v>40210</x:v>
      </x:c>
      <x:c r="D32" s="19" t="n">
        <x:v>40235</x:v>
      </x:c>
      <x:c r="E32" s="43" t="str">
        <x:v>grid_20qvjmd3.xlsx</x:v>
      </x:c>
      <x:c r="F32" s="46" t="n">
        <x:v>-4.248165198717259</x:v>
      </x:c>
      <x:c r="G32" s="46" t="n">
        <x:v>-17.63503805364619</x:v>
      </x:c>
      <x:c r="H32" s="46" t="n">
        <x:v>19.840469274943413</x:v>
      </x:c>
      <x:c r="I32" s="46" t="n">
        <x:v>-5.3876313892070575</x:v>
      </x:c>
      <x:c r="J32" s="46" t="n">
        <x:v>-1.8873449914174052</x:v>
      </x:c>
      <x:c r="K32" s="46" t="n">
        <x:v>1.5209744170287944</x:v>
      </x:c>
      <x:c r="L32" s="46"/>
      <x:c r="M32" s="46" t="n">
        <x:v>-18.959688598176257</x:v>
      </x:c>
      <x:c r="N32" s="46"/>
      <x:c r="O32" s="46" t="n">
        <x:v>17.370587267082154</x:v>
      </x:c>
      <x:c r="P32" s="46"/>
      <x:c r="Q32" s="46" t="n">
        <x:v>0.12931188811010852</x:v>
      </x:c>
      <x:c r="R32" s="46" t="n">
        <x:v>6.255624930374043</x:v>
      </x:c>
    </x:row>
    <x:row r="33">
      <x:c r="C33" s="19" t="n">
        <x:v>40238</x:v>
      </x:c>
      <x:c r="D33" s="19" t="n">
        <x:v>40268</x:v>
      </x:c>
      <x:c r="E33" s="43" t="str">
        <x:v>grid_20qvjmd3.xlsx</x:v>
      </x:c>
      <x:c r="F33" s="46" t="n">
        <x:v>7.93708747442955</x:v>
      </x:c>
      <x:c r="G33" s="46" t="n">
        <x:v>-17.442039064298687</x:v>
      </x:c>
      <x:c r="H33" s="46" t="n">
        <x:v>12.989450507730199</x:v>
      </x:c>
      <x:c r="I33" s="46" t="n">
        <x:v>-8.18510147144446</x:v>
      </x:c>
      <x:c r="J33" s="46" t="n">
        <x:v>-2.2167950176907367</x:v>
      </x:c>
      <x:c r="K33" s="46" t="n">
        <x:v>1.9248886461350585</x:v>
      </x:c>
      <x:c r="L33" s="46"/>
      <x:c r="M33" s="46" t="n">
        <x:v>-20.0055800454211</x:v>
      </x:c>
      <x:c r="N33" s="46"/>
      <x:c r="O33" s="46" t="n">
        <x:v>38.76868166726259</x:v>
      </x:c>
      <x:c r="P33" s="46"/>
      <x:c r="Q33" s="46" t="n">
        <x:v>8.293228535758406</x:v>
      </x:c>
      <x:c r="R33" s="46" t="n">
        <x:v>15.066494104296934</x:v>
      </x:c>
    </x:row>
    <x:row r="34">
      <x:c r="C34" s="19" t="n">
        <x:v>40269</x:v>
      </x:c>
      <x:c r="D34" s="19" t="n">
        <x:v>40298</x:v>
      </x:c>
      <x:c r="E34" s="43" t="str">
        <x:v>grid_20qvjmd3.xlsx</x:v>
      </x:c>
      <x:c r="F34" s="46" t="n">
        <x:v>12.916690854920375</x:v>
      </x:c>
      <x:c r="G34" s="46" t="n">
        <x:v>5.720353281787171</x:v>
      </x:c>
      <x:c r="H34" s="46" t="n">
        <x:v>6.342016339234307</x:v>
      </x:c>
      <x:c r="I34" s="46" t="n">
        <x:v>2.26909008744051</x:v>
      </x:c>
      <x:c r="J34" s="46" t="n">
        <x:v>2.1397755788697173</x:v>
      </x:c>
      <x:c r="K34" s="46" t="n">
        <x:v>6.566981432278189</x:v>
      </x:c>
      <x:c r="L34" s="46"/>
      <x:c r="M34" s="46" t="n">
        <x:v>-7.459015226803658</x:v>
      </x:c>
      <x:c r="N34" s="46"/>
      <x:c r="O34" s="46" t="n">
        <x:v>30.624524557262482</x:v>
      </x:c>
      <x:c r="P34" s="46"/>
      <x:c r="Q34" s="46" t="n">
        <x:v>1.0201397826933178</x:v>
      </x:c>
      <x:c r="R34" s="46" t="n">
        <x:v>5.151367193698699</x:v>
      </x:c>
    </x:row>
    <x:row r="35">
      <x:c r="C35" s="19" t="n">
        <x:v>40299</x:v>
      </x:c>
      <x:c r="D35" s="19" t="n">
        <x:v>40329</x:v>
      </x:c>
      <x:c r="E35" s="43" t="str">
        <x:v>grid_20qvjmd3.xlsx</x:v>
      </x:c>
      <x:c r="F35" s="46" t="n">
        <x:v>5.725962805004198</x:v>
      </x:c>
      <x:c r="G35" s="46" t="n">
        <x:v>1.1580057923477336</x:v>
      </x:c>
      <x:c r="H35" s="46" t="n">
        <x:v>7.383815143449487</x:v>
      </x:c>
      <x:c r="I35" s="46" t="n">
        <x:v>-0.2317214999337445</x:v>
      </x:c>
      <x:c r="J35" s="46" t="n">
        <x:v>-4.406011745176562</x:v>
      </x:c>
      <x:c r="K35" s="46" t="n">
        <x:v>-10.610337194424083</x:v>
      </x:c>
      <x:c r="L35" s="46"/>
      <x:c r="M35" s="46" t="n">
        <x:v>-12.20253870626928</x:v>
      </x:c>
      <x:c r="N35" s="46"/>
      <x:c r="O35" s="46" t="n">
        <x:v>39.690624202789216</x:v>
      </x:c>
      <x:c r="P35" s="46"/>
      <x:c r="Q35" s="46" t="n">
        <x:v>8.570157484123072</x:v>
      </x:c>
      <x:c r="R35" s="46" t="n">
        <x:v>-13.53695226195007</x:v>
      </x:c>
    </x:row>
    <x:row r="36">
      <x:c r="C36" s="19" t="n">
        <x:v>40330</x:v>
      </x:c>
      <x:c r="D36" s="19" t="n">
        <x:v>40359</x:v>
      </x:c>
      <x:c r="E36" s="43" t="str">
        <x:v>grid_20qvjmd3.xlsx</x:v>
      </x:c>
      <x:c r="F36" s="46" t="n">
        <x:v>-7.775972097947038</x:v>
      </x:c>
      <x:c r="G36" s="46" t="n">
        <x:v>13.851754098580487</x:v>
      </x:c>
      <x:c r="H36" s="46" t="n">
        <x:v>10.595381658008856</x:v>
      </x:c>
      <x:c r="I36" s="46" t="n">
        <x:v>5.446706020199619</x:v>
      </x:c>
      <x:c r="J36" s="46" t="n">
        <x:v>-7.370329857376326</x:v>
      </x:c>
      <x:c r="K36" s="46" t="n">
        <x:v>-12.902752894461496</x:v>
      </x:c>
      <x:c r="L36" s="46"/>
      <x:c r="M36" s="46" t="n">
        <x:v>-6.414105728959927</x:v>
      </x:c>
      <x:c r="N36" s="46"/>
      <x:c r="O36" s="46" t="n">
        <x:v>18.8571456956375</x:v>
      </x:c>
      <x:c r="P36" s="46"/>
      <x:c r="Q36" s="46" t="n">
        <x:v>-5.61089112811383</x:v>
      </x:c>
      <x:c r="R36" s="46" t="n">
        <x:v>-1.4870054600219027</x:v>
      </x:c>
    </x:row>
    <x:row r="37">
      <x:c r="C37" s="19" t="n">
        <x:v>40360</x:v>
      </x:c>
      <x:c r="D37" s="19" t="n">
        <x:v>40389</x:v>
      </x:c>
      <x:c r="E37" s="43" t="str">
        <x:v>grid_20qvjmd3.xlsx</x:v>
      </x:c>
      <x:c r="F37" s="46" t="n">
        <x:v>-8.032566064288135</x:v>
      </x:c>
      <x:c r="G37" s="46" t="n">
        <x:v>3.2818150123351084</x:v>
      </x:c>
      <x:c r="H37" s="46" t="n">
        <x:v>13.692531739229155</x:v>
      </x:c>
      <x:c r="I37" s="46" t="n">
        <x:v>5.2286321354659</x:v>
      </x:c>
      <x:c r="J37" s="46" t="n">
        <x:v>-9.144247259961949</x:v>
      </x:c>
      <x:c r="K37" s="46" t="n">
        <x:v>-7.0907097920996724</x:v>
      </x:c>
      <x:c r="L37" s="46"/>
      <x:c r="M37" s="46" t="n">
        <x:v>-6.115884213474135</x:v>
      </x:c>
      <x:c r="N37" s="46"/>
      <x:c r="O37" s="46" t="n">
        <x:v>19.44750282052012</x:v>
      </x:c>
      <x:c r="P37" s="46"/>
      <x:c r="Q37" s="46" t="n">
        <x:v>0.8363020865056452</x:v>
      </x:c>
      <x:c r="R37" s="46" t="n">
        <x:v>-4.145744576720039</x:v>
      </x:c>
    </x:row>
    <x:row r="38">
      <x:c r="C38" s="19" t="n">
        <x:v>40391</x:v>
      </x:c>
      <x:c r="D38" s="19" t="n">
        <x:v>40421</x:v>
      </x:c>
      <x:c r="E38" s="43" t="str">
        <x:v>grid_20qvjmd3.xlsx</x:v>
      </x:c>
      <x:c r="F38" s="46" t="n">
        <x:v>1.8995312289896007</x:v>
      </x:c>
      <x:c r="G38" s="46" t="n">
        <x:v>13.696509157721884</x:v>
      </x:c>
      <x:c r="H38" s="46" t="n">
        <x:v>13.916320038002919</x:v>
      </x:c>
      <x:c r="I38" s="46" t="n">
        <x:v>8.855834616071219</x:v>
      </x:c>
      <x:c r="J38" s="46" t="n">
        <x:v>-3.975740412815038</x:v>
      </x:c>
      <x:c r="K38" s="46" t="n">
        <x:v>6.124560826735729</x:v>
      </x:c>
      <x:c r="L38" s="46"/>
      <x:c r="M38" s="46" t="n">
        <x:v>3.8962255255500837</x:v>
      </x:c>
      <x:c r="N38" s="46"/>
      <x:c r="O38" s="46" t="n">
        <x:v>18.07793388146085</x:v>
      </x:c>
      <x:c r="P38" s="46"/>
      <x:c r="Q38" s="46" t="n">
        <x:v>-1.4823954027226536</x:v>
      </x:c>
      <x:c r="R38" s="46" t="n">
        <x:v>8.51736870774545</x:v>
      </x:c>
    </x:row>
    <x:row r="39">
      <x:c r="C39" s="19" t="n">
        <x:v>40422</x:v>
      </x:c>
      <x:c r="D39" s="19" t="n">
        <x:v>40451</x:v>
      </x:c>
      <x:c r="E39" s="43" t="str">
        <x:v>grid_20qvjmd3.xlsx</x:v>
      </x:c>
      <x:c r="F39" s="46" t="n">
        <x:v>13.347366495052329</x:v>
      </x:c>
      <x:c r="G39" s="46" t="n">
        <x:v>2.449573312163263</x:v>
      </x:c>
      <x:c r="H39" s="46" t="n">
        <x:v>12.424543666017417</x:v>
      </x:c>
      <x:c r="I39" s="46" t="n">
        <x:v>-6.058088008372983</x:v>
      </x:c>
      <x:c r="J39" s="46" t="n">
        <x:v>-5.199234464055641</x:v>
      </x:c>
      <x:c r="K39" s="46" t="n">
        <x:v>13.180883836298637</x:v>
      </x:c>
      <x:c r="L39" s="46"/>
      <x:c r="M39" s="46" t="n">
        <x:v>10.741432940806915</x:v>
      </x:c>
      <x:c r="N39" s="46"/>
      <x:c r="O39" s="46" t="n">
        <x:v>22.456725516410255</x:v>
      </x:c>
      <x:c r="P39" s="46"/>
      <x:c r="Q39" s="46" t="n">
        <x:v>4.372159524777318</x:v>
      </x:c>
      <x:c r="R39" s="46" t="n">
        <x:v>0.3342215559491507</x:v>
      </x:c>
    </x:row>
    <x:row r="40">
      <x:c r="C40" s="19" t="n">
        <x:v>40452</x:v>
      </x:c>
      <x:c r="D40" s="19" t="n">
        <x:v>40480</x:v>
      </x:c>
      <x:c r="E40" s="43" t="str">
        <x:v>grid_20qvjmd3.xlsx</x:v>
      </x:c>
      <x:c r="F40" s="46" t="n">
        <x:v>13.211923127706799</x:v>
      </x:c>
      <x:c r="G40" s="46" t="n">
        <x:v>28.881408276647736</x:v>
      </x:c>
      <x:c r="H40" s="46" t="n">
        <x:v>12.428120977655288</x:v>
      </x:c>
      <x:c r="I40" s="46" t="n">
        <x:v>-1.2464542909794434</x:v>
      </x:c>
      <x:c r="J40" s="46" t="n">
        <x:v>-4.3659143482178076</x:v>
      </x:c>
      <x:c r="K40" s="46" t="n">
        <x:v>9.940493863348802</x:v>
      </x:c>
      <x:c r="L40" s="46"/>
      <x:c r="M40" s="46" t="n">
        <x:v>16.84165269816529</x:v>
      </x:c>
      <x:c r="N40" s="46"/>
      <x:c r="O40" s="46" t="n">
        <x:v>19.791832245214948</x:v>
      </x:c>
      <x:c r="P40" s="46"/>
      <x:c r="Q40" s="46" t="n">
        <x:v>3.5302709806002452</x:v>
      </x:c>
      <x:c r="R40" s="46" t="n">
        <x:v>0.5030895178660862</x:v>
      </x:c>
    </x:row>
    <x:row r="41">
      <x:c r="C41" s="19" t="n">
        <x:v>40483</x:v>
      </x:c>
      <x:c r="D41" s="19" t="n">
        <x:v>40512</x:v>
      </x:c>
      <x:c r="E41" s="43" t="str">
        <x:v>grid_20qvjmd3.xlsx</x:v>
      </x:c>
      <x:c r="F41" s="46" t="n">
        <x:v>13.712131331148921</x:v>
      </x:c>
      <x:c r="G41" s="46" t="n">
        <x:v>28.092285191290568</x:v>
      </x:c>
      <x:c r="H41" s="46" t="n">
        <x:v>10.564092043903543</x:v>
      </x:c>
      <x:c r="I41" s="46" t="n">
        <x:v>-1.3895665582199677</x:v>
      </x:c>
      <x:c r="J41" s="46" t="n">
        <x:v>2.0305150765037765</x:v>
      </x:c>
      <x:c r="K41" s="46" t="n">
        <x:v>11.550418147192651</x:v>
      </x:c>
      <x:c r="L41" s="46"/>
      <x:c r="M41" s="46" t="n">
        <x:v>20.806183896580663</x:v>
      </x:c>
      <x:c r="N41" s="46"/>
      <x:c r="O41" s="46" t="n">
        <x:v>15.629571301737593</x:v>
      </x:c>
      <x:c r="P41" s="46"/>
      <x:c r="Q41" s="46" t="n">
        <x:v>3.965419339857687</x:v>
      </x:c>
      <x:c r="R41" s="46" t="n">
        <x:v>5.072617996291163</x:v>
      </x:c>
    </x:row>
    <x:row r="42">
      <x:c r="C42" s="19" t="n">
        <x:v>40513</x:v>
      </x:c>
      <x:c r="D42" s="19" t="n">
        <x:v>40543</x:v>
      </x:c>
      <x:c r="E42" s="43" t="str">
        <x:v>grid_20qvjmd3.xlsx</x:v>
      </x:c>
      <x:c r="F42" s="46" t="n">
        <x:v>9.927922747314</x:v>
      </x:c>
      <x:c r="G42" s="46" t="n">
        <x:v>28.531845077166697</x:v>
      </x:c>
      <x:c r="H42" s="46" t="n">
        <x:v>10.922195917095916</x:v>
      </x:c>
      <x:c r="I42" s="46" t="n">
        <x:v>16.04841970011232</x:v>
      </x:c>
      <x:c r="J42" s="46" t="n">
        <x:v>9.405052651645489</x:v>
      </x:c>
      <x:c r="K42" s="46" t="n">
        <x:v>5.880276129502368</x:v>
      </x:c>
      <x:c r="L42" s="46"/>
      <x:c r="M42" s="46" t="n">
        <x:v>23.17918045619334</x:v>
      </x:c>
      <x:c r="N42" s="46"/>
      <x:c r="O42" s="46" t="n">
        <x:v>10.543090278495242</x:v>
      </x:c>
      <x:c r="P42" s="46"/>
      <x:c r="Q42" s="46" t="n">
        <x:v>-5.913073881704318</x:v>
      </x:c>
      <x:c r="R42" s="46" t="n">
        <x:v>0.8878880136936724</x:v>
      </x:c>
    </x:row>
    <x:row r="43">
      <x:c r="C43" s="19" t="n">
        <x:v>40544</x:v>
      </x:c>
      <x:c r="D43" s="19" t="n">
        <x:v>40574</x:v>
      </x:c>
      <x:c r="E43" s="43" t="str">
        <x:v>grid_u4lflnxf.xlsx</x:v>
      </x:c>
      <x:c r="F43" s="46" t="n">
        <x:v>12.819551514897022</x:v>
      </x:c>
      <x:c r="G43" s="46" t="n">
        <x:v>12.054874209765025</x:v>
      </x:c>
      <x:c r="H43" s="46" t="n">
        <x:v>8.748804703218724</x:v>
      </x:c>
      <x:c r="I43" s="46" t="n">
        <x:v>-1.7695309547538534</x:v>
      </x:c>
      <x:c r="J43" s="46" t="n">
        <x:v>5.929174799869321</x:v>
      </x:c>
      <x:c r="K43" s="46" t="n">
        <x:v>7.330807423454227</x:v>
      </x:c>
      <x:c r="L43" s="46"/>
      <x:c r="M43" s="46" t="n">
        <x:v>18.98266866093595</x:v>
      </x:c>
      <x:c r="N43" s="46"/>
      <x:c r="O43" s="46" t="n">
        <x:v>8.738170177403697</x:v>
      </x:c>
      <x:c r="P43" s="46"/>
      <x:c r="Q43" s="46" t="n">
        <x:v>-6.152738939869089</x:v>
      </x:c>
      <x:c r="R43" s="46" t="n">
        <x:v>7.192662758041228</x:v>
      </x:c>
    </x:row>
    <x:row r="44">
      <x:c r="C44" s="19" t="n">
        <x:v>40575</x:v>
      </x:c>
      <x:c r="D44" s="19" t="n">
        <x:v>40602</x:v>
      </x:c>
      <x:c r="E44" s="43" t="str">
        <x:v>grid_u4lflnxf.xlsx</x:v>
      </x:c>
      <x:c r="F44" s="46" t="n">
        <x:v>11.109556726106531</x:v>
      </x:c>
      <x:c r="G44" s="46" t="n">
        <x:v>8.306323772162667</x:v>
      </x:c>
      <x:c r="H44" s="46" t="n">
        <x:v>6.851631333271214</x:v>
      </x:c>
      <x:c r="I44" s="46" t="n">
        <x:v>-4.700290839229417</x:v>
      </x:c>
      <x:c r="J44" s="46" t="n">
        <x:v>1.3153921534390192</x:v>
      </x:c>
      <x:c r="K44" s="46" t="n">
        <x:v>7.7389093358174375</x:v>
      </x:c>
      <x:c r="L44" s="46"/>
      <x:c r="M44" s="46" t="n">
        <x:v>14.363270940563048</x:v>
      </x:c>
      <x:c r="N44" s="46"/>
      <x:c r="O44" s="46" t="n">
        <x:v>5.525230954974147</x:v>
      </x:c>
      <x:c r="P44" s="46"/>
      <x:c r="Q44" s="46" t="n">
        <x:v>1.181028348061617</x:v>
      </x:c>
      <x:c r="R44" s="46" t="n">
        <x:v>7.4961431192640635</x:v>
      </x:c>
    </x:row>
    <x:row r="45">
      <x:c r="C45" s="19" t="n">
        <x:v>40603</x:v>
      </x:c>
      <x:c r="D45" s="19" t="n">
        <x:v>40633</x:v>
      </x:c>
      <x:c r="E45" s="43" t="str">
        <x:v>grid_u4lflnxf.xlsx</x:v>
      </x:c>
      <x:c r="F45" s="46" t="n">
        <x:v>4.767769110936255</x:v>
      </x:c>
      <x:c r="G45" s="46" t="n">
        <x:v>9.0151179793596</x:v>
      </x:c>
      <x:c r="H45" s="46" t="n">
        <x:v>2.3945868600399587</x:v>
      </x:c>
      <x:c r="I45" s="46" t="n">
        <x:v>-5.892524201005509</x:v>
      </x:c>
      <x:c r="J45" s="46" t="n">
        <x:v>-3.2929993030255935</x:v>
      </x:c>
      <x:c r="K45" s="46" t="n">
        <x:v>6.383376418793177</x:v>
      </x:c>
      <x:c r="L45" s="46"/>
      <x:c r="M45" s="46" t="n">
        <x:v>2.6363086452957276</x:v>
      </x:c>
      <x:c r="N45" s="46"/>
      <x:c r="O45" s="46" t="n">
        <x:v>2.5143455412344333</x:v>
      </x:c>
      <x:c r="P45" s="46"/>
      <x:c r="Q45" s="46" t="n">
        <x:v>5.741267119729973</x:v>
      </x:c>
      <x:c r="R45" s="46" t="n">
        <x:v>3.56592715668004</x:v>
      </x:c>
    </x:row>
    <x:row r="46">
      <x:c r="C46" s="19" t="n">
        <x:v>40634</x:v>
      </x:c>
      <x:c r="D46" s="19" t="n">
        <x:v>40662</x:v>
      </x:c>
      <x:c r="E46" s="43" t="str">
        <x:v>grid_u4lflnxf.xlsx</x:v>
      </x:c>
      <x:c r="F46" s="46" t="n">
        <x:v>-0.021035464404095178</x:v>
      </x:c>
      <x:c r="G46" s="46" t="n">
        <x:v>9.308596136787834</x:v>
      </x:c>
      <x:c r="H46" s="46" t="n">
        <x:v>-5.396352915460779</x:v>
      </x:c>
      <x:c r="I46" s="46" t="n">
        <x:v>7.512587178366453</x:v>
      </x:c>
      <x:c r="J46" s="46" t="n">
        <x:v>0.7510057090229495</x:v>
      </x:c>
      <x:c r="K46" s="46" t="n">
        <x:v>1.488582487198215</x:v>
      </x:c>
      <x:c r="L46" s="46" t="n">
        <x:v>1.2659442695929686</x:v>
      </x:c>
      <x:c r="M46" s="46" t="n">
        <x:v>8.107194781061052</x:v>
      </x:c>
      <x:c r="N46" s="46"/>
      <x:c r="O46" s="46" t="n">
        <x:v>6.1611781083252675</x:v>
      </x:c>
      <x:c r="P46" s="46"/>
      <x:c r="Q46" s="46" t="n">
        <x:v>1.9198385236434836</x:v>
      </x:c>
      <x:c r="R46" s="46" t="n">
        <x:v>0.24485690710278085</x:v>
      </x:c>
    </x:row>
    <x:row r="47">
      <x:c r="C47" s="19" t="n">
        <x:v>40664</x:v>
      </x:c>
      <x:c r="D47" s="19" t="n">
        <x:v>40694</x:v>
      </x:c>
      <x:c r="E47" s="43" t="str">
        <x:v>grid_u4lflnxf.xlsx</x:v>
      </x:c>
      <x:c r="F47" s="46" t="n">
        <x:v>-7.201217173718574</x:v>
      </x:c>
      <x:c r="G47" s="46" t="n">
        <x:v>14.547060512678623</x:v>
      </x:c>
      <x:c r="H47" s="46" t="n">
        <x:v>-4.350269535235111</x:v>
      </x:c>
      <x:c r="I47" s="46" t="n">
        <x:v>21.30026532329625</x:v>
      </x:c>
      <x:c r="J47" s="46" t="n">
        <x:v>-0.5063024926811993</x:v>
      </x:c>
      <x:c r="K47" s="46" t="n">
        <x:v>-8.97084171320626</x:v>
      </x:c>
      <x:c r="L47" s="46" t="n">
        <x:v>-0.26325460094491726</x:v>
      </x:c>
      <x:c r="M47" s="46" t="n">
        <x:v>4.837401740223022</x:v>
      </x:c>
      <x:c r="N47" s="46"/>
      <x:c r="O47" s="46" t="n">
        <x:v>0.24429628381096496</x:v>
      </x:c>
      <x:c r="P47" s="46"/>
      <x:c r="Q47" s="46" t="n">
        <x:v>-8.11493463547174</x:v>
      </x:c>
      <x:c r="R47" s="46" t="n">
        <x:v>-5.7184129839594116</x:v>
      </x:c>
    </x:row>
    <x:row r="48">
      <x:c r="C48" s="19" t="n">
        <x:v>40695</x:v>
      </x:c>
      <x:c r="D48" s="19" t="n">
        <x:v>40724</x:v>
      </x:c>
      <x:c r="E48" s="43" t="str">
        <x:v>grid_u4lflnxf.xlsx</x:v>
      </x:c>
      <x:c r="F48" s="46" t="n">
        <x:v>1.586078838522801</x:v>
      </x:c>
      <x:c r="G48" s="46" t="n">
        <x:v>70.23982472303136</x:v>
      </x:c>
      <x:c r="H48" s="46" t="n">
        <x:v>-3.571412948578393</x:v>
      </x:c>
      <x:c r="I48" s="46" t="n">
        <x:v>21.426029160719057</x:v>
      </x:c>
      <x:c r="J48" s="46" t="n">
        <x:v>4.49765713902852</x:v>
      </x:c>
      <x:c r="K48" s="46" t="n">
        <x:v>6.164846793045628</x:v>
      </x:c>
      <x:c r="L48" s="46" t="n">
        <x:v>-4.543667396663835</x:v>
      </x:c>
      <x:c r="M48" s="46" t="n">
        <x:v>2.2664764232305012</x:v>
      </x:c>
      <x:c r="N48" s="46"/>
      <x:c r="O48" s="46" t="n">
        <x:v>6.306839225632954</x:v>
      </x:c>
      <x:c r="P48" s="46"/>
      <x:c r="Q48" s="46" t="n">
        <x:v>-2.732583593830728</x:v>
      </x:c>
      <x:c r="R48" s="46" t="n">
        <x:v>-26.16453568367014</x:v>
      </x:c>
    </x:row>
    <x:row r="49">
      <x:c r="C49" s="19" t="n">
        <x:v>40725</x:v>
      </x:c>
      <x:c r="D49" s="19" t="n">
        <x:v>40753</x:v>
      </x:c>
      <x:c r="E49" s="43" t="str">
        <x:v>grid_u4lflnxf.xlsx</x:v>
      </x:c>
      <x:c r="F49" s="46" t="n">
        <x:v>6.662615475523821</x:v>
      </x:c>
      <x:c r="G49" s="46" t="n">
        <x:v>86.25959837602002</x:v>
      </x:c>
      <x:c r="H49" s="46" t="n">
        <x:v>2.007767967607758</x:v>
      </x:c>
      <x:c r="I49" s="46" t="n">
        <x:v>16.755369651785934</x:v>
      </x:c>
      <x:c r="J49" s="46" t="n">
        <x:v>7.852392789080708</x:v>
      </x:c>
      <x:c r="K49" s="46" t="n">
        <x:v>5.92753625116155</x:v>
      </x:c>
      <x:c r="L49" s="46" t="n">
        <x:v>-2.862740442521936</x:v>
      </x:c>
      <x:c r="M49" s="46" t="n">
        <x:v>-8.36274313628046</x:v>
      </x:c>
      <x:c r="N49" s="46"/>
      <x:c r="O49" s="46" t="n">
        <x:v>5.589096211041091</x:v>
      </x:c>
      <x:c r="P49" s="46"/>
      <x:c r="Q49" s="46" t="n">
        <x:v>-2.673685437521458</x:v>
      </x:c>
      <x:c r="R49" s="46" t="n">
        <x:v>-34.08385042373162</x:v>
      </x:c>
    </x:row>
    <x:row r="50">
      <x:c r="C50" s="19" t="n">
        <x:v>40756</x:v>
      </x:c>
      <x:c r="D50" s="19" t="n">
        <x:v>40786</x:v>
      </x:c>
      <x:c r="E50" s="43" t="str">
        <x:v>grid_u4lflnxf.xlsx</x:v>
      </x:c>
      <x:c r="F50" s="46" t="n">
        <x:v>7.568321809741363</x:v>
      </x:c>
      <x:c r="G50" s="46" t="n">
        <x:v>81.91061932679146</x:v>
      </x:c>
      <x:c r="H50" s="46" t="n">
        <x:v>-2.747379448264361</x:v>
      </x:c>
      <x:c r="I50" s="46" t="n">
        <x:v>17.398422405932344</x:v>
      </x:c>
      <x:c r="J50" s="46" t="n">
        <x:v>14.704253579476735</x:v>
      </x:c>
      <x:c r="K50" s="46" t="n">
        <x:v>11.363941940607482</x:v>
      </x:c>
      <x:c r="L50" s="46" t="n">
        <x:v>-23.21510035253656</x:v>
      </x:c>
      <x:c r="M50" s="46" t="n">
        <x:v>-5.795470548375243</x:v>
      </x:c>
      <x:c r="N50" s="46"/>
      <x:c r="O50" s="46" t="n">
        <x:v>3.8077910331843032</x:v>
      </x:c>
      <x:c r="P50" s="46"/>
      <x:c r="Q50" s="46" t="n">
        <x:v>3.140094169843668</x:v>
      </x:c>
      <x:c r="R50" s="46" t="n">
        <x:v>-32.148471285763705</x:v>
      </x:c>
    </x:row>
    <x:row r="51">
      <x:c r="C51" s="19" t="n">
        <x:v>40787</x:v>
      </x:c>
      <x:c r="D51" s="19" t="n">
        <x:v>40816</x:v>
      </x:c>
      <x:c r="E51" s="43" t="str">
        <x:v>grid_u4lflnxf.xlsx</x:v>
      </x:c>
      <x:c r="F51" s="46" t="n">
        <x:v>-0.48616610039926966</x:v>
      </x:c>
      <x:c r="G51" s="46" t="n">
        <x:v>21.017757193059296</x:v>
      </x:c>
      <x:c r="H51" s="46" t="n">
        <x:v>-3.2452145533955044</x:v>
      </x:c>
      <x:c r="I51" s="46" t="n">
        <x:v>17.957972572851663</x:v>
      </x:c>
      <x:c r="J51" s="46" t="n">
        <x:v>0.32947190771078133</x:v>
      </x:c>
      <x:c r="K51" s="46" t="n">
        <x:v>0.7851520543569138</x:v>
      </x:c>
      <x:c r="L51" s="46" t="n">
        <x:v>-26.44458233901536</x:v>
      </x:c>
      <x:c r="M51" s="46" t="n">
        <x:v>-8.69641882098165</x:v>
      </x:c>
      <x:c r="N51" s="46"/>
      <x:c r="O51" s="46" t="n">
        <x:v>-5.628016470183934</x:v>
      </x:c>
      <x:c r="P51" s="46"/>
      <x:c r="Q51" s="46" t="n">
        <x:v>3.3261153072669343</x:v>
      </x:c>
      <x:c r="R51" s="46" t="n">
        <x:v>-5.397978374192626</x:v>
      </x:c>
    </x:row>
    <x:row r="52">
      <x:c r="C52" s="19" t="n">
        <x:v>40817</x:v>
      </x:c>
      <x:c r="D52" s="19" t="n">
        <x:v>40847</x:v>
      </x:c>
      <x:c r="E52" s="43" t="str">
        <x:v>grid_u4lflnxf.xlsx</x:v>
      </x:c>
      <x:c r="F52" s="46" t="n">
        <x:v>-8.870355044887877</x:v>
      </x:c>
      <x:c r="G52" s="46" t="n">
        <x:v>1.6134692157073596</x:v>
      </x:c>
      <x:c r="H52" s="46" t="n">
        <x:v>-4.4946442925844385</x:v>
      </x:c>
      <x:c r="I52" s="46" t="n">
        <x:v>15.201057619695016</x:v>
      </x:c>
      <x:c r="J52" s="46" t="n">
        <x:v>-10.889277920947778</x:v>
      </x:c>
      <x:c r="K52" s="46" t="n">
        <x:v>1.2901970508876581</x:v>
      </x:c>
      <x:c r="L52" s="46" t="n">
        <x:v>-35.2732445962345</x:v>
      </x:c>
      <x:c r="M52" s="46" t="n">
        <x:v>-5.76692138994275</x:v>
      </x:c>
      <x:c r="N52" s="46"/>
      <x:c r="O52" s="46" t="n">
        <x:v>-13.465396511916522</x:v>
      </x:c>
      <x:c r="P52" s="46"/>
      <x:c r="Q52" s="46" t="n">
        <x:v>3.4520730842074334</x:v>
      </x:c>
      <x:c r="R52" s="46" t="n">
        <x:v>3.2962923239866218</x:v>
      </x:c>
    </x:row>
    <x:row r="53">
      <x:c r="C53" s="19" t="n">
        <x:v>40848</x:v>
      </x:c>
      <x:c r="D53" s="19" t="n">
        <x:v>40877</x:v>
      </x:c>
      <x:c r="E53" s="43" t="str">
        <x:v>grid_u4lflnxf.xlsx</x:v>
      </x:c>
      <x:c r="F53" s="46" t="n">
        <x:v>-2.757096150888306</x:v>
      </x:c>
      <x:c r="G53" s="46" t="n">
        <x:v>3.127215951094465</x:v>
      </x:c>
      <x:c r="H53" s="46" t="n">
        <x:v>-0.2935145225335458</x:v>
      </x:c>
      <x:c r="I53" s="46" t="n">
        <x:v>0.37267591747097867</x:v>
      </x:c>
      <x:c r="J53" s="46" t="n">
        <x:v>-10.608745521161543</x:v>
      </x:c>
      <x:c r="K53" s="46" t="n">
        <x:v>4.254079021455904</x:v>
      </x:c>
      <x:c r="L53" s="46" t="n">
        <x:v>-40.47784343264071</x:v>
      </x:c>
      <x:c r="M53" s="46" t="n">
        <x:v>1.3070393923718686</x:v>
      </x:c>
      <x:c r="N53" s="46"/>
      <x:c r="O53" s="46" t="n">
        <x:v>-8.478907234902868</x:v>
      </x:c>
      <x:c r="P53" s="46"/>
      <x:c r="Q53" s="46" t="n">
        <x:v>-1.915026508606347</x:v>
      </x:c>
      <x:c r="R53" s="46" t="n">
        <x:v>12.479533674233</x:v>
      </x:c>
    </x:row>
    <x:row r="54">
      <x:c r="C54" s="19" t="n">
        <x:v>40878</x:v>
      </x:c>
      <x:c r="D54" s="19" t="n">
        <x:v>40907</x:v>
      </x:c>
      <x:c r="E54" s="43" t="str">
        <x:v>grid_u4lflnxf.xlsx</x:v>
      </x:c>
      <x:c r="F54" s="46" t="n">
        <x:v>-5.437012468633058</x:v>
      </x:c>
      <x:c r="G54" s="46" t="n">
        <x:v>5.58351738918595</x:v>
      </x:c>
      <x:c r="H54" s="46" t="n">
        <x:v>7.994141327200049</x:v>
      </x:c>
      <x:c r="I54" s="46" t="n">
        <x:v>2.257569659635113</x:v>
      </x:c>
      <x:c r="J54" s="46" t="n">
        <x:v>-5.029790401333416</x:v>
      </x:c>
      <x:c r="K54" s="46" t="n">
        <x:v>0.6086858100070415</x:v>
      </x:c>
      <x:c r="L54" s="46" t="n">
        <x:v>-31.68644362737809</x:v>
      </x:c>
      <x:c r="M54" s="46" t="n">
        <x:v>12.981457870678238</x:v>
      </x:c>
      <x:c r="N54" s="46"/>
      <x:c r="O54" s="46" t="n">
        <x:v>-8.20242947649022</x:v>
      </x:c>
      <x:c r="P54" s="46" t="n">
        <x:v>5.332786147730201</x:v>
      </x:c>
      <x:c r="Q54" s="46" t="n">
        <x:v>-4.374784893667457</x:v>
      </x:c>
      <x:c r="R54" s="46" t="n">
        <x:v>8.217811896503905</x:v>
      </x:c>
    </x:row>
    <x:row r="55">
      <x:c r="C55" s="19" t="n">
        <x:v>40909</x:v>
      </x:c>
      <x:c r="D55" s="19" t="n">
        <x:v>40939</x:v>
      </x:c>
      <x:c r="E55" s="43" t="str">
        <x:v>grid_u4lflnxf.xlsx</x:v>
      </x:c>
      <x:c r="F55" s="46" t="n">
        <x:v>-7.744098250112195</x:v>
      </x:c>
      <x:c r="G55" s="46" t="n">
        <x:v>-2.3161238054276954</x:v>
      </x:c>
      <x:c r="H55" s="46" t="n">
        <x:v>-2.6541994503741964</x:v>
      </x:c>
      <x:c r="I55" s="46" t="n">
        <x:v>10.683807274863973</x:v>
      </x:c>
      <x:c r="J55" s="46" t="n">
        <x:v>-0.04560169931742697</x:v>
      </x:c>
      <x:c r="K55" s="46" t="n">
        <x:v>2.1879362389761563</x:v>
      </x:c>
      <x:c r="L55" s="46" t="n">
        <x:v>-21.30535409226161</x:v>
      </x:c>
      <x:c r="M55" s="46" t="n">
        <x:v>10.168232732238765</x:v>
      </x:c>
      <x:c r="N55" s="46"/>
      <x:c r="O55" s="46" t="n">
        <x:v>-7.378571911737082</x:v>
      </x:c>
      <x:c r="P55" s="46" t="n">
        <x:v>2.2352226363425083</x:v>
      </x:c>
      <x:c r="Q55" s="46" t="n">
        <x:v>-0.9007979615744941</x:v>
      </x:c>
      <x:c r="R55" s="46" t="n">
        <x:v>6.581805454389728</x:v>
      </x:c>
    </x:row>
    <x:row r="56">
      <x:c r="C56" s="19" t="n">
        <x:v>40940</x:v>
      </x:c>
      <x:c r="D56" s="19" t="n">
        <x:v>40968</x:v>
      </x:c>
      <x:c r="E56" s="43" t="str">
        <x:v>grid_u4lflnxf.xlsx</x:v>
      </x:c>
      <x:c r="F56" s="46" t="n">
        <x:v>-20.435708588397272</x:v>
      </x:c>
      <x:c r="G56" s="46" t="n">
        <x:v>-6.6929857046272065</x:v>
      </x:c>
      <x:c r="H56" s="46" t="n">
        <x:v>-8.658062599730874</x:v>
      </x:c>
      <x:c r="I56" s="46" t="n">
        <x:v>8.513358844184538</x:v>
      </x:c>
      <x:c r="J56" s="46" t="n">
        <x:v>-11.198590365677466</x:v>
      </x:c>
      <x:c r="K56" s="46" t="n">
        <x:v>1.2643503703453498</x:v>
      </x:c>
      <x:c r="L56" s="46" t="n">
        <x:v>8.703059680476349</x:v>
      </x:c>
      <x:c r="M56" s="46" t="n">
        <x:v>4.628682637401015</x:v>
      </x:c>
      <x:c r="N56" s="46"/>
      <x:c r="O56" s="46" t="n">
        <x:v>-20.850866534453278</x:v>
      </x:c>
      <x:c r="P56" s="46" t="n">
        <x:v>1.9896375454763475</x:v>
      </x:c>
      <x:c r="Q56" s="46" t="n">
        <x:v>3.562854629589081</x:v>
      </x:c>
      <x:c r="R56" s="46" t="n">
        <x:v>3.1753699230568393</x:v>
      </x:c>
    </x:row>
    <x:row r="57">
      <x:c r="C57" s="19" t="n">
        <x:v>40969</x:v>
      </x:c>
      <x:c r="D57" s="19" t="n">
        <x:v>40998</x:v>
      </x:c>
      <x:c r="E57" s="43" t="str">
        <x:v>grid_u4lflnxf.xlsx</x:v>
      </x:c>
      <x:c r="F57" s="46" t="n">
        <x:v>-18.10783432905783</x:v>
      </x:c>
      <x:c r="G57" s="46" t="n">
        <x:v>-6.180484495914121</x:v>
      </x:c>
      <x:c r="H57" s="46" t="n">
        <x:v>-16.177626705022735</x:v>
      </x:c>
      <x:c r="I57" s="46" t="n">
        <x:v>9.30491992444367</x:v>
      </x:c>
      <x:c r="J57" s="46" t="n">
        <x:v>-6.403373417617633</x:v>
      </x:c>
      <x:c r="K57" s="46" t="n">
        <x:v>0.8785239066478989</x:v>
      </x:c>
      <x:c r="L57" s="46" t="n">
        <x:v>9.045524048734208</x:v>
      </x:c>
      <x:c r="M57" s="46" t="n">
        <x:v>5.603177177845802</x:v>
      </x:c>
      <x:c r="N57" s="46"/>
      <x:c r="O57" s="46" t="n">
        <x:v>-18.216434310745985</x:v>
      </x:c>
      <x:c r="P57" s="46" t="n">
        <x:v>4.527353030826027</x:v>
      </x:c>
      <x:c r="Q57" s="46" t="n">
        <x:v>2.440815204449732</x:v>
      </x:c>
      <x:c r="R57" s="46" t="n">
        <x:v>4.364063463264682</x:v>
      </x:c>
    </x:row>
    <x:row r="58">
      <x:c r="C58" s="19" t="n">
        <x:v>41000</x:v>
      </x:c>
      <x:c r="D58" s="19" t="n">
        <x:v>41029</x:v>
      </x:c>
      <x:c r="E58" s="43" t="str">
        <x:v>grid_u4lflnxf.xlsx</x:v>
      </x:c>
      <x:c r="F58" s="46" t="n">
        <x:v>-12.446917043637372</x:v>
      </x:c>
      <x:c r="G58" s="46" t="n">
        <x:v>-28.335714423359786</x:v>
      </x:c>
      <x:c r="H58" s="46" t="n">
        <x:v>-7.781140705709482</x:v>
      </x:c>
      <x:c r="I58" s="46" t="n">
        <x:v>5.968775447942542</x:v>
      </x:c>
      <x:c r="J58" s="46" t="n">
        <x:v>-6.5742492708685</x:v>
      </x:c>
      <x:c r="K58" s="46" t="n">
        <x:v>-3.7322781431428713</x:v>
      </x:c>
      <x:c r="L58" s="46" t="n">
        <x:v>6.713182337064285</x:v>
      </x:c>
      <x:c r="M58" s="46" t="n">
        <x:v>15.882359894519372</x:v>
      </x:c>
      <x:c r="N58" s="46"/>
      <x:c r="O58" s="46" t="n">
        <x:v>-14.589576715377394</x:v>
      </x:c>
      <x:c r="P58" s="46" t="n">
        <x:v>2.6524631513637837</x:v>
      </x:c>
      <x:c r="Q58" s="46" t="n">
        <x:v>6.604832116782491</x:v>
      </x:c>
      <x:c r="R58" s="46" t="n">
        <x:v>4.67922049272955</x:v>
      </x:c>
    </x:row>
    <x:row r="59">
      <x:c r="C59" s="19" t="n">
        <x:v>41030</x:v>
      </x:c>
      <x:c r="D59" s="19" t="n">
        <x:v>41060</x:v>
      </x:c>
      <x:c r="E59" s="43" t="str">
        <x:v>grid_u4lflnxf.xlsx</x:v>
      </x:c>
      <x:c r="F59" s="46" t="n">
        <x:v>4.735809450144381</x:v>
      </x:c>
      <x:c r="G59" s="46" t="n">
        <x:v>-25.19335573900795</x:v>
      </x:c>
      <x:c r="H59" s="46" t="n">
        <x:v>-8.090781354495972</x:v>
      </x:c>
      <x:c r="I59" s="46" t="n">
        <x:v>11.176972040654567</x:v>
      </x:c>
      <x:c r="J59" s="46" t="n">
        <x:v>5.381307922892735</x:v>
      </x:c>
      <x:c r="K59" s="46" t="n">
        <x:v>1.6533387607608867</x:v>
      </x:c>
      <x:c r="L59" s="46" t="n">
        <x:v>-4.701415123759508</x:v>
      </x:c>
      <x:c r="M59" s="46" t="n">
        <x:v>18.459506216351155</x:v>
      </x:c>
      <x:c r="N59" s="46"/>
      <x:c r="O59" s="46" t="n">
        <x:v>7.580734738572429</x:v>
      </x:c>
      <x:c r="P59" s="46" t="n">
        <x:v>2.7129662913136734</x:v>
      </x:c>
      <x:c r="Q59" s="46" t="n">
        <x:v>5.778827274680708</x:v>
      </x:c>
      <x:c r="R59" s="46" t="n">
        <x:v>11.923579186622257</x:v>
      </x:c>
    </x:row>
    <x:row r="60">
      <x:c r="C60" s="19" t="n">
        <x:v>41061</x:v>
      </x:c>
      <x:c r="D60" s="19" t="n">
        <x:v>41089</x:v>
      </x:c>
      <x:c r="E60" s="43" t="str">
        <x:v>grid_u4lflnxf.xlsx</x:v>
      </x:c>
      <x:c r="F60" s="46" t="n">
        <x:v>6.503730113346193</x:v>
      </x:c>
      <x:c r="G60" s="46" t="n">
        <x:v>-28.974166678563456</x:v>
      </x:c>
      <x:c r="H60" s="46" t="n">
        <x:v>-14.754028431079917</x:v>
      </x:c>
      <x:c r="I60" s="46" t="n">
        <x:v>3.2618535144443817</x:v>
      </x:c>
      <x:c r="J60" s="46" t="n">
        <x:v>11.861841217159173</x:v>
      </x:c>
      <x:c r="K60" s="46" t="n">
        <x:v>-1.5568263968547058</x:v>
      </x:c>
      <x:c r="L60" s="46" t="n">
        <x:v>-5.477855589515881</x:v>
      </x:c>
      <x:c r="M60" s="46" t="n">
        <x:v>10.98185847867966</x:v>
      </x:c>
      <x:c r="N60" s="46"/>
      <x:c r="O60" s="46" t="n">
        <x:v>14.306166204436192</x:v>
      </x:c>
      <x:c r="P60" s="46" t="n">
        <x:v>2.7619436672215345</x:v>
      </x:c>
      <x:c r="Q60" s="46" t="n">
        <x:v>6.846596007035945</x:v>
      </x:c>
      <x:c r="R60" s="46" t="n">
        <x:v>20.134142517844815</x:v>
      </x:c>
    </x:row>
    <x:row r="61">
      <x:c r="C61" s="19" t="n">
        <x:v>41091</x:v>
      </x:c>
      <x:c r="D61" s="19" t="n">
        <x:v>41121</x:v>
      </x:c>
      <x:c r="E61" s="43" t="str">
        <x:v>grid_u4lflnxf.xlsx</x:v>
      </x:c>
      <x:c r="F61" s="46" t="n">
        <x:v>0.9561075647469839</x:v>
      </x:c>
      <x:c r="G61" s="46" t="n">
        <x:v>-5.513467163542685</x:v>
      </x:c>
      <x:c r="H61" s="46" t="n">
        <x:v>-16.34004666243761</x:v>
      </x:c>
      <x:c r="I61" s="46" t="n">
        <x:v>1.057575902257461</x:v>
      </x:c>
      <x:c r="J61" s="46" t="n">
        <x:v>14.118388229296094</x:v>
      </x:c>
      <x:c r="K61" s="46" t="n">
        <x:v>1.6507232328246901</x:v>
      </x:c>
      <x:c r="L61" s="46" t="n">
        <x:v>-5.400317165140981</x:v>
      </x:c>
      <x:c r="M61" s="46" t="n">
        <x:v>2.5549978258493278</x:v>
      </x:c>
      <x:c r="N61" s="46"/>
      <x:c r="O61" s="46" t="n">
        <x:v>-1.3193154116804704</x:v>
      </x:c>
      <x:c r="P61" s="46" t="n">
        <x:v>-0.9166761976744353</x:v>
      </x:c>
      <x:c r="Q61" s="46" t="n">
        <x:v>4.585704415622356</x:v>
      </x:c>
      <x:c r="R61" s="46" t="n">
        <x:v>20.38887321518929</x:v>
      </x:c>
    </x:row>
    <x:row r="62">
      <x:c r="C62" s="19" t="n">
        <x:v>41122</x:v>
      </x:c>
      <x:c r="D62" s="19" t="n">
        <x:v>41152</x:v>
      </x:c>
      <x:c r="E62" s="43" t="str">
        <x:v>grid_u4lflnxf.xlsx</x:v>
      </x:c>
      <x:c r="F62" s="46" t="n">
        <x:v>-10.644611603538488</x:v>
      </x:c>
      <x:c r="G62" s="46" t="n">
        <x:v>-9.612900350042587</x:v>
      </x:c>
      <x:c r="H62" s="46" t="n">
        <x:v>-23.429452265774252</x:v>
      </x:c>
      <x:c r="I62" s="46" t="n">
        <x:v>-6.44937898568885</x:v>
      </x:c>
      <x:c r="J62" s="46" t="n">
        <x:v>6.416257334124527</x:v>
      </x:c>
      <x:c r="K62" s="46" t="n">
        <x:v>-1.5331505826353573</x:v>
      </x:c>
      <x:c r="L62" s="46" t="n">
        <x:v>1.6758848082369568</x:v>
      </x:c>
      <x:c r="M62" s="46" t="n">
        <x:v>-1.6617436785214486</x:v>
      </x:c>
      <x:c r="N62" s="46"/>
      <x:c r="O62" s="46" t="n">
        <x:v>-20.62569716997721</x:v>
      </x:c>
      <x:c r="P62" s="46" t="n">
        <x:v>5.227189748760894</x:v>
      </x:c>
      <x:c r="Q62" s="46" t="n">
        <x:v>5.503675739671874</x:v>
      </x:c>
      <x:c r="R62" s="46" t="n">
        <x:v>10.783212953313974</x:v>
      </x:c>
    </x:row>
    <x:row r="63">
      <x:c r="C63" s="19" t="n">
        <x:v>41153</x:v>
      </x:c>
      <x:c r="D63" s="19" t="n">
        <x:v>41180</x:v>
      </x:c>
      <x:c r="E63" s="43" t="str">
        <x:v>grid_u4lflnxf.xlsx</x:v>
      </x:c>
      <x:c r="F63" s="46" t="n">
        <x:v>-14.081194082799575</x:v>
      </x:c>
      <x:c r="G63" s="46" t="n">
        <x:v>-8.272008041944552</x:v>
      </x:c>
      <x:c r="H63" s="46" t="n">
        <x:v>-20.299693193257003</x:v>
      </x:c>
      <x:c r="I63" s="46" t="n">
        <x:v>2.3011380682279046</x:v>
      </x:c>
      <x:c r="J63" s="46" t="n">
        <x:v>-17.25403914530878</x:v>
      </x:c>
      <x:c r="K63" s="46" t="n">
        <x:v>-5.521693787516837</x:v>
      </x:c>
      <x:c r="L63" s="46" t="n">
        <x:v>5.3579287185329765</x:v>
      </x:c>
      <x:c r="M63" s="46" t="n">
        <x:v>-3.6816128143700824</x:v>
      </x:c>
      <x:c r="N63" s="46"/>
      <x:c r="O63" s="46" t="n">
        <x:v>-34.40777888817904</x:v>
      </x:c>
      <x:c r="P63" s="46" t="n">
        <x:v>1.7098368933335801</x:v>
      </x:c>
      <x:c r="Q63" s="46" t="n">
        <x:v>-3.6378943399873553</x:v>
      </x:c>
      <x:c r="R63" s="46" t="n">
        <x:v>-83.83525154177683</x:v>
      </x:c>
    </x:row>
    <x:row r="64">
      <x:c r="C64" s="19" t="n">
        <x:v>41183</x:v>
      </x:c>
      <x:c r="D64" s="19" t="n">
        <x:v>41213</x:v>
      </x:c>
      <x:c r="E64" s="43" t="str">
        <x:v>grid_u4lflnxf.xlsx</x:v>
      </x:c>
      <x:c r="F64" s="46" t="n">
        <x:v>-11.289718106102557</x:v>
      </x:c>
      <x:c r="G64" s="46" t="n">
        <x:v>0.14779313343106631</x:v>
      </x:c>
      <x:c r="H64" s="46" t="n">
        <x:v>-15.810116050645373</x:v>
      </x:c>
      <x:c r="I64" s="46" t="n">
        <x:v>8.741618121694408</x:v>
      </x:c>
      <x:c r="J64" s="46" t="n">
        <x:v>-15.660672972111739</x:v>
      </x:c>
      <x:c r="K64" s="46" t="n">
        <x:v>-6.722910782818032</x:v>
      </x:c>
      <x:c r="L64" s="46" t="n">
        <x:v>4.940920831340913</x:v>
      </x:c>
      <x:c r="M64" s="46" t="n">
        <x:v>5.235750698572759</x:v>
      </x:c>
      <x:c r="N64" s="46"/>
      <x:c r="O64" s="46" t="n">
        <x:v>-26.15821586695913</x:v>
      </x:c>
      <x:c r="P64" s="46" t="n">
        <x:v>10.579082612014092</x:v>
      </x:c>
      <x:c r="Q64" s="46" t="n">
        <x:v>-5.260550323426535</x:v>
      </x:c>
      <x:c r="R64" s="46" t="n">
        <x:v>-81.16196781763894</x:v>
      </x:c>
    </x:row>
    <x:row r="65">
      <x:c r="C65" s="19" t="n">
        <x:v>41214</x:v>
      </x:c>
      <x:c r="D65" s="19" t="n">
        <x:v>41243</x:v>
      </x:c>
      <x:c r="E65" s="43" t="str">
        <x:v>grid_u4lflnxf.xlsx</x:v>
      </x:c>
      <x:c r="F65" s="46" t="n">
        <x:v>-10.217937519831295</x:v>
      </x:c>
      <x:c r="G65" s="46" t="n">
        <x:v>3.8786861872057155</x:v>
      </x:c>
      <x:c r="H65" s="46" t="n">
        <x:v>-4.644065912268117</x:v>
      </x:c>
      <x:c r="I65" s="46" t="n">
        <x:v>13.798075317383104</x:v>
      </x:c>
      <x:c r="J65" s="46" t="n">
        <x:v>-15.522941730429379</x:v>
      </x:c>
      <x:c r="K65" s="46" t="n">
        <x:v>-7.8789720269911605</x:v>
      </x:c>
      <x:c r="L65" s="46" t="n">
        <x:v>9.961293807526879</x:v>
      </x:c>
      <x:c r="M65" s="46" t="n">
        <x:v>8.256285505268051</x:v>
      </x:c>
      <x:c r="N65" s="46"/>
      <x:c r="O65" s="46" t="n">
        <x:v>-17.834080486873592</x:v>
      </x:c>
      <x:c r="P65" s="46" t="n">
        <x:v>5.189169970146526</x:v>
      </x:c>
      <x:c r="Q65" s="46" t="n">
        <x:v>-33.34305995884858</x:v>
      </x:c>
      <x:c r="R65" s="46" t="n">
        <x:v>-79.96631954114378</x:v>
      </x:c>
    </x:row>
    <x:row r="66">
      <x:c r="C66" s="19" t="n">
        <x:v>41244</x:v>
      </x:c>
      <x:c r="D66" s="19" t="n">
        <x:v>41274</x:v>
      </x:c>
      <x:c r="E66" s="43" t="str">
        <x:v>grid_u4lflnxf.xlsx</x:v>
      </x:c>
      <x:c r="F66" s="46" t="n">
        <x:v>-5.076689494067466</x:v>
      </x:c>
      <x:c r="G66" s="46" t="n">
        <x:v>5.518044564620806</x:v>
      </x:c>
      <x:c r="H66" s="46" t="n">
        <x:v>-0.396585849721026</x:v>
      </x:c>
      <x:c r="I66" s="46" t="n">
        <x:v>8.153729863352833</x:v>
      </x:c>
      <x:c r="J66" s="46" t="n">
        <x:v>2.0777164811719886</x:v>
      </x:c>
      <x:c r="K66" s="46" t="n">
        <x:v>-0.24411697342891034</x:v>
      </x:c>
      <x:c r="L66" s="46" t="n">
        <x:v>12.863054061719895</x:v>
      </x:c>
      <x:c r="M66" s="46" t="n">
        <x:v>8.531085326690203</x:v>
      </x:c>
      <x:c r="N66" s="46"/>
      <x:c r="O66" s="46" t="n">
        <x:v>-5.8025680191647195</x:v>
      </x:c>
      <x:c r="P66" s="46" t="n">
        <x:v>8.092955794473415</x:v>
      </x:c>
      <x:c r="Q66" s="46" t="n">
        <x:v>-24.002129729305068</x:v>
      </x:c>
      <x:c r="R66" s="46" t="n">
        <x:v>7.574105376272451</x:v>
      </x:c>
    </x:row>
    <x:row r="67">
      <x:c r="C67" s="19" t="n">
        <x:v>41275</x:v>
      </x:c>
      <x:c r="D67" s="19" t="n">
        <x:v>41305</x:v>
      </x:c>
      <x:c r="E67" s="43" t="str">
        <x:v>grid_u4lflnxf.xlsx</x:v>
      </x:c>
      <x:c r="F67" s="46" t="n">
        <x:v>-8.514459698442167</x:v>
      </x:c>
      <x:c r="G67" s="46" t="n">
        <x:v>0.07328412273545425</x:v>
      </x:c>
      <x:c r="H67" s="46" t="n">
        <x:v>1.811833439570259</x:v>
      </x:c>
      <x:c r="I67" s="46" t="n">
        <x:v>6.428652599341802</x:v>
      </x:c>
      <x:c r="J67" s="46" t="n">
        <x:v>-3.3682868420685406</x:v>
      </x:c>
      <x:c r="K67" s="46" t="n">
        <x:v>0.3910648767323032</x:v>
      </x:c>
      <x:c r="L67" s="46" t="n">
        <x:v>7.554730104759298</x:v>
      </x:c>
      <x:c r="M67" s="46" t="n">
        <x:v>8.424979368181642</x:v>
      </x:c>
      <x:c r="N67" s="46"/>
      <x:c r="O67" s="46" t="n">
        <x:v>-8.596026478862123</x:v>
      </x:c>
      <x:c r="P67" s="46" t="n">
        <x:v>5.971364764800205</x:v>
      </x:c>
      <x:c r="Q67" s="46" t="n">
        <x:v>-43.52982756793675</x:v>
      </x:c>
      <x:c r="R67" s="46" t="n">
        <x:v>6.938453790739961</x:v>
      </x:c>
    </x:row>
    <x:row r="68">
      <x:c r="C68" s="19" t="n">
        <x:v>41306</x:v>
      </x:c>
      <x:c r="D68" s="19" t="n">
        <x:v>41333</x:v>
      </x:c>
      <x:c r="E68" s="43" t="str">
        <x:v>grid_u4lflnxf.xlsx</x:v>
      </x:c>
      <x:c r="F68" s="46" t="n">
        <x:v>-6.042843826723082</x:v>
      </x:c>
      <x:c r="G68" s="46" t="n">
        <x:v>4.599743697016572</x:v>
      </x:c>
      <x:c r="H68" s="46" t="n">
        <x:v>-1.1976977567581832</x:v>
      </x:c>
      <x:c r="I68" s="46" t="n">
        <x:v>5.820053745186084</x:v>
      </x:c>
      <x:c r="J68" s="46" t="n">
        <x:v>-5.5989418914435</x:v>
      </x:c>
      <x:c r="K68" s="46" t="n">
        <x:v>0.33199270080870447</x:v>
      </x:c>
      <x:c r="L68" s="46" t="n">
        <x:v>6.125791957738134</x:v>
      </x:c>
      <x:c r="M68" s="46" t="n">
        <x:v>9.048020948585442</x:v>
      </x:c>
      <x:c r="N68" s="46"/>
      <x:c r="O68" s="46" t="n">
        <x:v>0.8188570154706927</x:v>
      </x:c>
      <x:c r="P68" s="46" t="n">
        <x:v>5.236531850589614</x:v>
      </x:c>
      <x:c r="Q68" s="46" t="n">
        <x:v>-2.4826818355581515</x:v>
      </x:c>
      <x:c r="R68" s="46" t="n">
        <x:v>6.906703796082611</x:v>
      </x:c>
    </x:row>
    <x:row r="69">
      <x:c r="C69" s="19" t="n">
        <x:v>41334</x:v>
      </x:c>
      <x:c r="D69" s="19" t="n">
        <x:v>41362</x:v>
      </x:c>
      <x:c r="E69" s="43" t="str">
        <x:v>grid_u4lflnxf.xlsx</x:v>
      </x:c>
      <x:c r="F69" s="46" t="n">
        <x:v>-5.160597262445832</x:v>
      </x:c>
      <x:c r="G69" s="46" t="n">
        <x:v>5.590103194872773</x:v>
      </x:c>
      <x:c r="H69" s="46" t="n">
        <x:v>-4.120604691759732</x:v>
      </x:c>
      <x:c r="I69" s="46" t="n">
        <x:v>5.287963610255493</x:v>
      </x:c>
      <x:c r="J69" s="46" t="n">
        <x:v>3.922443613856916</x:v>
      </x:c>
      <x:c r="K69" s="46" t="n">
        <x:v>1.5919040658577674</x:v>
      </x:c>
      <x:c r="L69" s="46" t="n">
        <x:v>-0.08376136573364731</x:v>
      </x:c>
      <x:c r="M69" s="46" t="n">
        <x:v>13.43088625824547</x:v>
      </x:c>
      <x:c r="N69" s="46"/>
      <x:c r="O69" s="46" t="n">
        <x:v>-8.081581165125245</x:v>
      </x:c>
      <x:c r="P69" s="46" t="n">
        <x:v>4.64096207138168</x:v>
      </x:c>
      <x:c r="Q69" s="46" t="n">
        <x:v>0.6779760891668615</x:v>
      </x:c>
      <x:c r="R69" s="46" t="n">
        <x:v>3.461696942820202</x:v>
      </x:c>
    </x:row>
    <x:row r="70">
      <x:c r="C70" s="19" t="n">
        <x:v>41365</x:v>
      </x:c>
      <x:c r="D70" s="19" t="n">
        <x:v>41394</x:v>
      </x:c>
      <x:c r="E70" s="43" t="str">
        <x:v>grid_u4lflnxf.xlsx</x:v>
      </x:c>
      <x:c r="F70" s="46" t="n">
        <x:v>8.548523309871857</x:v>
      </x:c>
      <x:c r="G70" s="46" t="n">
        <x:v>11.807361682960227</x:v>
      </x:c>
      <x:c r="H70" s="46" t="n">
        <x:v>-6.0181860687209285</x:v>
      </x:c>
      <x:c r="I70" s="46" t="n">
        <x:v>0.033328795510298936</x:v>
      </x:c>
      <x:c r="J70" s="46" t="n">
        <x:v>14.673861657278906</x:v>
      </x:c>
      <x:c r="K70" s="46" t="n">
        <x:v>1.8507658572488948</x:v>
      </x:c>
      <x:c r="L70" s="46" t="n">
        <x:v>3.518272584550853</x:v>
      </x:c>
      <x:c r="M70" s="46" t="n">
        <x:v>7.926278886778915</x:v>
      </x:c>
      <x:c r="N70" s="46"/>
      <x:c r="O70" s="46" t="n">
        <x:v>4.43575146164881</x:v>
      </x:c>
      <x:c r="P70" s="46" t="n">
        <x:v>6.863032733378012</x:v>
      </x:c>
      <x:c r="Q70" s="46" t="n">
        <x:v>15.799507381708167</x:v>
      </x:c>
      <x:c r="R70" s="46" t="n">
        <x:v>3.063915754248726</x:v>
      </x:c>
    </x:row>
    <x:row r="71">
      <x:c r="C71" s="19" t="n">
        <x:v>41395</x:v>
      </x:c>
      <x:c r="D71" s="19" t="n">
        <x:v>41425</x:v>
      </x:c>
      <x:c r="E71" s="43" t="str">
        <x:v>grid_u4lflnxf.xlsx</x:v>
      </x:c>
      <x:c r="F71" s="46" t="n">
        <x:v>5.684543346142053</x:v>
      </x:c>
      <x:c r="G71" s="46" t="n">
        <x:v>-1.5043653313687102</x:v>
      </x:c>
      <x:c r="H71" s="46" t="n">
        <x:v>-16.34335898363724</x:v>
      </x:c>
      <x:c r="I71" s="46" t="n">
        <x:v>-5.231439938463381</x:v>
      </x:c>
      <x:c r="J71" s="46" t="n">
        <x:v>8.159438778788914</x:v>
      </x:c>
      <x:c r="K71" s="46" t="n">
        <x:v>5.846978161722816</x:v>
      </x:c>
      <x:c r="L71" s="46" t="n">
        <x:v>-0.2536839595820013</x:v>
      </x:c>
      <x:c r="M71" s="46" t="n">
        <x:v>11.212846169713224</x:v>
      </x:c>
      <x:c r="N71" s="46"/>
      <x:c r="O71" s="46" t="n">
        <x:v>-6.437535676288133</x:v>
      </x:c>
      <x:c r="P71" s="46" t="n">
        <x:v>-12.903057795830748</x:v>
      </x:c>
      <x:c r="Q71" s="46" t="n">
        <x:v>-3.6711920875346284</x:v>
      </x:c>
      <x:c r="R71" s="46" t="n">
        <x:v>0.3694148180767832</x:v>
      </x:c>
    </x:row>
    <x:row r="72">
      <x:c r="C72" s="19" t="n">
        <x:v>41426</x:v>
      </x:c>
      <x:c r="D72" s="19" t="n">
        <x:v>41453</x:v>
      </x:c>
      <x:c r="E72" s="43" t="str">
        <x:v>grid_u4lflnxf.xlsx</x:v>
      </x:c>
      <x:c r="F72" s="46" t="n">
        <x:v>0.06564047955828112</x:v>
      </x:c>
      <x:c r="G72" s="46" t="n">
        <x:v>-3.45103922573914</x:v>
      </x:c>
      <x:c r="H72" s="46" t="n">
        <x:v>-9.089562754085762</x:v>
      </x:c>
      <x:c r="I72" s="46" t="n">
        <x:v>-1.9191079689594333</x:v>
      </x:c>
      <x:c r="J72" s="46" t="n">
        <x:v>0.34553487033219044</x:v>
      </x:c>
      <x:c r="K72" s="46" t="n">
        <x:v>2.378125609559944</x:v>
      </x:c>
      <x:c r="L72" s="46" t="n">
        <x:v>-5.146589914476085</x:v>
      </x:c>
      <x:c r="M72" s="46" t="n">
        <x:v>15.25389551049296</x:v>
      </x:c>
      <x:c r="N72" s="46"/>
      <x:c r="O72" s="46" t="n">
        <x:v>2.033373037466575</x:v>
      </x:c>
      <x:c r="P72" s="46" t="n">
        <x:v>-14.896648253313929</x:v>
      </x:c>
      <x:c r="Q72" s="46" t="n">
        <x:v>0.11718016547340043</x:v>
      </x:c>
      <x:c r="R72" s="46" t="n">
        <x:v>2.008663031277446</x:v>
      </x:c>
    </x:row>
    <x:row r="73">
      <x:c r="C73" s="19" t="n">
        <x:v>41456</x:v>
      </x:c>
      <x:c r="D73" s="19" t="n">
        <x:v>41486</x:v>
      </x:c>
      <x:c r="E73" s="43" t="str">
        <x:v>grid_u4lflnxf.xlsx</x:v>
      </x:c>
      <x:c r="F73" s="46" t="n">
        <x:v>-9.512205097266648</x:v>
      </x:c>
      <x:c r="G73" s="46" t="n">
        <x:v>-11.035072633026509</x:v>
      </x:c>
      <x:c r="H73" s="46" t="n">
        <x:v>-5.550098483877433</x:v>
      </x:c>
      <x:c r="I73" s="46" t="n">
        <x:v>3.710103139115127</x:v>
      </x:c>
      <x:c r="J73" s="46" t="n">
        <x:v>-10.388057144526424</x:v>
      </x:c>
      <x:c r="K73" s="46" t="n">
        <x:v>3.3729280672558946</x:v>
      </x:c>
      <x:c r="L73" s="46" t="n">
        <x:v>-2.626273183937794</x:v>
      </x:c>
      <x:c r="M73" s="46" t="n">
        <x:v>11.222017467523928</x:v>
      </x:c>
      <x:c r="N73" s="46"/>
      <x:c r="O73" s="46" t="n">
        <x:v>-5.680874238171424</x:v>
      </x:c>
      <x:c r="P73" s="46" t="n">
        <x:v>-22.97517606655555</x:v>
      </x:c>
      <x:c r="Q73" s="46" t="n">
        <x:v>3.075280402589539</x:v>
      </x:c>
      <x:c r="R73" s="46" t="n">
        <x:v>-1.7758206656817137</x:v>
      </x:c>
    </x:row>
    <x:row r="74">
      <x:c r="C74" s="19" t="n">
        <x:v>41487</x:v>
      </x:c>
      <x:c r="D74" s="19" t="n">
        <x:v>41516</x:v>
      </x:c>
      <x:c r="E74" s="43" t="str">
        <x:v>grid_u4lflnxf.xlsx</x:v>
      </x:c>
      <x:c r="F74" s="46" t="n">
        <x:v>-3.3958882481504866</x:v>
      </x:c>
      <x:c r="G74" s="46" t="n">
        <x:v>-2.637015018654294</x:v>
      </x:c>
      <x:c r="H74" s="46" t="n">
        <x:v>9.231137557478997</x:v>
      </x:c>
      <x:c r="I74" s="46" t="n">
        <x:v>9.151680465439249</x:v>
      </x:c>
      <x:c r="J74" s="46" t="n">
        <x:v>14.55923287460579</x:v>
      </x:c>
      <x:c r="K74" s="46" t="n">
        <x:v>-0.4052843568490564</x:v>
      </x:c>
      <x:c r="L74" s="46" t="n">
        <x:v>-0.2633613330254025</x:v>
      </x:c>
      <x:c r="M74" s="46" t="n">
        <x:v>-1.1755841028885963</x:v>
      </x:c>
      <x:c r="N74" s="46"/>
      <x:c r="O74" s="46" t="n">
        <x:v>-5.7129598739491065</x:v>
      </x:c>
      <x:c r="P74" s="46" t="n">
        <x:v>-4.8629868137936185</x:v>
      </x:c>
      <x:c r="Q74" s="46" t="n">
        <x:v>3.420996929470854</x:v>
      </x:c>
      <x:c r="R74" s="46" t="n">
        <x:v>0.28273727330796444</x:v>
      </x:c>
    </x:row>
    <x:row r="75">
      <x:c r="C75" s="19" t="n">
        <x:v>41518</x:v>
      </x:c>
      <x:c r="D75" s="19" t="n">
        <x:v>41547</x:v>
      </x:c>
      <x:c r="E75" s="43" t="str">
        <x:v>grid_u4lflnxf.xlsx</x:v>
      </x:c>
      <x:c r="F75" s="46" t="n">
        <x:v>-3.2570955206539174</x:v>
      </x:c>
      <x:c r="G75" s="46" t="n">
        <x:v>-18.10783810313857</x:v>
      </x:c>
      <x:c r="H75" s="46" t="n">
        <x:v>3.8148485391005162</x:v>
      </x:c>
      <x:c r="I75" s="46" t="n">
        <x:v>4.368560068234602</x:v>
      </x:c>
      <x:c r="J75" s="46" t="n">
        <x:v>-8.796992177223071</x:v>
      </x:c>
      <x:c r="K75" s="46" t="n">
        <x:v>2.45611512951656</x:v>
      </x:c>
      <x:c r="L75" s="46" t="n">
        <x:v>8.044680659239337</x:v>
      </x:c>
      <x:c r="M75" s="46" t="n">
        <x:v>-13.196376511333064</x:v>
      </x:c>
      <x:c r="N75" s="46"/>
      <x:c r="O75" s="46" t="n">
        <x:v>-1.951896182621879</x:v>
      </x:c>
      <x:c r="P75" s="46" t="n">
        <x:v>-2.3533432669656147</x:v>
      </x:c>
      <x:c r="Q75" s="46" t="n">
        <x:v>-0.5224313196389986</x:v>
      </x:c>
      <x:c r="R75" s="46" t="n">
        <x:v>1.3447130820918398</x:v>
      </x:c>
    </x:row>
    <x:row r="76">
      <x:c r="C76" s="19" t="n">
        <x:v>41548</x:v>
      </x:c>
      <x:c r="D76" s="19" t="n">
        <x:v>41578</x:v>
      </x:c>
      <x:c r="E76" s="43" t="str">
        <x:v>grid_u4lflnxf.xlsx</x:v>
      </x:c>
      <x:c r="F76" s="46" t="n">
        <x:v>0.30864804634289794</x:v>
      </x:c>
      <x:c r="G76" s="46" t="n">
        <x:v>-18.318289217753723</x:v>
      </x:c>
      <x:c r="H76" s="46" t="n">
        <x:v>1.198434598776956</x:v>
      </x:c>
      <x:c r="I76" s="46" t="n">
        <x:v>2.4522078696143113</x:v>
      </x:c>
      <x:c r="J76" s="46" t="n">
        <x:v>-3.832104395216069</x:v>
      </x:c>
      <x:c r="K76" s="46" t="n">
        <x:v>3.714082758598731</x:v>
      </x:c>
      <x:c r="L76" s="46" t="n">
        <x:v>7.228764186150396</x:v>
      </x:c>
      <x:c r="M76" s="46" t="n">
        <x:v>-8.097803662793924</x:v>
      </x:c>
      <x:c r="N76" s="46"/>
      <x:c r="O76" s="46" t="n">
        <x:v>-1.8935485874155087</x:v>
      </x:c>
      <x:c r="P76" s="46" t="n">
        <x:v>-1.5604794148800498</x:v>
      </x:c>
      <x:c r="Q76" s="46" t="n">
        <x:v>-1.0913291167309165</x:v>
      </x:c>
      <x:c r="R76" s="46" t="n">
        <x:v>-0.5551832533447227</x:v>
      </x:c>
    </x:row>
    <x:row r="77">
      <x:c r="C77" s="19" t="n">
        <x:v>41579</x:v>
      </x:c>
      <x:c r="D77" s="19" t="n">
        <x:v>41607</x:v>
      </x:c>
      <x:c r="E77" s="43" t="str">
        <x:v>grid_u4lflnxf.xlsx</x:v>
      </x:c>
      <x:c r="F77" s="46" t="n">
        <x:v>5.423682474420521</x:v>
      </x:c>
      <x:c r="G77" s="46" t="n">
        <x:v>-24.360877206601536</x:v>
      </x:c>
      <x:c r="H77" s="46" t="n">
        <x:v>0.5434104217194323</x:v>
      </x:c>
      <x:c r="I77" s="46" t="n">
        <x:v>7.875642770007399</x:v>
      </x:c>
      <x:c r="J77" s="46" t="n">
        <x:v>3.1923192875181883</x:v>
      </x:c>
      <x:c r="K77" s="46" t="n">
        <x:v>3.730989685312019</x:v>
      </x:c>
      <x:c r="L77" s="46" t="n">
        <x:v>7.301995126471199</x:v>
      </x:c>
      <x:c r="M77" s="46" t="n">
        <x:v>3.121334799465962</x:v>
      </x:c>
      <x:c r="N77" s="46"/>
      <x:c r="O77" s="46" t="n">
        <x:v>9.645880493190186</x:v>
      </x:c>
      <x:c r="P77" s="46" t="n">
        <x:v>0.05336088851417749</x:v>
      </x:c>
      <x:c r="Q77" s="46" t="n">
        <x:v>3.5854879628695095</x:v>
      </x:c>
      <x:c r="R77" s="46" t="n">
        <x:v>-2.9847017507700127</x:v>
      </x:c>
    </x:row>
    <x:row r="78">
      <x:c r="C78" s="19" t="n">
        <x:v>41609</x:v>
      </x:c>
      <x:c r="D78" s="19" t="n">
        <x:v>41639</x:v>
      </x:c>
      <x:c r="E78" s="43" t="str">
        <x:v>grid_u4lflnxf.xlsx</x:v>
      </x:c>
      <x:c r="F78" s="46" t="n">
        <x:v>6.393819030109545</x:v>
      </x:c>
      <x:c r="G78" s="46" t="n">
        <x:v>-9.372375540799627</x:v>
      </x:c>
      <x:c r="H78" s="46" t="n">
        <x:v>-4.7024207200414345</x:v>
      </x:c>
      <x:c r="I78" s="46" t="n">
        <x:v>10.173514889880469</x:v>
      </x:c>
      <x:c r="J78" s="46" t="n">
        <x:v>27.017371491832392</x:v>
      </x:c>
      <x:c r="K78" s="46" t="n">
        <x:v>2.772545016004912</x:v>
      </x:c>
      <x:c r="L78" s="46" t="n">
        <x:v>-1.510513044986644</x:v>
      </x:c>
      <x:c r="M78" s="46" t="n">
        <x:v>7.854970004440413</x:v>
      </x:c>
      <x:c r="N78" s="46"/>
      <x:c r="O78" s="46" t="n">
        <x:v>0.8184181097706675</x:v>
      </x:c>
      <x:c r="P78" s="46" t="n">
        <x:v>-3.6898558575984537</x:v>
      </x:c>
      <x:c r="Q78" s="46" t="n">
        <x:v>3.426840575924947</x:v>
      </x:c>
      <x:c r="R78" s="46" t="n">
        <x:v>-9.303018941930706</x:v>
      </x:c>
    </x:row>
    <x:row r="79">
      <x:c r="C79" s="19" t="n">
        <x:v>41640</x:v>
      </x:c>
      <x:c r="D79" s="19" t="n">
        <x:v>41670</x:v>
      </x:c>
      <x:c r="E79" s="43" t="str">
        <x:v>grid_vtqvtw11.xlsx</x:v>
      </x:c>
      <x:c r="F79" s="46" t="n">
        <x:v>19.269185115957924</x:v>
      </x:c>
      <x:c r="G79" s="46" t="n">
        <x:v>24.014276665002274</x:v>
      </x:c>
      <x:c r="H79" s="46" t="n">
        <x:v>18.901306735879288</x:v>
      </x:c>
      <x:c r="I79" s="46" t="n">
        <x:v>35.29450984517295</x:v>
      </x:c>
      <x:c r="J79" s="46" t="n">
        <x:v>22.18563805953628</x:v>
      </x:c>
      <x:c r="K79" s="46" t="n">
        <x:v>6.641935344230705</x:v>
      </x:c>
      <x:c r="L79" s="46" t="n">
        <x:v>-11.543305947046196</x:v>
      </x:c>
      <x:c r="M79" s="46" t="n">
        <x:v>16.268843994177132</x:v>
      </x:c>
      <x:c r="N79" s="46"/>
      <x:c r="O79" s="46" t="n">
        <x:v>28.18046329734276</x:v>
      </x:c>
      <x:c r="P79" s="46" t="n">
        <x:v>-2.262035292142143</x:v>
      </x:c>
      <x:c r="Q79" s="46" t="n">
        <x:v>7.983914408622837</x:v>
      </x:c>
      <x:c r="R79" s="46" t="n">
        <x:v>0.5746094800319106</x:v>
      </x:c>
    </x:row>
    <x:row r="80">
      <x:c r="C80" s="19" t="n">
        <x:v>41671</x:v>
      </x:c>
      <x:c r="D80" s="19" t="n">
        <x:v>41698</x:v>
      </x:c>
      <x:c r="E80" s="43" t="str">
        <x:v>grid_vtqvtw11.xlsx</x:v>
      </x:c>
      <x:c r="F80" s="46" t="n">
        <x:v>12.499467288936707</x:v>
      </x:c>
      <x:c r="G80" s="46" t="n">
        <x:v>32.0350342781713</x:v>
      </x:c>
      <x:c r="H80" s="46" t="n">
        <x:v>21.708955333277427</x:v>
      </x:c>
      <x:c r="I80" s="46" t="n">
        <x:v>33.489980102513265</x:v>
      </x:c>
      <x:c r="J80" s="46" t="n">
        <x:v>-1.2026028441393226</x:v>
      </x:c>
      <x:c r="K80" s="46" t="n">
        <x:v>9.45327903670674</x:v>
      </x:c>
      <x:c r="L80" s="46" t="n">
        <x:v>-5.599468225411134</x:v>
      </x:c>
      <x:c r="M80" s="46" t="n">
        <x:v>10.083582415152259</x:v>
      </x:c>
      <x:c r="N80" s="46"/>
      <x:c r="O80" s="46" t="n">
        <x:v>22.94495352691995</x:v>
      </x:c>
      <x:c r="P80" s="46" t="n">
        <x:v>-6.692803521846331</x:v>
      </x:c>
      <x:c r="Q80" s="46" t="n">
        <x:v>11.196338549639188</x:v>
      </x:c>
      <x:c r="R80" s="46" t="n">
        <x:v>4.776756482500039</x:v>
      </x:c>
    </x:row>
    <x:row r="81">
      <x:c r="C81" s="19" t="n">
        <x:v>41699</x:v>
      </x:c>
      <x:c r="D81" s="19" t="n">
        <x:v>41729</x:v>
      </x:c>
      <x:c r="E81" s="43" t="str">
        <x:v>grid_vtqvtw11.xlsx</x:v>
      </x:c>
      <x:c r="F81" s="46" t="n">
        <x:v>17.4822050643899</x:v>
      </x:c>
      <x:c r="G81" s="46" t="n">
        <x:v>35.66336176509582</x:v>
      </x:c>
      <x:c r="H81" s="46" t="n">
        <x:v>29.429156507654692</x:v>
      </x:c>
      <x:c r="I81" s="46" t="n">
        <x:v>31.293762319958063</x:v>
      </x:c>
      <x:c r="J81" s="46" t="n">
        <x:v>-0.5937784011851444</x:v>
      </x:c>
      <x:c r="K81" s="46" t="n">
        <x:v>9.590989443434163</x:v>
      </x:c>
      <x:c r="L81" s="46" t="n">
        <x:v>5.02632532554829</x:v>
      </x:c>
      <x:c r="M81" s="46" t="n">
        <x:v>9.616259556312775</x:v>
      </x:c>
      <x:c r="N81" s="46"/>
      <x:c r="O81" s="46" t="n">
        <x:v>28.404571747045466</x:v>
      </x:c>
      <x:c r="P81" s="46" t="n">
        <x:v>-8.64855904638046</x:v>
      </x:c>
      <x:c r="Q81" s="46" t="n">
        <x:v>5.552810243108789</x:v>
      </x:c>
      <x:c r="R81" s="46" t="n">
        <x:v>14.689066696443756</x:v>
      </x:c>
    </x:row>
    <x:row r="82">
      <x:c r="C82" s="19" t="n">
        <x:v>41730</x:v>
      </x:c>
      <x:c r="D82" s="19" t="n">
        <x:v>41759</x:v>
      </x:c>
      <x:c r="E82" s="43" t="str">
        <x:v>grid_vtqvtw11.xlsx</x:v>
      </x:c>
      <x:c r="F82" s="46" t="n">
        <x:v>3.5435581822696225</x:v>
      </x:c>
      <x:c r="G82" s="46" t="n">
        <x:v>11.283044908443934</x:v>
      </x:c>
      <x:c r="H82" s="46" t="n">
        <x:v>10.774634192524724</x:v>
      </x:c>
      <x:c r="I82" s="46" t="n">
        <x:v>-0.3361049736792892</x:v>
      </x:c>
      <x:c r="J82" s="46" t="n">
        <x:v>2.1874711110228815</x:v>
      </x:c>
      <x:c r="K82" s="46" t="n">
        <x:v>5.594543232833607</x:v>
      </x:c>
      <x:c r="L82" s="46" t="n">
        <x:v>15.101849146431961</x:v>
      </x:c>
      <x:c r="M82" s="46" t="n">
        <x:v>-5.834300319750055</x:v>
      </x:c>
      <x:c r="N82" s="46"/>
      <x:c r="O82" s="46" t="n">
        <x:v>0.7798004764686824</x:v>
      </x:c>
      <x:c r="P82" s="46" t="n">
        <x:v>-5.232561835302192</x:v>
      </x:c>
      <x:c r="Q82" s="46" t="n">
        <x:v>0.8225635065736727</x:v>
      </x:c>
      <x:c r="R82" s="46" t="n">
        <x:v>8.718609566843998</x:v>
      </x:c>
    </x:row>
    <x:row r="83">
      <x:c r="C83" s="19" t="n">
        <x:v>41760</x:v>
      </x:c>
      <x:c r="D83" s="19" t="n">
        <x:v>41789</x:v>
      </x:c>
      <x:c r="E83" s="43" t="str">
        <x:v>grid_vtqvtw11.xlsx</x:v>
      </x:c>
      <x:c r="F83" s="46" t="n">
        <x:v>6.45907887580177</x:v>
      </x:c>
      <x:c r="G83" s="46" t="n">
        <x:v>0.8874390688791759</x:v>
      </x:c>
      <x:c r="H83" s="46" t="n">
        <x:v>32.17303178539602</x:v>
      </x:c>
      <x:c r="I83" s="46" t="n">
        <x:v>9.049840701114645</x:v>
      </x:c>
      <x:c r="J83" s="46" t="n">
        <x:v>1.224134560585133</x:v>
      </x:c>
      <x:c r="K83" s="46" t="n">
        <x:v>7.589307810321044</x:v>
      </x:c>
      <x:c r="L83" s="46" t="n">
        <x:v>13.213074802479937</x:v>
      </x:c>
      <x:c r="M83" s="46" t="n">
        <x:v>13.842304014225121</x:v>
      </x:c>
      <x:c r="N83" s="46"/>
      <x:c r="O83" s="46" t="n">
        <x:v>-1.220089957679556</x:v>
      </x:c>
      <x:c r="P83" s="46" t="n">
        <x:v>-1.2602096678343995</x:v>
      </x:c>
      <x:c r="Q83" s="46" t="n">
        <x:v>1.0772087547932623</x:v>
      </x:c>
      <x:c r="R83" s="46" t="n">
        <x:v>3.8105450829547536</x:v>
      </x:c>
    </x:row>
    <x:row r="84">
      <x:c r="C84" s="19" t="n">
        <x:v>41791</x:v>
      </x:c>
      <x:c r="D84" s="19" t="n">
        <x:v>41820</x:v>
      </x:c>
      <x:c r="E84" s="43" t="str">
        <x:v>grid_vtqvtw11.xlsx</x:v>
      </x:c>
      <x:c r="F84" s="46" t="n">
        <x:v>1.7649659322601448</x:v>
      </x:c>
      <x:c r="G84" s="46" t="n">
        <x:v>-5.359073738127161</x:v>
      </x:c>
      <x:c r="H84" s="46" t="n">
        <x:v>31.34560872405952</x:v>
      </x:c>
      <x:c r="I84" s="46" t="n">
        <x:v>8.272627577962455</x:v>
      </x:c>
      <x:c r="J84" s="46" t="n">
        <x:v>-2.9347657287901</x:v>
      </x:c>
      <x:c r="K84" s="46" t="n">
        <x:v>6.145098002860372</x:v>
      </x:c>
      <x:c r="L84" s="46" t="n">
        <x:v>11.752150825091164</x:v>
      </x:c>
      <x:c r="M84" s="46" t="n">
        <x:v>14.246982589506258</x:v>
      </x:c>
      <x:c r="N84" s="46"/>
      <x:c r="O84" s="46" t="n">
        <x:v>-10.103551808169467</x:v>
      </x:c>
      <x:c r="P84" s="46" t="n">
        <x:v>1.3205680342229242</x:v>
      </x:c>
      <x:c r="Q84" s="46" t="n">
        <x:v>1.5790854590000722</x:v>
      </x:c>
      <x:c r="R84" s="46" t="n">
        <x:v>-2.9726185934107843</x:v>
      </x:c>
    </x:row>
    <x:row r="85">
      <x:c r="C85" s="19" t="n">
        <x:v>41821</x:v>
      </x:c>
      <x:c r="D85" s="19" t="n">
        <x:v>41851</x:v>
      </x:c>
      <x:c r="E85" s="43" t="str">
        <x:v>grid_vtqvtw11.xlsx</x:v>
      </x:c>
      <x:c r="F85" s="46" t="n">
        <x:v>3.6888367176410988</x:v>
      </x:c>
      <x:c r="G85" s="46" t="n">
        <x:v>-4.027825544091837</x:v>
      </x:c>
      <x:c r="H85" s="46" t="n">
        <x:v>39.10433813284555</x:v>
      </x:c>
      <x:c r="I85" s="46" t="n">
        <x:v>11.567268665647365</x:v>
      </x:c>
      <x:c r="J85" s="46" t="n">
        <x:v>-7.0437984711921375</x:v>
      </x:c>
      <x:c r="K85" s="46" t="n">
        <x:v>9.406117113859436</x:v>
      </x:c>
      <x:c r="L85" s="46" t="n">
        <x:v>7.299097793395726</x:v>
      </x:c>
      <x:c r="M85" s="46" t="n">
        <x:v>16.939293732902183</x:v>
      </x:c>
      <x:c r="N85" s="46"/>
      <x:c r="O85" s="46" t="n">
        <x:v>-9.856264098957979</x:v>
      </x:c>
      <x:c r="P85" s="46" t="n">
        <x:v>-5.872211370038991</x:v>
      </x:c>
      <x:c r="Q85" s="46" t="n">
        <x:v>3.6521955470604945</x:v>
      </x:c>
      <x:c r="R85" s="46" t="n">
        <x:v>-2.867680871596794</x:v>
      </x:c>
    </x:row>
    <x:row r="86">
      <x:c r="C86" s="19" t="n">
        <x:v>41852</x:v>
      </x:c>
      <x:c r="D86" s="19" t="n">
        <x:v>41880</x:v>
      </x:c>
      <x:c r="E86" s="43" t="str">
        <x:v>grid_vtqvtw11.xlsx</x:v>
      </x:c>
      <x:c r="F86" s="46" t="n">
        <x:v>4.978822806598085</x:v>
      </x:c>
      <x:c r="G86" s="46" t="n">
        <x:v>3.9820800343868803</x:v>
      </x:c>
      <x:c r="H86" s="46" t="n">
        <x:v>19.754979155274203</x:v>
      </x:c>
      <x:c r="I86" s="46" t="n">
        <x:v>-3.780076851003004</x:v>
      </x:c>
      <x:c r="J86" s="46" t="n">
        <x:v>-0.9134259916568701</x:v>
      </x:c>
      <x:c r="K86" s="46" t="n">
        <x:v>9.188062759647474</x:v>
      </x:c>
      <x:c r="L86" s="46" t="n">
        <x:v>4.764554811743501</x:v>
      </x:c>
      <x:c r="M86" s="46" t="n">
        <x:v>0.6353695033918886</x:v>
      </x:c>
      <x:c r="N86" s="46"/>
      <x:c r="O86" s="46" t="n">
        <x:v>-16.403130339850605</x:v>
      </x:c>
      <x:c r="P86" s="46" t="n">
        <x:v>-2.97351846846951</x:v>
      </x:c>
      <x:c r="Q86" s="46" t="n">
        <x:v>-2.2279263109919776</x:v>
      </x:c>
      <x:c r="R86" s="46" t="n">
        <x:v>0.9046181934057521</x:v>
      </x:c>
    </x:row>
    <x:row r="87">
      <x:c r="C87" s="19" t="n">
        <x:v>41883</x:v>
      </x:c>
      <x:c r="D87" s="19" t="n">
        <x:v>41912</x:v>
      </x:c>
      <x:c r="E87" s="43" t="str">
        <x:v>grid_vtqvtw11.xlsx</x:v>
      </x:c>
      <x:c r="F87" s="46" t="n">
        <x:v>1.5870954850292947</x:v>
      </x:c>
      <x:c r="G87" s="46" t="n">
        <x:v>2.374581620031133</x:v>
      </x:c>
      <x:c r="H87" s="46" t="n">
        <x:v>29.38306907626651</x:v>
      </x:c>
      <x:c r="I87" s="46" t="n">
        <x:v>11.110824482816438</x:v>
      </x:c>
      <x:c r="J87" s="46" t="n">
        <x:v>-0.1929634246143155</x:v>
      </x:c>
      <x:c r="K87" s="46" t="n">
        <x:v>10.395193111163772</x:v>
      </x:c>
      <x:c r="L87" s="46" t="n">
        <x:v>2.6748669553659385</x:v>
      </x:c>
      <x:c r="M87" s="46" t="n">
        <x:v>-4.642040466468695</x:v>
      </x:c>
      <x:c r="N87" s="46"/>
      <x:c r="O87" s="46" t="n">
        <x:v>-15.50169144635754</x:v>
      </x:c>
      <x:c r="P87" s="46" t="n">
        <x:v>-2.9210314984811836</x:v>
      </x:c>
      <x:c r="Q87" s="46" t="n">
        <x:v>-3.4148460688914963</x:v>
      </x:c>
      <x:c r="R87" s="46" t="n">
        <x:v>0.7573877758865707</x:v>
      </x:c>
    </x:row>
    <x:row r="88">
      <x:c r="C88" s="19" t="n">
        <x:v>41913</x:v>
      </x:c>
      <x:c r="D88" s="19" t="n">
        <x:v>41943</x:v>
      </x:c>
      <x:c r="E88" s="43" t="str">
        <x:v>grid_vtqvtw11.xlsx</x:v>
      </x:c>
      <x:c r="F88" s="46" t="n">
        <x:v>-7.3715878514445485</x:v>
      </x:c>
      <x:c r="G88" s="46" t="n">
        <x:v>2.9246183055249175</x:v>
      </x:c>
      <x:c r="H88" s="46" t="n">
        <x:v>18.640367304142373</x:v>
      </x:c>
      <x:c r="I88" s="46" t="n">
        <x:v>12.240774301595176</x:v>
      </x:c>
      <x:c r="J88" s="46" t="n">
        <x:v>-0.5815673800622271</x:v>
      </x:c>
      <x:c r="K88" s="46" t="n">
        <x:v>9.6379521244216</x:v>
      </x:c>
      <x:c r="L88" s="46" t="n">
        <x:v>3.1524786325913974</x:v>
      </x:c>
      <x:c r="M88" s="46" t="n">
        <x:v>-0.3647626854780284</x:v>
      </x:c>
      <x:c r="N88" s="46"/>
      <x:c r="O88" s="46" t="n">
        <x:v>-37.030852730862065</x:v>
      </x:c>
      <x:c r="P88" s="46" t="n">
        <x:v>2.4758640958778897</x:v>
      </x:c>
      <x:c r="Q88" s="46" t="n">
        <x:v>-8.893649695584498</x:v>
      </x:c>
      <x:c r="R88" s="46" t="n">
        <x:v>1.859920906868317</x:v>
      </x:c>
    </x:row>
    <x:row r="89">
      <x:c r="C89" s="19" t="n">
        <x:v>41944</x:v>
      </x:c>
      <x:c r="D89" s="19" t="n">
        <x:v>41971</x:v>
      </x:c>
      <x:c r="E89" s="43" t="str">
        <x:v>grid_vtqvtw11.xlsx</x:v>
      </x:c>
      <x:c r="F89" s="46" t="n">
        <x:v>-14.741944636933086</x:v>
      </x:c>
      <x:c r="G89" s="46" t="n">
        <x:v>4.826828043889891</x:v>
      </x:c>
      <x:c r="H89" s="46" t="n">
        <x:v>15.658722501025817</x:v>
      </x:c>
      <x:c r="I89" s="46" t="n">
        <x:v>15.073029970221002</x:v>
      </x:c>
      <x:c r="J89" s="46" t="n">
        <x:v>-6.350756116254898</x:v>
      </x:c>
      <x:c r="K89" s="46" t="n">
        <x:v>7.013015386545675</x:v>
      </x:c>
      <x:c r="L89" s="46" t="n">
        <x:v>2.0602575090605506</x:v>
      </x:c>
      <x:c r="M89" s="46" t="n">
        <x:v>-2.7961698766397562</x:v>
      </x:c>
      <x:c r="N89" s="46"/>
      <x:c r="O89" s="46" t="n">
        <x:v>-38.87547411558373</x:v>
      </x:c>
      <x:c r="P89" s="46" t="n">
        <x:v>-2.8922333160939373</x:v>
      </x:c>
      <x:c r="Q89" s="46" t="n">
        <x:v>-9.804533083761283</x:v>
      </x:c>
      <x:c r="R89" s="46" t="n">
        <x:v>1.9636193700796722</x:v>
      </x:c>
    </x:row>
    <x:row r="90">
      <x:c r="C90" s="19" t="n">
        <x:v>41974</x:v>
      </x:c>
      <x:c r="D90" s="19" t="n">
        <x:v>42004</x:v>
      </x:c>
      <x:c r="E90" s="43" t="str">
        <x:v>grid_vtqvtw11.xlsx</x:v>
      </x:c>
      <x:c r="F90" s="46" t="n">
        <x:v>-17.923715584805826</x:v>
      </x:c>
      <x:c r="G90" s="46" t="n">
        <x:v>15.29810573637931</x:v>
      </x:c>
      <x:c r="H90" s="46" t="n">
        <x:v>7.370728649919239</x:v>
      </x:c>
      <x:c r="I90" s="46" t="n">
        <x:v>3.454471022746318</x:v>
      </x:c>
      <x:c r="J90" s="46" t="n">
        <x:v>-22.394980415928746</x:v>
      </x:c>
      <x:c r="K90" s="46" t="n">
        <x:v>6.479173754418835</x:v>
      </x:c>
      <x:c r="L90" s="46" t="n">
        <x:v>2.956581522580298</x:v>
      </x:c>
      <x:c r="M90" s="46" t="n">
        <x:v>2.00661705814434</x:v>
      </x:c>
      <x:c r="N90" s="46"/>
      <x:c r="O90" s="46" t="n">
        <x:v>-55.613094303881695</x:v>
      </x:c>
      <x:c r="P90" s="46" t="n">
        <x:v>-10.708269492423895</x:v>
      </x:c>
      <x:c r="Q90" s="46" t="n">
        <x:v>-20.147652567873223</x:v>
      </x:c>
      <x:c r="R90" s="46" t="n">
        <x:v>-0.12507751987177138</x:v>
      </x:c>
    </x:row>
    <x:row r="91">
      <x:c r="C91" s="19" t="n">
        <x:v>42005</x:v>
      </x:c>
      <x:c r="D91" s="19" t="n">
        <x:v>42034</x:v>
      </x:c>
      <x:c r="E91" s="43" t="str">
        <x:v>grid_vtqvtw11.xlsx</x:v>
      </x:c>
      <x:c r="F91" s="46" t="n">
        <x:v>-14.073143649518135</x:v>
      </x:c>
      <x:c r="G91" s="46" t="n">
        <x:v>14.890523176953959</x:v>
      </x:c>
      <x:c r="H91" s="46" t="n">
        <x:v>4.761771190575264</x:v>
      </x:c>
      <x:c r="I91" s="46" t="n">
        <x:v>4.3766713061969105</x:v>
      </x:c>
      <x:c r="J91" s="46" t="n">
        <x:v>-34.74763496363257</x:v>
      </x:c>
      <x:c r="K91" s="46" t="n">
        <x:v>4.615437324201678</x:v>
      </x:c>
      <x:c r="L91" s="46" t="n">
        <x:v>7.0005615178266005</x:v>
      </x:c>
      <x:c r="M91" s="46" t="n">
        <x:v>1.5358239152483415</x:v>
      </x:c>
      <x:c r="N91" s="46"/>
      <x:c r="O91" s="46" t="n">
        <x:v>-48.22620953160852</x:v>
      </x:c>
      <x:c r="P91" s="46" t="n">
        <x:v>-11.69752771303321</x:v>
      </x:c>
      <x:c r="Q91" s="46" t="n">
        <x:v>-20.1873017160747</x:v>
      </x:c>
      <x:c r="R91" s="46" t="n">
        <x:v>0.5254231729867431</x:v>
      </x:c>
    </x:row>
    <x:row r="92">
      <x:c r="C92" s="19" t="n">
        <x:v>42036</x:v>
      </x:c>
      <x:c r="D92" s="19" t="n">
        <x:v>42062</x:v>
      </x:c>
      <x:c r="E92" s="43" t="str">
        <x:v>grid_vtqvtw11.xlsx</x:v>
      </x:c>
      <x:c r="F92" s="46" t="n">
        <x:v>-9.787904480409432</x:v>
      </x:c>
      <x:c r="G92" s="46" t="n">
        <x:v>6.125407137258257</x:v>
      </x:c>
      <x:c r="H92" s="46" t="n">
        <x:v>0.9734090273300907</x:v>
      </x:c>
      <x:c r="I92" s="46" t="n">
        <x:v>4.420659130253561</x:v>
      </x:c>
      <x:c r="J92" s="46" t="n">
        <x:v>-33.955575167306016</x:v>
      </x:c>
      <x:c r="K92" s="46" t="n">
        <x:v>3.8938966382802183</x:v>
      </x:c>
      <x:c r="L92" s="46" t="n">
        <x:v>8.355797932693406</x:v>
      </x:c>
      <x:c r="M92" s="46" t="n">
        <x:v>4.921978505143679</x:v>
      </x:c>
      <x:c r="N92" s="46"/>
      <x:c r="O92" s="46" t="n">
        <x:v>-56.80019556736743</x:v>
      </x:c>
      <x:c r="P92" s="46" t="n">
        <x:v>-9.671624526339603</x:v>
      </x:c>
      <x:c r="Q92" s="46" t="n">
        <x:v>-24.84710827204746</x:v>
      </x:c>
      <x:c r="R92" s="46" t="n">
        <x:v>0.9821660044858059</x:v>
      </x:c>
    </x:row>
    <x:row r="93">
      <x:c r="C93" s="19" t="n">
        <x:v>42064</x:v>
      </x:c>
      <x:c r="D93" s="19" t="n">
        <x:v>42094</x:v>
      </x:c>
      <x:c r="E93" s="43" t="str">
        <x:v>grid_vtqvtw11.xlsx</x:v>
      </x:c>
      <x:c r="F93" s="46" t="n">
        <x:v>-5.8635242810512604</x:v>
      </x:c>
      <x:c r="G93" s="46" t="n">
        <x:v>6.784928192291667</x:v>
      </x:c>
      <x:c r="H93" s="46" t="n">
        <x:v>-2.6835739311122313</x:v>
      </x:c>
      <x:c r="I93" s="46" t="n">
        <x:v>4.7724494102246995</x:v>
      </x:c>
      <x:c r="J93" s="46" t="n">
        <x:v>-29.679173258753046</x:v>
      </x:c>
      <x:c r="K93" s="46" t="n">
        <x:v>3.2986423481739626</x:v>
      </x:c>
      <x:c r="L93" s="46" t="n">
        <x:v>8.416083598403267</x:v>
      </x:c>
      <x:c r="M93" s="46" t="n">
        <x:v>0.02897459645541457</x:v>
      </x:c>
      <x:c r="N93" s="46"/>
      <x:c r="O93" s="46" t="n">
        <x:v>-84.22440758709656</x:v>
      </x:c>
      <x:c r="P93" s="46" t="n">
        <x:v>-2.364949181207484</x:v>
      </x:c>
      <x:c r="Q93" s="46" t="n">
        <x:v>-13.216709634399756</x:v>
      </x:c>
      <x:c r="R93" s="46" t="n">
        <x:v>3.368795240524997</x:v>
      </x:c>
    </x:row>
    <x:row r="94">
      <x:c r="C94" s="19" t="n">
        <x:v>42095</x:v>
      </x:c>
      <x:c r="D94" s="19" t="n">
        <x:v>42124</x:v>
      </x:c>
      <x:c r="E94" s="43" t="str">
        <x:v>grid_vtqvtw11.xlsx</x:v>
      </x:c>
      <x:c r="F94" s="46" t="n">
        <x:v>-5.649201450293289</x:v>
      </x:c>
      <x:c r="G94" s="46" t="n">
        <x:v>4.542702653186362</x:v>
      </x:c>
      <x:c r="H94" s="46" t="n">
        <x:v>-3.117082239759046</x:v>
      </x:c>
      <x:c r="I94" s="46" t="n">
        <x:v>3.6874103673354113</x:v>
      </x:c>
      <x:c r="J94" s="46" t="n">
        <x:v>-22.697332382696224</x:v>
      </x:c>
      <x:c r="K94" s="46" t="n">
        <x:v>2.0647602013325925</x:v>
      </x:c>
      <x:c r="L94" s="46" t="n">
        <x:v>3.1164622598212754</x:v>
      </x:c>
      <x:c r="M94" s="46" t="n">
        <x:v>-1.5827500674314539</x:v>
      </x:c>
      <x:c r="N94" s="46"/>
      <x:c r="O94" s="46"/>
      <x:c r="P94" s="46" t="n">
        <x:v>2.5375082275213376</x:v>
      </x:c>
      <x:c r="Q94" s="46" t="n">
        <x:v>-7.979576554834587</x:v>
      </x:c>
      <x:c r="R94" s="46" t="n">
        <x:v>2.57723815331131</x:v>
      </x:c>
    </x:row>
    <x:row r="95">
      <x:c r="C95" s="19" t="n">
        <x:v>42125</x:v>
      </x:c>
      <x:c r="D95" s="19" t="n">
        <x:v>42153</x:v>
      </x:c>
      <x:c r="E95" s="43" t="str">
        <x:v>grid_vtqvtw11.xlsx</x:v>
      </x:c>
      <x:c r="F95" s="46" t="n">
        <x:v>-4.422293588399551</x:v>
      </x:c>
      <x:c r="G95" s="46" t="n">
        <x:v>14.084534366151747</x:v>
      </x:c>
      <x:c r="H95" s="46" t="n">
        <x:v>2.60652568399231</x:v>
      </x:c>
      <x:c r="I95" s="46" t="n">
        <x:v>2.3645402078976994</x:v>
      </x:c>
      <x:c r="J95" s="46" t="n">
        <x:v>-6.717342236353244</x:v>
      </x:c>
      <x:c r="K95" s="46" t="n">
        <x:v>0.8077289851381244</x:v>
      </x:c>
      <x:c r="L95" s="46" t="n">
        <x:v>3.4340070013992245</x:v>
      </x:c>
      <x:c r="M95" s="46" t="n">
        <x:v>-5.55678412514289</x:v>
      </x:c>
      <x:c r="N95" s="46"/>
      <x:c r="O95" s="46" t="n">
        <x:v>-253.16040905649868</x:v>
      </x:c>
      <x:c r="P95" s="46" t="n">
        <x:v>-1.1239981346762613</x:v>
      </x:c>
      <x:c r="Q95" s="46" t="n">
        <x:v>2.5063221987441433</x:v>
      </x:c>
      <x:c r="R95" s="46" t="n">
        <x:v>-0.3689372176077468</x:v>
      </x:c>
    </x:row>
    <x:row r="96">
      <x:c r="C96" s="19" t="n">
        <x:v>42156</x:v>
      </x:c>
      <x:c r="D96" s="19" t="n">
        <x:v>42185</x:v>
      </x:c>
      <x:c r="E96" s="43" t="str">
        <x:v>grid_vtqvtw11.xlsx</x:v>
      </x:c>
      <x:c r="F96" s="46" t="n">
        <x:v>2.8588191626294184</x:v>
      </x:c>
      <x:c r="G96" s="46" t="n">
        <x:v>14.164896649098669</x:v>
      </x:c>
      <x:c r="H96" s="46" t="n">
        <x:v>4.722845008792715</x:v>
      </x:c>
      <x:c r="I96" s="46" t="n">
        <x:v>3.5462146463997377</x:v>
      </x:c>
      <x:c r="J96" s="46" t="n">
        <x:v>7.192168005132175</x:v>
      </x:c>
      <x:c r="K96" s="46" t="n">
        <x:v>0.5956230737863732</x:v>
      </x:c>
      <x:c r="L96" s="46" t="n">
        <x:v>-0.5891643207543074</x:v>
      </x:c>
      <x:c r="M96" s="46" t="n">
        <x:v>0.643596235275259</x:v>
      </x:c>
      <x:c r="N96" s="46"/>
      <x:c r="O96" s="46" t="n">
        <x:v>-160.8061317010207</x:v>
      </x:c>
      <x:c r="P96" s="46" t="n">
        <x:v>-1.6265374974466167</x:v>
      </x:c>
      <x:c r="Q96" s="46" t="n">
        <x:v>1.034223583754236</x:v>
      </x:c>
      <x:c r="R96" s="46" t="n">
        <x:v>1.7946894637222501</x:v>
      </x:c>
    </x:row>
    <x:row r="97">
      <x:c r="C97" s="19" t="n">
        <x:v>42186</x:v>
      </x:c>
      <x:c r="D97" s="19" t="n">
        <x:v>42216</x:v>
      </x:c>
      <x:c r="E97" s="43" t="str">
        <x:v>grid_vtqvtw11.xlsx</x:v>
      </x:c>
      <x:c r="F97" s="46" t="n">
        <x:v>5.037142159397663</x:v>
      </x:c>
      <x:c r="G97" s="46" t="n">
        <x:v>16.371969443604236</x:v>
      </x:c>
      <x:c r="H97" s="46" t="n">
        <x:v>6.65255972915626</x:v>
      </x:c>
      <x:c r="I97" s="46" t="n">
        <x:v>4.186241680906372</x:v>
      </x:c>
      <x:c r="J97" s="46" t="n">
        <x:v>19.097505778753973</x:v>
      </x:c>
      <x:c r="K97" s="46" t="n">
        <x:v>0.6328970954877252</x:v>
      </x:c>
      <x:c r="L97" s="46" t="n">
        <x:v>0.5714766284208767</x:v>
      </x:c>
      <x:c r="M97" s="46" t="n">
        <x:v>6.477660170691426</x:v>
      </x:c>
      <x:c r="N97" s="46"/>
      <x:c r="O97" s="46"/>
      <x:c r="P97" s="46" t="n">
        <x:v>-10.984221062880705</x:v>
      </x:c>
      <x:c r="Q97" s="46" t="n">
        <x:v>1.7638753514043866</x:v>
      </x:c>
      <x:c r="R97" s="46" t="n">
        <x:v>-0.004991004942253375</x:v>
      </x:c>
    </x:row>
    <x:row r="98">
      <x:c r="C98" s="19" t="n">
        <x:v>42217</x:v>
      </x:c>
      <x:c r="D98" s="19" t="n">
        <x:v>42247</x:v>
      </x:c>
      <x:c r="E98" s="43" t="str">
        <x:v>grid_vtqvtw11.xlsx</x:v>
      </x:c>
      <x:c r="F98" s="46" t="n">
        <x:v>1.001777907965279</x:v>
      </x:c>
      <x:c r="G98" s="46" t="n">
        <x:v>12.334493631207346</x:v>
      </x:c>
      <x:c r="H98" s="46" t="n">
        <x:v>3.9991419742389027</x:v>
      </x:c>
      <x:c r="I98" s="46" t="n">
        <x:v>6.219173053297171</x:v>
      </x:c>
      <x:c r="J98" s="46" t="n">
        <x:v>-0.6472002380610884</x:v>
      </x:c>
      <x:c r="K98" s="46" t="n">
        <x:v>-0.2342078356714484</x:v>
      </x:c>
      <x:c r="L98" s="46" t="n">
        <x:v>-2.540194399169939</x:v>
      </x:c>
      <x:c r="M98" s="46" t="n">
        <x:v>9.066738303618191</x:v>
      </x:c>
      <x:c r="N98" s="46"/>
      <x:c r="O98" s="46" t="n">
        <x:v>127.51593362935331</x:v>
      </x:c>
      <x:c r="P98" s="46" t="n">
        <x:v>-4.443816445062104</x:v>
      </x:c>
      <x:c r="Q98" s="46" t="n">
        <x:v>-2.3632749265832387</x:v>
      </x:c>
      <x:c r="R98" s="46" t="n">
        <x:v>-5.754210107934598</x:v>
      </x:c>
    </x:row>
    <x:row r="99">
      <x:c r="C99" s="19" t="n">
        <x:v>42248</x:v>
      </x:c>
      <x:c r="D99" s="19" t="n">
        <x:v>42277</x:v>
      </x:c>
      <x:c r="E99" s="43" t="str">
        <x:v>grid_vtqvtw11.xlsx</x:v>
      </x:c>
      <x:c r="F99" s="46" t="n">
        <x:v>-10.665254988177693</x:v>
      </x:c>
      <x:c r="G99" s="46" t="n">
        <x:v>13.60276526934537</x:v>
      </x:c>
      <x:c r="H99" s="46" t="n">
        <x:v>6.560906155835074</x:v>
      </x:c>
      <x:c r="I99" s="46" t="n">
        <x:v>-4.813515053890557</x:v>
      </x:c>
      <x:c r="J99" s="46" t="n">
        <x:v>-21.493745904489415</x:v>
      </x:c>
      <x:c r="K99" s="46" t="n">
        <x:v>0.8778559940157344</x:v>
      </x:c>
      <x:c r="L99" s="46" t="n">
        <x:v>0.9288806614159133</x:v>
      </x:c>
      <x:c r="M99" s="46" t="n">
        <x:v>12.620443489846778</x:v>
      </x:c>
      <x:c r="N99" s="46"/>
      <x:c r="O99" s="46" t="n">
        <x:v>42.40090400188942</x:v>
      </x:c>
      <x:c r="P99" s="46" t="n">
        <x:v>-4.815851845018761</x:v>
      </x:c>
      <x:c r="Q99" s="46" t="n">
        <x:v>-5.1276620595528986</x:v>
      </x:c>
      <x:c r="R99" s="46" t="n">
        <x:v>-8.324796743631522</x:v>
      </x:c>
    </x:row>
    <x:row r="100">
      <x:c r="C100" s="19" t="n">
        <x:v>42278</x:v>
      </x:c>
      <x:c r="D100" s="19" t="n">
        <x:v>42307</x:v>
      </x:c>
      <x:c r="E100" s="43" t="str">
        <x:v>grid_vtqvtw11.xlsx</x:v>
      </x:c>
      <x:c r="F100" s="46" t="n">
        <x:v>-10.806484922015702</x:v>
      </x:c>
      <x:c r="G100" s="46" t="n">
        <x:v>5.875207410796469</x:v>
      </x:c>
      <x:c r="H100" s="46" t="n">
        <x:v>7.270705573756313</x:v>
      </x:c>
      <x:c r="I100" s="46" t="n">
        <x:v>3.8040432355448135</x:v>
      </x:c>
      <x:c r="J100" s="46" t="n">
        <x:v>-23.99781099245824</x:v>
      </x:c>
      <x:c r="K100" s="46" t="n">
        <x:v>-4.602905581080021</x:v>
      </x:c>
      <x:c r="L100" s="46" t="n">
        <x:v>1.5068097182883398</x:v>
      </x:c>
      <x:c r="M100" s="46" t="n">
        <x:v>11.593615232557559</x:v>
      </x:c>
      <x:c r="N100" s="46"/>
      <x:c r="O100" s="46" t="n">
        <x:v>70.4649304921184</x:v>
      </x:c>
      <x:c r="P100" s="46" t="n">
        <x:v>-3.91376846493256</x:v>
      </x:c>
      <x:c r="Q100" s="46" t="n">
        <x:v>-7.502757104660304</x:v>
      </x:c>
      <x:c r="R100" s="46" t="n">
        <x:v>-6.577172107466767</x:v>
      </x:c>
    </x:row>
    <x:row r="101">
      <x:c r="C101" s="19" t="n">
        <x:v>42309</x:v>
      </x:c>
      <x:c r="D101" s="19" t="n">
        <x:v>42338</x:v>
      </x:c>
      <x:c r="E101" s="43" t="str">
        <x:v>grid_vtqvtw11.xlsx</x:v>
      </x:c>
      <x:c r="F101" s="46" t="n">
        <x:v>-8.424899727315696</x:v>
      </x:c>
      <x:c r="G101" s="46" t="n">
        <x:v>6.714705877371305</x:v>
      </x:c>
      <x:c r="H101" s="46" t="n">
        <x:v>5.59404627451408</x:v>
      </x:c>
      <x:c r="I101" s="46" t="n">
        <x:v>3.3206374764246855</x:v>
      </x:c>
      <x:c r="J101" s="46" t="n">
        <x:v>-22.325462504249156</x:v>
      </x:c>
      <x:c r="K101" s="46" t="n">
        <x:v>-5.582519061319461</x:v>
      </x:c>
      <x:c r="L101" s="46" t="n">
        <x:v>6.044172489644164</x:v>
      </x:c>
      <x:c r="M101" s="46" t="n">
        <x:v>13.491601758297541</x:v>
      </x:c>
      <x:c r="N101" s="46"/>
      <x:c r="O101" s="46" t="n">
        <x:v>48.22469044731408</x:v>
      </x:c>
      <x:c r="P101" s="46" t="n">
        <x:v>-3.8839450884393085</x:v>
      </x:c>
      <x:c r="Q101" s="46" t="n">
        <x:v>-8.655129612984565</x:v>
      </x:c>
      <x:c r="R101" s="46" t="n">
        <x:v>-0.1312171461586848</x:v>
      </x:c>
    </x:row>
    <x:row r="102">
      <x:c r="C102" s="19" t="n">
        <x:v>42339</x:v>
      </x:c>
      <x:c r="D102" s="19" t="n">
        <x:v>42369</x:v>
      </x:c>
      <x:c r="E102" s="43" t="str">
        <x:v>grid_vtqvtw11.xlsx</x:v>
      </x:c>
      <x:c r="F102" s="46" t="n">
        <x:v>-3.2206821223864193</x:v>
      </x:c>
      <x:c r="G102" s="46" t="n">
        <x:v>-2.0870898001197764</x:v>
      </x:c>
      <x:c r="H102" s="46" t="n">
        <x:v>4.405146894371815</x:v>
      </x:c>
      <x:c r="I102" s="46" t="n">
        <x:v>0.6736474886585089</x:v>
      </x:c>
      <x:c r="J102" s="46" t="n">
        <x:v>-11.120286452703391</x:v>
      </x:c>
      <x:c r="K102" s="46" t="n">
        <x:v>-7.875085251470628</x:v>
      </x:c>
      <x:c r="L102" s="46" t="n">
        <x:v>11.933632210748806</x:v>
      </x:c>
      <x:c r="M102" s="46" t="n">
        <x:v>9.662935057638716</x:v>
      </x:c>
      <x:c r="N102" s="46"/>
      <x:c r="O102" s="46" t="n">
        <x:v>114.19041072191641</x:v>
      </x:c>
      <x:c r="P102" s="46" t="n">
        <x:v>8.692593700106546</x:v>
      </x:c>
      <x:c r="Q102" s="46" t="n">
        <x:v>-2.0311084101837635</x:v>
      </x:c>
      <x:c r="R102" s="46" t="n">
        <x:v>1.3933499291139728</x:v>
      </x:c>
    </x:row>
    <x:row r="103">
      <x:c r="C103" s="19" t="n">
        <x:v>42370</x:v>
      </x:c>
      <x:c r="D103" s="19" t="n">
        <x:v>42398</x:v>
      </x:c>
      <x:c r="E103" s="43" t="str">
        <x:v>grid_vtqvtw11.xlsx</x:v>
      </x:c>
      <x:c r="F103" s="46" t="n">
        <x:v>-6.68309862484023</x:v>
      </x:c>
      <x:c r="G103" s="46" t="n">
        <x:v>-3.2545167816653975</x:v>
      </x:c>
      <x:c r="H103" s="46" t="n">
        <x:v>0.49498069262917926</x:v>
      </x:c>
      <x:c r="I103" s="46" t="n">
        <x:v>-3.78380634073016</x:v>
      </x:c>
      <x:c r="J103" s="46" t="n">
        <x:v>-39.4558542658663</x:v>
      </x:c>
      <x:c r="K103" s="46" t="n">
        <x:v>-3.7370249745670674</x:v>
      </x:c>
      <x:c r="L103" s="46" t="n">
        <x:v>13.114665091420017</x:v>
      </x:c>
      <x:c r="M103" s="46" t="n">
        <x:v>5.479034799498578</x:v>
      </x:c>
      <x:c r="N103" s="46"/>
      <x:c r="O103" s="46" t="n">
        <x:v>-24.099632735001418</x:v>
      </x:c>
      <x:c r="P103" s="46" t="n">
        <x:v>12.654770107931451</x:v>
      </x:c>
      <x:c r="Q103" s="46" t="n">
        <x:v>4.570398585567476</x:v>
      </x:c>
      <x:c r="R103" s="46" t="n">
        <x:v>-6.287550012053117</x:v>
      </x:c>
    </x:row>
    <x:row r="104">
      <x:c r="C104" s="19" t="n">
        <x:v>42401</x:v>
      </x:c>
      <x:c r="D104" s="19" t="n">
        <x:v>42429</x:v>
      </x:c>
      <x:c r="E104" s="43" t="str">
        <x:v>grid_vtqvtw11.xlsx</x:v>
      </x:c>
      <x:c r="F104" s="46" t="n">
        <x:v>-11.55685870428641</x:v>
      </x:c>
      <x:c r="G104" s="46" t="n">
        <x:v>-0.3488277030995989</x:v>
      </x:c>
      <x:c r="H104" s="46" t="n">
        <x:v>4.087524062979015</x:v>
      </x:c>
      <x:c r="I104" s="46" t="n">
        <x:v>-10.594540002242256</x:v>
      </x:c>
      <x:c r="J104" s="46" t="n">
        <x:v>-42.37571928762362</x:v>
      </x:c>
      <x:c r="K104" s="46" t="n">
        <x:v>-3.9620122937599462</x:v>
      </x:c>
      <x:c r="L104" s="46" t="n">
        <x:v>16.12329181875163</x:v>
      </x:c>
      <x:c r="M104" s="46" t="n">
        <x:v>0.23984446968317907</x:v>
      </x:c>
      <x:c r="N104" s="46"/>
      <x:c r="O104" s="46" t="n">
        <x:v>-105.71326732326649</x:v>
      </x:c>
      <x:c r="P104" s="46" t="n">
        <x:v>6.094242588459479</x:v>
      </x:c>
      <x:c r="Q104" s="46" t="n">
        <x:v>7.414354685344201</x:v>
      </x:c>
      <x:c r="R104" s="46" t="n">
        <x:v>-8.708737134021296</x:v>
      </x:c>
    </x:row>
    <x:row r="105">
      <x:c r="C105" s="19" t="n">
        <x:v>42430</x:v>
      </x:c>
      <x:c r="D105" s="19" t="n">
        <x:v>42460</x:v>
      </x:c>
      <x:c r="E105" s="43" t="str">
        <x:v>grid_vtqvtw11.xlsx</x:v>
      </x:c>
      <x:c r="F105" s="46" t="n">
        <x:v>-7.8882134978790415</x:v>
      </x:c>
      <x:c r="G105" s="46" t="n">
        <x:v>4.023679790041667</x:v>
      </x:c>
      <x:c r="H105" s="46" t="n">
        <x:v>3.189208130813497</x:v>
      </x:c>
      <x:c r="I105" s="46" t="n">
        <x:v>-1.4783713097338536</x:v>
      </x:c>
      <x:c r="J105" s="46" t="n">
        <x:v>-78.09866763031528</x:v>
      </x:c>
      <x:c r="K105" s="46" t="n">
        <x:v>-3.0498721711661934</x:v>
      </x:c>
      <x:c r="L105" s="46" t="n">
        <x:v>12.604615805850184</x:v>
      </x:c>
      <x:c r="M105" s="46" t="n">
        <x:v>-7.9561924468382434</x:v>
      </x:c>
      <x:c r="N105" s="46"/>
      <x:c r="O105" s="46" t="n">
        <x:v>-52.62544166475481</x:v>
      </x:c>
      <x:c r="P105" s="46" t="n">
        <x:v>-0.09279288295303253</x:v>
      </x:c>
      <x:c r="Q105" s="46" t="n">
        <x:v>8.434129386687324</x:v>
      </x:c>
      <x:c r="R105" s="46" t="n">
        <x:v>-21.48427220624785</x:v>
      </x:c>
    </x:row>
    <x:row r="106">
      <x:c r="C106" s="19" t="n">
        <x:v>42461</x:v>
      </x:c>
      <x:c r="D106" s="19" t="n">
        <x:v>42489</x:v>
      </x:c>
      <x:c r="E106" s="43" t="str">
        <x:v>grid_vtqvtw11.xlsx</x:v>
      </x:c>
      <x:c r="F106" s="46" t="n">
        <x:v>-4.23605161435397</x:v>
      </x:c>
      <x:c r="G106" s="46" t="n">
        <x:v>7.526214155661625</x:v>
      </x:c>
      <x:c r="H106" s="46" t="n">
        <x:v>7.35443975539567</x:v>
      </x:c>
      <x:c r="I106" s="46" t="n">
        <x:v>-4.29705501937399</x:v>
      </x:c>
      <x:c r="J106" s="46" t="n">
        <x:v>-42.41163720842474</x:v>
      </x:c>
      <x:c r="K106" s="46" t="n">
        <x:v>-3.205342964157497</x:v>
      </x:c>
      <x:c r="L106" s="46" t="n">
        <x:v>18.73492943611579</x:v>
      </x:c>
      <x:c r="M106" s="46" t="n">
        <x:v>-13.095936020718597</x:v>
      </x:c>
      <x:c r="N106" s="46"/>
      <x:c r="O106" s="46" t="n">
        <x:v>8.55858682067827</x:v>
      </x:c>
      <x:c r="P106" s="46" t="n">
        <x:v>6.360357257550177</x:v>
      </x:c>
      <x:c r="Q106" s="46" t="n">
        <x:v>7.877474077864472</x:v>
      </x:c>
      <x:c r="R106" s="46" t="n">
        <x:v>-17.466453313062193</x:v>
      </x:c>
    </x:row>
    <x:row r="107">
      <x:c r="C107" s="19" t="n">
        <x:v>42491</x:v>
      </x:c>
      <x:c r="D107" s="19" t="n">
        <x:v>42521</x:v>
      </x:c>
      <x:c r="E107" s="43" t="str">
        <x:v>grid_vtqvtw11.xlsx</x:v>
      </x:c>
      <x:c r="F107" s="46" t="n">
        <x:v>4.613158976314848</x:v>
      </x:c>
      <x:c r="G107" s="46" t="n">
        <x:v>7.5606698276251745</x:v>
      </x:c>
      <x:c r="H107" s="46" t="n">
        <x:v>5.654900578853965</x:v>
      </x:c>
      <x:c r="I107" s="46" t="n">
        <x:v>5.568689417970319</x:v>
      </x:c>
      <x:c r="J107" s="46" t="n">
        <x:v>-15.242491795509036</x:v>
      </x:c>
      <x:c r="K107" s="46" t="n">
        <x:v>-4.098286813802348</x:v>
      </x:c>
      <x:c r="L107" s="46" t="n">
        <x:v>16.52521563410071</x:v>
      </x:c>
      <x:c r="M107" s="46" t="n">
        <x:v>-9.863045611771689</x:v>
      </x:c>
      <x:c r="N107" s="46"/>
      <x:c r="O107" s="46" t="n">
        <x:v>150.12333130362939</x:v>
      </x:c>
      <x:c r="P107" s="46" t="n">
        <x:v>8.445605557924699</x:v>
      </x:c>
      <x:c r="Q107" s="46" t="n">
        <x:v>10.090335848816741</x:v>
      </x:c>
      <x:c r="R107" s="46" t="n">
        <x:v>-22.75110209171772</x:v>
      </x:c>
    </x:row>
    <x:row r="108">
      <x:c r="C108" s="19" t="n">
        <x:v>42522</x:v>
      </x:c>
      <x:c r="D108" s="19" t="n">
        <x:v>42551</x:v>
      </x:c>
      <x:c r="E108" s="43" t="str">
        <x:v>grid_vtqvtw11.xlsx</x:v>
      </x:c>
      <x:c r="F108" s="46" t="n">
        <x:v>5.253961211430693</x:v>
      </x:c>
      <x:c r="G108" s="46" t="n">
        <x:v>6.22911431082905</x:v>
      </x:c>
      <x:c r="H108" s="46" t="n">
        <x:v>4.43469024896806</x:v>
      </x:c>
      <x:c r="I108" s="46" t="n">
        <x:v>4.920209524612079</x:v>
      </x:c>
      <x:c r="J108" s="46" t="n">
        <x:v>39.29587303777428</x:v>
      </x:c>
      <x:c r="K108" s="46" t="n">
        <x:v>-3.496377403398877</x:v>
      </x:c>
      <x:c r="L108" s="46" t="n">
        <x:v>9.393255137846316</x:v>
      </x:c>
      <x:c r="M108" s="46" t="n">
        <x:v>-3.0292271595527027</x:v>
      </x:c>
      <x:c r="N108" s="46"/>
      <x:c r="O108" s="46" t="n">
        <x:v>85.08747084438575</x:v>
      </x:c>
      <x:c r="P108" s="46" t="n">
        <x:v>5.525767335510192</x:v>
      </x:c>
      <x:c r="Q108" s="46" t="n">
        <x:v>8.933225535110118</x:v>
      </x:c>
      <x:c r="R108" s="46" t="n">
        <x:v>-8.199927384018531</x:v>
      </x:c>
    </x:row>
    <x:row r="109">
      <x:c r="C109" s="19" t="n">
        <x:v>42552</x:v>
      </x:c>
      <x:c r="D109" s="19" t="n">
        <x:v>42580</x:v>
      </x:c>
      <x:c r="E109" s="43" t="str">
        <x:v>grid_vtqvtw11.xlsx</x:v>
      </x:c>
      <x:c r="F109" s="46" t="n">
        <x:v>6.817325329411915</x:v>
      </x:c>
      <x:c r="G109" s="46" t="n">
        <x:v>0.508618202902082</x:v>
      </x:c>
      <x:c r="H109" s="46" t="n">
        <x:v>2.2598869223148537</x:v>
      </x:c>
      <x:c r="I109" s="46" t="n">
        <x:v>-3.2868538691291223</x:v>
      </x:c>
      <x:c r="J109" s="46" t="n">
        <x:v>51.67793889877132</x:v>
      </x:c>
      <x:c r="K109" s="46" t="n">
        <x:v>-1.6925312459265194</x:v>
      </x:c>
      <x:c r="L109" s="46" t="n">
        <x:v>4.979176874626571</x:v>
      </x:c>
      <x:c r="M109" s="46" t="n">
        <x:v>-2.9572950450869415</x:v>
      </x:c>
      <x:c r="N109" s="46"/>
      <x:c r="O109" s="46" t="n">
        <x:v>68.65966771756706</x:v>
      </x:c>
      <x:c r="P109" s="46" t="n">
        <x:v>-2.9082685768536307</x:v>
      </x:c>
      <x:c r="Q109" s="46" t="n">
        <x:v>4.040353264856436</x:v>
      </x:c>
      <x:c r="R109" s="46" t="n">
        <x:v>4.945710829295804</x:v>
      </x:c>
    </x:row>
    <x:row r="110">
      <x:c r="C110" s="19" t="n">
        <x:v>42583</x:v>
      </x:c>
      <x:c r="D110" s="19" t="n">
        <x:v>42613</x:v>
      </x:c>
      <x:c r="E110" s="43" t="str">
        <x:v>grid_vtqvtw11.xlsx</x:v>
      </x:c>
      <x:c r="F110" s="46" t="n">
        <x:v>8.76618086211086</x:v>
      </x:c>
      <x:c r="G110" s="46" t="n">
        <x:v>-2.811617743950248</x:v>
      </x:c>
      <x:c r="H110" s="46" t="n">
        <x:v>1.0848726986746116</x:v>
      </x:c>
      <x:c r="I110" s="46" t="n">
        <x:v>-9.392500596168968</x:v>
      </x:c>
      <x:c r="J110" s="46" t="n">
        <x:v>52.261558515368236</x:v>
      </x:c>
      <x:c r="K110" s="46" t="n">
        <x:v>3.9887598968215228</x:v>
      </x:c>
      <x:c r="L110" s="46" t="n">
        <x:v>-0.5729359097909332</x:v>
      </x:c>
      <x:c r="M110" s="46" t="n">
        <x:v>-7.83988978399683</x:v>
      </x:c>
      <x:c r="N110" s="46"/>
      <x:c r="O110" s="46" t="n">
        <x:v>2.186475789333532</x:v>
      </x:c>
      <x:c r="P110" s="46" t="n">
        <x:v>-3.4080782982776605</x:v>
      </x:c>
      <x:c r="Q110" s="46" t="n">
        <x:v>5.153198235045084</x:v>
      </x:c>
      <x:c r="R110" s="46" t="n">
        <x:v>24.450087539638997</x:v>
      </x:c>
    </x:row>
    <x:row r="111">
      <x:c r="C111" s="19" t="n">
        <x:v>42614</x:v>
      </x:c>
      <x:c r="D111" s="19" t="n">
        <x:v>42643</x:v>
      </x:c>
      <x:c r="E111" s="43" t="str">
        <x:v>grid_vtqvtw11.xlsx</x:v>
      </x:c>
      <x:c r="F111" s="46" t="n">
        <x:v>9.159860187500824</x:v>
      </x:c>
      <x:c r="G111" s="46" t="n">
        <x:v>-4.866406961789908</x:v>
      </x:c>
      <x:c r="H111" s="46" t="n">
        <x:v>2.9903867339821146</x:v>
      </x:c>
      <x:c r="I111" s="46" t="n">
        <x:v>-3.187854821340462</x:v>
      </x:c>
      <x:c r="J111" s="46" t="n">
        <x:v>33.60127322609827</x:v>
      </x:c>
      <x:c r="K111" s="46" t="n">
        <x:v>4.790379362768066</x:v>
      </x:c>
      <x:c r="L111" s="46" t="n">
        <x:v>7.100568254592458</x:v>
      </x:c>
      <x:c r="M111" s="46" t="n">
        <x:v>-6.517937128365604</x:v>
      </x:c>
      <x:c r="N111" s="46"/>
      <x:c r="O111" s="46" t="n">
        <x:v>13.99993324834675</x:v>
      </x:c>
      <x:c r="P111" s="46" t="n">
        <x:v>-7.443357686395287</x:v>
      </x:c>
      <x:c r="Q111" s="46" t="n">
        <x:v>12.328087187020195</x:v>
      </x:c>
      <x:c r="R111" s="46" t="n">
        <x:v>24.420564929023925</x:v>
      </x:c>
    </x:row>
    <x:row r="112">
      <x:c r="C112" s="19" t="n">
        <x:v>42644</x:v>
      </x:c>
      <x:c r="D112" s="19" t="n">
        <x:v>42674</x:v>
      </x:c>
      <x:c r="E112" s="43" t="str">
        <x:v>grid_vtqvtw11.xlsx</x:v>
      </x:c>
      <x:c r="F112" s="46" t="n">
        <x:v>11.375770968290972</x:v>
      </x:c>
      <x:c r="G112" s="46" t="n">
        <x:v>-3.319919207996594</x:v>
      </x:c>
      <x:c r="H112" s="46" t="n">
        <x:v>4.3974712655048345</x:v>
      </x:c>
      <x:c r="I112" s="46" t="n">
        <x:v>-3.8492649397086622</x:v>
      </x:c>
      <x:c r="J112" s="46" t="n">
        <x:v>15.02627742340121</x:v>
      </x:c>
      <x:c r="K112" s="46" t="n">
        <x:v>8.014173842805533</x:v>
      </x:c>
      <x:c r="L112" s="46" t="n">
        <x:v>4.042671665732419</x:v>
      </x:c>
      <x:c r="M112" s="46" t="n">
        <x:v>-2.2919685152762725</x:v>
      </x:c>
      <x:c r="N112" s="46"/>
      <x:c r="O112" s="46" t="n">
        <x:v>28.821156058181778</x:v>
      </x:c>
      <x:c r="P112" s="46" t="n">
        <x:v>-10.678254414512487</x:v>
      </x:c>
      <x:c r="Q112" s="46" t="n">
        <x:v>13.93532355550056</x:v>
      </x:c>
      <x:c r="R112" s="46" t="n">
        <x:v>18.773672413058655</x:v>
      </x:c>
    </x:row>
    <x:row r="113">
      <x:c r="C113" s="19" t="n">
        <x:v>42675</x:v>
      </x:c>
      <x:c r="D113" s="19" t="n">
        <x:v>42704</x:v>
      </x:c>
      <x:c r="E113" s="43" t="str">
        <x:v>grid_vtqvtw11.xlsx</x:v>
      </x:c>
      <x:c r="F113" s="46" t="n">
        <x:v>7.408414270922627</x:v>
      </x:c>
      <x:c r="G113" s="46" t="n">
        <x:v>-0.8019013684937898</x:v>
      </x:c>
      <x:c r="H113" s="46" t="n">
        <x:v>4.7745246449353</x:v>
      </x:c>
      <x:c r="I113" s="46" t="n">
        <x:v>-5.599997458811357</x:v>
      </x:c>
      <x:c r="J113" s="46" t="n">
        <x:v>-3.7641806266699143</x:v>
      </x:c>
      <x:c r="K113" s="46" t="n">
        <x:v>9.333473174558948</x:v>
      </x:c>
      <x:c r="L113" s="46" t="n">
        <x:v>6.766376086883345</x:v>
      </x:c>
      <x:c r="M113" s="46" t="n">
        <x:v>-1.0331933794981838</x:v>
      </x:c>
      <x:c r="N113" s="46"/>
      <x:c r="O113" s="46" t="n">
        <x:v>35.95478236516512</x:v>
      </x:c>
      <x:c r="P113" s="46" t="n">
        <x:v>-9.09768209546656</x:v>
      </x:c>
      <x:c r="Q113" s="46" t="n">
        <x:v>11.047344355424405</x:v>
      </x:c>
      <x:c r="R113" s="46" t="n">
        <x:v>4.825328332647255</x:v>
      </x:c>
    </x:row>
    <x:row r="114">
      <x:c r="C114" s="19" t="n">
        <x:v>42705</x:v>
      </x:c>
      <x:c r="D114" s="19" t="n">
        <x:v>42734</x:v>
      </x:c>
      <x:c r="E114" s="43" t="str">
        <x:v>grid_vtqvtw11.xlsx</x:v>
      </x:c>
      <x:c r="F114" s="46" t="n">
        <x:v>9.522181446995209</x:v>
      </x:c>
      <x:c r="G114" s="46" t="n">
        <x:v>4.072559232571567</x:v>
      </x:c>
      <x:c r="H114" s="46" t="n">
        <x:v>0.45096427977401443</x:v>
      </x:c>
      <x:c r="I114" s="46" t="n">
        <x:v>-10.920634418879343</x:v>
      </x:c>
      <x:c r="J114" s="46" t="n">
        <x:v>6.748020477950691</x:v>
      </x:c>
      <x:c r="K114" s="46" t="n">
        <x:v>9.208097443721586</x:v>
      </x:c>
      <x:c r="L114" s="46" t="n">
        <x:v>3.520940063224124</x:v>
      </x:c>
      <x:c r="M114" s="46" t="n">
        <x:v>-1.8395952144564656</x:v>
      </x:c>
      <x:c r="N114" s="46"/>
      <x:c r="O114" s="46" t="n">
        <x:v>54.229428204489984</x:v>
      </x:c>
      <x:c r="P114" s="46" t="n">
        <x:v>-5.363794305163873</x:v>
      </x:c>
      <x:c r="Q114" s="46" t="n">
        <x:v>-0.6091460481985062</x:v>
      </x:c>
      <x:c r="R114" s="46" t="n">
        <x:v>2.6749357973040824</x:v>
      </x:c>
    </x:row>
    <x:row r="115">
      <x:c r="C115" s="19" t="n">
        <x:v>42736</x:v>
      </x:c>
      <x:c r="D115" s="19" t="n">
        <x:v>42766</x:v>
      </x:c>
      <x:c r="E115" s="43" t="str">
        <x:v>grid_ovzcidwu.xlsx</x:v>
      </x:c>
      <x:c r="F115" s="46" t="n">
        <x:v>14.444666486676047</x:v>
      </x:c>
      <x:c r="G115" s="46" t="n">
        <x:v>6.704366531562314</x:v>
      </x:c>
      <x:c r="H115" s="46" t="n">
        <x:v>-1.5970450436851125</x:v>
      </x:c>
      <x:c r="I115" s="46" t="n">
        <x:v>-1.3711246701003357</x:v>
      </x:c>
      <x:c r="J115" s="46" t="n">
        <x:v>21.718930349379967</x:v>
      </x:c>
      <x:c r="K115" s="46" t="n">
        <x:v>7.622121708526877</x:v>
      </x:c>
      <x:c r="L115" s="46" t="n">
        <x:v>6.6554073113647165</x:v>
      </x:c>
      <x:c r="M115" s="46" t="n">
        <x:v>1.0804387316942075</x:v>
      </x:c>
      <x:c r="N115" s="46"/>
      <x:c r="O115" s="46" t="n">
        <x:v>82.71562621940016</x:v>
      </x:c>
      <x:c r="P115" s="46" t="n">
        <x:v>4.554537266060925</x:v>
      </x:c>
      <x:c r="Q115" s="46" t="n">
        <x:v>0.34556463581981145</x:v>
      </x:c>
      <x:c r="R115" s="46" t="n">
        <x:v>-4.063007088908431</x:v>
      </x:c>
    </x:row>
    <x:row r="116">
      <x:c r="C116" s="19" t="n">
        <x:v>42767</x:v>
      </x:c>
      <x:c r="D116" s="19" t="n">
        <x:v>42794</x:v>
      </x:c>
      <x:c r="E116" s="43" t="str">
        <x:v>grid_ovzcidwu.xlsx</x:v>
      </x:c>
      <x:c r="F116" s="46" t="n">
        <x:v>16.27081053329744</x:v>
      </x:c>
      <x:c r="G116" s="46" t="n">
        <x:v>2.6221809658077335</x:v>
      </x:c>
      <x:c r="H116" s="46" t="n">
        <x:v>-3.723407226794383</x:v>
      </x:c>
      <x:c r="I116" s="46" t="n">
        <x:v>6.3457729032568535</x:v>
      </x:c>
      <x:c r="J116" s="46" t="n">
        <x:v>27.334756807722872</x:v>
      </x:c>
      <x:c r="K116" s="46" t="n">
        <x:v>4.49870351809088</x:v>
      </x:c>
      <x:c r="L116" s="46" t="n">
        <x:v>4.835011038313522</x:v>
      </x:c>
      <x:c r="M116" s="46" t="n">
        <x:v>9.813606673114975</x:v>
      </x:c>
      <x:c r="N116" s="46"/>
      <x:c r="O116" s="46" t="n">
        <x:v>79.65360951252731</x:v>
      </x:c>
      <x:c r="P116" s="46" t="n">
        <x:v>9.276753425951856</x:v>
      </x:c>
      <x:c r="Q116" s="46" t="n">
        <x:v>8.555820522971626</x:v>
      </x:c>
      <x:c r="R116" s="46" t="n">
        <x:v>1.051449678608124</x:v>
      </x:c>
    </x:row>
    <x:row r="117">
      <x:c r="C117" s="19" t="n">
        <x:v>42795</x:v>
      </x:c>
      <x:c r="D117" s="19" t="n">
        <x:v>42825</x:v>
      </x:c>
      <x:c r="E117" s="43" t="str">
        <x:v>grid_ovzcidwu.xlsx</x:v>
      </x:c>
      <x:c r="F117" s="46" t="n">
        <x:v>14.039621340314321</x:v>
      </x:c>
      <x:c r="G117" s="46" t="n">
        <x:v>-0.21543052283189648</x:v>
      </x:c>
      <x:c r="H117" s="46" t="n">
        <x:v>-1.553521929901541</x:v>
      </x:c>
      <x:c r="I117" s="46" t="n">
        <x:v>6.1770659963164025</x:v>
      </x:c>
      <x:c r="J117" s="46" t="n">
        <x:v>20.32434108633202</x:v>
      </x:c>
      <x:c r="K117" s="46" t="n">
        <x:v>6.159673337576598</x:v>
      </x:c>
      <x:c r="L117" s="46" t="n">
        <x:v>3.4357648032366135</x:v>
      </x:c>
      <x:c r="M117" s="46" t="n">
        <x:v>3.0188973025581136</x:v>
      </x:c>
      <x:c r="N117" s="46"/>
      <x:c r="O117" s="46" t="n">
        <x:v>56.01850765804532</x:v>
      </x:c>
      <x:c r="P117" s="46" t="n">
        <x:v>12.291914477056945</x:v>
      </x:c>
      <x:c r="Q117" s="46" t="n">
        <x:v>17.116561806108617</x:v>
      </x:c>
      <x:c r="R117" s="46" t="n">
        <x:v>4.5394089153560016</x:v>
      </x:c>
    </x:row>
    <x:row r="118">
      <x:c r="C118" s="19" t="n">
        <x:v>42826</x:v>
      </x:c>
      <x:c r="D118" s="19" t="n">
        <x:v>42853</x:v>
      </x:c>
      <x:c r="E118" s="43" t="str">
        <x:v>grid_ovzcidwu.xlsx</x:v>
      </x:c>
      <x:c r="F118" s="46" t="n">
        <x:v>3.06989988023638</x:v>
      </x:c>
      <x:c r="G118" s="46" t="n">
        <x:v>-10.308416545651014</x:v>
      </x:c>
      <x:c r="H118" s="46" t="n">
        <x:v>-2.3523724155518106</x:v>
      </x:c>
      <x:c r="I118" s="46" t="n">
        <x:v>-1.5045329073295188</x:v>
      </x:c>
      <x:c r="J118" s="46" t="n">
        <x:v>-6.490300989620941</x:v>
      </x:c>
      <x:c r="K118" s="46" t="n">
        <x:v>4.167568989449638</x:v>
      </x:c>
      <x:c r="L118" s="46" t="n">
        <x:v>0.9837992844899862</x:v>
      </x:c>
      <x:c r="M118" s="46" t="n">
        <x:v>1.5507938976603919</x:v>
      </x:c>
      <x:c r="N118" s="46"/>
      <x:c r="O118" s="46" t="n">
        <x:v>27.904790772812255</x:v>
      </x:c>
      <x:c r="P118" s="46" t="n">
        <x:v>10.473975344301472</x:v>
      </x:c>
      <x:c r="Q118" s="46" t="n">
        <x:v>13.415909377769545</x:v>
      </x:c>
      <x:c r="R118" s="46" t="n">
        <x:v>11.825112703220201</x:v>
      </x:c>
    </x:row>
    <x:row r="119">
      <x:c r="C119" s="19" t="n">
        <x:v>42856</x:v>
      </x:c>
      <x:c r="D119" s="19" t="n">
        <x:v>42886</x:v>
      </x:c>
      <x:c r="E119" s="43" t="str">
        <x:v>grid_ovzcidwu.xlsx</x:v>
      </x:c>
      <x:c r="F119" s="46" t="n">
        <x:v>-2.0907198548530905</x:v>
      </x:c>
      <x:c r="G119" s="46" t="n">
        <x:v>-5.782387931598945</x:v>
      </x:c>
      <x:c r="H119" s="46" t="n">
        <x:v>2.530613890497914</x:v>
      </x:c>
      <x:c r="I119" s="46" t="n">
        <x:v>-10.184714320735184</x:v>
      </x:c>
      <x:c r="J119" s="46" t="n">
        <x:v>6.871230625324983</x:v>
      </x:c>
      <x:c r="K119" s="46" t="n">
        <x:v>1.1570909801916016</x:v>
      </x:c>
      <x:c r="L119" s="46" t="n">
        <x:v>-1.954956230579619</x:v>
      </x:c>
      <x:c r="M119" s="46" t="n">
        <x:v>-4.168405917253355</x:v>
      </x:c>
      <x:c r="N119" s="46"/>
      <x:c r="O119" s="46" t="n">
        <x:v>13.791374276929272</x:v>
      </x:c>
      <x:c r="P119" s="46" t="n">
        <x:v>8.185868794582444</x:v>
      </x:c>
      <x:c r="Q119" s="46" t="n">
        <x:v>-3.338342044897609</x:v>
      </x:c>
      <x:c r="R119" s="46" t="n">
        <x:v>14.418508650227043</x:v>
      </x:c>
    </x:row>
    <x:row r="120">
      <x:c r="C120" s="19" t="n">
        <x:v>42887</x:v>
      </x:c>
      <x:c r="D120" s="19" t="n">
        <x:v>42916</x:v>
      </x:c>
      <x:c r="E120" s="43" t="str">
        <x:v>grid_ovzcidwu.xlsx</x:v>
      </x:c>
      <x:c r="F120" s="46" t="n">
        <x:v>-3.9139551421853587</x:v>
      </x:c>
      <x:c r="G120" s="46" t="n">
        <x:v>-6.612844386477931</x:v>
      </x:c>
      <x:c r="H120" s="46" t="n">
        <x:v>2.8127564822525977</x:v>
      </x:c>
      <x:c r="I120" s="46" t="n">
        <x:v>-4.59600056608511</x:v>
      </x:c>
      <x:c r="J120" s="46" t="n">
        <x:v>5.952771249855943</x:v>
      </x:c>
      <x:c r="K120" s="46" t="n">
        <x:v>-0.22247562876535643</x:v>
      </x:c>
      <x:c r="L120" s="46" t="n">
        <x:v>-2.5966598658721174</x:v>
      </x:c>
      <x:c r="M120" s="46" t="n">
        <x:v>3.852153279731432</x:v>
      </x:c>
      <x:c r="N120" s="46"/>
      <x:c r="O120" s="46" t="n">
        <x:v>-11.879502638914353</x:v>
      </x:c>
      <x:c r="P120" s="46" t="n">
        <x:v>13.365733339891788</x:v>
      </x:c>
      <x:c r="Q120" s="46" t="n">
        <x:v>10.431760051796816</x:v>
      </x:c>
      <x:c r="R120" s="46" t="n">
        <x:v>17.647193283447464</x:v>
      </x:c>
    </x:row>
    <x:row r="121">
      <x:c r="C121" s="19" t="n">
        <x:v>42917</x:v>
      </x:c>
      <x:c r="D121" s="19" t="n">
        <x:v>42947</x:v>
      </x:c>
      <x:c r="E121" s="43" t="str">
        <x:v>grid_ovzcidwu.xlsx</x:v>
      </x:c>
      <x:c r="F121" s="46" t="n">
        <x:v>-1.5297433576813886</x:v>
      </x:c>
      <x:c r="G121" s="46" t="n">
        <x:v>3.053108938452407</x:v>
      </x:c>
      <x:c r="H121" s="46" t="n">
        <x:v>2.3418755114080216</x:v>
      </x:c>
      <x:c r="I121" s="46" t="n">
        <x:v>-0.00359989820681877</x:v>
      </x:c>
      <x:c r="J121" s="46" t="n">
        <x:v>20.380675186786178</x:v>
      </x:c>
      <x:c r="K121" s="46" t="n">
        <x:v>0.07049244322628205</x:v>
      </x:c>
      <x:c r="L121" s="46" t="n">
        <x:v>-2.979387932519724</x:v>
      </x:c>
      <x:c r="M121" s="46" t="n">
        <x:v>3.6901979790106836</x:v>
      </x:c>
      <x:c r="N121" s="46"/>
      <x:c r="O121" s="46" t="n">
        <x:v>-17.521685316335915</x:v>
      </x:c>
      <x:c r="P121" s="46" t="n">
        <x:v>15.4448927159508</x:v>
      </x:c>
      <x:c r="Q121" s="46" t="n">
        <x:v>8.86478892856712</x:v>
      </x:c>
      <x:c r="R121" s="46" t="n">
        <x:v>10.550895269098252</x:v>
      </x:c>
    </x:row>
    <x:row r="122">
      <x:c r="C122" s="19" t="n">
        <x:v>42948</x:v>
      </x:c>
      <x:c r="D122" s="19" t="n">
        <x:v>42978</x:v>
      </x:c>
      <x:c r="E122" s="43" t="str">
        <x:v>grid_ovzcidwu.xlsx</x:v>
      </x:c>
      <x:c r="F122" s="46" t="n">
        <x:v>-0.18832091936887493</x:v>
      </x:c>
      <x:c r="G122" s="46" t="n">
        <x:v>0.36982194880154123</x:v>
      </x:c>
      <x:c r="H122" s="46" t="n">
        <x:v>-0.328886809340698</x:v>
      </x:c>
      <x:c r="I122" s="46" t="n">
        <x:v>3.8810695854402435</x:v>
      </x:c>
      <x:c r="J122" s="46" t="n">
        <x:v>-6.482278347594772</x:v>
      </x:c>
      <x:c r="K122" s="46" t="n">
        <x:v>3.8747395821537753</x:v>
      </x:c>
      <x:c r="L122" s="46" t="n">
        <x:v>1.8159325468409389</x:v>
      </x:c>
      <x:c r="M122" s="46" t="n">
        <x:v>0.8299638776462148</x:v>
      </x:c>
      <x:c r="N122" s="46"/>
      <x:c r="O122" s="46" t="n">
        <x:v>-13.561614050979001</x:v>
      </x:c>
      <x:c r="P122" s="46" t="n">
        <x:v>15.207104824919318</x:v>
      </x:c>
      <x:c r="Q122" s="46" t="n">
        <x:v>18.754497867624668</x:v>
      </x:c>
      <x:c r="R122" s="46" t="n">
        <x:v>5.561104104367834</x:v>
      </x:c>
    </x:row>
    <x:row r="123">
      <x:c r="C123" s="19" t="n">
        <x:v>42979</x:v>
      </x:c>
      <x:c r="D123" s="19" t="n">
        <x:v>43007</x:v>
      </x:c>
      <x:c r="E123" s="43" t="str">
        <x:v>grid_ovzcidwu.xlsx</x:v>
      </x:c>
      <x:c r="F123" s="46" t="n">
        <x:v>-2.179257895830341</x:v>
      </x:c>
      <x:c r="G123" s="46" t="n">
        <x:v>-1.7794777737706546</x:v>
      </x:c>
      <x:c r="H123" s="46" t="n">
        <x:v>0.06084673878062018</x:v>
      </x:c>
      <x:c r="I123" s="46" t="n">
        <x:v>-1.370748610576643</x:v>
      </x:c>
      <x:c r="J123" s="46" t="n">
        <x:v>-7.4525466236510605</x:v>
      </x:c>
      <x:c r="K123" s="46" t="n">
        <x:v>1.877975414934653</x:v>
      </x:c>
      <x:c r="L123" s="46" t="n">
        <x:v>0.15613132100196447</x:v>
      </x:c>
      <x:c r="M123" s="46" t="n">
        <x:v>-3.20082856759224</x:v>
      </x:c>
      <x:c r="N123" s="46"/>
      <x:c r="O123" s="46" t="n">
        <x:v>-7.949554823494302</x:v>
      </x:c>
      <x:c r="P123" s="46" t="n">
        <x:v>4.799179177543494</x:v>
      </x:c>
      <x:c r="Q123" s="46" t="n">
        <x:v>0.9797489490927985</x:v>
      </x:c>
      <x:c r="R123" s="46" t="n">
        <x:v>-0.07826997713046649</x:v>
      </x:c>
    </x:row>
    <x:row r="124">
      <x:c r="C124" s="19" t="n">
        <x:v>43009</x:v>
      </x:c>
      <x:c r="D124" s="19" t="n">
        <x:v>43039</x:v>
      </x:c>
      <x:c r="E124" s="43" t="str">
        <x:v>grid_ovzcidwu.xlsx</x:v>
      </x:c>
      <x:c r="F124" s="46" t="n">
        <x:v>-1.0891890006725085</x:v>
      </x:c>
      <x:c r="G124" s="46" t="n">
        <x:v>-0.16174857308809448</x:v>
      </x:c>
      <x:c r="H124" s="46" t="n">
        <x:v>3.8813056997515036</x:v>
      </x:c>
      <x:c r="I124" s="46" t="n">
        <x:v>0.1810593553186779</x:v>
      </x:c>
      <x:c r="J124" s="46" t="n">
        <x:v>-15.013142289840623</x:v>
      </x:c>
      <x:c r="K124" s="46" t="n">
        <x:v>3.8354657424251233</x:v>
      </x:c>
      <x:c r="L124" s="46" t="n">
        <x:v>4.2856826177612</x:v>
      </x:c>
      <x:c r="M124" s="46" t="n">
        <x:v>-7.084156926921091</x:v>
      </x:c>
      <x:c r="N124" s="46"/>
      <x:c r="O124" s="46" t="n">
        <x:v>-6.474470480393204</x:v>
      </x:c>
      <x:c r="P124" s="46" t="n">
        <x:v>3.164279267037193</x:v>
      </x:c>
      <x:c r="Q124" s="46" t="n">
        <x:v>4.618469657276815</x:v>
      </x:c>
      <x:c r="R124" s="46" t="n">
        <x:v>9.270029402459357</x:v>
      </x:c>
    </x:row>
    <x:row r="125">
      <x:c r="C125" s="19" t="n">
        <x:v>43040</x:v>
      </x:c>
      <x:c r="D125" s="19" t="n">
        <x:v>43069</x:v>
      </x:c>
      <x:c r="E125" s="43" t="str">
        <x:v>grid_ovzcidwu.xlsx</x:v>
      </x:c>
      <x:c r="F125" s="46" t="n">
        <x:v>1.4906385686905999</x:v>
      </x:c>
      <x:c r="G125" s="46" t="n">
        <x:v>0.5970534794918672</x:v>
      </x:c>
      <x:c r="H125" s="46" t="n">
        <x:v>3.394963367491127</x:v>
      </x:c>
      <x:c r="I125" s="46" t="n">
        <x:v>3.4839967535504246</x:v>
      </x:c>
      <x:c r="J125" s="46" t="n">
        <x:v>-6.402415373706822</x:v>
      </x:c>
      <x:c r="K125" s="46" t="n">
        <x:v>1.4171127700296353</x:v>
      </x:c>
      <x:c r="L125" s="46" t="n">
        <x:v>5.417103606103284</x:v>
      </x:c>
      <x:c r="M125" s="46" t="n">
        <x:v>-6.342083156399006</x:v>
      </x:c>
      <x:c r="N125" s="46"/>
      <x:c r="O125" s="46" t="n">
        <x:v>7.69926176769728</x:v>
      </x:c>
      <x:c r="P125" s="46" t="n">
        <x:v>4.1173406635375205</x:v>
      </x:c>
      <x:c r="Q125" s="46" t="n">
        <x:v>3.1710575284916658</x:v>
      </x:c>
      <x:c r="R125" s="46" t="n">
        <x:v>6.6823858579274376</x:v>
      </x:c>
    </x:row>
    <x:row r="126">
      <x:c r="C126" s="19" t="n">
        <x:v>43070</x:v>
      </x:c>
      <x:c r="D126" s="19" t="n">
        <x:v>43098</x:v>
      </x:c>
      <x:c r="E126" s="43" t="str">
        <x:v>grid_ovzcidwu.xlsx</x:v>
      </x:c>
      <x:c r="F126" s="46" t="n">
        <x:v>7.524329714376998</x:v>
      </x:c>
      <x:c r="G126" s="46" t="n">
        <x:v>1.9353934446090995</x:v>
      </x:c>
      <x:c r="H126" s="46" t="n">
        <x:v>-0.6337105809462379</x:v>
      </x:c>
      <x:c r="I126" s="46" t="n">
        <x:v>4.600953424027272</x:v>
      </x:c>
      <x:c r="J126" s="46" t="n">
        <x:v>10.14076296851775</x:v>
      </x:c>
      <x:c r="K126" s="46" t="n">
        <x:v>2.8650233516675057</x:v>
      </x:c>
      <x:c r="L126" s="46" t="n">
        <x:v>-6.591975039338085</x:v>
      </x:c>
      <x:c r="M126" s="46" t="n">
        <x:v>-5.52115525892922</x:v>
      </x:c>
      <x:c r="N126" s="46"/>
      <x:c r="O126" s="46" t="n">
        <x:v>24.477586012731127</x:v>
      </x:c>
      <x:c r="P126" s="46" t="n">
        <x:v>-2.1150540708012073</x:v>
      </x:c>
      <x:c r="Q126" s="46" t="n">
        <x:v>8.041382055201584</x:v>
      </x:c>
      <x:c r="R126" s="46" t="n">
        <x:v>17.219927714573156</x:v>
      </x:c>
    </x:row>
    <x:row r="127">
      <x:c r="C127" s="19" t="n">
        <x:v>43101</x:v>
      </x:c>
      <x:c r="D127" s="19" t="n">
        <x:v>43131</x:v>
      </x:c>
      <x:c r="E127" s="43" t="str">
        <x:v>grid_ovzcidwu.xlsx</x:v>
      </x:c>
      <x:c r="F127" s="46" t="n">
        <x:v>15.027128834820406</x:v>
      </x:c>
      <x:c r="G127" s="46" t="n">
        <x:v>4.330888425805498</x:v>
      </x:c>
      <x:c r="H127" s="46" t="n">
        <x:v>-3.8820688045610825</x:v>
      </x:c>
      <x:c r="I127" s="46" t="n">
        <x:v>10.51677537403177</x:v>
      </x:c>
      <x:c r="J127" s="46" t="n">
        <x:v>25.105403647420122</x:v>
      </x:c>
      <x:c r="K127" s="46" t="n">
        <x:v>3.366182799271225</x:v>
      </x:c>
      <x:c r="L127" s="46" t="n">
        <x:v>-9.53157894445527</x:v>
      </x:c>
      <x:c r="M127" s="46" t="n">
        <x:v>-1.3607263309806927</x:v>
      </x:c>
      <x:c r="N127" s="46"/>
      <x:c r="O127" s="46" t="n">
        <x:v>31.992757170403042</x:v>
      </x:c>
      <x:c r="P127" s="46" t="n">
        <x:v>-3.6612003573481275</x:v>
      </x:c>
      <x:c r="Q127" s="46" t="n">
        <x:v>4.95774871168147</x:v>
      </x:c>
      <x:c r="R127" s="46" t="n">
        <x:v>-0.7593342454319467</x:v>
      </x:c>
    </x:row>
    <x:row r="128">
      <x:c r="C128" s="19" t="n">
        <x:v>43132</x:v>
      </x:c>
      <x:c r="D128" s="19" t="n">
        <x:v>43159</x:v>
      </x:c>
      <x:c r="E128" s="43" t="str">
        <x:v>grid_ovzcidwu.xlsx</x:v>
      </x:c>
      <x:c r="F128" s="46" t="n">
        <x:v>19.84268928826512</x:v>
      </x:c>
      <x:c r="G128" s="46" t="n">
        <x:v>1.8385304426464344</x:v>
      </x:c>
      <x:c r="H128" s="46" t="n">
        <x:v>-6.9262012921992815</x:v>
      </x:c>
      <x:c r="I128" s="46" t="n">
        <x:v>12.176629692085568</x:v>
      </x:c>
      <x:c r="J128" s="46" t="n">
        <x:v>40.9596303599535</x:v>
      </x:c>
      <x:c r="K128" s="46" t="n">
        <x:v>7.741698903997814</x:v>
      </x:c>
      <x:c r="L128" s="46" t="n">
        <x:v>-10.387778832788415</x:v>
      </x:c>
      <x:c r="M128" s="46" t="n">
        <x:v>-6.267382070603898</x:v>
      </x:c>
      <x:c r="N128" s="46"/>
      <x:c r="O128" s="46" t="n">
        <x:v>19.67793583375283</x:v>
      </x:c>
      <x:c r="P128" s="46" t="n">
        <x:v>-7.153813996146291</x:v>
      </x:c>
      <x:c r="Q128" s="46" t="n">
        <x:v>9.213349232876729</x:v>
      </x:c>
      <x:c r="R128" s="46" t="n">
        <x:v>3.6594842305807473</x:v>
      </x:c>
    </x:row>
    <x:row r="129">
      <x:c r="C129" s="19" t="n">
        <x:v>43160</x:v>
      </x:c>
      <x:c r="D129" s="19" t="n">
        <x:v>43189</x:v>
      </x:c>
      <x:c r="E129" s="43" t="str">
        <x:v>grid_ovzcidwu.xlsx</x:v>
      </x:c>
      <x:c r="F129" s="46" t="n">
        <x:v>20.200386764565295</x:v>
      </x:c>
      <x:c r="G129" s="46" t="n">
        <x:v>4.109099543530715</x:v>
      </x:c>
      <x:c r="H129" s="46" t="n">
        <x:v>-5.184274962532048</x:v>
      </x:c>
      <x:c r="I129" s="46" t="n">
        <x:v>19.990848600460744</x:v>
      </x:c>
      <x:c r="J129" s="46" t="n">
        <x:v>33.852947197931826</x:v>
      </x:c>
      <x:c r="K129" s="46" t="n">
        <x:v>10.266506614582944</x:v>
      </x:c>
      <x:c r="L129" s="46" t="n">
        <x:v>6.075807622734924</x:v>
      </x:c>
      <x:c r="M129" s="46" t="n">
        <x:v>-2.5858773595001057</x:v>
      </x:c>
      <x:c r="N129" s="46"/>
      <x:c r="O129" s="46" t="n">
        <x:v>7.046018366101069</x:v>
      </x:c>
      <x:c r="P129" s="46" t="n">
        <x:v>0.8606110105162873</x:v>
      </x:c>
      <x:c r="Q129" s="46" t="n">
        <x:v>-15.613810351940902</x:v>
      </x:c>
      <x:c r="R129" s="46" t="n">
        <x:v>-4.681134777197196</x:v>
      </x:c>
    </x:row>
    <x:row r="130">
      <x:c r="C130" s="19" t="n">
        <x:v>43191</x:v>
      </x:c>
      <x:c r="D130" s="19" t="n">
        <x:v>43220</x:v>
      </x:c>
      <x:c r="E130" s="43" t="str">
        <x:v>grid_ovzcidwu.xlsx</x:v>
      </x:c>
      <x:c r="F130" s="46" t="n">
        <x:v>15.844163208936845</x:v>
      </x:c>
      <x:c r="G130" s="46" t="n">
        <x:v>-3.997395258228891</x:v>
      </x:c>
      <x:c r="H130" s="46" t="n">
        <x:v>-6.364140553456165</x:v>
      </x:c>
      <x:c r="I130" s="46" t="n">
        <x:v>11.205795219845</x:v>
      </x:c>
      <x:c r="J130" s="46" t="n">
        <x:v>29.079662298161978</x:v>
      </x:c>
      <x:c r="K130" s="46" t="n">
        <x:v>7.749288066341076</x:v>
      </x:c>
      <x:c r="L130" s="46" t="n">
        <x:v>3.971162204347234</x:v>
      </x:c>
      <x:c r="M130" s="46" t="n">
        <x:v>-3.1799466795891904</x:v>
      </x:c>
      <x:c r="N130" s="46"/>
      <x:c r="O130" s="46" t="n">
        <x:v>13.289392323526656</x:v>
      </x:c>
      <x:c r="P130" s="46" t="n">
        <x:v>1.2777081011185398</x:v>
      </x:c>
      <x:c r="Q130" s="46" t="n">
        <x:v>-11.232740768781728</x:v>
      </x:c>
      <x:c r="R130" s="46" t="n">
        <x:v>7.5443888233463055</x:v>
      </x:c>
    </x:row>
    <x:row r="131">
      <x:c r="C131" s="19" t="n">
        <x:v>43221</x:v>
      </x:c>
      <x:c r="D131" s="19" t="n">
        <x:v>43251</x:v>
      </x:c>
      <x:c r="E131" s="43" t="str">
        <x:v>grid_ovzcidwu.xlsx</x:v>
      </x:c>
      <x:c r="F131" s="46" t="n">
        <x:v>10.411202887551777</x:v>
      </x:c>
      <x:c r="G131" s="46" t="n">
        <x:v>0.809150946442623</x:v>
      </x:c>
      <x:c r="H131" s="46" t="n">
        <x:v>-16.639636500006947</x:v>
      </x:c>
      <x:c r="I131" s="46" t="n">
        <x:v>4.048346277371417</x:v>
      </x:c>
      <x:c r="J131" s="46" t="n">
        <x:v>23.60868705462457</x:v>
      </x:c>
      <x:c r="K131" s="46" t="n">
        <x:v>4.438200602121459</x:v>
      </x:c>
      <x:c r="L131" s="46" t="n">
        <x:v>1.9212536254875197</x:v>
      </x:c>
      <x:c r="M131" s="46" t="n">
        <x:v>1.655386434886554</x:v>
      </x:c>
      <x:c r="N131" s="46"/>
      <x:c r="O131" s="46" t="n">
        <x:v>17.334754476982315</x:v>
      </x:c>
      <x:c r="P131" s="46" t="n">
        <x:v>5.328574939341123</x:v>
      </x:c>
      <x:c r="Q131" s="46" t="n">
        <x:v>-3.3720036563631663</x:v>
      </x:c>
      <x:c r="R131" s="46" t="n">
        <x:v>16.81676176210954</x:v>
      </x:c>
    </x:row>
    <x:row r="132">
      <x:c r="C132" s="19" t="n">
        <x:v>43252</x:v>
      </x:c>
      <x:c r="D132" s="19" t="n">
        <x:v>43280</x:v>
      </x:c>
      <x:c r="E132" s="43" t="str">
        <x:v>grid_ovzcidwu.xlsx</x:v>
      </x:c>
      <x:c r="F132" s="46" t="n">
        <x:v>6.454121159400766</x:v>
      </x:c>
      <x:c r="G132" s="46" t="n">
        <x:v>1.2230747712267585</x:v>
      </x:c>
      <x:c r="H132" s="46" t="n">
        <x:v>-18.362516326024874</x:v>
      </x:c>
      <x:c r="I132" s="46" t="n">
        <x:v>-9.331463061336374</x:v>
      </x:c>
      <x:c r="J132" s="46" t="n">
        <x:v>21.443811554184382</x:v>
      </x:c>
      <x:c r="K132" s="46" t="n">
        <x:v>1.8571736735910438</x:v>
      </x:c>
      <x:c r="L132" s="46" t="n">
        <x:v>-2.116120781485814</x:v>
      </x:c>
      <x:c r="M132" s="46" t="n">
        <x:v>1.1017235368783322</x:v>
      </x:c>
      <x:c r="N132" s="46"/>
      <x:c r="O132" s="46" t="n">
        <x:v>18.216387945441138</x:v>
      </x:c>
      <x:c r="P132" s="46" t="n">
        <x:v>7.343895357557539</x:v>
      </x:c>
      <x:c r="Q132" s="46" t="n">
        <x:v>11.325887034129403</x:v>
      </x:c>
      <x:c r="R132" s="46" t="n">
        <x:v>10.617969759714747</x:v>
      </x:c>
    </x:row>
    <x:row r="133">
      <x:c r="C133" s="19" t="n">
        <x:v>43282</x:v>
      </x:c>
      <x:c r="D133" s="19" t="n">
        <x:v>43312</x:v>
      </x:c>
      <x:c r="E133" s="43" t="str">
        <x:v>grid_ovzcidwu.xlsx</x:v>
      </x:c>
      <x:c r="F133" s="46" t="n">
        <x:v>8.188202187404341</x:v>
      </x:c>
      <x:c r="G133" s="46" t="n">
        <x:v>7.511425301616172</x:v>
      </x:c>
      <x:c r="H133" s="46" t="n">
        <x:v>-17.082477286407897</x:v>
      </x:c>
      <x:c r="I133" s="46" t="n">
        <x:v>-9.60825223024695</x:v>
      </x:c>
      <x:c r="J133" s="46" t="n">
        <x:v>20.38522817181186</x:v>
      </x:c>
      <x:c r="K133" s="46" t="n">
        <x:v>3.5806150289884933</x:v>
      </x:c>
      <x:c r="L133" s="46" t="n">
        <x:v>-0.7619091349706011</x:v>
      </x:c>
      <x:c r="M133" s="46" t="n">
        <x:v>3.6465448621160865</x:v>
      </x:c>
      <x:c r="N133" s="46"/>
      <x:c r="O133" s="46" t="n">
        <x:v>15.539064580911813</x:v>
      </x:c>
      <x:c r="P133" s="46" t="n">
        <x:v>5.923619636613958</x:v>
      </x:c>
      <x:c r="Q133" s="46" t="n">
        <x:v>15.750864461781422</x:v>
      </x:c>
      <x:c r="R133" s="46" t="n">
        <x:v>7.998640138583882</x:v>
      </x:c>
    </x:row>
    <x:row r="134">
      <x:c r="C134" s="19" t="n">
        <x:v>43313</x:v>
      </x:c>
      <x:c r="D134" s="19" t="n">
        <x:v>43343</x:v>
      </x:c>
      <x:c r="E134" s="43" t="str">
        <x:v>grid_ovzcidwu.xlsx</x:v>
      </x:c>
      <x:c r="F134" s="46" t="n">
        <x:v>9.11901768166176</x:v>
      </x:c>
      <x:c r="G134" s="46" t="n">
        <x:v>2.9244269479636573</x:v>
      </x:c>
      <x:c r="H134" s="46" t="n">
        <x:v>-5.929815001955883</x:v>
      </x:c>
      <x:c r="I134" s="46" t="n">
        <x:v>-5.631074451125395</x:v>
      </x:c>
      <x:c r="J134" s="46" t="n">
        <x:v>17.36305582866371</x:v>
      </x:c>
      <x:c r="K134" s="46" t="n">
        <x:v>3.532218869696069</x:v>
      </x:c>
      <x:c r="L134" s="46" t="n">
        <x:v>2.6443781565859643</x:v>
      </x:c>
      <x:c r="M134" s="46" t="n">
        <x:v>1.6654489976608053</x:v>
      </x:c>
      <x:c r="N134" s="46"/>
      <x:c r="O134" s="46" t="n">
        <x:v>8.014312445457799</x:v>
      </x:c>
      <x:c r="P134" s="46" t="n">
        <x:v>3.1236715046059906</x:v>
      </x:c>
      <x:c r="Q134" s="46" t="n">
        <x:v>5.0573943481590335</x:v>
      </x:c>
      <x:c r="R134" s="46" t="n">
        <x:v>-2.1107745368978375</x:v>
      </x:c>
    </x:row>
    <x:row r="135">
      <x:c r="C135" s="19" t="n">
        <x:v>43344</x:v>
      </x:c>
      <x:c r="D135" s="19" t="n">
        <x:v>43371</x:v>
      </x:c>
      <x:c r="E135" s="43" t="str">
        <x:v>grid_ovzcidwu.xlsx</x:v>
      </x:c>
      <x:c r="F135" s="46" t="n">
        <x:v>18.963007728358168</x:v>
      </x:c>
      <x:c r="G135" s="46" t="n">
        <x:v>2.1278535187748515</x:v>
      </x:c>
      <x:c r="H135" s="46" t="n">
        <x:v>-3.899967549480702</x:v>
      </x:c>
      <x:c r="I135" s="46" t="n">
        <x:v>-1.8731151946656568</x:v>
      </x:c>
      <x:c r="J135" s="46" t="n">
        <x:v>21.953054900007857</x:v>
      </x:c>
      <x:c r="K135" s="46" t="n">
        <x:v>5.312413987849971</x:v>
      </x:c>
      <x:c r="L135" s="46" t="n">
        <x:v>8.471287102863778</x:v>
      </x:c>
      <x:c r="M135" s="46" t="n">
        <x:v>1.5334858548980193</x:v>
      </x:c>
      <x:c r="N135" s="46"/>
      <x:c r="O135" s="46" t="n">
        <x:v>19.01205202416444</x:v>
      </x:c>
      <x:c r="P135" s="46" t="n">
        <x:v>0.43854508761139627</x:v>
      </x:c>
      <x:c r="Q135" s="46" t="n">
        <x:v>13.390538927627423</x:v>
      </x:c>
      <x:c r="R135" s="46" t="n">
        <x:v>-4.71044003308742</x:v>
      </x:c>
    </x:row>
    <x:row r="136">
      <x:c r="C136" s="19" t="n">
        <x:v>43374</x:v>
      </x:c>
      <x:c r="D136" s="19" t="n">
        <x:v>43404</x:v>
      </x:c>
      <x:c r="E136" s="43" t="str">
        <x:v>grid_ovzcidwu.xlsx</x:v>
      </x:c>
      <x:c r="F136" s="46" t="n">
        <x:v>19.410342113725804</x:v>
      </x:c>
      <x:c r="G136" s="46" t="n">
        <x:v>4.5013854143502785</x:v>
      </x:c>
      <x:c r="H136" s="46" t="n">
        <x:v>-5.699156403341847</x:v>
      </x:c>
      <x:c r="I136" s="46" t="n">
        <x:v>-8.734324818070661</x:v>
      </x:c>
      <x:c r="J136" s="46" t="n">
        <x:v>30.77024900529974</x:v>
      </x:c>
      <x:c r="K136" s="46" t="n">
        <x:v>1.7722086866353257</x:v>
      </x:c>
      <x:c r="L136" s="46" t="n">
        <x:v>10.807048163991045</x:v>
      </x:c>
      <x:c r="M136" s="46" t="n">
        <x:v>-3.1402169209883803</x:v>
      </x:c>
      <x:c r="N136" s="46"/>
      <x:c r="O136" s="46" t="n">
        <x:v>15.718090940112834</x:v>
      </x:c>
      <x:c r="P136" s="46" t="n">
        <x:v>2.0229249703333863</x:v>
      </x:c>
      <x:c r="Q136" s="46" t="n">
        <x:v>-0.07121307606069847</x:v>
      </x:c>
      <x:c r="R136" s="46" t="n">
        <x:v>-8.396215876389988</x:v>
      </x:c>
    </x:row>
    <x:row r="137">
      <x:c r="C137" s="19" t="n">
        <x:v>43405</x:v>
      </x:c>
      <x:c r="D137" s="19" t="n">
        <x:v>43434</x:v>
      </x:c>
      <x:c r="E137" s="43" t="str">
        <x:v>grid_ovzcidwu.xlsx</x:v>
      </x:c>
      <x:c r="F137" s="46" t="n">
        <x:v>12.867801064593525</x:v>
      </x:c>
      <x:c r="G137" s="46" t="n">
        <x:v>5.228778339395899</x:v>
      </x:c>
      <x:c r="H137" s="46" t="n">
        <x:v>-5.621542078001131</x:v>
      </x:c>
      <x:c r="I137" s="46" t="n">
        <x:v>-10.090735528684382</x:v>
      </x:c>
      <x:c r="J137" s="46" t="n">
        <x:v>17.485168550932517</x:v>
      </x:c>
      <x:c r="K137" s="46" t="n">
        <x:v>3.8799053072695417</x:v>
      </x:c>
      <x:c r="L137" s="46" t="n">
        <x:v>7.49314011533093</x:v>
      </x:c>
      <x:c r="M137" s="46" t="n">
        <x:v>5.495932822302879</x:v>
      </x:c>
      <x:c r="N137" s="46"/>
      <x:c r="O137" s="46" t="n">
        <x:v>15.25197490908947</x:v>
      </x:c>
      <x:c r="P137" s="46" t="n">
        <x:v>2.5041855867663414</x:v>
      </x:c>
      <x:c r="Q137" s="46" t="n">
        <x:v>-17.301087240190544</x:v>
      </x:c>
      <x:c r="R137" s="46" t="n">
        <x:v>-9.91003961190887</x:v>
      </x:c>
    </x:row>
    <x:row r="138">
      <x:c r="C138" s="19" t="n">
        <x:v>43435</x:v>
      </x:c>
      <x:c r="D138" s="19" t="n">
        <x:v>43465</x:v>
      </x:c>
      <x:c r="E138" s="43" t="str">
        <x:v>grid_ovzcidwu.xlsx</x:v>
      </x:c>
      <x:c r="F138" s="46" t="n">
        <x:v>0.4846900517682247</x:v>
      </x:c>
      <x:c r="G138" s="46" t="n">
        <x:v>1.056625718739596</x:v>
      </x:c>
      <x:c r="H138" s="46" t="n">
        <x:v>-4.855932688046094</x:v>
      </x:c>
      <x:c r="I138" s="46" t="n">
        <x:v>-10.023528909557724</x:v>
      </x:c>
      <x:c r="J138" s="46" t="n">
        <x:v>1.6762277956257898</x:v>
      </x:c>
      <x:c r="K138" s="46" t="n">
        <x:v>5.5261327178253135</x:v>
      </x:c>
      <x:c r="L138" s="46" t="n">
        <x:v>2.6709630851303534</x:v>
      </x:c>
      <x:c r="M138" s="46" t="n">
        <x:v>4.53746244411694</x:v>
      </x:c>
      <x:c r="N138" s="46"/>
      <x:c r="O138" s="46" t="n">
        <x:v>4.732875642939329</x:v>
      </x:c>
      <x:c r="P138" s="46" t="n">
        <x:v>0.9823979051949603</x:v>
      </x:c>
      <x:c r="Q138" s="46" t="n">
        <x:v>-19.881544953904207</x:v>
      </x:c>
      <x:c r="R138" s="46" t="n">
        <x:v>-7.70684616512223</x:v>
      </x:c>
    </x:row>
    <x:row r="139">
      <x:c r="C139" s="19" t="n">
        <x:v>43466</x:v>
      </x:c>
      <x:c r="D139" s="19" t="n">
        <x:v>43496</x:v>
      </x:c>
      <x:c r="E139" s="43" t="str">
        <x:v>grid_ovzcidwu.xlsx</x:v>
      </x:c>
      <x:c r="F139" s="46" t="n">
        <x:v>-10.718482232025337</x:v>
      </x:c>
      <x:c r="G139" s="46" t="n">
        <x:v>-1.2513240438400972</x:v>
      </x:c>
      <x:c r="H139" s="46" t="n">
        <x:v>7.036447173508497</x:v>
      </x:c>
      <x:c r="I139" s="46" t="n">
        <x:v>-0.5863776297729677</x:v>
      </x:c>
      <x:c r="J139" s="46" t="n">
        <x:v>-18.685145936638087</x:v>
      </x:c>
      <x:c r="K139" s="46" t="n">
        <x:v>3.748836257646751</x:v>
      </x:c>
      <x:c r="L139" s="46" t="n">
        <x:v>-1.657109901422043</x:v>
      </x:c>
      <x:c r="M139" s="46" t="n">
        <x:v>-0.085953887815112</x:v>
      </x:c>
      <x:c r="N139" s="46"/>
      <x:c r="O139" s="46" t="n">
        <x:v>-0.1627326639051221</x:v>
      </x:c>
      <x:c r="P139" s="46" t="n">
        <x:v>0.3226846513474581</x:v>
      </x:c>
      <x:c r="Q139" s="46" t="n">
        <x:v>22.118124046352726</x:v>
      </x:c>
      <x:c r="R139" s="46" t="n">
        <x:v>-1.3607693570834758</x:v>
      </x:c>
    </x:row>
    <x:row r="140">
      <x:c r="C140" s="19" t="n">
        <x:v>43497</x:v>
      </x:c>
      <x:c r="D140" s="19" t="n">
        <x:v>43524</x:v>
      </x:c>
      <x:c r="E140" s="43" t="str">
        <x:v>grid_ovzcidwu.xlsx</x:v>
      </x:c>
      <x:c r="F140" s="46" t="n">
        <x:v>-3.378283285881768</x:v>
      </x:c>
      <x:c r="G140" s="46" t="n">
        <x:v>-0.807513438703581</x:v>
      </x:c>
      <x:c r="H140" s="46" t="n">
        <x:v>9.527944657223365</x:v>
      </x:c>
      <x:c r="I140" s="46" t="n">
        <x:v>-3.4964740466248414</x:v>
      </x:c>
      <x:c r="J140" s="46" t="n">
        <x:v>-8.940620569591696</x:v>
      </x:c>
      <x:c r="K140" s="46" t="n">
        <x:v>3.0937133765954012</x:v>
      </x:c>
      <x:c r="L140" s="46" t="n">
        <x:v>-2.4578718057949493</x:v>
      </x:c>
      <x:c r="M140" s="46" t="n">
        <x:v>-2.022805837433274</x:v>
      </x:c>
      <x:c r="N140" s="46"/>
      <x:c r="O140" s="46" t="n">
        <x:v>2.8434037541458275</x:v>
      </x:c>
      <x:c r="P140" s="46" t="n">
        <x:v>-2.731475818491844</x:v>
      </x:c>
      <x:c r="Q140" s="46" t="n">
        <x:v>37.410258693537166</x:v>
      </x:c>
      <x:c r="R140" s="46" t="n">
        <x:v>-3.127070525529689</x:v>
      </x:c>
    </x:row>
    <x:row r="141">
      <x:c r="C141" s="19" t="n">
        <x:v>43525</x:v>
      </x:c>
      <x:c r="D141" s="19" t="n">
        <x:v>43553</x:v>
      </x:c>
      <x:c r="E141" s="43" t="str">
        <x:v>grid_ovzcidwu.xlsx</x:v>
      </x:c>
      <x:c r="F141" s="46" t="n">
        <x:v>1.6497522618793288</x:v>
      </x:c>
      <x:c r="G141" s="46" t="n">
        <x:v>0.6418905736148028</x:v>
      </x:c>
      <x:c r="H141" s="46" t="n">
        <x:v>10.781419182080407</x:v>
      </x:c>
      <x:c r="I141" s="46" t="n">
        <x:v>-5.013954980871352</x:v>
      </x:c>
      <x:c r="J141" s="46" t="n">
        <x:v>-3.193057549746371</x:v>
      </x:c>
      <x:c r="K141" s="46" t="n">
        <x:v>2.0370474643389476</x:v>
      </x:c>
      <x:c r="L141" s="46" t="n">
        <x:v>-4.432261695252808</x:v>
      </x:c>
      <x:c r="M141" s="46" t="n">
        <x:v>-2.8266094502289936</x:v>
      </x:c>
      <x:c r="N141" s="46"/>
      <x:c r="O141" s="46" t="n">
        <x:v>1.7643350477555837</x:v>
      </x:c>
      <x:c r="P141" s="46" t="n">
        <x:v>0.3679060563770801</x:v>
      </x:c>
      <x:c r="Q141" s="46" t="n">
        <x:v>51.227210554860804</x:v>
      </x:c>
      <x:c r="R141" s="46" t="n">
        <x:v>-5.746277886085841</x:v>
      </x:c>
    </x:row>
    <x:row r="142">
      <x:c r="C142" s="19" t="n">
        <x:v>43556</x:v>
      </x:c>
      <x:c r="D142" s="19" t="n">
        <x:v>43585</x:v>
      </x:c>
      <x:c r="E142" s="43" t="str">
        <x:v>grid_ovzcidwu.xlsx</x:v>
      </x:c>
      <x:c r="F142" s="46" t="n">
        <x:v>5.729735124373524</x:v>
      </x:c>
      <x:c r="G142" s="46" t="n">
        <x:v>-0.5058578535978673</x:v>
      </x:c>
      <x:c r="H142" s="46" t="n">
        <x:v>0.9885133703296795</x:v>
      </x:c>
      <x:c r="I142" s="46" t="n">
        <x:v>-4.935042055519396</x:v>
      </x:c>
      <x:c r="J142" s="46" t="n">
        <x:v>3.2106584804141676</x:v>
      </x:c>
      <x:c r="K142" s="46" t="n">
        <x:v>6.068163489321692</x:v>
      </x:c>
      <x:c r="L142" s="46" t="n">
        <x:v>-1.256279386392971</x:v>
      </x:c>
      <x:c r="M142" s="46" t="n">
        <x:v>4.307752790539474</x:v>
      </x:c>
      <x:c r="N142" s="46"/>
      <x:c r="O142" s="46" t="n">
        <x:v>7.0013431198533125</x:v>
      </x:c>
      <x:c r="P142" s="46" t="n">
        <x:v>-0.12012653581739208</x:v>
      </x:c>
      <x:c r="Q142" s="46" t="n">
        <x:v>8.920862017877187</x:v>
      </x:c>
      <x:c r="R142" s="46" t="n">
        <x:v>-8.85454035286958</x:v>
      </x:c>
    </x:row>
    <x:row r="143">
      <x:c r="C143" s="19" t="n">
        <x:v>43586</x:v>
      </x:c>
      <x:c r="D143" s="19" t="n">
        <x:v>43616</x:v>
      </x:c>
      <x:c r="E143" s="43" t="str">
        <x:v>grid_ovzcidwu.xlsx</x:v>
      </x:c>
      <x:c r="F143" s="46" t="n">
        <x:v>-1.3682603825005166</x:v>
      </x:c>
      <x:c r="G143" s="46" t="n">
        <x:v>-0.0016480699924726052</x:v>
      </x:c>
      <x:c r="H143" s="46" t="n">
        <x:v>2.910028567272039</x:v>
      </x:c>
      <x:c r="I143" s="46" t="n">
        <x:v>-2.559409244115236</x:v>
      </x:c>
      <x:c r="J143" s="46" t="n">
        <x:v>-0.7367552494132196</x:v>
      </x:c>
      <x:c r="K143" s="46" t="n">
        <x:v>0.7587006848176405</x:v>
      </x:c>
      <x:c r="L143" s="46" t="n">
        <x:v>1.7864963241355534</x:v>
      </x:c>
      <x:c r="M143" s="46" t="n">
        <x:v>0.5623829811144598</x:v>
      </x:c>
      <x:c r="N143" s="46"/>
      <x:c r="O143" s="46" t="n">
        <x:v>-1.523315848070061</x:v>
      </x:c>
      <x:c r="P143" s="46" t="n">
        <x:v>1.934722803803182</x:v>
      </x:c>
      <x:c r="Q143" s="46" t="n">
        <x:v>9.34115634861718</x:v>
      </x:c>
      <x:c r="R143" s="46" t="n">
        <x:v>-4.668257599774284</x:v>
      </x:c>
    </x:row>
    <x:row r="144">
      <x:c r="C144" s="19" t="n">
        <x:v>43617</x:v>
      </x:c>
      <x:c r="D144" s="19" t="n">
        <x:v>43644</x:v>
      </x:c>
      <x:c r="E144" s="43" t="str">
        <x:v>grid_ovzcidwu.xlsx</x:v>
      </x:c>
      <x:c r="F144" s="46" t="n">
        <x:v>-3.4236981405838445</x:v>
      </x:c>
      <x:c r="G144" s="46" t="n">
        <x:v>0.7354474841211904</x:v>
      </x:c>
      <x:c r="H144" s="46" t="n">
        <x:v>-0.6460183279495271</x:v>
      </x:c>
      <x:c r="I144" s="46" t="n">
        <x:v>0.41799483509243157</x:v>
      </x:c>
      <x:c r="J144" s="46" t="n">
        <x:v>3.6332293389362613</x:v>
      </x:c>
      <x:c r="K144" s="46" t="n">
        <x:v>-1.693109995716241</x:v>
      </x:c>
      <x:c r="L144" s="46" t="n">
        <x:v>0.552169513202373</x:v>
      </x:c>
      <x:c r="M144" s="46" t="n">
        <x:v>5.577499017307766</x:v>
      </x:c>
      <x:c r="N144" s="46"/>
      <x:c r="O144" s="46" t="n">
        <x:v>-5.497941489941481</x:v>
      </x:c>
      <x:c r="P144" s="46" t="n">
        <x:v>1.426148150880047</x:v>
      </x:c>
      <x:c r="Q144" s="46" t="n">
        <x:v>-4.090373281753412</x:v>
      </x:c>
      <x:c r="R144" s="46" t="n">
        <x:v>-0.9777404408854322</x:v>
      </x:c>
    </x:row>
    <x:row r="145">
      <x:c r="C145" s="19" t="n">
        <x:v>43647</x:v>
      </x:c>
      <x:c r="D145" s="19" t="n">
        <x:v>43677</x:v>
      </x:c>
      <x:c r="E145" s="43" t="str">
        <x:v>grid_ovzcidwu.xlsx</x:v>
      </x:c>
      <x:c r="F145" s="46" t="n">
        <x:v>-6.053410166267148</x:v>
      </x:c>
      <x:c r="G145" s="46" t="n">
        <x:v>3.718448409883346</x:v>
      </x:c>
      <x:c r="H145" s="46" t="n">
        <x:v>-2.446907141697959</x:v>
      </x:c>
      <x:c r="I145" s="46" t="n">
        <x:v>2.156772970948421</x:v>
      </x:c>
      <x:c r="J145" s="46" t="n">
        <x:v>3.54453801268825</x:v>
      </x:c>
      <x:c r="K145" s="46" t="n">
        <x:v>-5.9302615138123755</x:v>
      </x:c>
      <x:c r="L145" s="46" t="n">
        <x:v>-0.841313170478851</x:v>
      </x:c>
      <x:c r="M145" s="46" t="n">
        <x:v>9.954547010445816</x:v>
      </x:c>
      <x:c r="N145" s="46"/>
      <x:c r="O145" s="46" t="n">
        <x:v>-1.4046088010381679</x:v>
      </x:c>
      <x:c r="P145" s="46" t="n">
        <x:v>2.2559341813619476</x:v>
      </x:c>
      <x:c r="Q145" s="46" t="n">
        <x:v>-6.606667037197036</x:v>
      </x:c>
      <x:c r="R145" s="46" t="n">
        <x:v>3.9547528540241075</x:v>
      </x:c>
    </x:row>
    <x:row r="146">
      <x:c r="C146" s="19" t="n">
        <x:v>43678</x:v>
      </x:c>
      <x:c r="D146" s="19" t="n">
        <x:v>43707</x:v>
      </x:c>
      <x:c r="E146" s="43" t="str">
        <x:v>grid_ovzcidwu.xlsx</x:v>
      </x:c>
      <x:c r="F146" s="46" t="n">
        <x:v>-8.273938110393775</x:v>
      </x:c>
      <x:c r="G146" s="46" t="n">
        <x:v>4.838997947888264</x:v>
      </x:c>
      <x:c r="H146" s="46" t="n">
        <x:v>0.29403384781176933</x:v>
      </x:c>
      <x:c r="I146" s="46" t="n">
        <x:v>0.7489235972152011</x:v>
      </x:c>
      <x:c r="J146" s="46" t="n">
        <x:v>-8.427925535878044</x:v>
      </x:c>
      <x:c r="K146" s="46" t="n">
        <x:v>-3.6549751640915304</x:v>
      </x:c>
      <x:c r="L146" s="46" t="n">
        <x:v>-4.278194031243232</x:v>
      </x:c>
      <x:c r="M146" s="46" t="n">
        <x:v>15.696412464296818</x:v>
      </x:c>
      <x:c r="N146" s="46"/>
      <x:c r="O146" s="46" t="n">
        <x:v>3.41517297229149</x:v>
      </x:c>
      <x:c r="P146" s="46" t="n">
        <x:v>2.875981649917006</x:v>
      </x:c>
      <x:c r="Q146" s="46" t="n">
        <x:v>8.912875580087812</x:v>
      </x:c>
      <x:c r="R146" s="46" t="n">
        <x:v>4.9545936565092745</x:v>
      </x:c>
    </x:row>
    <x:row r="147">
      <x:c r="C147" s="19" t="n">
        <x:v>43709</x:v>
      </x:c>
      <x:c r="D147" s="19" t="n">
        <x:v>43738</x:v>
      </x:c>
      <x:c r="E147" s="43" t="str">
        <x:v>grid_ovzcidwu.xlsx</x:v>
      </x:c>
      <x:c r="F147" s="46" t="n">
        <x:v>-8.614221584870023</x:v>
      </x:c>
      <x:c r="G147" s="46" t="n">
        <x:v>4.750586539670089</x:v>
      </x:c>
      <x:c r="H147" s="46" t="n">
        <x:v>-1.4214894472773945</x:v>
      </x:c>
      <x:c r="I147" s="46" t="n">
        <x:v>3.950193179705351</x:v>
      </x:c>
      <x:c r="J147" s="46" t="n">
        <x:v>-10.292448843722585</x:v>
      </x:c>
      <x:c r="K147" s="46" t="n">
        <x:v>-4.963335785041139</x:v>
      </x:c>
      <x:c r="L147" s="46" t="n">
        <x:v>-4.771350802150324</x:v>
      </x:c>
      <x:c r="M147" s="46" t="n">
        <x:v>12.668625682223192</x:v>
      </x:c>
      <x:c r="N147" s="46"/>
      <x:c r="O147" s="46" t="n">
        <x:v>4.845199276987821</x:v>
      </x:c>
      <x:c r="P147" s="46" t="n">
        <x:v>2.825829730958392</x:v>
      </x:c>
      <x:c r="Q147" s="46" t="n">
        <x:v>-1.783715000562405</x:v>
      </x:c>
      <x:c r="R147" s="46" t="n">
        <x:v>6.699561451498692</x:v>
      </x:c>
    </x:row>
    <x:row r="148">
      <x:c r="C148" s="19" t="n">
        <x:v>43739</x:v>
      </x:c>
      <x:c r="D148" s="19" t="n">
        <x:v>43769</x:v>
      </x:c>
      <x:c r="E148" s="43" t="str">
        <x:v>grid_ovzcidwu.xlsx</x:v>
      </x:c>
      <x:c r="F148" s="46" t="n">
        <x:v>-5.486537199495355</x:v>
      </x:c>
      <x:c r="G148" s="46" t="n">
        <x:v>2.5894770462889056</x:v>
      </x:c>
      <x:c r="H148" s="46" t="n">
        <x:v>-2.616704513148862</x:v>
      </x:c>
      <x:c r="I148" s="46" t="n">
        <x:v>-0.360983946629116</x:v>
      </x:c>
      <x:c r="J148" s="46" t="n">
        <x:v>-16.755124012116667</x:v>
      </x:c>
      <x:c r="K148" s="46" t="n">
        <x:v>-1.4329308675509276</x:v>
      </x:c>
      <x:c r="L148" s="46" t="n">
        <x:v>-4.164990368445592</x:v>
      </x:c>
      <x:c r="M148" s="46" t="n">
        <x:v>7.59684319092786</x:v>
      </x:c>
      <x:c r="N148" s="46"/>
      <x:c r="O148" s="46" t="n">
        <x:v>-4.509606946852828</x:v>
      </x:c>
      <x:c r="P148" s="46" t="n">
        <x:v>4.586186673152887</x:v>
      </x:c>
      <x:c r="Q148" s="46" t="n">
        <x:v>6.839641396134693</x:v>
      </x:c>
      <x:c r="R148" s="46" t="n">
        <x:v>1.7522622991531542</x:v>
      </x:c>
    </x:row>
    <x:row r="149">
      <x:c r="C149" s="19" t="n">
        <x:v>43770</x:v>
      </x:c>
      <x:c r="D149" s="19" t="n">
        <x:v>43798</x:v>
      </x:c>
      <x:c r="E149" s="43" t="str">
        <x:v>grid_ovzcidwu.xlsx</x:v>
      </x:c>
      <x:c r="F149" s="46" t="n">
        <x:v>-2.1564141110746124</x:v>
      </x:c>
      <x:c r="G149" s="46" t="n">
        <x:v>-0.9039959859376964</x:v>
      </x:c>
      <x:c r="H149" s="46" t="n">
        <x:v>-9.867898532155877</x:v>
      </x:c>
      <x:c r="I149" s="46" t="n">
        <x:v>4.2765799433436005</x:v>
      </x:c>
      <x:c r="J149" s="46" t="n">
        <x:v>-3.0414522895122333</x:v>
      </x:c>
      <x:c r="K149" s="46" t="n">
        <x:v>-2.2905771817444647</x:v>
      </x:c>
      <x:c r="L149" s="46" t="n">
        <x:v>-3.9005131391705348</x:v>
      </x:c>
      <x:c r="M149" s="46" t="n">
        <x:v>5.010230008624659</x:v>
      </x:c>
      <x:c r="N149" s="46"/>
      <x:c r="O149" s="46" t="n">
        <x:v>-5.62786425413735</x:v>
      </x:c>
      <x:c r="P149" s="46" t="n">
        <x:v>5.127918198550574</x:v>
      </x:c>
      <x:c r="Q149" s="46" t="n">
        <x:v>-18.774348374333535</x:v>
      </x:c>
      <x:c r="R149" s="46" t="n">
        <x:v>0.6902565246358162</x:v>
      </x:c>
    </x:row>
    <x:row r="150">
      <x:c r="C150" s="19" t="n">
        <x:v>43800</x:v>
      </x:c>
      <x:c r="D150" s="19" t="n">
        <x:v>43830</x:v>
      </x:c>
      <x:c r="E150" s="43" t="str">
        <x:v>grid_ovzcidwu.xlsx</x:v>
      </x:c>
      <x:c r="F150" s="46" t="n">
        <x:v>-2.182988910252603</x:v>
      </x:c>
      <x:c r="G150" s="46" t="n">
        <x:v>-2.682122964261858</x:v>
      </x:c>
      <x:c r="H150" s="46" t="n">
        <x:v>-6.639264612648531</x:v>
      </x:c>
      <x:c r="I150" s="46" t="n">
        <x:v>-3.3818026552160894</x:v>
      </x:c>
      <x:c r="J150" s="46" t="n">
        <x:v>-2.63370213930992</x:v>
      </x:c>
      <x:c r="K150" s="46" t="n">
        <x:v>1.6291248276759953</x:v>
      </x:c>
      <x:c r="L150" s="46" t="n">
        <x:v>1.2215944223214243</x:v>
      </x:c>
      <x:c r="M150" s="46" t="n">
        <x:v>5.983730174244187</x:v>
      </x:c>
      <x:c r="N150" s="46"/>
      <x:c r="O150" s="46" t="n">
        <x:v>-1.8751124425660612</x:v>
      </x:c>
      <x:c r="P150" s="46" t="n">
        <x:v>2.5989114929431425</x:v>
      </x:c>
      <x:c r="Q150" s="46" t="n">
        <x:v>-10.087114209585822</x:v>
      </x:c>
      <x:c r="R150" s="46" t="n">
        <x:v>2.611663551988179</x:v>
      </x:c>
    </x:row>
    <x:row r="151">
      <x:c r="C151" s="19" t="n">
        <x:v>43831</x:v>
      </x:c>
      <x:c r="D151" s="19" t="n">
        <x:v>43861</x:v>
      </x:c>
      <x:c r="E151" s="43" t="str">
        <x:v>grid_1mk3z2wn.xlsx</x:v>
      </x:c>
      <x:c r="F151" s="46" t="n">
        <x:v>-9.236160362673196</x:v>
      </x:c>
      <x:c r="G151" s="46" t="n">
        <x:v>-4.073939225075627</x:v>
      </x:c>
      <x:c r="H151" s="46" t="n">
        <x:v>-3.9699918287889173</x:v>
      </x:c>
      <x:c r="I151" s="46" t="n">
        <x:v>-10.085699904462334</x:v>
      </x:c>
      <x:c r="J151" s="46" t="n">
        <x:v>5.810712546209148</x:v>
      </x:c>
      <x:c r="K151" s="46" t="n">
        <x:v>-5.316582093698714</x:v>
      </x:c>
      <x:c r="L151" s="46" t="n">
        <x:v>5.516638962194924</x:v>
      </x:c>
      <x:c r="M151" s="46" t="n">
        <x:v>6.167449531681666</x:v>
      </x:c>
      <x:c r="N151" s="46"/>
      <x:c r="O151" s="46" t="n">
        <x:v>1.1280452844659936</x:v>
      </x:c>
      <x:c r="P151" s="46" t="n">
        <x:v>3.8442645834609173</x:v>
      </x:c>
      <x:c r="Q151" s="46" t="n">
        <x:v>-6.5258966325499115</x:v>
      </x:c>
      <x:c r="R151" s="46" t="n">
        <x:v>6.052506900490117</x:v>
      </x:c>
    </x:row>
    <x:row r="152">
      <x:c r="C152" s="19" t="n">
        <x:v>43862</x:v>
      </x:c>
      <x:c r="D152" s="19" t="n">
        <x:v>43889</x:v>
      </x:c>
      <x:c r="E152" s="43" t="str">
        <x:v>grid_1mk3z2wn.xlsx</x:v>
      </x:c>
      <x:c r="F152" s="46" t="n">
        <x:v>-7.917957098831925</x:v>
      </x:c>
      <x:c r="G152" s="46" t="n">
        <x:v>-4.795018528064966</x:v>
      </x:c>
      <x:c r="H152" s="46" t="n">
        <x:v>-3.4517964316694205</x:v>
      </x:c>
      <x:c r="I152" s="46" t="n">
        <x:v>-19.967960619614825</x:v>
      </x:c>
      <x:c r="J152" s="46" t="n">
        <x:v>1.7100823229461837</x:v>
      </x:c>
      <x:c r="K152" s="46" t="n">
        <x:v>-3.1219056636640437</x:v>
      </x:c>
      <x:c r="L152" s="46" t="n">
        <x:v>10.241845491587297</x:v>
      </x:c>
      <x:c r="M152" s="46" t="n">
        <x:v>7.609570918648205</x:v>
      </x:c>
      <x:c r="N152" s="46"/>
      <x:c r="O152" s="46" t="n">
        <x:v>3.07095725560435</x:v>
      </x:c>
      <x:c r="P152" s="46" t="n">
        <x:v>6.684177528152543</x:v>
      </x:c>
      <x:c r="Q152" s="46" t="n">
        <x:v>6.326488819771203</x:v>
      </x:c>
      <x:c r="R152" s="46" t="n">
        <x:v>7.555267684196326</x:v>
      </x:c>
    </x:row>
    <x:row r="153">
      <x:c r="C153" s="19" t="n">
        <x:v>43891</x:v>
      </x:c>
      <x:c r="D153" s="19" t="n">
        <x:v>43921</x:v>
      </x:c>
      <x:c r="E153" s="43" t="str">
        <x:v>grid_1mk3z2wn.xlsx</x:v>
      </x:c>
      <x:c r="F153" s="46" t="n">
        <x:v>-22.556033504741972</x:v>
      </x:c>
      <x:c r="G153" s="46" t="n">
        <x:v>1.3720934397745461</x:v>
      </x:c>
      <x:c r="H153" s="46" t="n">
        <x:v>-19.702493165993385</x:v>
      </x:c>
      <x:c r="I153" s="46" t="n">
        <x:v>-25.551266373741484</x:v>
      </x:c>
      <x:c r="J153" s="46" t="n">
        <x:v>-96.00206183517982</x:v>
      </x:c>
      <x:c r="K153" s="46" t="n">
        <x:v>-6.797824969340943</x:v>
      </x:c>
      <x:c r="L153" s="46" t="n">
        <x:v>11.344103686527351</x:v>
      </x:c>
      <x:c r="M153" s="46" t="n">
        <x:v>0.2224466095199845</x:v>
      </x:c>
      <x:c r="N153" s="46"/>
      <x:c r="O153" s="46" t="n">
        <x:v>6.166908710359349</x:v>
      </x:c>
      <x:c r="P153" s="46" t="n">
        <x:v>-26.01888602957577</x:v>
      </x:c>
      <x:c r="Q153" s="46" t="n">
        <x:v>8.314362320727152</x:v>
      </x:c>
      <x:c r="R153" s="46" t="n">
        <x:v>5.017585841775369</x:v>
      </x:c>
    </x:row>
    <x:row r="154">
      <x:c r="C154" s="19" t="n">
        <x:v>43922</x:v>
      </x:c>
      <x:c r="D154" s="19" t="n">
        <x:v>43951</x:v>
      </x:c>
      <x:c r="E154" s="43" t="str">
        <x:v>grid_1mk3z2wn.xlsx</x:v>
      </x:c>
      <x:c r="F154" s="46" t="n">
        <x:v>-31.824145153253063</x:v>
      </x:c>
      <x:c r="G154" s="46" t="n">
        <x:v>-1.4721912431759165</x:v>
      </x:c>
      <x:c r="H154" s="46" t="n">
        <x:v>-32.96940113562098</x:v>
      </x:c>
      <x:c r="I154" s="46" t="n">
        <x:v>-30.995259258179868</x:v>
      </x:c>
      <x:c r="J154" s="46" t="n">
        <x:v>-169.9885289106782</x:v>
      </x:c>
      <x:c r="K154" s="46" t="n">
        <x:v>-9.111072360670263</x:v>
      </x:c>
      <x:c r="L154" s="46" t="n">
        <x:v>3.307631350682057</x:v>
      </x:c>
      <x:c r="M154" s="46" t="n">
        <x:v>-23.119609525772848</x:v>
      </x:c>
      <x:c r="N154" s="46" t="n">
        <x:v>1.347445166958035</x:v>
      </x:c>
      <x:c r="O154" s="46" t="n">
        <x:v>-3.073810570149614</x:v>
      </x:c>
      <x:c r="P154" s="46" t="n">
        <x:v>-54.22530291743794</x:v>
      </x:c>
      <x:c r="Q154" s="46" t="n">
        <x:v>0.4273001868757398</x:v>
      </x:c>
      <x:c r="R154" s="46" t="n">
        <x:v>-4.117873531641267</x:v>
      </x:c>
    </x:row>
    <x:row r="155">
      <x:c r="C155" s="19" t="n">
        <x:v>43952</x:v>
      </x:c>
      <x:c r="D155" s="19" t="n">
        <x:v>43980</x:v>
      </x:c>
      <x:c r="E155" s="43" t="str">
        <x:v>grid_1mk3z2wn.xlsx</x:v>
      </x:c>
      <x:c r="F155" s="46" t="n">
        <x:v>-37.967029441122385</x:v>
      </x:c>
      <x:c r="G155" s="46" t="n">
        <x:v>-0.7365278818740918</x:v>
      </x:c>
      <x:c r="H155" s="46" t="n">
        <x:v>-34.820351822964824</x:v>
      </x:c>
      <x:c r="I155" s="46" t="n">
        <x:v>-29.728325318098626</x:v>
      </x:c>
      <x:c r="J155" s="46" t="n">
        <x:v>-286.52180526901515</x:v>
      </x:c>
      <x:c r="K155" s="46" t="n">
        <x:v>-19.320927939318203</x:v>
      </x:c>
      <x:c r="L155" s="46" t="n">
        <x:v>-4.097737834919542</x:v>
      </x:c>
      <x:c r="M155" s="46" t="n">
        <x:v>-44.23757091108512</x:v>
      </x:c>
      <x:c r="N155" s="46" t="n">
        <x:v>3.0043367414943196</x:v>
      </x:c>
      <x:c r="O155" s="46" t="n">
        <x:v>7.174404097601456</x:v>
      </x:c>
      <x:c r="P155" s="46" t="n">
        <x:v>-54.915480621418176</x:v>
      </x:c>
      <x:c r="Q155" s="46" t="n">
        <x:v>-16.151448871662062</x:v>
      </x:c>
      <x:c r="R155" s="46" t="n">
        <x:v>-0.9685822243033382</x:v>
      </x:c>
    </x:row>
    <x:row r="156">
      <x:c r="C156" s="19" t="n">
        <x:v>43983</x:v>
      </x:c>
      <x:c r="D156" s="19" t="n">
        <x:v>44012</x:v>
      </x:c>
      <x:c r="E156" s="43" t="str">
        <x:v>grid_1mk3z2wn.xlsx</x:v>
      </x:c>
      <x:c r="F156" s="46" t="n">
        <x:v>-30.89311473421748</x:v>
      </x:c>
      <x:c r="G156" s="46" t="n">
        <x:v>-7.312934242241667</x:v>
      </x:c>
      <x:c r="H156" s="46" t="n">
        <x:v>-21.5287805638718</x:v>
      </x:c>
      <x:c r="I156" s="46" t="n">
        <x:v>-19.74836513406113</x:v>
      </x:c>
      <x:c r="J156" s="46"/>
      <x:c r="K156" s="46" t="n">
        <x:v>-30.914463876507618</x:v>
      </x:c>
      <x:c r="L156" s="46" t="n">
        <x:v>-4.736391249656554</x:v>
      </x:c>
      <x:c r="M156" s="46" t="n">
        <x:v>-48.51130087427066</x:v>
      </x:c>
      <x:c r="N156" s="46" t="n">
        <x:v>4.240306338510239</x:v>
      </x:c>
      <x:c r="O156" s="46" t="n">
        <x:v>5.525092007077502</x:v>
      </x:c>
      <x:c r="P156" s="46" t="n">
        <x:v>-9.817750718528423</x:v>
      </x:c>
      <x:c r="Q156" s="46" t="n">
        <x:v>-7.618712137447041</x:v>
      </x:c>
      <x:c r="R156" s="46" t="n">
        <x:v>-1.5349139321203957</x:v>
      </x:c>
    </x:row>
    <x:row r="157">
      <x:c r="C157" s="19" t="n">
        <x:v>44013</x:v>
      </x:c>
      <x:c r="D157" s="19" t="n">
        <x:v>44043</x:v>
      </x:c>
      <x:c r="E157" s="43" t="str">
        <x:v>grid_1mk3z2wn.xlsx</x:v>
      </x:c>
      <x:c r="F157" s="46" t="n">
        <x:v>-8.233005890301445</x:v>
      </x:c>
      <x:c r="G157" s="46" t="n">
        <x:v>-9.839913888282577</x:v>
      </x:c>
      <x:c r="H157" s="46" t="n">
        <x:v>-1.7639289892483958</x:v>
      </x:c>
      <x:c r="I157" s="46" t="n">
        <x:v>-10.496507841952491</x:v>
      </x:c>
      <x:c r="J157" s="46" t="n">
        <x:v>-118.25364614601541</x:v>
      </x:c>
      <x:c r="K157" s="46" t="n">
        <x:v>-25.320283472918604</x:v>
      </x:c>
      <x:c r="L157" s="46" t="n">
        <x:v>-2.106799966029956</x:v>
      </x:c>
      <x:c r="M157" s="46" t="n">
        <x:v>-6.32819183641065</x:v>
      </x:c>
      <x:c r="N157" s="46" t="n">
        <x:v>4.645212207870579</x:v>
      </x:c>
      <x:c r="O157" s="46" t="n">
        <x:v>23.15597418299087</x:v>
      </x:c>
      <x:c r="P157" s="46" t="n">
        <x:v>16.85237218100988</x:v>
      </x:c>
      <x:c r="Q157" s="46" t="n">
        <x:v>0.6091607880717</x:v>
      </x:c>
      <x:c r="R157" s="46" t="n">
        <x:v>13.808061522462726</x:v>
      </x:c>
    </x:row>
    <x:row r="158">
      <x:c r="C158" s="19" t="n">
        <x:v>44044</x:v>
      </x:c>
      <x:c r="D158" s="19" t="n">
        <x:v>44074</x:v>
      </x:c>
      <x:c r="E158" s="43" t="str">
        <x:v>grid_1mk3z2wn.xlsx</x:v>
      </x:c>
      <x:c r="F158" s="46" t="n">
        <x:v>8.368671527005468</x:v>
      </x:c>
      <x:c r="G158" s="46" t="n">
        <x:v>-3.4869194413657087</x:v>
      </x:c>
      <x:c r="H158" s="46" t="n">
        <x:v>2.233586567339699</x:v>
      </x:c>
      <x:c r="I158" s="46" t="n">
        <x:v>-2.576579987107402</x:v>
      </x:c>
      <x:c r="J158" s="46" t="n">
        <x:v>120.90367691493174</x:v>
      </x:c>
      <x:c r="K158" s="46" t="n">
        <x:v>-14.675051661656127</x:v>
      </x:c>
      <x:c r="L158" s="46" t="n">
        <x:v>-0.06455646775069959</x:v>
      </x:c>
      <x:c r="M158" s="46" t="n">
        <x:v>12.453289139352997</x:v>
      </x:c>
      <x:c r="N158" s="46" t="n">
        <x:v>-1.568210069146488</x:v>
      </x:c>
      <x:c r="O158" s="46" t="n">
        <x:v>20.287460363710057</x:v>
      </x:c>
      <x:c r="P158" s="46" t="n">
        <x:v>14.090939337495534</x:v>
      </x:c>
      <x:c r="Q158" s="46" t="n">
        <x:v>24.46226464420517</x:v>
      </x:c>
      <x:c r="R158" s="46" t="n">
        <x:v>9.120620266568933</x:v>
      </x:c>
    </x:row>
    <x:row r="159">
      <x:c r="C159" s="19" t="n">
        <x:v>44075</x:v>
      </x:c>
      <x:c r="D159" s="19" t="n">
        <x:v>44104</x:v>
      </x:c>
      <x:c r="E159" s="43" t="str">
        <x:v>grid_1mk3z2wn.xlsx</x:v>
      </x:c>
      <x:c r="F159" s="46" t="n">
        <x:v>26.947577408545776</x:v>
      </x:c>
      <x:c r="G159" s="46" t="n">
        <x:v>-0.2791513286744809</x:v>
      </x:c>
      <x:c r="H159" s="46" t="n">
        <x:v>13.672643559324651</x:v>
      </x:c>
      <x:c r="I159" s="46" t="n">
        <x:v>-1.1179531777055514</x:v>
      </x:c>
      <x:c r="J159" s="46"/>
      <x:c r="K159" s="46" t="n">
        <x:v>3.954484298528734</x:v>
      </x:c>
      <x:c r="L159" s="46" t="n">
        <x:v>-1.9854561611497168</x:v>
      </x:c>
      <x:c r="M159" s="46" t="n">
        <x:v>34.05777776462989</x:v>
      </x:c>
      <x:c r="N159" s="46" t="n">
        <x:v>-2.3637999025075898</x:v>
      </x:c>
      <x:c r="O159" s="46" t="n">
        <x:v>29.297756233722506</x:v>
      </x:c>
      <x:c r="P159" s="46" t="n">
        <x:v>-5.001395726571844</x:v>
      </x:c>
      <x:c r="Q159" s="46" t="n">
        <x:v>9.282932592808649</x:v>
      </x:c>
      <x:c r="R159" s="46" t="n">
        <x:v>10.683819633246674</x:v>
      </x:c>
    </x:row>
    <x:row r="160">
      <x:c r="C160" s="19" t="n">
        <x:v>44105</x:v>
      </x:c>
      <x:c r="D160" s="19" t="n">
        <x:v>44134</x:v>
      </x:c>
      <x:c r="E160" s="43" t="str">
        <x:v>grid_1mk3z2wn.xlsx</x:v>
      </x:c>
      <x:c r="F160" s="46" t="n">
        <x:v>40.0247164566229</x:v>
      </x:c>
      <x:c r="G160" s="46" t="n">
        <x:v>9.20657129114125</x:v>
      </x:c>
      <x:c r="H160" s="46" t="n">
        <x:v>9.147759889903542</x:v>
      </x:c>
      <x:c r="I160" s="46" t="n">
        <x:v>6.323352473804311</x:v>
      </x:c>
      <x:c r="J160" s="46" t="n">
        <x:v>223.06966449097132</x:v>
      </x:c>
      <x:c r="K160" s="46" t="n">
        <x:v>13.24207825208662</x:v>
      </x:c>
      <x:c r="L160" s="46" t="n">
        <x:v>4.348766847826495</x:v>
      </x:c>
      <x:c r="M160" s="46" t="n">
        <x:v>30.44230101951944</x:v>
      </x:c>
      <x:c r="N160" s="46" t="n">
        <x:v>4.916846249990351</x:v>
      </x:c>
      <x:c r="O160" s="46" t="n">
        <x:v>39.85780415963026</x:v>
      </x:c>
      <x:c r="P160" s="46" t="n">
        <x:v>8.76751864314821</x:v>
      </x:c>
      <x:c r="Q160" s="46" t="n">
        <x:v>5.264733616829646</x:v>
      </x:c>
      <x:c r="R160" s="46" t="n">
        <x:v>15.099884666515292</x:v>
      </x:c>
    </x:row>
    <x:row r="161">
      <x:c r="C161" s="19" t="n">
        <x:v>44136</x:v>
      </x:c>
      <x:c r="D161" s="19" t="n">
        <x:v>44165</x:v>
      </x:c>
      <x:c r="E161" s="43" t="str">
        <x:v>grid_1mk3z2wn.xlsx</x:v>
      </x:c>
      <x:c r="F161" s="46" t="n">
        <x:v>47.02070495533713</x:v>
      </x:c>
      <x:c r="G161" s="46" t="n">
        <x:v>2.268828835731714</x:v>
      </x:c>
      <x:c r="H161" s="46" t="n">
        <x:v>18.56750316880391</x:v>
      </x:c>
      <x:c r="I161" s="46" t="n">
        <x:v>8.640404295885878</x:v>
      </x:c>
      <x:c r="J161" s="46" t="n">
        <x:v>132.53837317557355</x:v>
      </x:c>
      <x:c r="K161" s="46" t="n">
        <x:v>19.489801326644603</x:v>
      </x:c>
      <x:c r="L161" s="46" t="n">
        <x:v>8.349614647429288</x:v>
      </x:c>
      <x:c r="M161" s="46" t="n">
        <x:v>24.088908701502337</x:v>
      </x:c>
      <x:c r="N161" s="46" t="n">
        <x:v>10.712951212618366</x:v>
      </x:c>
      <x:c r="O161" s="46" t="n">
        <x:v>43.355331651157414</x:v>
      </x:c>
      <x:c r="P161" s="46" t="n">
        <x:v>12.673654703342088</x:v>
      </x:c>
      <x:c r="Q161" s="46" t="n">
        <x:v>-8.592201744725319</x:v>
      </x:c>
      <x:c r="R161" s="46" t="n">
        <x:v>11.290364411921388</x:v>
      </x:c>
    </x:row>
    <x:row r="162">
      <x:c r="C162" s="19" t="n">
        <x:v>44166</x:v>
      </x:c>
      <x:c r="D162" s="19" t="n">
        <x:v>44196</x:v>
      </x:c>
      <x:c r="E162" s="43" t="str">
        <x:v>grid_1mk3z2wn.xlsx</x:v>
      </x:c>
      <x:c r="F162" s="46" t="n">
        <x:v>38.49224788377128</x:v>
      </x:c>
      <x:c r="G162" s="46" t="n">
        <x:v>10.098506226209935</x:v>
      </x:c>
      <x:c r="H162" s="46" t="n">
        <x:v>14.433035165753116</x:v>
      </x:c>
      <x:c r="I162" s="46" t="n">
        <x:v>12.746195263872199</x:v>
      </x:c>
      <x:c r="J162" s="46" t="n">
        <x:v>110.82208138088387</x:v>
      </x:c>
      <x:c r="K162" s="46" t="n">
        <x:v>13.890125307054973</x:v>
      </x:c>
      <x:c r="L162" s="46" t="n">
        <x:v>14.922170080754993</x:v>
      </x:c>
      <x:c r="M162" s="46" t="n">
        <x:v>18.273262244556182</x:v>
      </x:c>
      <x:c r="N162" s="46" t="n">
        <x:v>14.304333407279579</x:v>
      </x:c>
      <x:c r="O162" s="46" t="n">
        <x:v>29.007305236071517</x:v>
      </x:c>
      <x:c r="P162" s="46" t="n">
        <x:v>16.18651103113847</x:v>
      </x:c>
      <x:c r="Q162" s="46" t="n">
        <x:v>2.116777408268956</x:v>
      </x:c>
      <x:c r="R162" s="46" t="n">
        <x:v>0.19389966327853833</x:v>
      </x:c>
    </x:row>
    <x:row r="163">
      <x:c r="C163" s="19" t="n">
        <x:v>44197</x:v>
      </x:c>
      <x:c r="D163" s="19" t="n">
        <x:v>44225</x:v>
      </x:c>
      <x:c r="E163" s="43" t="str">
        <x:v>grid_1mk3z2wn.xlsx</x:v>
      </x:c>
      <x:c r="F163" s="46" t="n">
        <x:v>32.481205184384855</x:v>
      </x:c>
      <x:c r="G163" s="46" t="n">
        <x:v>6.629345392869247</x:v>
      </x:c>
      <x:c r="H163" s="46" t="n">
        <x:v>13.086793962364387</x:v>
      </x:c>
      <x:c r="I163" s="46" t="n">
        <x:v>11.521539579425834</x:v>
      </x:c>
      <x:c r="J163" s="46" t="n">
        <x:v>58.70205555358362</x:v>
      </x:c>
      <x:c r="K163" s="46" t="n">
        <x:v>8.975757698000578</x:v>
      </x:c>
      <x:c r="L163" s="46" t="n">
        <x:v>14.471381041988614</x:v>
      </x:c>
      <x:c r="M163" s="46" t="n">
        <x:v>11.464158357606848</x:v>
      </x:c>
      <x:c r="N163" s="46" t="n">
        <x:v>3.4535725461965523</x:v>
      </x:c>
      <x:c r="O163" s="46" t="n">
        <x:v>28.542816872958582</x:v>
      </x:c>
      <x:c r="P163" s="46" t="n">
        <x:v>-1.442837732004008</x:v>
      </x:c>
      <x:c r="Q163" s="46" t="n">
        <x:v>-2.4659614695534007</x:v>
      </x:c>
      <x:c r="R163" s="46" t="n">
        <x:v>-17.2808830159674</x:v>
      </x:c>
    </x:row>
    <x:row r="164">
      <x:c r="C164" s="19" t="n">
        <x:v>44228</x:v>
      </x:c>
      <x:c r="D164" s="19" t="n">
        <x:v>44253</x:v>
      </x:c>
      <x:c r="E164" s="43" t="str">
        <x:v>grid_1mk3z2wn.xlsx</x:v>
      </x:c>
      <x:c r="F164" s="46" t="n">
        <x:v>24.835413918975682</x:v>
      </x:c>
      <x:c r="G164" s="46" t="n">
        <x:v>7.841237249911319</x:v>
      </x:c>
      <x:c r="H164" s="46" t="n">
        <x:v>3.993600531603706</x:v>
      </x:c>
      <x:c r="I164" s="46" t="n">
        <x:v>7.165259611908646</x:v>
      </x:c>
      <x:c r="J164" s="46" t="n">
        <x:v>36.837649221756394</x:v>
      </x:c>
      <x:c r="K164" s="46" t="n">
        <x:v>3.0059543348403164</x:v>
      </x:c>
      <x:c r="L164" s="46" t="n">
        <x:v>9.536493169412795</x:v>
      </x:c>
      <x:c r="M164" s="46" t="n">
        <x:v>13.69018207745634</x:v>
      </x:c>
      <x:c r="N164" s="46" t="n">
        <x:v>4.772688320438526</x:v>
      </x:c>
      <x:c r="O164" s="46" t="n">
        <x:v>22.902055112084067</x:v>
      </x:c>
      <x:c r="P164" s="46" t="n">
        <x:v>-9.718765451773614</x:v>
      </x:c>
      <x:c r="Q164" s="46" t="n">
        <x:v>5.647774856037133</x:v>
      </x:c>
      <x:c r="R164" s="46" t="n">
        <x:v>-15.464703070663438</x:v>
      </x:c>
    </x:row>
    <x:row r="165">
      <x:c r="C165" s="19" t="n">
        <x:v>44256</x:v>
      </x:c>
      <x:c r="D165" s="19" t="n">
        <x:v>44286</x:v>
      </x:c>
      <x:c r="E165" s="43" t="str">
        <x:v>grid_1mk3z2wn.xlsx</x:v>
      </x:c>
      <x:c r="F165" s="46" t="n">
        <x:v>34.12888399386084</x:v>
      </x:c>
      <x:c r="G165" s="46" t="n">
        <x:v>0.9774934760994632</x:v>
      </x:c>
      <x:c r="H165" s="46" t="n">
        <x:v>10.388184347923623</x:v>
      </x:c>
      <x:c r="I165" s="46" t="n">
        <x:v>4.143872287975617</x:v>
      </x:c>
      <x:c r="J165" s="46" t="n">
        <x:v>28.048688143848278</x:v>
      </x:c>
      <x:c r="K165" s="46" t="n">
        <x:v>6.236031195301722</x:v>
      </x:c>
      <x:c r="L165" s="46" t="n">
        <x:v>9.092018098049303</x:v>
      </x:c>
      <x:c r="M165" s="46" t="n">
        <x:v>2.1909465947279734</x:v>
      </x:c>
      <x:c r="N165" s="46" t="n">
        <x:v>5.467754632057368</x:v>
      </x:c>
      <x:c r="O165" s="46" t="n">
        <x:v>37.219833242167674</x:v>
      </x:c>
      <x:c r="P165" s="46" t="n">
        <x:v>-6.862771670949226</x:v>
      </x:c>
      <x:c r="Q165" s="46" t="n">
        <x:v>2.535939293503282</x:v>
      </x:c>
      <x:c r="R165" s="46" t="n">
        <x:v>-13.724227239213135</x:v>
      </x:c>
    </x:row>
    <x:row r="166">
      <x:c r="C166" s="19" t="n">
        <x:v>44287</x:v>
      </x:c>
      <x:c r="D166" s="19" t="n">
        <x:v>44316</x:v>
      </x:c>
      <x:c r="E166" s="43" t="str">
        <x:v>grid_1mk3z2wn.xlsx</x:v>
      </x:c>
      <x:c r="F166" s="46" t="n">
        <x:v>35.887541522975084</x:v>
      </x:c>
      <x:c r="G166" s="46" t="n">
        <x:v>3.491733163574115</x:v>
      </x:c>
      <x:c r="H166" s="46" t="n">
        <x:v>8.841599192575616</x:v>
      </x:c>
      <x:c r="I166" s="46" t="n">
        <x:v>5.604176094766384</x:v>
      </x:c>
      <x:c r="J166" s="46" t="n">
        <x:v>47.78736185220254</x:v>
      </x:c>
      <x:c r="K166" s="46" t="n">
        <x:v>5.93076842059658</x:v>
      </x:c>
      <x:c r="L166" s="46" t="n">
        <x:v>1.0494251694794994</x:v>
      </x:c>
      <x:c r="M166" s="46" t="n">
        <x:v>-2.7160941412688153</x:v>
      </x:c>
      <x:c r="N166" s="46" t="n">
        <x:v>7.752769687311521</x:v>
      </x:c>
      <x:c r="O166" s="46" t="n">
        <x:v>30.266292909237595</x:v>
      </x:c>
      <x:c r="P166" s="46" t="n">
        <x:v>-12.27634932865254</x:v>
      </x:c>
      <x:c r="Q166" s="46" t="n">
        <x:v>9.132028858006619</x:v>
      </x:c>
      <x:c r="R166" s="46" t="n">
        <x:v>-4.869511652332928</x:v>
      </x:c>
    </x:row>
    <x:row r="167">
      <x:c r="C167" s="19" t="n">
        <x:v>44317</x:v>
      </x:c>
      <x:c r="D167" s="19" t="n">
        <x:v>44347</x:v>
      </x:c>
      <x:c r="E167" s="43" t="str">
        <x:v>grid_1mk3z2wn.xlsx</x:v>
      </x:c>
      <x:c r="F167" s="46" t="n">
        <x:v>21.060831841745145</x:v>
      </x:c>
      <x:c r="G167" s="46" t="n">
        <x:v>0.5501096534798187</x:v>
      </x:c>
      <x:c r="H167" s="46" t="n">
        <x:v>18.185449777986946</x:v>
      </x:c>
      <x:c r="I167" s="46" t="n">
        <x:v>10.867755889225975</x:v>
      </x:c>
      <x:c r="J167" s="46" t="n">
        <x:v>38.59580161334842</x:v>
      </x:c>
      <x:c r="K167" s="46" t="n">
        <x:v>3.327927994777538</x:v>
      </x:c>
      <x:c r="L167" s="46" t="n">
        <x:v>2.7451978603633154</x:v>
      </x:c>
      <x:c r="M167" s="46" t="n">
        <x:v>-2.779065137822459</x:v>
      </x:c>
      <x:c r="N167" s="46" t="n">
        <x:v>-33.38005260992183</x:v>
      </x:c>
      <x:c r="O167" s="46" t="n">
        <x:v>24.799501267599158</x:v>
      </x:c>
      <x:c r="P167" s="46" t="n">
        <x:v>-3.863352836002556</x:v>
      </x:c>
      <x:c r="Q167" s="46" t="n">
        <x:v>11.69054807656091</x:v>
      </x:c>
      <x:c r="R167" s="46" t="n">
        <x:v>-16.733387541558177</x:v>
      </x:c>
    </x:row>
    <x:row r="168">
      <x:c r="C168" s="19" t="n">
        <x:v>44348</x:v>
      </x:c>
      <x:c r="D168" s="19" t="n">
        <x:v>44377</x:v>
      </x:c>
      <x:c r="E168" s="43" t="str">
        <x:v>grid_1mk3z2wn.xlsx</x:v>
      </x:c>
      <x:c r="F168" s="46" t="n">
        <x:v>13.74279398222745</x:v>
      </x:c>
      <x:c r="G168" s="46" t="n">
        <x:v>1.1925631305100075</x:v>
      </x:c>
      <x:c r="H168" s="46" t="n">
        <x:v>13.547155813742465</x:v>
      </x:c>
      <x:c r="I168" s="46" t="n">
        <x:v>5.529080251293525</x:v>
      </x:c>
      <x:c r="J168" s="46" t="n">
        <x:v>35.85101510247177</x:v>
      </x:c>
      <x:c r="K168" s="46" t="n">
        <x:v>0.34434669570948423</x:v>
      </x:c>
      <x:c r="L168" s="46" t="n">
        <x:v>-3.1005290235526237</x:v>
      </x:c>
      <x:c r="M168" s="46" t="n">
        <x:v>3.323096292241443</x:v>
      </x:c>
      <x:c r="N168" s="46" t="n">
        <x:v>-32.66119592092159</x:v>
      </x:c>
      <x:c r="O168" s="46" t="n">
        <x:v>13.610670676814904</x:v>
      </x:c>
      <x:c r="P168" s="46" t="n">
        <x:v>4.888058439820164</x:v>
      </x:c>
      <x:c r="Q168" s="46" t="n">
        <x:v>13.359824031925147</x:v>
      </x:c>
      <x:c r="R168" s="46" t="n">
        <x:v>-26.213370206477776</x:v>
      </x:c>
    </x:row>
    <x:row r="169">
      <x:c r="C169" s="19" t="n">
        <x:v>44378</x:v>
      </x:c>
      <x:c r="D169" s="19" t="n">
        <x:v>44407</x:v>
      </x:c>
      <x:c r="E169" s="43" t="str">
        <x:v>grid_1mk3z2wn.xlsx</x:v>
      </x:c>
      <x:c r="F169" s="46" t="n">
        <x:v>4.390157518096733</x:v>
      </x:c>
      <x:c r="G169" s="46" t="n">
        <x:v>0.10622696718079641</x:v>
      </x:c>
      <x:c r="H169" s="46" t="n">
        <x:v>25.947736627806268</x:v>
      </x:c>
      <x:c r="I169" s="46" t="n">
        <x:v>8.368142483122353</x:v>
      </x:c>
      <x:c r="J169" s="46" t="n">
        <x:v>13.262733030327938</x:v>
      </x:c>
      <x:c r="K169" s="46" t="n">
        <x:v>2.5371221942407205</x:v>
      </x:c>
      <x:c r="L169" s="46" t="n">
        <x:v>10.035121921663878</x:v>
      </x:c>
      <x:c r="M169" s="46" t="n">
        <x:v>8.116348889642417</x:v>
      </x:c>
      <x:c r="N169" s="46" t="n">
        <x:v>2.2779181940644895</x:v>
      </x:c>
      <x:c r="O169" s="46" t="n">
        <x:v>10.471508688759876</x:v>
      </x:c>
      <x:c r="P169" s="46" t="n">
        <x:v>12.25737942208069</x:v>
      </x:c>
      <x:c r="Q169" s="46" t="n">
        <x:v>13.69011376690066</x:v>
      </x:c>
      <x:c r="R169" s="46" t="n">
        <x:v>-26.513164248982974</x:v>
      </x:c>
    </x:row>
    <x:row r="170">
      <x:c r="C170" s="19" t="n">
        <x:v>44409</x:v>
      </x:c>
      <x:c r="D170" s="19" t="n">
        <x:v>44439</x:v>
      </x:c>
      <x:c r="E170" s="43" t="str">
        <x:v>grid_1mk3z2wn.xlsx</x:v>
      </x:c>
      <x:c r="F170" s="46" t="n">
        <x:v>7.370423433940281</x:v>
      </x:c>
      <x:c r="G170" s="46" t="n">
        <x:v>6.550353946358952</x:v>
      </x:c>
      <x:c r="H170" s="46" t="n">
        <x:v>16.119552786863846</x:v>
      </x:c>
      <x:c r="I170" s="46" t="n">
        <x:v>2.62766351424454</x:v>
      </x:c>
      <x:c r="J170" s="46" t="n">
        <x:v>18.73046145074478</x:v>
      </x:c>
      <x:c r="K170" s="46" t="n">
        <x:v>7.121471373185365</x:v>
      </x:c>
      <x:c r="L170" s="46" t="n">
        <x:v>14.927552861491355</x:v>
      </x:c>
      <x:c r="M170" s="46" t="n">
        <x:v>12.701695118895472</x:v>
      </x:c>
      <x:c r="N170" s="46" t="n">
        <x:v>33.022292138359276</x:v>
      </x:c>
      <x:c r="O170" s="46" t="n">
        <x:v>3.886454043107037</x:v>
      </x:c>
      <x:c r="P170" s="46" t="n">
        <x:v>7.625499545371079</x:v>
      </x:c>
      <x:c r="Q170" s="46" t="n">
        <x:v>2.5121574606232575</x:v>
      </x:c>
      <x:c r="R170" s="46" t="n">
        <x:v>-7.30149912995413</x:v>
      </x:c>
    </x:row>
    <x:row r="171">
      <x:c r="C171" s="19" t="n">
        <x:v>44440</x:v>
      </x:c>
      <x:c r="D171" s="19" t="n">
        <x:v>44469</x:v>
      </x:c>
      <x:c r="E171" s="43" t="str">
        <x:v>grid_1mk3z2wn.xlsx</x:v>
      </x:c>
      <x:c r="F171" s="46" t="n">
        <x:v>-3.9156594150820268</x:v>
      </x:c>
      <x:c r="G171" s="46" t="n">
        <x:v>-5.076725875437191</x:v>
      </x:c>
      <x:c r="H171" s="46" t="n">
        <x:v>14.933513188142145</x:v>
      </x:c>
      <x:c r="I171" s="46" t="n">
        <x:v>12.795455506529091</x:v>
      </x:c>
      <x:c r="J171" s="46" t="n">
        <x:v>7.916763125046662</x:v>
      </x:c>
      <x:c r="K171" s="46" t="n">
        <x:v>5.455443106292137</x:v>
      </x:c>
      <x:c r="L171" s="46" t="n">
        <x:v>36.14908232066262</x:v>
      </x:c>
      <x:c r="M171" s="46" t="n">
        <x:v>17.88257468613</x:v>
      </x:c>
      <x:c r="N171" s="46" t="n">
        <x:v>15.177988754760754</x:v>
      </x:c>
      <x:c r="O171" s="46" t="n">
        <x:v>-14.994942757240409</x:v>
      </x:c>
      <x:c r="P171" s="46" t="n">
        <x:v>1.729674570456751</x:v>
      </x:c>
      <x:c r="Q171" s="46" t="n">
        <x:v>-1.4940792070868425</x:v>
      </x:c>
      <x:c r="R171" s="46" t="n">
        <x:v>-0.6600895197021583</x:v>
      </x:c>
    </x:row>
    <x:row r="172">
      <x:c r="C172" s="19" t="n">
        <x:v>44470</x:v>
      </x:c>
      <x:c r="D172" s="19" t="n">
        <x:v>44498</x:v>
      </x:c>
      <x:c r="E172" s="43" t="str">
        <x:v>grid_1mk3z2wn.xlsx</x:v>
      </x:c>
      <x:c r="F172" s="46" t="n">
        <x:v>-7.545108249732611</x:v>
      </x:c>
      <x:c r="G172" s="46" t="n">
        <x:v>5.493779283820918</x:v>
      </x:c>
      <x:c r="H172" s="46" t="n">
        <x:v>4.82285588998233</x:v>
      </x:c>
      <x:c r="I172" s="46" t="n">
        <x:v>16.823057643458007</x:v>
      </x:c>
      <x:c r="J172" s="46" t="n">
        <x:v>18.604415132180876</x:v>
      </x:c>
      <x:c r="K172" s="46" t="n">
        <x:v>6.462371259441478</x:v>
      </x:c>
      <x:c r="L172" s="46" t="n">
        <x:v>25.521302190903473</x:v>
      </x:c>
      <x:c r="M172" s="46" t="n">
        <x:v>12.793318496054887</x:v>
      </x:c>
      <x:c r="N172" s="46" t="n">
        <x:v>-16.41627931795435</x:v>
      </x:c>
      <x:c r="O172" s="46" t="n">
        <x:v>-34.57646543852367</x:v>
      </x:c>
      <x:c r="P172" s="46" t="n">
        <x:v>3.324593070261623</x:v>
      </x:c>
      <x:c r="Q172" s="46" t="n">
        <x:v>-4.739121811651344</x:v>
      </x:c>
      <x:c r="R172" s="46" t="n">
        <x:v>-2.2781182330750767</x:v>
      </x:c>
    </x:row>
    <x:row r="173">
      <x:c r="C173" s="19" t="n">
        <x:v>44501</x:v>
      </x:c>
      <x:c r="D173" s="19" t="n">
        <x:v>44530</x:v>
      </x:c>
      <x:c r="E173" s="43" t="str">
        <x:v>grid_1mk3z2wn.xlsx</x:v>
      </x:c>
      <x:c r="F173" s="46" t="n">
        <x:v>-3.678376626985816</x:v>
      </x:c>
      <x:c r="G173" s="46" t="n">
        <x:v>-3.626290253823705</x:v>
      </x:c>
      <x:c r="H173" s="46" t="n">
        <x:v>-6.202991738783456</x:v>
      </x:c>
      <x:c r="I173" s="46" t="n">
        <x:v>28.98055583199727</x:v>
      </x:c>
      <x:c r="J173" s="46" t="n">
        <x:v>27.04863568644923</x:v>
      </x:c>
      <x:c r="K173" s="46" t="n">
        <x:v>0.8971342006544579</x:v>
      </x:c>
      <x:c r="L173" s="46" t="n">
        <x:v>9.587071503130502</x:v>
      </x:c>
      <x:c r="M173" s="46" t="n">
        <x:v>9.381530362454185</x:v>
      </x:c>
      <x:c r="N173" s="46" t="n">
        <x:v>4.459560358932293</x:v>
      </x:c>
      <x:c r="O173" s="46" t="n">
        <x:v>-44.19748215155926</x:v>
      </x:c>
      <x:c r="P173" s="46" t="n">
        <x:v>19.919848619995637</x:v>
      </x:c>
      <x:c r="Q173" s="46" t="n">
        <x:v>0.5807261443383945</x:v>
      </x:c>
      <x:c r="R173" s="46" t="n">
        <x:v>-12.553784475236618</x:v>
      </x:c>
    </x:row>
    <x:row r="174">
      <x:c r="C174" s="19" t="n">
        <x:v>44531</x:v>
      </x:c>
      <x:c r="D174" s="19" t="n">
        <x:v>44561</x:v>
      </x:c>
      <x:c r="E174" s="43" t="str">
        <x:v>grid_1mk3z2wn.xlsx</x:v>
      </x:c>
      <x:c r="F174" s="46" t="n">
        <x:v>1.6099054636925034</x:v>
      </x:c>
      <x:c r="G174" s="46" t="n">
        <x:v>3.21387256131338</x:v>
      </x:c>
      <x:c r="H174" s="46" t="n">
        <x:v>-16.484573171418226</x:v>
      </x:c>
      <x:c r="I174" s="46" t="n">
        <x:v>16.427761826039283</x:v>
      </x:c>
      <x:c r="J174" s="46" t="n">
        <x:v>25.538292371949723</x:v>
      </x:c>
      <x:c r="K174" s="46" t="n">
        <x:v>2.193830055031436</x:v>
      </x:c>
      <x:c r="L174" s="46" t="n">
        <x:v>-9.648282522576695</x:v>
      </x:c>
      <x:c r="M174" s="46" t="n">
        <x:v>3.621380805778185</x:v>
      </x:c>
      <x:c r="N174" s="46" t="n">
        <x:v>11.548879462534666</x:v>
      </x:c>
      <x:c r="O174" s="46" t="n">
        <x:v>-34.10611387651363</x:v>
      </x:c>
      <x:c r="P174" s="46" t="n">
        <x:v>11.80095760688599</x:v>
      </x:c>
      <x:c r="Q174" s="46" t="n">
        <x:v>-3.36241983962133</x:v>
      </x:c>
      <x:c r="R174" s="46" t="n">
        <x:v>-0.9720437769975473</x:v>
      </x:c>
    </x:row>
    <x:row r="175">
      <x:c r="C175" s="19" t="n">
        <x:v>44562</x:v>
      </x:c>
      <x:c r="D175" s="19" t="n">
        <x:v>44592</x:v>
      </x:c>
      <x:c r="E175" s="43" t="str">
        <x:v>grid_1mk3z2wn.xlsx</x:v>
      </x:c>
      <x:c r="F175" s="46" t="n">
        <x:v>4.13650118281958</x:v>
      </x:c>
      <x:c r="G175" s="46" t="n">
        <x:v>-11.471344409937267</x:v>
      </x:c>
      <x:c r="H175" s="46" t="n">
        <x:v>-10.258223138042066</x:v>
      </x:c>
      <x:c r="I175" s="46" t="n">
        <x:v>4.681973010877768</x:v>
      </x:c>
      <x:c r="J175" s="46" t="n">
        <x:v>11.987720535743298</x:v>
      </x:c>
      <x:c r="K175" s="46" t="n">
        <x:v>0.7686304541592891</x:v>
      </x:c>
      <x:c r="L175" s="46" t="n">
        <x:v>-10.66017773686561</x:v>
      </x:c>
      <x:c r="M175" s="46" t="n">
        <x:v>3.3318014367422384</x:v>
      </x:c>
      <x:c r="N175" s="46" t="n">
        <x:v>12.825148796930142</x:v>
      </x:c>
      <x:c r="O175" s="46" t="n">
        <x:v>-16.17949999371546</x:v>
      </x:c>
      <x:c r="P175" s="46" t="n">
        <x:v>9.597821036664588</x:v>
      </x:c>
      <x:c r="Q175" s="46" t="n">
        <x:v>-2.9418735612782383</x:v>
      </x:c>
      <x:c r="R175" s="46" t="n">
        <x:v>45.60173160205391</x:v>
      </x:c>
    </x:row>
    <x:row r="176">
      <x:c r="C176" s="19" t="n">
        <x:v>44593</x:v>
      </x:c>
      <x:c r="D176" s="19" t="n">
        <x:v>44620</x:v>
      </x:c>
      <x:c r="E176" s="43" t="str">
        <x:v>grid_1mk3z2wn.xlsx</x:v>
      </x:c>
      <x:c r="F176" s="46" t="n">
        <x:v>9.300015521321352</x:v>
      </x:c>
      <x:c r="G176" s="46" t="n">
        <x:v>0.9380808238950066</x:v>
      </x:c>
      <x:c r="H176" s="46" t="n">
        <x:v>-2.592714727662514</x:v>
      </x:c>
      <x:c r="I176" s="46" t="n">
        <x:v>-3.369368359155531</x:v>
      </x:c>
      <x:c r="J176" s="46" t="n">
        <x:v>-3.027964090873259</x:v>
      </x:c>
      <x:c r="K176" s="46" t="n">
        <x:v>3.6147537415723656</x:v>
      </x:c>
      <x:c r="L176" s="46" t="n">
        <x:v>20.077102865003592</x:v>
      </x:c>
      <x:c r="M176" s="46" t="n">
        <x:v>1.5400888664797494</x:v>
      </x:c>
      <x:c r="N176" s="46" t="n">
        <x:v>6.204074097921074</x:v>
      </x:c>
      <x:c r="O176" s="46" t="n">
        <x:v>8.636748526145874</x:v>
      </x:c>
      <x:c r="P176" s="46" t="n">
        <x:v>-6.08546171192655</x:v>
      </x:c>
      <x:c r="Q176" s="46" t="n">
        <x:v>-9.626756909545277</x:v>
      </x:c>
      <x:c r="R176" s="46" t="n">
        <x:v>47.825187589862026</x:v>
      </x:c>
    </x:row>
    <x:row r="177">
      <x:c r="C177" s="19" t="n">
        <x:v>44621</x:v>
      </x:c>
      <x:c r="D177" s="19" t="n">
        <x:v>44651</x:v>
      </x:c>
      <x:c r="E177" s="43" t="str">
        <x:v>grid_1mk3z2wn.xlsx</x:v>
      </x:c>
      <x:c r="F177" s="46" t="n">
        <x:v>17.156148172371395</x:v>
      </x:c>
      <x:c r="G177" s="46" t="n">
        <x:v>4.939516355715885</x:v>
      </x:c>
      <x:c r="H177" s="46" t="n">
        <x:v>5.167637502049578</x:v>
      </x:c>
      <x:c r="I177" s="46" t="n">
        <x:v>-1.2372302024265593</x:v>
      </x:c>
      <x:c r="J177" s="46" t="n">
        <x:v>13.417642643539384</x:v>
      </x:c>
      <x:c r="K177" s="46" t="n">
        <x:v>5.090741160484328</x:v>
      </x:c>
      <x:c r="L177" s="46" t="n">
        <x:v>28.771977744713496</x:v>
      </x:c>
      <x:c r="M177" s="46" t="n">
        <x:v>5.670328513560262</x:v>
      </x:c>
      <x:c r="N177" s="46" t="n">
        <x:v>17.704530794324235</x:v>
      </x:c>
      <x:c r="O177" s="46" t="n">
        <x:v>21.73739704159364</x:v>
      </x:c>
      <x:c r="P177" s="46" t="n">
        <x:v>3.063555975034334</x:v>
      </x:c>
      <x:c r="Q177" s="46" t="n">
        <x:v>-0.3442531380395515</x:v>
      </x:c>
      <x:c r="R177" s="46" t="n">
        <x:v>53.31304013469652</x:v>
      </x:c>
    </x:row>
    <x:row r="178">
      <x:c r="C178" s="19" t="n">
        <x:v>44652</x:v>
      </x:c>
      <x:c r="D178" s="19" t="n">
        <x:v>44680</x:v>
      </x:c>
      <x:c r="E178" s="43" t="str">
        <x:v>grid_1mk3z2wn.xlsx</x:v>
      </x:c>
      <x:c r="F178" s="46" t="n">
        <x:v>19.77735433045729</x:v>
      </x:c>
      <x:c r="G178" s="46" t="n">
        <x:v>2.4391965956988635</x:v>
      </x:c>
      <x:c r="H178" s="46" t="n">
        <x:v>7.267506340557989</x:v>
      </x:c>
      <x:c r="I178" s="46" t="n">
        <x:v>8.860684295379302</x:v>
      </x:c>
      <x:c r="J178" s="46" t="n">
        <x:v>17.753451726155895</x:v>
      </x:c>
      <x:c r="K178" s="46" t="n">
        <x:v>3.910763003593461</x:v>
      </x:c>
      <x:c r="L178" s="46" t="n">
        <x:v>28.935326327013865</x:v>
      </x:c>
      <x:c r="M178" s="46" t="n">
        <x:v>3.3718700449835244</x:v>
      </x:c>
      <x:c r="N178" s="46" t="n">
        <x:v>20.392061337081437</x:v>
      </x:c>
      <x:c r="O178" s="46" t="n">
        <x:v>24.369333427237045</x:v>
      </x:c>
      <x:c r="P178" s="46" t="n">
        <x:v>6.927612391858985</x:v>
      </x:c>
      <x:c r="Q178" s="46" t="n">
        <x:v>-3.3449210566926095</x:v>
      </x:c>
      <x:c r="R178" s="46" t="n">
        <x:v>0.9935557938495585</x:v>
      </x:c>
    </x:row>
    <x:row r="179">
      <x:c r="C179" s="19" t="n">
        <x:v>44682</x:v>
      </x:c>
      <x:c r="D179" s="19" t="n">
        <x:v>44712</x:v>
      </x:c>
      <x:c r="E179" s="43" t="str">
        <x:v>grid_1mk3z2wn.xlsx</x:v>
      </x:c>
      <x:c r="F179" s="46" t="n">
        <x:v>15.34233297081661</x:v>
      </x:c>
      <x:c r="G179" s="46" t="n">
        <x:v>-4.306346476581461</x:v>
      </x:c>
      <x:c r="H179" s="46" t="n">
        <x:v>18.187832420690235</x:v>
      </x:c>
      <x:c r="I179" s="46" t="n">
        <x:v>-3.364851951520685</x:v>
      </x:c>
      <x:c r="J179" s="46" t="n">
        <x:v>23.847677069640245</x:v>
      </x:c>
      <x:c r="K179" s="46" t="n">
        <x:v>8.875428869419032</x:v>
      </x:c>
      <x:c r="L179" s="46" t="n">
        <x:v>11.162821443176814</x:v>
      </x:c>
      <x:c r="M179" s="46" t="n">
        <x:v>6.918596862200606</x:v>
      </x:c>
      <x:c r="N179" s="46" t="n">
        <x:v>14.418892858753857</x:v>
      </x:c>
      <x:c r="O179" s="46" t="n">
        <x:v>13.804989308440483</x:v>
      </x:c>
      <x:c r="P179" s="46" t="n">
        <x:v>10.539059570301424</x:v>
      </x:c>
      <x:c r="Q179" s="46" t="n">
        <x:v>9.902382261229228</x:v>
      </x:c>
      <x:c r="R179" s="46" t="n">
        <x:v>7.659676292091704</x:v>
      </x:c>
    </x:row>
    <x:row r="180">
      <x:c r="C180" s="19" t="n">
        <x:v>44713</x:v>
      </x:c>
      <x:c r="D180" s="19" t="n">
        <x:v>44742</x:v>
      </x:c>
      <x:c r="E180" s="43" t="str">
        <x:v>grid_1mk3z2wn.xlsx</x:v>
      </x:c>
      <x:c r="F180" s="46" t="n">
        <x:v>12.586167237234624</x:v>
      </x:c>
      <x:c r="G180" s="46" t="n">
        <x:v>-8.87442369390615</x:v>
      </x:c>
      <x:c r="H180" s="46" t="n">
        <x:v>13.56267075683528</x:v>
      </x:c>
      <x:c r="I180" s="46" t="n">
        <x:v>0.27738869106996217</x:v>
      </x:c>
      <x:c r="J180" s="46" t="n">
        <x:v>16.75279112232014</x:v>
      </x:c>
      <x:c r="K180" s="46" t="n">
        <x:v>11.283567592848987</x:v>
      </x:c>
      <x:c r="L180" s="46" t="n">
        <x:v>-7.217491690906544</x:v>
      </x:c>
      <x:c r="M180" s="46" t="n">
        <x:v>15.336865596867286</x:v>
      </x:c>
      <x:c r="N180" s="46" t="n">
        <x:v>12.925540620099666</x:v>
      </x:c>
      <x:c r="O180" s="46" t="n">
        <x:v>6.962853313881126</x:v>
      </x:c>
      <x:c r="P180" s="46" t="n">
        <x:v>9.47272058685814</x:v>
      </x:c>
      <x:c r="Q180" s="46" t="n">
        <x:v>31.46199143352814</x:v>
      </x:c>
      <x:c r="R180" s="46" t="n">
        <x:v>2.062750037961881</x:v>
      </x:c>
    </x:row>
    <x:row r="181">
      <x:c r="C181" s="19" t="n">
        <x:v>44743</x:v>
      </x:c>
      <x:c r="D181" s="19" t="n">
        <x:v>44771</x:v>
      </x:c>
      <x:c r="E181" s="43" t="str">
        <x:v>grid_1mk3z2wn.xlsx</x:v>
      </x:c>
      <x:c r="F181" s="46" t="n">
        <x:v>4.964174208887847</x:v>
      </x:c>
      <x:c r="G181" s="46" t="n">
        <x:v>-8.093512202079685</x:v>
      </x:c>
      <x:c r="H181" s="46" t="n">
        <x:v>6.033847511991678</x:v>
      </x:c>
      <x:c r="I181" s="46" t="n">
        <x:v>-9.58948961312992</x:v>
      </x:c>
      <x:c r="J181" s="46" t="n">
        <x:v>16.531015094064045</x:v>
      </x:c>
      <x:c r="K181" s="46" t="n">
        <x:v>10.592277804137867</x:v>
      </x:c>
      <x:c r="L181" s="46" t="n">
        <x:v>-3.1719681439012803</x:v>
      </x:c>
      <x:c r="M181" s="46" t="n">
        <x:v>21.62237825890077</x:v>
      </x:c>
      <x:c r="N181" s="46" t="n">
        <x:v>4.822259191677333</x:v>
      </x:c>
      <x:c r="O181" s="46" t="n">
        <x:v>-13.785003833202698</x:v>
      </x:c>
      <x:c r="P181" s="46" t="n">
        <x:v>8.855992358642574</x:v>
      </x:c>
      <x:c r="Q181" s="46" t="n">
        <x:v>30.96640140773605</x:v>
      </x:c>
      <x:c r="R181" s="46"/>
    </x:row>
    <x:row r="182">
      <x:c r="C182" s="19" t="n">
        <x:v>44774</x:v>
      </x:c>
      <x:c r="D182" s="19" t="n">
        <x:v>44804</x:v>
      </x:c>
      <x:c r="E182" s="43" t="str">
        <x:v>grid_1mk3z2wn.xlsx</x:v>
      </x:c>
      <x:c r="F182" s="46" t="n">
        <x:v>-0.6043280119688063</x:v>
      </x:c>
      <x:c r="G182" s="46" t="n">
        <x:v>-15.459997010022237</x:v>
      </x:c>
      <x:c r="H182" s="46" t="n">
        <x:v>-3.6630257046256025</x:v>
      </x:c>
      <x:c r="I182" s="46" t="n">
        <x:v>0.4324543107914676</x:v>
      </x:c>
      <x:c r="J182" s="46" t="n">
        <x:v>13.57768509502392</x:v>
      </x:c>
      <x:c r="K182" s="46" t="n">
        <x:v>5.931581002851692</x:v>
      </x:c>
      <x:c r="L182" s="46" t="n">
        <x:v>-6.305979089526607</x:v>
      </x:c>
      <x:c r="M182" s="46" t="n">
        <x:v>18.443457175855578</x:v>
      </x:c>
      <x:c r="N182" s="46" t="n">
        <x:v>-0.4457379357229911</x:v>
      </x:c>
      <x:c r="O182" s="46" t="n">
        <x:v>-15.301693161702426</x:v>
      </x:c>
      <x:c r="P182" s="46" t="n">
        <x:v>5.789674914816355</x:v>
      </x:c>
      <x:c r="Q182" s="46" t="n">
        <x:v>10.726330074499934</x:v>
      </x:c>
      <x:c r="R182" s="46"/>
    </x:row>
    <x:row r="183">
      <x:c r="C183" s="19" t="n">
        <x:v>44805</x:v>
      </x:c>
      <x:c r="D183" s="19" t="n">
        <x:v>44834</x:v>
      </x:c>
      <x:c r="E183" s="43" t="str">
        <x:v>grid_1mk3z2wn.xlsx</x:v>
      </x:c>
      <x:c r="F183" s="46" t="n">
        <x:v>-9.28147438222143</x:v>
      </x:c>
      <x:c r="G183" s="46" t="n">
        <x:v>-16.06720392249785</x:v>
      </x:c>
      <x:c r="H183" s="46" t="n">
        <x:v>-2.1983149572198295</x:v>
      </x:c>
      <x:c r="I183" s="46" t="n">
        <x:v>-3.864885176766179</x:v>
      </x:c>
      <x:c r="J183" s="46" t="n">
        <x:v>-0.6415746549817035</x:v>
      </x:c>
      <x:c r="K183" s="46" t="n">
        <x:v>4.006208419696465</x:v>
      </x:c>
      <x:c r="L183" s="46" t="n">
        <x:v>2.307701473942272</x:v>
      </x:c>
      <x:c r="M183" s="46" t="n">
        <x:v>15.60504119409399</x:v>
      </x:c>
      <x:c r="N183" s="46" t="n">
        <x:v>0.4081582890114953</x:v>
      </x:c>
      <x:c r="O183" s="46" t="n">
        <x:v>-15.623303492527358</x:v>
      </x:c>
      <x:c r="P183" s="46" t="n">
        <x:v>5.754379136678332</x:v>
      </x:c>
      <x:c r="Q183" s="46" t="n">
        <x:v>-8.892899283630848</x:v>
      </x:c>
      <x:c r="R183" s="46"/>
    </x:row>
    <x:row r="184">
      <x:c r="C184" s="19" t="n">
        <x:v>44835</x:v>
      </x:c>
      <x:c r="D184" s="19" t="n">
        <x:v>44865</x:v>
      </x:c>
      <x:c r="E184" s="43" t="str">
        <x:v>grid_1mk3z2wn.xlsx</x:v>
      </x:c>
      <x:c r="F184" s="46" t="n">
        <x:v>-17.27110153012689</x:v>
      </x:c>
      <x:c r="G184" s="46" t="n">
        <x:v>-12.585941995510321</x:v>
      </x:c>
      <x:c r="H184" s="46" t="n">
        <x:v>2.04609740490491</x:v>
      </x:c>
      <x:c r="I184" s="46" t="n">
        <x:v>-4.190953555914277</x:v>
      </x:c>
      <x:c r="J184" s="46" t="n">
        <x:v>-5.043202950725927</x:v>
      </x:c>
      <x:c r="K184" s="46" t="n">
        <x:v>2.140694948062641</x:v>
      </x:c>
      <x:c r="L184" s="46" t="n">
        <x:v>1.9096693592073504</x:v>
      </x:c>
      <x:c r="M184" s="46" t="n">
        <x:v>12.756879896403584</x:v>
      </x:c>
      <x:c r="N184" s="46" t="n">
        <x:v>3.0842147041124135</x:v>
      </x:c>
      <x:c r="O184" s="46" t="n">
        <x:v>-19.662589250681176</x:v>
      </x:c>
      <x:c r="P184" s="46" t="n">
        <x:v>2.926629678145109</x:v>
      </x:c>
      <x:c r="Q184" s="46" t="n">
        <x:v>2.596528861574129</x:v>
      </x:c>
      <x:c r="R184" s="46"/>
    </x:row>
    <x:row r="185">
      <x:c r="C185" s="19" t="n">
        <x:v>44866</x:v>
      </x:c>
      <x:c r="D185" s="19" t="n">
        <x:v>44895</x:v>
      </x:c>
      <x:c r="E185" s="43" t="str">
        <x:v>grid_1mk3z2wn.xlsx</x:v>
      </x:c>
      <x:c r="F185" s="46" t="n">
        <x:v>-11.498045030434373</x:v>
      </x:c>
      <x:c r="G185" s="46" t="n">
        <x:v>-2.6570083329712286</x:v>
      </x:c>
      <x:c r="H185" s="46" t="n">
        <x:v>11.111444915920107</x:v>
      </x:c>
      <x:c r="I185" s="46" t="n">
        <x:v>-1.896604089881179</x:v>
      </x:c>
      <x:c r="J185" s="46" t="n">
        <x:v>-13.93106491270185</x:v>
      </x:c>
      <x:c r="K185" s="46" t="n">
        <x:v>-1.168004660124738</x:v>
      </x:c>
      <x:c r="L185" s="46" t="n">
        <x:v>7.780239835328236</x:v>
      </x:c>
      <x:c r="M185" s="46" t="n">
        <x:v>20.923353244753343</x:v>
      </x:c>
      <x:c r="N185" s="46" t="n">
        <x:v>12.318736057155625</x:v>
      </x:c>
      <x:c r="O185" s="46" t="n">
        <x:v>-13.282023748851618</x:v>
      </x:c>
      <x:c r="P185" s="46" t="n">
        <x:v>2.60058410519747</x:v>
      </x:c>
      <x:c r="Q185" s="46" t="n">
        <x:v>18.86070372051153</x:v>
      </x:c>
      <x:c r="R185" s="46"/>
    </x:row>
    <x:row r="186">
      <x:c r="C186" s="19" t="n">
        <x:v>44896</x:v>
      </x:c>
      <x:c r="D186" s="19" t="n">
        <x:v>44925</x:v>
      </x:c>
      <x:c r="E186" s="43" t="str">
        <x:v>grid_1mk3z2wn.xlsx</x:v>
      </x:c>
      <x:c r="F186" s="46" t="n">
        <x:v>-14.092540567795227</x:v>
      </x:c>
      <x:c r="G186" s="46" t="n">
        <x:v>1.3883073811640632</x:v>
      </x:c>
      <x:c r="H186" s="46" t="n">
        <x:v>-14.852077293463042</x:v>
      </x:c>
      <x:c r="I186" s="46" t="n">
        <x:v>-5.7573471191126115</x:v>
      </x:c>
      <x:c r="J186" s="46" t="n">
        <x:v>-23.416659516380083</x:v>
      </x:c>
      <x:c r="K186" s="46" t="n">
        <x:v>-3.0865042220995935</x:v>
      </x:c>
      <x:c r="L186" s="46" t="n">
        <x:v>8.899260782146781</x:v>
      </x:c>
      <x:c r="M186" s="46" t="n">
        <x:v>13.929802892203469</x:v>
      </x:c>
      <x:c r="N186" s="46" t="n">
        <x:v>13.847735669769653</x:v>
      </x:c>
      <x:c r="O186" s="46" t="n">
        <x:v>-17.98841863578614</x:v>
      </x:c>
      <x:c r="P186" s="46" t="n">
        <x:v>4.7766957545533</x:v>
      </x:c>
      <x:c r="Q186" s="46" t="n">
        <x:v>2.6526226189534796</x:v>
      </x:c>
      <x:c r="R186" s="46"/>
    </x:row>
    <x:row r="187">
      <x:c r="C187" s="19" t="n">
        <x:v>44927</x:v>
      </x:c>
      <x:c r="D187" s="19" t="n">
        <x:v>44957</x:v>
      </x:c>
      <x:c r="E187" s="43" t="str">
        <x:v>grid_22fp35k1.xlsx</x:v>
      </x:c>
      <x:c r="F187" s="46" t="n">
        <x:v>-8.584029188979267</x:v>
      </x:c>
      <x:c r="G187" s="46" t="n">
        <x:v>2.014605295551222</x:v>
      </x:c>
      <x:c r="H187" s="46" t="n">
        <x:v>-18.722290766249174</x:v>
      </x:c>
      <x:c r="I187" s="46" t="n">
        <x:v>-16.87532179388406</x:v>
      </x:c>
      <x:c r="J187" s="46" t="n">
        <x:v>-35.9306332255662</x:v>
      </x:c>
      <x:c r="K187" s="46" t="n">
        <x:v>-0.7475341148486595</x:v>
      </x:c>
      <x:c r="L187" s="46" t="n">
        <x:v>-2.379421826759919</x:v>
      </x:c>
      <x:c r="M187" s="46" t="n">
        <x:v>6.471818504950605</x:v>
      </x:c>
      <x:c r="N187" s="46" t="n">
        <x:v>15.849816361478467</x:v>
      </x:c>
      <x:c r="O187" s="46" t="n">
        <x:v>-1.1938446009330168</x:v>
      </x:c>
      <x:c r="P187" s="46" t="n">
        <x:v>8.077948262525592</x:v>
      </x:c>
      <x:c r="Q187" s="46" t="n">
        <x:v>-0.011327838791759156</x:v>
      </x:c>
      <x:c r="R187" s="46"/>
    </x:row>
    <x:row r="188">
      <x:c r="C188" s="19" t="n">
        <x:v>44958</x:v>
      </x:c>
      <x:c r="D188" s="19" t="n">
        <x:v>44985</x:v>
      </x:c>
      <x:c r="E188" s="43" t="str">
        <x:v>grid_22fp35k1.xlsx</x:v>
      </x:c>
      <x:c r="F188" s="46" t="n">
        <x:v>-3.397083449313322</x:v>
      </x:c>
      <x:c r="G188" s="46" t="n">
        <x:v>0.1517554349025482</x:v>
      </x:c>
      <x:c r="H188" s="46" t="n">
        <x:v>-30.18545985422525</x:v>
      </x:c>
      <x:c r="I188" s="46" t="n">
        <x:v>-16.053384595331377</x:v>
      </x:c>
      <x:c r="J188" s="46" t="n">
        <x:v>-12.878084823821917</x:v>
      </x:c>
      <x:c r="K188" s="46" t="n">
        <x:v>3.7793293290822754</x:v>
      </x:c>
      <x:c r="L188" s="46" t="n">
        <x:v>-7.326370389542084</x:v>
      </x:c>
      <x:c r="M188" s="46" t="n">
        <x:v>4.414634613538676</x:v>
      </x:c>
      <x:c r="N188" s="46" t="n">
        <x:v>13.4775458820543</x:v>
      </x:c>
      <x:c r="O188" s="46" t="n">
        <x:v>-5.28534368730962</x:v>
      </x:c>
      <x:c r="P188" s="46" t="n">
        <x:v>11.347180607123981</x:v>
      </x:c>
      <x:c r="Q188" s="46" t="n">
        <x:v>-4.055469029313335</x:v>
      </x:c>
      <x:c r="R188" s="46"/>
    </x:row>
    <x:row r="189">
      <x:c r="C189" s="19" t="n">
        <x:v>44986</x:v>
      </x:c>
      <x:c r="D189" s="19" t="n">
        <x:v>45016</x:v>
      </x:c>
      <x:c r="E189" s="43" t="str">
        <x:v>grid_22fp35k1.xlsx</x:v>
      </x:c>
      <x:c r="F189" s="46" t="n">
        <x:v>1.0059765847028914</x:v>
      </x:c>
      <x:c r="G189" s="46" t="n">
        <x:v>-0.6791539872506406</x:v>
      </x:c>
      <x:c r="H189" s="46" t="n">
        <x:v>2.287710699800747</x:v>
      </x:c>
      <x:c r="I189" s="46" t="n">
        <x:v>-5.5718836208512466</x:v>
      </x:c>
      <x:c r="J189" s="46" t="n">
        <x:v>-2.6873866521752077</x:v>
      </x:c>
      <x:c r="K189" s="46" t="n">
        <x:v>3.149451718105165</x:v>
      </x:c>
      <x:c r="L189" s="46" t="n">
        <x:v>-7.553366208037379</x:v>
      </x:c>
      <x:c r="M189" s="46" t="n">
        <x:v>-0.9547724512798718</x:v>
      </x:c>
      <x:c r="N189" s="46" t="n">
        <x:v>11.68675861634281</x:v>
      </x:c>
      <x:c r="O189" s="46" t="n">
        <x:v>3.2395275839846347</x:v>
      </x:c>
      <x:c r="P189" s="46" t="n">
        <x:v>14.485800796713438</x:v>
      </x:c>
      <x:c r="Q189" s="46" t="n">
        <x:v>6.320067247077371</x:v>
      </x:c>
      <x:c r="R189" s="46"/>
    </x:row>
    <x:row r="190">
      <x:c r="C190" s="19" t="n">
        <x:v>45017</x:v>
      </x:c>
      <x:c r="D190" s="19" t="n">
        <x:v>45044</x:v>
      </x:c>
      <x:c r="E190" s="43" t="str">
        <x:v>grid_22fp35k1.xlsx</x:v>
      </x:c>
      <x:c r="F190" s="46" t="n">
        <x:v>-2.622666846101607</x:v>
      </x:c>
      <x:c r="G190" s="46" t="n">
        <x:v>1.7143275276316632</x:v>
      </x:c>
      <x:c r="H190" s="46" t="n">
        <x:v>1.5166471849982877</x:v>
      </x:c>
      <x:c r="I190" s="46" t="n">
        <x:v>10.320812729614648</x:v>
      </x:c>
      <x:c r="J190" s="46" t="n">
        <x:v>10.552059061741945</x:v>
      </x:c>
      <x:c r="K190" s="46" t="n">
        <x:v>1.6834840245394858</x:v>
      </x:c>
      <x:c r="L190" s="46" t="n">
        <x:v>1.552333112977033</x:v>
      </x:c>
      <x:c r="M190" s="46" t="n">
        <x:v>3.484416733753898</x:v>
      </x:c>
      <x:c r="N190" s="46" t="n">
        <x:v>3.7587472373122774</x:v>
      </x:c>
      <x:c r="O190" s="46" t="n">
        <x:v>-14.588641573070948</x:v>
      </x:c>
      <x:c r="P190" s="46" t="n">
        <x:v>7.4756161180951715</x:v>
      </x:c>
      <x:c r="Q190" s="46" t="n">
        <x:v>-0.372643381779841</x:v>
      </x:c>
      <x:c r="R190" s="46"/>
    </x:row>
    <x:row r="191">
      <x:c r="C191" s="19" t="n">
        <x:v>45047</x:v>
      </x:c>
      <x:c r="D191" s="19" t="n">
        <x:v>45077</x:v>
      </x:c>
      <x:c r="E191" s="43" t="str">
        <x:v>grid_22fp35k1.xlsx</x:v>
      </x:c>
      <x:c r="F191" s="46" t="n">
        <x:v>-12.97714507785985</x:v>
      </x:c>
      <x:c r="G191" s="46" t="n">
        <x:v>4.388751785483495</x:v>
      </x:c>
      <x:c r="H191" s="46" t="n">
        <x:v>1.1276447979883462</x:v>
      </x:c>
      <x:c r="I191" s="46" t="n">
        <x:v>8.306144638598914</x:v>
      </x:c>
      <x:c r="J191" s="46" t="n">
        <x:v>-5.532396011790876</x:v>
      </x:c>
      <x:c r="K191" s="46" t="n">
        <x:v>-0.4979378261945432</x:v>
      </x:c>
      <x:c r="L191" s="46" t="n">
        <x:v>1.7778514838816286</x:v>
      </x:c>
      <x:c r="M191" s="46" t="n">
        <x:v>-2.263150284168469</x:v>
      </x:c>
      <x:c r="N191" s="46" t="n">
        <x:v>-7.454344970189079</x:v>
      </x:c>
      <x:c r="O191" s="46" t="n">
        <x:v>-17.98663705065641</x:v>
      </x:c>
      <x:c r="P191" s="46" t="n">
        <x:v>31.908918398075652</x:v>
      </x:c>
      <x:c r="Q191" s="46" t="n">
        <x:v>10.830885760482804</x:v>
      </x:c>
      <x:c r="R191" s="46"/>
    </x:row>
    <x:row r="192">
      <x:c r="C192" s="19" t="n">
        <x:v>45078</x:v>
      </x:c>
      <x:c r="D192" s="19" t="n">
        <x:v>45107</x:v>
      </x:c>
      <x:c r="E192" s="43" t="str">
        <x:v>grid_22fp35k1.xlsx</x:v>
      </x:c>
      <x:c r="F192" s="46" t="n">
        <x:v>-12.847211880239328</x:v>
      </x:c>
      <x:c r="G192" s="46" t="n">
        <x:v>8.143273014401995</x:v>
      </x:c>
      <x:c r="H192" s="46" t="n">
        <x:v>-21.5041788014164</x:v>
      </x:c>
      <x:c r="I192" s="46" t="n">
        <x:v>4.226849047976557</x:v>
      </x:c>
      <x:c r="J192" s="46" t="n">
        <x:v>-3.176466023165978</x:v>
      </x:c>
      <x:c r="K192" s="46" t="n">
        <x:v>1.1215035591204034</x:v>
      </x:c>
      <x:c r="L192" s="46" t="n">
        <x:v>2.1565430123093505</x:v>
      </x:c>
      <x:c r="M192" s="46" t="n">
        <x:v>1.5171013304357324</x:v>
      </x:c>
      <x:c r="N192" s="46" t="n">
        <x:v>-10.57028777854174</x:v>
      </x:c>
      <x:c r="O192" s="46" t="n">
        <x:v>-30.166661299237653</x:v>
      </x:c>
      <x:c r="P192" s="46" t="n">
        <x:v>26.54242115732949</x:v>
      </x:c>
      <x:c r="Q192" s="46" t="n">
        <x:v>-3.4317494055722064</x:v>
      </x:c>
      <x:c r="R192" s="46"/>
    </x:row>
    <x:row r="193">
      <x:c r="C193" s="19" t="n">
        <x:v>45108</x:v>
      </x:c>
      <x:c r="D193" s="19" t="n">
        <x:v>45138</x:v>
      </x:c>
      <x:c r="E193" s="43" t="str">
        <x:v>grid_22fp35k1.xlsx</x:v>
      </x:c>
      <x:c r="F193" s="46" t="n">
        <x:v>-6.255156175779129</x:v>
      </x:c>
      <x:c r="G193" s="46" t="n">
        <x:v>7.05776228057497</x:v>
      </x:c>
      <x:c r="H193" s="46" t="n">
        <x:v>-17.96211086590512</x:v>
      </x:c>
      <x:c r="I193" s="46" t="n">
        <x:v>-4.64872063676957</x:v>
      </x:c>
      <x:c r="J193" s="46" t="n">
        <x:v>-4.07840886115028</x:v>
      </x:c>
      <x:c r="K193" s="46" t="n">
        <x:v>1.9301005764269064</x:v>
      </x:c>
      <x:c r="L193" s="46" t="n">
        <x:v>8.658889286824595</x:v>
      </x:c>
      <x:c r="M193" s="46" t="n">
        <x:v>2.817961067829919</x:v>
      </x:c>
      <x:c r="N193" s="46" t="n">
        <x:v>-3.2741632767279905</x:v>
      </x:c>
      <x:c r="O193" s="46" t="n">
        <x:v>-20.664439544146468</x:v>
      </x:c>
      <x:c r="P193" s="46" t="n">
        <x:v>34.48123354849858</x:v>
      </x:c>
      <x:c r="Q193" s="46" t="n">
        <x:v>1.4800910148674467</x:v>
      </x:c>
      <x:c r="R193" s="46"/>
    </x:row>
    <x:row r="194">
      <x:c r="C194" s="19" t="n">
        <x:v>45139</x:v>
      </x:c>
      <x:c r="D194" s="19" t="n">
        <x:v>45169</x:v>
      </x:c>
      <x:c r="E194" s="43" t="str">
        <x:v>grid_22fp35k1.xlsx</x:v>
      </x:c>
      <x:c r="F194" s="46" t="n">
        <x:v>1.1762396787249272</x:v>
      </x:c>
      <x:c r="G194" s="46" t="n">
        <x:v>9.853862366998994</x:v>
      </x:c>
      <x:c r="H194" s="46" t="n">
        <x:v>2.4000004365383987</x:v>
      </x:c>
      <x:c r="I194" s="46" t="n">
        <x:v>-3.5669267895482144</x:v>
      </x:c>
      <x:c r="J194" s="46" t="n">
        <x:v>-0.7044479570231658</x:v>
      </x:c>
      <x:c r="K194" s="46" t="n">
        <x:v>3.114968673741856</x:v>
      </x:c>
      <x:c r="L194" s="46" t="n">
        <x:v>12.567466613651785</x:v>
      </x:c>
      <x:c r="M194" s="46" t="n">
        <x:v>4.432998272794083</x:v>
      </x:c>
      <x:c r="N194" s="46" t="n">
        <x:v>3.451199503480095</x:v>
      </x:c>
      <x:c r="O194" s="46" t="n">
        <x:v>-20.689794830665967</x:v>
      </x:c>
      <x:c r="P194" s="46" t="n">
        <x:v>1.7139127658347482</x:v>
      </x:c>
      <x:c r="Q194" s="46" t="n">
        <x:v>-6.227897476629047</x:v>
      </x:c>
      <x:c r="R194" s="46"/>
    </x:row>
    <x:row r="195">
      <x:c r="C195" s="19" t="n">
        <x:v>45170</x:v>
      </x:c>
      <x:c r="D195" s="19" t="n">
        <x:v>45198</x:v>
      </x:c>
      <x:c r="E195" s="43" t="str">
        <x:v>grid_22fp35k1.xlsx</x:v>
      </x:c>
      <x:c r="F195" s="46" t="n">
        <x:v>6.974561854593789</x:v>
      </x:c>
      <x:c r="G195" s="46" t="n">
        <x:v>12.684912131347659</x:v>
      </x:c>
      <x:c r="H195" s="46" t="n">
        <x:v>31.365759050856756</x:v>
      </x:c>
      <x:c r="I195" s="46" t="n">
        <x:v>-7.602382319652989</x:v>
      </x:c>
      <x:c r="J195" s="46" t="n">
        <x:v>0.10310701411158207</x:v>
      </x:c>
      <x:c r="K195" s="46" t="n">
        <x:v>3.499846184925913</x:v>
      </x:c>
      <x:c r="L195" s="46" t="n">
        <x:v>12.215646568956734</x:v>
      </x:c>
      <x:c r="M195" s="46" t="n">
        <x:v>5.675018993005294</x:v>
      </x:c>
      <x:c r="N195" s="46" t="n">
        <x:v>2.5176199291266887</x:v>
      </x:c>
      <x:c r="O195" s="46" t="n">
        <x:v>-5.955231568165464</x:v>
      </x:c>
      <x:c r="P195" s="46" t="n">
        <x:v>-3.9278518787785357</x:v>
      </x:c>
      <x:c r="Q195" s="46" t="n">
        <x:v>18.71764341999862</x:v>
      </x:c>
      <x:c r="R195" s="46"/>
    </x:row>
    <x:row r="196">
      <x:c r="C196" s="19" t="n">
        <x:v>45200</x:v>
      </x:c>
      <x:c r="D196" s="19" t="n">
        <x:v>45230</x:v>
      </x:c>
      <x:c r="E196" s="43" t="str">
        <x:v>grid_22fp35k1.xlsx</x:v>
      </x:c>
      <x:c r="F196" s="46" t="n">
        <x:v>15.619737751055846</x:v>
      </x:c>
      <x:c r="G196" s="46" t="n">
        <x:v>13.777500133019721</x:v>
      </x:c>
      <x:c r="H196" s="46" t="n">
        <x:v>39.23108358266862</x:v>
      </x:c>
      <x:c r="I196" s="46" t="n">
        <x:v>0.18261262278553</x:v>
      </x:c>
      <x:c r="J196" s="46" t="n">
        <x:v>9.352564026107032</x:v>
      </x:c>
      <x:c r="K196" s="46" t="n">
        <x:v>5.75433507712136</x:v>
      </x:c>
      <x:c r="L196" s="46" t="n">
        <x:v>7.81383214979434</x:v>
      </x:c>
      <x:c r="M196" s="46" t="n">
        <x:v>2.3531947285114403</x:v>
      </x:c>
      <x:c r="N196" s="46" t="n">
        <x:v>2.0623930773008263</x:v>
      </x:c>
      <x:c r="O196" s="46" t="n">
        <x:v>8.184294536306092</x:v>
      </x:c>
      <x:c r="P196" s="46" t="n">
        <x:v>-5.937356150197782</x:v>
      </x:c>
      <x:c r="Q196" s="46" t="n">
        <x:v>19.491241451250897</x:v>
      </x:c>
      <x:c r="R196" s="46"/>
    </x:row>
    <x:row r="197">
      <x:c r="C197" s="19" t="n">
        <x:v>45231</x:v>
      </x:c>
      <x:c r="D197" s="19" t="n">
        <x:v>45260</x:v>
      </x:c>
      <x:c r="E197" s="43" t="str">
        <x:v>grid_22fp35k1.xlsx</x:v>
      </x:c>
      <x:c r="F197" s="46" t="n">
        <x:v>7.40271154752063</x:v>
      </x:c>
      <x:c r="G197" s="46" t="n">
        <x:v>11.355624137400214</x:v>
      </x:c>
      <x:c r="H197" s="46" t="n">
        <x:v>30.610817861280644</x:v>
      </x:c>
      <x:c r="I197" s="46" t="n">
        <x:v>-8.041814292796934</x:v>
      </x:c>
      <x:c r="J197" s="46" t="n">
        <x:v>6.666806795752728</x:v>
      </x:c>
      <x:c r="K197" s="46" t="n">
        <x:v>4.49967255257169</x:v>
      </x:c>
      <x:c r="L197" s="46" t="n">
        <x:v>7.801665401469688</x:v>
      </x:c>
      <x:c r="M197" s="46" t="n">
        <x:v>3.768205099279583</x:v>
      </x:c>
      <x:c r="N197" s="46" t="n">
        <x:v>8.276539245270834</x:v>
      </x:c>
      <x:c r="O197" s="46" t="n">
        <x:v>15.318423913232703</x:v>
      </x:c>
      <x:c r="P197" s="46" t="n">
        <x:v>-7.234645116436453</x:v>
      </x:c>
      <x:c r="Q197" s="46" t="n">
        <x:v>14.686905204398776</x:v>
      </x:c>
      <x:c r="R197" s="46"/>
    </x:row>
    <x:row r="198">
      <x:c r="C198" s="19" t="n">
        <x:v>45261</x:v>
      </x:c>
      <x:c r="D198" s="19" t="n">
        <x:v>45289</x:v>
      </x:c>
      <x:c r="E198" s="43" t="str">
        <x:v>grid_22fp35k1.xlsx</x:v>
      </x:c>
      <x:c r="F198" s="46" t="n">
        <x:v>7.404840339182714</x:v>
      </x:c>
      <x:c r="G198" s="46" t="n">
        <x:v>5.024976733557743</x:v>
      </x:c>
      <x:c r="H198" s="46" t="n">
        <x:v>19.558292307307067</x:v>
      </x:c>
      <x:c r="I198" s="46" t="n">
        <x:v>-3.935982764945953</x:v>
      </x:c>
      <x:c r="J198" s="46" t="n">
        <x:v>12.843221648403835</x:v>
      </x:c>
      <x:c r="K198" s="46" t="n">
        <x:v>3.437911554785268</x:v>
      </x:c>
      <x:c r="L198" s="46" t="n">
        <x:v>9.83371498976345</x:v>
      </x:c>
      <x:c r="M198" s="46" t="n">
        <x:v>4.260131178097629</x:v>
      </x:c>
      <x:c r="N198" s="46" t="n">
        <x:v>11.779487841978197</x:v>
      </x:c>
      <x:c r="O198" s="46" t="n">
        <x:v>12.536611509910417</x:v>
      </x:c>
      <x:c r="P198" s="46" t="n">
        <x:v>-10.218445792877198</x:v>
      </x:c>
      <x:c r="Q198" s="46" t="n">
        <x:v>1.4134781076494423</x:v>
      </x:c>
      <x:c r="R198" s="46"/>
    </x:row>
    <x:row r="199">
      <x:c r="C199" s="19" t="n">
        <x:v>45292</x:v>
      </x:c>
      <x:c r="D199" s="19" t="n">
        <x:v>45322</x:v>
      </x:c>
      <x:c r="E199" s="43" t="str">
        <x:v>grid_22fp35k1.xlsx</x:v>
      </x:c>
      <x:c r="F199" s="46" t="n">
        <x:v>0.10754611741266808</x:v>
      </x:c>
      <x:c r="G199" s="46" t="n">
        <x:v>5.91717366624108</x:v>
      </x:c>
      <x:c r="H199" s="46" t="n">
        <x:v>15.115773591202899</x:v>
      </x:c>
      <x:c r="I199" s="46" t="n">
        <x:v>3.6664480690619783</x:v>
      </x:c>
      <x:c r="J199" s="46" t="n">
        <x:v>1.7977465682982394</x:v>
      </x:c>
      <x:c r="K199" s="46" t="n">
        <x:v>2.786573267249098</x:v>
      </x:c>
      <x:c r="L199" s="46" t="n">
        <x:v>9.27220585010571</x:v>
      </x:c>
      <x:c r="M199" s="46" t="n">
        <x:v>5.101473801774762</x:v>
      </x:c>
      <x:c r="N199" s="46" t="n">
        <x:v>8.935964396377344</x:v>
      </x:c>
      <x:c r="O199" s="46" t="n">
        <x:v>9.861393209240838</x:v>
      </x:c>
      <x:c r="P199" s="46" t="n">
        <x:v>-15.49504766667914</x:v>
      </x:c>
      <x:c r="Q199" s="46" t="n">
        <x:v>-10.735922101551965</x:v>
      </x:c>
      <x:c r="R199" s="46"/>
    </x:row>
    <x:row r="200">
      <x:c r="C200" s="19" t="n">
        <x:v>45323</x:v>
      </x:c>
      <x:c r="D200" s="19" t="n">
        <x:v>45351</x:v>
      </x:c>
      <x:c r="E200" s="43" t="str">
        <x:v>grid_22fp35k1.xlsx</x:v>
      </x:c>
      <x:c r="F200" s="46" t="n">
        <x:v>1.7229230320474593</x:v>
      </x:c>
      <x:c r="G200" s="46" t="n">
        <x:v>5.013480742964333</x:v>
      </x:c>
      <x:c r="H200" s="46" t="n">
        <x:v>12.42670849959833</x:v>
      </x:c>
      <x:c r="I200" s="46" t="n">
        <x:v>2.779266983945357</x:v>
      </x:c>
      <x:c r="J200" s="46" t="n">
        <x:v>-0.35048205163809704</x:v>
      </x:c>
      <x:c r="K200" s="46" t="n">
        <x:v>3.45316845672237</x:v>
      </x:c>
      <x:c r="L200" s="46" t="n">
        <x:v>6.105153439130351</x:v>
      </x:c>
      <x:c r="M200" s="46" t="n">
        <x:v>6.606345589648889</x:v>
      </x:c>
      <x:c r="N200" s="46" t="n">
        <x:v>3.402537174754658</x:v>
      </x:c>
      <x:c r="O200" s="46" t="n">
        <x:v>4.970284161243841</x:v>
      </x:c>
      <x:c r="P200" s="46" t="n">
        <x:v>-10.567325435470272</x:v>
      </x:c>
      <x:c r="Q200" s="46" t="n">
        <x:v>-6.401154460780008</x:v>
      </x:c>
      <x:c r="R200" s="46"/>
    </x:row>
    <x:row r="201">
      <x:c r="C201" s="19" t="n">
        <x:v>45352</x:v>
      </x:c>
      <x:c r="D201" s="19" t="n">
        <x:v>45380</x:v>
      </x:c>
      <x:c r="E201" s="43" t="str">
        <x:v>grid_22fp35k1.xlsx</x:v>
      </x:c>
      <x:c r="F201" s="46" t="n">
        <x:v>-5.9140455437258685</x:v>
      </x:c>
      <x:c r="G201" s="46" t="n">
        <x:v>6.222638684702621</x:v>
      </x:c>
      <x:c r="H201" s="46" t="n">
        <x:v>14.552883520112031</x:v>
      </x:c>
      <x:c r="I201" s="46" t="n">
        <x:v>-1.093958834341675</x:v>
      </x:c>
      <x:c r="J201" s="46" t="n">
        <x:v>-8.86940969150589</x:v>
      </x:c>
      <x:c r="K201" s="46" t="n">
        <x:v>4.203311159099079</x:v>
      </x:c>
      <x:c r="L201" s="46" t="n">
        <x:v>5.88810917653015</x:v>
      </x:c>
      <x:c r="M201" s="46" t="n">
        <x:v>1.8355370000426035</x:v>
      </x:c>
      <x:c r="N201" s="46" t="n">
        <x:v>-1.9183771434784367</x:v>
      </x:c>
      <x:c r="O201" s="46" t="n">
        <x:v>-4.851005569701539</x:v>
      </x:c>
      <x:c r="P201" s="46" t="n">
        <x:v>0.7630552956761506</x:v>
      </x:c>
      <x:c r="Q201" s="46" t="n">
        <x:v>-3.5441169469763145</x:v>
      </x:c>
      <x:c r="R201" s="46"/>
    </x:row>
    <x:row r="202">
      <x:c r="C202" s="19" t="n">
        <x:v>45383</x:v>
      </x:c>
      <x:c r="D202" s="19" t="n">
        <x:v>45412</x:v>
      </x:c>
      <x:c r="E202" s="43" t="str">
        <x:v>grid_22fp35k1.xlsx</x:v>
      </x:c>
      <x:c r="F202" s="46" t="n">
        <x:v>2.4296408212179053</x:v>
      </x:c>
      <x:c r="G202" s="46" t="n">
        <x:v>3.871208579814025</x:v>
      </x:c>
      <x:c r="H202" s="46" t="n">
        <x:v>8.941466451672582</x:v>
      </x:c>
      <x:c r="I202" s="46" t="n">
        <x:v>-4.586552066038014</x:v>
      </x:c>
      <x:c r="J202" s="46" t="n">
        <x:v>4.579913848468986</x:v>
      </x:c>
      <x:c r="K202" s="46" t="n">
        <x:v>2.404191902633506</x:v>
      </x:c>
      <x:c r="L202" s="46" t="n">
        <x:v>4.838697653153069</x:v>
      </x:c>
      <x:c r="M202" s="46" t="n">
        <x:v>3.36841706907803</x:v>
      </x:c>
      <x:c r="N202" s="46" t="n">
        <x:v>0.5882360544792964</x:v>
      </x:c>
      <x:c r="O202" s="46" t="n">
        <x:v>-17.348188246281918</x:v>
      </x:c>
      <x:c r="P202" s="46" t="n">
        <x:v>1.5066284581993212</x:v>
      </x:c>
      <x:c r="Q202" s="46" t="n">
        <x:v>2.991076128688515</x:v>
      </x:c>
      <x:c r="R202" s="46"/>
    </x:row>
    <x:row r="203">
      <x:c r="C203" s="19" t="n">
        <x:v>45413</x:v>
      </x:c>
      <x:c r="D203" s="19" t="n">
        <x:v>45443</x:v>
      </x:c>
      <x:c r="E203" s="43" t="str">
        <x:v>grid_22fp35k1.xlsx</x:v>
      </x:c>
      <x:c r="F203" s="46" t="n">
        <x:v>1.4772473940922761</x:v>
      </x:c>
      <x:c r="G203" s="46" t="n">
        <x:v>0.7521479494141794</x:v>
      </x:c>
      <x:c r="H203" s="46" t="n">
        <x:v>2.256839050886344</x:v>
      </x:c>
      <x:c r="I203" s="46" t="n">
        <x:v>10.494139330608013</x:v>
      </x:c>
      <x:c r="J203" s="46" t="n">
        <x:v>1.5854304144628892</x:v>
      </x:c>
      <x:c r="K203" s="46" t="n">
        <x:v>3.0910242214852905</x:v>
      </x:c>
      <x:c r="L203" s="46" t="n">
        <x:v>7.036097192209775</x:v>
      </x:c>
      <x:c r="M203" s="46" t="n">
        <x:v>0.5985957995090466</x:v>
      </x:c>
      <x:c r="N203" s="46" t="n">
        <x:v>1.3427927579413006</x:v>
      </x:c>
      <x:c r="O203" s="46" t="n">
        <x:v>-8.636455742878134</x:v>
      </x:c>
      <x:c r="P203" s="46" t="n">
        <x:v>-2.16320224926228</x:v>
      </x:c>
      <x:c r="Q203" s="46" t="n">
        <x:v>-0.7429083412938183</x:v>
      </x:c>
      <x:c r="R203" s="46"/>
    </x:row>
    <x:row r="204">
      <x:c r="C204" s="19" t="n">
        <x:v>45444</x:v>
      </x:c>
      <x:c r="D204" s="19" t="n">
        <x:v>45471</x:v>
      </x:c>
      <x:c r="E204" s="43" t="str">
        <x:v>grid_22fp35k1.xlsx</x:v>
      </x:c>
      <x:c r="F204" s="46" t="n">
        <x:v>4.249133493725276</x:v>
      </x:c>
      <x:c r="G204" s="46" t="n">
        <x:v>1.4296163749820563</x:v>
      </x:c>
      <x:c r="H204" s="46" t="n">
        <x:v>1.2313433613642943</x:v>
      </x:c>
      <x:c r="I204" s="46" t="n">
        <x:v>15.783917542612533</x:v>
      </x:c>
      <x:c r="J204" s="46" t="n">
        <x:v>-0.7031964983791106</x:v>
      </x:c>
      <x:c r="K204" s="46" t="n">
        <x:v>3.907475317863861</x:v>
      </x:c>
      <x:c r="L204" s="46" t="n">
        <x:v>12.67056057010568</x:v>
      </x:c>
      <x:c r="M204" s="46" t="n">
        <x:v>5.127963640867687</x:v>
      </x:c>
      <x:c r="N204" s="46" t="n">
        <x:v>2.846036123292061</x:v>
      </x:c>
      <x:c r="O204" s="46" t="n">
        <x:v>3.2340591045669984</x:v>
      </x:c>
      <x:c r="P204" s="46" t="n">
        <x:v>-4.878776083237309</x:v>
      </x:c>
      <x:c r="Q204" s="46" t="n">
        <x:v>-3.296968685406561</x:v>
      </x:c>
      <x:c r="R204" s="46"/>
    </x:row>
    <x:row r="205">
      <x:c r="C205" s="19" t="n">
        <x:v>45474</x:v>
      </x:c>
      <x:c r="D205" s="19" t="n">
        <x:v>45504</x:v>
      </x:c>
      <x:c r="E205" s="43" t="str">
        <x:v>grid_22fp35k1.xlsx</x:v>
      </x:c>
      <x:c r="F205" s="46" t="n">
        <x:v>-1.2896051244531173</x:v>
      </x:c>
      <x:c r="G205" s="46" t="n">
        <x:v>1.529206090190499</x:v>
      </x:c>
      <x:c r="H205" s="46" t="n">
        <x:v>1.8935670941610871</x:v>
      </x:c>
      <x:c r="I205" s="46" t="n">
        <x:v>11.817870944394587</x:v>
      </x:c>
      <x:c r="J205" s="46" t="n">
        <x:v>1.55446761699152</x:v>
      </x:c>
      <x:c r="K205" s="46" t="n">
        <x:v>4.506988231372618</x:v>
      </x:c>
      <x:c r="L205" s="46" t="n">
        <x:v>12.595141799291444</x:v>
      </x:c>
      <x:c r="M205" s="46" t="n">
        <x:v>7.759746425665695</x:v>
      </x:c>
      <x:c r="N205" s="46" t="n">
        <x:v>-1.9285943520040756</x:v>
      </x:c>
      <x:c r="O205" s="46" t="n">
        <x:v>14.005203125125135</x:v>
      </x:c>
      <x:c r="P205" s="46" t="n">
        <x:v>-0.9739121400237057</x:v>
      </x:c>
      <x:c r="Q205" s="46" t="n">
        <x:v>-5.648555281893562</x:v>
      </x:c>
      <x:c r="R205" s="46"/>
    </x:row>
    <x:row r="206">
      <x:c r="C206" s="19" t="n">
        <x:v>45505</x:v>
      </x:c>
      <x:c r="D206" s="19" t="n">
        <x:v>45534</x:v>
      </x:c>
      <x:c r="E206" s="43" t="str">
        <x:v>grid_22fp35k1.xlsx</x:v>
      </x:c>
      <x:c r="F206" s="46" t="n">
        <x:v>-3.720994761311675</x:v>
      </x:c>
      <x:c r="G206" s="46" t="n">
        <x:v>4.402947027106976</x:v>
      </x:c>
      <x:c r="H206" s="46" t="n">
        <x:v>1.066088416700539</x:v>
      </x:c>
      <x:c r="I206" s="46" t="n">
        <x:v>6.863864571109452</x:v>
      </x:c>
      <x:c r="J206" s="46" t="n">
        <x:v>-2.6007156255298733</x:v>
      </x:c>
      <x:c r="K206" s="46" t="n">
        <x:v>4.585987750257945</x:v>
      </x:c>
      <x:c r="L206" s="46" t="n">
        <x:v>19.259531511391764</x:v>
      </x:c>
      <x:c r="M206" s="46" t="n">
        <x:v>8.453376449312419</x:v>
      </x:c>
      <x:c r="N206" s="46" t="n">
        <x:v>-2.1133512822785328</x:v>
      </x:c>
      <x:c r="O206" s="46" t="n">
        <x:v>3.5982532773259446</x:v>
      </x:c>
      <x:c r="P206" s="46" t="n">
        <x:v>2.835639840315425</x:v>
      </x:c>
      <x:c r="Q206" s="46" t="n">
        <x:v>-4.4389239593098475</x:v>
      </x:c>
      <x:c r="R206" s="46"/>
    </x:row>
    <x:row r="207">
      <x:c r="C207" s="19" t="n">
        <x:v>45536</x:v>
      </x:c>
      <x:c r="D207" s="19" t="n">
        <x:v>45565</x:v>
      </x:c>
      <x:c r="E207" s="43" t="str">
        <x:v>grid_22fp35k1.xlsx</x:v>
      </x:c>
      <x:c r="F207" s="46" t="n">
        <x:v>-7.311725871092268</x:v>
      </x:c>
      <x:c r="G207" s="46" t="n">
        <x:v>5.61737796670272</x:v>
      </x:c>
      <x:c r="H207" s="46" t="n">
        <x:v>1.6379633175555728</x:v>
      </x:c>
      <x:c r="I207" s="46" t="n">
        <x:v>9.208189263446135</x:v>
      </x:c>
      <x:c r="J207" s="46" t="n">
        <x:v>-6.448256675197091</x:v>
      </x:c>
      <x:c r="K207" s="46" t="n">
        <x:v>2.5192821446910147</x:v>
      </x:c>
      <x:c r="L207" s="46" t="n">
        <x:v>7.284647208129782</x:v>
      </x:c>
      <x:c r="M207" s="46" t="n">
        <x:v>0.1390165330935017</x:v>
      </x:c>
      <x:c r="N207" s="46" t="n">
        <x:v>1.2711249295487541</x:v>
      </x:c>
      <x:c r="O207" s="46" t="n">
        <x:v>-1.5052499626451772</x:v>
      </x:c>
      <x:c r="P207" s="46" t="n">
        <x:v>7.442313449528243</x:v>
      </x:c>
      <x:c r="Q207" s="46" t="n">
        <x:v>-6.095485065972362</x:v>
      </x:c>
      <x:c r="R207" s="46"/>
    </x:row>
    <x:row r="208">
      <x:c r="C208" s="19" t="n">
        <x:v>45566</x:v>
      </x:c>
      <x:c r="D208" s="19" t="n">
        <x:v>45596</x:v>
      </x:c>
      <x:c r="E208" s="43" t="str">
        <x:v>grid_22fp35k1.xlsx</x:v>
      </x:c>
      <x:c r="F208" s="46" t="n">
        <x:v>-8.744951418999063</x:v>
      </x:c>
      <x:c r="G208" s="46" t="n">
        <x:v>6.956336089089543</x:v>
      </x:c>
      <x:c r="H208" s="46" t="n">
        <x:v>-5.4134698136502815</x:v>
      </x:c>
      <x:c r="I208" s="46" t="n">
        <x:v>9.154989553204867</x:v>
      </x:c>
      <x:c r="J208" s="46" t="n">
        <x:v>-12.749373679053338</x:v>
      </x:c>
      <x:c r="K208" s="46" t="n">
        <x:v>2.5365246311052703</x:v>
      </x:c>
      <x:c r="L208" s="46" t="n">
        <x:v>6.596871913040086</x:v>
      </x:c>
      <x:c r="M208" s="46" t="n">
        <x:v>2.3408068231701105</x:v>
      </x:c>
      <x:c r="N208" s="46" t="n">
        <x:v>4.13612619186265</x:v>
      </x:c>
      <x:c r="O208" s="46" t="n">
        <x:v>-6.341473477993318</x:v>
      </x:c>
      <x:c r="P208" s="46" t="n">
        <x:v>5.296110134035337</x:v>
      </x:c>
      <x:c r="Q208" s="46" t="n">
        <x:v>2.00417546007054</x:v>
      </x:c>
      <x:c r="R208" s="46"/>
    </x:row>
    <x:row r="209">
      <x:c r="C209" s="19" t="n">
        <x:v>45597</x:v>
      </x:c>
      <x:c r="D209" s="19" t="n">
        <x:v>45625</x:v>
      </x:c>
      <x:c r="E209" s="43" t="str">
        <x:v>grid_22fp35k1.xlsx</x:v>
      </x:c>
      <x:c r="F209" s="46" t="n">
        <x:v>3.6488522396204592</x:v>
      </x:c>
      <x:c r="G209" s="46" t="n">
        <x:v>5.035582495087391</x:v>
      </x:c>
      <x:c r="H209" s="46" t="n">
        <x:v>-1.0636199364837133</x:v>
      </x:c>
      <x:c r="I209" s="46" t="n">
        <x:v>6.3064557893159625</x:v>
      </x:c>
      <x:c r="J209" s="46" t="n">
        <x:v>0.4752783951921059</x:v>
      </x:c>
      <x:c r="K209" s="46" t="n">
        <x:v>2.56891765572997</x:v>
      </x:c>
      <x:c r="L209" s="46" t="n">
        <x:v>0.32866264058113587</x:v>
      </x:c>
      <x:c r="M209" s="46" t="n">
        <x:v>4.182693451499483</x:v>
      </x:c>
      <x:c r="N209" s="46" t="n">
        <x:v>5.813214013007089</x:v>
      </x:c>
      <x:c r="O209" s="46" t="n">
        <x:v>-2.273610842867423</x:v>
      </x:c>
      <x:c r="P209" s="46" t="n">
        <x:v>2.5556470719955495</x:v>
      </x:c>
      <x:c r="Q209" s="46" t="n">
        <x:v>7.5916872145791885</x:v>
      </x:c>
      <x:c r="R209" s="46"/>
    </x:row>
    <x:row r="210">
      <x:c r="C210" s="19" t="n">
        <x:v>45627</x:v>
      </x:c>
      <x:c r="D210" s="19" t="n">
        <x:v>45657</x:v>
      </x:c>
      <x:c r="E210" s="43" t="str">
        <x:v>grid_22fp35k1.xlsx</x:v>
      </x:c>
      <x:c r="F210" s="46" t="n">
        <x:v>10.047904927872743</x:v>
      </x:c>
      <x:c r="G210" s="46" t="n">
        <x:v>0.6746757079118604</x:v>
      </x:c>
      <x:c r="H210" s="46" t="n">
        <x:v>1.3005663552748399</x:v>
      </x:c>
      <x:c r="I210" s="46" t="n">
        <x:v>-10.679113110421131</x:v>
      </x:c>
      <x:c r="J210" s="46" t="n">
        <x:v>11.788472846380879</x:v>
      </x:c>
      <x:c r="K210" s="46" t="n">
        <x:v>0.5351344237251431</x:v>
      </x:c>
      <x:c r="L210" s="46" t="n">
        <x:v>3.9343118858122965</x:v>
      </x:c>
      <x:c r="M210" s="46" t="n">
        <x:v>12.871217146142818</x:v>
      </x:c>
      <x:c r="N210" s="46" t="n">
        <x:v>5.577599378396741</x:v>
      </x:c>
      <x:c r="O210" s="46" t="n">
        <x:v>-0.8277014248348684</x:v>
      </x:c>
      <x:c r="P210" s="46" t="n">
        <x:v>-3.316089220356302</x:v>
      </x:c>
      <x:c r="Q210" s="46" t="n">
        <x:v>8.172915946141092</x:v>
      </x:c>
      <x:c r="R210" s="46"/>
    </x:row>
    <x:row r="211">
      <x:c r="C211" s="19" t="n">
        <x:v>45658</x:v>
      </x:c>
      <x:c r="D211" s="19" t="n">
        <x:v>45688</x:v>
      </x:c>
      <x:c r="E211" s="43" t="str">
        <x:v>grid_22fp35k1.xlsx</x:v>
      </x:c>
      <x:c r="F211" s="46" t="n">
        <x:v>5.794838675040509</x:v>
      </x:c>
      <x:c r="G211" s="46" t="n">
        <x:v>-0.824888286358187</x:v>
      </x:c>
      <x:c r="H211" s="46" t="n">
        <x:v>-3.0663523632961667</x:v>
      </x:c>
      <x:c r="I211" s="46" t="n">
        <x:v>-13.741030319189962</x:v>
      </x:c>
      <x:c r="J211" s="46" t="n">
        <x:v>8.106463707263021</x:v>
      </x:c>
      <x:c r="K211" s="46" t="n">
        <x:v>1.556358549687566</x:v>
      </x:c>
      <x:c r="L211" s="46" t="n">
        <x:v>2.180053354102905</x:v>
      </x:c>
      <x:c r="M211" s="46" t="n">
        <x:v>4.891594258892856</x:v>
      </x:c>
      <x:c r="N211" s="46" t="n">
        <x:v>10.29706094248962</x:v>
      </x:c>
      <x:c r="O211" s="46" t="n">
        <x:v>-5.673536011605659</x:v>
      </x:c>
      <x:c r="P211" s="46" t="n">
        <x:v>-5.007998335604072</x:v>
      </x:c>
      <x:c r="Q211" s="46" t="n">
        <x:v>1.5755899302692764</x:v>
      </x:c>
      <x:c r="R211" s="46"/>
    </x:row>
    <x:row r="212">
      <x:c r="C212" s="19" t="n">
        <x:v>45689</x:v>
      </x:c>
      <x:c r="D212" s="19" t="n">
        <x:v>45716</x:v>
      </x:c>
      <x:c r="E212" s="43" t="str">
        <x:v>grid_22fp35k1.xlsx</x:v>
      </x:c>
      <x:c r="F212" s="46" t="n">
        <x:v>-0.5556162392011187</x:v>
      </x:c>
      <x:c r="G212" s="46" t="n">
        <x:v>-0.9885083208844085</x:v>
      </x:c>
      <x:c r="H212" s="46" t="n">
        <x:v>-7.048814609102148</x:v>
      </x:c>
      <x:c r="I212" s="46" t="n">
        <x:v>-2.4278378391884856</x:v>
      </x:c>
      <x:c r="J212" s="46" t="n">
        <x:v>5.077109742271975</x:v>
      </x:c>
      <x:c r="K212" s="46" t="n">
        <x:v>-0.17193219657507564</x:v>
      </x:c>
      <x:c r="L212" s="46" t="n">
        <x:v>6.193463090191418</x:v>
      </x:c>
      <x:c r="M212" s="46" t="n">
        <x:v>-1.4089228317721425</x:v>
      </x:c>
      <x:c r="N212" s="46" t="n">
        <x:v>11.642130650932184</x:v>
      </x:c>
      <x:c r="O212" s="46" t="n">
        <x:v>-2.007654277590012</x:v>
      </x:c>
      <x:c r="P212" s="46" t="n">
        <x:v>-5.477188161593529</x:v>
      </x:c>
      <x:c r="Q212" s="46" t="n">
        <x:v>-3.739785400376362</x:v>
      </x:c>
      <x:c r="R212" s="46"/>
    </x:row>
    <x:row r="213">
      <x:c r="C213" s="19" t="n">
        <x:v>45717</x:v>
      </x:c>
      <x:c r="D213" s="19" t="n">
        <x:v>45747</x:v>
      </x:c>
      <x:c r="E213" s="43" t="str">
        <x:v>grid_22fp35k1.xlsx</x:v>
      </x:c>
      <x:c r="F213" s="46" t="n">
        <x:v>-1.982500994530378</x:v>
      </x:c>
      <x:c r="G213" s="46" t="n">
        <x:v>-0.1541874591896386</x:v>
      </x:c>
      <x:c r="H213" s="46" t="n">
        <x:v>-12.694996273642639</x:v>
      </x:c>
      <x:c r="I213" s="46" t="n">
        <x:v>15.833006154972718</x:v>
      </x:c>
      <x:c r="J213" s="46" t="n">
        <x:v>1.6105572444861433</x:v>
      </x:c>
      <x:c r="K213" s="46" t="n">
        <x:v>1.359846671930695</x:v>
      </x:c>
      <x:c r="L213" s="46" t="n">
        <x:v>5.832482189802674</x:v>
      </x:c>
      <x:c r="M213" s="46" t="n">
        <x:v>-5.029534419957984</x:v>
      </x:c>
      <x:c r="N213" s="46" t="n">
        <x:v>12.319368745376641</x:v>
      </x:c>
      <x:c r="O213" s="46" t="n">
        <x:v>-1.7006425958946203</x:v>
      </x:c>
      <x:c r="P213" s="46" t="n">
        <x:v>-3.316339614097161</x:v>
      </x:c>
      <x:c r="Q213" s="46" t="n">
        <x:v>2.6517606243890706</x:v>
      </x:c>
      <x:c r="R213" s="46"/>
    </x:row>
    <x:row r="214">
      <x:c r="C214" s="19" t="n">
        <x:v>45748</x:v>
      </x:c>
      <x:c r="D214" s="19" t="n">
        <x:v>45777</x:v>
      </x:c>
      <x:c r="E214" s="43" t="str">
        <x:v>grid_22fp35k1.xlsx</x:v>
      </x:c>
      <x:c r="F214" s="46" t="n">
        <x:v>-18.36980893718634</x:v>
      </x:c>
      <x:c r="G214" s="46" t="n">
        <x:v>0.7981781117835398</x:v>
      </x:c>
      <x:c r="H214" s="46" t="n">
        <x:v>-9.006483708456535</x:v>
      </x:c>
      <x:c r="I214" s="46" t="n">
        <x:v>19.944866537635097</x:v>
      </x:c>
      <x:c r="J214" s="46" t="n">
        <x:v>-15.539970189359423</x:v>
      </x:c>
      <x:c r="K214" s="46" t="n">
        <x:v>0.24327479415597206</x:v>
      </x:c>
      <x:c r="L214" s="46" t="n">
        <x:v>8.698762574346581</x:v>
      </x:c>
      <x:c r="M214" s="46" t="n">
        <x:v>-4.616179550360246</x:v>
      </x:c>
      <x:c r="N214" s="46" t="n">
        <x:v>7.556120759334794</x:v>
      </x:c>
      <x:c r="O214" s="46" t="n">
        <x:v>-3.3997732151141746</x:v>
      </x:c>
      <x:c r="P214" s="46" t="n">
        <x:v>-2.1636697105163627</x:v>
      </x:c>
      <x:c r="Q214" s="46" t="n">
        <x:v>6.991381165320938</x:v>
      </x:c>
      <x:c r="R214" s="46"/>
    </x:row>
    <x:row r="215">
      <x:c r="C215" s="19" t="n">
        <x:v>45778</x:v>
      </x:c>
      <x:c r="D215" s="19" t="n">
        <x:v>45807</x:v>
      </x:c>
      <x:c r="E215" s="43" t="str">
        <x:v>grid_22fp35k1.xlsx</x:v>
      </x:c>
      <x:c r="F215" s="46" t="n">
        <x:v>-19.411320584317394</x:v>
      </x:c>
      <x:c r="G215" s="46" t="n">
        <x:v>2.95630540195465</x:v>
      </x:c>
      <x:c r="H215" s="46" t="n">
        <x:v>-15.263701069353052</x:v>
      </x:c>
      <x:c r="I215" s="46" t="n">
        <x:v>9.314091637493311</x:v>
      </x:c>
      <x:c r="J215" s="46" t="n">
        <x:v>-22.273681995735597</x:v>
      </x:c>
      <x:c r="K215" s="46" t="n">
        <x:v>-2.0060319201551846</x:v>
      </x:c>
      <x:c r="L215" s="46" t="n">
        <x:v>6.827554281808758</x:v>
      </x:c>
      <x:c r="M215" s="46" t="n">
        <x:v>3.9007924595534553</x:v>
      </x:c>
      <x:c r="N215" s="46" t="n">
        <x:v>13.72531447544738</x:v>
      </x:c>
      <x:c r="O215" s="46" t="n">
        <x:v>-7.126526076753367</x:v>
      </x:c>
      <x:c r="P215" s="46" t="n">
        <x:v>5.219378772549978</x:v>
      </x:c>
      <x:c r="Q215" s="46" t="n">
        <x:v>-1.597292206803785</x:v>
      </x:c>
      <x:c r="R215" s="46"/>
    </x:row>
    <x:row r="216">
      <x:c r="C216" s="19" t="n">
        <x:v>45809</x:v>
      </x:c>
      <x:c r="D216" s="19" t="n">
        <x:v>45838</x:v>
      </x:c>
      <x:c r="E216" s="43" t="str">
        <x:v>grid_22fp35k1.xlsx</x:v>
      </x:c>
      <x:c r="F216" s="46" t="n">
        <x:v>-18.342332784420194</x:v>
      </x:c>
      <x:c r="G216" s="46" t="n">
        <x:v>6.725563275950318</x:v>
      </x:c>
      <x:c r="H216" s="46" t="n">
        <x:v>-16.961210946359888</x:v>
      </x:c>
      <x:c r="I216" s="46" t="n">
        <x:v>-4.88878555989661</x:v>
      </x:c>
      <x:c r="J216" s="46" t="n">
        <x:v>-21.220300146323385</x:v>
      </x:c>
      <x:c r="K216" s="46" t="n">
        <x:v>-3.693361210136735</x:v>
      </x:c>
      <x:c r="L216" s="46" t="n">
        <x:v>9.240446290638207</x:v>
      </x:c>
      <x:c r="M216" s="46" t="n">
        <x:v>2.840326498329734</x:v>
      </x:c>
      <x:c r="N216" s="46" t="n">
        <x:v>12.264070365080537</x:v>
      </x:c>
      <x:c r="O216" s="46" t="n">
        <x:v>-11.026445928492269</x:v>
      </x:c>
      <x:c r="P216" s="46" t="n">
        <x:v>6.228487544034421</x:v>
      </x:c>
      <x:c r="Q216" s="46" t="n">
        <x:v>-6.38742786004353</x:v>
      </x:c>
      <x:c r="R216" s="46"/>
    </x:row>
    <x:row r="217">
      <x:c r="C217" s="19" t="n">
        <x:v>45839</x:v>
      </x:c>
      <x:c r="D217" s="19" t="n">
        <x:v>45869</x:v>
      </x:c>
      <x:c r="E217" s="43" t="str">
        <x:v>grid_22fp35k1.xlsx</x:v>
      </x:c>
      <x:c r="F217" s="46" t="n">
        <x:v>1.0738688798338567</x:v>
      </x:c>
      <x:c r="G217" s="46" t="n">
        <x:v>9.298028124283112</x:v>
      </x:c>
      <x:c r="H217" s="46" t="n">
        <x:v>-10.734311335826947</x:v>
      </x:c>
      <x:c r="I217" s="46" t="n">
        <x:v>-8.24079164102842</x:v>
      </x:c>
      <x:c r="J217" s="46" t="n">
        <x:v>-10.356455086113257</x:v>
      </x:c>
      <x:c r="K217" s="46" t="n">
        <x:v>-3.197200502209193</x:v>
      </x:c>
      <x:c r="L217" s="46" t="n">
        <x:v>8.088068337654573</x:v>
      </x:c>
      <x:c r="M217" s="46" t="n">
        <x:v>-1.1976627771355446</x:v>
      </x:c>
      <x:c r="N217" s="46" t="n">
        <x:v>12.841483731113737</x:v>
      </x:c>
      <x:c r="O217" s="46" t="n">
        <x:v>-5.698845872840084</x:v>
      </x:c>
      <x:c r="P217" s="46" t="n">
        <x:v>4.69946749671714</x:v>
      </x:c>
      <x:c r="Q217" s="46" t="n">
        <x:v>-10.057712026828169</x:v>
      </x:c>
      <x:c r="R217" s="46"/>
    </x:row>
    <x:row r="218">
      <x:c r="C218" s="19" t="n">
        <x:v>45870</x:v>
      </x:c>
      <x:c r="D218" s="19" t="n">
        <x:v>45898</x:v>
      </x:c>
      <x:c r="E218" s="43" t="str">
        <x:v>grid_22fp35k1.xlsx</x:v>
      </x:c>
      <x:c r="F218" s="46" t="n">
        <x:v>-5.313728913904018</x:v>
      </x:c>
      <x:c r="G218" s="46" t="n">
        <x:v>8.53012262632686</x:v>
      </x:c>
      <x:c r="H218" s="46" t="n">
        <x:v>1.9103567196970546</x:v>
      </x:c>
      <x:c r="I218" s="46" t="n">
        <x:v>-16.910405205461505</x:v>
      </x:c>
      <x:c r="J218" s="46" t="n">
        <x:v>-15.684452580230188</x:v>
      </x:c>
      <x:c r="K218" s="46" t="n">
        <x:v>2.3025866251226472</x:v>
      </x:c>
      <x:c r="L218" s="46" t="n">
        <x:v>9.085701375019685</x:v>
      </x:c>
      <x:c r="M218" s="46" t="n">
        <x:v>-5.604661263473516</x:v>
      </x:c>
      <x:c r="N218" s="46" t="n">
        <x:v>5.049648480812144</x:v>
      </x:c>
      <x:c r="O218" s="46" t="n">
        <x:v>-4.9868327733693505</x:v>
      </x:c>
      <x:c r="P218" s="46" t="n">
        <x:v>2.0369140810079283</x:v>
      </x:c>
      <x:c r="Q218" s="46" t="n">
        <x:v>-1.298206545177076</x:v>
      </x:c>
      <x:c r="R218" s="46"/>
    </x:row>
    <x:row r="219">
      <x:c r="C219" s="19" t="n">
        <x:v>45901</x:v>
      </x:c>
      <x:c r="D219" s="19" t="n">
        <x:v>45930</x:v>
      </x:c>
      <x:c r="E219" s="43" t="str">
        <x:v>grid_22fp35k1.xlsx</x:v>
      </x:c>
      <x:c r="F219" s="46" t="n">
        <x:v>-7.164455679435895</x:v>
      </x:c>
      <x:c r="G219" s="46" t="n">
        <x:v>5.270731855533408</x:v>
      </x:c>
      <x:c r="H219" s="46" t="n">
        <x:v>6.955052797488295</x:v>
      </x:c>
      <x:c r="I219" s="46" t="n">
        <x:v>-3.4788820175217907</x:v>
      </x:c>
      <x:c r="J219" s="46" t="n">
        <x:v>-14.076173928704177</x:v>
      </x:c>
      <x:c r="K219" s="46" t="n">
        <x:v>2.8849805402918687</x:v>
      </x:c>
      <x:c r="L219" s="46" t="n">
        <x:v>11.03734231113378</x:v>
      </x:c>
      <x:c r="M219" s="46" t="n">
        <x:v>-3.1533745120190964</x:v>
      </x:c>
      <x:c r="N219" s="46" t="n">
        <x:v>4.748721330543607</x:v>
      </x:c>
      <x:c r="O219" s="46" t="n">
        <x:v>-5.725929007349103</x:v>
      </x:c>
      <x:c r="P219" s="46" t="n">
        <x:v>-0.026061786801810805</x:v>
      </x:c>
      <x:c r="Q219" s="46" t="n">
        <x:v>5.672561692602229</x:v>
      </x:c>
      <x:c r="R219" s="46"/>
    </x:row>
    <x:row r="220">
      <x:c r="C220" s="19" t="n">
        <x:v>45931</x:v>
      </x:c>
      <x:c r="D220" s="19" t="n">
        <x:v>45961</x:v>
      </x:c>
      <x:c r="E220" s="43" t="str">
        <x:v>grid_22fp35k1.xlsx</x:v>
      </x:c>
      <x:c r="F220" s="46" t="n">
        <x:v>-6.303622964981219</x:v>
      </x:c>
      <x:c r="G220" s="46" t="n">
        <x:v>2.038316068127219</x:v>
      </x:c>
      <x:c r="H220" s="46" t="n">
        <x:v>8.530773390725326</x:v>
      </x:c>
      <x:c r="I220" s="46" t="n">
        <x:v>-1.8081989322665977</x:v>
      </x:c>
      <x:c r="J220" s="46" t="n">
        <x:v>-6.320074456871937</x:v>
      </x:c>
      <x:c r="K220" s="46" t="n">
        <x:v>3.533437865398837</x:v>
      </x:c>
      <x:c r="L220" s="46" t="n">
        <x:v>15.327734737312568</x:v>
      </x:c>
      <x:c r="M220" s="46" t="n">
        <x:v>2.639333750860258</x:v>
      </x:c>
      <x:c r="N220" s="46" t="n">
        <x:v>5.17682879628002</x:v>
      </x:c>
      <x:c r="O220" s="46" t="n">
        <x:v>4.660720767214992</x:v>
      </x:c>
      <x:c r="P220" s="46" t="n">
        <x:v>5.168278031997482</x:v>
      </x:c>
      <x:c r="Q220" s="46" t="n">
        <x:v>15.605758434443612</x:v>
      </x:c>
      <x:c r="R220" s="46"/>
    </x:row>
    <x:row r="221">
      <x:c r="C221" s="19" t="n">
        <x:v>45962</x:v>
      </x:c>
      <x:c r="D221" s="19" t="n">
        <x:v>45989</x:v>
      </x:c>
      <x:c r="E221" s="43" t="str">
        <x:v>grid_22fp35k1.xlsx</x:v>
      </x:c>
      <x:c r="F221" s="46" t="n">
        <x:v>-0.9798770412456186</x:v>
      </x:c>
      <x:c r="G221" s="46" t="n">
        <x:v>5.153236558195672</x:v>
      </x:c>
      <x:c r="H221" s="46" t="n">
        <x:v>15.919403941961626</x:v>
      </x:c>
      <x:c r="I221" s="46" t="n">
        <x:v>3.844427492123196</x:v>
      </x:c>
      <x:c r="J221" s="46" t="n">
        <x:v>-4.691490175971895</x:v>
      </x:c>
      <x:c r="K221" s="46" t="n">
        <x:v>1.128359684405254</x:v>
      </x:c>
      <x:c r="L221" s="46" t="n">
        <x:v>17.660692140634534</x:v>
      </x:c>
      <x:c r="M221" s="46" t="n">
        <x:v>5.351355997916885</x:v>
      </x:c>
      <x:c r="N221" s="46" t="n">
        <x:v>5.618663936628736</x:v>
      </x:c>
      <x:c r="O221" s="46" t="n">
        <x:v>8.722617554338388</x:v>
      </x:c>
      <x:c r="P221" s="46" t="n">
        <x:v>3.243193969669794</x:v>
      </x:c>
      <x:c r="Q221" s="46" t="n">
        <x:v>17.356169011089236</x:v>
      </x:c>
      <x:c r="R221" s="46"/>
    </x:row>
    <x:row r="222">
      <x:c r="C222" s="19" t="n">
        <x:v>45992</x:v>
      </x:c>
      <x:c r="D222" s="19" t="n">
        <x:v>46022</x:v>
      </x:c>
      <x:c r="E222" s="43" t="str">
        <x:v>grid_22fp35k1.xlsx</x:v>
      </x:c>
      <x:c r="F222" s="46" t="n">
        <x:v>0.7576131607081157</x:v>
      </x:c>
      <x:c r="G222" s="46" t="n">
        <x:v>7.650149989626298</x:v>
      </x:c>
      <x:c r="H222" s="46" t="n">
        <x:v>21.94702082964855</x:v>
      </x:c>
      <x:c r="I222" s="46" t="n">
        <x:v>5.0978297135589825</x:v>
      </x:c>
      <x:c r="J222" s="46" t="n">
        <x:v>-11.827580479658867</x:v>
      </x:c>
      <x:c r="K222" s="46" t="n">
        <x:v>3.6567589603964947</x:v>
      </x:c>
      <x:c r="L222" s="46" t="n">
        <x:v>12.121086473022476</x:v>
      </x:c>
      <x:c r="M222" s="46" t="n">
        <x:v>7.7121286629511285</x:v>
      </x:c>
      <x:c r="N222" s="46" t="n">
        <x:v>4.54189445024718</x:v>
      </x:c>
      <x:c r="O222" s="46" t="n">
        <x:v>13.37992034538634</x:v>
      </x:c>
      <x:c r="P222" s="46" t="n">
        <x:v>10.200144949211271</x:v>
      </x:c>
      <x:c r="Q222" s="46" t="n">
        <x:v>10.638208282553153</x:v>
      </x:c>
      <x:c r="R222" s="46"/>
    </x:row>
    <x:row r="223">
      <x:c r="C223" s="19" t="n">
        <x:v>46023</x:v>
      </x:c>
      <x:c r="D223" s="19" t="n">
        <x:v>46052</x:v>
      </x:c>
      <x:c r="E223" s="43" t="str">
        <x:v>grid_22fp35k1.xlsx</x:v>
      </x:c>
      <x:c r="F223" s="46" t="n">
        <x:v>3.298523522256235</x:v>
      </x:c>
      <x:c r="G223" s="46" t="n">
        <x:v>8.439469928964842</x:v>
      </x:c>
      <x:c r="H223" s="46" t="n">
        <x:v>15.574379085009044</x:v>
      </x:c>
      <x:c r="I223" s="46" t="n">
        <x:v>4.548993571035263</x:v>
      </x:c>
      <x:c r="J223" s="46" t="n">
        <x:v>-16.91560273711161</x:v>
      </x:c>
      <x:c r="K223" s="46" t="n">
        <x:v>3.7811579550485126</x:v>
      </x:c>
      <x:c r="L223" s="46" t="n">
        <x:v>8.35108189541641</x:v>
      </x:c>
      <x:c r="M223" s="46" t="n">
        <x:v>8.239430867786973</x:v>
      </x:c>
      <x:c r="N223" s="46" t="n">
        <x:v>1.662560968462521</x:v>
      </x:c>
      <x:c r="O223" s="46" t="n">
        <x:v>10.435795148804454</x:v>
      </x:c>
      <x:c r="P223" s="46" t="n">
        <x:v>7.116952843825573</x:v>
      </x:c>
      <x:c r="Q223" s="46" t="n">
        <x:v>10.066783659426697</x:v>
      </x:c>
      <x:c r="R223" s="46"/>
    </x:row>
    <x:row r="224">
      <x:c r="C224" s="19" t="n">
        <x:v>46054</x:v>
      </x:c>
      <x:c r="D224" s="19" t="n">
        <x:v>46080</x:v>
      </x:c>
      <x:c r="E224" s="43" t="str">
        <x:v>grid_22fp35k1.xlsx</x:v>
      </x:c>
      <x:c r="F224" s="46" t="n">
        <x:v>9.627895051317028</x:v>
      </x:c>
      <x:c r="G224" s="46" t="n">
        <x:v>6.425338766809746</x:v>
      </x:c>
      <x:c r="H224" s="46" t="n">
        <x:v>2.2117764399816395</x:v>
      </x:c>
      <x:c r="I224" s="46" t="n">
        <x:v>7.951411778885569</x:v>
      </x:c>
      <x:c r="J224" s="46" t="n">
        <x:v>3.436655178097476</x:v>
      </x:c>
      <x:c r="K224" s="46" t="n">
        <x:v>4.338962816828577</x:v>
      </x:c>
      <x:c r="L224" s="46" t="n">
        <x:v>-2.641353271903533</x:v>
      </x:c>
      <x:c r="M224" s="46" t="n">
        <x:v>5.8530591243614305</x:v>
      </x:c>
      <x:c r="N224" s="46" t="n">
        <x:v>-0.33829064362112193</x:v>
      </x:c>
      <x:c r="O224" s="46" t="n">
        <x:v>5.835349622995914</x:v>
      </x:c>
      <x:c r="P224" s="46" t="n">
        <x:v>2.4537791163495153</x:v>
      </x:c>
      <x:c r="Q224" s="46" t="n">
        <x:v>10.367524358931853</x:v>
      </x:c>
      <x:c r="R224" s="46"/>
    </x:row>
    <x:row r="225">
      <x:c r="C225" s="19" t="n">
        <x:v>46082</x:v>
      </x:c>
      <x:c r="D225" s="19" t="n">
        <x:v>46112</x:v>
      </x:c>
      <x:c r="E225" s="43" t="str">
        <x:v>grid_22fp35k1.xlsx</x:v>
      </x:c>
      <x:c r="F225" s="46" t="n">
        <x:v>32.10595552280639</x:v>
      </x:c>
      <x:c r="G225" s="46" t="n">
        <x:v>6.148894860684609</x:v>
      </x:c>
      <x:c r="H225" s="46" t="n">
        <x:v>1.7339205608137325</x:v>
      </x:c>
      <x:c r="I225" s="46" t="n">
        <x:v>1.0870899097004223</x:v>
      </x:c>
      <x:c r="J225" s="46" t="n">
        <x:v>46.6030477396629</x:v>
      </x:c>
      <x:c r="K225" s="46" t="n">
        <x:v>2.448949655872797</x:v>
      </x:c>
      <x:c r="L225" s="46" t="n">
        <x:v>-4.814179940057863</x:v>
      </x:c>
      <x:c r="M225" s="46" t="n">
        <x:v>6.908670636678384</x:v>
      </x:c>
      <x:c r="N225" s="46" t="n">
        <x:v>4.1405233975042055</x:v>
      </x:c>
      <x:c r="O225" s="46" t="n">
        <x:v>8.155282038899605</x:v>
      </x:c>
      <x:c r="P225" s="46" t="n">
        <x:v>-2.9478645864227495</x:v>
      </x:c>
      <x:c r="Q225" s="46" t="n">
        <x:v>11.682708677388085</x:v>
      </x:c>
      <x:c r="R225" s="46"/>
    </x:row>
    <x:row r="226">
      <x:c r="C226" s="19" t="n">
        <x:v>46113</x:v>
      </x:c>
      <x:c r="D226" s="19" t="n">
        <x:v>46142</x:v>
      </x:c>
      <x:c r="E226" s="43" t="str">
        <x:v>grid_22fp35k1.xlsx</x:v>
      </x:c>
      <x:c r="F226" s="46" t="n">
        <x:v>32.714933649531844</x:v>
      </x:c>
      <x:c r="G226" s="46" t="n">
        <x:v>6.970040246520402</x:v>
      </x:c>
      <x:c r="H226" s="46" t="n">
        <x:v>20.452178145287046</x:v>
      </x:c>
      <x:c r="I226" s="46" t="n">
        <x:v>-0.2224777237493034</x:v>
      </x:c>
      <x:c r="J226" s="46" t="n">
        <x:v>59.4697734317907</x:v>
      </x:c>
      <x:c r="K226" s="46" t="n">
        <x:v>1.6637033704049158</x:v>
      </x:c>
      <x:c r="L226" s="46" t="n">
        <x:v>-3.5081216381203832</x:v>
      </x:c>
      <x:c r="M226" s="46" t="n">
        <x:v>3.0479320060725974</x:v>
      </x:c>
      <x:c r="N226" s="46" t="n">
        <x:v>8.560283763300658</x:v>
      </x:c>
      <x:c r="O226" s="46" t="n">
        <x:v>-6.265223129872596</x:v>
      </x:c>
      <x:c r="P226" s="46" t="n">
        <x:v>-1.6056950943760344</x:v>
      </x:c>
      <x:c r="Q226" s="46" t="n">
        <x:v>11.99568800651753</x:v>
      </x:c>
      <x:c r="R226" s="46"/>
    </x:row>
    <x:row r="227">
      <x:c r="C227" s="19" t="n">
        <x:v>46143</x:v>
      </x:c>
      <x:c r="D227" s="19" t="n">
        <x:v>46171</x:v>
      </x:c>
      <x:c r="E227" s="43" t="str">
        <x:v>grid_22fp35k1.xlsx</x:v>
      </x:c>
      <x:c r="F227" s="46" t="n">
        <x:v>21.932508026882367</x:v>
      </x:c>
      <x:c r="G227" s="46" t="n">
        <x:v>2.9355024298147474</x:v>
      </x:c>
      <x:c r="H227" s="46" t="n">
        <x:v>20.287141103846132</x:v>
      </x:c>
      <x:c r="I227" s="46" t="n">
        <x:v>12.770232830875509</x:v>
      </x:c>
      <x:c r="J227" s="46" t="n">
        <x:v>46.0349706641752</x:v>
      </x:c>
      <x:c r="K227" s="46" t="n">
        <x:v>1.904272325996515</x:v>
      </x:c>
      <x:c r="L227" s="46" t="n">
        <x:v>-4.8354784293459385</x:v>
      </x:c>
      <x:c r="M227" s="46" t="n">
        <x:v>1.3675739896450727</x:v>
      </x:c>
      <x:c r="N227" s="46" t="n">
        <x:v>8.768547828820546</x:v>
      </x:c>
      <x:c r="O227" s="46" t="n">
        <x:v>-6.699503603778102</x:v>
      </x:c>
      <x:c r="P227" s="46" t="n">
        <x:v>8.35847209258044</x:v>
      </x:c>
      <x:c r="Q227" s="46" t="n">
        <x:v>1.9783673257824157</x:v>
      </x:c>
      <x:c r="R227" s="46"/>
    </x:row>
    <x:row r="228">
      <x:c r="C228" s="19" t="n">
        <x:v>46174</x:v>
      </x:c>
      <x:c r="D228" s="19" t="n">
        <x:v>46203</x:v>
      </x:c>
      <x:c r="E228" s="43" t="str">
        <x:v>grid_22fp35k1.xlsx</x:v>
      </x:c>
      <x:c r="F228" s="46" t="n">
        <x:v>-6.178410866666355</x:v>
      </x:c>
      <x:c r="G228" s="46" t="n">
        <x:v>1.865706179605577</x:v>
      </x:c>
      <x:c r="H228" s="46" t="n">
        <x:v>13.718159314747219</x:v>
      </x:c>
      <x:c r="I228" s="46" t="n">
        <x:v>16.65341643351819</x:v>
      </x:c>
      <x:c r="J228" s="46" t="n">
        <x:v>6.9822285656365475</x:v>
      </x:c>
      <x:c r="K228" s="46" t="n">
        <x:v>5.509685040604408</x:v>
      </x:c>
      <x:c r="L228" s="46" t="n">
        <x:v>1.6618071537192989</x:v>
      </x:c>
      <x:c r="M228" s="46" t="n">
        <x:v>-1.7235596794151111</x:v>
      </x:c>
      <x:c r="N228" s="46" t="n">
        <x:v>-3.6443238971528693</x:v>
      </x:c>
      <x:c r="O228" s="46" t="n">
        <x:v>-11.26384027553448</x:v>
      </x:c>
      <x:c r="P228" s="46" t="n">
        <x:v>9.454117347230499</x:v>
      </x:c>
      <x:c r="Q228" s="46" t="n">
        <x:v>0.3666172572711453</x:v>
      </x:c>
      <x:c r="R228" s="46"/>
    </x:row>
    <x:row r="229">
      <x:c r="C229" s="19" t="n">
        <x:v>46204</x:v>
      </x:c>
      <x:c r="D229" s="19" t="n">
        <x:v>46234</x:v>
      </x:c>
      <x:c r="E229" s="43" t="str">
        <x:v>grid_22fp35k1.xlsx</x:v>
      </x:c>
      <x:c r="F229" s="46" t="n">
        <x:v>-6.874742605419599</x:v>
      </x:c>
      <x:c r="G229" s="46" t="n">
        <x:v>0.37459705010751837</x:v>
      </x:c>
      <x:c r="H229" s="46" t="n">
        <x:v>15.026393627670393</x:v>
      </x:c>
      <x:c r="I229" s="46" t="n">
        <x:v>17.69602623901626</x:v>
      </x:c>
      <x:c r="J229" s="46" t="n">
        <x:v>-1.9079224305361993</x:v>
      </x:c>
      <x:c r="K229" s="46" t="n">
        <x:v>3.9016742269712004</x:v>
      </x:c>
      <x:c r="L229" s="46" t="n">
        <x:v>0.763452975691795</x:v>
      </x:c>
      <x:c r="M229" s="46" t="n">
        <x:v>1.6066559636203195</x:v>
      </x:c>
      <x:c r="N229" s="46" t="n">
        <x:v>-7.637454388618941</x:v>
      </x:c>
      <x:c r="O229" s="46" t="n">
        <x:v>-8.118172284823117</x:v>
      </x:c>
      <x:c r="P229" s="46" t="n">
        <x:v>9.50322619242422</x:v>
      </x:c>
      <x:c r="Q229" s="46" t="n">
        <x:v>-8.187989353751354</x:v>
      </x:c>
      <x:c r="R229" s="46"/>
    </x:row>
    <x:row r="230">
      <x:c r="C230" s="19" t="n">
        <x:v>46235</x:v>
      </x:c>
      <x:c r="D230" s="19" t="n">
        <x:v>46265</x:v>
      </x:c>
      <x:c r="E230" s="43" t="str">
        <x:v>grid_22fp35k1.xlsx</x:v>
      </x:c>
      <x:c r="F230" s="46" t="n">
        <x:v>0.8386904673096452</x:v>
      </x:c>
      <x:c r="G230" s="46" t="n">
        <x:v>0.503531036548502</x:v>
      </x:c>
      <x:c r="H230" s="46" t="n">
        <x:v>20.980359436742003</x:v>
      </x:c>
      <x:c r="I230" s="46" t="n">
        <x:v>-2.678555091953794</x:v>
      </x:c>
      <x:c r="J230" s="46" t="n">
        <x:v>2.4426341478929126</x:v>
      </x:c>
      <x:c r="K230" s="46" t="n">
        <x:v>0.23823762851612112</x:v>
      </x:c>
      <x:c r="L230" s="46" t="n">
        <x:v>5.1565471058152585</x:v>
      </x:c>
      <x:c r="M230" s="46" t="n">
        <x:v>5.994934021309605</x:v>
      </x:c>
      <x:c r="N230" s="46" t="n">
        <x:v>-5.914130057446776</x:v>
      </x:c>
      <x:c r="O230" s="46" t="n">
        <x:v>-8.14041519654576</x:v>
      </x:c>
      <x:c r="P230" s="46" t="n">
        <x:v>0.1416658343570708</x:v>
      </x:c>
      <x:c r="Q230" s="46" t="n">
        <x:v>-5.3960754234926815</x:v>
      </x:c>
      <x:c r="R230" s="46"/>
    </x:row>
    <x:row r="231">
      <x:c r="C231" s="20" t="n">
        <x:v>46266</x:v>
      </x:c>
      <x:c r="D231" s="20" t="n">
        <x:v>46268</x:v>
      </x:c>
      <x:c r="E231" s="44" t="str">
        <x:v>grid_22fp35k1.xlsx</x:v>
      </x:c>
      <x:c r="F231" s="47" t="n">
        <x:v>6.428873002399012</x:v>
      </x:c>
      <x:c r="G231" s="47" t="n">
        <x:v>-0.5813950066962021</x:v>
      </x:c>
      <x:c r="H231" s="47" t="n">
        <x:v>21.023996129705477</x:v>
      </x:c>
      <x:c r="I231" s="47" t="n">
        <x:v>-3.756404629417735</x:v>
      </x:c>
      <x:c r="J231" s="47" t="n">
        <x:v>5.5488570741302885</x:v>
      </x:c>
      <x:c r="K231" s="47" t="n">
        <x:v>-2.5865132435722975</x:v>
      </x:c>
      <x:c r="L231" s="47" t="n">
        <x:v>1.976551119845032</x:v>
      </x:c>
      <x:c r="M231" s="47" t="n">
        <x:v>5.106706395621212</x:v>
      </x:c>
      <x:c r="N231" s="47" t="n">
        <x:v>1.7675367153875199</x:v>
      </x:c>
      <x:c r="O231" s="47" t="n">
        <x:v>-9.15986800821953</x:v>
      </x:c>
      <x:c r="P231" s="47" t="n">
        <x:v>-2.7329471722089984</x:v>
      </x:c>
      <x:c r="Q231" s="47" t="n">
        <x:v>-4.7958883074062</x:v>
      </x:c>
      <x:c r="R231" s="47"/>
    </x:row>
  </x:sheetData>
  <x:pageMargins left="0.7" right="0.7" top="0.75" bottom="0.75" header="0.3" footer="0.3"/>
  <x:tableParts count="1">
    <x:tablePart xmlns:r="http://schemas.openxmlformats.org/officeDocument/2006/relationships" r:id="R9fb662049c9e457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7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7" hidden="0" customWidth="1"/>
  </x:cols>
  <x:sheetData>
    <x:row r="2">
      <x:c r="C2" s="2" t="str">
        <x:v>Earnings de Energia e companhias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</x:row>
    <x:row r="3">
      <x:c r="C3" s="4" t="str">
        <x:v>Séries 12 meses forward do setor de Energia, Petrobras e demais companhias identificadas.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</x:row>
    <x:row r="6" ht="36" customHeight="1">
      <x:c r="C6" s="11" t="str">
        <x:v>month</x:v>
      </x:c>
      <x:c r="D6" s="11" t="str">
        <x:v>Energy reported</x:v>
      </x:c>
      <x:c r="E6" s="11" t="str">
        <x:v>IBOV</x:v>
      </x:c>
      <x:c r="F6" s="11" t="str">
        <x:v>Brava Energia</x:v>
      </x:c>
      <x:c r="G6" s="11" t="str">
        <x:v>Oleo e Gas Participacoes</x:v>
      </x:c>
      <x:c r="H6" s="11" t="str">
        <x:v>PRIO</x:v>
      </x:c>
      <x:c r="I6" s="11" t="str">
        <x:v>PetroReconcavo</x:v>
      </x:c>
      <x:c r="J6" s="11" t="str">
        <x:v>Petrobras</x:v>
      </x:c>
      <x:c r="K6" s="11" t="str">
        <x:v>Ex-Petrobras dynamic</x:v>
      </x:c>
      <x:c r="L6" s="11" t="str">
        <x:v>Ex-Petrobras core (PRIO + Brava)</x:v>
      </x:c>
      <x:c r="M6" s="99"/>
    </x:row>
    <x:row r="7">
      <x:c r="C7" s="18" t="n">
        <x:v>39448</x:v>
      </x:c>
      <x:c r="D7" s="27" t="n">
        <x:v>29432.8344127123</x:v>
      </x:c>
      <x:c r="E7" s="27" t="n">
        <x:v>9959.8780653506</x:v>
      </x:c>
      <x:c r="F7" s="27"/>
      <x:c r="G7" s="27"/>
      <x:c r="H7" s="27"/>
      <x:c r="I7" s="27"/>
      <x:c r="J7" s="27" t="n">
        <x:v>29432.8344127123</x:v>
      </x:c>
      <x:c r="K7" s="27"/>
      <x:c r="L7" s="27"/>
      <x:c r="M7" s="99"/>
    </x:row>
    <x:row r="8">
      <x:c r="C8" s="19" t="n">
        <x:v>39479</x:v>
      </x:c>
      <x:c r="D8" s="28" t="n">
        <x:v>29645.2019747068</x:v>
      </x:c>
      <x:c r="E8" s="28" t="n">
        <x:v>10289.6073694319</x:v>
      </x:c>
      <x:c r="F8" s="28"/>
      <x:c r="G8" s="28"/>
      <x:c r="H8" s="28"/>
      <x:c r="I8" s="28"/>
      <x:c r="J8" s="28" t="n">
        <x:v>29645.2019747068</x:v>
      </x:c>
      <x:c r="K8" s="28"/>
      <x:c r="L8" s="28"/>
      <x:c r="M8" s="99"/>
    </x:row>
    <x:row r="9">
      <x:c r="C9" s="19" t="n">
        <x:v>39508</x:v>
      </x:c>
      <x:c r="D9" s="28" t="n">
        <x:v>30769.5536604932</x:v>
      </x:c>
      <x:c r="E9" s="28" t="n">
        <x:v>10303.8674847883</x:v>
      </x:c>
      <x:c r="F9" s="28"/>
      <x:c r="G9" s="28"/>
      <x:c r="H9" s="28"/>
      <x:c r="I9" s="28"/>
      <x:c r="J9" s="28" t="n">
        <x:v>30769.5536604932</x:v>
      </x:c>
      <x:c r="K9" s="28"/>
      <x:c r="L9" s="28"/>
      <x:c r="M9" s="99"/>
    </x:row>
    <x:row r="10">
      <x:c r="C10" s="19" t="n">
        <x:v>39539</x:v>
      </x:c>
      <x:c r="D10" s="28" t="n">
        <x:v>30957.4695837808</x:v>
      </x:c>
      <x:c r="E10" s="28" t="n">
        <x:v>10682.5227605994</x:v>
      </x:c>
      <x:c r="F10" s="28"/>
      <x:c r="G10" s="28"/>
      <x:c r="H10" s="28"/>
      <x:c r="I10" s="28"/>
      <x:c r="J10" s="28" t="n">
        <x:v>30957.4695837808</x:v>
      </x:c>
      <x:c r="K10" s="28"/>
      <x:c r="L10" s="28"/>
      <x:c r="M10" s="99"/>
    </x:row>
    <x:row r="11">
      <x:c r="C11" s="19" t="n">
        <x:v>39569</x:v>
      </x:c>
      <x:c r="D11" s="28" t="n">
        <x:v>32324.6684019726</x:v>
      </x:c>
      <x:c r="E11" s="28" t="n">
        <x:v>12096.372419705</x:v>
      </x:c>
      <x:c r="F11" s="28"/>
      <x:c r="G11" s="28"/>
      <x:c r="H11" s="28"/>
      <x:c r="I11" s="28"/>
      <x:c r="J11" s="28" t="n">
        <x:v>32324.6684019726</x:v>
      </x:c>
      <x:c r="K11" s="28"/>
      <x:c r="L11" s="28"/>
      <x:c r="M11" s="99"/>
    </x:row>
    <x:row r="12">
      <x:c r="C12" s="19" t="n">
        <x:v>39600</x:v>
      </x:c>
      <x:c r="D12" s="28" t="n">
        <x:v>32989.7392997699</x:v>
      </x:c>
      <x:c r="E12" s="28" t="n">
        <x:v>12518.4253993854</x:v>
      </x:c>
      <x:c r="F12" s="28"/>
      <x:c r="G12" s="28"/>
      <x:c r="H12" s="28"/>
      <x:c r="I12" s="28"/>
      <x:c r="J12" s="28" t="n">
        <x:v>32989.7392997699</x:v>
      </x:c>
      <x:c r="K12" s="28"/>
      <x:c r="L12" s="28"/>
      <x:c r="M12" s="99"/>
    </x:row>
    <x:row r="13">
      <x:c r="C13" s="19" t="n">
        <x:v>39630</x:v>
      </x:c>
      <x:c r="D13" s="28" t="n">
        <x:v>34314.9850455671</x:v>
      </x:c>
      <x:c r="E13" s="28" t="n">
        <x:v>11614.2108805641</x:v>
      </x:c>
      <x:c r="F13" s="28"/>
      <x:c r="G13" s="28"/>
      <x:c r="H13" s="28"/>
      <x:c r="I13" s="28"/>
      <x:c r="J13" s="28" t="n">
        <x:v>34314.9850455671</x:v>
      </x:c>
      <x:c r="K13" s="28"/>
      <x:c r="L13" s="28"/>
      <x:c r="M13" s="99"/>
    </x:row>
    <x:row r="14">
      <x:c r="C14" s="19" t="n">
        <x:v>39661</x:v>
      </x:c>
      <x:c r="D14" s="28" t="n">
        <x:v>34896.3779850521</x:v>
      </x:c>
      <x:c r="E14" s="28" t="n">
        <x:v>12104.0246422624</x:v>
      </x:c>
      <x:c r="F14" s="28"/>
      <x:c r="G14" s="28"/>
      <x:c r="H14" s="28"/>
      <x:c r="I14" s="28"/>
      <x:c r="J14" s="28" t="n">
        <x:v>34896.3779850521</x:v>
      </x:c>
      <x:c r="K14" s="28"/>
      <x:c r="L14" s="28"/>
      <x:c r="M14" s="99"/>
    </x:row>
    <x:row r="15">
      <x:c r="C15" s="19" t="n">
        <x:v>39692</x:v>
      </x:c>
      <x:c r="D15" s="28" t="n">
        <x:v>36268.298789874</x:v>
      </x:c>
      <x:c r="E15" s="28" t="n">
        <x:v>14266.9874911289</x:v>
      </x:c>
      <x:c r="F15" s="28"/>
      <x:c r="G15" s="28"/>
      <x:c r="H15" s="28"/>
      <x:c r="I15" s="28"/>
      <x:c r="J15" s="28" t="n">
        <x:v>36268.298789874</x:v>
      </x:c>
      <x:c r="K15" s="28"/>
      <x:c r="L15" s="28"/>
      <x:c r="M15" s="99"/>
    </x:row>
    <x:row r="16">
      <x:c r="C16" s="19" t="n">
        <x:v>39722</x:v>
      </x:c>
      <x:c r="D16" s="28" t="n">
        <x:v>34382.2515326247</x:v>
      </x:c>
      <x:c r="E16" s="28" t="n">
        <x:v>13115.5788441607</x:v>
      </x:c>
      <x:c r="F16" s="28"/>
      <x:c r="G16" s="28"/>
      <x:c r="H16" s="28"/>
      <x:c r="I16" s="28"/>
      <x:c r="J16" s="28" t="n">
        <x:v>34382.2515326247</x:v>
      </x:c>
      <x:c r="K16" s="28"/>
      <x:c r="L16" s="28"/>
      <x:c r="M16" s="99"/>
    </x:row>
    <x:row r="17">
      <x:c r="C17" s="19" t="n">
        <x:v>39753</x:v>
      </x:c>
      <x:c r="D17" s="28" t="n">
        <x:v>33491.210374663</x:v>
      </x:c>
      <x:c r="E17" s="28" t="n">
        <x:v>11850.1015847353</x:v>
      </x:c>
      <x:c r="F17" s="28"/>
      <x:c r="G17" s="28"/>
      <x:c r="H17" s="28"/>
      <x:c r="I17" s="28"/>
      <x:c r="J17" s="28" t="n">
        <x:v>33491.210374663</x:v>
      </x:c>
      <x:c r="K17" s="28"/>
      <x:c r="L17" s="28"/>
      <x:c r="M17" s="99"/>
    </x:row>
    <x:row r="18">
      <x:c r="C18" s="19" t="n">
        <x:v>39783</x:v>
      </x:c>
      <x:c r="D18" s="28" t="n">
        <x:v>29096.400896</x:v>
      </x:c>
      <x:c r="E18" s="28" t="n">
        <x:v>11084.4648793578</x:v>
      </x:c>
      <x:c r="F18" s="28"/>
      <x:c r="G18" s="28"/>
      <x:c r="H18" s="28"/>
      <x:c r="I18" s="28"/>
      <x:c r="J18" s="28" t="n">
        <x:v>29096.400896</x:v>
      </x:c>
      <x:c r="K18" s="28"/>
      <x:c r="L18" s="28"/>
      <x:c r="M18" s="99"/>
    </x:row>
    <x:row r="19">
      <x:c r="C19" s="19" t="n">
        <x:v>39814</x:v>
      </x:c>
      <x:c r="D19" s="28" t="n">
        <x:v>26792.8816710137</x:v>
      </x:c>
      <x:c r="E19" s="28" t="n">
        <x:v>11033.7390162929</x:v>
      </x:c>
      <x:c r="F19" s="28"/>
      <x:c r="G19" s="28"/>
      <x:c r="H19" s="28"/>
      <x:c r="I19" s="28"/>
      <x:c r="J19" s="28" t="n">
        <x:v>26792.8816710137</x:v>
      </x:c>
      <x:c r="K19" s="28"/>
      <x:c r="L19" s="28"/>
      <x:c r="M19" s="99"/>
    </x:row>
    <x:row r="20">
      <x:c r="C20" s="19" t="n">
        <x:v>39845</x:v>
      </x:c>
      <x:c r="D20" s="28" t="n">
        <x:v>27042.7876927123</x:v>
      </x:c>
      <x:c r="E20" s="28" t="n">
        <x:v>11190.3574737604</x:v>
      </x:c>
      <x:c r="F20" s="28"/>
      <x:c r="G20" s="28"/>
      <x:c r="H20" s="28"/>
      <x:c r="I20" s="28"/>
      <x:c r="J20" s="28" t="n">
        <x:v>27042.7876927123</x:v>
      </x:c>
      <x:c r="K20" s="28"/>
      <x:c r="L20" s="28"/>
      <x:c r="M20" s="99"/>
    </x:row>
    <x:row r="21">
      <x:c r="C21" s="19" t="n">
        <x:v>39873</x:v>
      </x:c>
      <x:c r="D21" s="28" t="n">
        <x:v>24508.1156734247</x:v>
      </x:c>
      <x:c r="E21" s="28" t="n">
        <x:v>9959.6274718116</x:v>
      </x:c>
      <x:c r="F21" s="28"/>
      <x:c r="G21" s="28"/>
      <x:c r="H21" s="28"/>
      <x:c r="I21" s="28"/>
      <x:c r="J21" s="28" t="n">
        <x:v>24508.1156734247</x:v>
      </x:c>
      <x:c r="K21" s="28"/>
      <x:c r="L21" s="28"/>
      <x:c r="M21" s="99"/>
    </x:row>
    <x:row r="22">
      <x:c r="C22" s="19" t="n">
        <x:v>39904</x:v>
      </x:c>
      <x:c r="D22" s="28" t="n">
        <x:v>23604.0850165479</x:v>
      </x:c>
      <x:c r="E22" s="28" t="n">
        <x:v>9074.7839544323</x:v>
      </x:c>
      <x:c r="F22" s="28"/>
      <x:c r="G22" s="28"/>
      <x:c r="H22" s="28"/>
      <x:c r="I22" s="28"/>
      <x:c r="J22" s="28" t="n">
        <x:v>23604.0850165479</x:v>
      </x:c>
      <x:c r="K22" s="28"/>
      <x:c r="L22" s="28"/>
      <x:c r="M22" s="99"/>
    </x:row>
    <x:row r="23">
      <x:c r="C23" s="19" t="n">
        <x:v>39934</x:v>
      </x:c>
      <x:c r="D23" s="28" t="n">
        <x:v>25104.4839760658</x:v>
      </x:c>
      <x:c r="E23" s="28" t="n">
        <x:v>9195.7718891232</x:v>
      </x:c>
      <x:c r="F23" s="28"/>
      <x:c r="G23" s="28"/>
      <x:c r="H23" s="28"/>
      <x:c r="I23" s="28"/>
      <x:c r="J23" s="28" t="n">
        <x:v>25104.4839760658</x:v>
      </x:c>
      <x:c r="K23" s="28"/>
      <x:c r="L23" s="28"/>
      <x:c r="M23" s="99"/>
    </x:row>
    <x:row r="24">
      <x:c r="C24" s="19" t="n">
        <x:v>39965</x:v>
      </x:c>
      <x:c r="D24" s="28" t="n">
        <x:v>25090.7494652493</x:v>
      </x:c>
      <x:c r="E24" s="28" t="n">
        <x:v>8893.8981333335</x:v>
      </x:c>
      <x:c r="F24" s="28"/>
      <x:c r="G24" s="28"/>
      <x:c r="H24" s="28"/>
      <x:c r="I24" s="28"/>
      <x:c r="J24" s="28" t="n">
        <x:v>25090.7494652493</x:v>
      </x:c>
      <x:c r="K24" s="28"/>
      <x:c r="L24" s="28"/>
      <x:c r="M24" s="99"/>
    </x:row>
    <x:row r="25">
      <x:c r="C25" s="19" t="n">
        <x:v>39995</x:v>
      </x:c>
      <x:c r="D25" s="28" t="n">
        <x:v>25347.7203687452</x:v>
      </x:c>
      <x:c r="E25" s="28" t="n">
        <x:v>8563.7339145049</x:v>
      </x:c>
      <x:c r="F25" s="28"/>
      <x:c r="G25" s="28"/>
      <x:c r="H25" s="28"/>
      <x:c r="I25" s="28"/>
      <x:c r="J25" s="28" t="n">
        <x:v>25347.7203687452</x:v>
      </x:c>
      <x:c r="K25" s="28"/>
      <x:c r="L25" s="28"/>
      <x:c r="M25" s="99"/>
    </x:row>
    <x:row r="26">
      <x:c r="C26" s="19" t="n">
        <x:v>40026</x:v>
      </x:c>
      <x:c r="D26" s="28" t="n">
        <x:v>25339.541907989</x:v>
      </x:c>
      <x:c r="E26" s="28" t="n">
        <x:v>8388.6174345144</x:v>
      </x:c>
      <x:c r="F26" s="28"/>
      <x:c r="G26" s="28"/>
      <x:c r="H26" s="28"/>
      <x:c r="I26" s="28"/>
      <x:c r="J26" s="28" t="n">
        <x:v>25339.541907989</x:v>
      </x:c>
      <x:c r="K26" s="28"/>
      <x:c r="L26" s="28"/>
      <x:c r="M26" s="99"/>
    </x:row>
    <x:row r="27">
      <x:c r="C27" s="19" t="n">
        <x:v>40057</x:v>
      </x:c>
      <x:c r="D27" s="28" t="n">
        <x:v>26521.992946674</x:v>
      </x:c>
      <x:c r="E27" s="28" t="n">
        <x:v>9160.297840549</x:v>
      </x:c>
      <x:c r="F27" s="28"/>
      <x:c r="G27" s="28"/>
      <x:c r="H27" s="28"/>
      <x:c r="I27" s="28"/>
      <x:c r="J27" s="28" t="n">
        <x:v>26521.992946674</x:v>
      </x:c>
      <x:c r="K27" s="28"/>
      <x:c r="L27" s="28"/>
      <x:c r="M27" s="99"/>
    </x:row>
    <x:row r="28">
      <x:c r="C28" s="19" t="n">
        <x:v>40087</x:v>
      </x:c>
      <x:c r="D28" s="28" t="n">
        <x:v>27343.9044481753</x:v>
      </x:c>
      <x:c r="E28" s="28" t="n">
        <x:v>9619.9296044267</x:v>
      </x:c>
      <x:c r="F28" s="28"/>
      <x:c r="G28" s="28"/>
      <x:c r="H28" s="28"/>
      <x:c r="I28" s="28"/>
      <x:c r="J28" s="28" t="n">
        <x:v>27343.9044481753</x:v>
      </x:c>
      <x:c r="K28" s="28"/>
      <x:c r="L28" s="28"/>
      <x:c r="M28" s="99"/>
    </x:row>
    <x:row r="29">
      <x:c r="C29" s="19" t="n">
        <x:v>40118</x:v>
      </x:c>
      <x:c r="D29" s="28" t="n">
        <x:v>28859.7220758795</x:v>
      </x:c>
      <x:c r="E29" s="28" t="n">
        <x:v>10130.9507990353</x:v>
      </x:c>
      <x:c r="F29" s="28"/>
      <x:c r="G29" s="28"/>
      <x:c r="H29" s="28"/>
      <x:c r="I29" s="28"/>
      <x:c r="J29" s="28" t="n">
        <x:v>28859.7220758795</x:v>
      </x:c>
      <x:c r="K29" s="28"/>
      <x:c r="L29" s="28"/>
      <x:c r="M29" s="99"/>
    </x:row>
    <x:row r="30">
      <x:c r="C30" s="19" t="n">
        <x:v>40148</x:v>
      </x:c>
      <x:c r="D30" s="28" t="n">
        <x:v>29662.500864</x:v>
      </x:c>
      <x:c r="E30" s="28" t="n">
        <x:v>9965.8393607924</x:v>
      </x:c>
      <x:c r="F30" s="28"/>
      <x:c r="G30" s="28"/>
      <x:c r="H30" s="28"/>
      <x:c r="I30" s="28"/>
      <x:c r="J30" s="28" t="n">
        <x:v>29662.500864</x:v>
      </x:c>
      <x:c r="K30" s="28"/>
      <x:c r="L30" s="28"/>
      <x:c r="M30" s="99"/>
    </x:row>
    <x:row r="31">
      <x:c r="C31" s="19" t="n">
        <x:v>40179</x:v>
      </x:c>
      <x:c r="D31" s="28" t="n">
        <x:v>29007.9265739063</x:v>
      </x:c>
      <x:c r="E31" s="28" t="n">
        <x:v>9673.1700027944</x:v>
      </x:c>
      <x:c r="F31" s="28"/>
      <x:c r="G31" s="28" t="n">
        <x:v>240.331298630137</x:v>
      </x:c>
      <x:c r="H31" s="28"/>
      <x:c r="I31" s="28"/>
      <x:c r="J31" s="28" t="n">
        <x:v>30689.4562402192</x:v>
      </x:c>
      <x:c r="K31" s="28" t="n">
        <x:v>240.331298630137</x:v>
      </x:c>
      <x:c r="L31" s="28"/>
      <x:c r="M31" s="99"/>
    </x:row>
    <x:row r="32">
      <x:c r="C32" s="19" t="n">
        <x:v>40210</x:v>
      </x:c>
      <x:c r="D32" s="28" t="n">
        <x:v>28320.1473912361</x:v>
      </x:c>
      <x:c r="E32" s="28" t="n">
        <x:v>9709.5848024094</x:v>
      </x:c>
      <x:c r="F32" s="28"/>
      <x:c r="G32" s="28" t="n">
        <x:v>221.153231605479</x:v>
      </x:c>
      <x:c r="H32" s="28"/>
      <x:c r="I32" s="28"/>
      <x:c r="J32" s="28" t="n">
        <x:v>29840.4618688877</x:v>
      </x:c>
      <x:c r="K32" s="28" t="n">
        <x:v>221.153231605479</x:v>
      </x:c>
      <x:c r="L32" s="28"/>
      <x:c r="M32" s="99"/>
    </x:row>
    <x:row r="33">
      <x:c r="C33" s="19" t="n">
        <x:v>40238</x:v>
      </x:c>
      <x:c r="D33" s="28" t="n">
        <x:v>29012.1788076429</x:v>
      </x:c>
      <x:c r="E33" s="28" t="n">
        <x:v>10789.075082854</x:v>
      </x:c>
      <x:c r="F33" s="28"/>
      <x:c r="G33" s="28" t="n">
        <x:v>225.766301369863</x:v>
      </x:c>
      <x:c r="H33" s="28"/>
      <x:c r="I33" s="28"/>
      <x:c r="J33" s="28" t="n">
        <x:v>30621.3673941918</x:v>
      </x:c>
      <x:c r="K33" s="28" t="n">
        <x:v>225.766301369863</x:v>
      </x:c>
      <x:c r="L33" s="28"/>
      <x:c r="M33" s="99"/>
    </x:row>
    <x:row r="34">
      <x:c r="C34" s="19" t="n">
        <x:v>40269</x:v>
      </x:c>
      <x:c r="D34" s="28" t="n">
        <x:v>29635.3195654762</x:v>
      </x:c>
      <x:c r="E34" s="28" t="n">
        <x:v>11006.9069751206</x:v>
      </x:c>
      <x:c r="F34" s="28"/>
      <x:c r="G34" s="28" t="n">
        <x:v>281.719956164384</x:v>
      </x:c>
      <x:c r="H34" s="28"/>
      <x:c r="I34" s="28"/>
      <x:c r="J34" s="28" t="n">
        <x:v>31462.0239254795</x:v>
      </x:c>
      <x:c r="K34" s="28" t="n">
        <x:v>281.719956164384</x:v>
      </x:c>
      <x:c r="L34" s="28"/>
      <x:c r="M34" s="99"/>
    </x:row>
    <x:row r="35">
      <x:c r="C35" s="19" t="n">
        <x:v>40299</x:v>
      </x:c>
      <x:c r="D35" s="28" t="n">
        <x:v>27099.4479235388</x:v>
      </x:c>
      <x:c r="E35" s="28" t="n">
        <x:v>10281.7774589307</x:v>
      </x:c>
      <x:c r="F35" s="28"/>
      <x:c r="G35" s="28" t="n">
        <x:v>271.827478093151</x:v>
      </x:c>
      <x:c r="H35" s="28"/>
      <x:c r="I35" s="28"/>
      <x:c r="J35" s="28" t="n">
        <x:v>32083.2421551342</x:v>
      </x:c>
      <x:c r="K35" s="28" t="n">
        <x:v>271.827478093151</x:v>
      </x:c>
      <x:c r="L35" s="28"/>
      <x:c r="M35" s="99"/>
    </x:row>
    <x:row r="36">
      <x:c r="C36" s="19" t="n">
        <x:v>40330</x:v>
      </x:c>
      <x:c r="D36" s="28" t="n">
        <x:v>26950.7843853405</x:v>
      </x:c>
      <x:c r="E36" s="28" t="n">
        <x:v>9981.9088020925</x:v>
      </x:c>
      <x:c r="F36" s="28"/>
      <x:c r="G36" s="28" t="n">
        <x:v>274.895894443836</x:v>
      </x:c>
      <x:c r="H36" s="28"/>
      <x:c r="I36" s="28"/>
      <x:c r="J36" s="28" t="n">
        <x:v>32580.9011164931</x:v>
      </x:c>
      <x:c r="K36" s="28" t="n">
        <x:v>274.895894443836</x:v>
      </x:c>
      <x:c r="L36" s="28"/>
      <x:c r="M36" s="99"/>
    </x:row>
    <x:row r="37">
      <x:c r="C37" s="19" t="n">
        <x:v>40360</x:v>
      </x:c>
      <x:c r="D37" s="28" t="n">
        <x:v>27045.6020456823</x:v>
      </x:c>
      <x:c r="E37" s="28" t="n">
        <x:v>10157.3473649416</x:v>
      </x:c>
      <x:c r="F37" s="28"/>
      <x:c r="G37" s="28" t="n">
        <x:v>277.616772821918</x:v>
      </x:c>
      <x:c r="H37" s="28"/>
      <x:c r="I37" s="28"/>
      <x:c r="J37" s="28" t="n">
        <x:v>33107.7623808</x:v>
      </x:c>
      <x:c r="K37" s="28" t="n">
        <x:v>277.616772821918</x:v>
      </x:c>
      <x:c r="L37" s="28"/>
      <x:c r="M37" s="99"/>
    </x:row>
    <x:row r="38">
      <x:c r="C38" s="19" t="n">
        <x:v>40391</x:v>
      </x:c>
      <x:c r="D38" s="28" t="n">
        <x:v>26043.1805735969</x:v>
      </x:c>
      <x:c r="E38" s="28" t="n">
        <x:v>10478.9497789164</x:v>
      </x:c>
      <x:c r="F38" s="28"/>
      <x:c r="G38" s="28" t="n">
        <x:v>378.695728920548</x:v>
      </x:c>
      <x:c r="H38" s="28"/>
      <x:c r="I38" s="28"/>
      <x:c r="J38" s="28" t="n">
        <x:v>32989.9049296658</x:v>
      </x:c>
      <x:c r="K38" s="28" t="n">
        <x:v>378.695728920548</x:v>
      </x:c>
      <x:c r="L38" s="28"/>
      <x:c r="M38" s="99"/>
    </x:row>
    <x:row r="39">
      <x:c r="C39" s="19" t="n">
        <x:v>40422</x:v>
      </x:c>
      <x:c r="D39" s="28" t="n">
        <x:v>25585.3534653899</x:v>
      </x:c>
      <x:c r="E39" s="28" t="n">
        <x:v>11407.2372415397</x:v>
      </x:c>
      <x:c r="F39" s="28"/>
      <x:c r="G39" s="28" t="n">
        <x:v>298.622562367123</x:v>
      </x:c>
      <x:c r="H39" s="28"/>
      <x:c r="I39" s="28"/>
      <x:c r="J39" s="28" t="n">
        <x:v>33394.5893930082</x:v>
      </x:c>
      <x:c r="K39" s="28" t="n">
        <x:v>298.622562367123</x:v>
      </x:c>
      <x:c r="L39" s="28"/>
      <x:c r="M39" s="99"/>
    </x:row>
    <x:row r="40">
      <x:c r="C40" s="19" t="n">
        <x:v>40452</x:v>
      </x:c>
      <x:c r="D40" s="28" t="n">
        <x:v>25890.2192560051</x:v>
      </x:c>
      <x:c r="E40" s="28" t="n">
        <x:v>11592.0156282558</x:v>
      </x:c>
      <x:c r="F40" s="28"/>
      <x:c r="G40" s="28" t="n">
        <x:v>284.533702750685</x:v>
      </x:c>
      <x:c r="H40" s="28"/>
      <x:c r="I40" s="28"/>
      <x:c r="J40" s="28" t="n">
        <x:v>34355.6581011288</x:v>
      </x:c>
      <x:c r="K40" s="28" t="n">
        <x:v>284.533702750685</x:v>
      </x:c>
      <x:c r="L40" s="28"/>
      <x:c r="M40" s="99"/>
    </x:row>
    <x:row r="41">
      <x:c r="C41" s="19" t="n">
        <x:v>40483</x:v>
      </x:c>
      <x:c r="D41" s="28" t="n">
        <x:v>26577.3965953684</x:v>
      </x:c>
      <x:c r="E41" s="28" t="n">
        <x:v>12019.0125511685</x:v>
      </x:c>
      <x:c r="F41" s="28"/>
      <x:c r="G41" s="28" t="n">
        <x:v>165.547605479452</x:v>
      </x:c>
      <x:c r="H41" s="28"/>
      <x:c r="I41" s="28"/>
      <x:c r="J41" s="28" t="n">
        <x:v>34706.0547022904</x:v>
      </x:c>
      <x:c r="K41" s="28" t="n">
        <x:v>165.547605479452</x:v>
      </x:c>
      <x:c r="L41" s="28"/>
      <x:c r="M41" s="99"/>
    </x:row>
    <x:row r="42">
      <x:c r="C42" s="19" t="n">
        <x:v>40513</x:v>
      </x:c>
      <x:c r="D42" s="28" t="n">
        <x:v>28108.4595888069</x:v>
      </x:c>
      <x:c r="E42" s="28" t="n">
        <x:v>12597.8633879485</x:v>
      </x:c>
      <x:c r="F42" s="28"/>
      <x:c r="G42" s="28" t="n">
        <x:v>244</x:v>
      </x:c>
      <x:c r="H42" s="28"/>
      <x:c r="I42" s="28"/>
      <x:c r="J42" s="28" t="n">
        <x:v>35806.298112</x:v>
      </x:c>
      <x:c r="K42" s="28" t="n">
        <x:v>244</x:v>
      </x:c>
      <x:c r="L42" s="28"/>
      <x:c r="M42" s="99"/>
    </x:row>
    <x:row r="43">
      <x:c r="C43" s="19" t="n">
        <x:v>40544</x:v>
      </x:c>
      <x:c r="D43" s="28" t="n">
        <x:v>27471.7172135821</x:v>
      </x:c>
      <x:c r="E43" s="28" t="n">
        <x:v>13177.5163218255</x:v>
      </x:c>
      <x:c r="F43" s="28"/>
      <x:c r="G43" s="28" t="n">
        <x:v>328.245350994535</x:v>
      </x:c>
      <x:c r="H43" s="28"/>
      <x:c r="I43" s="28"/>
      <x:c r="J43" s="28" t="n">
        <x:v>35954.9469880656</x:v>
      </x:c>
      <x:c r="K43" s="28" t="n">
        <x:v>328.245350994535</x:v>
      </x:c>
      <x:c r="L43" s="28"/>
      <x:c r="M43" s="99"/>
    </x:row>
    <x:row r="44">
      <x:c r="C44" s="19" t="n">
        <x:v>40575</x:v>
      </x:c>
      <x:c r="D44" s="28" t="n">
        <x:v>26929.3029852374</x:v>
      </x:c>
      <x:c r="E44" s="28" t="n">
        <x:v>13431.2669381568</x:v>
      </x:c>
      <x:c r="F44" s="28"/>
      <x:c r="G44" s="28" t="n">
        <x:v>428.796726557377</x:v>
      </x:c>
      <x:c r="H44" s="28"/>
      <x:c r="I44" s="28"/>
      <x:c r="J44" s="28" t="n">
        <x:v>35747.873506623</x:v>
      </x:c>
      <x:c r="K44" s="28" t="n">
        <x:v>428.796726557377</x:v>
      </x:c>
      <x:c r="L44" s="28"/>
      <x:c r="M44" s="99"/>
    </x:row>
    <x:row r="45">
      <x:c r="C45" s="19" t="n">
        <x:v>40603</x:v>
      </x:c>
      <x:c r="D45" s="28" t="n">
        <x:v>27197.9224803103</x:v>
      </x:c>
      <x:c r="E45" s="28" t="n">
        <x:v>13213.0492168076</x:v>
      </x:c>
      <x:c r="F45" s="28"/>
      <x:c r="G45" s="28" t="n">
        <x:v>470.548087431694</x:v>
      </x:c>
      <x:c r="H45" s="28"/>
      <x:c r="I45" s="28"/>
      <x:c r="J45" s="28" t="n">
        <x:v>36151.9318536393</x:v>
      </x:c>
      <x:c r="K45" s="28" t="n">
        <x:v>470.548087431694</x:v>
      </x:c>
      <x:c r="L45" s="28"/>
      <x:c r="M45" s="99"/>
    </x:row>
    <x:row r="46">
      <x:c r="C46" s="19" t="n">
        <x:v>40634</x:v>
      </x:c>
      <x:c r="D46" s="28" t="n">
        <x:v>27678.808036833</x:v>
      </x:c>
      <x:c r="E46" s="28" t="n">
        <x:v>13174.7446615963</x:v>
      </x:c>
      <x:c r="F46" s="28"/>
      <x:c r="G46" s="28" t="n">
        <x:v>537.022819672131</x:v>
      </x:c>
      <x:c r="H46" s="28"/>
      <x:c r="I46" s="28"/>
      <x:c r="J46" s="28" t="n">
        <x:v>36367.6794208525</x:v>
      </x:c>
      <x:c r="K46" s="28" t="n">
        <x:v>537.022819672131</x:v>
      </x:c>
      <x:c r="L46" s="28"/>
      <x:c r="M46" s="99"/>
    </x:row>
    <x:row r="47">
      <x:c r="C47" s="19" t="n">
        <x:v>40664</x:v>
      </x:c>
      <x:c r="D47" s="28" t="n">
        <x:v>26793.3038270447</x:v>
      </x:c>
      <x:c r="E47" s="28" t="n">
        <x:v>12498.0567318548</x:v>
      </x:c>
      <x:c r="F47" s="28"/>
      <x:c r="G47" s="28" t="n">
        <x:v>516.745529879781</x:v>
      </x:c>
      <x:c r="H47" s="28"/>
      <x:c r="I47" s="28"/>
      <x:c r="J47" s="28" t="n">
        <x:v>36570.3692422295</x:v>
      </x:c>
      <x:c r="K47" s="28" t="n">
        <x:v>516.745529879781</x:v>
      </x:c>
      <x:c r="L47" s="28"/>
      <x:c r="M47" s="99"/>
    </x:row>
    <x:row r="48">
      <x:c r="C48" s="19" t="n">
        <x:v>40695</x:v>
      </x:c>
      <x:c r="D48" s="28" t="n">
        <x:v>28449.1181149492</x:v>
      </x:c>
      <x:c r="E48" s="28" t="n">
        <x:v>13424.2893837919</x:v>
      </x:c>
      <x:c r="F48" s="28"/>
      <x:c r="G48" s="28" t="n">
        <x:v>615.959712874317</x:v>
      </x:c>
      <x:c r="H48" s="28"/>
      <x:c r="I48" s="28"/>
      <x:c r="J48" s="28" t="n">
        <x:v>38017.7918321312</x:v>
      </x:c>
      <x:c r="K48" s="28" t="n">
        <x:v>615.959712874317</x:v>
      </x:c>
      <x:c r="L48" s="28"/>
      <x:c r="M48" s="99"/>
    </x:row>
    <x:row r="49">
      <x:c r="C49" s="19" t="n">
        <x:v>40725</x:v>
      </x:c>
      <x:c r="D49" s="28" t="n">
        <x:v>29939.8687573529</x:v>
      </x:c>
      <x:c r="E49" s="28" t="n">
        <x:v>14082.4292593319</x:v>
      </x:c>
      <x:c r="F49" s="28"/>
      <x:c r="G49" s="28" t="n">
        <x:v>583.57868852459</x:v>
      </x:c>
      <x:c r="H49" s="28"/>
      <x:c r="I49" s="28"/>
      <x:c r="J49" s="28" t="n">
        <x:v>38957.3051285683</x:v>
      </x:c>
      <x:c r="K49" s="28" t="n">
        <x:v>583.57868852459</x:v>
      </x:c>
      <x:c r="L49" s="28"/>
      <x:c r="M49" s="99"/>
    </x:row>
    <x:row r="50">
      <x:c r="C50" s="19" t="n">
        <x:v>40756</x:v>
      </x:c>
      <x:c r="D50" s="28" t="n">
        <x:v>31037.4498452394</x:v>
      </x:c>
      <x:c r="E50" s="28" t="n">
        <x:v>13480.6643563939</x:v>
      </x:c>
      <x:c r="F50" s="28"/>
      <x:c r="G50" s="28" t="n">
        <x:v>496.757782666667</x:v>
      </x:c>
      <x:c r="H50" s="28"/>
      <x:c r="I50" s="28"/>
      <x:c r="J50" s="28" t="n">
        <x:v>40377.0013013333</x:v>
      </x:c>
      <x:c r="K50" s="28" t="n">
        <x:v>496.757782666667</x:v>
      </x:c>
      <x:c r="L50" s="28"/>
      <x:c r="M50" s="99"/>
    </x:row>
    <x:row r="51">
      <x:c r="C51" s="19" t="n">
        <x:v>40787</x:v>
      </x:c>
      <x:c r="D51" s="28" t="n">
        <x:v>28543.0045469092</x:v>
      </x:c>
      <x:c r="E51" s="28" t="n">
        <x:v>13359.1834293639</x:v>
      </x:c>
      <x:c r="F51" s="28"/>
      <x:c r="G51" s="28" t="n">
        <x:v>617.319846469945</x:v>
      </x:c>
      <x:c r="H51" s="28"/>
      <x:c r="I51" s="28"/>
      <x:c r="J51" s="28" t="n">
        <x:v>40856.1304313005</x:v>
      </x:c>
      <x:c r="K51" s="28" t="n">
        <x:v>617.319846469945</x:v>
      </x:c>
      <x:c r="L51" s="28"/>
      <x:c r="M51" s="99"/>
    </x:row>
    <x:row r="52">
      <x:c r="C52" s="19" t="n">
        <x:v>40817</x:v>
      </x:c>
      <x:c r="D52" s="28" t="n">
        <x:v>26850.8698277753</x:v>
      </x:c>
      <x:c r="E52" s="28" t="n">
        <x:v>12887.0678723443</x:v>
      </x:c>
      <x:c r="F52" s="28"/>
      <x:c r="G52" s="28" t="n">
        <x:v>491.106853333333</x:v>
      </x:c>
      <x:c r="H52" s="28"/>
      <x:c r="I52" s="28"/>
      <x:c r="J52" s="28" t="n">
        <x:v>39740.20096</x:v>
      </x:c>
      <x:c r="K52" s="28" t="n">
        <x:v>491.106853333333</x:v>
      </x:c>
      <x:c r="L52" s="28"/>
      <x:c r="M52" s="99"/>
    </x:row>
    <x:row r="53">
      <x:c r="C53" s="19" t="n">
        <x:v>40848</x:v>
      </x:c>
      <x:c r="D53" s="28" t="n">
        <x:v>27913.4061246393</x:v>
      </x:c>
      <x:c r="E53" s="28" t="n">
        <x:v>13114.066429376</x:v>
      </x:c>
      <x:c r="F53" s="28"/>
      <x:c r="G53" s="28" t="n">
        <x:v>579.143672131147</x:v>
      </x:c>
      <x:c r="H53" s="28"/>
      <x:c r="I53" s="28"/>
      <x:c r="J53" s="28" t="n">
        <x:v>40474.241505224</x:v>
      </x:c>
      <x:c r="K53" s="28" t="n">
        <x:v>579.143672131147</x:v>
      </x:c>
      <x:c r="L53" s="28"/>
      <x:c r="M53" s="99"/>
    </x:row>
    <x:row r="54">
      <x:c r="C54" s="19" t="n">
        <x:v>40878</x:v>
      </x:c>
      <x:c r="D54" s="28" t="n">
        <x:v>27142.8586176216</x:v>
      </x:c>
      <x:c r="E54" s="28" t="n">
        <x:v>12652.2355261844</x:v>
      </x:c>
      <x:c r="F54" s="28"/>
      <x:c r="G54" s="28" t="n">
        <x:v>521.783109289618</x:v>
      </x:c>
      <x:c r="H54" s="28"/>
      <x:c r="I54" s="28"/>
      <x:c r="J54" s="28" t="n">
        <x:v>39451.2013905137</x:v>
      </x:c>
      <x:c r="K54" s="28" t="n">
        <x:v>521.783109289618</x:v>
      </x:c>
      <x:c r="L54" s="28"/>
      <x:c r="M54" s="99"/>
    </x:row>
    <x:row r="55">
      <x:c r="C55" s="19" t="n">
        <x:v>40909</x:v>
      </x:c>
      <x:c r="D55" s="28" t="n">
        <x:v>26838.6281662673</x:v>
      </x:c>
      <x:c r="E55" s="28" t="n">
        <x:v>11926.744740175</x:v>
      </x:c>
      <x:c r="F55" s="28"/>
      <x:c r="G55" s="28" t="n">
        <x:v>604.721351452055</x:v>
      </x:c>
      <x:c r="H55" s="28"/>
      <x:c r="I55" s="28"/>
      <x:c r="J55" s="28" t="n">
        <x:v>39987.1569639452</x:v>
      </x:c>
      <x:c r="K55" s="28" t="n">
        <x:v>604.721351452055</x:v>
      </x:c>
      <x:c r="L55" s="28"/>
      <x:c r="M55" s="99"/>
    </x:row>
    <x:row r="56">
      <x:c r="C56" s="19" t="n">
        <x:v>40940</x:v>
      </x:c>
      <x:c r="D56" s="28" t="n">
        <x:v>24956.1722412991</x:v>
      </x:c>
      <x:c r="E56" s="28" t="n">
        <x:v>10690.2097017882</x:v>
      </x:c>
      <x:c r="F56" s="28"/>
      <x:c r="G56" s="28" t="n">
        <x:v>780.11601779726</x:v>
      </x:c>
      <x:c r="H56" s="28"/>
      <x:c r="I56" s="28"/>
      <x:c r="J56" s="28" t="n">
        <x:v>37644.5062999671</x:v>
      </x:c>
      <x:c r="K56" s="28" t="n">
        <x:v>780.11601779726</x:v>
      </x:c>
      <x:c r="L56" s="28"/>
      <x:c r="M56" s="99"/>
    </x:row>
    <x:row r="57">
      <x:c r="C57" s="19" t="n">
        <x:v>40969</x:v>
      </x:c>
      <x:c r="D57" s="28" t="n">
        <x:v>25459.2782226215</x:v>
      </x:c>
      <x:c r="E57" s="28" t="n">
        <x:v>10556.6456148429</x:v>
      </x:c>
      <x:c r="F57" s="28"/>
      <x:c r="G57" s="28" t="n">
        <x:v>642.034813545205</x:v>
      </x:c>
      <x:c r="H57" s="28"/>
      <x:c r="I57" s="28"/>
      <x:c r="J57" s="28" t="n">
        <x:v>37489.2038677041</x:v>
      </x:c>
      <x:c r="K57" s="28" t="n">
        <x:v>642.034813545205</x:v>
      </x:c>
      <x:c r="L57" s="28"/>
      <x:c r="M57" s="99"/>
    </x:row>
    <x:row r="58">
      <x:c r="C58" s="19" t="n">
        <x:v>41000</x:v>
      </x:c>
      <x:c r="D58" s="28" t="n">
        <x:v>25130.9387485097</x:v>
      </x:c>
      <x:c r="E58" s="28" t="n">
        <x:v>10530.9039228188</x:v>
      </x:c>
      <x:c r="F58" s="28"/>
      <x:c r="G58" s="28" t="n">
        <x:v>612.38487890411</x:v>
      </x:c>
      <x:c r="H58" s="28"/>
      <x:c r="I58" s="28"/>
      <x:c r="J58" s="28" t="n">
        <x:v>36523.2998820822</x:v>
      </x:c>
      <x:c r="K58" s="28" t="n">
        <x:v>612.38487890411</x:v>
      </x:c>
      <x:c r="L58" s="28"/>
      <x:c r="M58" s="99"/>
    </x:row>
    <x:row r="59">
      <x:c r="C59" s="19" t="n">
        <x:v>41030</x:v>
      </x:c>
      <x:c r="D59" s="28" t="n">
        <x:v>26335.9323365328</x:v>
      </x:c>
      <x:c r="E59" s="28" t="n">
        <x:v>11208.6571100341</x:v>
      </x:c>
      <x:c r="F59" s="28"/>
      <x:c r="G59" s="28" t="n">
        <x:v>494.456026476712</x:v>
      </x:c>
      <x:c r="H59" s="28"/>
      <x:c r="I59" s="28"/>
      <x:c r="J59" s="28" t="n">
        <x:v>36257.8678264986</x:v>
      </x:c>
      <x:c r="K59" s="28" t="n">
        <x:v>494.456026476712</x:v>
      </x:c>
      <x:c r="L59" s="28"/>
      <x:c r="M59" s="99"/>
    </x:row>
    <x:row r="60">
      <x:c r="C60" s="19" t="n">
        <x:v>41061</x:v>
      </x:c>
      <x:c r="D60" s="28" t="n">
        <x:v>28665.6245906013</x:v>
      </x:c>
      <x:c r="E60" s="28" t="n">
        <x:v>11266.0398633244</x:v>
      </x:c>
      <x:c r="F60" s="28"/>
      <x:c r="G60" s="28" t="n">
        <x:v>-20.0129507945206</x:v>
      </x:c>
      <x:c r="H60" s="28"/>
      <x:c r="I60" s="28"/>
      <x:c r="J60" s="28" t="n">
        <x:v>34829.6072486575</x:v>
      </x:c>
      <x:c r="K60" s="28" t="n">
        <x:v>-20.0129507945206</x:v>
      </x:c>
      <x:c r="L60" s="28"/>
      <x:c r="M60" s="99"/>
    </x:row>
    <x:row r="61">
      <x:c r="C61" s="19" t="n">
        <x:v>41091</x:v>
      </x:c>
      <x:c r="D61" s="28" t="n">
        <x:v>28941.7036795952</x:v>
      </x:c>
      <x:c r="E61" s="28" t="n">
        <x:v>10632.0735664755</x:v>
      </x:c>
      <x:c r="F61" s="28"/>
      <x:c r="G61" s="28" t="n">
        <x:v>-207.700377731507</x:v>
      </x:c>
      <x:c r="H61" s="28"/>
      <x:c r="I61" s="28"/>
      <x:c r="J61" s="28" t="n">
        <x:v>34974.0734940932</x:v>
      </x:c>
      <x:c r="K61" s="28" t="n">
        <x:v>-207.700377731507</x:v>
      </x:c>
      <x:c r="L61" s="28"/>
      <x:c r="M61" s="99"/>
    </x:row>
    <x:row r="62">
      <x:c r="C62" s="19" t="n">
        <x:v>41122</x:v>
      </x:c>
      <x:c r="D62" s="28" t="n">
        <x:v>28081.1021458037</x:v>
      </x:c>
      <x:c r="E62" s="28" t="n">
        <x:v>10076.8460311019</x:v>
      </x:c>
      <x:c r="F62" s="28"/>
      <x:c r="G62" s="28" t="n">
        <x:v>-215.868436230137</x:v>
      </x:c>
      <x:c r="H62" s="28"/>
      <x:c r="I62" s="28"/>
      <x:c r="J62" s="28" t="n">
        <x:v>34219.8296127123</x:v>
      </x:c>
      <x:c r="K62" s="28" t="n">
        <x:v>-215.868436230137</x:v>
      </x:c>
      <x:c r="L62" s="28"/>
      <x:c r="M62" s="99"/>
    </x:row>
    <x:row r="63">
      <x:c r="C63" s="19" t="n">
        <x:v>41153</x:v>
      </x:c>
      <x:c r="D63" s="28" t="n">
        <x:v>24122.8196027727</x:v>
      </x:c>
      <x:c r="E63" s="28" t="n">
        <x:v>9786.2754322708</x:v>
      </x:c>
      <x:c r="F63" s="28"/>
      <x:c r="G63" s="28" t="n">
        <x:v>-247.889860273973</x:v>
      </x:c>
      <x:c r="H63" s="28"/>
      <x:c r="I63" s="28"/>
      <x:c r="J63" s="28" t="n">
        <x:v>34720.848146937</x:v>
      </x:c>
      <x:c r="K63" s="28" t="n">
        <x:v>-247.889860273973</x:v>
      </x:c>
      <x:c r="L63" s="28"/>
      <x:c r="M63" s="99"/>
    </x:row>
    <x:row r="64">
      <x:c r="C64" s="19" t="n">
        <x:v>41183</x:v>
      </x:c>
      <x:c r="D64" s="28" t="n">
        <x:v>24746.3216834776</x:v>
      </x:c>
      <x:c r="E64" s="28" t="n">
        <x:v>9497.0199476158</x:v>
      </x:c>
      <x:c r="F64" s="28"/>
      <x:c r="G64" s="28" t="n">
        <x:v>-194.885653391781</x:v>
      </x:c>
      <x:c r="H64" s="28"/>
      <x:c r="I64" s="28"/>
      <x:c r="J64" s="28" t="n">
        <x:v>33695.8615720329</x:v>
      </x:c>
      <x:c r="K64" s="28" t="n">
        <x:v>-194.885653391781</x:v>
      </x:c>
      <x:c r="L64" s="28"/>
      <x:c r="M64" s="99"/>
    </x:row>
    <x:row r="65">
      <x:c r="C65" s="19" t="n">
        <x:v>41214</x:v>
      </x:c>
      <x:c r="D65" s="28" t="n">
        <x:v>24043.5654353837</x:v>
      </x:c>
      <x:c r="E65" s="28" t="n">
        <x:v>9098.0576414327</x:v>
      </x:c>
      <x:c r="F65" s="28"/>
      <x:c r="G65" s="28" t="n">
        <x:v>-190.914258235616</x:v>
      </x:c>
      <x:c r="H65" s="28"/>
      <x:c r="I65" s="28"/>
      <x:c r="J65" s="28" t="n">
        <x:v>32995.7484459836</x:v>
      </x:c>
      <x:c r="K65" s="28" t="n">
        <x:v>-190.914258235616</x:v>
      </x:c>
      <x:c r="L65" s="28"/>
      <x:c r="M65" s="99"/>
    </x:row>
    <x:row r="66">
      <x:c r="C66" s="19" t="n">
        <x:v>41244</x:v>
      </x:c>
      <x:c r="D66" s="28" t="n">
        <x:v>24629.2664472646</x:v>
      </x:c>
      <x:c r="E66" s="28" t="n">
        <x:v>9301.8568644363</x:v>
      </x:c>
      <x:c r="F66" s="28"/>
      <x:c r="G66" s="28" t="n">
        <x:v>-102.4</x:v>
      </x:c>
      <x:c r="H66" s="28"/>
      <x:c r="I66" s="28"/>
      <x:c r="J66" s="28" t="n">
        <x:v>33487.40096</x:v>
      </x:c>
      <x:c r="K66" s="28" t="n">
        <x:v>-102.4</x:v>
      </x:c>
      <x:c r="L66" s="28"/>
      <x:c r="M66" s="99"/>
    </x:row>
    <x:row r="67">
      <x:c r="C67" s="19" t="n">
        <x:v>41275</x:v>
      </x:c>
      <x:c r="D67" s="28" t="n">
        <x:v>23926.6760853625</x:v>
      </x:c>
      <x:c r="E67" s="28" t="n">
        <x:v>8721.8682400607</x:v>
      </x:c>
      <x:c r="F67" s="28"/>
      <x:c r="G67" s="28" t="n">
        <x:v>-47.3541132273973</x:v>
      </x:c>
      <x:c r="H67" s="28"/>
      <x:c r="I67" s="28"/>
      <x:c r="J67" s="28" t="n">
        <x:v>34123.2011797041</x:v>
      </x:c>
      <x:c r="K67" s="28" t="n">
        <x:v>-47.3541132273973</x:v>
      </x:c>
      <x:c r="L67" s="28"/>
      <x:c r="M67" s="99"/>
    </x:row>
    <x:row r="68">
      <x:c r="C68" s="19" t="n">
        <x:v>41306</x:v>
      </x:c>
      <x:c r="D68" s="28" t="n">
        <x:v>22734.3726385664</x:v>
      </x:c>
      <x:c r="E68" s="28" t="n">
        <x:v>8564.557840721</x:v>
      </x:c>
      <x:c r="F68" s="28"/>
      <x:c r="G68" s="28" t="n">
        <x:v>-133.693812252055</x:v>
      </x:c>
      <x:c r="H68" s="28"/>
      <x:c r="I68" s="28"/>
      <x:c r="J68" s="28" t="n">
        <x:v>31132.244792811</x:v>
      </x:c>
      <x:c r="K68" s="28" t="n">
        <x:v>-133.693812252055</x:v>
      </x:c>
      <x:c r="L68" s="28"/>
      <x:c r="M68" s="99"/>
    </x:row>
    <x:row r="69">
      <x:c r="C69" s="19" t="n">
        <x:v>41334</x:v>
      </x:c>
      <x:c r="D69" s="28" t="n">
        <x:v>25614.5324675052</x:v>
      </x:c>
      <x:c r="E69" s="28" t="n">
        <x:v>8834.0013893503</x:v>
      </x:c>
      <x:c r="F69" s="28"/>
      <x:c r="G69" s="28" t="n">
        <x:v>-232.500700230137</x:v>
      </x:c>
      <x:c r="H69" s="28"/>
      <x:c r="I69" s="28"/>
      <x:c r="J69" s="28" t="n">
        <x:v>31846.887693326</x:v>
      </x:c>
      <x:c r="K69" s="28" t="n">
        <x:v>-232.500700230137</x:v>
      </x:c>
      <x:c r="L69" s="28"/>
      <x:c r="M69" s="99"/>
    </x:row>
    <x:row r="70">
      <x:c r="C70" s="19" t="n">
        <x:v>41365</x:v>
      </x:c>
      <x:c r="D70" s="28" t="n">
        <x:v>27708.3166242333</x:v>
      </x:c>
      <x:c r="E70" s="28" t="n">
        <x:v>9500.2555266344</x:v>
      </x:c>
      <x:c r="F70" s="28"/>
      <x:c r="G70" s="28" t="n">
        <x:v>-296.810761643836</x:v>
      </x:c>
      <x:c r="H70" s="28"/>
      <x:c r="I70" s="28"/>
      <x:c r="J70" s="28" t="n">
        <x:v>32700.3210345205</x:v>
      </x:c>
      <x:c r="K70" s="28" t="n">
        <x:v>-296.810761643836</x:v>
      </x:c>
      <x:c r="L70" s="28"/>
      <x:c r="M70" s="99"/>
    </x:row>
    <x:row r="71">
      <x:c r="C71" s="19" t="n">
        <x:v>41395</x:v>
      </x:c>
      <x:c r="D71" s="28" t="n">
        <x:v>24667.149536862</x:v>
      </x:c>
      <x:c r="E71" s="28" t="n">
        <x:v>9065.5175875768</x:v>
      </x:c>
      <x:c r="F71" s="28"/>
      <x:c r="G71" s="28" t="n">
        <x:v>-349.965548394521</x:v>
      </x:c>
      <x:c r="H71" s="28"/>
      <x:c r="I71" s="28"/>
      <x:c r="J71" s="28" t="n">
        <x:v>33619.1760243726</x:v>
      </x:c>
      <x:c r="K71" s="28" t="n">
        <x:v>-349.965548394521</x:v>
      </x:c>
      <x:c r="L71" s="28"/>
      <x:c r="M71" s="99"/>
    </x:row>
    <x:row r="72">
      <x:c r="C72" s="19" t="n">
        <x:v>41426</x:v>
      </x:c>
      <x:c r="D72" s="28" t="n">
        <x:v>25703.1926968445</x:v>
      </x:c>
      <x:c r="E72" s="28" t="n">
        <x:v>8839.8019737839</x:v>
      </x:c>
      <x:c r="F72" s="28"/>
      <x:c r="G72" s="28" t="n">
        <x:v>-587.239898630137</x:v>
      </x:c>
      <x:c r="H72" s="28"/>
      <x:c r="I72" s="28"/>
      <x:c r="J72" s="28" t="n">
        <x:v>32431.0413480329</x:v>
      </x:c>
      <x:c r="K72" s="28" t="n">
        <x:v>-587.239898630137</x:v>
      </x:c>
      <x:c r="L72" s="28"/>
      <x:c r="M72" s="99"/>
    </x:row>
    <x:row r="73">
      <x:c r="C73" s="19" t="n">
        <x:v>41456</x:v>
      </x:c>
      <x:c r="D73" s="28" t="n">
        <x:v>24974.4183713068</x:v>
      </x:c>
      <x:c r="E73" s="28" t="n">
        <x:v>8638.2208788512</x:v>
      </x:c>
      <x:c r="F73" s="28"/>
      <x:c r="G73" s="28" t="n">
        <x:v>-972.55334189589</x:v>
      </x:c>
      <x:c r="H73" s="28"/>
      <x:c r="I73" s="28"/>
      <x:c r="J73" s="28" t="n">
        <x:v>30442.7604052164</x:v>
      </x:c>
      <x:c r="K73" s="28" t="n">
        <x:v>-972.55334189589</x:v>
      </x:c>
      <x:c r="L73" s="28"/>
      <x:c r="M73" s="99"/>
    </x:row>
    <x:row r="74">
      <x:c r="C74" s="19" t="n">
        <x:v>41487</x:v>
      </x:c>
      <x:c r="D74" s="28" t="n">
        <x:v>28533.0969193723</x:v>
      </x:c>
      <x:c r="E74" s="28" t="n">
        <x:v>8762.8312734115</x:v>
      </x:c>
      <x:c r="F74" s="28"/>
      <x:c r="G74" s="28" t="n">
        <x:v>-901.762608043835</x:v>
      </x:c>
      <x:c r="H74" s="28"/>
      <x:c r="I74" s="28"/>
      <x:c r="J74" s="28" t="n">
        <x:v>31262.6240918795</x:v>
      </x:c>
      <x:c r="K74" s="28" t="n">
        <x:v>-901.762608043835</x:v>
      </x:c>
      <x:c r="L74" s="28"/>
      <x:c r="M74" s="99"/>
    </x:row>
    <x:row r="75">
      <x:c r="C75" s="19" t="n">
        <x:v>41518</x:v>
      </x:c>
      <x:c r="D75" s="28" t="n">
        <x:v>23538.6862699703</x:v>
      </x:c>
      <x:c r="E75" s="28" t="n">
        <x:v>8556.5196115296</x:v>
      </x:c>
      <x:c r="F75" s="28"/>
      <x:c r="G75" s="28" t="n">
        <x:v>-937.517463320548</x:v>
      </x:c>
      <x:c r="H75" s="28"/>
      <x:c r="I75" s="28"/>
      <x:c r="J75" s="28" t="n">
        <x:v>30022.9057662247</x:v>
      </x:c>
      <x:c r="K75" s="28" t="n">
        <x:v>-937.517463320548</x:v>
      </x:c>
      <x:c r="L75" s="28"/>
      <x:c r="M75" s="99"/>
    </x:row>
    <x:row r="76">
      <x:c r="C76" s="19" t="n">
        <x:v>41548</x:v>
      </x:c>
      <x:c r="D76" s="28" t="n">
        <x:v>24035.4780736236</x:v>
      </x:c>
      <x:c r="E76" s="28" t="n">
        <x:v>8664.9237666048</x:v>
      </x:c>
      <x:c r="F76" s="28"/>
      <x:c r="G76" s="28" t="n">
        <x:v>-1027.99287408219</x:v>
      </x:c>
      <x:c r="H76" s="28"/>
      <x:c r="I76" s="28"/>
      <x:c r="J76" s="28" t="n">
        <x:v>27695.6521682411</x:v>
      </x:c>
      <x:c r="K76" s="28" t="n">
        <x:v>-1027.99287408219</x:v>
      </x:c>
      <x:c r="L76" s="28"/>
      <x:c r="M76" s="99"/>
    </x:row>
    <x:row r="77">
      <x:c r="C77" s="19" t="n">
        <x:v>41579</x:v>
      </x:c>
      <x:c r="D77" s="28" t="n">
        <x:v>29458.659328</x:v>
      </x:c>
      <x:c r="E77" s="28" t="n">
        <x:v>9251.2241397479</x:v>
      </x:c>
      <x:c r="F77" s="28"/>
      <x:c r="G77" s="28"/>
      <x:c r="H77" s="28"/>
      <x:c r="I77" s="28"/>
      <x:c r="J77" s="28" t="n">
        <x:v>29458.659328</x:v>
      </x:c>
      <x:c r="K77" s="28"/>
      <x:c r="L77" s="28"/>
      <x:c r="M77" s="99"/>
    </x:row>
    <x:row r="78">
      <x:c r="C78" s="19" t="n">
        <x:v>41609</x:v>
      </x:c>
      <x:c r="D78" s="28" t="n">
        <x:v>30840.199168</x:v>
      </x:c>
      <x:c r="E78" s="28" t="n">
        <x:v>9121.4767045524</x:v>
      </x:c>
      <x:c r="F78" s="28"/>
      <x:c r="G78" s="28"/>
      <x:c r="H78" s="28"/>
      <x:c r="I78" s="28"/>
      <x:c r="J78" s="28" t="n">
        <x:v>30840.199168</x:v>
      </x:c>
      <x:c r="K78" s="28"/>
      <x:c r="L78" s="28"/>
      <x:c r="M78" s="99"/>
    </x:row>
    <x:row r="79">
      <x:c r="C79" s="19" t="n">
        <x:v>41640</x:v>
      </x:c>
      <x:c r="D79" s="28" t="n">
        <x:v>30005.7002657315</x:v>
      </x:c>
      <x:c r="E79" s="28" t="n">
        <x:v>10506.2989409663</x:v>
      </x:c>
      <x:c r="F79" s="28"/>
      <x:c r="G79" s="28"/>
      <x:c r="H79" s="28"/>
      <x:c r="I79" s="28"/>
      <x:c r="J79" s="28" t="n">
        <x:v>30005.7002657315</x:v>
      </x:c>
      <x:c r="K79" s="28"/>
      <x:c r="L79" s="28"/>
      <x:c r="M79" s="99"/>
    </x:row>
    <x:row r="80">
      <x:c r="C80" s="19" t="n">
        <x:v>41671</x:v>
      </x:c>
      <x:c r="D80" s="28" t="n">
        <x:v>29106.510373874</x:v>
      </x:c>
      <x:c r="E80" s="28" t="n">
        <x:v>10482.9544789228</x:v>
      </x:c>
      <x:c r="F80" s="28"/>
      <x:c r="G80" s="28"/>
      <x:c r="H80" s="28"/>
      <x:c r="I80" s="28"/>
      <x:c r="J80" s="28" t="n">
        <x:v>29106.510373874</x:v>
      </x:c>
      <x:c r="K80" s="28"/>
      <x:c r="L80" s="28"/>
      <x:c r="M80" s="99"/>
    </x:row>
    <x:row r="81">
      <x:c r="C81" s="19" t="n">
        <x:v>41699</x:v>
      </x:c>
      <x:c r="D81" s="28" t="n">
        <x:v>30657.6193227397</x:v>
      </x:c>
      <x:c r="E81" s="28" t="n">
        <x:v>10863.9912019571</x:v>
      </x:c>
      <x:c r="F81" s="28"/>
      <x:c r="G81" s="28"/>
      <x:c r="H81" s="28"/>
      <x:c r="I81" s="28"/>
      <x:c r="J81" s="28" t="n">
        <x:v>30657.6193227397</x:v>
      </x:c>
      <x:c r="K81" s="28"/>
      <x:c r="L81" s="28"/>
      <x:c r="M81" s="99"/>
    </x:row>
    <x:row r="82">
      <x:c r="C82" s="19" t="n">
        <x:v>41730</x:v>
      </x:c>
      <x:c r="D82" s="28" t="n">
        <x:v>30669.2978323288</x:v>
      </x:c>
      <x:c r="E82" s="28" t="n">
        <x:v>10885.2706433431</x:v>
      </x:c>
      <x:c r="F82" s="28"/>
      <x:c r="G82" s="28"/>
      <x:c r="H82" s="28"/>
      <x:c r="I82" s="28"/>
      <x:c r="J82" s="28" t="n">
        <x:v>30669.2978323288</x:v>
      </x:c>
      <x:c r="K82" s="28"/>
      <x:c r="L82" s="28"/>
      <x:c r="M82" s="99"/>
    </x:row>
    <x:row r="83">
      <x:c r="C83" s="19" t="n">
        <x:v>41760</x:v>
      </x:c>
      <x:c r="D83" s="28" t="n">
        <x:v>29465.0029659178</x:v>
      </x:c>
      <x:c r="E83" s="28" t="n">
        <x:v>11182.40257315</x:v>
      </x:c>
      <x:c r="F83" s="28"/>
      <x:c r="G83" s="28"/>
      <x:c r="H83" s="28"/>
      <x:c r="I83" s="28"/>
      <x:c r="J83" s="28" t="n">
        <x:v>29465.0029659178</x:v>
      </x:c>
      <x:c r="K83" s="28"/>
      <x:c r="L83" s="28"/>
      <x:c r="M83" s="99"/>
    </x:row>
    <x:row r="84">
      <x:c r="C84" s="19" t="n">
        <x:v>41791</x:v>
      </x:c>
      <x:c r="D84" s="28" t="n">
        <x:v>29770.9642794082</x:v>
      </x:c>
      <x:c r="E84" s="28" t="n">
        <x:v>11057.4390682972</x:v>
      </x:c>
      <x:c r="F84" s="28"/>
      <x:c r="G84" s="28"/>
      <x:c r="H84" s="28"/>
      <x:c r="I84" s="28"/>
      <x:c r="J84" s="28" t="n">
        <x:v>29770.9642794082</x:v>
      </x:c>
      <x:c r="K84" s="28"/>
      <x:c r="L84" s="28"/>
      <x:c r="M84" s="99"/>
    </x:row>
    <x:row r="85">
      <x:c r="C85" s="19" t="n">
        <x:v>41821</x:v>
      </x:c>
      <x:c r="D85" s="28" t="n">
        <x:v>28583.3419509479</x:v>
      </x:c>
      <x:c r="E85" s="28" t="n">
        <x:v>11294.3084906075</x:v>
      </x:c>
      <x:c r="F85" s="28"/>
      <x:c r="G85" s="28"/>
      <x:c r="H85" s="28"/>
      <x:c r="I85" s="28"/>
      <x:c r="J85" s="28" t="n">
        <x:v>28583.3419509479</x:v>
      </x:c>
      <x:c r="K85" s="28"/>
      <x:c r="L85" s="28"/>
      <x:c r="M85" s="99"/>
    </x:row>
    <x:row r="86">
      <x:c r="C86" s="19" t="n">
        <x:v>41852</x:v>
      </x:c>
      <x:c r="D86" s="28" t="n">
        <x:v>29197.0874382027</x:v>
      </x:c>
      <x:c r="E86" s="28" t="n">
        <x:v>11753.2473417033</x:v>
      </x:c>
      <x:c r="F86" s="28"/>
      <x:c r="G86" s="28"/>
      <x:c r="H86" s="28"/>
      <x:c r="I86" s="28"/>
      <x:c r="J86" s="28" t="n">
        <x:v>29197.0874382027</x:v>
      </x:c>
      <x:c r="K86" s="28"/>
      <x:c r="L86" s="28"/>
      <x:c r="M86" s="99"/>
    </x:row>
    <x:row r="87">
      <x:c r="C87" s="19" t="n">
        <x:v>41883</x:v>
      </x:c>
      <x:c r="D87" s="28" t="n">
        <x:v>29713.5725974795</x:v>
      </x:c>
      <x:c r="E87" s="28" t="n">
        <x:v>11234.3311949312</x:v>
      </x:c>
      <x:c r="F87" s="28"/>
      <x:c r="G87" s="28"/>
      <x:c r="H87" s="28"/>
      <x:c r="I87" s="28"/>
      <x:c r="J87" s="28" t="n">
        <x:v>29713.5725974795</x:v>
      </x:c>
      <x:c r="K87" s="28"/>
      <x:c r="L87" s="28"/>
      <x:c r="M87" s="99"/>
    </x:row>
    <x:row r="88">
      <x:c r="C88" s="19" t="n">
        <x:v>41913</x:v>
      </x:c>
      <x:c r="D88" s="28" t="n">
        <x:v>28417.5929961206</x:v>
      </x:c>
      <x:c r="E88" s="28" t="n">
        <x:v>10491.6850864606</x:v>
      </x:c>
      <x:c r="F88" s="28"/>
      <x:c r="G88" s="28"/>
      <x:c r="H88" s="28"/>
      <x:c r="I88" s="28"/>
      <x:c r="J88" s="28" t="n">
        <x:v>28417.5929961205</x:v>
      </x:c>
      <x:c r="K88" s="28"/>
      <x:c r="L88" s="28"/>
      <x:c r="M88" s="99"/>
    </x:row>
    <x:row r="89">
      <x:c r="C89" s="19" t="n">
        <x:v>41944</x:v>
      </x:c>
      <x:c r="D89" s="28" t="n">
        <x:v>27400.5037392658</x:v>
      </x:c>
      <x:c r="E89" s="28" t="n">
        <x:v>10142.2526218231</x:v>
      </x:c>
      <x:c r="F89" s="28"/>
      <x:c r="G89" s="28"/>
      <x:c r="H89" s="28"/>
      <x:c r="I89" s="28"/>
      <x:c r="J89" s="28" t="n">
        <x:v>27400.5037392658</x:v>
      </x:c>
      <x:c r="K89" s="28"/>
      <x:c r="L89" s="28"/>
      <x:c r="M89" s="99"/>
    </x:row>
    <x:row r="90">
      <x:c r="C90" s="19" t="n">
        <x:v>41974</x:v>
      </x:c>
      <x:c r="D90" s="28" t="n">
        <x:v>23751.70048</x:v>
      </x:c>
      <x:c r="E90" s="28" t="n">
        <x:v>9390.8632256243</x:v>
      </x:c>
      <x:c r="F90" s="28"/>
      <x:c r="G90" s="28"/>
      <x:c r="H90" s="28"/>
      <x:c r="I90" s="28"/>
      <x:c r="J90" s="28" t="n">
        <x:v>23751.70048</x:v>
      </x:c>
      <x:c r="K90" s="28"/>
      <x:c r="L90" s="28"/>
      <x:c r="M90" s="99"/>
    </x:row>
    <x:row r="91">
      <x:c r="C91" s="19" t="n">
        <x:v>42005</x:v>
      </x:c>
      <x:c r="D91" s="28" t="n">
        <x:v>20076.1406055519</x:v>
      </x:c>
      <x:c r="E91" s="28" t="n">
        <x:v>9114.363816116</x:v>
      </x:c>
      <x:c r="F91" s="28"/>
      <x:c r="G91" s="28"/>
      <x:c r="H91" s="28"/>
      <x:c r="I91" s="28"/>
      <x:c r="J91" s="28" t="n">
        <x:v>20076.1406055519</x:v>
      </x:c>
      <x:c r="K91" s="28"/>
      <x:c r="L91" s="28"/>
      <x:c r="M91" s="99"/>
    </x:row>
    <x:row r="92">
      <x:c r="C92" s="19" t="n">
        <x:v>42036</x:v>
      </x:c>
      <x:c r="D92" s="28" t="n">
        <x:v>19511.5314304699</x:v>
      </x:c>
      <x:c r="E92" s="28" t="n">
        <x:v>9196.5745273739</x:v>
      </x:c>
      <x:c r="F92" s="28"/>
      <x:c r="G92" s="28"/>
      <x:c r="H92" s="28"/>
      <x:c r="I92" s="28"/>
      <x:c r="J92" s="28" t="n">
        <x:v>19511.5314304699</x:v>
      </x:c>
      <x:c r="K92" s="28"/>
      <x:c r="L92" s="28"/>
      <x:c r="M92" s="99"/>
    </x:row>
    <x:row r="93">
      <x:c r="C93" s="19" t="n">
        <x:v>42064</x:v>
      </x:c>
      <x:c r="D93" s="28" t="n">
        <x:v>17652.234827541</x:v>
      </x:c>
      <x:c r="E93" s="28" t="n">
        <x:v>8856.0600535315</x:v>
      </x:c>
      <x:c r="F93" s="28"/>
      <x:c r="G93" s="28"/>
      <x:c r="H93" s="28"/>
      <x:c r="I93" s="28"/>
      <x:c r="J93" s="28" t="n">
        <x:v>17652.234827541</x:v>
      </x:c>
      <x:c r="K93" s="28"/>
      <x:c r="L93" s="28"/>
      <x:c r="M93" s="99"/>
    </x:row>
    <x:row r="94">
      <x:c r="C94" s="19" t="n">
        <x:v>42095</x:v>
      </x:c>
      <x:c r="D94" s="28" t="n">
        <x:v>15999.5204770273</x:v>
      </x:c>
      <x:c r="E94" s="28" t="n">
        <x:v>8613.7485548957</x:v>
      </x:c>
      <x:c r="F94" s="28"/>
      <x:c r="G94" s="28"/>
      <x:c r="H94" s="28"/>
      <x:c r="I94" s="28"/>
      <x:c r="J94" s="28" t="n">
        <x:v>15999.5204770273</x:v>
      </x:c>
      <x:c r="K94" s="28"/>
      <x:c r="L94" s="28"/>
      <x:c r="M94" s="99"/>
    </x:row>
    <x:row r="95">
      <x:c r="C95" s="19" t="n">
        <x:v>42125</x:v>
      </x:c>
      <x:c r="D95" s="28" t="n">
        <x:v>18243.9263853115</x:v>
      </x:c>
      <x:c r="E95" s="28" t="n">
        <x:v>8798.736616374</x:v>
      </x:c>
      <x:c r="F95" s="28"/>
      <x:c r="G95" s="28"/>
      <x:c r="H95" s="28"/>
      <x:c r="I95" s="28"/>
      <x:c r="J95" s="28" t="n">
        <x:v>18243.9263853115</x:v>
      </x:c>
      <x:c r="K95" s="28"/>
      <x:c r="L95" s="28"/>
      <x:c r="M95" s="99"/>
    </x:row>
    <x:row r="96">
      <x:c r="C96" s="19" t="n">
        <x:v>42156</x:v>
      </x:c>
      <x:c r="D96" s="28" t="n">
        <x:v>18968.5828154754</x:v>
      </x:c>
      <x:c r="E96" s="28" t="n">
        <x:v>9112.8924910014</x:v>
      </x:c>
      <x:c r="F96" s="28"/>
      <x:c r="G96" s="28"/>
      <x:c r="H96" s="28"/>
      <x:c r="I96" s="28"/>
      <x:c r="J96" s="28" t="n">
        <x:v>18968.5828154754</x:v>
      </x:c>
      <x:c r="K96" s="28"/>
      <x:c r="L96" s="28"/>
      <x:c r="M96" s="99"/>
    </x:row>
    <x:row r="97">
      <x:c r="C97" s="19" t="n">
        <x:v>42186</x:v>
      </x:c>
      <x:c r="D97" s="28" t="n">
        <x:v>19366.2877460984</x:v>
      </x:c>
      <x:c r="E97" s="28" t="n">
        <x:v>9058.7488773921</x:v>
      </x:c>
      <x:c r="F97" s="28"/>
      <x:c r="G97" s="28"/>
      <x:c r="H97" s="28"/>
      <x:c r="I97" s="28"/>
      <x:c r="J97" s="28" t="n">
        <x:v>19366.2877460984</x:v>
      </x:c>
      <x:c r="K97" s="28"/>
      <x:c r="L97" s="28"/>
      <x:c r="M97" s="99"/>
    </x:row>
    <x:row r="98">
      <x:c r="C98" s="19" t="n">
        <x:v>42217</x:v>
      </x:c>
      <x:c r="D98" s="28" t="n">
        <x:v>18126.2329173333</x:v>
      </x:c>
      <x:c r="E98" s="28" t="n">
        <x:v>8887.3233965241</x:v>
      </x:c>
      <x:c r="F98" s="28"/>
      <x:c r="G98" s="28"/>
      <x:c r="H98" s="28"/>
      <x:c r="I98" s="28"/>
      <x:c r="J98" s="28" t="n">
        <x:v>18126.2329173333</x:v>
      </x:c>
      <x:c r="K98" s="28"/>
      <x:c r="L98" s="28"/>
      <x:c r="M98" s="99"/>
    </x:row>
    <x:row r="99">
      <x:c r="C99" s="19" t="n">
        <x:v>42248</x:v>
      </x:c>
      <x:c r="D99" s="28" t="n">
        <x:v>15299.9049428634</x:v>
      </x:c>
      <x:c r="E99" s="28" t="n">
        <x:v>8191.0133325573</x:v>
      </x:c>
      <x:c r="F99" s="28"/>
      <x:c r="G99" s="28"/>
      <x:c r="H99" s="28"/>
      <x:c r="I99" s="28"/>
      <x:c r="J99" s="28" t="n">
        <x:v>15299.9049428634</x:v>
      </x:c>
      <x:c r="K99" s="28"/>
      <x:c r="L99" s="28"/>
      <x:c r="M99" s="99"/>
    </x:row>
    <x:row r="100">
      <x:c r="C100" s="19" t="n">
        <x:v>42278</x:v>
      </x:c>
      <x:c r="D100" s="28" t="n">
        <x:v>15234.394984918</x:v>
      </x:c>
      <x:c r="E100" s="28" t="n">
        <x:v>8130.8556847328</x:v>
      </x:c>
      <x:c r="F100" s="28"/>
      <x:c r="G100" s="28"/>
      <x:c r="H100" s="28"/>
      <x:c r="I100" s="28"/>
      <x:c r="J100" s="28" t="n">
        <x:v>15234.394984918</x:v>
      </x:c>
      <x:c r="K100" s="28"/>
      <x:c r="L100" s="28"/>
      <x:c r="M100" s="99"/>
    </x:row>
    <x:row r="101">
      <x:c r="C101" s="19" t="n">
        <x:v>42309</x:v>
      </x:c>
      <x:c r="D101" s="28" t="n">
        <x:v>14499.3757446995</x:v>
      </x:c>
      <x:c r="E101" s="28" t="n">
        <x:v>8169.2485399133</x:v>
      </x:c>
      <x:c r="F101" s="28"/>
      <x:c r="G101" s="28"/>
      <x:c r="H101" s="28"/>
      <x:c r="I101" s="28"/>
      <x:c r="J101" s="28" t="n">
        <x:v>14499.3757446995</x:v>
      </x:c>
      <x:c r="K101" s="28"/>
      <x:c r="L101" s="28"/>
      <x:c r="M101" s="99"/>
    </x:row>
    <x:row r="102">
      <x:c r="C102" s="19" t="n">
        <x:v>42339</x:v>
      </x:c>
      <x:c r="D102" s="28" t="n">
        <x:v>13689.700352</x:v>
      </x:c>
      <x:c r="E102" s="28" t="n">
        <x:v>7931.4097729592</x:v>
      </x:c>
      <x:c r="F102" s="28"/>
      <x:c r="G102" s="28"/>
      <x:c r="H102" s="28"/>
      <x:c r="I102" s="28"/>
      <x:c r="J102" s="28" t="n">
        <x:v>13689.700352</x:v>
      </x:c>
      <x:c r="K102" s="28"/>
      <x:c r="L102" s="28"/>
      <x:c r="M102" s="99"/>
    </x:row>
    <x:row r="103">
      <x:c r="C103" s="19" t="n">
        <x:v>42370</x:v>
      </x:c>
      <x:c r="D103" s="28" t="n">
        <x:v>10267.6395358685</x:v>
      </x:c>
      <x:c r="E103" s="28" t="n">
        <x:v>7605.2224976921</x:v>
      </x:c>
      <x:c r="F103" s="28"/>
      <x:c r="G103" s="28"/>
      <x:c r="H103" s="28"/>
      <x:c r="I103" s="28"/>
      <x:c r="J103" s="28" t="n">
        <x:v>10267.6395358685</x:v>
      </x:c>
      <x:c r="K103" s="28"/>
      <x:c r="L103" s="28"/>
      <x:c r="M103" s="99"/>
    </x:row>
    <x:row r="104">
      <x:c r="C104" s="19" t="n">
        <x:v>42401</x:v>
      </x:c>
      <x:c r="D104" s="28" t="n">
        <x:v>9491.04197295342</x:v>
      </x:c>
      <x:c r="E104" s="28" t="n">
        <x:v>7277.6524141503</x:v>
      </x:c>
      <x:c r="F104" s="28"/>
      <x:c r="G104" s="28"/>
      <x:c r="H104" s="28"/>
      <x:c r="I104" s="28"/>
      <x:c r="J104" s="28" t="n">
        <x:v>9491.04197295342</x:v>
      </x:c>
      <x:c r="K104" s="28"/>
      <x:c r="L104" s="28"/>
      <x:c r="M104" s="99"/>
    </x:row>
    <x:row r="105">
      <x:c r="C105" s="19" t="n">
        <x:v>42430</x:v>
      </x:c>
      <x:c r="D105" s="28" t="n">
        <x:v>6269.25215912329</x:v>
      </x:c>
      <x:c r="E105" s="28" t="n">
        <x:v>7329.8031638422</x:v>
      </x:c>
      <x:c r="F105" s="28"/>
      <x:c r="G105" s="28"/>
      <x:c r="H105" s="28"/>
      <x:c r="I105" s="28"/>
      <x:c r="J105" s="28" t="n">
        <x:v>6269.25215912329</x:v>
      </x:c>
      <x:c r="K105" s="28"/>
      <x:c r="L105" s="28"/>
      <x:c r="M105" s="99"/>
    </x:row>
    <x:row r="106">
      <x:c r="C106" s="19" t="n">
        <x:v>42461</x:v>
      </x:c>
      <x:c r="D106" s="28" t="n">
        <x:v>6718.60661935342</x:v>
      </x:c>
      <x:c r="E106" s="28" t="n">
        <x:v>7289.7894669903</x:v>
      </x:c>
      <x:c r="F106" s="28"/>
      <x:c r="G106" s="28"/>
      <x:c r="H106" s="28"/>
      <x:c r="I106" s="28"/>
      <x:c r="J106" s="28" t="n">
        <x:v>6718.60661935342</x:v>
      </x:c>
      <x:c r="K106" s="28"/>
      <x:c r="L106" s="28"/>
      <x:c r="M106" s="99"/>
    </x:row>
    <x:row r="107">
      <x:c r="C107" s="19" t="n">
        <x:v>42491</x:v>
      </x:c>
      <x:c r="D107" s="28" t="n">
        <x:v>8149.23033670137</x:v>
      </x:c>
      <x:c r="E107" s="28" t="n">
        <x:v>7621.2464267266</x:v>
      </x:c>
      <x:c r="F107" s="28"/>
      <x:c r="G107" s="28"/>
      <x:c r="H107" s="28"/>
      <x:c r="I107" s="28"/>
      <x:c r="J107" s="28" t="n">
        <x:v>8149.23033670137</x:v>
      </x:c>
      <x:c r="K107" s="28"/>
      <x:c r="L107" s="28"/>
      <x:c r="M107" s="99"/>
    </x:row>
    <x:row r="108">
      <x:c r="C108" s="19" t="n">
        <x:v>42522</x:v>
      </x:c>
      <x:c r="D108" s="28" t="n">
        <x:v>9287.00215688767</x:v>
      </x:c>
      <x:c r="E108" s="28" t="n">
        <x:v>7725.2043395212</x:v>
      </x:c>
      <x:c r="F108" s="28"/>
      <x:c r="G108" s="28"/>
      <x:c r="H108" s="28"/>
      <x:c r="I108" s="28"/>
      <x:c r="J108" s="28" t="n">
        <x:v>9287.00215688767</x:v>
      </x:c>
      <x:c r="K108" s="28"/>
      <x:c r="L108" s="28"/>
      <x:c r="M108" s="99"/>
    </x:row>
    <x:row r="109">
      <x:c r="C109" s="19" t="n">
        <x:v>42552</x:v>
      </x:c>
      <x:c r="D109" s="28" t="n">
        <x:v>11264.5449012603</x:v>
      </x:c>
      <x:c r="E109" s="28" t="n">
        <x:v>7804.089718712</x:v>
      </x:c>
      <x:c r="F109" s="28"/>
      <x:c r="G109" s="28"/>
      <x:c r="H109" s="28"/>
      <x:c r="I109" s="28"/>
      <x:c r="J109" s="28" t="n">
        <x:v>11264.5449012603</x:v>
      </x:c>
      <x:c r="K109" s="28"/>
      <x:c r="L109" s="28"/>
      <x:c r="M109" s="99"/>
    </x:row>
    <x:row r="110">
      <x:c r="C110" s="19" t="n">
        <x:v>42583</x:v>
      </x:c>
      <x:c r="D110" s="28" t="n">
        <x:v>13743.1301077918</x:v>
      </x:c>
      <x:c r="E110" s="28" t="n">
        <x:v>8319.4965152189</x:v>
      </x:c>
      <x:c r="F110" s="28"/>
      <x:c r="G110" s="28"/>
      <x:c r="H110" s="28"/>
      <x:c r="I110" s="28"/>
      <x:c r="J110" s="28" t="n">
        <x:v>13743.1301077918</x:v>
      </x:c>
      <x:c r="K110" s="28"/>
      <x:c r="L110" s="28"/>
      <x:c r="M110" s="99"/>
    </x:row>
    <x:row r="111">
      <x:c r="C111" s="19" t="n">
        <x:v>42614</x:v>
      </x:c>
      <x:c r="D111" s="28" t="n">
        <x:v>12995.8300068822</x:v>
      </x:c>
      <x:c r="E111" s="28" t="n">
        <x:v>8466.2432649311</x:v>
      </x:c>
      <x:c r="F111" s="28"/>
      <x:c r="G111" s="28"/>
      <x:c r="H111" s="28"/>
      <x:c r="I111" s="28"/>
      <x:c r="J111" s="28" t="n">
        <x:v>12995.8300068822</x:v>
      </x:c>
      <x:c r="K111" s="28"/>
      <x:c r="L111" s="28"/>
      <x:c r="M111" s="99"/>
    </x:row>
    <x:row r="112">
      <x:c r="C112" s="19" t="n">
        <x:v>42644</x:v>
      </x:c>
      <x:c r="D112" s="28" t="n">
        <x:v>13090.9735136438</x:v>
      </x:c>
      <x:c r="E112" s="28" t="n">
        <x:v>8744.3312115641</x:v>
      </x:c>
      <x:c r="F112" s="28"/>
      <x:c r="G112" s="28"/>
      <x:c r="H112" s="28"/>
      <x:c r="I112" s="28"/>
      <x:c r="J112" s="28" t="n">
        <x:v>13090.9735136438</x:v>
      </x:c>
      <x:c r="K112" s="28"/>
      <x:c r="L112" s="28"/>
      <x:c r="M112" s="99"/>
    </x:row>
    <x:row r="113">
      <x:c r="C113" s="19" t="n">
        <x:v>42675</x:v>
      </x:c>
      <x:c r="D113" s="28" t="n">
        <x:v>13235.4292019507</x:v>
      </x:c>
      <x:c r="E113" s="28" t="n">
        <x:v>8959.2442892621</x:v>
      </x:c>
      <x:c r="F113" s="28"/>
      <x:c r="G113" s="28"/>
      <x:c r="H113" s="28"/>
      <x:c r="I113" s="28"/>
      <x:c r="J113" s="28" t="n">
        <x:v>13235.4292019507</x:v>
      </x:c>
      <x:c r="K113" s="28"/>
      <x:c r="L113" s="28"/>
      <x:c r="M113" s="99"/>
    </x:row>
    <x:row r="114">
      <x:c r="C114" s="19" t="n">
        <x:v>42705</x:v>
      </x:c>
      <x:c r="D114" s="28" t="n">
        <x:v>13903.0569731507</x:v>
      </x:c>
      <x:c r="E114" s="28" t="n">
        <x:v>9312.0446931239</x:v>
      </x:c>
      <x:c r="F114" s="28"/>
      <x:c r="G114" s="28"/>
      <x:c r="H114" s="28"/>
      <x:c r="I114" s="28"/>
      <x:c r="J114" s="28" t="n">
        <x:v>13903.0569731507</x:v>
      </x:c>
      <x:c r="K114" s="28"/>
      <x:c r="L114" s="28"/>
      <x:c r="M114" s="99"/>
    </x:row>
    <x:row r="115">
      <x:c r="C115" s="19" t="n">
        <x:v>42736</x:v>
      </x:c>
      <x:c r="D115" s="28" t="n">
        <x:v>16266.5727635288</x:v>
      </x:c>
      <x:c r="E115" s="28" t="n">
        <x:v>10103.2008931023</x:v>
      </x:c>
      <x:c r="F115" s="28"/>
      <x:c r="G115" s="28"/>
      <x:c r="H115" s="28"/>
      <x:c r="I115" s="28"/>
      <x:c r="J115" s="28" t="n">
        <x:v>16266.5727635288</x:v>
      </x:c>
      <x:c r="K115" s="28"/>
      <x:c r="L115" s="28"/>
      <x:c r="M115" s="99"/>
    </x:row>
    <x:row r="116">
      <x:c r="C116" s="19" t="n">
        <x:v>42767</x:v>
      </x:c>
      <x:c r="D116" s="28" t="n">
        <x:v>17396.0789398795</x:v>
      </x:c>
      <x:c r="E116" s="28" t="n">
        <x:v>10542.281555421</x:v>
      </x:c>
      <x:c r="F116" s="28"/>
      <x:c r="G116" s="28"/>
      <x:c r="H116" s="28"/>
      <x:c r="I116" s="28"/>
      <x:c r="J116" s="28" t="n">
        <x:v>17396.0789398795</x:v>
      </x:c>
      <x:c r="K116" s="28"/>
      <x:c r="L116" s="28"/>
      <x:c r="M116" s="99"/>
    </x:row>
    <x:row r="117">
      <x:c r="C117" s="19" t="n">
        <x:v>42795</x:v>
      </x:c>
      <x:c r="D117" s="28" t="n">
        <x:v>17036.398662137</x:v>
      </x:c>
      <x:c r="E117" s="28" t="n">
        <x:v>10715.6458658162</x:v>
      </x:c>
      <x:c r="F117" s="28"/>
      <x:c r="G117" s="28"/>
      <x:c r="H117" s="28"/>
      <x:c r="I117" s="28"/>
      <x:c r="J117" s="28" t="n">
        <x:v>17036.398662137</x:v>
      </x:c>
      <x:c r="K117" s="28"/>
      <x:c r="L117" s="28"/>
      <x:c r="M117" s="99"/>
    </x:row>
    <x:row r="118">
      <x:c r="C118" s="19" t="n">
        <x:v>42826</x:v>
      </x:c>
      <x:c r="D118" s="28" t="n">
        <x:v>15244.3545571945</x:v>
      </x:c>
      <x:c r="E118" s="28" t="n">
        <x:v>10418.1689107697</x:v>
      </x:c>
      <x:c r="F118" s="28"/>
      <x:c r="G118" s="28"/>
      <x:c r="H118" s="28"/>
      <x:c r="I118" s="28"/>
      <x:c r="J118" s="28" t="n">
        <x:v>15244.3545571945</x:v>
      </x:c>
      <x:c r="K118" s="28"/>
      <x:c r="L118" s="28"/>
      <x:c r="M118" s="99"/>
    </x:row>
    <x:row r="119">
      <x:c r="C119" s="19" t="n">
        <x:v>42856</x:v>
      </x:c>
      <x:c r="D119" s="28" t="n">
        <x:v>18633.4273816548</x:v>
      </x:c>
      <x:c r="E119" s="28" t="n">
        <x:v>10324.1600814848</x:v>
      </x:c>
      <x:c r="F119" s="28"/>
      <x:c r="G119" s="28"/>
      <x:c r="H119" s="28"/>
      <x:c r="I119" s="28"/>
      <x:c r="J119" s="28" t="n">
        <x:v>18633.4273816548</x:v>
      </x:c>
      <x:c r="K119" s="28"/>
      <x:c r="L119" s="28"/>
      <x:c r="M119" s="99"/>
    </x:row>
    <x:row r="120">
      <x:c r="C120" s="19" t="n">
        <x:v>42887</x:v>
      </x:c>
      <x:c r="D120" s="28" t="n">
        <x:v>18081.3291183342</x:v>
      </x:c>
      <x:c r="E120" s="28" t="n">
        <x:v>10304.3419245021</x:v>
      </x:c>
      <x:c r="F120" s="28"/>
      <x:c r="G120" s="28"/>
      <x:c r="H120" s="28"/>
      <x:c r="I120" s="28"/>
      <x:c r="J120" s="28" t="n">
        <x:v>18081.3291183342</x:v>
      </x:c>
      <x:c r="K120" s="28"/>
      <x:c r="L120" s="28"/>
      <x:c r="M120" s="99"/>
    </x:row>
    <x:row r="121">
      <x:c r="C121" s="19" t="n">
        <x:v>42917</x:v>
      </x:c>
      <x:c r="D121" s="28" t="n">
        <x:v>18690.5115886466</x:v>
      </x:c>
      <x:c r="E121" s="28" t="n">
        <x:v>10260.0104573124</x:v>
      </x:c>
      <x:c r="F121" s="28"/>
      <x:c r="G121" s="28"/>
      <x:c r="H121" s="28"/>
      <x:c r="I121" s="28"/>
      <x:c r="J121" s="28" t="n">
        <x:v>18690.5115886466</x:v>
      </x:c>
      <x:c r="K121" s="28"/>
      <x:c r="L121" s="28"/>
      <x:c r="M121" s="99"/>
    </x:row>
    <x:row r="122">
      <x:c r="C122" s="19" t="n">
        <x:v>42948</x:v>
      </x:c>
      <x:c r="D122" s="28" t="n">
        <x:v>17463.8731432329</x:v>
      </x:c>
      <x:c r="E122" s="28" t="n">
        <x:v>10304.735824013</x:v>
      </x:c>
      <x:c r="F122" s="28"/>
      <x:c r="G122" s="28"/>
      <x:c r="H122" s="28"/>
      <x:c r="I122" s="28"/>
      <x:c r="J122" s="28" t="n">
        <x:v>17463.8731432329</x:v>
      </x:c>
      <x:c r="K122" s="28"/>
      <x:c r="L122" s="28"/>
      <x:c r="M122" s="99"/>
    </x:row>
    <x:row r="123">
      <x:c r="C123" s="19" t="n">
        <x:v>42979</x:v>
      </x:c>
      <x:c r="D123" s="28" t="n">
        <x:v>16782.7974284274</x:v>
      </x:c>
      <x:c r="E123" s="28" t="n">
        <x:v>10082.2129125069</x:v>
      </x:c>
      <x:c r="F123" s="28"/>
      <x:c r="G123" s="28"/>
      <x:c r="H123" s="28"/>
      <x:c r="I123" s="28"/>
      <x:c r="J123" s="28" t="n">
        <x:v>16782.7974284274</x:v>
      </x:c>
      <x:c r="K123" s="28"/>
      <x:c r="L123" s="28"/>
      <x:c r="M123" s="99"/>
    </x:row>
    <x:row r="124">
      <x:c r="C124" s="19" t="n">
        <x:v>43009</x:v>
      </x:c>
      <x:c r="D124" s="28" t="n">
        <x:v>16084.9583370521</x:v>
      </x:c>
      <x:c r="E124" s="28" t="n">
        <x:v>10148.8659376692</x:v>
      </x:c>
      <x:c r="F124" s="28"/>
      <x:c r="G124" s="28"/>
      <x:c r="H124" s="28"/>
      <x:c r="I124" s="28"/>
      <x:c r="J124" s="28" t="n">
        <x:v>16084.9583370521</x:v>
      </x:c>
      <x:c r="K124" s="28"/>
      <x:c r="L124" s="28"/>
      <x:c r="M124" s="99"/>
    </x:row>
    <x:row r="125">
      <x:c r="C125" s="19" t="n">
        <x:v>43040</x:v>
      </x:c>
      <x:c r="D125" s="28" t="n">
        <x:v>16380.8046570959</x:v>
      </x:c>
      <x:c r="E125" s="28" t="n">
        <x:v>10459.4927583063</x:v>
      </x:c>
      <x:c r="F125" s="28"/>
      <x:c r="G125" s="28"/>
      <x:c r="H125" s="28"/>
      <x:c r="I125" s="28"/>
      <x:c r="J125" s="28" t="n">
        <x:v>16380.8046570959</x:v>
      </x:c>
      <x:c r="K125" s="28"/>
      <x:c r="L125" s="28"/>
      <x:c r="M125" s="99"/>
    </x:row>
    <x:row r="126">
      <x:c r="C126" s="19" t="n">
        <x:v>43070</x:v>
      </x:c>
      <x:c r="D126" s="28" t="n">
        <x:v>18573.9865438685</x:v>
      </x:c>
      <x:c r="E126" s="28" t="n">
        <x:v>10870.1018472739</x:v>
      </x:c>
      <x:c r="F126" s="28"/>
      <x:c r="G126" s="28"/>
      <x:c r="H126" s="28"/>
      <x:c r="I126" s="28"/>
      <x:c r="J126" s="28" t="n">
        <x:v>18573.9865438685</x:v>
      </x:c>
      <x:c r="K126" s="28"/>
      <x:c r="L126" s="28"/>
      <x:c r="M126" s="99"/>
    </x:row>
    <x:row r="127">
      <x:c r="C127" s="19" t="n">
        <x:v>43101</x:v>
      </x:c>
      <x:c r="D127" s="28" t="n">
        <x:v>20675.2763455123</x:v>
      </x:c>
      <x:c r="E127" s="28" t="n">
        <x:v>11794.4992474787</x:v>
      </x:c>
      <x:c r="F127" s="28"/>
      <x:c r="G127" s="28"/>
      <x:c r="H127" s="28"/>
      <x:c r="I127" s="28"/>
      <x:c r="J127" s="28" t="n">
        <x:v>20675.2763455123</x:v>
      </x:c>
      <x:c r="K127" s="28"/>
      <x:c r="L127" s="28"/>
      <x:c r="M127" s="99"/>
    </x:row>
    <x:row r="128">
      <x:c r="C128" s="19" t="n">
        <x:v>43132</x:v>
      </x:c>
      <x:c r="D128" s="28" t="n">
        <x:v>24672.9254098411</x:v>
      </x:c>
      <x:c r="E128" s="28" t="n">
        <x:v>12755.1722610102</x:v>
      </x:c>
      <x:c r="F128" s="28"/>
      <x:c r="G128" s="28"/>
      <x:c r="H128" s="28"/>
      <x:c r="I128" s="28"/>
      <x:c r="J128" s="28" t="n">
        <x:v>24672.9254098411</x:v>
      </x:c>
      <x:c r="K128" s="28"/>
      <x:c r="L128" s="28"/>
      <x:c r="M128" s="99"/>
    </x:row>
    <x:row r="129">
      <x:c r="C129" s="19" t="n">
        <x:v>43160</x:v>
      </x:c>
      <x:c r="D129" s="28" t="n">
        <x:v>26057.1317121753</x:v>
      </x:c>
      <x:c r="E129" s="28" t="n">
        <x:v>13303.4039465067</x:v>
      </x:c>
      <x:c r="F129" s="28"/>
      <x:c r="G129" s="28"/>
      <x:c r="H129" s="28"/>
      <x:c r="I129" s="28"/>
      <x:c r="J129" s="28" t="n">
        <x:v>26057.1317121753</x:v>
      </x:c>
      <x:c r="K129" s="28"/>
      <x:c r="L129" s="28"/>
      <x:c r="M129" s="99"/>
    </x:row>
    <x:row r="130">
      <x:c r="C130" s="19" t="n">
        <x:v>43191</x:v>
      </x:c>
      <x:c r="D130" s="28" t="n">
        <x:v>27653.0278961096</x:v>
      </x:c>
      <x:c r="E130" s="28" t="n">
        <x:v>13819.4205542614</x:v>
      </x:c>
      <x:c r="F130" s="28"/>
      <x:c r="G130" s="28"/>
      <x:c r="H130" s="28"/>
      <x:c r="I130" s="28"/>
      <x:c r="J130" s="28" t="n">
        <x:v>27653.0278961096</x:v>
      </x:c>
      <x:c r="K130" s="28"/>
      <x:c r="L130" s="28"/>
      <x:c r="M130" s="99"/>
    </x:row>
    <x:row r="131">
      <x:c r="C131" s="19" t="n">
        <x:v>43221</x:v>
      </x:c>
      <x:c r="D131" s="28" t="n">
        <x:v>31242.9382838356</x:v>
      </x:c>
      <x:c r="E131" s="28" t="n">
        <x:v>14154.7305930742</x:v>
      </x:c>
      <x:c r="F131" s="28"/>
      <x:c r="G131" s="28"/>
      <x:c r="H131" s="28"/>
      <x:c r="I131" s="28"/>
      <x:c r="J131" s="28" t="n">
        <x:v>31242.9382838356</x:v>
      </x:c>
      <x:c r="K131" s="28"/>
      <x:c r="L131" s="28"/>
      <x:c r="M131" s="99"/>
    </x:row>
    <x:row r="132">
      <x:c r="C132" s="19" t="n">
        <x:v>43252</x:v>
      </x:c>
      <x:c r="D132" s="28" t="n">
        <x:v>32289.096914411</x:v>
      </x:c>
      <x:c r="E132" s="28" t="n">
        <x:v>14190.3357213692</x:v>
      </x:c>
      <x:c r="F132" s="28"/>
      <x:c r="G132" s="28"/>
      <x:c r="H132" s="28"/>
      <x:c r="I132" s="28"/>
      <x:c r="J132" s="28" t="n">
        <x:v>32289.096914411</x:v>
      </x:c>
      <x:c r="K132" s="28"/>
      <x:c r="L132" s="28"/>
      <x:c r="M132" s="99"/>
    </x:row>
    <x:row r="133">
      <x:c r="C133" s="19" t="n">
        <x:v>43282</x:v>
      </x:c>
      <x:c r="D133" s="28" t="n">
        <x:v>33905.8481628932</x:v>
      </x:c>
      <x:c r="E133" s="28" t="n">
        <x:v>14998.6007179106</x:v>
      </x:c>
      <x:c r="F133" s="28"/>
      <x:c r="G133" s="28"/>
      <x:c r="H133" s="28"/>
      <x:c r="I133" s="28"/>
      <x:c r="J133" s="28" t="n">
        <x:v>33905.8481628932</x:v>
      </x:c>
      <x:c r="K133" s="28"/>
      <x:c r="L133" s="28"/>
      <x:c r="M133" s="99"/>
    </x:row>
    <x:row r="134">
      <x:c r="C134" s="19" t="n">
        <x:v>43313</x:v>
      </x:c>
      <x:c r="D134" s="28" t="n">
        <x:v>37167.0989838027</x:v>
      </x:c>
      <x:c r="E134" s="28" t="n">
        <x:v>15506.1863331426</x:v>
      </x:c>
      <x:c r="F134" s="28"/>
      <x:c r="G134" s="28"/>
      <x:c r="H134" s="28"/>
      <x:c r="I134" s="28"/>
      <x:c r="J134" s="28" t="n">
        <x:v>37167.0989838027</x:v>
      </x:c>
      <x:c r="K134" s="28"/>
      <x:c r="L134" s="28"/>
      <x:c r="M134" s="99"/>
    </x:row>
    <x:row r="135">
      <x:c r="C135" s="19" t="n">
        <x:v>43344</x:v>
      </x:c>
      <x:c r="D135" s="28" t="n">
        <x:v>40215.8085330411</x:v>
      </x:c>
      <x:c r="E135" s="28" t="n">
        <x:v>17153.3111884182</x:v>
      </x:c>
      <x:c r="F135" s="28"/>
      <x:c r="G135" s="28"/>
      <x:c r="H135" s="28"/>
      <x:c r="I135" s="28"/>
      <x:c r="J135" s="28" t="n">
        <x:v>40215.8085330411</x:v>
      </x:c>
      <x:c r="K135" s="28"/>
      <x:c r="L135" s="28"/>
      <x:c r="M135" s="99"/>
    </x:row>
    <x:row r="136">
      <x:c r="C136" s="19" t="n">
        <x:v>43374</x:v>
      </x:c>
      <x:c r="D136" s="28" t="n">
        <x:v>46121.9973316384</x:v>
      </x:c>
      <x:c r="E136" s="28" t="n">
        <x:v>18211.6287511249</x:v>
      </x:c>
      <x:c r="F136" s="28"/>
      <x:c r="G136" s="28"/>
      <x:c r="H136" s="28"/>
      <x:c r="I136" s="28"/>
      <x:c r="J136" s="28" t="n">
        <x:v>46121.9973316384</x:v>
      </x:c>
      <x:c r="K136" s="28"/>
      <x:c r="L136" s="28"/>
      <x:c r="M136" s="99"/>
    </x:row>
    <x:row r="137">
      <x:c r="C137" s="19" t="n">
        <x:v>43405</x:v>
      </x:c>
      <x:c r="D137" s="28" t="n">
        <x:v>44268.5998851507</x:v>
      </x:c>
      <x:c r="E137" s="28" t="n">
        <x:v>17635.5556792081</x:v>
      </x:c>
      <x:c r="F137" s="28"/>
      <x:c r="G137" s="28"/>
      <x:c r="H137" s="28"/>
      <x:c r="I137" s="28"/>
      <x:c r="J137" s="28" t="n">
        <x:v>44268.5998851507</x:v>
      </x:c>
      <x:c r="K137" s="28"/>
      <x:c r="L137" s="28"/>
      <x:c r="M137" s="99"/>
    </x:row>
    <x:row r="138">
      <x:c r="C138" s="19" t="n">
        <x:v>43435</x:v>
      </x:c>
      <x:c r="D138" s="28" t="n">
        <x:v>40895.598592</x:v>
      </x:c>
      <x:c r="E138" s="28" t="n">
        <x:v>17236.6533938273</x:v>
      </x:c>
      <x:c r="F138" s="28"/>
      <x:c r="G138" s="28"/>
      <x:c r="H138" s="28"/>
      <x:c r="I138" s="28"/>
      <x:c r="J138" s="28" t="n">
        <x:v>40895.598592</x:v>
      </x:c>
      <x:c r="K138" s="28"/>
      <x:c r="L138" s="28"/>
      <x:c r="M138" s="99"/>
    </x:row>
    <x:row r="139">
      <x:c r="C139" s="19" t="n">
        <x:v>43466</x:v>
      </x:c>
      <x:c r="D139" s="28" t="n">
        <x:v>38261.2847297049</x:v>
      </x:c>
      <x:c r="E139" s="28" t="n">
        <x:v>16360.5918978485</x:v>
      </x:c>
      <x:c r="F139" s="28"/>
      <x:c r="G139" s="28"/>
      <x:c r="H139" s="28"/>
      <x:c r="I139" s="28"/>
      <x:c r="J139" s="28" t="n">
        <x:v>38261.2847297049</x:v>
      </x:c>
      <x:c r="K139" s="28"/>
      <x:c r="L139" s="28"/>
      <x:c r="M139" s="99"/>
    </x:row>
    <x:row r="140">
      <x:c r="C140" s="19" t="n">
        <x:v>43497</x:v>
      </x:c>
      <x:c r="D140" s="28" t="n">
        <x:v>40482.485096918</x:v>
      </x:c>
      <x:c r="E140" s="28" t="n">
        <x:v>17049.7278266039</x:v>
      </x:c>
      <x:c r="F140" s="28"/>
      <x:c r="G140" s="28"/>
      <x:c r="H140" s="28"/>
      <x:c r="I140" s="28"/>
      <x:c r="J140" s="28" t="n">
        <x:v>40482.485096918</x:v>
      </x:c>
      <x:c r="K140" s="28"/>
      <x:c r="L140" s="28"/>
      <x:c r="M140" s="99"/>
    </x:row>
    <x:row r="141">
      <x:c r="C141" s="19" t="n">
        <x:v>43525</x:v>
      </x:c>
      <x:c r="D141" s="28" t="n">
        <x:v>39610.4062517159</x:v>
      </x:c>
      <x:c r="E141" s="28" t="n">
        <x:v>17523.374060413</x:v>
      </x:c>
      <x:c r="F141" s="28"/>
      <x:c r="G141" s="28"/>
      <x:c r="H141" s="28"/>
      <x:c r="I141" s="28"/>
      <x:c r="J141" s="28" t="n">
        <x:v>39610.4062517159</x:v>
      </x:c>
      <x:c r="K141" s="28"/>
      <x:c r="L141" s="28"/>
      <x:c r="M141" s="99"/>
    </x:row>
    <x:row r="142">
      <x:c r="C142" s="19" t="n">
        <x:v>43556</x:v>
      </x:c>
      <x:c r="D142" s="28" t="n">
        <x:v>39509.657163541</x:v>
      </x:c>
      <x:c r="E142" s="28" t="n">
        <x:v>17325.3866335705</x:v>
      </x:c>
      <x:c r="F142" s="28"/>
      <x:c r="G142" s="28"/>
      <x:c r="H142" s="28"/>
      <x:c r="I142" s="28"/>
      <x:c r="J142" s="28" t="n">
        <x:v>39509.657163541</x:v>
      </x:c>
      <x:c r="K142" s="28"/>
      <x:c r="L142" s="28"/>
      <x:c r="M142" s="99"/>
    </x:row>
    <x:row r="143">
      <x:c r="C143" s="19" t="n">
        <x:v>43586</x:v>
      </x:c>
      <x:c r="D143" s="28" t="n">
        <x:v>40185.3242810055</x:v>
      </x:c>
      <x:c r="E143" s="28" t="n">
        <x:v>16818.031872114</x:v>
      </x:c>
      <x:c r="F143" s="28"/>
      <x:c r="G143" s="28"/>
      <x:c r="H143" s="28"/>
      <x:c r="I143" s="28"/>
      <x:c r="J143" s="28" t="n">
        <x:v>40185.3242810055</x:v>
      </x:c>
      <x:c r="K143" s="28"/>
      <x:c r="L143" s="28"/>
      <x:c r="M143" s="99"/>
    </x:row>
    <x:row r="144">
      <x:c r="C144" s="19" t="n">
        <x:v>43617</x:v>
      </x:c>
      <x:c r="D144" s="28" t="n">
        <x:v>41076.0062405246</x:v>
      </x:c>
      <x:c r="E144" s="28" t="n">
        <x:v>16933.5806126257</x:v>
      </x:c>
      <x:c r="F144" s="28"/>
      <x:c r="G144" s="28"/>
      <x:c r="H144" s="28"/>
      <x:c r="I144" s="28"/>
      <x:c r="J144" s="28" t="n">
        <x:v>41076.0062405246</x:v>
      </x:c>
      <x:c r="K144" s="28"/>
      <x:c r="L144" s="28"/>
      <x:c r="M144" s="99"/>
    </x:row>
    <x:row r="145">
      <x:c r="C145" s="19" t="n">
        <x:v>43647</x:v>
      </x:c>
      <x:c r="D145" s="28" t="n">
        <x:v>40935.2073148852</x:v>
      </x:c>
      <x:c r="E145" s="28" t="n">
        <x:v>16307.7223540856</x:v>
      </x:c>
      <x:c r="F145" s="28"/>
      <x:c r="G145" s="28"/>
      <x:c r="H145" s="28"/>
      <x:c r="I145" s="28"/>
      <x:c r="J145" s="28" t="n">
        <x:v>40935.2073148852</x:v>
      </x:c>
      <x:c r="K145" s="28"/>
      <x:c r="L145" s="28"/>
      <x:c r="M145" s="99"/>
    </x:row>
    <x:row r="146">
      <x:c r="C146" s="19" t="n">
        <x:v>43678</x:v>
      </x:c>
      <x:c r="D146" s="28" t="n">
        <x:v>36937.3267934426</x:v>
      </x:c>
      <x:c r="E146" s="28" t="n">
        <x:v>15482.5294414579</x:v>
      </x:c>
      <x:c r="F146" s="28"/>
      <x:c r="G146" s="28"/>
      <x:c r="H146" s="28"/>
      <x:c r="I146" s="28"/>
      <x:c r="J146" s="28" t="n">
        <x:v>36937.3267934426</x:v>
      </x:c>
      <x:c r="K146" s="28"/>
      <x:c r="L146" s="28"/>
      <x:c r="M146" s="99"/>
    </x:row>
    <x:row r="147">
      <x:c r="C147" s="19" t="n">
        <x:v>43709</x:v>
      </x:c>
      <x:c r="D147" s="28" t="n">
        <x:v>37058.5714374645</x:v>
      </x:c>
      <x:c r="E147" s="28" t="n">
        <x:v>15535.9462691453</x:v>
      </x:c>
      <x:c r="F147" s="28"/>
      <x:c r="G147" s="28"/>
      <x:c r="H147" s="28"/>
      <x:c r="I147" s="28"/>
      <x:c r="J147" s="28" t="n">
        <x:v>37058.5714374645</x:v>
      </x:c>
      <x:c r="K147" s="28"/>
      <x:c r="L147" s="28"/>
      <x:c r="M147" s="99"/>
    </x:row>
    <x:row r="148">
      <x:c r="C148" s="19" t="n">
        <x:v>43739</x:v>
      </x:c>
      <x:c r="D148" s="28" t="n">
        <x:v>34620.2671786667</x:v>
      </x:c>
      <x:c r="E148" s="28" t="n">
        <x:v>15437.0951305221</x:v>
      </x:c>
      <x:c r="F148" s="28"/>
      <x:c r="G148" s="28"/>
      <x:c r="H148" s="28"/>
      <x:c r="I148" s="28"/>
      <x:c r="J148" s="28" t="n">
        <x:v>34620.2671786667</x:v>
      </x:c>
      <x:c r="K148" s="28"/>
      <x:c r="L148" s="28"/>
      <x:c r="M148" s="99"/>
    </x:row>
    <x:row r="149">
      <x:c r="C149" s="19" t="n">
        <x:v>43770</x:v>
      </x:c>
      <x:c r="D149" s="28" t="n">
        <x:v>35830.8080388197</x:v>
      </x:c>
      <x:c r="E149" s="28" t="n">
        <x:v>15152.2360377196</x:v>
      </x:c>
      <x:c r="F149" s="28"/>
      <x:c r="G149" s="28"/>
      <x:c r="H149" s="28"/>
      <x:c r="I149" s="28"/>
      <x:c r="J149" s="28" t="n">
        <x:v>35830.8080388197</x:v>
      </x:c>
      <x:c r="K149" s="28"/>
      <x:c r="L149" s="28"/>
      <x:c r="M149" s="99"/>
    </x:row>
    <x:row r="150">
      <x:c r="C150" s="19" t="n">
        <x:v>43800</x:v>
      </x:c>
      <x:c r="D150" s="28" t="n">
        <x:v>36095.299584</x:v>
      </x:c>
      <x:c r="E150" s="28" t="n">
        <x:v>15200.4732763017</x:v>
      </x:c>
      <x:c r="F150" s="28"/>
      <x:c r="G150" s="28"/>
      <x:c r="H150" s="28"/>
      <x:c r="I150" s="28"/>
      <x:c r="J150" s="28" t="n">
        <x:v>36095.299584</x:v>
      </x:c>
      <x:c r="K150" s="28"/>
      <x:c r="L150" s="28"/>
      <x:c r="M150" s="99"/>
    </x:row>
    <x:row r="151">
      <x:c r="C151" s="19" t="n">
        <x:v>43831</x:v>
      </x:c>
      <x:c r="D151" s="28" t="n">
        <x:v>36691.5466730959</x:v>
      </x:c>
      <x:c r="E151" s="28" t="n">
        <x:v>14075.1634121047</x:v>
      </x:c>
      <x:c r="F151" s="28"/>
      <x:c r="G151" s="28"/>
      <x:c r="H151" s="28"/>
      <x:c r="I151" s="28"/>
      <x:c r="J151" s="28" t="n">
        <x:v>36691.5466730959</x:v>
      </x:c>
      <x:c r="K151" s="28"/>
      <x:c r="L151" s="28"/>
      <x:c r="M151" s="99"/>
    </x:row>
    <x:row r="152">
      <x:c r="C152" s="19" t="n">
        <x:v>43862</x:v>
      </x:c>
      <x:c r="D152" s="28" t="n">
        <x:v>36448.8134936548</x:v>
      </x:c>
      <x:c r="E152" s="28" t="n">
        <x:v>13998.7570471167</x:v>
      </x:c>
      <x:c r="F152" s="28"/>
      <x:c r="G152" s="28"/>
      <x:c r="H152" s="28"/>
      <x:c r="I152" s="28"/>
      <x:c r="J152" s="28" t="n">
        <x:v>36448.8134936548</x:v>
      </x:c>
      <x:c r="K152" s="28"/>
      <x:c r="L152" s="28"/>
      <x:c r="M152" s="99"/>
    </x:row>
    <x:row r="153">
      <x:c r="C153" s="19" t="n">
        <x:v>43891</x:v>
      </x:c>
      <x:c r="D153" s="28" t="n">
        <x:v>13820.3484721096</x:v>
      </x:c>
      <x:c r="E153" s="28" t="n">
        <x:v>12131.0251006431</x:v>
      </x:c>
      <x:c r="F153" s="28"/>
      <x:c r="G153" s="28"/>
      <x:c r="H153" s="28"/>
      <x:c r="I153" s="28"/>
      <x:c r="J153" s="28" t="n">
        <x:v>13820.3484721096</x:v>
      </x:c>
      <x:c r="K153" s="28"/>
      <x:c r="L153" s="28"/>
      <x:c r="M153" s="99"/>
    </x:row>
    <x:row r="154">
      <x:c r="C154" s="19" t="n">
        <x:v>43922</x:v>
      </x:c>
      <x:c r="D154" s="28" t="n">
        <x:v>6703.70999364384</x:v>
      </x:c>
      <x:c r="E154" s="28" t="n">
        <x:v>10238.6557084517</x:v>
      </x:c>
      <x:c r="F154" s="28"/>
      <x:c r="G154" s="28"/>
      <x:c r="H154" s="28"/>
      <x:c r="I154" s="28"/>
      <x:c r="J154" s="28" t="n">
        <x:v>6703.70999364384</x:v>
      </x:c>
      <x:c r="K154" s="28"/>
      <x:c r="L154" s="28"/>
      <x:c r="M154" s="99"/>
    </x:row>
    <x:row r="155">
      <x:c r="C155" s="19" t="n">
        <x:v>43952</x:v>
      </x:c>
      <x:c r="D155" s="28" t="n">
        <x:v>2076.51467993425</x:v>
      </x:c>
      <x:c r="E155" s="28" t="n">
        <x:v>9576.3665825991</x:v>
      </x:c>
      <x:c r="F155" s="28"/>
      <x:c r="G155" s="28"/>
      <x:c r="H155" s="28"/>
      <x:c r="I155" s="28"/>
      <x:c r="J155" s="28" t="n">
        <x:v>2076.51467993425</x:v>
      </x:c>
      <x:c r="K155" s="28"/>
      <x:c r="L155" s="28"/>
      <x:c r="M155" s="99"/>
    </x:row>
    <x:row r="156">
      <x:c r="C156" s="19" t="n">
        <x:v>43983</x:v>
      </x:c>
      <x:c r="D156" s="28" t="n">
        <x:v>-1170.54291743562</x:v>
      </x:c>
      <x:c r="E156" s="28" t="n">
        <x:v>8906.9785976356</x:v>
      </x:c>
      <x:c r="F156" s="28"/>
      <x:c r="G156" s="28"/>
      <x:c r="H156" s="28"/>
      <x:c r="I156" s="28"/>
      <x:c r="J156" s="28" t="n">
        <x:v>-1170.54291743562</x:v>
      </x:c>
      <x:c r="K156" s="28"/>
      <x:c r="L156" s="28"/>
      <x:c r="M156" s="99"/>
    </x:row>
    <x:row r="157">
      <x:c r="C157" s="19" t="n">
        <x:v>44013</x:v>
      </x:c>
      <x:c r="D157" s="28" t="n">
        <x:v>2054.68929543014</x:v>
      </x:c>
      <x:c r="E157" s="28" t="n">
        <x:v>9429.4736035546</x:v>
      </x:c>
      <x:c r="F157" s="28"/>
      <x:c r="G157" s="28"/>
      <x:c r="H157" s="28"/>
      <x:c r="I157" s="28"/>
      <x:c r="J157" s="28" t="n">
        <x:v>2054.68929543014</x:v>
      </x:c>
      <x:c r="K157" s="28"/>
      <x:c r="L157" s="28"/>
      <x:c r="M157" s="99"/>
    </x:row>
    <x:row r="158">
      <x:c r="C158" s="19" t="n">
        <x:v>44044</x:v>
      </x:c>
      <x:c r="D158" s="28" t="n">
        <x:v>6956.85582343014</x:v>
      </x:c>
      <x:c r="E158" s="28" t="n">
        <x:v>10412.2704765741</x:v>
      </x:c>
      <x:c r="F158" s="28"/>
      <x:c r="G158" s="28"/>
      <x:c r="H158" s="28"/>
      <x:c r="I158" s="28"/>
      <x:c r="J158" s="28" t="n">
        <x:v>6956.85582343014</x:v>
      </x:c>
      <x:c r="K158" s="28"/>
      <x:c r="L158" s="28"/>
      <x:c r="M158" s="99"/>
    </x:row>
    <x:row r="159">
      <x:c r="C159" s="19" t="n">
        <x:v>44075</x:v>
      </x:c>
      <x:c r="D159" s="28" t="n">
        <x:v>10949.8817375326</x:v>
      </x:c>
      <x:c r="E159" s="28" t="n">
        <x:v>11661.7103528959</x:v>
      </x:c>
      <x:c r="F159" s="28"/>
      <x:c r="G159" s="28"/>
      <x:c r="H159" s="28" t="n">
        <x:v>701.178082191781</x:v>
      </x:c>
      <x:c r="I159" s="28"/>
      <x:c r="J159" s="28" t="n">
        <x:v>11253.9853024438</x:v>
      </x:c>
      <x:c r="K159" s="28" t="n">
        <x:v>701.178082191781</x:v>
      </x:c>
      <x:c r="L159" s="28"/>
      <x:c r="M159" s="99"/>
    </x:row>
    <x:row r="160">
      <x:c r="C160" s="19" t="n">
        <x:v>44105</x:v>
      </x:c>
      <x:c r="D160" s="28" t="n">
        <x:v>19121.6516448055</x:v>
      </x:c>
      <x:c r="E160" s="28" t="n">
        <x:v>14070.5989312673</x:v>
      </x:c>
      <x:c r="F160" s="28"/>
      <x:c r="G160" s="28"/>
      <x:c r="H160" s="28" t="n">
        <x:v>689.632876712329</x:v>
      </x:c>
      <x:c r="I160" s="28"/>
      <x:c r="J160" s="28" t="n">
        <x:v>19631.0804788603</x:v>
      </x:c>
      <x:c r="K160" s="28" t="n">
        <x:v>689.632876712329</x:v>
      </x:c>
      <x:c r="L160" s="28"/>
      <x:c r="M160" s="99"/>
    </x:row>
    <x:row r="161">
      <x:c r="C161" s="19" t="n">
        <x:v>44136</x:v>
      </x:c>
      <x:c r="D161" s="28" t="n">
        <x:v>26183.0264269763</x:v>
      </x:c>
      <x:c r="E161" s="28" t="n">
        <x:v>16663.0220148499</x:v>
      </x:c>
      <x:c r="F161" s="28"/>
      <x:c r="G161" s="28"/>
      <x:c r="H161" s="28" t="n">
        <x:v>734.816438356164</x:v>
      </x:c>
      <x:c r="I161" s="28"/>
      <x:c r="J161" s="28" t="n">
        <x:v>27031.5609550904</x:v>
      </x:c>
      <x:c r="K161" s="28" t="n">
        <x:v>734.816438356164</x:v>
      </x:c>
      <x:c r="L161" s="28"/>
      <x:c r="M161" s="99"/>
    </x:row>
    <x:row r="162">
      <x:c r="C162" s="19" t="n">
        <x:v>44166</x:v>
      </x:c>
      <x:c r="D162" s="28" t="n">
        <x:v>33166.803124274</x:v>
      </x:c>
      <x:c r="E162" s="28" t="n">
        <x:v>17136.888024143</x:v>
      </x:c>
      <x:c r="F162" s="28"/>
      <x:c r="G162" s="28"/>
      <x:c r="H162" s="28" t="n">
        <x:v>1102</x:v>
      </x:c>
      <x:c r="I162" s="28"/>
      <x:c r="J162" s="28" t="n">
        <x:v>34519.699456</x:v>
      </x:c>
      <x:c r="K162" s="28" t="n">
        <x:v>1102</x:v>
      </x:c>
      <x:c r="L162" s="28"/>
      <x:c r="M162" s="99"/>
    </x:row>
    <x:row r="163">
      <x:c r="C163" s="19" t="n">
        <x:v>44197</x:v>
      </x:c>
      <x:c r="D163" s="28" t="n">
        <x:v>34392.6143611611</x:v>
      </x:c>
      <x:c r="E163" s="28" t="n">
        <x:v>19470.4803433839</x:v>
      </x:c>
      <x:c r="F163" s="28"/>
      <x:c r="G163" s="28"/>
      <x:c r="H163" s="28" t="n">
        <x:v>1117.64507388493</x:v>
      </x:c>
      <x:c r="I163" s="28"/>
      <x:c r="J163" s="28" t="n">
        <x:v>35886.0106934356</x:v>
      </x:c>
      <x:c r="K163" s="28" t="n">
        <x:v>1117.64507388493</x:v>
      </x:c>
      <x:c r="L163" s="28"/>
      <x:c r="M163" s="99"/>
    </x:row>
    <x:row r="164">
      <x:c r="C164" s="19" t="n">
        <x:v>44228</x:v>
      </x:c>
      <x:c r="D164" s="28" t="n">
        <x:v>37844.58279833</x:v>
      </x:c>
      <x:c r="E164" s="28" t="n">
        <x:v>21360.5583328133</x:v>
      </x:c>
      <x:c r="F164" s="28"/>
      <x:c r="G164" s="28"/>
      <x:c r="H164" s="28" t="n">
        <x:v>1154.38081192329</x:v>
      </x:c>
      <x:c r="I164" s="28"/>
      <x:c r="J164" s="28" t="n">
        <x:v>40737.3299263123</x:v>
      </x:c>
      <x:c r="K164" s="28" t="n">
        <x:v>1154.38081192329</x:v>
      </x:c>
      <x:c r="L164" s="28"/>
      <x:c r="M164" s="99"/>
    </x:row>
    <x:row r="165">
      <x:c r="C165" s="19" t="n">
        <x:v>44256</x:v>
      </x:c>
      <x:c r="D165" s="28" t="n">
        <x:v>43905.3574941516</x:v>
      </x:c>
      <x:c r="E165" s="28" t="n">
        <x:v>24107.4802086203</x:v>
      </x:c>
      <x:c r="F165" s="28"/>
      <x:c r="G165" s="28"/>
      <x:c r="H165" s="28" t="n">
        <x:v>1368.47181676712</x:v>
      </x:c>
      <x:c r="I165" s="28"/>
      <x:c r="J165" s="28" t="n">
        <x:v>47324.8933523288</x:v>
      </x:c>
      <x:c r="K165" s="28" t="n">
        <x:v>1368.47181676712</x:v>
      </x:c>
      <x:c r="L165" s="28"/>
      <x:c r="M165" s="99"/>
    </x:row>
    <x:row r="166">
      <x:c r="C166" s="19" t="n">
        <x:v>44287</x:v>
      </x:c>
      <x:c r="D166" s="28" t="n">
        <x:v>55462.9627999883</x:v>
      </x:c>
      <x:c r="E166" s="28" t="n">
        <x:v>27876.2453567844</x:v>
      </x:c>
      <x:c r="F166" s="28"/>
      <x:c r="G166" s="28"/>
      <x:c r="H166" s="28" t="n">
        <x:v>1380.12907835616</x:v>
      </x:c>
      <x:c r="I166" s="28"/>
      <x:c r="J166" s="28" t="n">
        <x:v>59894.081676274</x:v>
      </x:c>
      <x:c r="K166" s="28" t="n">
        <x:v>1380.12907835616</x:v>
      </x:c>
      <x:c r="L166" s="28"/>
      <x:c r="M166" s="99"/>
    </x:row>
    <x:row r="167">
      <x:c r="C167" s="19" t="n">
        <x:v>44317</x:v>
      </x:c>
      <x:c r="D167" s="28" t="n">
        <x:v>55670.2483266638</x:v>
      </x:c>
      <x:c r="E167" s="28" t="n">
        <x:v>26368.0874790811</x:v>
      </x:c>
      <x:c r="F167" s="28"/>
      <x:c r="G167" s="28"/>
      <x:c r="H167" s="28" t="n">
        <x:v>1392.17491533151</x:v>
      </x:c>
      <x:c r="I167" s="28"/>
      <x:c r="J167" s="28" t="n">
        <x:v>59614.1361685041</x:v>
      </x:c>
      <x:c r="K167" s="28" t="n">
        <x:v>1392.17491533151</x:v>
      </x:c>
      <x:c r="L167" s="28"/>
      <x:c r="M167" s="99"/>
    </x:row>
    <x:row r="168">
      <x:c r="C168" s="19" t="n">
        <x:v>44348</x:v>
      </x:c>
      <x:c r="D168" s="28" t="n">
        <x:v>62837.152712688</x:v>
      </x:c>
      <x:c r="E168" s="28" t="n">
        <x:v>27658.9707358983</x:v>
      </x:c>
      <x:c r="F168" s="28"/>
      <x:c r="G168" s="28"/>
      <x:c r="H168" s="28" t="n">
        <x:v>1556.00622711233</x:v>
      </x:c>
      <x:c r="I168" s="28"/>
      <x:c r="J168" s="28" t="n">
        <x:v>66787.5196030247</x:v>
      </x:c>
      <x:c r="K168" s="28" t="n">
        <x:v>1556.00622711233</x:v>
      </x:c>
      <x:c r="L168" s="28"/>
      <x:c r="M168" s="99"/>
    </x:row>
    <x:row r="169">
      <x:c r="C169" s="19" t="n">
        <x:v>44378</x:v>
      </x:c>
      <x:c r="D169" s="28" t="n">
        <x:v>63328.9639817172</x:v>
      </x:c>
      <x:c r="E169" s="28" t="n">
        <x:v>29127.3175263349</x:v>
      </x:c>
      <x:c r="F169" s="28"/>
      <x:c r="G169" s="28"/>
      <x:c r="H169" s="28" t="n">
        <x:v>1647.89591390685</x:v>
      </x:c>
      <x:c r="I169" s="28"/>
      <x:c r="J169" s="28" t="n">
        <x:v>67324.2802035726</x:v>
      </x:c>
      <x:c r="K169" s="28" t="n">
        <x:v>1647.89591390685</x:v>
      </x:c>
      <x:c r="L169" s="28"/>
      <x:c r="M169" s="99"/>
    </x:row>
    <x:row r="170">
      <x:c r="C170" s="19" t="n">
        <x:v>44409</x:v>
      </x:c>
      <x:c r="D170" s="28" t="n">
        <x:v>67138.0184479993</x:v>
      </x:c>
      <x:c r="E170" s="28" t="n">
        <x:v>28384.9395133663</x:v>
      </x:c>
      <x:c r="F170" s="28"/>
      <x:c r="G170" s="28"/>
      <x:c r="H170" s="28" t="n">
        <x:v>1655.71373589041</x:v>
      </x:c>
      <x:c r="I170" s="28"/>
      <x:c r="J170" s="28" t="n">
        <x:v>71636.6058089205</x:v>
      </x:c>
      <x:c r="K170" s="28" t="n">
        <x:v>1655.71373589041</x:v>
      </x:c>
      <x:c r="L170" s="28"/>
      <x:c r="M170" s="99"/>
    </x:row>
    <x:row r="171">
      <x:c r="C171" s="19" t="n">
        <x:v>44440</x:v>
      </x:c>
      <x:c r="D171" s="28" t="n">
        <x:v>68014.0385750471</x:v>
      </x:c>
      <x:c r="E171" s="28" t="n">
        <x:v>26596.8694792006</x:v>
      </x:c>
      <x:c r="F171" s="28"/>
      <x:c r="G171" s="28"/>
      <x:c r="H171" s="28" t="n">
        <x:v>1800.38356164384</x:v>
      </x:c>
      <x:c r="I171" s="28"/>
      <x:c r="J171" s="28" t="n">
        <x:v>74310.2949235726</x:v>
      </x:c>
      <x:c r="K171" s="28" t="n">
        <x:v>1800.38356164384</x:v>
      </x:c>
      <x:c r="L171" s="28"/>
      <x:c r="M171" s="99"/>
    </x:row>
    <x:row r="172">
      <x:c r="C172" s="19" t="n">
        <x:v>44470</x:v>
      </x:c>
      <x:c r="D172" s="28" t="n">
        <x:v>76278.1816544336</x:v>
      </x:c>
      <x:c r="E172" s="28" t="n">
        <x:v>27010.4924005158</x:v>
      </x:c>
      <x:c r="F172" s="28"/>
      <x:c r="G172" s="28"/>
      <x:c r="H172" s="28" t="n">
        <x:v>1792.2157241863</x:v>
      </x:c>
      <x:c r="I172" s="28"/>
      <x:c r="J172" s="28" t="n">
        <x:v>82969.3378335562</x:v>
      </x:c>
      <x:c r="K172" s="28" t="n">
        <x:v>1792.2157241863</x:v>
      </x:c>
      <x:c r="L172" s="28"/>
      <x:c r="M172" s="99"/>
    </x:row>
    <x:row r="173">
      <x:c r="C173" s="19" t="n">
        <x:v>44501</x:v>
      </x:c>
      <x:c r="D173" s="28" t="n">
        <x:v>87991.2021795825</x:v>
      </x:c>
      <x:c r="E173" s="28" t="n">
        <x:v>27359.8042853086</x:v>
      </x:c>
      <x:c r="F173" s="28"/>
      <x:c r="G173" s="28"/>
      <x:c r="H173" s="28" t="n">
        <x:v>1764.21231412603</x:v>
      </x:c>
      <x:c r="I173" s="28"/>
      <x:c r="J173" s="28" t="n">
        <x:v>94168.6173976548</x:v>
      </x:c>
      <x:c r="K173" s="28" t="n">
        <x:v>1764.21231412603</x:v>
      </x:c>
      <x:c r="L173" s="28"/>
      <x:c r="M173" s="99"/>
    </x:row>
    <x:row r="174">
      <x:c r="C174" s="19" t="n">
        <x:v>44531</x:v>
      </x:c>
      <x:c r="D174" s="28" t="n">
        <x:v>87803.1219232073</x:v>
      </x:c>
      <x:c r="E174" s="28" t="n">
        <x:v>27028.5191873772</x:v>
      </x:c>
      <x:c r="F174" s="28"/>
      <x:c r="G174" s="28"/>
      <x:c r="H174" s="28" t="n">
        <x:v>1850.749952</x:v>
      </x:c>
      <x:c r="I174" s="28"/>
      <x:c r="J174" s="28" t="n">
        <x:v>94144.397312</x:v>
      </x:c>
      <x:c r="K174" s="28" t="n">
        <x:v>1850.749952</x:v>
      </x:c>
      <x:c r="L174" s="28"/>
      <x:c r="M174" s="99"/>
    </x:row>
    <x:row r="175">
      <x:c r="C175" s="19" t="n">
        <x:v>44562</x:v>
      </x:c>
      <x:c r="D175" s="28" t="n">
        <x:v>85992.8495500006</x:v>
      </x:c>
      <x:c r="E175" s="28" t="n">
        <x:v>28151.2120295504</x:v>
      </x:c>
      <x:c r="F175" s="28" t="n">
        <x:v>1403.04929174795</x:v>
      </x:c>
      <x:c r="G175" s="28"/>
      <x:c r="H175" s="28" t="n">
        <x:v>1801.62116208219</x:v>
      </x:c>
      <x:c r="I175" s="28"/>
      <x:c r="J175" s="28" t="n">
        <x:v>95603.3033426411</x:v>
      </x:c>
      <x:c r="K175" s="28" t="n">
        <x:v>3204.67045383014</x:v>
      </x:c>
      <x:c r="L175" s="28" t="n">
        <x:v>3204.67045383014</x:v>
      </x:c>
      <x:c r="M175" s="99"/>
    </x:row>
    <x:row r="176">
      <x:c r="C176" s="19" t="n">
        <x:v>44593</x:v>
      </x:c>
      <x:c r="D176" s="28" t="n">
        <x:v>85366.793760845</x:v>
      </x:c>
      <x:c r="E176" s="28" t="n">
        <x:v>30026.3429480347</x:v>
      </x:c>
      <x:c r="F176" s="28" t="n">
        <x:v>1552.59925672329</x:v>
      </x:c>
      <x:c r="G176" s="28"/>
      <x:c r="H176" s="28" t="n">
        <x:v>1689.4648249863</x:v>
      </x:c>
      <x:c r="I176" s="28"/>
      <x:c r="J176" s="28" t="n">
        <x:v>94753.2458741479</x:v>
      </x:c>
      <x:c r="K176" s="28" t="n">
        <x:v>3242.06408170959</x:v>
      </x:c>
      <x:c r="L176" s="28" t="n">
        <x:v>3242.06408170959</x:v>
      </x:c>
      <x:c r="M176" s="99"/>
    </x:row>
    <x:row r="177">
      <x:c r="C177" s="19" t="n">
        <x:v>44621</x:v>
      </x:c>
      <x:c r="D177" s="28" t="n">
        <x:v>100411.172772043</x:v>
      </x:c>
      <x:c r="E177" s="28" t="n">
        <x:v>32087.0992383976</x:v>
      </x:c>
      <x:c r="F177" s="28" t="n">
        <x:v>1676.99659572603</x:v>
      </x:c>
      <x:c r="G177" s="28"/>
      <x:c r="H177" s="28" t="n">
        <x:v>2121.67365435616</x:v>
      </x:c>
      <x:c r="I177" s="28"/>
      <x:c r="J177" s="28" t="n">
        <x:v>111657.208004384</x:v>
      </x:c>
      <x:c r="K177" s="28" t="n">
        <x:v>3798.6702500821903</x:v>
      </x:c>
      <x:c r="L177" s="28" t="n">
        <x:v>3798.6702500821903</x:v>
      </x:c>
      <x:c r="M177" s="99"/>
    </x:row>
    <x:row r="178">
      <x:c r="C178" s="19" t="n">
        <x:v>44652</x:v>
      </x:c>
      <x:c r="D178" s="28" t="n">
        <x:v>102698.618525494</x:v>
      </x:c>
      <x:c r="E178" s="28" t="n">
        <x:v>34307.4987619675</x:v>
      </x:c>
      <x:c r="F178" s="28" t="n">
        <x:v>1870.13049582466</x:v>
      </x:c>
      <x:c r="G178" s="28"/>
      <x:c r="H178" s="28" t="n">
        <x:v>2572.0218182137</x:v>
      </x:c>
      <x:c r="I178" s="28"/>
      <x:c r="J178" s="28" t="n">
        <x:v>116580.576707682</x:v>
      </x:c>
      <x:c r="K178" s="28" t="n">
        <x:v>4442.15231403836</x:v>
      </x:c>
      <x:c r="L178" s="28" t="n">
        <x:v>4442.15231403836</x:v>
      </x:c>
      <x:c r="M178" s="99"/>
    </x:row>
    <x:row r="179">
      <x:c r="C179" s="19" t="n">
        <x:v>44682</x:v>
      </x:c>
      <x:c r="D179" s="28" t="n">
        <x:v>108357.285271325</x:v>
      </x:c>
      <x:c r="E179" s="28" t="n">
        <x:v>35005.2630952866</x:v>
      </x:c>
      <x:c r="F179" s="28" t="n">
        <x:v>1884.4269778411</x:v>
      </x:c>
      <x:c r="G179" s="28"/>
      <x:c r="H179" s="28" t="n">
        <x:v>2686.35856026301</x:v>
      </x:c>
      <x:c r="I179" s="28"/>
      <x:c r="J179" s="28" t="n">
        <x:v>123853.803194564</x:v>
      </x:c>
      <x:c r="K179" s="28" t="n">
        <x:v>4570.78553810411</x:v>
      </x:c>
      <x:c r="L179" s="28" t="n">
        <x:v>4570.78553810411</x:v>
      </x:c>
      <x:c r="M179" s="99"/>
    </x:row>
    <x:row r="180">
      <x:c r="C180" s="19" t="n">
        <x:v>44713</x:v>
      </x:c>
      <x:c r="D180" s="28" t="n">
        <x:v>118723.990894534</x:v>
      </x:c>
      <x:c r="E180" s="28" t="n">
        <x:v>36390.7902981754</x:v>
      </x:c>
      <x:c r="F180" s="28" t="n">
        <x:v>1503.39236050411</x:v>
      </x:c>
      <x:c r="G180" s="28"/>
      <x:c r="H180" s="28" t="n">
        <x:v>2744.0456914411</x:v>
      </x:c>
      <x:c r="I180" s="28"/>
      <x:c r="J180" s="28" t="n">
        <x:v>132833.863001074</x:v>
      </x:c>
      <x:c r="K180" s="28" t="n">
        <x:v>4247.43805194521</x:v>
      </x:c>
      <x:c r="L180" s="28" t="n">
        <x:v>4247.43805194521</x:v>
      </x:c>
      <x:c r="M180" s="99"/>
    </x:row>
    <x:row r="181">
      <x:c r="C181" s="19" t="n">
        <x:v>44743</x:v>
      </x:c>
      <x:c r="D181" s="28" t="n">
        <x:v>121159.615932195</x:v>
      </x:c>
      <x:c r="E181" s="28" t="n">
        <x:v>36053.5630492353</x:v>
      </x:c>
      <x:c r="F181" s="28" t="n">
        <x:v>1626.668768</x:v>
      </x:c>
      <x:c r="G181" s="28"/>
      <x:c r="H181" s="28" t="n">
        <x:v>3076.45707923288</x:v>
      </x:c>
      <x:c r="I181" s="28"/>
      <x:c r="J181" s="28" t="n">
        <x:v>133718.851135123</x:v>
      </x:c>
      <x:c r="K181" s="28" t="n">
        <x:v>4703.12584723288</x:v>
      </x:c>
      <x:c r="L181" s="28" t="n">
        <x:v>4703.12584723288</x:v>
      </x:c>
      <x:c r="M181" s="99"/>
    </x:row>
    <x:row r="182">
      <x:c r="C182" s="19" t="n">
        <x:v>44774</x:v>
      </x:c>
      <x:c r="D182" s="28" t="n">
        <x:v>124115.28047713</x:v>
      </x:c>
      <x:c r="E182" s="28" t="n">
        <x:v>34794.3544167372</x:v>
      </x:c>
      <x:c r="F182" s="28" t="n">
        <x:v>2041.58279153973</x:v>
      </x:c>
      <x:c r="G182" s="28"/>
      <x:c r="H182" s="28" t="n">
        <x:v>3930.32946884384</x:v>
      </x:c>
      <x:c r="I182" s="28"/>
      <x:c r="J182" s="28" t="n">
        <x:v>138654.931690258</x:v>
      </x:c>
      <x:c r="K182" s="28" t="n">
        <x:v>5971.912260383569</x:v>
      </x:c>
      <x:c r="L182" s="28" t="n">
        <x:v>5971.912260383569</x:v>
      </x:c>
      <x:c r="M182" s="99"/>
    </x:row>
    <x:row r="183">
      <x:c r="C183" s="19" t="n">
        <x:v>44805</x:v>
      </x:c>
      <x:c r="D183" s="28" t="n">
        <x:v>117964.72608924</x:v>
      </x:c>
      <x:c r="E183" s="28" t="n">
        <x:v>33165.1950785359</x:v>
      </x:c>
      <x:c r="F183" s="28" t="n">
        <x:v>2291.63181326027</x:v>
      </x:c>
      <x:c r="G183" s="28"/>
      <x:c r="H183" s="28" t="n">
        <x:v>4103.86167092603</x:v>
      </x:c>
      <x:c r="I183" s="28"/>
      <x:c r="J183" s="28" t="n">
        <x:v>133333.465003836</x:v>
      </x:c>
      <x:c r="K183" s="28" t="n">
        <x:v>6395.4934841863</x:v>
      </x:c>
      <x:c r="L183" s="28" t="n">
        <x:v>6395.4934841863</x:v>
      </x:c>
      <x:c r="M183" s="99"/>
    </x:row>
    <x:row r="184">
      <x:c r="C184" s="19" t="n">
        <x:v>44835</x:v>
      </x:c>
      <x:c r="D184" s="28" t="n">
        <x:v>115200.810833734</x:v>
      </x:c>
      <x:c r="E184" s="28" t="n">
        <x:v>30334.7730485954</x:v>
      </x:c>
      <x:c r="F184" s="28" t="n">
        <x:v>2388.49700532603</x:v>
      </x:c>
      <x:c r="G184" s="28"/>
      <x:c r="H184" s="28" t="n">
        <x:v>4574.18887153973</x:v>
      </x:c>
      <x:c r="I184" s="28"/>
      <x:c r="J184" s="28" t="n">
        <x:v>134441.043715507</x:v>
      </x:c>
      <x:c r="K184" s="28" t="n">
        <x:v>6962.68587686576</x:v>
      </x:c>
      <x:c r="L184" s="28" t="n">
        <x:v>6962.68587686576</x:v>
      </x:c>
      <x:c r="M184" s="99"/>
    </x:row>
    <x:row r="185">
      <x:c r="C185" s="19" t="n">
        <x:v>44866</x:v>
      </x:c>
      <x:c r="D185" s="28" t="n">
        <x:v>107975.048266181</x:v>
      </x:c>
      <x:c r="E185" s="28" t="n">
        <x:v>31015.1158563236</x:v>
      </x:c>
      <x:c r="F185" s="28" t="n">
        <x:v>2540.38737884932</x:v>
      </x:c>
      <x:c r="G185" s="28"/>
      <x:c r="H185" s="28" t="n">
        <x:v>4790.99730972055</x:v>
      </x:c>
      <x:c r="I185" s="28"/>
      <x:c r="J185" s="28" t="n">
        <x:v>127172.724483507</x:v>
      </x:c>
      <x:c r="K185" s="28" t="n">
        <x:v>7331.38468856987</x:v>
      </x:c>
      <x:c r="L185" s="28" t="n">
        <x:v>7331.38468856987</x:v>
      </x:c>
      <x:c r="M185" s="99"/>
    </x:row>
    <x:row r="186">
      <x:c r="C186" s="19" t="n">
        <x:v>44896</x:v>
      </x:c>
      <x:c r="D186" s="28" t="n">
        <x:v>93337.229023338</x:v>
      </x:c>
      <x:c r="E186" s="28" t="n">
        <x:v>28805.7661125306</x:v>
      </x:c>
      <x:c r="F186" s="28" t="n">
        <x:v>2371.30105915616</x:v>
      </x:c>
      <x:c r="G186" s="28"/>
      <x:c r="H186" s="28" t="n">
        <x:v>4831.38185889315</x:v>
      </x:c>
      <x:c r="I186" s="28"/>
      <x:c r="J186" s="28" t="n">
        <x:v>111782.293604997</x:v>
      </x:c>
      <x:c r="K186" s="28" t="n">
        <x:v>7202.68291804931</x:v>
      </x:c>
      <x:c r="L186" s="28" t="n">
        <x:v>7202.68291804931</x:v>
      </x:c>
      <x:c r="M186" s="99"/>
    </x:row>
    <x:row r="187">
      <x:c r="C187" s="19" t="n">
        <x:v>44927</x:v>
      </x:c>
      <x:c r="D187" s="28" t="n">
        <x:v>80428.649877372</x:v>
      </x:c>
      <x:c r="E187" s="28" t="n">
        <x:v>27839.4585870566</x:v>
      </x:c>
      <x:c r="F187" s="28" t="n">
        <x:v>2246.68944786885</x:v>
      </x:c>
      <x:c r="G187" s="28"/>
      <x:c r="H187" s="28" t="n">
        <x:v>5286.78018098361</x:v>
      </x:c>
      <x:c r="I187" s="28"/>
      <x:c r="J187" s="28" t="n">
        <x:v>95502.7675348634</x:v>
      </x:c>
      <x:c r="K187" s="28" t="n">
        <x:v>7533.46962885246</x:v>
      </x:c>
      <x:c r="L187" s="28" t="n">
        <x:v>7533.46962885246</x:v>
      </x:c>
      <x:c r="M187" s="99"/>
    </x:row>
    <x:row r="188">
      <x:c r="C188" s="19" t="n">
        <x:v>44958</x:v>
      </x:c>
      <x:c r="D188" s="28" t="n">
        <x:v>94928.0577261821</x:v>
      </x:c>
      <x:c r="E188" s="28" t="n">
        <x:v>29979.2015456114</x:v>
      </x:c>
      <x:c r="F188" s="28" t="n">
        <x:v>2360.54896472131</x:v>
      </x:c>
      <x:c r="G188" s="28"/>
      <x:c r="H188" s="28" t="n">
        <x:v>5330.76295344262</x:v>
      </x:c>
      <x:c r="I188" s="28"/>
      <x:c r="J188" s="28" t="n">
        <x:v>109756.969698623</x:v>
      </x:c>
      <x:c r="K188" s="28" t="n">
        <x:v>7691.3119181639295</x:v>
      </x:c>
      <x:c r="L188" s="28" t="n">
        <x:v>7691.3119181639295</x:v>
      </x:c>
      <x:c r="M188" s="99"/>
    </x:row>
    <x:row r="189">
      <x:c r="C189" s="19" t="n">
        <x:v>44986</x:v>
      </x:c>
      <x:c r="D189" s="28" t="n">
        <x:v>90862.3011779233</x:v>
      </x:c>
      <x:c r="E189" s="28" t="n">
        <x:v>29097.0078303024</x:v>
      </x:c>
      <x:c r="F189" s="28" t="n">
        <x:v>2176.08743973771</x:v>
      </x:c>
      <x:c r="G189" s="28"/>
      <x:c r="H189" s="28" t="n">
        <x:v>5632.04482797814</x:v>
      </x:c>
      <x:c r="I189" s="28"/>
      <x:c r="J189" s="28" t="n">
        <x:v>104620.700498536</x:v>
      </x:c>
      <x:c r="K189" s="28" t="n">
        <x:v>7808.1322677158505</x:v>
      </x:c>
      <x:c r="L189" s="28" t="n">
        <x:v>7808.1322677158505</x:v>
      </x:c>
      <x:c r="M189" s="99"/>
    </x:row>
    <x:row r="190">
      <x:c r="C190" s="19" t="n">
        <x:v>45017</x:v>
      </x:c>
      <x:c r="D190" s="28" t="n">
        <x:v>89379.472800842</x:v>
      </x:c>
      <x:c r="E190" s="28" t="n">
        <x:v>27118.8137005969</x:v>
      </x:c>
      <x:c r="F190" s="28" t="n">
        <x:v>1884.54257311475</x:v>
      </x:c>
      <x:c r="G190" s="28"/>
      <x:c r="H190" s="28" t="n">
        <x:v>6592.68995497268</x:v>
      </x:c>
      <x:c r="I190" s="28"/>
      <x:c r="J190" s="28" t="n">
        <x:v>104571.543171497</x:v>
      </x:c>
      <x:c r="K190" s="28" t="n">
        <x:v>8477.23252808743</x:v>
      </x:c>
      <x:c r="L190" s="28" t="n">
        <x:v>8477.23252808743</x:v>
      </x:c>
      <x:c r="M190" s="99"/>
    </x:row>
    <x:row r="191">
      <x:c r="C191" s="19" t="n">
        <x:v>45047</x:v>
      </x:c>
      <x:c r="D191" s="28" t="n">
        <x:v>89818.8943085491</x:v>
      </x:c>
      <x:c r="E191" s="28" t="n">
        <x:v>26330.6170542406</x:v>
      </x:c>
      <x:c r="F191" s="28" t="n">
        <x:v>1789.52655318033</x:v>
      </x:c>
      <x:c r="G191" s="28"/>
      <x:c r="H191" s="28" t="n">
        <x:v>6817.75336778142</x:v>
      </x:c>
      <x:c r="I191" s="28"/>
      <x:c r="J191" s="28" t="n">
        <x:v>104373.43677412</x:v>
      </x:c>
      <x:c r="K191" s="28" t="n">
        <x:v>8607.27992096175</x:v>
      </x:c>
      <x:c r="L191" s="28" t="n">
        <x:v>8607.27992096175</x:v>
      </x:c>
      <x:c r="M191" s="99"/>
    </x:row>
    <x:row r="192">
      <x:c r="C192" s="19" t="n">
        <x:v>45078</x:v>
      </x:c>
      <x:c r="D192" s="28" t="n">
        <x:v>88021.4492638256</x:v>
      </x:c>
      <x:c r="E192" s="28" t="n">
        <x:v>25589.0167542496</x:v>
      </x:c>
      <x:c r="F192" s="28" t="n">
        <x:v>1580.67188668852</x:v>
      </x:c>
      <x:c r="G192" s="28"/>
      <x:c r="H192" s="28" t="n">
        <x:v>6699.03177302732</x:v>
      </x:c>
      <x:c r="I192" s="28"/>
      <x:c r="J192" s="28" t="n">
        <x:v>101431.863083366</x:v>
      </x:c>
      <x:c r="K192" s="28" t="n">
        <x:v>8279.70365971584</x:v>
      </x:c>
      <x:c r="L192" s="28" t="n">
        <x:v>8279.70365971584</x:v>
      </x:c>
      <x:c r="M192" s="99"/>
    </x:row>
    <x:row r="193">
      <x:c r="C193" s="19" t="n">
        <x:v>45108</x:v>
      </x:c>
      <x:c r="D193" s="28" t="n">
        <x:v>85807.5464401881</x:v>
      </x:c>
      <x:c r="E193" s="28" t="n">
        <x:v>25474.4542968395</x:v>
      </x:c>
      <x:c r="F193" s="28" t="n">
        <x:v>1649.07153206557</x:v>
      </x:c>
      <x:c r="G193" s="28"/>
      <x:c r="H193" s="28" t="n">
        <x:v>6490.38058177049</x:v>
      </x:c>
      <x:c r="I193" s="28"/>
      <x:c r="J193" s="28" t="n">
        <x:v>100994.218554754</x:v>
      </x:c>
      <x:c r="K193" s="28" t="n">
        <x:v>8139.45211383606</x:v>
      </x:c>
      <x:c r="L193" s="28" t="n">
        <x:v>8139.45211383606</x:v>
      </x:c>
      <x:c r="M193" s="99"/>
    </x:row>
    <x:row r="194">
      <x:c r="C194" s="19" t="n">
        <x:v>45139</x:v>
      </x:c>
      <x:c r="D194" s="28" t="n">
        <x:v>89188.3903361264</x:v>
      </x:c>
      <x:c r="E194" s="28" t="n">
        <x:v>26642.1568551732</x:v>
      </x:c>
      <x:c r="F194" s="28" t="n">
        <x:v>1447.866688</x:v>
      </x:c>
      <x:c r="G194" s="28"/>
      <x:c r="H194" s="28" t="n">
        <x:v>6945.33666133333</x:v>
      </x:c>
      <x:c r="I194" s="28"/>
      <x:c r="J194" s="28" t="n">
        <x:v>104766.999210667</x:v>
      </x:c>
      <x:c r="K194" s="28" t="n">
        <x:v>8393.20334933333</x:v>
      </x:c>
      <x:c r="L194" s="28" t="n">
        <x:v>8393.20334933333</x:v>
      </x:c>
      <x:c r="M194" s="99"/>
    </x:row>
    <x:row r="195">
      <x:c r="C195" s="19" t="n">
        <x:v>45170</x:v>
      </x:c>
      <x:c r="D195" s="28" t="n">
        <x:v>88112.2523560734</x:v>
      </x:c>
      <x:c r="E195" s="28" t="n">
        <x:v>27437.4493531088</x:v>
      </x:c>
      <x:c r="F195" s="28" t="n">
        <x:v>1526.93139409836</x:v>
      </x:c>
      <x:c r="G195" s="28"/>
      <x:c r="H195" s="28" t="n">
        <x:v>7616.53837219672</x:v>
      </x:c>
      <x:c r="I195" s="28" t="n">
        <x:v>1546.284864</x:v>
      </x:c>
      <x:c r="J195" s="28" t="n">
        <x:v>104374.823415607</x:v>
      </x:c>
      <x:c r="K195" s="28" t="n">
        <x:v>10689.75463029508</x:v>
      </x:c>
      <x:c r="L195" s="28" t="n">
        <x:v>9143.46976629508</x:v>
      </x:c>
      <x:c r="M195" s="99"/>
    </x:row>
    <x:row r="196">
      <x:c r="C196" s="19" t="n">
        <x:v>45200</x:v>
      </x:c>
      <x:c r="D196" s="28" t="n">
        <x:v>94220.0116327529</x:v>
      </x:c>
      <x:c r="E196" s="28" t="n">
        <x:v>29781.0872283543</x:v>
      </x:c>
      <x:c r="F196" s="28" t="n">
        <x:v>1863.870336</x:v>
      </x:c>
      <x:c r="G196" s="28"/>
      <x:c r="H196" s="28" t="n">
        <x:v>8429.58848</x:v>
      </x:c>
      <x:c r="I196" s="28" t="n">
        <x:v>1658.051648</x:v>
      </x:c>
      <x:c r="J196" s="28" t="n">
        <x:v>111768.498176</x:v>
      </x:c>
      <x:c r="K196" s="28" t="n">
        <x:v>11951.510464</x:v>
      </x:c>
      <x:c r="L196" s="28" t="n">
        <x:v>10293.458816</x:v>
      </x:c>
      <x:c r="M196" s="99"/>
    </x:row>
    <x:row r="197">
      <x:c r="C197" s="19" t="n">
        <x:v>45231</x:v>
      </x:c>
      <x:c r="D197" s="28" t="n">
        <x:v>95337.0918038371</x:v>
      </x:c>
      <x:c r="E197" s="28" t="n">
        <x:v>28689.2337264073</x:v>
      </x:c>
      <x:c r="F197" s="28" t="n">
        <x:v>1935.90676161749</x:v>
      </x:c>
      <x:c r="G197" s="28"/>
      <x:c r="H197" s="28" t="n">
        <x:v>8443.70036528962</x:v>
      </x:c>
      <x:c r="I197" s="28" t="n">
        <x:v>1698.36211794536</x:v>
      </x:c>
      <x:c r="J197" s="28" t="n">
        <x:v>111996.671966426</x:v>
      </x:c>
      <x:c r="K197" s="28" t="n">
        <x:v>12077.969244852471</x:v>
      </x:c>
      <x:c r="L197" s="28" t="n">
        <x:v>10379.60712690711</x:v>
      </x:c>
      <x:c r="M197" s="99"/>
    </x:row>
    <x:row r="198">
      <x:c r="C198" s="19" t="n">
        <x:v>45261</x:v>
      </x:c>
      <x:c r="D198" s="28" t="n">
        <x:v>100187.538338538</x:v>
      </x:c>
      <x:c r="E198" s="28" t="n">
        <x:v>29546.262293585</x:v>
      </x:c>
      <x:c r="F198" s="28" t="n">
        <x:v>1816.09713119126</x:v>
      </x:c>
      <x:c r="G198" s="28"/>
      <x:c r="H198" s="28" t="n">
        <x:v>7682.22928437158</x:v>
      </x:c>
      <x:c r="I198" s="28" t="n">
        <x:v>1473.36274780328</x:v>
      </x:c>
      <x:c r="J198" s="28" t="n">
        <x:v>117169.818058842</x:v>
      </x:c>
      <x:c r="K198" s="28" t="n">
        <x:v>10971.68916336612</x:v>
      </x:c>
      <x:c r="L198" s="28" t="n">
        <x:v>9498.32641556284</x:v>
      </x:c>
      <x:c r="M198" s="99"/>
    </x:row>
    <x:row r="199">
      <x:c r="C199" s="19" t="n">
        <x:v>45292</x:v>
      </x:c>
      <x:c r="D199" s="28" t="n">
        <x:v>95929.1657568959</x:v>
      </x:c>
      <x:c r="E199" s="28" t="n">
        <x:v>29813.1328602194</x:v>
      </x:c>
      <x:c r="F199" s="28" t="n">
        <x:v>1670.51181939726</x:v>
      </x:c>
      <x:c r="G199" s="28"/>
      <x:c r="H199" s="28" t="n">
        <x:v>7507.26903583562</x:v>
      </x:c>
      <x:c r="I199" s="28" t="n">
        <x:v>1426.03138454795</x:v>
      </x:c>
      <x:c r="J199" s="28" t="n">
        <x:v>111066.214119452</x:v>
      </x:c>
      <x:c r="K199" s="28" t="n">
        <x:v>10603.812239780831</x:v>
      </x:c>
      <x:c r="L199" s="28" t="n">
        <x:v>9177.78085523288</x:v>
      </x:c>
      <x:c r="M199" s="99"/>
    </x:row>
    <x:row r="200">
      <x:c r="C200" s="19" t="n">
        <x:v>45323</x:v>
      </x:c>
      <x:c r="D200" s="28" t="n">
        <x:v>95003.5372743322</x:v>
      </x:c>
      <x:c r="E200" s="28" t="n">
        <x:v>29187.809850116</x:v>
      </x:c>
      <x:c r="F200" s="28" t="n">
        <x:v>1528.11175907945</x:v>
      </x:c>
      <x:c r="G200" s="28"/>
      <x:c r="H200" s="28" t="n">
        <x:v>7429.97645396164</x:v>
      </x:c>
      <x:c r="I200" s="28" t="n">
        <x:v>1364.35272170959</x:v>
      </x:c>
      <x:c r="J200" s="28" t="n">
        <x:v>110178.972960964</x:v>
      </x:c>
      <x:c r="K200" s="28" t="n">
        <x:v>10322.44093475068</x:v>
      </x:c>
      <x:c r="L200" s="28" t="n">
        <x:v>8958.08821304109</x:v>
      </x:c>
      <x:c r="M200" s="99"/>
    </x:row>
    <x:row r="201">
      <x:c r="C201" s="19" t="n">
        <x:v>45352</x:v>
      </x:c>
      <x:c r="D201" s="28" t="n">
        <x:v>91684.1681568982</x:v>
      </x:c>
      <x:c r="E201" s="28" t="n">
        <x:v>27849.5495720741</x:v>
      </x:c>
      <x:c r="F201" s="28" t="n">
        <x:v>1754.27628536986</x:v>
      </x:c>
      <x:c r="G201" s="28"/>
      <x:c r="H201" s="28" t="n">
        <x:v>6999.60417770959</x:v>
      </x:c>
      <x:c r="I201" s="28" t="n">
        <x:v>1341.47930546849</x:v>
      </x:c>
      <x:c r="J201" s="28" t="n">
        <x:v>109209.028063737</x:v>
      </x:c>
      <x:c r="K201" s="28" t="n">
        <x:v>10095.35976854794</x:v>
      </x:c>
      <x:c r="L201" s="28" t="n">
        <x:v>8753.88046307945</x:v>
      </x:c>
      <x:c r="M201" s="99"/>
    </x:row>
    <x:row r="202">
      <x:c r="C202" s="19" t="n">
        <x:v>45383</x:v>
      </x:c>
      <x:c r="D202" s="28" t="n">
        <x:v>100424.801224771</x:v>
      </x:c>
      <x:c r="E202" s="28" t="n">
        <x:v>30546.3561837988</x:v>
      </x:c>
      <x:c r="F202" s="28" t="n">
        <x:v>2033.58868865753</x:v>
      </x:c>
      <x:c r="G202" s="28"/>
      <x:c r="H202" s="28" t="n">
        <x:v>7539.21388010959</x:v>
      </x:c>
      <x:c r="I202" s="28" t="n">
        <x:v>1233.10124887671</x:v>
      </x:c>
      <x:c r="J202" s="28" t="n">
        <x:v>117013.356880658</x:v>
      </x:c>
      <x:c r="K202" s="28" t="n">
        <x:v>10805.90381764383</x:v>
      </x:c>
      <x:c r="L202" s="28" t="n">
        <x:v>9572.80256876712</x:v>
      </x:c>
      <x:c r="M202" s="99"/>
    </x:row>
    <x:row r="203">
      <x:c r="C203" s="19" t="n">
        <x:v>45413</x:v>
      </x:c>
      <x:c r="D203" s="28" t="n">
        <x:v>96521.7555952557</x:v>
      </x:c>
      <x:c r="E203" s="28" t="n">
        <x:v>29622.1865202115</x:v>
      </x:c>
      <x:c r="F203" s="28" t="n">
        <x:v>1960.49130257534</x:v>
      </x:c>
      <x:c r="G203" s="28"/>
      <x:c r="H203" s="28" t="n">
        <x:v>7400.50596120548</x:v>
      </x:c>
      <x:c r="I203" s="28" t="n">
        <x:v>1316.03452072329</x:v>
      </x:c>
      <x:c r="J203" s="28" t="n">
        <x:v>112242.988769841</x:v>
      </x:c>
      <x:c r="K203" s="28" t="n">
        <x:v>10677.03178450411</x:v>
      </x:c>
      <x:c r="L203" s="28" t="n">
        <x:v>9360.99726378082</x:v>
      </x:c>
      <x:c r="M203" s="99"/>
    </x:row>
    <x:row r="204">
      <x:c r="C204" s="19" t="n">
        <x:v>45444</x:v>
      </x:c>
      <x:c r="D204" s="28" t="n">
        <x:v>91041.7098165104</x:v>
      </x:c>
      <x:c r="E204" s="28" t="n">
        <x:v>29058.4153921932</x:v>
      </x:c>
      <x:c r="F204" s="28" t="n">
        <x:v>1956.9395270137</x:v>
      </x:c>
      <x:c r="G204" s="28"/>
      <x:c r="H204" s="28" t="n">
        <x:v>7269.48356348493</x:v>
      </x:c>
      <x:c r="I204" s="28" t="n">
        <x:v>1277.93129906849</x:v>
      </x:c>
      <x:c r="J204" s="28" t="n">
        <x:v>106349.603147047</x:v>
      </x:c>
      <x:c r="K204" s="28" t="n">
        <x:v>10504.35438956712</x:v>
      </x:c>
      <x:c r="L204" s="28" t="n">
        <x:v>9226.423090498629</x:v>
      </x:c>
      <x:c r="M204" s="99"/>
    </x:row>
    <x:row r="205">
      <x:c r="C205" s="19" t="n">
        <x:v>45474</x:v>
      </x:c>
      <x:c r="D205" s="28" t="n">
        <x:v>101998.068524759</x:v>
      </x:c>
      <x:c r="E205" s="28" t="n">
        <x:v>30154.9579791481</x:v>
      </x:c>
      <x:c r="F205" s="28" t="n">
        <x:v>2162.57608065753</x:v>
      </x:c>
      <x:c r="G205" s="28"/>
      <x:c r="H205" s="28" t="n">
        <x:v>6812.78445904658</x:v>
      </x:c>
      <x:c r="I205" s="28" t="n">
        <x:v>1246.91837475068</x:v>
      </x:c>
      <x:c r="J205" s="28" t="n">
        <x:v>120957.61062926</x:v>
      </x:c>
      <x:c r="K205" s="28" t="n">
        <x:v>10222.27891445479</x:v>
      </x:c>
      <x:c r="L205" s="28" t="n">
        <x:v>8975.36053970411</x:v>
      </x:c>
      <x:c r="M205" s="99"/>
    </x:row>
    <x:row r="206">
      <x:c r="C206" s="19" t="n">
        <x:v>45505</x:v>
      </x:c>
      <x:c r="D206" s="28" t="n">
        <x:v>94043.860382815</x:v>
      </x:c>
      <x:c r="E206" s="28" t="n">
        <x:v>28540.2016501304</x:v>
      </x:c>
      <x:c r="F206" s="28" t="n">
        <x:v>2531.27965755616</x:v>
      </x:c>
      <x:c r="G206" s="28"/>
      <x:c r="H206" s="28" t="n">
        <x:v>6694.9791673863</x:v>
      </x:c>
      <x:c r="I206" s="28" t="n">
        <x:v>1127.87945205479</x:v>
      </x:c>
      <x:c r="J206" s="28" t="n">
        <x:v>110163.620861195</x:v>
      </x:c>
      <x:c r="K206" s="28" t="n">
        <x:v>10354.138276997252</x:v>
      </x:c>
      <x:c r="L206" s="28" t="n">
        <x:v>9226.25882494246</x:v>
      </x:c>
      <x:c r="M206" s="99"/>
    </x:row>
    <x:row r="207">
      <x:c r="C207" s="19" t="n">
        <x:v>45536</x:v>
      </x:c>
      <x:c r="D207" s="28" t="n">
        <x:v>85356.3788830976</x:v>
      </x:c>
      <x:c r="E207" s="28" t="n">
        <x:v>27009.5597759625</x:v>
      </x:c>
      <x:c r="F207" s="28" t="n">
        <x:v>3226.89890121644</x:v>
      </x:c>
      <x:c r="G207" s="28"/>
      <x:c r="H207" s="28" t="n">
        <x:v>6547.32646961096</x:v>
      </x:c>
      <x:c r="I207" s="28" t="n">
        <x:v>1137.97736539178</x:v>
      </x:c>
      <x:c r="J207" s="28" t="n">
        <x:v>100261.33363726</x:v>
      </x:c>
      <x:c r="K207" s="28" t="n">
        <x:v>10912.20273621918</x:v>
      </x:c>
      <x:c r="L207" s="28" t="n">
        <x:v>9774.2253708274</x:v>
      </x:c>
      <x:c r="M207" s="99"/>
    </x:row>
    <x:row r="208">
      <x:c r="C208" s="19" t="n">
        <x:v>45566</x:v>
      </x:c>
      <x:c r="D208" s="28" t="n">
        <x:v>89788.7905143947</x:v>
      </x:c>
      <x:c r="E208" s="28" t="n">
        <x:v>27629.9364588461</x:v>
      </x:c>
      <x:c r="F208" s="28" t="n">
        <x:v>2984.25161792877</x:v>
      </x:c>
      <x:c r="G208" s="28"/>
      <x:c r="H208" s="28" t="n">
        <x:v>6485.1228531726</x:v>
      </x:c>
      <x:c r="I208" s="28" t="n">
        <x:v>1055.88435690959</x:v>
      </x:c>
      <x:c r="J208" s="28" t="n">
        <x:v>104809.442396581</x:v>
      </x:c>
      <x:c r="K208" s="28" t="n">
        <x:v>10525.25882801096</x:v>
      </x:c>
      <x:c r="L208" s="28" t="n">
        <x:v>9469.37447110137</x:v>
      </x:c>
      <x:c r="M208" s="99"/>
    </x:row>
    <x:row r="209">
      <x:c r="C209" s="19" t="n">
        <x:v>45597</x:v>
      </x:c>
      <x:c r="D209" s="28" t="n">
        <x:v>94491.8943942642</x:v>
      </x:c>
      <x:c r="E209" s="28" t="n">
        <x:v>29600.8240345202</x:v>
      </x:c>
      <x:c r="F209" s="28" t="n">
        <x:v>3064.40596900822</x:v>
      </x:c>
      <x:c r="G209" s="28"/>
      <x:c r="H209" s="28" t="n">
        <x:v>6366.21684848219</x:v>
      </x:c>
      <x:c r="I209" s="28" t="n">
        <x:v>1085.16334325479</x:v>
      </x:c>
      <x:c r="J209" s="28" t="n">
        <x:v>109291.340741085</x:v>
      </x:c>
      <x:c r="K209" s="28" t="n">
        <x:v>10515.7861607452</x:v>
      </x:c>
      <x:c r="L209" s="28" t="n">
        <x:v>9430.62281749041</x:v>
      </x:c>
      <x:c r="M209" s="99"/>
    </x:row>
    <x:row r="210">
      <x:c r="C210" s="19" t="n">
        <x:v>45627</x:v>
      </x:c>
      <x:c r="D210" s="28" t="n">
        <x:v>96035.6918860495</x:v>
      </x:c>
      <x:c r="E210" s="28" t="n">
        <x:v>29864.4831072854</x:v>
      </x:c>
      <x:c r="F210" s="28" t="n">
        <x:v>2403.109888</x:v>
      </x:c>
      <x:c r="G210" s="28"/>
      <x:c r="H210" s="28" t="n">
        <x:v>5305.639936</x:v>
      </x:c>
      <x:c r="I210" s="28" t="n">
        <x:v>998.428992</x:v>
      </x:c>
      <x:c r="J210" s="28" t="n">
        <x:v>112997.998592</x:v>
      </x:c>
      <x:c r="K210" s="28" t="n">
        <x:v>8707.178816</x:v>
      </x:c>
      <x:c r="L210" s="28" t="n">
        <x:v>7708.7498239999995</x:v>
      </x:c>
      <x:c r="M210" s="99"/>
    </x:row>
    <x:row r="211">
      <x:c r="C211" s="19" t="n">
        <x:v>45658</x:v>
      </x:c>
      <x:c r="D211" s="28" t="n">
        <x:v>97370.6448217801</x:v>
      </x:c>
      <x:c r="E211" s="28" t="n">
        <x:v>29278.3468063418</x:v>
      </x:c>
      <x:c r="F211" s="28" t="n">
        <x:v>2318.00409494795</x:v>
      </x:c>
      <x:c r="G211" s="28"/>
      <x:c r="H211" s="28" t="n">
        <x:v>4891.4213817863</x:v>
      </x:c>
      <x:c r="I211" s="28" t="n">
        <x:v>1038.83838001096</x:v>
      </x:c>
      <x:c r="J211" s="28" t="n">
        <x:v>114077.482671342</x:v>
      </x:c>
      <x:c r="K211" s="28" t="n">
        <x:v>8248.26385674521</x:v>
      </x:c>
      <x:c r="L211" s="28" t="n">
        <x:v>7209.42547673425</x:v>
      </x:c>
      <x:c r="M211" s="99"/>
    </x:row>
    <x:row r="212">
      <x:c r="C212" s="19" t="n">
        <x:v>45689</x:v>
      </x:c>
      <x:c r="D212" s="28" t="n">
        <x:v>99413.2251526841</x:v>
      </x:c>
      <x:c r="E212" s="28" t="n">
        <x:v>29436.8131068519</x:v>
      </x:c>
      <x:c r="F212" s="28" t="n">
        <x:v>2455.0280332274</x:v>
      </x:c>
      <x:c r="G212" s="28"/>
      <x:c r="H212" s="28" t="n">
        <x:v>4966.23884905206</x:v>
      </x:c>
      <x:c r="I212" s="28" t="n">
        <x:v>1016.26655316164</x:v>
      </x:c>
      <x:c r="J212" s="28" t="n">
        <x:v>115777.270893414</x:v>
      </x:c>
      <x:c r="K212" s="28" t="n">
        <x:v>8437.5334354411</x:v>
      </x:c>
      <x:c r="L212" s="28" t="n">
        <x:v>7421.26688227946</x:v>
      </x:c>
      <x:c r="M212" s="99"/>
    </x:row>
    <x:row r="213">
      <x:c r="C213" s="19" t="n">
        <x:v>45717</x:v>
      </x:c>
      <x:c r="D213" s="28" t="n">
        <x:v>97594.9241391287</x:v>
      </x:c>
      <x:c r="E213" s="28" t="n">
        <x:v>29278.2496750191</x:v>
      </x:c>
      <x:c r="F213" s="28" t="n">
        <x:v>2466.40395221918</x:v>
      </x:c>
      <x:c r="G213" s="28"/>
      <x:c r="H213" s="28" t="n">
        <x:v>5047.15118465753</x:v>
      </x:c>
      <x:c r="I213" s="28" t="n">
        <x:v>1017.65637961644</x:v>
      </x:c>
      <x:c r="J213" s="28" t="n">
        <x:v>114436.165014795</x:v>
      </x:c>
      <x:c r="K213" s="28" t="n">
        <x:v>8531.21151649315</x:v>
      </x:c>
      <x:c r="L213" s="28" t="n">
        <x:v>7513.55513687671</x:v>
      </x:c>
      <x:c r="M213" s="99"/>
    </x:row>
    <x:row r="214">
      <x:c r="C214" s="19" t="n">
        <x:v>45748</x:v>
      </x:c>
      <x:c r="D214" s="28" t="n">
        <x:v>83356.3737068637</x:v>
      </x:c>
      <x:c r="E214" s="28" t="n">
        <x:v>24365.0599452765</x:v>
      </x:c>
      <x:c r="F214" s="28" t="n">
        <x:v>2036.07574794521</x:v>
      </x:c>
      <x:c r="G214" s="28"/>
      <x:c r="H214" s="28" t="n">
        <x:v>4503.34595857534</x:v>
      </x:c>
      <x:c r="I214" s="28" t="n">
        <x:v>761.569511452055</x:v>
      </x:c>
      <x:c r="J214" s="28" t="n">
        <x:v>98053.5517071781</x:v>
      </x:c>
      <x:c r="K214" s="28" t="n">
        <x:v>7300.991217972605</x:v>
      </x:c>
      <x:c r="L214" s="28" t="n">
        <x:v>6539.42170652055</x:v>
      </x:c>
      <x:c r="M214" s="99"/>
    </x:row>
    <x:row r="215">
      <x:c r="C215" s="19" t="n">
        <x:v>45778</x:v>
      </x:c>
      <x:c r="D215" s="28" t="n">
        <x:v>79562.9342821914</x:v>
      </x:c>
      <x:c r="E215" s="28" t="n">
        <x:v>24243.1191738377</x:v>
      </x:c>
      <x:c r="F215" s="28" t="n">
        <x:v>2003.64970432877</x:v>
      </x:c>
      <x:c r="G215" s="28"/>
      <x:c r="H215" s="28" t="n">
        <x:v>4789.5121709589</x:v>
      </x:c>
      <x:c r="I215" s="28" t="n">
        <x:v>763.047087342466</x:v>
      </x:c>
      <x:c r="J215" s="28" t="n">
        <x:v>93733.7573768767</x:v>
      </x:c>
      <x:c r="K215" s="28" t="n">
        <x:v>7556.208962630137</x:v>
      </x:c>
      <x:c r="L215" s="28" t="n">
        <x:v>6793.16187528767</x:v>
      </x:c>
      <x:c r="M215" s="99"/>
    </x:row>
    <x:row r="216">
      <x:c r="C216" s="19" t="n">
        <x:v>45809</x:v>
      </x:c>
      <x:c r="D216" s="28" t="n">
        <x:v>78934.8227791654</x:v>
      </x:c>
      <x:c r="E216" s="28" t="n">
        <x:v>24371.6745925219</x:v>
      </x:c>
      <x:c r="F216" s="28" t="n">
        <x:v>2026.30281398356</x:v>
      </x:c>
      <x:c r="G216" s="28"/>
      <x:c r="H216" s="28" t="n">
        <x:v>5165.29689109041</x:v>
      </x:c>
      <x:c r="I216" s="28" t="n">
        <x:v>779.811342728767</x:v>
      </x:c>
      <x:c r="J216" s="28" t="n">
        <x:v>93223.5627814575</x:v>
      </x:c>
      <x:c r="K216" s="28" t="n">
        <x:v>7971.411047802737</x:v>
      </x:c>
      <x:c r="L216" s="28" t="n">
        <x:v>7191.59970507397</x:v>
      </x:c>
      <x:c r="M216" s="99"/>
    </x:row>
    <x:row r="217">
      <x:c r="C217" s="19" t="n">
        <x:v>45839</x:v>
      </x:c>
      <x:c r="D217" s="28" t="n">
        <x:v>75155.5919994231</x:v>
      </x:c>
      <x:c r="E217" s="28" t="n">
        <x:v>24628.1186664759</x:v>
      </x:c>
      <x:c r="F217" s="28" t="n">
        <x:v>2092.18633854247</x:v>
      </x:c>
      <x:c r="G217" s="28"/>
      <x:c r="H217" s="28" t="n">
        <x:v>5187.7694905863</x:v>
      </x:c>
      <x:c r="I217" s="28" t="n">
        <x:v>746.945303671233</x:v>
      </x:c>
      <x:c r="J217" s="28" t="n">
        <x:v>88335.6600067507</x:v>
      </x:c>
      <x:c r="K217" s="28" t="n">
        <x:v>8026.901132800003</x:v>
      </x:c>
      <x:c r="L217" s="28" t="n">
        <x:v>7279.95582912877</x:v>
      </x:c>
      <x:c r="M217" s="99"/>
    </x:row>
    <x:row r="218">
      <x:c r="C218" s="19" t="n">
        <x:v>45870</x:v>
      </x:c>
      <x:c r="D218" s="28" t="n">
        <x:v>68013.3363593627</x:v>
      </x:c>
      <x:c r="E218" s="28" t="n">
        <x:v>22988.5333720822</x:v>
      </x:c>
      <x:c r="F218" s="28" t="n">
        <x:v>2041.9071021589</x:v>
      </x:c>
      <x:c r="G218" s="28"/>
      <x:c r="H218" s="28" t="n">
        <x:v>4946.72524554521</x:v>
      </x:c>
      <x:c r="I218" s="28" t="n">
        <x:v>688.346725347945</x:v>
      </x:c>
      <x:c r="J218" s="28" t="n">
        <x:v>79629.4530595068</x:v>
      </x:c>
      <x:c r="K218" s="28" t="n">
        <x:v>7676.979073052054</x:v>
      </x:c>
      <x:c r="L218" s="28" t="n">
        <x:v>6988.63234770411</x:v>
      </x:c>
      <x:c r="M218" s="99"/>
    </x:row>
    <x:row r="219">
      <x:c r="C219" s="19" t="n">
        <x:v>45901</x:v>
      </x:c>
      <x:c r="D219" s="28" t="n">
        <x:v>68570.3855872596</x:v>
      </x:c>
      <x:c r="E219" s="28" t="n">
        <x:v>22686.6585767034</x:v>
      </x:c>
      <x:c r="F219" s="28" t="n">
        <x:v>1968.94765869589</x:v>
      </x:c>
      <x:c r="G219" s="28"/>
      <x:c r="H219" s="28" t="n">
        <x:v>5281.06460230137</x:v>
      </x:c>
      <x:c r="I219" s="28" t="n">
        <x:v>644.623933019178</x:v>
      </x:c>
      <x:c r="J219" s="28" t="n">
        <x:v>80098.1294991781</x:v>
      </x:c>
      <x:c r="K219" s="28" t="n">
        <x:v>7894.636194016438</x:v>
      </x:c>
      <x:c r="L219" s="28" t="n">
        <x:v>7250.01226099726</x:v>
      </x:c>
      <x:c r="M219" s="99"/>
    </x:row>
    <x:row r="220">
      <x:c r="C220" s="19" t="n">
        <x:v>45931</x:v>
      </x:c>
      <x:c r="D220" s="28" t="n">
        <x:v>70552.6881284765</x:v>
      </x:c>
      <x:c r="E220" s="28" t="n">
        <x:v>23123.5735169821</x:v>
      </x:c>
      <x:c r="F220" s="28" t="n">
        <x:v>1620.55976819726</x:v>
      </x:c>
      <x:c r="G220" s="28"/>
      <x:c r="H220" s="28" t="n">
        <x:v>5060.33346349589</x:v>
      </x:c>
      <x:c r="I220" s="28" t="n">
        <x:v>613.924544175343</x:v>
      </x:c>
      <x:c r="J220" s="28" t="n">
        <x:v>82245.791194126</x:v>
      </x:c>
      <x:c r="K220" s="28" t="n">
        <x:v>7294.817775868492</x:v>
      </x:c>
      <x:c r="L220" s="28" t="n">
        <x:v>6680.89323169315</x:v>
      </x:c>
      <x:c r="M220" s="99"/>
    </x:row>
    <x:row r="221">
      <x:c r="C221" s="19" t="n">
        <x:v>45962</x:v>
      </x:c>
      <x:c r="D221" s="28" t="n">
        <x:v>64896.1894050892</x:v>
      </x:c>
      <x:c r="E221" s="28" t="n">
        <x:v>22764.3740478956</x:v>
      </x:c>
      <x:c r="F221" s="28" t="n">
        <x:v>1319.67258581918</x:v>
      </x:c>
      <x:c r="G221" s="28"/>
      <x:c r="H221" s="28" t="n">
        <x:v>5236.0928326137</x:v>
      </x:c>
      <x:c r="I221" s="28" t="n">
        <x:v>557.476712328767</x:v>
      </x:c>
      <x:c r="J221" s="28" t="n">
        <x:v>74888.7818015562</x:v>
      </x:c>
      <x:c r="K221" s="28" t="n">
        <x:v>7113.242130761648</x:v>
      </x:c>
      <x:c r="L221" s="28" t="n">
        <x:v>6555.76541843288</x:v>
      </x:c>
      <x:c r="M221" s="99"/>
    </x:row>
    <x:row r="222">
      <x:c r="C222" s="19" t="n">
        <x:v>45992</x:v>
      </x:c>
      <x:c r="D222" s="28" t="n">
        <x:v>60921.4262587754</x:v>
      </x:c>
      <x:c r="E222" s="28" t="n">
        <x:v>22859.1884169585</x:v>
      </x:c>
      <x:c r="F222" s="28" t="n">
        <x:v>1234.749952</x:v>
      </x:c>
      <x:c r="G222" s="28"/>
      <x:c r="H222" s="28" t="n">
        <x:v>4099.000064</x:v>
      </x:c>
      <x:c r="I222" s="28" t="n">
        <x:v>410.544992</x:v>
      </x:c>
      <x:c r="J222" s="28" t="n">
        <x:v>71944.6016</x:v>
      </x:c>
      <x:c r="K222" s="28" t="n">
        <x:v>5744.295008</x:v>
      </x:c>
      <x:c r="L222" s="28" t="n">
        <x:v>5333.750016</x:v>
      </x:c>
      <x:c r="M222" s="99"/>
    </x:row>
    <x:row r="223">
      <x:c r="C223" s="19" t="n">
        <x:v>46023</x:v>
      </x:c>
      <x:c r="D223" s="28" t="n">
        <x:v>59573.0775264635</x:v>
      </x:c>
      <x:c r="E223" s="28" t="n">
        <x:v>23899.0290112135</x:v>
      </x:c>
      <x:c r="F223" s="28" t="n">
        <x:v>1315.31102684931</x:v>
      </x:c>
      <x:c r="G223" s="28"/>
      <x:c r="H223" s="28" t="n">
        <x:v>4357.25712482192</x:v>
      </x:c>
      <x:c r="I223" s="28" t="n">
        <x:v>354.486971616438</x:v>
      </x:c>
      <x:c r="J223" s="28" t="n">
        <x:v>69518.9190908493</x:v>
      </x:c>
      <x:c r="K223" s="28" t="n">
        <x:v>6027.055123287668</x:v>
      </x:c>
      <x:c r="L223" s="28" t="n">
        <x:v>5672.56815167123</x:v>
      </x:c>
      <x:c r="M223" s="99"/>
    </x:row>
    <x:row r="224">
      <x:c r="C224" s="19" t="n">
        <x:v>46054</x:v>
      </x:c>
      <x:c r="D224" s="28" t="n">
        <x:v>67165.2136108715</x:v>
      </x:c>
      <x:c r="E224" s="28" t="n">
        <x:v>25065.0820117514</x:v>
      </x:c>
      <x:c r="F224" s="28" t="n">
        <x:v>1199.24954336438</x:v>
      </x:c>
      <x:c r="G224" s="28"/>
      <x:c r="H224" s="28" t="n">
        <x:v>4530.09320819726</x:v>
      </x:c>
      <x:c r="I224" s="28" t="n">
        <x:v>376.406389041096</x:v>
      </x:c>
      <x:c r="J224" s="28" t="n">
        <x:v>78513.4330865973</x:v>
      </x:c>
      <x:c r="K224" s="28" t="n">
        <x:v>6105.749140602736</x:v>
      </x:c>
      <x:c r="L224" s="28" t="n">
        <x:v>5729.3427515616395</x:v>
      </x:c>
      <x:c r="M224" s="99"/>
    </x:row>
    <x:row r="225">
      <x:c r="C225" s="19" t="n">
        <x:v>46082</x:v>
      </x:c>
      <x:c r="D225" s="28" t="n">
        <x:v>97087.7702336677</x:v>
      </x:c>
      <x:c r="E225" s="28" t="n">
        <x:v>31513.3955390524</x:v>
      </x:c>
      <x:c r="F225" s="28" t="n">
        <x:v>1697.98694224658</x:v>
      </x:c>
      <x:c r="G225" s="28"/>
      <x:c r="H225" s="28" t="n">
        <x:v>7481.34059134247</x:v>
      </x:c>
      <x:c r="I225" s="28" t="n">
        <x:v>422.313688986301</x:v>
      </x:c>
      <x:c r="J225" s="28" t="n">
        <x:v>112627.275467397</x:v>
      </x:c>
      <x:c r="K225" s="28" t="n">
        <x:v>9601.641222575352</x:v>
      </x:c>
      <x:c r="L225" s="28" t="n">
        <x:v>9179.32753358905</x:v>
      </x:c>
      <x:c r="M225" s="99"/>
    </x:row>
    <x:row r="226">
      <x:c r="C226" s="19" t="n">
        <x:v>46113</x:v>
      </x:c>
      <x:c r="D226" s="28" t="n">
        <x:v>107975.190914209</x:v>
      </x:c>
      <x:c r="E226" s="28" t="n">
        <x:v>33148.1585961502</x:v>
      </x:c>
      <x:c r="F226" s="28" t="n">
        <x:v>1775.81847145205</x:v>
      </x:c>
      <x:c r="G226" s="28"/>
      <x:c r="H226" s="28" t="n">
        <x:v>8639.0911929863</x:v>
      </x:c>
      <x:c r="I226" s="28" t="n">
        <x:v>616.684920986301</x:v>
      </x:c>
      <x:c r="J226" s="28" t="n">
        <x:v>124791.851092164</x:v>
      </x:c>
      <x:c r="K226" s="28" t="n">
        <x:v>11031.594585424651</x:v>
      </x:c>
      <x:c r="L226" s="28" t="n">
        <x:v>10414.90966443835</x:v>
      </x:c>
      <x:c r="M226" s="99"/>
    </x:row>
    <x:row r="227">
      <x:c r="C227" s="19" t="n">
        <x:v>46143</x:v>
      </x:c>
      <x:c r="D227" s="28" t="n">
        <x:v>106431.88100599</x:v>
      </x:c>
      <x:c r="E227" s="28" t="n">
        <x:v>31211.9427786988</x:v>
      </x:c>
      <x:c r="F227" s="28" t="n">
        <x:v>1721.20586660822</x:v>
      </x:c>
      <x:c r="G227" s="28"/>
      <x:c r="H227" s="28" t="n">
        <x:v>8158.51471605479</x:v>
      </x:c>
      <x:c r="I227" s="28" t="n">
        <x:v>623.862465753425</x:v>
      </x:c>
      <x:c r="J227" s="28" t="n">
        <x:v>126941.601410455</x:v>
      </x:c>
      <x:c r="K227" s="28" t="n">
        <x:v>10503.583048416436</x:v>
      </x:c>
      <x:c r="L227" s="28" t="n">
        <x:v>9879.72058266301</x:v>
      </x:c>
      <x:c r="M227" s="99"/>
    </x:row>
    <x:row r="228">
      <x:c r="C228" s="19" t="n">
        <x:v>46174</x:v>
      </x:c>
      <x:c r="D228" s="28" t="n">
        <x:v>104108.924582038</x:v>
      </x:c>
      <x:c r="E228" s="28" t="n">
        <x:v>29625.2963262043</x:v>
      </x:c>
      <x:c r="F228" s="28" t="n">
        <x:v>1544.89565983562</x:v>
      </x:c>
      <x:c r="G228" s="28"/>
      <x:c r="H228" s="28" t="n">
        <x:v>8552.46147331507</x:v>
      </x:c>
      <x:c r="I228" s="28" t="n">
        <x:v>612.102747528767</x:v>
      </x:c>
      <x:c r="J228" s="28" t="n">
        <x:v>123220.997723178</x:v>
      </x:c>
      <x:c r="K228" s="28" t="n">
        <x:v>10709.459880679457</x:v>
      </x:c>
      <x:c r="L228" s="28" t="n">
        <x:v>10097.35713315069</x:v>
      </x:c>
      <x:c r="M228" s="99"/>
    </x:row>
    <x:row r="229">
      <x:c r="C229" s="19" t="n">
        <x:v>46204</x:v>
      </x:c>
      <x:c r="D229" s="28" t="n">
        <x:v>105934.636028838</x:v>
      </x:c>
      <x:c r="E229" s="28" t="n">
        <x:v>30945.8759482539</x:v>
      </x:c>
      <x:c r="F229" s="28" t="n">
        <x:v>1321.8320268274001</x:v>
      </x:c>
      <x:c r="G229" s="28"/>
      <x:c r="H229" s="28" t="n">
        <x:v>8129.10462246575</x:v>
      </x:c>
      <x:c r="I229" s="28" t="n">
        <x:v>512.069933413699</x:v>
      </x:c>
      <x:c r="J229" s="28" t="n">
        <x:v>125102.000189721</x:v>
      </x:c>
      <x:c r="K229" s="28" t="n">
        <x:v>9963.00658270685</x:v>
      </x:c>
      <x:c r="L229" s="28" t="n">
        <x:v>9450.936649293151</x:v>
      </x:c>
      <x:c r="M229" s="99"/>
    </x:row>
    <x:row r="230">
      <x:c r="C230" s="19" t="n">
        <x:v>46235</x:v>
      </x:c>
      <x:c r="D230" s="28" t="n">
        <x:v>109063.633669519</x:v>
      </x:c>
      <x:c r="E230" s="28" t="n">
        <x:v>31474.8151694147</x:v>
      </x:c>
      <x:c r="F230" s="28" t="n">
        <x:v>1414.95880977534</x:v>
      </x:c>
      <x:c r="G230" s="28"/>
      <x:c r="H230" s="28" t="n">
        <x:v>7165.47762007671</x:v>
      </x:c>
      <x:c r="I230" s="28" t="n">
        <x:v>468.23050669589</x:v>
      </x:c>
      <x:c r="J230" s="28" t="n">
        <x:v>127708.484178762</x:v>
      </x:c>
      <x:c r="K230" s="28" t="n">
        <x:v>9048.666936547941</x:v>
      </x:c>
      <x:c r="L230" s="28" t="n">
        <x:v>8580.43642985205</x:v>
      </x:c>
      <x:c r="M230" s="99"/>
    </x:row>
    <x:row r="231">
      <x:c r="C231" s="20" t="n">
        <x:v>46266</x:v>
      </x:c>
      <x:c r="D231" s="29" t="n">
        <x:v>110049.060790029</x:v>
      </x:c>
      <x:c r="E231" s="29" t="n">
        <x:v>31592.4235889194</x:v>
      </x:c>
      <x:c r="F231" s="29" t="n">
        <x:v>1429.52633372055</x:v>
      </x:c>
      <x:c r="G231" s="29"/>
      <x:c r="H231" s="29" t="n">
        <x:v>7152.35121376438</x:v>
      </x:c>
      <x:c r="I231" s="29" t="n">
        <x:v>467.541994432877</x:v>
      </x:c>
      <x:c r="J231" s="29" t="n">
        <x:v>127881.287865162</x:v>
      </x:c>
      <x:c r="K231" s="29" t="n">
        <x:v>9049.419541917807</x:v>
      </x:c>
      <x:c r="L231" s="29" t="n">
        <x:v>8581.87754748493</x:v>
      </x:c>
      <x:c r="M231" s="99"/>
    </x:row>
    <x:row r="232">
      <x:c r="C232" s="99"/>
      <x:c r="D232" s="99"/>
      <x:c r="E232" s="99"/>
      <x:c r="F232" s="99"/>
      <x:c r="G232" s="99"/>
      <x:c r="H232" s="99"/>
      <x:c r="I232" s="99"/>
      <x:c r="J232" s="99"/>
      <x:c r="K232" s="99"/>
      <x:c r="L232" s="99"/>
      <x:c r="M232" s="99"/>
    </x:row>
    <x:row r="233">
      <x:c r="C233" s="74" t="str">
        <x:v>Base auxiliar do gráfico</x:v>
      </x:c>
      <x:c r="D233" s="75"/>
      <x:c r="E233" s="75"/>
      <x:c r="F233" s="75"/>
      <x:c r="G233" s="76"/>
      <x:c r="H233" s="99"/>
      <x:c r="I233" s="99"/>
      <x:c r="J233" s="99"/>
      <x:c r="K233" s="99"/>
      <x:c r="L233" s="99"/>
      <x:c r="M233" s="99"/>
    </x:row>
    <x:row r="234">
      <x:c r="C234" s="99"/>
      <x:c r="D234" s="99"/>
      <x:c r="E234" s="99"/>
      <x:c r="F234" s="99"/>
      <x:c r="G234" s="99"/>
      <x:c r="H234" s="99"/>
      <x:c r="I234" s="99"/>
      <x:c r="J234" s="99"/>
      <x:c r="K234" s="99"/>
      <x:c r="L234" s="99"/>
      <x:c r="M234" s="99"/>
    </x:row>
    <x:row r="235">
      <x:c r="C235" s="11" t="str">
        <x:v>month_label</x:v>
      </x:c>
      <x:c r="D235" s="11" t="str">
        <x:v>Energy reported</x:v>
      </x:c>
      <x:c r="E235" s="11" t="str">
        <x:v>Petrobras</x:v>
      </x:c>
      <x:c r="F235" s="11" t="str">
        <x:v>Ex-Petrobras dynamic</x:v>
      </x:c>
      <x:c r="G235" s="11" t="str">
        <x:v>Ex-Petrobras core (PRIO + Brava)</x:v>
      </x:c>
      <x:c r="H235" s="99"/>
      <x:c r="I235" s="99"/>
      <x:c r="J235" s="99"/>
      <x:c r="K235" s="99"/>
      <x:c r="L235" s="99"/>
      <x:c r="M235" s="99"/>
    </x:row>
    <x:row r="236">
      <x:c r="C236" s="6" t="str">
        <x:v>2008-01</x:v>
      </x:c>
      <x:c r="D236" s="6" t="n">
        <x:f>D7</x:f>
        <x:v>29432.8344127123</x:v>
      </x:c>
      <x:c r="E236" s="6" t="n">
        <x:f>J7</x:f>
        <x:v>29432.8344127123</x:v>
      </x:c>
      <x:c r="F236" s="6" t="n">
        <x:f>K7</x:f>
        <x:v>0</x:v>
      </x:c>
      <x:c r="G236" s="6" t="n">
        <x:f>L7</x:f>
        <x:v>0</x:v>
      </x:c>
      <x:c r="H236" s="99"/>
      <x:c r="I236" s="99"/>
      <x:c r="J236" s="99"/>
      <x:c r="K236" s="99"/>
      <x:c r="L236" s="99"/>
      <x:c r="M236" s="99"/>
    </x:row>
    <x:row r="237">
      <x:c r="C237" s="6" t="str">
        <x:v>2008-02</x:v>
      </x:c>
      <x:c r="D237" s="6" t="n">
        <x:f>D8</x:f>
        <x:v>29645.2019747068</x:v>
      </x:c>
      <x:c r="E237" s="6" t="n">
        <x:f>J8</x:f>
        <x:v>29645.2019747068</x:v>
      </x:c>
      <x:c r="F237" s="6" t="n">
        <x:f>K8</x:f>
        <x:v>0</x:v>
      </x:c>
      <x:c r="G237" s="6" t="n">
        <x:f>L8</x:f>
        <x:v>0</x:v>
      </x:c>
      <x:c r="H237" s="99"/>
      <x:c r="I237" s="99"/>
      <x:c r="J237" s="99"/>
      <x:c r="K237" s="99"/>
      <x:c r="L237" s="99"/>
      <x:c r="M237" s="99"/>
    </x:row>
    <x:row r="238">
      <x:c r="C238" s="6" t="str">
        <x:v>2008-03</x:v>
      </x:c>
      <x:c r="D238" s="6" t="n">
        <x:f>D9</x:f>
        <x:v>30769.5536604932</x:v>
      </x:c>
      <x:c r="E238" s="6" t="n">
        <x:f>J9</x:f>
        <x:v>30769.5536604932</x:v>
      </x:c>
      <x:c r="F238" s="6" t="n">
        <x:f>K9</x:f>
        <x:v>0</x:v>
      </x:c>
      <x:c r="G238" s="6" t="n">
        <x:f>L9</x:f>
        <x:v>0</x:v>
      </x:c>
      <x:c r="H238" s="99"/>
      <x:c r="I238" s="99"/>
      <x:c r="J238" s="99"/>
      <x:c r="K238" s="99"/>
      <x:c r="L238" s="99"/>
      <x:c r="M238" s="99"/>
    </x:row>
    <x:row r="239">
      <x:c r="C239" s="6" t="str">
        <x:v>2008-04</x:v>
      </x:c>
      <x:c r="D239" s="6" t="n">
        <x:f>D10</x:f>
        <x:v>30957.4695837808</x:v>
      </x:c>
      <x:c r="E239" s="6" t="n">
        <x:f>J10</x:f>
        <x:v>30957.4695837808</x:v>
      </x:c>
      <x:c r="F239" s="6" t="n">
        <x:f>K10</x:f>
        <x:v>0</x:v>
      </x:c>
      <x:c r="G239" s="6" t="n">
        <x:f>L10</x:f>
        <x:v>0</x:v>
      </x:c>
      <x:c r="H239" s="99"/>
      <x:c r="I239" s="99"/>
      <x:c r="J239" s="99"/>
      <x:c r="K239" s="99"/>
      <x:c r="L239" s="99"/>
      <x:c r="M239" s="99"/>
    </x:row>
    <x:row r="240">
      <x:c r="C240" s="6" t="str">
        <x:v>2008-05</x:v>
      </x:c>
      <x:c r="D240" s="6" t="n">
        <x:f>D11</x:f>
        <x:v>32324.6684019726</x:v>
      </x:c>
      <x:c r="E240" s="6" t="n">
        <x:f>J11</x:f>
        <x:v>32324.6684019726</x:v>
      </x:c>
      <x:c r="F240" s="6" t="n">
        <x:f>K11</x:f>
        <x:v>0</x:v>
      </x:c>
      <x:c r="G240" s="6" t="n">
        <x:f>L11</x:f>
        <x:v>0</x:v>
      </x:c>
      <x:c r="H240" s="99"/>
      <x:c r="I240" s="99"/>
      <x:c r="J240" s="99"/>
      <x:c r="K240" s="99"/>
      <x:c r="L240" s="99"/>
      <x:c r="M240" s="99"/>
    </x:row>
    <x:row r="241">
      <x:c r="C241" s="6" t="str">
        <x:v>2008-06</x:v>
      </x:c>
      <x:c r="D241" s="6" t="n">
        <x:f>D12</x:f>
        <x:v>32989.7392997699</x:v>
      </x:c>
      <x:c r="E241" s="6" t="n">
        <x:f>J12</x:f>
        <x:v>32989.7392997699</x:v>
      </x:c>
      <x:c r="F241" s="6" t="n">
        <x:f>K12</x:f>
        <x:v>0</x:v>
      </x:c>
      <x:c r="G241" s="6" t="n">
        <x:f>L12</x:f>
        <x:v>0</x:v>
      </x:c>
      <x:c r="H241" s="99"/>
      <x:c r="I241" s="99"/>
      <x:c r="J241" s="99"/>
      <x:c r="K241" s="99"/>
      <x:c r="L241" s="99"/>
      <x:c r="M241" s="99"/>
    </x:row>
    <x:row r="242">
      <x:c r="C242" s="6" t="str">
        <x:v>2008-07</x:v>
      </x:c>
      <x:c r="D242" s="6" t="n">
        <x:f>D13</x:f>
        <x:v>34314.9850455671</x:v>
      </x:c>
      <x:c r="E242" s="6" t="n">
        <x:f>J13</x:f>
        <x:v>34314.9850455671</x:v>
      </x:c>
      <x:c r="F242" s="6" t="n">
        <x:f>K13</x:f>
        <x:v>0</x:v>
      </x:c>
      <x:c r="G242" s="6" t="n">
        <x:f>L13</x:f>
        <x:v>0</x:v>
      </x:c>
      <x:c r="H242" s="99"/>
      <x:c r="I242" s="99"/>
      <x:c r="J242" s="99"/>
      <x:c r="K242" s="99"/>
      <x:c r="L242" s="99"/>
      <x:c r="M242" s="99"/>
    </x:row>
    <x:row r="243">
      <x:c r="C243" s="6" t="str">
        <x:v>2008-08</x:v>
      </x:c>
      <x:c r="D243" s="6" t="n">
        <x:f>D14</x:f>
        <x:v>34896.3779850521</x:v>
      </x:c>
      <x:c r="E243" s="6" t="n">
        <x:f>J14</x:f>
        <x:v>34896.3779850521</x:v>
      </x:c>
      <x:c r="F243" s="6" t="n">
        <x:f>K14</x:f>
        <x:v>0</x:v>
      </x:c>
      <x:c r="G243" s="6" t="n">
        <x:f>L14</x:f>
        <x:v>0</x:v>
      </x:c>
      <x:c r="H243" s="99"/>
      <x:c r="I243" s="99"/>
      <x:c r="J243" s="99"/>
      <x:c r="K243" s="99"/>
      <x:c r="L243" s="99"/>
      <x:c r="M243" s="99"/>
    </x:row>
    <x:row r="244">
      <x:c r="C244" s="6" t="str">
        <x:v>2008-09</x:v>
      </x:c>
      <x:c r="D244" s="6" t="n">
        <x:f>D15</x:f>
        <x:v>36268.298789874</x:v>
      </x:c>
      <x:c r="E244" s="6" t="n">
        <x:f>J15</x:f>
        <x:v>36268.298789874</x:v>
      </x:c>
      <x:c r="F244" s="6" t="n">
        <x:f>K15</x:f>
        <x:v>0</x:v>
      </x:c>
      <x:c r="G244" s="6" t="n">
        <x:f>L15</x:f>
        <x:v>0</x:v>
      </x:c>
      <x:c r="H244" s="99"/>
      <x:c r="I244" s="99"/>
      <x:c r="J244" s="99"/>
      <x:c r="K244" s="99"/>
      <x:c r="L244" s="99"/>
      <x:c r="M244" s="99"/>
    </x:row>
    <x:row r="245">
      <x:c r="C245" s="6" t="str">
        <x:v>2008-10</x:v>
      </x:c>
      <x:c r="D245" s="6" t="n">
        <x:f>D16</x:f>
        <x:v>34382.2515326247</x:v>
      </x:c>
      <x:c r="E245" s="6" t="n">
        <x:f>J16</x:f>
        <x:v>34382.2515326247</x:v>
      </x:c>
      <x:c r="F245" s="6" t="n">
        <x:f>K16</x:f>
        <x:v>0</x:v>
      </x:c>
      <x:c r="G245" s="6" t="n">
        <x:f>L16</x:f>
        <x:v>0</x:v>
      </x:c>
      <x:c r="H245" s="99"/>
      <x:c r="I245" s="99"/>
      <x:c r="J245" s="99"/>
      <x:c r="K245" s="99"/>
      <x:c r="L245" s="99"/>
      <x:c r="M245" s="99"/>
    </x:row>
    <x:row r="246">
      <x:c r="C246" s="6" t="str">
        <x:v>2008-11</x:v>
      </x:c>
      <x:c r="D246" s="6" t="n">
        <x:f>D17</x:f>
        <x:v>33491.210374663</x:v>
      </x:c>
      <x:c r="E246" s="6" t="n">
        <x:f>J17</x:f>
        <x:v>33491.210374663</x:v>
      </x:c>
      <x:c r="F246" s="6" t="n">
        <x:f>K17</x:f>
        <x:v>0</x:v>
      </x:c>
      <x:c r="G246" s="6" t="n">
        <x:f>L17</x:f>
        <x:v>0</x:v>
      </x:c>
      <x:c r="H246" s="99"/>
      <x:c r="I246" s="99"/>
      <x:c r="J246" s="99"/>
      <x:c r="K246" s="99"/>
      <x:c r="L246" s="99"/>
      <x:c r="M246" s="99"/>
    </x:row>
    <x:row r="247">
      <x:c r="C247" s="6" t="str">
        <x:v>2008-12</x:v>
      </x:c>
      <x:c r="D247" s="6" t="n">
        <x:f>D18</x:f>
        <x:v>29096.400896</x:v>
      </x:c>
      <x:c r="E247" s="6" t="n">
        <x:f>J18</x:f>
        <x:v>29096.400896</x:v>
      </x:c>
      <x:c r="F247" s="6" t="n">
        <x:f>K18</x:f>
        <x:v>0</x:v>
      </x:c>
      <x:c r="G247" s="6" t="n">
        <x:f>L18</x:f>
        <x:v>0</x:v>
      </x:c>
      <x:c r="H247" s="99"/>
      <x:c r="I247" s="99"/>
      <x:c r="J247" s="99"/>
      <x:c r="K247" s="99"/>
      <x:c r="L247" s="99"/>
      <x:c r="M247" s="99"/>
    </x:row>
    <x:row r="248">
      <x:c r="C248" s="6" t="str">
        <x:v>2009-01</x:v>
      </x:c>
      <x:c r="D248" s="6" t="n">
        <x:f>D19</x:f>
        <x:v>26792.8816710137</x:v>
      </x:c>
      <x:c r="E248" s="6" t="n">
        <x:f>J19</x:f>
        <x:v>26792.8816710137</x:v>
      </x:c>
      <x:c r="F248" s="6" t="n">
        <x:f>K19</x:f>
        <x:v>0</x:v>
      </x:c>
      <x:c r="G248" s="6" t="n">
        <x:f>L19</x:f>
        <x:v>0</x:v>
      </x:c>
      <x:c r="H248" s="99"/>
      <x:c r="I248" s="99"/>
      <x:c r="J248" s="99"/>
      <x:c r="K248" s="99"/>
      <x:c r="L248" s="99"/>
      <x:c r="M248" s="99"/>
    </x:row>
    <x:row r="249">
      <x:c r="C249" s="6" t="str">
        <x:v>2009-02</x:v>
      </x:c>
      <x:c r="D249" s="6" t="n">
        <x:f>D20</x:f>
        <x:v>27042.7876927123</x:v>
      </x:c>
      <x:c r="E249" s="6" t="n">
        <x:f>J20</x:f>
        <x:v>27042.7876927123</x:v>
      </x:c>
      <x:c r="F249" s="6" t="n">
        <x:f>K20</x:f>
        <x:v>0</x:v>
      </x:c>
      <x:c r="G249" s="6" t="n">
        <x:f>L20</x:f>
        <x:v>0</x:v>
      </x:c>
      <x:c r="H249" s="99"/>
      <x:c r="I249" s="99"/>
      <x:c r="J249" s="99"/>
      <x:c r="K249" s="99"/>
      <x:c r="L249" s="99"/>
      <x:c r="M249" s="99"/>
    </x:row>
    <x:row r="250">
      <x:c r="C250" s="6" t="str">
        <x:v>2009-03</x:v>
      </x:c>
      <x:c r="D250" s="6" t="n">
        <x:f>D21</x:f>
        <x:v>24508.1156734247</x:v>
      </x:c>
      <x:c r="E250" s="6" t="n">
        <x:f>J21</x:f>
        <x:v>24508.1156734247</x:v>
      </x:c>
      <x:c r="F250" s="6" t="n">
        <x:f>K21</x:f>
        <x:v>0</x:v>
      </x:c>
      <x:c r="G250" s="6" t="n">
        <x:f>L21</x:f>
        <x:v>0</x:v>
      </x:c>
      <x:c r="H250" s="99"/>
      <x:c r="I250" s="99"/>
      <x:c r="J250" s="99"/>
      <x:c r="K250" s="99"/>
      <x:c r="L250" s="99"/>
      <x:c r="M250" s="99"/>
    </x:row>
    <x:row r="251">
      <x:c r="C251" s="6" t="str">
        <x:v>2009-04</x:v>
      </x:c>
      <x:c r="D251" s="6" t="n">
        <x:f>D22</x:f>
        <x:v>23604.0850165479</x:v>
      </x:c>
      <x:c r="E251" s="6" t="n">
        <x:f>J22</x:f>
        <x:v>23604.0850165479</x:v>
      </x:c>
      <x:c r="F251" s="6" t="n">
        <x:f>K22</x:f>
        <x:v>0</x:v>
      </x:c>
      <x:c r="G251" s="6" t="n">
        <x:f>L22</x:f>
        <x:v>0</x:v>
      </x:c>
      <x:c r="H251" s="99"/>
      <x:c r="I251" s="99"/>
      <x:c r="J251" s="99"/>
      <x:c r="K251" s="99"/>
      <x:c r="L251" s="99"/>
      <x:c r="M251" s="99"/>
    </x:row>
    <x:row r="252">
      <x:c r="C252" s="6" t="str">
        <x:v>2009-05</x:v>
      </x:c>
      <x:c r="D252" s="6" t="n">
        <x:f>D23</x:f>
        <x:v>25104.4839760658</x:v>
      </x:c>
      <x:c r="E252" s="6" t="n">
        <x:f>J23</x:f>
        <x:v>25104.4839760658</x:v>
      </x:c>
      <x:c r="F252" s="6" t="n">
        <x:f>K23</x:f>
        <x:v>0</x:v>
      </x:c>
      <x:c r="G252" s="6" t="n">
        <x:f>L23</x:f>
        <x:v>0</x:v>
      </x:c>
      <x:c r="H252" s="99"/>
      <x:c r="I252" s="99"/>
      <x:c r="J252" s="99"/>
      <x:c r="K252" s="99"/>
      <x:c r="L252" s="99"/>
      <x:c r="M252" s="99"/>
    </x:row>
    <x:row r="253">
      <x:c r="C253" s="6" t="str">
        <x:v>2009-06</x:v>
      </x:c>
      <x:c r="D253" s="6" t="n">
        <x:f>D24</x:f>
        <x:v>25090.7494652493</x:v>
      </x:c>
      <x:c r="E253" s="6" t="n">
        <x:f>J24</x:f>
        <x:v>25090.7494652493</x:v>
      </x:c>
      <x:c r="F253" s="6" t="n">
        <x:f>K24</x:f>
        <x:v>0</x:v>
      </x:c>
      <x:c r="G253" s="6" t="n">
        <x:f>L24</x:f>
        <x:v>0</x:v>
      </x:c>
      <x:c r="H253" s="99"/>
      <x:c r="I253" s="99"/>
      <x:c r="J253" s="99"/>
      <x:c r="K253" s="99"/>
      <x:c r="L253" s="99"/>
      <x:c r="M253" s="99"/>
    </x:row>
    <x:row r="254">
      <x:c r="C254" s="6" t="str">
        <x:v>2009-07</x:v>
      </x:c>
      <x:c r="D254" s="6" t="n">
        <x:f>D25</x:f>
        <x:v>25347.7203687452</x:v>
      </x:c>
      <x:c r="E254" s="6" t="n">
        <x:f>J25</x:f>
        <x:v>25347.7203687452</x:v>
      </x:c>
      <x:c r="F254" s="6" t="n">
        <x:f>K25</x:f>
        <x:v>0</x:v>
      </x:c>
      <x:c r="G254" s="6" t="n">
        <x:f>L25</x:f>
        <x:v>0</x:v>
      </x:c>
      <x:c r="H254" s="99"/>
      <x:c r="I254" s="99"/>
      <x:c r="J254" s="99"/>
      <x:c r="K254" s="99"/>
      <x:c r="L254" s="99"/>
      <x:c r="M254" s="99"/>
    </x:row>
    <x:row r="255">
      <x:c r="C255" s="6" t="str">
        <x:v>2009-08</x:v>
      </x:c>
      <x:c r="D255" s="6" t="n">
        <x:f>D26</x:f>
        <x:v>25339.541907989</x:v>
      </x:c>
      <x:c r="E255" s="6" t="n">
        <x:f>J26</x:f>
        <x:v>25339.541907989</x:v>
      </x:c>
      <x:c r="F255" s="6" t="n">
        <x:f>K26</x:f>
        <x:v>0</x:v>
      </x:c>
      <x:c r="G255" s="6" t="n">
        <x:f>L26</x:f>
        <x:v>0</x:v>
      </x:c>
      <x:c r="H255" s="99"/>
      <x:c r="I255" s="99"/>
      <x:c r="J255" s="99"/>
      <x:c r="K255" s="99"/>
      <x:c r="L255" s="99"/>
      <x:c r="M255" s="99"/>
    </x:row>
    <x:row r="256">
      <x:c r="C256" s="6" t="str">
        <x:v>2009-09</x:v>
      </x:c>
      <x:c r="D256" s="6" t="n">
        <x:f>D27</x:f>
        <x:v>26521.992946674</x:v>
      </x:c>
      <x:c r="E256" s="6" t="n">
        <x:f>J27</x:f>
        <x:v>26521.992946674</x:v>
      </x:c>
      <x:c r="F256" s="6" t="n">
        <x:f>K27</x:f>
        <x:v>0</x:v>
      </x:c>
      <x:c r="G256" s="6" t="n">
        <x:f>L27</x:f>
        <x:v>0</x:v>
      </x:c>
      <x:c r="H256" s="99"/>
      <x:c r="I256" s="99"/>
      <x:c r="J256" s="99"/>
      <x:c r="K256" s="99"/>
      <x:c r="L256" s="99"/>
      <x:c r="M256" s="99"/>
    </x:row>
    <x:row r="257">
      <x:c r="C257" s="6" t="str">
        <x:v>2009-10</x:v>
      </x:c>
      <x:c r="D257" s="6" t="n">
        <x:f>D28</x:f>
        <x:v>27343.9044481753</x:v>
      </x:c>
      <x:c r="E257" s="6" t="n">
        <x:f>J28</x:f>
        <x:v>27343.9044481753</x:v>
      </x:c>
      <x:c r="F257" s="6" t="n">
        <x:f>K28</x:f>
        <x:v>0</x:v>
      </x:c>
      <x:c r="G257" s="6" t="n">
        <x:f>L28</x:f>
        <x:v>0</x:v>
      </x:c>
      <x:c r="H257" s="99"/>
      <x:c r="I257" s="99"/>
      <x:c r="J257" s="99"/>
      <x:c r="K257" s="99"/>
      <x:c r="L257" s="99"/>
      <x:c r="M257" s="99"/>
    </x:row>
    <x:row r="258">
      <x:c r="C258" s="6" t="str">
        <x:v>2009-11</x:v>
      </x:c>
      <x:c r="D258" s="6" t="n">
        <x:f>D29</x:f>
        <x:v>28859.7220758795</x:v>
      </x:c>
      <x:c r="E258" s="6" t="n">
        <x:f>J29</x:f>
        <x:v>28859.7220758795</x:v>
      </x:c>
      <x:c r="F258" s="6" t="n">
        <x:f>K29</x:f>
        <x:v>0</x:v>
      </x:c>
      <x:c r="G258" s="6" t="n">
        <x:f>L29</x:f>
        <x:v>0</x:v>
      </x:c>
      <x:c r="H258" s="99"/>
      <x:c r="I258" s="99"/>
      <x:c r="J258" s="99"/>
      <x:c r="K258" s="99"/>
      <x:c r="L258" s="99"/>
      <x:c r="M258" s="99"/>
    </x:row>
    <x:row r="259">
      <x:c r="C259" s="6" t="str">
        <x:v>2009-12</x:v>
      </x:c>
      <x:c r="D259" s="6" t="n">
        <x:f>D30</x:f>
        <x:v>29662.500864</x:v>
      </x:c>
      <x:c r="E259" s="6" t="n">
        <x:f>J30</x:f>
        <x:v>29662.500864</x:v>
      </x:c>
      <x:c r="F259" s="6" t="n">
        <x:f>K30</x:f>
        <x:v>0</x:v>
      </x:c>
      <x:c r="G259" s="6" t="n">
        <x:f>L30</x:f>
        <x:v>0</x:v>
      </x:c>
      <x:c r="H259" s="99"/>
      <x:c r="I259" s="99"/>
      <x:c r="J259" s="99"/>
      <x:c r="K259" s="99"/>
      <x:c r="L259" s="99"/>
      <x:c r="M259" s="99"/>
    </x:row>
    <x:row r="260">
      <x:c r="C260" s="6" t="str">
        <x:v>2010-01</x:v>
      </x:c>
      <x:c r="D260" s="6" t="n">
        <x:f>D31</x:f>
        <x:v>29007.9265739063</x:v>
      </x:c>
      <x:c r="E260" s="6" t="n">
        <x:f>J31</x:f>
        <x:v>30689.4562402192</x:v>
      </x:c>
      <x:c r="F260" s="6" t="n">
        <x:f>K31</x:f>
        <x:v>240.331298630137</x:v>
      </x:c>
      <x:c r="G260" s="6" t="n">
        <x:f>L31</x:f>
        <x:v>0</x:v>
      </x:c>
      <x:c r="H260" s="99"/>
      <x:c r="I260" s="99"/>
      <x:c r="J260" s="99"/>
      <x:c r="K260" s="99"/>
      <x:c r="L260" s="99"/>
      <x:c r="M260" s="99"/>
    </x:row>
    <x:row r="261">
      <x:c r="C261" s="6" t="str">
        <x:v>2010-02</x:v>
      </x:c>
      <x:c r="D261" s="6" t="n">
        <x:f>D32</x:f>
        <x:v>28320.1473912361</x:v>
      </x:c>
      <x:c r="E261" s="6" t="n">
        <x:f>J32</x:f>
        <x:v>29840.4618688877</x:v>
      </x:c>
      <x:c r="F261" s="6" t="n">
        <x:f>K32</x:f>
        <x:v>221.153231605479</x:v>
      </x:c>
      <x:c r="G261" s="6" t="n">
        <x:f>L32</x:f>
        <x:v>0</x:v>
      </x:c>
      <x:c r="H261" s="99"/>
      <x:c r="I261" s="99"/>
      <x:c r="J261" s="99"/>
      <x:c r="K261" s="99"/>
      <x:c r="L261" s="99"/>
      <x:c r="M261" s="99"/>
    </x:row>
    <x:row r="262">
      <x:c r="C262" s="6" t="str">
        <x:v>2010-03</x:v>
      </x:c>
      <x:c r="D262" s="6" t="n">
        <x:f>D33</x:f>
        <x:v>29012.1788076429</x:v>
      </x:c>
      <x:c r="E262" s="6" t="n">
        <x:f>J33</x:f>
        <x:v>30621.3673941918</x:v>
      </x:c>
      <x:c r="F262" s="6" t="n">
        <x:f>K33</x:f>
        <x:v>225.766301369863</x:v>
      </x:c>
      <x:c r="G262" s="6" t="n">
        <x:f>L33</x:f>
        <x:v>0</x:v>
      </x:c>
      <x:c r="H262" s="99"/>
      <x:c r="I262" s="99"/>
      <x:c r="J262" s="99"/>
      <x:c r="K262" s="99"/>
      <x:c r="L262" s="99"/>
      <x:c r="M262" s="99"/>
    </x:row>
    <x:row r="263">
      <x:c r="C263" s="6" t="str">
        <x:v>2010-04</x:v>
      </x:c>
      <x:c r="D263" s="6" t="n">
        <x:f>D34</x:f>
        <x:v>29635.3195654762</x:v>
      </x:c>
      <x:c r="E263" s="6" t="n">
        <x:f>J34</x:f>
        <x:v>31462.0239254795</x:v>
      </x:c>
      <x:c r="F263" s="6" t="n">
        <x:f>K34</x:f>
        <x:v>281.719956164384</x:v>
      </x:c>
      <x:c r="G263" s="6" t="n">
        <x:f>L34</x:f>
        <x:v>0</x:v>
      </x:c>
      <x:c r="H263" s="99"/>
      <x:c r="I263" s="99"/>
      <x:c r="J263" s="99"/>
      <x:c r="K263" s="99"/>
      <x:c r="L263" s="99"/>
      <x:c r="M263" s="99"/>
    </x:row>
    <x:row r="264">
      <x:c r="C264" s="6" t="str">
        <x:v>2010-05</x:v>
      </x:c>
      <x:c r="D264" s="6" t="n">
        <x:f>D35</x:f>
        <x:v>27099.4479235388</x:v>
      </x:c>
      <x:c r="E264" s="6" t="n">
        <x:f>J35</x:f>
        <x:v>32083.2421551342</x:v>
      </x:c>
      <x:c r="F264" s="6" t="n">
        <x:f>K35</x:f>
        <x:v>271.827478093151</x:v>
      </x:c>
      <x:c r="G264" s="6" t="n">
        <x:f>L35</x:f>
        <x:v>0</x:v>
      </x:c>
      <x:c r="H264" s="99"/>
      <x:c r="I264" s="99"/>
      <x:c r="J264" s="99"/>
      <x:c r="K264" s="99"/>
      <x:c r="L264" s="99"/>
      <x:c r="M264" s="99"/>
    </x:row>
    <x:row r="265">
      <x:c r="C265" s="6" t="str">
        <x:v>2010-06</x:v>
      </x:c>
      <x:c r="D265" s="6" t="n">
        <x:f>D36</x:f>
        <x:v>26950.7843853405</x:v>
      </x:c>
      <x:c r="E265" s="6" t="n">
        <x:f>J36</x:f>
        <x:v>32580.9011164931</x:v>
      </x:c>
      <x:c r="F265" s="6" t="n">
        <x:f>K36</x:f>
        <x:v>274.895894443836</x:v>
      </x:c>
      <x:c r="G265" s="6" t="n">
        <x:f>L36</x:f>
        <x:v>0</x:v>
      </x:c>
      <x:c r="H265" s="99"/>
      <x:c r="I265" s="99"/>
      <x:c r="J265" s="99"/>
      <x:c r="K265" s="99"/>
      <x:c r="L265" s="99"/>
      <x:c r="M265" s="99"/>
    </x:row>
    <x:row r="266">
      <x:c r="C266" s="6" t="str">
        <x:v>2010-07</x:v>
      </x:c>
      <x:c r="D266" s="6" t="n">
        <x:f>D37</x:f>
        <x:v>27045.6020456823</x:v>
      </x:c>
      <x:c r="E266" s="6" t="n">
        <x:f>J37</x:f>
        <x:v>33107.7623808</x:v>
      </x:c>
      <x:c r="F266" s="6" t="n">
        <x:f>K37</x:f>
        <x:v>277.616772821918</x:v>
      </x:c>
      <x:c r="G266" s="6" t="n">
        <x:f>L37</x:f>
        <x:v>0</x:v>
      </x:c>
      <x:c r="H266" s="99"/>
      <x:c r="I266" s="99"/>
      <x:c r="J266" s="99"/>
      <x:c r="K266" s="99"/>
      <x:c r="L266" s="99"/>
      <x:c r="M266" s="99"/>
    </x:row>
    <x:row r="267">
      <x:c r="C267" s="6" t="str">
        <x:v>2010-08</x:v>
      </x:c>
      <x:c r="D267" s="6" t="n">
        <x:f>D38</x:f>
        <x:v>26043.1805735969</x:v>
      </x:c>
      <x:c r="E267" s="6" t="n">
        <x:f>J38</x:f>
        <x:v>32989.9049296658</x:v>
      </x:c>
      <x:c r="F267" s="6" t="n">
        <x:f>K38</x:f>
        <x:v>378.695728920548</x:v>
      </x:c>
      <x:c r="G267" s="6" t="n">
        <x:f>L38</x:f>
        <x:v>0</x:v>
      </x:c>
      <x:c r="H267" s="99"/>
      <x:c r="I267" s="99"/>
      <x:c r="J267" s="99"/>
      <x:c r="K267" s="99"/>
      <x:c r="L267" s="99"/>
      <x:c r="M267" s="99"/>
    </x:row>
    <x:row r="268">
      <x:c r="C268" s="6" t="str">
        <x:v>2010-09</x:v>
      </x:c>
      <x:c r="D268" s="6" t="n">
        <x:f>D39</x:f>
        <x:v>25585.3534653899</x:v>
      </x:c>
      <x:c r="E268" s="6" t="n">
        <x:f>J39</x:f>
        <x:v>33394.5893930082</x:v>
      </x:c>
      <x:c r="F268" s="6" t="n">
        <x:f>K39</x:f>
        <x:v>298.622562367123</x:v>
      </x:c>
      <x:c r="G268" s="6" t="n">
        <x:f>L39</x:f>
        <x:v>0</x:v>
      </x:c>
      <x:c r="H268" s="99"/>
      <x:c r="I268" s="99"/>
      <x:c r="J268" s="99"/>
      <x:c r="K268" s="99"/>
      <x:c r="L268" s="99"/>
      <x:c r="M268" s="99"/>
    </x:row>
    <x:row r="269">
      <x:c r="C269" s="6" t="str">
        <x:v>2010-10</x:v>
      </x:c>
      <x:c r="D269" s="6" t="n">
        <x:f>D40</x:f>
        <x:v>25890.2192560051</x:v>
      </x:c>
      <x:c r="E269" s="6" t="n">
        <x:f>J40</x:f>
        <x:v>34355.6581011288</x:v>
      </x:c>
      <x:c r="F269" s="6" t="n">
        <x:f>K40</x:f>
        <x:v>284.533702750685</x:v>
      </x:c>
      <x:c r="G269" s="6" t="n">
        <x:f>L40</x:f>
        <x:v>0</x:v>
      </x:c>
      <x:c r="H269" s="99"/>
      <x:c r="I269" s="99"/>
      <x:c r="J269" s="99"/>
      <x:c r="K269" s="99"/>
      <x:c r="L269" s="99"/>
      <x:c r="M269" s="99"/>
    </x:row>
    <x:row r="270">
      <x:c r="C270" s="6" t="str">
        <x:v>2010-11</x:v>
      </x:c>
      <x:c r="D270" s="6" t="n">
        <x:f>D41</x:f>
        <x:v>26577.3965953684</x:v>
      </x:c>
      <x:c r="E270" s="6" t="n">
        <x:f>J41</x:f>
        <x:v>34706.0547022904</x:v>
      </x:c>
      <x:c r="F270" s="6" t="n">
        <x:f>K41</x:f>
        <x:v>165.547605479452</x:v>
      </x:c>
      <x:c r="G270" s="6" t="n">
        <x:f>L41</x:f>
        <x:v>0</x:v>
      </x:c>
      <x:c r="H270" s="99"/>
      <x:c r="I270" s="99"/>
      <x:c r="J270" s="99"/>
      <x:c r="K270" s="99"/>
      <x:c r="L270" s="99"/>
      <x:c r="M270" s="99"/>
    </x:row>
    <x:row r="271">
      <x:c r="C271" s="6" t="str">
        <x:v>2010-12</x:v>
      </x:c>
      <x:c r="D271" s="6" t="n">
        <x:f>D42</x:f>
        <x:v>28108.4595888069</x:v>
      </x:c>
      <x:c r="E271" s="6" t="n">
        <x:f>J42</x:f>
        <x:v>35806.298112</x:v>
      </x:c>
      <x:c r="F271" s="6" t="n">
        <x:f>K42</x:f>
        <x:v>244</x:v>
      </x:c>
      <x:c r="G271" s="6" t="n">
        <x:f>L42</x:f>
        <x:v>0</x:v>
      </x:c>
      <x:c r="H271" s="99"/>
      <x:c r="I271" s="99"/>
      <x:c r="J271" s="99"/>
      <x:c r="K271" s="99"/>
      <x:c r="L271" s="99"/>
      <x:c r="M271" s="99"/>
    </x:row>
    <x:row r="272">
      <x:c r="C272" s="6" t="str">
        <x:v>2011-01</x:v>
      </x:c>
      <x:c r="D272" s="6" t="n">
        <x:f>D43</x:f>
        <x:v>27471.7172135821</x:v>
      </x:c>
      <x:c r="E272" s="6" t="n">
        <x:f>J43</x:f>
        <x:v>35954.9469880656</x:v>
      </x:c>
      <x:c r="F272" s="6" t="n">
        <x:f>K43</x:f>
        <x:v>328.245350994535</x:v>
      </x:c>
      <x:c r="G272" s="6" t="n">
        <x:f>L43</x:f>
        <x:v>0</x:v>
      </x:c>
      <x:c r="H272" s="99"/>
      <x:c r="I272" s="99"/>
      <x:c r="J272" s="99"/>
      <x:c r="K272" s="99"/>
      <x:c r="L272" s="99"/>
      <x:c r="M272" s="99"/>
    </x:row>
    <x:row r="273">
      <x:c r="C273" s="6" t="str">
        <x:v>2011-02</x:v>
      </x:c>
      <x:c r="D273" s="6" t="n">
        <x:f>D44</x:f>
        <x:v>26929.3029852374</x:v>
      </x:c>
      <x:c r="E273" s="6" t="n">
        <x:f>J44</x:f>
        <x:v>35747.873506623</x:v>
      </x:c>
      <x:c r="F273" s="6" t="n">
        <x:f>K44</x:f>
        <x:v>428.796726557377</x:v>
      </x:c>
      <x:c r="G273" s="6" t="n">
        <x:f>L44</x:f>
        <x:v>0</x:v>
      </x:c>
      <x:c r="H273" s="99"/>
      <x:c r="I273" s="99"/>
      <x:c r="J273" s="99"/>
      <x:c r="K273" s="99"/>
      <x:c r="L273" s="99"/>
      <x:c r="M273" s="99"/>
    </x:row>
    <x:row r="274">
      <x:c r="C274" s="6" t="str">
        <x:v>2011-03</x:v>
      </x:c>
      <x:c r="D274" s="6" t="n">
        <x:f>D45</x:f>
        <x:v>27197.9224803103</x:v>
      </x:c>
      <x:c r="E274" s="6" t="n">
        <x:f>J45</x:f>
        <x:v>36151.9318536393</x:v>
      </x:c>
      <x:c r="F274" s="6" t="n">
        <x:f>K45</x:f>
        <x:v>470.548087431694</x:v>
      </x:c>
      <x:c r="G274" s="6" t="n">
        <x:f>L45</x:f>
        <x:v>0</x:v>
      </x:c>
      <x:c r="H274" s="99"/>
      <x:c r="I274" s="99"/>
      <x:c r="J274" s="99"/>
      <x:c r="K274" s="99"/>
      <x:c r="L274" s="99"/>
      <x:c r="M274" s="99"/>
    </x:row>
    <x:row r="275">
      <x:c r="C275" s="6" t="str">
        <x:v>2011-04</x:v>
      </x:c>
      <x:c r="D275" s="6" t="n">
        <x:f>D46</x:f>
        <x:v>27678.808036833</x:v>
      </x:c>
      <x:c r="E275" s="6" t="n">
        <x:f>J46</x:f>
        <x:v>36367.6794208525</x:v>
      </x:c>
      <x:c r="F275" s="6" t="n">
        <x:f>K46</x:f>
        <x:v>537.022819672131</x:v>
      </x:c>
      <x:c r="G275" s="6" t="n">
        <x:f>L46</x:f>
        <x:v>0</x:v>
      </x:c>
      <x:c r="H275" s="99"/>
      <x:c r="I275" s="99"/>
      <x:c r="J275" s="99"/>
      <x:c r="K275" s="99"/>
      <x:c r="L275" s="99"/>
      <x:c r="M275" s="99"/>
    </x:row>
    <x:row r="276">
      <x:c r="C276" s="6" t="str">
        <x:v>2011-05</x:v>
      </x:c>
      <x:c r="D276" s="6" t="n">
        <x:f>D47</x:f>
        <x:v>26793.3038270447</x:v>
      </x:c>
      <x:c r="E276" s="6" t="n">
        <x:f>J47</x:f>
        <x:v>36570.3692422295</x:v>
      </x:c>
      <x:c r="F276" s="6" t="n">
        <x:f>K47</x:f>
        <x:v>516.745529879781</x:v>
      </x:c>
      <x:c r="G276" s="6" t="n">
        <x:f>L47</x:f>
        <x:v>0</x:v>
      </x:c>
      <x:c r="H276" s="99"/>
      <x:c r="I276" s="99"/>
      <x:c r="J276" s="99"/>
      <x:c r="K276" s="99"/>
      <x:c r="L276" s="99"/>
      <x:c r="M276" s="99"/>
    </x:row>
    <x:row r="277">
      <x:c r="C277" s="6" t="str">
        <x:v>2011-06</x:v>
      </x:c>
      <x:c r="D277" s="6" t="n">
        <x:f>D48</x:f>
        <x:v>28449.1181149492</x:v>
      </x:c>
      <x:c r="E277" s="6" t="n">
        <x:f>J48</x:f>
        <x:v>38017.7918321312</x:v>
      </x:c>
      <x:c r="F277" s="6" t="n">
        <x:f>K48</x:f>
        <x:v>615.959712874317</x:v>
      </x:c>
      <x:c r="G277" s="6" t="n">
        <x:f>L48</x:f>
        <x:v>0</x:v>
      </x:c>
      <x:c r="H277" s="99"/>
      <x:c r="I277" s="99"/>
      <x:c r="J277" s="99"/>
      <x:c r="K277" s="99"/>
      <x:c r="L277" s="99"/>
      <x:c r="M277" s="99"/>
    </x:row>
    <x:row r="278">
      <x:c r="C278" s="6" t="str">
        <x:v>2011-07</x:v>
      </x:c>
      <x:c r="D278" s="6" t="n">
        <x:f>D49</x:f>
        <x:v>29939.8687573529</x:v>
      </x:c>
      <x:c r="E278" s="6" t="n">
        <x:f>J49</x:f>
        <x:v>38957.3051285683</x:v>
      </x:c>
      <x:c r="F278" s="6" t="n">
        <x:f>K49</x:f>
        <x:v>583.57868852459</x:v>
      </x:c>
      <x:c r="G278" s="6" t="n">
        <x:f>L49</x:f>
        <x:v>0</x:v>
      </x:c>
      <x:c r="H278" s="99"/>
      <x:c r="I278" s="99"/>
      <x:c r="J278" s="99"/>
      <x:c r="K278" s="99"/>
      <x:c r="L278" s="99"/>
      <x:c r="M278" s="99"/>
    </x:row>
    <x:row r="279">
      <x:c r="C279" s="6" t="str">
        <x:v>2011-08</x:v>
      </x:c>
      <x:c r="D279" s="6" t="n">
        <x:f>D50</x:f>
        <x:v>31037.4498452394</x:v>
      </x:c>
      <x:c r="E279" s="6" t="n">
        <x:f>J50</x:f>
        <x:v>40377.0013013333</x:v>
      </x:c>
      <x:c r="F279" s="6" t="n">
        <x:f>K50</x:f>
        <x:v>496.757782666667</x:v>
      </x:c>
      <x:c r="G279" s="6" t="n">
        <x:f>L50</x:f>
        <x:v>0</x:v>
      </x:c>
      <x:c r="H279" s="99"/>
      <x:c r="I279" s="99"/>
      <x:c r="J279" s="99"/>
      <x:c r="K279" s="99"/>
      <x:c r="L279" s="99"/>
      <x:c r="M279" s="99"/>
    </x:row>
    <x:row r="280">
      <x:c r="C280" s="6" t="str">
        <x:v>2011-09</x:v>
      </x:c>
      <x:c r="D280" s="6" t="n">
        <x:f>D51</x:f>
        <x:v>28543.0045469092</x:v>
      </x:c>
      <x:c r="E280" s="6" t="n">
        <x:f>J51</x:f>
        <x:v>40856.1304313005</x:v>
      </x:c>
      <x:c r="F280" s="6" t="n">
        <x:f>K51</x:f>
        <x:v>617.319846469945</x:v>
      </x:c>
      <x:c r="G280" s="6" t="n">
        <x:f>L51</x:f>
        <x:v>0</x:v>
      </x:c>
      <x:c r="H280" s="99"/>
      <x:c r="I280" s="99"/>
      <x:c r="J280" s="99"/>
      <x:c r="K280" s="99"/>
      <x:c r="L280" s="99"/>
      <x:c r="M280" s="99"/>
    </x:row>
    <x:row r="281">
      <x:c r="C281" s="6" t="str">
        <x:v>2011-10</x:v>
      </x:c>
      <x:c r="D281" s="6" t="n">
        <x:f>D52</x:f>
        <x:v>26850.8698277753</x:v>
      </x:c>
      <x:c r="E281" s="6" t="n">
        <x:f>J52</x:f>
        <x:v>39740.20096</x:v>
      </x:c>
      <x:c r="F281" s="6" t="n">
        <x:f>K52</x:f>
        <x:v>491.106853333333</x:v>
      </x:c>
      <x:c r="G281" s="6" t="n">
        <x:f>L52</x:f>
        <x:v>0</x:v>
      </x:c>
      <x:c r="H281" s="99"/>
      <x:c r="I281" s="99"/>
      <x:c r="J281" s="99"/>
      <x:c r="K281" s="99"/>
      <x:c r="L281" s="99"/>
      <x:c r="M281" s="99"/>
    </x:row>
    <x:row r="282">
      <x:c r="C282" s="6" t="str">
        <x:v>2011-11</x:v>
      </x:c>
      <x:c r="D282" s="6" t="n">
        <x:f>D53</x:f>
        <x:v>27913.4061246393</x:v>
      </x:c>
      <x:c r="E282" s="6" t="n">
        <x:f>J53</x:f>
        <x:v>40474.241505224</x:v>
      </x:c>
      <x:c r="F282" s="6" t="n">
        <x:f>K53</x:f>
        <x:v>579.143672131147</x:v>
      </x:c>
      <x:c r="G282" s="6" t="n">
        <x:f>L53</x:f>
        <x:v>0</x:v>
      </x:c>
      <x:c r="H282" s="99"/>
      <x:c r="I282" s="99"/>
      <x:c r="J282" s="99"/>
      <x:c r="K282" s="99"/>
      <x:c r="L282" s="99"/>
      <x:c r="M282" s="99"/>
    </x:row>
    <x:row r="283">
      <x:c r="C283" s="6" t="str">
        <x:v>2011-12</x:v>
      </x:c>
      <x:c r="D283" s="6" t="n">
        <x:f>D54</x:f>
        <x:v>27142.8586176216</x:v>
      </x:c>
      <x:c r="E283" s="6" t="n">
        <x:f>J54</x:f>
        <x:v>39451.2013905137</x:v>
      </x:c>
      <x:c r="F283" s="6" t="n">
        <x:f>K54</x:f>
        <x:v>521.783109289618</x:v>
      </x:c>
      <x:c r="G283" s="6" t="n">
        <x:f>L54</x:f>
        <x:v>0</x:v>
      </x:c>
      <x:c r="H283" s="99"/>
      <x:c r="I283" s="99"/>
      <x:c r="J283" s="99"/>
      <x:c r="K283" s="99"/>
      <x:c r="L283" s="99"/>
      <x:c r="M283" s="99"/>
    </x:row>
    <x:row r="284">
      <x:c r="C284" s="6" t="str">
        <x:v>2012-01</x:v>
      </x:c>
      <x:c r="D284" s="6" t="n">
        <x:f>D55</x:f>
        <x:v>26838.6281662673</x:v>
      </x:c>
      <x:c r="E284" s="6" t="n">
        <x:f>J55</x:f>
        <x:v>39987.1569639452</x:v>
      </x:c>
      <x:c r="F284" s="6" t="n">
        <x:f>K55</x:f>
        <x:v>604.721351452055</x:v>
      </x:c>
      <x:c r="G284" s="6" t="n">
        <x:f>L55</x:f>
        <x:v>0</x:v>
      </x:c>
      <x:c r="H284" s="99"/>
      <x:c r="I284" s="99"/>
      <x:c r="J284" s="99"/>
      <x:c r="K284" s="99"/>
      <x:c r="L284" s="99"/>
      <x:c r="M284" s="99"/>
    </x:row>
    <x:row r="285">
      <x:c r="C285" s="6" t="str">
        <x:v>2012-02</x:v>
      </x:c>
      <x:c r="D285" s="6" t="n">
        <x:f>D56</x:f>
        <x:v>24956.1722412991</x:v>
      </x:c>
      <x:c r="E285" s="6" t="n">
        <x:f>J56</x:f>
        <x:v>37644.5062999671</x:v>
      </x:c>
      <x:c r="F285" s="6" t="n">
        <x:f>K56</x:f>
        <x:v>780.11601779726</x:v>
      </x:c>
      <x:c r="G285" s="6" t="n">
        <x:f>L56</x:f>
        <x:v>0</x:v>
      </x:c>
      <x:c r="H285" s="99"/>
      <x:c r="I285" s="99"/>
      <x:c r="J285" s="99"/>
      <x:c r="K285" s="99"/>
      <x:c r="L285" s="99"/>
      <x:c r="M285" s="99"/>
    </x:row>
    <x:row r="286">
      <x:c r="C286" s="6" t="str">
        <x:v>2012-03</x:v>
      </x:c>
      <x:c r="D286" s="6" t="n">
        <x:f>D57</x:f>
        <x:v>25459.2782226215</x:v>
      </x:c>
      <x:c r="E286" s="6" t="n">
        <x:f>J57</x:f>
        <x:v>37489.2038677041</x:v>
      </x:c>
      <x:c r="F286" s="6" t="n">
        <x:f>K57</x:f>
        <x:v>642.034813545205</x:v>
      </x:c>
      <x:c r="G286" s="6" t="n">
        <x:f>L57</x:f>
        <x:v>0</x:v>
      </x:c>
      <x:c r="H286" s="99"/>
      <x:c r="I286" s="99"/>
      <x:c r="J286" s="99"/>
      <x:c r="K286" s="99"/>
      <x:c r="L286" s="99"/>
      <x:c r="M286" s="99"/>
    </x:row>
    <x:row r="287">
      <x:c r="C287" s="6" t="str">
        <x:v>2012-04</x:v>
      </x:c>
      <x:c r="D287" s="6" t="n">
        <x:f>D58</x:f>
        <x:v>25130.9387485097</x:v>
      </x:c>
      <x:c r="E287" s="6" t="n">
        <x:f>J58</x:f>
        <x:v>36523.2998820822</x:v>
      </x:c>
      <x:c r="F287" s="6" t="n">
        <x:f>K58</x:f>
        <x:v>612.38487890411</x:v>
      </x:c>
      <x:c r="G287" s="6" t="n">
        <x:f>L58</x:f>
        <x:v>0</x:v>
      </x:c>
      <x:c r="H287" s="99"/>
      <x:c r="I287" s="99"/>
      <x:c r="J287" s="99"/>
      <x:c r="K287" s="99"/>
      <x:c r="L287" s="99"/>
      <x:c r="M287" s="99"/>
    </x:row>
    <x:row r="288">
      <x:c r="C288" s="6" t="str">
        <x:v>2012-05</x:v>
      </x:c>
      <x:c r="D288" s="6" t="n">
        <x:f>D59</x:f>
        <x:v>26335.9323365328</x:v>
      </x:c>
      <x:c r="E288" s="6" t="n">
        <x:f>J59</x:f>
        <x:v>36257.8678264986</x:v>
      </x:c>
      <x:c r="F288" s="6" t="n">
        <x:f>K59</x:f>
        <x:v>494.456026476712</x:v>
      </x:c>
      <x:c r="G288" s="6" t="n">
        <x:f>L59</x:f>
        <x:v>0</x:v>
      </x:c>
      <x:c r="H288" s="99"/>
      <x:c r="I288" s="99"/>
      <x:c r="J288" s="99"/>
      <x:c r="K288" s="99"/>
      <x:c r="L288" s="99"/>
      <x:c r="M288" s="99"/>
    </x:row>
    <x:row r="289">
      <x:c r="C289" s="6" t="str">
        <x:v>2012-06</x:v>
      </x:c>
      <x:c r="D289" s="6" t="n">
        <x:f>D60</x:f>
        <x:v>28665.6245906013</x:v>
      </x:c>
      <x:c r="E289" s="6" t="n">
        <x:f>J60</x:f>
        <x:v>34829.6072486575</x:v>
      </x:c>
      <x:c r="F289" s="6" t="n">
        <x:f>K60</x:f>
        <x:v>-20.0129507945206</x:v>
      </x:c>
      <x:c r="G289" s="6" t="n">
        <x:f>L60</x:f>
        <x:v>0</x:v>
      </x:c>
      <x:c r="H289" s="99"/>
      <x:c r="I289" s="99"/>
      <x:c r="J289" s="99"/>
      <x:c r="K289" s="99"/>
      <x:c r="L289" s="99"/>
      <x:c r="M289" s="99"/>
    </x:row>
    <x:row r="290">
      <x:c r="C290" s="6" t="str">
        <x:v>2012-07</x:v>
      </x:c>
      <x:c r="D290" s="6" t="n">
        <x:f>D61</x:f>
        <x:v>28941.7036795952</x:v>
      </x:c>
      <x:c r="E290" s="6" t="n">
        <x:f>J61</x:f>
        <x:v>34974.0734940932</x:v>
      </x:c>
      <x:c r="F290" s="6" t="n">
        <x:f>K61</x:f>
        <x:v>-207.700377731507</x:v>
      </x:c>
      <x:c r="G290" s="6" t="n">
        <x:f>L61</x:f>
        <x:v>0</x:v>
      </x:c>
      <x:c r="H290" s="99"/>
      <x:c r="I290" s="99"/>
      <x:c r="J290" s="99"/>
      <x:c r="K290" s="99"/>
      <x:c r="L290" s="99"/>
      <x:c r="M290" s="99"/>
    </x:row>
    <x:row r="291">
      <x:c r="C291" s="6" t="str">
        <x:v>2012-08</x:v>
      </x:c>
      <x:c r="D291" s="6" t="n">
        <x:f>D62</x:f>
        <x:v>28081.1021458037</x:v>
      </x:c>
      <x:c r="E291" s="6" t="n">
        <x:f>J62</x:f>
        <x:v>34219.8296127123</x:v>
      </x:c>
      <x:c r="F291" s="6" t="n">
        <x:f>K62</x:f>
        <x:v>-215.868436230137</x:v>
      </x:c>
      <x:c r="G291" s="6" t="n">
        <x:f>L62</x:f>
        <x:v>0</x:v>
      </x:c>
      <x:c r="H291" s="99"/>
      <x:c r="I291" s="99"/>
      <x:c r="J291" s="99"/>
      <x:c r="K291" s="99"/>
      <x:c r="L291" s="99"/>
      <x:c r="M291" s="99"/>
    </x:row>
    <x:row r="292">
      <x:c r="C292" s="6" t="str">
        <x:v>2012-09</x:v>
      </x:c>
      <x:c r="D292" s="6" t="n">
        <x:f>D63</x:f>
        <x:v>24122.8196027727</x:v>
      </x:c>
      <x:c r="E292" s="6" t="n">
        <x:f>J63</x:f>
        <x:v>34720.848146937</x:v>
      </x:c>
      <x:c r="F292" s="6" t="n">
        <x:f>K63</x:f>
        <x:v>-247.889860273973</x:v>
      </x:c>
      <x:c r="G292" s="6" t="n">
        <x:f>L63</x:f>
        <x:v>0</x:v>
      </x:c>
      <x:c r="H292" s="99"/>
      <x:c r="I292" s="99"/>
      <x:c r="J292" s="99"/>
      <x:c r="K292" s="99"/>
      <x:c r="L292" s="99"/>
      <x:c r="M292" s="99"/>
    </x:row>
    <x:row r="293">
      <x:c r="C293" s="6" t="str">
        <x:v>2012-10</x:v>
      </x:c>
      <x:c r="D293" s="6" t="n">
        <x:f>D64</x:f>
        <x:v>24746.3216834776</x:v>
      </x:c>
      <x:c r="E293" s="6" t="n">
        <x:f>J64</x:f>
        <x:v>33695.8615720329</x:v>
      </x:c>
      <x:c r="F293" s="6" t="n">
        <x:f>K64</x:f>
        <x:v>-194.885653391781</x:v>
      </x:c>
      <x:c r="G293" s="6" t="n">
        <x:f>L64</x:f>
        <x:v>0</x:v>
      </x:c>
      <x:c r="H293" s="99"/>
      <x:c r="I293" s="99"/>
      <x:c r="J293" s="99"/>
      <x:c r="K293" s="99"/>
      <x:c r="L293" s="99"/>
      <x:c r="M293" s="99"/>
    </x:row>
    <x:row r="294">
      <x:c r="C294" s="6" t="str">
        <x:v>2012-11</x:v>
      </x:c>
      <x:c r="D294" s="6" t="n">
        <x:f>D65</x:f>
        <x:v>24043.5654353837</x:v>
      </x:c>
      <x:c r="E294" s="6" t="n">
        <x:f>J65</x:f>
        <x:v>32995.7484459836</x:v>
      </x:c>
      <x:c r="F294" s="6" t="n">
        <x:f>K65</x:f>
        <x:v>-190.914258235616</x:v>
      </x:c>
      <x:c r="G294" s="6" t="n">
        <x:f>L65</x:f>
        <x:v>0</x:v>
      </x:c>
      <x:c r="H294" s="99"/>
      <x:c r="I294" s="99"/>
      <x:c r="J294" s="99"/>
      <x:c r="K294" s="99"/>
      <x:c r="L294" s="99"/>
      <x:c r="M294" s="99"/>
    </x:row>
    <x:row r="295">
      <x:c r="C295" s="6" t="str">
        <x:v>2012-12</x:v>
      </x:c>
      <x:c r="D295" s="6" t="n">
        <x:f>D66</x:f>
        <x:v>24629.2664472646</x:v>
      </x:c>
      <x:c r="E295" s="6" t="n">
        <x:f>J66</x:f>
        <x:v>33487.40096</x:v>
      </x:c>
      <x:c r="F295" s="6" t="n">
        <x:f>K66</x:f>
        <x:v>-102.4</x:v>
      </x:c>
      <x:c r="G295" s="6" t="n">
        <x:f>L66</x:f>
        <x:v>0</x:v>
      </x:c>
      <x:c r="H295" s="99"/>
      <x:c r="I295" s="99"/>
      <x:c r="J295" s="99"/>
      <x:c r="K295" s="99"/>
      <x:c r="L295" s="99"/>
      <x:c r="M295" s="99"/>
    </x:row>
    <x:row r="296">
      <x:c r="C296" s="6" t="str">
        <x:v>2013-01</x:v>
      </x:c>
      <x:c r="D296" s="6" t="n">
        <x:f>D67</x:f>
        <x:v>23926.6760853625</x:v>
      </x:c>
      <x:c r="E296" s="6" t="n">
        <x:f>J67</x:f>
        <x:v>34123.2011797041</x:v>
      </x:c>
      <x:c r="F296" s="6" t="n">
        <x:f>K67</x:f>
        <x:v>-47.3541132273973</x:v>
      </x:c>
      <x:c r="G296" s="6" t="n">
        <x:f>L67</x:f>
        <x:v>0</x:v>
      </x:c>
      <x:c r="H296" s="99"/>
      <x:c r="I296" s="99"/>
      <x:c r="J296" s="99"/>
      <x:c r="K296" s="99"/>
      <x:c r="L296" s="99"/>
      <x:c r="M296" s="99"/>
    </x:row>
    <x:row r="297">
      <x:c r="C297" s="6" t="str">
        <x:v>2013-02</x:v>
      </x:c>
      <x:c r="D297" s="6" t="n">
        <x:f>D68</x:f>
        <x:v>22734.3726385664</x:v>
      </x:c>
      <x:c r="E297" s="6" t="n">
        <x:f>J68</x:f>
        <x:v>31132.244792811</x:v>
      </x:c>
      <x:c r="F297" s="6" t="n">
        <x:f>K68</x:f>
        <x:v>-133.693812252055</x:v>
      </x:c>
      <x:c r="G297" s="6" t="n">
        <x:f>L68</x:f>
        <x:v>0</x:v>
      </x:c>
      <x:c r="H297" s="99"/>
      <x:c r="I297" s="99"/>
      <x:c r="J297" s="99"/>
      <x:c r="K297" s="99"/>
      <x:c r="L297" s="99"/>
      <x:c r="M297" s="99"/>
    </x:row>
    <x:row r="298">
      <x:c r="C298" s="6" t="str">
        <x:v>2013-03</x:v>
      </x:c>
      <x:c r="D298" s="6" t="n">
        <x:f>D69</x:f>
        <x:v>25614.5324675052</x:v>
      </x:c>
      <x:c r="E298" s="6" t="n">
        <x:f>J69</x:f>
        <x:v>31846.887693326</x:v>
      </x:c>
      <x:c r="F298" s="6" t="n">
        <x:f>K69</x:f>
        <x:v>-232.500700230137</x:v>
      </x:c>
      <x:c r="G298" s="6" t="n">
        <x:f>L69</x:f>
        <x:v>0</x:v>
      </x:c>
      <x:c r="H298" s="99"/>
      <x:c r="I298" s="99"/>
      <x:c r="J298" s="99"/>
      <x:c r="K298" s="99"/>
      <x:c r="L298" s="99"/>
      <x:c r="M298" s="99"/>
    </x:row>
    <x:row r="299">
      <x:c r="C299" s="6" t="str">
        <x:v>2013-04</x:v>
      </x:c>
      <x:c r="D299" s="6" t="n">
        <x:f>D70</x:f>
        <x:v>27708.3166242333</x:v>
      </x:c>
      <x:c r="E299" s="6" t="n">
        <x:f>J70</x:f>
        <x:v>32700.3210345205</x:v>
      </x:c>
      <x:c r="F299" s="6" t="n">
        <x:f>K70</x:f>
        <x:v>-296.810761643836</x:v>
      </x:c>
      <x:c r="G299" s="6" t="n">
        <x:f>L70</x:f>
        <x:v>0</x:v>
      </x:c>
      <x:c r="H299" s="99"/>
      <x:c r="I299" s="99"/>
      <x:c r="J299" s="99"/>
      <x:c r="K299" s="99"/>
      <x:c r="L299" s="99"/>
      <x:c r="M299" s="99"/>
    </x:row>
    <x:row r="300">
      <x:c r="C300" s="6" t="str">
        <x:v>2013-05</x:v>
      </x:c>
      <x:c r="D300" s="6" t="n">
        <x:f>D71</x:f>
        <x:v>24667.149536862</x:v>
      </x:c>
      <x:c r="E300" s="6" t="n">
        <x:f>J71</x:f>
        <x:v>33619.1760243726</x:v>
      </x:c>
      <x:c r="F300" s="6" t="n">
        <x:f>K71</x:f>
        <x:v>-349.965548394521</x:v>
      </x:c>
      <x:c r="G300" s="6" t="n">
        <x:f>L71</x:f>
        <x:v>0</x:v>
      </x:c>
      <x:c r="H300" s="99"/>
      <x:c r="I300" s="99"/>
      <x:c r="J300" s="99"/>
      <x:c r="K300" s="99"/>
      <x:c r="L300" s="99"/>
      <x:c r="M300" s="99"/>
    </x:row>
    <x:row r="301">
      <x:c r="C301" s="6" t="str">
        <x:v>2013-06</x:v>
      </x:c>
      <x:c r="D301" s="6" t="n">
        <x:f>D72</x:f>
        <x:v>25703.1926968445</x:v>
      </x:c>
      <x:c r="E301" s="6" t="n">
        <x:f>J72</x:f>
        <x:v>32431.0413480329</x:v>
      </x:c>
      <x:c r="F301" s="6" t="n">
        <x:f>K72</x:f>
        <x:v>-587.239898630137</x:v>
      </x:c>
      <x:c r="G301" s="6" t="n">
        <x:f>L72</x:f>
        <x:v>0</x:v>
      </x:c>
      <x:c r="H301" s="99"/>
      <x:c r="I301" s="99"/>
      <x:c r="J301" s="99"/>
      <x:c r="K301" s="99"/>
      <x:c r="L301" s="99"/>
      <x:c r="M301" s="99"/>
    </x:row>
    <x:row r="302">
      <x:c r="C302" s="6" t="str">
        <x:v>2013-07</x:v>
      </x:c>
      <x:c r="D302" s="6" t="n">
        <x:f>D73</x:f>
        <x:v>24974.4183713068</x:v>
      </x:c>
      <x:c r="E302" s="6" t="n">
        <x:f>J73</x:f>
        <x:v>30442.7604052164</x:v>
      </x:c>
      <x:c r="F302" s="6" t="n">
        <x:f>K73</x:f>
        <x:v>-972.55334189589</x:v>
      </x:c>
      <x:c r="G302" s="6" t="n">
        <x:f>L73</x:f>
        <x:v>0</x:v>
      </x:c>
      <x:c r="H302" s="99"/>
      <x:c r="I302" s="99"/>
      <x:c r="J302" s="99"/>
      <x:c r="K302" s="99"/>
      <x:c r="L302" s="99"/>
      <x:c r="M302" s="99"/>
    </x:row>
    <x:row r="303">
      <x:c r="C303" s="6" t="str">
        <x:v>2013-08</x:v>
      </x:c>
      <x:c r="D303" s="6" t="n">
        <x:f>D74</x:f>
        <x:v>28533.0969193723</x:v>
      </x:c>
      <x:c r="E303" s="6" t="n">
        <x:f>J74</x:f>
        <x:v>31262.6240918795</x:v>
      </x:c>
      <x:c r="F303" s="6" t="n">
        <x:f>K74</x:f>
        <x:v>-901.762608043835</x:v>
      </x:c>
      <x:c r="G303" s="6" t="n">
        <x:f>L74</x:f>
        <x:v>0</x:v>
      </x:c>
      <x:c r="H303" s="99"/>
      <x:c r="I303" s="99"/>
      <x:c r="J303" s="99"/>
      <x:c r="K303" s="99"/>
      <x:c r="L303" s="99"/>
      <x:c r="M303" s="99"/>
    </x:row>
    <x:row r="304">
      <x:c r="C304" s="6" t="str">
        <x:v>2013-09</x:v>
      </x:c>
      <x:c r="D304" s="6" t="n">
        <x:f>D75</x:f>
        <x:v>23538.6862699703</x:v>
      </x:c>
      <x:c r="E304" s="6" t="n">
        <x:f>J75</x:f>
        <x:v>30022.9057662247</x:v>
      </x:c>
      <x:c r="F304" s="6" t="n">
        <x:f>K75</x:f>
        <x:v>-937.517463320548</x:v>
      </x:c>
      <x:c r="G304" s="6" t="n">
        <x:f>L75</x:f>
        <x:v>0</x:v>
      </x:c>
      <x:c r="H304" s="99"/>
      <x:c r="I304" s="99"/>
      <x:c r="J304" s="99"/>
      <x:c r="K304" s="99"/>
      <x:c r="L304" s="99"/>
      <x:c r="M304" s="99"/>
    </x:row>
    <x:row r="305">
      <x:c r="C305" s="6" t="str">
        <x:v>2013-10</x:v>
      </x:c>
      <x:c r="D305" s="6" t="n">
        <x:f>D76</x:f>
        <x:v>24035.4780736236</x:v>
      </x:c>
      <x:c r="E305" s="6" t="n">
        <x:f>J76</x:f>
        <x:v>27695.6521682411</x:v>
      </x:c>
      <x:c r="F305" s="6" t="n">
        <x:f>K76</x:f>
        <x:v>-1027.99287408219</x:v>
      </x:c>
      <x:c r="G305" s="6" t="n">
        <x:f>L76</x:f>
        <x:v>0</x:v>
      </x:c>
      <x:c r="H305" s="99"/>
      <x:c r="I305" s="99"/>
      <x:c r="J305" s="99"/>
      <x:c r="K305" s="99"/>
      <x:c r="L305" s="99"/>
      <x:c r="M305" s="99"/>
    </x:row>
    <x:row r="306">
      <x:c r="C306" s="6" t="str">
        <x:v>2013-11</x:v>
      </x:c>
      <x:c r="D306" s="6" t="n">
        <x:f>D77</x:f>
        <x:v>29458.659328</x:v>
      </x:c>
      <x:c r="E306" s="6" t="n">
        <x:f>J77</x:f>
        <x:v>29458.659328</x:v>
      </x:c>
      <x:c r="F306" s="6" t="n">
        <x:f>K77</x:f>
        <x:v>0</x:v>
      </x:c>
      <x:c r="G306" s="6" t="n">
        <x:f>L77</x:f>
        <x:v>0</x:v>
      </x:c>
      <x:c r="H306" s="99"/>
      <x:c r="I306" s="99"/>
      <x:c r="J306" s="99"/>
      <x:c r="K306" s="99"/>
      <x:c r="L306" s="99"/>
      <x:c r="M306" s="99"/>
    </x:row>
    <x:row r="307">
      <x:c r="C307" s="6" t="str">
        <x:v>2013-12</x:v>
      </x:c>
      <x:c r="D307" s="6" t="n">
        <x:f>D78</x:f>
        <x:v>30840.199168</x:v>
      </x:c>
      <x:c r="E307" s="6" t="n">
        <x:f>J78</x:f>
        <x:v>30840.199168</x:v>
      </x:c>
      <x:c r="F307" s="6" t="n">
        <x:f>K78</x:f>
        <x:v>0</x:v>
      </x:c>
      <x:c r="G307" s="6" t="n">
        <x:f>L78</x:f>
        <x:v>0</x:v>
      </x:c>
      <x:c r="H307" s="99"/>
      <x:c r="I307" s="99"/>
      <x:c r="J307" s="99"/>
      <x:c r="K307" s="99"/>
      <x:c r="L307" s="99"/>
      <x:c r="M307" s="99"/>
    </x:row>
    <x:row r="308">
      <x:c r="C308" s="6" t="str">
        <x:v>2014-01</x:v>
      </x:c>
      <x:c r="D308" s="6" t="n">
        <x:f>D79</x:f>
        <x:v>30005.7002657315</x:v>
      </x:c>
      <x:c r="E308" s="6" t="n">
        <x:f>J79</x:f>
        <x:v>30005.7002657315</x:v>
      </x:c>
      <x:c r="F308" s="6" t="n">
        <x:f>K79</x:f>
        <x:v>0</x:v>
      </x:c>
      <x:c r="G308" s="6" t="n">
        <x:f>L79</x:f>
        <x:v>0</x:v>
      </x:c>
      <x:c r="H308" s="99"/>
      <x:c r="I308" s="99"/>
      <x:c r="J308" s="99"/>
      <x:c r="K308" s="99"/>
      <x:c r="L308" s="99"/>
      <x:c r="M308" s="99"/>
    </x:row>
    <x:row r="309">
      <x:c r="C309" s="6" t="str">
        <x:v>2014-02</x:v>
      </x:c>
      <x:c r="D309" s="6" t="n">
        <x:f>D80</x:f>
        <x:v>29106.510373874</x:v>
      </x:c>
      <x:c r="E309" s="6" t="n">
        <x:f>J80</x:f>
        <x:v>29106.510373874</x:v>
      </x:c>
      <x:c r="F309" s="6" t="n">
        <x:f>K80</x:f>
        <x:v>0</x:v>
      </x:c>
      <x:c r="G309" s="6" t="n">
        <x:f>L80</x:f>
        <x:v>0</x:v>
      </x:c>
      <x:c r="H309" s="99"/>
      <x:c r="I309" s="99"/>
      <x:c r="J309" s="99"/>
      <x:c r="K309" s="99"/>
      <x:c r="L309" s="99"/>
      <x:c r="M309" s="99"/>
    </x:row>
    <x:row r="310">
      <x:c r="C310" s="6" t="str">
        <x:v>2014-03</x:v>
      </x:c>
      <x:c r="D310" s="6" t="n">
        <x:f>D81</x:f>
        <x:v>30657.6193227397</x:v>
      </x:c>
      <x:c r="E310" s="6" t="n">
        <x:f>J81</x:f>
        <x:v>30657.6193227397</x:v>
      </x:c>
      <x:c r="F310" s="6" t="n">
        <x:f>K81</x:f>
        <x:v>0</x:v>
      </x:c>
      <x:c r="G310" s="6" t="n">
        <x:f>L81</x:f>
        <x:v>0</x:v>
      </x:c>
      <x:c r="H310" s="99"/>
      <x:c r="I310" s="99"/>
      <x:c r="J310" s="99"/>
      <x:c r="K310" s="99"/>
      <x:c r="L310" s="99"/>
      <x:c r="M310" s="99"/>
    </x:row>
    <x:row r="311">
      <x:c r="C311" s="6" t="str">
        <x:v>2014-04</x:v>
      </x:c>
      <x:c r="D311" s="6" t="n">
        <x:f>D82</x:f>
        <x:v>30669.2978323288</x:v>
      </x:c>
      <x:c r="E311" s="6" t="n">
        <x:f>J82</x:f>
        <x:v>30669.2978323288</x:v>
      </x:c>
      <x:c r="F311" s="6" t="n">
        <x:f>K82</x:f>
        <x:v>0</x:v>
      </x:c>
      <x:c r="G311" s="6" t="n">
        <x:f>L82</x:f>
        <x:v>0</x:v>
      </x:c>
      <x:c r="H311" s="99"/>
      <x:c r="I311" s="99"/>
      <x:c r="J311" s="99"/>
      <x:c r="K311" s="99"/>
      <x:c r="L311" s="99"/>
      <x:c r="M311" s="99"/>
    </x:row>
    <x:row r="312">
      <x:c r="C312" s="6" t="str">
        <x:v>2014-05</x:v>
      </x:c>
      <x:c r="D312" s="6" t="n">
        <x:f>D83</x:f>
        <x:v>29465.0029659178</x:v>
      </x:c>
      <x:c r="E312" s="6" t="n">
        <x:f>J83</x:f>
        <x:v>29465.0029659178</x:v>
      </x:c>
      <x:c r="F312" s="6" t="n">
        <x:f>K83</x:f>
        <x:v>0</x:v>
      </x:c>
      <x:c r="G312" s="6" t="n">
        <x:f>L83</x:f>
        <x:v>0</x:v>
      </x:c>
      <x:c r="H312" s="99"/>
      <x:c r="I312" s="99"/>
      <x:c r="J312" s="99"/>
      <x:c r="K312" s="99"/>
      <x:c r="L312" s="99"/>
      <x:c r="M312" s="99"/>
    </x:row>
    <x:row r="313">
      <x:c r="C313" s="6" t="str">
        <x:v>2014-06</x:v>
      </x:c>
      <x:c r="D313" s="6" t="n">
        <x:f>D84</x:f>
        <x:v>29770.9642794082</x:v>
      </x:c>
      <x:c r="E313" s="6" t="n">
        <x:f>J84</x:f>
        <x:v>29770.9642794082</x:v>
      </x:c>
      <x:c r="F313" s="6" t="n">
        <x:f>K84</x:f>
        <x:v>0</x:v>
      </x:c>
      <x:c r="G313" s="6" t="n">
        <x:f>L84</x:f>
        <x:v>0</x:v>
      </x:c>
      <x:c r="H313" s="99"/>
      <x:c r="I313" s="99"/>
      <x:c r="J313" s="99"/>
      <x:c r="K313" s="99"/>
      <x:c r="L313" s="99"/>
      <x:c r="M313" s="99"/>
    </x:row>
    <x:row r="314">
      <x:c r="C314" s="6" t="str">
        <x:v>2014-07</x:v>
      </x:c>
      <x:c r="D314" s="6" t="n">
        <x:f>D85</x:f>
        <x:v>28583.3419509479</x:v>
      </x:c>
      <x:c r="E314" s="6" t="n">
        <x:f>J85</x:f>
        <x:v>28583.3419509479</x:v>
      </x:c>
      <x:c r="F314" s="6" t="n">
        <x:f>K85</x:f>
        <x:v>0</x:v>
      </x:c>
      <x:c r="G314" s="6" t="n">
        <x:f>L85</x:f>
        <x:v>0</x:v>
      </x:c>
      <x:c r="H314" s="99"/>
      <x:c r="I314" s="99"/>
      <x:c r="J314" s="99"/>
      <x:c r="K314" s="99"/>
      <x:c r="L314" s="99"/>
      <x:c r="M314" s="99"/>
    </x:row>
    <x:row r="315">
      <x:c r="C315" s="6" t="str">
        <x:v>2014-08</x:v>
      </x:c>
      <x:c r="D315" s="6" t="n">
        <x:f>D86</x:f>
        <x:v>29197.0874382027</x:v>
      </x:c>
      <x:c r="E315" s="6" t="n">
        <x:f>J86</x:f>
        <x:v>29197.0874382027</x:v>
      </x:c>
      <x:c r="F315" s="6" t="n">
        <x:f>K86</x:f>
        <x:v>0</x:v>
      </x:c>
      <x:c r="G315" s="6" t="n">
        <x:f>L86</x:f>
        <x:v>0</x:v>
      </x:c>
      <x:c r="H315" s="99"/>
      <x:c r="I315" s="99"/>
      <x:c r="J315" s="99"/>
      <x:c r="K315" s="99"/>
      <x:c r="L315" s="99"/>
      <x:c r="M315" s="99"/>
    </x:row>
    <x:row r="316">
      <x:c r="C316" s="6" t="str">
        <x:v>2014-09</x:v>
      </x:c>
      <x:c r="D316" s="6" t="n">
        <x:f>D87</x:f>
        <x:v>29713.5725974795</x:v>
      </x:c>
      <x:c r="E316" s="6" t="n">
        <x:f>J87</x:f>
        <x:v>29713.5725974795</x:v>
      </x:c>
      <x:c r="F316" s="6" t="n">
        <x:f>K87</x:f>
        <x:v>0</x:v>
      </x:c>
      <x:c r="G316" s="6" t="n">
        <x:f>L87</x:f>
        <x:v>0</x:v>
      </x:c>
      <x:c r="H316" s="99"/>
      <x:c r="I316" s="99"/>
      <x:c r="J316" s="99"/>
      <x:c r="K316" s="99"/>
      <x:c r="L316" s="99"/>
      <x:c r="M316" s="99"/>
    </x:row>
    <x:row r="317">
      <x:c r="C317" s="6" t="str">
        <x:v>2014-10</x:v>
      </x:c>
      <x:c r="D317" s="6" t="n">
        <x:f>D88</x:f>
        <x:v>28417.5929961206</x:v>
      </x:c>
      <x:c r="E317" s="6" t="n">
        <x:f>J88</x:f>
        <x:v>28417.5929961205</x:v>
      </x:c>
      <x:c r="F317" s="6" t="n">
        <x:f>K88</x:f>
        <x:v>0</x:v>
      </x:c>
      <x:c r="G317" s="6" t="n">
        <x:f>L88</x:f>
        <x:v>0</x:v>
      </x:c>
      <x:c r="H317" s="99"/>
      <x:c r="I317" s="99"/>
      <x:c r="J317" s="99"/>
      <x:c r="K317" s="99"/>
      <x:c r="L317" s="99"/>
      <x:c r="M317" s="99"/>
    </x:row>
    <x:row r="318">
      <x:c r="C318" s="6" t="str">
        <x:v>2014-11</x:v>
      </x:c>
      <x:c r="D318" s="6" t="n">
        <x:f>D89</x:f>
        <x:v>27400.5037392658</x:v>
      </x:c>
      <x:c r="E318" s="6" t="n">
        <x:f>J89</x:f>
        <x:v>27400.5037392658</x:v>
      </x:c>
      <x:c r="F318" s="6" t="n">
        <x:f>K89</x:f>
        <x:v>0</x:v>
      </x:c>
      <x:c r="G318" s="6" t="n">
        <x:f>L89</x:f>
        <x:v>0</x:v>
      </x:c>
      <x:c r="H318" s="99"/>
      <x:c r="I318" s="99"/>
      <x:c r="J318" s="99"/>
      <x:c r="K318" s="99"/>
      <x:c r="L318" s="99"/>
      <x:c r="M318" s="99"/>
    </x:row>
    <x:row r="319">
      <x:c r="C319" s="6" t="str">
        <x:v>2014-12</x:v>
      </x:c>
      <x:c r="D319" s="6" t="n">
        <x:f>D90</x:f>
        <x:v>23751.70048</x:v>
      </x:c>
      <x:c r="E319" s="6" t="n">
        <x:f>J90</x:f>
        <x:v>23751.70048</x:v>
      </x:c>
      <x:c r="F319" s="6" t="n">
        <x:f>K90</x:f>
        <x:v>0</x:v>
      </x:c>
      <x:c r="G319" s="6" t="n">
        <x:f>L90</x:f>
        <x:v>0</x:v>
      </x:c>
      <x:c r="H319" s="99"/>
      <x:c r="I319" s="99"/>
      <x:c r="J319" s="99"/>
      <x:c r="K319" s="99"/>
      <x:c r="L319" s="99"/>
      <x:c r="M319" s="99"/>
    </x:row>
    <x:row r="320">
      <x:c r="C320" s="6" t="str">
        <x:v>2015-01</x:v>
      </x:c>
      <x:c r="D320" s="6" t="n">
        <x:f>D91</x:f>
        <x:v>20076.1406055519</x:v>
      </x:c>
      <x:c r="E320" s="6" t="n">
        <x:f>J91</x:f>
        <x:v>20076.1406055519</x:v>
      </x:c>
      <x:c r="F320" s="6" t="n">
        <x:f>K91</x:f>
        <x:v>0</x:v>
      </x:c>
      <x:c r="G320" s="6" t="n">
        <x:f>L91</x:f>
        <x:v>0</x:v>
      </x:c>
      <x:c r="H320" s="99"/>
      <x:c r="I320" s="99"/>
      <x:c r="J320" s="99"/>
      <x:c r="K320" s="99"/>
      <x:c r="L320" s="99"/>
      <x:c r="M320" s="99"/>
    </x:row>
    <x:row r="321">
      <x:c r="C321" s="6" t="str">
        <x:v>2015-02</x:v>
      </x:c>
      <x:c r="D321" s="6" t="n">
        <x:f>D92</x:f>
        <x:v>19511.5314304699</x:v>
      </x:c>
      <x:c r="E321" s="6" t="n">
        <x:f>J92</x:f>
        <x:v>19511.5314304699</x:v>
      </x:c>
      <x:c r="F321" s="6" t="n">
        <x:f>K92</x:f>
        <x:v>0</x:v>
      </x:c>
      <x:c r="G321" s="6" t="n">
        <x:f>L92</x:f>
        <x:v>0</x:v>
      </x:c>
      <x:c r="H321" s="99"/>
      <x:c r="I321" s="99"/>
      <x:c r="J321" s="99"/>
      <x:c r="K321" s="99"/>
      <x:c r="L321" s="99"/>
      <x:c r="M321" s="99"/>
    </x:row>
    <x:row r="322">
      <x:c r="C322" s="6" t="str">
        <x:v>2015-03</x:v>
      </x:c>
      <x:c r="D322" s="6" t="n">
        <x:f>D93</x:f>
        <x:v>17652.234827541</x:v>
      </x:c>
      <x:c r="E322" s="6" t="n">
        <x:f>J93</x:f>
        <x:v>17652.234827541</x:v>
      </x:c>
      <x:c r="F322" s="6" t="n">
        <x:f>K93</x:f>
        <x:v>0</x:v>
      </x:c>
      <x:c r="G322" s="6" t="n">
        <x:f>L93</x:f>
        <x:v>0</x:v>
      </x:c>
      <x:c r="H322" s="99"/>
      <x:c r="I322" s="99"/>
      <x:c r="J322" s="99"/>
      <x:c r="K322" s="99"/>
      <x:c r="L322" s="99"/>
      <x:c r="M322" s="99"/>
    </x:row>
    <x:row r="323">
      <x:c r="C323" s="6" t="str">
        <x:v>2015-04</x:v>
      </x:c>
      <x:c r="D323" s="6" t="n">
        <x:f>D94</x:f>
        <x:v>15999.5204770273</x:v>
      </x:c>
      <x:c r="E323" s="6" t="n">
        <x:f>J94</x:f>
        <x:v>15999.5204770273</x:v>
      </x:c>
      <x:c r="F323" s="6" t="n">
        <x:f>K94</x:f>
        <x:v>0</x:v>
      </x:c>
      <x:c r="G323" s="6" t="n">
        <x:f>L94</x:f>
        <x:v>0</x:v>
      </x:c>
      <x:c r="H323" s="99"/>
      <x:c r="I323" s="99"/>
      <x:c r="J323" s="99"/>
      <x:c r="K323" s="99"/>
      <x:c r="L323" s="99"/>
      <x:c r="M323" s="99"/>
    </x:row>
    <x:row r="324">
      <x:c r="C324" s="6" t="str">
        <x:v>2015-05</x:v>
      </x:c>
      <x:c r="D324" s="6" t="n">
        <x:f>D95</x:f>
        <x:v>18243.9263853115</x:v>
      </x:c>
      <x:c r="E324" s="6" t="n">
        <x:f>J95</x:f>
        <x:v>18243.9263853115</x:v>
      </x:c>
      <x:c r="F324" s="6" t="n">
        <x:f>K95</x:f>
        <x:v>0</x:v>
      </x:c>
      <x:c r="G324" s="6" t="n">
        <x:f>L95</x:f>
        <x:v>0</x:v>
      </x:c>
      <x:c r="H324" s="99"/>
      <x:c r="I324" s="99"/>
      <x:c r="J324" s="99"/>
      <x:c r="K324" s="99"/>
      <x:c r="L324" s="99"/>
      <x:c r="M324" s="99"/>
    </x:row>
    <x:row r="325">
      <x:c r="C325" s="6" t="str">
        <x:v>2015-06</x:v>
      </x:c>
      <x:c r="D325" s="6" t="n">
        <x:f>D96</x:f>
        <x:v>18968.5828154754</x:v>
      </x:c>
      <x:c r="E325" s="6" t="n">
        <x:f>J96</x:f>
        <x:v>18968.5828154754</x:v>
      </x:c>
      <x:c r="F325" s="6" t="n">
        <x:f>K96</x:f>
        <x:v>0</x:v>
      </x:c>
      <x:c r="G325" s="6" t="n">
        <x:f>L96</x:f>
        <x:v>0</x:v>
      </x:c>
      <x:c r="H325" s="99"/>
      <x:c r="I325" s="99"/>
      <x:c r="J325" s="99"/>
      <x:c r="K325" s="99"/>
      <x:c r="L325" s="99"/>
      <x:c r="M325" s="99"/>
    </x:row>
    <x:row r="326">
      <x:c r="C326" s="6" t="str">
        <x:v>2015-07</x:v>
      </x:c>
      <x:c r="D326" s="6" t="n">
        <x:f>D97</x:f>
        <x:v>19366.2877460984</x:v>
      </x:c>
      <x:c r="E326" s="6" t="n">
        <x:f>J97</x:f>
        <x:v>19366.2877460984</x:v>
      </x:c>
      <x:c r="F326" s="6" t="n">
        <x:f>K97</x:f>
        <x:v>0</x:v>
      </x:c>
      <x:c r="G326" s="6" t="n">
        <x:f>L97</x:f>
        <x:v>0</x:v>
      </x:c>
      <x:c r="H326" s="99"/>
      <x:c r="I326" s="99"/>
      <x:c r="J326" s="99"/>
      <x:c r="K326" s="99"/>
      <x:c r="L326" s="99"/>
      <x:c r="M326" s="99"/>
    </x:row>
    <x:row r="327">
      <x:c r="C327" s="6" t="str">
        <x:v>2015-08</x:v>
      </x:c>
      <x:c r="D327" s="6" t="n">
        <x:f>D98</x:f>
        <x:v>18126.2329173333</x:v>
      </x:c>
      <x:c r="E327" s="6" t="n">
        <x:f>J98</x:f>
        <x:v>18126.2329173333</x:v>
      </x:c>
      <x:c r="F327" s="6" t="n">
        <x:f>K98</x:f>
        <x:v>0</x:v>
      </x:c>
      <x:c r="G327" s="6" t="n">
        <x:f>L98</x:f>
        <x:v>0</x:v>
      </x:c>
      <x:c r="H327" s="99"/>
      <x:c r="I327" s="99"/>
      <x:c r="J327" s="99"/>
      <x:c r="K327" s="99"/>
      <x:c r="L327" s="99"/>
      <x:c r="M327" s="99"/>
    </x:row>
    <x:row r="328">
      <x:c r="C328" s="6" t="str">
        <x:v>2015-09</x:v>
      </x:c>
      <x:c r="D328" s="6" t="n">
        <x:f>D99</x:f>
        <x:v>15299.9049428634</x:v>
      </x:c>
      <x:c r="E328" s="6" t="n">
        <x:f>J99</x:f>
        <x:v>15299.9049428634</x:v>
      </x:c>
      <x:c r="F328" s="6" t="n">
        <x:f>K99</x:f>
        <x:v>0</x:v>
      </x:c>
      <x:c r="G328" s="6" t="n">
        <x:f>L99</x:f>
        <x:v>0</x:v>
      </x:c>
      <x:c r="H328" s="99"/>
      <x:c r="I328" s="99"/>
      <x:c r="J328" s="99"/>
      <x:c r="K328" s="99"/>
      <x:c r="L328" s="99"/>
      <x:c r="M328" s="99"/>
    </x:row>
    <x:row r="329">
      <x:c r="C329" s="6" t="str">
        <x:v>2015-10</x:v>
      </x:c>
      <x:c r="D329" s="6" t="n">
        <x:f>D100</x:f>
        <x:v>15234.394984918</x:v>
      </x:c>
      <x:c r="E329" s="6" t="n">
        <x:f>J100</x:f>
        <x:v>15234.394984918</x:v>
      </x:c>
      <x:c r="F329" s="6" t="n">
        <x:f>K100</x:f>
        <x:v>0</x:v>
      </x:c>
      <x:c r="G329" s="6" t="n">
        <x:f>L100</x:f>
        <x:v>0</x:v>
      </x:c>
      <x:c r="H329" s="99"/>
      <x:c r="I329" s="99"/>
      <x:c r="J329" s="99"/>
      <x:c r="K329" s="99"/>
      <x:c r="L329" s="99"/>
      <x:c r="M329" s="99"/>
    </x:row>
    <x:row r="330">
      <x:c r="C330" s="6" t="str">
        <x:v>2015-11</x:v>
      </x:c>
      <x:c r="D330" s="6" t="n">
        <x:f>D101</x:f>
        <x:v>14499.3757446995</x:v>
      </x:c>
      <x:c r="E330" s="6" t="n">
        <x:f>J101</x:f>
        <x:v>14499.3757446995</x:v>
      </x:c>
      <x:c r="F330" s="6" t="n">
        <x:f>K101</x:f>
        <x:v>0</x:v>
      </x:c>
      <x:c r="G330" s="6" t="n">
        <x:f>L101</x:f>
        <x:v>0</x:v>
      </x:c>
      <x:c r="H330" s="99"/>
      <x:c r="I330" s="99"/>
      <x:c r="J330" s="99"/>
      <x:c r="K330" s="99"/>
      <x:c r="L330" s="99"/>
      <x:c r="M330" s="99"/>
    </x:row>
    <x:row r="331">
      <x:c r="C331" s="6" t="str">
        <x:v>2015-12</x:v>
      </x:c>
      <x:c r="D331" s="6" t="n">
        <x:f>D102</x:f>
        <x:v>13689.700352</x:v>
      </x:c>
      <x:c r="E331" s="6" t="n">
        <x:f>J102</x:f>
        <x:v>13689.700352</x:v>
      </x:c>
      <x:c r="F331" s="6" t="n">
        <x:f>K102</x:f>
        <x:v>0</x:v>
      </x:c>
      <x:c r="G331" s="6" t="n">
        <x:f>L102</x:f>
        <x:v>0</x:v>
      </x:c>
      <x:c r="H331" s="99"/>
      <x:c r="I331" s="99"/>
      <x:c r="J331" s="99"/>
      <x:c r="K331" s="99"/>
      <x:c r="L331" s="99"/>
      <x:c r="M331" s="99"/>
    </x:row>
    <x:row r="332">
      <x:c r="C332" s="6" t="str">
        <x:v>2016-01</x:v>
      </x:c>
      <x:c r="D332" s="6" t="n">
        <x:f>D103</x:f>
        <x:v>10267.6395358685</x:v>
      </x:c>
      <x:c r="E332" s="6" t="n">
        <x:f>J103</x:f>
        <x:v>10267.6395358685</x:v>
      </x:c>
      <x:c r="F332" s="6" t="n">
        <x:f>K103</x:f>
        <x:v>0</x:v>
      </x:c>
      <x:c r="G332" s="6" t="n">
        <x:f>L103</x:f>
        <x:v>0</x:v>
      </x:c>
      <x:c r="H332" s="99"/>
      <x:c r="I332" s="99"/>
      <x:c r="J332" s="99"/>
      <x:c r="K332" s="99"/>
      <x:c r="L332" s="99"/>
      <x:c r="M332" s="99"/>
    </x:row>
    <x:row r="333">
      <x:c r="C333" s="6" t="str">
        <x:v>2016-02</x:v>
      </x:c>
      <x:c r="D333" s="6" t="n">
        <x:f>D104</x:f>
        <x:v>9491.04197295342</x:v>
      </x:c>
      <x:c r="E333" s="6" t="n">
        <x:f>J104</x:f>
        <x:v>9491.04197295342</x:v>
      </x:c>
      <x:c r="F333" s="6" t="n">
        <x:f>K104</x:f>
        <x:v>0</x:v>
      </x:c>
      <x:c r="G333" s="6" t="n">
        <x:f>L104</x:f>
        <x:v>0</x:v>
      </x:c>
      <x:c r="H333" s="99"/>
      <x:c r="I333" s="99"/>
      <x:c r="J333" s="99"/>
      <x:c r="K333" s="99"/>
      <x:c r="L333" s="99"/>
      <x:c r="M333" s="99"/>
    </x:row>
    <x:row r="334">
      <x:c r="C334" s="6" t="str">
        <x:v>2016-03</x:v>
      </x:c>
      <x:c r="D334" s="6" t="n">
        <x:f>D105</x:f>
        <x:v>6269.25215912329</x:v>
      </x:c>
      <x:c r="E334" s="6" t="n">
        <x:f>J105</x:f>
        <x:v>6269.25215912329</x:v>
      </x:c>
      <x:c r="F334" s="6" t="n">
        <x:f>K105</x:f>
        <x:v>0</x:v>
      </x:c>
      <x:c r="G334" s="6" t="n">
        <x:f>L105</x:f>
        <x:v>0</x:v>
      </x:c>
      <x:c r="H334" s="99"/>
      <x:c r="I334" s="99"/>
      <x:c r="J334" s="99"/>
      <x:c r="K334" s="99"/>
      <x:c r="L334" s="99"/>
      <x:c r="M334" s="99"/>
    </x:row>
    <x:row r="335">
      <x:c r="C335" s="6" t="str">
        <x:v>2016-04</x:v>
      </x:c>
      <x:c r="D335" s="6" t="n">
        <x:f>D106</x:f>
        <x:v>6718.60661935342</x:v>
      </x:c>
      <x:c r="E335" s="6" t="n">
        <x:f>J106</x:f>
        <x:v>6718.60661935342</x:v>
      </x:c>
      <x:c r="F335" s="6" t="n">
        <x:f>K106</x:f>
        <x:v>0</x:v>
      </x:c>
      <x:c r="G335" s="6" t="n">
        <x:f>L106</x:f>
        <x:v>0</x:v>
      </x:c>
      <x:c r="H335" s="99"/>
      <x:c r="I335" s="99"/>
      <x:c r="J335" s="99"/>
      <x:c r="K335" s="99"/>
      <x:c r="L335" s="99"/>
      <x:c r="M335" s="99"/>
    </x:row>
    <x:row r="336">
      <x:c r="C336" s="6" t="str">
        <x:v>2016-05</x:v>
      </x:c>
      <x:c r="D336" s="6" t="n">
        <x:f>D107</x:f>
        <x:v>8149.23033670137</x:v>
      </x:c>
      <x:c r="E336" s="6" t="n">
        <x:f>J107</x:f>
        <x:v>8149.23033670137</x:v>
      </x:c>
      <x:c r="F336" s="6" t="n">
        <x:f>K107</x:f>
        <x:v>0</x:v>
      </x:c>
      <x:c r="G336" s="6" t="n">
        <x:f>L107</x:f>
        <x:v>0</x:v>
      </x:c>
      <x:c r="H336" s="99"/>
      <x:c r="I336" s="99"/>
      <x:c r="J336" s="99"/>
      <x:c r="K336" s="99"/>
      <x:c r="L336" s="99"/>
      <x:c r="M336" s="99"/>
    </x:row>
    <x:row r="337">
      <x:c r="C337" s="6" t="str">
        <x:v>2016-06</x:v>
      </x:c>
      <x:c r="D337" s="6" t="n">
        <x:f>D108</x:f>
        <x:v>9287.00215688767</x:v>
      </x:c>
      <x:c r="E337" s="6" t="n">
        <x:f>J108</x:f>
        <x:v>9287.00215688767</x:v>
      </x:c>
      <x:c r="F337" s="6" t="n">
        <x:f>K108</x:f>
        <x:v>0</x:v>
      </x:c>
      <x:c r="G337" s="6" t="n">
        <x:f>L108</x:f>
        <x:v>0</x:v>
      </x:c>
      <x:c r="H337" s="99"/>
      <x:c r="I337" s="99"/>
      <x:c r="J337" s="99"/>
      <x:c r="K337" s="99"/>
      <x:c r="L337" s="99"/>
      <x:c r="M337" s="99"/>
    </x:row>
    <x:row r="338">
      <x:c r="C338" s="6" t="str">
        <x:v>2016-07</x:v>
      </x:c>
      <x:c r="D338" s="6" t="n">
        <x:f>D109</x:f>
        <x:v>11264.5449012603</x:v>
      </x:c>
      <x:c r="E338" s="6" t="n">
        <x:f>J109</x:f>
        <x:v>11264.5449012603</x:v>
      </x:c>
      <x:c r="F338" s="6" t="n">
        <x:f>K109</x:f>
        <x:v>0</x:v>
      </x:c>
      <x:c r="G338" s="6" t="n">
        <x:f>L109</x:f>
        <x:v>0</x:v>
      </x:c>
      <x:c r="H338" s="99"/>
      <x:c r="I338" s="99"/>
      <x:c r="J338" s="99"/>
      <x:c r="K338" s="99"/>
      <x:c r="L338" s="99"/>
      <x:c r="M338" s="99"/>
    </x:row>
    <x:row r="339">
      <x:c r="C339" s="6" t="str">
        <x:v>2016-08</x:v>
      </x:c>
      <x:c r="D339" s="6" t="n">
        <x:f>D110</x:f>
        <x:v>13743.1301077918</x:v>
      </x:c>
      <x:c r="E339" s="6" t="n">
        <x:f>J110</x:f>
        <x:v>13743.1301077918</x:v>
      </x:c>
      <x:c r="F339" s="6" t="n">
        <x:f>K110</x:f>
        <x:v>0</x:v>
      </x:c>
      <x:c r="G339" s="6" t="n">
        <x:f>L110</x:f>
        <x:v>0</x:v>
      </x:c>
      <x:c r="H339" s="99"/>
      <x:c r="I339" s="99"/>
      <x:c r="J339" s="99"/>
      <x:c r="K339" s="99"/>
      <x:c r="L339" s="99"/>
      <x:c r="M339" s="99"/>
    </x:row>
    <x:row r="340">
      <x:c r="C340" s="6" t="str">
        <x:v>2016-09</x:v>
      </x:c>
      <x:c r="D340" s="6" t="n">
        <x:f>D111</x:f>
        <x:v>12995.8300068822</x:v>
      </x:c>
      <x:c r="E340" s="6" t="n">
        <x:f>J111</x:f>
        <x:v>12995.8300068822</x:v>
      </x:c>
      <x:c r="F340" s="6" t="n">
        <x:f>K111</x:f>
        <x:v>0</x:v>
      </x:c>
      <x:c r="G340" s="6" t="n">
        <x:f>L111</x:f>
        <x:v>0</x:v>
      </x:c>
      <x:c r="H340" s="99"/>
      <x:c r="I340" s="99"/>
      <x:c r="J340" s="99"/>
      <x:c r="K340" s="99"/>
      <x:c r="L340" s="99"/>
      <x:c r="M340" s="99"/>
    </x:row>
    <x:row r="341">
      <x:c r="C341" s="6" t="str">
        <x:v>2016-10</x:v>
      </x:c>
      <x:c r="D341" s="6" t="n">
        <x:f>D112</x:f>
        <x:v>13090.9735136438</x:v>
      </x:c>
      <x:c r="E341" s="6" t="n">
        <x:f>J112</x:f>
        <x:v>13090.9735136438</x:v>
      </x:c>
      <x:c r="F341" s="6" t="n">
        <x:f>K112</x:f>
        <x:v>0</x:v>
      </x:c>
      <x:c r="G341" s="6" t="n">
        <x:f>L112</x:f>
        <x:v>0</x:v>
      </x:c>
      <x:c r="H341" s="99"/>
      <x:c r="I341" s="99"/>
      <x:c r="J341" s="99"/>
      <x:c r="K341" s="99"/>
      <x:c r="L341" s="99"/>
      <x:c r="M341" s="99"/>
    </x:row>
    <x:row r="342">
      <x:c r="C342" s="6" t="str">
        <x:v>2016-11</x:v>
      </x:c>
      <x:c r="D342" s="6" t="n">
        <x:f>D113</x:f>
        <x:v>13235.4292019507</x:v>
      </x:c>
      <x:c r="E342" s="6" t="n">
        <x:f>J113</x:f>
        <x:v>13235.4292019507</x:v>
      </x:c>
      <x:c r="F342" s="6" t="n">
        <x:f>K113</x:f>
        <x:v>0</x:v>
      </x:c>
      <x:c r="G342" s="6" t="n">
        <x:f>L113</x:f>
        <x:v>0</x:v>
      </x:c>
      <x:c r="H342" s="99"/>
      <x:c r="I342" s="99"/>
      <x:c r="J342" s="99"/>
      <x:c r="K342" s="99"/>
      <x:c r="L342" s="99"/>
      <x:c r="M342" s="99"/>
    </x:row>
    <x:row r="343">
      <x:c r="C343" s="6" t="str">
        <x:v>2016-12</x:v>
      </x:c>
      <x:c r="D343" s="6" t="n">
        <x:f>D114</x:f>
        <x:v>13903.0569731507</x:v>
      </x:c>
      <x:c r="E343" s="6" t="n">
        <x:f>J114</x:f>
        <x:v>13903.0569731507</x:v>
      </x:c>
      <x:c r="F343" s="6" t="n">
        <x:f>K114</x:f>
        <x:v>0</x:v>
      </x:c>
      <x:c r="G343" s="6" t="n">
        <x:f>L114</x:f>
        <x:v>0</x:v>
      </x:c>
      <x:c r="H343" s="99"/>
      <x:c r="I343" s="99"/>
      <x:c r="J343" s="99"/>
      <x:c r="K343" s="99"/>
      <x:c r="L343" s="99"/>
      <x:c r="M343" s="99"/>
    </x:row>
    <x:row r="344">
      <x:c r="C344" s="6" t="str">
        <x:v>2017-01</x:v>
      </x:c>
      <x:c r="D344" s="6" t="n">
        <x:f>D115</x:f>
        <x:v>16266.5727635288</x:v>
      </x:c>
      <x:c r="E344" s="6" t="n">
        <x:f>J115</x:f>
        <x:v>16266.5727635288</x:v>
      </x:c>
      <x:c r="F344" s="6" t="n">
        <x:f>K115</x:f>
        <x:v>0</x:v>
      </x:c>
      <x:c r="G344" s="6" t="n">
        <x:f>L115</x:f>
        <x:v>0</x:v>
      </x:c>
      <x:c r="H344" s="99"/>
      <x:c r="I344" s="99"/>
      <x:c r="J344" s="99"/>
      <x:c r="K344" s="99"/>
      <x:c r="L344" s="99"/>
      <x:c r="M344" s="99"/>
    </x:row>
    <x:row r="345">
      <x:c r="C345" s="6" t="str">
        <x:v>2017-02</x:v>
      </x:c>
      <x:c r="D345" s="6" t="n">
        <x:f>D116</x:f>
        <x:v>17396.0789398795</x:v>
      </x:c>
      <x:c r="E345" s="6" t="n">
        <x:f>J116</x:f>
        <x:v>17396.0789398795</x:v>
      </x:c>
      <x:c r="F345" s="6" t="n">
        <x:f>K116</x:f>
        <x:v>0</x:v>
      </x:c>
      <x:c r="G345" s="6" t="n">
        <x:f>L116</x:f>
        <x:v>0</x:v>
      </x:c>
      <x:c r="H345" s="99"/>
      <x:c r="I345" s="99"/>
      <x:c r="J345" s="99"/>
      <x:c r="K345" s="99"/>
      <x:c r="L345" s="99"/>
      <x:c r="M345" s="99"/>
    </x:row>
    <x:row r="346">
      <x:c r="C346" s="6" t="str">
        <x:v>2017-03</x:v>
      </x:c>
      <x:c r="D346" s="6" t="n">
        <x:f>D117</x:f>
        <x:v>17036.398662137</x:v>
      </x:c>
      <x:c r="E346" s="6" t="n">
        <x:f>J117</x:f>
        <x:v>17036.398662137</x:v>
      </x:c>
      <x:c r="F346" s="6" t="n">
        <x:f>K117</x:f>
        <x:v>0</x:v>
      </x:c>
      <x:c r="G346" s="6" t="n">
        <x:f>L117</x:f>
        <x:v>0</x:v>
      </x:c>
      <x:c r="H346" s="99"/>
      <x:c r="I346" s="99"/>
      <x:c r="J346" s="99"/>
      <x:c r="K346" s="99"/>
      <x:c r="L346" s="99"/>
      <x:c r="M346" s="99"/>
    </x:row>
    <x:row r="347">
      <x:c r="C347" s="6" t="str">
        <x:v>2017-04</x:v>
      </x:c>
      <x:c r="D347" s="6" t="n">
        <x:f>D118</x:f>
        <x:v>15244.3545571945</x:v>
      </x:c>
      <x:c r="E347" s="6" t="n">
        <x:f>J118</x:f>
        <x:v>15244.3545571945</x:v>
      </x:c>
      <x:c r="F347" s="6" t="n">
        <x:f>K118</x:f>
        <x:v>0</x:v>
      </x:c>
      <x:c r="G347" s="6" t="n">
        <x:f>L118</x:f>
        <x:v>0</x:v>
      </x:c>
      <x:c r="H347" s="99"/>
      <x:c r="I347" s="99"/>
      <x:c r="J347" s="99"/>
      <x:c r="K347" s="99"/>
      <x:c r="L347" s="99"/>
      <x:c r="M347" s="99"/>
    </x:row>
    <x:row r="348">
      <x:c r="C348" s="6" t="str">
        <x:v>2017-05</x:v>
      </x:c>
      <x:c r="D348" s="6" t="n">
        <x:f>D119</x:f>
        <x:v>18633.4273816548</x:v>
      </x:c>
      <x:c r="E348" s="6" t="n">
        <x:f>J119</x:f>
        <x:v>18633.4273816548</x:v>
      </x:c>
      <x:c r="F348" s="6" t="n">
        <x:f>K119</x:f>
        <x:v>0</x:v>
      </x:c>
      <x:c r="G348" s="6" t="n">
        <x:f>L119</x:f>
        <x:v>0</x:v>
      </x:c>
      <x:c r="H348" s="99"/>
      <x:c r="I348" s="99"/>
      <x:c r="J348" s="99"/>
      <x:c r="K348" s="99"/>
      <x:c r="L348" s="99"/>
      <x:c r="M348" s="99"/>
    </x:row>
    <x:row r="349">
      <x:c r="C349" s="6" t="str">
        <x:v>2017-06</x:v>
      </x:c>
      <x:c r="D349" s="6" t="n">
        <x:f>D120</x:f>
        <x:v>18081.3291183342</x:v>
      </x:c>
      <x:c r="E349" s="6" t="n">
        <x:f>J120</x:f>
        <x:v>18081.3291183342</x:v>
      </x:c>
      <x:c r="F349" s="6" t="n">
        <x:f>K120</x:f>
        <x:v>0</x:v>
      </x:c>
      <x:c r="G349" s="6" t="n">
        <x:f>L120</x:f>
        <x:v>0</x:v>
      </x:c>
      <x:c r="H349" s="99"/>
      <x:c r="I349" s="99"/>
      <x:c r="J349" s="99"/>
      <x:c r="K349" s="99"/>
      <x:c r="L349" s="99"/>
      <x:c r="M349" s="99"/>
    </x:row>
    <x:row r="350">
      <x:c r="C350" s="6" t="str">
        <x:v>2017-07</x:v>
      </x:c>
      <x:c r="D350" s="6" t="n">
        <x:f>D121</x:f>
        <x:v>18690.5115886466</x:v>
      </x:c>
      <x:c r="E350" s="6" t="n">
        <x:f>J121</x:f>
        <x:v>18690.5115886466</x:v>
      </x:c>
      <x:c r="F350" s="6" t="n">
        <x:f>K121</x:f>
        <x:v>0</x:v>
      </x:c>
      <x:c r="G350" s="6" t="n">
        <x:f>L121</x:f>
        <x:v>0</x:v>
      </x:c>
      <x:c r="H350" s="99"/>
      <x:c r="I350" s="99"/>
      <x:c r="J350" s="99"/>
      <x:c r="K350" s="99"/>
      <x:c r="L350" s="99"/>
      <x:c r="M350" s="99"/>
    </x:row>
    <x:row r="351">
      <x:c r="C351" s="6" t="str">
        <x:v>2017-08</x:v>
      </x:c>
      <x:c r="D351" s="6" t="n">
        <x:f>D122</x:f>
        <x:v>17463.8731432329</x:v>
      </x:c>
      <x:c r="E351" s="6" t="n">
        <x:f>J122</x:f>
        <x:v>17463.8731432329</x:v>
      </x:c>
      <x:c r="F351" s="6" t="n">
        <x:f>K122</x:f>
        <x:v>0</x:v>
      </x:c>
      <x:c r="G351" s="6" t="n">
        <x:f>L122</x:f>
        <x:v>0</x:v>
      </x:c>
      <x:c r="H351" s="99"/>
      <x:c r="I351" s="99"/>
      <x:c r="J351" s="99"/>
      <x:c r="K351" s="99"/>
      <x:c r="L351" s="99"/>
      <x:c r="M351" s="99"/>
    </x:row>
    <x:row r="352">
      <x:c r="C352" s="6" t="str">
        <x:v>2017-09</x:v>
      </x:c>
      <x:c r="D352" s="6" t="n">
        <x:f>D123</x:f>
        <x:v>16782.7974284274</x:v>
      </x:c>
      <x:c r="E352" s="6" t="n">
        <x:f>J123</x:f>
        <x:v>16782.7974284274</x:v>
      </x:c>
      <x:c r="F352" s="6" t="n">
        <x:f>K123</x:f>
        <x:v>0</x:v>
      </x:c>
      <x:c r="G352" s="6" t="n">
        <x:f>L123</x:f>
        <x:v>0</x:v>
      </x:c>
      <x:c r="H352" s="99"/>
      <x:c r="I352" s="99"/>
      <x:c r="J352" s="99"/>
      <x:c r="K352" s="99"/>
      <x:c r="L352" s="99"/>
      <x:c r="M352" s="99"/>
    </x:row>
    <x:row r="353">
      <x:c r="C353" s="6" t="str">
        <x:v>2017-10</x:v>
      </x:c>
      <x:c r="D353" s="6" t="n">
        <x:f>D124</x:f>
        <x:v>16084.9583370521</x:v>
      </x:c>
      <x:c r="E353" s="6" t="n">
        <x:f>J124</x:f>
        <x:v>16084.9583370521</x:v>
      </x:c>
      <x:c r="F353" s="6" t="n">
        <x:f>K124</x:f>
        <x:v>0</x:v>
      </x:c>
      <x:c r="G353" s="6" t="n">
        <x:f>L124</x:f>
        <x:v>0</x:v>
      </x:c>
      <x:c r="H353" s="99"/>
      <x:c r="I353" s="99"/>
      <x:c r="J353" s="99"/>
      <x:c r="K353" s="99"/>
      <x:c r="L353" s="99"/>
      <x:c r="M353" s="99"/>
    </x:row>
    <x:row r="354">
      <x:c r="C354" s="6" t="str">
        <x:v>2017-11</x:v>
      </x:c>
      <x:c r="D354" s="6" t="n">
        <x:f>D125</x:f>
        <x:v>16380.8046570959</x:v>
      </x:c>
      <x:c r="E354" s="6" t="n">
        <x:f>J125</x:f>
        <x:v>16380.8046570959</x:v>
      </x:c>
      <x:c r="F354" s="6" t="n">
        <x:f>K125</x:f>
        <x:v>0</x:v>
      </x:c>
      <x:c r="G354" s="6" t="n">
        <x:f>L125</x:f>
        <x:v>0</x:v>
      </x:c>
      <x:c r="H354" s="99"/>
      <x:c r="I354" s="99"/>
      <x:c r="J354" s="99"/>
      <x:c r="K354" s="99"/>
      <x:c r="L354" s="99"/>
      <x:c r="M354" s="99"/>
    </x:row>
    <x:row r="355">
      <x:c r="C355" s="6" t="str">
        <x:v>2017-12</x:v>
      </x:c>
      <x:c r="D355" s="6" t="n">
        <x:f>D126</x:f>
        <x:v>18573.9865438685</x:v>
      </x:c>
      <x:c r="E355" s="6" t="n">
        <x:f>J126</x:f>
        <x:v>18573.9865438685</x:v>
      </x:c>
      <x:c r="F355" s="6" t="n">
        <x:f>K126</x:f>
        <x:v>0</x:v>
      </x:c>
      <x:c r="G355" s="6" t="n">
        <x:f>L126</x:f>
        <x:v>0</x:v>
      </x:c>
      <x:c r="H355" s="99"/>
      <x:c r="I355" s="99"/>
      <x:c r="J355" s="99"/>
      <x:c r="K355" s="99"/>
      <x:c r="L355" s="99"/>
      <x:c r="M355" s="99"/>
    </x:row>
    <x:row r="356">
      <x:c r="C356" s="6" t="str">
        <x:v>2018-01</x:v>
      </x:c>
      <x:c r="D356" s="6" t="n">
        <x:f>D127</x:f>
        <x:v>20675.2763455123</x:v>
      </x:c>
      <x:c r="E356" s="6" t="n">
        <x:f>J127</x:f>
        <x:v>20675.2763455123</x:v>
      </x:c>
      <x:c r="F356" s="6" t="n">
        <x:f>K127</x:f>
        <x:v>0</x:v>
      </x:c>
      <x:c r="G356" s="6" t="n">
        <x:f>L127</x:f>
        <x:v>0</x:v>
      </x:c>
      <x:c r="H356" s="99"/>
      <x:c r="I356" s="99"/>
      <x:c r="J356" s="99"/>
      <x:c r="K356" s="99"/>
      <x:c r="L356" s="99"/>
      <x:c r="M356" s="99"/>
    </x:row>
    <x:row r="357">
      <x:c r="C357" s="6" t="str">
        <x:v>2018-02</x:v>
      </x:c>
      <x:c r="D357" s="6" t="n">
        <x:f>D128</x:f>
        <x:v>24672.9254098411</x:v>
      </x:c>
      <x:c r="E357" s="6" t="n">
        <x:f>J128</x:f>
        <x:v>24672.9254098411</x:v>
      </x:c>
      <x:c r="F357" s="6" t="n">
        <x:f>K128</x:f>
        <x:v>0</x:v>
      </x:c>
      <x:c r="G357" s="6" t="n">
        <x:f>L128</x:f>
        <x:v>0</x:v>
      </x:c>
      <x:c r="H357" s="99"/>
      <x:c r="I357" s="99"/>
      <x:c r="J357" s="99"/>
      <x:c r="K357" s="99"/>
      <x:c r="L357" s="99"/>
      <x:c r="M357" s="99"/>
    </x:row>
    <x:row r="358">
      <x:c r="C358" s="6" t="str">
        <x:v>2018-03</x:v>
      </x:c>
      <x:c r="D358" s="6" t="n">
        <x:f>D129</x:f>
        <x:v>26057.1317121753</x:v>
      </x:c>
      <x:c r="E358" s="6" t="n">
        <x:f>J129</x:f>
        <x:v>26057.1317121753</x:v>
      </x:c>
      <x:c r="F358" s="6" t="n">
        <x:f>K129</x:f>
        <x:v>0</x:v>
      </x:c>
      <x:c r="G358" s="6" t="n">
        <x:f>L129</x:f>
        <x:v>0</x:v>
      </x:c>
      <x:c r="H358" s="99"/>
      <x:c r="I358" s="99"/>
      <x:c r="J358" s="99"/>
      <x:c r="K358" s="99"/>
      <x:c r="L358" s="99"/>
      <x:c r="M358" s="99"/>
    </x:row>
    <x:row r="359">
      <x:c r="C359" s="6" t="str">
        <x:v>2018-04</x:v>
      </x:c>
      <x:c r="D359" s="6" t="n">
        <x:f>D130</x:f>
        <x:v>27653.0278961096</x:v>
      </x:c>
      <x:c r="E359" s="6" t="n">
        <x:f>J130</x:f>
        <x:v>27653.0278961096</x:v>
      </x:c>
      <x:c r="F359" s="6" t="n">
        <x:f>K130</x:f>
        <x:v>0</x:v>
      </x:c>
      <x:c r="G359" s="6" t="n">
        <x:f>L130</x:f>
        <x:v>0</x:v>
      </x:c>
      <x:c r="H359" s="99"/>
      <x:c r="I359" s="99"/>
      <x:c r="J359" s="99"/>
      <x:c r="K359" s="99"/>
      <x:c r="L359" s="99"/>
      <x:c r="M359" s="99"/>
    </x:row>
    <x:row r="360">
      <x:c r="C360" s="6" t="str">
        <x:v>2018-05</x:v>
      </x:c>
      <x:c r="D360" s="6" t="n">
        <x:f>D131</x:f>
        <x:v>31242.9382838356</x:v>
      </x:c>
      <x:c r="E360" s="6" t="n">
        <x:f>J131</x:f>
        <x:v>31242.9382838356</x:v>
      </x:c>
      <x:c r="F360" s="6" t="n">
        <x:f>K131</x:f>
        <x:v>0</x:v>
      </x:c>
      <x:c r="G360" s="6" t="n">
        <x:f>L131</x:f>
        <x:v>0</x:v>
      </x:c>
      <x:c r="H360" s="99"/>
      <x:c r="I360" s="99"/>
      <x:c r="J360" s="99"/>
      <x:c r="K360" s="99"/>
      <x:c r="L360" s="99"/>
      <x:c r="M360" s="99"/>
    </x:row>
    <x:row r="361">
      <x:c r="C361" s="6" t="str">
        <x:v>2018-06</x:v>
      </x:c>
      <x:c r="D361" s="6" t="n">
        <x:f>D132</x:f>
        <x:v>32289.096914411</x:v>
      </x:c>
      <x:c r="E361" s="6" t="n">
        <x:f>J132</x:f>
        <x:v>32289.096914411</x:v>
      </x:c>
      <x:c r="F361" s="6" t="n">
        <x:f>K132</x:f>
        <x:v>0</x:v>
      </x:c>
      <x:c r="G361" s="6" t="n">
        <x:f>L132</x:f>
        <x:v>0</x:v>
      </x:c>
      <x:c r="H361" s="99"/>
      <x:c r="I361" s="99"/>
      <x:c r="J361" s="99"/>
      <x:c r="K361" s="99"/>
      <x:c r="L361" s="99"/>
      <x:c r="M361" s="99"/>
    </x:row>
    <x:row r="362">
      <x:c r="C362" s="6" t="str">
        <x:v>2018-07</x:v>
      </x:c>
      <x:c r="D362" s="6" t="n">
        <x:f>D133</x:f>
        <x:v>33905.8481628932</x:v>
      </x:c>
      <x:c r="E362" s="6" t="n">
        <x:f>J133</x:f>
        <x:v>33905.8481628932</x:v>
      </x:c>
      <x:c r="F362" s="6" t="n">
        <x:f>K133</x:f>
        <x:v>0</x:v>
      </x:c>
      <x:c r="G362" s="6" t="n">
        <x:f>L133</x:f>
        <x:v>0</x:v>
      </x:c>
      <x:c r="H362" s="99"/>
      <x:c r="I362" s="99"/>
      <x:c r="J362" s="99"/>
      <x:c r="K362" s="99"/>
      <x:c r="L362" s="99"/>
      <x:c r="M362" s="99"/>
    </x:row>
    <x:row r="363">
      <x:c r="C363" s="6" t="str">
        <x:v>2018-08</x:v>
      </x:c>
      <x:c r="D363" s="6" t="n">
        <x:f>D134</x:f>
        <x:v>37167.0989838027</x:v>
      </x:c>
      <x:c r="E363" s="6" t="n">
        <x:f>J134</x:f>
        <x:v>37167.0989838027</x:v>
      </x:c>
      <x:c r="F363" s="6" t="n">
        <x:f>K134</x:f>
        <x:v>0</x:v>
      </x:c>
      <x:c r="G363" s="6" t="n">
        <x:f>L134</x:f>
        <x:v>0</x:v>
      </x:c>
      <x:c r="H363" s="99"/>
      <x:c r="I363" s="99"/>
      <x:c r="J363" s="99"/>
      <x:c r="K363" s="99"/>
      <x:c r="L363" s="99"/>
      <x:c r="M363" s="99"/>
    </x:row>
    <x:row r="364">
      <x:c r="C364" s="6" t="str">
        <x:v>2018-09</x:v>
      </x:c>
      <x:c r="D364" s="6" t="n">
        <x:f>D135</x:f>
        <x:v>40215.8085330411</x:v>
      </x:c>
      <x:c r="E364" s="6" t="n">
        <x:f>J135</x:f>
        <x:v>40215.8085330411</x:v>
      </x:c>
      <x:c r="F364" s="6" t="n">
        <x:f>K135</x:f>
        <x:v>0</x:v>
      </x:c>
      <x:c r="G364" s="6" t="n">
        <x:f>L135</x:f>
        <x:v>0</x:v>
      </x:c>
      <x:c r="H364" s="99"/>
      <x:c r="I364" s="99"/>
      <x:c r="J364" s="99"/>
      <x:c r="K364" s="99"/>
      <x:c r="L364" s="99"/>
      <x:c r="M364" s="99"/>
    </x:row>
    <x:row r="365">
      <x:c r="C365" s="6" t="str">
        <x:v>2018-10</x:v>
      </x:c>
      <x:c r="D365" s="6" t="n">
        <x:f>D136</x:f>
        <x:v>46121.9973316384</x:v>
      </x:c>
      <x:c r="E365" s="6" t="n">
        <x:f>J136</x:f>
        <x:v>46121.9973316384</x:v>
      </x:c>
      <x:c r="F365" s="6" t="n">
        <x:f>K136</x:f>
        <x:v>0</x:v>
      </x:c>
      <x:c r="G365" s="6" t="n">
        <x:f>L136</x:f>
        <x:v>0</x:v>
      </x:c>
      <x:c r="H365" s="99"/>
      <x:c r="I365" s="99"/>
      <x:c r="J365" s="99"/>
      <x:c r="K365" s="99"/>
      <x:c r="L365" s="99"/>
      <x:c r="M365" s="99"/>
    </x:row>
    <x:row r="366">
      <x:c r="C366" s="6" t="str">
        <x:v>2018-11</x:v>
      </x:c>
      <x:c r="D366" s="6" t="n">
        <x:f>D137</x:f>
        <x:v>44268.5998851507</x:v>
      </x:c>
      <x:c r="E366" s="6" t="n">
        <x:f>J137</x:f>
        <x:v>44268.5998851507</x:v>
      </x:c>
      <x:c r="F366" s="6" t="n">
        <x:f>K137</x:f>
        <x:v>0</x:v>
      </x:c>
      <x:c r="G366" s="6" t="n">
        <x:f>L137</x:f>
        <x:v>0</x:v>
      </x:c>
      <x:c r="H366" s="99"/>
      <x:c r="I366" s="99"/>
      <x:c r="J366" s="99"/>
      <x:c r="K366" s="99"/>
      <x:c r="L366" s="99"/>
      <x:c r="M366" s="99"/>
    </x:row>
    <x:row r="367">
      <x:c r="C367" s="6" t="str">
        <x:v>2018-12</x:v>
      </x:c>
      <x:c r="D367" s="6" t="n">
        <x:f>D138</x:f>
        <x:v>40895.598592</x:v>
      </x:c>
      <x:c r="E367" s="6" t="n">
        <x:f>J138</x:f>
        <x:v>40895.598592</x:v>
      </x:c>
      <x:c r="F367" s="6" t="n">
        <x:f>K138</x:f>
        <x:v>0</x:v>
      </x:c>
      <x:c r="G367" s="6" t="n">
        <x:f>L138</x:f>
        <x:v>0</x:v>
      </x:c>
      <x:c r="H367" s="99"/>
      <x:c r="I367" s="99"/>
      <x:c r="J367" s="99"/>
      <x:c r="K367" s="99"/>
      <x:c r="L367" s="99"/>
      <x:c r="M367" s="99"/>
    </x:row>
    <x:row r="368">
      <x:c r="C368" s="6" t="str">
        <x:v>2019-01</x:v>
      </x:c>
      <x:c r="D368" s="6" t="n">
        <x:f>D139</x:f>
        <x:v>38261.2847297049</x:v>
      </x:c>
      <x:c r="E368" s="6" t="n">
        <x:f>J139</x:f>
        <x:v>38261.2847297049</x:v>
      </x:c>
      <x:c r="F368" s="6" t="n">
        <x:f>K139</x:f>
        <x:v>0</x:v>
      </x:c>
      <x:c r="G368" s="6" t="n">
        <x:f>L139</x:f>
        <x:v>0</x:v>
      </x:c>
      <x:c r="H368" s="99"/>
      <x:c r="I368" s="99"/>
      <x:c r="J368" s="99"/>
      <x:c r="K368" s="99"/>
      <x:c r="L368" s="99"/>
      <x:c r="M368" s="99"/>
    </x:row>
    <x:row r="369">
      <x:c r="C369" s="6" t="str">
        <x:v>2019-02</x:v>
      </x:c>
      <x:c r="D369" s="6" t="n">
        <x:f>D140</x:f>
        <x:v>40482.485096918</x:v>
      </x:c>
      <x:c r="E369" s="6" t="n">
        <x:f>J140</x:f>
        <x:v>40482.485096918</x:v>
      </x:c>
      <x:c r="F369" s="6" t="n">
        <x:f>K140</x:f>
        <x:v>0</x:v>
      </x:c>
      <x:c r="G369" s="6" t="n">
        <x:f>L140</x:f>
        <x:v>0</x:v>
      </x:c>
      <x:c r="H369" s="99"/>
      <x:c r="I369" s="99"/>
      <x:c r="J369" s="99"/>
      <x:c r="K369" s="99"/>
      <x:c r="L369" s="99"/>
      <x:c r="M369" s="99"/>
    </x:row>
    <x:row r="370">
      <x:c r="C370" s="6" t="str">
        <x:v>2019-03</x:v>
      </x:c>
      <x:c r="D370" s="6" t="n">
        <x:f>D141</x:f>
        <x:v>39610.4062517159</x:v>
      </x:c>
      <x:c r="E370" s="6" t="n">
        <x:f>J141</x:f>
        <x:v>39610.4062517159</x:v>
      </x:c>
      <x:c r="F370" s="6" t="n">
        <x:f>K141</x:f>
        <x:v>0</x:v>
      </x:c>
      <x:c r="G370" s="6" t="n">
        <x:f>L141</x:f>
        <x:v>0</x:v>
      </x:c>
      <x:c r="H370" s="99"/>
      <x:c r="I370" s="99"/>
      <x:c r="J370" s="99"/>
      <x:c r="K370" s="99"/>
      <x:c r="L370" s="99"/>
      <x:c r="M370" s="99"/>
    </x:row>
    <x:row r="371">
      <x:c r="C371" s="6" t="str">
        <x:v>2019-04</x:v>
      </x:c>
      <x:c r="D371" s="6" t="n">
        <x:f>D142</x:f>
        <x:v>39509.657163541</x:v>
      </x:c>
      <x:c r="E371" s="6" t="n">
        <x:f>J142</x:f>
        <x:v>39509.657163541</x:v>
      </x:c>
      <x:c r="F371" s="6" t="n">
        <x:f>K142</x:f>
        <x:v>0</x:v>
      </x:c>
      <x:c r="G371" s="6" t="n">
        <x:f>L142</x:f>
        <x:v>0</x:v>
      </x:c>
      <x:c r="H371" s="99"/>
      <x:c r="I371" s="99"/>
      <x:c r="J371" s="99"/>
      <x:c r="K371" s="99"/>
      <x:c r="L371" s="99"/>
      <x:c r="M371" s="99"/>
    </x:row>
    <x:row r="372">
      <x:c r="C372" s="6" t="str">
        <x:v>2019-05</x:v>
      </x:c>
      <x:c r="D372" s="6" t="n">
        <x:f>D143</x:f>
        <x:v>40185.3242810055</x:v>
      </x:c>
      <x:c r="E372" s="6" t="n">
        <x:f>J143</x:f>
        <x:v>40185.3242810055</x:v>
      </x:c>
      <x:c r="F372" s="6" t="n">
        <x:f>K143</x:f>
        <x:v>0</x:v>
      </x:c>
      <x:c r="G372" s="6" t="n">
        <x:f>L143</x:f>
        <x:v>0</x:v>
      </x:c>
      <x:c r="H372" s="99"/>
      <x:c r="I372" s="99"/>
      <x:c r="J372" s="99"/>
      <x:c r="K372" s="99"/>
      <x:c r="L372" s="99"/>
      <x:c r="M372" s="99"/>
    </x:row>
    <x:row r="373">
      <x:c r="C373" s="6" t="str">
        <x:v>2019-06</x:v>
      </x:c>
      <x:c r="D373" s="6" t="n">
        <x:f>D144</x:f>
        <x:v>41076.0062405246</x:v>
      </x:c>
      <x:c r="E373" s="6" t="n">
        <x:f>J144</x:f>
        <x:v>41076.0062405246</x:v>
      </x:c>
      <x:c r="F373" s="6" t="n">
        <x:f>K144</x:f>
        <x:v>0</x:v>
      </x:c>
      <x:c r="G373" s="6" t="n">
        <x:f>L144</x:f>
        <x:v>0</x:v>
      </x:c>
      <x:c r="H373" s="99"/>
      <x:c r="I373" s="99"/>
      <x:c r="J373" s="99"/>
      <x:c r="K373" s="99"/>
      <x:c r="L373" s="99"/>
      <x:c r="M373" s="99"/>
    </x:row>
    <x:row r="374">
      <x:c r="C374" s="6" t="str">
        <x:v>2019-07</x:v>
      </x:c>
      <x:c r="D374" s="6" t="n">
        <x:f>D145</x:f>
        <x:v>40935.2073148852</x:v>
      </x:c>
      <x:c r="E374" s="6" t="n">
        <x:f>J145</x:f>
        <x:v>40935.2073148852</x:v>
      </x:c>
      <x:c r="F374" s="6" t="n">
        <x:f>K145</x:f>
        <x:v>0</x:v>
      </x:c>
      <x:c r="G374" s="6" t="n">
        <x:f>L145</x:f>
        <x:v>0</x:v>
      </x:c>
      <x:c r="H374" s="99"/>
      <x:c r="I374" s="99"/>
      <x:c r="J374" s="99"/>
      <x:c r="K374" s="99"/>
      <x:c r="L374" s="99"/>
      <x:c r="M374" s="99"/>
    </x:row>
    <x:row r="375">
      <x:c r="C375" s="6" t="str">
        <x:v>2019-08</x:v>
      </x:c>
      <x:c r="D375" s="6" t="n">
        <x:f>D146</x:f>
        <x:v>36937.3267934426</x:v>
      </x:c>
      <x:c r="E375" s="6" t="n">
        <x:f>J146</x:f>
        <x:v>36937.3267934426</x:v>
      </x:c>
      <x:c r="F375" s="6" t="n">
        <x:f>K146</x:f>
        <x:v>0</x:v>
      </x:c>
      <x:c r="G375" s="6" t="n">
        <x:f>L146</x:f>
        <x:v>0</x:v>
      </x:c>
      <x:c r="H375" s="99"/>
      <x:c r="I375" s="99"/>
      <x:c r="J375" s="99"/>
      <x:c r="K375" s="99"/>
      <x:c r="L375" s="99"/>
      <x:c r="M375" s="99"/>
    </x:row>
    <x:row r="376">
      <x:c r="C376" s="6" t="str">
        <x:v>2019-09</x:v>
      </x:c>
      <x:c r="D376" s="6" t="n">
        <x:f>D147</x:f>
        <x:v>37058.5714374645</x:v>
      </x:c>
      <x:c r="E376" s="6" t="n">
        <x:f>J147</x:f>
        <x:v>37058.5714374645</x:v>
      </x:c>
      <x:c r="F376" s="6" t="n">
        <x:f>K147</x:f>
        <x:v>0</x:v>
      </x:c>
      <x:c r="G376" s="6" t="n">
        <x:f>L147</x:f>
        <x:v>0</x:v>
      </x:c>
      <x:c r="H376" s="99"/>
      <x:c r="I376" s="99"/>
      <x:c r="J376" s="99"/>
      <x:c r="K376" s="99"/>
      <x:c r="L376" s="99"/>
      <x:c r="M376" s="99"/>
    </x:row>
    <x:row r="377">
      <x:c r="C377" s="6" t="str">
        <x:v>2019-10</x:v>
      </x:c>
      <x:c r="D377" s="6" t="n">
        <x:f>D148</x:f>
        <x:v>34620.2671786667</x:v>
      </x:c>
      <x:c r="E377" s="6" t="n">
        <x:f>J148</x:f>
        <x:v>34620.2671786667</x:v>
      </x:c>
      <x:c r="F377" s="6" t="n">
        <x:f>K148</x:f>
        <x:v>0</x:v>
      </x:c>
      <x:c r="G377" s="6" t="n">
        <x:f>L148</x:f>
        <x:v>0</x:v>
      </x:c>
      <x:c r="H377" s="99"/>
      <x:c r="I377" s="99"/>
      <x:c r="J377" s="99"/>
      <x:c r="K377" s="99"/>
      <x:c r="L377" s="99"/>
      <x:c r="M377" s="99"/>
    </x:row>
    <x:row r="378">
      <x:c r="C378" s="6" t="str">
        <x:v>2019-11</x:v>
      </x:c>
      <x:c r="D378" s="6" t="n">
        <x:f>D149</x:f>
        <x:v>35830.8080388197</x:v>
      </x:c>
      <x:c r="E378" s="6" t="n">
        <x:f>J149</x:f>
        <x:v>35830.8080388197</x:v>
      </x:c>
      <x:c r="F378" s="6" t="n">
        <x:f>K149</x:f>
        <x:v>0</x:v>
      </x:c>
      <x:c r="G378" s="6" t="n">
        <x:f>L149</x:f>
        <x:v>0</x:v>
      </x:c>
      <x:c r="H378" s="99"/>
      <x:c r="I378" s="99"/>
      <x:c r="J378" s="99"/>
      <x:c r="K378" s="99"/>
      <x:c r="L378" s="99"/>
      <x:c r="M378" s="99"/>
    </x:row>
    <x:row r="379">
      <x:c r="C379" s="6" t="str">
        <x:v>2019-12</x:v>
      </x:c>
      <x:c r="D379" s="6" t="n">
        <x:f>D150</x:f>
        <x:v>36095.299584</x:v>
      </x:c>
      <x:c r="E379" s="6" t="n">
        <x:f>J150</x:f>
        <x:v>36095.299584</x:v>
      </x:c>
      <x:c r="F379" s="6" t="n">
        <x:f>K150</x:f>
        <x:v>0</x:v>
      </x:c>
      <x:c r="G379" s="6" t="n">
        <x:f>L150</x:f>
        <x:v>0</x:v>
      </x:c>
      <x:c r="H379" s="99"/>
      <x:c r="I379" s="99"/>
      <x:c r="J379" s="99"/>
      <x:c r="K379" s="99"/>
      <x:c r="L379" s="99"/>
      <x:c r="M379" s="99"/>
    </x:row>
    <x:row r="380">
      <x:c r="C380" s="6" t="str">
        <x:v>2020-01</x:v>
      </x:c>
      <x:c r="D380" s="6" t="n">
        <x:f>D151</x:f>
        <x:v>36691.5466730959</x:v>
      </x:c>
      <x:c r="E380" s="6" t="n">
        <x:f>J151</x:f>
        <x:v>36691.5466730959</x:v>
      </x:c>
      <x:c r="F380" s="6" t="n">
        <x:f>K151</x:f>
        <x:v>0</x:v>
      </x:c>
      <x:c r="G380" s="6" t="n">
        <x:f>L151</x:f>
        <x:v>0</x:v>
      </x:c>
      <x:c r="H380" s="99"/>
      <x:c r="I380" s="99"/>
      <x:c r="J380" s="99"/>
      <x:c r="K380" s="99"/>
      <x:c r="L380" s="99"/>
      <x:c r="M380" s="99"/>
    </x:row>
    <x:row r="381">
      <x:c r="C381" s="6" t="str">
        <x:v>2020-02</x:v>
      </x:c>
      <x:c r="D381" s="6" t="n">
        <x:f>D152</x:f>
        <x:v>36448.8134936548</x:v>
      </x:c>
      <x:c r="E381" s="6" t="n">
        <x:f>J152</x:f>
        <x:v>36448.8134936548</x:v>
      </x:c>
      <x:c r="F381" s="6" t="n">
        <x:f>K152</x:f>
        <x:v>0</x:v>
      </x:c>
      <x:c r="G381" s="6" t="n">
        <x:f>L152</x:f>
        <x:v>0</x:v>
      </x:c>
      <x:c r="H381" s="99"/>
      <x:c r="I381" s="99"/>
      <x:c r="J381" s="99"/>
      <x:c r="K381" s="99"/>
      <x:c r="L381" s="99"/>
      <x:c r="M381" s="99"/>
    </x:row>
    <x:row r="382">
      <x:c r="C382" s="6" t="str">
        <x:v>2020-03</x:v>
      </x:c>
      <x:c r="D382" s="6" t="n">
        <x:f>D153</x:f>
        <x:v>13820.3484721096</x:v>
      </x:c>
      <x:c r="E382" s="6" t="n">
        <x:f>J153</x:f>
        <x:v>13820.3484721096</x:v>
      </x:c>
      <x:c r="F382" s="6" t="n">
        <x:f>K153</x:f>
        <x:v>0</x:v>
      </x:c>
      <x:c r="G382" s="6" t="n">
        <x:f>L153</x:f>
        <x:v>0</x:v>
      </x:c>
      <x:c r="H382" s="99"/>
      <x:c r="I382" s="99"/>
      <x:c r="J382" s="99"/>
      <x:c r="K382" s="99"/>
      <x:c r="L382" s="99"/>
      <x:c r="M382" s="99"/>
    </x:row>
    <x:row r="383">
      <x:c r="C383" s="6" t="str">
        <x:v>2020-04</x:v>
      </x:c>
      <x:c r="D383" s="6" t="n">
        <x:f>D154</x:f>
        <x:v>6703.70999364384</x:v>
      </x:c>
      <x:c r="E383" s="6" t="n">
        <x:f>J154</x:f>
        <x:v>6703.70999364384</x:v>
      </x:c>
      <x:c r="F383" s="6" t="n">
        <x:f>K154</x:f>
        <x:v>0</x:v>
      </x:c>
      <x:c r="G383" s="6" t="n">
        <x:f>L154</x:f>
        <x:v>0</x:v>
      </x:c>
      <x:c r="H383" s="99"/>
      <x:c r="I383" s="99"/>
      <x:c r="J383" s="99"/>
      <x:c r="K383" s="99"/>
      <x:c r="L383" s="99"/>
      <x:c r="M383" s="99"/>
    </x:row>
    <x:row r="384">
      <x:c r="C384" s="6" t="str">
        <x:v>2020-05</x:v>
      </x:c>
      <x:c r="D384" s="6" t="n">
        <x:f>D155</x:f>
        <x:v>2076.51467993425</x:v>
      </x:c>
      <x:c r="E384" s="6" t="n">
        <x:f>J155</x:f>
        <x:v>2076.51467993425</x:v>
      </x:c>
      <x:c r="F384" s="6" t="n">
        <x:f>K155</x:f>
        <x:v>0</x:v>
      </x:c>
      <x:c r="G384" s="6" t="n">
        <x:f>L155</x:f>
        <x:v>0</x:v>
      </x:c>
      <x:c r="H384" s="99"/>
      <x:c r="I384" s="99"/>
      <x:c r="J384" s="99"/>
      <x:c r="K384" s="99"/>
      <x:c r="L384" s="99"/>
      <x:c r="M384" s="99"/>
    </x:row>
    <x:row r="385">
      <x:c r="C385" s="6" t="str">
        <x:v>2020-06</x:v>
      </x:c>
      <x:c r="D385" s="6" t="n">
        <x:f>D156</x:f>
        <x:v>-1170.54291743562</x:v>
      </x:c>
      <x:c r="E385" s="6" t="n">
        <x:f>J156</x:f>
        <x:v>-1170.54291743562</x:v>
      </x:c>
      <x:c r="F385" s="6" t="n">
        <x:f>K156</x:f>
        <x:v>0</x:v>
      </x:c>
      <x:c r="G385" s="6" t="n">
        <x:f>L156</x:f>
        <x:v>0</x:v>
      </x:c>
      <x:c r="H385" s="99"/>
      <x:c r="I385" s="99"/>
      <x:c r="J385" s="99"/>
      <x:c r="K385" s="99"/>
      <x:c r="L385" s="99"/>
      <x:c r="M385" s="99"/>
    </x:row>
    <x:row r="386">
      <x:c r="C386" s="6" t="str">
        <x:v>2020-07</x:v>
      </x:c>
      <x:c r="D386" s="6" t="n">
        <x:f>D157</x:f>
        <x:v>2054.68929543014</x:v>
      </x:c>
      <x:c r="E386" s="6" t="n">
        <x:f>J157</x:f>
        <x:v>2054.68929543014</x:v>
      </x:c>
      <x:c r="F386" s="6" t="n">
        <x:f>K157</x:f>
        <x:v>0</x:v>
      </x:c>
      <x:c r="G386" s="6" t="n">
        <x:f>L157</x:f>
        <x:v>0</x:v>
      </x:c>
      <x:c r="H386" s="99"/>
      <x:c r="I386" s="99"/>
      <x:c r="J386" s="99"/>
      <x:c r="K386" s="99"/>
      <x:c r="L386" s="99"/>
      <x:c r="M386" s="99"/>
    </x:row>
    <x:row r="387">
      <x:c r="C387" s="6" t="str">
        <x:v>2020-08</x:v>
      </x:c>
      <x:c r="D387" s="6" t="n">
        <x:f>D158</x:f>
        <x:v>6956.85582343014</x:v>
      </x:c>
      <x:c r="E387" s="6" t="n">
        <x:f>J158</x:f>
        <x:v>6956.85582343014</x:v>
      </x:c>
      <x:c r="F387" s="6" t="n">
        <x:f>K158</x:f>
        <x:v>0</x:v>
      </x:c>
      <x:c r="G387" s="6" t="n">
        <x:f>L158</x:f>
        <x:v>0</x:v>
      </x:c>
      <x:c r="H387" s="99"/>
      <x:c r="I387" s="99"/>
      <x:c r="J387" s="99"/>
      <x:c r="K387" s="99"/>
      <x:c r="L387" s="99"/>
      <x:c r="M387" s="99"/>
    </x:row>
    <x:row r="388">
      <x:c r="C388" s="6" t="str">
        <x:v>2020-09</x:v>
      </x:c>
      <x:c r="D388" s="6" t="n">
        <x:f>D159</x:f>
        <x:v>10949.8817375326</x:v>
      </x:c>
      <x:c r="E388" s="6" t="n">
        <x:f>J159</x:f>
        <x:v>11253.9853024438</x:v>
      </x:c>
      <x:c r="F388" s="6" t="n">
        <x:f>K159</x:f>
        <x:v>701.178082191781</x:v>
      </x:c>
      <x:c r="G388" s="6" t="n">
        <x:f>L159</x:f>
        <x:v>0</x:v>
      </x:c>
      <x:c r="H388" s="99"/>
      <x:c r="I388" s="99"/>
      <x:c r="J388" s="99"/>
      <x:c r="K388" s="99"/>
      <x:c r="L388" s="99"/>
      <x:c r="M388" s="99"/>
    </x:row>
    <x:row r="389">
      <x:c r="C389" s="6" t="str">
        <x:v>2020-10</x:v>
      </x:c>
      <x:c r="D389" s="6" t="n">
        <x:f>D160</x:f>
        <x:v>19121.6516448055</x:v>
      </x:c>
      <x:c r="E389" s="6" t="n">
        <x:f>J160</x:f>
        <x:v>19631.0804788603</x:v>
      </x:c>
      <x:c r="F389" s="6" t="n">
        <x:f>K160</x:f>
        <x:v>689.632876712329</x:v>
      </x:c>
      <x:c r="G389" s="6" t="n">
        <x:f>L160</x:f>
        <x:v>0</x:v>
      </x:c>
      <x:c r="H389" s="99"/>
      <x:c r="I389" s="99"/>
      <x:c r="J389" s="99"/>
      <x:c r="K389" s="99"/>
      <x:c r="L389" s="99"/>
      <x:c r="M389" s="99"/>
    </x:row>
    <x:row r="390">
      <x:c r="C390" s="6" t="str">
        <x:v>2020-11</x:v>
      </x:c>
      <x:c r="D390" s="6" t="n">
        <x:f>D161</x:f>
        <x:v>26183.0264269763</x:v>
      </x:c>
      <x:c r="E390" s="6" t="n">
        <x:f>J161</x:f>
        <x:v>27031.5609550904</x:v>
      </x:c>
      <x:c r="F390" s="6" t="n">
        <x:f>K161</x:f>
        <x:v>734.816438356164</x:v>
      </x:c>
      <x:c r="G390" s="6" t="n">
        <x:f>L161</x:f>
        <x:v>0</x:v>
      </x:c>
      <x:c r="H390" s="99"/>
      <x:c r="I390" s="99"/>
      <x:c r="J390" s="99"/>
      <x:c r="K390" s="99"/>
      <x:c r="L390" s="99"/>
      <x:c r="M390" s="99"/>
    </x:row>
    <x:row r="391">
      <x:c r="C391" s="6" t="str">
        <x:v>2020-12</x:v>
      </x:c>
      <x:c r="D391" s="6" t="n">
        <x:f>D162</x:f>
        <x:v>33166.803124274</x:v>
      </x:c>
      <x:c r="E391" s="6" t="n">
        <x:f>J162</x:f>
        <x:v>34519.699456</x:v>
      </x:c>
      <x:c r="F391" s="6" t="n">
        <x:f>K162</x:f>
        <x:v>1102</x:v>
      </x:c>
      <x:c r="G391" s="6" t="n">
        <x:f>L162</x:f>
        <x:v>0</x:v>
      </x:c>
      <x:c r="H391" s="99"/>
      <x:c r="I391" s="99"/>
      <x:c r="J391" s="99"/>
      <x:c r="K391" s="99"/>
      <x:c r="L391" s="99"/>
      <x:c r="M391" s="99"/>
    </x:row>
    <x:row r="392">
      <x:c r="C392" s="6" t="str">
        <x:v>2021-01</x:v>
      </x:c>
      <x:c r="D392" s="6" t="n">
        <x:f>D163</x:f>
        <x:v>34392.6143611611</x:v>
      </x:c>
      <x:c r="E392" s="6" t="n">
        <x:f>J163</x:f>
        <x:v>35886.0106934356</x:v>
      </x:c>
      <x:c r="F392" s="6" t="n">
        <x:f>K163</x:f>
        <x:v>1117.64507388493</x:v>
      </x:c>
      <x:c r="G392" s="6" t="n">
        <x:f>L163</x:f>
        <x:v>0</x:v>
      </x:c>
      <x:c r="H392" s="99"/>
      <x:c r="I392" s="99"/>
      <x:c r="J392" s="99"/>
      <x:c r="K392" s="99"/>
      <x:c r="L392" s="99"/>
      <x:c r="M392" s="99"/>
    </x:row>
    <x:row r="393">
      <x:c r="C393" s="6" t="str">
        <x:v>2021-02</x:v>
      </x:c>
      <x:c r="D393" s="6" t="n">
        <x:f>D164</x:f>
        <x:v>37844.58279833</x:v>
      </x:c>
      <x:c r="E393" s="6" t="n">
        <x:f>J164</x:f>
        <x:v>40737.3299263123</x:v>
      </x:c>
      <x:c r="F393" s="6" t="n">
        <x:f>K164</x:f>
        <x:v>1154.38081192329</x:v>
      </x:c>
      <x:c r="G393" s="6" t="n">
        <x:f>L164</x:f>
        <x:v>0</x:v>
      </x:c>
      <x:c r="H393" s="99"/>
      <x:c r="I393" s="99"/>
      <x:c r="J393" s="99"/>
      <x:c r="K393" s="99"/>
      <x:c r="L393" s="99"/>
      <x:c r="M393" s="99"/>
    </x:row>
    <x:row r="394">
      <x:c r="C394" s="6" t="str">
        <x:v>2021-03</x:v>
      </x:c>
      <x:c r="D394" s="6" t="n">
        <x:f>D165</x:f>
        <x:v>43905.3574941516</x:v>
      </x:c>
      <x:c r="E394" s="6" t="n">
        <x:f>J165</x:f>
        <x:v>47324.8933523288</x:v>
      </x:c>
      <x:c r="F394" s="6" t="n">
        <x:f>K165</x:f>
        <x:v>1368.47181676712</x:v>
      </x:c>
      <x:c r="G394" s="6" t="n">
        <x:f>L165</x:f>
        <x:v>0</x:v>
      </x:c>
      <x:c r="H394" s="99"/>
      <x:c r="I394" s="99"/>
      <x:c r="J394" s="99"/>
      <x:c r="K394" s="99"/>
      <x:c r="L394" s="99"/>
      <x:c r="M394" s="99"/>
    </x:row>
    <x:row r="395">
      <x:c r="C395" s="6" t="str">
        <x:v>2021-04</x:v>
      </x:c>
      <x:c r="D395" s="6" t="n">
        <x:f>D166</x:f>
        <x:v>55462.9627999883</x:v>
      </x:c>
      <x:c r="E395" s="6" t="n">
        <x:f>J166</x:f>
        <x:v>59894.081676274</x:v>
      </x:c>
      <x:c r="F395" s="6" t="n">
        <x:f>K166</x:f>
        <x:v>1380.12907835616</x:v>
      </x:c>
      <x:c r="G395" s="6" t="n">
        <x:f>L166</x:f>
        <x:v>0</x:v>
      </x:c>
      <x:c r="H395" s="99"/>
      <x:c r="I395" s="99"/>
      <x:c r="J395" s="99"/>
      <x:c r="K395" s="99"/>
      <x:c r="L395" s="99"/>
      <x:c r="M395" s="99"/>
    </x:row>
    <x:row r="396">
      <x:c r="C396" s="6" t="str">
        <x:v>2021-05</x:v>
      </x:c>
      <x:c r="D396" s="6" t="n">
        <x:f>D167</x:f>
        <x:v>55670.2483266638</x:v>
      </x:c>
      <x:c r="E396" s="6" t="n">
        <x:f>J167</x:f>
        <x:v>59614.1361685041</x:v>
      </x:c>
      <x:c r="F396" s="6" t="n">
        <x:f>K167</x:f>
        <x:v>1392.17491533151</x:v>
      </x:c>
      <x:c r="G396" s="6" t="n">
        <x:f>L167</x:f>
        <x:v>0</x:v>
      </x:c>
      <x:c r="H396" s="99"/>
      <x:c r="I396" s="99"/>
      <x:c r="J396" s="99"/>
      <x:c r="K396" s="99"/>
      <x:c r="L396" s="99"/>
      <x:c r="M396" s="99"/>
    </x:row>
    <x:row r="397">
      <x:c r="C397" s="6" t="str">
        <x:v>2021-06</x:v>
      </x:c>
      <x:c r="D397" s="6" t="n">
        <x:f>D168</x:f>
        <x:v>62837.152712688</x:v>
      </x:c>
      <x:c r="E397" s="6" t="n">
        <x:f>J168</x:f>
        <x:v>66787.5196030247</x:v>
      </x:c>
      <x:c r="F397" s="6" t="n">
        <x:f>K168</x:f>
        <x:v>1556.00622711233</x:v>
      </x:c>
      <x:c r="G397" s="6" t="n">
        <x:f>L168</x:f>
        <x:v>0</x:v>
      </x:c>
      <x:c r="H397" s="99"/>
      <x:c r="I397" s="99"/>
      <x:c r="J397" s="99"/>
      <x:c r="K397" s="99"/>
      <x:c r="L397" s="99"/>
      <x:c r="M397" s="99"/>
    </x:row>
    <x:row r="398">
      <x:c r="C398" s="6" t="str">
        <x:v>2021-07</x:v>
      </x:c>
      <x:c r="D398" s="6" t="n">
        <x:f>D169</x:f>
        <x:v>63328.9639817172</x:v>
      </x:c>
      <x:c r="E398" s="6" t="n">
        <x:f>J169</x:f>
        <x:v>67324.2802035726</x:v>
      </x:c>
      <x:c r="F398" s="6" t="n">
        <x:f>K169</x:f>
        <x:v>1647.89591390685</x:v>
      </x:c>
      <x:c r="G398" s="6" t="n">
        <x:f>L169</x:f>
        <x:v>0</x:v>
      </x:c>
      <x:c r="H398" s="99"/>
      <x:c r="I398" s="99"/>
      <x:c r="J398" s="99"/>
      <x:c r="K398" s="99"/>
      <x:c r="L398" s="99"/>
      <x:c r="M398" s="99"/>
    </x:row>
    <x:row r="399">
      <x:c r="C399" s="6" t="str">
        <x:v>2021-08</x:v>
      </x:c>
      <x:c r="D399" s="6" t="n">
        <x:f>D170</x:f>
        <x:v>67138.0184479993</x:v>
      </x:c>
      <x:c r="E399" s="6" t="n">
        <x:f>J170</x:f>
        <x:v>71636.6058089205</x:v>
      </x:c>
      <x:c r="F399" s="6" t="n">
        <x:f>K170</x:f>
        <x:v>1655.71373589041</x:v>
      </x:c>
      <x:c r="G399" s="6" t="n">
        <x:f>L170</x:f>
        <x:v>0</x:v>
      </x:c>
      <x:c r="H399" s="99"/>
      <x:c r="I399" s="99"/>
      <x:c r="J399" s="99"/>
      <x:c r="K399" s="99"/>
      <x:c r="L399" s="99"/>
      <x:c r="M399" s="99"/>
    </x:row>
    <x:row r="400">
      <x:c r="C400" s="6" t="str">
        <x:v>2021-09</x:v>
      </x:c>
      <x:c r="D400" s="6" t="n">
        <x:f>D171</x:f>
        <x:v>68014.0385750471</x:v>
      </x:c>
      <x:c r="E400" s="6" t="n">
        <x:f>J171</x:f>
        <x:v>74310.2949235726</x:v>
      </x:c>
      <x:c r="F400" s="6" t="n">
        <x:f>K171</x:f>
        <x:v>1800.38356164384</x:v>
      </x:c>
      <x:c r="G400" s="6" t="n">
        <x:f>L171</x:f>
        <x:v>0</x:v>
      </x:c>
      <x:c r="H400" s="99"/>
      <x:c r="I400" s="99"/>
      <x:c r="J400" s="99"/>
      <x:c r="K400" s="99"/>
      <x:c r="L400" s="99"/>
      <x:c r="M400" s="99"/>
    </x:row>
    <x:row r="401">
      <x:c r="C401" s="6" t="str">
        <x:v>2021-10</x:v>
      </x:c>
      <x:c r="D401" s="6" t="n">
        <x:f>D172</x:f>
        <x:v>76278.1816544336</x:v>
      </x:c>
      <x:c r="E401" s="6" t="n">
        <x:f>J172</x:f>
        <x:v>82969.3378335562</x:v>
      </x:c>
      <x:c r="F401" s="6" t="n">
        <x:f>K172</x:f>
        <x:v>1792.2157241863</x:v>
      </x:c>
      <x:c r="G401" s="6" t="n">
        <x:f>L172</x:f>
        <x:v>0</x:v>
      </x:c>
      <x:c r="H401" s="99"/>
      <x:c r="I401" s="99"/>
      <x:c r="J401" s="99"/>
      <x:c r="K401" s="99"/>
      <x:c r="L401" s="99"/>
      <x:c r="M401" s="99"/>
    </x:row>
    <x:row r="402">
      <x:c r="C402" s="6" t="str">
        <x:v>2021-11</x:v>
      </x:c>
      <x:c r="D402" s="6" t="n">
        <x:f>D173</x:f>
        <x:v>87991.2021795825</x:v>
      </x:c>
      <x:c r="E402" s="6" t="n">
        <x:f>J173</x:f>
        <x:v>94168.6173976548</x:v>
      </x:c>
      <x:c r="F402" s="6" t="n">
        <x:f>K173</x:f>
        <x:v>1764.21231412603</x:v>
      </x:c>
      <x:c r="G402" s="6" t="n">
        <x:f>L173</x:f>
        <x:v>0</x:v>
      </x:c>
      <x:c r="H402" s="99"/>
      <x:c r="I402" s="99"/>
      <x:c r="J402" s="99"/>
      <x:c r="K402" s="99"/>
      <x:c r="L402" s="99"/>
      <x:c r="M402" s="99"/>
    </x:row>
    <x:row r="403">
      <x:c r="C403" s="6" t="str">
        <x:v>2021-12</x:v>
      </x:c>
      <x:c r="D403" s="6" t="n">
        <x:f>D174</x:f>
        <x:v>87803.1219232073</x:v>
      </x:c>
      <x:c r="E403" s="6" t="n">
        <x:f>J174</x:f>
        <x:v>94144.397312</x:v>
      </x:c>
      <x:c r="F403" s="6" t="n">
        <x:f>K174</x:f>
        <x:v>1850.749952</x:v>
      </x:c>
      <x:c r="G403" s="6" t="n">
        <x:f>L174</x:f>
        <x:v>0</x:v>
      </x:c>
      <x:c r="H403" s="99"/>
      <x:c r="I403" s="99"/>
      <x:c r="J403" s="99"/>
      <x:c r="K403" s="99"/>
      <x:c r="L403" s="99"/>
      <x:c r="M403" s="99"/>
    </x:row>
    <x:row r="404">
      <x:c r="C404" s="6" t="str">
        <x:v>2022-01</x:v>
      </x:c>
      <x:c r="D404" s="6" t="n">
        <x:f>D175</x:f>
        <x:v>85992.8495500006</x:v>
      </x:c>
      <x:c r="E404" s="6" t="n">
        <x:f>J175</x:f>
        <x:v>95603.3033426411</x:v>
      </x:c>
      <x:c r="F404" s="6" t="n">
        <x:f>K175</x:f>
        <x:v>3204.67045383014</x:v>
      </x:c>
      <x:c r="G404" s="6" t="n">
        <x:f>L175</x:f>
        <x:v>3204.67045383014</x:v>
      </x:c>
      <x:c r="H404" s="99"/>
      <x:c r="I404" s="99"/>
      <x:c r="J404" s="99"/>
      <x:c r="K404" s="99"/>
      <x:c r="L404" s="99"/>
      <x:c r="M404" s="99"/>
    </x:row>
    <x:row r="405">
      <x:c r="C405" s="6" t="str">
        <x:v>2022-02</x:v>
      </x:c>
      <x:c r="D405" s="6" t="n">
        <x:f>D176</x:f>
        <x:v>85366.793760845</x:v>
      </x:c>
      <x:c r="E405" s="6" t="n">
        <x:f>J176</x:f>
        <x:v>94753.2458741479</x:v>
      </x:c>
      <x:c r="F405" s="6" t="n">
        <x:f>K176</x:f>
        <x:v>3242.06408170959</x:v>
      </x:c>
      <x:c r="G405" s="6" t="n">
        <x:f>L176</x:f>
        <x:v>3242.06408170959</x:v>
      </x:c>
      <x:c r="H405" s="99"/>
      <x:c r="I405" s="99"/>
      <x:c r="J405" s="99"/>
      <x:c r="K405" s="99"/>
      <x:c r="L405" s="99"/>
      <x:c r="M405" s="99"/>
    </x:row>
    <x:row r="406">
      <x:c r="C406" s="6" t="str">
        <x:v>2022-03</x:v>
      </x:c>
      <x:c r="D406" s="6" t="n">
        <x:f>D177</x:f>
        <x:v>100411.172772043</x:v>
      </x:c>
      <x:c r="E406" s="6" t="n">
        <x:f>J177</x:f>
        <x:v>111657.208004384</x:v>
      </x:c>
      <x:c r="F406" s="6" t="n">
        <x:f>K177</x:f>
        <x:v>3798.6702500821903</x:v>
      </x:c>
      <x:c r="G406" s="6" t="n">
        <x:f>L177</x:f>
        <x:v>3798.6702500821903</x:v>
      </x:c>
      <x:c r="H406" s="99"/>
      <x:c r="I406" s="99"/>
      <x:c r="J406" s="99"/>
      <x:c r="K406" s="99"/>
      <x:c r="L406" s="99"/>
      <x:c r="M406" s="99"/>
    </x:row>
    <x:row r="407">
      <x:c r="C407" s="6" t="str">
        <x:v>2022-04</x:v>
      </x:c>
      <x:c r="D407" s="6" t="n">
        <x:f>D178</x:f>
        <x:v>102698.618525494</x:v>
      </x:c>
      <x:c r="E407" s="6" t="n">
        <x:f>J178</x:f>
        <x:v>116580.576707682</x:v>
      </x:c>
      <x:c r="F407" s="6" t="n">
        <x:f>K178</x:f>
        <x:v>4442.15231403836</x:v>
      </x:c>
      <x:c r="G407" s="6" t="n">
        <x:f>L178</x:f>
        <x:v>4442.15231403836</x:v>
      </x:c>
      <x:c r="H407" s="99"/>
      <x:c r="I407" s="99"/>
      <x:c r="J407" s="99"/>
      <x:c r="K407" s="99"/>
      <x:c r="L407" s="99"/>
      <x:c r="M407" s="99"/>
    </x:row>
    <x:row r="408">
      <x:c r="C408" s="6" t="str">
        <x:v>2022-05</x:v>
      </x:c>
      <x:c r="D408" s="6" t="n">
        <x:f>D179</x:f>
        <x:v>108357.285271325</x:v>
      </x:c>
      <x:c r="E408" s="6" t="n">
        <x:f>J179</x:f>
        <x:v>123853.803194564</x:v>
      </x:c>
      <x:c r="F408" s="6" t="n">
        <x:f>K179</x:f>
        <x:v>4570.78553810411</x:v>
      </x:c>
      <x:c r="G408" s="6" t="n">
        <x:f>L179</x:f>
        <x:v>4570.78553810411</x:v>
      </x:c>
      <x:c r="H408" s="99"/>
      <x:c r="I408" s="99"/>
      <x:c r="J408" s="99"/>
      <x:c r="K408" s="99"/>
      <x:c r="L408" s="99"/>
      <x:c r="M408" s="99"/>
    </x:row>
    <x:row r="409">
      <x:c r="C409" s="6" t="str">
        <x:v>2022-06</x:v>
      </x:c>
      <x:c r="D409" s="6" t="n">
        <x:f>D180</x:f>
        <x:v>118723.990894534</x:v>
      </x:c>
      <x:c r="E409" s="6" t="n">
        <x:f>J180</x:f>
        <x:v>132833.863001074</x:v>
      </x:c>
      <x:c r="F409" s="6" t="n">
        <x:f>K180</x:f>
        <x:v>4247.43805194521</x:v>
      </x:c>
      <x:c r="G409" s="6" t="n">
        <x:f>L180</x:f>
        <x:v>4247.43805194521</x:v>
      </x:c>
      <x:c r="H409" s="99"/>
      <x:c r="I409" s="99"/>
      <x:c r="J409" s="99"/>
      <x:c r="K409" s="99"/>
      <x:c r="L409" s="99"/>
      <x:c r="M409" s="99"/>
    </x:row>
    <x:row r="410">
      <x:c r="C410" s="6" t="str">
        <x:v>2022-07</x:v>
      </x:c>
      <x:c r="D410" s="6" t="n">
        <x:f>D181</x:f>
        <x:v>121159.615932195</x:v>
      </x:c>
      <x:c r="E410" s="6" t="n">
        <x:f>J181</x:f>
        <x:v>133718.851135123</x:v>
      </x:c>
      <x:c r="F410" s="6" t="n">
        <x:f>K181</x:f>
        <x:v>4703.12584723288</x:v>
      </x:c>
      <x:c r="G410" s="6" t="n">
        <x:f>L181</x:f>
        <x:v>4703.12584723288</x:v>
      </x:c>
      <x:c r="H410" s="99"/>
      <x:c r="I410" s="99"/>
      <x:c r="J410" s="99"/>
      <x:c r="K410" s="99"/>
      <x:c r="L410" s="99"/>
      <x:c r="M410" s="99"/>
    </x:row>
    <x:row r="411">
      <x:c r="C411" s="6" t="str">
        <x:v>2022-08</x:v>
      </x:c>
      <x:c r="D411" s="6" t="n">
        <x:f>D182</x:f>
        <x:v>124115.28047713</x:v>
      </x:c>
      <x:c r="E411" s="6" t="n">
        <x:f>J182</x:f>
        <x:v>138654.931690258</x:v>
      </x:c>
      <x:c r="F411" s="6" t="n">
        <x:f>K182</x:f>
        <x:v>5971.912260383569</x:v>
      </x:c>
      <x:c r="G411" s="6" t="n">
        <x:f>L182</x:f>
        <x:v>5971.912260383569</x:v>
      </x:c>
      <x:c r="H411" s="99"/>
      <x:c r="I411" s="99"/>
      <x:c r="J411" s="99"/>
      <x:c r="K411" s="99"/>
      <x:c r="L411" s="99"/>
      <x:c r="M411" s="99"/>
    </x:row>
    <x:row r="412">
      <x:c r="C412" s="6" t="str">
        <x:v>2022-09</x:v>
      </x:c>
      <x:c r="D412" s="6" t="n">
        <x:f>D183</x:f>
        <x:v>117964.72608924</x:v>
      </x:c>
      <x:c r="E412" s="6" t="n">
        <x:f>J183</x:f>
        <x:v>133333.465003836</x:v>
      </x:c>
      <x:c r="F412" s="6" t="n">
        <x:f>K183</x:f>
        <x:v>6395.4934841863</x:v>
      </x:c>
      <x:c r="G412" s="6" t="n">
        <x:f>L183</x:f>
        <x:v>6395.4934841863</x:v>
      </x:c>
      <x:c r="H412" s="99"/>
      <x:c r="I412" s="99"/>
      <x:c r="J412" s="99"/>
      <x:c r="K412" s="99"/>
      <x:c r="L412" s="99"/>
      <x:c r="M412" s="99"/>
    </x:row>
    <x:row r="413">
      <x:c r="C413" s="6" t="str">
        <x:v>2022-10</x:v>
      </x:c>
      <x:c r="D413" s="6" t="n">
        <x:f>D184</x:f>
        <x:v>115200.810833734</x:v>
      </x:c>
      <x:c r="E413" s="6" t="n">
        <x:f>J184</x:f>
        <x:v>134441.043715507</x:v>
      </x:c>
      <x:c r="F413" s="6" t="n">
        <x:f>K184</x:f>
        <x:v>6962.68587686576</x:v>
      </x:c>
      <x:c r="G413" s="6" t="n">
        <x:f>L184</x:f>
        <x:v>6962.68587686576</x:v>
      </x:c>
      <x:c r="H413" s="99"/>
      <x:c r="I413" s="99"/>
      <x:c r="J413" s="99"/>
      <x:c r="K413" s="99"/>
      <x:c r="L413" s="99"/>
      <x:c r="M413" s="99"/>
    </x:row>
    <x:row r="414">
      <x:c r="C414" s="6" t="str">
        <x:v>2022-11</x:v>
      </x:c>
      <x:c r="D414" s="6" t="n">
        <x:f>D185</x:f>
        <x:v>107975.048266181</x:v>
      </x:c>
      <x:c r="E414" s="6" t="n">
        <x:f>J185</x:f>
        <x:v>127172.724483507</x:v>
      </x:c>
      <x:c r="F414" s="6" t="n">
        <x:f>K185</x:f>
        <x:v>7331.38468856987</x:v>
      </x:c>
      <x:c r="G414" s="6" t="n">
        <x:f>L185</x:f>
        <x:v>7331.38468856987</x:v>
      </x:c>
      <x:c r="H414" s="99"/>
      <x:c r="I414" s="99"/>
      <x:c r="J414" s="99"/>
      <x:c r="K414" s="99"/>
      <x:c r="L414" s="99"/>
      <x:c r="M414" s="99"/>
    </x:row>
    <x:row r="415">
      <x:c r="C415" s="6" t="str">
        <x:v>2022-12</x:v>
      </x:c>
      <x:c r="D415" s="6" t="n">
        <x:f>D186</x:f>
        <x:v>93337.229023338</x:v>
      </x:c>
      <x:c r="E415" s="6" t="n">
        <x:f>J186</x:f>
        <x:v>111782.293604997</x:v>
      </x:c>
      <x:c r="F415" s="6" t="n">
        <x:f>K186</x:f>
        <x:v>7202.68291804931</x:v>
      </x:c>
      <x:c r="G415" s="6" t="n">
        <x:f>L186</x:f>
        <x:v>7202.68291804931</x:v>
      </x:c>
      <x:c r="H415" s="99"/>
      <x:c r="I415" s="99"/>
      <x:c r="J415" s="99"/>
      <x:c r="K415" s="99"/>
      <x:c r="L415" s="99"/>
      <x:c r="M415" s="99"/>
    </x:row>
    <x:row r="416">
      <x:c r="C416" s="6" t="str">
        <x:v>2023-01</x:v>
      </x:c>
      <x:c r="D416" s="6" t="n">
        <x:f>D187</x:f>
        <x:v>80428.649877372</x:v>
      </x:c>
      <x:c r="E416" s="6" t="n">
        <x:f>J187</x:f>
        <x:v>95502.7675348634</x:v>
      </x:c>
      <x:c r="F416" s="6" t="n">
        <x:f>K187</x:f>
        <x:v>7533.46962885246</x:v>
      </x:c>
      <x:c r="G416" s="6" t="n">
        <x:f>L187</x:f>
        <x:v>7533.46962885246</x:v>
      </x:c>
      <x:c r="H416" s="99"/>
      <x:c r="I416" s="99"/>
      <x:c r="J416" s="99"/>
      <x:c r="K416" s="99"/>
      <x:c r="L416" s="99"/>
      <x:c r="M416" s="99"/>
    </x:row>
    <x:row r="417">
      <x:c r="C417" s="6" t="str">
        <x:v>2023-02</x:v>
      </x:c>
      <x:c r="D417" s="6" t="n">
        <x:f>D188</x:f>
        <x:v>94928.0577261821</x:v>
      </x:c>
      <x:c r="E417" s="6" t="n">
        <x:f>J188</x:f>
        <x:v>109756.969698623</x:v>
      </x:c>
      <x:c r="F417" s="6" t="n">
        <x:f>K188</x:f>
        <x:v>7691.3119181639295</x:v>
      </x:c>
      <x:c r="G417" s="6" t="n">
        <x:f>L188</x:f>
        <x:v>7691.3119181639295</x:v>
      </x:c>
      <x:c r="H417" s="99"/>
      <x:c r="I417" s="99"/>
      <x:c r="J417" s="99"/>
      <x:c r="K417" s="99"/>
      <x:c r="L417" s="99"/>
      <x:c r="M417" s="99"/>
    </x:row>
    <x:row r="418">
      <x:c r="C418" s="6" t="str">
        <x:v>2023-03</x:v>
      </x:c>
      <x:c r="D418" s="6" t="n">
        <x:f>D189</x:f>
        <x:v>90862.3011779233</x:v>
      </x:c>
      <x:c r="E418" s="6" t="n">
        <x:f>J189</x:f>
        <x:v>104620.700498536</x:v>
      </x:c>
      <x:c r="F418" s="6" t="n">
        <x:f>K189</x:f>
        <x:v>7808.1322677158505</x:v>
      </x:c>
      <x:c r="G418" s="6" t="n">
        <x:f>L189</x:f>
        <x:v>7808.1322677158505</x:v>
      </x:c>
      <x:c r="H418" s="99"/>
      <x:c r="I418" s="99"/>
      <x:c r="J418" s="99"/>
      <x:c r="K418" s="99"/>
      <x:c r="L418" s="99"/>
      <x:c r="M418" s="99"/>
    </x:row>
    <x:row r="419">
      <x:c r="C419" s="6" t="str">
        <x:v>2023-04</x:v>
      </x:c>
      <x:c r="D419" s="6" t="n">
        <x:f>D190</x:f>
        <x:v>89379.472800842</x:v>
      </x:c>
      <x:c r="E419" s="6" t="n">
        <x:f>J190</x:f>
        <x:v>104571.543171497</x:v>
      </x:c>
      <x:c r="F419" s="6" t="n">
        <x:f>K190</x:f>
        <x:v>8477.23252808743</x:v>
      </x:c>
      <x:c r="G419" s="6" t="n">
        <x:f>L190</x:f>
        <x:v>8477.23252808743</x:v>
      </x:c>
      <x:c r="H419" s="99"/>
      <x:c r="I419" s="99"/>
      <x:c r="J419" s="99"/>
      <x:c r="K419" s="99"/>
      <x:c r="L419" s="99"/>
      <x:c r="M419" s="99"/>
    </x:row>
    <x:row r="420">
      <x:c r="C420" s="6" t="str">
        <x:v>2023-05</x:v>
      </x:c>
      <x:c r="D420" s="6" t="n">
        <x:f>D191</x:f>
        <x:v>89818.8943085491</x:v>
      </x:c>
      <x:c r="E420" s="6" t="n">
        <x:f>J191</x:f>
        <x:v>104373.43677412</x:v>
      </x:c>
      <x:c r="F420" s="6" t="n">
        <x:f>K191</x:f>
        <x:v>8607.27992096175</x:v>
      </x:c>
      <x:c r="G420" s="6" t="n">
        <x:f>L191</x:f>
        <x:v>8607.27992096175</x:v>
      </x:c>
      <x:c r="H420" s="99"/>
      <x:c r="I420" s="99"/>
      <x:c r="J420" s="99"/>
      <x:c r="K420" s="99"/>
      <x:c r="L420" s="99"/>
      <x:c r="M420" s="99"/>
    </x:row>
    <x:row r="421">
      <x:c r="C421" s="6" t="str">
        <x:v>2023-06</x:v>
      </x:c>
      <x:c r="D421" s="6" t="n">
        <x:f>D192</x:f>
        <x:v>88021.4492638256</x:v>
      </x:c>
      <x:c r="E421" s="6" t="n">
        <x:f>J192</x:f>
        <x:v>101431.863083366</x:v>
      </x:c>
      <x:c r="F421" s="6" t="n">
        <x:f>K192</x:f>
        <x:v>8279.70365971584</x:v>
      </x:c>
      <x:c r="G421" s="6" t="n">
        <x:f>L192</x:f>
        <x:v>8279.70365971584</x:v>
      </x:c>
      <x:c r="H421" s="99"/>
      <x:c r="I421" s="99"/>
      <x:c r="J421" s="99"/>
      <x:c r="K421" s="99"/>
      <x:c r="L421" s="99"/>
      <x:c r="M421" s="99"/>
    </x:row>
    <x:row r="422">
      <x:c r="C422" s="6" t="str">
        <x:v>2023-07</x:v>
      </x:c>
      <x:c r="D422" s="6" t="n">
        <x:f>D193</x:f>
        <x:v>85807.5464401881</x:v>
      </x:c>
      <x:c r="E422" s="6" t="n">
        <x:f>J193</x:f>
        <x:v>100994.218554754</x:v>
      </x:c>
      <x:c r="F422" s="6" t="n">
        <x:f>K193</x:f>
        <x:v>8139.45211383606</x:v>
      </x:c>
      <x:c r="G422" s="6" t="n">
        <x:f>L193</x:f>
        <x:v>8139.45211383606</x:v>
      </x:c>
      <x:c r="H422" s="99"/>
      <x:c r="I422" s="99"/>
      <x:c r="J422" s="99"/>
      <x:c r="K422" s="99"/>
      <x:c r="L422" s="99"/>
      <x:c r="M422" s="99"/>
    </x:row>
    <x:row r="423">
      <x:c r="C423" s="6" t="str">
        <x:v>2023-08</x:v>
      </x:c>
      <x:c r="D423" s="6" t="n">
        <x:f>D194</x:f>
        <x:v>89188.3903361264</x:v>
      </x:c>
      <x:c r="E423" s="6" t="n">
        <x:f>J194</x:f>
        <x:v>104766.999210667</x:v>
      </x:c>
      <x:c r="F423" s="6" t="n">
        <x:f>K194</x:f>
        <x:v>8393.20334933333</x:v>
      </x:c>
      <x:c r="G423" s="6" t="n">
        <x:f>L194</x:f>
        <x:v>8393.20334933333</x:v>
      </x:c>
      <x:c r="H423" s="99"/>
      <x:c r="I423" s="99"/>
      <x:c r="J423" s="99"/>
      <x:c r="K423" s="99"/>
      <x:c r="L423" s="99"/>
      <x:c r="M423" s="99"/>
    </x:row>
    <x:row r="424">
      <x:c r="C424" s="6" t="str">
        <x:v>2023-09</x:v>
      </x:c>
      <x:c r="D424" s="6" t="n">
        <x:f>D195</x:f>
        <x:v>88112.2523560734</x:v>
      </x:c>
      <x:c r="E424" s="6" t="n">
        <x:f>J195</x:f>
        <x:v>104374.823415607</x:v>
      </x:c>
      <x:c r="F424" s="6" t="n">
        <x:f>K195</x:f>
        <x:v>10689.75463029508</x:v>
      </x:c>
      <x:c r="G424" s="6" t="n">
        <x:f>L195</x:f>
        <x:v>9143.46976629508</x:v>
      </x:c>
      <x:c r="H424" s="99"/>
      <x:c r="I424" s="99"/>
      <x:c r="J424" s="99"/>
      <x:c r="K424" s="99"/>
      <x:c r="L424" s="99"/>
      <x:c r="M424" s="99"/>
    </x:row>
    <x:row r="425">
      <x:c r="C425" s="6" t="str">
        <x:v>2023-10</x:v>
      </x:c>
      <x:c r="D425" s="6" t="n">
        <x:f>D196</x:f>
        <x:v>94220.0116327529</x:v>
      </x:c>
      <x:c r="E425" s="6" t="n">
        <x:f>J196</x:f>
        <x:v>111768.498176</x:v>
      </x:c>
      <x:c r="F425" s="6" t="n">
        <x:f>K196</x:f>
        <x:v>11951.510464</x:v>
      </x:c>
      <x:c r="G425" s="6" t="n">
        <x:f>L196</x:f>
        <x:v>10293.458816</x:v>
      </x:c>
      <x:c r="H425" s="99"/>
      <x:c r="I425" s="99"/>
      <x:c r="J425" s="99"/>
      <x:c r="K425" s="99"/>
      <x:c r="L425" s="99"/>
      <x:c r="M425" s="99"/>
    </x:row>
    <x:row r="426">
      <x:c r="C426" s="6" t="str">
        <x:v>2023-11</x:v>
      </x:c>
      <x:c r="D426" s="6" t="n">
        <x:f>D197</x:f>
        <x:v>95337.0918038371</x:v>
      </x:c>
      <x:c r="E426" s="6" t="n">
        <x:f>J197</x:f>
        <x:v>111996.671966426</x:v>
      </x:c>
      <x:c r="F426" s="6" t="n">
        <x:f>K197</x:f>
        <x:v>12077.969244852471</x:v>
      </x:c>
      <x:c r="G426" s="6" t="n">
        <x:f>L197</x:f>
        <x:v>10379.60712690711</x:v>
      </x:c>
      <x:c r="H426" s="99"/>
      <x:c r="I426" s="99"/>
      <x:c r="J426" s="99"/>
      <x:c r="K426" s="99"/>
      <x:c r="L426" s="99"/>
      <x:c r="M426" s="99"/>
    </x:row>
    <x:row r="427">
      <x:c r="C427" s="6" t="str">
        <x:v>2023-12</x:v>
      </x:c>
      <x:c r="D427" s="6" t="n">
        <x:f>D198</x:f>
        <x:v>100187.538338538</x:v>
      </x:c>
      <x:c r="E427" s="6" t="n">
        <x:f>J198</x:f>
        <x:v>117169.818058842</x:v>
      </x:c>
      <x:c r="F427" s="6" t="n">
        <x:f>K198</x:f>
        <x:v>10971.68916336612</x:v>
      </x:c>
      <x:c r="G427" s="6" t="n">
        <x:f>L198</x:f>
        <x:v>9498.32641556284</x:v>
      </x:c>
      <x:c r="H427" s="99"/>
      <x:c r="I427" s="99"/>
      <x:c r="J427" s="99"/>
      <x:c r="K427" s="99"/>
      <x:c r="L427" s="99"/>
      <x:c r="M427" s="99"/>
    </x:row>
    <x:row r="428">
      <x:c r="C428" s="6" t="str">
        <x:v>2024-01</x:v>
      </x:c>
      <x:c r="D428" s="6" t="n">
        <x:f>D199</x:f>
        <x:v>95929.1657568959</x:v>
      </x:c>
      <x:c r="E428" s="6" t="n">
        <x:f>J199</x:f>
        <x:v>111066.214119452</x:v>
      </x:c>
      <x:c r="F428" s="6" t="n">
        <x:f>K199</x:f>
        <x:v>10603.812239780831</x:v>
      </x:c>
      <x:c r="G428" s="6" t="n">
        <x:f>L199</x:f>
        <x:v>9177.78085523288</x:v>
      </x:c>
      <x:c r="H428" s="99"/>
      <x:c r="I428" s="99"/>
      <x:c r="J428" s="99"/>
      <x:c r="K428" s="99"/>
      <x:c r="L428" s="99"/>
      <x:c r="M428" s="99"/>
    </x:row>
    <x:row r="429">
      <x:c r="C429" s="6" t="str">
        <x:v>2024-02</x:v>
      </x:c>
      <x:c r="D429" s="6" t="n">
        <x:f>D200</x:f>
        <x:v>95003.5372743322</x:v>
      </x:c>
      <x:c r="E429" s="6" t="n">
        <x:f>J200</x:f>
        <x:v>110178.972960964</x:v>
      </x:c>
      <x:c r="F429" s="6" t="n">
        <x:f>K200</x:f>
        <x:v>10322.44093475068</x:v>
      </x:c>
      <x:c r="G429" s="6" t="n">
        <x:f>L200</x:f>
        <x:v>8958.08821304109</x:v>
      </x:c>
      <x:c r="H429" s="99"/>
      <x:c r="I429" s="99"/>
      <x:c r="J429" s="99"/>
      <x:c r="K429" s="99"/>
      <x:c r="L429" s="99"/>
      <x:c r="M429" s="99"/>
    </x:row>
    <x:row r="430">
      <x:c r="C430" s="6" t="str">
        <x:v>2024-03</x:v>
      </x:c>
      <x:c r="D430" s="6" t="n">
        <x:f>D201</x:f>
        <x:v>91684.1681568982</x:v>
      </x:c>
      <x:c r="E430" s="6" t="n">
        <x:f>J201</x:f>
        <x:v>109209.028063737</x:v>
      </x:c>
      <x:c r="F430" s="6" t="n">
        <x:f>K201</x:f>
        <x:v>10095.35976854794</x:v>
      </x:c>
      <x:c r="G430" s="6" t="n">
        <x:f>L201</x:f>
        <x:v>8753.88046307945</x:v>
      </x:c>
      <x:c r="H430" s="99"/>
      <x:c r="I430" s="99"/>
      <x:c r="J430" s="99"/>
      <x:c r="K430" s="99"/>
      <x:c r="L430" s="99"/>
      <x:c r="M430" s="99"/>
    </x:row>
    <x:row r="431">
      <x:c r="C431" s="6" t="str">
        <x:v>2024-04</x:v>
      </x:c>
      <x:c r="D431" s="6" t="n">
        <x:f>D202</x:f>
        <x:v>100424.801224771</x:v>
      </x:c>
      <x:c r="E431" s="6" t="n">
        <x:f>J202</x:f>
        <x:v>117013.356880658</x:v>
      </x:c>
      <x:c r="F431" s="6" t="n">
        <x:f>K202</x:f>
        <x:v>10805.90381764383</x:v>
      </x:c>
      <x:c r="G431" s="6" t="n">
        <x:f>L202</x:f>
        <x:v>9572.80256876712</x:v>
      </x:c>
      <x:c r="H431" s="99"/>
      <x:c r="I431" s="99"/>
      <x:c r="J431" s="99"/>
      <x:c r="K431" s="99"/>
      <x:c r="L431" s="99"/>
      <x:c r="M431" s="99"/>
    </x:row>
    <x:row r="432">
      <x:c r="C432" s="6" t="str">
        <x:v>2024-05</x:v>
      </x:c>
      <x:c r="D432" s="6" t="n">
        <x:f>D203</x:f>
        <x:v>96521.7555952557</x:v>
      </x:c>
      <x:c r="E432" s="6" t="n">
        <x:f>J203</x:f>
        <x:v>112242.988769841</x:v>
      </x:c>
      <x:c r="F432" s="6" t="n">
        <x:f>K203</x:f>
        <x:v>10677.03178450411</x:v>
      </x:c>
      <x:c r="G432" s="6" t="n">
        <x:f>L203</x:f>
        <x:v>9360.99726378082</x:v>
      </x:c>
      <x:c r="H432" s="99"/>
      <x:c r="I432" s="99"/>
      <x:c r="J432" s="99"/>
      <x:c r="K432" s="99"/>
      <x:c r="L432" s="99"/>
      <x:c r="M432" s="99"/>
    </x:row>
    <x:row r="433">
      <x:c r="C433" s="6" t="str">
        <x:v>2024-06</x:v>
      </x:c>
      <x:c r="D433" s="6" t="n">
        <x:f>D204</x:f>
        <x:v>91041.7098165104</x:v>
      </x:c>
      <x:c r="E433" s="6" t="n">
        <x:f>J204</x:f>
        <x:v>106349.603147047</x:v>
      </x:c>
      <x:c r="F433" s="6" t="n">
        <x:f>K204</x:f>
        <x:v>10504.35438956712</x:v>
      </x:c>
      <x:c r="G433" s="6" t="n">
        <x:f>L204</x:f>
        <x:v>9226.423090498629</x:v>
      </x:c>
      <x:c r="H433" s="99"/>
      <x:c r="I433" s="99"/>
      <x:c r="J433" s="99"/>
      <x:c r="K433" s="99"/>
      <x:c r="L433" s="99"/>
      <x:c r="M433" s="99"/>
    </x:row>
    <x:row r="434">
      <x:c r="C434" s="6" t="str">
        <x:v>2024-07</x:v>
      </x:c>
      <x:c r="D434" s="6" t="n">
        <x:f>D205</x:f>
        <x:v>101998.068524759</x:v>
      </x:c>
      <x:c r="E434" s="6" t="n">
        <x:f>J205</x:f>
        <x:v>120957.61062926</x:v>
      </x:c>
      <x:c r="F434" s="6" t="n">
        <x:f>K205</x:f>
        <x:v>10222.27891445479</x:v>
      </x:c>
      <x:c r="G434" s="6" t="n">
        <x:f>L205</x:f>
        <x:v>8975.36053970411</x:v>
      </x:c>
      <x:c r="H434" s="99"/>
      <x:c r="I434" s="99"/>
      <x:c r="J434" s="99"/>
      <x:c r="K434" s="99"/>
      <x:c r="L434" s="99"/>
      <x:c r="M434" s="99"/>
    </x:row>
    <x:row r="435">
      <x:c r="C435" s="6" t="str">
        <x:v>2024-08</x:v>
      </x:c>
      <x:c r="D435" s="6" t="n">
        <x:f>D206</x:f>
        <x:v>94043.860382815</x:v>
      </x:c>
      <x:c r="E435" s="6" t="n">
        <x:f>J206</x:f>
        <x:v>110163.620861195</x:v>
      </x:c>
      <x:c r="F435" s="6" t="n">
        <x:f>K206</x:f>
        <x:v>10354.138276997252</x:v>
      </x:c>
      <x:c r="G435" s="6" t="n">
        <x:f>L206</x:f>
        <x:v>9226.25882494246</x:v>
      </x:c>
      <x:c r="H435" s="99"/>
      <x:c r="I435" s="99"/>
      <x:c r="J435" s="99"/>
      <x:c r="K435" s="99"/>
      <x:c r="L435" s="99"/>
      <x:c r="M435" s="99"/>
    </x:row>
    <x:row r="436">
      <x:c r="C436" s="6" t="str">
        <x:v>2024-09</x:v>
      </x:c>
      <x:c r="D436" s="6" t="n">
        <x:f>D207</x:f>
        <x:v>85356.3788830976</x:v>
      </x:c>
      <x:c r="E436" s="6" t="n">
        <x:f>J207</x:f>
        <x:v>100261.33363726</x:v>
      </x:c>
      <x:c r="F436" s="6" t="n">
        <x:f>K207</x:f>
        <x:v>10912.20273621918</x:v>
      </x:c>
      <x:c r="G436" s="6" t="n">
        <x:f>L207</x:f>
        <x:v>9774.2253708274</x:v>
      </x:c>
      <x:c r="H436" s="99"/>
      <x:c r="I436" s="99"/>
      <x:c r="J436" s="99"/>
      <x:c r="K436" s="99"/>
      <x:c r="L436" s="99"/>
      <x:c r="M436" s="99"/>
    </x:row>
    <x:row r="437">
      <x:c r="C437" s="6" t="str">
        <x:v>2024-10</x:v>
      </x:c>
      <x:c r="D437" s="6" t="n">
        <x:f>D208</x:f>
        <x:v>89788.7905143947</x:v>
      </x:c>
      <x:c r="E437" s="6" t="n">
        <x:f>J208</x:f>
        <x:v>104809.442396581</x:v>
      </x:c>
      <x:c r="F437" s="6" t="n">
        <x:f>K208</x:f>
        <x:v>10525.25882801096</x:v>
      </x:c>
      <x:c r="G437" s="6" t="n">
        <x:f>L208</x:f>
        <x:v>9469.37447110137</x:v>
      </x:c>
      <x:c r="H437" s="99"/>
      <x:c r="I437" s="99"/>
      <x:c r="J437" s="99"/>
      <x:c r="K437" s="99"/>
      <x:c r="L437" s="99"/>
      <x:c r="M437" s="99"/>
    </x:row>
    <x:row r="438">
      <x:c r="C438" s="6" t="str">
        <x:v>2024-11</x:v>
      </x:c>
      <x:c r="D438" s="6" t="n">
        <x:f>D209</x:f>
        <x:v>94491.8943942642</x:v>
      </x:c>
      <x:c r="E438" s="6" t="n">
        <x:f>J209</x:f>
        <x:v>109291.340741085</x:v>
      </x:c>
      <x:c r="F438" s="6" t="n">
        <x:f>K209</x:f>
        <x:v>10515.7861607452</x:v>
      </x:c>
      <x:c r="G438" s="6" t="n">
        <x:f>L209</x:f>
        <x:v>9430.62281749041</x:v>
      </x:c>
      <x:c r="H438" s="99"/>
      <x:c r="I438" s="99"/>
      <x:c r="J438" s="99"/>
      <x:c r="K438" s="99"/>
      <x:c r="L438" s="99"/>
      <x:c r="M438" s="99"/>
    </x:row>
    <x:row r="439">
      <x:c r="C439" s="6" t="str">
        <x:v>2024-12</x:v>
      </x:c>
      <x:c r="D439" s="6" t="n">
        <x:f>D210</x:f>
        <x:v>96035.6918860495</x:v>
      </x:c>
      <x:c r="E439" s="6" t="n">
        <x:f>J210</x:f>
        <x:v>112997.998592</x:v>
      </x:c>
      <x:c r="F439" s="6" t="n">
        <x:f>K210</x:f>
        <x:v>8707.178816</x:v>
      </x:c>
      <x:c r="G439" s="6" t="n">
        <x:f>L210</x:f>
        <x:v>7708.7498239999995</x:v>
      </x:c>
      <x:c r="H439" s="99"/>
      <x:c r="I439" s="99"/>
      <x:c r="J439" s="99"/>
      <x:c r="K439" s="99"/>
      <x:c r="L439" s="99"/>
      <x:c r="M439" s="99"/>
    </x:row>
    <x:row r="440">
      <x:c r="C440" s="6" t="str">
        <x:v>2025-01</x:v>
      </x:c>
      <x:c r="D440" s="6" t="n">
        <x:f>D211</x:f>
        <x:v>97370.6448217801</x:v>
      </x:c>
      <x:c r="E440" s="6" t="n">
        <x:f>J211</x:f>
        <x:v>114077.482671342</x:v>
      </x:c>
      <x:c r="F440" s="6" t="n">
        <x:f>K211</x:f>
        <x:v>8248.26385674521</x:v>
      </x:c>
      <x:c r="G440" s="6" t="n">
        <x:f>L211</x:f>
        <x:v>7209.42547673425</x:v>
      </x:c>
      <x:c r="H440" s="99"/>
      <x:c r="I440" s="99"/>
      <x:c r="J440" s="99"/>
      <x:c r="K440" s="99"/>
      <x:c r="L440" s="99"/>
      <x:c r="M440" s="99"/>
    </x:row>
    <x:row r="441">
      <x:c r="C441" s="6" t="str">
        <x:v>2025-02</x:v>
      </x:c>
      <x:c r="D441" s="6" t="n">
        <x:f>D212</x:f>
        <x:v>99413.2251526841</x:v>
      </x:c>
      <x:c r="E441" s="6" t="n">
        <x:f>J212</x:f>
        <x:v>115777.270893414</x:v>
      </x:c>
      <x:c r="F441" s="6" t="n">
        <x:f>K212</x:f>
        <x:v>8437.5334354411</x:v>
      </x:c>
      <x:c r="G441" s="6" t="n">
        <x:f>L212</x:f>
        <x:v>7421.26688227946</x:v>
      </x:c>
      <x:c r="H441" s="99"/>
      <x:c r="I441" s="99"/>
      <x:c r="J441" s="99"/>
      <x:c r="K441" s="99"/>
      <x:c r="L441" s="99"/>
      <x:c r="M441" s="99"/>
    </x:row>
    <x:row r="442">
      <x:c r="C442" s="6" t="str">
        <x:v>2025-03</x:v>
      </x:c>
      <x:c r="D442" s="6" t="n">
        <x:f>D213</x:f>
        <x:v>97594.9241391287</x:v>
      </x:c>
      <x:c r="E442" s="6" t="n">
        <x:f>J213</x:f>
        <x:v>114436.165014795</x:v>
      </x:c>
      <x:c r="F442" s="6" t="n">
        <x:f>K213</x:f>
        <x:v>8531.21151649315</x:v>
      </x:c>
      <x:c r="G442" s="6" t="n">
        <x:f>L213</x:f>
        <x:v>7513.55513687671</x:v>
      </x:c>
      <x:c r="H442" s="99"/>
      <x:c r="I442" s="99"/>
      <x:c r="J442" s="99"/>
      <x:c r="K442" s="99"/>
      <x:c r="L442" s="99"/>
      <x:c r="M442" s="99"/>
    </x:row>
    <x:row r="443">
      <x:c r="C443" s="6" t="str">
        <x:v>2025-04</x:v>
      </x:c>
      <x:c r="D443" s="6" t="n">
        <x:f>D214</x:f>
        <x:v>83356.3737068637</x:v>
      </x:c>
      <x:c r="E443" s="6" t="n">
        <x:f>J214</x:f>
        <x:v>98053.5517071781</x:v>
      </x:c>
      <x:c r="F443" s="6" t="n">
        <x:f>K214</x:f>
        <x:v>7300.991217972605</x:v>
      </x:c>
      <x:c r="G443" s="6" t="n">
        <x:f>L214</x:f>
        <x:v>6539.42170652055</x:v>
      </x:c>
      <x:c r="H443" s="99"/>
      <x:c r="I443" s="99"/>
      <x:c r="J443" s="99"/>
      <x:c r="K443" s="99"/>
      <x:c r="L443" s="99"/>
      <x:c r="M443" s="99"/>
    </x:row>
    <x:row r="444">
      <x:c r="C444" s="6" t="str">
        <x:v>2025-05</x:v>
      </x:c>
      <x:c r="D444" s="6" t="n">
        <x:f>D215</x:f>
        <x:v>79562.9342821914</x:v>
      </x:c>
      <x:c r="E444" s="6" t="n">
        <x:f>J215</x:f>
        <x:v>93733.7573768767</x:v>
      </x:c>
      <x:c r="F444" s="6" t="n">
        <x:f>K215</x:f>
        <x:v>7556.208962630137</x:v>
      </x:c>
      <x:c r="G444" s="6" t="n">
        <x:f>L215</x:f>
        <x:v>6793.16187528767</x:v>
      </x:c>
      <x:c r="H444" s="99"/>
      <x:c r="I444" s="99"/>
      <x:c r="J444" s="99"/>
      <x:c r="K444" s="99"/>
      <x:c r="L444" s="99"/>
      <x:c r="M444" s="99"/>
    </x:row>
    <x:row r="445">
      <x:c r="C445" s="6" t="str">
        <x:v>2025-06</x:v>
      </x:c>
      <x:c r="D445" s="6" t="n">
        <x:f>D216</x:f>
        <x:v>78934.8227791654</x:v>
      </x:c>
      <x:c r="E445" s="6" t="n">
        <x:f>J216</x:f>
        <x:v>93223.5627814575</x:v>
      </x:c>
      <x:c r="F445" s="6" t="n">
        <x:f>K216</x:f>
        <x:v>7971.411047802737</x:v>
      </x:c>
      <x:c r="G445" s="6" t="n">
        <x:f>L216</x:f>
        <x:v>7191.59970507397</x:v>
      </x:c>
      <x:c r="H445" s="99"/>
      <x:c r="I445" s="99"/>
      <x:c r="J445" s="99"/>
      <x:c r="K445" s="99"/>
      <x:c r="L445" s="99"/>
      <x:c r="M445" s="99"/>
    </x:row>
    <x:row r="446">
      <x:c r="C446" s="6" t="str">
        <x:v>2025-07</x:v>
      </x:c>
      <x:c r="D446" s="6" t="n">
        <x:f>D217</x:f>
        <x:v>75155.5919994231</x:v>
      </x:c>
      <x:c r="E446" s="6" t="n">
        <x:f>J217</x:f>
        <x:v>88335.6600067507</x:v>
      </x:c>
      <x:c r="F446" s="6" t="n">
        <x:f>K217</x:f>
        <x:v>8026.901132800003</x:v>
      </x:c>
      <x:c r="G446" s="6" t="n">
        <x:f>L217</x:f>
        <x:v>7279.95582912877</x:v>
      </x:c>
      <x:c r="H446" s="99"/>
      <x:c r="I446" s="99"/>
      <x:c r="J446" s="99"/>
      <x:c r="K446" s="99"/>
      <x:c r="L446" s="99"/>
      <x:c r="M446" s="99"/>
    </x:row>
    <x:row r="447">
      <x:c r="C447" s="6" t="str">
        <x:v>2025-08</x:v>
      </x:c>
      <x:c r="D447" s="6" t="n">
        <x:f>D218</x:f>
        <x:v>68013.3363593627</x:v>
      </x:c>
      <x:c r="E447" s="6" t="n">
        <x:f>J218</x:f>
        <x:v>79629.4530595068</x:v>
      </x:c>
      <x:c r="F447" s="6" t="n">
        <x:f>K218</x:f>
        <x:v>7676.979073052054</x:v>
      </x:c>
      <x:c r="G447" s="6" t="n">
        <x:f>L218</x:f>
        <x:v>6988.63234770411</x:v>
      </x:c>
      <x:c r="H447" s="99"/>
      <x:c r="I447" s="99"/>
      <x:c r="J447" s="99"/>
      <x:c r="K447" s="99"/>
      <x:c r="L447" s="99"/>
      <x:c r="M447" s="99"/>
    </x:row>
    <x:row r="448">
      <x:c r="C448" s="6" t="str">
        <x:v>2025-09</x:v>
      </x:c>
      <x:c r="D448" s="6" t="n">
        <x:f>D219</x:f>
        <x:v>68570.3855872596</x:v>
      </x:c>
      <x:c r="E448" s="6" t="n">
        <x:f>J219</x:f>
        <x:v>80098.1294991781</x:v>
      </x:c>
      <x:c r="F448" s="6" t="n">
        <x:f>K219</x:f>
        <x:v>7894.636194016438</x:v>
      </x:c>
      <x:c r="G448" s="6" t="n">
        <x:f>L219</x:f>
        <x:v>7250.01226099726</x:v>
      </x:c>
      <x:c r="H448" s="99"/>
      <x:c r="I448" s="99"/>
      <x:c r="J448" s="99"/>
      <x:c r="K448" s="99"/>
      <x:c r="L448" s="99"/>
      <x:c r="M448" s="99"/>
    </x:row>
    <x:row r="449">
      <x:c r="C449" s="6" t="str">
        <x:v>2025-10</x:v>
      </x:c>
      <x:c r="D449" s="6" t="n">
        <x:f>D220</x:f>
        <x:v>70552.6881284765</x:v>
      </x:c>
      <x:c r="E449" s="6" t="n">
        <x:f>J220</x:f>
        <x:v>82245.791194126</x:v>
      </x:c>
      <x:c r="F449" s="6" t="n">
        <x:f>K220</x:f>
        <x:v>7294.817775868492</x:v>
      </x:c>
      <x:c r="G449" s="6" t="n">
        <x:f>L220</x:f>
        <x:v>6680.89323169315</x:v>
      </x:c>
      <x:c r="H449" s="99"/>
      <x:c r="I449" s="99"/>
      <x:c r="J449" s="99"/>
      <x:c r="K449" s="99"/>
      <x:c r="L449" s="99"/>
      <x:c r="M449" s="99"/>
    </x:row>
    <x:row r="450">
      <x:c r="C450" s="6" t="str">
        <x:v>2025-11</x:v>
      </x:c>
      <x:c r="D450" s="6" t="n">
        <x:f>D221</x:f>
        <x:v>64896.1894050892</x:v>
      </x:c>
      <x:c r="E450" s="6" t="n">
        <x:f>J221</x:f>
        <x:v>74888.7818015562</x:v>
      </x:c>
      <x:c r="F450" s="6" t="n">
        <x:f>K221</x:f>
        <x:v>7113.242130761648</x:v>
      </x:c>
      <x:c r="G450" s="6" t="n">
        <x:f>L221</x:f>
        <x:v>6555.76541843288</x:v>
      </x:c>
      <x:c r="H450" s="99"/>
      <x:c r="I450" s="99"/>
      <x:c r="J450" s="99"/>
      <x:c r="K450" s="99"/>
      <x:c r="L450" s="99"/>
      <x:c r="M450" s="99"/>
    </x:row>
    <x:row r="451">
      <x:c r="C451" s="6" t="str">
        <x:v>2025-12</x:v>
      </x:c>
      <x:c r="D451" s="6" t="n">
        <x:f>D222</x:f>
        <x:v>60921.4262587754</x:v>
      </x:c>
      <x:c r="E451" s="6" t="n">
        <x:f>J222</x:f>
        <x:v>71944.6016</x:v>
      </x:c>
      <x:c r="F451" s="6" t="n">
        <x:f>K222</x:f>
        <x:v>5744.295008</x:v>
      </x:c>
      <x:c r="G451" s="6" t="n">
        <x:f>L222</x:f>
        <x:v>5333.750016</x:v>
      </x:c>
      <x:c r="H451" s="99"/>
      <x:c r="I451" s="99"/>
      <x:c r="J451" s="99"/>
      <x:c r="K451" s="99"/>
      <x:c r="L451" s="99"/>
      <x:c r="M451" s="99"/>
    </x:row>
    <x:row r="452">
      <x:c r="C452" s="6" t="str">
        <x:v>2026-01</x:v>
      </x:c>
      <x:c r="D452" s="6" t="n">
        <x:f>D223</x:f>
        <x:v>59573.0775264635</x:v>
      </x:c>
      <x:c r="E452" s="6" t="n">
        <x:f>J223</x:f>
        <x:v>69518.9190908493</x:v>
      </x:c>
      <x:c r="F452" s="6" t="n">
        <x:f>K223</x:f>
        <x:v>6027.055123287668</x:v>
      </x:c>
      <x:c r="G452" s="6" t="n">
        <x:f>L223</x:f>
        <x:v>5672.56815167123</x:v>
      </x:c>
      <x:c r="H452" s="99"/>
      <x:c r="I452" s="99"/>
      <x:c r="J452" s="99"/>
      <x:c r="K452" s="99"/>
      <x:c r="L452" s="99"/>
      <x:c r="M452" s="99"/>
    </x:row>
    <x:row r="453">
      <x:c r="C453" s="6" t="str">
        <x:v>2026-02</x:v>
      </x:c>
      <x:c r="D453" s="6" t="n">
        <x:f>D224</x:f>
        <x:v>67165.2136108715</x:v>
      </x:c>
      <x:c r="E453" s="6" t="n">
        <x:f>J224</x:f>
        <x:v>78513.4330865973</x:v>
      </x:c>
      <x:c r="F453" s="6" t="n">
        <x:f>K224</x:f>
        <x:v>6105.749140602736</x:v>
      </x:c>
      <x:c r="G453" s="6" t="n">
        <x:f>L224</x:f>
        <x:v>5729.3427515616395</x:v>
      </x:c>
      <x:c r="H453" s="99"/>
      <x:c r="I453" s="99"/>
      <x:c r="J453" s="99"/>
      <x:c r="K453" s="99"/>
      <x:c r="L453" s="99"/>
      <x:c r="M453" s="99"/>
    </x:row>
    <x:row r="454">
      <x:c r="C454" s="6" t="str">
        <x:v>2026-03</x:v>
      </x:c>
      <x:c r="D454" s="6" t="n">
        <x:f>D225</x:f>
        <x:v>97087.7702336677</x:v>
      </x:c>
      <x:c r="E454" s="6" t="n">
        <x:f>J225</x:f>
        <x:v>112627.275467397</x:v>
      </x:c>
      <x:c r="F454" s="6" t="n">
        <x:f>K225</x:f>
        <x:v>9601.641222575352</x:v>
      </x:c>
      <x:c r="G454" s="6" t="n">
        <x:f>L225</x:f>
        <x:v>9179.32753358905</x:v>
      </x:c>
      <x:c r="H454" s="99"/>
      <x:c r="I454" s="99"/>
      <x:c r="J454" s="99"/>
      <x:c r="K454" s="99"/>
      <x:c r="L454" s="99"/>
      <x:c r="M454" s="99"/>
    </x:row>
    <x:row r="455">
      <x:c r="C455" s="6" t="str">
        <x:v>2026-04</x:v>
      </x:c>
      <x:c r="D455" s="6" t="n">
        <x:f>D226</x:f>
        <x:v>107975.190914209</x:v>
      </x:c>
      <x:c r="E455" s="6" t="n">
        <x:f>J226</x:f>
        <x:v>124791.851092164</x:v>
      </x:c>
      <x:c r="F455" s="6" t="n">
        <x:f>K226</x:f>
        <x:v>11031.594585424651</x:v>
      </x:c>
      <x:c r="G455" s="6" t="n">
        <x:f>L226</x:f>
        <x:v>10414.90966443835</x:v>
      </x:c>
      <x:c r="H455" s="99"/>
      <x:c r="I455" s="99"/>
      <x:c r="J455" s="99"/>
      <x:c r="K455" s="99"/>
      <x:c r="L455" s="99"/>
      <x:c r="M455" s="99"/>
    </x:row>
    <x:row r="456">
      <x:c r="C456" s="6" t="str">
        <x:v>2026-05</x:v>
      </x:c>
      <x:c r="D456" s="6" t="n">
        <x:f>D227</x:f>
        <x:v>106431.88100599</x:v>
      </x:c>
      <x:c r="E456" s="6" t="n">
        <x:f>J227</x:f>
        <x:v>126941.601410455</x:v>
      </x:c>
      <x:c r="F456" s="6" t="n">
        <x:f>K227</x:f>
        <x:v>10503.583048416436</x:v>
      </x:c>
      <x:c r="G456" s="6" t="n">
        <x:f>L227</x:f>
        <x:v>9879.72058266301</x:v>
      </x:c>
      <x:c r="H456" s="99"/>
      <x:c r="I456" s="99"/>
      <x:c r="J456" s="99"/>
      <x:c r="K456" s="99"/>
      <x:c r="L456" s="99"/>
      <x:c r="M456" s="99"/>
    </x:row>
    <x:row r="457">
      <x:c r="C457" s="6" t="str">
        <x:v>2026-06</x:v>
      </x:c>
      <x:c r="D457" s="6" t="n">
        <x:f>D228</x:f>
        <x:v>104108.924582038</x:v>
      </x:c>
      <x:c r="E457" s="6" t="n">
        <x:f>J228</x:f>
        <x:v>123220.997723178</x:v>
      </x:c>
      <x:c r="F457" s="6" t="n">
        <x:f>K228</x:f>
        <x:v>10709.459880679457</x:v>
      </x:c>
      <x:c r="G457" s="6" t="n">
        <x:f>L228</x:f>
        <x:v>10097.35713315069</x:v>
      </x:c>
      <x:c r="H457" s="99"/>
      <x:c r="I457" s="99"/>
      <x:c r="J457" s="99"/>
      <x:c r="K457" s="99"/>
      <x:c r="L457" s="99"/>
      <x:c r="M457" s="99"/>
    </x:row>
    <x:row r="458">
      <x:c r="C458" s="6" t="str">
        <x:v>2026-07</x:v>
      </x:c>
      <x:c r="D458" s="6" t="n">
        <x:f>D229</x:f>
        <x:v>105934.636028838</x:v>
      </x:c>
      <x:c r="E458" s="6" t="n">
        <x:f>J229</x:f>
        <x:v>125102.000189721</x:v>
      </x:c>
      <x:c r="F458" s="6" t="n">
        <x:f>K229</x:f>
        <x:v>9963.00658270685</x:v>
      </x:c>
      <x:c r="G458" s="6" t="n">
        <x:f>L229</x:f>
        <x:v>9450.936649293151</x:v>
      </x:c>
      <x:c r="H458" s="99"/>
      <x:c r="I458" s="99"/>
      <x:c r="J458" s="99"/>
      <x:c r="K458" s="99"/>
      <x:c r="L458" s="99"/>
      <x:c r="M458" s="99"/>
    </x:row>
    <x:row r="459">
      <x:c r="C459" s="6" t="str">
        <x:v>2026-08</x:v>
      </x:c>
      <x:c r="D459" s="6" t="n">
        <x:f>D230</x:f>
        <x:v>109063.633669519</x:v>
      </x:c>
      <x:c r="E459" s="6" t="n">
        <x:f>J230</x:f>
        <x:v>127708.484178762</x:v>
      </x:c>
      <x:c r="F459" s="6" t="n">
        <x:f>K230</x:f>
        <x:v>9048.666936547941</x:v>
      </x:c>
      <x:c r="G459" s="6" t="n">
        <x:f>L230</x:f>
        <x:v>8580.43642985205</x:v>
      </x:c>
      <x:c r="H459" s="99"/>
      <x:c r="I459" s="99"/>
      <x:c r="J459" s="99"/>
      <x:c r="K459" s="99"/>
      <x:c r="L459" s="99"/>
      <x:c r="M459" s="99"/>
    </x:row>
    <x:row r="460">
      <x:c r="C460" s="6" t="str">
        <x:v>2026-09</x:v>
      </x:c>
      <x:c r="D460" s="6" t="n">
        <x:f>D231</x:f>
        <x:v>110049.060790029</x:v>
      </x:c>
      <x:c r="E460" s="6" t="n">
        <x:f>J231</x:f>
        <x:v>127881.287865162</x:v>
      </x:c>
      <x:c r="F460" s="6" t="n">
        <x:f>K231</x:f>
        <x:v>9049.419541917807</x:v>
      </x:c>
      <x:c r="G460" s="6" t="n">
        <x:f>L231</x:f>
        <x:v>8581.87754748493</x:v>
      </x:c>
      <x:c r="H460" s="99"/>
      <x:c r="I460" s="99"/>
      <x:c r="J460" s="99"/>
      <x:c r="K460" s="99"/>
      <x:c r="L460" s="99"/>
      <x:c r="M460" s="99"/>
    </x:row>
  </x:sheetData>
  <x:pageMargins left="0.7" right="0.7" top="0.75" bottom="0.75" header="0.3" footer="0.3"/>
  <x:drawing xmlns:r="http://schemas.openxmlformats.org/officeDocument/2006/relationships" r:id="R8909939502c54390"/>
  <x:tableParts count="1">
    <x:tablePart xmlns:r="http://schemas.openxmlformats.org/officeDocument/2006/relationships" r:id="R785356ec8a1a443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</x:cols>
  <x:sheetData>
    <x:row r="2">
      <x:c r="C2" s="2" t="str">
        <x:v>Base macroeconômica e earnings do IBOV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  <x:c r="X2" s="98"/>
    </x:row>
    <x:row r="3">
      <x:c r="C3" s="4" t="str">
        <x:v>Variáveis contemporâneas, transformações de três meses e BEst EPS do índice.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  <x:c r="P5" s="99"/>
      <x:c r="Q5" s="99"/>
      <x:c r="R5" s="99"/>
      <x:c r="S5" s="99"/>
      <x:c r="T5" s="99"/>
      <x:c r="U5" s="99"/>
      <x:c r="V5" s="99"/>
      <x:c r="W5" s="99"/>
      <x:c r="X5" s="99"/>
    </x:row>
    <x:row r="6" ht="36" customHeight="1">
      <x:c r="C6" s="11" t="str">
        <x:v>month</x:v>
      </x:c>
      <x:c r="D6" s="11" t="str">
        <x:v>eps</x:v>
      </x:c>
      <x:c r="E6" s="11" t="str">
        <x:v>y_rev3</x:v>
      </x:c>
      <x:c r="F6" s="11" t="str">
        <x:v>ibov_constant_basket</x:v>
      </x:c>
      <x:c r="G6" s="11" t="str">
        <x:v>y_constant_basket_rev3</x:v>
      </x:c>
      <x:c r="H6" s="11" t="str">
        <x:v>focus_pib</x:v>
      </x:c>
      <x:c r="I6" s="11" t="str">
        <x:v>d_focus_pib3</x:v>
      </x:c>
      <x:c r="J6" s="11" t="str">
        <x:v>focus_ipca</x:v>
      </x:c>
      <x:c r="K6" s="11" t="str">
        <x:v>d_focus_ipca3</x:v>
      </x:c>
      <x:c r="L6" s="11" t="str">
        <x:v>ipca12_available</x:v>
      </x:c>
      <x:c r="M6" s="11" t="str">
        <x:v>d_ipca12_3_available</x:v>
      </x:c>
      <x:c r="N6" s="11" t="str">
        <x:v>ipca3_flow_available</x:v>
      </x:c>
      <x:c r="O6" s="11" t="str">
        <x:v>bcom_usd</x:v>
      </x:c>
      <x:c r="P6" s="11" t="str">
        <x:v>d_bcom_usd3</x:v>
      </x:c>
      <x:c r="Q6" s="11" t="str">
        <x:v>bcom_brl</x:v>
      </x:c>
      <x:c r="R6" s="11" t="str">
        <x:v>d_bcom_brl3</x:v>
      </x:c>
      <x:c r="S6" s="11" t="str">
        <x:v>usdbrl</x:v>
      </x:c>
      <x:c r="T6" s="11" t="str">
        <x:v>d_usdbrl3</x:v>
      </x:c>
      <x:c r="U6" s="11" t="str">
        <x:v>swap360</x:v>
      </x:c>
      <x:c r="V6" s="11" t="str">
        <x:v>d_swap360_3</x:v>
      </x:c>
      <x:c r="W6" s="11" t="str">
        <x:v>brent_usd</x:v>
      </x:c>
      <x:c r="X6" s="11" t="str">
        <x:v>d_brent3</x:v>
      </x:c>
    </x:row>
    <x:row r="7">
      <x:c r="C7" s="18" t="n">
        <x:v>36739</x:v>
      </x:c>
      <x:c r="D7" s="45"/>
      <x:c r="E7" s="51"/>
      <x:c r="F7" s="45"/>
      <x:c r="G7" s="45"/>
      <x:c r="H7" s="51"/>
      <x:c r="I7" s="51"/>
      <x:c r="J7" s="51"/>
      <x:c r="K7" s="51"/>
      <x:c r="L7" s="51"/>
      <x:c r="M7" s="51"/>
      <x:c r="N7" s="51"/>
      <x:c r="O7" s="45" t="n">
        <x:v>108.1696</x:v>
      </x:c>
      <x:c r="P7" s="51"/>
      <x:c r="Q7" s="45"/>
      <x:c r="R7" s="51"/>
      <x:c r="S7" s="57"/>
      <x:c r="T7" s="51"/>
      <x:c r="U7" s="51" t="n">
        <x:v>17.058</x:v>
      </x:c>
      <x:c r="V7" s="51" t="n">
        <x:v>-4.251999999999999</x:v>
      </x:c>
      <x:c r="W7" s="45" t="n">
        <x:v>35.08</x:v>
      </x:c>
      <x:c r="X7" s="51" t="n">
        <x:v>16.850636707609613</x:v>
      </x:c>
    </x:row>
    <x:row r="8">
      <x:c r="C8" s="19" t="n">
        <x:v>36770</x:v>
      </x:c>
      <x:c r="D8" s="46"/>
      <x:c r="E8" s="52"/>
      <x:c r="F8" s="46"/>
      <x:c r="G8" s="46"/>
      <x:c r="H8" s="52"/>
      <x:c r="I8" s="52"/>
      <x:c r="J8" s="52"/>
      <x:c r="K8" s="52"/>
      <x:c r="L8" s="52"/>
      <x:c r="M8" s="52"/>
      <x:c r="N8" s="52"/>
      <x:c r="O8" s="46" t="n">
        <x:v>106.975</x:v>
      </x:c>
      <x:c r="P8" s="52"/>
      <x:c r="Q8" s="46"/>
      <x:c r="R8" s="52"/>
      <x:c r="S8" s="58"/>
      <x:c r="T8" s="52"/>
      <x:c r="U8" s="52" t="n">
        <x:v>16.94</x:v>
      </x:c>
      <x:c r="V8" s="52" t="n">
        <x:v>-1.9190000000000005</x:v>
      </x:c>
      <x:c r="W8" s="46" t="n">
        <x:v>28.42</x:v>
      </x:c>
      <x:c r="X8" s="52" t="n">
        <x:v>-10.543088615854135</x:v>
      </x:c>
    </x:row>
    <x:row r="9">
      <x:c r="C9" s="19" t="n">
        <x:v>36800</x:v>
      </x:c>
      <x:c r="D9" s="46"/>
      <x:c r="E9" s="52"/>
      <x:c r="F9" s="46"/>
      <x:c r="G9" s="46"/>
      <x:c r="H9" s="52"/>
      <x:c r="I9" s="52"/>
      <x:c r="J9" s="52"/>
      <x:c r="K9" s="52"/>
      <x:c r="L9" s="52"/>
      <x:c r="M9" s="52"/>
      <x:c r="N9" s="52"/>
      <x:c r="O9" s="46" t="n">
        <x:v>103.8204</x:v>
      </x:c>
      <x:c r="P9" s="52"/>
      <x:c r="Q9" s="46"/>
      <x:c r="R9" s="52"/>
      <x:c r="S9" s="58"/>
      <x:c r="T9" s="52"/>
      <x:c r="U9" s="52" t="n">
        <x:v>17.61</x:v>
      </x:c>
      <x:c r="V9" s="52" t="n">
        <x:v>-0.240000000000002</x:v>
      </x:c>
      <x:c r="W9" s="46" t="n">
        <x:v>30.15</x:v>
      </x:c>
      <x:c r="X9" s="52" t="n">
        <x:v>17.538052743971992</x:v>
      </x:c>
    </x:row>
    <x:row r="10">
      <x:c r="C10" s="19" t="n">
        <x:v>36831</x:v>
      </x:c>
      <x:c r="D10" s="46"/>
      <x:c r="E10" s="52"/>
      <x:c r="F10" s="46"/>
      <x:c r="G10" s="46"/>
      <x:c r="H10" s="52"/>
      <x:c r="I10" s="52"/>
      <x:c r="J10" s="52"/>
      <x:c r="K10" s="52"/>
      <x:c r="L10" s="52"/>
      <x:c r="M10" s="52"/>
      <x:c r="N10" s="52"/>
      <x:c r="O10" s="46" t="n">
        <x:v>111.5902</x:v>
      </x:c>
      <x:c r="P10" s="52" t="n">
        <x:v>3.1132866718898247</x:v>
      </x:c>
      <x:c r="Q10" s="46"/>
      <x:c r="R10" s="52"/>
      <x:c r="S10" s="58"/>
      <x:c r="T10" s="52"/>
      <x:c r="U10" s="52" t="n">
        <x:v>18.39</x:v>
      </x:c>
      <x:c r="V10" s="52" t="n">
        <x:v>1.3320000000000007</x:v>
      </x:c>
      <x:c r="W10" s="46" t="n">
        <x:v>32.53</x:v>
      </x:c>
      <x:c r="X10" s="52" t="n">
        <x:v>-7.54684270187221</x:v>
      </x:c>
    </x:row>
    <x:row r="11">
      <x:c r="C11" s="19" t="n">
        <x:v>36861</x:v>
      </x:c>
      <x:c r="D11" s="46"/>
      <x:c r="E11" s="52"/>
      <x:c r="F11" s="46"/>
      <x:c r="G11" s="46"/>
      <x:c r="H11" s="52"/>
      <x:c r="I11" s="52"/>
      <x:c r="J11" s="52"/>
      <x:c r="K11" s="52"/>
      <x:c r="L11" s="52"/>
      <x:c r="M11" s="52"/>
      <x:c r="N11" s="52"/>
      <x:c r="O11" s="46" t="n">
        <x:v>114.6134</x:v>
      </x:c>
      <x:c r="P11" s="52" t="n">
        <x:v>6.896956358893201</x:v>
      </x:c>
      <x:c r="Q11" s="46"/>
      <x:c r="R11" s="52"/>
      <x:c r="S11" s="58"/>
      <x:c r="T11" s="52"/>
      <x:c r="U11" s="52" t="n">
        <x:v>16.66</x:v>
      </x:c>
      <x:c r="V11" s="52" t="n">
        <x:v>-0.28000000000000114</x:v>
      </x:c>
      <x:c r="W11" s="46" t="n">
        <x:v>22.58</x:v>
      </x:c>
      <x:c r="X11" s="52" t="n">
        <x:v>-23.002856394743873</x:v>
      </x:c>
    </x:row>
    <x:row r="12">
      <x:c r="C12" s="19" t="n">
        <x:v>36892</x:v>
      </x:c>
      <x:c r="D12" s="46"/>
      <x:c r="E12" s="52"/>
      <x:c r="F12" s="46"/>
      <x:c r="G12" s="46"/>
      <x:c r="H12" s="52"/>
      <x:c r="I12" s="52"/>
      <x:c r="J12" s="52"/>
      <x:c r="K12" s="52"/>
      <x:c r="L12" s="52"/>
      <x:c r="M12" s="52"/>
      <x:c r="N12" s="52"/>
      <x:c r="O12" s="46" t="n">
        <x:v>111.3745</x:v>
      </x:c>
      <x:c r="P12" s="52" t="n">
        <x:v>7.023591322922031</x:v>
      </x:c>
      <x:c r="Q12" s="46"/>
      <x:c r="R12" s="52"/>
      <x:c r="S12" s="58"/>
      <x:c r="T12" s="52"/>
      <x:c r="U12" s="52" t="n">
        <x:v>15.44</x:v>
      </x:c>
      <x:c r="V12" s="52" t="n">
        <x:v>-2.17</x:v>
      </x:c>
      <x:c r="W12" s="46" t="n">
        <x:v>26.59</x:v>
      </x:c>
      <x:c r="X12" s="52" t="n">
        <x:v>-12.564971791826599</x:v>
      </x:c>
    </x:row>
    <x:row r="13">
      <x:c r="C13" s="19" t="n">
        <x:v>36923</x:v>
      </x:c>
      <x:c r="D13" s="46"/>
      <x:c r="E13" s="52"/>
      <x:c r="F13" s="46"/>
      <x:c r="G13" s="46"/>
      <x:c r="H13" s="52"/>
      <x:c r="I13" s="52"/>
      <x:c r="J13" s="52"/>
      <x:c r="K13" s="52"/>
      <x:c r="L13" s="52"/>
      <x:c r="M13" s="52"/>
      <x:c r="N13" s="52"/>
      <x:c r="O13" s="46" t="n">
        <x:v>110.4787</x:v>
      </x:c>
      <x:c r="P13" s="52" t="n">
        <x:v>-1.0010490275116564</x:v>
      </x:c>
      <x:c r="Q13" s="46"/>
      <x:c r="R13" s="52"/>
      <x:c r="S13" s="58"/>
      <x:c r="T13" s="52"/>
      <x:c r="U13" s="52" t="n">
        <x:v>16.44</x:v>
      </x:c>
      <x:c r="V13" s="52" t="n">
        <x:v>-1.9499999999999993</x:v>
      </x:c>
      <x:c r="W13" s="46" t="n">
        <x:v>25.16</x:v>
      </x:c>
      <x:c r="X13" s="52" t="n">
        <x:v>-25.690730865302037</x:v>
      </x:c>
    </x:row>
    <x:row r="14">
      <x:c r="C14" s="19" t="n">
        <x:v>36951</x:v>
      </x:c>
      <x:c r="D14" s="46"/>
      <x:c r="E14" s="52"/>
      <x:c r="F14" s="46"/>
      <x:c r="G14" s="46"/>
      <x:c r="H14" s="52"/>
      <x:c r="I14" s="52"/>
      <x:c r="J14" s="52"/>
      <x:c r="K14" s="52"/>
      <x:c r="L14" s="52"/>
      <x:c r="M14" s="52"/>
      <x:c r="N14" s="52"/>
      <x:c r="O14" s="46" t="n">
        <x:v>105.3717</x:v>
      </x:c>
      <x:c r="P14" s="52" t="n">
        <x:v>-8.407062678615059</x:v>
      </x:c>
      <x:c r="Q14" s="46"/>
      <x:c r="R14" s="52"/>
      <x:c r="S14" s="58"/>
      <x:c r="T14" s="52"/>
      <x:c r="U14" s="52" t="n">
        <x:v>19.82</x:v>
      </x:c>
      <x:c r="V14" s="52" t="n">
        <x:v>3.16</x:v>
      </x:c>
      <x:c r="W14" s="46" t="n">
        <x:v>23.5</x:v>
      </x:c>
      <x:c r="X14" s="52" t="n">
        <x:v>3.993586242859743</x:v>
      </x:c>
    </x:row>
    <x:row r="15">
      <x:c r="C15" s="19" t="n">
        <x:v>36982</x:v>
      </x:c>
      <x:c r="D15" s="46"/>
      <x:c r="E15" s="52"/>
      <x:c r="F15" s="46"/>
      <x:c r="G15" s="46"/>
      <x:c r="H15" s="52"/>
      <x:c r="I15" s="52"/>
      <x:c r="J15" s="52"/>
      <x:c r="K15" s="52"/>
      <x:c r="L15" s="52"/>
      <x:c r="M15" s="52"/>
      <x:c r="N15" s="52"/>
      <x:c r="O15" s="46" t="n">
        <x:v>108.7085</x:v>
      </x:c>
      <x:c r="P15" s="52" t="n">
        <x:v>-2.422840850100071</x:v>
      </x:c>
      <x:c r="Q15" s="46"/>
      <x:c r="R15" s="52"/>
      <x:c r="S15" s="58"/>
      <x:c r="T15" s="52"/>
      <x:c r="U15" s="52" t="n">
        <x:v>21.49</x:v>
      </x:c>
      <x:c r="V15" s="52" t="n">
        <x:v>6.049999999999999</x:v>
      </x:c>
      <x:c r="W15" s="46" t="n">
        <x:v>27.21</x:v>
      </x:c>
      <x:c r="X15" s="52" t="n">
        <x:v>2.3049347540226424</x:v>
      </x:c>
    </x:row>
    <x:row r="16">
      <x:c r="C16" s="19" t="n">
        <x:v>37012</x:v>
      </x:c>
      <x:c r="D16" s="46"/>
      <x:c r="E16" s="52"/>
      <x:c r="F16" s="46"/>
      <x:c r="G16" s="46"/>
      <x:c r="H16" s="52"/>
      <x:c r="I16" s="52"/>
      <x:c r="J16" s="52"/>
      <x:c r="K16" s="52"/>
      <x:c r="L16" s="52"/>
      <x:c r="M16" s="52"/>
      <x:c r="N16" s="52"/>
      <x:c r="O16" s="46" t="n">
        <x:v>106.0908</x:v>
      </x:c>
      <x:c r="P16" s="52" t="n">
        <x:v>-4.052741098615876</x:v>
      </x:c>
      <x:c r="Q16" s="46"/>
      <x:c r="R16" s="52"/>
      <x:c r="S16" s="58"/>
      <x:c r="T16" s="52"/>
      <x:c r="U16" s="52" t="n">
        <x:v>22.99</x:v>
      </x:c>
      <x:c r="V16" s="52" t="n">
        <x:v>6.549999999999997</x:v>
      </x:c>
      <x:c r="W16" s="46" t="n">
        <x:v>28.55</x:v>
      </x:c>
      <x:c r="X16" s="52" t="n">
        <x:v>12.64015042697794</x:v>
      </x:c>
    </x:row>
    <x:row r="17">
      <x:c r="C17" s="19" t="n">
        <x:v>37043</x:v>
      </x:c>
      <x:c r="D17" s="46"/>
      <x:c r="E17" s="52"/>
      <x:c r="F17" s="46"/>
      <x:c r="G17" s="46"/>
      <x:c r="H17" s="52"/>
      <x:c r="I17" s="52"/>
      <x:c r="J17" s="52"/>
      <x:c r="K17" s="52"/>
      <x:c r="L17" s="52"/>
      <x:c r="M17" s="52"/>
      <x:c r="N17" s="52"/>
      <x:c r="O17" s="46" t="n">
        <x:v>101.5707</x:v>
      </x:c>
      <x:c r="P17" s="52" t="n">
        <x:v>-3.6738991379241033</x:v>
      </x:c>
      <x:c r="Q17" s="46"/>
      <x:c r="R17" s="52"/>
      <x:c r="S17" s="58"/>
      <x:c r="T17" s="52"/>
      <x:c r="U17" s="52" t="n">
        <x:v>24.03</x:v>
      </x:c>
      <x:c r="V17" s="52" t="n">
        <x:v>4.210000000000001</x:v>
      </x:c>
      <x:c r="W17" s="46" t="n">
        <x:v>26.21</x:v>
      </x:c>
      <x:c r="X17" s="52" t="n">
        <x:v>10.914059618520172</x:v>
      </x:c>
    </x:row>
    <x:row r="18">
      <x:c r="C18" s="19" t="n">
        <x:v>37073</x:v>
      </x:c>
      <x:c r="D18" s="46"/>
      <x:c r="E18" s="52"/>
      <x:c r="F18" s="46"/>
      <x:c r="G18" s="46"/>
      <x:c r="H18" s="52"/>
      <x:c r="I18" s="52"/>
      <x:c r="J18" s="52"/>
      <x:c r="K18" s="52"/>
      <x:c r="L18" s="52"/>
      <x:c r="M18" s="52"/>
      <x:c r="N18" s="52"/>
      <x:c r="O18" s="46" t="n">
        <x:v>102.5699</x:v>
      </x:c>
      <x:c r="P18" s="52" t="n">
        <x:v>-5.812547056716917</x:v>
      </x:c>
      <x:c r="Q18" s="46"/>
      <x:c r="R18" s="52"/>
      <x:c r="S18" s="58"/>
      <x:c r="T18" s="52"/>
      <x:c r="U18" s="52" t="n">
        <x:v>25.65</x:v>
      </x:c>
      <x:c r="V18" s="52" t="n">
        <x:v>4.16</x:v>
      </x:c>
      <x:c r="W18" s="46" t="n">
        <x:v>24.35</x:v>
      </x:c>
      <x:c r="X18" s="52" t="n">
        <x:v>-11.105270326655608</x:v>
      </x:c>
    </x:row>
    <x:row r="19">
      <x:c r="C19" s="19" t="n">
        <x:v>37104</x:v>
      </x:c>
      <x:c r="D19" s="46"/>
      <x:c r="E19" s="52"/>
      <x:c r="F19" s="46"/>
      <x:c r="G19" s="46"/>
      <x:c r="H19" s="52"/>
      <x:c r="I19" s="52"/>
      <x:c r="J19" s="52"/>
      <x:c r="K19" s="52"/>
      <x:c r="L19" s="52"/>
      <x:c r="M19" s="52"/>
      <x:c r="N19" s="52"/>
      <x:c r="O19" s="46" t="n">
        <x:v>102.2247</x:v>
      </x:c>
      <x:c r="P19" s="52" t="n">
        <x:v>-3.7121999666483365</x:v>
      </x:c>
      <x:c r="Q19" s="46"/>
      <x:c r="R19" s="52"/>
      <x:c r="S19" s="58"/>
      <x:c r="T19" s="52"/>
      <x:c r="U19" s="52" t="n">
        <x:v>24.56</x:v>
      </x:c>
      <x:c r="V19" s="52" t="n">
        <x:v>1.5700000000000003</x:v>
      </x:c>
      <x:c r="W19" s="46" t="n">
        <x:v>26.8</x:v>
      </x:c>
      <x:c r="X19" s="52" t="n">
        <x:v>-6.325504858520828</x:v>
      </x:c>
    </x:row>
    <x:row r="20">
      <x:c r="C20" s="19" t="n">
        <x:v>37135</x:v>
      </x:c>
      <x:c r="D20" s="46"/>
      <x:c r="E20" s="52"/>
      <x:c r="F20" s="46"/>
      <x:c r="G20" s="46"/>
      <x:c r="H20" s="52"/>
      <x:c r="I20" s="52"/>
      <x:c r="J20" s="52"/>
      <x:c r="K20" s="52"/>
      <x:c r="L20" s="52"/>
      <x:c r="M20" s="52"/>
      <x:c r="N20" s="52"/>
      <x:c r="O20" s="46" t="n">
        <x:v>95.1071</x:v>
      </x:c>
      <x:c r="P20" s="52" t="n">
        <x:v>-6.57514827073961</x:v>
      </x:c>
      <x:c r="Q20" s="46"/>
      <x:c r="R20" s="52"/>
      <x:c r="S20" s="58"/>
      <x:c r="T20" s="52"/>
      <x:c r="U20" s="52" t="n">
        <x:v>25.92</x:v>
      </x:c>
      <x:c r="V20" s="52" t="n">
        <x:v>1.8900000000000006</x:v>
      </x:c>
      <x:c r="W20" s="46" t="n">
        <x:v>21.87</x:v>
      </x:c>
      <x:c r="X20" s="52" t="n">
        <x:v>-18.102518264663857</x:v>
      </x:c>
    </x:row>
    <x:row r="21">
      <x:c r="C21" s="19" t="n">
        <x:v>37165</x:v>
      </x:c>
      <x:c r="D21" s="46"/>
      <x:c r="E21" s="52"/>
      <x:c r="F21" s="46"/>
      <x:c r="G21" s="46"/>
      <x:c r="H21" s="52"/>
      <x:c r="I21" s="52"/>
      <x:c r="J21" s="52"/>
      <x:c r="K21" s="52"/>
      <x:c r="L21" s="52"/>
      <x:c r="M21" s="52"/>
      <x:c r="N21" s="52"/>
      <x:c r="O21" s="46" t="n">
        <x:v>90.4071</x:v>
      </x:c>
      <x:c r="P21" s="52" t="n">
        <x:v>-12.622171323785444</x:v>
      </x:c>
      <x:c r="Q21" s="46"/>
      <x:c r="R21" s="52"/>
      <x:c r="S21" s="58"/>
      <x:c r="T21" s="52"/>
      <x:c r="U21" s="52" t="n">
        <x:v>24.55</x:v>
      </x:c>
      <x:c r="V21" s="52" t="n">
        <x:v>-1.0999999999999979</x:v>
      </x:c>
      <x:c r="W21" s="46" t="n">
        <x:v>19.63</x:v>
      </x:c>
      <x:c r="X21" s="52" t="n">
        <x:v>-21.547284124022926</x:v>
      </x:c>
    </x:row>
    <x:row r="22">
      <x:c r="C22" s="19" t="n">
        <x:v>37196</x:v>
      </x:c>
      <x:c r="D22" s="46"/>
      <x:c r="E22" s="52"/>
      <x:c r="F22" s="46"/>
      <x:c r="G22" s="46"/>
      <x:c r="H22" s="52"/>
      <x:c r="I22" s="52"/>
      <x:c r="J22" s="52"/>
      <x:c r="K22" s="52"/>
      <x:c r="L22" s="52"/>
      <x:c r="M22" s="52"/>
      <x:c r="N22" s="52"/>
      <x:c r="O22" s="46" t="n">
        <x:v>90.9585</x:v>
      </x:c>
      <x:c r="P22" s="52" t="n">
        <x:v>-11.676997300240352</x:v>
      </x:c>
      <x:c r="Q22" s="46"/>
      <x:c r="R22" s="52"/>
      <x:c r="S22" s="58"/>
      <x:c r="T22" s="52"/>
      <x:c r="U22" s="52" t="n">
        <x:v>22.95</x:v>
      </x:c>
      <x:c r="V22" s="52" t="n">
        <x:v>-1.6099999999999994</x:v>
      </x:c>
      <x:c r="W22" s="46" t="n">
        <x:v>18.92</x:v>
      </x:c>
      <x:c r="X22" s="52" t="n">
        <x:v>-34.81823238930787</x:v>
      </x:c>
    </x:row>
    <x:row r="23">
      <x:c r="C23" s="19" t="n">
        <x:v>37226</x:v>
      </x:c>
      <x:c r="D23" s="46"/>
      <x:c r="E23" s="52"/>
      <x:c r="F23" s="46"/>
      <x:c r="G23" s="46"/>
      <x:c r="H23" s="52"/>
      <x:c r="I23" s="52"/>
      <x:c r="J23" s="52"/>
      <x:c r="K23" s="52"/>
      <x:c r="L23" s="52"/>
      <x:c r="M23" s="52"/>
      <x:c r="N23" s="52"/>
      <x:c r="O23" s="46" t="n">
        <x:v>89.0333</x:v>
      </x:c>
      <x:c r="P23" s="52" t="n">
        <x:v>-6.599316796290315</x:v>
      </x:c>
      <x:c r="Q23" s="46"/>
      <x:c r="R23" s="52"/>
      <x:c r="S23" s="58"/>
      <x:c r="T23" s="52"/>
      <x:c r="U23" s="52" t="n">
        <x:v>20.23</x:v>
      </x:c>
      <x:c r="V23" s="52" t="n">
        <x:v>-5.690000000000001</x:v>
      </x:c>
      <x:c r="W23" s="46" t="n">
        <x:v>19.35</x:v>
      </x:c>
      <x:c r="X23" s="52" t="n">
        <x:v>-12.24234152128857</x:v>
      </x:c>
    </x:row>
    <x:row r="24">
      <x:c r="C24" s="19" t="n">
        <x:v>37257</x:v>
      </x:c>
      <x:c r="D24" s="46"/>
      <x:c r="E24" s="52"/>
      <x:c r="F24" s="46"/>
      <x:c r="G24" s="46"/>
      <x:c r="H24" s="52"/>
      <x:c r="I24" s="52"/>
      <x:c r="J24" s="52"/>
      <x:c r="K24" s="52"/>
      <x:c r="L24" s="52"/>
      <x:c r="M24" s="52"/>
      <x:c r="N24" s="52"/>
      <x:c r="O24" s="46" t="n">
        <x:v>88.3089</x:v>
      </x:c>
      <x:c r="P24" s="52" t="n">
        <x:v>-2.348190885440123</x:v>
      </x:c>
      <x:c r="Q24" s="46"/>
      <x:c r="R24" s="52"/>
      <x:c r="S24" s="58"/>
      <x:c r="T24" s="52"/>
      <x:c r="U24" s="52" t="n">
        <x:v>20.21</x:v>
      </x:c>
      <x:c r="V24" s="52" t="n">
        <x:v>-4.34</x:v>
      </x:c>
      <x:c r="W24" s="46" t="n">
        <x:v>19.07</x:v>
      </x:c>
      <x:c r="X24" s="52" t="n">
        <x:v>-2.894258867604192</x:v>
      </x:c>
    </x:row>
    <x:row r="25">
      <x:c r="C25" s="19" t="n">
        <x:v>37288</x:v>
      </x:c>
      <x:c r="D25" s="46"/>
      <x:c r="E25" s="52"/>
      <x:c r="F25" s="46"/>
      <x:c r="G25" s="46"/>
      <x:c r="H25" s="52"/>
      <x:c r="I25" s="52"/>
      <x:c r="J25" s="52"/>
      <x:c r="K25" s="52"/>
      <x:c r="L25" s="52"/>
      <x:c r="M25" s="52"/>
      <x:c r="N25" s="52"/>
      <x:c r="O25" s="46" t="n">
        <x:v>90.4756</x:v>
      </x:c>
      <x:c r="P25" s="52" t="n">
        <x:v>-0.5323157447112052</x:v>
      </x:c>
      <x:c r="Q25" s="46"/>
      <x:c r="R25" s="52"/>
      <x:c r="S25" s="58"/>
      <x:c r="T25" s="52"/>
      <x:c r="U25" s="52" t="n">
        <x:v>18.72</x:v>
      </x:c>
      <x:c r="V25" s="52" t="n">
        <x:v>-4.23</x:v>
      </x:c>
      <x:c r="W25" s="46" t="n">
        <x:v>20.73</x:v>
      </x:c>
      <x:c r="X25" s="52" t="n">
        <x:v>9.136236282395602</x:v>
      </x:c>
    </x:row>
    <x:row r="26">
      <x:c r="C26" s="19" t="n">
        <x:v>37316</x:v>
      </x:c>
      <x:c r="D26" s="46"/>
      <x:c r="E26" s="52"/>
      <x:c r="F26" s="46"/>
      <x:c r="G26" s="46"/>
      <x:c r="H26" s="52"/>
      <x:c r="I26" s="52"/>
      <x:c r="J26" s="52"/>
      <x:c r="K26" s="52"/>
      <x:c r="L26" s="52"/>
      <x:c r="M26" s="52"/>
      <x:c r="N26" s="52"/>
      <x:c r="O26" s="46" t="n">
        <x:v>99.5878</x:v>
      </x:c>
      <x:c r="P26" s="52" t="n">
        <x:v>11.202921007208367</x:v>
      </x:c>
      <x:c r="Q26" s="46"/>
      <x:c r="R26" s="52"/>
      <x:c r="S26" s="58"/>
      <x:c r="T26" s="52"/>
      <x:c r="U26" s="52" t="n">
        <x:v>18.33</x:v>
      </x:c>
      <x:c r="V26" s="52" t="n">
        <x:v>-1.9000000000000021</x:v>
      </x:c>
      <x:c r="W26" s="46" t="n">
        <x:v>25.34</x:v>
      </x:c>
      <x:c r="X26" s="52" t="n">
        <x:v>26.969175541720205</x:v>
      </x:c>
    </x:row>
    <x:row r="27">
      <x:c r="C27" s="19" t="n">
        <x:v>37347</x:v>
      </x:c>
      <x:c r="D27" s="46"/>
      <x:c r="E27" s="52"/>
      <x:c r="F27" s="46"/>
      <x:c r="G27" s="46"/>
      <x:c r="H27" s="52"/>
      <x:c r="I27" s="52"/>
      <x:c r="J27" s="52"/>
      <x:c r="K27" s="52"/>
      <x:c r="L27" s="52"/>
      <x:c r="M27" s="52"/>
      <x:c r="N27" s="52"/>
      <x:c r="O27" s="46" t="n">
        <x:v>99.4308</x:v>
      </x:c>
      <x:c r="P27" s="52" t="n">
        <x:v>11.862102953837647</x:v>
      </x:c>
      <x:c r="Q27" s="46"/>
      <x:c r="R27" s="52"/>
      <x:c r="S27" s="58"/>
      <x:c r="T27" s="52"/>
      <x:c r="U27" s="52" t="n">
        <x:v>19.79</x:v>
      </x:c>
      <x:c r="V27" s="52" t="n">
        <x:v>-0.4200000000000017</x:v>
      </x:c>
      <x:c r="W27" s="46" t="n">
        <x:v>26.98</x:v>
      </x:c>
      <x:c r="X27" s="52" t="n">
        <x:v>34.69794311672821</x:v>
      </x:c>
    </x:row>
    <x:row r="28">
      <x:c r="C28" s="19" t="n">
        <x:v>37377</x:v>
      </x:c>
      <x:c r="D28" s="46"/>
      <x:c r="E28" s="52"/>
      <x:c r="F28" s="46"/>
      <x:c r="G28" s="46"/>
      <x:c r="H28" s="52"/>
      <x:c r="I28" s="52"/>
      <x:c r="J28" s="52"/>
      <x:c r="K28" s="52"/>
      <x:c r="L28" s="52"/>
      <x:c r="M28" s="52"/>
      <x:c r="N28" s="52"/>
      <x:c r="O28" s="46" t="n">
        <x:v>97.7548</x:v>
      </x:c>
      <x:c r="P28" s="52" t="n">
        <x:v>7.738210142518325</x:v>
      </x:c>
      <x:c r="Q28" s="46"/>
      <x:c r="R28" s="52"/>
      <x:c r="S28" s="58"/>
      <x:c r="T28" s="52"/>
      <x:c r="U28" s="52" t="n">
        <x:v>19.9</x:v>
      </x:c>
      <x:c r="V28" s="52" t="n">
        <x:v>1.1799999999999997</x:v>
      </x:c>
      <x:c r="W28" s="46" t="n">
        <x:v>23.87</x:v>
      </x:c>
      <x:c r="X28" s="52" t="n">
        <x:v>14.104051390305056</x:v>
      </x:c>
    </x:row>
    <x:row r="29">
      <x:c r="C29" s="19" t="n">
        <x:v>37408</x:v>
      </x:c>
      <x:c r="D29" s="46"/>
      <x:c r="E29" s="52"/>
      <x:c r="F29" s="46"/>
      <x:c r="G29" s="46"/>
      <x:c r="H29" s="52"/>
      <x:c r="I29" s="52"/>
      <x:c r="J29" s="52"/>
      <x:c r="K29" s="52"/>
      <x:c r="L29" s="52"/>
      <x:c r="M29" s="52"/>
      <x:c r="N29" s="52"/>
      <x:c r="O29" s="46" t="n">
        <x:v>99.5183</x:v>
      </x:c>
      <x:c r="P29" s="52" t="n">
        <x:v>-0.06981202768041418</x:v>
      </x:c>
      <x:c r="Q29" s="46"/>
      <x:c r="R29" s="52"/>
      <x:c r="S29" s="58"/>
      <x:c r="T29" s="52"/>
      <x:c r="U29" s="52" t="n">
        <x:v>26.21</x:v>
      </x:c>
      <x:c r="V29" s="52" t="n">
        <x:v>7.880000000000003</x:v>
      </x:c>
      <x:c r="W29" s="46" t="n">
        <x:v>25.33</x:v>
      </x:c>
      <x:c r="X29" s="52" t="n">
        <x:v>-0.03947108794092105</x:v>
      </x:c>
    </x:row>
    <x:row r="30">
      <x:c r="C30" s="19" t="n">
        <x:v>37438</x:v>
      </x:c>
      <x:c r="D30" s="46"/>
      <x:c r="E30" s="52"/>
      <x:c r="F30" s="46"/>
      <x:c r="G30" s="46"/>
      <x:c r="H30" s="52"/>
      <x:c r="I30" s="52"/>
      <x:c r="J30" s="52"/>
      <x:c r="K30" s="52"/>
      <x:c r="L30" s="52"/>
      <x:c r="M30" s="52"/>
      <x:c r="N30" s="52"/>
      <x:c r="O30" s="46" t="n">
        <x:v>98.8263</x:v>
      </x:c>
      <x:c r="P30" s="52" t="n">
        <x:v>-0.6098161158643539</x:v>
      </x:c>
      <x:c r="Q30" s="46"/>
      <x:c r="R30" s="52"/>
      <x:c r="S30" s="58"/>
      <x:c r="T30" s="52"/>
      <x:c r="U30" s="52" t="n">
        <x:v>29.01</x:v>
      </x:c>
      <x:c r="V30" s="52" t="n">
        <x:v>9.220000000000002</x:v>
      </x:c>
      <x:c r="W30" s="46" t="n">
        <x:v>26.28</x:v>
      </x:c>
      <x:c r="X30" s="52" t="n">
        <x:v>-2.628765716320005</x:v>
      </x:c>
    </x:row>
    <x:row r="31">
      <x:c r="C31" s="19" t="n">
        <x:v>37469</x:v>
      </x:c>
      <x:c r="D31" s="46"/>
      <x:c r="E31" s="52"/>
      <x:c r="F31" s="46"/>
      <x:c r="G31" s="46"/>
      <x:c r="H31" s="52"/>
      <x:c r="I31" s="52"/>
      <x:c r="J31" s="52"/>
      <x:c r="K31" s="52"/>
      <x:c r="L31" s="52"/>
      <x:c r="M31" s="52"/>
      <x:c r="N31" s="52"/>
      <x:c r="O31" s="46" t="n">
        <x:v>102.5808</x:v>
      </x:c>
      <x:c r="P31" s="52" t="n">
        <x:v>4.81884782026932</x:v>
      </x:c>
      <x:c r="Q31" s="46"/>
      <x:c r="R31" s="52"/>
      <x:c r="S31" s="58"/>
      <x:c r="T31" s="52"/>
      <x:c r="U31" s="52" t="n">
        <x:v>23.42</x:v>
      </x:c>
      <x:c r="V31" s="52" t="n">
        <x:v>3.520000000000003</x:v>
      </x:c>
      <x:c r="W31" s="46" t="n">
        <x:v>27.56</x:v>
      </x:c>
      <x:c r="X31" s="52" t="n">
        <x:v>14.374300579471901</x:v>
      </x:c>
    </x:row>
    <x:row r="32">
      <x:c r="C32" s="19" t="n">
        <x:v>37500</x:v>
      </x:c>
      <x:c r="D32" s="46"/>
      <x:c r="E32" s="52"/>
      <x:c r="F32" s="46"/>
      <x:c r="G32" s="46"/>
      <x:c r="H32" s="52"/>
      <x:c r="I32" s="52"/>
      <x:c r="J32" s="52"/>
      <x:c r="K32" s="52"/>
      <x:c r="L32" s="52"/>
      <x:c r="M32" s="52"/>
      <x:c r="N32" s="52"/>
      <x:c r="O32" s="46" t="n">
        <x:v>106.2943</x:v>
      </x:c>
      <x:c r="P32" s="52" t="n">
        <x:v>6.587011523377612</x:v>
      </x:c>
      <x:c r="Q32" s="46"/>
      <x:c r="R32" s="52"/>
      <x:c r="S32" s="58"/>
      <x:c r="T32" s="52"/>
      <x:c r="U32" s="52" t="n">
        <x:v>29.94</x:v>
      </x:c>
      <x:c r="V32" s="52" t="n">
        <x:v>3.7300000000000004</x:v>
      </x:c>
      <x:c r="W32" s="46" t="n">
        <x:v>29.11</x:v>
      </x:c>
      <x:c r="X32" s="52" t="n">
        <x:v>13.909229374394801</x:v>
      </x:c>
    </x:row>
    <x:row r="33">
      <x:c r="C33" s="19" t="n">
        <x:v>37530</x:v>
      </x:c>
      <x:c r="D33" s="46"/>
      <x:c r="E33" s="52"/>
      <x:c r="F33" s="46"/>
      <x:c r="G33" s="46"/>
      <x:c r="H33" s="52"/>
      <x:c r="I33" s="52"/>
      <x:c r="J33" s="52"/>
      <x:c r="K33" s="52"/>
      <x:c r="L33" s="52"/>
      <x:c r="M33" s="52"/>
      <x:c r="N33" s="52"/>
      <x:c r="O33" s="46" t="n">
        <x:v>105.0528</x:v>
      </x:c>
      <x:c r="P33" s="52" t="n">
        <x:v>6.109931724771562</x:v>
      </x:c>
      <x:c r="Q33" s="46"/>
      <x:c r="R33" s="52"/>
      <x:c r="S33" s="58"/>
      <x:c r="T33" s="52"/>
      <x:c r="U33" s="52" t="n">
        <x:v>29.7</x:v>
      </x:c>
      <x:c r="V33" s="52" t="n">
        <x:v>0.6899999999999977</x:v>
      </x:c>
      <x:c r="W33" s="46" t="n">
        <x:v>25.51</x:v>
      </x:c>
      <x:c r="X33" s="52" t="n">
        <x:v>-2.973766146268969</x:v>
      </x:c>
    </x:row>
    <x:row r="34">
      <x:c r="C34" s="19" t="n">
        <x:v>37561</x:v>
      </x:c>
      <x:c r="D34" s="46"/>
      <x:c r="E34" s="52"/>
      <x:c r="F34" s="46"/>
      <x:c r="G34" s="46"/>
      <x:c r="H34" s="52"/>
      <x:c r="I34" s="52"/>
      <x:c r="J34" s="52"/>
      <x:c r="K34" s="52"/>
      <x:c r="L34" s="52"/>
      <x:c r="M34" s="52"/>
      <x:c r="N34" s="52"/>
      <x:c r="O34" s="46" t="n">
        <x:v>105.2467</x:v>
      </x:c>
      <x:c r="P34" s="52" t="n">
        <x:v>2.5656337429807237</x:v>
      </x:c>
      <x:c r="Q34" s="46"/>
      <x:c r="R34" s="52"/>
      <x:c r="S34" s="58"/>
      <x:c r="T34" s="52"/>
      <x:c r="U34" s="52" t="n">
        <x:v>30.9</x:v>
      </x:c>
      <x:c r="V34" s="52" t="n">
        <x:v>7.479999999999997</x:v>
      </x:c>
      <x:c r="W34" s="46" t="n">
        <x:v>25.74</x:v>
      </x:c>
      <x:c r="X34" s="52" t="n">
        <x:v>-6.83192439774772</x:v>
      </x:c>
    </x:row>
    <x:row r="35">
      <x:c r="C35" s="19" t="n">
        <x:v>37591</x:v>
      </x:c>
      <x:c r="D35" s="46"/>
      <x:c r="E35" s="52"/>
      <x:c r="F35" s="46"/>
      <x:c r="G35" s="46"/>
      <x:c r="H35" s="52"/>
      <x:c r="I35" s="52"/>
      <x:c r="J35" s="52"/>
      <x:c r="K35" s="52"/>
      <x:c r="L35" s="52"/>
      <x:c r="M35" s="52"/>
      <x:c r="N35" s="52"/>
      <x:c r="O35" s="46" t="n">
        <x:v>110.2756</x:v>
      </x:c>
      <x:c r="P35" s="52" t="n">
        <x:v>3.6771024834120967</x:v>
      </x:c>
      <x:c r="Q35" s="46"/>
      <x:c r="R35" s="52"/>
      <x:c r="S35" s="58"/>
      <x:c r="T35" s="52"/>
      <x:c r="U35" s="52" t="n">
        <x:v>29.07</x:v>
      </x:c>
      <x:c r="V35" s="52" t="n">
        <x:v>-0.870000000000001</x:v>
      </x:c>
      <x:c r="W35" s="46" t="n">
        <x:v>30.12</x:v>
      </x:c>
      <x:c r="X35" s="52" t="n">
        <x:v>3.410764517416103</x:v>
      </x:c>
    </x:row>
    <x:row r="36">
      <x:c r="C36" s="19" t="n">
        <x:v>37622</x:v>
      </x:c>
      <x:c r="D36" s="46"/>
      <x:c r="E36" s="52"/>
      <x:c r="F36" s="46"/>
      <x:c r="G36" s="46"/>
      <x:c r="H36" s="52"/>
      <x:c r="I36" s="52"/>
      <x:c r="J36" s="52"/>
      <x:c r="K36" s="52"/>
      <x:c r="L36" s="52"/>
      <x:c r="M36" s="52"/>
      <x:c r="N36" s="52"/>
      <x:c r="O36" s="46" t="n">
        <x:v>118.6439</x:v>
      </x:c>
      <x:c r="P36" s="52" t="n">
        <x:v>12.166348893492001</x:v>
      </x:c>
      <x:c r="Q36" s="46"/>
      <x:c r="R36" s="52"/>
      <x:c r="S36" s="58"/>
      <x:c r="T36" s="52"/>
      <x:c r="U36" s="52" t="n">
        <x:v>29.13</x:v>
      </x:c>
      <x:c r="V36" s="52" t="n">
        <x:v>-0.5700000000000003</x:v>
      </x:c>
      <x:c r="W36" s="46" t="n">
        <x:v>31.57</x:v>
      </x:c>
      <x:c r="X36" s="52" t="n">
        <x:v>21.31367704161801</x:v>
      </x:c>
    </x:row>
    <x:row r="37">
      <x:c r="C37" s="19" t="n">
        <x:v>37653</x:v>
      </x:c>
      <x:c r="D37" s="46"/>
      <x:c r="E37" s="52"/>
      <x:c r="F37" s="46"/>
      <x:c r="G37" s="46"/>
      <x:c r="H37" s="52"/>
      <x:c r="I37" s="52"/>
      <x:c r="J37" s="52"/>
      <x:c r="K37" s="52"/>
      <x:c r="L37" s="52"/>
      <x:c r="M37" s="52"/>
      <x:c r="N37" s="52"/>
      <x:c r="O37" s="46" t="n">
        <x:v>122.5258</x:v>
      </x:c>
      <x:c r="P37" s="52" t="n">
        <x:v>15.201450190232782</x:v>
      </x:c>
      <x:c r="Q37" s="46"/>
      <x:c r="R37" s="52"/>
      <x:c r="S37" s="58"/>
      <x:c r="T37" s="52"/>
      <x:c r="U37" s="52" t="n">
        <x:v>29.24</x:v>
      </x:c>
      <x:c r="V37" s="52" t="n">
        <x:v>-1.6600000000000001</x:v>
      </x:c>
      <x:c r="W37" s="46" t="n">
        <x:v>34</x:v>
      </x:c>
      <x:c r="X37" s="52" t="n">
        <x:v>27.83143224481808</x:v>
      </x:c>
    </x:row>
    <x:row r="38">
      <x:c r="C38" s="19" t="n">
        <x:v>37681</x:v>
      </x:c>
      <x:c r="D38" s="46"/>
      <x:c r="E38" s="52"/>
      <x:c r="F38" s="46"/>
      <x:c r="G38" s="46"/>
      <x:c r="H38" s="52"/>
      <x:c r="I38" s="52"/>
      <x:c r="J38" s="52"/>
      <x:c r="K38" s="52"/>
      <x:c r="L38" s="52"/>
      <x:c r="M38" s="52"/>
      <x:c r="N38" s="52"/>
      <x:c r="O38" s="46" t="n">
        <x:v>113.1709</x:v>
      </x:c>
      <x:c r="P38" s="52" t="n">
        <x:v>2.5916378664554673</x:v>
      </x:c>
      <x:c r="Q38" s="46"/>
      <x:c r="R38" s="52"/>
      <x:c r="S38" s="58"/>
      <x:c r="T38" s="52"/>
      <x:c r="U38" s="52" t="n">
        <x:v>27.14</x:v>
      </x:c>
      <x:c r="V38" s="52" t="n">
        <x:v>-1.9299999999999997</x:v>
      </x:c>
      <x:c r="W38" s="46" t="n">
        <x:v>28.05</x:v>
      </x:c>
      <x:c r="X38" s="52" t="n">
        <x:v>-7.120077096298756</x:v>
      </x:c>
    </x:row>
    <x:row r="39">
      <x:c r="C39" s="19" t="n">
        <x:v>37712</x:v>
      </x:c>
      <x:c r="D39" s="46"/>
      <x:c r="E39" s="52"/>
      <x:c r="F39" s="46"/>
      <x:c r="G39" s="46"/>
      <x:c r="H39" s="52"/>
      <x:c r="I39" s="52"/>
      <x:c r="J39" s="52"/>
      <x:c r="K39" s="52"/>
      <x:c r="L39" s="52"/>
      <x:c r="M39" s="52"/>
      <x:c r="N39" s="52"/>
      <x:c r="O39" s="46" t="n">
        <x:v>112.3595</x:v>
      </x:c>
      <x:c r="P39" s="52" t="n">
        <x:v>-5.442301760107497</x:v>
      </x:c>
      <x:c r="Q39" s="46"/>
      <x:c r="R39" s="52"/>
      <x:c r="S39" s="58"/>
      <x:c r="T39" s="52"/>
      <x:c r="U39" s="52" t="n">
        <x:v>23.96</x:v>
      </x:c>
      <x:c r="V39" s="52" t="n">
        <x:v>-5.169999999999998</x:v>
      </x:c>
      <x:c r="W39" s="46" t="n">
        <x:v>23.6</x:v>
      </x:c>
      <x:c r="X39" s="52" t="n">
        <x:v>-29.096059053833578</x:v>
      </x:c>
    </x:row>
    <x:row r="40">
      <x:c r="C40" s="19" t="n">
        <x:v>37742</x:v>
      </x:c>
      <x:c r="D40" s="46"/>
      <x:c r="E40" s="52"/>
      <x:c r="F40" s="46"/>
      <x:c r="G40" s="46"/>
      <x:c r="H40" s="52"/>
      <x:c r="I40" s="52"/>
      <x:c r="J40" s="52"/>
      <x:c r="K40" s="52"/>
      <x:c r="L40" s="52"/>
      <x:c r="M40" s="52"/>
      <x:c r="N40" s="52"/>
      <x:c r="O40" s="46" t="n">
        <x:v>118.8213</x:v>
      </x:c>
      <x:c r="P40" s="52" t="n">
        <x:v>-3.0700936267253347</x:v>
      </x:c>
      <x:c r="Q40" s="46"/>
      <x:c r="R40" s="52"/>
      <x:c r="S40" s="58"/>
      <x:c r="T40" s="52"/>
      <x:c r="U40" s="52" t="n">
        <x:v>23.53</x:v>
      </x:c>
      <x:c r="V40" s="52" t="n">
        <x:v>-5.709999999999997</x:v>
      </x:c>
      <x:c r="W40" s="46" t="n">
        <x:v>26.58</x:v>
      </x:c>
      <x:c r="X40" s="52" t="n">
        <x:v>-24.620147133106215</x:v>
      </x:c>
    </x:row>
    <x:row r="41">
      <x:c r="C41" s="19" t="n">
        <x:v>37773</x:v>
      </x:c>
      <x:c r="D41" s="46"/>
      <x:c r="E41" s="52"/>
      <x:c r="F41" s="46"/>
      <x:c r="G41" s="46"/>
      <x:c r="H41" s="52"/>
      <x:c r="I41" s="52"/>
      <x:c r="J41" s="52"/>
      <x:c r="K41" s="52"/>
      <x:c r="L41" s="52"/>
      <x:c r="M41" s="52"/>
      <x:c r="N41" s="52"/>
      <x:c r="O41" s="46" t="n">
        <x:v>115.7878</x:v>
      </x:c>
      <x:c r="P41" s="52" t="n">
        <x:v>2.2860139946191214</x:v>
      </x:c>
      <x:c r="Q41" s="46"/>
      <x:c r="R41" s="52"/>
      <x:c r="S41" s="58"/>
      <x:c r="T41" s="52"/>
      <x:c r="U41" s="52" t="n">
        <x:v>21.98</x:v>
      </x:c>
      <x:c r="V41" s="52" t="n">
        <x:v>-5.16</x:v>
      </x:c>
      <x:c r="W41" s="46" t="n">
        <x:v>28.88</x:v>
      </x:c>
      <x:c r="X41" s="52" t="n">
        <x:v>2.9160682055920115</x:v>
      </x:c>
    </x:row>
    <x:row r="42">
      <x:c r="C42" s="19" t="n">
        <x:v>37803</x:v>
      </x:c>
      <x:c r="D42" s="46"/>
      <x:c r="E42" s="52"/>
      <x:c r="F42" s="46"/>
      <x:c r="G42" s="46"/>
      <x:c r="H42" s="52"/>
      <x:c r="I42" s="52"/>
      <x:c r="J42" s="52"/>
      <x:c r="K42" s="52"/>
      <x:c r="L42" s="52"/>
      <x:c r="M42" s="52"/>
      <x:c r="N42" s="52"/>
      <x:c r="O42" s="46" t="n">
        <x:v>116.3948</x:v>
      </x:c>
      <x:c r="P42" s="52" t="n">
        <x:v>3.5284308515984706</x:v>
      </x:c>
      <x:c r="Q42" s="46"/>
      <x:c r="R42" s="52"/>
      <x:c r="S42" s="58"/>
      <x:c r="T42" s="52"/>
      <x:c r="U42" s="52" t="n">
        <x:v>21.32</x:v>
      </x:c>
      <x:c r="V42" s="52" t="n">
        <x:v>-2.6400000000000006</x:v>
      </x:c>
      <x:c r="W42" s="46" t="n">
        <x:v>28.68</x:v>
      </x:c>
      <x:c r="X42" s="52" t="n">
        <x:v>19.49533036998551</x:v>
      </x:c>
    </x:row>
    <x:row r="43">
      <x:c r="C43" s="19" t="n">
        <x:v>37834</x:v>
      </x:c>
      <x:c r="D43" s="46"/>
      <x:c r="E43" s="52"/>
      <x:c r="F43" s="46"/>
      <x:c r="G43" s="46"/>
      <x:c r="H43" s="52"/>
      <x:c r="I43" s="52"/>
      <x:c r="J43" s="52"/>
      <x:c r="K43" s="52"/>
      <x:c r="L43" s="52"/>
      <x:c r="M43" s="52"/>
      <x:c r="N43" s="52"/>
      <x:c r="O43" s="46" t="n">
        <x:v>120.8984</x:v>
      </x:c>
      <x:c r="P43" s="52" t="n">
        <x:v>1.7329839668644405</x:v>
      </x:c>
      <x:c r="Q43" s="46"/>
      <x:c r="R43" s="52"/>
      <x:c r="S43" s="58"/>
      <x:c r="T43" s="52"/>
      <x:c r="U43" s="52" t="n">
        <x:v>18.99</x:v>
      </x:c>
      <x:c r="V43" s="52" t="n">
        <x:v>-4.540000000000003</x:v>
      </x:c>
      <x:c r="W43" s="46" t="n">
        <x:v>30.38</x:v>
      </x:c>
      <x:c r="X43" s="52" t="n">
        <x:v>13.362544388252761</x:v>
      </x:c>
    </x:row>
    <x:row r="44">
      <x:c r="C44" s="19" t="n">
        <x:v>37865</x:v>
      </x:c>
      <x:c r="D44" s="46"/>
      <x:c r="E44" s="52"/>
      <x:c r="F44" s="46"/>
      <x:c r="G44" s="46"/>
      <x:c r="H44" s="52"/>
      <x:c r="I44" s="52"/>
      <x:c r="J44" s="52"/>
      <x:c r="K44" s="52"/>
      <x:c r="L44" s="52"/>
      <x:c r="M44" s="52"/>
      <x:c r="N44" s="52"/>
      <x:c r="O44" s="46" t="n">
        <x:v>120.8978</x:v>
      </x:c>
      <x:c r="P44" s="52" t="n">
        <x:v>4.318635506823145</x:v>
      </x:c>
      <x:c r="Q44" s="46"/>
      <x:c r="R44" s="52"/>
      <x:c r="S44" s="58"/>
      <x:c r="T44" s="52"/>
      <x:c r="U44" s="52" t="n">
        <x:v>18.06</x:v>
      </x:c>
      <x:c r="V44" s="52" t="n">
        <x:v>-3.9200000000000017</x:v>
      </x:c>
      <x:c r="W44" s="46" t="n">
        <x:v>28.09</x:v>
      </x:c>
      <x:c r="X44" s="52" t="n">
        <x:v>-2.773567290847317</x:v>
      </x:c>
    </x:row>
    <x:row r="45">
      <x:c r="C45" s="19" t="n">
        <x:v>37895</x:v>
      </x:c>
      <x:c r="D45" s="46"/>
      <x:c r="E45" s="52"/>
      <x:c r="F45" s="46"/>
      <x:c r="G45" s="46"/>
      <x:c r="H45" s="52"/>
      <x:c r="I45" s="52"/>
      <x:c r="J45" s="52"/>
      <x:c r="K45" s="52"/>
      <x:c r="L45" s="52"/>
      <x:c r="M45" s="52"/>
      <x:c r="N45" s="52"/>
      <x:c r="O45" s="46" t="n">
        <x:v>126.5708</x:v>
      </x:c>
      <x:c r="P45" s="52" t="n">
        <x:v>8.38139746375552</x:v>
      </x:c>
      <x:c r="Q45" s="46"/>
      <x:c r="R45" s="52"/>
      <x:c r="S45" s="58"/>
      <x:c r="T45" s="52"/>
      <x:c r="U45" s="52" t="n">
        <x:v>17.59</x:v>
      </x:c>
      <x:c r="V45" s="52" t="n">
        <x:v>-3.7300000000000004</x:v>
      </x:c>
      <x:c r="W45" s="46" t="n">
        <x:v>27.88</x:v>
      </x:c>
      <x:c r="X45" s="52" t="n">
        <x:v>-2.829042983909655</x:v>
      </x:c>
    </x:row>
    <x:row r="46">
      <x:c r="C46" s="19" t="n">
        <x:v>37926</x:v>
      </x:c>
      <x:c r="D46" s="46"/>
      <x:c r="E46" s="52"/>
      <x:c r="F46" s="46"/>
      <x:c r="G46" s="46"/>
      <x:c r="H46" s="52"/>
      <x:c r="I46" s="52"/>
      <x:c r="J46" s="52"/>
      <x:c r="K46" s="52"/>
      <x:c r="L46" s="52"/>
      <x:c r="M46" s="52"/>
      <x:c r="N46" s="52"/>
      <x:c r="O46" s="46" t="n">
        <x:v>126.0868</x:v>
      </x:c>
      <x:c r="P46" s="52" t="n">
        <x:v>4.202003520990921</x:v>
      </x:c>
      <x:c r="Q46" s="46"/>
      <x:c r="R46" s="52"/>
      <x:c r="S46" s="58"/>
      <x:c r="T46" s="52"/>
      <x:c r="U46" s="52" t="n">
        <x:v>16.02</x:v>
      </x:c>
      <x:c r="V46" s="52" t="n">
        <x:v>-2.969999999999999</x:v>
      </x:c>
      <x:c r="W46" s="46" t="n">
        <x:v>28.95</x:v>
      </x:c>
      <x:c r="X46" s="52" t="n">
        <x:v>-4.821429314862251</x:v>
      </x:c>
    </x:row>
    <x:row r="47">
      <x:c r="C47" s="19" t="n">
        <x:v>37956</x:v>
      </x:c>
      <x:c r="D47" s="46"/>
      <x:c r="E47" s="52"/>
      <x:c r="F47" s="46"/>
      <x:c r="G47" s="46"/>
      <x:c r="H47" s="52"/>
      <x:c r="I47" s="52"/>
      <x:c r="J47" s="52"/>
      <x:c r="K47" s="52"/>
      <x:c r="L47" s="52"/>
      <x:c r="M47" s="52"/>
      <x:c r="N47" s="52"/>
      <x:c r="O47" s="46" t="n">
        <x:v>135.2686</x:v>
      </x:c>
      <x:c r="P47" s="52" t="n">
        <x:v>11.231687077824027</x:v>
      </x:c>
      <x:c r="Q47" s="46"/>
      <x:c r="R47" s="52"/>
      <x:c r="S47" s="58"/>
      <x:c r="T47" s="52"/>
      <x:c r="U47" s="52" t="n">
        <x:v>15.88</x:v>
      </x:c>
      <x:c r="V47" s="52" t="n">
        <x:v>-2.179999999999998</x:v>
      </x:c>
      <x:c r="W47" s="46" t="n">
        <x:v>30.3</x:v>
      </x:c>
      <x:c r="X47" s="52" t="n">
        <x:v>7.573407139917111</x:v>
      </x:c>
    </x:row>
    <x:row r="48">
      <x:c r="C48" s="19" t="n">
        <x:v>37987</x:v>
      </x:c>
      <x:c r="D48" s="46"/>
      <x:c r="E48" s="52"/>
      <x:c r="F48" s="46"/>
      <x:c r="G48" s="46"/>
      <x:c r="H48" s="52"/>
      <x:c r="I48" s="52"/>
      <x:c r="J48" s="52"/>
      <x:c r="K48" s="52"/>
      <x:c r="L48" s="52"/>
      <x:c r="M48" s="52"/>
      <x:c r="N48" s="52"/>
      <x:c r="O48" s="46" t="n">
        <x:v>137.6197</x:v>
      </x:c>
      <x:c r="P48" s="52" t="n">
        <x:v>8.369224845876621</x:v>
      </x:c>
      <x:c r="Q48" s="46"/>
      <x:c r="R48" s="52"/>
      <x:c r="S48" s="58"/>
      <x:c r="T48" s="52"/>
      <x:c r="U48" s="52" t="n">
        <x:v>15.73</x:v>
      </x:c>
      <x:c r="V48" s="52" t="n">
        <x:v>-1.8599999999999994</x:v>
      </x:c>
      <x:c r="W48" s="46" t="n">
        <x:v>29.53</x:v>
      </x:c>
      <x:c r="X48" s="52" t="n">
        <x:v>5.749710986350829</x:v>
      </x:c>
    </x:row>
    <x:row r="49">
      <x:c r="C49" s="19" t="n">
        <x:v>38018</x:v>
      </x:c>
      <x:c r="D49" s="46"/>
      <x:c r="E49" s="52"/>
      <x:c r="F49" s="46"/>
      <x:c r="G49" s="46"/>
      <x:c r="H49" s="52"/>
      <x:c r="I49" s="52"/>
      <x:c r="J49" s="52"/>
      <x:c r="K49" s="52"/>
      <x:c r="L49" s="52"/>
      <x:c r="M49" s="52"/>
      <x:c r="N49" s="52"/>
      <x:c r="O49" s="46" t="n">
        <x:v>146.4448</x:v>
      </x:c>
      <x:c r="P49" s="52" t="n">
        <x:v>14.967800697904348</x:v>
      </x:c>
      <x:c r="Q49" s="46"/>
      <x:c r="R49" s="52"/>
      <x:c r="S49" s="58"/>
      <x:c r="T49" s="52"/>
      <x:c r="U49" s="52" t="n">
        <x:v>15.73</x:v>
      </x:c>
      <x:c r="V49" s="52" t="n">
        <x:v>-0.28999999999999915</x:v>
      </x:c>
      <x:c r="W49" s="46" t="n">
        <x:v>32.94</x:v>
      </x:c>
      <x:c r="X49" s="52" t="n">
        <x:v>12.911752073048998</x:v>
      </x:c>
    </x:row>
    <x:row r="50">
      <x:c r="C50" s="19" t="n">
        <x:v>38047</x:v>
      </x:c>
      <x:c r="D50" s="46"/>
      <x:c r="E50" s="52"/>
      <x:c r="F50" s="46"/>
      <x:c r="G50" s="46"/>
      <x:c r="H50" s="52"/>
      <x:c r="I50" s="52"/>
      <x:c r="J50" s="52"/>
      <x:c r="K50" s="52"/>
      <x:c r="L50" s="52"/>
      <x:c r="M50" s="52"/>
      <x:c r="N50" s="52"/>
      <x:c r="O50" s="46" t="n">
        <x:v>150.8372</x:v>
      </x:c>
      <x:c r="P50" s="52" t="n">
        <x:v>10.893867812589093</x:v>
      </x:c>
      <x:c r="Q50" s="46"/>
      <x:c r="R50" s="52"/>
      <x:c r="S50" s="58"/>
      <x:c r="T50" s="52"/>
      <x:c r="U50" s="52" t="n">
        <x:v>15.24</x:v>
      </x:c>
      <x:c r="V50" s="52" t="n">
        <x:v>-0.6400000000000006</x:v>
      </x:c>
      <x:c r="W50" s="46" t="n">
        <x:v>32.29</x:v>
      </x:c>
      <x:c r="X50" s="52" t="n">
        <x:v>6.3609872254860385</x:v>
      </x:c>
    </x:row>
    <x:row r="51">
      <x:c r="C51" s="19" t="n">
        <x:v>38078</x:v>
      </x:c>
      <x:c r="D51" s="46"/>
      <x:c r="E51" s="52"/>
      <x:c r="F51" s="46"/>
      <x:c r="G51" s="46"/>
      <x:c r="H51" s="52"/>
      <x:c r="I51" s="52"/>
      <x:c r="J51" s="52"/>
      <x:c r="K51" s="52"/>
      <x:c r="L51" s="52"/>
      <x:c r="M51" s="52"/>
      <x:c r="N51" s="52"/>
      <x:c r="O51" s="46" t="n">
        <x:v>148.0462</x:v>
      </x:c>
      <x:c r="P51" s="52" t="n">
        <x:v>7.30303033575589</x:v>
      </x:c>
      <x:c r="Q51" s="46"/>
      <x:c r="R51" s="52"/>
      <x:c r="S51" s="58"/>
      <x:c r="T51" s="52"/>
      <x:c r="U51" s="52" t="n">
        <x:v>15.83</x:v>
      </x:c>
      <x:c r="V51" s="52" t="n">
        <x:v>0.09999999999999964</x:v>
      </x:c>
      <x:c r="W51" s="46" t="n">
        <x:v>35.23</x:v>
      </x:c>
      <x:c r="X51" s="52" t="n">
        <x:v>17.649129659731486</x:v>
      </x:c>
    </x:row>
    <x:row r="52">
      <x:c r="C52" s="19" t="n">
        <x:v>38108</x:v>
      </x:c>
      <x:c r="D52" s="46"/>
      <x:c r="E52" s="52"/>
      <x:c r="F52" s="46"/>
      <x:c r="G52" s="46"/>
      <x:c r="H52" s="52"/>
      <x:c r="I52" s="52"/>
      <x:c r="J52" s="52"/>
      <x:c r="K52" s="52"/>
      <x:c r="L52" s="52"/>
      <x:c r="M52" s="52"/>
      <x:c r="N52" s="52"/>
      <x:c r="O52" s="46" t="n">
        <x:v>150.4365</x:v>
      </x:c>
      <x:c r="P52" s="52" t="n">
        <x:v>2.6892502598048926</x:v>
      </x:c>
      <x:c r="Q52" s="46"/>
      <x:c r="R52" s="52"/>
      <x:c r="S52" s="58"/>
      <x:c r="T52" s="52"/>
      <x:c r="U52" s="52" t="n">
        <x:v>18.8</x:v>
      </x:c>
      <x:c r="V52" s="52" t="n">
        <x:v>3.0700000000000003</x:v>
      </x:c>
      <x:c r="W52" s="46" t="n">
        <x:v>37</x:v>
      </x:c>
      <x:c r="X52" s="52" t="n">
        <x:v>11.623018789473033</x:v>
      </x:c>
    </x:row>
    <x:row r="53">
      <x:c r="C53" s="19" t="n">
        <x:v>38139</x:v>
      </x:c>
      <x:c r="D53" s="46"/>
      <x:c r="E53" s="52"/>
      <x:c r="F53" s="46"/>
      <x:c r="G53" s="46"/>
      <x:c r="H53" s="52"/>
      <x:c r="I53" s="52"/>
      <x:c r="J53" s="52"/>
      <x:c r="K53" s="52"/>
      <x:c r="L53" s="52"/>
      <x:c r="M53" s="52"/>
      <x:c r="N53" s="52"/>
      <x:c r="O53" s="46" t="n">
        <x:v>144.0336</x:v>
      </x:c>
      <x:c r="P53" s="52" t="n">
        <x:v>-4.615450381106135</x:v>
      </x:c>
      <x:c r="Q53" s="46"/>
      <x:c r="R53" s="52"/>
      <x:c r="S53" s="58"/>
      <x:c r="T53" s="52"/>
      <x:c r="U53" s="52" t="n">
        <x:v>17.04</x:v>
      </x:c>
      <x:c r="V53" s="52" t="n">
        <x:v>1.799999999999999</x:v>
      </x:c>
      <x:c r="W53" s="46" t="n">
        <x:v>33.22</x:v>
      </x:c>
      <x:c r="X53" s="52" t="n">
        <x:v>2.8394519414965047</x:v>
      </x:c>
    </x:row>
    <x:row r="54">
      <x:c r="C54" s="19" t="n">
        <x:v>38169</x:v>
      </x:c>
      <x:c r="D54" s="46"/>
      <x:c r="E54" s="52"/>
      <x:c r="F54" s="46"/>
      <x:c r="G54" s="46"/>
      <x:c r="H54" s="52"/>
      <x:c r="I54" s="52"/>
      <x:c r="J54" s="52"/>
      <x:c r="K54" s="52"/>
      <x:c r="L54" s="52"/>
      <x:c r="M54" s="52"/>
      <x:c r="N54" s="52"/>
      <x:c r="O54" s="46" t="n">
        <x:v>146.4138</x:v>
      </x:c>
      <x:c r="P54" s="52" t="n">
        <x:v>-1.1087527833924382</x:v>
      </x:c>
      <x:c r="Q54" s="46"/>
      <x:c r="R54" s="52"/>
      <x:c r="S54" s="58"/>
      <x:c r="T54" s="52"/>
      <x:c r="U54" s="52" t="n">
        <x:v>17.61</x:v>
      </x:c>
      <x:c r="V54" s="52" t="n">
        <x:v>1.7799999999999994</x:v>
      </x:c>
      <x:c r="W54" s="46" t="n">
        <x:v>41.47</x:v>
      </x:c>
      <x:c r="X54" s="52" t="n">
        <x:v>16.30722819051437</x:v>
      </x:c>
    </x:row>
    <x:row r="55">
      <x:c r="C55" s="19" t="n">
        <x:v>38200</x:v>
      </x:c>
      <x:c r="D55" s="46"/>
      <x:c r="E55" s="52"/>
      <x:c r="F55" s="46"/>
      <x:c r="G55" s="46"/>
      <x:c r="H55" s="52"/>
      <x:c r="I55" s="52"/>
      <x:c r="J55" s="52"/>
      <x:c r="K55" s="52"/>
      <x:c r="L55" s="52"/>
      <x:c r="M55" s="52"/>
      <x:c r="N55" s="52"/>
      <x:c r="O55" s="46" t="n">
        <x:v>143.5561</x:v>
      </x:c>
      <x:c r="P55" s="52" t="n">
        <x:v>-4.68151686736318</x:v>
      </x:c>
      <x:c r="Q55" s="46"/>
      <x:c r="R55" s="52"/>
      <x:c r="S55" s="58"/>
      <x:c r="T55" s="52"/>
      <x:c r="U55" s="52" t="n">
        <x:v>17.97</x:v>
      </x:c>
      <x:c r="V55" s="52" t="n">
        <x:v>-0.8300000000000018</x:v>
      </x:c>
      <x:c r="W55" s="46" t="n">
        <x:v>39.8</x:v>
      </x:c>
      <x:c r="X55" s="52" t="n">
        <x:v>7.294899964616748</x:v>
      </x:c>
    </x:row>
    <x:row r="56">
      <x:c r="C56" s="19" t="n">
        <x:v>38231</x:v>
      </x:c>
      <x:c r="D56" s="46"/>
      <x:c r="E56" s="52"/>
      <x:c r="F56" s="46"/>
      <x:c r="G56" s="46"/>
      <x:c r="H56" s="52"/>
      <x:c r="I56" s="52"/>
      <x:c r="J56" s="52"/>
      <x:c r="K56" s="52"/>
      <x:c r="L56" s="52"/>
      <x:c r="M56" s="52"/>
      <x:c r="N56" s="52"/>
      <x:c r="O56" s="46" t="n">
        <x:v>153.1752</x:v>
      </x:c>
      <x:c r="P56" s="52" t="n">
        <x:v>6.153575861561939</x:v>
      </x:c>
      <x:c r="Q56" s="46"/>
      <x:c r="R56" s="52"/>
      <x:c r="S56" s="58"/>
      <x:c r="T56" s="52"/>
      <x:c r="U56" s="52" t="n">
        <x:v>17.41</x:v>
      </x:c>
      <x:c r="V56" s="52" t="n">
        <x:v>0.370000000000001</x:v>
      </x:c>
      <x:c r="W56" s="46" t="n">
        <x:v>47.76</x:v>
      </x:c>
      <x:c r="X56" s="52" t="n">
        <x:v>36.30363648991978</x:v>
      </x:c>
    </x:row>
    <x:row r="57">
      <x:c r="C57" s="19" t="n">
        <x:v>38261</x:v>
      </x:c>
      <x:c r="D57" s="46"/>
      <x:c r="E57" s="52"/>
      <x:c r="F57" s="46"/>
      <x:c r="G57" s="46"/>
      <x:c r="H57" s="52"/>
      <x:c r="I57" s="52"/>
      <x:c r="J57" s="52"/>
      <x:c r="K57" s="52"/>
      <x:c r="L57" s="52"/>
      <x:c r="M57" s="52"/>
      <x:c r="N57" s="52"/>
      <x:c r="O57" s="46" t="n">
        <x:v>155.5494</x:v>
      </x:c>
      <x:c r="P57" s="52" t="n">
        <x:v>6.052650667570724</x:v>
      </x:c>
      <x:c r="Q57" s="46"/>
      <x:c r="R57" s="52"/>
      <x:c r="S57" s="58"/>
      <x:c r="T57" s="52"/>
      <x:c r="U57" s="52" t="n">
        <x:v>17.92</x:v>
      </x:c>
      <x:c r="V57" s="52" t="n">
        <x:v>0.3100000000000023</x:v>
      </x:c>
      <x:c r="W57" s="46" t="n">
        <x:v>48.16</x:v>
      </x:c>
      <x:c r="X57" s="52" t="n">
        <x:v>14.955852674227563</x:v>
      </x:c>
    </x:row>
    <x:row r="58">
      <x:c r="C58" s="19" t="n">
        <x:v>38292</x:v>
      </x:c>
      <x:c r="D58" s="46"/>
      <x:c r="E58" s="52"/>
      <x:c r="F58" s="46"/>
      <x:c r="G58" s="46"/>
      <x:c r="H58" s="52"/>
      <x:c r="I58" s="52"/>
      <x:c r="J58" s="52"/>
      <x:c r="K58" s="52"/>
      <x:c r="L58" s="52"/>
      <x:c r="M58" s="52"/>
      <x:c r="N58" s="52"/>
      <x:c r="O58" s="46" t="n">
        <x:v>153.406</x:v>
      </x:c>
      <x:c r="P58" s="52" t="n">
        <x:v>6.6362102028394325</x:v>
      </x:c>
      <x:c r="Q58" s="46"/>
      <x:c r="R58" s="52"/>
      <x:c r="S58" s="58"/>
      <x:c r="T58" s="52"/>
      <x:c r="U58" s="52" t="n">
        <x:v>17.85</x:v>
      </x:c>
      <x:c r="V58" s="52" t="n">
        <x:v>-0.11999999999999744</x:v>
      </x:c>
      <x:c r="W58" s="46" t="n">
        <x:v>44.23</x:v>
      </x:c>
      <x:c r="X58" s="52" t="n">
        <x:v>10.553637958984346</x:v>
      </x:c>
    </x:row>
    <x:row r="59">
      <x:c r="C59" s="19" t="n">
        <x:v>38322</x:v>
      </x:c>
      <x:c r="D59" s="46"/>
      <x:c r="E59" s="52"/>
      <x:c r="F59" s="46"/>
      <x:c r="G59" s="46"/>
      <x:c r="H59" s="52"/>
      <x:c r="I59" s="52"/>
      <x:c r="J59" s="52"/>
      <x:c r="K59" s="52"/>
      <x:c r="L59" s="52"/>
      <x:c r="M59" s="52"/>
      <x:c r="N59" s="52"/>
      <x:c r="O59" s="46" t="n">
        <x:v>145.6045</x:v>
      </x:c>
      <x:c r="P59" s="52" t="n">
        <x:v>-5.068832242857167</x:v>
      </x:c>
      <x:c r="Q59" s="46"/>
      <x:c r="R59" s="52"/>
      <x:c r="S59" s="58"/>
      <x:c r="T59" s="52"/>
      <x:c r="U59" s="52" t="n">
        <x:v>17.83</x:v>
      </x:c>
      <x:c r="V59" s="52" t="n">
        <x:v>0.41999999999999815</x:v>
      </x:c>
      <x:c r="W59" s="46" t="n">
        <x:v>40.38</x:v>
      </x:c>
      <x:c r="X59" s="52" t="n">
        <x:v>-16.785385619965513</x:v>
      </x:c>
    </x:row>
    <x:row r="60">
      <x:c r="C60" s="19" t="n">
        <x:v>38353</x:v>
      </x:c>
      <x:c r="D60" s="46"/>
      <x:c r="E60" s="52"/>
      <x:c r="F60" s="46"/>
      <x:c r="G60" s="46"/>
      <x:c r="H60" s="52"/>
      <x:c r="I60" s="52"/>
      <x:c r="J60" s="52"/>
      <x:c r="K60" s="52"/>
      <x:c r="L60" s="52"/>
      <x:c r="M60" s="52"/>
      <x:c r="N60" s="52"/>
      <x:c r="O60" s="46" t="n">
        <x:v>146.8208</x:v>
      </x:c>
      <x:c r="P60" s="52" t="n">
        <x:v>-5.775057053886852</x:v>
      </x:c>
      <x:c r="Q60" s="46"/>
      <x:c r="R60" s="52"/>
      <x:c r="S60" s="58"/>
      <x:c r="T60" s="52"/>
      <x:c r="U60" s="52" t="n">
        <x:v>18.83</x:v>
      </x:c>
      <x:c r="V60" s="52" t="n">
        <x:v>0.9099999999999966</x:v>
      </x:c>
      <x:c r="W60" s="46" t="n">
        <x:v>44.51</x:v>
      </x:c>
      <x:c r="X60" s="52" t="n">
        <x:v>-7.881491797280262</x:v>
      </x:c>
    </x:row>
    <x:row r="61">
      <x:c r="C61" s="19" t="n">
        <x:v>38384</x:v>
      </x:c>
      <x:c r="D61" s="46"/>
      <x:c r="E61" s="52"/>
      <x:c r="F61" s="46"/>
      <x:c r="G61" s="46"/>
      <x:c r="H61" s="52"/>
      <x:c r="I61" s="52"/>
      <x:c r="J61" s="52"/>
      <x:c r="K61" s="52"/>
      <x:c r="L61" s="52"/>
      <x:c r="M61" s="52"/>
      <x:c r="N61" s="52"/>
      <x:c r="O61" s="46" t="n">
        <x:v>156.8857</x:v>
      </x:c>
      <x:c r="P61" s="52" t="n">
        <x:v>2.242951313417031</x:v>
      </x:c>
      <x:c r="Q61" s="46"/>
      <x:c r="R61" s="52"/>
      <x:c r="S61" s="58"/>
      <x:c r="T61" s="52"/>
      <x:c r="U61" s="52" t="n">
        <x:v>18.46</x:v>
      </x:c>
      <x:c r="V61" s="52" t="n">
        <x:v>0.6099999999999994</x:v>
      </x:c>
      <x:c r="W61" s="46" t="n">
        <x:v>50.13</x:v>
      </x:c>
      <x:c r="X61" s="52" t="n">
        <x:v>12.521633939517674</x:v>
      </x:c>
    </x:row>
    <x:row r="62">
      <x:c r="C62" s="19" t="n">
        <x:v>38412</x:v>
      </x:c>
      <x:c r="D62" s="46"/>
      <x:c r="E62" s="52"/>
      <x:c r="F62" s="46"/>
      <x:c r="G62" s="46"/>
      <x:c r="H62" s="52"/>
      <x:c r="I62" s="52"/>
      <x:c r="J62" s="52"/>
      <x:c r="K62" s="52"/>
      <x:c r="L62" s="52"/>
      <x:c r="M62" s="52"/>
      <x:c r="N62" s="52"/>
      <x:c r="O62" s="46" t="n">
        <x:v>162.0939</x:v>
      </x:c>
      <x:c r="P62" s="52" t="n">
        <x:v>10.728175506325128</x:v>
      </x:c>
      <x:c r="Q62" s="46"/>
      <x:c r="R62" s="52"/>
      <x:c r="S62" s="58"/>
      <x:c r="T62" s="52"/>
      <x:c r="U62" s="52" t="n">
        <x:v>19.19</x:v>
      </x:c>
      <x:c r="V62" s="52" t="n">
        <x:v>1.360000000000003</x:v>
      </x:c>
      <x:c r="W62" s="46" t="n">
        <x:v>53.22</x:v>
      </x:c>
      <x:c r="X62" s="52" t="n">
        <x:v>27.609965266485165</x:v>
      </x:c>
    </x:row>
    <x:row r="63">
      <x:c r="C63" s="19" t="n">
        <x:v>38443</x:v>
      </x:c>
      <x:c r="D63" s="46"/>
      <x:c r="E63" s="52"/>
      <x:c r="F63" s="46"/>
      <x:c r="G63" s="46"/>
      <x:c r="H63" s="52"/>
      <x:c r="I63" s="52"/>
      <x:c r="J63" s="52"/>
      <x:c r="K63" s="52"/>
      <x:c r="L63" s="52"/>
      <x:c r="M63" s="52"/>
      <x:c r="N63" s="52"/>
      <x:c r="O63" s="46" t="n">
        <x:v>152.2941</x:v>
      </x:c>
      <x:c r="P63" s="52" t="n">
        <x:v>3.660072430373861</x:v>
      </x:c>
      <x:c r="Q63" s="46"/>
      <x:c r="R63" s="52"/>
      <x:c r="S63" s="58"/>
      <x:c r="T63" s="52"/>
      <x:c r="U63" s="52" t="n">
        <x:v>19.16</x:v>
      </x:c>
      <x:c r="V63" s="52" t="n">
        <x:v>0.33000000000000185</x:v>
      </x:c>
      <x:c r="W63" s="46" t="n">
        <x:v>50.61</x:v>
      </x:c>
      <x:c r="X63" s="52" t="n">
        <x:v>12.843530219822362</x:v>
      </x:c>
    </x:row>
    <x:row r="64">
      <x:c r="C64" s="19" t="n">
        <x:v>38473</x:v>
      </x:c>
      <x:c r="D64" s="46"/>
      <x:c r="E64" s="52"/>
      <x:c r="F64" s="46"/>
      <x:c r="G64" s="46"/>
      <x:c r="H64" s="52"/>
      <x:c r="I64" s="52"/>
      <x:c r="J64" s="52"/>
      <x:c r="K64" s="52"/>
      <x:c r="L64" s="52"/>
      <x:c r="M64" s="52"/>
      <x:c r="N64" s="52"/>
      <x:c r="O64" s="46" t="n">
        <x:v>150.7271</x:v>
      </x:c>
      <x:c r="P64" s="52" t="n">
        <x:v>-4.004659779413338</x:v>
      </x:c>
      <x:c r="Q64" s="46"/>
      <x:c r="R64" s="52"/>
      <x:c r="S64" s="58"/>
      <x:c r="T64" s="52"/>
      <x:c r="U64" s="52" t="n">
        <x:v>18.65</x:v>
      </x:c>
      <x:c r="V64" s="52" t="n">
        <x:v>0.18999999999999773</x:v>
      </x:c>
      <x:c r="W64" s="46" t="n">
        <x:v>49.3</x:v>
      </x:c>
      <x:c r="X64" s="52" t="n">
        <x:v>-1.6695550226767668</x:v>
      </x:c>
    </x:row>
    <x:row r="65">
      <x:c r="C65" s="19" t="n">
        <x:v>38504</x:v>
      </x:c>
      <x:c r="D65" s="46"/>
      <x:c r="E65" s="52"/>
      <x:c r="F65" s="46"/>
      <x:c r="G65" s="46"/>
      <x:c r="H65" s="52"/>
      <x:c r="I65" s="52"/>
      <x:c r="J65" s="52"/>
      <x:c r="K65" s="52"/>
      <x:c r="L65" s="52"/>
      <x:c r="M65" s="52"/>
      <x:c r="N65" s="52"/>
      <x:c r="O65" s="46" t="n">
        <x:v>152.8846</x:v>
      </x:c>
      <x:c r="P65" s="52" t="n">
        <x:v>-5.849240850363008</x:v>
      </x:c>
      <x:c r="Q65" s="46"/>
      <x:c r="R65" s="52"/>
      <x:c r="S65" s="58"/>
      <x:c r="T65" s="52"/>
      <x:c r="U65" s="52" t="n">
        <x:v>18.15</x:v>
      </x:c>
      <x:c r="V65" s="52" t="n">
        <x:v>-1.0400000000000027</x:v>
      </x:c>
      <x:c r="W65" s="46" t="n">
        <x:v>55.36</x:v>
      </x:c>
      <x:c r="X65" s="52" t="n">
        <x:v>3.942304575987101</x:v>
      </x:c>
    </x:row>
    <x:row r="66">
      <x:c r="C66" s="19" t="n">
        <x:v>38534</x:v>
      </x:c>
      <x:c r="D66" s="46"/>
      <x:c r="E66" s="52"/>
      <x:c r="F66" s="46"/>
      <x:c r="G66" s="46"/>
      <x:c r="H66" s="52"/>
      <x:c r="I66" s="52"/>
      <x:c r="J66" s="52"/>
      <x:c r="K66" s="52"/>
      <x:c r="L66" s="52"/>
      <x:c r="M66" s="52"/>
      <x:c r="N66" s="52"/>
      <x:c r="O66" s="46" t="n">
        <x:v>159.3296</x:v>
      </x:c>
      <x:c r="P66" s="52" t="n">
        <x:v>4.516149276603433</x:v>
      </x:c>
      <x:c r="Q66" s="46"/>
      <x:c r="R66" s="52"/>
      <x:c r="S66" s="58"/>
      <x:c r="T66" s="52"/>
      <x:c r="U66" s="52" t="n">
        <x:v>18.33</x:v>
      </x:c>
      <x:c r="V66" s="52" t="n">
        <x:v>-0.8300000000000018</x:v>
      </x:c>
      <x:c r="W66" s="46" t="n">
        <x:v>59.77</x:v>
      </x:c>
      <x:c r="X66" s="52" t="n">
        <x:v>16.635467761017622</x:v>
      </x:c>
    </x:row>
    <x:row r="67">
      <x:c r="C67" s="19" t="n">
        <x:v>38565</x:v>
      </x:c>
      <x:c r="D67" s="46"/>
      <x:c r="E67" s="52"/>
      <x:c r="F67" s="46"/>
      <x:c r="G67" s="46"/>
      <x:c r="H67" s="52"/>
      <x:c r="I67" s="52"/>
      <x:c r="J67" s="52"/>
      <x:c r="K67" s="52"/>
      <x:c r="L67" s="52"/>
      <x:c r="M67" s="52"/>
      <x:c r="N67" s="52"/>
      <x:c r="O67" s="46" t="n">
        <x:v>170.8165</x:v>
      </x:c>
      <x:c r="P67" s="52" t="n">
        <x:v>12.511896396681287</x:v>
      </x:c>
      <x:c r="Q67" s="46"/>
      <x:c r="R67" s="52"/>
      <x:c r="S67" s="58"/>
      <x:c r="T67" s="52"/>
      <x:c r="U67" s="52" t="n">
        <x:v>18.32</x:v>
      </x:c>
      <x:c r="V67" s="52" t="n">
        <x:v>-0.3299999999999983</x:v>
      </x:c>
      <x:c r="W67" s="46" t="n">
        <x:v>66.8</x:v>
      </x:c>
      <x:c r="X67" s="52" t="n">
        <x:v>30.377899949395555</x:v>
      </x:c>
    </x:row>
    <x:row r="68">
      <x:c r="C68" s="19" t="n">
        <x:v>38596</x:v>
      </x:c>
      <x:c r="D68" s="46"/>
      <x:c r="E68" s="52"/>
      <x:c r="F68" s="46"/>
      <x:c r="G68" s="46"/>
      <x:c r="H68" s="52"/>
      <x:c r="I68" s="52"/>
      <x:c r="J68" s="52"/>
      <x:c r="K68" s="52"/>
      <x:c r="L68" s="52"/>
      <x:c r="M68" s="52"/>
      <x:c r="N68" s="52"/>
      <x:c r="O68" s="46" t="n">
        <x:v>178.2486</x:v>
      </x:c>
      <x:c r="P68" s="52" t="n">
        <x:v>15.349581668809975</x:v>
      </x:c>
      <x:c r="Q68" s="46"/>
      <x:c r="R68" s="52"/>
      <x:c r="S68" s="58"/>
      <x:c r="T68" s="52"/>
      <x:c r="U68" s="52" t="n">
        <x:v>17.91</x:v>
      </x:c>
      <x:c r="V68" s="52" t="n">
        <x:v>-0.23999999999999844</x:v>
      </x:c>
      <x:c r="W68" s="46" t="n">
        <x:v>61.7</x:v>
      </x:c>
      <x:c r="X68" s="52" t="n">
        <x:v>10.842661960192803</x:v>
      </x:c>
    </x:row>
    <x:row r="69">
      <x:c r="C69" s="19" t="n">
        <x:v>38626</x:v>
      </x:c>
      <x:c r="D69" s="46"/>
      <x:c r="E69" s="52"/>
      <x:c r="F69" s="46"/>
      <x:c r="G69" s="46"/>
      <x:c r="H69" s="52"/>
      <x:c r="I69" s="52"/>
      <x:c r="J69" s="52"/>
      <x:c r="K69" s="52"/>
      <x:c r="L69" s="52"/>
      <x:c r="M69" s="52"/>
      <x:c r="N69" s="52"/>
      <x:c r="O69" s="46" t="n">
        <x:v>166.5165</x:v>
      </x:c>
      <x:c r="P69" s="52" t="n">
        <x:v>4.411939102311249</x:v>
      </x:c>
      <x:c r="Q69" s="46"/>
      <x:c r="R69" s="52"/>
      <x:c r="S69" s="58"/>
      <x:c r="T69" s="52"/>
      <x:c r="U69" s="52" t="n">
        <x:v>17.6</x:v>
      </x:c>
      <x:c r="V69" s="52" t="n">
        <x:v>-0.7299999999999969</x:v>
      </x:c>
      <x:c r="W69" s="46" t="n">
        <x:v>58.47</x:v>
      </x:c>
      <x:c r="X69" s="52" t="n">
        <x:v>-2.199006064858374</x:v>
      </x:c>
    </x:row>
    <x:row r="70">
      <x:c r="C70" s="19" t="n">
        <x:v>38657</x:v>
      </x:c>
      <x:c r="D70" s="46"/>
      <x:c r="E70" s="52"/>
      <x:c r="F70" s="46"/>
      <x:c r="G70" s="46"/>
      <x:c r="H70" s="52"/>
      <x:c r="I70" s="52"/>
      <x:c r="J70" s="52"/>
      <x:c r="K70" s="52"/>
      <x:c r="L70" s="52"/>
      <x:c r="M70" s="52"/>
      <x:c r="N70" s="52"/>
      <x:c r="O70" s="46" t="n">
        <x:v>166.4017</x:v>
      </x:c>
      <x:c r="P70" s="52" t="n">
        <x:v>-2.6185136222963776</x:v>
      </x:c>
      <x:c r="Q70" s="46"/>
      <x:c r="R70" s="52"/>
      <x:c r="S70" s="58"/>
      <x:c r="T70" s="52"/>
      <x:c r="U70" s="52" t="n">
        <x:v>16.75</x:v>
      </x:c>
      <x:c r="V70" s="52" t="n">
        <x:v>-1.5700000000000003</x:v>
      </x:c>
      <x:c r="W70" s="46" t="n">
        <x:v>53.25</x:v>
      </x:c>
      <x:c r="X70" s="52" t="n">
        <x:v>-22.67052759530655</x:v>
      </x:c>
    </x:row>
    <x:row r="71">
      <x:c r="C71" s="19" t="n">
        <x:v>38687</x:v>
      </x:c>
      <x:c r="D71" s="46"/>
      <x:c r="E71" s="52"/>
      <x:c r="F71" s="46"/>
      <x:c r="G71" s="46"/>
      <x:c r="H71" s="52"/>
      <x:c r="I71" s="52"/>
      <x:c r="J71" s="52"/>
      <x:c r="K71" s="52"/>
      <x:c r="L71" s="52"/>
      <x:c r="M71" s="52"/>
      <x:c r="N71" s="52"/>
      <x:c r="O71" s="46" t="n">
        <x:v>171.1493</x:v>
      </x:c>
      <x:c r="P71" s="52" t="n">
        <x:v>-4.064293013783373</x:v>
      </x:c>
      <x:c r="Q71" s="46"/>
      <x:c r="R71" s="52"/>
      <x:c r="S71" s="58"/>
      <x:c r="T71" s="52"/>
      <x:c r="U71" s="52" t="n">
        <x:v>16.39</x:v>
      </x:c>
      <x:c r="V71" s="52" t="n">
        <x:v>-1.5199999999999996</x:v>
      </x:c>
      <x:c r="W71" s="46" t="n">
        <x:v>58.34</x:v>
      </x:c>
      <x:c r="X71" s="52" t="n">
        <x:v>-5.599596647176681</x:v>
      </x:c>
    </x:row>
    <x:row r="72">
      <x:c r="C72" s="19" t="n">
        <x:v>38718</x:v>
      </x:c>
      <x:c r="D72" s="46" t="n">
        <x:v>3859.8472</x:v>
      </x:c>
      <x:c r="E72" s="52"/>
      <x:c r="F72" s="46"/>
      <x:c r="G72" s="46"/>
      <x:c r="H72" s="52"/>
      <x:c r="I72" s="52"/>
      <x:c r="J72" s="52"/>
      <x:c r="K72" s="52"/>
      <x:c r="L72" s="52"/>
      <x:c r="M72" s="52"/>
      <x:c r="N72" s="52"/>
      <x:c r="O72" s="46" t="n">
        <x:v>173.6687</x:v>
      </x:c>
      <x:c r="P72" s="52" t="n">
        <x:v>4.205505766046868</x:v>
      </x:c>
      <x:c r="Q72" s="46" t="n">
        <x:v>384.8498392</x:v>
      </x:c>
      <x:c r="R72" s="52"/>
      <x:c r="S72" s="58" t="n">
        <x:v>2.216</x:v>
      </x:c>
      <x:c r="T72" s="52"/>
      <x:c r="U72" s="52" t="n">
        <x:v>15.83</x:v>
      </x:c>
      <x:c r="V72" s="52" t="n">
        <x:v>-1.7700000000000014</x:v>
      </x:c>
      <x:c r="W72" s="46" t="n">
        <x:v>63.19</x:v>
      </x:c>
      <x:c r="X72" s="52" t="n">
        <x:v>7.7632258597784665</x:v>
      </x:c>
    </x:row>
    <x:row r="73">
      <x:c r="C73" s="19" t="n">
        <x:v>38749</x:v>
      </x:c>
      <x:c r="D73" s="46" t="n">
        <x:v>3877.8347</x:v>
      </x:c>
      <x:c r="E73" s="52"/>
      <x:c r="F73" s="46"/>
      <x:c r="G73" s="46"/>
      <x:c r="H73" s="52"/>
      <x:c r="I73" s="52"/>
      <x:c r="J73" s="52"/>
      <x:c r="K73" s="52"/>
      <x:c r="L73" s="52"/>
      <x:c r="M73" s="52"/>
      <x:c r="N73" s="52"/>
      <x:c r="O73" s="46" t="n">
        <x:v>162.2336</x:v>
      </x:c>
      <x:c r="P73" s="52" t="n">
        <x:v>-2.5367472788094947</x:v>
      </x:c>
      <x:c r="Q73" s="46" t="n">
        <x:v>346.4498528</x:v>
      </x:c>
      <x:c r="R73" s="52"/>
      <x:c r="S73" s="58" t="n">
        <x:v>2.1355</x:v>
      </x:c>
      <x:c r="T73" s="52"/>
      <x:c r="U73" s="52" t="n">
        <x:v>15.22</x:v>
      </x:c>
      <x:c r="V73" s="52" t="n">
        <x:v>-1.5299999999999994</x:v>
      </x:c>
      <x:c r="W73" s="46" t="n">
        <x:v>59.78</x:v>
      </x:c>
      <x:c r="X73" s="52" t="n">
        <x:v>11.567335226625737</x:v>
      </x:c>
    </x:row>
    <x:row r="74">
      <x:c r="C74" s="19" t="n">
        <x:v>38777</x:v>
      </x:c>
      <x:c r="D74" s="46" t="n">
        <x:v>3815.3765</x:v>
      </x:c>
      <x:c r="E74" s="52"/>
      <x:c r="F74" s="46"/>
      <x:c r="G74" s="46"/>
      <x:c r="H74" s="52"/>
      <x:c r="I74" s="52"/>
      <x:c r="J74" s="52"/>
      <x:c r="K74" s="52"/>
      <x:c r="L74" s="52"/>
      <x:c r="M74" s="52"/>
      <x:c r="N74" s="52"/>
      <x:c r="O74" s="46" t="n">
        <x:v>165.194</x:v>
      </x:c>
      <x:c r="P74" s="52" t="n">
        <x:v>-3.5415734173566573</x:v>
      </x:c>
      <x:c r="Q74" s="46" t="n">
        <x:v>358.8674456</x:v>
      </x:c>
      <x:c r="R74" s="52"/>
      <x:c r="S74" s="58" t="n">
        <x:v>2.1724</x:v>
      </x:c>
      <x:c r="T74" s="52"/>
      <x:c r="U74" s="52" t="n">
        <x:v>14.84</x:v>
      </x:c>
      <x:c r="V74" s="52" t="n">
        <x:v>-1.5500000000000007</x:v>
      </x:c>
      <x:c r="W74" s="46" t="n">
        <x:v>66.06</x:v>
      </x:c>
      <x:c r="X74" s="52" t="n">
        <x:v>12.427545552306828</x:v>
      </x:c>
    </x:row>
    <x:row r="75">
      <x:c r="C75" s="19" t="n">
        <x:v>38808</x:v>
      </x:c>
      <x:c r="D75" s="46" t="n">
        <x:v>3766.6218</x:v>
      </x:c>
      <x:c r="E75" s="52" t="n">
        <x:v>-2.4449071726167464</x:v>
      </x:c>
      <x:c r="F75" s="46"/>
      <x:c r="G75" s="46"/>
      <x:c r="H75" s="52"/>
      <x:c r="I75" s="52"/>
      <x:c r="J75" s="52"/>
      <x:c r="K75" s="52"/>
      <x:c r="L75" s="52"/>
      <x:c r="M75" s="52"/>
      <x:c r="N75" s="52"/>
      <x:c r="O75" s="46" t="n">
        <x:v>175.7669</x:v>
      </x:c>
      <x:c r="P75" s="52" t="n">
        <x:v>1.2009224114900314</x:v>
      </x:c>
      <x:c r="Q75" s="46" t="n">
        <x:v>367.21220747999996</x:v>
      </x:c>
      <x:c r="R75" s="52" t="n">
        <x:v>-4.691332719013061</x:v>
      </x:c>
      <x:c r="S75" s="58" t="n">
        <x:v>2.0892</x:v>
      </x:c>
      <x:c r="T75" s="52" t="n">
        <x:v>-5.8922551305030915</x:v>
      </x:c>
      <x:c r="U75" s="52" t="n">
        <x:v>14.68</x:v>
      </x:c>
      <x:c r="V75" s="52" t="n">
        <x:v>-1.1500000000000004</x:v>
      </x:c>
      <x:c r="W75" s="46" t="n">
        <x:v>72.15</x:v>
      </x:c>
      <x:c r="X75" s="52" t="n">
        <x:v>13.260122443451609</x:v>
      </x:c>
    </x:row>
    <x:row r="76">
      <x:c r="C76" s="19" t="n">
        <x:v>38838</x:v>
      </x:c>
      <x:c r="D76" s="46" t="n">
        <x:v>3760.8328</x:v>
      </x:c>
      <x:c r="E76" s="52" t="n">
        <x:v>-3.063650860916203</x:v>
      </x:c>
      <x:c r="F76" s="46"/>
      <x:c r="G76" s="46"/>
      <x:c r="H76" s="52"/>
      <x:c r="I76" s="52"/>
      <x:c r="J76" s="52"/>
      <x:c r="K76" s="52"/>
      <x:c r="L76" s="52"/>
      <x:c r="M76" s="52"/>
      <x:c r="N76" s="52"/>
      <x:c r="O76" s="46" t="n">
        <x:v>176.6788</x:v>
      </x:c>
      <x:c r="P76" s="52" t="n">
        <x:v>8.529612287204875</x:v>
      </x:c>
      <x:c r="Q76" s="46" t="n">
        <x:v>406.4495794</x:v>
      </x:c>
      <x:c r="R76" s="52" t="n">
        <x:v>15.972180218605104</x:v>
      </x:c>
      <x:c r="S76" s="58" t="n">
        <x:v>2.3005</x:v>
      </x:c>
      <x:c r="T76" s="52" t="n">
        <x:v>7.442567931400215</x:v>
      </x:c>
      <x:c r="U76" s="52" t="n">
        <x:v>15.48</x:v>
      </x:c>
      <x:c r="V76" s="52" t="n">
        <x:v>0.2599999999999998</x:v>
      </x:c>
      <x:c r="W76" s="46" t="n">
        <x:v>67.57</x:v>
      </x:c>
      <x:c r="X76" s="52" t="n">
        <x:v>12.249294070829125</x:v>
      </x:c>
    </x:row>
    <x:row r="77">
      <x:c r="C77" s="19" t="n">
        <x:v>38869</x:v>
      </x:c>
      <x:c r="D77" s="46" t="n">
        <x:v>3633.9221</x:v>
      </x:c>
      <x:c r="E77" s="52" t="n">
        <x:v>-4.872681594042</x:v>
      </x:c>
      <x:c r="F77" s="46"/>
      <x:c r="G77" s="46"/>
      <x:c r="H77" s="52"/>
      <x:c r="I77" s="52"/>
      <x:c r="J77" s="52"/>
      <x:c r="K77" s="52"/>
      <x:c r="L77" s="52"/>
      <x:c r="M77" s="52"/>
      <x:c r="N77" s="52"/>
      <x:c r="O77" s="46" t="n">
        <x:v>173.2354</x:v>
      </x:c>
      <x:c r="P77" s="52" t="n">
        <x:v>4.7530822420003345</x:v>
      </x:c>
      <x:c r="Q77" s="46" t="n">
        <x:v>374.93337621999996</x:v>
      </x:c>
      <x:c r="R77" s="52" t="n">
        <x:v>4.379525877979668</x:v>
      </x:c>
      <x:c r="S77" s="58" t="n">
        <x:v>2.1643</x:v>
      </x:c>
      <x:c r="T77" s="52" t="n">
        <x:v>-0.3735563640206701</x:v>
      </x:c>
      <x:c r="U77" s="52" t="n">
        <x:v>14.78</x:v>
      </x:c>
      <x:c r="V77" s="52" t="n">
        <x:v>-0.0600000000000005</x:v>
      </x:c>
      <x:c r="W77" s="46" t="n">
        <x:v>73.2</x:v>
      </x:c>
      <x:c r="X77" s="52" t="n">
        <x:v>10.263200100462221</x:v>
      </x:c>
    </x:row>
    <x:row r="78">
      <x:c r="C78" s="19" t="n">
        <x:v>38899</x:v>
      </x:c>
      <x:c r="D78" s="46" t="n">
        <x:v>3607.4653</x:v>
      </x:c>
      <x:c r="E78" s="52" t="n">
        <x:v>-4.317313270480931</x:v>
      </x:c>
      <x:c r="F78" s="46"/>
      <x:c r="G78" s="46"/>
      <x:c r="H78" s="52"/>
      <x:c r="I78" s="52"/>
      <x:c r="J78" s="52"/>
      <x:c r="K78" s="52"/>
      <x:c r="L78" s="52"/>
      <x:c r="M78" s="52"/>
      <x:c r="N78" s="52"/>
      <x:c r="O78" s="46" t="n">
        <x:v>178.0322</x:v>
      </x:c>
      <x:c r="P78" s="52" t="n">
        <x:v>1.280574742328548</x:v>
      </x:c>
      <x:c r="Q78" s="46" t="n">
        <x:v>387.43367364</x:v>
      </x:c>
      <x:c r="R78" s="52" t="n">
        <x:v>5.360476637805349</x:v>
      </x:c>
      <x:c r="S78" s="58" t="n">
        <x:v>2.1762</x:v>
      </x:c>
      <x:c r="T78" s="52" t="n">
        <x:v>4.079901895476816</x:v>
      </x:c>
      <x:c r="U78" s="52" t="n">
        <x:v>14.48</x:v>
      </x:c>
      <x:c r="V78" s="52" t="n">
        <x:v>-0.1999999999999993</x:v>
      </x:c>
      <x:c r="W78" s="46" t="n">
        <x:v>74.75</x:v>
      </x:c>
      <x:c r="X78" s="52" t="n">
        <x:v>3.540192705091579</x:v>
      </x:c>
    </x:row>
    <x:row r="79">
      <x:c r="C79" s="19" t="n">
        <x:v>38930</x:v>
      </x:c>
      <x:c r="D79" s="46" t="n">
        <x:v>3691.1313</x:v>
      </x:c>
      <x:c r="E79" s="52" t="n">
        <x:v>-1.8707425807758158</x:v>
      </x:c>
      <x:c r="F79" s="46"/>
      <x:c r="G79" s="46"/>
      <x:c r="H79" s="52"/>
      <x:c r="I79" s="52"/>
      <x:c r="J79" s="52"/>
      <x:c r="K79" s="52"/>
      <x:c r="L79" s="52"/>
      <x:c r="M79" s="52"/>
      <x:c r="N79" s="52"/>
      <x:c r="O79" s="46" t="n">
        <x:v>170.8761</x:v>
      </x:c>
      <x:c r="P79" s="52" t="n">
        <x:v>-3.3394662287356605</x:v>
      </x:c>
      <x:c r="Q79" s="46" t="n">
        <x:v>365.46980268</x:v>
      </x:c>
      <x:c r="R79" s="52" t="n">
        <x:v>-10.62762288083035</x:v>
      </x:c>
      <x:c r="S79" s="58" t="n">
        <x:v>2.1388</x:v>
      </x:c>
      <x:c r="T79" s="52" t="n">
        <x:v>-7.288156652094682</x:v>
      </x:c>
      <x:c r="U79" s="52" t="n">
        <x:v>13.95</x:v>
      </x:c>
      <x:c r="V79" s="52" t="n">
        <x:v>-1.5300000000000011</x:v>
      </x:c>
      <x:c r="W79" s="46" t="n">
        <x:v>67.66</x:v>
      </x:c>
      <x:c r="X79" s="52" t="n">
        <x:v>0.1331065788479342</x:v>
      </x:c>
    </x:row>
    <x:row r="80">
      <x:c r="C80" s="19" t="n">
        <x:v>38961</x:v>
      </x:c>
      <x:c r="D80" s="46" t="n">
        <x:v>3789.2095</x:v>
      </x:c>
      <x:c r="E80" s="52" t="n">
        <x:v>4.184488883108032</x:v>
      </x:c>
      <x:c r="F80" s="46"/>
      <x:c r="G80" s="46"/>
      <x:c r="H80" s="52"/>
      <x:c r="I80" s="52"/>
      <x:c r="J80" s="52"/>
      <x:c r="K80" s="52"/>
      <x:c r="L80" s="52"/>
      <x:c r="M80" s="52"/>
      <x:c r="N80" s="52"/>
      <x:c r="O80" s="46" t="n">
        <x:v>159.9566</x:v>
      </x:c>
      <x:c r="P80" s="52" t="n">
        <x:v>-7.974883479582534</x:v>
      </x:c>
      <x:c r="Q80" s="46" t="n">
        <x:v>347.77763972</x:v>
      </x:c>
      <x:c r="R80" s="52" t="n">
        <x:v>-7.518503754640886</x:v>
      </x:c>
      <x:c r="S80" s="58" t="n">
        <x:v>2.1742</x:v>
      </x:c>
      <x:c r="T80" s="52" t="n">
        <x:v>0.4563797249416337</x:v>
      </x:c>
      <x:c r="U80" s="52" t="n">
        <x:v>13.57</x:v>
      </x:c>
      <x:c r="V80" s="52" t="n">
        <x:v>-1.209999999999999</x:v>
      </x:c>
      <x:c r="W80" s="46" t="n">
        <x:v>59.09</x:v>
      </x:c>
      <x:c r="X80" s="52" t="n">
        <x:v>-21.413371560968265</x:v>
      </x:c>
    </x:row>
    <x:row r="81">
      <x:c r="C81" s="19" t="n">
        <x:v>38991</x:v>
      </x:c>
      <x:c r="D81" s="46" t="n">
        <x:v>3846.6716</x:v>
      </x:c>
      <x:c r="E81" s="52" t="n">
        <x:v>6.420286213668021</x:v>
      </x:c>
      <x:c r="F81" s="46"/>
      <x:c r="G81" s="46"/>
      <x:c r="H81" s="52"/>
      <x:c r="I81" s="52"/>
      <x:c r="J81" s="52"/>
      <x:c r="K81" s="52"/>
      <x:c r="L81" s="52"/>
      <x:c r="M81" s="52"/>
      <x:c r="N81" s="52"/>
      <x:c r="O81" s="46" t="n">
        <x:v>166.8169</x:v>
      </x:c>
      <x:c r="P81" s="52" t="n">
        <x:v>-6.506762907118792</x:v>
      </x:c>
      <x:c r="Q81" s="46" t="n">
        <x:v>357.48861669999997</x:v>
      </x:c>
      <x:c r="R81" s="52" t="n">
        <x:v>-8.044114911452278</x:v>
      </x:c>
      <x:c r="S81" s="58" t="n">
        <x:v>2.143</x:v>
      </x:c>
      <x:c r="T81" s="52" t="n">
        <x:v>-1.5373520043334847</x:v>
      </x:c>
      <x:c r="U81" s="52" t="n">
        <x:v>13.01</x:v>
      </x:c>
      <x:c r="V81" s="52" t="n">
        <x:v>-1.4700000000000006</x:v>
      </x:c>
      <x:c r="W81" s="46" t="n">
        <x:v>56.13</x:v>
      </x:c>
      <x:c r="X81" s="52" t="n">
        <x:v>-28.647878331668785</x:v>
      </x:c>
    </x:row>
    <x:row r="82">
      <x:c r="C82" s="19" t="n">
        <x:v>39022</x:v>
      </x:c>
      <x:c r="D82" s="46" t="n">
        <x:v>3945.2307</x:v>
      </x:c>
      <x:c r="E82" s="52" t="n">
        <x:v>6.657443524485516</x:v>
      </x:c>
      <x:c r="F82" s="46"/>
      <x:c r="G82" s="46"/>
      <x:c r="H82" s="52"/>
      <x:c r="I82" s="52"/>
      <x:c r="J82" s="52"/>
      <x:c r="K82" s="52"/>
      <x:c r="L82" s="52"/>
      <x:c r="M82" s="52"/>
      <x:c r="N82" s="52"/>
      <x:c r="O82" s="46" t="n">
        <x:v>175.214</x:v>
      </x:c>
      <x:c r="P82" s="52" t="n">
        <x:v>2.506935150788912</x:v>
      </x:c>
      <x:c r="Q82" s="46" t="n">
        <x:v>379.65369519999996</x:v>
      </x:c>
      <x:c r="R82" s="52" t="n">
        <x:v>3.8075852217056547</x:v>
      </x:c>
      <x:c r="S82" s="58" t="n">
        <x:v>2.1668</x:v>
      </x:c>
      <x:c r="T82" s="52" t="n">
        <x:v>1.300650070916729</x:v>
      </x:c>
      <x:c r="U82" s="52" t="n">
        <x:v>12.75</x:v>
      </x:c>
      <x:c r="V82" s="52" t="n">
        <x:v>-1.1999999999999993</x:v>
      </x:c>
      <x:c r="W82" s="46" t="n">
        <x:v>64.36</x:v>
      </x:c>
      <x:c r="X82" s="52" t="n">
        <x:v>-5.000284122837993</x:v>
      </x:c>
    </x:row>
    <x:row r="83">
      <x:c r="C83" s="19" t="n">
        <x:v>39052</x:v>
      </x:c>
      <x:c r="D83" s="46" t="n">
        <x:v>4169.8652</x:v>
      </x:c>
      <x:c r="E83" s="52" t="n">
        <x:v>9.572628700750633</x:v>
      </x:c>
      <x:c r="F83" s="46"/>
      <x:c r="G83" s="46"/>
      <x:c r="H83" s="52"/>
      <x:c r="I83" s="52"/>
      <x:c r="J83" s="52"/>
      <x:c r="K83" s="52"/>
      <x:c r="L83" s="52"/>
      <x:c r="M83" s="52"/>
      <x:c r="N83" s="52"/>
      <x:c r="O83" s="46" t="n">
        <x:v>166.5087</x:v>
      </x:c>
      <x:c r="P83" s="52" t="n">
        <x:v>4.014503186875759</x:v>
      </x:c>
      <x:c r="Q83" s="46" t="n">
        <x:v>355.9956006</x:v>
      </x:c>
      <x:c r="R83" s="52" t="n">
        <x:v>2.335506368384807</x:v>
      </x:c>
      <x:c r="S83" s="58" t="n">
        <x:v>2.138</x:v>
      </x:c>
      <x:c r="T83" s="52" t="n">
        <x:v>-1.6789968184909436</x:v>
      </x:c>
      <x:c r="U83" s="52" t="n">
        <x:v>12.38</x:v>
      </x:c>
      <x:c r="V83" s="52" t="n">
        <x:v>-1.1899999999999995</x:v>
      </x:c>
      <x:c r="W83" s="46" t="n">
        <x:v>58.96</x:v>
      </x:c>
      <x:c r="X83" s="52" t="n">
        <x:v>-0.2202457476502052</x:v>
      </x:c>
    </x:row>
    <x:row r="84">
      <x:c r="C84" s="19" t="n">
        <x:v>39083</x:v>
      </x:c>
      <x:c r="D84" s="46" t="n">
        <x:v>4156.3594</x:v>
      </x:c>
      <x:c r="E84" s="52" t="n">
        <x:v>7.743129197343734</x:v>
      </x:c>
      <x:c r="F84" s="46"/>
      <x:c r="G84" s="46"/>
      <x:c r="H84" s="52"/>
      <x:c r="I84" s="52"/>
      <x:c r="J84" s="52"/>
      <x:c r="K84" s="52"/>
      <x:c r="L84" s="52"/>
      <x:c r="M84" s="52"/>
      <x:c r="N84" s="52"/>
      <x:c r="O84" s="46" t="n">
        <x:v>166.0942</x:v>
      </x:c>
      <x:c r="P84" s="52" t="n">
        <x:v>-0.4341706451157034</x:v>
      </x:c>
      <x:c r="Q84" s="46" t="n">
        <x:v>352.90034674</x:v>
      </x:c>
      <x:c r="R84" s="52" t="n">
        <x:v>-1.291780700314098</x:v>
      </x:c>
      <x:c r="S84" s="58" t="n">
        <x:v>2.1247</x:v>
      </x:c>
      <x:c r="T84" s="52" t="n">
        <x:v>-0.8576100551984011</x:v>
      </x:c>
      <x:c r="U84" s="52" t="n">
        <x:v>12.357</x:v>
      </x:c>
      <x:c r="V84" s="52" t="n">
        <x:v>-0.6530000000000005</x:v>
      </x:c>
      <x:c r="W84" s="46" t="n">
        <x:v>56.52</x:v>
      </x:c>
      <x:c r="X84" s="52" t="n">
        <x:v>0.6924128862218779</x:v>
      </x:c>
    </x:row>
    <x:row r="85">
      <x:c r="C85" s="19" t="n">
        <x:v>39114</x:v>
      </x:c>
      <x:c r="D85" s="46" t="n">
        <x:v>4270.0479</x:v>
      </x:c>
      <x:c r="E85" s="52" t="n">
        <x:v>7.911761330075404</x:v>
      </x:c>
      <x:c r="F85" s="46"/>
      <x:c r="G85" s="46"/>
      <x:c r="H85" s="52"/>
      <x:c r="I85" s="52"/>
      <x:c r="J85" s="52"/>
      <x:c r="K85" s="52"/>
      <x:c r="L85" s="52"/>
      <x:c r="M85" s="52"/>
      <x:c r="N85" s="52"/>
      <x:c r="O85" s="46" t="n">
        <x:v>171.0131</x:v>
      </x:c>
      <x:c r="P85" s="52" t="n">
        <x:v>-2.42679222300249</x:v>
      </x:c>
      <x:c r="Q85" s="46" t="n">
        <x:v>362.23994842</x:v>
      </x:c>
      <x:c r="R85" s="52" t="n">
        <x:v>-4.695267560419973</x:v>
      </x:c>
      <x:c r="S85" s="58" t="n">
        <x:v>2.1182</x:v>
      </x:c>
      <x:c r="T85" s="52" t="n">
        <x:v>-2.2684753374174975</x:v>
      </x:c>
      <x:c r="U85" s="52" t="n">
        <x:v>12.097</x:v>
      </x:c>
      <x:c r="V85" s="52" t="n">
        <x:v>-0.6530000000000005</x:v>
      </x:c>
      <x:c r="W85" s="46" t="n">
        <x:v>59.39</x:v>
      </x:c>
      <x:c r="X85" s="52" t="n">
        <x:v>-8.036646009641355</x:v>
      </x:c>
    </x:row>
    <x:row r="86">
      <x:c r="C86" s="19" t="n">
        <x:v>39142</x:v>
      </x:c>
      <x:c r="D86" s="46" t="n">
        <x:v>4370.8179</x:v>
      </x:c>
      <x:c r="E86" s="52" t="n">
        <x:v>4.706644491706399</x:v>
      </x:c>
      <x:c r="F86" s="46"/>
      <x:c r="G86" s="46"/>
      <x:c r="H86" s="52"/>
      <x:c r="I86" s="52"/>
      <x:c r="J86" s="52"/>
      <x:c r="K86" s="52"/>
      <x:c r="L86" s="52"/>
      <x:c r="M86" s="52"/>
      <x:c r="N86" s="52"/>
      <x:c r="O86" s="46" t="n">
        <x:v>171.9626</x:v>
      </x:c>
      <x:c r="P86" s="52" t="n">
        <x:v>3.2229451001429736</x:v>
      </x:c>
      <x:c r="Q86" s="46" t="n">
        <x:v>352.59211503999995</x:v>
      </x:c>
      <x:c r="R86" s="52" t="n">
        <x:v>-0.9606465533699633</x:v>
      </x:c>
      <x:c r="S86" s="58" t="n">
        <x:v>2.0504</x:v>
      </x:c>
      <x:c r="T86" s="52" t="n">
        <x:v>-4.183591653512922</x:v>
      </x:c>
      <x:c r="U86" s="52" t="n">
        <x:v>11.851</x:v>
      </x:c>
      <x:c r="V86" s="52" t="n">
        <x:v>-0.5289999999999999</x:v>
      </x:c>
      <x:c r="W86" s="46" t="n">
        <x:v>68.47</x:v>
      </x:c>
      <x:c r="X86" s="52" t="n">
        <x:v>14.95364452518903</x:v>
      </x:c>
    </x:row>
    <x:row r="87">
      <x:c r="C87" s="19" t="n">
        <x:v>39173</x:v>
      </x:c>
      <x:c r="D87" s="46" t="n">
        <x:v>4346.0083</x:v>
      </x:c>
      <x:c r="E87" s="52" t="n">
        <x:v>4.461824475440521</x:v>
      </x:c>
      <x:c r="F87" s="46"/>
      <x:c r="G87" s="46"/>
      <x:c r="H87" s="52"/>
      <x:c r="I87" s="52"/>
      <x:c r="J87" s="52"/>
      <x:c r="K87" s="52"/>
      <x:c r="L87" s="52"/>
      <x:c r="M87" s="52"/>
      <x:c r="N87" s="52"/>
      <x:c r="O87" s="46" t="n">
        <x:v>173.2148</x:v>
      </x:c>
      <x:c r="P87" s="52" t="n">
        <x:v>4.197734553816625</x:v>
      </x:c>
      <x:c r="Q87" s="46" t="n">
        <x:v>352.30158172</x:v>
      </x:c>
      <x:c r="R87" s="52" t="n">
        <x:v>-0.16981381919769026</x:v>
      </x:c>
      <x:c r="S87" s="58" t="n">
        <x:v>2.0339</x:v>
      </x:c>
      <x:c r="T87" s="52" t="n">
        <x:v>-4.367548373014326</x:v>
      </x:c>
      <x:c r="U87" s="52" t="n">
        <x:v>11.306</x:v>
      </x:c>
      <x:c r="V87" s="52" t="n">
        <x:v>-1.0510000000000002</x:v>
      </x:c>
      <x:c r="W87" s="46" t="n">
        <x:v>67.23</x:v>
      </x:c>
      <x:c r="X87" s="52" t="n">
        <x:v>17.352501866461857</x:v>
      </x:c>
    </x:row>
    <x:row r="88">
      <x:c r="C88" s="19" t="n">
        <x:v>39203</x:v>
      </x:c>
      <x:c r="D88" s="46" t="n">
        <x:v>4293.5405</x:v>
      </x:c>
      <x:c r="E88" s="52" t="n">
        <x:v>0.5486638973335466</x:v>
      </x:c>
      <x:c r="F88" s="46"/>
      <x:c r="G88" s="46"/>
      <x:c r="H88" s="52"/>
      <x:c r="I88" s="52"/>
      <x:c r="J88" s="52"/>
      <x:c r="K88" s="52"/>
      <x:c r="L88" s="52"/>
      <x:c r="M88" s="52"/>
      <x:c r="N88" s="52"/>
      <x:c r="O88" s="46" t="n">
        <x:v>172.7233</x:v>
      </x:c>
      <x:c r="P88" s="52" t="n">
        <x:v>0.9950730336120212</x:v>
      </x:c>
      <x:c r="Q88" s="46" t="n">
        <x:v>333.16597337</x:v>
      </x:c>
      <x:c r="R88" s="52" t="n">
        <x:v>-8.366604884325419</x:v>
      </x:c>
      <x:c r="S88" s="58" t="n">
        <x:v>1.9289</x:v>
      </x:c>
      <x:c r="T88" s="52" t="n">
        <x:v>-9.36167791793742</x:v>
      </x:c>
      <x:c r="U88" s="52" t="n">
        <x:v>10.99</x:v>
      </x:c>
      <x:c r="V88" s="52" t="n">
        <x:v>-1.1069999999999993</x:v>
      </x:c>
      <x:c r="W88" s="46" t="n">
        <x:v>68.18</x:v>
      </x:c>
      <x:c r="X88" s="52" t="n">
        <x:v>13.80254046819883</x:v>
      </x:c>
    </x:row>
    <x:row r="89">
      <x:c r="C89" s="19" t="n">
        <x:v>39234</x:v>
      </x:c>
      <x:c r="D89" s="46" t="n">
        <x:v>4691.4517</x:v>
      </x:c>
      <x:c r="E89" s="52" t="n">
        <x:v>7.079191141403668</x:v>
      </x:c>
      <x:c r="F89" s="46"/>
      <x:c r="G89" s="46"/>
      <x:c r="H89" s="52"/>
      <x:c r="I89" s="52"/>
      <x:c r="J89" s="52"/>
      <x:c r="K89" s="52"/>
      <x:c r="L89" s="52"/>
      <x:c r="M89" s="52"/>
      <x:c r="N89" s="52"/>
      <x:c r="O89" s="46" t="n">
        <x:v>169.671</x:v>
      </x:c>
      <x:c r="P89" s="52" t="n">
        <x:v>-1.3415743477764297</x:v>
      </x:c>
      <x:c r="Q89" s="46" t="n">
        <x:v>326.82028019999996</x:v>
      </x:c>
      <x:c r="R89" s="52" t="n">
        <x:v>-7.590148940086156</x:v>
      </x:c>
      <x:c r="S89" s="58" t="n">
        <x:v>1.9262</x:v>
      </x:c>
      <x:c r="T89" s="52" t="n">
        <x:v>-6.248574592309731</x:v>
      </x:c>
      <x:c r="U89" s="52" t="n">
        <x:v>10.767</x:v>
      </x:c>
      <x:c r="V89" s="52" t="n">
        <x:v>-1.0840000000000014</x:v>
      </x:c>
      <x:c r="W89" s="46" t="n">
        <x:v>72.22</x:v>
      </x:c>
      <x:c r="X89" s="52" t="n">
        <x:v>5.332132271634013</x:v>
      </x:c>
    </x:row>
    <x:row r="90">
      <x:c r="C90" s="19" t="n">
        <x:v>39264</x:v>
      </x:c>
      <x:c r="D90" s="46" t="n">
        <x:v>4708.3379</x:v>
      </x:c>
      <x:c r="E90" s="52" t="n">
        <x:v>8.007716664089799</x:v>
      </x:c>
      <x:c r="F90" s="46"/>
      <x:c r="G90" s="46"/>
      <x:c r="H90" s="52"/>
      <x:c r="I90" s="52"/>
      <x:c r="J90" s="52"/>
      <x:c r="K90" s="52"/>
      <x:c r="L90" s="52"/>
      <x:c r="M90" s="52"/>
      <x:c r="N90" s="52"/>
      <x:c r="O90" s="46" t="n">
        <x:v>172.4463</x:v>
      </x:c>
      <x:c r="P90" s="52" t="n">
        <x:v>-0.44465591657508713</x:v>
      </x:c>
      <x:c r="Q90" s="46" t="n">
        <x:v>323.78517288</x:v>
      </x:c>
      <x:c r="R90" s="52" t="n">
        <x:v>-8.44073258203869</x:v>
      </x:c>
      <x:c r="S90" s="58" t="n">
        <x:v>1.8776</x:v>
      </x:c>
      <x:c r="T90" s="52" t="n">
        <x:v>-7.9960766654635975</x:v>
      </x:c>
      <x:c r="U90" s="52" t="n">
        <x:v>10.935</x:v>
      </x:c>
      <x:c r="V90" s="52" t="n">
        <x:v>-0.37099999999999866</x:v>
      </x:c>
      <x:c r="W90" s="46" t="n">
        <x:v>77.01</x:v>
      </x:c>
      <x:c r="X90" s="52" t="n">
        <x:v>13.581570707021337</x:v>
      </x:c>
    </x:row>
    <x:row r="91">
      <x:c r="C91" s="19" t="n">
        <x:v>39295</x:v>
      </x:c>
      <x:c r="D91" s="46" t="n">
        <x:v>5707.6504</x:v>
      </x:c>
      <x:c r="E91" s="52" t="n">
        <x:v>28.469576641723947</x:v>
      </x:c>
      <x:c r="F91" s="46"/>
      <x:c r="G91" s="46"/>
      <x:c r="H91" s="52"/>
      <x:c r="I91" s="52"/>
      <x:c r="J91" s="52"/>
      <x:c r="K91" s="52"/>
      <x:c r="L91" s="52"/>
      <x:c r="M91" s="52"/>
      <x:c r="N91" s="52"/>
      <x:c r="O91" s="46" t="n">
        <x:v>165.5659</x:v>
      </x:c>
      <x:c r="P91" s="52" t="n">
        <x:v>-4.23215892188904</x:v>
      </x:c>
      <x:c r="Q91" s="46" t="n">
        <x:v>324.8402958</x:v>
      </x:c>
      <x:c r="R91" s="52" t="n">
        <x:v>-2.530712032377668</x:v>
      </x:c>
      <x:c r="S91" s="58" t="n">
        <x:v>1.962</x:v>
      </x:c>
      <x:c r="T91" s="52" t="n">
        <x:v>1.701446889511373</x:v>
      </x:c>
      <x:c r="U91" s="52" t="n">
        <x:v>11.36</x:v>
      </x:c>
      <x:c r="V91" s="52" t="n">
        <x:v>0.3699999999999992</x:v>
      </x:c>
      <x:c r="W91" s="46" t="n">
        <x:v>72.29</x:v>
      </x:c>
      <x:c r="X91" s="52" t="n">
        <x:v>5.853454030244874</x:v>
      </x:c>
    </x:row>
    <x:row r="92">
      <x:c r="C92" s="19" t="n">
        <x:v>39326</x:v>
      </x:c>
      <x:c r="D92" s="46" t="n">
        <x:v>5740.813</x:v>
      </x:c>
      <x:c r="E92" s="52" t="n">
        <x:v>20.185877245225377</x:v>
      </x:c>
      <x:c r="F92" s="46"/>
      <x:c r="G92" s="46"/>
      <x:c r="H92" s="52"/>
      <x:c r="I92" s="52"/>
      <x:c r="J92" s="52"/>
      <x:c r="K92" s="52"/>
      <x:c r="L92" s="52"/>
      <x:c r="M92" s="52"/>
      <x:c r="N92" s="52"/>
      <x:c r="O92" s="46" t="n">
        <x:v>178.2499</x:v>
      </x:c>
      <x:c r="P92" s="52" t="n">
        <x:v>4.932523045311534</x:v>
      </x:c>
      <x:c r="Q92" s="46" t="n">
        <x:v>327.78374111</x:v>
      </x:c>
      <x:c r="R92" s="52" t="n">
        <x:v>0.2943647073159089</x:v>
      </x:c>
      <x:c r="S92" s="58" t="n">
        <x:v>1.8389</x:v>
      </x:c>
      <x:c r="T92" s="52" t="n">
        <x:v>-4.638158337995641</x:v>
      </x:c>
      <x:c r="U92" s="52" t="n">
        <x:v>11.159</x:v>
      </x:c>
      <x:c r="V92" s="52" t="n">
        <x:v>0.39200000000000124</x:v>
      </x:c>
      <x:c r="W92" s="46" t="n">
        <x:v>80.97</x:v>
      </x:c>
      <x:c r="X92" s="52" t="n">
        <x:v>11.436169984871123</x:v>
      </x:c>
    </x:row>
    <x:row r="93">
      <x:c r="C93" s="19" t="n">
        <x:v>39356</x:v>
      </x:c>
      <x:c r="D93" s="46" t="n">
        <x:v>4946.6372</x:v>
      </x:c>
      <x:c r="E93" s="52" t="n">
        <x:v>4.937303390463792</x:v>
      </x:c>
      <x:c r="F93" s="46"/>
      <x:c r="G93" s="46"/>
      <x:c r="H93" s="52"/>
      <x:c r="I93" s="52"/>
      <x:c r="J93" s="52"/>
      <x:c r="K93" s="52"/>
      <x:c r="L93" s="52"/>
      <x:c r="M93" s="52"/>
      <x:c r="N93" s="52"/>
      <x:c r="O93" s="46" t="n">
        <x:v>183.5241</x:v>
      </x:c>
      <x:c r="P93" s="52" t="n">
        <x:v>6.226011036245156</x:v>
      </x:c>
      <x:c r="Q93" s="46" t="n">
        <x:v>320.0660304</x:v>
      </x:c>
      <x:c r="R93" s="52" t="n">
        <x:v>-1.1552929705437185</x:v>
      </x:c>
      <x:c r="S93" s="58" t="n">
        <x:v>1.744</x:v>
      </x:c>
      <x:c r="T93" s="52" t="n">
        <x:v>-7.3813040067888736</x:v>
      </x:c>
      <x:c r="U93" s="52" t="n">
        <x:v>11.306</x:v>
      </x:c>
      <x:c r="V93" s="52" t="n">
        <x:v>0.37099999999999866</x:v>
      </x:c>
      <x:c r="W93" s="46" t="n">
        <x:v>89.87</x:v>
      </x:c>
      <x:c r="X93" s="52" t="n">
        <x:v>15.442889811912325</x:v>
      </x:c>
    </x:row>
    <x:row r="94">
      <x:c r="C94" s="19" t="n">
        <x:v>39387</x:v>
      </x:c>
      <x:c r="D94" s="46" t="n">
        <x:v>4974.0532</x:v>
      </x:c>
      <x:c r="E94" s="52" t="n">
        <x:v>-13.757240942555903</x:v>
      </x:c>
      <x:c r="F94" s="46"/>
      <x:c r="G94" s="46"/>
      <x:c r="H94" s="52"/>
      <x:c r="I94" s="52"/>
      <x:c r="J94" s="52"/>
      <x:c r="K94" s="52"/>
      <x:c r="L94" s="52"/>
      <x:c r="M94" s="52"/>
      <x:c r="N94" s="52"/>
      <x:c r="O94" s="46" t="n">
        <x:v>177.2468</x:v>
      </x:c>
      <x:c r="P94" s="52" t="n">
        <x:v>6.8173808779887155</x:v>
      </x:c>
      <x:c r="Q94" s="46" t="n">
        <x:v>316.15511716000003</x:v>
      </x:c>
      <x:c r="R94" s="52" t="n">
        <x:v>-2.710069378116348</x:v>
      </x:c>
      <x:c r="S94" s="58" t="n">
        <x:v>1.7837</x:v>
      </x:c>
      <x:c r="T94" s="52" t="n">
        <x:v>-9.527450256105064</x:v>
      </x:c>
      <x:c r="U94" s="52" t="n">
        <x:v>11.586</x:v>
      </x:c>
      <x:c r="V94" s="52" t="n">
        <x:v>0.22600000000000087</x:v>
      </x:c>
      <x:c r="W94" s="46" t="n">
        <x:v>88.71</x:v>
      </x:c>
      <x:c r="X94" s="52" t="n">
        <x:v>20.468681552028965</x:v>
      </x:c>
    </x:row>
    <x:row r="95">
      <x:c r="C95" s="19" t="n">
        <x:v>39417</x:v>
      </x:c>
      <x:c r="D95" s="46" t="n">
        <x:v>5006.9883</x:v>
      </x:c>
      <x:c r="E95" s="52" t="n">
        <x:v>-13.67662413159773</x:v>
      </x:c>
      <x:c r="F95" s="46"/>
      <x:c r="G95" s="46"/>
      <x:c r="H95" s="52"/>
      <x:c r="I95" s="52"/>
      <x:c r="J95" s="52"/>
      <x:c r="K95" s="52"/>
      <x:c r="L95" s="52"/>
      <x:c r="M95" s="52"/>
      <x:c r="N95" s="52"/>
      <x:c r="O95" s="46" t="n">
        <x:v>184.964</x:v>
      </x:c>
      <x:c r="P95" s="52" t="n">
        <x:v>3.6974713263315273</x:v>
      </x:c>
      <x:c r="Q95" s="46" t="n">
        <x:v>327.6267332</x:v>
      </x:c>
      <x:c r="R95" s="52" t="n">
        <x:v>-0.04791132249411559</x:v>
      </x:c>
      <x:c r="S95" s="58" t="n">
        <x:v>1.7713</x:v>
      </x:c>
      <x:c r="T95" s="52" t="n">
        <x:v>-3.745382648825627</x:v>
      </x:c>
      <x:c r="U95" s="52" t="n">
        <x:v>12.052</x:v>
      </x:c>
      <x:c r="V95" s="52" t="n">
        <x:v>0.8929999999999989</x:v>
      </x:c>
      <x:c r="W95" s="46" t="n">
        <x:v>93.68</x:v>
      </x:c>
      <x:c r="X95" s="52" t="n">
        <x:v>14.580600359143903</x:v>
      </x:c>
    </x:row>
    <x:row r="96">
      <x:c r="C96" s="19" t="n">
        <x:v>39448</x:v>
      </x:c>
      <x:c r="D96" s="46" t="n">
        <x:v>5240.1118</x:v>
      </x:c>
      <x:c r="E96" s="52" t="n">
        <x:v>5.763484180313953</x:v>
      </x:c>
      <x:c r="F96" s="46"/>
      <x:c r="G96" s="46"/>
      <x:c r="H96" s="52"/>
      <x:c r="I96" s="52"/>
      <x:c r="J96" s="52"/>
      <x:c r="K96" s="52"/>
      <x:c r="L96" s="52"/>
      <x:c r="M96" s="52"/>
      <x:c r="N96" s="52"/>
      <x:c r="O96" s="46" t="n">
        <x:v>192.2861</x:v>
      </x:c>
      <x:c r="P96" s="52" t="n">
        <x:v>4.663837307010129</x:v>
      </x:c>
      <x:c r="Q96" s="46" t="n">
        <x:v>338.48122183</x:v>
      </x:c>
      <x:c r="R96" s="52" t="n">
        <x:v>5.594129665310302</x:v>
      </x:c>
      <x:c r="S96" s="58" t="n">
        <x:v>1.7603</x:v>
      </x:c>
      <x:c r="T96" s="52" t="n">
        <x:v>0.9302923583001552</x:v>
      </x:c>
      <x:c r="U96" s="52" t="n">
        <x:v>12.078</x:v>
      </x:c>
      <x:c r="V96" s="52" t="n">
        <x:v>0.7720000000000002</x:v>
      </x:c>
      <x:c r="W96" s="46" t="n">
        <x:v>91.58</x:v>
      </x:c>
      <x:c r="X96" s="52" t="n">
        <x:v>1.8848725558667332</x:v>
      </x:c>
    </x:row>
    <x:row r="97">
      <x:c r="C97" s="19" t="n">
        <x:v>39479</x:v>
      </x:c>
      <x:c r="D97" s="46" t="n">
        <x:v>5341.6909</x:v>
      </x:c>
      <x:c r="E97" s="52" t="n">
        <x:v>7.1307209848575</x:v>
      </x:c>
      <x:c r="F97" s="46"/>
      <x:c r="G97" s="46"/>
      <x:c r="H97" s="52"/>
      <x:c r="I97" s="52"/>
      <x:c r="J97" s="52"/>
      <x:c r="K97" s="52"/>
      <x:c r="L97" s="52" t="n">
        <x:v>4.56</x:v>
      </x:c>
      <x:c r="M97" s="52"/>
      <x:c r="N97" s="52"/>
      <x:c r="O97" s="46" t="n">
        <x:v>215.5208</x:v>
      </x:c>
      <x:c r="P97" s="52" t="n">
        <x:v>19.551431295499775</x:v>
      </x:c>
      <x:c r="Q97" s="46" t="n">
        <x:v>362.78616264000004</x:v>
      </x:c>
      <x:c r="R97" s="52" t="n">
        <x:v>13.75806068157761</x:v>
      </x:c>
      <x:c r="S97" s="58" t="n">
        <x:v>1.6833</x:v>
      </x:c>
      <x:c r="T97" s="52" t="n">
        <x:v>-5.7933706139221695</x:v>
      </x:c>
      <x:c r="U97" s="52" t="n">
        <x:v>11.916</x:v>
      </x:c>
      <x:c r="V97" s="52" t="n">
        <x:v>0.33000000000000007</x:v>
      </x:c>
      <x:c r="W97" s="46" t="n">
        <x:v>100.9</x:v>
      </x:c>
      <x:c r="X97" s="52" t="n">
        <x:v>12.875730482706787</x:v>
      </x:c>
    </x:row>
    <x:row r="98">
      <x:c r="C98" s="19" t="n">
        <x:v>39508</x:v>
      </x:c>
      <x:c r="D98" s="46" t="n">
        <x:v>5442.8877</x:v>
      </x:c>
      <x:c r="E98" s="52" t="n">
        <x:v>8.347515061831343</x:v>
      </x:c>
      <x:c r="F98" s="46"/>
      <x:c r="G98" s="46"/>
      <x:c r="H98" s="52"/>
      <x:c r="I98" s="52"/>
      <x:c r="J98" s="52"/>
      <x:c r="K98" s="52"/>
      <x:c r="L98" s="52" t="n">
        <x:v>4.61</x:v>
      </x:c>
      <x:c r="M98" s="52"/>
      <x:c r="N98" s="52"/>
      <x:c r="O98" s="46" t="n">
        <x:v>201.5983</x:v>
      </x:c>
      <x:c r="P98" s="52" t="n">
        <x:v>8.611589207423144</x:v>
      </x:c>
      <x:c r="Q98" s="46" t="n">
        <x:v>352.61558653000003</x:v>
      </x:c>
      <x:c r="R98" s="52" t="n">
        <x:v>7.350352172869797</x:v>
      </x:c>
      <x:c r="S98" s="58" t="n">
        <x:v>1.7491</x:v>
      </x:c>
      <x:c r="T98" s="52" t="n">
        <x:v>-1.2612370345533674</x:v>
      </x:c>
      <x:c r="U98" s="52" t="n">
        <x:v>12.693</x:v>
      </x:c>
      <x:c r="V98" s="52" t="n">
        <x:v>0.641</x:v>
      </x:c>
      <x:c r="W98" s="46" t="n">
        <x:v>102.33</x:v>
      </x:c>
      <x:c r="X98" s="52" t="n">
        <x:v>8.831816580920208</x:v>
      </x:c>
    </x:row>
    <x:row r="99">
      <x:c r="C99" s="19" t="n">
        <x:v>39539</x:v>
      </x:c>
      <x:c r="D99" s="46" t="n">
        <x:v>5607.3096</x:v>
      </x:c>
      <x:c r="E99" s="52" t="n">
        <x:v>6.772819832736212</x:v>
      </x:c>
      <x:c r="F99" s="46"/>
      <x:c r="G99" s="46"/>
      <x:c r="H99" s="52"/>
      <x:c r="I99" s="52"/>
      <x:c r="J99" s="52"/>
      <x:c r="K99" s="52"/>
      <x:c r="L99" s="52" t="n">
        <x:v>4.73</x:v>
      </x:c>
      <x:c r="M99" s="52"/>
      <x:c r="N99" s="52" t="n">
        <x:v>1.5176027007999915</x:v>
      </x:c>
      <x:c r="O99" s="46" t="n">
        <x:v>208.5523</x:v>
      </x:c>
      <x:c r="P99" s="52" t="n">
        <x:v>8.120548202158453</x:v>
      </x:c>
      <x:c r="Q99" s="46" t="n">
        <x:v>351.86944056</x:v>
      </x:c>
      <x:c r="R99" s="52" t="n">
        <x:v>3.8791583134222942</x:v>
      </x:c>
      <x:c r="S99" s="58" t="n">
        <x:v>1.6872</x:v>
      </x:c>
      <x:c r="T99" s="52" t="n">
        <x:v>-4.241389888736174</x:v>
      </x:c>
      <x:c r="U99" s="52" t="n">
        <x:v>13.208</x:v>
      </x:c>
      <x:c r="V99" s="52" t="n">
        <x:v>1.1300000000000008</x:v>
      </x:c>
      <x:c r="W99" s="46" t="n">
        <x:v>111.12</x:v>
      </x:c>
      <x:c r="X99" s="52" t="n">
        <x:v>19.339779121713903</x:v>
      </x:c>
    </x:row>
    <x:row r="100">
      <x:c r="C100" s="19" t="n">
        <x:v>39569</x:v>
      </x:c>
      <x:c r="D100" s="46" t="n">
        <x:v>5684.3027</x:v>
      </x:c>
      <x:c r="E100" s="52" t="n">
        <x:v>6.216621277724645</x:v>
      </x:c>
      <x:c r="F100" s="46"/>
      <x:c r="G100" s="46"/>
      <x:c r="H100" s="52"/>
      <x:c r="I100" s="52"/>
      <x:c r="J100" s="52"/>
      <x:c r="K100" s="52"/>
      <x:c r="L100" s="52" t="n">
        <x:v>5.04</x:v>
      </x:c>
      <x:c r="M100" s="52" t="n">
        <x:v>0.4800000000000004</x:v>
      </x:c>
      <x:c r="N100" s="52" t="n">
        <x:v>1.5276999359999932</x:v>
      </x:c>
      <x:c r="O100" s="46" t="n">
        <x:v>213.9473</x:v>
      </x:c>
      <x:c r="P100" s="52" t="n">
        <x:v>-0.7327701595430272</x:v>
      </x:c>
      <x:c r="Q100" s="46" t="n">
        <x:v>348.60573062000003</x:v>
      </x:c>
      <x:c r="R100" s="52" t="n">
        <x:v>-3.9872005143924847</x:v>
      </x:c>
      <x:c r="S100" s="58" t="n">
        <x:v>1.6294</x:v>
      </x:c>
      <x:c r="T100" s="52" t="n">
        <x:v>-3.254430354849459</x:v>
      </x:c>
      <x:c r="U100" s="52" t="n">
        <x:v>13.745</x:v>
      </x:c>
      <x:c r="V100" s="52" t="n">
        <x:v>1.8289999999999988</x:v>
      </x:c>
      <x:c r="W100" s="46" t="n">
        <x:v>127.85</x:v>
      </x:c>
      <x:c r="X100" s="52" t="n">
        <x:v>23.672777437763227</x:v>
      </x:c>
    </x:row>
    <x:row r="101">
      <x:c r="C101" s="19" t="n">
        <x:v>39600</x:v>
      </x:c>
      <x:c r="D101" s="46" t="n">
        <x:v>5735.8604</x:v>
      </x:c>
      <x:c r="E101" s="52" t="n">
        <x:v>5.242801824891224</x:v>
      </x:c>
      <x:c r="F101" s="46"/>
      <x:c r="G101" s="46"/>
      <x:c r="H101" s="52"/>
      <x:c r="I101" s="52"/>
      <x:c r="J101" s="52"/>
      <x:c r="K101" s="52"/>
      <x:c r="L101" s="52" t="n">
        <x:v>5.58</x:v>
      </x:c>
      <x:c r="M101" s="52" t="n">
        <x:v>0.9699999999999998</x:v>
      </x:c>
      <x:c r="N101" s="52" t="n">
        <x:v>1.8307978559999993</x:v>
      </x:c>
      <x:c r="O101" s="46" t="n">
        <x:v>233.0345</x:v>
      </x:c>
      <x:c r="P101" s="52" t="n">
        <x:v>14.490940765216815</x:v>
      </x:c>
      <x:c r="Q101" s="46" t="n">
        <x:v>370.96762055000005</x:v>
      </x:c>
      <x:c r="R101" s="52" t="n">
        <x:v>5.073630910024081</x:v>
      </x:c>
      <x:c r="S101" s="58" t="n">
        <x:v>1.5919</x:v>
      </x:c>
      <x:c r="T101" s="52" t="n">
        <x:v>-9.417309855192723</x:v>
      </x:c>
      <x:c r="U101" s="52" t="n">
        <x:v>14.45</x:v>
      </x:c>
      <x:c r="V101" s="52" t="n">
        <x:v>1.7569999999999997</x:v>
      </x:c>
      <x:c r="W101" s="46" t="n">
        <x:v>138.4</x:v>
      </x:c>
      <x:c r="X101" s="52" t="n">
        <x:v>30.194515808490515</x:v>
      </x:c>
    </x:row>
    <x:row r="102">
      <x:c r="C102" s="19" t="n">
        <x:v>39630</x:v>
      </x:c>
      <x:c r="D102" s="46" t="n">
        <x:v>5850.1763</x:v>
      </x:c>
      <x:c r="E102" s="52" t="n">
        <x:v>4.240076523123023</x:v>
      </x:c>
      <x:c r="F102" s="46"/>
      <x:c r="G102" s="46"/>
      <x:c r="H102" s="52"/>
      <x:c r="I102" s="52"/>
      <x:c r="J102" s="52"/>
      <x:c r="K102" s="52"/>
      <x:c r="L102" s="52" t="n">
        <x:v>6.06</x:v>
      </x:c>
      <x:c r="M102" s="52" t="n">
        <x:v>1.3299999999999992</x:v>
      </x:c>
      <x:c r="N102" s="52" t="n">
        <x:v>2.094293153000004</x:v>
      </x:c>
      <x:c r="O102" s="46" t="n">
        <x:v>205.1032</x:v>
      </x:c>
      <x:c r="P102" s="52" t="n">
        <x:v>-1.6676582010551328</x:v>
      </x:c>
      <x:c r="Q102" s="46" t="n">
        <x:v>321.31467311999995</x:v>
      </x:c>
      <x:c r="R102" s="52" t="n">
        <x:v>-9.0839266241978</x:v>
      </x:c>
      <x:c r="S102" s="58" t="n">
        <x:v>1.5666</x:v>
      </x:c>
      <x:c r="T102" s="52" t="n">
        <x:v>-7.416268423142669</x:v>
      </x:c>
      <x:c r="U102" s="52" t="n">
        <x:v>14.655</x:v>
      </x:c>
      <x:c r="V102" s="52" t="n">
        <x:v>1.4469999999999992</x:v>
      </x:c>
      <x:c r="W102" s="46" t="n">
        <x:v>124.1</x:v>
      </x:c>
      <x:c r="X102" s="52" t="n">
        <x:v>11.047699376447307</x:v>
      </x:c>
    </x:row>
    <x:row r="103">
      <x:c r="C103" s="19" t="n">
        <x:v>39661</x:v>
      </x:c>
      <x:c r="D103" s="46" t="n">
        <x:v>5876.8691</x:v>
      </x:c>
      <x:c r="E103" s="52" t="n">
        <x:v>3.3315690546739543</x:v>
      </x:c>
      <x:c r="F103" s="46"/>
      <x:c r="G103" s="46"/>
      <x:c r="H103" s="52"/>
      <x:c r="I103" s="52"/>
      <x:c r="J103" s="52"/>
      <x:c r="K103" s="52"/>
      <x:c r="L103" s="52" t="n">
        <x:v>6.37</x:v>
      </x:c>
      <x:c r="M103" s="52" t="n">
        <x:v>1.33</x:v>
      </x:c>
      <x:c r="N103" s="52" t="n">
        <x:v>2.0739859838000196</x:v>
      </x:c>
      <x:c r="O103" s="46" t="n">
        <x:v>189.8888</x:v>
      </x:c>
      <x:c r="P103" s="52" t="n">
        <x:v>-11.92910853429653</x:v>
      </x:c>
      <x:c r="Q103" s="46" t="n">
        <x:v>310.35425472000003</x:v>
      </x:c>
      <x:c r="R103" s="52" t="n">
        <x:v>-11.62271697160944</x:v>
      </x:c>
      <x:c r="S103" s="58" t="n">
        <x:v>1.6344</x:v>
      </x:c>
      <x:c r="T103" s="52" t="n">
        <x:v>0.3063915626871071</x:v>
      </x:c>
      <x:c r="U103" s="52" t="n">
        <x:v>14.573</x:v>
      </x:c>
      <x:c r="V103" s="52" t="n">
        <x:v>0.8280000000000012</x:v>
      </x:c>
      <x:c r="W103" s="46" t="n">
        <x:v>113.49</x:v>
      </x:c>
      <x:c r="X103" s="52" t="n">
        <x:v>-11.91429744241481</x:v>
      </x:c>
    </x:row>
    <x:row r="104">
      <x:c r="C104" s="19" t="n">
        <x:v>39692</x:v>
      </x:c>
      <x:c r="D104" s="46" t="n">
        <x:v>6040.9141</x:v>
      </x:c>
      <x:c r="E104" s="52" t="n">
        <x:v>5.181757607170016</x:v>
      </x:c>
      <x:c r="F104" s="46"/>
      <x:c r="G104" s="46"/>
      <x:c r="H104" s="52"/>
      <x:c r="I104" s="52"/>
      <x:c r="J104" s="52"/>
      <x:c r="K104" s="52"/>
      <x:c r="L104" s="52" t="n">
        <x:v>6.17</x:v>
      </x:c>
      <x:c r="M104" s="52" t="n">
        <x:v>0.5899999999999999</x:v>
      </x:c>
      <x:c r="N104" s="52" t="n">
        <x:v>1.557488981599997</x:v>
      </x:c>
      <x:c r="O104" s="46" t="n">
        <x:v>167.7756</x:v>
      </x:c>
      <x:c r="P104" s="52" t="n">
        <x:v>-32.855913901808734</x:v>
      </x:c>
      <x:c r="Q104" s="46" t="n">
        <x:v>321.17283108</x:v>
      </x:c>
      <x:c r="R104" s="52" t="n">
        <x:v>-14.413538983676688</x:v>
      </x:c>
      <x:c r="S104" s="58" t="n">
        <x:v>1.9143</x:v>
      </x:c>
      <x:c r="T104" s="52" t="n">
        <x:v>18.44237491813206</x:v>
      </x:c>
      <x:c r="U104" s="52" t="n">
        <x:v>14.431</x:v>
      </x:c>
      <x:c r="V104" s="52" t="n">
        <x:v>-0.019000000000000128</x:v>
      </x:c>
      <x:c r="W104" s="46" t="n">
        <x:v>93.52</x:v>
      </x:c>
      <x:c r="X104" s="52" t="n">
        <x:v>-39.197272601975634</x:v>
      </x:c>
    </x:row>
    <x:row r="105">
      <x:c r="C105" s="19" t="n">
        <x:v>39722</x:v>
      </x:c>
      <x:c r="D105" s="46" t="n">
        <x:v>5805.9561</x:v>
      </x:c>
      <x:c r="E105" s="52" t="n">
        <x:v>-0.7587493111590969</x:v>
      </x:c>
      <x:c r="F105" s="46"/>
      <x:c r="G105" s="46"/>
      <x:c r="H105" s="52"/>
      <x:c r="I105" s="52"/>
      <x:c r="J105" s="52"/>
      <x:c r="K105" s="52"/>
      <x:c r="L105" s="52" t="n">
        <x:v>6.25</x:v>
      </x:c>
      <x:c r="M105" s="52" t="n">
        <x:v>0.1900000000000004</x:v>
      </x:c>
      <x:c r="N105" s="52" t="n">
        <x:v>1.0735938583999793</x:v>
      </x:c>
      <x:c r="O105" s="46" t="n">
        <x:v>131.9721</x:v>
      </x:c>
      <x:c r="P105" s="52" t="n">
        <x:v>-44.09227304923518</x:v>
      </x:c>
      <x:c r="Q105" s="46" t="n">
        <x:v>279.16058313</x:v>
      </x:c>
      <x:c r="R105" s="52" t="n">
        <x:v>-14.063375003238528</x:v>
      </x:c>
      <x:c r="S105" s="58" t="n">
        <x:v>2.1153</x:v>
      </x:c>
      <x:c r="T105" s="52" t="n">
        <x:v>30.028898045996637</x:v>
      </x:c>
      <x:c r="U105" s="52" t="n">
        <x:v>15.344</x:v>
      </x:c>
      <x:c r="V105" s="52" t="n">
        <x:v>0.6890000000000001</x:v>
      </x:c>
      <x:c r="W105" s="46" t="n">
        <x:v>60</x:v>
      </x:c>
      <x:c r="X105" s="52" t="n">
        <x:v>-72.67431299884608</x:v>
      </x:c>
    </x:row>
    <x:row r="106">
      <x:c r="C106" s="19" t="n">
        <x:v>39753</x:v>
      </x:c>
      <x:c r="D106" s="46" t="n">
        <x:v>5620.083</x:v>
      </x:c>
      <x:c r="E106" s="52" t="n">
        <x:v>-4.467772163396819</x:v>
      </x:c>
      <x:c r="F106" s="46"/>
      <x:c r="G106" s="46"/>
      <x:c r="H106" s="52"/>
      <x:c r="I106" s="52"/>
      <x:c r="J106" s="52"/>
      <x:c r="K106" s="52"/>
      <x:c r="L106" s="52" t="n">
        <x:v>6.41</x:v>
      </x:c>
      <x:c r="M106" s="52" t="n">
        <x:v>0.040000000000000036</x:v>
      </x:c>
      <x:c r="N106" s="52" t="n">
        <x:v>0.9931612759999764</x:v>
      </x:c>
      <x:c r="O106" s="46" t="n">
        <x:v>122.7531</x:v>
      </x:c>
      <x:c r="P106" s="52" t="n">
        <x:v>-43.62636167310331</x:v>
      </x:c>
      <x:c r="Q106" s="46" t="n">
        <x:v>286.39525761</x:v>
      </x:c>
      <x:c r="R106" s="52" t="n">
        <x:v>-8.034152586543817</x:v>
      </x:c>
      <x:c r="S106" s="58" t="n">
        <x:v>2.3331</x:v>
      </x:c>
      <x:c r="T106" s="52" t="n">
        <x:v>35.59220908655949</x:v>
      </x:c>
      <x:c r="U106" s="52" t="n">
        <x:v>14.427</x:v>
      </x:c>
      <x:c r="V106" s="52" t="n">
        <x:v>-0.1460000000000008</x:v>
      </x:c>
      <x:c r="W106" s="46" t="n">
        <x:v>47.72</x:v>
      </x:c>
      <x:c r="X106" s="52" t="n">
        <x:v>-86.63641300833322</x:v>
      </x:c>
    </x:row>
    <x:row r="107">
      <x:c r="C107" s="19" t="n">
        <x:v>39783</x:v>
      </x:c>
      <x:c r="D107" s="46" t="n">
        <x:v>5186.624</x:v>
      </x:c>
      <x:c r="E107" s="52" t="n">
        <x:v>-15.247233772820284</x:v>
      </x:c>
      <x:c r="F107" s="46"/>
      <x:c r="G107" s="46"/>
      <x:c r="H107" s="52"/>
      <x:c r="I107" s="52"/>
      <x:c r="J107" s="52"/>
      <x:c r="K107" s="52"/>
      <x:c r="L107" s="52" t="n">
        <x:v>6.39</x:v>
      </x:c>
      <x:c r="M107" s="52" t="n">
        <x:v>0.21999999999999975</x:v>
      </x:c>
      <x:c r="N107" s="52" t="n">
        <x:v>1.0737302119999903</x:v>
      </x:c>
      <x:c r="O107" s="46" t="n">
        <x:v>117.2441</x:v>
      </x:c>
      <x:c r="P107" s="52" t="n">
        <x:v>-35.83692860251783</x:v>
      </x:c>
      <x:c r="Q107" s="46" t="n">
        <x:v>273.99946170000004</x:v>
      </x:c>
      <x:c r="R107" s="52" t="n">
        <x:v>-15.885325102873107</x:v>
      </x:c>
      <x:c r="S107" s="58" t="n">
        <x:v>2.337</x:v>
      </x:c>
      <x:c r="T107" s="52" t="n">
        <x:v>19.951603499644715</x:v>
      </x:c>
      <x:c r="U107" s="52" t="n">
        <x:v>12.168</x:v>
      </x:c>
      <x:c r="V107" s="52" t="n">
        <x:v>-2.263</x:v>
      </x:c>
      <x:c r="W107" s="46" t="n">
        <x:v>35.82</x:v>
      </x:c>
      <x:c r="X107" s="52" t="n">
        <x:v>-95.96689205312472</x:v>
      </x:c>
    </x:row>
    <x:row r="108">
      <x:c r="C108" s="19" t="n">
        <x:v>39814</x:v>
      </x:c>
      <x:c r="D108" s="46" t="n">
        <x:v>4891.9946</x:v>
      </x:c>
      <x:c r="E108" s="52" t="n">
        <x:v>-17.128419044890038</x:v>
      </x:c>
      <x:c r="F108" s="46"/>
      <x:c r="G108" s="46"/>
      <x:c r="H108" s="52" t="n">
        <x:v>1.9666666666666668</x:v>
      </x:c>
      <x:c r="I108" s="52"/>
      <x:c r="J108" s="52" t="n">
        <x:v>4.591666666666666</x:v>
      </x:c>
      <x:c r="K108" s="52"/>
      <x:c r="L108" s="52" t="n">
        <x:v>5.9</x:v>
      </x:c>
      <x:c r="M108" s="52" t="n">
        <x:v>-0.34999999999999964</x:v>
      </x:c>
      <x:c r="N108" s="52" t="n">
        <x:v>1.0938925359999851</x:v>
      </x:c>
      <x:c r="O108" s="46" t="n">
        <x:v>110.9304</x:v>
      </x:c>
      <x:c r="P108" s="52" t="n">
        <x:v>-17.36875589879183</x:v>
      </x:c>
      <x:c r="Q108" s="46" t="n">
        <x:v>256.93699248</x:v>
      </x:c>
      <x:c r="R108" s="52" t="n">
        <x:v>-8.295629363074559</x:v>
      </x:c>
      <x:c r="S108" s="58" t="n">
        <x:v>2.3162</x:v>
      </x:c>
      <x:c r="T108" s="52" t="n">
        <x:v>9.073126535717268</x:v>
      </x:c>
      <x:c r="U108" s="52" t="n">
        <x:v>11.164</x:v>
      </x:c>
      <x:c r="V108" s="52" t="n">
        <x:v>-4.18</x:v>
      </x:c>
      <x:c r="W108" s="46" t="n">
        <x:v>44.17</x:v>
      </x:c>
      <x:c r="X108" s="52" t="n">
        <x:v>-30.629873661366545</x:v>
      </x:c>
    </x:row>
    <x:row r="109">
      <x:c r="C109" s="19" t="n">
        <x:v>39845</x:v>
      </x:c>
      <x:c r="D109" s="46" t="n">
        <x:v>4762.7275</x:v>
      </x:c>
      <x:c r="E109" s="52" t="n">
        <x:v>-16.552592413903078</x:v>
      </x:c>
      <x:c r="F109" s="46"/>
      <x:c r="G109" s="46"/>
      <x:c r="H109" s="52" t="n">
        <x:v>1.8333333333333333</x:v>
      </x:c>
      <x:c r="I109" s="52"/>
      <x:c r="J109" s="52" t="n">
        <x:v>4.633333333333334</x:v>
      </x:c>
      <x:c r="K109" s="52"/>
      <x:c r="L109" s="52" t="n">
        <x:v>5.84</x:v>
      </x:c>
      <x:c r="M109" s="52" t="n">
        <x:v>-0.5700000000000003</x:v>
      </x:c>
      <x:c r="N109" s="52" t="n">
        <x:v>1.1240848383999857</x:v>
      </x:c>
      <x:c r="O109" s="46" t="n">
        <x:v>105.988</x:v>
      </x:c>
      <x:c r="P109" s="52" t="n">
        <x:v>-14.684914078178382</x:v>
      </x:c>
      <x:c r="Q109" s="46" t="n">
        <x:v>252.0818592</x:v>
      </x:c>
      <x:c r="R109" s="52" t="n">
        <x:v>-12.761900346690314</x:v>
      </x:c>
      <x:c r="S109" s="58" t="n">
        <x:v>2.3784</x:v>
      </x:c>
      <x:c r="T109" s="52" t="n">
        <x:v>1.923013731488073</x:v>
      </x:c>
      <x:c r="U109" s="52" t="n">
        <x:v>10.62</x:v>
      </x:c>
      <x:c r="V109" s="52" t="n">
        <x:v>-3.8070000000000004</x:v>
      </x:c>
      <x:c r="W109" s="46" t="n">
        <x:v>44.41</x:v>
      </x:c>
      <x:c r="X109" s="52" t="n">
        <x:v>-7.188592792570452</x:v>
      </x:c>
    </x:row>
    <x:row r="110">
      <x:c r="C110" s="19" t="n">
        <x:v>39873</x:v>
      </x:c>
      <x:c r="D110" s="46" t="n">
        <x:v>4397.8164</x:v>
      </x:c>
      <x:c r="E110" s="52" t="n">
        <x:v>-16.49748588143447</x:v>
      </x:c>
      <x:c r="F110" s="46"/>
      <x:c r="G110" s="46"/>
      <x:c r="H110" s="52" t="n">
        <x:v>0.86</x:v>
      </x:c>
      <x:c r="I110" s="52"/>
      <x:c r="J110" s="52" t="n">
        <x:v>4.365</x:v>
      </x:c>
      <x:c r="K110" s="52"/>
      <x:c r="L110" s="52" t="n">
        <x:v>5.9</x:v>
      </x:c>
      <x:c r="M110" s="52" t="n">
        <x:v>-0.4899999999999993</x:v>
      </x:c>
      <x:c r="N110" s="52" t="n">
        <x:v>1.3155313920000022</x:v>
      </x:c>
      <x:c r="O110" s="46" t="n">
        <x:v>109.7822</x:v>
      </x:c>
      <x:c r="P110" s="52" t="n">
        <x:v>-6.5759683229775545</x:v>
      </x:c>
      <x:c r="Q110" s="46" t="n">
        <x:v>254.16774944</x:v>
      </x:c>
      <x:c r="R110" s="52" t="n">
        <x:v>-7.51316618914143</x:v>
      </x:c>
      <x:c r="S110" s="58" t="n">
        <x:v>2.3152</x:v>
      </x:c>
      <x:c r="T110" s="52" t="n">
        <x:v>-0.9371978661638636</x:v>
      </x:c>
      <x:c r="U110" s="52" t="n">
        <x:v>9.791</x:v>
      </x:c>
      <x:c r="V110" s="52" t="n">
        <x:v>-2.376999999999999</x:v>
      </x:c>
      <x:c r="W110" s="46" t="n">
        <x:v>46.13</x:v>
      </x:c>
      <x:c r="X110" s="52" t="n">
        <x:v>25.295710093716355</x:v>
      </x:c>
    </x:row>
    <x:row r="111">
      <x:c r="C111" s="19" t="n">
        <x:v>39904</x:v>
      </x:c>
      <x:c r="D111" s="46" t="n">
        <x:v>4386.1196</x:v>
      </x:c>
      <x:c r="E111" s="52" t="n">
        <x:v>-10.915519577554088</x:v>
      </x:c>
      <x:c r="F111" s="46"/>
      <x:c r="G111" s="46"/>
      <x:c r="H111" s="52" t="n">
        <x:v>0.9666666666666668</x:v>
      </x:c>
      <x:c r="I111" s="52" t="n">
        <x:v>-1</x:v>
      </x:c>
      <x:c r="J111" s="52" t="n">
        <x:v>4.306666666666667</x:v>
      </x:c>
      <x:c r="K111" s="52" t="n">
        <x:v>-0.28499999999999925</x:v>
      </x:c>
      <x:c r="L111" s="52" t="n">
        <x:v>5.61</x:v>
      </x:c>
      <x:c r="M111" s="52" t="n">
        <x:v>-0.29000000000000004</x:v>
      </x:c>
      <x:c r="N111" s="52" t="n">
        <x:v>1.2347052800000036</x:v>
      </x:c>
      <x:c r="O111" s="46" t="n">
        <x:v>110.5712</x:v>
      </x:c>
      <x:c r="P111" s="52" t="n">
        <x:v>-0.3243320272832912</x:v>
      </x:c>
      <x:c r="Q111" s="46" t="n">
        <x:v>240.85724496000003</x:v>
      </x:c>
      <x:c r="R111" s="52" t="n">
        <x:v>-6.462647596879941</x:v>
      </x:c>
      <x:c r="S111" s="58" t="n">
        <x:v>2.1783</x:v>
      </x:c>
      <x:c r="T111" s="52" t="n">
        <x:v>-6.138315569596637</x:v>
      </x:c>
      <x:c r="U111" s="52" t="n">
        <x:v>9.892</x:v>
      </x:c>
      <x:c r="V111" s="52" t="n">
        <x:v>-1.2720000000000002</x:v>
      </x:c>
      <x:c r="W111" s="46" t="n">
        <x:v>50.3</x:v>
      </x:c>
      <x:c r="X111" s="52" t="n">
        <x:v>12.995925149725828</x:v>
      </x:c>
    </x:row>
    <x:row r="112">
      <x:c r="C112" s="19" t="n">
        <x:v>39934</x:v>
      </x:c>
      <x:c r="D112" s="46" t="n">
        <x:v>4291.2329</x:v>
      </x:c>
      <x:c r="E112" s="52" t="n">
        <x:v>-10.424642741186013</x:v>
      </x:c>
      <x:c r="F112" s="46"/>
      <x:c r="G112" s="46"/>
      <x:c r="H112" s="52" t="n">
        <x:v>1.0325</x:v>
      </x:c>
      <x:c r="I112" s="52" t="n">
        <x:v>-0.8008333333333333</x:v>
      </x:c>
      <x:c r="J112" s="52" t="n">
        <x:v>4.3175</x:v>
      </x:c>
      <x:c r="K112" s="52" t="n">
        <x:v>-0.31583333333333385</x:v>
      </x:c>
      <x:c r="L112" s="52" t="n">
        <x:v>5.53</x:v>
      </x:c>
      <x:c r="M112" s="52" t="n">
        <x:v>-0.3099999999999996</x:v>
      </x:c>
      <x:c r="N112" s="52" t="n">
        <x:v>1.2347052800000036</x:v>
      </x:c>
      <x:c r="O112" s="46" t="n">
        <x:v>124.9324</x:v>
      </x:c>
      <x:c r="P112" s="52" t="n">
        <x:v>16.444691086079885</x:v>
      </x:c>
      <x:c r="Q112" s="46" t="n">
        <x:v>246.49162520000002</x:v>
      </x:c>
      <x:c r="R112" s="52" t="n">
        <x:v>-2.2425854800473646</x:v>
      </x:c>
      <x:c r="S112" s="58" t="n">
        <x:v>1.973</x:v>
      </x:c>
      <x:c r="T112" s="52" t="n">
        <x:v>-18.687276566127263</x:v>
      </x:c>
      <x:c r="U112" s="52" t="n">
        <x:v>9.339</x:v>
      </x:c>
      <x:c r="V112" s="52" t="n">
        <x:v>-1.2809999999999988</x:v>
      </x:c>
      <x:c r="W112" s="46" t="n">
        <x:v>64.98</x:v>
      </x:c>
      <x:c r="X112" s="52" t="n">
        <x:v>38.061486093694356</x:v>
      </x:c>
    </x:row>
    <x:row r="113">
      <x:c r="C113" s="19" t="n">
        <x:v>39965</x:v>
      </x:c>
      <x:c r="D113" s="46" t="n">
        <x:v>4325.3525</x:v>
      </x:c>
      <x:c r="E113" s="52" t="n">
        <x:v>-1.6614505060039821</x:v>
      </x:c>
      <x:c r="F113" s="46"/>
      <x:c r="G113" s="46"/>
      <x:c r="H113" s="52" t="n">
        <x:v>1.505</x:v>
      </x:c>
      <x:c r="I113" s="52" t="n">
        <x:v>0.6449999999999999</x:v>
      </x:c>
      <x:c r="J113" s="52" t="n">
        <x:v>4.37</x:v>
      </x:c>
      <x:c r="K113" s="52" t="n">
        <x:v>0.004999999999999893</x:v>
      </x:c>
      <x:c r="L113" s="52" t="n">
        <x:v>5.2</x:v>
      </x:c>
      <x:c r="M113" s="52" t="n">
        <x:v>-0.7000000000000002</x:v>
      </x:c>
      <x:c r="N113" s="52" t="n">
        <x:v>1.154160511999991</x:v>
      </x:c>
      <x:c r="O113" s="46" t="n">
        <x:v>122.5361</x:v>
      </x:c>
      <x:c r="P113" s="52" t="n">
        <x:v>10.990727744751728</x:v>
      </x:c>
      <x:c r="Q113" s="46" t="n">
        <x:v>239.14145276000002</x:v>
      </x:c>
      <x:c r="R113" s="52" t="n">
        <x:v>-6.093925048801995</x:v>
      </x:c>
      <x:c r="S113" s="58" t="n">
        <x:v>1.9516</x:v>
      </x:c>
      <x:c r="T113" s="52" t="n">
        <x:v>-17.08465279355373</x:v>
      </x:c>
      <x:c r="U113" s="52" t="n">
        <x:v>9.226</x:v>
      </x:c>
      <x:c r="V113" s="52" t="n">
        <x:v>-0.5649999999999995</x:v>
      </x:c>
      <x:c r="W113" s="46" t="n">
        <x:v>68.11</x:v>
      </x:c>
      <x:c r="X113" s="52" t="n">
        <x:v>38.96605476834978</x:v>
      </x:c>
    </x:row>
    <x:row r="114">
      <x:c r="C114" s="19" t="n">
        <x:v>39995</x:v>
      </x:c>
      <x:c r="D114" s="46" t="n">
        <x:v>4410.8643</x:v>
      </x:c>
      <x:c r="E114" s="52" t="n">
        <x:v>0.5625738444721222</x:v>
      </x:c>
      <x:c r="F114" s="46"/>
      <x:c r="G114" s="46"/>
      <x:c r="H114" s="52" t="n">
        <x:v>1.9416666666666662</x:v>
      </x:c>
      <x:c r="I114" s="52" t="n">
        <x:v>0.9749999999999994</x:v>
      </x:c>
      <x:c r="J114" s="52" t="n">
        <x:v>4.4125</x:v>
      </x:c>
      <x:c r="K114" s="52" t="n">
        <x:v>0.105833333333333</x:v>
      </x:c>
      <x:c r="L114" s="52" t="n">
        <x:v>4.8</x:v>
      </x:c>
      <x:c r="M114" s="52" t="n">
        <x:v>-0.8100000000000005</x:v>
      </x:c>
      <x:c r="N114" s="52" t="n">
        <x:v>1.3156841215999693</x:v>
      </x:c>
      <x:c r="O114" s="46" t="n">
        <x:v>126.4754</x:v>
      </x:c>
      <x:c r="P114" s="52" t="n">
        <x:v>13.438816550455543</x:v>
      </x:c>
      <x:c r="Q114" s="46" t="n">
        <x:v>236.83783404</x:v>
      </x:c>
      <x:c r="R114" s="52" t="n">
        <x:v>-1.682875104496666</x:v>
      </x:c>
      <x:c r="S114" s="58" t="n">
        <x:v>1.8726</x:v>
      </x:c>
      <x:c r="T114" s="52" t="n">
        <x:v>-15.1216916549522</x:v>
      </x:c>
      <x:c r="U114" s="52" t="n">
        <x:v>9.205</x:v>
      </x:c>
      <x:c r="V114" s="52" t="n">
        <x:v>-0.6869999999999994</x:v>
      </x:c>
      <x:c r="W114" s="46" t="n">
        <x:v>70.08</x:v>
      </x:c>
      <x:c r="X114" s="52" t="n">
        <x:v>33.163236952244254</x:v>
      </x:c>
    </x:row>
    <x:row r="115">
      <x:c r="C115" s="19" t="n">
        <x:v>40026</x:v>
      </x:c>
      <x:c r="D115" s="46" t="n">
        <x:v>4481.2793</x:v>
      </x:c>
      <x:c r="E115" s="52" t="n">
        <x:v>4.33344827697454</x:v>
      </x:c>
      <x:c r="F115" s="46"/>
      <x:c r="G115" s="46"/>
      <x:c r="H115" s="52" t="n">
        <x:v>2.6133333333333337</x:v>
      </x:c>
      <x:c r="I115" s="52" t="n">
        <x:v>1.5808333333333338</x:v>
      </x:c>
      <x:c r="J115" s="52" t="n">
        <x:v>4.3</x:v>
      </x:c>
      <x:c r="K115" s="52" t="n">
        <x:v>-0.01750000000000007</x:v>
      </x:c>
      <x:c r="L115" s="52" t="n">
        <x:v>4.5</x:v>
      </x:c>
      <x:c r="M115" s="52" t="n">
        <x:v>-1.0300000000000002</x:v>
      </x:c>
      <x:c r="N115" s="52" t="n">
        <x:v>1.0736880607999932</x:v>
      </x:c>
      <x:c r="O115" s="46" t="n">
        <x:v>125.7191</x:v>
      </x:c>
      <x:c r="P115" s="52" t="n">
        <x:v>0.6277262120993933</x:v>
      </x:c>
      <x:c r="Q115" s="46" t="n">
        <x:v>237.15651024000002</x:v>
      </x:c>
      <x:c r="R115" s="52" t="n">
        <x:v>-3.860771411851485</x:v>
      </x:c>
      <x:c r="S115" s="58" t="n">
        <x:v>1.8864</x:v>
      </x:c>
      <x:c r="T115" s="52" t="n">
        <x:v>-4.488497623950887</x:v>
      </x:c>
      <x:c r="U115" s="52" t="n">
        <x:v>9.197</x:v>
      </x:c>
      <x:c r="V115" s="52" t="n">
        <x:v>-0.14200000000000124</x:v>
      </x:c>
      <x:c r="W115" s="46" t="n">
        <x:v>69.02</x:v>
      </x:c>
      <x:c r="X115" s="52" t="n">
        <x:v>6.031678742890297</x:v>
      </x:c>
    </x:row>
    <x:row r="116">
      <x:c r="C116" s="19" t="n">
        <x:v>40057</x:v>
      </x:c>
      <x:c r="D116" s="46" t="n">
        <x:v>4591.853</x:v>
      </x:c>
      <x:c r="E116" s="52" t="n">
        <x:v>5.979000635690616</x:v>
      </x:c>
      <x:c r="F116" s="46"/>
      <x:c r="G116" s="46"/>
      <x:c r="H116" s="52" t="n">
        <x:v>3.375</x:v>
      </x:c>
      <x:c r="I116" s="52" t="n">
        <x:v>1.87</x:v>
      </x:c>
      <x:c r="J116" s="52" t="n">
        <x:v>4.375</x:v>
      </x:c>
      <x:c r="K116" s="52" t="n">
        <x:v>0.004999999999999893</x:v>
      </x:c>
      <x:c r="L116" s="52" t="n">
        <x:v>4.36</x:v>
      </x:c>
      <x:c r="M116" s="52" t="n">
        <x:v>-0.8399999999999999</x:v>
      </x:c>
      <x:c r="N116" s="52" t="n">
        <x:v>0.7517652960000065</x:v>
      </x:c>
      <x:c r="O116" s="46" t="n">
        <x:v>127.6833</x:v>
      </x:c>
      <x:c r="P116" s="52" t="n">
        <x:v>4.114729878354081</x:v>
      </x:c>
      <x:c r="Q116" s="46" t="n">
        <x:v>227.03367573</x:v>
      </x:c>
      <x:c r="R116" s="52" t="n">
        <x:v>-5.195687169623925</x:v>
      </x:c>
      <x:c r="S116" s="58" t="n">
        <x:v>1.7781</x:v>
      </x:c>
      <x:c r="T116" s="52" t="n">
        <x:v>-9.310417047977994</x:v>
      </x:c>
      <x:c r="U116" s="52" t="n">
        <x:v>9.648</x:v>
      </x:c>
      <x:c r="V116" s="52" t="n">
        <x:v>0.4219999999999988</x:v>
      </x:c>
      <x:c r="W116" s="46" t="n">
        <x:v>65.82</x:v>
      </x:c>
      <x:c r="X116" s="52" t="n">
        <x:v>-3.420030173803321</x:v>
      </x:c>
    </x:row>
    <x:row r="117">
      <x:c r="C117" s="19" t="n">
        <x:v>40087</x:v>
      </x:c>
      <x:c r="D117" s="46" t="n">
        <x:v>4706.8179</x:v>
      </x:c>
      <x:c r="E117" s="52" t="n">
        <x:v>6.494141795833068</x:v>
      </x:c>
      <x:c r="F117" s="46"/>
      <x:c r="G117" s="46"/>
      <x:c r="H117" s="52" t="n">
        <x:v>4.03</x:v>
      </x:c>
      <x:c r="I117" s="52" t="n">
        <x:v>2.088333333333334</x:v>
      </x:c>
      <x:c r="J117" s="52" t="n">
        <x:v>4.42</x:v>
      </x:c>
      <x:c r="K117" s="52" t="n">
        <x:v>0.007500000000000284</x:v>
      </x:c>
      <x:c r="L117" s="52" t="n">
        <x:v>4.34</x:v>
      </x:c>
      <x:c r="M117" s="52" t="n">
        <x:v>-0.45999999999999996</x:v>
      </x:c>
      <x:c r="N117" s="52" t="n">
        <x:v>0.6312968640000083</x:v>
      </x:c>
      <x:c r="O117" s="46" t="n">
        <x:v>131.8621</x:v>
      </x:c>
      <x:c r="P117" s="52" t="n">
        <x:v>4.170885668706853</x:v>
      </x:c>
      <x:c r="Q117" s="46" t="n">
        <x:v>229.9675024</x:v>
      </x:c>
      <x:c r="R117" s="52" t="n">
        <x:v>-2.943765734879521</x:v>
      </x:c>
      <x:c r="S117" s="58" t="n">
        <x:v>1.744</x:v>
      </x:c>
      <x:c r="T117" s="52" t="n">
        <x:v>-7.114651403586389</x:v>
      </x:c>
      <x:c r="U117" s="52" t="n">
        <x:v>9.932</x:v>
      </x:c>
      <x:c r="V117" s="52" t="n">
        <x:v>0.7270000000000003</x:v>
      </x:c>
      <x:c r="W117" s="46" t="n">
        <x:v>74.91</x:v>
      </x:c>
      <x:c r="X117" s="52" t="n">
        <x:v>6.664994633165558</x:v>
      </x:c>
    </x:row>
    <x:row r="118">
      <x:c r="C118" s="19" t="n">
        <x:v>40118</x:v>
      </x:c>
      <x:c r="D118" s="46" t="n">
        <x:v>4877.7139</x:v>
      </x:c>
      <x:c r="E118" s="52" t="n">
        <x:v>8.4768083288503</x:v>
      </x:c>
      <x:c r="F118" s="46"/>
      <x:c r="G118" s="46"/>
      <x:c r="H118" s="52" t="n">
        <x:v>4.6</x:v>
      </x:c>
      <x:c r="I118" s="52" t="n">
        <x:v>1.986666666666666</x:v>
      </x:c>
      <x:c r="J118" s="52" t="n">
        <x:v>4.4425</x:v>
      </x:c>
      <x:c r="K118" s="52" t="n">
        <x:v>0.14250000000000007</x:v>
      </x:c>
      <x:c r="L118" s="52" t="n">
        <x:v>4.17</x:v>
      </x:c>
      <x:c r="M118" s="52" t="n">
        <x:v>-0.33000000000000007</x:v>
      </x:c>
      <x:c r="N118" s="52" t="n">
        <x:v>0.6714530080000003</x:v>
      </x:c>
      <x:c r="O118" s="46" t="n">
        <x:v>136.4934</x:v>
      </x:c>
      <x:c r="P118" s="52" t="n">
        <x:v>8.222620866945213</x:v>
      </x:c>
      <x:c r="Q118" s="46" t="n">
        <x:v>238.9316967</x:v>
      </x:c>
      <x:c r="R118" s="52" t="n">
        <x:v>0.7457419281065769</x:v>
      </x:c>
      <x:c r="S118" s="58" t="n">
        <x:v>1.7505</x:v>
      </x:c>
      <x:c r="T118" s="52" t="n">
        <x:v>-7.476878938838623</x:v>
      </x:c>
      <x:c r="U118" s="52" t="n">
        <x:v>10.122</x:v>
      </x:c>
      <x:c r="V118" s="52" t="n">
        <x:v>0.9250000000000007</x:v>
      </x:c>
      <x:c r="W118" s="46" t="n">
        <x:v>77.77</x:v>
      </x:c>
      <x:c r="X118" s="52" t="n">
        <x:v>11.935943503699468</x:v>
      </x:c>
    </x:row>
    <x:row r="119">
      <x:c r="C119" s="19" t="n">
        <x:v>40148</x:v>
      </x:c>
      <x:c r="D119" s="46" t="n">
        <x:v>5024.3701</x:v>
      </x:c>
      <x:c r="E119" s="52" t="n">
        <x:v>9.001644654419332</x:v>
      </x:c>
      <x:c r="F119" s="46"/>
      <x:c r="G119" s="46"/>
      <x:c r="H119" s="52" t="n">
        <x:v>5.2</x:v>
      </x:c>
      <x:c r="I119" s="52" t="n">
        <x:v>1.8250000000000002</x:v>
      </x:c>
      <x:c r="J119" s="52" t="n">
        <x:v>4.5</x:v>
      </x:c>
      <x:c r="K119" s="52" t="n">
        <x:v>0.125</x:v>
      </x:c>
      <x:c r="L119" s="52" t="n">
        <x:v>4.22</x:v>
      </x:c>
      <x:c r="M119" s="52" t="n">
        <x:v>-0.14000000000000057</x:v>
      </x:c>
      <x:c r="N119" s="52" t="n">
        <x:v>0.9328067551999775</x:v>
      </x:c>
      <x:c r="O119" s="46" t="n">
        <x:v>139.1873</x:v>
      </x:c>
      <x:c r="P119" s="52" t="n">
        <x:v>8.62675288737501</x:v>
      </x:c>
      <x:c r="Q119" s="46" t="n">
        <x:v>242.35292676</x:v>
      </x:c>
      <x:c r="R119" s="52" t="n">
        <x:v>6.52966810899905</x:v>
      </x:c>
      <x:c r="S119" s="58" t="n">
        <x:v>1.7412</x:v>
      </x:c>
      <x:c r="T119" s="52" t="n">
        <x:v>-2.097084778375971</x:v>
      </x:c>
      <x:c r="U119" s="52" t="n">
        <x:v>10.462</x:v>
      </x:c>
      <x:c r="V119" s="52" t="n">
        <x:v>0.8140000000000001</x:v>
      </x:c>
      <x:c r="W119" s="46" t="n">
        <x:v>77.91</x:v>
      </x:c>
      <x:c r="X119" s="52" t="n">
        <x:v>16.863057082757297</x:v>
      </x:c>
    </x:row>
    <x:row r="120">
      <x:c r="C120" s="19" t="n">
        <x:v>40179</x:v>
      </x:c>
      <x:c r="D120" s="46" t="n">
        <x:v>5092.3418</x:v>
      </x:c>
      <x:c r="E120" s="52" t="n">
        <x:v>7.872572873537266</x:v>
      </x:c>
      <x:c r="F120" s="46" t="n">
        <x:v>100</x:v>
      </x:c>
      <x:c r="G120" s="46"/>
      <x:c r="H120" s="52" t="n">
        <x:v>5.279166666666666</x:v>
      </x:c>
      <x:c r="I120" s="52" t="n">
        <x:v>1.2491666666666656</x:v>
      </x:c>
      <x:c r="J120" s="52" t="n">
        <x:v>4.61</x:v>
      </x:c>
      <x:c r="K120" s="52" t="n">
        <x:v>0.1900000000000004</x:v>
      </x:c>
      <x:c r="L120" s="52" t="n">
        <x:v>4.31</x:v>
      </x:c>
      <x:c r="M120" s="52" t="n">
        <x:v>-0.03000000000000025</x:v>
      </x:c>
      <x:c r="N120" s="52" t="n">
        <x:v>1.0637052475999997</x:v>
      </x:c>
      <x:c r="O120" s="46" t="n">
        <x:v>129.0506</x:v>
      </x:c>
      <x:c r="P120" s="52" t="n">
        <x:v>-2.1552104025911123</x:v>
      </x:c>
      <x:c r="Q120" s="46" t="n">
        <x:v>241.94406488</x:v>
      </x:c>
      <x:c r="R120" s="52" t="n">
        <x:v>5.076855755371504</x:v>
      </x:c>
      <x:c r="S120" s="58" t="n">
        <x:v>1.8748</x:v>
      </x:c>
      <x:c r="T120" s="52" t="n">
        <x:v>7.232066157962608</x:v>
      </x:c>
      <x:c r="U120" s="52" t="n">
        <x:v>10.487</x:v>
      </x:c>
      <x:c r="V120" s="52" t="n">
        <x:v>0.5549999999999997</x:v>
      </x:c>
      <x:c r="W120" s="46" t="n">
        <x:v>71.2</x:v>
      </x:c>
      <x:c r="X120" s="52" t="n">
        <x:v>-5.079457454186136</x:v>
      </x:c>
    </x:row>
    <x:row r="121">
      <x:c r="C121" s="19" t="n">
        <x:v>40210</x:v>
      </x:c>
      <x:c r="D121" s="46" t="n">
        <x:v>5157.1104</x:v>
      </x:c>
      <x:c r="E121" s="52" t="n">
        <x:v>5.569977564773272</x:v>
      </x:c>
      <x:c r="F121" s="46" t="n">
        <x:v>100.30086211198316</x:v>
      </x:c>
      <x:c r="G121" s="46"/>
      <x:c r="H121" s="52" t="n">
        <x:v>5.333333333333334</x:v>
      </x:c>
      <x:c r="I121" s="52" t="n">
        <x:v>0.7333333333333343</x:v>
      </x:c>
      <x:c r="J121" s="52" t="n">
        <x:v>4.846666666666667</x:v>
      </x:c>
      <x:c r="K121" s="52" t="n">
        <x:v>0.4041666666666668</x:v>
      </x:c>
      <x:c r="L121" s="52" t="n">
        <x:v>4.59</x:v>
      </x:c>
      <x:c r="M121" s="52" t="n">
        <x:v>0.41999999999999993</x:v>
      </x:c>
      <x:c r="N121" s="52" t="n">
        <x:v>1.5373783775000094</x:v>
      </x:c>
      <x:c r="O121" s="46" t="n">
        <x:v>133.8318</x:v>
      </x:c>
      <x:c r="P121" s="52" t="n">
        <x:v>-1.9692474190724574</x:v>
      </x:c>
      <x:c r="Q121" s="46" t="n">
        <x:v>242.36938979999996</x:v>
      </x:c>
      <x:c r="R121" s="52" t="n">
        <x:v>1.428524329796847</x:v>
      </x:c>
      <x:c r="S121" s="58" t="n">
        <x:v>1.811</x:v>
      </x:c>
      <x:c r="T121" s="52" t="n">
        <x:v>3.397771748869293</x:v>
      </x:c>
      <x:c r="U121" s="52" t="n">
        <x:v>10.749</x:v>
      </x:c>
      <x:c r="V121" s="52" t="n">
        <x:v>0.6270000000000007</x:v>
      </x:c>
      <x:c r="W121" s="46" t="n">
        <x:v>76.36</x:v>
      </x:c>
      <x:c r="X121" s="52" t="n">
        <x:v>-1.8296753849305025</x:v>
      </x:c>
    </x:row>
    <x:row r="122">
      <x:c r="C122" s="19" t="n">
        <x:v>40238</x:v>
      </x:c>
      <x:c r="D122" s="46" t="n">
        <x:v>5539.7319</x:v>
      </x:c>
      <x:c r="E122" s="52" t="n">
        <x:v>9.76460132324487</x:v>
      </x:c>
      <x:c r="F122" s="46" t="n">
        <x:v>107.85583702785078</x:v>
      </x:c>
      <x:c r="G122" s="46"/>
      <x:c r="H122" s="52" t="n">
        <x:v>5.265</x:v>
      </x:c>
      <x:c r="I122" s="52" t="n">
        <x:v>0.0649999999999995</x:v>
      </x:c>
      <x:c r="J122" s="52" t="n">
        <x:v>5.0825</x:v>
      </x:c>
      <x:c r="K122" s="52" t="n">
        <x:v>0.5824999999999996</x:v>
      </x:c>
      <x:c r="L122" s="52" t="n">
        <x:v>4.83</x:v>
      </x:c>
      <x:c r="M122" s="52" t="n">
        <x:v>0.6100000000000003</x:v>
      </x:c>
      <x:c r="N122" s="52" t="n">
        <x:v>1.9115326450000136</x:v>
      </x:c>
      <x:c r="O122" s="46" t="n">
        <x:v>132.1517</x:v>
      </x:c>
      <x:c r="P122" s="52" t="n">
        <x:v>-5.187000296885202</x:v>
      </x:c>
      <x:c r="Q122" s="46" t="n">
        <x:v>235.3621777</x:v>
      </x:c>
      <x:c r="R122" s="52" t="n">
        <x:v>-2.9269529357332997</x:v>
      </x:c>
      <x:c r="S122" s="58" t="n">
        <x:v>1.781</x:v>
      </x:c>
      <x:c r="T122" s="52" t="n">
        <x:v>2.260047361151909</x:v>
      </x:c>
      <x:c r="U122" s="52" t="n">
        <x:v>10.847</x:v>
      </x:c>
      <x:c r="V122" s="52" t="n">
        <x:v>0.3849999999999998</x:v>
      </x:c>
      <x:c r="W122" s="46" t="n">
        <x:v>80.37</x:v>
      </x:c>
      <x:c r="X122" s="52" t="n">
        <x:v>3.10866578818604</x:v>
      </x:c>
    </x:row>
    <x:row r="123">
      <x:c r="C123" s="19" t="n">
        <x:v>40269</x:v>
      </x:c>
      <x:c r="D123" s="46" t="n">
        <x:v>5738.8687</x:v>
      </x:c>
      <x:c r="E123" s="52" t="n">
        <x:v>11.9524296970046</x:v>
      </x:c>
      <x:c r="F123" s="46" t="n">
        <x:v>111.33090373096024</x:v>
      </x:c>
      <x:c r="G123" s="46" t="n">
        <x:v>10.73366953065729</x:v>
      </x:c>
      <x:c r="H123" s="52" t="n">
        <x:v>5.539999999999999</x:v>
      </x:c>
      <x:c r="I123" s="52" t="n">
        <x:v>0.26083333333333325</x:v>
      </x:c>
      <x:c r="J123" s="52" t="n">
        <x:v>5.213333333333333</x:v>
      </x:c>
      <x:c r="K123" s="52" t="n">
        <x:v>0.6033333333333326</x:v>
      </x:c>
      <x:c r="L123" s="52" t="n">
        <x:v>5.17</x:v>
      </x:c>
      <x:c r="M123" s="52" t="n">
        <x:v>0.8600000000000003</x:v>
      </x:c>
      <x:c r="N123" s="52" t="n">
        <x:v>2.063836420000009</x:v>
      </x:c>
      <x:c r="O123" s="46" t="n">
        <x:v>134.7037</x:v>
      </x:c>
      <x:c r="P123" s="52" t="n">
        <x:v>4.287297597294373</x:v>
      </x:c>
      <x:c r="Q123" s="46" t="n">
        <x:v>233.11822321999998</x:v>
      </x:c>
      <x:c r="R123" s="52" t="n">
        <x:v>-3.7160841902969013</x:v>
      </x:c>
      <x:c r="S123" s="58" t="n">
        <x:v>1.7306</x:v>
      </x:c>
      <x:c r="T123" s="52" t="n">
        <x:v>-8.00338178759127</x:v>
      </x:c>
      <x:c r="U123" s="52" t="n">
        <x:v>11.664</x:v>
      </x:c>
      <x:c r="V123" s="52" t="n">
        <x:v>1.1769999999999996</x:v>
      </x:c>
      <x:c r="W123" s="46" t="n">
        <x:v>86.19</x:v>
      </x:c>
      <x:c r="X123" s="52" t="n">
        <x:v>19.10613432413778</x:v>
      </x:c>
    </x:row>
    <x:row r="124">
      <x:c r="C124" s="19" t="n">
        <x:v>40299</x:v>
      </x:c>
      <x:c r="D124" s="46" t="n">
        <x:v>5886.8281</x:v>
      </x:c>
      <x:c r="E124" s="52" t="n">
        <x:v>13.234090705283627</x:v>
      </x:c>
      <x:c r="F124" s="46" t="n">
        <x:v>117.42157900722496</x:v>
      </x:c>
      <x:c r="G124" s="46" t="n">
        <x:v>15.759640779595893</x:v>
      </x:c>
      <x:c r="H124" s="52" t="n">
        <x:v>5.684166666666667</x:v>
      </x:c>
      <x:c r="I124" s="52" t="n">
        <x:v>0.3508333333333331</x:v>
      </x:c>
      <x:c r="J124" s="52" t="n">
        <x:v>5.3075</x:v>
      </x:c>
      <x:c r="K124" s="52" t="n">
        <x:v>0.46083333333333343</x:v>
      </x:c>
      <x:c r="L124" s="52" t="n">
        <x:v>5.26</x:v>
      </x:c>
      <x:c r="M124" s="52" t="n">
        <x:v>0.6699999999999999</x:v>
      </x:c>
      <x:c r="N124" s="52" t="n">
        <x:v>1.8814891192000083</x:v>
      </x:c>
      <x:c r="O124" s="46" t="n">
        <x:v>125.3626</x:v>
      </x:c>
      <x:c r="P124" s="52" t="n">
        <x:v>-6.537344951624259</x:v>
      </x:c>
      <x:c r="Q124" s="46" t="n">
        <x:v>227.74623542</x:v>
      </x:c>
      <x:c r="R124" s="52" t="n">
        <x:v>-6.22309599549566</x:v>
      </x:c>
      <x:c r="S124" s="58" t="n">
        <x:v>1.8167</x:v>
      </x:c>
      <x:c r="T124" s="52" t="n">
        <x:v>0.31424895612859344</x:v>
      </x:c>
      <x:c r="U124" s="52" t="n">
        <x:v>11.543</x:v>
      </x:c>
      <x:c r="V124" s="52" t="n">
        <x:v>0.7939999999999987</x:v>
      </x:c>
      <x:c r="W124" s="46" t="n">
        <x:v>73</x:v>
      </x:c>
      <x:c r="X124" s="52" t="n">
        <x:v>-4.499955770915575</x:v>
      </x:c>
    </x:row>
    <x:row r="125">
      <x:c r="C125" s="19" t="n">
        <x:v>40330</x:v>
      </x:c>
      <x:c r="D125" s="46" t="n">
        <x:v>6036.2388</x:v>
      </x:c>
      <x:c r="E125" s="52" t="n">
        <x:v>8.583499666089283</x:v>
      </x:c>
      <x:c r="F125" s="46" t="n">
        <x:v>120.71903599470674</x:v>
      </x:c>
      <x:c r="G125" s="46" t="n">
        <x:v>11.267033586918192</x:v>
      </x:c>
      <x:c r="H125" s="52" t="n">
        <x:v>5.84</x:v>
      </x:c>
      <x:c r="I125" s="52" t="n">
        <x:v>0.5750000000000002</x:v>
      </x:c>
      <x:c r="J125" s="52" t="n">
        <x:v>5.175</x:v>
      </x:c>
      <x:c r="K125" s="52" t="n">
        <x:v>0.09250000000000025</x:v>
      </x:c>
      <x:c r="L125" s="52" t="n">
        <x:v>5.22</x:v>
      </x:c>
      <x:c r="M125" s="52" t="n">
        <x:v>0.3899999999999997</x:v>
      </x:c>
      <x:c r="N125" s="52" t="n">
        <x:v>1.5276637452000141</x:v>
      </x:c>
      <x:c r="O125" s="46" t="n">
        <x:v>125.7471</x:v>
      </x:c>
      <x:c r="P125" s="52" t="n">
        <x:v>-4.967775805335338</x:v>
      </x:c>
      <x:c r="Q125" s="46" t="n">
        <x:v>226.53340065</x:v>
      </x:c>
      <x:c r="R125" s="52" t="n">
        <x:v>-3.823311115486709</x:v>
      </x:c>
      <x:c r="S125" s="58" t="n">
        <x:v>1.8015</x:v>
      </x:c>
      <x:c r="T125" s="52" t="n">
        <x:v>1.1444646898486288</x:v>
      </x:c>
      <x:c r="U125" s="52" t="n">
        <x:v>11.861</x:v>
      </x:c>
      <x:c r="V125" s="52" t="n">
        <x:v>1.0140000000000011</x:v>
      </x:c>
      <x:c r="W125" s="46" t="n">
        <x:v>74.94</x:v>
      </x:c>
      <x:c r="X125" s="52" t="n">
        <x:v>-6.995317885908582</x:v>
      </x:c>
    </x:row>
    <x:row r="126">
      <x:c r="C126" s="19" t="n">
        <x:v>40360</x:v>
      </x:c>
      <x:c r="D126" s="46" t="n">
        <x:v>6179.5767</x:v>
      </x:c>
      <x:c r="E126" s="52" t="n">
        <x:v>7.398767366383117</x:v>
      </x:c>
      <x:c r="F126" s="46" t="n">
        <x:v>123.73956981581597</x:v>
      </x:c>
      <x:c r="G126" s="46" t="n">
        <x:v>10.567223228537411</x:v>
      </x:c>
      <x:c r="H126" s="52" t="n">
        <x:v>5.625</x:v>
      </x:c>
      <x:c r="I126" s="52" t="n">
        <x:v>0.08500000000000085</x:v>
      </x:c>
      <x:c r="J126" s="52" t="n">
        <x:v>4.995833333333333</x:v>
      </x:c>
      <x:c r="K126" s="52" t="n">
        <x:v>-0.21750000000000025</x:v>
      </x:c>
      <x:c r="L126" s="52" t="n">
        <x:v>4.84</x:v>
      </x:c>
      <x:c r="M126" s="52" t="n">
        <x:v>-0.33000000000000007</x:v>
      </x:c>
      <x:c r="N126" s="52" t="n">
        <x:v>1.0024510000000042</x:v>
      </x:c>
      <x:c r="O126" s="46" t="n">
        <x:v>134.2481</x:v>
      </x:c>
      <x:c r="P126" s="52" t="n">
        <x:v>-0.3387970898833806</x:v>
      </x:c>
      <x:c r="Q126" s="46" t="n">
        <x:v>235.90076132000002</x:v>
      </x:c>
      <x:c r="R126" s="52" t="n">
        <x:v>1.1865493030152365</x:v>
      </x:c>
      <x:c r="S126" s="58" t="n">
        <x:v>1.7572</x:v>
      </x:c>
      <x:c r="T126" s="52" t="n">
        <x:v>1.5253463928986057</x:v>
      </x:c>
      <x:c r="U126" s="52" t="n">
        <x:v>11.159</x:v>
      </x:c>
      <x:c r="V126" s="52" t="n">
        <x:v>-0.504999999999999</x:v>
      </x:c>
      <x:c r="W126" s="46" t="n">
        <x:v>77.5</x:v>
      </x:c>
      <x:c r="X126" s="52" t="n">
        <x:v>-10.627622530000652</x:v>
      </x:c>
    </x:row>
    <x:row r="127">
      <x:c r="C127" s="19" t="n">
        <x:v>40391</x:v>
      </x:c>
      <x:c r="D127" s="46" t="n">
        <x:v>6383.2007</x:v>
      </x:c>
      <x:c r="E127" s="52" t="n">
        <x:v>8.095231898704892</x:v>
      </x:c>
      <x:c r="F127" s="46" t="n">
        <x:v>127.89622592703361</x:v>
      </x:c>
      <x:c r="G127" s="46" t="n">
        <x:v>8.544850209051486</x:v>
      </x:c>
      <x:c r="H127" s="52" t="n">
        <x:v>5.366666666666667</x:v>
      </x:c>
      <x:c r="I127" s="52" t="n">
        <x:v>-0.3174999999999999</x:v>
      </x:c>
      <x:c r="J127" s="52" t="n">
        <x:v>4.923333333333334</x:v>
      </x:c>
      <x:c r="K127" s="52" t="n">
        <x:v>-0.3841666666666663</x:v>
      </x:c>
      <x:c r="L127" s="52" t="n">
        <x:v>4.6</x:v>
      </x:c>
      <x:c r="M127" s="52" t="n">
        <x:v>-0.6600000000000001</x:v>
      </x:c>
      <x:c r="N127" s="52" t="n">
        <x:v>0.44004300000000107</x:v>
      </x:c>
      <x:c r="O127" s="46" t="n">
        <x:v>130.8135</x:v>
      </x:c>
      <x:c r="P127" s="52" t="n">
        <x:v>4.256230660566574</x:v>
      </x:c>
      <x:c r="Q127" s="46" t="n">
        <x:v>229.708506</x:v>
      </x:c>
      <x:c r="R127" s="52" t="n">
        <x:v>0.8579133356028461</x:v>
      </x:c>
      <x:c r="S127" s="58" t="n">
        <x:v>1.756</x:v>
      </x:c>
      <x:c r="T127" s="52" t="n">
        <x:v>-3.3983173249637346</x:v>
      </x:c>
      <x:c r="U127" s="52" t="n">
        <x:v>11.095</x:v>
      </x:c>
      <x:c r="V127" s="52" t="n">
        <x:v>-0.4479999999999986</x:v>
      </x:c>
      <x:c r="W127" s="46" t="n">
        <x:v>75.51</x:v>
      </x:c>
      <x:c r="X127" s="52" t="n">
        <x:v>3.3805656666943156</x:v>
      </x:c>
    </x:row>
    <x:row r="128">
      <x:c r="C128" s="19" t="n">
        <x:v>40422</x:v>
      </x:c>
      <x:c r="D128" s="46" t="n">
        <x:v>6518.0547</x:v>
      </x:c>
      <x:c r="E128" s="52" t="n">
        <x:v>7.679486977770855</x:v>
      </x:c>
      <x:c r="F128" s="46" t="n">
        <x:v>129.58580699286512</x:v>
      </x:c>
      <x:c r="G128" s="46" t="n">
        <x:v>7.087743501408888</x:v>
      </x:c>
      <x:c r="H128" s="52" t="n">
        <x:v>5.2625</x:v>
      </x:c>
      <x:c r="I128" s="52" t="n">
        <x:v>-0.5774999999999997</x:v>
      </x:c>
      <x:c r="J128" s="52" t="n">
        <x:v>4.984999999999999</x:v>
      </x:c>
      <x:c r="K128" s="52" t="n">
        <x:v>-0.1900000000000004</x:v>
      </x:c>
      <x:c r="L128" s="52" t="n">
        <x:v>4.49</x:v>
      </x:c>
      <x:c r="M128" s="52" t="n">
        <x:v>-0.7299999999999995</x:v>
      </x:c>
      <x:c r="N128" s="52" t="n">
        <x:v>0.05000399999999239</x:v>
      </x:c>
      <x:c r="O128" s="46" t="n">
        <x:v>140.2939</x:v>
      </x:c>
      <x:c r="P128" s="52" t="n">
        <x:v>10.946676081863238</x:v>
      </x:c>
      <x:c r="Q128" s="46" t="n">
        <x:v>237.68592538000001</x:v>
      </x:c>
      <x:c r="R128" s="52" t="n">
        <x:v>4.805776262793502</x:v>
      </x:c>
      <x:c r="S128" s="58" t="n">
        <x:v>1.6942</x:v>
      </x:c>
      <x:c r="T128" s="52" t="n">
        <x:v>-6.14089981906975</x:v>
      </x:c>
      <x:c r="U128" s="52" t="n">
        <x:v>11.284</x:v>
      </x:c>
      <x:c r="V128" s="52" t="n">
        <x:v>-0.577</x:v>
      </x:c>
      <x:c r="W128" s="46" t="n">
        <x:v>80.77</x:v>
      </x:c>
      <x:c r="X128" s="52" t="n">
        <x:v>7.491781608866354</x:v>
      </x:c>
    </x:row>
    <x:row r="129">
      <x:c r="C129" s="19" t="n">
        <x:v>40452</x:v>
      </x:c>
      <x:c r="D129" s="46" t="n">
        <x:v>6240.7466</x:v>
      </x:c>
      <x:c r="E129" s="52" t="n">
        <x:v>0.9850048681981644</x:v>
      </x:c>
      <x:c r="F129" s="46" t="n">
        <x:v>131.47903950919024</x:v>
      </x:c>
      <x:c r="G129" s="46" t="n">
        <x:v>6.066832996561463</x:v>
      </x:c>
      <x:c r="H129" s="52" t="n">
        <x:v>5.016666666666667</x:v>
      </x:c>
      <x:c r="I129" s="52" t="n">
        <x:v>-0.6083333333333334</x:v>
      </x:c>
      <x:c r="J129" s="52" t="n">
        <x:v>5.040000000000001</x:v>
      </x:c>
      <x:c r="K129" s="52" t="n">
        <x:v>0.04416666666666824</x:v>
      </x:c>
      <x:c r="L129" s="52" t="n">
        <x:v>4.7</x:v>
      </x:c>
      <x:c r="M129" s="52" t="n">
        <x:v>-0.13999999999999968</x:v>
      </x:c>
      <x:c r="N129" s="52" t="n">
        <x:v>0.500229017999998</x:v>
      </x:c>
      <x:c r="O129" s="46" t="n">
        <x:v>147.2686</x:v>
      </x:c>
      <x:c r="P129" s="52" t="n">
        <x:v>9.25685497553647</x:v>
      </x:c>
      <x:c r="Q129" s="46" t="n">
        <x:v>250.56279604</x:v>
      </x:c>
      <x:c r="R129" s="52" t="n">
        <x:v>6.029835819552412</x:v>
      </x:c>
      <x:c r="S129" s="58" t="n">
        <x:v>1.7014</x:v>
      </x:c>
      <x:c r="T129" s="52" t="n">
        <x:v>-3.227019155984059</x:v>
      </x:c>
      <x:c r="U129" s="52" t="n">
        <x:v>11.209</x:v>
      </x:c>
      <x:c r="V129" s="52" t="n">
        <x:v>0.049999999999998934</x:v>
      </x:c>
      <x:c r="W129" s="46" t="n">
        <x:v>82.47</x:v>
      </x:c>
      <x:c r="X129" s="52" t="n">
        <x:v>6.215665448596274</x:v>
      </x:c>
    </x:row>
    <x:row r="130">
      <x:c r="C130" s="19" t="n">
        <x:v>40483</x:v>
      </x:c>
      <x:c r="D130" s="46" t="n">
        <x:v>6366.9932</x:v>
      </x:c>
      <x:c r="E130" s="52" t="n">
        <x:v>-0.2542315647385939</x:v>
      </x:c>
      <x:c r="F130" s="46" t="n">
        <x:v>133.93616761138898</x:v>
      </x:c>
      <x:c r="G130" s="46" t="n">
        <x:v>4.614412519462207</x:v>
      </x:c>
      <x:c r="H130" s="52" t="n">
        <x:v>4.762499999999999</x:v>
      </x:c>
      <x:c r="I130" s="52" t="n">
        <x:v>-0.6041666666666679</x:v>
      </x:c>
      <x:c r="J130" s="52" t="n">
        <x:v>5.246666666666666</x:v>
      </x:c>
      <x:c r="K130" s="52" t="n">
        <x:v>0.32333333333333236</x:v>
      </x:c>
      <x:c r="L130" s="52" t="n">
        <x:v>5.2</x:v>
      </x:c>
      <x:c r="M130" s="52" t="n">
        <x:v>0.6000000000000005</x:v>
      </x:c>
      <x:c r="N130" s="52" t="n">
        <x:v>1.2438563499999944</x:v>
      </x:c>
      <x:c r="O130" s="46" t="n">
        <x:v>146.7299</x:v>
      </x:c>
      <x:c r="P130" s="52" t="n">
        <x:v>11.482083698887287</x:v>
      </x:c>
      <x:c r="Q130" s="46" t="n">
        <x:v>251.80318138999996</x:v>
      </x:c>
      <x:c r="R130" s="52" t="n">
        <x:v>9.18366162020683</x:v>
      </x:c>
      <x:c r="S130" s="58" t="n">
        <x:v>1.7161</x:v>
      </x:c>
      <x:c r="T130" s="52" t="n">
        <x:v>-2.298422078680459</x:v>
      </x:c>
      <x:c r="U130" s="52" t="n">
        <x:v>11.936</x:v>
      </x:c>
      <x:c r="V130" s="52" t="n">
        <x:v>0.8409999999999993</x:v>
      </x:c>
      <x:c r="W130" s="46" t="n">
        <x:v>86.02</x:v>
      </x:c>
      <x:c r="X130" s="52" t="n">
        <x:v>13.031472954025606</x:v>
      </x:c>
    </x:row>
    <x:row r="131">
      <x:c r="C131" s="19" t="n">
        <x:v>40513</x:v>
      </x:c>
      <x:c r="D131" s="46" t="n">
        <x:v>6515.8379</x:v>
      </x:c>
      <x:c r="E131" s="52" t="n">
        <x:v>-0.03401593199217128</x:v>
      </x:c>
      <x:c r="F131" s="46" t="n">
        <x:v>136.62852278842817</x:v>
      </x:c>
      <x:c r="G131" s="46" t="n">
        <x:v>5.292246654892907</x:v>
      </x:c>
      <x:c r="H131" s="52" t="n">
        <x:v>4.5</x:v>
      </x:c>
      <x:c r="I131" s="52" t="n">
        <x:v>-0.7625000000000002</x:v>
      </x:c>
      <x:c r="J131" s="52" t="n">
        <x:v>5.32</x:v>
      </x:c>
      <x:c r="K131" s="52" t="n">
        <x:v>0.33500000000000085</x:v>
      </x:c>
      <x:c r="L131" s="52" t="n">
        <x:v>5.63</x:v>
      </x:c>
      <x:c r="M131" s="52" t="n">
        <x:v>1.1399999999999997</x:v>
      </x:c>
      <x:c r="N131" s="52" t="n">
        <x:v>2.04336301250001</x:v>
      </x:c>
      <x:c r="O131" s="46" t="n">
        <x:v>162.3929</x:v>
      </x:c>
      <x:c r="P131" s="52" t="n">
        <x:v>14.627919965770348</x:v>
      </x:c>
      <x:c r="Q131" s="46" t="n">
        <x:v>270.57904998</x:v>
      </x:c>
      <x:c r="R131" s="52" t="n">
        <x:v>12.961413120106178</x:v>
      </x:c>
      <x:c r="S131" s="58" t="n">
        <x:v>1.6662</x:v>
      </x:c>
      <x:c r="T131" s="52" t="n">
        <x:v>-1.6665068456641716</x:v>
      </x:c>
      <x:c r="U131" s="52" t="n">
        <x:v>12.031</x:v>
      </x:c>
      <x:c r="V131" s="52" t="n">
        <x:v>0.7469999999999999</x:v>
      </x:c>
      <x:c r="W131" s="46" t="n">
        <x:v>93.23</x:v>
      </x:c>
      <x:c r="X131" s="52" t="n">
        <x:v>14.346394885439743</x:v>
      </x:c>
    </x:row>
    <x:row r="132">
      <x:c r="C132" s="19" t="n">
        <x:v>40544</x:v>
      </x:c>
      <x:c r="D132" s="46" t="n">
        <x:v>6453.5439</x:v>
      </x:c>
      <x:c r="E132" s="52" t="n">
        <x:v>3.3529599120183837</x:v>
      </x:c>
      <x:c r="F132" s="46" t="n">
        <x:v>138.74926881841424</x:v>
      </x:c>
      <x:c r="G132" s="46" t="n">
        <x:v>5.3821039289810875</x:v>
      </x:c>
      <x:c r="H132" s="52" t="n">
        <x:v>4.591666666666666</x:v>
      </x:c>
      <x:c r="I132" s="52" t="n">
        <x:v>-0.4250000000000007</x:v>
      </x:c>
      <x:c r="J132" s="52" t="n">
        <x:v>5.589166666666666</x:v>
      </x:c>
      <x:c r="K132" s="52" t="n">
        <x:v>0.5491666666666655</x:v>
      </x:c>
      <x:c r="L132" s="52" t="n">
        <x:v>5.91</x:v>
      </x:c>
      <x:c r="M132" s="52" t="n">
        <x:v>1.21</x:v>
      </x:c>
      <x:c r="N132" s="52" t="n">
        <x:v>2.226218217499998</x:v>
      </x:c>
      <x:c r="O132" s="46" t="n">
        <x:v>163.9999</x:v>
      </x:c>
      <x:c r="P132" s="52" t="n">
        <x:v>10.760768772391271</x:v>
      </x:c>
      <x:c r="Q132" s="46" t="n">
        <x:v>274.43743266</x:v>
      </x:c>
      <x:c r="R132" s="52" t="n">
        <x:v>9.101373104362711</x:v>
      </x:c>
      <x:c r="S132" s="58" t="n">
        <x:v>1.6734</x:v>
      </x:c>
      <x:c r="T132" s="52" t="n">
        <x:v>-1.6593956680285724</x:v>
      </x:c>
      <x:c r="U132" s="52" t="n">
        <x:v>12.441</x:v>
      </x:c>
      <x:c r="V132" s="52" t="n">
        <x:v>1.232000000000001</x:v>
      </x:c>
      <x:c r="W132" s="46" t="n">
        <x:v>98.97</x:v>
      </x:c>
      <x:c r="X132" s="52" t="n">
        <x:v>18.238218306333575</x:v>
      </x:c>
    </x:row>
    <x:row r="133">
      <x:c r="C133" s="19" t="n">
        <x:v>40575</x:v>
      </x:c>
      <x:c r="D133" s="46" t="n">
        <x:v>6577.4609</x:v>
      </x:c>
      <x:c r="E133" s="52" t="n">
        <x:v>3.2521456379443</x:v>
      </x:c>
      <x:c r="F133" s="46" t="n">
        <x:v>140.79845162928132</x:v>
      </x:c>
      <x:c r="G133" s="46" t="n">
        <x:v>4.996612136647218</x:v>
      </x:c>
      <x:c r="H133" s="52" t="n">
        <x:v>4.333333333333333</x:v>
      </x:c>
      <x:c r="I133" s="52" t="n">
        <x:v>-0.42916666666666625</x:v>
      </x:c>
      <x:c r="J133" s="52" t="n">
        <x:v>5.63</x:v>
      </x:c>
      <x:c r="K133" s="52" t="n">
        <x:v>0.38333333333333375</x:v>
      </x:c>
      <x:c r="L133" s="52" t="n">
        <x:v>5.99</x:v>
      </x:c>
      <x:c r="M133" s="52" t="n">
        <x:v>0.79</x:v>
      </x:c>
      <x:c r="N133" s="52" t="n">
        <x:v>2.3073904006999824</x:v>
      </x:c>
      <x:c r="O133" s="46" t="n">
        <x:v>166.1437</x:v>
      </x:c>
      <x:c r="P133" s="52" t="n">
        <x:v>12.42595948420716</x:v>
      </x:c>
      <x:c r="Q133" s="46" t="n">
        <x:v>275.99791444</x:v>
      </x:c>
      <x:c r="R133" s="52" t="n">
        <x:v>9.17455531904127</x:v>
      </x:c>
      <x:c r="S133" s="58" t="n">
        <x:v>1.6612</x:v>
      </x:c>
      <x:c r="T133" s="52" t="n">
        <x:v>-3.2514041651658903</x:v>
      </x:c>
      <x:c r="U133" s="52" t="n">
        <x:v>12.616</x:v>
      </x:c>
      <x:c r="V133" s="52" t="n">
        <x:v>0.6799999999999997</x:v>
      </x:c>
      <x:c r="W133" s="46" t="n">
        <x:v>112.27</x:v>
      </x:c>
      <x:c r="X133" s="52" t="n">
        <x:v>26.632685711509797</x:v>
      </x:c>
    </x:row>
    <x:row r="134">
      <x:c r="C134" s="19" t="n">
        <x:v>40603</x:v>
      </x:c>
      <x:c r="D134" s="46" t="n">
        <x:v>6617.4038</x:v>
      </x:c>
      <x:c r="E134" s="52" t="n">
        <x:v>1.5467304596451164</x:v>
      </x:c>
      <x:c r="F134" s="46" t="n">
        <x:v>142.69494007824056</x:v>
      </x:c>
      <x:c r="G134" s="46" t="n">
        <x:v>4.344333487143501</x:v>
      </x:c>
      <x:c r="H134" s="52" t="n">
        <x:v>4.075</x:v>
      </x:c>
      <x:c r="I134" s="52" t="n">
        <x:v>-0.4249999999999998</x:v>
      </x:c>
      <x:c r="J134" s="52" t="n">
        <x:v>5.765</x:v>
      </x:c>
      <x:c r="K134" s="52" t="n">
        <x:v>0.4449999999999994</x:v>
      </x:c>
      <x:c r="L134" s="52" t="n">
        <x:v>6.01</x:v>
      </x:c>
      <x:c r="M134" s="52" t="n">
        <x:v>0.3799999999999999</x:v>
      </x:c>
      <x:c r="N134" s="52" t="n">
        <x:v>2.276950831999991</x:v>
      </x:c>
      <x:c r="O134" s="46" t="n">
        <x:v>169.5579</x:v>
      </x:c>
      <x:c r="P134" s="52" t="n">
        <x:v>4.317575385123796</x:v>
      </x:c>
      <x:c r="Q134" s="46" t="n">
        <x:v>276.15895173</x:v>
      </x:c>
      <x:c r="R134" s="52" t="n">
        <x:v>2.0412319889944217</x:v>
      </x:c>
      <x:c r="S134" s="58" t="n">
        <x:v>1.6287</x:v>
      </x:c>
      <x:c r="T134" s="52" t="n">
        <x:v>-2.276343396129368</x:v>
      </x:c>
      <x:c r="U134" s="52" t="n">
        <x:v>12.279</x:v>
      </x:c>
      <x:c r="V134" s="52" t="n">
        <x:v>0.24799999999999933</x:v>
      </x:c>
      <x:c r="W134" s="46" t="n">
        <x:v>116.94</x:v>
      </x:c>
      <x:c r="X134" s="52" t="n">
        <x:v>22.659142443892218</x:v>
      </x:c>
    </x:row>
    <x:row r="135">
      <x:c r="C135" s="19" t="n">
        <x:v>40634</x:v>
      </x:c>
      <x:c r="D135" s="46" t="n">
        <x:v>6699.9399</x:v>
      </x:c>
      <x:c r="E135" s="52" t="n">
        <x:v>3.7469134427200577</x:v>
      </x:c>
      <x:c r="F135" s="46" t="n">
        <x:v>143.79969780863638</x:v>
      </x:c>
      <x:c r="G135" s="46" t="n">
        <x:v>3.575286097942988</x:v>
      </x:c>
      <x:c r="H135" s="52" t="n">
        <x:v>4.083333333333333</x:v>
      </x:c>
      <x:c r="I135" s="52" t="n">
        <x:v>-0.5083333333333329</x:v>
      </x:c>
      <x:c r="J135" s="52" t="n">
        <x:v>5.913333333333333</x:v>
      </x:c>
      <x:c r="K135" s="52" t="n">
        <x:v>0.3241666666666667</x:v>
      </x:c>
      <x:c r="L135" s="52" t="n">
        <x:v>6.3</x:v>
      </x:c>
      <x:c r="M135" s="52" t="n">
        <x:v>0.3899999999999997</x:v>
      </x:c>
      <x:c r="N135" s="52" t="n">
        <x:v>2.4395694559999903</x:v>
      </x:c>
      <x:c r="O135" s="46" t="n">
        <x:v>175.4211</x:v>
      </x:c>
      <x:c r="P135" s="52" t="n">
        <x:v>6.732355110035051</x:v>
      </x:c>
      <x:c r="Q135" s="46" t="n">
        <x:v>275.99001662999996</x:v>
      </x:c>
      <x:c r="R135" s="52" t="n">
        <x:v>0.5641390485229616</x:v>
      </x:c>
      <x:c r="S135" s="58" t="n">
        <x:v>1.5733</x:v>
      </x:c>
      <x:c r="T135" s="52" t="n">
        <x:v>-6.1682160615120765</x:v>
      </x:c>
      <x:c r="U135" s="52" t="n">
        <x:v>12.515</x:v>
      </x:c>
      <x:c r="V135" s="52" t="n">
        <x:v>0.07399999999999984</x:v>
      </x:c>
      <x:c r="W135" s="46" t="n">
        <x:v>126.59</x:v>
      </x:c>
      <x:c r="X135" s="52" t="n">
        <x:v>24.613674374013726</x:v>
      </x:c>
    </x:row>
    <x:row r="136">
      <x:c r="C136" s="19" t="n">
        <x:v>40664</x:v>
      </x:c>
      <x:c r="D136" s="46" t="n">
        <x:v>6627.1685</x:v>
      </x:c>
      <x:c r="E136" s="52" t="n">
        <x:v>0.7528849662400903</x:v>
      </x:c>
      <x:c r="F136" s="46" t="n">
        <x:v>144.24688223162315</x:v>
      </x:c>
      <x:c r="G136" s="46" t="n">
        <x:v>2.4196844796689168</x:v>
      </x:c>
      <x:c r="H136" s="52" t="n">
        <x:v>4.083333333333334</x:v>
      </x:c>
      <x:c r="I136" s="52" t="n">
        <x:v>-0.2499999999999991</x:v>
      </x:c>
      <x:c r="J136" s="52" t="n">
        <x:v>5.753333333333333</x:v>
      </x:c>
      <x:c r="K136" s="52" t="n">
        <x:v>0.12333333333333307</x:v>
      </x:c>
      <x:c r="L136" s="52" t="n">
        <x:v>6.51</x:v>
      </x:c>
      <x:c r="M136" s="52" t="n">
        <x:v>0.5199999999999996</x:v>
      </x:c>
      <x:c r="N136" s="52" t="n">
        <x:v>2.3786116640000188</x:v>
      </x:c>
      <x:c r="O136" s="46" t="n">
        <x:v>166.5416</x:v>
      </x:c>
      <x:c r="P136" s="52" t="n">
        <x:v>0.23920515257450553</x:v>
      </x:c>
      <x:c r="Q136" s="46" t="n">
        <x:v>263.11907384</x:v>
      </x:c>
      <x:c r="R136" s="52" t="n">
        <x:v>-4.778662735204998</x:v>
      </x:c>
      <x:c r="S136" s="58" t="n">
        <x:v>1.5799</x:v>
      </x:c>
      <x:c r="T136" s="52" t="n">
        <x:v>-5.017867887779512</x:v>
      </x:c>
      <x:c r="U136" s="52" t="n">
        <x:v>12.453</x:v>
      </x:c>
      <x:c r="V136" s="52" t="n">
        <x:v>-0.16300000000000026</x:v>
      </x:c>
      <x:c r="W136" s="46" t="n">
        <x:v>117.18</x:v>
      </x:c>
      <x:c r="X136" s="52" t="n">
        <x:v>4.280452964595464</x:v>
      </x:c>
    </x:row>
    <x:row r="137">
      <x:c r="C137" s="19" t="n">
        <x:v>40695</x:v>
      </x:c>
      <x:c r="D137" s="46" t="n">
        <x:v>6681.7876</x:v>
      </x:c>
      <x:c r="E137" s="52" t="n">
        <x:v>0.9682438737683198</x:v>
      </x:c>
      <x:c r="F137" s="46" t="n">
        <x:v>147.24423651038765</x:v>
      </x:c>
      <x:c r="G137" s="46" t="n">
        <x:v>3.1383615521902817</x:v>
      </x:c>
      <x:c r="H137" s="52" t="n">
        <x:v>4.02</x:v>
      </x:c>
      <x:c r="I137" s="52" t="n">
        <x:v>-0.055000000000000604</x:v>
      </x:c>
      <x:c r="J137" s="52" t="n">
        <x:v>5.625</x:v>
      </x:c>
      <x:c r="K137" s="52" t="n">
        <x:v>-0.13999999999999968</x:v>
      </x:c>
      <x:c r="L137" s="52" t="n">
        <x:v>6.55</x:v>
      </x:c>
      <x:c r="M137" s="52" t="n">
        <x:v>0.54</x:v>
      </x:c>
      <x:c r="N137" s="52" t="n">
        <x:v>2.0434435901000025</x:v>
      </x:c>
      <x:c r="O137" s="46" t="n">
        <x:v>158.1349</x:v>
      </x:c>
      <x:c r="P137" s="52" t="n">
        <x:v>-6.974599519368605</x:v>
      </x:c>
      <x:c r="Q137" s="46" t="n">
        <x:v>246.86439238999998</x:v>
      </x:c>
      <x:c r="R137" s="52" t="n">
        <x:v>-11.213744481058031</x:v>
      </x:c>
      <x:c r="S137" s="58" t="n">
        <x:v>1.5611</x:v>
      </x:c>
      <x:c r="T137" s="52" t="n">
        <x:v>-4.239144961689427</x:v>
      </x:c>
      <x:c r="U137" s="52" t="n">
        <x:v>12.645</x:v>
      </x:c>
      <x:c r="V137" s="52" t="n">
        <x:v>0.36599999999999966</x:v>
      </x:c>
      <x:c r="W137" s="46" t="n">
        <x:v>111.71</x:v>
      </x:c>
      <x:c r="X137" s="52" t="n">
        <x:v>-4.575475516476745</x:v>
      </x:c>
    </x:row>
    <x:row r="138">
      <x:c r="C138" s="19" t="n">
        <x:v>40725</x:v>
      </x:c>
      <x:c r="D138" s="46" t="n">
        <x:v>6576.8247</x:v>
      </x:c>
      <x:c r="E138" s="52" t="n">
        <x:v>-1.854649573286413</x:v>
      </x:c>
      <x:c r="F138" s="46" t="n">
        <x:v>146.99610673086733</x:v>
      </x:c>
      <x:c r="G138" s="46" t="n">
        <x:v>2.1984757789081537</x:v>
      </x:c>
      <x:c r="H138" s="52" t="n">
        <x:v>3.9833333333333334</x:v>
      </x:c>
      <x:c r="I138" s="52" t="n">
        <x:v>-0.09999999999999964</x:v>
      </x:c>
      <x:c r="J138" s="52" t="n">
        <x:v>5.720833333333333</x:v>
      </x:c>
      <x:c r="K138" s="52" t="n">
        <x:v>-0.1924999999999999</x:v>
      </x:c>
      <x:c r="L138" s="52" t="n">
        <x:v>6.71</x:v>
      </x:c>
      <x:c r="M138" s="52" t="n">
        <x:v>0.41000000000000014</x:v>
      </x:c>
      <x:c r="N138" s="52" t="n">
        <x:v>1.3954844285000156</x:v>
      </x:c>
      <x:c r="O138" s="46" t="n">
        <x:v>162.8146</x:v>
      </x:c>
      <x:c r="P138" s="52" t="n">
        <x:v>-7.457723903120848</x:v>
      </x:c>
      <x:c r="Q138" s="46" t="n">
        <x:v>253.38836198</x:v>
      </x:c>
      <x:c r="R138" s="52" t="n">
        <x:v>-8.544135406662166</x:v>
      </x:c>
      <x:c r="S138" s="58" t="n">
        <x:v>1.5563</x:v>
      </x:c>
      <x:c r="T138" s="52" t="n">
        <x:v>-1.0864115035413195</x:v>
      </x:c>
      <x:c r="U138" s="52" t="n">
        <x:v>12.582</x:v>
      </x:c>
      <x:c r="V138" s="52" t="n">
        <x:v>0.06700000000000017</x:v>
      </x:c>
      <x:c r="W138" s="46" t="n">
        <x:v>115.93</x:v>
      </x:c>
      <x:c r="X138" s="52" t="n">
        <x:v>-8.796695696642685</x:v>
      </x:c>
    </x:row>
    <x:row r="139">
      <x:c r="C139" s="19" t="n">
        <x:v>40756</x:v>
      </x:c>
      <x:c r="D139" s="46" t="n">
        <x:v>6496.6675</x:v>
      </x:c>
      <x:c r="E139" s="52" t="n">
        <x:v>-1.9888285946991708</x:v>
      </x:c>
      <x:c r="F139" s="46" t="n">
        <x:v>146.78724444965817</x:v>
      </x:c>
      <x:c r="G139" s="46" t="n">
        <x:v>1.7457930226261582</x:v>
      </x:c>
      <x:c r="H139" s="52" t="n">
        <x:v>3.8466666666666667</x:v>
      </x:c>
      <x:c r="I139" s="52" t="n">
        <x:v>-0.23666666666666725</x:v>
      </x:c>
      <x:c r="J139" s="52" t="n">
        <x:v>5.57</x:v>
      </x:c>
      <x:c r="K139" s="52" t="n">
        <x:v>-0.18333333333333268</x:v>
      </x:c>
      <x:c r="L139" s="52" t="n">
        <x:v>6.87</x:v>
      </x:c>
      <x:c r="M139" s="52" t="n">
        <x:v>0.3600000000000003</x:v>
      </x:c>
      <x:c r="N139" s="52" t="n">
        <x:v>0.7816981279999968</x:v>
      </x:c>
      <x:c r="O139" s="46" t="n">
        <x:v>164.4327</x:v>
      </x:c>
      <x:c r="P139" s="52" t="n">
        <x:v>-1.27437601105025</x:v>
      </x:c>
      <x:c r="Q139" s="46" t="n">
        <x:v>260.98758144</x:v>
      </x:c>
      <x:c r="R139" s="52" t="n">
        <x:v>-0.8133856458697605</x:v>
      </x:c>
      <x:c r="S139" s="58" t="n">
        <x:v>1.5872</x:v>
      </x:c>
      <x:c r="T139" s="52" t="n">
        <x:v>0.460990365180502</x:v>
      </x:c>
      <x:c r="U139" s="52" t="n">
        <x:v>11.221</x:v>
      </x:c>
      <x:c r="V139" s="52" t="n">
        <x:v>-1.2319999999999993</x:v>
      </x:c>
      <x:c r="W139" s="46" t="n">
        <x:v>116.48</x:v>
      </x:c>
      <x:c r="X139" s="52" t="n">
        <x:v>-0.5991629668266747</x:v>
      </x:c>
    </x:row>
    <x:row r="140">
      <x:c r="C140" s="19" t="n">
        <x:v>40787</x:v>
      </x:c>
      <x:c r="D140" s="46" t="n">
        <x:v>6368.4956</x:v>
      </x:c>
      <x:c r="E140" s="52" t="n">
        <x:v>-4.802228439228575</x:v>
      </x:c>
      <x:c r="F140" s="46" t="n">
        <x:v>147.66239982256994</x:v>
      </x:c>
      <x:c r="G140" s="46" t="n">
        <x:v>0.28359049333951153</x:v>
      </x:c>
      <x:c r="H140" s="52" t="n">
        <x:v>3.6525000000000003</x:v>
      </x:c>
      <x:c r="I140" s="52" t="n">
        <x:v>-0.36749999999999927</x:v>
      </x:c>
      <x:c r="J140" s="52" t="n">
        <x:v>5.7775</x:v>
      </x:c>
      <x:c r="K140" s="52" t="n">
        <x:v>0.15249999999999986</x:v>
      </x:c>
      <x:c r="L140" s="52" t="n">
        <x:v>7.23</x:v>
      </x:c>
      <x:c r="M140" s="52" t="n">
        <x:v>0.6800000000000006</x:v>
      </x:c>
      <x:c r="N140" s="52" t="n">
        <x:v>0.681387888000029</x:v>
      </x:c>
      <x:c r="O140" s="46" t="n">
        <x:v>140.2016</x:v>
      </x:c>
      <x:c r="P140" s="52" t="n">
        <x:v>-12.036707941403554</x:v>
      </x:c>
      <x:c r="Q140" s="46" t="n">
        <x:v>259.98984704000003</x:v>
      </x:c>
      <x:c r="R140" s="52" t="n">
        <x:v>5.180341320883078</x:v>
      </x:c>
      <x:c r="S140" s="58" t="n">
        <x:v>1.8544</x:v>
      </x:c>
      <x:c r="T140" s="52" t="n">
        <x:v>17.21704926228664</x:v>
      </x:c>
      <x:c r="U140" s="52" t="n">
        <x:v>10.385</x:v>
      </x:c>
      <x:c r="V140" s="52" t="n">
        <x:v>-2.26</x:v>
      </x:c>
      <x:c r="W140" s="46" t="n">
        <x:v>105.42</x:v>
      </x:c>
      <x:c r="X140" s="52" t="n">
        <x:v>-5.79538561556961</x:v>
      </x:c>
    </x:row>
    <x:row r="141">
      <x:c r="C141" s="19" t="n">
        <x:v>40817</x:v>
      </x:c>
      <x:c r="D141" s="46" t="n">
        <x:v>6295.1694</x:v>
      </x:c>
      <x:c r="E141" s="52" t="n">
        <x:v>-4.376948309410715</x:v>
      </x:c>
      <x:c r="F141" s="46" t="n">
        <x:v>146.14665075919007</x:v>
      </x:c>
      <x:c r="G141" s="46" t="n">
        <x:v>-0.5795526770544511</x:v>
      </x:c>
      <x:c r="H141" s="52" t="n">
        <x:v>3.4650000000000003</x:v>
      </x:c>
      <x:c r="I141" s="52" t="n">
        <x:v>-0.5183333333333331</x:v>
      </x:c>
      <x:c r="J141" s="52" t="n">
        <x:v>5.74</x:v>
      </x:c>
      <x:c r="K141" s="52" t="n">
        <x:v>0.019166666666666998</x:v>
      </x:c>
      <x:c r="L141" s="52" t="n">
        <x:v>7.31</x:v>
      </x:c>
      <x:c r="M141" s="52" t="n">
        <x:v>0.5999999999999996</x:v>
      </x:c>
      <x:c r="N141" s="52" t="n">
        <x:v>1.0634041376000214</x:v>
      </x:c>
      <x:c r="O141" s="46" t="n">
        <x:v>149.4779</x:v>
      </x:c>
      <x:c r="P141" s="52" t="n">
        <x:v>-8.546357432062525</x:v>
      </x:c>
      <x:c r="Q141" s="46" t="n">
        <x:v>252.39343415</x:v>
      </x:c>
      <x:c r="R141" s="52" t="n">
        <x:v>-0.3934222705967132</x:v>
      </x:c>
      <x:c r="S141" s="58" t="n">
        <x:v>1.6885</x:v>
      </x:c>
      <x:c r="T141" s="52" t="n">
        <x:v>8.152935161465802</x:v>
      </x:c>
      <x:c r="U141" s="52" t="n">
        <x:v>10.304</x:v>
      </x:c>
      <x:c r="V141" s="52" t="n">
        <x:v>-2.2780000000000005</x:v>
      </x:c>
      <x:c r="W141" s="46" t="n">
        <x:v>108.43</x:v>
      </x:c>
      <x:c r="X141" s="52" t="n">
        <x:v>-6.68817571982195</x:v>
      </x:c>
    </x:row>
    <x:row r="142">
      <x:c r="C142" s="19" t="n">
        <x:v>40848</x:v>
      </x:c>
      <x:c r="D142" s="46" t="n">
        <x:v>6285.0088</x:v>
      </x:c>
      <x:c r="E142" s="52" t="n">
        <x:v>-3.31221109219202</x:v>
      </x:c>
      <x:c r="F142" s="46" t="n">
        <x:v>146.24540693696042</x:v>
      </x:c>
      <x:c r="G142" s="46" t="n">
        <x:v>-0.3698141675742879</x:v>
      </x:c>
      <x:c r="H142" s="52" t="n">
        <x:v>3.4299999999999997</x:v>
      </x:c>
      <x:c r="I142" s="52" t="n">
        <x:v>-0.41666666666666696</x:v>
      </x:c>
      <x:c r="J142" s="52" t="n">
        <x:v>5.600833333333333</x:v>
      </x:c>
      <x:c r="K142" s="52" t="n">
        <x:v>0.030833333333332824</x:v>
      </x:c>
      <x:c r="L142" s="52" t="n">
        <x:v>6.97</x:v>
      </x:c>
      <x:c r="M142" s="52" t="n">
        <x:v>0.09999999999999964</x:v>
      </x:c>
      <x:c r="N142" s="52" t="n">
        <x:v>1.3358394323000233</x:v>
      </x:c>
      <x:c r="O142" s="46" t="n">
        <x:v>146.1596</x:v>
      </x:c>
      <x:c r="P142" s="52" t="n">
        <x:v>-11.78021926134383</x:v>
      </x:c>
      <x:c r="Q142" s="46" t="n">
        <x:v>264.68041964</x:v>
      </x:c>
      <x:c r="R142" s="52" t="n">
        <x:v>1.4050309103250225</x:v>
      </x:c>
      <x:c r="S142" s="58" t="n">
        <x:v>1.8109</x:v>
      </x:c>
      <x:c r="T142" s="52" t="n">
        <x:v>13.185250171668836</x:v>
      </x:c>
      <x:c r="U142" s="52" t="n">
        <x:v>9.661</x:v>
      </x:c>
      <x:c r="V142" s="52" t="n">
        <x:v>-1.5600000000000005</x:v>
      </x:c>
      <x:c r="W142" s="46" t="n">
        <x:v>111.22</x:v>
      </x:c>
      <x:c r="X142" s="52" t="n">
        <x:v>-4.620936268895792</x:v>
      </x:c>
    </x:row>
    <x:row r="143">
      <x:c r="C143" s="19" t="n">
        <x:v>40878</x:v>
      </x:c>
      <x:c r="D143" s="46" t="n">
        <x:v>6211.5342</x:v>
      </x:c>
      <x:c r="E143" s="52" t="n">
        <x:v>-2.4955353574030106</x:v>
      </x:c>
      <x:c r="F143" s="46" t="n">
        <x:v>144.25311476650197</x:v>
      </x:c>
      <x:c r="G143" s="46" t="n">
        <x:v>-2.3359087862348464</x:v>
      </x:c>
      <x:c r="H143" s="52" t="n">
        <x:v>3.3</x:v>
      </x:c>
      <x:c r="I143" s="52" t="n">
        <x:v>-0.3525000000000005</x:v>
      </x:c>
      <x:c r="J143" s="52" t="n">
        <x:v>5.32</x:v>
      </x:c>
      <x:c r="K143" s="52" t="n">
        <x:v>-0.4574999999999996</x:v>
      </x:c>
      <x:c r="L143" s="52" t="n">
        <x:v>6.64</x:v>
      </x:c>
      <x:c r="M143" s="52" t="n">
        <x:v>-0.5900000000000007</x:v>
      </x:c>
      <x:c r="N143" s="52" t="n">
        <x:v>1.4872828508000202</x:v>
      </x:c>
      <x:c r="O143" s="46" t="n">
        <x:v>140.6802</x:v>
      </x:c>
      <x:c r="P143" s="52" t="n">
        <x:v>0.34078424674052316</x:v>
      </x:c>
      <x:c r="Q143" s="46" t="n">
        <x:v>263.88791916</x:v>
      </x:c>
      <x:c r="R143" s="52" t="n">
        <x:v>1.4881883956756174</x:v>
      </x:c>
      <x:c r="S143" s="58" t="n">
        <x:v>1.8758</x:v>
      </x:c>
      <x:c r="T143" s="52" t="n">
        <x:v>1.1474041489350852</x:v>
      </x:c>
      <x:c r="U143" s="52" t="n">
        <x:v>10.04</x:v>
      </x:c>
      <x:c r="V143" s="52" t="n">
        <x:v>-0.34500000000000064</x:v>
      </x:c>
      <x:c r="W143" s="46" t="n">
        <x:v>108.09</x:v>
      </x:c>
      <x:c r="X143" s="52" t="n">
        <x:v>2.501184200105077</x:v>
      </x:c>
    </x:row>
    <x:row r="144">
      <x:c r="C144" s="19" t="n">
        <x:v>40909</x:v>
      </x:c>
      <x:c r="D144" s="46" t="n">
        <x:v>6355.9487</x:v>
      </x:c>
      <x:c r="E144" s="52" t="n">
        <x:v>0.9608600147526409</x:v>
      </x:c>
      <x:c r="F144" s="46" t="n">
        <x:v>142.77822450124617</x:v>
      </x:c>
      <x:c r="G144" s="46" t="n">
        <x:v>-2.331802604272237</x:v>
      </x:c>
      <x:c r="H144" s="52" t="n">
        <x:v>3.375</x:v>
      </x:c>
      <x:c r="I144" s="52" t="n">
        <x:v>-0.0900000000000003</x:v>
      </x:c>
      <x:c r="J144" s="52" t="n">
        <x:v>5.265833333333333</x:v>
      </x:c>
      <x:c r="K144" s="52" t="n">
        <x:v>-0.47416666666666707</x:v>
      </x:c>
      <x:c r="L144" s="52" t="n">
        <x:v>6.5</x:v>
      </x:c>
      <x:c r="M144" s="52" t="n">
        <x:v>-0.8099999999999996</x:v>
      </x:c>
      <x:c r="N144" s="52" t="n">
        <x:v>1.456997179999986</x:v>
      </x:c>
      <x:c r="O144" s="46" t="n">
        <x:v>144.1561</x:v>
      </x:c>
      <x:c r="P144" s="52" t="n">
        <x:v>-3.6251815596490102</x:v>
      </x:c>
      <x:c r="Q144" s="46" t="n">
        <x:v>250.70187351000004</x:v>
      </x:c>
      <x:c r="R144" s="52" t="n">
        <x:v>-0.6724638408315475</x:v>
      </x:c>
      <x:c r="S144" s="58" t="n">
        <x:v>1.7391</x:v>
      </x:c>
      <x:c r="T144" s="52" t="n">
        <x:v>2.9527177188174547</x:v>
      </x:c>
      <x:c r="U144" s="52" t="n">
        <x:v>9.55</x:v>
      </x:c>
      <x:c r="V144" s="52" t="n">
        <x:v>-0.7539999999999996</x:v>
      </x:c>
      <x:c r="W144" s="46" t="n">
        <x:v>110.26</x:v>
      </x:c>
      <x:c r="X144" s="52" t="n">
        <x:v>1.6736409677446895</x:v>
      </x:c>
    </x:row>
    <x:row r="145">
      <x:c r="C145" s="19" t="n">
        <x:v>40940</x:v>
      </x:c>
      <x:c r="D145" s="46" t="n">
        <x:v>6118.8467</x:v>
      </x:c>
      <x:c r="E145" s="52" t="n">
        <x:v>-2.67936111470243</x:v>
      </x:c>
      <x:c r="F145" s="46" t="n">
        <x:v>136.64994551769723</x:v>
      </x:c>
      <x:c r="G145" s="46" t="n">
        <x:v>-6.78635663851762</x:v>
      </x:c>
      <x:c r="H145" s="52" t="n">
        <x:v>3.433333333333333</x:v>
      </x:c>
      <x:c r="I145" s="52" t="n">
        <x:v>0.0033333333333334103</x:v>
      </x:c>
      <x:c r="J145" s="52" t="n">
        <x:v>5.220000000000001</x:v>
      </x:c>
      <x:c r="K145" s="52" t="n">
        <x:v>-0.38083333333333247</x:v>
      </x:c>
      <x:c r="L145" s="52" t="n">
        <x:v>6.22</x:v>
      </x:c>
      <x:c r="M145" s="52" t="n">
        <x:v>-0.75</x:v>
      </x:c>
      <x:c r="N145" s="52" t="n">
        <x:v>1.5883265600000085</x:v>
      </x:c>
      <x:c r="O145" s="46" t="n">
        <x:v>148.0367</x:v>
      </x:c>
      <x:c r="P145" s="52" t="n">
        <x:v>1.2761040657740312</x:v>
      </x:c>
      <x:c r="Q145" s="46" t="n">
        <x:v>253.02432764</x:v>
      </x:c>
      <x:c r="R145" s="52" t="n">
        <x:v>-4.503749381968661</x:v>
      </x:c>
      <x:c r="S145" s="58" t="n">
        <x:v>1.7092</x:v>
      </x:c>
      <x:c r="T145" s="52" t="n">
        <x:v>-5.779853447742686</x:v>
      </x:c>
      <x:c r="U145" s="52" t="n">
        <x:v>9.256</x:v>
      </x:c>
      <x:c r="V145" s="52" t="n">
        <x:v>-0.40499999999999936</x:v>
      </x:c>
      <x:c r="W145" s="46" t="n">
        <x:v>122.23</x:v>
      </x:c>
      <x:c r="X145" s="52" t="n">
        <x:v>9.43942940297536</x:v>
      </x:c>
    </x:row>
    <x:row r="146">
      <x:c r="C146" s="19" t="n">
        <x:v>40969</x:v>
      </x:c>
      <x:c r="D146" s="46" t="n">
        <x:v>6162.7573</x:v>
      </x:c>
      <x:c r="E146" s="52" t="n">
        <x:v>-0.7883627540189749</x:v>
      </x:c>
      <x:c r="F146" s="46" t="n">
        <x:v>136.86255013997098</x:v>
      </x:c>
      <x:c r="G146" s="46" t="n">
        <x:v>-5.259235943810018</x:v>
      </x:c>
      <x:c r="H146" s="52" t="n">
        <x:v>3.45</x:v>
      </x:c>
      <x:c r="I146" s="52" t="n">
        <x:v>0.15000000000000036</x:v>
      </x:c>
      <x:c r="J146" s="52" t="n">
        <x:v>5.3275</x:v>
      </x:c>
      <x:c r="K146" s="52" t="n">
        <x:v>0.007499999999999396</x:v>
      </x:c>
      <x:c r="L146" s="52" t="n">
        <x:v>5.84</x:v>
      </x:c>
      <x:c r="M146" s="52" t="n">
        <x:v>-0.7999999999999998</x:v>
      </x:c>
      <x:c r="N146" s="52" t="n">
        <x:v>1.5175825999999892</x:v>
      </x:c>
      <x:c r="O146" s="46" t="n">
        <x:v>141.9021</x:v>
      </x:c>
      <x:c r="P146" s="52" t="n">
        <x:v>0.8648153939860542</x:v>
      </x:c>
      <x:c r="Q146" s="46" t="n">
        <x:v>258.55981641</x:v>
      </x:c>
      <x:c r="R146" s="52" t="n">
        <x:v>-2.0397399079144503</x:v>
      </x:c>
      <x:c r="S146" s="58" t="n">
        <x:v>1.8221</x:v>
      </x:c>
      <x:c r="T146" s="52" t="n">
        <x:v>-2.904555301900504</x:v>
      </x:c>
      <x:c r="U146" s="52" t="n">
        <x:v>8.957</x:v>
      </x:c>
      <x:c r="V146" s="52" t="n">
        <x:v>-1.0829999999999984</x:v>
      </x:c>
      <x:c r="W146" s="46" t="n">
        <x:v>123.41</x:v>
      </x:c>
      <x:c r="X146" s="52" t="n">
        <x:v>13.254793203698048</x:v>
      </x:c>
    </x:row>
    <x:row r="147">
      <x:c r="C147" s="19" t="n">
        <x:v>41000</x:v>
      </x:c>
      <x:c r="D147" s="46" t="n">
        <x:v>6166.8301</x:v>
      </x:c>
      <x:c r="E147" s="52" t="n">
        <x:v>-3.0206231760308078</x:v>
      </x:c>
      <x:c r="F147" s="46" t="n">
        <x:v>135.32518422053235</x:v>
      </x:c>
      <x:c r="G147" s="46" t="n">
        <x:v>-5.361189478930763</x:v>
      </x:c>
      <x:c r="H147" s="52" t="n">
        <x:v>3.5933333333333337</x:v>
      </x:c>
      <x:c r="I147" s="52" t="n">
        <x:v>0.2183333333333337</x:v>
      </x:c>
      <x:c r="J147" s="52" t="n">
        <x:v>5.286666666666667</x:v>
      </x:c>
      <x:c r="K147" s="52" t="n">
        <x:v>0.020833333333333925</x:v>
      </x:c>
      <x:c r="L147" s="52" t="n">
        <x:v>5.24</x:v>
      </x:c>
      <x:c r="M147" s="52" t="n">
        <x:v>-1.2599999999999998</x:v>
      </x:c>
      <x:c r="N147" s="52" t="n">
        <x:v>1.224646292000009</x:v>
      </x:c>
      <x:c r="O147" s="46" t="n">
        <x:v>141.2917</x:v>
      </x:c>
      <x:c r="P147" s="52" t="n">
        <x:v>-2.007019252366838</x:v>
      </x:c>
      <x:c r="Q147" s="46" t="n">
        <x:v>267.29563806</x:v>
      </x:c>
      <x:c r="R147" s="52" t="n">
        <x:v>6.409082624160481</x:v>
      </x:c>
      <x:c r="S147" s="58" t="n">
        <x:v>1.8918</x:v>
      </x:c>
      <x:c r="T147" s="52" t="n">
        <x:v>8.416101876527312</x:v>
      </x:c>
      <x:c r="U147" s="52" t="n">
        <x:v>8.33</x:v>
      </x:c>
      <x:c r="V147" s="52" t="n">
        <x:v>-1.2200000000000006</x:v>
      </x:c>
      <x:c r="W147" s="46" t="n">
        <x:v>118.66</x:v>
      </x:c>
      <x:c r="X147" s="52" t="n">
        <x:v>7.342104766895968</x:v>
      </x:c>
    </x:row>
    <x:row r="148">
      <x:c r="C148" s="19" t="n">
        <x:v>41030</x:v>
      </x:c>
      <x:c r="D148" s="46" t="n">
        <x:v>6255.3511</x:v>
      </x:c>
      <x:c r="E148" s="52" t="n">
        <x:v>2.206364238539218</x:v>
      </x:c>
      <x:c r="F148" s="46" t="n">
        <x:v>134.76636953750423</x:v>
      </x:c>
      <x:c r="G148" s="46" t="n">
        <x:v>-1.387983046566278</x:v>
      </x:c>
      <x:c r="H148" s="52" t="n">
        <x:v>3.5316666666666663</x:v>
      </x:c>
      <x:c r="I148" s="52" t="n">
        <x:v>0.09833333333333316</x:v>
      </x:c>
      <x:c r="J148" s="52" t="n">
        <x:v>5.331666666666667</x:v>
      </x:c>
      <x:c r="K148" s="52" t="n">
        <x:v>0.11166666666666636</x:v>
      </x:c>
      <x:c r="L148" s="52" t="n">
        <x:v>5.1</x:v>
      </x:c>
      <x:c r="M148" s="52" t="n">
        <x:v>-1.12</x:v>
      </x:c>
      <x:c r="N148" s="52" t="n">
        <x:v>1.3051750480000068</x:v>
      </x:c>
      <x:c r="O148" s="46" t="n">
        <x:v>128.3789</x:v>
      </x:c>
      <x:c r="P148" s="52" t="n">
        <x:v>-14.247416846276954</x:v>
      </x:c>
      <x:c r="Q148" s="46" t="n">
        <x:v>259.62064947</x:v>
      </x:c>
      <x:c r="R148" s="52" t="n">
        <x:v>2.573588429486353</x:v>
      </x:c>
      <x:c r="S148" s="58" t="n">
        <x:v>2.0223</x:v>
      </x:c>
      <x:c r="T148" s="52" t="n">
        <x:v>16.821005275763294</x:v>
      </x:c>
      <x:c r="U148" s="52" t="n">
        <x:v>7.927</x:v>
      </x:c>
      <x:c r="V148" s="52" t="n">
        <x:v>-1.3290000000000006</x:v>
      </x:c>
      <x:c r="W148" s="46" t="n">
        <x:v>103.86</x:v>
      </x:c>
      <x:c r="X148" s="52" t="n">
        <x:v>-16.28606773729985</x:v>
      </x:c>
    </x:row>
    <x:row r="149">
      <x:c r="C149" s="19" t="n">
        <x:v>41061</x:v>
      </x:c>
      <x:c r="D149" s="46" t="n">
        <x:v>5999.645</x:v>
      </x:c>
      <x:c r="E149" s="52" t="n">
        <x:v>-2.682399022172054</x:v>
      </x:c>
      <x:c r="F149" s="46" t="n">
        <x:v>132.82405916755772</x:v>
      </x:c>
      <x:c r="G149" s="46" t="n">
        <x:v>-2.9951749488635997</x:v>
      </x:c>
      <x:c r="H149" s="52" t="n">
        <x:v>3.125</x:v>
      </x:c>
      <x:c r="I149" s="52" t="n">
        <x:v>-0.3250000000000002</x:v>
      </x:c>
      <x:c r="J149" s="52" t="n">
        <x:v>5.215</x:v>
      </x:c>
      <x:c r="K149" s="52" t="n">
        <x:v>-0.11249999999999982</x:v>
      </x:c>
      <x:c r="L149" s="52" t="n">
        <x:v>4.99</x:v>
      </x:c>
      <x:c r="M149" s="52" t="n">
        <x:v>-0.8499999999999996</x:v>
      </x:c>
      <x:c r="N149" s="52" t="n">
        <x:v>1.2144088384000051</x:v>
      </x:c>
      <x:c r="O149" s="46" t="n">
        <x:v>135.4213</x:v>
      </x:c>
      <x:c r="P149" s="52" t="n">
        <x:v>-4.674672343570449</x:v>
      </x:c>
      <x:c r="Q149" s="46" t="n">
        <x:v>273.72707369</x:v>
      </x:c>
      <x:c r="R149" s="52" t="n">
        <x:v>5.70044632614147</x:v>
      </x:c>
      <x:c r="S149" s="58" t="n">
        <x:v>2.0213</x:v>
      </x:c>
      <x:c r="T149" s="52" t="n">
        <x:v>10.375118669711934</x:v>
      </x:c>
      <x:c r="U149" s="52" t="n">
        <x:v>7.569</x:v>
      </x:c>
      <x:c r="V149" s="52" t="n">
        <x:v>-1.3880000000000008</x:v>
      </x:c>
      <x:c r="W149" s="46" t="n">
        <x:v>94.17</x:v>
      </x:c>
      <x:c r="X149" s="52" t="n">
        <x:v>-27.041048594312024</x:v>
      </x:c>
    </x:row>
    <x:row r="150">
      <x:c r="C150" s="19" t="n">
        <x:v>41091</x:v>
      </x:c>
      <x:c r="D150" s="46" t="n">
        <x:v>5781.3765</x:v>
      </x:c>
      <x:c r="E150" s="52" t="n">
        <x:v>-6.454314264738974</x:v>
      </x:c>
      <x:c r="F150" s="46" t="n">
        <x:v>128.94739106327017</x:v>
      </x:c>
      <x:c r="G150" s="46" t="n">
        <x:v>-4.827615403637655</x:v>
      </x:c>
      <x:c r="H150" s="52" t="n">
        <x:v>3.1833333333333327</x:v>
      </x:c>
      <x:c r="I150" s="52" t="n">
        <x:v>-0.41000000000000103</x:v>
      </x:c>
      <x:c r="J150" s="52" t="n">
        <x:v>5.2875</x:v>
      </x:c>
      <x:c r="K150" s="52" t="n">
        <x:v>0.0008333333333325754</x:v>
      </x:c>
      <x:c r="L150" s="52" t="n">
        <x:v>4.92</x:v>
      </x:c>
      <x:c r="M150" s="52" t="n">
        <x:v>-0.3200000000000003</x:v>
      </x:c>
      <x:c r="N150" s="52" t="n">
        <x:v>1.083105843199994</x:v>
      </x:c>
      <x:c r="O150" s="46" t="n">
        <x:v>144.169</x:v>
      </x:c>
      <x:c r="P150" s="52" t="n">
        <x:v>2.015967484767417</x:v>
      </x:c>
      <x:c r="Q150" s="46" t="n">
        <x:v>295.53203310000004</x:v>
      </x:c>
      <x:c r="R150" s="52" t="n">
        <x:v>10.04219295234464</x:v>
      </x:c>
      <x:c r="S150" s="58" t="n">
        <x:v>2.0499</x:v>
      </x:c>
      <x:c r="T150" s="52" t="n">
        <x:v>8.026225467577222</x:v>
      </x:c>
      <x:c r="U150" s="52" t="n">
        <x:v>7.455</x:v>
      </x:c>
      <x:c r="V150" s="52" t="n">
        <x:v>-0.875</x:v>
      </x:c>
      <x:c r="W150" s="46" t="n">
        <x:v>105.93</x:v>
      </x:c>
      <x:c r="X150" s="52" t="n">
        <x:v>-11.348376222209241</x:v>
      </x:c>
    </x:row>
    <x:row r="151">
      <x:c r="C151" s="19" t="n">
        <x:v>41122</x:v>
      </x:c>
      <x:c r="D151" s="46" t="n">
        <x:v>5480.9302</x:v>
      </x:c>
      <x:c r="E151" s="52" t="n">
        <x:v>-13.216244235820767</x:v>
      </x:c>
      <x:c r="F151" s="46" t="n">
        <x:v>125.57924362509543</x:v>
      </x:c>
      <x:c r="G151" s="46" t="n">
        <x:v>-7.060570059316632</x:v>
      </x:c>
      <x:c r="H151" s="52" t="n">
        <x:v>3.213333333333334</x:v>
      </x:c>
      <x:c r="I151" s="52" t="n">
        <x:v>-0.31833333333333247</x:v>
      </x:c>
      <x:c r="J151" s="52" t="n">
        <x:v>5.406666666666667</x:v>
      </x:c>
      <x:c r="K151" s="52" t="n">
        <x:v>0.07500000000000018</x:v>
      </x:c>
      <x:c r="L151" s="52" t="n">
        <x:v>5.2</x:v>
      </x:c>
      <x:c r="M151" s="52" t="n">
        <x:v>0.10000000000000053</x:v>
      </x:c>
      <x:c r="N151" s="52" t="n">
        <x:v>0.8721812384000049</x:v>
      </x:c>
      <x:c r="O151" s="46" t="n">
        <x:v>146.0275</x:v>
      </x:c>
      <x:c r="P151" s="52" t="n">
        <x:v>12.880891260182231</x:v>
      </x:c>
      <x:c r="Q151" s="46" t="n">
        <x:v>297.487223</x:v>
      </x:c>
      <x:c r="R151" s="52" t="n">
        <x:v>13.614975108476898</x:v>
      </x:c>
      <x:c r="S151" s="58" t="n">
        <x:v>2.0372</x:v>
      </x:c>
      <x:c r="T151" s="52" t="n">
        <x:v>0.7340838482946666</x:v>
      </x:c>
      <x:c r="U151" s="52" t="n">
        <x:v>7.494</x:v>
      </x:c>
      <x:c r="V151" s="52" t="n">
        <x:v>-0.43299999999999983</x:v>
      </x:c>
      <x:c r="W151" s="46" t="n">
        <x:v>113.93</x:v>
      </x:c>
      <x:c r="X151" s="52" t="n">
        <x:v>9.254038629385152</x:v>
      </x:c>
    </x:row>
    <x:row r="152">
      <x:c r="C152" s="19" t="n">
        <x:v>41153</x:v>
      </x:c>
      <x:c r="D152" s="46" t="n">
        <x:v>5175.2104</x:v>
      </x:c>
      <x:c r="E152" s="52" t="n">
        <x:v>-14.782030548118211</x:v>
      </x:c>
      <x:c r="F152" s="46" t="n">
        <x:v>122.75980325151448</x:v>
      </x:c>
      <x:c r="G152" s="46" t="n">
        <x:v>-7.879576202188764</x:v>
      </x:c>
      <x:c r="H152" s="52" t="n">
        <x:v>3.3925</x:v>
      </x:c>
      <x:c r="I152" s="52" t="n">
        <x:v>0.26750000000000007</x:v>
      </x:c>
      <x:c r="J152" s="52" t="n">
        <x:v>5.45</x:v>
      </x:c>
      <x:c r="K152" s="52" t="n">
        <x:v>0.23500000000000032</x:v>
      </x:c>
      <x:c r="L152" s="52" t="n">
        <x:v>5.24</x:v>
      </x:c>
      <x:c r="M152" s="52" t="n">
        <x:v>0.25</x:v>
      </x:c>
      <x:c r="N152" s="52" t="n">
        <x:v>0.9224364103999738</x:v>
      </x:c>
      <x:c r="O152" s="46" t="n">
        <x:v>148.5061</x:v>
      </x:c>
      <x:c r="P152" s="52" t="n">
        <x:v>9.223537506505679</x:v>
      </x:c>
      <x:c r="Q152" s="46" t="n">
        <x:v>301.55648666</x:v>
      </x:c>
      <x:c r="R152" s="52" t="n">
        <x:v>9.682582217922691</x:v>
      </x:c>
      <x:c r="S152" s="58" t="n">
        <x:v>2.0306</x:v>
      </x:c>
      <x:c r="T152" s="52" t="n">
        <x:v>0.4590447114170202</x:v>
      </x:c>
      <x:c r="U152" s="52" t="n">
        <x:v>7.479</x:v>
      </x:c>
      <x:c r="V152" s="52" t="n">
        <x:v>-0.08999999999999986</x:v>
      </x:c>
      <x:c r="W152" s="46" t="n">
        <x:v>111.36</x:v>
      </x:c>
      <x:c r="X152" s="52" t="n">
        <x:v>16.766653706413763</x:v>
      </x:c>
    </x:row>
    <x:row r="153">
      <x:c r="C153" s="19" t="n">
        <x:v>41183</x:v>
      </x:c>
      <x:c r="D153" s="46" t="n">
        <x:v>5126.7056</x:v>
      </x:c>
      <x:c r="E153" s="52" t="n">
        <x:v>-12.017853346145671</x:v>
      </x:c>
      <x:c r="F153" s="46" t="n">
        <x:v>119.13509812026193</x:v>
      </x:c>
      <x:c r="G153" s="46" t="n">
        <x:v>-7.914637247307754</x:v>
      </x:c>
      <x:c r="H153" s="52" t="n">
        <x:v>3.5900000000000003</x:v>
      </x:c>
      <x:c r="I153" s="52" t="n">
        <x:v>0.4066666666666676</x:v>
      </x:c>
      <x:c r="J153" s="52" t="n">
        <x:v>5.406666666666668</x:v>
      </x:c>
      <x:c r="K153" s="52" t="n">
        <x:v>0.11916666666666842</x:v>
      </x:c>
      <x:c r="L153" s="52" t="n">
        <x:v>5.28</x:v>
      </x:c>
      <x:c r="M153" s="52" t="n">
        <x:v>0.3600000000000003</x:v>
      </x:c>
      <x:c r="N153" s="52" t="n">
        <x:v>1.416561049100018</x:v>
      </x:c>
      <x:c r="O153" s="46" t="n">
        <x:v>142.7416</x:v>
      </x:c>
      <x:c r="P153" s="52" t="n">
        <x:v>-0.9950219872311585</x:v>
      </x:c>
      <x:c r="Q153" s="46" t="n">
        <x:v>289.95101208</x:v>
      </x:c>
      <x:c r="R153" s="52" t="n">
        <x:v>-1.9065249167444498</x:v>
      </x:c>
      <x:c r="S153" s="58" t="n">
        <x:v>2.0313</x:v>
      </x:c>
      <x:c r="T153" s="52" t="n">
        <x:v>-0.9115029295133007</x:v>
      </x:c>
      <x:c r="U153" s="52" t="n">
        <x:v>7.243</x:v>
      </x:c>
      <x:c r="V153" s="52" t="n">
        <x:v>-0.21199999999999974</x:v>
      </x:c>
      <x:c r="W153" s="46" t="n">
        <x:v>109.89</x:v>
      </x:c>
      <x:c r="X153" s="52" t="n">
        <x:v>3.670136685042796</x:v>
      </x:c>
    </x:row>
    <x:row r="154">
      <x:c r="C154" s="19" t="n">
        <x:v>41214</x:v>
      </x:c>
      <x:c r="D154" s="46" t="n">
        <x:v>5043.7334</x:v>
      </x:c>
      <x:c r="E154" s="52" t="n">
        <x:v>-8.312826925177642</x:v>
      </x:c>
      <x:c r="F154" s="46" t="n">
        <x:v>115.98942015717753</x:v>
      </x:c>
      <x:c r="G154" s="46" t="n">
        <x:v>-7.943800121023736</x:v>
      </x:c>
      <x:c r="H154" s="52" t="n">
        <x:v>3.4975</x:v>
      </x:c>
      <x:c r="I154" s="52" t="n">
        <x:v>0.28416666666666623</x:v>
      </x:c>
      <x:c r="J154" s="52" t="n">
        <x:v>5.4025</x:v>
      </x:c>
      <x:c r="K154" s="52" t="n">
        <x:v>-0.004166666666667318</x:v>
      </x:c>
      <x:c r="L154" s="52" t="n">
        <x:v>5.45</x:v>
      </x:c>
      <x:c r="M154" s="52" t="n">
        <x:v>0.25</x:v>
      </x:c>
      <x:c r="N154" s="52" t="n">
        <x:v>1.578132788300013</x:v>
      </x:c>
      <x:c r="O154" s="46" t="n">
        <x:v>142.8028</x:v>
      </x:c>
      <x:c r="P154" s="52" t="n">
        <x:v>-2.233030257953487</x:v>
      </x:c>
      <x:c r="Q154" s="46" t="n">
        <x:v>300.94262072</x:v>
      </x:c>
      <x:c r="R154" s="52" t="n">
        <x:v>1.1548341575442866</x:v>
      </x:c>
      <x:c r="S154" s="58" t="n">
        <x:v>2.1074</x:v>
      </x:c>
      <x:c r="T154" s="52" t="n">
        <x:v>3.387864415497785</x:v>
      </x:c>
      <x:c r="U154" s="52" t="n">
        <x:v>7.172</x:v>
      </x:c>
      <x:c r="V154" s="52" t="n">
        <x:v>-0.32200000000000006</x:v>
      </x:c>
      <x:c r="W154" s="46" t="n">
        <x:v>110.84</x:v>
      </x:c>
      <x:c r="X154" s="52" t="n">
        <x:v>-2.749650471524672</x:v>
      </x:c>
    </x:row>
    <x:row r="155">
      <x:c r="C155" s="19" t="n">
        <x:v>41244</x:v>
      </x:c>
      <x:c r="D155" s="46" t="n">
        <x:v>5211.2515</x:v>
      </x:c>
      <x:c r="E155" s="52" t="n">
        <x:v>0.694004272184837</x:v>
      </x:c>
      <x:c r="F155" s="46" t="n">
        <x:v>118.20478724857296</x:v>
      </x:c>
      <x:c r="G155" s="46" t="n">
        <x:v>-3.781102163302567</x:v>
      </x:c>
      <x:c r="H155" s="52" t="n">
        <x:v>3.3</x:v>
      </x:c>
      <x:c r="I155" s="52" t="n">
        <x:v>-0.09250000000000025</x:v>
      </x:c>
      <x:c r="J155" s="52" t="n">
        <x:v>5.47</x:v>
      </x:c>
      <x:c r="K155" s="52" t="n">
        <x:v>0.019999999999999574</x:v>
      </x:c>
      <x:c r="L155" s="52" t="n">
        <x:v>5.53</x:v>
      </x:c>
      <x:c r="M155" s="52" t="n">
        <x:v>0.29000000000000004</x:v>
      </x:c>
      <x:c r="N155" s="52" t="n">
        <x:v>1.770343178</x:v>
      </x:c>
      <x:c r="O155" s="46" t="n">
        <x:v>139.0707</x:v>
      </x:c>
      <x:c r="P155" s="52" t="n">
        <x:v>-6.564359792592615</x:v>
      </x:c>
      <x:c r="Q155" s="46" t="n">
        <x:v>284.19097544999994</x:v>
      </x:c>
      <x:c r="R155" s="52" t="n">
        <x:v>-5.931088978871665</x:v>
      </x:c>
      <x:c r="S155" s="58" t="n">
        <x:v>2.0435</x:v>
      </x:c>
      <x:c r="T155" s="52" t="n">
        <x:v>0.6332708137209588</x:v>
      </x:c>
      <x:c r="U155" s="52" t="n">
        <x:v>7.136</x:v>
      </x:c>
      <x:c r="V155" s="52" t="n">
        <x:v>-0.34299999999999997</x:v>
      </x:c>
      <x:c r="W155" s="46" t="n">
        <x:v>110.8</x:v>
      </x:c>
      <x:c r="X155" s="52" t="n">
        <x:v>-0.5041422272926153</x:v>
      </x:c>
    </x:row>
    <x:row r="156">
      <x:c r="C156" s="19" t="n">
        <x:v>41275</x:v>
      </x:c>
      <x:c r="D156" s="46" t="n">
        <x:v>5102.9126</x:v>
      </x:c>
      <x:c r="E156" s="52" t="n">
        <x:v>-0.4651794903763011</x:v>
      </x:c>
      <x:c r="F156" s="46" t="n">
        <x:v>115.34441486579416</x:v>
      </x:c>
      <x:c r="G156" s="46" t="n">
        <x:v>-3.2335563066579907</x:v>
      </x:c>
      <x:c r="H156" s="52" t="n">
        <x:v>3.1325</x:v>
      </x:c>
      <x:c r="I156" s="52" t="n">
        <x:v>-0.45750000000000046</x:v>
      </x:c>
      <x:c r="J156" s="52" t="n">
        <x:v>5.665</x:v>
      </x:c>
      <x:c r="K156" s="52" t="n">
        <x:v>0.25833333333333197</x:v>
      </x:c>
      <x:c r="L156" s="52" t="n">
        <x:v>5.84</x:v>
      </x:c>
      <x:c r="M156" s="52" t="n">
        <x:v>0.5599999999999996</x:v>
      </x:c>
      <x:c r="N156" s="52" t="n">
        <x:v>1.9929689660000083</x:v>
      </x:c>
      <x:c r="O156" s="46" t="n">
        <x:v>142.3956</x:v>
      </x:c>
      <x:c r="P156" s="52" t="n">
        <x:v>-0.24269030475451392</x:v>
      </x:c>
      <x:c r="Q156" s="46" t="n">
        <x:v>283.12517148</x:v>
      </x:c>
      <x:c r="R156" s="52" t="n">
        <x:v>-2.3822882943218984</x:v>
      </x:c>
      <x:c r="S156" s="58" t="n">
        <x:v>1.9883</x:v>
      </x:c>
      <x:c r="T156" s="52" t="n">
        <x:v>-2.1395979895673913</x:v>
      </x:c>
      <x:c r="U156" s="52" t="n">
        <x:v>7.263</x:v>
      </x:c>
      <x:c r="V156" s="52" t="n">
        <x:v>0.019999999999999574</x:v>
      </x:c>
      <x:c r="W156" s="46" t="n">
        <x:v>115.55</x:v>
      </x:c>
      <x:c r="X156" s="52" t="n">
        <x:v>5.022347126155701</x:v>
      </x:c>
    </x:row>
    <x:row r="157">
      <x:c r="C157" s="19" t="n">
        <x:v>41306</x:v>
      </x:c>
      <x:c r="D157" s="46" t="n">
        <x:v>4978.5234</x:v>
      </x:c>
      <x:c r="E157" s="52" t="n">
        <x:v>-1.301322078286037</x:v>
      </x:c>
      <x:c r="F157" s="46" t="n">
        <x:v>114.17626824920475</x:v>
      </x:c>
      <x:c r="G157" s="46" t="n">
        <x:v>-1.575551445458362</x:v>
      </x:c>
      <x:c r="H157" s="52" t="n">
        <x:v>3.18</x:v>
      </x:c>
      <x:c r="I157" s="52" t="n">
        <x:v>-0.3174999999999999</x:v>
      </x:c>
      <x:c r="J157" s="52" t="n">
        <x:v>5.666666666666666</x:v>
      </x:c>
      <x:c r="K157" s="52" t="n">
        <x:v>0.2641666666666662</x:v>
      </x:c>
      <x:c r="L157" s="52" t="n">
        <x:v>6.15</x:v>
      </x:c>
      <x:c r="M157" s="52" t="n">
        <x:v>0.7000000000000002</x:v>
      </x:c>
      <x:c r="N157" s="52" t="n">
        <x:v>2.266734763999989</x:v>
      </x:c>
      <x:c r="O157" s="46" t="n">
        <x:v>136.5666</x:v>
      </x:c>
      <x:c r="P157" s="52" t="n">
        <x:v>-4.465224983386322</x:v>
      </x:c>
      <x:c r="Q157" s="46" t="n">
        <x:v>269.77366164</x:v>
      </x:c>
      <x:c r="R157" s="52" t="n">
        <x:v>-10.93363005252635</x:v>
      </x:c>
      <x:c r="S157" s="58" t="n">
        <x:v>1.9754</x:v>
      </x:c>
      <x:c r="T157" s="52" t="n">
        <x:v>-6.468405069140036</x:v>
      </x:c>
      <x:c r="U157" s="52" t="n">
        <x:v>7.763</x:v>
      </x:c>
      <x:c r="V157" s="52" t="n">
        <x:v>0.5910000000000002</x:v>
      </x:c>
      <x:c r="W157" s="46" t="n">
        <x:v>112.2</x:v>
      </x:c>
      <x:c r="X157" s="52" t="n">
        <x:v>1.2195273093818206</x:v>
      </x:c>
    </x:row>
    <x:row r="158">
      <x:c r="C158" s="19" t="n">
        <x:v>41334</x:v>
      </x:c>
      <x:c r="D158" s="46" t="n">
        <x:v>5034.0122</x:v>
      </x:c>
      <x:c r="E158" s="52" t="n">
        <x:v>-3.4602717821387547</x:v>
      </x:c>
      <x:c r="F158" s="46" t="n">
        <x:v>114.8330980235194</x:v>
      </x:c>
      <x:c r="G158" s="46" t="n">
        <x:v>-2.893885276736859</x:v>
      </x:c>
      <x:c r="H158" s="52" t="n">
        <x:v>3.1325</x:v>
      </x:c>
      <x:c r="I158" s="52" t="n">
        <x:v>-0.16749999999999998</x:v>
      </x:c>
      <x:c r="J158" s="52" t="n">
        <x:v>5.7025</x:v>
      </x:c>
      <x:c r="K158" s="52" t="n">
        <x:v>0.23249999999999993</x:v>
      </x:c>
      <x:c r="L158" s="52" t="n">
        <x:v>6.31</x:v>
      </x:c>
      <x:c r="M158" s="52" t="n">
        <x:v>0.7799999999999994</x:v>
      </x:c>
      <x:c r="N158" s="52" t="n">
        <x:v>2.2667347640000113</x:v>
      </x:c>
      <x:c r="O158" s="46" t="n">
        <x:v>137.4762</x:v>
      </x:c>
      <x:c r="P158" s="52" t="n">
        <x:v>-1.1531625698675725</x:v>
      </x:c>
      <x:c r="Q158" s="46" t="n">
        <x:v>276.84957155999996</x:v>
      </x:c>
      <x:c r="R158" s="52" t="n">
        <x:v>-2.6172165221493278</x:v>
      </x:c>
      <x:c r="S158" s="58" t="n">
        <x:v>2.0138</x:v>
      </x:c>
      <x:c r="T158" s="52" t="n">
        <x:v>-1.4640539522817546</x:v>
      </x:c>
      <x:c r="U158" s="52" t="n">
        <x:v>7.918</x:v>
      </x:c>
      <x:c r="V158" s="52" t="n">
        <x:v>0.782</x:v>
      </x:c>
      <x:c r="W158" s="46" t="n">
        <x:v>108.46</x:v>
      </x:c>
      <x:c r="X158" s="52" t="n">
        <x:v>-2.134533290026892</x:v>
      </x:c>
    </x:row>
    <x:row r="159">
      <x:c r="C159" s="19" t="n">
        <x:v>41365</x:v>
      </x:c>
      <x:c r="D159" s="46" t="n">
        <x:v>5134.0415</x:v>
      </x:c>
      <x:c r="E159" s="52" t="n">
        <x:v>0.6081691027002804</x:v>
      </x:c>
      <x:c r="F159" s="46" t="n">
        <x:v>116.55525243627572</x:v>
      </x:c>
      <x:c r="G159" s="46" t="n">
        <x:v>1.0442865989271708</x:v>
      </x:c>
      <x:c r="H159" s="52" t="n">
        <x:v>3.166666666666667</x:v>
      </x:c>
      <x:c r="I159" s="52" t="n">
        <x:v>0.03416666666666712</x:v>
      </x:c>
      <x:c r="J159" s="52" t="n">
        <x:v>5.72</x:v>
      </x:c>
      <x:c r="K159" s="52" t="n">
        <x:v>0.054999999999999716</x:v>
      </x:c>
      <x:c r="L159" s="52" t="n">
        <x:v>6.59</x:v>
      </x:c>
      <x:c r="M159" s="52" t="n">
        <x:v>0.75</x:v>
      </x:c>
      <x:c r="N159" s="52" t="n">
        <x:v>1.9420462519999848</x:v>
      </x:c>
      <x:c r="O159" s="46" t="n">
        <x:v>133.6316</x:v>
      </x:c>
      <x:c r="P159" s="52" t="n">
        <x:v>-6.3522339543525765</x:v>
      </x:c>
      <x:c r="Q159" s="46" t="n">
        <x:v>267.49037372</x:v>
      </x:c>
      <x:c r="R159" s="52" t="n">
        <x:v>-5.680552231090099</x:v>
      </x:c>
      <x:c r="S159" s="58" t="n">
        <x:v>2.0017</x:v>
      </x:c>
      <x:c r="T159" s="52" t="n">
        <x:v>0.6716817232624794</x:v>
      </x:c>
      <x:c r="U159" s="52" t="n">
        <x:v>8.011</x:v>
      </x:c>
      <x:c r="V159" s="52" t="n">
        <x:v>0.7479999999999993</x:v>
      </x:c>
      <x:c r="W159" s="46" t="n">
        <x:v>101.53</x:v>
      </x:c>
      <x:c r="X159" s="52" t="n">
        <x:v>-12.934901540725841</x:v>
      </x:c>
    </x:row>
    <x:row r="160">
      <x:c r="C160" s="19" t="n">
        <x:v>41395</x:v>
      </x:c>
      <x:c r="D160" s="46" t="n">
        <x:v>4714.5645</x:v>
      </x:c>
      <x:c r="E160" s="52" t="n">
        <x:v>-5.447679401954531</x:v>
      </x:c>
      <x:c r="F160" s="46" t="n">
        <x:v>116.63958395429891</x:v>
      </x:c>
      <x:c r="G160" s="46" t="n">
        <x:v>2.134523438195119</x:v>
      </x:c>
      <x:c r="H160" s="52" t="n">
        <x:v>3.0324999999999998</x:v>
      </x:c>
      <x:c r="I160" s="52" t="n">
        <x:v>-0.1475000000000004</x:v>
      </x:c>
      <x:c r="J160" s="52" t="n">
        <x:v>5.8</x:v>
      </x:c>
      <x:c r="K160" s="52" t="n">
        <x:v>0.13333333333333375</x:v>
      </x:c>
      <x:c r="L160" s="52" t="n">
        <x:v>6.49</x:v>
      </x:c>
      <x:c r="M160" s="52" t="n">
        <x:v>0.33999999999999986</x:v>
      </x:c>
      <x:c r="N160" s="52" t="n">
        <x:v>1.6287205100000035</x:v>
      </x:c>
      <x:c r="O160" s="46" t="n">
        <x:v>130.6295</x:v>
      </x:c>
      <x:c r="P160" s="52" t="n">
        <x:v>-4.444733583606504</x:v>
      </x:c>
      <x:c r="Q160" s="46" t="n">
        <x:v>278.48903105</x:v>
      </x:c>
      <x:c r="R160" s="52" t="n">
        <x:v>3.1795355560404186</x:v>
      </x:c>
      <x:c r="S160" s="58" t="n">
        <x:v>2.1319</x:v>
      </x:c>
      <x:c r="T160" s="52" t="n">
        <x:v>7.624269139646936</x:v>
      </x:c>
      <x:c r="U160" s="52" t="n">
        <x:v>8.665</x:v>
      </x:c>
      <x:c r="V160" s="52" t="n">
        <x:v>0.9019999999999992</x:v>
      </x:c>
      <x:c r="W160" s="46" t="n">
        <x:v>100.43</x:v>
      </x:c>
      <x:c r="X160" s="52" t="n">
        <x:v>-11.082202568334825</x:v>
      </x:c>
    </x:row>
    <x:row r="161">
      <x:c r="C161" s="19" t="n">
        <x:v>41426</x:v>
      </x:c>
      <x:c r="D161" s="46" t="n">
        <x:v>4629.1509</x:v>
      </x:c>
      <x:c r="E161" s="52" t="n">
        <x:v>-8.38438598790067</x:v>
      </x:c>
      <x:c r="F161" s="46" t="n">
        <x:v>116.3892257286514</x:v>
      </x:c>
      <x:c r="G161" s="46" t="n">
        <x:v>1.3460215903099326</x:v>
      </x:c>
      <x:c r="H161" s="52" t="n">
        <x:v>2.7</x:v>
      </x:c>
      <x:c r="I161" s="52" t="n">
        <x:v>-0.43249999999999966</x:v>
      </x:c>
      <x:c r="J161" s="52" t="n">
        <x:v>5.875</x:v>
      </x:c>
      <x:c r="K161" s="52" t="n">
        <x:v>0.17250000000000032</x:v>
      </x:c>
      <x:c r="L161" s="52" t="n">
        <x:v>6.5</x:v>
      </x:c>
      <x:c r="M161" s="52" t="n">
        <x:v>0.1900000000000004</x:v>
      </x:c>
      <x:c r="N161" s="52" t="n">
        <x:v>1.3963685645000057</x:v>
      </x:c>
      <x:c r="O161" s="46" t="n">
        <x:v>124.4663</x:v>
      </x:c>
      <x:c r="P161" s="52" t="n">
        <x:v>-9.941581468291888</x:v>
      </x:c>
      <x:c r="Q161" s="46" t="n">
        <x:v>275.76753428</x:v>
      </x:c>
      <x:c r="R161" s="52" t="n">
        <x:v>-0.391605200548438</x:v>
      </x:c>
      <x:c r="S161" s="58" t="n">
        <x:v>2.2156</x:v>
      </x:c>
      <x:c r="T161" s="52" t="n">
        <x:v>9.54997626774344</x:v>
      </x:c>
      <x:c r="U161" s="52" t="n">
        <x:v>9.392</x:v>
      </x:c>
      <x:c r="V161" s="52" t="n">
        <x:v>1.4739999999999993</x:v>
      </x:c>
      <x:c r="W161" s="46" t="n">
        <x:v>102.49</x:v>
      </x:c>
      <x:c r="X161" s="52" t="n">
        <x:v>-5.661620856944296</x:v>
      </x:c>
    </x:row>
    <x:row r="162">
      <x:c r="C162" s="19" t="n">
        <x:v>41456</x:v>
      </x:c>
      <x:c r="D162" s="46" t="n">
        <x:v>4365.3354</x:v>
      </x:c>
      <x:c r="E162" s="52" t="n">
        <x:v>-16.219814095446253</x:v>
      </x:c>
      <x:c r="F162" s="46" t="n">
        <x:v>113.95025898234553</x:v>
      </x:c>
      <x:c r="G162" s="46" t="n">
        <x:v>-2.2603401953737423</x:v>
      </x:c>
      <x:c r="H162" s="52" t="n">
        <x:v>2.45</x:v>
      </x:c>
      <x:c r="I162" s="52" t="n">
        <x:v>-0.7166666666666668</x:v>
      </x:c>
      <x:c r="J162" s="52" t="n">
        <x:v>5.808333333333333</x:v>
      </x:c>
      <x:c r="K162" s="52" t="n">
        <x:v>0.08833333333333293</x:v>
      </x:c>
      <x:c r="L162" s="52" t="n">
        <x:v>6.7</x:v>
      </x:c>
      <x:c r="M162" s="52" t="n">
        <x:v>0.11000000000000032</x:v>
      </x:c>
      <x:c r="N162" s="52" t="n">
        <x:v>1.1844322910000038</x:v>
      </x:c>
      <x:c r="O162" s="46" t="n">
        <x:v>126.1571</x:v>
      </x:c>
      <x:c r="P162" s="52" t="n">
        <x:v>-5.755880437355632</x:v>
      </x:c>
      <x:c r="Q162" s="46" t="n">
        <x:v>288.93760612999995</x:v>
      </x:c>
      <x:c r="R162" s="52" t="n">
        <x:v>7.712718946455813</x:v>
      </x:c>
      <x:c r="S162" s="58" t="n">
        <x:v>2.2903</x:v>
      </x:c>
      <x:c r="T162" s="52" t="n">
        <x:v>13.46859938381144</x:v>
      </x:c>
      <x:c r="U162" s="52" t="n">
        <x:v>9.288</x:v>
      </x:c>
      <x:c r="V162" s="52" t="n">
        <x:v>1.277000000000001</x:v>
      </x:c>
      <x:c r="W162" s="46" t="n">
        <x:v>107.89</x:v>
      </x:c>
      <x:c r="X162" s="52" t="n">
        <x:v>6.075786825011734</x:v>
      </x:c>
    </x:row>
    <x:row r="163">
      <x:c r="C163" s="19" t="n">
        <x:v>41487</x:v>
      </x:c>
      <x:c r="D163" s="46" t="n">
        <x:v>4350.5103</x:v>
      </x:c>
      <x:c r="E163" s="52" t="n">
        <x:v>-8.036339846121772</x:v>
      </x:c>
      <x:c r="F163" s="46" t="n">
        <x:v>114.6797539639088</x:v>
      </x:c>
      <x:c r="G163" s="46" t="n">
        <x:v>-1.6945205733932562</x:v>
      </x:c>
      <x:c r="H163" s="52" t="n">
        <x:v>2.3066666666666666</x:v>
      </x:c>
      <x:c r="I163" s="52" t="n">
        <x:v>-0.7258333333333331</x:v>
      </x:c>
      <x:c r="J163" s="52" t="n">
        <x:v>5.836666666666667</x:v>
      </x:c>
      <x:c r="K163" s="52" t="n">
        <x:v>0.03666666666666707</x:v>
      </x:c>
      <x:c r="L163" s="52" t="n">
        <x:v>6.27</x:v>
      </x:c>
      <x:c r="M163" s="52" t="n">
        <x:v>-0.22000000000000064</x:v>
      </x:c>
      <x:c r="N163" s="52" t="n">
        <x:v>0.6611512885999815</x:v>
      </x:c>
      <x:c r="O163" s="46" t="n">
        <x:v>130.4445</x:v>
      </x:c>
      <x:c r="P163" s="52" t="n">
        <x:v>-0.14172229403517356</x:v>
      </x:c>
      <x:c r="Q163" s="46" t="n">
        <x:v>309.47957625000004</x:v>
      </x:c>
      <x:c r="R163" s="52" t="n">
        <x:v>10.551342767323504</x:v>
      </x:c>
      <x:c r="S163" s="58" t="n">
        <x:v>2.3725</x:v>
      </x:c>
      <x:c r="T163" s="52" t="n">
        <x:v>10.693065061358661</x:v>
      </x:c>
      <x:c r="U163" s="52" t="n">
        <x:v>10.194</x:v>
      </x:c>
      <x:c r="V163" s="52" t="n">
        <x:v>1.5290000000000017</x:v>
      </x:c>
      <x:c r="W163" s="46" t="n">
        <x:v>115.97</x:v>
      </x:c>
      <x:c r="X163" s="52" t="n">
        <x:v>14.387056956336423</x:v>
      </x:c>
    </x:row>
    <x:row r="164">
      <x:c r="C164" s="19" t="n">
        <x:v>41518</x:v>
      </x:c>
      <x:c r="D164" s="46" t="n">
        <x:v>2507.7051</x:v>
      </x:c>
      <x:c r="E164" s="52" t="n">
        <x:v>-61.30054282261364</x:v>
      </x:c>
      <x:c r="F164" s="46" t="n">
        <x:v>113.85904610370228</x:v>
      </x:c>
      <x:c r="G164" s="46" t="n">
        <x:v>-2.197872285660498</x:v>
      </x:c>
      <x:c r="H164" s="52" t="n">
        <x:v>2.24</x:v>
      </x:c>
      <x:c r="I164" s="52" t="n">
        <x:v>-0.45999999999999996</x:v>
      </x:c>
      <x:c r="J164" s="52" t="n">
        <x:v>5.9325</x:v>
      </x:c>
      <x:c r="K164" s="52" t="n">
        <x:v>0.05750000000000011</x:v>
      </x:c>
      <x:c r="L164" s="52" t="n">
        <x:v>6.09</x:v>
      </x:c>
      <x:c r="M164" s="52" t="n">
        <x:v>-0.41000000000000014</x:v>
      </x:c>
      <x:c r="N164" s="52" t="n">
        <x:v>0.5307741871999783</x:v>
      </x:c>
      <x:c r="O164" s="46" t="n">
        <x:v>127.1103</x:v>
      </x:c>
      <x:c r="P164" s="52" t="n">
        <x:v>2.1020216931627296</x:v>
      </x:c>
      <x:c r="Q164" s="46" t="n">
        <x:v>283.455969</x:v>
      </x:c>
      <x:c r="R164" s="52" t="n">
        <x:v>2.749855522684294</x:v>
      </x:c>
      <x:c r="S164" s="58" t="n">
        <x:v>2.23</x:v>
      </x:c>
      <x:c r="T164" s="52" t="n">
        <x:v>0.6478338295215683</x:v>
      </x:c>
      <x:c r="U164" s="52" t="n">
        <x:v>10.07</x:v>
      </x:c>
      <x:c r="V164" s="52" t="n">
        <x:v>0.6780000000000008</x:v>
      </x:c>
      <x:c r="W164" s="46" t="n">
        <x:v>107.85</x:v>
      </x:c>
      <x:c r="X164" s="52" t="n">
        <x:v>5.097613999169389</x:v>
      </x:c>
    </x:row>
    <x:row r="165">
      <x:c r="C165" s="19" t="n">
        <x:v>41548</x:v>
      </x:c>
      <x:c r="D165" s="46" t="n">
        <x:v>2196.1936</x:v>
      </x:c>
      <x:c r="E165" s="52" t="n">
        <x:v>-68.69693447747795</x:v>
      </x:c>
      <x:c r="F165" s="46" t="n">
        <x:v>110.73716231245865</x:v>
      </x:c>
      <x:c r="G165" s="46" t="n">
        <x:v>-2.860254216901947</x:v>
      </x:c>
      <x:c r="H165" s="52" t="n">
        <x:v>2.2</x:v>
      </x:c>
      <x:c r="I165" s="52" t="n">
        <x:v>-0.25</x:v>
      </x:c>
      <x:c r="J165" s="52" t="n">
        <x:v>5.905</x:v>
      </x:c>
      <x:c r="K165" s="52" t="n">
        <x:v>0.09666666666666757</x:v>
      </x:c>
      <x:c r="L165" s="52" t="n">
        <x:v>5.86</x:v>
      </x:c>
      <x:c r="M165" s="52" t="n">
        <x:v>-0.8399999999999999</x:v>
      </x:c>
      <x:c r="N165" s="52" t="n">
        <x:v>0.6210172520000112</x:v>
      </x:c>
      <x:c r="O165" s="46" t="n">
        <x:v>125.2281</x:v>
      </x:c>
      <x:c r="P165" s="52" t="n">
        <x:v>-0.7391081329531464</x:v>
      </x:c>
      <x:c r="Q165" s="46" t="n">
        <x:v>275.82741305999997</x:v>
      </x:c>
      <x:c r="R165" s="52" t="n">
        <x:v>-4.643541393346254</x:v>
      </x:c>
      <x:c r="S165" s="58" t="n">
        <x:v>2.2026</x:v>
      </x:c>
      <x:c r="T165" s="52" t="n">
        <x:v>-3.9044332603931218</x:v>
      </x:c>
      <x:c r="U165" s="52" t="n">
        <x:v>10.503</x:v>
      </x:c>
      <x:c r="V165" s="52" t="n">
        <x:v>1.2149999999999999</x:v>
      </x:c>
      <x:c r="W165" s="46" t="n">
        <x:v>107.53</x:v>
      </x:c>
      <x:c r="X165" s="52" t="n">
        <x:v>-0.33423111608137734</x:v>
      </x:c>
    </x:row>
    <x:row r="166">
      <x:c r="C166" s="19" t="n">
        <x:v>41579</x:v>
      </x:c>
      <x:c r="D166" s="46" t="n">
        <x:v>4932.4839</x:v>
      </x:c>
      <x:c r="E166" s="52" t="n">
        <x:v>12.554954627933052</x:v>
      </x:c>
      <x:c r="F166" s="46" t="n">
        <x:v>115.04506675811349</x:v>
      </x:c>
      <x:c r="G166" s="46" t="n">
        <x:v>0.3180440850848651</x:v>
      </x:c>
      <x:c r="H166" s="52" t="n">
        <x:v>2.1424999999999996</x:v>
      </x:c>
      <x:c r="I166" s="52" t="n">
        <x:v>-0.16416666666666702</x:v>
      </x:c>
      <x:c r="J166" s="52" t="n">
        <x:v>5.910833333333334</x:v>
      </x:c>
      <x:c r="K166" s="52" t="n">
        <x:v>0.07416666666666671</x:v>
      </x:c>
      <x:c r="L166" s="52" t="n">
        <x:v>5.84</x:v>
      </x:c>
      <x:c r="M166" s="52" t="n">
        <x:v>-0.4299999999999997</x:v>
      </x:c>
      <x:c r="N166" s="52" t="n">
        <x:v>1.1642077880000157</x:v>
      </x:c>
      <x:c r="O166" s="46" t="n">
        <x:v>124.2192</x:v>
      </x:c>
      <x:c r="P166" s="52" t="n">
        <x:v>-4.890010202245655</x:v>
      </x:c>
      <x:c r="Q166" s="46" t="n">
        <x:v>288.79721808</x:v>
      </x:c>
      <x:c r="R166" s="52" t="n">
        <x:v>-6.916732616275996</x:v>
      </x:c>
      <x:c r="S166" s="58" t="n">
        <x:v>2.3249</x:v>
      </x:c>
      <x:c r="T166" s="52" t="n">
        <x:v>-2.026722414030337</x:v>
      </x:c>
      <x:c r="U166" s="52" t="n">
        <x:v>10.603</x:v>
      </x:c>
      <x:c r="V166" s="52" t="n">
        <x:v>0.4089999999999989</x:v>
      </x:c>
      <x:c r="W166" s="46" t="n">
        <x:v>111.07</x:v>
      </x:c>
      <x:c r="X166" s="52" t="n">
        <x:v>-4.317090378958327</x:v>
      </x:c>
    </x:row>
    <x:row r="167">
      <x:c r="C167" s="19" t="n">
        <x:v>41609</x:v>
      </x:c>
      <x:c r="D167" s="46" t="n">
        <x:v>5011.5361</x:v>
      </x:c>
      <x:c r="E167" s="52" t="n">
        <x:v>69.23744427638375</x:v>
      </x:c>
      <x:c r="F167" s="46" t="n">
        <x:v>117.20078492349774</x:v>
      </x:c>
      <x:c r="G167" s="46" t="n">
        <x:v>2.8927328732022013</x:v>
      </x:c>
      <x:c r="H167" s="52" t="n">
        <x:v>2</x:v>
      </x:c>
      <x:c r="I167" s="52" t="n">
        <x:v>-0.2400000000000002</x:v>
      </x:c>
      <x:c r="J167" s="52" t="n">
        <x:v>5.97</x:v>
      </x:c>
      <x:c r="K167" s="52" t="n">
        <x:v>0.037499999999999645</x:v>
      </x:c>
      <x:c r="L167" s="52" t="n">
        <x:v>5.77</x:v>
      </x:c>
      <x:c r="M167" s="52" t="n">
        <x:v>-0.3200000000000003</x:v>
      </x:c>
      <x:c r="N167" s="52" t="n">
        <x:v>1.4669737730000243</x:v>
      </x:c>
      <x:c r="O167" s="46" t="n">
        <x:v>125.7515</x:v>
      </x:c>
      <x:c r="P167" s="52" t="n">
        <x:v>-1.074747612615445</x:v>
      </x:c>
      <x:c r="Q167" s="46" t="n">
        <x:v>294.5854639</x:v>
      </x:c>
      <x:c r="R167" s="52" t="n">
        <x:v>3.851236205545535</x:v>
      </x:c>
      <x:c r="S167" s="58" t="n">
        <x:v>2.3426</x:v>
      </x:c>
      <x:c r="T167" s="52" t="n">
        <x:v>4.925983818160986</x:v>
      </x:c>
      <x:c r="U167" s="52" t="n">
        <x:v>10.574</x:v>
      </x:c>
      <x:c r="V167" s="52" t="n">
        <x:v>0.5039999999999996</x:v>
      </x:c>
      <x:c r="W167" s="46" t="n">
        <x:v>109.95</x:v>
      </x:c>
      <x:c r="X167" s="52" t="n">
        <x:v>1.9284344165604899</x:v>
      </x:c>
    </x:row>
    <x:row r="168">
      <x:c r="C168" s="19" t="n">
        <x:v>41640</x:v>
      </x:c>
      <x:c r="D168" s="46" t="n">
        <x:v>4995.4746</x:v>
      </x:c>
      <x:c r="E168" s="52" t="n">
        <x:v>82.18067425490581</x:v>
      </x:c>
      <x:c r="F168" s="46" t="n">
        <x:v>116.70029377389262</x:v>
      </x:c>
      <x:c r="G168" s="46" t="n">
        <x:v>5.24495703401561</x:v>
      </x:c>
      <x:c r="H168" s="52" t="n">
        <x:v>1.9341666666666666</x:v>
      </x:c>
      <x:c r="I168" s="52" t="n">
        <x:v>-0.2658333333333336</x:v>
      </x:c>
      <x:c r="J168" s="52" t="n">
        <x:v>5.9750000000000005</x:v>
      </x:c>
      <x:c r="K168" s="52" t="n">
        <x:v>0.07000000000000028</x:v>
      </x:c>
      <x:c r="L168" s="52" t="n">
        <x:v>5.91</x:v>
      </x:c>
      <x:c r="M168" s="52" t="n">
        <x:v>0.04999999999999982</x:v>
      </x:c>
      <x:c r="N168" s="52" t="n">
        <x:v>2.043318317600007</x:v>
      </x:c>
      <x:c r="O168" s="46" t="n">
        <x:v>126.1206</x:v>
      </x:c>
      <x:c r="P168" s="52" t="n">
        <x:v>0.7101717661996165</x:v>
      </x:c>
      <x:c r="Q168" s="46" t="n">
        <x:v>306.00641177999995</x:v>
      </x:c>
      <x:c r="R168" s="52" t="n">
        <x:v>10.383070013608659</x:v>
      </x:c>
      <x:c r="S168" s="58" t="n">
        <x:v>2.4263</x:v>
      </x:c>
      <x:c r="T168" s="52" t="n">
        <x:v>9.672898247409043</x:v>
      </x:c>
      <x:c r="U168" s="52" t="n">
        <x:v>11.771</x:v>
      </x:c>
      <x:c r="V168" s="52" t="n">
        <x:v>1.2680000000000007</x:v>
      </x:c>
      <x:c r="W168" s="46" t="n">
        <x:v>108.16</x:v>
      </x:c>
      <x:c r="X168" s="52" t="n">
        <x:v>0.5841733892219048</x:v>
      </x:c>
    </x:row>
    <x:row r="169">
      <x:c r="C169" s="19" t="n">
        <x:v>41671</x:v>
      </x:c>
      <x:c r="D169" s="46" t="n">
        <x:v>5016.522</x:v>
      </x:c>
      <x:c r="E169" s="52" t="n">
        <x:v>1.6894170057241833</x:v>
      </x:c>
      <x:c r="F169" s="46" t="n">
        <x:v>116.37076401363792</x:v>
      </x:c>
      <x:c r="G169" s="46" t="n">
        <x:v>1.145739903199305</x:v>
      </x:c>
      <x:c r="H169" s="52" t="n">
        <x:v>1.75</x:v>
      </x:c>
      <x:c r="I169" s="52" t="n">
        <x:v>-0.3924999999999996</x:v>
      </x:c>
      <x:c r="J169" s="52" t="n">
        <x:v>5.95</x:v>
      </x:c>
      <x:c r="K169" s="52" t="n">
        <x:v>0.03916666666666657</x:v>
      </x:c>
      <x:c r="L169" s="52" t="n">
        <x:v>5.59</x:v>
      </x:c>
      <x:c r="M169" s="52" t="n">
        <x:v>-0.25</x:v>
      </x:c>
      <x:c r="N169" s="52" t="n">
        <x:v>2.0230253240000273</x:v>
      </x:c>
      <x:c r="O169" s="46" t="n">
        <x:v>133.9783</x:v>
      </x:c>
      <x:c r="P169" s="52" t="n">
        <x:v>7.563009961500454</x:v>
      </x:c>
      <x:c r="Q169" s="46" t="n">
        <x:v>312.62496522</x:v>
      </x:c>
      <x:c r="R169" s="52" t="n">
        <x:v>7.9279503660981465</x:v>
      </x:c>
      <x:c r="S169" s="58" t="n">
        <x:v>2.3334</x:v>
      </x:c>
      <x:c r="T169" s="52" t="n">
        <x:v>0.3649404045977215</x:v>
      </x:c>
      <x:c r="U169" s="52" t="n">
        <x:v>11.218</x:v>
      </x:c>
      <x:c r="V169" s="52" t="n">
        <x:v>0.6150000000000002</x:v>
      </x:c>
      <x:c r="W169" s="46" t="n">
        <x:v>108.98</x:v>
      </x:c>
      <x:c r="X169" s="52" t="n">
        <x:v>-1.8996254024076242</x:v>
      </x:c>
    </x:row>
    <x:row r="170">
      <x:c r="C170" s="19" t="n">
        <x:v>41699</x:v>
      </x:c>
      <x:c r="D170" s="46" t="n">
        <x:v>5086.041</x:v>
      </x:c>
      <x:c r="E170" s="52" t="n">
        <x:v>1.4757253423358274</x:v>
      </x:c>
      <x:c r="F170" s="46" t="n">
        <x:v>118.12602435927022</x:v>
      </x:c>
      <x:c r="G170" s="46" t="n">
        <x:v>0.7863483180862375</x:v>
      </x:c>
      <x:c r="H170" s="52" t="n">
        <x:v>1.7374999999999998</x:v>
      </x:c>
      <x:c r="I170" s="52" t="n">
        <x:v>-0.2625000000000002</x:v>
      </x:c>
      <x:c r="J170" s="52" t="n">
        <x:v>6.1825</x:v>
      </x:c>
      <x:c r="K170" s="52" t="n">
        <x:v>0.21250000000000036</x:v>
      </x:c>
      <x:c r="L170" s="52" t="n">
        <x:v>5.68</x:v>
      </x:c>
      <x:c r="M170" s="52" t="n">
        <x:v>-0.08999999999999986</x:v>
      </x:c>
      <x:c r="N170" s="52" t="n">
        <x:v>2.1752379140000055</x:v>
      </x:c>
      <x:c r="O170" s="46" t="n">
        <x:v>134.5234</x:v>
      </x:c>
      <x:c r="P170" s="52" t="n">
        <x:v>6.74304242665681</x:v>
      </x:c>
      <x:c r="Q170" s="46" t="n">
        <x:v>304.4264542</x:v>
      </x:c>
      <x:c r="R170" s="52" t="n">
        <x:v>3.286036726433138</x:v>
      </x:c>
      <x:c r="S170" s="58" t="n">
        <x:v>2.263</x:v>
      </x:c>
      <x:c r="T170" s="52" t="n">
        <x:v>-3.457005700223697</x:v>
      </x:c>
      <x:c r="U170" s="52" t="n">
        <x:v>11.376</x:v>
      </x:c>
      <x:c r="V170" s="52" t="n">
        <x:v>0.8019999999999996</x:v>
      </x:c>
      <x:c r="W170" s="46" t="n">
        <x:v>105.95</x:v>
      </x:c>
      <x:c r="X170" s="52" t="n">
        <x:v>-3.705843228646213</x:v>
      </x:c>
    </x:row>
    <x:row r="171">
      <x:c r="C171" s="19" t="n">
        <x:v>41730</x:v>
      </x:c>
      <x:c r="D171" s="46" t="n">
        <x:v>5142.7881</x:v>
      </x:c>
      <x:c r="E171" s="52" t="n">
        <x:v>2.906294170878935</x:v>
      </x:c>
      <x:c r="F171" s="46" t="n">
        <x:v>117.96008604855965</x:v>
      </x:c>
      <x:c r="G171" s="46" t="n">
        <x:v>1.0737256787132163</x:v>
      </x:c>
      <x:c r="H171" s="52" t="n">
        <x:v>1.7533333333333334</x:v>
      </x:c>
      <x:c r="I171" s="52" t="n">
        <x:v>-0.18083333333333318</x:v>
      </x:c>
      <x:c r="J171" s="52" t="n">
        <x:v>6.333333333333333</x:v>
      </x:c>
      <x:c r="K171" s="52" t="n">
        <x:v>0.3583333333333325</x:v>
      </x:c>
      <x:c r="L171" s="52" t="n">
        <x:v>6.15</x:v>
      </x:c>
      <x:c r="M171" s="52" t="n">
        <x:v>0.2400000000000002</x:v>
      </x:c>
      <x:c r="N171" s="52" t="n">
        <x:v>2.1752379140000055</x:v>
      </x:c>
      <x:c r="O171" s="46" t="n">
        <x:v>137.7964</x:v>
      </x:c>
      <x:c r="P171" s="52" t="n">
        <x:v>8.853864138024829</x:v>
      </x:c>
      <x:c r="Q171" s="46" t="n">
        <x:v>308.11275040000004</x:v>
      </x:c>
      <x:c r="R171" s="52" t="n">
        <x:v>0.6859733450304161</x:v>
      </x:c>
      <x:c r="S171" s="58" t="n">
        <x:v>2.236</x:v>
      </x:c>
      <x:c r="T171" s="52" t="n">
        <x:v>-8.16789079299441</x:v>
      </x:c>
      <x:c r="U171" s="52" t="n">
        <x:v>11.333</x:v>
      </x:c>
      <x:c r="V171" s="52" t="n">
        <x:v>-0.4380000000000006</x:v>
      </x:c>
      <x:c r="W171" s="46" t="n">
        <x:v>108.63</x:v>
      </x:c>
      <x:c r="X171" s="52" t="n">
        <x:v>0.4336000151005519</x:v>
      </x:c>
    </x:row>
    <x:row r="172">
      <x:c r="C172" s="19" t="n">
        <x:v>41760</x:v>
      </x:c>
      <x:c r="D172" s="46" t="n">
        <x:v>5065.8779</x:v>
      </x:c>
      <x:c r="E172" s="52" t="n">
        <x:v>0.9790584531849401</x:v>
      </x:c>
      <x:c r="F172" s="46" t="n">
        <x:v>116.24414050482046</x:v>
      </x:c>
      <x:c r="G172" s="46" t="n">
        <x:v>-0.10886965440705776</x:v>
      </x:c>
      <x:c r="H172" s="52" t="n">
        <x:v>1.6458333333333333</x:v>
      </x:c>
      <x:c r="I172" s="52" t="n">
        <x:v>-0.10416666666666674</x:v>
      </x:c>
      <x:c r="J172" s="52" t="n">
        <x:v>6.278333333333333</x:v>
      </x:c>
      <x:c r="K172" s="52" t="n">
        <x:v>0.32833333333333314</x:v>
      </x:c>
      <x:c r="L172" s="52" t="n">
        <x:v>6.28</x:v>
      </x:c>
      <x:c r="M172" s="52" t="n">
        <x:v>0.6900000000000004</x:v>
      </x:c>
      <x:c r="N172" s="52" t="n">
        <x:v>2.297177531599992</x:v>
      </x:c>
      <x:c r="O172" s="46" t="n">
        <x:v>133.8324</x:v>
      </x:c>
      <x:c r="P172" s="52" t="n">
        <x:v>-0.10895756923382777</x:v>
      </x:c>
      <x:c r="Q172" s="46" t="n">
        <x:v>299.6507436</x:v>
      </x:c>
      <x:c r="R172" s="52" t="n">
        <x:v>-4.238666948334017</x:v>
      </x:c>
      <x:c r="S172" s="58" t="n">
        <x:v>2.239</x:v>
      </x:c>
      <x:c r="T172" s="52" t="n">
        <x:v>-4.129709379100183</x:v>
      </x:c>
      <x:c r="U172" s="52" t="n">
        <x:v>11.104</x:v>
      </x:c>
      <x:c r="V172" s="52" t="n">
        <x:v>-0.11400000000000077</x:v>
      </x:c>
      <x:c r="W172" s="46" t="n">
        <x:v>109.21</x:v>
      </x:c>
      <x:c r="X172" s="52" t="n">
        <x:v>0.21082550546845757</x:v>
      </x:c>
    </x:row>
    <x:row r="173">
      <x:c r="C173" s="19" t="n">
        <x:v>41791</x:v>
      </x:c>
      <x:c r="D173" s="46" t="n">
        <x:v>5053.9609</x:v>
      </x:c>
      <x:c r="E173" s="52" t="n">
        <x:v>-0.6327455822606776</x:v>
      </x:c>
      <x:c r="F173" s="46" t="n">
        <x:v>115.38507192781579</x:v>
      </x:c>
      <x:c r="G173" s="46" t="n">
        <x:v>-2.3477071272142793</x:v>
      </x:c>
      <x:c r="H173" s="52" t="n">
        <x:v>1.2850000000000001</x:v>
      </x:c>
      <x:c r="I173" s="52" t="n">
        <x:v>-0.4524999999999997</x:v>
      </x:c>
      <x:c r="J173" s="52" t="n">
        <x:v>6.275</x:v>
      </x:c>
      <x:c r="K173" s="52" t="n">
        <x:v>0.09250000000000025</x:v>
      </x:c>
      <x:c r="L173" s="52" t="n">
        <x:v>6.37</x:v>
      </x:c>
      <x:c r="M173" s="52" t="n">
        <x:v>0.6900000000000004</x:v>
      </x:c>
      <x:c r="N173" s="52" t="n">
        <x:v>2.063506354400002</x:v>
      </x:c>
      <x:c r="O173" s="46" t="n">
        <x:v>134.6268</x:v>
      </x:c>
      <x:c r="P173" s="52" t="n">
        <x:v>0.07683442560091633</x:v>
      </x:c>
      <x:c r="Q173" s="46" t="n">
        <x:v>296.515527</x:v>
      </x:c>
      <x:c r="R173" s="52" t="n">
        <x:v>-2.6329943567193483</x:v>
      </x:c>
      <x:c r="S173" s="58" t="n">
        <x:v>2.2025</x:v>
      </x:c>
      <x:c r="T173" s="52" t="n">
        <x:v>-2.7098287823202707</x:v>
      </x:c>
      <x:c r="U173" s="52" t="n">
        <x:v>10.905</x:v>
      </x:c>
      <x:c r="V173" s="52" t="n">
        <x:v>-0.4710000000000001</x:v>
      </x:c>
      <x:c r="W173" s="46" t="n">
        <x:v>111.03</x:v>
      </x:c>
      <x:c r="X173" s="52" t="n">
        <x:v>4.683315035186624</x:v>
      </x:c>
    </x:row>
    <x:row r="174">
      <x:c r="C174" s="19" t="n">
        <x:v>41821</x:v>
      </x:c>
      <x:c r="D174" s="46" t="n">
        <x:v>5035.8843</x:v>
      </x:c>
      <x:c r="E174" s="52" t="n">
        <x:v>-2.1006222975501974</x:v>
      </x:c>
      <x:c r="F174" s="46" t="n">
        <x:v>114.42620149880219</x:v>
      </x:c>
      <x:c r="G174" s="46" t="n">
        <x:v>-3.041622661733459</x:v>
      </x:c>
      <x:c r="H174" s="52" t="n">
        <x:v>1.2333333333333332</x:v>
      </x:c>
      <x:c r="I174" s="52" t="n">
        <x:v>-0.5200000000000002</x:v>
      </x:c>
      <x:c r="J174" s="52" t="n">
        <x:v>6.3025</x:v>
      </x:c>
      <x:c r="K174" s="52" t="n">
        <x:v>-0.030833333333332824</x:v>
      </x:c>
      <x:c r="L174" s="52" t="n">
        <x:v>6.52</x:v>
      </x:c>
      <x:c r="M174" s="52" t="n">
        <x:v>0.3699999999999992</x:v>
      </x:c>
      <x:c r="N174" s="52" t="n">
        <x:v>1.537614327999992</x:v>
      </x:c>
      <x:c r="O174" s="46" t="n">
        <x:v>127.9143</x:v>
      </x:c>
      <x:c r="P174" s="52" t="n">
        <x:v>-7.441672498624609</x:v>
      </x:c>
      <x:c r="Q174" s="46" t="n">
        <x:v>290.03288382</x:v>
      </x:c>
      <x:c r="R174" s="52" t="n">
        <x:v>-6.047147967773771</x:v>
      </x:c>
      <x:c r="S174" s="58" t="n">
        <x:v>2.2674</x:v>
      </x:c>
      <x:c r="T174" s="52" t="n">
        <x:v>1.3945245308508416</x:v>
      </x:c>
      <x:c r="U174" s="52" t="n">
        <x:v>10.973</x:v>
      </x:c>
      <x:c r="V174" s="52" t="n">
        <x:v>-0.35999999999999943</x:v>
      </x:c>
      <x:c r="W174" s="46" t="n">
        <x:v>104.94</x:v>
      </x:c>
      <x:c r="X174" s="52" t="n">
        <x:v>-3.4558854187093835</x:v>
      </x:c>
    </x:row>
    <x:row r="175">
      <x:c r="C175" s="19" t="n">
        <x:v>41852</x:v>
      </x:c>
      <x:c r="D175" s="46" t="n">
        <x:v>5066.5815</x:v>
      </x:c>
      <x:c r="E175" s="52" t="n">
        <x:v>0.01388803987965676</x:v>
      </x:c>
      <x:c r="F175" s="46" t="n">
        <x:v>115.39134797123481</x:v>
      </x:c>
      <x:c r="G175" s="46" t="n">
        <x:v>-0.7363261926961322</x:v>
      </x:c>
      <x:c r="H175" s="52" t="n">
        <x:v>0.9066666666666668</x:v>
      </x:c>
      <x:c r="I175" s="52" t="n">
        <x:v>-0.7391666666666664</x:v>
      </x:c>
      <x:c r="J175" s="52" t="n">
        <x:v>6.283333333333334</x:v>
      </x:c>
      <x:c r="K175" s="52" t="n">
        <x:v>0.005000000000000782</x:v>
      </x:c>
      <x:c r="L175" s="52" t="n">
        <x:v>6.5</x:v>
      </x:c>
      <x:c r="M175" s="52" t="n">
        <x:v>0.21999999999999975</x:v>
      </x:c>
      <x:c r="N175" s="52" t="n">
        <x:v>0.8719261840000048</x:v>
      </x:c>
      <x:c r="O175" s="46" t="n">
        <x:v>126.5745</x:v>
      </x:c>
      <x:c r="P175" s="52" t="n">
        <x:v>-5.575720322528696</x:v>
      </x:c>
      <x:c r="Q175" s="46" t="n">
        <x:v>283.4762502</x:v>
      </x:c>
      <x:c r="R175" s="52" t="n">
        <x:v>-5.548926234930357</x:v>
      </x:c>
      <x:c r="S175" s="58" t="n">
        <x:v>2.2396</x:v>
      </x:c>
      <x:c r="T175" s="52" t="n">
        <x:v>0.026794087598343726</x:v>
      </x:c>
      <x:c r="U175" s="52" t="n">
        <x:v>11.091</x:v>
      </x:c>
      <x:c r="V175" s="52" t="n">
        <x:v>-0.0129999999999999</x:v>
      </x:c>
      <x:c r="W175" s="46" t="n">
        <x:v>101.12</x:v>
      </x:c>
      <x:c r="X175" s="52" t="n">
        <x:v>-7.696470381108968</x:v>
      </x:c>
    </x:row>
    <x:row r="176">
      <x:c r="C176" s="19" t="n">
        <x:v>41883</x:v>
      </x:c>
      <x:c r="D176" s="46" t="n">
        <x:v>5012.8174</x:v>
      </x:c>
      <x:c r="E176" s="52" t="n">
        <x:v>-0.817416016598267</x:v>
      </x:c>
      <x:c r="F176" s="46" t="n">
        <x:v>115.58378183259799</x:v>
      </x:c>
      <x:c r="G176" s="46" t="n">
        <x:v>0.17206645014985444</x:v>
      </x:c>
      <x:c r="H176" s="52" t="n">
        <x:v>0.815</x:v>
      </x:c>
      <x:c r="I176" s="52" t="n">
        <x:v>-0.4700000000000002</x:v>
      </x:c>
      <x:c r="J176" s="52" t="n">
        <x:v>6.302499999999999</x:v>
      </x:c>
      <x:c r="K176" s="52" t="n">
        <x:v>0.02749999999999897</x:v>
      </x:c>
      <x:c r="L176" s="52" t="n">
        <x:v>6.51</x:v>
      </x:c>
      <x:c r="M176" s="52" t="n">
        <x:v>0.13999999999999968</x:v>
      </x:c>
      <x:c r="N176" s="52" t="n">
        <x:v>0.6610650999999912</x:v>
      </x:c>
      <x:c r="O176" s="46" t="n">
        <x:v>118.6922</x:v>
      </x:c>
      <x:c r="P176" s="52" t="n">
        <x:v>-12.59729182828898</x:v>
      </x:c>
      <x:c r="Q176" s="46" t="n">
        <x:v>290.9145822</x:v>
      </x:c>
      <x:c r="R176" s="52" t="n">
        <x:v>-1.9069892565111903</x:v>
      </x:c>
      <x:c r="S176" s="58" t="n">
        <x:v>2.451</x:v>
      </x:c>
      <x:c r="T176" s="52" t="n">
        <x:v>10.690302571777801</x:v>
      </x:c>
      <x:c r="U176" s="52" t="n">
        <x:v>11.768</x:v>
      </x:c>
      <x:c r="V176" s="52" t="n">
        <x:v>0.8630000000000013</x:v>
      </x:c>
      <x:c r="W176" s="46" t="n">
        <x:v>94.67</x:v>
      </x:c>
      <x:c r="X176" s="52" t="n">
        <x:v>-15.940327492537442</x:v>
      </x:c>
    </x:row>
    <x:row r="177">
      <x:c r="C177" s="19" t="n">
        <x:v>41913</x:v>
      </x:c>
      <x:c r="D177" s="46" t="n">
        <x:v>4877.8447</x:v>
      </x:c>
      <x:c r="E177" s="52" t="n">
        <x:v>-3.1885678866620455</x:v>
      </x:c>
      <x:c r="F177" s="46" t="n">
        <x:v>111.14877932148619</x:v>
      </x:c>
      <x:c r="G177" s="46" t="n">
        <x:v>-2.9060428714767474</x:v>
      </x:c>
      <x:c r="H177" s="52" t="n">
        <x:v>0.8733333333333334</x:v>
      </x:c>
      <x:c r="I177" s="52" t="n">
        <x:v>-0.35999999999999976</x:v>
      </x:c>
      <x:c r="J177" s="52" t="n">
        <x:v>6.341666666666668</x:v>
      </x:c>
      <x:c r="K177" s="52" t="n">
        <x:v>0.03916666666666746</x:v>
      </x:c>
      <x:c r="L177" s="52" t="n">
        <x:v>6.75</x:v>
      </x:c>
      <x:c r="M177" s="52" t="n">
        <x:v>0.23000000000000043</x:v>
      </x:c>
      <x:c r="N177" s="52" t="n">
        <x:v>0.8315071424999987</x:v>
      </x:c>
      <x:c r="O177" s="46" t="n">
        <x:v>117.7365</x:v>
      </x:c>
      <x:c r="P177" s="52" t="n">
        <x:v>-8.2911431791254</x:v>
      </x:c>
      <x:c r="Q177" s="46" t="n">
        <x:v>287.7715533</x:v>
      </x:c>
      <x:c r="R177" s="52" t="n">
        <x:v>-0.782736137085223</x:v>
      </x:c>
      <x:c r="S177" s="58" t="n">
        <x:v>2.4442</x:v>
      </x:c>
      <x:c r="T177" s="52" t="n">
        <x:v>7.50840704204019</x:v>
      </x:c>
      <x:c r="U177" s="52" t="n">
        <x:v>12.171</x:v>
      </x:c>
      <x:c r="V177" s="52" t="n">
        <x:v>1.1979999999999986</x:v>
      </x:c>
      <x:c r="W177" s="46" t="n">
        <x:v>84.17</x:v>
      </x:c>
      <x:c r="X177" s="52" t="n">
        <x:v>-22.055019503508092</x:v>
      </x:c>
    </x:row>
    <x:row r="178">
      <x:c r="C178" s="19" t="n">
        <x:v>41944</x:v>
      </x:c>
      <x:c r="D178" s="46" t="n">
        <x:v>4837.5972</x:v>
      </x:c>
      <x:c r="E178" s="52" t="n">
        <x:v>-4.62481786550244</x:v>
      </x:c>
      <x:c r="F178" s="46" t="n">
        <x:v>109.54664085292114</x:v>
      </x:c>
      <x:c r="G178" s="46" t="n">
        <x:v>-5.197897458004478</x:v>
      </x:c>
      <x:c r="H178" s="52" t="n">
        <x:v>0.7216666666666667</x:v>
      </x:c>
      <x:c r="I178" s="52" t="n">
        <x:v>-0.18500000000000016</x:v>
      </x:c>
      <x:c r="J178" s="52" t="n">
        <x:v>6.485</x:v>
      </x:c>
      <x:c r="K178" s="52" t="n">
        <x:v>0.20166666666666622</x:v>
      </x:c>
      <x:c r="L178" s="52" t="n">
        <x:v>6.59</x:v>
      </x:c>
      <x:c r="M178" s="52" t="n">
        <x:v>0.08999999999999986</x:v>
      </x:c>
      <x:c r="N178" s="52" t="n">
        <x:v>1.2448749849999885</x:v>
      </x:c>
      <x:c r="O178" s="46" t="n">
        <x:v>112.9451</x:v>
      </x:c>
      <x:c r="P178" s="52" t="n">
        <x:v>-11.392920767549356</x:v>
      </x:c>
      <x:c r="Q178" s="46" t="n">
        <x:v>289.15075050999997</x:v>
      </x:c>
      <x:c r="R178" s="52" t="n">
        <x:v>1.9819834060456898</x:v>
      </x:c>
      <x:c r="S178" s="58" t="n">
        <x:v>2.5601</x:v>
      </x:c>
      <x:c r="T178" s="52" t="n">
        <x:v>13.374904173595034</x:v>
      </x:c>
      <x:c r="U178" s="52" t="n">
        <x:v>12.441</x:v>
      </x:c>
      <x:c r="V178" s="52" t="n">
        <x:v>1.3500000000000014</x:v>
      </x:c>
      <x:c r="W178" s="46" t="n">
        <x:v>71.89</x:v>
      </x:c>
      <x:c r="X178" s="52" t="n">
        <x:v>-34.11707574027672</x:v>
      </x:c>
    </x:row>
    <x:row r="179">
      <x:c r="C179" s="19" t="n">
        <x:v>41974</x:v>
      </x:c>
      <x:c r="D179" s="46" t="n">
        <x:v>4666.0381</x:v>
      </x:c>
      <x:c r="E179" s="52" t="n">
        <x:v>-7.168777330560575</x:v>
      </x:c>
      <x:c r="F179" s="46" t="n">
        <x:v>102.54313749943218</x:v>
      </x:c>
      <x:c r="G179" s="46" t="n">
        <x:v>-11.971208713277216</x:v>
      </x:c>
      <x:c r="H179" s="52" t="n">
        <x:v>0.5</x:v>
      </x:c>
      <x:c r="I179" s="52" t="n">
        <x:v>-0.31499999999999995</x:v>
      </x:c>
      <x:c r="J179" s="52" t="n">
        <x:v>6.56</x:v>
      </x:c>
      <x:c r="K179" s="52" t="n">
        <x:v>0.2575000000000003</x:v>
      </x:c>
      <x:c r="L179" s="52" t="n">
        <x:v>6.56</x:v>
      </x:c>
      <x:c r="M179" s="52" t="n">
        <x:v>0.04999999999999982</x:v>
      </x:c>
      <x:c r="N179" s="52" t="n">
        <x:v>1.5074552094000104</x:v>
      </x:c>
      <x:c r="O179" s="46" t="n">
        <x:v>104.3285</x:v>
      </x:c>
      <x:c r="P179" s="52" t="n">
        <x:v>-12.898901265744378</x:v>
      </x:c>
      <x:c r="Q179" s="46" t="n">
        <x:v>277.1173617</x:v>
      </x:c>
      <x:c r="R179" s="52" t="n">
        <x:v>-4.8588587219406</x:v>
      </x:c>
      <x:c r="S179" s="58" t="n">
        <x:v>2.6562</x:v>
      </x:c>
      <x:c r="T179" s="52" t="n">
        <x:v>8.040042543803775</x:v>
      </x:c>
      <x:c r="U179" s="52" t="n">
        <x:v>12.955</x:v>
      </x:c>
      <x:c r="V179" s="52" t="n">
        <x:v>1.1869999999999994</x:v>
      </x:c>
      <x:c r="W179" s="46" t="n">
        <x:v>55.27</x:v>
      </x:c>
      <x:c r="X179" s="52" t="n">
        <x:v>-53.81668942956283</x:v>
      </x:c>
    </x:row>
    <x:row r="180">
      <x:c r="C180" s="19" t="n">
        <x:v>42005</x:v>
      </x:c>
      <x:c r="D180" s="46" t="n">
        <x:v>4540.5571</x:v>
      </x:c>
      <x:c r="E180" s="52" t="n">
        <x:v>-7.165374869236442</x:v>
      </x:c>
      <x:c r="F180" s="46" t="n">
        <x:v>96.80033273634906</x:v>
      </x:c>
      <x:c r="G180" s="46" t="n">
        <x:v>-13.821922645146628</x:v>
      </x:c>
      <x:c r="H180" s="52" t="n">
        <x:v>0.15250000000000005</x:v>
      </x:c>
      <x:c r="I180" s="52" t="n">
        <x:v>-0.7208333333333333</x:v>
      </x:c>
      <x:c r="J180" s="52" t="n">
        <x:v>6.8925</x:v>
      </x:c>
      <x:c r="K180" s="52" t="n">
        <x:v>0.5508333333333324</x:v>
      </x:c>
      <x:c r="L180" s="52" t="n">
        <x:v>6.41</x:v>
      </x:c>
      <x:c r="M180" s="52" t="n">
        <x:v>-0.33999999999999986</x:v>
      </x:c>
      <x:c r="N180" s="52" t="n">
        <x:v>1.7194127076000099</x:v>
      </x:c>
      <x:c r="O180" s="46" t="n">
        <x:v>100.8413</x:v>
      </x:c>
      <x:c r="P180" s="52" t="n">
        <x:v>-15.490108269596059</x:v>
      </x:c>
      <x:c r="Q180" s="46" t="n">
        <x:v>268.46979299000003</x:v>
      </x:c>
      <x:c r="R180" s="52" t="n">
        <x:v>-6.942854287452308</x:v>
      </x:c>
      <x:c r="S180" s="58" t="n">
        <x:v>2.6623</x:v>
      </x:c>
      <x:c r="T180" s="52" t="n">
        <x:v>8.547253982143737</x:v>
      </x:c>
      <x:c r="U180" s="52" t="n">
        <x:v>12.747</x:v>
      </x:c>
      <x:c r="V180" s="52" t="n">
        <x:v>0.5760000000000005</x:v>
      </x:c>
      <x:c r="W180" s="46" t="n">
        <x:v>47.52</x:v>
      </x:c>
      <x:c r="X180" s="52" t="n">
        <x:v>-57.16878881690952</x:v>
      </x:c>
    </x:row>
    <x:row r="181">
      <x:c r="C181" s="19" t="n">
        <x:v>42036</x:v>
      </x:c>
      <x:c r="D181" s="46" t="n">
        <x:v>4481.2363</x:v>
      </x:c>
      <x:c r="E181" s="52" t="n">
        <x:v>-7.651918299887951</x:v>
      </x:c>
      <x:c r="F181" s="46" t="n">
        <x:v>94.35733403337582</x:v>
      </x:c>
      <x:c r="G181" s="46" t="n">
        <x:v>-14.926140143370386</x:v>
      </x:c>
      <x:c r="H181" s="52" t="n">
        <x:v>-0.2333333333333334</x:v>
      </x:c>
      <x:c r="I181" s="52" t="n">
        <x:v>-0.9550000000000001</x:v>
      </x:c>
      <x:c r="J181" s="52" t="n">
        <x:v>7.141666666666666</x:v>
      </x:c>
      <x:c r="K181" s="52" t="n">
        <x:v>0.6566666666666654</x:v>
      </x:c>
      <x:c r="L181" s="52" t="n">
        <x:v>7.14</x:v>
      </x:c>
      <x:c r="M181" s="52" t="n">
        <x:v>0.5499999999999998</x:v>
      </x:c>
      <x:c r="N181" s="52" t="n">
        <x:v>2.550023327200024</x:v>
      </x:c>
      <x:c r="O181" s="46" t="n">
        <x:v>103.4379</x:v>
      </x:c>
      <x:c r="P181" s="52" t="n">
        <x:v>-8.79304273121478</x:v>
      </x:c>
      <x:c r="Q181" s="46" t="n">
        <x:v>297.71496378</x:v>
      </x:c>
      <x:c r="R181" s="52" t="n">
        <x:v>2.9188351213237063</x:v>
      </x:c>
      <x:c r="S181" s="58" t="n">
        <x:v>2.8782</x:v>
      </x:c>
      <x:c r="T181" s="52" t="n">
        <x:v>11.711877852538485</x:v>
      </x:c>
      <x:c r="U181" s="52" t="n">
        <x:v>13.05</x:v>
      </x:c>
      <x:c r="V181" s="52" t="n">
        <x:v>0.609</x:v>
      </x:c>
      <x:c r="W181" s="46" t="n">
        <x:v>61.89</x:v>
      </x:c>
      <x:c r="X181" s="52" t="n">
        <x:v>-14.977855724451006</x:v>
      </x:c>
    </x:row>
    <x:row r="182">
      <x:c r="C182" s="19" t="n">
        <x:v>42064</x:v>
      </x:c>
      <x:c r="D182" s="46" t="n">
        <x:v>4316.4131</x:v>
      </x:c>
      <x:c r="E182" s="52" t="n">
        <x:v>-7.788558257875129</x:v>
      </x:c>
      <x:c r="F182" s="46" t="n">
        <x:v>89.81558938659026</x:v>
      </x:c>
      <x:c r="G182" s="46" t="n">
        <x:v>-13.252500226921454</x:v>
      </x:c>
      <x:c r="H182" s="52" t="n">
        <x:v>-0.455</x:v>
      </x:c>
      <x:c r="I182" s="52" t="n">
        <x:v>-0.9550000000000001</x:v>
      </x:c>
      <x:c r="J182" s="52" t="n">
        <x:v>7.535</x:v>
      </x:c>
      <x:c r="K182" s="52" t="n">
        <x:v>0.9750000000000005</x:v>
      </x:c>
      <x:c r="L182" s="52" t="n">
        <x:v>7.7</x:v>
      </x:c>
      <x:c r="M182" s="52" t="n">
        <x:v>1.1400000000000006</x:v>
      </x:c>
      <x:c r="N182" s="52" t="n">
        <x:v>3.274433998399995</x:v>
      </x:c>
      <x:c r="O182" s="46" t="n">
        <x:v>98.123</x:v>
      </x:c>
      <x:c r="P182" s="52" t="n">
        <x:v>-6.13227811911244</x:v>
      </x:c>
      <x:c r="Q182" s="46" t="n">
        <x:v>314.778584</x:v>
      </x:c>
      <x:c r="R182" s="52" t="n">
        <x:v>12.742837882913053</x:v>
      </x:c>
      <x:c r="S182" s="58" t="n">
        <x:v>3.208</x:v>
      </x:c>
      <x:c r="T182" s="52" t="n">
        <x:v>18.875116002025482</x:v>
      </x:c>
      <x:c r="U182" s="52" t="n">
        <x:v>13.519</x:v>
      </x:c>
      <x:c r="V182" s="52" t="n">
        <x:v>0.5640000000000001</x:v>
      </x:c>
      <x:c r="W182" s="46" t="n">
        <x:v>53.69</x:v>
      </x:c>
      <x:c r="X182" s="52" t="n">
        <x:v>-2.900350141069352</x:v>
      </x:c>
    </x:row>
    <x:row r="183">
      <x:c r="C183" s="19" t="n">
        <x:v>42095</x:v>
      </x:c>
      <x:c r="D183" s="46" t="n">
        <x:v>4035.8179</x:v>
      </x:c>
      <x:c r="E183" s="52" t="n">
        <x:v>-11.78407312323539</x:v>
      </x:c>
      <x:c r="F183" s="46" t="n">
        <x:v>83.08969308838144</x:v>
      </x:c>
      <x:c r="G183" s="46" t="n">
        <x:v>-15.272976769063343</x:v>
      </x:c>
      <x:c r="H183" s="52" t="n">
        <x:v>-0.45333333333333325</x:v>
      </x:c>
      <x:c r="I183" s="52" t="n">
        <x:v>-0.6058333333333333</x:v>
      </x:c>
      <x:c r="J183" s="52" t="n">
        <x:v>7.373333333333333</x:v>
      </x:c>
      <x:c r="K183" s="52" t="n">
        <x:v>0.480833333333333</x:v>
      </x:c>
      <x:c r="L183" s="52" t="n">
        <x:v>8.13</x:v>
      </x:c>
      <x:c r="M183" s="52" t="n">
        <x:v>1.7200000000000006</x:v>
      </x:c>
      <x:c r="N183" s="52" t="n">
        <x:v>3.827799689600009</x:v>
      </x:c>
      <x:c r="O183" s="46" t="n">
        <x:v>103.7471</x:v>
      </x:c>
      <x:c r="P183" s="52" t="n">
        <x:v>2.840821296665908</x:v>
      </x:c>
      <x:c r="Q183" s="46" t="n">
        <x:v>310.57731856</x:v>
      </x:c>
      <x:c r="R183" s="52" t="n">
        <x:v>14.569447866114645</x:v>
      </x:c>
      <x:c r="S183" s="58" t="n">
        <x:v>2.9936</x:v>
      </x:c>
      <x:c r="T183" s="52" t="n">
        <x:v>11.728626569448753</x:v>
      </x:c>
      <x:c r="U183" s="52" t="n">
        <x:v>13.667</x:v>
      </x:c>
      <x:c r="V183" s="52" t="n">
        <x:v>0.9199999999999999</x:v>
      </x:c>
      <x:c r="W183" s="46" t="n">
        <x:v>63.9</x:v>
      </x:c>
      <x:c r="X183" s="52" t="n">
        <x:v>29.61686863290995</x:v>
      </x:c>
    </x:row>
    <x:row r="184">
      <x:c r="C184" s="19" t="n">
        <x:v>42125</x:v>
      </x:c>
      <x:c r="D184" s="46" t="n">
        <x:v>4199.71</x:v>
      </x:c>
      <x:c r="E184" s="52" t="n">
        <x:v>-6.488349289203597</x:v>
      </x:c>
      <x:c r="F184" s="46" t="n">
        <x:v>86.99162255167182</x:v>
      </x:c>
      <x:c r="G184" s="46" t="n">
        <x:v>-8.127717948816635</x:v>
      </x:c>
      <x:c r="H184" s="52" t="n">
        <x:v>-0.3241666666666667</x:v>
      </x:c>
      <x:c r="I184" s="52" t="n">
        <x:v>-0.09083333333333332</x:v>
      </x:c>
      <x:c r="J184" s="52" t="n">
        <x:v>7.185833333333333</x:v>
      </x:c>
      <x:c r="K184" s="52" t="n">
        <x:v>0.044166666666667354</x:v>
      </x:c>
      <x:c r="L184" s="52" t="n">
        <x:v>8.17</x:v>
      </x:c>
      <x:c r="M184" s="52" t="n">
        <x:v>1.0300000000000002</x:v>
      </x:c>
      <x:c r="N184" s="52" t="n">
        <x:v>3.2842523384000177</x:v>
      </x:c>
      <x:c r="O184" s="46" t="n">
        <x:v>100.9465</x:v>
      </x:c>
      <x:c r="P184" s="52" t="n">
        <x:v>-2.438075910460929</x:v>
      </x:c>
      <x:c r="Q184" s="46" t="n">
        <x:v>320.8887342</x:v>
      </x:c>
      <x:c r="R184" s="52" t="n">
        <x:v>7.495790922534183</x:v>
      </x:c>
      <x:c r="S184" s="58" t="n">
        <x:v>3.1788</x:v>
      </x:c>
      <x:c r="T184" s="52" t="n">
        <x:v>9.933866832995102</x:v>
      </x:c>
      <x:c r="U184" s="52" t="n">
        <x:v>13.756</x:v>
      </x:c>
      <x:c r="V184" s="52" t="n">
        <x:v>0.7059999999999995</x:v>
      </x:c>
      <x:c r="W184" s="46" t="n">
        <x:v>63.16</x:v>
      </x:c>
      <x:c r="X184" s="52" t="n">
        <x:v>2.0312573636171094</x:v>
      </x:c>
    </x:row>
    <x:row r="185">
      <x:c r="C185" s="19" t="n">
        <x:v>42156</x:v>
      </x:c>
      <x:c r="D185" s="46" t="n">
        <x:v>4293.2578</x:v>
      </x:c>
      <x:c r="E185" s="52" t="n">
        <x:v>-0.5378917753722752</x:v>
      </x:c>
      <x:c r="F185" s="46" t="n">
        <x:v>88.87714404031655</x:v>
      </x:c>
      <x:c r="G185" s="46" t="n">
        <x:v>-1.0503549372793908</x:v>
      </x:c>
      <x:c r="H185" s="52" t="n">
        <x:v>-0.5</x:v>
      </x:c>
      <x:c r="I185" s="52" t="n">
        <x:v>-0.044999999999999984</x:v>
      </x:c>
      <x:c r="J185" s="52" t="n">
        <x:v>7.255</x:v>
      </x:c>
      <x:c r="K185" s="52" t="n">
        <x:v>-0.28000000000000025</x:v>
      </x:c>
      <x:c r="L185" s="52" t="n">
        <x:v>8.47</x:v>
      </x:c>
      <x:c r="M185" s="52" t="n">
        <x:v>0.7700000000000005</x:v>
      </x:c>
      <x:c r="N185" s="52" t="n">
        <x:v>2.794463352800025</x:v>
      </x:c>
      <x:c r="O185" s="46" t="n">
        <x:v>102.6892</x:v>
      </x:c>
      <x:c r="P185" s="52" t="n">
        <x:v>4.548515701337143</x:v>
      </x:c>
      <x:c r="Q185" s="46" t="n">
        <x:v>318.60351191999996</x:v>
      </x:c>
      <x:c r="R185" s="52" t="n">
        <x:v>1.2077936657197004</x:v>
      </x:c>
      <x:c r="S185" s="58" t="n">
        <x:v>3.1026</x:v>
      </x:c>
      <x:c r="T185" s="52" t="n">
        <x:v>-3.3407220356174454</x:v>
      </x:c>
      <x:c r="U185" s="52" t="n">
        <x:v>14.272</x:v>
      </x:c>
      <x:c r="V185" s="52" t="n">
        <x:v>0.7530000000000001</x:v>
      </x:c>
      <x:c r="W185" s="46" t="n">
        <x:v>60.31</x:v>
      </x:c>
      <x:c r="X185" s="52" t="n">
        <x:v>11.627116302841731</x:v>
      </x:c>
    </x:row>
    <x:row r="186">
      <x:c r="C186" s="19" t="n">
        <x:v>42186</x:v>
      </x:c>
      <x:c r="D186" s="46" t="n">
        <x:v>4362.4937</x:v>
      </x:c>
      <x:c r="E186" s="52" t="n">
        <x:v>7.783486085758851</x:v>
      </x:c>
      <x:c r="F186" s="46" t="n">
        <x:v>90.95084502874023</x:v>
      </x:c>
      <x:c r="G186" s="46" t="n">
        <x:v>9.039853211113249</x:v>
      </x:c>
      <x:c r="H186" s="52" t="n">
        <x:v>-0.6333333333333333</x:v>
      </x:c>
      <x:c r="I186" s="52" t="n">
        <x:v>-0.18000000000000005</x:v>
      </x:c>
      <x:c r="J186" s="52" t="n">
        <x:v>7.004166666666666</x:v>
      </x:c>
      <x:c r="K186" s="52" t="n">
        <x:v>-0.36916666666666664</x:v>
      </x:c>
      <x:c r="L186" s="52" t="n">
        <x:v>8.89</x:v>
      </x:c>
      <x:c r="M186" s="52" t="n">
        <x:v>0.7599999999999998</x:v>
      </x:c>
      <x:c r="N186" s="52" t="n">
        <x:v>2.2567505066000138</x:v>
      </x:c>
      <x:c r="O186" s="46" t="n">
        <x:v>91.7827</x:v>
      </x:c>
      <x:c r="P186" s="52" t="n">
        <x:v>-12.25323802050441</x:v>
      </x:c>
      <x:c r="Q186" s="46" t="n">
        <x:v>311.51048380000003</x:v>
      </x:c>
      <x:c r="R186" s="52" t="n">
        <x:v>0.30001100693025073</x:v>
      </x:c>
      <x:c r="S186" s="58" t="n">
        <x:v>3.394</x:v>
      </x:c>
      <x:c r="T186" s="52" t="n">
        <x:v>12.553249027434656</x:v>
      </x:c>
      <x:c r="U186" s="52" t="n">
        <x:v>13.909</x:v>
      </x:c>
      <x:c r="V186" s="52" t="n">
        <x:v>0.24200000000000088</x:v>
      </x:c>
      <x:c r="W186" s="46" t="n">
        <x:v>53.29</x:v>
      </x:c>
      <x:c r="X186" s="52" t="n">
        <x:v>-18.15706650747982</x:v>
      </x:c>
    </x:row>
    <x:row r="187">
      <x:c r="C187" s="19" t="n">
        <x:v>42217</x:v>
      </x:c>
      <x:c r="D187" s="46" t="n">
        <x:v>4363.3618</x:v>
      </x:c>
      <x:c r="E187" s="52" t="n">
        <x:v>3.8227340010209785</x:v>
      </x:c>
      <x:c r="F187" s="46" t="n">
        <x:v>90.71736799160233</x:v>
      </x:c>
      <x:c r="G187" s="46" t="n">
        <x:v>4.193700561168404</x:v>
      </x:c>
      <x:c r="H187" s="52" t="n">
        <x:v>-1.1033333333333335</x:v>
      </x:c>
      <x:c r="I187" s="52" t="n">
        <x:v>-0.7791666666666668</x:v>
      </x:c>
      <x:c r="J187" s="52" t="n">
        <x:v>6.766666666666667</x:v>
      </x:c>
      <x:c r="K187" s="52" t="n">
        <x:v>-0.41916666666666647</x:v>
      </x:c>
      <x:c r="L187" s="52" t="n">
        <x:v>9.56</x:v>
      </x:c>
      <x:c r="M187" s="52" t="n">
        <x:v>1.3900000000000006</x:v>
      </x:c>
      <x:c r="N187" s="52" t="n">
        <x:v>2.1653682452000167</x:v>
      </x:c>
      <x:c r="O187" s="46" t="n">
        <x:v>90.9328</x:v>
      </x:c>
      <x:c r="P187" s="52" t="n">
        <x:v>-10.446990134742377</x:v>
      </x:c>
      <x:c r="Q187" s="46" t="n">
        <x:v>331.60464176</x:v>
      </x:c>
      <x:c r="R187" s="52" t="n">
        <x:v>3.2848980620462207</x:v>
      </x:c>
      <x:c r="S187" s="58" t="n">
        <x:v>3.6467</x:v>
      </x:c>
      <x:c r="T187" s="52" t="n">
        <x:v>13.731888196788628</x:v>
      </x:c>
      <x:c r="U187" s="52" t="n">
        <x:v>14.382</x:v>
      </x:c>
      <x:c r="V187" s="52" t="n">
        <x:v>0.6259999999999994</x:v>
      </x:c>
      <x:c r="W187" s="46" t="n">
        <x:v>47.97</x:v>
      </x:c>
      <x:c r="X187" s="52" t="n">
        <x:v>-27.50953738734688</x:v>
      </x:c>
    </x:row>
    <x:row r="188">
      <x:c r="C188" s="19" t="n">
        <x:v>42248</x:v>
      </x:c>
      <x:c r="D188" s="46" t="n">
        <x:v>4305.5249</x:v>
      </x:c>
      <x:c r="E188" s="52" t="n">
        <x:v>0.2853219752154913</x:v>
      </x:c>
      <x:c r="F188" s="46" t="n">
        <x:v>87.4726356327196</x:v>
      </x:c>
      <x:c r="G188" s="46" t="n">
        <x:v>-1.5929003229868441</x:v>
      </x:c>
      <x:c r="H188" s="52" t="n">
        <x:v>-1.455</x:v>
      </x:c>
      <x:c r="I188" s="52" t="n">
        <x:v>-0.9550000000000001</x:v>
      </x:c>
      <x:c r="J188" s="52" t="n">
        <x:v>6.789999999999999</x:v>
      </x:c>
      <x:c r="K188" s="52" t="n">
        <x:v>-0.46500000000000075</x:v>
      </x:c>
      <x:c r="L188" s="52" t="n">
        <x:v>9.53</x:v>
      </x:c>
      <x:c r="M188" s="52" t="n">
        <x:v>1.0599999999999987</x:v>
      </x:c>
      <x:c r="N188" s="52" t="n">
        <x:v>1.6380107755999962</x:v>
      </x:c>
      <x:c r="O188" s="46" t="n">
        <x:v>87.8214</x:v>
      </x:c>
      <x:c r="P188" s="52" t="n">
        <x:v>-15.640174403718635</x:v>
      </x:c>
      <x:c r="Q188" s="46" t="n">
        <x:v>348.90564006</x:v>
      </x:c>
      <x:c r="R188" s="52" t="n">
        <x:v>9.08540929336114</x:v>
      </x:c>
      <x:c r="S188" s="58" t="n">
        <x:v>3.9729</x:v>
      </x:c>
      <x:c r="T188" s="52" t="n">
        <x:v>24.72558369707977</x:v>
      </x:c>
      <x:c r="U188" s="52" t="n">
        <x:v>15.561</x:v>
      </x:c>
      <x:c r="V188" s="52" t="n">
        <x:v>1.2889999999999997</x:v>
      </x:c>
      <x:c r="W188" s="46" t="n">
        <x:v>47.29</x:v>
      </x:c>
      <x:c r="X188" s="52" t="n">
        <x:v>-24.319907080711097</x:v>
      </x:c>
    </x:row>
    <x:row r="189">
      <x:c r="C189" s="19" t="n">
        <x:v>42278</x:v>
      </x:c>
      <x:c r="D189" s="46" t="n">
        <x:v>4370.8042</x:v>
      </x:c>
      <x:c r="E189" s="52" t="n">
        <x:v>0.19031762350487527</x:v>
      </x:c>
      <x:c r="F189" s="46" t="n">
        <x:v>87.86993306698716</x:v>
      </x:c>
      <x:c r="G189" s="46" t="n">
        <x:v>-3.4461508276337227</x:v>
      </x:c>
      <x:c r="H189" s="52" t="n">
        <x:v>-1.7666666666666666</x:v>
      </x:c>
      <x:c r="I189" s="52" t="n">
        <x:v>-1.1333333333333333</x:v>
      </x:c>
      <x:c r="J189" s="52" t="n">
        <x:v>6.8933333333333335</x:v>
      </x:c>
      <x:c r="K189" s="52" t="n">
        <x:v>-0.1108333333333329</x:v>
      </x:c>
      <x:c r="L189" s="52" t="n">
        <x:v>9.49</x:v>
      </x:c>
      <x:c r="M189" s="52" t="n">
        <x:v>0.5999999999999996</x:v>
      </x:c>
      <x:c r="N189" s="52" t="n">
        <x:v>1.3859073656000032</x:v>
      </x:c>
      <x:c r="O189" s="46" t="n">
        <x:v>87.4289</x:v>
      </x:c>
      <x:c r="P189" s="52" t="n">
        <x:v>-4.859793508799008</x:v>
      </x:c>
      <x:c r="Q189" s="46" t="n">
        <x:v>337.37938221</x:v>
      </x:c>
      <x:c r="R189" s="52" t="n">
        <x:v>7.977506687061784</x:v>
      </x:c>
      <x:c r="S189" s="58" t="n">
        <x:v>3.8589</x:v>
      </x:c>
      <x:c r="T189" s="52" t="n">
        <x:v>12.837300195860784</x:v>
      </x:c>
      <x:c r="U189" s="52" t="n">
        <x:v>15.389</x:v>
      </x:c>
      <x:c r="V189" s="52" t="n">
        <x:v>1.4799999999999986</x:v>
      </x:c>
      <x:c r="W189" s="46" t="n">
        <x:v>48</x:v>
      </x:c>
      <x:c r="X189" s="52" t="n">
        <x:v>-10.45476854008</x:v>
      </x:c>
    </x:row>
    <x:row r="190">
      <x:c r="C190" s="19" t="n">
        <x:v>42309</x:v>
      </x:c>
      <x:c r="D190" s="46" t="n">
        <x:v>4342.1689</x:v>
      </x:c>
      <x:c r="E190" s="52" t="n">
        <x:v>-0.48688454722123076</x:v>
      </x:c>
      <x:c r="F190" s="46" t="n">
        <x:v>87.08328591041445</x:v>
      </x:c>
      <x:c r="G190" s="46" t="n">
        <x:v>-4.088385707896781</x:v>
      </x:c>
      <x:c r="H190" s="52" t="n">
        <x:v>-2.1366666666666667</x:v>
      </x:c>
      <x:c r="I190" s="52" t="n">
        <x:v>-1.0333333333333332</x:v>
      </x:c>
      <x:c r="J190" s="52" t="n">
        <x:v>6.9525</x:v>
      </x:c>
      <x:c r="K190" s="52" t="n">
        <x:v>0.18583333333333307</x:v>
      </x:c>
      <x:c r="L190" s="52" t="n">
        <x:v>9.93</x:v>
      </x:c>
      <x:c r="M190" s="52" t="n">
        <x:v>0.3699999999999992</x:v>
      </x:c>
      <x:c r="N190" s="52" t="n">
        <x:v>1.5874297415999994</x:v>
      </x:c>
      <x:c r="O190" s="46" t="n">
        <x:v>81.0781</x:v>
      </x:c>
      <x:c r="P190" s="52" t="n">
        <x:v>-11.470788451791298</x:v>
      </x:c>
      <x:c r="Q190" s="46" t="n">
        <x:v>312.19933186000003</x:v>
      </x:c>
      <x:c r="R190" s="52" t="n">
        <x:v>-6.030155325658832</x:v>
      </x:c>
      <x:c r="S190" s="58" t="n">
        <x:v>3.8506</x:v>
      </x:c>
      <x:c r="T190" s="52" t="n">
        <x:v>5.4406331261324725</x:v>
      </x:c>
      <x:c r="U190" s="52" t="n">
        <x:v>15.71</x:v>
      </x:c>
      <x:c r="V190" s="52" t="n">
        <x:v>1.3280000000000012</x:v>
      </x:c>
      <x:c r="W190" s="46" t="n">
        <x:v>43.73</x:v>
      </x:c>
      <x:c r="X190" s="52" t="n">
        <x:v>-9.25414500891434</x:v>
      </x:c>
    </x:row>
    <x:row r="191">
      <x:c r="C191" s="19" t="n">
        <x:v>42339</x:v>
      </x:c>
      <x:c r="D191" s="46" t="n">
        <x:v>4351.3862</x:v>
      </x:c>
      <x:c r="E191" s="52" t="n">
        <x:v>1.0595402566031906</x:v>
      </x:c>
      <x:c r="F191" s="46" t="n">
        <x:v>87.23755999211532</x:v>
      </x:c>
      <x:c r="G191" s="46" t="n">
        <x:v>-0.2691036795252777</x:v>
      </x:c>
      <x:c r="H191" s="52" t="n">
        <x:v>-2.95</x:v>
      </x:c>
      <x:c r="I191" s="52" t="n">
        <x:v>-1.495</x:v>
      </x:c>
      <x:c r="J191" s="52" t="n">
        <x:v>6.87</x:v>
      </x:c>
      <x:c r="K191" s="52" t="n">
        <x:v>0.08000000000000096</x:v>
      </x:c>
      <x:c r="L191" s="52" t="n">
        <x:v>10.48</x:v>
      </x:c>
      <x:c r="M191" s="52" t="n">
        <x:v>0.9500000000000011</x:v>
      </x:c>
      <x:c r="N191" s="52" t="n">
        <x:v>2.3882087228000115</x:v>
      </x:c>
      <x:c r="O191" s="46" t="n">
        <x:v>78.5588</x:v>
      </x:c>
      <x:c r="P191" s="52" t="n">
        <x:v>-11.145781772496964</x:v>
      </x:c>
      <x:c r="Q191" s="46" t="n">
        <x:v>306.75640224</x:v>
      </x:c>
      <x:c r="R191" s="52" t="n">
        <x:v>-12.874755875306043</x:v>
      </x:c>
      <x:c r="S191" s="58" t="n">
        <x:v>3.9048</x:v>
      </x:c>
      <x:c r="T191" s="52" t="n">
        <x:v>-1.7289741028090693</x:v>
      </x:c>
      <x:c r="U191" s="52" t="n">
        <x:v>15.857</x:v>
      </x:c>
      <x:c r="V191" s="52" t="n">
        <x:v>0.2959999999999994</x:v>
      </x:c>
      <x:c r="W191" s="46" t="n">
        <x:v>36.61</x:v>
      </x:c>
      <x:c r="X191" s="52" t="n">
        <x:v>-25.597742952363962</x:v>
      </x:c>
    </x:row>
    <x:row r="192">
      <x:c r="C192" s="19" t="n">
        <x:v>42370</x:v>
      </x:c>
      <x:c r="D192" s="46" t="n">
        <x:v>4055.5894</x:v>
      </x:c>
      <x:c r="E192" s="52" t="n">
        <x:v>-7.485099121359218</x:v>
      </x:c>
      <x:c r="F192" s="46" t="n">
        <x:v>80.41518840484338</x:v>
      </x:c>
      <x:c r="G192" s="46" t="n">
        <x:v>-8.865461892818365</x:v>
      </x:c>
      <x:c r="H192" s="52" t="n">
        <x:v>-2.7008333333333328</x:v>
      </x:c>
      <x:c r="I192" s="52" t="n">
        <x:v>-0.9341666666666661</x:v>
      </x:c>
      <x:c r="J192" s="52" t="n">
        <x:v>7.138333333333333</x:v>
      </x:c>
      <x:c r="K192" s="52" t="n">
        <x:v>0.24499999999999922</x:v>
      </x:c>
      <x:c r="L192" s="52" t="n">
        <x:v>10.67</x:v>
      </x:c>
      <x:c r="M192" s="52" t="n">
        <x:v>1.1799999999999997</x:v>
      </x:c>
      <x:c r="N192" s="52" t="n">
        <x:v>2.815929507199999</x:v>
      </x:c>
      <x:c r="O192" s="46" t="n">
        <x:v>77.2234</x:v>
      </x:c>
      <x:c r="P192" s="52" t="n">
        <x:v>-12.412337170905907</x:v>
      </x:c>
      <x:c r="Q192" s="46" t="n">
        <x:v>312.19876151999995</x:v>
      </x:c>
      <x:c r="R192" s="52" t="n">
        <x:v>-7.75680192613313</x:v>
      </x:c>
      <x:c r="S192" s="58" t="n">
        <x:v>4.0428</x:v>
      </x:c>
      <x:c r="T192" s="52" t="n">
        <x:v>4.65553524477279</x:v>
      </x:c>
      <x:c r="U192" s="52" t="n">
        <x:v>14.574</x:v>
      </x:c>
      <x:c r="V192" s="52" t="n">
        <x:v>-0.8149999999999995</x:v>
      </x:c>
      <x:c r="W192" s="46" t="n">
        <x:v>33.14</x:v>
      </x:c>
      <x:c r="X192" s="52" t="n">
        <x:v>-37.04599989094741</x:v>
      </x:c>
    </x:row>
    <x:row r="193">
      <x:c r="C193" s="19" t="n">
        <x:v>42401</x:v>
      </x:c>
      <x:c r="D193" s="46" t="n">
        <x:v>3920.8132</x:v>
      </x:c>
      <x:c r="E193" s="52" t="n">
        <x:v>-10.207488855697715</x:v>
      </x:c>
      <x:c r="F193" s="46" t="n">
        <x:v>77.28444964027082</x:v>
      </x:c>
      <x:c r="G193" s="46" t="n">
        <x:v>-11.937220363380106</x:v>
      </x:c>
      <x:c r="H193" s="52" t="n">
        <x:v>-2.791666666666667</x:v>
      </x:c>
      <x:c r="I193" s="52" t="n">
        <x:v>-0.6550000000000002</x:v>
      </x:c>
      <x:c r="J193" s="52" t="n">
        <x:v>7.308333333333334</x:v>
      </x:c>
      <x:c r="K193" s="52" t="n">
        <x:v>0.3558333333333339</x:v>
      </x:c>
      <x:c r="L193" s="52" t="n">
        <x:v>10.71</x:v>
      </x:c>
      <x:c r="M193" s="52" t="n">
        <x:v>0.7800000000000011</x:v>
      </x:c>
      <x:c r="N193" s="52" t="n">
        <x:v>3.274838139199998</x:v>
      </x:c>
      <x:c r="O193" s="46" t="n">
        <x:v>75.9463</x:v>
      </x:c>
      <x:c r="P193" s="52" t="n">
        <x:v>-6.538637606903687</x:v>
      </x:c>
      <x:c r="Q193" s="46" t="n">
        <x:v>302.23589547999995</x:v>
      </x:c>
      <x:c r="R193" s="52" t="n">
        <x:v>-3.243404464906746</x:v>
      </x:c>
      <x:c r="S193" s="58" t="n">
        <x:v>3.9796</x:v>
      </x:c>
      <x:c r="T193" s="52" t="n">
        <x:v>3.29523314199695</x:v>
      </x:c>
      <x:c r="U193" s="52" t="n">
        <x:v>14.214</x:v>
      </x:c>
      <x:c r="V193" s="52" t="n">
        <x:v>-1.4960000000000004</x:v>
      </x:c>
      <x:c r="W193" s="46" t="n">
        <x:v>35.92</x:v>
      </x:c>
      <x:c r="X193" s="52" t="n">
        <x:v>-19.674012199083027</x:v>
      </x:c>
    </x:row>
    <x:row r="194">
      <x:c r="C194" s="19" t="n">
        <x:v>42430</x:v>
      </x:c>
      <x:c r="D194" s="46" t="n">
        <x:v>3844.1367</x:v>
      </x:c>
      <x:c r="E194" s="52" t="n">
        <x:v>-12.394540861341293</x:v>
      </x:c>
      <x:c r="F194" s="46" t="n">
        <x:v>75.89421685619367</x:v>
      </x:c>
      <x:c r="G194" s="46" t="n">
        <x:v>-13.929448478466359</x:v>
      </x:c>
      <x:c r="H194" s="52" t="n">
        <x:v>-2.7074999999999996</x:v>
      </x:c>
      <x:c r="I194" s="52" t="n">
        <x:v>0.2425000000000006</x:v>
      </x:c>
      <x:c r="J194" s="52" t="n">
        <x:v>6.9675</x:v>
      </x:c>
      <x:c r="K194" s="52" t="n">
        <x:v>0.09750000000000014</x:v>
      </x:c>
      <x:c r="L194" s="52" t="n">
        <x:v>10.36</x:v>
      </x:c>
      <x:c r="M194" s="52" t="n">
        <x:v>-0.120000000000001</x:v>
      </x:c>
      <x:c r="N194" s="52" t="n">
        <x:v>3.1623717279999797</x:v>
      </x:c>
      <x:c r="O194" s="46" t="n">
        <x:v>78.8272</x:v>
      </x:c>
      <x:c r="P194" s="52" t="n">
        <x:v>0.3410725988239524</x:v>
      </x:c>
      <x:c r="Q194" s="46" t="n">
        <x:v>280.53812208</x:v>
      </x:c>
      <x:c r="R194" s="52" t="n">
        <x:v>-8.934433124953085</x:v>
      </x:c>
      <x:c r="S194" s="58" t="n">
        <x:v>3.5589</x:v>
      </x:c>
      <x:c r="T194" s="52" t="n">
        <x:v>-9.275505723777036</x:v>
      </x:c>
      <x:c r="U194" s="52" t="n">
        <x:v>13.805</x:v>
      </x:c>
      <x:c r="V194" s="52" t="n">
        <x:v>-2.0519999999999996</x:v>
      </x:c>
      <x:c r="W194" s="46" t="n">
        <x:v>36.75</x:v>
      </x:c>
      <x:c r="X194" s="52" t="n">
        <x:v>0.3816798526700811</x:v>
      </x:c>
    </x:row>
    <x:row r="195">
      <x:c r="C195" s="19" t="n">
        <x:v>42461</x:v>
      </x:c>
      <x:c r="D195" s="46" t="n">
        <x:v>3840.7729</x:v>
      </x:c>
      <x:c r="E195" s="52" t="n">
        <x:v>-5.442240603488758</x:v>
      </x:c>
      <x:c r="F195" s="46" t="n">
        <x:v>75.93794708722126</x:v>
      </x:c>
      <x:c r="G195" s="46" t="n">
        <x:v>-5.7286547765698055</x:v>
      </x:c>
      <x:c r="H195" s="52" t="n">
        <x:v>-2.46</x:v>
      </x:c>
      <x:c r="I195" s="52" t="n">
        <x:v>0.2408333333333328</x:v>
      </x:c>
      <x:c r="J195" s="52" t="n">
        <x:v>6.533333333333333</x:v>
      </x:c>
      <x:c r="K195" s="52" t="n">
        <x:v>-0.6049999999999995</x:v>
      </x:c>
      <x:c r="L195" s="52" t="n">
        <x:v>9.39</x:v>
      </x:c>
      <x:c r="M195" s="52" t="n">
        <x:v>-1.2799999999999994</x:v>
      </x:c>
      <x:c r="N195" s="52" t="n">
        <x:v>2.6208101489999747</x:v>
      </x:c>
      <x:c r="O195" s="46" t="n">
        <x:v>85.5205</x:v>
      </x:c>
      <x:c r="P195" s="52" t="n">
        <x:v>10.205359337446612</x:v>
      </x:c>
      <x:c r="Q195" s="46" t="n">
        <x:v>295.1141414</x:v>
      </x:c>
      <x:c r="R195" s="52" t="n">
        <x:v>-5.62778396236175</x:v>
      </x:c>
      <x:c r="S195" s="58" t="n">
        <x:v>3.4508</x:v>
      </x:c>
      <x:c r="T195" s="52" t="n">
        <x:v>-15.833143299808372</x:v>
      </x:c>
      <x:c r="U195" s="52" t="n">
        <x:v>13.221</x:v>
      </x:c>
      <x:c r="V195" s="52" t="n">
        <x:v>-1.3529999999999998</x:v>
      </x:c>
      <x:c r="W195" s="46" t="n">
        <x:v>45.64</x:v>
      </x:c>
      <x:c r="X195" s="52" t="n">
        <x:v>32.00435129954581</x:v>
      </x:c>
    </x:row>
    <x:row r="196">
      <x:c r="C196" s="19" t="n">
        <x:v>42491</x:v>
      </x:c>
      <x:c r="D196" s="46" t="n">
        <x:v>4134.6899</x:v>
      </x:c>
      <x:c r="E196" s="52" t="n">
        <x:v>5.311325044201786</x:v>
      </x:c>
      <x:c r="F196" s="46" t="n">
        <x:v>80.21492312455378</x:v>
      </x:c>
      <x:c r="G196" s="46" t="n">
        <x:v>3.7216805027556394</x:v>
      </x:c>
      <x:c r="H196" s="52" t="n">
        <x:v>-1.9858333333333336</x:v>
      </x:c>
      <x:c r="I196" s="52" t="n">
        <x:v>0.8058333333333334</x:v>
      </x:c>
      <x:c r="J196" s="52" t="n">
        <x:v>6.4275</x:v>
      </x:c>
      <x:c r="K196" s="52" t="n">
        <x:v>-0.8808333333333334</x:v>
      </x:c>
      <x:c r="L196" s="52" t="n">
        <x:v>9.28</x:v>
      </x:c>
      <x:c r="M196" s="52" t="n">
        <x:v>-1.4300000000000015</x:v>
      </x:c>
      <x:c r="N196" s="52" t="n">
        <x:v>1.9520066069999897</x:v>
      </x:c>
      <x:c r="O196" s="46" t="n">
        <x:v>85.3383</x:v>
      </x:c>
      <x:c r="P196" s="52" t="n">
        <x:v>11.659684564830822</x:v>
      </x:c>
      <x:c r="Q196" s="46" t="n">
        <x:v>306.79972233</x:v>
      </x:c>
      <x:c r="R196" s="52" t="n">
        <x:v>1.4987341113064403</x:v>
      </x:c>
      <x:c r="S196" s="58" t="n">
        <x:v>3.5951</x:v>
      </x:c>
      <x:c r="T196" s="52" t="n">
        <x:v>-10.160950453524396</x:v>
      </x:c>
      <x:c r="U196" s="52" t="n">
        <x:v>13.175</x:v>
      </x:c>
      <x:c r="V196" s="52" t="n">
        <x:v>-1.0389999999999997</x:v>
      </x:c>
      <x:c r="W196" s="46" t="n">
        <x:v>49.26</x:v>
      </x:c>
      <x:c r="X196" s="52" t="n">
        <x:v>31.58181492583929</x:v>
      </x:c>
    </x:row>
    <x:row r="197">
      <x:c r="C197" s="19" t="n">
        <x:v>42522</x:v>
      </x:c>
      <x:c r="D197" s="46" t="n">
        <x:v>4176.7749</x:v>
      </x:c>
      <x:c r="E197" s="52" t="n">
        <x:v>8.299034132056564</x:v>
      </x:c>
      <x:c r="F197" s="46" t="n">
        <x:v>81.5498390215827</x:v>
      </x:c>
      <x:c r="G197" s="46" t="n">
        <x:v>7.187386783519682</x:v>
      </x:c>
      <x:c r="H197" s="52" t="n">
        <x:v>-1.195</x:v>
      </x:c>
      <x:c r="I197" s="52" t="n">
        <x:v>1.5124999999999995</x:v>
      </x:c>
      <x:c r="J197" s="52" t="n">
        <x:v>6.385</x:v>
      </x:c>
      <x:c r="K197" s="52" t="n">
        <x:v>-0.5825000000000005</x:v>
      </x:c>
      <x:c r="L197" s="52" t="n">
        <x:v>9.32</x:v>
      </x:c>
      <x:c r="M197" s="52" t="n">
        <x:v>-1.0399999999999991</x:v>
      </x:c>
      <x:c r="N197" s="52" t="n">
        <x:v>1.8307554593999908</x:v>
      </x:c>
      <x:c r="O197" s="46" t="n">
        <x:v>88.8423</x:v>
      </x:c>
      <x:c r="P197" s="52" t="n">
        <x:v>11.960477296148419</x:v>
      </x:c>
      <x:c r="Q197" s="46" t="n">
        <x:v>285.16601454</x:v>
      </x:c>
      <x:c r="R197" s="52" t="n">
        <x:v>1.6361894513372714</x:v>
      </x:c>
      <x:c r="S197" s="58" t="n">
        <x:v>3.2098</x:v>
      </x:c>
      <x:c r="T197" s="52" t="n">
        <x:v>-10.324287844811145</x:v>
      </x:c>
      <x:c r="U197" s="52" t="n">
        <x:v>13.359</x:v>
      </x:c>
      <x:c r="V197" s="52" t="n">
        <x:v>-0.44599999999999973</x:v>
      </x:c>
      <x:c r="W197" s="46" t="n">
        <x:v>48.05</x:v>
      </x:c>
      <x:c r="X197" s="52" t="n">
        <x:v>26.81039097574558</x:v>
      </x:c>
    </x:row>
    <x:row r="198">
      <x:c r="C198" s="19" t="n">
        <x:v>42552</x:v>
      </x:c>
      <x:c r="D198" s="46" t="n">
        <x:v>4199.8755</x:v>
      </x:c>
      <x:c r="E198" s="52" t="n">
        <x:v>8.938125960482441</x:v>
      </x:c>
      <x:c r="F198" s="46" t="n">
        <x:v>82.43594922114355</x:v>
      </x:c>
      <x:c r="G198" s="46" t="n">
        <x:v>8.210509764404978</x:v>
      </x:c>
      <x:c r="H198" s="52" t="n">
        <x:v>-0.7083333333333335</x:v>
      </x:c>
      <x:c r="I198" s="52" t="n">
        <x:v>1.7516666666666665</x:v>
      </x:c>
      <x:c r="J198" s="52" t="n">
        <x:v>6.0375</x:v>
      </x:c>
      <x:c r="K198" s="52" t="n">
        <x:v>-0.49583333333333357</x:v>
      </x:c>
      <x:c r="L198" s="52" t="n">
        <x:v>8.84</x:v>
      </x:c>
      <x:c r="M198" s="52" t="n">
        <x:v>-0.5500000000000007</x:v>
      </x:c>
      <x:c r="N198" s="52" t="n">
        <x:v>1.7496396530000125</x:v>
      </x:c>
      <x:c r="O198" s="46" t="n">
        <x:v>84.2809</x:v>
      </x:c>
      <x:c r="P198" s="52" t="n">
        <x:v>-1.4600845716240343</x:v>
      </x:c>
      <x:c r="Q198" s="46" t="n">
        <x:v>272.9858351</x:v>
      </x:c>
      <x:c r="R198" s="52" t="n">
        <x:v>-7.79422937473349</x:v>
      </x:c>
      <x:c r="S198" s="58" t="n">
        <x:v>3.239</x:v>
      </x:c>
      <x:c r="T198" s="52" t="n">
        <x:v>-6.334144803109454</x:v>
      </x:c>
      <x:c r="U198" s="52" t="n">
        <x:v>13.29</x:v>
      </x:c>
      <x:c r="V198" s="52" t="n">
        <x:v>0.06899999999999906</x:v>
      </x:c>
      <x:c r="W198" s="46" t="n">
        <x:v>40.76</x:v>
      </x:c>
      <x:c r="X198" s="52" t="n">
        <x:v>-11.308331663935093</x:v>
      </x:c>
    </x:row>
    <x:row r="199">
      <x:c r="C199" s="19" t="n">
        <x:v>42583</x:v>
      </x:c>
      <x:c r="D199" s="46" t="n">
        <x:v>4318.4429</x:v>
      </x:c>
      <x:c r="E199" s="52" t="n">
        <x:v>4.3482565757744</x:v>
      </x:c>
      <x:c r="F199" s="46" t="n">
        <x:v>85.15747592669229</x:v>
      </x:c>
      <x:c r="G199" s="46" t="n">
        <x:v>5.9792628962237755</x:v>
      </x:c>
      <x:c r="H199" s="52" t="n">
        <x:v>-0.21999999999999975</x:v>
      </x:c>
      <x:c r="I199" s="52" t="n">
        <x:v>1.7658333333333338</x:v>
      </x:c>
      <x:c r="J199" s="52" t="n">
        <x:v>5.87</x:v>
      </x:c>
      <x:c r="K199" s="52" t="n">
        <x:v>-0.5575000000000001</x:v>
      </x:c>
      <x:c r="L199" s="52" t="n">
        <x:v>8.74</x:v>
      </x:c>
      <x:c r="M199" s="52" t="n">
        <x:v>-0.5399999999999991</x:v>
      </x:c>
      <x:c r="N199" s="52" t="n">
        <x:v>1.6586201960000047</x:v>
      </x:c>
      <x:c r="O199" s="46" t="n">
        <x:v>82.7727</x:v>
      </x:c>
      <x:c r="P199" s="52" t="n">
        <x:v>-3.0525060362770486</x:v>
      </x:c>
      <x:c r="Q199" s="46" t="n">
        <x:v>268.20837981</x:v>
      </x:c>
      <x:c r="R199" s="52" t="n">
        <x:v>-13.44309494501931</x:v>
      </x:c>
      <x:c r="S199" s="58" t="n">
        <x:v>3.2403</x:v>
      </x:c>
      <x:c r="T199" s="52" t="n">
        <x:v>-10.39058890874226</x:v>
      </x:c>
      <x:c r="U199" s="52" t="n">
        <x:v>13.12</x:v>
      </x:c>
      <x:c r="V199" s="52" t="n">
        <x:v>-0.05500000000000149</x:v>
      </x:c>
      <x:c r="W199" s="46" t="n">
        <x:v>47.94</x:v>
      </x:c>
      <x:c r="X199" s="52" t="n">
        <x:v>-2.7162163686153553</x:v>
      </x:c>
    </x:row>
    <x:row r="200">
      <x:c r="C200" s="19" t="n">
        <x:v>42614</x:v>
      </x:c>
      <x:c r="D200" s="46" t="n">
        <x:v>4393.5918</x:v>
      </x:c>
      <x:c r="E200" s="52" t="n">
        <x:v>5.060767652774312</x:v>
      </x:c>
      <x:c r="F200" s="46" t="n">
        <x:v>87.08611005526947</x:v>
      </x:c>
      <x:c r="G200" s="46" t="n">
        <x:v>6.568304482390361</x:v>
      </x:c>
      <x:c r="H200" s="52" t="n">
        <x:v>0.19000000000000006</x:v>
      </x:c>
      <x:c r="I200" s="52" t="n">
        <x:v>1.3850000000000002</x:v>
      </x:c>
      <x:c r="J200" s="52" t="n">
        <x:v>5.61</x:v>
      </x:c>
      <x:c r="K200" s="52" t="n">
        <x:v>-0.7749999999999995</x:v>
      </x:c>
      <x:c r="L200" s="52" t="n">
        <x:v>8.97</x:v>
      </x:c>
      <x:c r="M200" s="52" t="n">
        <x:v>-0.34999999999999964</x:v>
      </x:c>
      <x:c r="N200" s="52" t="n">
        <x:v>1.3156560080000101</x:v>
      </x:c>
      <x:c r="O200" s="46" t="n">
        <x:v>85.342</x:v>
      </x:c>
      <x:c r="P200" s="52" t="n">
        <x:v>-4.019617477585631</x:v>
      </x:c>
      <x:c r="Q200" s="46" t="n">
        <x:v>277.0372004</x:v>
      </x:c>
      <x:c r="R200" s="52" t="n">
        <x:v>-2.8919723191941955</x:v>
      </x:c>
      <x:c r="S200" s="58" t="n">
        <x:v>3.2462</x:v>
      </x:c>
      <x:c r="T200" s="52" t="n">
        <x:v>1.1276451583914275</x:v>
      </x:c>
      <x:c r="U200" s="52" t="n">
        <x:v>12.504</x:v>
      </x:c>
      <x:c r="V200" s="52" t="n">
        <x:v>-0.8550000000000004</x:v>
      </x:c>
      <x:c r="W200" s="46" t="n">
        <x:v>48.24</x:v>
      </x:c>
      <x:c r="X200" s="52" t="n">
        <x:v>0.39464170026286105</x:v>
      </x:c>
    </x:row>
    <x:row r="201">
      <x:c r="C201" s="19" t="n">
        <x:v>42644</x:v>
      </x:c>
      <x:c r="D201" s="46" t="n">
        <x:v>4442.0669</x:v>
      </x:c>
      <x:c r="E201" s="52" t="n">
        <x:v>5.606490414943239</x:v>
      </x:c>
      <x:c r="F201" s="46" t="n">
        <x:v>87.03880208934861</x:v>
      </x:c>
      <x:c r="G201" s="46" t="n">
        <x:v>5.433240152275212</x:v>
      </x:c>
      <x:c r="H201" s="52" t="n">
        <x:v>0.45833333333333337</x:v>
      </x:c>
      <x:c r="I201" s="52" t="n">
        <x:v>1.166666666666667</x:v>
      </x:c>
      <x:c r="J201" s="52" t="n">
        <x:v>5.305000000000001</x:v>
      </x:c>
      <x:c r="K201" s="52" t="n">
        <x:v>-0.732499999999999</x:v>
      </x:c>
      <x:c r="L201" s="52" t="n">
        <x:v>8.48</x:v>
      </x:c>
      <x:c r="M201" s="52" t="n">
        <x:v>-0.35999999999999943</x:v>
      </x:c>
      <x:c r="N201" s="52" t="n">
        <x:v>1.043057830399996</x:v>
      </x:c>
      <x:c r="O201" s="46" t="n">
        <x:v>84.9011</x:v>
      </x:c>
      <x:c r="P201" s="52" t="n">
        <x:v>0.7331782083632687</x:v>
      </x:c>
      <x:c r="Q201" s="46" t="n">
        <x:v>270.07888921</x:v>
      </x:c>
      <x:c r="R201" s="52" t="n">
        <x:v>-1.0705809177533843</x:v>
      </x:c>
      <x:c r="S201" s="58" t="n">
        <x:v>3.1811</x:v>
      </x:c>
      <x:c r="T201" s="52" t="n">
        <x:v>-1.8037591261166548</x:v>
      </x:c>
      <x:c r="U201" s="52" t="n">
        <x:v>12.425</x:v>
      </x:c>
      <x:c r="V201" s="52" t="n">
        <x:v>-0.8649999999999984</x:v>
      </x:c>
      <x:c r="W201" s="46" t="n">
        <x:v>46.2</x:v>
      </x:c>
      <x:c r="X201" s="52" t="n">
        <x:v>12.527858973316924</x:v>
      </x:c>
    </x:row>
    <x:row r="202">
      <x:c r="C202" s="19" t="n">
        <x:v>42675</x:v>
      </x:c>
      <x:c r="D202" s="46" t="n">
        <x:v>4624.2109</x:v>
      </x:c>
      <x:c r="E202" s="52" t="n">
        <x:v>6.841084272440921</x:v>
      </x:c>
      <x:c r="F202" s="46" t="n">
        <x:v>89.90070856722319</x:v>
      </x:c>
      <x:c r="G202" s="46" t="n">
        <x:v>5.420362277578196</x:v>
      </x:c>
      <x:c r="H202" s="52" t="n">
        <x:v>0.5216666666666667</x:v>
      </x:c>
      <x:c r="I202" s="52" t="n">
        <x:v>0.7416666666666665</x:v>
      </x:c>
      <x:c r="J202" s="52" t="n">
        <x:v>5.078333333333333</x:v>
      </x:c>
      <x:c r="K202" s="52" t="n">
        <x:v>-0.791666666666667</x:v>
      </x:c>
      <x:c r="L202" s="52" t="n">
        <x:v>7.87</x:v>
      </x:c>
      <x:c r="M202" s="52" t="n">
        <x:v>-0.8700000000000001</x:v>
      </x:c>
      <x:c r="N202" s="52" t="n">
        <x:v>0.7817049151999766</x:v>
      </x:c>
      <x:c r="O202" s="46" t="n">
        <x:v>86.0015</x:v>
      </x:c>
      <x:c r="P202" s="52" t="n">
        <x:v>3.8266441081919123</x:v>
      </x:c>
      <x:c r="Q202" s="46" t="n">
        <x:v>292.12129504999996</x:v>
      </x:c>
      <x:c r="R202" s="52" t="n">
        <x:v>8.540489503257817</x:v>
      </x:c>
      <x:c r="S202" s="58" t="n">
        <x:v>3.3967</x:v>
      </x:c>
      <x:c r="T202" s="52" t="n">
        <x:v>4.713845395065915</x:v>
      </x:c>
      <x:c r="U202" s="52" t="n">
        <x:v>12.169</x:v>
      </x:c>
      <x:c r="V202" s="52" t="n">
        <x:v>-0.9509999999999987</x:v>
      </x:c>
      <x:c r="W202" s="46" t="n">
        <x:v>47.95</x:v>
      </x:c>
      <x:c r="X202" s="52" t="n">
        <x:v>0.020857232320912005</x:v>
      </x:c>
    </x:row>
    <x:row r="203">
      <x:c r="C203" s="19" t="n">
        <x:v>42705</x:v>
      </x:c>
      <x:c r="D203" s="46" t="n">
        <x:v>4948.3706</x:v>
      </x:c>
      <x:c r="E203" s="52" t="n">
        <x:v>11.891128043580835</x:v>
      </x:c>
      <x:c r="F203" s="46" t="n">
        <x:v>96.07180005841845</x:v>
      </x:c>
      <x:c r="G203" s="46" t="n">
        <x:v>9.819842928757446</x:v>
      </x:c>
      <x:c r="H203" s="52" t="n">
        <x:v>0.5</x:v>
      </x:c>
      <x:c r="I203" s="52" t="n">
        <x:v>0.30999999999999994</x:v>
      </x:c>
      <x:c r="J203" s="52" t="n">
        <x:v>4.87</x:v>
      </x:c>
      <x:c r="K203" s="52" t="n">
        <x:v>-0.7400000000000002</x:v>
      </x:c>
      <x:c r="L203" s="52" t="n">
        <x:v>6.99</x:v>
      </x:c>
      <x:c r="M203" s="52" t="n">
        <x:v>-1.9800000000000004</x:v>
      </x:c>
      <x:c r="N203" s="52" t="n">
        <x:v>0.5208203743999995</x:v>
      </x:c>
      <x:c r="O203" s="46" t="n">
        <x:v>87.5144</x:v>
      </x:c>
      <x:c r="P203" s="52" t="n">
        <x:v>2.5136638097416912</x:v>
      </x:c>
      <x:c r="Q203" s="46" t="n">
        <x:v>285.21818104</x:v>
      </x:c>
      <x:c r="R203" s="52" t="n">
        <x:v>2.91026402522312</x:v>
      </x:c>
      <x:c r="S203" s="58" t="n">
        <x:v>3.2591</x:v>
      </x:c>
      <x:c r="T203" s="52" t="n">
        <x:v>0.3966002154814289</x:v>
      </x:c>
      <x:c r="U203" s="52" t="n">
        <x:v>11.561</x:v>
      </x:c>
      <x:c r="V203" s="52" t="n">
        <x:v>-0.9429999999999996</x:v>
      </x:c>
      <x:c r="W203" s="46" t="n">
        <x:v>54.96</x:v>
      </x:c>
      <x:c r="X203" s="52" t="n">
        <x:v>13.041709549516392</x:v>
      </x:c>
    </x:row>
    <x:row r="204">
      <x:c r="C204" s="19" t="n">
        <x:v>42736</x:v>
      </x:c>
      <x:c r="D204" s="46" t="n">
        <x:v>5183.8608</x:v>
      </x:c>
      <x:c r="E204" s="52" t="n">
        <x:v>15.44303206953502</x:v>
      </x:c>
      <x:c r="F204" s="46" t="n">
        <x:v>102.15631840324447</x:v>
      </x:c>
      <x:c r="G204" s="46" t="n">
        <x:v>16.01501532658935</x:v>
      </x:c>
      <x:c r="H204" s="52" t="n">
        <x:v>0.6050000000000001</x:v>
      </x:c>
      <x:c r="I204" s="52" t="n">
        <x:v>0.14666666666666672</x:v>
      </x:c>
      <x:c r="J204" s="52" t="n">
        <x:v>4.674166666666667</x:v>
      </x:c>
      <x:c r="K204" s="52" t="n">
        <x:v>-0.6308333333333334</x:v>
      </x:c>
      <x:c r="L204" s="52" t="n">
        <x:v>6.29</x:v>
      </x:c>
      <x:c r="M204" s="52" t="n">
        <x:v>-2.1900000000000004</x:v>
      </x:c>
      <x:c r="N204" s="52" t="n">
        <x:v>0.7417894039999817</x:v>
      </x:c>
      <x:c r="O204" s="46" t="n">
        <x:v>87.5922</x:v>
      </x:c>
      <x:c r="P204" s="52" t="n">
        <x:v>3.1204903229376835</x:v>
      </x:c>
      <x:c r="Q204" s="46" t="n">
        <x:v>273.9008094</x:v>
      </x:c>
      <x:c r="R204" s="52" t="n">
        <x:v>1.4051932777055463</x:v>
      </x:c>
      <x:c r="S204" s="58" t="n">
        <x:v>3.127</x:v>
      </x:c>
      <x:c r="T204" s="52" t="n">
        <x:v>-1.7152970452321483</x:v>
      </x:c>
      <x:c r="U204" s="52" t="n">
        <x:v>10.83</x:v>
      </x:c>
      <x:c r="V204" s="52" t="n">
        <x:v>-1.5950000000000006</x:v>
      </x:c>
      <x:c r="W204" s="46" t="n">
        <x:v>55.25</x:v>
      </x:c>
      <x:c r="X204" s="52" t="n">
        <x:v>17.888854231016893</x:v>
      </x:c>
    </x:row>
    <x:row r="205">
      <x:c r="C205" s="19" t="n">
        <x:v>42767</x:v>
      </x:c>
      <x:c r="D205" s="46" t="n">
        <x:v>5382.7139</x:v>
      </x:c>
      <x:c r="E205" s="52" t="n">
        <x:v>15.188694917301932</x:v>
      </x:c>
      <x:c r="F205" s="46" t="n">
        <x:v>106.40606985444583</x:v>
      </x:c>
      <x:c r="G205" s="46" t="n">
        <x:v>16.855679961145256</x:v>
      </x:c>
      <x:c r="H205" s="52" t="n">
        <x:v>0.7949999999999999</x:v>
      </x:c>
      <x:c r="I205" s="52" t="n">
        <x:v>0.2733333333333332</x:v>
      </x:c>
      <x:c r="J205" s="52" t="n">
        <x:v>4.383333333333334</x:v>
      </x:c>
      <x:c r="K205" s="52" t="n">
        <x:v>-0.6949999999999994</x:v>
      </x:c>
      <x:c r="L205" s="52" t="n">
        <x:v>5.35</x:v>
      </x:c>
      <x:c r="M205" s="52" t="n">
        <x:v>-2.5200000000000005</x:v>
      </x:c>
      <x:c r="N205" s="52" t="n">
        <x:v>0.8623660520000076</x:v>
      </x:c>
      <x:c r="O205" s="46" t="n">
        <x:v>87.7388</x:v>
      </x:c>
      <x:c r="P205" s="52" t="n">
        <x:v>1.9999480910392942</x:v>
      </x:c>
      <x:c r="Q205" s="46" t="n">
        <x:v>271.92886283999997</x:v>
      </x:c>
      <x:c r="R205" s="52" t="n">
        <x:v>-7.16286116092949</x:v>
      </x:c>
      <x:c r="S205" s="58" t="n">
        <x:v>3.0993</x:v>
      </x:c>
      <x:c r="T205" s="52" t="n">
        <x:v>-9.162809251968786</x:v>
      </x:c>
      <x:c r="U205" s="52" t="n">
        <x:v>10.203</x:v>
      </x:c>
      <x:c r="V205" s="52" t="n">
        <x:v>-1.966000000000001</x:v>
      </x:c>
      <x:c r="W205" s="46" t="n">
        <x:v>53.36</x:v>
      </x:c>
      <x:c r="X205" s="52" t="n">
        <x:v>10.690260027792094</x:v>
      </x:c>
    </x:row>
    <x:row r="206">
      <x:c r="C206" s="19" t="n">
        <x:v>42795</x:v>
      </x:c>
      <x:c r="D206" s="46" t="n">
        <x:v>5572.0063</x:v>
      </x:c>
      <x:c r="E206" s="52" t="n">
        <x:v>11.869683589566089</x:v>
      </x:c>
      <x:c r="F206" s="46" t="n">
        <x:v>110.80369959050036</x:v>
      </x:c>
      <x:c r="G206" s="46" t="n">
        <x:v>14.26643343694346</x:v>
      </x:c>
      <x:c r="H206" s="52" t="n">
        <x:v>0.9775</x:v>
      </x:c>
      <x:c r="I206" s="52" t="n">
        <x:v>0.47750000000000004</x:v>
      </x:c>
      <x:c r="J206" s="52" t="n">
        <x:v>4.199999999999999</x:v>
      </x:c>
      <x:c r="K206" s="52" t="n">
        <x:v>-0.6700000000000008</x:v>
      </x:c>
      <x:c r="L206" s="52" t="n">
        <x:v>4.76</x:v>
      </x:c>
      <x:c r="M206" s="52" t="n">
        <x:v>-2.2300000000000004</x:v>
      </x:c>
      <x:c r="N206" s="52" t="n">
        <x:v>1.0133877619999954</x:v>
      </x:c>
      <x:c r="O206" s="46" t="n">
        <x:v>85.3508</x:v>
      </x:c>
      <x:c r="P206" s="52" t="n">
        <x:v>-2.5033528885923384</x:v>
      </x:c>
      <x:c r="Q206" s="46" t="n">
        <x:v>270.42547472</x:v>
      </x:c>
      <x:c r="R206" s="52" t="n">
        <x:v>-5.325788392158334</x:v>
      </x:c>
      <x:c r="S206" s="58" t="n">
        <x:v>3.1684</x:v>
      </x:c>
      <x:c r="T206" s="52" t="n">
        <x:v>-2.8224355035659876</x:v>
      </x:c>
      <x:c r="U206" s="52" t="n">
        <x:v>9.671</x:v>
      </x:c>
      <x:c r="V206" s="52" t="n">
        <x:v>-1.8900000000000006</x:v>
      </x:c>
      <x:c r="W206" s="46" t="n">
        <x:v>52.2</x:v>
      </x:c>
      <x:c r="X206" s="52" t="n">
        <x:v>-5.152315302550081</x:v>
      </x:c>
    </x:row>
    <x:row r="207">
      <x:c r="C207" s="19" t="n">
        <x:v>42826</x:v>
      </x:c>
      <x:c r="D207" s="46" t="n">
        <x:v>5475.9321</x:v>
      </x:c>
      <x:c r="E207" s="52" t="n">
        <x:v>5.481240094999894</x:v>
      </x:c>
      <x:c r="F207" s="46" t="n">
        <x:v>108.68429768124486</x:v>
      </x:c>
      <x:c r="G207" s="46" t="n">
        <x:v>6.194315461955303</x:v>
      </x:c>
      <x:c r="H207" s="52" t="n">
        <x:v>1.1400000000000001</x:v>
      </x:c>
      <x:c r="I207" s="52" t="n">
        <x:v>0.535</x:v>
      </x:c>
      <x:c r="J207" s="52" t="n">
        <x:v>4.12</x:v>
      </x:c>
      <x:c r="K207" s="52" t="n">
        <x:v>-0.5541666666666671</x:v>
      </x:c>
      <x:c r="L207" s="52" t="n">
        <x:v>4.57</x:v>
      </x:c>
      <x:c r="M207" s="52" t="n">
        <x:v>-1.7199999999999998</x:v>
      </x:c>
      <x:c r="N207" s="52" t="n">
        <x:v>0.9630321349999971</x:v>
      </x:c>
      <x:c r="O207" s="46" t="n">
        <x:v>84.0128</x:v>
      </x:c>
      <x:c r="P207" s="52" t="n">
        <x:v>-4.172278469516521</x:v>
      </x:c>
      <x:c r="Q207" s="46" t="n">
        <x:v>268.70653952</x:v>
      </x:c>
      <x:c r="R207" s="52" t="n">
        <x:v>-1.9146178406870864</x:v>
      </x:c>
      <x:c r="S207" s="58" t="n">
        <x:v>3.1984</x:v>
      </x:c>
      <x:c r="T207" s="52" t="n">
        <x:v>2.257660628829435</x:v>
      </x:c>
      <x:c r="U207" s="52" t="n">
        <x:v>9.301</x:v>
      </x:c>
      <x:c r="V207" s="52" t="n">
        <x:v>-1.529</x:v>
      </x:c>
      <x:c r="W207" s="46" t="n">
        <x:v>49.46</x:v>
      </x:c>
      <x:c r="X207" s="52" t="n">
        <x:v>-11.070407830459207</x:v>
      </x:c>
    </x:row>
    <x:row r="208">
      <x:c r="C208" s="19" t="n">
        <x:v>42856</x:v>
      </x:c>
      <x:c r="D208" s="46" t="n">
        <x:v>5537.8755</x:v>
      </x:c>
      <x:c r="E208" s="52" t="n">
        <x:v>2.8418254091391844</x:v>
      </x:c>
      <x:c r="F208" s="46" t="n">
        <x:v>111.08210233000668</x:v>
      </x:c>
      <x:c r="G208" s="46" t="n">
        <x:v>4.300696574432748</x:v>
      </x:c>
      <x:c r="H208" s="52" t="n">
        <x:v>1.2808333333333333</x:v>
      </x:c>
      <x:c r="I208" s="52" t="n">
        <x:v>0.48583333333333334</x:v>
      </x:c>
      <x:c r="J208" s="52" t="n">
        <x:v>4.114166666666667</x:v>
      </x:c>
      <x:c r="K208" s="52" t="n">
        <x:v>-0.269166666666667</x:v>
      </x:c>
      <x:c r="L208" s="52" t="n">
        <x:v>4.08</x:v>
      </x:c>
      <x:c r="M208" s="52" t="n">
        <x:v>-1.2699999999999996</x:v>
      </x:c>
      <x:c r="N208" s="52" t="n">
        <x:v>0.721638155000015</x:v>
      </x:c>
      <x:c r="O208" s="46" t="n">
        <x:v>82.8292</x:v>
      </x:c>
      <x:c r="P208" s="52" t="n">
        <x:v>-5.758356264507906</x:v>
      </x:c>
      <x:c r="Q208" s="46" t="n">
        <x:v>268.67307604</x:v>
      </x:c>
      <x:c r="R208" s="52" t="n">
        <x:v>-1.2045188631379273</x:v>
      </x:c>
      <x:c r="S208" s="58" t="n">
        <x:v>3.2437</x:v>
      </x:c>
      <x:c r="T208" s="52" t="n">
        <x:v>4.553837401369975</x:v>
      </x:c>
      <x:c r="U208" s="52" t="n">
        <x:v>9.147</x:v>
      </x:c>
      <x:c r="V208" s="52" t="n">
        <x:v>-1.0559999999999992</x:v>
      </x:c>
      <x:c r="W208" s="46" t="n">
        <x:v>49.4</x:v>
      </x:c>
      <x:c r="X208" s="52" t="n">
        <x:v>-7.711097741349142</x:v>
      </x:c>
    </x:row>
    <x:row r="209">
      <x:c r="C209" s="19" t="n">
        <x:v>42887</x:v>
      </x:c>
      <x:c r="D209" s="46" t="n">
        <x:v>5534.1045</x:v>
      </x:c>
      <x:c r="E209" s="52" t="n">
        <x:v>-0.6825422116662587</x:v>
      </x:c>
      <x:c r="F209" s="46" t="n">
        <x:v>112.19010467859574</x:v>
      </x:c>
      <x:c r="G209" s="46" t="n">
        <x:v>1.2434632042192644</x:v>
      </x:c>
      <x:c r="H209" s="52" t="n">
        <x:v>1.195</x:v>
      </x:c>
      <x:c r="I209" s="52" t="n">
        <x:v>0.21750000000000003</x:v>
      </x:c>
      <x:c r="J209" s="52" t="n">
        <x:v>3.855</x:v>
      </x:c>
      <x:c r="K209" s="52" t="n">
        <x:v>-0.3449999999999993</x:v>
      </x:c>
      <x:c r="L209" s="52" t="n">
        <x:v>3.6</x:v>
      </x:c>
      <x:c r="M209" s="52" t="n">
        <x:v>-1.1599999999999997</x:v>
      </x:c>
      <x:c r="N209" s="52" t="n">
        <x:v>0.7015600850000192</x:v>
      </x:c>
      <x:c r="O209" s="46" t="n">
        <x:v>82.6017</x:v>
      </x:c>
      <x:c r="P209" s="52" t="n">
        <x:v>-3.273956093687919</x:v>
      </x:c>
      <x:c r="Q209" s="46" t="n">
        <x:v>273.26294393999996</x:v>
      </x:c>
      <x:c r="R209" s="52" t="n">
        <x:v>1.0437945281117067</x:v>
      </x:c>
      <x:c r="S209" s="58" t="n">
        <x:v>3.3082</x:v>
      </x:c>
      <x:c r="T209" s="52" t="n">
        <x:v>4.317750621799611</x:v>
      </x:c>
      <x:c r="U209" s="52" t="n">
        <x:v>8.766</x:v>
      </x:c>
      <x:c r="V209" s="52" t="n">
        <x:v>-0.9049999999999994</x:v>
      </x:c>
      <x:c r="W209" s="46" t="n">
        <x:v>47.08</x:v>
      </x:c>
      <x:c r="X209" s="52" t="n">
        <x:v>-10.323421249651716</x:v>
      </x:c>
    </x:row>
    <x:row r="210">
      <x:c r="C210" s="19" t="n">
        <x:v>42917</x:v>
      </x:c>
      <x:c r="D210" s="46" t="n">
        <x:v>5500.3999</x:v>
      </x:c>
      <x:c r="E210" s="52" t="n">
        <x:v>0.4458290898553155</x:v>
      </x:c>
      <x:c r="F210" s="46" t="n">
        <x:v>111.66912554371196</x:v>
      </x:c>
      <x:c r="G210" s="46" t="n">
        <x:v>2.709293457082986</x:v>
      </x:c>
      <x:c r="H210" s="52" t="n">
        <x:v>1.3083333333333331</x:v>
      </x:c>
      <x:c r="I210" s="52" t="n">
        <x:v>0.168333333333333</x:v>
      </x:c>
      <x:c r="J210" s="52" t="n">
        <x:v>3.875</x:v>
      </x:c>
      <x:c r="K210" s="52" t="n">
        <x:v>-0.2450000000000001</x:v>
      </x:c>
      <x:c r="L210" s="52" t="n">
        <x:v>3</x:v>
      </x:c>
      <x:c r="M210" s="52" t="n">
        <x:v>-1.5700000000000003</x:v>
      </x:c>
      <x:c r="N210" s="52" t="n">
        <x:v>0.21939800180001967</x:v>
      </x:c>
      <x:c r="O210" s="46" t="n">
        <x:v>84.3915</x:v>
      </x:c>
      <x:c r="P210" s="52" t="n">
        <x:v>0.4497517442857593</x:v>
      </x:c>
      <x:c r="Q210" s="46" t="n">
        <x:v>264.20446905</x:v>
      </x:c>
      <x:c r="R210" s="52" t="n">
        <x:v>-1.6896545600737727</x:v>
      </x:c>
      <x:c r="S210" s="58" t="n">
        <x:v>3.1307</x:v>
      </x:c>
      <x:c r="T210" s="52" t="n">
        <x:v>-2.139406304359547</x:v>
      </x:c>
      <x:c r="U210" s="52" t="n">
        <x:v>7.977</x:v>
      </x:c>
      <x:c r="V210" s="52" t="n">
        <x:v>-1.3239999999999998</x:v>
      </x:c>
      <x:c r="W210" s="46" t="n">
        <x:v>51.99</x:v>
      </x:c>
      <x:c r="X210" s="52" t="n">
        <x:v>4.988713030235431</x:v>
      </x:c>
    </x:row>
    <x:row r="211">
      <x:c r="C211" s="19" t="n">
        <x:v>42948</x:v>
      </x:c>
      <x:c r="D211" s="46" t="n">
        <x:v>5512.0093</x:v>
      </x:c>
      <x:c r="E211" s="52" t="n">
        <x:v>-0.46817225181805594</x:v>
      </x:c>
      <x:c r="F211" s="46" t="n">
        <x:v>111.63063541469366</x:v>
      </x:c>
      <x:c r="G211" s="46" t="n">
        <x:v>0.492593463142876</x:v>
      </x:c>
      <x:c r="H211" s="52" t="n">
        <x:v>1.4666666666666668</x:v>
      </x:c>
      <x:c r="I211" s="52" t="n">
        <x:v>0.18583333333333352</x:v>
      </x:c>
      <x:c r="J211" s="52" t="n">
        <x:v>3.923333333333334</x:v>
      </x:c>
      <x:c r="K211" s="52" t="n">
        <x:v>-0.19083333333333297</x:v>
      </x:c>
      <x:c r="L211" s="52" t="n">
        <x:v>2.71</x:v>
      </x:c>
      <x:c r="M211" s="52" t="n">
        <x:v>-1.37</x:v>
      </x:c>
      <x:c r="N211" s="52" t="n">
        <x:v>0.3194772888000186</x:v>
      </x:c>
      <x:c r="O211" s="46" t="n">
        <x:v>84.6565</x:v>
      </x:c>
      <x:c r="P211" s="52" t="n">
        <x:v>2.1821236173061114</x:v>
      </x:c>
      <x:c r="Q211" s="46" t="n">
        <x:v>266.42247115</x:v>
      </x:c>
      <x:c r="R211" s="52" t="n">
        <x:v>-0.8412023509712895</x:v>
      </x:c>
      <x:c r="S211" s="58" t="n">
        <x:v>3.1471</x:v>
      </x:c>
      <x:c r="T211" s="52" t="n">
        <x:v>-3.0233259682773928</x:v>
      </x:c>
      <x:c r="U211" s="52" t="n">
        <x:v>7.573</x:v>
      </x:c>
      <x:c r="V211" s="52" t="n">
        <x:v>-1.5739999999999998</x:v>
      </x:c>
      <x:c r="W211" s="46" t="n">
        <x:v>52.69</x:v>
      </x:c>
      <x:c r="X211" s="52" t="n">
        <x:v>6.447526002731767</x:v>
      </x:c>
    </x:row>
    <x:row r="212">
      <x:c r="C212" s="19" t="n">
        <x:v>42979</x:v>
      </x:c>
      <x:c r="D212" s="46" t="n">
        <x:v>5500.3379</x:v>
      </x:c>
      <x:c r="E212" s="52" t="n">
        <x:v>-0.6120237738598205</x:v>
      </x:c>
      <x:c r="F212" s="46" t="n">
        <x:v>111.66175972710954</x:v>
      </x:c>
      <x:c r="G212" s="46" t="n">
        <x:v>-0.4720496154765267</x:v>
      </x:c>
      <x:c r="H212" s="52" t="n">
        <x:v>1.96</x:v>
      </x:c>
      <x:c r="I212" s="52" t="n">
        <x:v>0.7649999999999999</x:v>
      </x:c>
      <x:c r="J212" s="52" t="n">
        <x:v>3.7824999999999998</x:v>
      </x:c>
      <x:c r="K212" s="52" t="n">
        <x:v>-0.07250000000000023</x:v>
      </x:c>
      <x:c r="L212" s="52" t="n">
        <x:v>2.46</x:v>
      </x:c>
      <x:c r="M212" s="52" t="n">
        <x:v>-1.1400000000000001</x:v>
      </x:c>
      <x:c r="N212" s="52" t="n">
        <x:v>0.19946595119999522</x:v>
      </x:c>
      <x:c r="O212" s="46" t="n">
        <x:v>84.4599</x:v>
      </x:c>
      <x:c r="P212" s="52" t="n">
        <x:v>2.224660408372864</x:v>
      </x:c>
      <x:c r="Q212" s="46" t="n">
        <x:v>267.56896320000004</x:v>
      </x:c>
      <x:c r="R212" s="52" t="n">
        <x:v>-2.1057156790075466</x:v>
      </x:c>
      <x:c r="S212" s="58" t="n">
        <x:v>3.168</x:v>
      </x:c>
      <x:c r="T212" s="52" t="n">
        <x:v>-4.330376087380417</x:v>
      </x:c>
      <x:c r="U212" s="52" t="n">
        <x:v>7.125</x:v>
      </x:c>
      <x:c r="V212" s="52" t="n">
        <x:v>-1.641</x:v>
      </x:c>
      <x:c r="W212" s="46" t="n">
        <x:v>57.02</x:v>
      </x:c>
      <x:c r="X212" s="52" t="n">
        <x:v>19.155380109245005</x:v>
      </x:c>
    </x:row>
    <x:row r="213">
      <x:c r="C213" s="19" t="n">
        <x:v>43009</x:v>
      </x:c>
      <x:c r="D213" s="46" t="n">
        <x:v>5577.125</x:v>
      </x:c>
      <x:c r="E213" s="52" t="n">
        <x:v>1.3852611954033567</x:v>
      </x:c>
      <x:c r="F213" s="46" t="n">
        <x:v>112.84859362463439</x:v>
      </x:c>
      <x:c r="G213" s="46" t="n">
        <x:v>1.050677813430066</x:v>
      </x:c>
      <x:c r="H213" s="52" t="n">
        <x:v>2.205</x:v>
      </x:c>
      <x:c r="I213" s="52" t="n">
        <x:v>0.896666666666667</x:v>
      </x:c>
      <x:c r="J213" s="52" t="n">
        <x:v>3.863333333333333</x:v>
      </x:c>
      <x:c r="K213" s="52" t="n">
        <x:v>-0.011666666666667158</x:v>
      </x:c>
      <x:c r="L213" s="52" t="n">
        <x:v>2.54</x:v>
      </x:c>
      <x:c r="M213" s="52" t="n">
        <x:v>-0.45999999999999996</x:v>
      </x:c>
      <x:c r="N213" s="52" t="n">
        <x:v>0.5911447296000016</x:v>
      </x:c>
      <x:c r="O213" s="46" t="n">
        <x:v>86.1882</x:v>
      </x:c>
      <x:c r="P213" s="52" t="n">
        <x:v>2.106659171819574</x:v>
      </x:c>
      <x:c r="Q213" s="46" t="n">
        <x:v>282.43011257999996</x:v>
      </x:c>
      <x:c r="R213" s="52" t="n">
        <x:v>6.670782353326259</x:v>
      </x:c>
      <x:c r="S213" s="58" t="n">
        <x:v>3.2769</x:v>
      </x:c>
      <x:c r="T213" s="52" t="n">
        <x:v>4.564123181506698</x:v>
      </x:c>
      <x:c r="U213" s="52" t="n">
        <x:v>7.142</x:v>
      </x:c>
      <x:c r="V213" s="52" t="n">
        <x:v>-0.835</x:v>
      </x:c>
      <x:c r="W213" s="46" t="n">
        <x:v>61.35</x:v>
      </x:c>
      <x:c r="X213" s="52" t="n">
        <x:v>16.5543778761296</x:v>
      </x:c>
    </x:row>
    <x:row r="214">
      <x:c r="C214" s="19" t="n">
        <x:v>43040</x:v>
      </x:c>
      <x:c r="D214" s="46" t="n">
        <x:v>5709.207</x:v>
      </x:c>
      <x:c r="E214" s="52" t="n">
        <x:v>3.5150913926145546</x:v>
      </x:c>
      <x:c r="F214" s="46" t="n">
        <x:v>115.08935472875405</x:v>
      </x:c>
      <x:c r="G214" s="46" t="n">
        <x:v>3.051330113785206</x:v>
      </x:c>
      <x:c r="H214" s="52" t="n">
        <x:v>2.4549999999999996</x:v>
      </x:c>
      <x:c r="I214" s="52" t="n">
        <x:v>0.9883333333333328</x:v>
      </x:c>
      <x:c r="J214" s="52" t="n">
        <x:v>3.9374999999999996</x:v>
      </x:c>
      <x:c r="K214" s="52" t="n">
        <x:v>0.014166666666665773</x:v>
      </x:c>
      <x:c r="L214" s="52" t="n">
        <x:v>2.7</x:v>
      </x:c>
      <x:c r="M214" s="52" t="n">
        <x:v>-0.009999999999999787</x:v>
      </x:c>
      <x:c r="N214" s="52" t="n">
        <x:v>0.7717752767999908</x:v>
      </x:c>
      <x:c r="O214" s="46" t="n">
        <x:v>85.7033</x:v>
      </x:c>
      <x:c r="P214" s="52" t="n">
        <x:v>1.2289438879877106</x:v>
      </x:c>
      <x:c r="Q214" s="46" t="n">
        <x:v>279.52988328</x:v>
      </x:c>
      <x:c r="R214" s="52" t="n">
        <x:v>4.802591753048559</x:v>
      </x:c>
      <x:c r="S214" s="58" t="n">
        <x:v>3.2616</x:v>
      </x:c>
      <x:c r="T214" s="52" t="n">
        <x:v>3.5736478650608463</x:v>
      </x:c>
      <x:c r="U214" s="52" t="n">
        <x:v>7.021</x:v>
      </x:c>
      <x:c r="V214" s="52" t="n">
        <x:v>-0.5520000000000005</x:v>
      </x:c>
      <x:c r="W214" s="46" t="n">
        <x:v>63.53</x:v>
      </x:c>
      <x:c r="X214" s="52" t="n">
        <x:v>18.708655105724755</x:v>
      </x:c>
    </x:row>
    <x:row r="215">
      <x:c r="C215" s="19" t="n">
        <x:v>43070</x:v>
      </x:c>
      <x:c r="D215" s="46" t="n">
        <x:v>5944.4844</x:v>
      </x:c>
      <x:c r="E215" s="52" t="n">
        <x:v>7.765427132355393</x:v>
      </x:c>
      <x:c r="F215" s="46" t="n">
        <x:v>118.92600843026803</x:v>
      </x:c>
      <x:c r="G215" s="46" t="n">
        <x:v>6.3027222381436525</x:v>
      </x:c>
      <x:c r="H215" s="52" t="n">
        <x:v>2.7</x:v>
      </x:c>
      <x:c r="I215" s="52" t="n">
        <x:v>0.7400000000000002</x:v>
      </x:c>
      <x:c r="J215" s="52" t="n">
        <x:v>3.96</x:v>
      </x:c>
      <x:c r="K215" s="52" t="n">
        <x:v>0.1775000000000002</x:v>
      </x:c>
      <x:c r="L215" s="52" t="n">
        <x:v>2.8</x:v>
      </x:c>
      <x:c r="M215" s="52" t="n">
        <x:v>0.33999999999999986</x:v>
      </x:c>
      <x:c r="N215" s="52" t="n">
        <x:v>0.8622978815999938</x:v>
      </x:c>
      <x:c r="O215" s="46" t="n">
        <x:v>88.1674</x:v>
      </x:c>
      <x:c r="P215" s="52" t="n">
        <x:v>4.296041466331964</x:v>
      </x:c>
      <x:c r="Q215" s="46" t="n">
        <x:v>291.6577592</x:v>
      </x:c>
      <x:c r="R215" s="52" t="n">
        <x:v>8.62037178725848</x:v>
      </x:c>
      <x:c r="S215" s="58" t="n">
        <x:v>3.308</x:v>
      </x:c>
      <x:c r="T215" s="52" t="n">
        <x:v>4.3243303209265385</x:v>
      </x:c>
      <x:c r="U215" s="52" t="n">
        <x:v>6.855</x:v>
      </x:c>
      <x:c r="V215" s="52" t="n">
        <x:v>-0.2699999999999996</x:v>
      </x:c>
      <x:c r="W215" s="46" t="n">
        <x:v>66.73</x:v>
      </x:c>
      <x:c r="X215" s="52" t="n">
        <x:v>15.725254343098927</x:v>
      </x:c>
    </x:row>
    <x:row r="216">
      <x:c r="C216" s="19" t="n">
        <x:v>43101</x:v>
      </x:c>
      <x:c r="D216" s="46" t="n">
        <x:v>6179.4556</x:v>
      </x:c>
      <x:c r="E216" s="52" t="n">
        <x:v>10.255676633431642</x:v>
      </x:c>
      <x:c r="F216" s="46" t="n">
        <x:v>124.30714199995668</x:v>
      </x:c>
      <x:c r="G216" s="46" t="n">
        <x:v>9.670841378589776</x:v>
      </x:c>
      <x:c r="H216" s="52" t="n">
        <x:v>2.706666666666667</x:v>
      </x:c>
      <x:c r="I216" s="52" t="n">
        <x:v>0.5016666666666669</x:v>
      </x:c>
      <x:c r="J216" s="52" t="n">
        <x:v>3.9750000000000005</x:v>
      </x:c>
      <x:c r="K216" s="52" t="n">
        <x:v>0.11166666666666769</x:v>
      </x:c>
      <x:c r="L216" s="52" t="n">
        <x:v>2.95</x:v>
      </x:c>
      <x:c r="M216" s="52" t="n">
        <x:v>0.41000000000000014</x:v>
      </x:c>
      <x:c r="N216" s="52" t="n">
        <x:v>1.1442611743999853</x:v>
      </x:c>
      <x:c r="O216" s="46" t="n">
        <x:v>89.8001</x:v>
      </x:c>
      <x:c r="P216" s="52" t="n">
        <x:v>4.105281154533014</x:v>
      </x:c>
      <x:c r="Q216" s="46" t="n">
        <x:v>283.98383624</x:v>
      </x:c>
      <x:c r="R216" s="52" t="n">
        <x:v>0.5486191010198944</x:v>
      </x:c>
      <x:c r="S216" s="58" t="n">
        <x:v>3.1624</x:v>
      </x:c>
      <x:c r="T216" s="52" t="n">
        <x:v>-3.5566620535131386</x:v>
      </x:c>
      <x:c r="U216" s="52" t="n">
        <x:v>6.89</x:v>
      </x:c>
      <x:c r="V216" s="52" t="n">
        <x:v>-0.25200000000000067</x:v>
      </x:c>
      <x:c r="W216" s="46" t="n">
        <x:v>67.78</x:v>
      </x:c>
      <x:c r="X216" s="52" t="n">
        <x:v>9.967199502198484</x:v>
      </x:c>
    </x:row>
    <x:row r="217">
      <x:c r="C217" s="19" t="n">
        <x:v>43132</x:v>
      </x:c>
      <x:c r="D217" s="46" t="n">
        <x:v>6463.8735</x:v>
      </x:c>
      <x:c r="E217" s="52" t="n">
        <x:v>12.414861623761215</x:v>
      </x:c>
      <x:c r="F217" s="46" t="n">
        <x:v>130.65348326174941</x:v>
      </x:c>
      <x:c r="G217" s="46" t="n">
        <x:v>12.683982832909631</x:v>
      </x:c>
      <x:c r="H217" s="52" t="n">
        <x:v>2.9166666666666665</x:v>
      </x:c>
      <x:c r="I217" s="52" t="n">
        <x:v>0.4616666666666669</x:v>
      </x:c>
      <x:c r="J217" s="52" t="n">
        <x:v>3.8166666666666664</x:v>
      </x:c>
      <x:c r="K217" s="52" t="n">
        <x:v>-0.12083333333333313</x:v>
      </x:c>
      <x:c r="L217" s="52" t="n">
        <x:v>2.86</x:v>
      </x:c>
      <x:c r="M217" s="52" t="n">
        <x:v>0.1599999999999997</x:v>
      </x:c>
      <x:c r="N217" s="52" t="n">
        <x:v>1.0133235727999734</x:v>
      </x:c>
      <x:c r="O217" s="46" t="n">
        <x:v>88.1409</x:v>
      </x:c>
      <x:c r="P217" s="52" t="n">
        <x:v>2.8045339109501697</x:v>
      </x:c>
      <x:c r="Q217" s="46" t="n">
        <x:v>286.00840641</x:v>
      </x:c>
      <x:c r="R217" s="52" t="n">
        <x:v>2.2911999626819934</x:v>
      </x:c>
      <x:c r="S217" s="58" t="n">
        <x:v>3.2449</x:v>
      </x:c>
      <x:c r="T217" s="52" t="n">
        <x:v>-0.5133339482681895</x:v>
      </x:c>
      <x:c r="U217" s="52" t="n">
        <x:v>6.669</x:v>
      </x:c>
      <x:c r="V217" s="52" t="n">
        <x:v>-0.3520000000000003</x:v>
      </x:c>
      <x:c r="W217" s="46" t="n">
        <x:v>66.08</x:v>
      </x:c>
      <x:c r="X217" s="52" t="n">
        <x:v>3.935389393428064</x:v>
      </x:c>
    </x:row>
    <x:row r="218">
      <x:c r="C218" s="19" t="n">
        <x:v>43160</x:v>
      </x:c>
      <x:c r="D218" s="46" t="n">
        <x:v>6749.9937</x:v>
      </x:c>
      <x:c r="E218" s="52" t="n">
        <x:v>12.70777735121901</x:v>
      </x:c>
      <x:c r="F218" s="46" t="n">
        <x:v>132.94006464129328</x:v>
      </x:c>
      <x:c r="G218" s="46" t="n">
        <x:v>11.139686302685728</x:v>
      </x:c>
      <x:c r="H218" s="52" t="n">
        <x:v>2.88</x:v>
      </x:c>
      <x:c r="I218" s="52" t="n">
        <x:v>0.17999999999999972</x:v>
      </x:c>
      <x:c r="J218" s="52" t="n">
        <x:v>3.6750000000000003</x:v>
      </x:c>
      <x:c r="K218" s="52" t="n">
        <x:v>-0.2849999999999997</x:v>
      </x:c>
      <x:c r="L218" s="52" t="n">
        <x:v>2.84</x:v>
      </x:c>
      <x:c r="M218" s="52" t="n">
        <x:v>0.040000000000000036</x:v>
      </x:c>
      <x:c r="N218" s="52" t="n">
        <x:v>1.053616083199982</x:v>
      </x:c>
      <x:c r="O218" s="46" t="n">
        <x:v>87.4729</x:v>
      </x:c>
      <x:c r="P218" s="52" t="n">
        <x:v>-0.7908249069513996</x:v>
      </x:c>
      <x:c r="Q218" s="46" t="n">
        <x:v>290.74242502</x:v>
      </x:c>
      <x:c r="R218" s="52" t="n">
        <x:v>-0.3143319519672966</x:v>
      </x:c>
      <x:c r="S218" s="58" t="n">
        <x:v>3.3238</x:v>
      </x:c>
      <x:c r="T218" s="52" t="n">
        <x:v>0.47649295498409505</x:v>
      </x:c>
      <x:c r="U218" s="52" t="n">
        <x:v>6.292</x:v>
      </x:c>
      <x:c r="V218" s="52" t="n">
        <x:v>-0.5630000000000006</x:v>
      </x:c>
      <x:c r="W218" s="46" t="n">
        <x:v>69.02</x:v>
      </x:c>
      <x:c r="X218" s="52" t="n">
        <x:v>3.3741690754342044</x:v>
      </x:c>
    </x:row>
    <x:row r="219">
      <x:c r="C219" s="19" t="n">
        <x:v>43191</x:v>
      </x:c>
      <x:c r="D219" s="46" t="n">
        <x:v>6833.7041</x:v>
      </x:c>
      <x:c r="E219" s="52" t="n">
        <x:v>10.063667756639044</x:v>
      </x:c>
      <x:c r="F219" s="46" t="n">
        <x:v>136.33012477446</x:v>
      </x:c>
      <x:c r="G219" s="46" t="n">
        <x:v>9.232387780692648</x:v>
      </x:c>
      <x:c r="H219" s="52" t="n">
        <x:v>2.833333333333333</x:v>
      </x:c>
      <x:c r="I219" s="52" t="n">
        <x:v>0.12666666666666604</x:v>
      </x:c>
      <x:c r="J219" s="52" t="n">
        <x:v>3.673333333333334</x:v>
      </x:c>
      <x:c r="K219" s="52" t="n">
        <x:v>-0.30166666666666675</x:v>
      </x:c>
      <x:c r="L219" s="52" t="n">
        <x:v>2.68</x:v>
      </x:c>
      <x:c r="M219" s="52" t="n">
        <x:v>-0.27</x:v>
      </x:c>
      <x:c r="N219" s="52" t="n">
        <x:v>0.7014778351999817</x:v>
      </x:c>
      <x:c r="O219" s="46" t="n">
        <x:v>89.593</x:v>
      </x:c>
      <x:c r="P219" s="52" t="n">
        <x:v>-0.23088969643118884</x:v>
      </x:c>
      <x:c r="Q219" s="46" t="n">
        <x:v>311.88219230000004</x:v>
      </x:c>
      <x:c r="R219" s="52" t="n">
        <x:v>9.370820582921853</x:v>
      </x:c>
      <x:c r="S219" s="58" t="n">
        <x:v>3.4811</x:v>
      </x:c>
      <x:c r="T219" s="52" t="n">
        <x:v>9.601710279353048</x:v>
      </x:c>
      <x:c r="U219" s="52" t="n">
        <x:v>6.378</x:v>
      </x:c>
      <x:c r="V219" s="52" t="n">
        <x:v>-0.5119999999999996</x:v>
      </x:c>
      <x:c r="W219" s="46" t="n">
        <x:v>75.92</x:v>
      </x:c>
      <x:c r="X219" s="52" t="n">
        <x:v>11.341298812276719</x:v>
      </x:c>
    </x:row>
    <x:row r="220">
      <x:c r="C220" s="19" t="n">
        <x:v>43221</x:v>
      </x:c>
      <x:c r="D220" s="46" t="n">
        <x:v>7006.3262</x:v>
      </x:c>
      <x:c r="E220" s="52" t="n">
        <x:v>8.058473268119979</x:v>
      </x:c>
      <x:c r="F220" s="46" t="n">
        <x:v>144.34018388772358</x:v>
      </x:c>
      <x:c r="G220" s="46" t="n">
        <x:v>9.962424900607212</x:v>
      </x:c>
      <x:c r="H220" s="52" t="n">
        <x:v>2.591666666666667</x:v>
      </x:c>
      <x:c r="I220" s="52" t="n">
        <x:v>-0.32499999999999973</x:v>
      </x:c>
      <x:c r="J220" s="52" t="n">
        <x:v>3.7824999999999998</x:v>
      </x:c>
      <x:c r="K220" s="52" t="n">
        <x:v>-0.03416666666666668</x:v>
      </x:c>
      <x:c r="L220" s="52" t="n">
        <x:v>2.76</x:v>
      </x:c>
      <x:c r="M220" s="52" t="n">
        <x:v>-0.10000000000000009</x:v>
      </x:c>
      <x:c r="N220" s="52" t="n">
        <x:v>0.6311906335999984</x:v>
      </x:c>
      <x:c r="O220" s="46" t="n">
        <x:v>90.7159</x:v>
      </x:c>
      <x:c r="P220" s="52" t="n">
        <x:v>2.8795974565015894</x:v>
      </x:c>
      <x:c r="Q220" s="46" t="n">
        <x:v>339.0053183</x:v>
      </x:c>
      <x:c r="R220" s="52" t="n">
        <x:v>16.999459202813792</x:v>
      </x:c>
      <x:c r="S220" s="58" t="n">
        <x:v>3.737</x:v>
      </x:c>
      <x:c r="T220" s="52" t="n">
        <x:v>14.119861746312209</x:v>
      </x:c>
      <x:c r="U220" s="52" t="n">
        <x:v>7.22</x:v>
      </x:c>
      <x:c r="V220" s="52" t="n">
        <x:v>0.5510000000000002</x:v>
      </x:c>
      <x:c r="W220" s="46" t="n">
        <x:v>76.45</x:v>
      </x:c>
      <x:c r="X220" s="52" t="n">
        <x:v>14.577080316234877</x:v>
      </x:c>
    </x:row>
    <x:row r="221">
      <x:c r="C221" s="19" t="n">
        <x:v>43252</x:v>
      </x:c>
      <x:c r="D221" s="46" t="n">
        <x:v>7059.3154</x:v>
      </x:c>
      <x:c r="E221" s="52" t="n">
        <x:v>4.480650641417245</x:v>
      </x:c>
      <x:c r="F221" s="46" t="n">
        <x:v>145.75012078779486</x:v>
      </x:c>
      <x:c r="G221" s="46" t="n">
        <x:v>9.199526910554741</x:v>
      </x:c>
      <x:c r="H221" s="52" t="n">
        <x:v>2.025</x:v>
      </x:c>
      <x:c r="I221" s="52" t="n">
        <x:v>-0.855</x:v>
      </x:c>
      <x:c r="J221" s="52" t="n">
        <x:v>4.0649999999999995</x:v>
      </x:c>
      <x:c r="K221" s="52" t="n">
        <x:v>0.38999999999999924</x:v>
      </x:c>
      <x:c r="L221" s="52" t="n">
        <x:v>2.86</x:v>
      </x:c>
      <x:c r="M221" s="52" t="n">
        <x:v>0.020000000000000018</x:v>
      </x:c>
      <x:c r="N221" s="52" t="n">
        <x:v>0.7114387919999743</x:v>
      </x:c>
      <x:c r="O221" s="46" t="n">
        <x:v>87.4095</x:v>
      </x:c>
      <x:c r="P221" s="52" t="n">
        <x:v>-0.07250586997606147</x:v>
      </x:c>
      <x:c r="Q221" s="46" t="n">
        <x:v>337.03355009999996</x:v>
      </x:c>
      <x:c r="R221" s="52" t="n">
        <x:v>14.774474277218502</x:v>
      </x:c>
      <x:c r="S221" s="58" t="n">
        <x:v>3.8558</x:v>
      </x:c>
      <x:c r="T221" s="52" t="n">
        <x:v>14.846980147194552</x:v>
      </x:c>
      <x:c r="U221" s="52" t="n">
        <x:v>7.575</x:v>
      </x:c>
      <x:c r="V221" s="52" t="n">
        <x:v>1.2830000000000004</x:v>
      </x:c>
      <x:c r="W221" s="46" t="n">
        <x:v>77.44</x:v>
      </x:c>
      <x:c r="X221" s="52" t="n">
        <x:v>11.51071252984643</x:v>
      </x:c>
    </x:row>
    <x:row r="222">
      <x:c r="C222" s="19" t="n">
        <x:v>43282</x:v>
      </x:c>
      <x:c r="D222" s="46" t="n">
        <x:v>7234.7583</x:v>
      </x:c>
      <x:c r="E222" s="52" t="n">
        <x:v>5.703009793545528</x:v>
      </x:c>
      <x:c r="F222" s="46" t="n">
        <x:v>149.20725013882202</x:v>
      </x:c>
      <x:c r="G222" s="46" t="n">
        <x:v>9.025694757669358</x:v>
      </x:c>
      <x:c r="H222" s="52" t="n">
        <x:v>2.083333333333333</x:v>
      </x:c>
      <x:c r="I222" s="52" t="n">
        <x:v>-0.75</x:v>
      </x:c>
      <x:c r="J222" s="52" t="n">
        <x:v>4.1</x:v>
      </x:c>
      <x:c r="K222" s="52" t="n">
        <x:v>0.42666666666666586</x:v>
      </x:c>
      <x:c r="L222" s="52" t="n">
        <x:v>4.39</x:v>
      </x:c>
      <x:c r="M222" s="52" t="n">
        <x:v>1.7099999999999995</x:v>
      </x:c>
      <x:c r="N222" s="52" t="n">
        <x:v>1.8887030879999989</x:v>
      </x:c>
      <x:c r="O222" s="46" t="n">
        <x:v>85.3947</x:v>
      </x:c>
      <x:c r="P222" s="52" t="n">
        <x:v>-4.79931539502303</x:v>
      </x:c>
      <x:c r="Q222" s="46" t="n">
        <x:v>320.64855903</x:v>
      </x:c>
      <x:c r="R222" s="52" t="n">
        <x:v>2.7720163958927446</x:v>
      </x:c>
      <x:c r="S222" s="58" t="n">
        <x:v>3.7549</x:v>
      </x:c>
      <x:c r="T222" s="52" t="n">
        <x:v>7.571331790915798</x:v>
      </x:c>
      <x:c r="U222" s="52" t="n">
        <x:v>7.396</x:v>
      </x:c>
      <x:c r="V222" s="52" t="n">
        <x:v>1.0179999999999998</x:v>
      </x:c>
      <x:c r="W222" s="46" t="n">
        <x:v>74.16</x:v>
      </x:c>
      <x:c r="X222" s="52" t="n">
        <x:v>-2.3455233044072763</x:v>
      </x:c>
    </x:row>
    <x:row r="223">
      <x:c r="C223" s="19" t="n">
        <x:v>43313</x:v>
      </x:c>
      <x:c r="D223" s="46" t="n">
        <x:v>7458.1426</x:v>
      </x:c>
      <x:c r="E223" s="52" t="n">
        <x:v>6.249291819869445</x:v>
      </x:c>
      <x:c r="F223" s="46" t="n">
        <x:v>153.78192574646346</x:v>
      </x:c>
      <x:c r="G223" s="46" t="n">
        <x:v>6.336263062905119</x:v>
      </x:c>
      <x:c r="H223" s="52" t="n">
        <x:v>2.146666666666667</x:v>
      </x:c>
      <x:c r="I223" s="52" t="n">
        <x:v>-0.44499999999999984</x:v>
      </x:c>
      <x:c r="J223" s="52" t="n">
        <x:v>4.126666666666667</x:v>
      </x:c>
      <x:c r="K223" s="52" t="n">
        <x:v>0.3441666666666672</x:v>
      </x:c>
      <x:c r="L223" s="52" t="n">
        <x:v>4.48</x:v>
      </x:c>
      <x:c r="M223" s="52" t="n">
        <x:v>1.7200000000000006</x:v>
      </x:c>
      <x:c r="N223" s="52" t="n">
        <x:v>2.000534631999984</x:v>
      </x:c>
      <x:c r="O223" s="46" t="n">
        <x:v>83.736</x:v>
      </x:c>
      <x:c r="P223" s="52" t="n">
        <x:v>-8.006365240205218</x:v>
      </x:c>
      <x:c r="Q223" s="46" t="n">
        <x:v>346.2734808</x:v>
      </x:c>
      <x:c r="R223" s="52" t="n">
        <x:v>2.1213074329099175</x:v>
      </x:c>
      <x:c r="S223" s="58" t="n">
        <x:v>4.1353</x:v>
      </x:c>
      <x:c r="T223" s="52" t="n">
        <x:v>10.127672673115121</x:v>
      </x:c>
      <x:c r="U223" s="52" t="n">
        <x:v>8.188</x:v>
      </x:c>
      <x:c r="V223" s="52" t="n">
        <x:v>0.9680000000000009</x:v>
      </x:c>
      <x:c r="W223" s="46" t="n">
        <x:v>76.94</x:v>
      </x:c>
      <x:c r="X223" s="52" t="n">
        <x:v>0.6388964949077685</x:v>
      </x:c>
    </x:row>
    <x:row r="224">
      <x:c r="C224" s="19" t="n">
        <x:v>43344</x:v>
      </x:c>
      <x:c r="D224" s="46" t="n">
        <x:v>7740.3882</x:v>
      </x:c>
      <x:c r="E224" s="52" t="n">
        <x:v>9.210376341783155</x:v>
      </x:c>
      <x:c r="F224" s="46" t="n">
        <x:v>159.6960778435433</x:v>
      </x:c>
      <x:c r="G224" s="46" t="n">
        <x:v>9.13788414294245</x:v>
      </x:c>
      <x:c r="H224" s="52" t="n">
        <x:v>2.2125</x:v>
      </x:c>
      <x:c r="I224" s="52" t="n">
        <x:v>0.1875</x:v>
      </x:c>
      <x:c r="J224" s="52" t="n">
        <x:v>4.2250000000000005</x:v>
      </x:c>
      <x:c r="K224" s="52" t="n">
        <x:v>0.16000000000000103</x:v>
      </x:c>
      <x:c r="L224" s="52" t="n">
        <x:v>4.19</x:v>
      </x:c>
      <x:c r="M224" s="52" t="n">
        <x:v>1.3300000000000005</x:v>
      </x:c>
      <x:c r="N224" s="52" t="n">
        <x:v>1.5027232578000094</x:v>
      </x:c>
      <x:c r="O224" s="46" t="n">
        <x:v>85.201</x:v>
      </x:c>
      <x:c r="P224" s="52" t="n">
        <x:v>-2.5590801551126487</x:v>
      </x:c>
      <x:c r="Q224" s="46" t="n">
        <x:v>341.13628389999997</x:v>
      </x:c>
      <x:c r="R224" s="52" t="n">
        <x:v>1.209957638176013</x:v>
      </x:c>
      <x:c r="S224" s="58" t="n">
        <x:v>4.0039</x:v>
      </x:c>
      <x:c r="T224" s="52" t="n">
        <x:v>3.7690377932886556</x:v>
      </x:c>
      <x:c r="U224" s="52" t="n">
        <x:v>7.951</x:v>
      </x:c>
      <x:c r="V224" s="52" t="n">
        <x:v>0.37599999999999945</x:v>
      </x:c>
      <x:c r="W224" s="46" t="n">
        <x:v>82.72</x:v>
      </x:c>
      <x:c r="X224" s="52" t="n">
        <x:v>6.595796779179737</x:v>
      </x:c>
    </x:row>
    <x:row r="225">
      <x:c r="C225" s="19" t="n">
        <x:v>43374</x:v>
      </x:c>
      <x:c r="D225" s="46" t="n">
        <x:v>7890.7725</x:v>
      </x:c>
      <x:c r="E225" s="52" t="n">
        <x:v>8.679708633392929</x:v>
      </x:c>
      <x:c r="F225" s="46" t="n">
        <x:v>163.83231738125207</x:v>
      </x:c>
      <x:c r="G225" s="46" t="n">
        <x:v>9.35071697553791</x:v>
      </x:c>
      <x:c r="H225" s="52" t="n">
        <x:v>2.31</x:v>
      </x:c>
      <x:c r="I225" s="52" t="n">
        <x:v>0.22666666666666702</x:v>
      </x:c>
      <x:c r="J225" s="52" t="n">
        <x:v>4.253333333333333</x:v>
      </x:c>
      <x:c r="K225" s="52" t="n">
        <x:v>0.15333333333333332</x:v>
      </x:c>
      <x:c r="L225" s="52" t="n">
        <x:v>4.53</x:v>
      </x:c>
      <x:c r="M225" s="52" t="n">
        <x:v>0.14000000000000057</x:v>
      </x:c>
      <x:c r="N225" s="52" t="n">
        <x:v>0.7208535743999933</x:v>
      </x:c>
      <x:c r="O225" s="46" t="n">
        <x:v>83.1903</x:v>
      </x:c>
      <x:c r="P225" s="52" t="n">
        <x:v>-2.6153283486775147</x:v>
      </x:c>
      <x:c r="Q225" s="46" t="n">
        <x:v>309.27657830999993</x:v>
      </x:c>
      <x:c r="R225" s="52" t="n">
        <x:v>-3.610973968827263</x:v>
      </x:c>
      <x:c r="S225" s="58" t="n">
        <x:v>3.7177</x:v>
      </x:c>
      <x:c r="T225" s="52" t="n">
        <x:v>-0.9956456201497422</x:v>
      </x:c>
      <x:c r="U225" s="52" t="n">
        <x:v>7.001</x:v>
      </x:c>
      <x:c r="V225" s="52" t="n">
        <x:v>-0.3949999999999996</x:v>
      </x:c>
      <x:c r="W225" s="46" t="n">
        <x:v>74.84</x:v>
      </x:c>
      <x:c r="X225" s="52" t="n">
        <x:v>0.9127580148289247</x:v>
      </x:c>
    </x:row>
    <x:row r="226">
      <x:c r="C226" s="19" t="n">
        <x:v>43405</x:v>
      </x:c>
      <x:c r="D226" s="46" t="n">
        <x:v>8341.8154</x:v>
      </x:c>
      <x:c r="E226" s="52" t="n">
        <x:v>11.197446456259671</x:v>
      </x:c>
      <x:c r="F226" s="46" t="n">
        <x:v>162.01026596225864</x:v>
      </x:c>
      <x:c r="G226" s="46" t="n">
        <x:v>5.212417109956551</x:v>
      </x:c>
      <x:c r="H226" s="52" t="n">
        <x:v>2.4291666666666663</x:v>
      </x:c>
      <x:c r="I226" s="52" t="n">
        <x:v>0.2824999999999993</x:v>
      </x:c>
      <x:c r="J226" s="52" t="n">
        <x:v>4.091666666666667</x:v>
      </x:c>
      <x:c r="K226" s="52" t="n">
        <x:v>-0.03500000000000014</x:v>
      </x:c>
      <x:c r="L226" s="52" t="n">
        <x:v>4.56</x:v>
      </x:c>
      <x:c r="M226" s="52" t="n">
        <x:v>0.07999999999999918</x:v>
      </x:c>
      <x:c r="N226" s="52" t="n">
        <x:v>0.8413210559999884</x:v>
      </x:c>
      <x:c r="O226" s="46" t="n">
        <x:v>82.5607</x:v>
      </x:c>
      <x:c r="P226" s="52" t="n">
        <x:v>-1.4135212173103402</x:v>
      </x:c>
      <x:c r="Q226" s="46" t="n">
        <x:v>318.95675231</x:v>
      </x:c>
      <x:c r="R226" s="52" t="n">
        <x:v>-8.217334888896959</x:v>
      </x:c>
      <x:c r="S226" s="58" t="n">
        <x:v>3.8633</x:v>
      </x:c>
      <x:c r="T226" s="52" t="n">
        <x:v>-6.803813671586615</x:v>
      </x:c>
      <x:c r="U226" s="52" t="n">
        <x:v>6.909</x:v>
      </x:c>
      <x:c r="V226" s="52" t="n">
        <x:v>-1.2790000000000008</x:v>
      </x:c>
      <x:c r="W226" s="46" t="n">
        <x:v>57.71</x:v>
      </x:c>
      <x:c r="X226" s="52" t="n">
        <x:v>-28.75954286012739</x:v>
      </x:c>
    </x:row>
    <x:row r="227">
      <x:c r="C227" s="19" t="n">
        <x:v>43435</x:v>
      </x:c>
      <x:c r="D227" s="46" t="n">
        <x:v>8526.6406</x:v>
      </x:c>
      <x:c r="E227" s="52" t="n">
        <x:v>9.674360901940005</x:v>
      </x:c>
      <x:c r="F227" s="46" t="n">
        <x:v>162.75488179244377</x:v>
      </x:c>
      <x:c r="G227" s="46" t="n">
        <x:v>1.8972780898905213</x:v>
      </x:c>
      <x:c r="H227" s="52" t="n">
        <x:v>2.53</x:v>
      </x:c>
      <x:c r="I227" s="52" t="n">
        <x:v>0.3174999999999999</x:v>
      </x:c>
      <x:c r="J227" s="52" t="n">
        <x:v>4.01</x:v>
      </x:c>
      <x:c r="K227" s="52" t="n">
        <x:v>-0.21500000000000075</x:v>
      </x:c>
      <x:c r="L227" s="52" t="n">
        <x:v>4.05</x:v>
      </x:c>
      <x:c r="M227" s="52" t="n">
        <x:v>-0.14000000000000057</x:v>
      </x:c>
      <x:c r="N227" s="52" t="n">
        <x:v>0.7202024639999749</x:v>
      </x:c>
      <x:c r="O227" s="46" t="n">
        <x:v>76.7154</x:v>
      </x:c>
      <x:c r="P227" s="52" t="n">
        <x:v>-10.49107003678653</x:v>
      </x:c>
      <x:c r="Q227" s="46" t="n">
        <x:v>297.25683192</x:v>
      </x:c>
      <x:c r="R227" s="52" t="n">
        <x:v>-13.76855379138905</x:v>
      </x:c>
      <x:c r="S227" s="58" t="n">
        <x:v>3.8748</x:v>
      </x:c>
      <x:c r="T227" s="52" t="n">
        <x:v>-3.277483754602518</x:v>
      </x:c>
      <x:c r="U227" s="52" t="n">
        <x:v>6.545</x:v>
      </x:c>
      <x:c r="V227" s="52" t="n">
        <x:v>-1.4059999999999997</x:v>
      </x:c>
      <x:c r="W227" s="46" t="n">
        <x:v>50.57</x:v>
      </x:c>
      <x:c r="X227" s="52" t="n">
        <x:v>-49.21028956682272</x:v>
      </x:c>
    </x:row>
    <x:row r="228">
      <x:c r="C228" s="19" t="n">
        <x:v>43466</x:v>
      </x:c>
      <x:c r="D228" s="46" t="n">
        <x:v>7915.1655</x:v>
      </x:c>
      <x:c r="E228" s="52" t="n">
        <x:v>0.3086563969282541</x:v>
      </x:c>
      <x:c r="F228" s="46" t="n">
        <x:v>162.66998078696722</x:v>
      </x:c>
      <x:c r="G228" s="46" t="n">
        <x:v>-0.7119959100288581</x:v>
      </x:c>
      <x:c r="H228" s="52" t="n">
        <x:v>2.5</x:v>
      </x:c>
      <x:c r="I228" s="52" t="n">
        <x:v>0.18999999999999995</x:v>
      </x:c>
      <x:c r="J228" s="52" t="n">
        <x:v>4</x:v>
      </x:c>
      <x:c r="K228" s="52" t="n">
        <x:v>-0.25333333333333297</x:v>
      </x:c>
      <x:c r="L228" s="52" t="n">
        <x:v>3.75</x:v>
      </x:c>
      <x:c r="M228" s="52" t="n">
        <x:v>-0.7800000000000002</x:v>
      </x:c>
      <x:c r="N228" s="52" t="n">
        <x:v>0.3894135824999978</x:v>
      </x:c>
      <x:c r="O228" s="46" t="n">
        <x:v>80.7252</x:v>
      </x:c>
      <x:c r="P228" s="52" t="n">
        <x:v>-3.0079960303464532</x:v>
      </x:c>
      <x:c r="Q228" s="46" t="n">
        <x:v>294.80035788</x:v>
      </x:c>
      <x:c r="R228" s="52" t="n">
        <x:v>-4.7937577703470815</x:v>
      </x:c>
      <x:c r="S228" s="58" t="n">
        <x:v>3.6519</x:v>
      </x:c>
      <x:c r="T228" s="52" t="n">
        <x:v>-1.7857617400006347</x:v>
      </x:c>
      <x:c r="U228" s="52" t="n">
        <x:v>6.416</x:v>
      </x:c>
      <x:c r="V228" s="52" t="n">
        <x:v>-0.585</x:v>
      </x:c>
      <x:c r="W228" s="46" t="n">
        <x:v>62.46</x:v>
      </x:c>
      <x:c r="X228" s="52" t="n">
        <x:v>-18.082614955095632</x:v>
      </x:c>
    </x:row>
    <x:row r="229">
      <x:c r="C229" s="19" t="n">
        <x:v>43497</x:v>
      </x:c>
      <x:c r="D229" s="46" t="n">
        <x:v>8062.0854</x:v>
      </x:c>
      <x:c r="E229" s="52" t="n">
        <x:v>-3.4108609000193093</x:v>
      </x:c>
      <x:c r="F229" s="46" t="n">
        <x:v>166.05991324496526</x:v>
      </x:c>
      <x:c r="G229" s="46" t="n">
        <x:v>2.468894303990698</x:v>
      </x:c>
      <x:c r="H229" s="52" t="n">
        <x:v>2.5166666666666666</x:v>
      </x:c>
      <x:c r="I229" s="52" t="n">
        <x:v>0.08750000000000036</x:v>
      </x:c>
      <x:c r="J229" s="52" t="n">
        <x:v>3.875</x:v>
      </x:c>
      <x:c r="K229" s="52" t="n">
        <x:v>-0.21666666666666679</x:v>
      </x:c>
      <x:c r="L229" s="52" t="n">
        <x:v>3.78</x:v>
      </x:c>
      <x:c r="M229" s="52" t="n">
        <x:v>-0.7799999999999998</x:v>
      </x:c>
      <x:c r="N229" s="52" t="n">
        <x:v>0.25949199200001605</x:v>
      </x:c>
      <x:c r="O229" s="46" t="n">
        <x:v>81.3904</x:v>
      </x:c>
      <x:c r="P229" s="52" t="n">
        <x:v>-1.4276450443931574</x:v>
      </x:c>
      <x:c r="Q229" s="46" t="n">
        <x:v>304.2780104</x:v>
      </x:c>
      <x:c r="R229" s="52" t="n">
        <x:v>-4.711372950473025</x:v>
      </x:c>
      <x:c r="S229" s="58" t="n">
        <x:v>3.7385</x:v>
      </x:c>
      <x:c r="T229" s="52" t="n">
        <x:v>-3.283727906079866</x:v>
      </x:c>
      <x:c r="U229" s="52" t="n">
        <x:v>6.541</x:v>
      </x:c>
      <x:c r="V229" s="52" t="n">
        <x:v>-0.36799999999999944</x:v>
      </x:c>
      <x:c r="W229" s="46" t="n">
        <x:v>65.03</x:v>
      </x:c>
      <x:c r="X229" s="52" t="n">
        <x:v>11.941823315818546</x:v>
      </x:c>
    </x:row>
    <x:row r="230">
      <x:c r="C230" s="19" t="n">
        <x:v>43525</x:v>
      </x:c>
      <x:c r="D230" s="46" t="n">
        <x:v>8234.6084</x:v>
      </x:c>
      <x:c r="E230" s="52" t="n">
        <x:v>-3.4849641030053253</x:v>
      </x:c>
      <x:c r="F230" s="46" t="n">
        <x:v>169.12817524623142</x:v>
      </x:c>
      <x:c r="G230" s="46" t="n">
        <x:v>3.8411584576133815</x:v>
      </x:c>
      <x:c r="H230" s="52" t="n">
        <x:v>2.1725</x:v>
      </x:c>
      <x:c r="I230" s="52" t="n">
        <x:v>-0.35749999999999993</x:v>
      </x:c>
      <x:c r="J230" s="52" t="n">
        <x:v>3.9175</x:v>
      </x:c>
      <x:c r="K230" s="52" t="n">
        <x:v>-0.0924999999999998</x:v>
      </x:c>
      <x:c r="L230" s="52" t="n">
        <x:v>3.89</x:v>
      </x:c>
      <x:c r="M230" s="52" t="n">
        <x:v>-0.1599999999999997</x:v>
      </x:c>
      <x:c r="N230" s="52" t="n">
        <x:v>0.9025030639999931</x:v>
      </x:c>
      <x:c r="O230" s="46" t="n">
        <x:v>81.0872</x:v>
      </x:c>
      <x:c r="P230" s="52" t="n">
        <x:v>5.542264833749586</x:v>
      </x:c>
      <x:c r="Q230" s="46" t="n">
        <x:v>315.97249224</x:v>
      </x:c>
      <x:c r="R230" s="52" t="n">
        <x:v>6.105864086661398</x:v>
      </x:c>
      <x:c r="S230" s="58" t="n">
        <x:v>3.8967</x:v>
      </x:c>
      <x:c r="T230" s="52" t="n">
        <x:v>0.5635992529118088</x:v>
      </x:c>
      <x:c r="U230" s="52" t="n">
        <x:v>6.579</x:v>
      </x:c>
      <x:c r="V230" s="52" t="n">
        <x:v>0.03399999999999981</x:v>
      </x:c>
      <x:c r="W230" s="46" t="n">
        <x:v>67.93</x:v>
      </x:c>
      <x:c r="X230" s="52" t="n">
        <x:v>29.511924811131895</x:v>
      </x:c>
    </x:row>
    <x:row r="231">
      <x:c r="C231" s="19" t="n">
        <x:v>43556</x:v>
      </x:c>
      <x:c r="D231" s="46" t="n">
        <x:v>8294.6475</x:v>
      </x:c>
      <x:c r="E231" s="52" t="n">
        <x:v>4.682982448068068</x:v>
      </x:c>
      <x:c r="F231" s="46" t="n">
        <x:v>170.1726203601639</x:v>
      </x:c>
      <x:c r="G231" s="46" t="n">
        <x:v>4.508984508175313</x:v>
      </x:c>
      <x:c r="H231" s="52" t="n">
        <x:v>1.8733333333333335</x:v>
      </x:c>
      <x:c r="I231" s="52" t="n">
        <x:v>-0.6266666666666665</x:v>
      </x:c>
      <x:c r="J231" s="52" t="n">
        <x:v>4.013333333333334</x:v>
      </x:c>
      <x:c r="K231" s="52" t="n">
        <x:v>0.013333333333333641</x:v>
      </x:c>
      <x:c r="L231" s="52" t="n">
        <x:v>4.58</x:v>
      </x:c>
      <x:c r="M231" s="52" t="n">
        <x:v>0.8300000000000001</x:v>
      </x:c>
      <x:c r="N231" s="52" t="n">
        <x:v>1.507011320000018</x:v>
      </x:c>
      <x:c r="O231" s="46" t="n">
        <x:v>80.5738</x:v>
      </x:c>
      <x:c r="P231" s="52" t="n">
        <x:v>-0.18772595547701448</x:v>
      </x:c>
      <x:c r="Q231" s="46" t="n">
        <x:v>317.88781314000005</x:v>
      </x:c>
      <x:c r="R231" s="52" t="n">
        <x:v>7.540015737759864</x:v>
      </x:c>
      <x:c r="S231" s="58" t="n">
        <x:v>3.9453</x:v>
      </x:c>
      <x:c r="T231" s="52" t="n">
        <x:v>7.7277416932368626</x:v>
      </x:c>
      <x:c r="U231" s="52" t="n">
        <x:v>6.566</x:v>
      </x:c>
      <x:c r="V231" s="52" t="n">
        <x:v>0.14999999999999947</x:v>
      </x:c>
      <x:c r="W231" s="46" t="n">
        <x:v>72.19</x:v>
      </x:c>
      <x:c r="X231" s="52" t="n">
        <x:v>14.477518029613718</x:v>
      </x:c>
    </x:row>
    <x:row r="232">
      <x:c r="C232" s="19" t="n">
        <x:v>43586</x:v>
      </x:c>
      <x:c r="D232" s="46" t="n">
        <x:v>8209.9082</x:v>
      </x:c>
      <x:c r="E232" s="52" t="n">
        <x:v>1.8169484371974975</x:v>
      </x:c>
      <x:c r="F232" s="46" t="n">
        <x:v>170.67035515644145</x:v>
      </x:c>
      <x:c r="G232" s="46" t="n">
        <x:v>2.73853019807434</x:v>
      </x:c>
      <x:c r="H232" s="52" t="n">
        <x:v>1.7008333333333332</x:v>
      </x:c>
      <x:c r="I232" s="52" t="n">
        <x:v>-0.8158333333333334</x:v>
      </x:c>
      <x:c r="J232" s="52" t="n">
        <x:v>4.0175</x:v>
      </x:c>
      <x:c r="K232" s="52" t="n">
        <x:v>0.14250000000000007</x:v>
      </x:c>
      <x:c r="L232" s="52" t="n">
        <x:v>4.94</x:v>
      </x:c>
      <x:c r="M232" s="52" t="n">
        <x:v>1.1600000000000006</x:v>
      </x:c>
      <x:c r="N232" s="52" t="n">
        <x:v>1.759969382500004</x:v>
      </x:c>
      <x:c r="O232" s="46" t="n">
        <x:v>77.7043</x:v>
      </x:c>
      <x:c r="P232" s="52" t="n">
        <x:v>-4.634673303786453</x:v>
      </x:c>
      <x:c r="Q232" s="46" t="n">
        <x:v>306.20933501</x:v>
      </x:c>
      <x:c r="R232" s="52" t="n">
        <x:v>0.632717800821141</x:v>
      </x:c>
      <x:c r="S232" s="58" t="n">
        <x:v>3.9407</x:v>
      </x:c>
      <x:c r="T232" s="52" t="n">
        <x:v>5.2673911046076025</x:v>
      </x:c>
      <x:c r="U232" s="52" t="n">
        <x:v>6.275</x:v>
      </x:c>
      <x:c r="V232" s="52" t="n">
        <x:v>-0.266</x:v>
      </x:c>
      <x:c r="W232" s="46" t="n">
        <x:v>66.78</x:v>
      </x:c>
      <x:c r="X232" s="52" t="n">
        <x:v>2.655493263444794</x:v>
      </x:c>
    </x:row>
    <x:row r="233">
      <x:c r="C233" s="19" t="n">
        <x:v>43617</x:v>
      </x:c>
      <x:c r="D233" s="46" t="n">
        <x:v>8146.6211</x:v>
      </x:c>
      <x:c r="E233" s="52" t="n">
        <x:v>-1.0742557042066954</x:v>
      </x:c>
      <x:c r="F233" s="46" t="n">
        <x:v>170.48577605367797</x:v>
      </x:c>
      <x:c r="G233" s="46" t="n">
        <x:v>0.7995007470957785</x:v>
      </x:c>
      <x:c r="H233" s="52" t="n">
        <x:v>1.5250000000000001</x:v>
      </x:c>
      <x:c r="I233" s="52" t="n">
        <x:v>-0.6474999999999997</x:v>
      </x:c>
      <x:c r="J233" s="52" t="n">
        <x:v>3.855</x:v>
      </x:c>
      <x:c r="K233" s="52" t="n">
        <x:v>-0.0625</x:v>
      </x:c>
      <x:c r="L233" s="52" t="n">
        <x:v>4.66</x:v>
      </x:c>
      <x:c r="M233" s="52" t="n">
        <x:v>0.77</x:v>
      </x:c>
      <x:c r="N233" s="52" t="n">
        <x:v>1.4559965575000167</x:v>
      </x:c>
      <x:c r="O233" s="46" t="n">
        <x:v>79.653</x:v>
      </x:c>
      <x:c r="P233" s="52" t="n">
        <x:v>-1.7845418395038308</x:v>
      </x:c>
      <x:c r="Q233" s="46" t="n">
        <x:v>305.2462266</x:v>
      </x:c>
      <x:c r="R233" s="52" t="n">
        <x:v>-3.453640868078793</x:v>
      </x:c>
      <x:c r="S233" s="58" t="n">
        <x:v>3.8322</x:v>
      </x:c>
      <x:c r="T233" s="52" t="n">
        <x:v>-1.6690990285749534</x:v>
      </x:c>
      <x:c r="U233" s="52" t="n">
        <x:v>5.803</x:v>
      </x:c>
      <x:c r="V233" s="52" t="n">
        <x:v>-0.7759999999999998</x:v>
      </x:c>
      <x:c r="W233" s="46" t="n">
        <x:v>67.52</x:v>
      </x:c>
      <x:c r="X233" s="52" t="n">
        <x:v>-0.6053912915509063</x:v>
      </x:c>
    </x:row>
    <x:row r="234">
      <x:c r="C234" s="19" t="n">
        <x:v>43647</x:v>
      </x:c>
      <x:c r="D234" s="46" t="n">
        <x:v>8102.9888</x:v>
      </x:c>
      <x:c r="E234" s="52" t="n">
        <x:v>-2.337744598673384</x:v>
      </x:c>
      <x:c r="F234" s="46" t="n">
        <x:v>170.22513701640608</x:v>
      </x:c>
      <x:c r="G234" s="46" t="n">
        <x:v>0.03085605326168605</x:v>
      </x:c>
      <x:c r="H234" s="52" t="n">
        <x:v>1.5666666666666664</x:v>
      </x:c>
      <x:c r="I234" s="52" t="n">
        <x:v>-0.3066666666666671</x:v>
      </x:c>
      <x:c r="J234" s="52" t="n">
        <x:v>3.8583333333333325</x:v>
      </x:c>
      <x:c r="K234" s="52" t="n">
        <x:v>-0.15500000000000114</x:v>
      </x:c>
      <x:c r="L234" s="52" t="n">
        <x:v>3.37</x:v>
      </x:c>
      <x:c r="M234" s="52" t="n">
        <x:v>-1.21</x:v>
      </x:c>
      <x:c r="N234" s="52" t="n">
        <x:v>0.710811074100004</x:v>
      </x:c>
      <x:c r="O234" s="46" t="n">
        <x:v>78.9631</x:v>
      </x:c>
      <x:c r="P234" s="52" t="n">
        <x:v>-2.019287989416548</x:v>
      </x:c>
      <x:c r="Q234" s="46" t="n">
        <x:v>297.28817519</x:v>
      </x:c>
      <x:c r="R234" s="52" t="n">
        <x:v>-6.699657645390163</x:v>
      </x:c>
      <x:c r="S234" s="58" t="n">
        <x:v>3.7649</x:v>
      </x:c>
      <x:c r="T234" s="52" t="n">
        <x:v>-4.680369655973614</x:v>
      </x:c>
      <x:c r="U234" s="52" t="n">
        <x:v>5.453</x:v>
      </x:c>
      <x:c r="V234" s="52" t="n">
        <x:v>-1.1129999999999995</x:v>
      </x:c>
      <x:c r="W234" s="46" t="n">
        <x:v>64.07</x:v>
      </x:c>
      <x:c r="X234" s="52" t="n">
        <x:v>-11.932529650013947</x:v>
      </x:c>
    </x:row>
    <x:row r="235">
      <x:c r="C235" s="19" t="n">
        <x:v>43678</x:v>
      </x:c>
      <x:c r="D235" s="46" t="n">
        <x:v>7973.7251</x:v>
      </x:c>
      <x:c r="E235" s="52" t="n">
        <x:v>-2.918996809319072</x:v>
      </x:c>
      <x:c r="F235" s="46" t="n">
        <x:v>169.43595352753044</x:v>
      </x:c>
      <x:c r="G235" s="46" t="n">
        <x:v>-0.7258948262231402</x:v>
      </x:c>
      <x:c r="H235" s="52" t="n">
        <x:v>1.6900000000000002</x:v>
      </x:c>
      <x:c r="I235" s="52" t="n">
        <x:v>-0.010833333333333028</x:v>
      </x:c>
      <x:c r="J235" s="52" t="n">
        <x:v>3.7633333333333336</x:v>
      </x:c>
      <x:c r="K235" s="52" t="n">
        <x:v>-0.25416666666666643</x:v>
      </x:c>
      <x:c r="L235" s="52" t="n">
        <x:v>3.22</x:v>
      </x:c>
      <x:c r="M235" s="52" t="n">
        <x:v>-1.7200000000000002</x:v>
      </x:c>
      <x:c r="N235" s="52" t="n">
        <x:v>0.3302790247000198</x:v>
      </x:c>
      <x:c r="O235" s="46" t="n">
        <x:v>77.0044</x:v>
      </x:c>
      <x:c r="P235" s="52" t="n">
        <x:v>-0.9048033819447293</x:v>
      </x:c>
      <x:c r="Q235" s="46" t="n">
        <x:v>318.68270939999996</x:v>
      </x:c>
      <x:c r="R235" s="52" t="n">
        <x:v>3.992699701995687</x:v>
      </x:c>
      <x:c r="S235" s="58" t="n">
        <x:v>4.1385</x:v>
      </x:c>
      <x:c r="T235" s="52" t="n">
        <x:v>4.897503083940417</x:v>
      </x:c>
      <x:c r="U235" s="52" t="n">
        <x:v>5.384</x:v>
      </x:c>
      <x:c r="V235" s="52" t="n">
        <x:v>-0.891</x:v>
      </x:c>
      <x:c r="W235" s="46" t="n">
        <x:v>61.04</x:v>
      </x:c>
      <x:c r="X235" s="52" t="n">
        <x:v>-8.987424753930696</x:v>
      </x:c>
    </x:row>
    <x:row r="236">
      <x:c r="C236" s="19" t="n">
        <x:v>43709</x:v>
      </x:c>
      <x:c r="D236" s="46" t="n">
        <x:v>7870.2744</x:v>
      </x:c>
      <x:c r="E236" s="52" t="n">
        <x:v>-3.451032392650979</x:v>
      </x:c>
      <x:c r="F236" s="46" t="n">
        <x:v>168.48873630349567</x:v>
      </x:c>
      <x:c r="G236" s="46" t="n">
        <x:v>-1.1782967643867845</x:v>
      </x:c>
      <x:c r="H236" s="52" t="n">
        <x:v>1.7175</x:v>
      </x:c>
      <x:c r="I236" s="52" t="n">
        <x:v>0.1924999999999999</x:v>
      </x:c>
      <x:c r="J236" s="52" t="n">
        <x:v>3.6925</x:v>
      </x:c>
      <x:c r="K236" s="52" t="n">
        <x:v>-0.1625000000000001</x:v>
      </x:c>
      <x:c r="L236" s="52" t="n">
        <x:v>3.43</x:v>
      </x:c>
      <x:c r="M236" s="52" t="n">
        <x:v>-1.23</x:v>
      </x:c>
      <x:c r="N236" s="52" t="n">
        <x:v>0.3102390209000161</x:v>
      </x:c>
      <x:c r="O236" s="46" t="n">
        <x:v>77.7797</x:v>
      </x:c>
      <x:c r="P236" s="52" t="n">
        <x:v>-2.379922874267826</x:v>
      </x:c>
      <x:c r="Q236" s="46" t="n">
        <x:v>323.90578268</x:v>
      </x:c>
      <x:c r="R236" s="52" t="n">
        <x:v>5.933392806232121</x:v>
      </x:c>
      <x:c r="S236" s="58" t="n">
        <x:v>4.1644</x:v>
      </x:c>
      <x:c r="T236" s="52" t="n">
        <x:v>8.313315680499937</x:v>
      </x:c>
      <x:c r="U236" s="52" t="n">
        <x:v>4.846</x:v>
      </x:c>
      <x:c r="V236" s="52" t="n">
        <x:v>-0.9569999999999999</x:v>
      </x:c>
      <x:c r="W236" s="46" t="n">
        <x:v>60.99</x:v>
      </x:c>
      <x:c r="X236" s="52" t="n">
        <x:v>-10.171393397933658</x:v>
      </x:c>
    </x:row>
    <x:row r="237">
      <x:c r="C237" s="19" t="n">
        <x:v>43739</x:v>
      </x:c>
      <x:c r="D237" s="46" t="n">
        <x:v>7787.6797</x:v>
      </x:c>
      <x:c r="E237" s="52" t="n">
        <x:v>-3.969002198476089</x:v>
      </x:c>
      <x:c r="F237" s="46" t="n">
        <x:v>166.31911808725434</x:v>
      </x:c>
      <x:c r="G237" s="46" t="n">
        <x:v>-2.3213555252225646</x:v>
      </x:c>
      <x:c r="H237" s="52" t="n">
        <x:v>1.845</x:v>
      </x:c>
      <x:c r="I237" s="52" t="n">
        <x:v>0.27833333333333354</x:v>
      </x:c>
      <x:c r="J237" s="52" t="n">
        <x:v>3.55</x:v>
      </x:c>
      <x:c r="K237" s="52" t="n">
        <x:v>-0.3083333333333327</x:v>
      </x:c>
      <x:c r="L237" s="52" t="n">
        <x:v>2.89</x:v>
      </x:c>
      <x:c r="M237" s="52" t="n">
        <x:v>-0.48</x:v>
      </x:c>
      <x:c r="N237" s="52" t="n">
        <x:v>0.2600889164000142</x:v>
      </x:c>
      <x:c r="O237" s="46" t="n">
        <x:v>79.2367</x:v>
      </x:c>
      <x:c r="P237" s="52" t="n">
        <x:v>0.34589205900657355</x:v>
      </x:c>
      <x:c r="Q237" s="46" t="n">
        <x:v>317.27167047</x:v>
      </x:c>
      <x:c r="R237" s="52" t="n">
        <x:v>6.5056456281988435</x:v>
      </x:c>
      <x:c r="S237" s="58" t="n">
        <x:v>4.0041</x:v>
      </x:c>
      <x:c r="T237" s="52" t="n">
        <x:v>6.159753569192268</x:v>
      </x:c>
      <x:c r="U237" s="52" t="n">
        <x:v>4.455</x:v>
      </x:c>
      <x:c r="V237" s="52" t="n">
        <x:v>-0.9980000000000002</x:v>
      </x:c>
      <x:c r="W237" s="46" t="n">
        <x:v>59.3</x:v>
      </x:c>
      <x:c r="X237" s="52" t="n">
        <x:v>-7.736692964725038</x:v>
      </x:c>
    </x:row>
    <x:row r="238">
      <x:c r="C238" s="19" t="n">
        <x:v>43770</x:v>
      </x:c>
      <x:c r="D238" s="46" t="n">
        <x:v>7878.6665</x:v>
      </x:c>
      <x:c r="E238" s="52" t="n">
        <x:v>-1.1993110161493525</x:v>
      </x:c>
      <x:c r="F238" s="46" t="n">
        <x:v>167.44281480701144</x:v>
      </x:c>
      <x:c r="G238" s="46" t="n">
        <x:v>-1.1833111284183717</x:v>
      </x:c>
      <x:c r="H238" s="52" t="n">
        <x:v>2.1175</x:v>
      </x:c>
      <x:c r="I238" s="52" t="n">
        <x:v>0.4275</x:v>
      </x:c>
      <x:c r="J238" s="52" t="n">
        <x:v>3.5933333333333333</x:v>
      </x:c>
      <x:c r="K238" s="52" t="n">
        <x:v>-0.17000000000000037</x:v>
      </x:c>
      <x:c r="L238" s="52" t="n">
        <x:v>2.54</x:v>
      </x:c>
      <x:c r="M238" s="52" t="n">
        <x:v>-0.6800000000000002</x:v>
      </x:c>
      <x:c r="N238" s="52" t="n">
        <x:v>0.17002595599999726</x:v>
      </x:c>
      <x:c r="O238" s="46" t="n">
        <x:v>77.1108</x:v>
      </x:c>
      <x:c r="P238" s="52" t="n">
        <x:v>0.13807855020775794</x:v>
      </x:c>
      <x:c r="Q238" s="46" t="n">
        <x:v>325.7160192</x:v>
      </x:c>
      <x:c r="R238" s="52" t="n">
        <x:v>2.182992856272473</x:v>
      </x:c>
      <x:c r="S238" s="58" t="n">
        <x:v>4.224</x:v>
      </x:c>
      <x:c r="T238" s="52" t="n">
        <x:v>2.0449143060647126</x:v>
      </x:c>
      <x:c r="U238" s="52" t="n">
        <x:v>4.65</x:v>
      </x:c>
      <x:c r="V238" s="52" t="n">
        <x:v>-0.734</x:v>
      </x:c>
      <x:c r="W238" s="46" t="n">
        <x:v>64.5</x:v>
      </x:c>
      <x:c r="X238" s="52" t="n">
        <x:v>5.513583682552527</x:v>
      </x:c>
    </x:row>
    <x:row r="239">
      <x:c r="C239" s="19" t="n">
        <x:v>43800</x:v>
      </x:c>
      <x:c r="D239" s="46" t="n">
        <x:v>7929.311</x:v>
      </x:c>
      <x:c r="E239" s="52" t="n">
        <x:v>0.7473218222669683</x:v>
      </x:c>
      <x:c r="F239" s="46" t="n">
        <x:v>168.8949350421873</x:v>
      </x:c>
      <x:c r="G239" s="46" t="n">
        <x:v>0.24079347606731138</x:v>
      </x:c>
      <x:c r="H239" s="52" t="n">
        <x:v>2.3</x:v>
      </x:c>
      <x:c r="I239" s="52" t="n">
        <x:v>0.5824999999999998</x:v>
      </x:c>
      <x:c r="J239" s="52" t="n">
        <x:v>3.61</x:v>
      </x:c>
      <x:c r="K239" s="52" t="n">
        <x:v>-0.08250000000000002</x:v>
      </x:c>
      <x:c r="L239" s="52" t="n">
        <x:v>3.27</x:v>
      </x:c>
      <x:c r="M239" s="52" t="n">
        <x:v>-0.16000000000000014</x:v>
      </x:c>
      <x:c r="N239" s="52" t="n">
        <x:v>0.5702657960000135</x:v>
      </x:c>
      <x:c r="O239" s="46" t="n">
        <x:v>80.8871</x:v>
      </x:c>
      <x:c r="P239" s="52" t="n">
        <x:v>3.917388354379591</x:v>
      </x:c>
      <x:c r="Q239" s="46" t="n">
        <x:v>326.03163397000003</x:v>
      </x:c>
      <x:c r="R239" s="52" t="n">
        <x:v>0.6541734070774023</x:v>
      </x:c>
      <x:c r="S239" s="58" t="n">
        <x:v>4.0307</x:v>
      </x:c>
      <x:c r="T239" s="52" t="n">
        <x:v>-3.2632149473021785</x:v>
      </x:c>
      <x:c r="U239" s="52" t="n">
        <x:v>4.548</x:v>
      </x:c>
      <x:c r="V239" s="52" t="n">
        <x:v>-0.29800000000000004</x:v>
      </x:c>
      <x:c r="W239" s="46" t="n">
        <x:v>67.77</x:v>
      </x:c>
      <x:c r="X239" s="52" t="n">
        <x:v>10.540970283965658</x:v>
      </x:c>
    </x:row>
    <x:row r="240">
      <x:c r="C240" s="19" t="n">
        <x:v>43831</x:v>
      </x:c>
      <x:c r="D240" s="46" t="n">
        <x:v>7782.5386</x:v>
      </x:c>
      <x:c r="E240" s="52" t="n">
        <x:v>-0.06603761216160088</x:v>
      </x:c>
      <x:c r="F240" s="46" t="n">
        <x:v>169.67730849503147</x:v>
      </x:c>
      <x:c r="G240" s="46" t="n">
        <x:v>1.9990106860104027</x:v>
      </x:c>
      <x:c r="H240" s="52" t="n">
        <x:v>2.3166666666666664</x:v>
      </x:c>
      <x:c r="I240" s="52" t="n">
        <x:v>0.47166666666666646</x:v>
      </x:c>
      <x:c r="J240" s="52" t="n">
        <x:v>3.4291666666666663</x:v>
      </x:c>
      <x:c r="K240" s="52" t="n">
        <x:v>-0.12083333333333357</x:v>
      </x:c>
      <x:c r="L240" s="52" t="n">
        <x:v>4.31</x:v>
      </x:c>
      <x:c r="M240" s="52" t="n">
        <x:v>1.4199999999999995</x:v>
      </x:c>
      <x:c r="N240" s="52" t="n">
        <x:v>1.767530865000011</x:v>
      </x:c>
      <x:c r="O240" s="46" t="n">
        <x:v>74.8374</x:v>
      </x:c>
      <x:c r="P240" s="52" t="n">
        <x:v>-5.7121815307545685</x:v>
      </x:c>
      <x:c r="Q240" s="46" t="n">
        <x:v>319.5182793</x:v>
      </x:c>
      <x:c r="R240" s="52" t="n">
        <x:v>0.7056072891899816</x:v>
      </x:c>
      <x:c r="S240" s="58" t="n">
        <x:v>4.2695</x:v>
      </x:c>
      <x:c r="T240" s="52" t="n">
        <x:v>6.417788819944518</x:v>
      </x:c>
      <x:c r="U240" s="52" t="n">
        <x:v>4.411</x:v>
      </x:c>
      <x:c r="V240" s="52" t="n">
        <x:v>-0.04400000000000048</x:v>
      </x:c>
      <x:c r="W240" s="46" t="n">
        <x:v>57.77</x:v>
      </x:c>
      <x:c r="X240" s="52" t="n">
        <x:v>-2.613969621050555</x:v>
      </x:c>
    </x:row>
    <x:row r="241">
      <x:c r="C241" s="19" t="n">
        <x:v>43862</x:v>
      </x:c>
      <x:c r="D241" s="46" t="n">
        <x:v>7819.1777</x:v>
      </x:c>
      <x:c r="E241" s="52" t="n">
        <x:v>-0.7579268085624273</x:v>
      </x:c>
      <x:c r="F241" s="46" t="n">
        <x:v>169.90991372717582</x:v>
      </x:c>
      <x:c r="G241" s="46" t="n">
        <x:v>1.4626488505309476</x:v>
      </x:c>
      <x:c r="H241" s="52" t="n">
        <x:v>2.225</x:v>
      </x:c>
      <x:c r="I241" s="52" t="n">
        <x:v>0.10749999999999993</x:v>
      </x:c>
      <x:c r="J241" s="52" t="n">
        <x:v>3.283333333333333</x:v>
      </x:c>
      <x:c r="K241" s="52" t="n">
        <x:v>-0.31000000000000005</x:v>
      </x:c>
      <x:c r="L241" s="52" t="n">
        <x:v>4.19</x:v>
      </x:c>
      <x:c r="M241" s="52" t="n">
        <x:v>1.6500000000000004</x:v>
      </x:c>
      <x:c r="N241" s="52" t="n">
        <x:v>1.8793633165000045</x:v>
      </x:c>
      <x:c r="O241" s="46" t="n">
        <x:v>70.9799</x:v>
      </x:c>
      <x:c r="P241" s="52" t="n">
        <x:v>-8.28466102105183</x:v>
      </x:c>
      <x:c r="Q241" s="46" t="n">
        <x:v>319.31727613000004</x:v>
      </x:c>
      <x:c r="R241" s="52" t="n">
        <x:v>-1.9840690463526809</x:v>
      </x:c>
      <x:c r="S241" s="58" t="n">
        <x:v>4.4987</x:v>
      </x:c>
      <x:c r="T241" s="52" t="n">
        <x:v>6.3005919746991585</x:v>
      </x:c>
      <x:c r="U241" s="52" t="n">
        <x:v>4.139</x:v>
      </x:c>
      <x:c r="V241" s="52" t="n">
        <x:v>-0.5110000000000001</x:v>
      </x:c>
      <x:c r="W241" s="46" t="n">
        <x:v>51.31</x:v>
      </x:c>
      <x:c r="X241" s="52" t="n">
        <x:v>-22.87795588478533</x:v>
      </x:c>
    </x:row>
    <x:row r="242">
      <x:c r="C242" s="19" t="n">
        <x:v>43891</x:v>
      </x:c>
      <x:c r="D242" s="46" t="n">
        <x:v>6753.8911</x:v>
      </x:c>
      <x:c r="E242" s="52" t="n">
        <x:v>-16.04473485712285</x:v>
      </x:c>
      <x:c r="F242" s="46" t="n">
        <x:v>140.39469379929804</x:v>
      </x:c>
      <x:c r="G242" s="46" t="n">
        <x:v>-18.481913802998413</x:v>
      </x:c>
      <x:c r="H242" s="52" t="n">
        <x:v>-0.050000000000000044</x:v>
      </x:c>
      <x:c r="I242" s="52" t="n">
        <x:v>-2.3499999999999996</x:v>
      </x:c>
      <x:c r="J242" s="52" t="n">
        <x:v>3.0124999999999997</x:v>
      </x:c>
      <x:c r="K242" s="52" t="n">
        <x:v>-0.5975000000000001</x:v>
      </x:c>
      <x:c r="L242" s="52" t="n">
        <x:v>4.01</x:v>
      </x:c>
      <x:c r="M242" s="52" t="n">
        <x:v>0.7399999999999998</x:v>
      </x:c>
      <x:c r="N242" s="52" t="n">
        <x:v>1.6158210374999982</x:v>
      </x:c>
      <x:c r="O242" s="46" t="n">
        <x:v>61.8577</x:v>
      </x:c>
      <x:c r="P242" s="52" t="n">
        <x:v>-26.821776939628162</x:v>
      </x:c>
      <x:c r="Q242" s="46" t="n">
        <x:v>321.57962499</x:v>
      </x:c>
      <x:c r="R242" s="52" t="n">
        <x:v>-1.374923320954811</x:v>
      </x:c>
      <x:c r="S242" s="58" t="n">
        <x:v>5.1987</x:v>
      </x:c>
      <x:c r="T242" s="52" t="n">
        <x:v>25.446853618673344</x:v>
      </x:c>
      <x:c r="U242" s="52" t="n">
        <x:v>3.33</x:v>
      </x:c>
      <x:c r="V242" s="52" t="n">
        <x:v>-1.218</x:v>
      </x:c>
      <x:c r="W242" s="46" t="n">
        <x:v>14.85</x:v>
      </x:c>
      <x:c r="X242" s="52" t="n">
        <x:v>-151.8119753899313</x:v>
      </x:c>
    </x:row>
    <x:row r="243">
      <x:c r="C243" s="19" t="n">
        <x:v>43922</x:v>
      </x:c>
      <x:c r="D243" s="46" t="n">
        <x:v>5874.3818</x:v>
      </x:c>
      <x:c r="E243" s="52" t="n">
        <x:v>-28.128175420542096</x:v>
      </x:c>
      <x:c r="F243" s="46" t="n">
        <x:v>122.28828882796476</x:v>
      </x:c>
      <x:c r="G243" s="46" t="n">
        <x:v>-32.75171675255986</x:v>
      </x:c>
      <x:c r="H243" s="52" t="n">
        <x:v>-1.4399999999999995</x:v>
      </x:c>
      <x:c r="I243" s="52" t="n">
        <x:v>-3.756666666666666</x:v>
      </x:c>
      <x:c r="J243" s="52" t="n">
        <x:v>2.413333333333333</x:v>
      </x:c>
      <x:c r="K243" s="52" t="n">
        <x:v>-1.0158333333333331</x:v>
      </x:c>
      <x:c r="L243" s="52" t="n">
        <x:v>3.3</x:v>
      </x:c>
      <x:c r="M243" s="52" t="n">
        <x:v>-1.0099999999999998</x:v>
      </x:c>
      <x:c r="N243" s="52" t="n">
        <x:v>0.5308473674999981</x:v>
      </x:c>
      <x:c r="O243" s="46" t="n">
        <x:v>60.8983</x:v>
      </x:c>
      <x:c r="P243" s="52" t="n">
        <x:v>-20.61125003099729</x:v>
      </x:c>
      <x:c r="Q243" s="46" t="n">
        <x:v>330.49507409999995</x:v>
      </x:c>
      <x:c r="R243" s="52" t="n">
        <x:v>3.3777270405770943</x:v>
      </x:c>
      <x:c r="S243" s="58" t="n">
        <x:v>5.427</x:v>
      </x:c>
      <x:c r="T243" s="52" t="n">
        <x:v>23.98897707157439</x:v>
      </x:c>
      <x:c r="U243" s="52" t="n">
        <x:v>2.938</x:v>
      </x:c>
      <x:c r="V243" s="52" t="n">
        <x:v>-1.4729999999999994</x:v>
      </x:c>
      <x:c r="W243" s="46" t="n">
        <x:v>18.11</x:v>
      </x:c>
      <x:c r="X243" s="52" t="n">
        <x:v>-116.00053378978524</x:v>
      </x:c>
    </x:row>
    <x:row r="244">
      <x:c r="C244" s="19" t="n">
        <x:v>43952</x:v>
      </x:c>
      <x:c r="D244" s="46" t="n">
        <x:v>5433.6445</x:v>
      </x:c>
      <x:c r="E244" s="52" t="n">
        <x:v>-36.39693081321254</x:v>
      </x:c>
      <x:c r="F244" s="46" t="n">
        <x:v>109.42338131316296</x:v>
      </x:c>
      <x:c r="G244" s="46" t="n">
        <x:v>-44.004378703412996</x:v>
      </x:c>
      <x:c r="H244" s="52" t="n">
        <x:v>-2.1875</x:v>
      </x:c>
      <x:c r="I244" s="52" t="n">
        <x:v>-4.4125</x:v>
      </x:c>
      <x:c r="J244" s="52" t="n">
        <x:v>2.1958333333333333</x:v>
      </x:c>
      <x:c r="K244" s="52" t="n">
        <x:v>-1.0875</x:v>
      </x:c>
      <x:c r="L244" s="52" t="n">
        <x:v>2.4</x:v>
      </x:c>
      <x:c r="M244" s="52" t="n">
        <x:v>-1.7900000000000005</x:v>
      </x:c>
      <x:c r="N244" s="52" t="n">
        <x:v>0.009182457499989916</x:v>
      </x:c>
      <x:c r="O244" s="46" t="n">
        <x:v>63.5353</x:v>
      </x:c>
      <x:c r="P244" s="52" t="n">
        <x:v>-11.080108141756718</x:v>
      </x:c>
      <x:c r="Q244" s="46" t="n">
        <x:v>344.76159839</x:v>
      </x:c>
      <x:c r="R244" s="52" t="n">
        <x:v>7.666795448740693</x:v>
      </x:c>
      <x:c r="S244" s="58" t="n">
        <x:v>5.4263</x:v>
      </x:c>
      <x:c r="T244" s="52" t="n">
        <x:v>18.746903590497414</x:v>
      </x:c>
      <x:c r="U244" s="52" t="n">
        <x:v>2.532</x:v>
      </x:c>
      <x:c r="V244" s="52" t="n">
        <x:v>-1.6070000000000002</x:v>
      </x:c>
      <x:c r="W244" s="46" t="n">
        <x:v>34.15</x:v>
      </x:c>
      <x:c r="X244" s="52" t="n">
        <x:v>-40.71230789370745</x:v>
      </x:c>
    </x:row>
    <x:row r="245">
      <x:c r="C245" s="19" t="n">
        <x:v>43983</x:v>
      </x:c>
      <x:c r="D245" s="46" t="n">
        <x:v>5099.2627</x:v>
      </x:c>
      <x:c r="E245" s="52" t="n">
        <x:v>-28.10228374031069</x:v>
      </x:c>
      <x:c r="F245" s="46" t="n">
        <x:v>103.17504996560648</x:v>
      </x:c>
      <x:c r="G245" s="46" t="n">
        <x:v>-30.803063750652942</x:v>
      </x:c>
      <x:c r="H245" s="52" t="n">
        <x:v>-1.5499999999999998</x:v>
      </x:c>
      <x:c r="I245" s="52" t="n">
        <x:v>-1.4999999999999998</x:v>
      </x:c>
      <x:c r="J245" s="52" t="n">
        <x:v>2.315</x:v>
      </x:c>
      <x:c r="K245" s="52" t="n">
        <x:v>-0.6974999999999998</x:v>
      </x:c>
      <x:c r="L245" s="52" t="n">
        <x:v>1.88</x:v>
      </x:c>
      <x:c r="M245" s="52" t="n">
        <x:v>-2.13</x:v>
      </x:c>
      <x:c r="N245" s="52" t="n">
        <x:v>-0.619304175400015</x:v>
      </x:c>
      <x:c r="O245" s="46" t="n">
        <x:v>64.9762</x:v>
      </x:c>
      <x:c r="P245" s="52" t="n">
        <x:v>4.918446316377514</x:v>
      </x:c>
      <x:c r="Q245" s="46" t="n">
        <x:v>355.8096712</x:v>
      </x:c>
      <x:c r="R245" s="52" t="n">
        <x:v>10.115077625780529</x:v>
      </x:c>
      <x:c r="S245" s="58" t="n">
        <x:v>5.476</x:v>
      </x:c>
      <x:c r="T245" s="52" t="n">
        <x:v>5.196631309403024</x:v>
      </x:c>
      <x:c r="U245" s="52" t="n">
        <x:v>2.36</x:v>
      </x:c>
      <x:c r="V245" s="52" t="n">
        <x:v>-0.9700000000000002</x:v>
      </x:c>
      <x:c r="W245" s="46" t="n">
        <x:v>41.64</x:v>
      </x:c>
      <x:c r="X245" s="52" t="n">
        <x:v>103.10613784980596</x:v>
      </x:c>
    </x:row>
    <x:row r="246">
      <x:c r="C246" s="19" t="n">
        <x:v>44013</x:v>
      </x:c>
      <x:c r="D246" s="46" t="n">
        <x:v>5443.7983</x:v>
      </x:c>
      <x:c r="E246" s="52" t="n">
        <x:v>-7.612379482212252</x:v>
      </x:c>
      <x:c r="F246" s="46" t="n">
        <x:v>108.68818432748988</x:v>
      </x:c>
      <x:c r="G246" s="46" t="n">
        <x:v>-11.789819198471028</x:v>
      </x:c>
      <x:c r="H246" s="52" t="n">
        <x:v>-0.3166666666666669</x:v>
      </x:c>
      <x:c r="I246" s="52" t="n">
        <x:v>1.1233333333333326</x:v>
      </x:c>
      <x:c r="J246" s="52" t="n">
        <x:v>2.4291666666666663</x:v>
      </x:c>
      <x:c r="K246" s="52" t="n">
        <x:v>0.015833333333333144</x:v>
      </x:c>
      <x:c r="L246" s="52" t="n">
        <x:v>2.13</x:v>
      </x:c>
      <x:c r="M246" s="52" t="n">
        <x:v>-1.17</x:v>
      </x:c>
      <x:c r="N246" s="52" t="n">
        <x:v>-0.4306129372000034</x:v>
      </x:c>
      <x:c r="O246" s="46" t="n">
        <x:v>68.6767</x:v>
      </x:c>
      <x:c r="P246" s="52" t="n">
        <x:v>12.020472624023922</x:v>
      </x:c>
      <x:c r="Q246" s="46" t="n">
        <x:v>357.34547310999994</x:v>
      </x:c>
      <x:c r="R246" s="52" t="n">
        <x:v>7.811127084777918</x:v>
      </x:c>
      <x:c r="S246" s="58" t="n">
        <x:v>5.2033</x:v>
      </x:c>
      <x:c r="T246" s="52" t="n">
        <x:v>-4.209345539246017</x:v>
      </x:c>
      <x:c r="U246" s="52" t="n">
        <x:v>2.26</x:v>
      </x:c>
      <x:c r="V246" s="52" t="n">
        <x:v>-0.6780000000000004</x:v>
      </x:c>
      <x:c r="W246" s="46" t="n">
        <x:v>43.13</x:v>
      </x:c>
      <x:c r="X246" s="52" t="n">
        <x:v>86.775453876443</x:v>
      </x:c>
    </x:row>
    <x:row r="247">
      <x:c r="C247" s="19" t="n">
        <x:v>44044</x:v>
      </x:c>
      <x:c r="D247" s="46" t="n">
        <x:v>6051.4639</x:v>
      </x:c>
      <x:c r="E247" s="52" t="n">
        <x:v>10.769012227222262</x:v>
      </x:c>
      <x:c r="F247" s="46" t="n">
        <x:v>120.30531440619264</x:v>
      </x:c>
      <x:c r="G247" s="46" t="n">
        <x:v>9.48082079750728</x:v>
      </x:c>
      <x:c r="H247" s="52" t="n">
        <x:v>0.6000000000000001</x:v>
      </x:c>
      <x:c r="I247" s="52" t="n">
        <x:v>2.7875</x:v>
      </x:c>
      <x:c r="J247" s="52" t="n">
        <x:v>2.5933333333333333</x:v>
      </x:c>
      <x:c r="K247" s="52" t="n">
        <x:v>0.39749999999999996</x:v>
      </x:c>
      <x:c r="L247" s="52" t="n">
        <x:v>2.31</x:v>
      </x:c>
      <x:c r="M247" s="52" t="n">
        <x:v>-0.08999999999999986</x:v>
      </x:c>
      <x:c r="N247" s="52" t="n">
        <x:v>0.23857644320000038</x:v>
      </x:c>
      <x:c r="O247" s="46" t="n">
        <x:v>73.315</x:v>
      </x:c>
      <x:c r="P247" s="52" t="n">
        <x:v>14.316956947681438</x:v>
      </x:c>
      <x:c r="Q247" s="46" t="n">
        <x:v>401.1283595</x:v>
      </x:c>
      <x:c r="R247" s="52" t="n">
        <x:v>15.142831558155972</x:v>
      </x:c>
      <x:c r="S247" s="58" t="n">
        <x:v>5.4713</x:v>
      </x:c>
      <x:c r="T247" s="52" t="n">
        <x:v>0.8258746104745307</x:v>
      </x:c>
      <x:c r="U247" s="52" t="n">
        <x:v>2.59</x:v>
      </x:c>
      <x:c r="V247" s="52" t="n">
        <x:v>0.05799999999999983</x:v>
      </x:c>
      <x:c r="W247" s="46" t="n">
        <x:v>45.22</x:v>
      </x:c>
      <x:c r="X247" s="52" t="n">
        <x:v>28.077688083302473</x:v>
      </x:c>
    </x:row>
    <x:row r="248">
      <x:c r="C248" s="19" t="n">
        <x:v>44075</x:v>
      </x:c>
      <x:c r="D248" s="46" t="n">
        <x:v>6637.833</x:v>
      </x:c>
      <x:c r="E248" s="52" t="n">
        <x:v>26.368959414935787</x:v>
      </x:c>
      <x:c r="F248" s="46" t="n">
        <x:v>131.5827414983357</x:v>
      </x:c>
      <x:c r="G248" s="46" t="n">
        <x:v>24.32088067427737</x:v>
      </x:c>
      <x:c r="H248" s="52" t="n">
        <x:v>1.37</x:v>
      </x:c>
      <x:c r="I248" s="52" t="n">
        <x:v>2.92</x:v>
      </x:c>
      <x:c r="J248" s="52" t="n">
        <x:v>2.765</x:v>
      </x:c>
      <x:c r="K248" s="52" t="n">
        <x:v>0.4500000000000002</x:v>
      </x:c>
      <x:c r="L248" s="52" t="n">
        <x:v>2.44</x:v>
      </x:c>
      <x:c r="M248" s="52" t="n">
        <x:v>0.56</x:v>
      </x:c>
      <x:c r="N248" s="52" t="n">
        <x:v>0.8624262463999832</x:v>
      </x:c>
      <x:c r="O248" s="46" t="n">
        <x:v>70.8516</x:v>
      </x:c>
      <x:c r="P248" s="52" t="n">
        <x:v>8.656649980456868</x:v>
      </x:c>
      <x:c r="Q248" s="46" t="n">
        <x:v>399.65262012</x:v>
      </x:c>
      <x:c r="R248" s="52" t="n">
        <x:v>11.619976366207078</x:v>
      </x:c>
      <x:c r="S248" s="58" t="n">
        <x:v>5.6407</x:v>
      </x:c>
      <x:c r="T248" s="52" t="n">
        <x:v>2.963326385750232</x:v>
      </x:c>
      <x:c r="U248" s="52" t="n">
        <x:v>2.77</x:v>
      </x:c>
      <x:c r="V248" s="52" t="n">
        <x:v>0.41000000000000014</x:v>
      </x:c>
      <x:c r="W248" s="46" t="n">
        <x:v>40.3</x:v>
      </x:c>
      <x:c r="X248" s="52" t="n">
        <x:v>-3.2709774794130926</x:v>
      </x:c>
    </x:row>
    <x:row r="249">
      <x:c r="C249" s="19" t="n">
        <x:v>44105</x:v>
      </x:c>
      <x:c r="D249" s="46" t="n">
        <x:v>7521.7153</x:v>
      </x:c>
      <x:c r="E249" s="52" t="n">
        <x:v>32.33171762159274</x:v>
      </x:c>
      <x:c r="F249" s="46" t="n">
        <x:v>149.1148583094899</x:v>
      </x:c>
      <x:c r="G249" s="46" t="n">
        <x:v>31.62337817423207</x:v>
      </x:c>
      <x:c r="H249" s="52" t="n">
        <x:v>1.9816666666666667</x:v>
      </x:c>
      <x:c r="I249" s="52" t="n">
        <x:v>2.298333333333334</x:v>
      </x:c>
      <x:c r="J249" s="52" t="n">
        <x:v>3.095</x:v>
      </x:c>
      <x:c r="K249" s="52" t="n">
        <x:v>0.6658333333333339</x:v>
      </x:c>
      <x:c r="L249" s="52" t="n">
        <x:v>3.14</x:v>
      </x:c>
      <x:c r="M249" s="52" t="n">
        <x:v>1.0100000000000002</x:v>
      </x:c>
      <x:c r="N249" s="52" t="n">
        <x:v>1.2447095295999855</x:v>
      </x:c>
      <x:c r="O249" s="46" t="n">
        <x:v>71.8436</x:v>
      </x:c>
      <x:c r="P249" s="52" t="n">
        <x:v>4.508154814463746</x:v>
      </x:c>
      <x:c r="Q249" s="46" t="n">
        <x:v>414.66689047999995</x:v>
      </x:c>
      <x:c r="R249" s="52" t="n">
        <x:v>14.877249873247806</x:v>
      </x:c>
      <x:c r="S249" s="58" t="n">
        <x:v>5.7718</x:v>
      </x:c>
      <x:c r="T249" s="52" t="n">
        <x:v>10.36909505878406</x:v>
      </x:c>
      <x:c r="U249" s="52" t="n">
        <x:v>3.16</x:v>
      </x:c>
      <x:c r="V249" s="52" t="n">
        <x:v>0.9000000000000004</x:v>
      </x:c>
      <x:c r="W249" s="46" t="n">
        <x:v>36.33</x:v>
      </x:c>
      <x:c r="X249" s="52" t="n">
        <x:v>-17.157496442664137</x:v>
      </x:c>
    </x:row>
    <x:row r="250">
      <x:c r="C250" s="19" t="n">
        <x:v>44136</x:v>
      </x:c>
      <x:c r="D250" s="46" t="n">
        <x:v>8322.8066</x:v>
      </x:c>
      <x:c r="E250" s="52" t="n">
        <x:v>31.869931996471053</x:v>
      </x:c>
      <x:c r="F250" s="46" t="n">
        <x:v>163.42544913790022</x:v>
      </x:c>
      <x:c r="G250" s="46" t="n">
        <x:v>30.63241194940246</x:v>
      </x:c>
      <x:c r="H250" s="52" t="n">
        <x:v>2.7966666666666664</x:v>
      </x:c>
      <x:c r="I250" s="52" t="n">
        <x:v>2.1966666666666663</x:v>
      </x:c>
      <x:c r="J250" s="52" t="n">
        <x:v>3.4941666666666666</x:v>
      </x:c>
      <x:c r="K250" s="52" t="n">
        <x:v>0.9008333333333334</x:v>
      </x:c>
      <x:c r="L250" s="52" t="n">
        <x:v>3.92</x:v>
      </x:c>
      <x:c r="M250" s="52" t="n">
        <x:v>1.6099999999999999</x:v>
      </x:c>
      <x:c r="N250" s="52" t="n">
        <x:v>1.7491172095999818</x:v>
      </x:c>
      <x:c r="O250" s="46" t="n">
        <x:v>74.3612</x:v>
      </x:c>
      <x:c r="P250" s="52" t="n">
        <x:v>1.4169074002434725</x:v>
      </x:c>
      <x:c r="Q250" s="46" t="n">
        <x:v>396.47161004</x:v>
      </x:c>
      <x:c r="R250" s="52" t="n">
        <x:v>-1.1677037490672961</x:v>
      </x:c>
      <x:c r="S250" s="58" t="n">
        <x:v>5.3317</x:v>
      </x:c>
      <x:c r="T250" s="52" t="n">
        <x:v>-2.584611149310773</x:v>
      </x:c>
      <x:c r="U250" s="52" t="n">
        <x:v>3.15</x:v>
      </x:c>
      <x:c r="V250" s="52" t="n">
        <x:v>0.56</x:v>
      </x:c>
      <x:c r="W250" s="46" t="n">
        <x:v>46.84</x:v>
      </x:c>
      <x:c r="X250" s="52" t="n">
        <x:v>3.5198071879692807</x:v>
      </x:c>
    </x:row>
    <x:row r="251">
      <x:c r="C251" s="19" t="n">
        <x:v>44166</x:v>
      </x:c>
      <x:c r="D251" s="46" t="n">
        <x:v>8936.7383</x:v>
      </x:c>
      <x:c r="E251" s="52" t="n">
        <x:v>29.738512441229364</x:v>
      </x:c>
      <x:c r="F251" s="46" t="n">
        <x:v>179.19904535375747</x:v>
      </x:c>
      <x:c r="G251" s="46" t="n">
        <x:v>30.886130659819045</x:v>
      </x:c>
      <x:c r="H251" s="52" t="n">
        <x:v>3.4</x:v>
      </x:c>
      <x:c r="I251" s="52" t="n">
        <x:v>2.03</x:v>
      </x:c>
      <x:c r="J251" s="52" t="n">
        <x:v>3.32</x:v>
      </x:c>
      <x:c r="K251" s="52" t="n">
        <x:v>0.5549999999999997</x:v>
      </x:c>
      <x:c r="L251" s="52" t="n">
        <x:v>4.31</x:v>
      </x:c>
      <x:c r="M251" s="52" t="n">
        <x:v>1.8699999999999997</x:v>
      </x:c>
      <x:c r="N251" s="52" t="n">
        <x:v>2.40890298559997</x:v>
      </x:c>
      <x:c r="O251" s="46" t="n">
        <x:v>78.0543</x:v>
      </x:c>
      <x:c r="P251" s="52" t="n">
        <x:v>9.681718952969243</x:v>
      </x:c>
      <x:c r="Q251" s="46" t="n">
        <x:v>405.62478081</x:v>
      </x:c>
      <x:c r="R251" s="52" t="n">
        <x:v>1.4832826995176052</x:v>
      </x:c>
      <x:c r="S251" s="58" t="n">
        <x:v>5.1967</x:v>
      </x:c>
      <x:c r="T251" s="52" t="n">
        <x:v>-8.198436253451646</x:v>
      </x:c>
      <x:c r="U251" s="52" t="n">
        <x:v>2.83</x:v>
      </x:c>
      <x:c r="V251" s="52" t="n">
        <x:v>0.06000000000000005</x:v>
      </x:c>
      <x:c r="W251" s="46" t="n">
        <x:v>51.22</x:v>
      </x:c>
      <x:c r="X251" s="52" t="n">
        <x:v>23.97786118187419</x:v>
      </x:c>
    </x:row>
    <x:row r="252">
      <x:c r="C252" s="19" t="n">
        <x:v>44197</x:v>
      </x:c>
      <x:c r="D252" s="46" t="n">
        <x:v>9774.7422</x:v>
      </x:c>
      <x:c r="E252" s="52" t="n">
        <x:v>26.20075217665927</x:v>
      </x:c>
      <x:c r="F252" s="46" t="n">
        <x:v>192.36423152529082</x:v>
      </x:c>
      <x:c r="G252" s="46" t="n">
        <x:v>25.46737439934518</x:v>
      </x:c>
      <x:c r="H252" s="52" t="n">
        <x:v>3.4166666666666665</x:v>
      </x:c>
      <x:c r="I252" s="52" t="n">
        <x:v>1.4349999999999998</x:v>
      </x:c>
      <x:c r="J252" s="52" t="n">
        <x:v>3.5275</x:v>
      </x:c>
      <x:c r="K252" s="52" t="n">
        <x:v>0.43249999999999966</x:v>
      </x:c>
      <x:c r="L252" s="52" t="n">
        <x:v>4.52</x:v>
      </x:c>
      <x:c r="M252" s="52" t="n">
        <x:v>1.3799999999999994</x:v>
      </x:c>
      <x:c r="N252" s="52" t="n">
        <x:v>3.1313823289999876</x:v>
      </x:c>
      <x:c r="O252" s="46" t="n">
        <x:v>80.0981</x:v>
      </x:c>
      <x:c r="P252" s="52" t="n">
        <x:v>10.876059934643209</x:v>
      </x:c>
      <x:c r="Q252" s="46" t="n">
        <x:v>438.60918579</x:v>
      </x:c>
      <x:c r="R252" s="52" t="n">
        <x:v>5.613325482449532</x:v>
      </x:c>
      <x:c r="S252" s="58" t="n">
        <x:v>5.4759</x:v>
      </x:c>
      <x:c r="T252" s="52" t="n">
        <x:v>-5.262734452193687</x:v>
      </x:c>
      <x:c r="U252" s="52" t="n">
        <x:v>3.44</x:v>
      </x:c>
      <x:c r="V252" s="52" t="n">
        <x:v>0.2799999999999998</x:v>
      </x:c>
      <x:c r="W252" s="46" t="n">
        <x:v>55.25</x:v>
      </x:c>
      <x:c r="X252" s="52" t="n">
        <x:v>41.92244941647516</x:v>
      </x:c>
    </x:row>
    <x:row r="253">
      <x:c r="C253" s="19" t="n">
        <x:v>44228</x:v>
      </x:c>
      <x:c r="D253" s="46" t="n">
        <x:v>10215.0762</x:v>
      </x:c>
      <x:c r="E253" s="52" t="n">
        <x:v>20.486515817964072</x:v>
      </x:c>
      <x:c r="F253" s="46" t="n">
        <x:v>202.1462948752795</x:v>
      </x:c>
      <x:c r="G253" s="46" t="n">
        <x:v>21.263474955106982</x:v>
      </x:c>
      <x:c r="H253" s="52" t="n">
        <x:v>3.158333333333333</x:v>
      </x:c>
      <x:c r="I253" s="52" t="n">
        <x:v>0.3616666666666668</x:v>
      </x:c>
      <x:c r="J253" s="52" t="n">
        <x:v>3.8083333333333336</x:v>
      </x:c>
      <x:c r="K253" s="52" t="n">
        <x:v>0.3141666666666669</x:v>
      </x:c>
      <x:c r="L253" s="52" t="n">
        <x:v>4.56</x:v>
      </x:c>
      <x:c r="M253" s="52" t="n">
        <x:v>0.6399999999999997</x:v>
      </x:c>
      <x:c r="N253" s="52" t="n">
        <x:v>2.507645037500006</x:v>
      </x:c>
      <x:c r="O253" s="46" t="n">
        <x:v>85.2778</x:v>
      </x:c>
      <x:c r="P253" s="52" t="n">
        <x:v>13.697986227994088</x:v>
      </x:c>
      <x:c r="Q253" s="46" t="n">
        <x:v>471.60328955999995</x:v>
      </x:c>
      <x:c r="R253" s="52" t="n">
        <x:v>17.35337068579135</x:v>
      </x:c>
      <x:c r="S253" s="58" t="n">
        <x:v>5.5302</x:v>
      </x:c>
      <x:c r="T253" s="52" t="n">
        <x:v>3.6553844577972767</x:v>
      </x:c>
      <x:c r="U253" s="52" t="n">
        <x:v>4.08</x:v>
      </x:c>
      <x:c r="V253" s="52" t="n">
        <x:v>0.9300000000000002</x:v>
      </x:c>
      <x:c r="W253" s="46" t="n">
        <x:v>65.86</x:v>
      </x:c>
      <x:c r="X253" s="52" t="n">
        <x:v>34.079373821870156</x:v>
      </x:c>
    </x:row>
    <x:row r="254">
      <x:c r="C254" s="19" t="n">
        <x:v>44256</x:v>
      </x:c>
      <x:c r="D254" s="46" t="n">
        <x:v>11289.5273</x:v>
      </x:c>
      <x:c r="E254" s="52" t="n">
        <x:v>23.370482916107367</x:v>
      </x:c>
      <x:c r="F254" s="46" t="n">
        <x:v>220.65003361413557</x:v>
      </x:c>
      <x:c r="G254" s="46" t="n">
        <x:v>20.80807147973085</x:v>
      </x:c>
      <x:c r="H254" s="52" t="n">
        <x:v>2.96315</x:v>
      </x:c>
      <x:c r="I254" s="52" t="n">
        <x:v>-0.43684999999999974</x:v>
      </x:c>
      <x:c r="J254" s="52" t="n">
        <x:v>4.4921500000000005</x:v>
      </x:c>
      <x:c r="K254" s="52" t="n">
        <x:v>1.1721500000000007</x:v>
      </x:c>
      <x:c r="L254" s="52" t="n">
        <x:v>5.2</x:v>
      </x:c>
      <x:c r="M254" s="52" t="n">
        <x:v>0.8900000000000006</x:v>
      </x:c>
      <x:c r="N254" s="52" t="n">
        <x:v>2.4771640250000004</x:v>
      </x:c>
      <x:c r="O254" s="46" t="n">
        <x:v>83.4445</x:v>
      </x:c>
      <x:c r="P254" s="52" t="n">
        <x:v>6.677700187359805</x:v>
      </x:c>
      <x:c r="Q254" s="46" t="n">
        <x:v>475.40834985000004</x:v>
      </x:c>
      <x:c r="R254" s="52" t="n">
        <x:v>15.874557153058175</x:v>
      </x:c>
      <x:c r="S254" s="58" t="n">
        <x:v>5.6973</x:v>
      </x:c>
      <x:c r="T254" s="52" t="n">
        <x:v>9.19685696569839</x:v>
      </x:c>
      <x:c r="U254" s="52" t="n">
        <x:v>5.08</x:v>
      </x:c>
      <x:c r="V254" s="52" t="n">
        <x:v>2.25</x:v>
      </x:c>
      <x:c r="W254" s="46" t="n">
        <x:v>63.52</x:v>
      </x:c>
      <x:c r="X254" s="52" t="n">
        <x:v>21.522473616750112</x:v>
      </x:c>
    </x:row>
    <x:row r="255">
      <x:c r="C255" s="19" t="n">
        <x:v>44287</x:v>
      </x:c>
      <x:c r="D255" s="46" t="n">
        <x:v>12347.4277</x:v>
      </x:c>
      <x:c r="E255" s="52" t="n">
        <x:v>23.36460258570658</x:v>
      </x:c>
      <x:c r="F255" s="46" t="n">
        <x:v>241.4058433485035</x:v>
      </x:c>
      <x:c r="G255" s="46" t="n">
        <x:v>22.708890033816648</x:v>
      </x:c>
      <x:c r="H255" s="52" t="n">
        <x:v>2.863933333333333</x:v>
      </x:c>
      <x:c r="I255" s="52" t="n">
        <x:v>-0.5527333333333333</x:v>
      </x:c>
      <x:c r="J255" s="52" t="n">
        <x:v>4.5620666666666665</x:v>
      </x:c>
      <x:c r="K255" s="52" t="n">
        <x:v>1.0345666666666666</x:v>
      </x:c>
      <x:c r="L255" s="52" t="n">
        <x:v>6.1</x:v>
      </x:c>
      <x:c r="M255" s="52" t="n">
        <x:v>1.58</x:v>
      </x:c>
      <x:c r="N255" s="52" t="n">
        <x:v>2.052492994999988</x:v>
      </x:c>
      <x:c r="O255" s="46" t="n">
        <x:v>90.361</x:v>
      </x:c>
      <x:c r="P255" s="52" t="n">
        <x:v>12.056062493888314</x:v>
      </x:c>
      <x:c r="Q255" s="46" t="n">
        <x:v>488.2746996</x:v>
      </x:c>
      <x:c r="R255" s="52" t="n">
        <x:v>10.726937729756116</x:v>
      </x:c>
      <x:c r="S255" s="58" t="n">
        <x:v>5.4036</x:v>
      </x:c>
      <x:c r="T255" s="52" t="n">
        <x:v>-1.3291247641321942</x:v>
      </x:c>
      <x:c r="U255" s="52" t="n">
        <x:v>5.22</x:v>
      </x:c>
      <x:c r="V255" s="52" t="n">
        <x:v>1.7799999999999998</x:v>
      </x:c>
      <x:c r="W255" s="46" t="n">
        <x:v>67.73</x:v>
      </x:c>
      <x:c r="X255" s="52" t="n">
        <x:v>20.366087282895023</x:v>
      </x:c>
    </x:row>
    <x:row r="256">
      <x:c r="C256" s="19" t="n">
        <x:v>44317</x:v>
      </x:c>
      <x:c r="D256" s="46" t="n">
        <x:v>12220.3633</x:v>
      </x:c>
      <x:c r="E256" s="52" t="n">
        <x:v>17.923899539245223</x:v>
      </x:c>
      <x:c r="F256" s="46" t="n">
        <x:v>245.78746824963775</x:v>
      </x:c>
      <x:c r="G256" s="46" t="n">
        <x:v>19.54755449800045</x:v>
      </x:c>
      <x:c r="H256" s="52" t="n">
        <x:v>3.292625</x:v>
      </x:c>
      <x:c r="I256" s="52" t="n">
        <x:v>0.13429166666666692</x:v>
      </x:c>
      <x:c r="J256" s="52" t="n">
        <x:v>4.679175000000001</x:v>
      </x:c>
      <x:c r="K256" s="52" t="n">
        <x:v>0.8708416666666672</x:v>
      </x:c>
      <x:c r="L256" s="52" t="n">
        <x:v>6.76</x:v>
      </x:c>
      <x:c r="M256" s="52" t="n">
        <x:v>2.2</x:v>
      </x:c>
      <x:c r="N256" s="52" t="n">
        <x:v>2.1135717938000065</x:v>
      </x:c>
      <x:c r="O256" s="46" t="n">
        <x:v>92.8252</x:v>
      </x:c>
      <x:c r="P256" s="52" t="n">
        <x:v>8.480399194137858</x:v>
      </x:c>
      <x:c r="Q256" s="46" t="n">
        <x:v>485.68001143999993</x:v>
      </x:c>
      <x:c r="R256" s="52" t="n">
        <x:v>2.941185041982757</x:v>
      </x:c>
      <x:c r="S256" s="58" t="n">
        <x:v>5.2322</x:v>
      </x:c>
      <x:c r="T256" s="52" t="n">
        <x:v>-5.539214152155109</x:v>
      </x:c>
      <x:c r="U256" s="52" t="n">
        <x:v>5.86</x:v>
      </x:c>
      <x:c r="V256" s="52" t="n">
        <x:v>1.7800000000000002</x:v>
      </x:c>
      <x:c r="W256" s="46" t="n">
        <x:v>69.36</x:v>
      </x:c>
      <x:c r="X256" s="52" t="n">
        <x:v>5.177905552406811</x:v>
      </x:c>
    </x:row>
    <x:row r="257">
      <x:c r="C257" s="19" t="n">
        <x:v>44348</x:v>
      </x:c>
      <x:c r="D257" s="46" t="n">
        <x:v>12691.7617</x:v>
      </x:c>
      <x:c r="E257" s="52" t="n">
        <x:v>11.707758956350071</x:v>
      </x:c>
      <x:c r="F257" s="46" t="n">
        <x:v>256.50731557639597</x:v>
      </x:c>
      <x:c r="G257" s="46" t="n">
        <x:v>15.057929691282098</x:v>
      </x:c>
      <x:c r="H257" s="52" t="n">
        <x:v>3.6430499999999997</x:v>
      </x:c>
      <x:c r="I257" s="52" t="n">
        <x:v>0.6798999999999995</x:v>
      </x:c>
      <x:c r="J257" s="52" t="n">
        <x:v>4.89165</x:v>
      </x:c>
      <x:c r="K257" s="52" t="n">
        <x:v>0.39949999999999974</x:v>
      </x:c>
      <x:c r="L257" s="52" t="n">
        <x:v>8.06</x:v>
      </x:c>
      <x:c r="M257" s="52" t="n">
        <x:v>2.8600000000000003</x:v>
      </x:c>
      <x:c r="N257" s="52" t="n">
        <x:v>2.0831989289000097</x:v>
      </x:c>
      <x:c r="O257" s="46" t="n">
        <x:v>94.5412</x:v>
      </x:c>
      <x:c r="P257" s="52" t="n">
        <x:v>12.485397811786223</x:v>
      </x:c>
      <x:c r="Q257" s="46" t="n">
        <x:v>472.91399064</x:v>
      </x:c>
      <x:c r="R257" s="52" t="n">
        <x:v>-0.5260584625824066</x:v>
      </x:c>
      <x:c r="S257" s="58" t="n">
        <x:v>5.0022</x:v>
      </x:c>
      <x:c r="T257" s="52" t="n">
        <x:v>-13.011456274368635</x:v>
      </x:c>
      <x:c r="U257" s="52" t="n">
        <x:v>6.57</x:v>
      </x:c>
      <x:c r="V257" s="52" t="n">
        <x:v>1.4900000000000002</x:v>
      </x:c>
      <x:c r="W257" s="46" t="n">
        <x:v>76.94</x:v>
      </x:c>
      <x:c r="X257" s="52" t="n">
        <x:v>19.167108038526877</x:v>
      </x:c>
    </x:row>
    <x:row r="258">
      <x:c r="C258" s="19" t="n">
        <x:v>44378</x:v>
      </x:c>
      <x:c r="D258" s="46" t="n">
        <x:v>13227.2383</x:v>
      </x:c>
      <x:c r="E258" s="52" t="n">
        <x:v>6.8830453081472065</x:v>
      </x:c>
      <x:c r="F258" s="46" t="n">
        <x:v>266.0676025599983</x:v>
      </x:c>
      <x:c r="G258" s="46" t="n">
        <x:v>9.727090700099097</x:v>
      </x:c>
      <x:c r="H258" s="52" t="n">
        <x:v>3.433041666666666</x:v>
      </x:c>
      <x:c r="I258" s="52" t="n">
        <x:v>0.5691083333333329</x:v>
      </x:c>
      <x:c r="J258" s="52" t="n">
        <x:v>5.055991666666666</x:v>
      </x:c>
      <x:c r="K258" s="52" t="n">
        <x:v>0.49392499999999995</x:v>
      </x:c>
      <x:c r="L258" s="52" t="n">
        <x:v>8.35</x:v>
      </x:c>
      <x:c r="M258" s="52" t="n">
        <x:v>2.25</x:v>
      </x:c>
      <x:c r="N258" s="52" t="n">
        <x:v>1.6786286369000036</x:v>
      </x:c>
      <x:c r="O258" s="46" t="n">
        <x:v>96.2754</x:v>
      </x:c>
      <x:c r="P258" s="52" t="n">
        <x:v>6.3400076075036065</x:v>
      </x:c>
      <x:c r="Q258" s="46" t="n">
        <x:v>493.08408864</x:v>
      </x:c>
      <x:c r="R258" s="52" t="n">
        <x:v>0.9801568195108378</x:v>
      </x:c>
      <x:c r="S258" s="58" t="n">
        <x:v>5.1216</x:v>
      </x:c>
      <x:c r="T258" s="52" t="n">
        <x:v>-5.3598507879927615</x:v>
      </x:c>
      <x:c r="U258" s="52" t="n">
        <x:v>7.45</x:v>
      </x:c>
      <x:c r="V258" s="52" t="n">
        <x:v>2.2300000000000004</x:v>
      </x:c>
      <x:c r="W258" s="46" t="n">
        <x:v>77.72</x:v>
      </x:c>
      <x:c r="X258" s="52" t="n">
        <x:v>13.758341128242687</x:v>
      </x:c>
    </x:row>
    <x:row r="259">
      <x:c r="C259" s="19" t="n">
        <x:v>44409</x:v>
      </x:c>
      <x:c r="D259" s="46" t="n">
        <x:v>13404.6924</x:v>
      </x:c>
      <x:c r="E259" s="52" t="n">
        <x:v>9.250114151052728</x:v>
      </x:c>
      <x:c r="F259" s="46" t="n">
        <x:v>268.40965444681837</x:v>
      </x:c>
      <x:c r="G259" s="46" t="n">
        <x:v>8.804716251121727</x:v>
      </x:c>
      <x:c r="H259" s="52" t="n">
        <x:v>3.0741333333333336</x:v>
      </x:c>
      <x:c r="I259" s="52" t="n">
        <x:v>-0.21849166666666653</x:v>
      </x:c>
      <x:c r="J259" s="52" t="n">
        <x:v>5.090999999999999</x:v>
      </x:c>
      <x:c r="K259" s="52" t="n">
        <x:v>0.41182499999999855</x:v>
      </x:c>
      <x:c r="L259" s="52" t="n">
        <x:v>8.99</x:v>
      </x:c>
      <x:c r="M259" s="52" t="n">
        <x:v>2.2300000000000004</x:v>
      </x:c>
      <x:c r="N259" s="52" t="n">
        <x:v>2.3374972304000208</x:v>
      </x:c>
      <x:c r="O259" s="46" t="n">
        <x:v>95.9859</x:v>
      </x:c>
      <x:c r="P259" s="52" t="n">
        <x:v>3.3483151027850413</x:v>
      </x:c>
      <x:c r="Q259" s="46" t="n">
        <x:v>493.68427947</x:v>
      </x:c>
      <x:c r="R259" s="52" t="n">
        <x:v>1.634620810842394</x:v>
      </x:c>
      <x:c r="S259" s="58" t="n">
        <x:v>5.1433</x:v>
      </x:c>
      <x:c r="T259" s="52" t="n">
        <x:v>-1.7136942919426448</x:v>
      </x:c>
      <x:c r="U259" s="52" t="n">
        <x:v>8.18</x:v>
      </x:c>
      <x:c r="V259" s="52" t="n">
        <x:v>2.3199999999999994</x:v>
      </x:c>
      <x:c r="W259" s="46" t="n">
        <x:v>73.45</x:v>
      </x:c>
      <x:c r="X259" s="52" t="n">
        <x:v>5.729457014760001</x:v>
      </x:c>
    </x:row>
    <x:row r="260">
      <x:c r="C260" s="19" t="n">
        <x:v>44440</x:v>
      </x:c>
      <x:c r="D260" s="46" t="n">
        <x:v>13593.0137</x:v>
      </x:c>
      <x:c r="E260" s="52" t="n">
        <x:v>6.860286428629777</x:v>
      </x:c>
      <x:c r="F260" s="46" t="n">
        <x:v>264.4751786356078</x:v>
      </x:c>
      <x:c r="G260" s="46" t="n">
        <x:v>3.059021933757754</x:v>
      </x:c>
      <x:c r="H260" s="52" t="n">
        <x:v>2.4355</x:v>
      </x:c>
      <x:c r="I260" s="52" t="n">
        <x:v>-1.2075499999999995</x:v>
      </x:c>
      <x:c r="J260" s="52" t="n">
        <x:v>5.216125</x:v>
      </x:c>
      <x:c r="K260" s="52" t="n">
        <x:v>0.3244749999999996</x:v>
      </x:c>
      <x:c r="L260" s="52" t="n">
        <x:v>9.68</x:v>
      </x:c>
      <x:c r="M260" s="52" t="n">
        <x:v>1.6199999999999992</x:v>
      </x:c>
      <x:c r="N260" s="52" t="n">
        <x:v>2.378095265600022</x:v>
      </x:c>
      <x:c r="O260" s="46" t="n">
        <x:v>100.7581</x:v>
      </x:c>
      <x:c r="P260" s="52" t="n">
        <x:v>6.368687629294</x:v>
      </x:c>
      <x:c r="Q260" s="46" t="n">
        <x:v>548.06360914</x:v>
      </x:c>
      <x:c r="R260" s="52" t="n">
        <x:v>14.747782129781514</x:v>
      </x:c>
      <x:c r="S260" s="58" t="n">
        <x:v>5.4394</x:v>
      </x:c>
      <x:c r="T260" s="52" t="n">
        <x:v>8.379094500487502</x:v>
      </x:c>
      <x:c r="U260" s="52" t="n">
        <x:v>8.98</x:v>
      </x:c>
      <x:c r="V260" s="52" t="n">
        <x:v>2.41</x:v>
      </x:c>
      <x:c r="W260" s="46" t="n">
        <x:v>77.81</x:v>
      </x:c>
      <x:c r="X260" s="52" t="n">
        <x:v>1.124406030468977</x:v>
      </x:c>
    </x:row>
    <x:row r="261">
      <x:c r="C261" s="19" t="n">
        <x:v>44470</x:v>
      </x:c>
      <x:c r="D261" s="46" t="n">
        <x:v>13187.5986</x:v>
      </x:c>
      <x:c r="E261" s="52" t="n">
        <x:v>-0.30013230750631964</x:v>
      </x:c>
      <x:c r="F261" s="46" t="n">
        <x:v>263.3178850704498</x:v>
      </x:c>
      <x:c r="G261" s="46" t="n">
        <x:v>-1.0388430672028814</x:v>
      </x:c>
      <x:c r="H261" s="52" t="n">
        <x:v>1.8214333333333332</x:v>
      </x:c>
      <x:c r="I261" s="52" t="n">
        <x:v>-1.6116083333333329</x:v>
      </x:c>
      <x:c r="J261" s="52" t="n">
        <x:v>5.3167</x:v>
      </x:c>
      <x:c r="K261" s="52" t="n">
        <x:v>0.26070833333333354</x:v>
      </x:c>
      <x:c r="L261" s="52" t="n">
        <x:v>10.25</x:v>
      </x:c>
      <x:c r="M261" s="52" t="n">
        <x:v>1.9000000000000004</x:v>
      </x:c>
      <x:c r="N261" s="52" t="n">
        <x:v>3.0196768831999954</x:v>
      </x:c>
      <x:c r="O261" s="46" t="n">
        <x:v>103.3578</x:v>
      </x:c>
      <x:c r="P261" s="52" t="n">
        <x:v>7.098392052070734</x:v>
      </x:c>
      <x:c r="Q261" s="46" t="n">
        <x:v>583.2480654</x:v>
      </x:c>
      <x:c r="R261" s="52" t="n">
        <x:v>16.793286927424898</x:v>
      </x:c>
      <x:c r="S261" s="58" t="n">
        <x:v>5.643</x:v>
      </x:c>
      <x:c r="T261" s="52" t="n">
        <x:v>9.694894875354155</x:v>
      </x:c>
      <x:c r="U261" s="52" t="n">
        <x:v>11.92</x:v>
      </x:c>
      <x:c r="V261" s="52" t="n">
        <x:v>4.47</x:v>
      </x:c>
      <x:c r="W261" s="46" t="n">
        <x:v>83.1</x:v>
      </x:c>
      <x:c r="X261" s="52" t="n">
        <x:v>6.693207735216323</x:v>
      </x:c>
    </x:row>
    <x:row r="262">
      <x:c r="C262" s="19" t="n">
        <x:v>44501</x:v>
      </x:c>
      <x:c r="D262" s="46" t="n">
        <x:v>13130.2432</x:v>
      </x:c>
      <x:c r="E262" s="52" t="n">
        <x:v>-2.068661415215311</x:v>
      </x:c>
      <x:c r="F262" s="46" t="n">
        <x:v>268.52240373286367</x:v>
      </x:c>
      <x:c r="G262" s="46" t="n">
        <x:v>0.041997599504394745</x:v>
      </x:c>
      <x:c r="H262" s="52" t="n">
        <x:v>0.9483083333333333</x:v>
      </x:c>
      <x:c r="I262" s="52" t="n">
        <x:v>-2.1258250000000003</x:v>
      </x:c>
      <x:c r="J262" s="52" t="n">
        <x:v>5.430816666666667</x:v>
      </x:c>
      <x:c r="K262" s="52" t="n">
        <x:v>0.33981666666666754</x:v>
      </x:c>
      <x:c r="L262" s="52" t="n">
        <x:v>10.67</x:v>
      </x:c>
      <x:c r="M262" s="52" t="n">
        <x:v>1.6799999999999997</x:v>
      </x:c>
      <x:c r="N262" s="52" t="n">
        <x:v>3.3155931499999847</x:v>
      </x:c>
      <x:c r="O262" s="46" t="n">
        <x:v>95.7976</x:v>
      </x:c>
      <x:c r="P262" s="52" t="n">
        <x:v>-0.1963673209710531</x:v>
      </x:c>
      <x:c r="Q262" s="46" t="n">
        <x:v>538.3729322400001</x:v>
      </x:c>
      <x:c r="R262" s="52" t="n">
        <x:v>8.665530013871654</x:v>
      </x:c>
      <x:c r="S262" s="58" t="n">
        <x:v>5.6199</x:v>
      </x:c>
      <x:c r="T262" s="52" t="n">
        <x:v>8.8618973348427</x:v>
      </x:c>
      <x:c r="U262" s="52" t="n">
        <x:v>11.75</x:v>
      </x:c>
      <x:c r="V262" s="52" t="n">
        <x:v>3.5700000000000003</x:v>
      </x:c>
      <x:c r="W262" s="46" t="n">
        <x:v>70.86</x:v>
      </x:c>
      <x:c r="X262" s="52" t="n">
        <x:v>-3.5898803182560397</x:v>
      </x:c>
    </x:row>
    <x:row r="263">
      <x:c r="C263" s="19" t="n">
        <x:v>44531</x:v>
      </x:c>
      <x:c r="D263" s="46" t="n">
        <x:v>12894.4922</x:v>
      </x:c>
      <x:c r="E263" s="52" t="n">
        <x:v>-5.275570327088822</x:v>
      </x:c>
      <x:c r="F263" s="46" t="n">
        <x:v>262.8375616145847</x:v>
      </x:c>
      <x:c r="G263" s="46" t="n">
        <x:v>-0.6211199392014366</x:v>
      </x:c>
      <x:c r="H263" s="52" t="n">
        <x:v>0.3607</x:v>
      </x:c>
      <x:c r="I263" s="52" t="n">
        <x:v>-2.0748</x:v>
      </x:c>
      <x:c r="J263" s="52" t="n">
        <x:v>5.0302</x:v>
      </x:c>
      <x:c r="K263" s="52" t="n">
        <x:v>-0.18592500000000012</x:v>
      </x:c>
      <x:c r="L263" s="52" t="n">
        <x:v>10.74</x:v>
      </x:c>
      <x:c r="M263" s="52" t="n">
        <x:v>1.0600000000000005</x:v>
      </x:c>
      <x:c r="N263" s="52" t="n">
        <x:v>3.3975327500000096</x:v>
      </x:c>
      <x:c r="O263" s="46" t="n">
        <x:v>99.1694</x:v>
      </x:c>
      <x:c r="P263" s="52" t="n">
        <x:v>-1.5893095654525915</x:v>
      </x:c>
      <x:c r="Q263" s="46" t="n">
        <x:v>553.4148366999999</x:v>
      </x:c>
      <x:c r="R263" s="52" t="n">
        <x:v>0.9716521791745752</x:v>
      </x:c>
      <x:c r="S263" s="58" t="n">
        <x:v>5.5805</x:v>
      </x:c>
      <x:c r="T263" s="52" t="n">
        <x:v>2.5609617446271713</x:v>
      </x:c>
      <x:c r="U263" s="52" t="n">
        <x:v>11.79</x:v>
      </x:c>
      <x:c r="V263" s="52" t="n">
        <x:v>2.8099999999999987</x:v>
      </x:c>
      <x:c r="W263" s="46" t="n">
        <x:v>77.24</x:v>
      </x:c>
      <x:c r="X263" s="52" t="n">
        <x:v>-0.7352500068525176</x:v>
      </x:c>
    </x:row>
    <x:row r="264">
      <x:c r="C264" s="19" t="n">
        <x:v>44562</x:v>
      </x:c>
      <x:c r="D264" s="46" t="n">
        <x:v>13222.499</x:v>
      </x:c>
      <x:c r="E264" s="52" t="n">
        <x:v>0.26429603437463034</x:v>
      </x:c>
      <x:c r="F264" s="46" t="n">
        <x:v>266.7773071026168</x:v>
      </x:c>
      <x:c r="G264" s="46" t="n">
        <x:v>1.3052263804037936</x:v>
      </x:c>
      <x:c r="H264" s="52" t="n">
        <x:v>0.4041666666666667</x:v>
      </x:c>
      <x:c r="I264" s="52" t="n">
        <x:v>-1.4172666666666665</x:v>
      </x:c>
      <x:c r="J264" s="52" t="n">
        <x:v>5.258075000000001</x:v>
      </x:c>
      <x:c r="K264" s="52" t="n">
        <x:v>-0.05862499999999926</x:v>
      </x:c>
      <x:c r="L264" s="52" t="n">
        <x:v>10.06</x:v>
      </x:c>
      <x:c r="M264" s="52" t="n">
        <x:v>-0.1899999999999995</x:v>
      </x:c>
      <x:c r="N264" s="52" t="n">
        <x:v>2.958021687500012</x:v>
      </x:c>
      <x:c r="O264" s="46" t="n">
        <x:v>107.8627</x:v>
      </x:c>
      <x:c r="P264" s="52" t="n">
        <x:v>4.266236706720082</x:v>
      </x:c>
      <x:c r="Q264" s="46" t="n">
        <x:v>577.86362898</x:v>
      </x:c>
      <x:c r="R264" s="52" t="n">
        <x:v>-0.9274689150713408</x:v>
      </x:c>
      <x:c r="S264" s="58" t="n">
        <x:v>5.3574</x:v>
      </x:c>
      <x:c r="T264" s="52" t="n">
        <x:v>-5.193705621791427</x:v>
      </x:c>
      <x:c r="U264" s="52" t="n">
        <x:v>12.25</x:v>
      </x:c>
      <x:c r="V264" s="52" t="n">
        <x:v>0.33000000000000007</x:v>
      </x:c>
      <x:c r="W264" s="46" t="n">
        <x:v>92.35</x:v>
      </x:c>
      <x:c r="X264" s="52" t="n">
        <x:v>10.554100478384655</x:v>
      </x:c>
    </x:row>
    <x:row r="265">
      <x:c r="C265" s="19" t="n">
        <x:v>44593</x:v>
      </x:c>
      <x:c r="D265" s="46" t="n">
        <x:v>13361.2461</x:v>
      </x:c>
      <x:c r="E265" s="52" t="n">
        <x:v>1.744022410632066</x:v>
      </x:c>
      <x:c r="F265" s="46" t="n">
        <x:v>269.3185867355326</x:v>
      </x:c>
      <x:c r="G265" s="46" t="n">
        <x:v>0.29606653206428524</x:v>
      </x:c>
      <x:c r="H265" s="52" t="n">
        <x:v>0.49999999999999994</x:v>
      </x:c>
      <x:c r="I265" s="52" t="n">
        <x:v>-0.44830833333333336</x:v>
      </x:c>
      <x:c r="J265" s="52" t="n">
        <x:v>5.2554</x:v>
      </x:c>
      <x:c r="K265" s="52" t="n">
        <x:v>-0.175416666666667</x:v>
      </x:c>
      <x:c r="L265" s="52" t="n">
        <x:v>10.38</x:v>
      </x:c>
      <x:c r="M265" s="52" t="n">
        <x:v>-0.28999999999999915</x:v>
      </x:c>
      <x:c r="N265" s="52" t="n">
        <x:v>2.2360444490000297</x:v>
      </x:c>
      <x:c r="O265" s="46" t="n">
        <x:v>114.5522</x:v>
      </x:c>
      <x:c r="P265" s="52" t="n">
        <x:v>17.879298183122277</x:v>
      </x:c>
      <x:c r="Q265" s="46" t="n">
        <x:v>588.72957668</x:v>
      </x:c>
      <x:c r="R265" s="52" t="n">
        <x:v>8.941545281414726</x:v>
      </x:c>
      <x:c r="S265" s="58" t="n">
        <x:v>5.1394</x:v>
      </x:c>
      <x:c r="T265" s="52" t="n">
        <x:v>-8.937752901707558</x:v>
      </x:c>
      <x:c r="U265" s="52" t="n">
        <x:v>12.47</x:v>
      </x:c>
      <x:c r="V265" s="52" t="n">
        <x:v>0.7200000000000006</x:v>
      </x:c>
      <x:c r="W265" s="46" t="n">
        <x:v>103.08</x:v>
      </x:c>
      <x:c r="X265" s="52" t="n">
        <x:v>37.47992863468383</x:v>
      </x:c>
    </x:row>
    <x:row r="266">
      <x:c r="C266" s="19" t="n">
        <x:v>44621</x:v>
      </x:c>
      <x:c r="D266" s="46" t="n">
        <x:v>14429.3584</x:v>
      </x:c>
      <x:c r="E266" s="52" t="n">
        <x:v>11.246464991939806</x:v>
      </x:c>
      <x:c r="F266" s="46" t="n">
        <x:v>291.0705273035785</x:v>
      </x:c>
      <x:c r="G266" s="46" t="n">
        <x:v>10.202939475921246</x:v>
      </x:c>
      <x:c r="H266" s="52" t="n">
        <x:v>0.7039500000000001</x:v>
      </x:c>
      <x:c r="I266" s="52" t="n">
        <x:v>0.34325000000000006</x:v>
      </x:c>
      <x:c r="J266" s="52" t="n">
        <x:v>6.13845</x:v>
      </x:c>
      <x:c r="K266" s="52" t="n">
        <x:v>1.10825</x:v>
      </x:c>
      <x:c r="L266" s="52" t="n">
        <x:v>10.54</x:v>
      </x:c>
      <x:c r="M266" s="52" t="n">
        <x:v>-0.20000000000000107</x:v>
      </x:c>
      <x:c r="N266" s="52" t="n">
        <x:v>2.2968088142000243</x:v>
      </x:c>
      <x:c r="O266" s="46" t="n">
        <x:v>124.4109</x:v>
      </x:c>
      <x:c r="P266" s="52" t="n">
        <x:v>22.676029808246692</x:v>
      </x:c>
      <x:c r="Q266" s="46" t="n">
        <x:v>589.43396202</x:v>
      </x:c>
      <x:c r="R266" s="52" t="n">
        <x:v>6.305481291072387</x:v>
      </x:c>
      <x:c r="S266" s="58" t="n">
        <x:v>4.7378</x:v>
      </x:c>
      <x:c r="T266" s="52" t="n">
        <x:v>-16.37054851717431</x:v>
      </x:c>
      <x:c r="U266" s="52" t="n">
        <x:v>12.72</x:v>
      </x:c>
      <x:c r="V266" s="52" t="n">
        <x:v>0.9300000000000015</x:v>
      </x:c>
      <x:c r="W266" s="46" t="n">
        <x:v>107.29</x:v>
      </x:c>
      <x:c r="X266" s="52" t="n">
        <x:v>32.861799108834134</x:v>
      </x:c>
    </x:row>
    <x:row r="267">
      <x:c r="C267" s="19" t="n">
        <x:v>44652</x:v>
      </x:c>
      <x:c r="D267" s="46" t="n">
        <x:v>15142.5166</x:v>
      </x:c>
      <x:c r="E267" s="52" t="n">
        <x:v>13.558660779530266</x:v>
      </x:c>
      <x:c r="F267" s="46" t="n">
        <x:v>298.3824508194689</x:v>
      </x:c>
      <x:c r="G267" s="46" t="n">
        <x:v>11.196180108671513</x:v>
      </x:c>
      <x:c r="H267" s="52" t="n">
        <x:v>0.8002</x:v>
      </x:c>
      <x:c r="I267" s="52" t="n">
        <x:v>0.39603333333333335</x:v>
      </x:c>
      <x:c r="J267" s="52" t="n">
        <x:v>6.628233333333333</x:v>
      </x:c>
      <x:c r="K267" s="52" t="n">
        <x:v>1.3701583333333325</x:v>
      </x:c>
      <x:c r="L267" s="52" t="n">
        <x:v>11.3</x:v>
      </x:c>
      <x:c r="M267" s="52" t="n">
        <x:v>1.2400000000000002</x:v>
      </x:c>
      <x:c r="N267" s="52" t="n">
        <x:v>3.2006523548000043</x:v>
      </x:c>
      <x:c r="O267" s="46" t="n">
        <x:v>129.4827</x:v>
      </x:c>
      <x:c r="P267" s="52" t="n">
        <x:v>18.268815943671893</x:v>
      </x:c>
      <x:c r="Q267" s="46" t="n">
        <x:v>636.93834957</x:v>
      </x:c>
      <x:c r="R267" s="52" t="n">
        <x:v>9.733496360942553</x:v>
      </x:c>
      <x:c r="S267" s="58" t="n">
        <x:v>4.9191</x:v>
      </x:c>
      <x:c r="T267" s="52" t="n">
        <x:v>-8.53531958272933</x:v>
      </x:c>
      <x:c r="U267" s="52" t="n">
        <x:v>13.01</x:v>
      </x:c>
      <x:c r="V267" s="52" t="n">
        <x:v>0.7599999999999998</x:v>
      </x:c>
      <x:c r="W267" s="46" t="n">
        <x:v>108.36</x:v>
      </x:c>
      <x:c r="X267" s="52" t="n">
        <x:v>15.98733105716455</x:v>
      </x:c>
    </x:row>
    <x:row r="268">
      <x:c r="C268" s="19" t="n">
        <x:v>44682</x:v>
      </x:c>
      <x:c r="D268" s="46" t="n">
        <x:v>15650.0693</x:v>
      </x:c>
      <x:c r="E268" s="52" t="n">
        <x:v>15.811691037425598</x:v>
      </x:c>
      <x:c r="F268" s="46" t="n">
        <x:v>306.41107205504</x:v>
      </x:c>
      <x:c r="G268" s="46" t="n">
        <x:v>12.903255702894679</x:v>
      </x:c>
      <x:c r="H268" s="52" t="n">
        <x:v>1.026625</x:v>
      </x:c>
      <x:c r="I268" s="52" t="n">
        <x:v>0.5266249999999999</x:v>
      </x:c>
      <x:c r="J268" s="52" t="n">
        <x:v>6.946766666666667</x:v>
      </x:c>
      <x:c r="K268" s="52" t="n">
        <x:v>1.6913666666666671</x:v>
      </x:c>
      <x:c r="L268" s="52" t="n">
        <x:v>12.13</x:v>
      </x:c>
      <x:c r="M268" s="52" t="n">
        <x:v>1.75</x:v>
      </x:c>
      <x:c r="N268" s="52" t="n">
        <x:v>3.7344134371999793</x:v>
      </x:c>
      <x:c r="O268" s="46" t="n">
        <x:v>131.343</x:v>
      </x:c>
      <x:c r="P268" s="52" t="n">
        <x:v>13.678160767993235</x:v>
      </x:c>
      <x:c r="Q268" s="46" t="n">
        <x:v>621.1079127</x:v>
      </x:c>
      <x:c r="R268" s="52" t="n">
        <x:v>5.353788386249147</x:v>
      </x:c>
      <x:c r="S268" s="58" t="n">
        <x:v>4.7289</x:v>
      </x:c>
      <x:c r="T268" s="52" t="n">
        <x:v>-8.324372381744077</x:v>
      </x:c>
      <x:c r="U268" s="52" t="n">
        <x:v>13.39</x:v>
      </x:c>
      <x:c r="V268" s="52" t="n">
        <x:v>0.9199999999999999</x:v>
      </x:c>
      <x:c r="W268" s="46" t="n">
        <x:v>125.53</x:v>
      </x:c>
      <x:c r="X268" s="52" t="n">
        <x:v>19.703938804595275</x:v>
      </x:c>
    </x:row>
    <x:row r="269">
      <x:c r="C269" s="19" t="n">
        <x:v>44713</x:v>
      </x:c>
      <x:c r="D269" s="46" t="n">
        <x:v>15966.0938</x:v>
      </x:c>
      <x:c r="E269" s="52" t="n">
        <x:v>10.12024273178799</x:v>
      </x:c>
      <x:c r="F269" s="46" t="n">
        <x:v>317.1692754282723</x:v>
      </x:c>
      <x:c r="G269" s="46" t="n">
        <x:v>8.587002356707536</x:v>
      </x:c>
      <x:c r="H269" s="52" t="n">
        <x:v>1.0037</x:v>
      </x:c>
      <x:c r="I269" s="52" t="n">
        <x:v>0.29974999999999996</x:v>
      </x:c>
      <x:c r="J269" s="52" t="n">
        <x:v>6.53665</x:v>
      </x:c>
      <x:c r="K269" s="52" t="n">
        <x:v>0.3982000000000001</x:v>
      </x:c>
      <x:c r="L269" s="52" t="n">
        <x:v>11.73</x:v>
      </x:c>
      <x:c r="M269" s="52" t="n">
        <x:v>1.1900000000000013</x:v>
      </x:c>
      <x:c r="N269" s="52" t="n">
        <x:v>3.1798487083999794</x:v>
      </x:c>
      <x:c r="O269" s="46" t="n">
        <x:v>117.0482</x:v>
      </x:c>
      <x:c r="P269" s="52" t="n">
        <x:v>-6.100398127029323</x:v>
      </x:c>
      <x:c r="Q269" s="46" t="n">
        <x:v>613.0984716</x:v>
      </x:c>
      <x:c r="R269" s="52" t="n">
        <x:v>3.9362871873337815</x:v>
      </x:c>
      <x:c r="S269" s="58" t="n">
        <x:v>5.238</x:v>
      </x:c>
      <x:c r="T269" s="52" t="n">
        <x:v>10.036685314363085</x:v>
      </x:c>
      <x:c r="U269" s="52" t="n">
        <x:v>13.78</x:v>
      </x:c>
      <x:c r="V269" s="52" t="n">
        <x:v>1.0599999999999987</x:v>
      </x:c>
      <x:c r="W269" s="46" t="n">
        <x:v>119.78</x:v>
      </x:c>
      <x:c r="X269" s="52" t="n">
        <x:v>11.01212781876615</x:v>
      </x:c>
    </x:row>
    <x:row r="270">
      <x:c r="C270" s="19" t="n">
        <x:v>44743</x:v>
      </x:c>
      <x:c r="D270" s="46" t="n">
        <x:v>15655.9824</x:v>
      </x:c>
      <x:c r="E270" s="52" t="n">
        <x:v>3.334664979886133</x:v>
      </x:c>
      <x:c r="F270" s="46" t="n">
        <x:v>314.2226543257804</x:v>
      </x:c>
      <x:c r="G270" s="46" t="n">
        <x:v>5.172576915860238</x:v>
      </x:c>
      <x:c r="H270" s="52" t="n">
        <x:v>1.054875</x:v>
      </x:c>
      <x:c r="I270" s="52" t="n">
        <x:v>0.254675</x:v>
      </x:c>
      <x:c r="J270" s="52" t="n">
        <x:v>6.091725</x:v>
      </x:c>
      <x:c r="K270" s="52" t="n">
        <x:v>-0.5365083333333329</x:v>
      </x:c>
      <x:c r="L270" s="52" t="n">
        <x:v>11.89</x:v>
      </x:c>
      <x:c r="M270" s="52" t="n">
        <x:v>0.5899999999999999</x:v>
      </x:c>
      <x:c r="N270" s="52" t="n">
        <x:v>2.215266379399994</x:v>
      </x:c>
      <x:c r="O270" s="46" t="n">
        <x:v>121.827</x:v>
      </x:c>
      <x:c r="P270" s="52" t="n">
        <x:v>-6.094527589556601</x:v>
      </x:c>
      <x:c r="Q270" s="46" t="n">
        <x:v>632.0872068</x:v>
      </x:c>
      <x:c r="R270" s="52" t="n">
        <x:v>-0.7645498352980413</x:v>
      </x:c>
      <x:c r="S270" s="58" t="n">
        <x:v>5.1884</x:v>
      </x:c>
      <x:c r="T270" s="52" t="n">
        <x:v>5.329977754258549</x:v>
      </x:c>
      <x:c r="U270" s="52" t="n">
        <x:v>13.72</x:v>
      </x:c>
      <x:c r="V270" s="52" t="n">
        <x:v>0.7100000000000009</x:v>
      </x:c>
      <x:c r="W270" s="46" t="n">
        <x:v>111.51</x:v>
      </x:c>
      <x:c r="X270" s="52" t="n">
        <x:v>2.865525576037615</x:v>
      </x:c>
    </x:row>
    <x:row r="271">
      <x:c r="C271" s="19" t="n">
        <x:v>44774</x:v>
      </x:c>
      <x:c r="D271" s="46" t="n">
        <x:v>16160.0439</x:v>
      </x:c>
      <x:c r="E271" s="52" t="n">
        <x:v>3.2066424582043873</x:v>
      </x:c>
      <x:c r="F271" s="46" t="n">
        <x:v>315.26429026421675</x:v>
      </x:c>
      <x:c r="G271" s="46" t="n">
        <x:v>2.8483730596244228</x:v>
      </x:c>
      <x:c r="H271" s="52" t="n">
        <x:v>0.9490999999999998</x:v>
      </x:c>
      <x:c r="I271" s="52" t="n">
        <x:v>-0.07752500000000007</x:v>
      </x:c>
      <x:c r="J271" s="52" t="n">
        <x:v>5.755366666666667</x:v>
      </x:c>
      <x:c r="K271" s="52" t="n">
        <x:v>-1.1913999999999998</x:v>
      </x:c>
      <x:c r="L271" s="52" t="n">
        <x:v>10.07</x:v>
      </x:c>
      <x:c r="M271" s="52" t="n">
        <x:v>-2.0600000000000005</x:v>
      </x:c>
      <x:c r="N271" s="52" t="n">
        <x:v>0.4553755867999776</x:v>
      </x:c>
      <x:c r="O271" s="46" t="n">
        <x:v>121.6412</x:v>
      </x:c>
      <x:c r="P271" s="52" t="n">
        <x:v>-7.673649404565949</x:v>
      </x:c>
      <x:c r="Q271" s="46" t="n">
        <x:v>629.9797748</x:v>
      </x:c>
      <x:c r="R271" s="52" t="n">
        <x:v>1.418287607762534</x:v>
      </x:c>
      <x:c r="S271" s="58" t="n">
        <x:v>5.179</x:v>
      </x:c>
      <x:c r="T271" s="52" t="n">
        <x:v>9.091937012328497</x:v>
      </x:c>
      <x:c r="U271" s="52" t="n">
        <x:v>13.44</x:v>
      </x:c>
      <x:c r="V271" s="52" t="n">
        <x:v>0.049999999999998934</x:v>
      </x:c>
      <x:c r="W271" s="46" t="n">
        <x:v>96.55</x:v>
      </x:c>
      <x:c r="X271" s="52" t="n">
        <x:v>-26.248376495559366</x:v>
      </x:c>
    </x:row>
    <x:row r="272">
      <x:c r="C272" s="19" t="n">
        <x:v>44805</x:v>
      </x:c>
      <x:c r="D272" s="46" t="n">
        <x:v>15847.0889</x:v>
      </x:c>
      <x:c r="E272" s="52" t="n">
        <x:v>-0.7481518351138106</x:v>
      </x:c>
      <x:c r="F272" s="46" t="n">
        <x:v>307.37012496623026</x:v>
      </x:c>
      <x:c r="G272" s="46" t="n">
        <x:v>-3.1382983046658985</x:v>
      </x:c>
      <x:c r="H272" s="52" t="n">
        <x:v>1.0725</x:v>
      </x:c>
      <x:c r="I272" s="52" t="n">
        <x:v>0.06879999999999997</x:v>
      </x:c>
      <x:c r="J272" s="52" t="n">
        <x:v>5.185675</x:v>
      </x:c>
      <x:c r="K272" s="52" t="n">
        <x:v>-1.350975</x:v>
      </x:c>
      <x:c r="L272" s="52" t="n">
        <x:v>8.73</x:v>
      </x:c>
      <x:c r="M272" s="52" t="n">
        <x:v>-3</x:v>
      </x:c>
      <x:c r="N272" s="52" t="n">
        <x:v>-0.37450359840001113</x:v>
      </x:c>
      <x:c r="O272" s="46" t="n">
        <x:v>111.4887</x:v>
      </x:c>
      <x:c r="P272" s="52" t="n">
        <x:v>-4.866257530219277</x:v>
      </x:c>
      <x:c r="Q272" s="46" t="n">
        <x:v>602.77480542</x:v>
      </x:c>
      <x:c r="R272" s="52" t="n">
        <x:v>-1.6981891900803354</x:v>
      </x:c>
      <x:c r="S272" s="58" t="n">
        <x:v>5.4066</x:v>
      </x:c>
      <x:c r="T272" s="52" t="n">
        <x:v>3.1680683401389325</x:v>
      </x:c>
      <x:c r="U272" s="52" t="n">
        <x:v>13.21</x:v>
      </x:c>
      <x:c r="V272" s="52" t="n">
        <x:v>-0.5699999999999985</x:v>
      </x:c>
      <x:c r="W272" s="46" t="n">
        <x:v>88.9</x:v>
      </x:c>
      <x:c r="X272" s="52" t="n">
        <x:v>-29.814458431645736</x:v>
      </x:c>
    </x:row>
    <x:row r="273">
      <x:c r="C273" s="19" t="n">
        <x:v>44835</x:v>
      </x:c>
      <x:c r="D273" s="46" t="n">
        <x:v>15653.4551</x:v>
      </x:c>
      <x:c r="E273" s="52" t="n">
        <x:v>-0.016144014120278036</x:v>
      </x:c>
      <x:c r="F273" s="46" t="n">
        <x:v>306.0588848561483</x:v>
      </x:c>
      <x:c r="G273" s="46" t="n">
        <x:v>-2.632430722234478</x:v>
      </x:c>
      <x:c r="H273" s="52" t="n">
        <x:v>1.02595</x:v>
      </x:c>
      <x:c r="I273" s="52" t="n">
        <x:v>-0.02892500000000009</x:v>
      </x:c>
      <x:c r="J273" s="52" t="n">
        <x:v>5.0481</x:v>
      </x:c>
      <x:c r="K273" s="52" t="n">
        <x:v>-1.0436250000000005</x:v>
      </x:c>
      <x:c r="L273" s="52" t="n">
        <x:v>7.17</x:v>
      </x:c>
      <x:c r="M273" s="52" t="n">
        <x:v>-4.720000000000001</x:v>
      </x:c>
      <x:c r="N273" s="52" t="n">
        <x:v>-1.3245430992000151</x:v>
      </x:c>
      <x:c r="O273" s="46" t="n">
        <x:v>113.3532</x:v>
      </x:c>
      <x:c r="P273" s="52" t="n">
        <x:v>-7.209339788887295</x:v>
      </x:c>
      <x:c r="Q273" s="46" t="n">
        <x:v>595.8977724</x:v>
      </x:c>
      <x:c r="R273" s="52" t="n">
        <x:v>-5.895824053594299</x:v>
      </x:c>
      <x:c r="S273" s="58" t="n">
        <x:v>5.257</x:v>
      </x:c>
      <x:c r="T273" s="52" t="n">
        <x:v>1.3135157352930007</x:v>
      </x:c>
      <x:c r="U273" s="52" t="n">
        <x:v>13.15</x:v>
      </x:c>
      <x:c r="V273" s="52" t="n">
        <x:v>-0.5700000000000003</x:v>
      </x:c>
      <x:c r="W273" s="46" t="n">
        <x:v>93.3</x:v>
      </x:c>
      <x:c r="X273" s="52" t="n">
        <x:v>-17.829416512397238</x:v>
      </x:c>
    </x:row>
    <x:row r="274">
      <x:c r="C274" s="19" t="n">
        <x:v>44866</x:v>
      </x:c>
      <x:c r="D274" s="46" t="n">
        <x:v>15594.8408</x:v>
      </x:c>
      <x:c r="E274" s="52" t="n">
        <x:v>-3.560162806588564</x:v>
      </x:c>
      <x:c r="F274" s="46" t="n">
        <x:v>297.8252426483647</x:v>
      </x:c>
      <x:c r="G274" s="46" t="n">
        <x:v>-5.6904423339860255</x:v>
      </x:c>
      <x:c r="H274" s="52" t="n">
        <x:v>0.8885333333333334</x:v>
      </x:c>
      <x:c r="I274" s="52" t="n">
        <x:v>-0.060566666666666436</x:v>
      </x:c>
      <x:c r="J274" s="52" t="n">
        <x:v>5.093016666666666</x:v>
      </x:c>
      <x:c r="K274" s="52" t="n">
        <x:v>-0.6623500000000009</x:v>
      </x:c>
      <x:c r="L274" s="52" t="n">
        <x:v>6.47</x:v>
      </x:c>
      <x:c r="M274" s="52" t="n">
        <x:v>-3.6000000000000005</x:v>
      </x:c>
      <x:c r="N274" s="52" t="n">
        <x:v>-0.06278484040000976</x:v>
      </x:c>
      <x:c r="O274" s="46" t="n">
        <x:v>116.0528</x:v>
      </x:c>
      <x:c r="P274" s="52" t="n">
        <x:v>-4.703046797581387</x:v>
      </x:c>
      <x:c r="Q274" s="46" t="n">
        <x:v>614.39512848</x:v>
      </x:c>
      <x:c r="R274" s="52" t="n">
        <x:v>-2.5049462482408185</x:v>
      </x:c>
      <x:c r="S274" s="58" t="n">
        <x:v>5.2941</x:v>
      </x:c>
      <x:c r="T274" s="52" t="n">
        <x:v>2.1981005493405714</x:v>
      </x:c>
      <x:c r="U274" s="52" t="n">
        <x:v>13.94</x:v>
      </x:c>
      <x:c r="V274" s="52" t="n">
        <x:v>0.5</x:v>
      </x:c>
      <x:c r="W274" s="46" t="n">
        <x:v>85.61</x:v>
      </x:c>
      <x:c r="X274" s="52" t="n">
        <x:v>-12.025891012012915</x:v>
      </x:c>
    </x:row>
    <x:row r="275">
      <x:c r="C275" s="19" t="n">
        <x:v>44896</x:v>
      </x:c>
      <x:c r="D275" s="46" t="n">
        <x:v>14681.5596</x:v>
      </x:c>
      <x:c r="E275" s="52" t="n">
        <x:v>-7.63935605142132</x:v>
      </x:c>
      <x:c r="F275" s="46" t="n">
        <x:v>277.1476617615516</x:v>
      </x:c>
      <x:c r="G275" s="46" t="n">
        <x:v>-10.35022010901724</x:v>
      </x:c>
      <x:c r="H275" s="52" t="n">
        <x:v>0.8</x:v>
      </x:c>
      <x:c r="I275" s="52" t="n">
        <x:v>-0.27249999999999996</x:v>
      </x:c>
      <x:c r="J275" s="52" t="n">
        <x:v>5.3128</x:v>
      </x:c>
      <x:c r="K275" s="52" t="n">
        <x:v>0.12712500000000038</x:v>
      </x:c>
      <x:c r="L275" s="52" t="n">
        <x:v>5.9</x:v>
      </x:c>
      <x:c r="M275" s="52" t="n">
        <x:v>-2.83</x:v>
      </x:c>
      <x:c r="N275" s="52" t="n">
        <x:v>0.7095119848999909</x:v>
      </x:c>
      <x:c r="O275" s="46" t="n">
        <x:v>112.8052</x:v>
      </x:c>
      <x:c r="P275" s="52" t="n">
        <x:v>1.173919681928658</x:v>
      </x:c>
      <x:c r="Q275" s="46" t="n">
        <x:v>588.58369204</x:v>
      </x:c>
      <x:c r="R275" s="52" t="n">
        <x:v>-2.3824540898338404</x:v>
      </x:c>
      <x:c r="S275" s="58" t="n">
        <x:v>5.2177</x:v>
      </x:c>
      <x:c r="T275" s="52" t="n">
        <x:v>-3.556373771762491</x:v>
      </x:c>
      <x:c r="U275" s="52" t="n">
        <x:v>13.43</x:v>
      </x:c>
      <x:c r="V275" s="52" t="n">
        <x:v>0.21999999999999886</x:v>
      </x:c>
      <x:c r="W275" s="46" t="n">
        <x:v>82.82</x:v>
      </x:c>
      <x:c r="X275" s="52" t="n">
        <x:v>-7.084256440243783</x:v>
      </x:c>
    </x:row>
    <x:row r="276">
      <x:c r="C276" s="19" t="n">
        <x:v>44927</x:v>
      </x:c>
      <x:c r="D276" s="46" t="n">
        <x:v>14496.209</x:v>
      </x:c>
      <x:c r="E276" s="52" t="n">
        <x:v>-7.680449881518503</x:v>
      </x:c>
      <x:c r="F276" s="46" t="n">
        <x:v>263.1199603590686</x:v>
      </x:c>
      <x:c r="G276" s="46" t="n">
        <x:v>-15.116746638616393</x:v>
      </x:c>
      <x:c r="H276" s="52" t="n">
        <x:v>0.8469666666666666</x:v>
      </x:c>
      <x:c r="I276" s="52" t="n">
        <x:v>-0.17898333333333327</x:v>
      </x:c>
      <x:c r="J276" s="52" t="n">
        <x:v>5.60035</x:v>
      </x:c>
      <x:c r="K276" s="52" t="n">
        <x:v>0.5522499999999999</x:v>
      </x:c>
      <x:c r="L276" s="52" t="n">
        <x:v>5.79</x:v>
      </x:c>
      <x:c r="M276" s="52" t="n">
        <x:v>-1.38</x:v>
      </x:c>
      <x:c r="N276" s="52" t="n">
        <x:v>1.6286339977999997</x:v>
      </x:c>
      <x:c r="O276" s="46" t="n">
        <x:v>111.8001</x:v>
      </x:c>
      <x:c r="P276" s="52" t="n">
        <x:v>-1.3796152522544296</x:v>
      </x:c>
      <x:c r="Q276" s="46" t="n">
        <x:v>570.1022499300001</x:v>
      </x:c>
      <x:c r="R276" s="52" t="n">
        <x:v>-4.425339895185192</x:v>
      </x:c>
      <x:c r="S276" s="58" t="n">
        <x:v>5.0993</x:v>
      </x:c>
      <x:c r="T276" s="52" t="n">
        <x:v>-3.0457246429307583</x:v>
      </x:c>
      <x:c r="U276" s="52" t="n">
        <x:v>13.47</x:v>
      </x:c>
      <x:c r="V276" s="52" t="n">
        <x:v>0.3200000000000003</x:v>
      </x:c>
      <x:c r="W276" s="46" t="n">
        <x:v>83.42</x:v>
      </x:c>
      <x:c r="X276" s="52" t="n">
        <x:v>-11.193201908449895</x:v>
      </x:c>
    </x:row>
    <x:row r="277">
      <x:c r="C277" s="19" t="n">
        <x:v>44958</x:v>
      </x:c>
      <x:c r="D277" s="46" t="n">
        <x:v>14965.9922</x:v>
      </x:c>
      <x:c r="E277" s="52" t="n">
        <x:v>-4.115970113084564</x:v>
      </x:c>
      <x:c r="F277" s="46" t="n">
        <x:v>274.30489045876976</x:v>
      </x:c>
      <x:c r="G277" s="46" t="n">
        <x:v>-8.22666537661655</x:v>
      </x:c>
      <x:c r="H277" s="52" t="n">
        <x:v>0.9416666666666667</x:v>
      </x:c>
      <x:c r="I277" s="52" t="n">
        <x:v>0.053133333333333255</x:v>
      </x:c>
      <x:c r="J277" s="52" t="n">
        <x:v>5.58835</x:v>
      </x:c>
      <x:c r="K277" s="52" t="n">
        <x:v>0.49533333333333385</x:v>
      </x:c>
      <x:c r="L277" s="52" t="n">
        <x:v>5.77</x:v>
      </x:c>
      <x:c r="M277" s="52" t="n">
        <x:v>-0.7000000000000002</x:v>
      </x:c>
      <x:c r="N277" s="52" t="n">
        <x:v>1.5680144726000211</x:v>
      </x:c>
      <x:c r="O277" s="46" t="n">
        <x:v>106.1591</x:v>
      </x:c>
      <x:c r="P277" s="52" t="n">
        <x:v>-8.910634774200755</x:v>
      </x:c>
      <x:c r="Q277" s="46" t="n">
        <x:v>552.85536098</x:v>
      </x:c>
      <x:c r="R277" s="52" t="n">
        <x:v>-10.554183896605007</x:v>
      </x:c>
      <x:c r="S277" s="58" t="n">
        <x:v>5.2078</x:v>
      </x:c>
      <x:c r="T277" s="52" t="n">
        <x:v>-1.643549122404263</x:v>
      </x:c>
      <x:c r="U277" s="52" t="n">
        <x:v>13.28</x:v>
      </x:c>
      <x:c r="V277" s="52" t="n">
        <x:v>-0.6600000000000001</x:v>
      </x:c>
      <x:c r="W277" s="46" t="n">
        <x:v>83.21</x:v>
      </x:c>
      <x:c r="X277" s="52" t="n">
        <x:v>-2.8434565842055894</x:v>
      </x:c>
    </x:row>
    <x:row r="278">
      <x:c r="C278" s="19" t="n">
        <x:v>44986</x:v>
      </x:c>
      <x:c r="D278" s="46" t="n">
        <x:v>14864.3896</x:v>
      </x:c>
      <x:c r="E278" s="52" t="n">
        <x:v>1.2376135382189073</x:v>
      </x:c>
      <x:c r="F278" s="46" t="n">
        <x:v>270.04631093404817</x:v>
      </x:c>
      <x:c r="G278" s="46" t="n">
        <x:v>-2.5956972836692396</x:v>
      </x:c>
      <x:c r="H278" s="52" t="n">
        <x:v>1.045</x:v>
      </x:c>
      <x:c r="I278" s="52" t="n">
        <x:v>0.24499999999999988</x:v>
      </x:c>
      <x:c r="J278" s="52" t="n">
        <x:v>5.500299999999999</x:v>
      </x:c>
      <x:c r="K278" s="52" t="n">
        <x:v>0.1874999999999991</x:v>
      </x:c>
      <x:c r="L278" s="52" t="n">
        <x:v>5.6</x:v>
      </x:c>
      <x:c r="M278" s="52" t="n">
        <x:v>-0.3000000000000007</x:v>
      </x:c>
      <x:c r="N278" s="52" t="n">
        <x:v>2.0029736024000044</x:v>
      </x:c>
      <x:c r="O278" s="46" t="n">
        <x:v>105.5076</x:v>
      </x:c>
      <x:c r="P278" s="52" t="n">
        <x:v>-6.687944905599186</x:v>
      </x:c>
      <x:c r="Q278" s="46" t="n">
        <x:v>536.02081104</x:v>
      </x:c>
      <x:c r="R278" s="52" t="n">
        <x:v>-9.354614217724922</x:v>
      </x:c>
      <x:c r="S278" s="58" t="n">
        <x:v>5.0804</x:v>
      </x:c>
      <x:c r="T278" s="52" t="n">
        <x:v>-2.6666693121257325</x:v>
      </x:c>
      <x:c r="U278" s="52" t="n">
        <x:v>12.9</x:v>
      </x:c>
      <x:c r="V278" s="52" t="n">
        <x:v>-0.5299999999999994</x:v>
      </x:c>
      <x:c r="W278" s="46" t="n">
        <x:v>79.19</x:v>
      </x:c>
      <x:c r="X278" s="52" t="n">
        <x:v>-4.481954989510001</x:v>
      </x:c>
    </x:row>
    <x:row r="279">
      <x:c r="C279" s="19" t="n">
        <x:v>45017</x:v>
      </x:c>
      <x:c r="D279" s="46" t="n">
        <x:v>14754.7275</x:v>
      </x:c>
      <x:c r="E279" s="52" t="n">
        <x:v>1.7676372941428247</x:v>
      </x:c>
      <x:c r="F279" s="46" t="n">
        <x:v>266.7581989143687</x:v>
      </x:c>
      <x:c r="G279" s="46" t="n">
        <x:v>1.3732574809736722</x:v>
      </x:c>
      <x:c r="H279" s="52" t="n">
        <x:v>1.1358333333333333</x:v>
      </x:c>
      <x:c r="I279" s="52" t="n">
        <x:v>0.2888666666666666</x:v>
      </x:c>
      <x:c r="J279" s="52" t="n">
        <x:v>5.425599999999999</x:v>
      </x:c>
      <x:c r="K279" s="52" t="n">
        <x:v>-0.1747500000000004</x:v>
      </x:c>
      <x:c r="L279" s="52" t="n">
        <x:v>4.65</x:v>
      </x:c>
      <x:c r="M279" s="52" t="n">
        <x:v>-1.1399999999999997</x:v>
      </x:c>
      <x:c r="N279" s="52" t="n">
        <x:v>2.094210609200031</x:v>
      </x:c>
      <x:c r="O279" s="46" t="n">
        <x:v>104.3114</x:v>
      </x:c>
      <x:c r="P279" s="52" t="n">
        <x:v>-6.933179904519776</x:v>
      </x:c>
      <x:c r="Q279" s="46" t="n">
        <x:v>521.63001798</x:v>
      </x:c>
      <x:c r="R279" s="52" t="n">
        <x:v>-8.885717181818618</x:v>
      </x:c>
      <x:c r="S279" s="58" t="n">
        <x:v>5.0007</x:v>
      </x:c>
      <x:c r="T279" s="52" t="n">
        <x:v>-1.9525372772988354</x:v>
      </x:c>
      <x:c r="U279" s="52" t="n">
        <x:v>12.87</x:v>
      </x:c>
      <x:c r="V279" s="52" t="n">
        <x:v>-0.6000000000000014</x:v>
      </x:c>
      <x:c r="W279" s="46" t="n">
        <x:v>81.32</x:v>
      </x:c>
      <x:c r="X279" s="52" t="n">
        <x:v>-2.549610000865342</x:v>
      </x:c>
    </x:row>
    <x:row r="280">
      <x:c r="C280" s="19" t="n">
        <x:v>45047</x:v>
      </x:c>
      <x:c r="D280" s="46" t="n">
        <x:v>14816.8174</x:v>
      </x:c>
      <x:c r="E280" s="52" t="n">
        <x:v>-1.0017594008283235</x:v>
      </x:c>
      <x:c r="F280" s="46" t="n">
        <x:v>266.2216569158632</x:v>
      </x:c>
      <x:c r="G280" s="46" t="n">
        <x:v>-2.991096819467977</x:v>
      </x:c>
      <x:c r="H280" s="52" t="n">
        <x:v>1.2911916666666667</x:v>
      </x:c>
      <x:c r="I280" s="52" t="n">
        <x:v>0.3495250000000001</x:v>
      </x:c>
      <x:c r="J280" s="52" t="n">
        <x:v>5.0449</x:v>
      </x:c>
      <x:c r="K280" s="52" t="n">
        <x:v>-0.54345</x:v>
      </x:c>
      <x:c r="L280" s="52" t="n">
        <x:v>4.18</x:v>
      </x:c>
      <x:c r="M280" s="52" t="n">
        <x:v>-1.5899999999999999</x:v>
      </x:c>
      <x:c r="N280" s="52" t="n">
        <x:v>2.1754553804000043</x:v>
      </x:c>
      <x:c r="O280" s="46" t="n">
        <x:v>97.9647</x:v>
      </x:c>
      <x:c r="P280" s="52" t="n">
        <x:v>-8.03317025187445</x:v>
      </x:c>
      <x:c r="Q280" s="46" t="n">
        <x:v>499.21831473</x:v>
      </x:c>
      <x:c r="R280" s="52" t="n">
        <x:v>-10.205290938644707</x:v>
      </x:c>
      <x:c r="S280" s="58" t="n">
        <x:v>5.0959</x:v>
      </x:c>
      <x:c r="T280" s="52" t="n">
        <x:v>-2.172120686770237</x:v>
      </x:c>
      <x:c r="U280" s="52" t="n">
        <x:v>12.45</x:v>
      </x:c>
      <x:c r="V280" s="52" t="n">
        <x:v>-0.8300000000000001</x:v>
      </x:c>
      <x:c r="W280" s="46" t="n">
        <x:v>71.98</x:v>
      </x:c>
      <x:c r="X280" s="52" t="n">
        <x:v>-14.49792302614537</x:v>
      </x:c>
    </x:row>
    <x:row r="281">
      <x:c r="C281" s="19" t="n">
        <x:v>45078</x:v>
      </x:c>
      <x:c r="D281" s="46" t="n">
        <x:v>14545.5723</x:v>
      </x:c>
      <x:c r="E281" s="52" t="n">
        <x:v>-2.168175467984198</x:v>
      </x:c>
      <x:c r="F281" s="46" t="n">
        <x:v>260.8370438783265</x:v>
      </x:c>
      <x:c r="G281" s="46" t="n">
        <x:v>-3.4697606891501294</x:v>
      </x:c>
      <x:c r="H281" s="52" t="n">
        <x:v>1.7311999999999999</x:v>
      </x:c>
      <x:c r="I281" s="52" t="n">
        <x:v>0.6861999999999999</x:v>
      </x:c>
      <x:c r="J281" s="52" t="n">
        <x:v>4.4479</x:v>
      </x:c>
      <x:c r="K281" s="52" t="n">
        <x:v>-1.0523999999999996</x:v>
      </x:c>
      <x:c r="L281" s="52" t="n">
        <x:v>3.94</x:v>
      </x:c>
      <x:c r="M281" s="52" t="n">
        <x:v>-1.6599999999999997</x:v>
      </x:c>
      <x:c r="N281" s="52" t="n">
        <x:v>1.5573769613000055</x:v>
      </x:c>
      <x:c r="O281" s="46" t="n">
        <x:v>101.4785</x:v>
      </x:c>
      <x:c r="P281" s="52" t="n">
        <x:v>-3.893603485205194</x:v>
      </x:c>
      <x:c r="Q281" s="46" t="n">
        <x:v>489.04518720000004</x:v>
      </x:c>
      <x:c r="R281" s="52" t="n">
        <x:v>-9.171809431669649</x:v>
      </x:c>
      <x:c r="S281" s="58" t="n">
        <x:v>4.8192</x:v>
      </x:c>
      <x:c r="T281" s="52" t="n">
        <x:v>-5.278205946464457</x:v>
      </x:c>
      <x:c r="U281" s="52" t="n">
        <x:v>11.72</x:v>
      </x:c>
      <x:c r="V281" s="52" t="n">
        <x:v>-1.1799999999999997</x:v>
      </x:c>
      <x:c r="W281" s="46" t="n">
        <x:v>74.51</x:v>
      </x:c>
      <x:c r="X281" s="52" t="n">
        <x:v>-6.091668365668487</x:v>
      </x:c>
    </x:row>
    <x:row r="282">
      <x:c r="C282" s="19" t="n">
        <x:v>45108</x:v>
      </x:c>
      <x:c r="D282" s="46" t="n">
        <x:v>14383.9043</x:v>
      </x:c>
      <x:c r="E282" s="52" t="n">
        <x:v>-2.545371542721098</x:v>
      </x:c>
      <x:c r="F282" s="46" t="n">
        <x:v>260.99890675021845</x:v>
      </x:c>
      <x:c r="G282" s="46" t="n">
        <x:v>-2.1826407415853235</x:v>
      </x:c>
      <x:c r="H282" s="52" t="n">
        <x:v>1.6902583333333334</x:v>
      </x:c>
      <x:c r="I282" s="52" t="n">
        <x:v>0.5544250000000002</x:v>
      </x:c>
      <x:c r="J282" s="52" t="n">
        <x:v>4.287416666666667</x:v>
      </x:c>
      <x:c r="K282" s="52" t="n">
        <x:v>-1.1381833333333322</x:v>
      </x:c>
      <x:c r="L282" s="52" t="n">
        <x:v>3.16</x:v>
      </x:c>
      <x:c r="M282" s="52" t="n">
        <x:v>-1.4900000000000002</x:v>
      </x:c>
      <x:c r="N282" s="52" t="n">
        <x:v>0.760729877599986</x:v>
      </x:c>
      <x:c r="O282" s="46" t="n">
        <x:v>107.3396</x:v>
      </x:c>
      <x:c r="P282" s="52" t="n">
        <x:v>2.8616984135339223</x:v>
      </x:c>
      <x:c r="Q282" s="46" t="n">
        <x:v>508.95071340000004</x:v>
      </x:c>
      <x:c r="R282" s="52" t="n">
        <x:v>-2.460737715803053</x:v>
      </x:c>
      <x:c r="S282" s="58" t="n">
        <x:v>4.7415</x:v>
      </x:c>
      <x:c r="T282" s="52" t="n">
        <x:v>-5.322436129336981</x:v>
      </x:c>
      <x:c r="U282" s="52" t="n">
        <x:v>11.26</x:v>
      </x:c>
      <x:c r="V282" s="52" t="n">
        <x:v>-1.6099999999999994</x:v>
      </x:c>
      <x:c r="W282" s="46" t="n">
        <x:v>85.22</x:v>
      </x:c>
      <x:c r="X282" s="52" t="n">
        <x:v>4.684415931162019</x:v>
      </x:c>
    </x:row>
    <x:row r="283">
      <x:c r="C283" s="19" t="n">
        <x:v>45139</x:v>
      </x:c>
      <x:c r="D283" s="46" t="n">
        <x:v>14609.4521</x:v>
      </x:c>
      <x:c r="E283" s="52" t="n">
        <x:v>-1.4094123120158775</x:v>
      </x:c>
      <x:c r="F283" s="46" t="n">
        <x:v>263.7362002209968</x:v>
      </x:c>
      <x:c r="G283" s="46" t="n">
        <x:v>-0.9379896474473447</x:v>
      </x:c>
      <x:c r="H283" s="52" t="n">
        <x:v>1.643066666666667</x:v>
      </x:c>
      <x:c r="I283" s="52" t="n">
        <x:v>0.35187500000000016</x:v>
      </x:c>
      <x:c r="J283" s="52" t="n">
        <x:v>4.2221</x:v>
      </x:c>
      <x:c r="K283" s="52" t="n">
        <x:v>-0.8228</x:v>
      </x:c>
      <x:c r="L283" s="52" t="n">
        <x:v>3.99</x:v>
      </x:c>
      <x:c r="M283" s="52" t="n">
        <x:v>-0.1899999999999995</x:v>
      </x:c>
      <x:c r="N283" s="52" t="n">
        <x:v>0.26999577919999407</x:v>
      </x:c>
      <x:c r="O283" s="46" t="n">
        <x:v>106.0289</x:v>
      </x:c>
      <x:c r="P283" s="52" t="n">
        <x:v>7.910448876169249</x:v>
      </x:c>
      <x:c r="Q283" s="46" t="n">
        <x:v>521.86364291</x:v>
      </x:c>
      <x:c r="R283" s="52" t="n">
        <x:v>4.436282873641792</x:v>
      </x:c>
      <x:c r="S283" s="58" t="n">
        <x:v>4.9219</x:v>
      </x:c>
      <x:c r="T283" s="52" t="n">
        <x:v>-3.4741660025274546</x:v>
      </x:c>
      <x:c r="U283" s="52" t="n">
        <x:v>10.98</x:v>
      </x:c>
      <x:c r="V283" s="52" t="n">
        <x:v>-1.4699999999999989</x:v>
      </x:c>
      <x:c r="W283" s="46" t="n">
        <x:v>87.29</x:v>
      </x:c>
      <x:c r="X283" s="52" t="n">
        <x:v>19.284760609637384</x:v>
      </x:c>
    </x:row>
    <x:row r="284">
      <x:c r="C284" s="19" t="n">
        <x:v>45170</x:v>
      </x:c>
      <x:c r="D284" s="46" t="n">
        <x:v>14702.833</x:v>
      </x:c>
      <x:c r="E284" s="52" t="n">
        <x:v>1.0753558277115745</x:v>
      </x:c>
      <x:c r="F284" s="46" t="n">
        <x:v>265.85878680677297</x:v>
      </x:c>
      <x:c r="G284" s="46" t="n">
        <x:v>1.906943177390547</x:v>
      </x:c>
      <x:c r="H284" s="52" t="n">
        <x:v>1.854125</x:v>
      </x:c>
      <x:c r="I284" s="52" t="n">
        <x:v>0.12292500000000017</x:v>
      </x:c>
      <x:c r="J284" s="52" t="n">
        <x:v>4.11825</x:v>
      </x:c>
      <x:c r="K284" s="52" t="n">
        <x:v>-0.32965</x:v>
      </x:c>
      <x:c r="L284" s="52" t="n">
        <x:v>4.61</x:v>
      </x:c>
      <x:c r="M284" s="52" t="n">
        <x:v>0.6700000000000004</x:v>
      </x:c>
      <x:c r="N284" s="52" t="n">
        <x:v>0.26999577919999407</x:v>
      </x:c>
      <x:c r="O284" s="46" t="n">
        <x:v>104.8391</x:v>
      </x:c>
      <x:c r="P284" s="52" t="n">
        <x:v>3.257984052447411</x:v>
      </x:c>
      <x:c r="Q284" s="46" t="n">
        <x:v>524.9922771600001</x:v>
      </x:c>
      <x:c r="R284" s="52" t="n">
        <x:v>7.092865974446154</x:v>
      </x:c>
      <x:c r="S284" s="58" t="n">
        <x:v>5.0076</x:v>
      </x:c>
      <x:c r="T284" s="52" t="n">
        <x:v>3.834881921998739</x:v>
      </x:c>
      <x:c r="U284" s="52" t="n">
        <x:v>11.06</x:v>
      </x:c>
      <x:c r="V284" s="52" t="n">
        <x:v>-0.6600000000000001</x:v>
      </x:c>
      <x:c r="W284" s="46" t="n">
        <x:v>95.86</x:v>
      </x:c>
      <x:c r="X284" s="52" t="n">
        <x:v>25.195544916584904</x:v>
      </x:c>
    </x:row>
    <x:row r="285">
      <x:c r="C285" s="19" t="n">
        <x:v>45200</x:v>
      </x:c>
      <x:c r="D285" s="46" t="n">
        <x:v>15268.1289</x:v>
      </x:c>
      <x:c r="E285" s="52" t="n">
        <x:v>5.965775286012575</x:v>
      </x:c>
      <x:c r="F285" s="46" t="n">
        <x:v>275.52353104422286</x:v>
      </x:c>
      <x:c r="G285" s="46" t="n">
        <x:v>5.4156818466860335</x:v>
      </x:c>
      <x:c r="H285" s="52" t="n">
        <x:v>1.732</x:v>
      </x:c>
      <x:c r="I285" s="52" t="n">
        <x:v>0.041741666666666566</x:v>
      </x:c>
      <x:c r="J285" s="52" t="n">
        <x:v>4.027516666666667</x:v>
      </x:c>
      <x:c r="K285" s="52" t="n">
        <x:v>-0.2599</x:v>
      </x:c>
      <x:c r="L285" s="52" t="n">
        <x:v>5.19</x:v>
      </x:c>
      <x:c r="M285" s="52" t="n">
        <x:v>2.0300000000000002</x:v>
      </x:c>
      <x:c r="N285" s="52" t="n">
        <x:v>0.6111867176000096</x:v>
      </x:c>
      <x:c r="O285" s="46" t="n">
        <x:v>104.6162</x:v>
      </x:c>
      <x:c r="P285" s="52" t="n">
        <x:v>-2.5699224909289</x:v>
      </x:c>
      <x:c r="Q285" s="46" t="n">
        <x:v>529.0964315</x:v>
      </x:c>
      <x:c r="R285" s="52" t="n">
        <x:v>3.881952380882924</x:v>
      </x:c>
      <x:c r="S285" s="58" t="n">
        <x:v>5.0575</x:v>
      </x:c>
      <x:c r="T285" s="52" t="n">
        <x:v>6.4518748718118415</x:v>
      </x:c>
      <x:c r="U285" s="52" t="n">
        <x:v>11.15</x:v>
      </x:c>
      <x:c r="V285" s="52" t="n">
        <x:v>-0.10999999999999943</x:v>
      </x:c>
      <x:c r="W285" s="46" t="n">
        <x:v>86.82</x:v>
      </x:c>
      <x:c r="X285" s="52" t="n">
        <x:v>1.8600861799681438</x:v>
      </x:c>
    </x:row>
    <x:row r="286">
      <x:c r="C286" s="19" t="n">
        <x:v>45231</x:v>
      </x:c>
      <x:c r="D286" s="46" t="n">
        <x:v>15638.541</x:v>
      </x:c>
      <x:c r="E286" s="52" t="n">
        <x:v>6.806972097245649</x:v>
      </x:c>
      <x:c r="F286" s="46" t="n">
        <x:v>277.7903808262588</x:v>
      </x:c>
      <x:c r="G286" s="46" t="n">
        <x:v>5.191744148088963</x:v>
      </x:c>
      <x:c r="H286" s="52" t="n">
        <x:v>1.6125</x:v>
      </x:c>
      <x:c r="I286" s="52" t="n">
        <x:v>-0.030566666666666853</x:v>
      </x:c>
      <x:c r="J286" s="52" t="n">
        <x:v>3.9698416666666665</x:v>
      </x:c>
      <x:c r="K286" s="52" t="n">
        <x:v>-0.2522583333333337</x:v>
      </x:c>
      <x:c r="L286" s="52" t="n">
        <x:v>4.82</x:v>
      </x:c>
      <x:c r="M286" s="52" t="n">
        <x:v>0.8300000000000001</x:v>
      </x:c>
      <x:c r="N286" s="52" t="n">
        <x:v>0.7317754351999994</x:v>
      </x:c>
      <x:c r="O286" s="46" t="n">
        <x:v>101.8067</x:v>
      </x:c>
      <x:c r="P286" s="52" t="n">
        <x:v>-4.063578118670474</x:v>
      </x:c>
      <x:c r="Q286" s="46" t="n">
        <x:v>502.46696785000006</x:v>
      </x:c>
      <x:c r="R286" s="52" t="n">
        <x:v>-3.787643112903971</x:v>
      </x:c>
      <x:c r="S286" s="58" t="n">
        <x:v>4.9355</x:v>
      </x:c>
      <x:c r="T286" s="52" t="n">
        <x:v>0.27593500576650193</x:v>
      </x:c>
      <x:c r="U286" s="52" t="n">
        <x:v>10.41</x:v>
      </x:c>
      <x:c r="V286" s="52" t="n">
        <x:v>-0.5700000000000003</x:v>
      </x:c>
      <x:c r="W286" s="46" t="n">
        <x:v>81.72</x:v>
      </x:c>
      <x:c r="X286" s="52" t="n">
        <x:v>-6.593713879783719</x:v>
      </x:c>
    </x:row>
    <x:row r="287">
      <x:c r="C287" s="19" t="n">
        <x:v>45261</x:v>
      </x:c>
      <x:c r="D287" s="46" t="n">
        <x:v>16031.0898</x:v>
      </x:c>
      <x:c r="E287" s="52" t="n">
        <x:v>8.648975303385404</x:v>
      </x:c>
      <x:c r="F287" s="46" t="n">
        <x:v>284.60929207731294</x:v>
      </x:c>
      <x:c r="G287" s="46" t="n">
        <x:v>6.8152043576293995</x:v>
      </x:c>
      <x:c r="H287" s="52" t="n">
        <x:v>1.5198</x:v>
      </x:c>
      <x:c r="I287" s="52" t="n">
        <x:v>-0.334325</x:v>
      </x:c>
      <x:c r="J287" s="52" t="n">
        <x:v>3.9</x:v>
      </x:c>
      <x:c r="K287" s="52" t="n">
        <x:v>-0.21824999999999983</x:v>
      </x:c>
      <x:c r="L287" s="52" t="n">
        <x:v>4.68</x:v>
      </x:c>
      <x:c r="M287" s="52" t="n">
        <x:v>0.0699999999999994</x:v>
      </x:c>
      <x:c r="N287" s="52" t="n">
        <x:v>0.7820257471999881</x:v>
      </x:c>
      <x:c r="O287" s="46" t="n">
        <x:v>98.646</x:v>
      </x:c>
      <x:c r="P287" s="52" t="n">
        <x:v>-6.088910965183443</x:v>
      </x:c>
      <x:c r="Q287" s="46" t="n">
        <x:v>477.5748798</x:v>
      </x:c>
      <x:c r="R287" s="52" t="n">
        <x:v>-9.466258835053228</x:v>
      </x:c>
      <x:c r="S287" s="58" t="n">
        <x:v>4.8413</x:v>
      </x:c>
      <x:c r="T287" s="52" t="n">
        <x:v>-3.3773478698697805</x:v>
      </x:c>
      <x:c r="U287" s="52" t="n">
        <x:v>10.05</x:v>
      </x:c>
      <x:c r="V287" s="52" t="n">
        <x:v>-1.0099999999999998</x:v>
      </x:c>
      <x:c r="W287" s="46" t="n">
        <x:v>77.69</x:v>
      </x:c>
      <x:c r="X287" s="52" t="n">
        <x:v>-21.016224476915582</x:v>
      </x:c>
    </x:row>
    <x:row r="288">
      <x:c r="C288" s="19" t="n">
        <x:v>45292</x:v>
      </x:c>
      <x:c r="D288" s="46" t="n">
        <x:v>15831.6328</x:v>
      </x:c>
      <x:c r="E288" s="52" t="n">
        <x:v>3.6242437157752514</x:v>
      </x:c>
      <x:c r="F288" s="46" t="n">
        <x:v>279.2959772713804</x:v>
      </x:c>
      <x:c r="G288" s="46" t="n">
        <x:v>1.359903286794326</x:v>
      </x:c>
      <x:c r="H288" s="52" t="n">
        <x:v>1.6333333333333335</x:v>
      </x:c>
      <x:c r="I288" s="52" t="n">
        <x:v>-0.09866666666666646</x:v>
      </x:c>
      <x:c r="J288" s="52" t="n">
        <x:v>3.7875583333333336</x:v>
      </x:c>
      <x:c r="K288" s="52" t="n">
        <x:v>-0.2399583333333335</x:v>
      </x:c>
      <x:c r="L288" s="52" t="n">
        <x:v>4.62</x:v>
      </x:c>
      <x:c r="M288" s="52" t="n">
        <x:v>-0.5700000000000003</x:v>
      </x:c>
      <x:c r="N288" s="52" t="n">
        <x:v>1.083587763199989</x:v>
      </x:c>
      <x:c r="O288" s="46" t="n">
        <x:v>98.5602</x:v>
      </x:c>
      <x:c r="P288" s="52" t="n">
        <x:v>-5.963088635190421</x:v>
      </x:c>
      <x:c r="Q288" s="46" t="n">
        <x:v>488.21795069999996</x:v>
      </x:c>
      <x:c r="R288" s="52" t="n">
        <x:v>-8.04087789807197</x:v>
      </x:c>
      <x:c r="S288" s="58" t="n">
        <x:v>4.9535</x:v>
      </x:c>
      <x:c r="T288" s="52" t="n">
        <x:v>-2.077789262881556</x:v>
      </x:c>
      <x:c r="U288" s="52" t="n">
        <x:v>9.91</x:v>
      </x:c>
      <x:c r="V288" s="52" t="n">
        <x:v>-1.2400000000000002</x:v>
      </x:c>
      <x:c r="W288" s="46" t="n">
        <x:v>82.98</x:v>
      </x:c>
      <x:c r="X288" s="52" t="n">
        <x:v>-4.52373949667255</x:v>
      </x:c>
    </x:row>
    <x:row r="289">
      <x:c r="C289" s="19" t="n">
        <x:v>45323</x:v>
      </x:c>
      <x:c r="D289" s="46" t="n">
        <x:v>15759.0117</x:v>
      </x:c>
      <x:c r="E289" s="52" t="n">
        <x:v>0.7673928751852879</x:v>
      </x:c>
      <x:c r="F289" s="46" t="n">
        <x:v>276.2317628797218</x:v>
      </x:c>
      <x:c r="G289" s="46" t="n">
        <x:v>-0.5626569537599022</x:v>
      </x:c>
      <x:c r="H289" s="52" t="n">
        <x:v>1.7970833333333334</x:v>
      </x:c>
      <x:c r="I289" s="52" t="n">
        <x:v>0.18458333333333332</x:v>
      </x:c>
      <x:c r="J289" s="52" t="n">
        <x:v>3.7528333333333332</x:v>
      </x:c>
      <x:c r="K289" s="52" t="n">
        <x:v>-0.21700833333333325</x:v>
      </x:c>
      <x:c r="L289" s="52" t="n">
        <x:v>4.51</x:v>
      </x:c>
      <x:c r="M289" s="52" t="n">
        <x:v>-0.3100000000000005</x:v>
      </x:c>
      <x:c r="N289" s="52" t="n">
        <x:v>1.2651025855999976</x:v>
      </x:c>
      <x:c r="O289" s="46" t="n">
        <x:v>96.6989</x:v>
      </x:c>
      <x:c r="P289" s="52" t="n">
        <x:v>-5.147389026810297</x:v>
      </x:c>
      <x:c r="Q289" s="46" t="n">
        <x:v>481.87962837</x:v>
      </x:c>
      <x:c r="R289" s="52" t="n">
        <x:v>-4.183555296090483</x:v>
      </x:c>
      <x:c r="S289" s="58" t="n">
        <x:v>4.9833</x:v>
      </x:c>
      <x:c r="T289" s="52" t="n">
        <x:v>0.9638337307198069</x:v>
      </x:c>
      <x:c r="U289" s="52" t="n">
        <x:v>9.89</x:v>
      </x:c>
      <x:c r="V289" s="52" t="n">
        <x:v>-0.5199999999999996</x:v>
      </x:c>
      <x:c r="W289" s="46" t="n">
        <x:v>84.57</x:v>
      </x:c>
      <x:c r="X289" s="52" t="n">
        <x:v>3.4280823844709554</x:v>
      </x:c>
    </x:row>
    <x:row r="290">
      <x:c r="C290" s="19" t="n">
        <x:v>45352</x:v>
      </x:c>
      <x:c r="D290" s="46" t="n">
        <x:v>15912.9502</x:v>
      </x:c>
      <x:c r="E290" s="52" t="n">
        <x:v>-0.7396693632254145</x:v>
      </x:c>
      <x:c r="F290" s="46" t="n">
        <x:v>276.1427148348031</x:v>
      </x:c>
      <x:c r="G290" s="46" t="n">
        <x:v>-3.0199519916082807</x:v>
      </x:c>
      <x:c r="H290" s="52" t="n">
        <x:v>1.9175</x:v>
      </x:c>
      <x:c r="I290" s="52" t="n">
        <x:v>0.39769999999999994</x:v>
      </x:c>
      <x:c r="J290" s="52" t="n">
        <x:v>3.69045</x:v>
      </x:c>
      <x:c r="K290" s="52" t="n">
        <x:v>-0.20955000000000013</x:v>
      </x:c>
      <x:c r="L290" s="52" t="n">
        <x:v>4.5</x:v>
      </x:c>
      <x:c r="M290" s="52" t="n">
        <x:v>-0.17999999999999972</x:v>
      </x:c>
      <x:c r="N290" s="52" t="n">
        <x:v>1.8205055216000021</x:v>
      </x:c>
      <x:c r="O290" s="46" t="n">
        <x:v>99.4894</x:v>
      </x:c>
      <x:c r="P290" s="52" t="n">
        <x:v>0.8513421569428355</x:v>
      </x:c>
      <x:c r="Q290" s="46" t="n">
        <x:v>497.06894028</x:v>
      </x:c>
      <x:c r="R290" s="52" t="n">
        <x:v>4.000776535244756</x:v>
      </x:c>
      <x:c r="S290" s="58" t="n">
        <x:v>4.9962</x:v>
      </x:c>
      <x:c r="T290" s="52" t="n">
        <x:v>3.1494343783019225</x:v>
      </x:c>
      <x:c r="U290" s="52" t="n">
        <x:v>9.85</x:v>
      </x:c>
      <x:c r="V290" s="52" t="n">
        <x:v>-0.20000000000000107</x:v>
      </x:c>
      <x:c r="W290" s="46" t="n">
        <x:v>86.17</x:v>
      </x:c>
      <x:c r="X290" s="52" t="n">
        <x:v>10.359554028934616</x:v>
      </x:c>
    </x:row>
    <x:row r="291">
      <x:c r="C291" s="19" t="n">
        <x:v>45383</x:v>
      </x:c>
      <x:c r="D291" s="46" t="n">
        <x:v>16058.1777</x:v>
      </x:c>
      <x:c r="E291" s="52" t="n">
        <x:v>1.4208219337319206</x:v>
      </x:c>
      <x:c r="F291" s="46" t="n">
        <x:v>281.858709675988</x:v>
      </x:c>
      <x:c r="G291" s="46" t="n">
        <x:v>0.9133845910867865</x:v>
      </x:c>
      <x:c r="H291" s="52" t="n">
        <x:v>2.0327333333333337</x:v>
      </x:c>
      <x:c r="I291" s="52" t="n">
        <x:v>0.3994000000000002</x:v>
      </x:c>
      <x:c r="J291" s="52" t="n">
        <x:v>3.6959999999999997</x:v>
      </x:c>
      <x:c r="K291" s="52" t="n">
        <x:v>-0.09155833333333385</x:v>
      </x:c>
      <x:c r="L291" s="52" t="n">
        <x:v>3.93</x:v>
      </x:c>
      <x:c r="M291" s="52" t="n">
        <x:v>-0.69</x:v>
      </x:c>
      <x:c r="N291" s="52" t="n">
        <x:v>1.4154915775999921</x:v>
      </x:c>
      <x:c r="O291" s="46" t="n">
        <x:v>101.6744</x:v>
      </x:c>
      <x:c r="P291" s="52" t="n">
        <x:v>3.1108021616303403</x:v>
      </x:c>
      <x:c r="Q291" s="46" t="n">
        <x:v>525.83966192</x:v>
      </x:c>
      <x:c r="R291" s="52" t="n">
        <x:v>7.423441458702462</x:v>
      </x:c>
      <x:c r="S291" s="58" t="n">
        <x:v>5.1718</x:v>
      </x:c>
      <x:c r="T291" s="52" t="n">
        <x:v>4.312639297072132</x:v>
      </x:c>
      <x:c r="U291" s="52" t="n">
        <x:v>10.39</x:v>
      </x:c>
      <x:c r="V291" s="52" t="n">
        <x:v>0.4800000000000004</x:v>
      </x:c>
      <x:c r="W291" s="46" t="n">
        <x:v>88.23</x:v>
      </x:c>
      <x:c r="X291" s="52" t="n">
        <x:v>6.134742632929156</x:v>
      </x:c>
    </x:row>
    <x:row r="292">
      <x:c r="C292" s="19" t="n">
        <x:v>45413</x:v>
      </x:c>
      <x:c r="D292" s="46" t="n">
        <x:v>16406.2363</x:v>
      </x:c>
      <x:c r="E292" s="52" t="n">
        <x:v>4.024915167137542</x:v>
      </x:c>
      <x:c r="F292" s="46" t="n">
        <x:v>280.8421051024687</x:v>
      </x:c>
      <x:c r="G292" s="46" t="n">
        <x:v>1.6552373929076072</x:v>
      </x:c>
      <x:c r="H292" s="52" t="n">
        <x:v>2.029166666666667</x:v>
      </x:c>
      <x:c r="I292" s="52" t="n">
        <x:v>0.23208333333333342</x:v>
      </x:c>
      <x:c r="J292" s="52" t="n">
        <x:v>3.8347083333333334</x:v>
      </x:c>
      <x:c r="K292" s="52" t="n">
        <x:v>0.08187500000000014</x:v>
      </x:c>
      <x:c r="L292" s="52" t="n">
        <x:v>3.69</x:v>
      </x:c>
      <x:c r="M292" s="52" t="n">
        <x:v>-0.8199999999999998</x:v>
      </x:c>
      <x:c r="N292" s="52" t="n">
        <x:v>1.3750950463999878</x:v>
      </x:c>
      <x:c r="O292" s="46" t="n">
        <x:v>102.9915</x:v>
      </x:c>
      <x:c r="P292" s="52" t="n">
        <x:v>6.304443354572498</x:v>
      </x:c>
      <x:c r="Q292" s="46" t="n">
        <x:v>539.8402464000001</x:v>
      </x:c>
      <x:c r="R292" s="52" t="n">
        <x:v>11.357890659927989</x:v>
      </x:c>
      <x:c r="S292" s="58" t="n">
        <x:v>5.2416</x:v>
      </x:c>
      <x:c r="T292" s="52" t="n">
        <x:v>5.053447305355486</x:v>
      </x:c>
      <x:c r="U292" s="52" t="n">
        <x:v>10.56</x:v>
      </x:c>
      <x:c r="V292" s="52" t="n">
        <x:v>0.6699999999999999</x:v>
      </x:c>
      <x:c r="W292" s="46" t="n">
        <x:v>79.41</x:v>
      </x:c>
      <x:c r="X292" s="52" t="n">
        <x:v>-6.295528888701119</x:v>
      </x:c>
    </x:row>
    <x:row r="293">
      <x:c r="C293" s="19" t="n">
        <x:v>45444</x:v>
      </x:c>
      <x:c r="D293" s="46" t="n">
        <x:v>16664.9141</x:v>
      </x:c>
      <x:c r="E293" s="52" t="n">
        <x:v>4.6172301524564565</x:v>
      </x:c>
      <x:c r="F293" s="46" t="n">
        <x:v>278.1681872452422</x:v>
      </x:c>
      <x:c r="G293" s="46" t="n">
        <x:v>0.7308106037975887</x:v>
      </x:c>
      <x:c r="H293" s="52" t="n">
        <x:v>2.0366999999999997</x:v>
      </x:c>
      <x:c r="I293" s="52" t="n">
        <x:v>0.11919999999999975</x:v>
      </x:c>
      <x:c r="J293" s="52" t="n">
        <x:v>3.9351000000000003</x:v>
      </x:c>
      <x:c r="K293" s="52" t="n">
        <x:v>0.24465000000000048</x:v>
      </x:c>
      <x:c r="L293" s="52" t="n">
        <x:v>3.93</x:v>
      </x:c>
      <x:c r="M293" s="52" t="n">
        <x:v>-0.5699999999999998</x:v>
      </x:c>
      <x:c r="N293" s="52" t="n">
        <x:v>1.003094796799986</x:v>
      </x:c>
      <x:c r="O293" s="46" t="n">
        <x:v>100.9915</x:v>
      </x:c>
      <x:c r="P293" s="52" t="n">
        <x:v>1.4985249057676508</x:v>
      </x:c>
      <x:c r="Q293" s="46" t="n">
        <x:v>561.4016493500001</x:v>
      </x:c>
      <x:c r="R293" s="52" t="n">
        <x:v>12.170787253260121</x:v>
      </x:c>
      <x:c r="S293" s="58" t="n">
        <x:v>5.5589</x:v>
      </x:c>
      <x:c r="T293" s="52" t="n">
        <x:v>10.672262347492465</x:v>
      </x:c>
      <x:c r="U293" s="52" t="n">
        <x:v>11.18</x:v>
      </x:c>
      <x:c r="V293" s="52" t="n">
        <x:v>1.33</x:v>
      </x:c>
      <x:c r="W293" s="46" t="n">
        <x:v>87.26</x:v>
      </x:c>
      <x:c r="X293" s="52" t="n">
        <x:v>1.257007844378804</x:v>
      </x:c>
    </x:row>
    <x:row r="294">
      <x:c r="C294" s="19" t="n">
        <x:v>45474</x:v>
      </x:c>
      <x:c r="D294" s="46" t="n">
        <x:v>17196.5</x:v>
      </x:c>
      <x:c r="E294" s="52" t="n">
        <x:v>6.848764090422368</x:v>
      </x:c>
      <x:c r="F294" s="46" t="n">
        <x:v>293.2924192233671</x:v>
      </x:c>
      <x:c r="G294" s="46" t="n">
        <x:v>3.9764213292463118</x:v>
      </x:c>
      <x:c r="H294" s="52" t="n">
        <x:v>2.038408333333333</x:v>
      </x:c>
      <x:c r="I294" s="52" t="n">
        <x:v>0.0056749999999992085</x:v>
      </x:c>
      <x:c r="J294" s="52" t="n">
        <x:v>4.018158333333333</x:v>
      </x:c>
      <x:c r="K294" s="52" t="n">
        <x:v>0.3221583333333333</x:v>
      </x:c>
      <x:c r="L294" s="52" t="n">
        <x:v>4.23</x:v>
      </x:c>
      <x:c r="M294" s="52" t="n">
        <x:v>0.30000000000000027</x:v>
      </x:c>
      <x:c r="N294" s="52" t="n">
        <x:v>1.053515670799987</x:v>
      </x:c>
      <x:c r="O294" s="46" t="n">
        <x:v>96.4493</x:v>
      </x:c>
      <x:c r="P294" s="52" t="n">
        <x:v>-5.275806894128116</x:v>
      </x:c>
      <x:c r="Q294" s="46" t="n">
        <x:v>546.1055815299999</x:v>
      </x:c>
      <x:c r="R294" s="52" t="n">
        <x:v>3.7815988794466673</x:v>
      </x:c>
      <x:c r="S294" s="58" t="n">
        <x:v>5.6621</x:v>
      </x:c>
      <x:c r="T294" s="52" t="n">
        <x:v>9.057405773574805</x:v>
      </x:c>
      <x:c r="U294" s="52" t="n">
        <x:v>11.38</x:v>
      </x:c>
      <x:c r="V294" s="52" t="n">
        <x:v>0.9900000000000002</x:v>
      </x:c>
      <x:c r="W294" s="46" t="n">
        <x:v>81.39</x:v>
      </x:c>
      <x:c r="X294" s="52" t="n">
        <x:v>-8.069462589506337</x:v>
      </x:c>
    </x:row>
    <x:row r="295">
      <x:c r="C295" s="19" t="n">
        <x:v>45505</x:v>
      </x:c>
      <x:c r="D295" s="46" t="n">
        <x:v>16981.7344</x:v>
      </x:c>
      <x:c r="E295" s="52" t="n">
        <x:v>3.4476794621428124</x:v>
      </x:c>
      <x:c r="F295" s="46" t="n">
        <x:v>283.6940503039299</x:v>
      </x:c>
      <x:c r="G295" s="46" t="n">
        <x:v>1.0103761950698529</x:v>
      </x:c>
      <x:c r="H295" s="52" t="n">
        <x:v>2.057</x:v>
      </x:c>
      <x:c r="I295" s="52" t="n">
        <x:v>0.027833333333333155</x:v>
      </x:c>
      <x:c r="J295" s="52" t="n">
        <x:v>4.0300666666666665</x:v>
      </x:c>
      <x:c r="K295" s="52" t="n">
        <x:v>0.19535833333333308</x:v>
      </x:c>
      <x:c r="L295" s="52" t="n">
        <x:v>4.5</x:v>
      </x:c>
      <x:c r="M295" s="52" t="n">
        <x:v>0.81</x:v>
      </x:c>
      <x:c r="N295" s="52" t="n">
        <x:v>1.053515670799987</x:v>
      </x:c>
      <x:c r="O295" s="46" t="n">
        <x:v>96.0873</x:v>
      </x:c>
      <x:c r="P295" s="52" t="n">
        <x:v>-6.938930731558285</x:v>
      </x:c>
      <x:c r="Q295" s="46" t="n">
        <x:v>543.48898626</x:v>
      </x:c>
      <x:c r="R295" s="52" t="n">
        <x:v>0.673618609588123</x:v>
      </x:c>
      <x:c r="S295" s="58" t="n">
        <x:v>5.6562</x:v>
      </x:c>
      <x:c r="T295" s="52" t="n">
        <x:v>7.61254934114641</x:v>
      </x:c>
      <x:c r="U295" s="52" t="n">
        <x:v>11.74</x:v>
      </x:c>
      <x:c r="V295" s="52" t="n">
        <x:v>1.1799999999999997</x:v>
      </x:c>
      <x:c r="W295" s="46" t="n">
        <x:v>80.2</x:v>
      </x:c>
      <x:c r="X295" s="52" t="n">
        <x:v>0.989920996534923</x:v>
      </x:c>
    </x:row>
    <x:row r="296">
      <x:c r="C296" s="19" t="n">
        <x:v>45536</x:v>
      </x:c>
      <x:c r="D296" s="46" t="n">
        <x:v>16720.5898</x:v>
      </x:c>
      <x:c r="E296" s="52" t="n">
        <x:v>0.3335324923053556</x:v>
      </x:c>
      <x:c r="F296" s="46" t="n">
        <x:v>276.5417496966769</x:v>
      </x:c>
      <x:c r="G296" s="46" t="n">
        <x:v>-0.5864117806651861</x:v>
      </x:c>
      <x:c r="H296" s="52" t="n">
        <x:v>2.185975</x:v>
      </x:c>
      <x:c r="I296" s="52" t="n">
        <x:v>0.14927500000000027</x:v>
      </x:c>
      <x:c r="J296" s="52" t="n">
        <x:v>4.06845</x:v>
      </x:c>
      <x:c r="K296" s="52" t="n">
        <x:v>0.13335000000000008</x:v>
      </x:c>
      <x:c r="L296" s="52" t="n">
        <x:v>4.24</x:v>
      </x:c>
      <x:c r="M296" s="52" t="n">
        <x:v>0.31000000000000005</x:v>
      </x:c>
      <x:c r="N296" s="52" t="n">
        <x:v>0.5706798404000013</x:v>
      </x:c>
      <x:c r="O296" s="46" t="n">
        <x:v>100.3406</x:v>
      </x:c>
      <x:c r="P296" s="52" t="n">
        <x:v>-0.6465956176546053</x:v>
      </x:c>
      <x:c r="Q296" s="46" t="n">
        <x:v>546.66562286</x:v>
      </x:c>
      <x:c r="R296" s="52" t="n">
        <x:v>-2.6599279100643636</x:v>
      </x:c>
      <x:c r="S296" s="58" t="n">
        <x:v>5.4481</x:v>
      </x:c>
      <x:c r="T296" s="52" t="n">
        <x:v>-2.013332292409755</x:v>
      </x:c>
      <x:c r="U296" s="52" t="n">
        <x:v>12.17</x:v>
      </x:c>
      <x:c r="V296" s="52" t="n">
        <x:v>0.9900000000000002</x:v>
      </x:c>
      <x:c r="W296" s="46" t="n">
        <x:v>72.35</x:v>
      </x:c>
      <x:c r="X296" s="52" t="n">
        <x:v>-18.73767146179709</x:v>
      </x:c>
    </x:row>
    <x:row r="297">
      <x:c r="C297" s="19" t="n">
        <x:v>45566</x:v>
      </x:c>
      <x:c r="D297" s="46" t="n">
        <x:v>16976.0723</x:v>
      </x:c>
      <x:c r="E297" s="52" t="n">
        <x:v>-1.2901033924371268</x:v>
      </x:c>
      <x:c r="F297" s="46" t="n">
        <x:v>282.82469925351086</x:v>
      </x:c>
      <x:c r="G297" s="46" t="n">
        <x:v>-3.634286070960995</x:v>
      </x:c>
      <x:c r="H297" s="52" t="n">
        <x:v>2.1243499999999997</x:v>
      </x:c>
      <x:c r="I297" s="52" t="n">
        <x:v>0.0859416666666668</x:v>
      </x:c>
      <x:c r="J297" s="52" t="n">
        <x:v>4.092466666666667</x:v>
      </x:c>
      <x:c r="K297" s="52" t="n">
        <x:v>0.07430833333333364</x:v>
      </x:c>
      <x:c r="L297" s="52" t="n">
        <x:v>4.42</x:v>
      </x:c>
      <x:c r="M297" s="52" t="n">
        <x:v>0.1899999999999995</x:v>
      </x:c>
      <x:c r="N297" s="52" t="n">
        <x:v>0.8015076655999875</x:v>
      </x:c>
      <x:c r="O297" s="46" t="n">
        <x:v>98.0956</x:v>
      </x:c>
      <x:c r="P297" s="52" t="n">
        <x:v>1.6925031694834496</x:v>
      </x:c>
      <x:c r="Q297" s="46" t="n">
        <x:v>566.78656724</x:v>
      </x:c>
      <x:c r="R297" s="52" t="n">
        <x:v>3.7170478425039657</x:v>
      </x:c>
      <x:c r="S297" s="58" t="n">
        <x:v>5.7779</x:v>
      </x:c>
      <x:c r="T297" s="52" t="n">
        <x:v>2.02454467302053</x:v>
      </x:c>
      <x:c r="U297" s="52" t="n">
        <x:v>12.67</x:v>
      </x:c>
      <x:c r="V297" s="52" t="n">
        <x:v>1.2899999999999991</x:v>
      </x:c>
      <x:c r="W297" s="46" t="n">
        <x:v>73.25</x:v>
      </x:c>
      <x:c r="X297" s="52" t="n">
        <x:v>-10.537416744177337</x:v>
      </x:c>
    </x:row>
    <x:row r="298">
      <x:c r="C298" s="19" t="n">
        <x:v>45597</x:v>
      </x:c>
      <x:c r="D298" s="46" t="n">
        <x:v>17404.3145</x:v>
      </x:c>
      <x:c r="E298" s="52" t="n">
        <x:v>2.4579815888297647</x:v>
      </x:c>
      <x:c r="F298" s="46" t="n">
        <x:v>290.26854764020925</x:v>
      </x:c>
      <x:c r="G298" s="46" t="n">
        <x:v>2.291015102063715</x:v>
      </x:c>
      <x:c r="H298" s="52" t="n">
        <x:v>2.0572416666666666</x:v>
      </x:c>
      <x:c r="I298" s="52" t="n">
        <x:v>0.00024166666666669556</x:v>
      </x:c>
      <x:c r="J298" s="52" t="n">
        <x:v>4.425833333333333</x:v>
      </x:c>
      <x:c r="K298" s="52" t="n">
        <x:v>0.3957666666666668</x:v>
      </x:c>
      <x:c r="L298" s="52" t="n">
        <x:v>4.76</x:v>
      </x:c>
      <x:c r="M298" s="52" t="n">
        <x:v>0.2599999999999998</x:v>
      </x:c>
      <x:c r="N298" s="52" t="n">
        <x:v>0.9822635072000097</x:v>
      </x:c>
      <x:c r="O298" s="46" t="n">
        <x:v>98.1416</x:v>
      </x:c>
      <x:c r="P298" s="52" t="n">
        <x:v>2.115418053223676</x:v>
      </x:c>
      <x:c r="Q298" s="46" t="n">
        <x:v>594.1001756</x:v>
      </x:c>
      <x:c r="R298" s="52" t="n">
        <x:v>8.903850904987202</x:v>
      </x:c>
      <x:c r="S298" s="58" t="n">
        <x:v>6.0535</x:v>
      </x:c>
      <x:c r="T298" s="52" t="n">
        <x:v>6.7884328517635355</x:v>
      </x:c>
      <x:c r="U298" s="52" t="n">
        <x:v>13.85</x:v>
      </x:c>
      <x:c r="V298" s="52" t="n">
        <x:v>2.1099999999999994</x:v>
      </x:c>
      <x:c r="W298" s="46" t="n">
        <x:v>74.16</x:v>
      </x:c>
      <x:c r="X298" s="52" t="n">
        <x:v>-7.829859361486917</x:v>
      </x:c>
    </x:row>
    <x:row r="299">
      <x:c r="C299" s="19" t="n">
        <x:v>45627</x:v>
      </x:c>
      <x:c r="D299" s="46" t="n">
        <x:v>17544.3262</x:v>
      </x:c>
      <x:c r="E299" s="52" t="n">
        <x:v>4.808972203996816</x:v>
      </x:c>
      <x:c r="F299" s="46" t="n">
        <x:v>292.3636157012854</x:v>
      </x:c>
      <x:c r="G299" s="46" t="n">
        <x:v>5.5636483784962385</x:v>
      </x:c>
      <x:c r="H299" s="52" t="n">
        <x:v>2.019</x:v>
      </x:c>
      <x:c r="I299" s="52" t="n">
        <x:v>-0.16697499999999987</x:v>
      </x:c>
      <x:c r="J299" s="52" t="n">
        <x:v>4.9932</x:v>
      </x:c>
      <x:c r="K299" s="52" t="n">
        <x:v>0.9247499999999995</x:v>
      </x:c>
      <x:c r="L299" s="52" t="n">
        <x:v>4.87</x:v>
      </x:c>
      <x:c r="M299" s="52" t="n">
        <x:v>0.6299999999999999</x:v>
      </x:c>
      <x:c r="N299" s="52" t="n">
        <x:v>1.396373609599988</x:v>
      </x:c>
      <x:c r="O299" s="46" t="n">
        <x:v>98.7611</x:v>
      </x:c>
      <x:c r="P299" s="52" t="n">
        <x:v>-1.5866596179807089</x:v>
      </x:c>
      <x:c r="Q299" s="46" t="n">
        <x:v>611.5583595300001</x:v>
      </x:c>
      <x:c r="R299" s="52" t="n">
        <x:v>11.217306450785888</x:v>
      </x:c>
      <x:c r="S299" s="58" t="n">
        <x:v>6.1923</x:v>
      </x:c>
      <x:c r="T299" s="52" t="n">
        <x:v>12.803966068766574</x:v>
      </x:c>
      <x:c r="U299" s="52" t="n">
        <x:v>15.39</x:v>
      </x:c>
      <x:c r="V299" s="52" t="n">
        <x:v>3.2200000000000006</x:v>
      </x:c>
      <x:c r="W299" s="46" t="n">
        <x:v>74.58</x:v>
      </x:c>
      <x:c r="X299" s="52" t="n">
        <x:v>3.0356921673182033</x:v>
      </x:c>
    </x:row>
    <x:row r="300">
      <x:c r="C300" s="19" t="n">
        <x:v>45658</x:v>
      </x:c>
      <x:c r="D300" s="46" t="n">
        <x:v>17312.8223</x:v>
      </x:c>
      <x:c r="E300" s="52" t="n">
        <x:v>1.9642559564393405</x:v>
      </x:c>
      <x:c r="F300" s="46" t="n">
        <x:v>289.9200088644598</x:v>
      </x:c>
      <x:c r="G300" s="46" t="n">
        <x:v>2.4777784984187092</x:v>
      </x:c>
      <x:c r="H300" s="52" t="n">
        <x:v>2.0335916666666667</x:v>
      </x:c>
      <x:c r="I300" s="52" t="n">
        <x:v>-0.09075833333333305</x:v>
      </x:c>
      <x:c r="J300" s="52" t="n">
        <x:v>5.4075</x:v>
      </x:c>
      <x:c r="K300" s="52" t="n">
        <x:v>1.315033333333333</x:v>
      </x:c>
      <x:c r="L300" s="52" t="n">
        <x:v>4.83</x:v>
      </x:c>
      <x:c r="M300" s="52" t="n">
        <x:v>0.41000000000000014</x:v>
      </x:c>
      <x:c r="N300" s="52" t="n">
        <x:v>1.47713535680003</x:v>
      </x:c>
      <x:c r="O300" s="46" t="n">
        <x:v>102.2923</x:v>
      </x:c>
      <x:c r="P300" s="52" t="n">
        <x:v>4.189188793375022</x:v>
      </x:c>
      <x:c r="Q300" s="46" t="n">
        <x:v>596.3743382299999</x:v>
      </x:c>
      <x:c r="R300" s="52" t="n">
        <x:v>5.088574594008591</x:v>
      </x:c>
      <x:c r="S300" s="58" t="n">
        <x:v>5.8301</x:v>
      </x:c>
      <x:c r="T300" s="52" t="n">
        <x:v>0.8993858006335663</x:v>
      </x:c>
      <x:c r="U300" s="52" t="n">
        <x:v>14.95</x:v>
      </x:c>
      <x:c r="V300" s="52" t="n">
        <x:v>2.2799999999999994</x:v>
      </x:c>
      <x:c r="W300" s="46" t="n">
        <x:v>77.11</x:v>
      </x:c>
      <x:c r="X300" s="52" t="n">
        <x:v>5.135472594769247</x:v>
      </x:c>
    </x:row>
    <x:row r="301">
      <x:c r="C301" s="19" t="n">
        <x:v>45689</x:v>
      </x:c>
      <x:c r="D301" s="46" t="n">
        <x:v>17576.834</x:v>
      </x:c>
      <x:c r="E301" s="52" t="n">
        <x:v>0.9863649772527728</x:v>
      </x:c>
      <x:c r="F301" s="46" t="n">
        <x:v>290.9991225485736</x:v>
      </x:c>
      <x:c r="G301" s="46" t="n">
        <x:v>0.2513731041763001</x:v>
      </x:c>
      <x:c r="H301" s="52" t="n">
        <x:v>1.9541666666666666</x:v>
      </x:c>
      <x:c r="I301" s="52" t="n">
        <x:v>-0.10307500000000003</x:v>
      </x:c>
      <x:c r="J301" s="52" t="n">
        <x:v>5.441666666666667</x:v>
      </x:c>
      <x:c r="K301" s="52" t="n">
        <x:v>1.015833333333334</x:v>
      </x:c>
      <x:c r="L301" s="52" t="n">
        <x:v>4.56</x:v>
      </x:c>
      <x:c r="M301" s="52" t="n">
        <x:v>-0.20000000000000018</x:v>
      </x:c>
      <x:c r="N301" s="52" t="n">
        <x:v>1.0734872448000088</x:v>
      </x:c>
      <x:c r="O301" s="46" t="n">
        <x:v>102.7507</x:v>
      </x:c>
      <x:c r="P301" s="52" t="n">
        <x:v>4.589433223607614</x:v>
      </x:c>
      <x:c r="Q301" s="46" t="n">
        <x:v>600.9682941599999</x:v>
      </x:c>
      <x:c r="R301" s="52" t="n">
        <x:v>1.1494227067387321</x:v>
      </x:c>
      <x:c r="S301" s="58" t="n">
        <x:v>5.8488</x:v>
      </x:c>
      <x:c r="T301" s="52" t="n">
        <x:v>-3.440010516868877</x:v>
      </x:c>
      <x:c r="U301" s="52" t="n">
        <x:v>15.03</x:v>
      </x:c>
      <x:c r="V301" s="52" t="n">
        <x:v>1.1799999999999997</x:v>
      </x:c>
      <x:c r="W301" s="46" t="n">
        <x:v>74.76</x:v>
      </x:c>
      <x:c r="X301" s="52" t="n">
        <x:v>0.8058061329762441</x:v>
      </x:c>
    </x:row>
    <x:row r="302">
      <x:c r="C302" s="19" t="n">
        <x:v>45717</x:v>
      </x:c>
      <x:c r="D302" s="46" t="n">
        <x:v>17804.6445</x:v>
      </x:c>
      <x:c r="E302" s="52" t="n">
        <x:v>1.4728746034822437</x:v>
      </x:c>
      <x:c r="F302" s="46" t="n">
        <x:v>291.06863870783553</x:v>
      </x:c>
      <x:c r="G302" s="46" t="n">
        <x:v>-0.44391756206862437</x:v>
      </x:c>
      <x:c r="H302" s="52" t="n">
        <x:v>1.8763</x:v>
      </x:c>
      <x:c r="I302" s="52" t="n">
        <x:v>-0.14270000000000005</x:v>
      </x:c>
      <x:c r="J302" s="52" t="n">
        <x:v>5.362500000000001</x:v>
      </x:c>
      <x:c r="K302" s="52" t="n">
        <x:v>0.36930000000000085</x:v>
      </x:c>
      <x:c r="L302" s="52" t="n">
        <x:v>5.06</x:v>
      </x:c>
      <x:c r="M302" s="52" t="n">
        <x:v>0.1899999999999995</x:v>
      </x:c>
      <x:c r="N302" s="52" t="n">
        <x:v>1.9997508992000368</x:v>
      </x:c>
      <x:c r="O302" s="46" t="n">
        <x:v>106.4009</x:v>
      </x:c>
      <x:c r="P302" s="52" t="n">
        <x:v>7.451023299083974</x:v>
      </x:c>
      <x:c r="Q302" s="46" t="n">
        <x:v>610.97524798</x:v>
      </x:c>
      <x:c r="R302" s="52" t="n">
        <x:v>-0.09539395737465296</x:v>
      </x:c>
      <x:c r="S302" s="58" t="n">
        <x:v>5.7422</x:v>
      </x:c>
      <x:c r="T302" s="52" t="n">
        <x:v>-7.546417256458607</x:v>
      </x:c>
      <x:c r="U302" s="52" t="n">
        <x:v>15.09</x:v>
      </x:c>
      <x:c r="V302" s="52" t="n">
        <x:v>-0.3000000000000007</x:v>
      </x:c>
      <x:c r="W302" s="46" t="n">
        <x:v>77.23</x:v>
      </x:c>
      <x:c r="X302" s="52" t="n">
        <x:v>3.4915607830497843</x:v>
      </x:c>
    </x:row>
    <x:row r="303">
      <x:c r="C303" s="19" t="n">
        <x:v>45748</x:v>
      </x:c>
      <x:c r="D303" s="46" t="n">
        <x:v>17260.541</x:v>
      </x:c>
      <x:c r="E303" s="52" t="n">
        <x:v>-0.302437106838438</x:v>
      </x:c>
      <x:c r="F303" s="46" t="n">
        <x:v>274.95739806883086</x:v>
      </x:c>
      <x:c r="G303" s="46" t="n">
        <x:v>-5.29888838776631</x:v>
      </x:c>
      <x:c r="H303" s="52" t="n">
        <x:v>1.9</x:v>
      </x:c>
      <x:c r="I303" s="52" t="n">
        <x:v>-0.13359166666666678</x:v>
      </x:c>
      <x:c r="J303" s="52" t="n">
        <x:v>5.200666666666667</x:v>
      </x:c>
      <x:c r="K303" s="52" t="n">
        <x:v>-0.20683333333333298</x:v>
      </x:c>
      <x:c r="L303" s="52" t="n">
        <x:v>5.48</x:v>
      </x:c>
      <x:c r="M303" s="52" t="n">
        <x:v>0.6500000000000004</x:v>
      </x:c>
      <x:c r="N303" s="52" t="n">
        <x:v>2.0403397376000276</x:v>
      </x:c>
      <x:c r="O303" s="46" t="n">
        <x:v>100.9267</x:v>
      </x:c>
      <x:c r="P303" s="52" t="n">
        <x:v>-1.3439890519163111</x:v>
      </x:c>
      <x:c r="Q303" s="46" t="n">
        <x:v>571.32586336</x:v>
      </x:c>
      <x:c r="R303" s="52" t="n">
        <x:v>-4.290881840979191</x:v>
      </x:c>
      <x:c r="S303" s="58" t="n">
        <x:v>5.6608</x:v>
      </x:c>
      <x:c r="T303" s="52" t="n">
        <x:v>-2.9468927890628827</x:v>
      </x:c>
      <x:c r="U303" s="52" t="n">
        <x:v>14.48</x:v>
      </x:c>
      <x:c r="V303" s="52" t="n">
        <x:v>-0.46999999999999886</x:v>
      </x:c>
      <x:c r="W303" s="46" t="n">
        <x:v>63.37</x:v>
      </x:c>
      <x:c r="X303" s="52" t="n">
        <x:v>-19.624241050944374</x:v>
      </x:c>
    </x:row>
    <x:row r="304">
      <x:c r="C304" s="19" t="n">
        <x:v>45778</x:v>
      </x:c>
      <x:c r="D304" s="46" t="n">
        <x:v>17158.2324</x:v>
      </x:c>
      <x:c r="E304" s="52" t="n">
        <x:v>-2.4103703264958414</x:v>
      </x:c>
      <x:c r="F304" s="46" t="n">
        <x:v>269.33762166100666</x:v>
      </x:c>
      <x:c r="G304" s="46" t="n">
        <x:v>-7.73545601350286</x:v>
      </x:c>
      <x:c r="H304" s="52" t="n">
        <x:v>1.9933166666666668</x:v>
      </x:c>
      <x:c r="I304" s="52" t="n">
        <x:v>0.03915000000000024</x:v>
      </x:c>
      <x:c r="J304" s="52" t="n">
        <x:v>5.05825</x:v>
      </x:c>
      <x:c r="K304" s="52" t="n">
        <x:v>-0.3834166666666672</x:v>
      </x:c>
      <x:c r="L304" s="52" t="n">
        <x:v>5.53</x:v>
      </x:c>
      <x:c r="M304" s="52" t="n">
        <x:v>0.9700000000000006</x:v>
      </x:c>
      <x:c r="N304" s="52" t="n">
        <x:v>2.315408544800013</x:v>
      </x:c>
      <x:c r="O304" s="46" t="n">
        <x:v>99.987</x:v>
      </x:c>
      <x:c r="P304" s="52" t="n">
        <x:v>-2.7265488467847177</x:v>
      </x:c>
      <x:c r="Q304" s="46" t="n">
        <x:v>570.7957869</x:v>
      </x:c>
      <x:c r="R304" s="52" t="n">
        <x:v>-5.151067347088222</x:v>
      </x:c>
      <x:c r="S304" s="58" t="n">
        <x:v>5.7087</x:v>
      </x:c>
      <x:c r="T304" s="52" t="n">
        <x:v>-2.424518500303521</x:v>
      </x:c>
      <x:c r="U304" s="52" t="n">
        <x:v>14.64</x:v>
      </x:c>
      <x:c r="V304" s="52" t="n">
        <x:v>-0.3899999999999988</x:v>
      </x:c>
      <x:c r="W304" s="46" t="n">
        <x:v>64.32</x:v>
      </x:c>
      <x:c r="X304" s="52" t="n">
        <x:v>-15.041235771665137</x:v>
      </x:c>
    </x:row>
    <x:row r="305">
      <x:c r="C305" s="19" t="n">
        <x:v>45809</x:v>
      </x:c>
      <x:c r="D305" s="46" t="n">
        <x:v>17058.4766</x:v>
      </x:c>
      <x:c r="E305" s="52" t="n">
        <x:v>-4.28121087526911</x:v>
      </x:c>
      <x:c r="F305" s="46" t="n">
        <x:v>267.4319329242001</x:v>
      </x:c>
      <x:c r="G305" s="46" t="n">
        <x:v>-8.469403360791494</x:v>
      </x:c>
      <x:c r="H305" s="52" t="n">
        <x:v>2.0447</x:v>
      </x:c>
      <x:c r="I305" s="52" t="n">
        <x:v>0.1684000000000001</x:v>
      </x:c>
      <x:c r="J305" s="52" t="n">
        <x:v>4.84725</x:v>
      </x:c>
      <x:c r="K305" s="52" t="n">
        <x:v>-0.5152500000000009</x:v>
      </x:c>
      <x:c r="L305" s="52" t="n">
        <x:v>5.32</x:v>
      </x:c>
      <x:c r="M305" s="52" t="n">
        <x:v>0.2600000000000007</x:v>
      </x:c>
      <x:c r="N305" s="52" t="n">
        <x:v>1.254988260799994</x:v>
      </x:c>
      <x:c r="O305" s="46" t="n">
        <x:v>102.0209</x:v>
      </x:c>
      <x:c r="P305" s="52" t="n">
        <x:v>-4.203634126287057</x:v>
      </x:c>
      <x:c r="Q305" s="46" t="n">
        <x:v>556.73825339</x:v>
      </x:c>
      <x:c r="R305" s="52" t="n">
        <x:v>-9.296124030123233</x:v>
      </x:c>
      <x:c r="S305" s="58" t="n">
        <x:v>5.4571</x:v>
      </x:c>
      <x:c r="T305" s="52" t="n">
        <x:v>-5.092489903836188</x:v>
      </x:c>
      <x:c r="U305" s="52" t="n">
        <x:v>14.69</x:v>
      </x:c>
      <x:c r="V305" s="52" t="n">
        <x:v>-0.40000000000000036</x:v>
      </x:c>
      <x:c r="W305" s="46" t="n">
        <x:v>68.15</x:v>
      </x:c>
      <x:c r="X305" s="52" t="n">
        <x:v>-12.507682443863091</x:v>
      </x:c>
    </x:row>
    <x:row r="306">
      <x:c r="C306" s="19" t="n">
        <x:v>45839</x:v>
      </x:c>
      <x:c r="D306" s="46" t="n">
        <x:v>16701.7148</x:v>
      </x:c>
      <x:c r="E306" s="52" t="n">
        <x:v>-3.291163252644505</x:v>
      </x:c>
      <x:c r="F306" s="46" t="n">
        <x:v>260.6559186641097</x:v>
      </x:c>
      <x:c r="G306" s="46" t="n">
        <x:v>-5.341495127176228</x:v>
      </x:c>
      <x:c r="H306" s="52" t="n">
        <x:v>2.034583333333333</x:v>
      </x:c>
      <x:c r="I306" s="52" t="n">
        <x:v>0.13458333333333306</x:v>
      </x:c>
      <x:c r="J306" s="52" t="n">
        <x:v>4.704149999999999</x:v>
      </x:c>
      <x:c r="K306" s="52" t="n">
        <x:v>-0.4965166666666674</x:v>
      </x:c>
      <x:c r="L306" s="52" t="n">
        <x:v>5.35</x:v>
      </x:c>
      <x:c r="M306" s="52" t="n">
        <x:v>-0.13000000000000078</x:v>
      </x:c>
      <x:c r="N306" s="52" t="n">
        <x:v>0.9327766831999762</x:v>
      </x:c>
      <x:c r="O306" s="46" t="n">
        <x:v>101.1846</x:v>
      </x:c>
      <x:c r="P306" s="52" t="n">
        <x:v>0.2552060572323244</x:v>
      </x:c>
      <x:c r="Q306" s="46" t="n">
        <x:v>566.84624766</x:v>
      </x:c>
      <x:c r="R306" s="52" t="n">
        <x:v>-0.7871636964829091</x:v>
      </x:c>
      <x:c r="S306" s="58" t="n">
        <x:v>5.6021</x:v>
      </x:c>
      <x:c r="T306" s="52" t="n">
        <x:v>-1.0423697537152385</x:v>
      </x:c>
      <x:c r="U306" s="52" t="n">
        <x:v>14.76</x:v>
      </x:c>
      <x:c r="V306" s="52" t="n">
        <x:v>0.27999999999999936</x:v>
      </x:c>
      <x:c r="W306" s="46" t="n">
        <x:v>73.43</x:v>
      </x:c>
      <x:c r="X306" s="52" t="n">
        <x:v>14.734200812809362</x:v>
      </x:c>
    </x:row>
    <x:row r="307">
      <x:c r="C307" s="19" t="n">
        <x:v>45870</x:v>
      </x:c>
      <x:c r="D307" s="46" t="n">
        <x:v>16630.8359</x:v>
      </x:c>
      <x:c r="E307" s="52" t="n">
        <x:v>-3.121952523752963</x:v>
      </x:c>
      <x:c r="F307" s="46" t="n">
        <x:v>253.54056734192037</x:v>
      </x:c>
      <x:c r="G307" s="46" t="n">
        <x:v>-6.044185254474005</x:v>
      </x:c>
      <x:c r="H307" s="52" t="n">
        <x:v>1.975466666666667</x:v>
      </x:c>
      <x:c r="I307" s="52" t="n">
        <x:v>-0.01784999999999992</x:v>
      </x:c>
      <x:c r="J307" s="52" t="n">
        <x:v>4.488366666666667</x:v>
      </x:c>
      <x:c r="K307" s="52" t="n">
        <x:v>-0.5698833333333333</x:v>
      </x:c>
      <x:c r="L307" s="52" t="n">
        <x:v>5.23</x:v>
      </x:c>
      <x:c r="M307" s="52" t="n">
        <x:v>-0.2999999999999998</x:v>
      </x:c>
      <x:c r="N307" s="52" t="n">
        <x:v>0.7619256223999837</x:v>
      </x:c>
      <x:c r="O307" s="46" t="n">
        <x:v>102.7876</x:v>
      </x:c>
      <x:c r="P307" s="52" t="n">
        <x:v>2.7624545640125437</x:v>
      </x:c>
      <x:c r="Q307" s="46" t="n">
        <x:v>557.76663264</x:v>
      </x:c>
      <x:c r="R307" s="52" t="n">
        <x:v>-2.3090850704075767</x:v>
      </x:c>
      <x:c r="S307" s="58" t="n">
        <x:v>5.4264</x:v>
      </x:c>
      <x:c r="T307" s="52" t="n">
        <x:v>-5.071539634420114</x:v>
      </x:c>
      <x:c r="U307" s="52" t="n">
        <x:v>14.39</x:v>
      </x:c>
      <x:c r="V307" s="52" t="n">
        <x:v>-0.25</x:v>
      </x:c>
      <x:c r="W307" s="46" t="n">
        <x:v>67.83</x:v>
      </x:c>
      <x:c r="X307" s="52" t="n">
        <x:v>5.313395008727742</x:v>
      </x:c>
    </x:row>
    <x:row r="308">
      <x:c r="C308" s="19" t="n">
        <x:v>45901</x:v>
      </x:c>
      <x:c r="D308" s="46" t="n">
        <x:v>16738.8789</x:v>
      </x:c>
      <x:c r="E308" s="52" t="n">
        <x:v>-1.891314998363497</x:v>
      </x:c>
      <x:c r="F308" s="46" t="n">
        <x:v>254.8054146877694</x:v>
      </x:c>
      <x:c r="G308" s="46" t="n">
        <x:v>-4.836490338927564</x:v>
      </x:c>
      <x:c r="H308" s="52" t="n">
        <x:v>1.8903500000000002</x:v>
      </x:c>
      <x:c r="I308" s="52" t="n">
        <x:v>-0.15435</x:v>
      </x:c>
      <x:c r="J308" s="52" t="n">
        <x:v>4.419025</x:v>
      </x:c>
      <x:c r="K308" s="52" t="n">
        <x:v>-0.4282249999999994</x:v>
      </x:c>
      <x:c r="L308" s="52" t="n">
        <x:v>5.13</x:v>
      </x:c>
      <x:c r="M308" s="52" t="n">
        <x:v>-0.1900000000000004</x:v>
      </x:c>
      <x:c r="N308" s="52" t="n">
        <x:v>0.3900733135999923</x:v>
      </x:c>
      <x:c r="O308" s="46" t="n">
        <x:v>104.6288</x:v>
      </x:c>
      <x:c r="P308" s="52" t="n">
        <x:v>2.5241154085720403</x:v>
      </x:c>
      <x:c r="Q308" s="46" t="n">
        <x:v>556.47873568</x:v>
      </x:c>
      <x:c r="R308" s="52" t="n">
        <x:v>-0.046624821081480174</x:v>
      </x:c>
      <x:c r="S308" s="58" t="n">
        <x:v>5.3186</x:v>
      </x:c>
      <x:c r="T308" s="52" t="n">
        <x:v>-2.570740229653521</x:v>
      </x:c>
      <x:c r="U308" s="52" t="n">
        <x:v>14.34</x:v>
      </x:c>
      <x:c r="V308" s="52" t="n">
        <x:v>-0.34999999999999964</x:v>
      </x:c>
      <x:c r="W308" s="46" t="n">
        <x:v>68.52</x:v>
      </x:c>
      <x:c r="X308" s="52" t="n">
        <x:v>0.5414515313377413</x:v>
      </x:c>
    </x:row>
    <x:row r="309">
      <x:c r="C309" s="19" t="n">
        <x:v>45931</x:v>
      </x:c>
      <x:c r="D309" s="46" t="n">
        <x:v>17167.0801</x:v>
      </x:c>
      <x:c r="E309" s="52" t="n">
        <x:v>2.7482205420784447</x:v>
      </x:c>
      <x:c r="F309" s="46" t="n">
        <x:v>260.624705027606</x:v>
      </x:c>
      <x:c r="G309" s="46" t="n">
        <x:v>-0.01197575168628687</x:v>
      </x:c>
      <x:c r="H309" s="52" t="n">
        <x:v>1.8428666666666667</x:v>
      </x:c>
      <x:c r="I309" s="52" t="n">
        <x:v>-0.1917166666666663</x:v>
      </x:c>
      <x:c r="J309" s="52" t="n">
        <x:v>4.25755</x:v>
      </x:c>
      <x:c r="K309" s="52" t="n">
        <x:v>-0.4465999999999992</x:v>
      </x:c>
      <x:c r="L309" s="52" t="n">
        <x:v>5.17</x:v>
      </x:c>
      <x:c r="M309" s="52" t="n">
        <x:v>-0.17999999999999972</x:v>
      </x:c>
      <x:c r="N309" s="52" t="n">
        <x:v>0.6304326271999727</x:v>
      </x:c>
      <x:c r="O309" s="46" t="n">
        <x:v>107.3022</x:v>
      </x:c>
      <x:c r="P309" s="52" t="n">
        <x:v>5.87025813276494</x:v>
      </x:c>
      <x:c r="Q309" s="46" t="n">
        <x:v>577.74723546</x:v>
      </x:c>
      <x:c r="R309" s="52" t="n">
        <x:v>1.904836532535013</x:v>
      </x:c>
      <x:c r="S309" s="58" t="n">
        <x:v>5.3843</x:v>
      </x:c>
      <x:c r="T309" s="52" t="n">
        <x:v>-3.96542160022991</x:v>
      </x:c>
      <x:c r="U309" s="52" t="n">
        <x:v>14.09</x:v>
      </x:c>
      <x:c r="V309" s="52" t="n">
        <x:v>-0.6699999999999999</x:v>
      </x:c>
      <x:c r="W309" s="46" t="n">
        <x:v>65.44</x:v>
      </x:c>
      <x:c r="X309" s="52" t="n">
        <x:v>-11.519887916902762</x:v>
      </x:c>
    </x:row>
    <x:row r="310">
      <x:c r="C310" s="19" t="n">
        <x:v>45962</x:v>
      </x:c>
      <x:c r="D310" s="46" t="n">
        <x:v>17051.7129</x:v>
      </x:c>
      <x:c r="E310" s="52" t="n">
        <x:v>2.499210550283559</x:v>
      </x:c>
      <x:c r="F310" s="46" t="n">
        <x:v>255.99420099177345</x:v>
      </x:c>
      <x:c r="G310" s="46" t="n">
        <x:v>0.9630952656928778</x:v>
      </x:c>
      <x:c r="H310" s="52" t="n">
        <x:v>1.8107749999999998</x:v>
      </x:c>
      <x:c r="I310" s="52" t="n">
        <x:v>-0.16469166666666712</x:v>
      </x:c>
      <x:c r="J310" s="52" t="n">
        <x:v>4.194291666666666</x:v>
      </x:c>
      <x:c r="K310" s="52" t="n">
        <x:v>-0.2940750000000012</x:v>
      </x:c>
      <x:c r="L310" s="52" t="n">
        <x:v>4.68</x:v>
      </x:c>
      <x:c r="M310" s="52" t="n">
        <x:v>-0.5500000000000007</x:v>
      </x:c>
      <x:c r="N310" s="52" t="n">
        <x:v>0.45980452479998934</x:v>
      </x:c>
      <x:c r="O310" s="46" t="n">
        <x:v>110.4126</x:v>
      </x:c>
      <x:c r="P310" s="52" t="n">
        <x:v>7.15595345879107</x:v>
      </x:c>
      <x:c r="Q310" s="46" t="n">
        <x:v>588.91872588</x:v>
      </x:c>
      <x:c r="R310" s="52" t="n">
        <x:v>5.434753368194773</x:v>
      </x:c>
      <x:c r="S310" s="58" t="n">
        <x:v>5.3338</x:v>
      </x:c>
      <x:c r="T310" s="52" t="n">
        <x:v>-1.721200090596287</x:v>
      </x:c>
      <x:c r="U310" s="52" t="n">
        <x:v>13.75</x:v>
      </x:c>
      <x:c r="V310" s="52" t="n">
        <x:v>-0.6400000000000006</x:v>
      </x:c>
      <x:c r="W310" s="46" t="n">
        <x:v>64.07</x:v>
      </x:c>
      <x:c r="X310" s="52" t="n">
        <x:v>-5.702833930705801</x:v>
      </x:c>
    </x:row>
    <x:row r="311">
      <x:c r="C311" s="19" t="n">
        <x:v>45992</x:v>
      </x:c>
      <x:c r="D311" s="46" t="n">
        <x:v>17633.9668</x:v>
      </x:c>
      <x:c r="E311" s="52" t="n">
        <x:v>5.209288244402695</x:v>
      </x:c>
      <x:c r="F311" s="46" t="n">
        <x:v>255.42096757657367</x:v>
      </x:c>
      <x:c r="G311" s="46" t="n">
        <x:v>0.24128630303807425</x:v>
      </x:c>
      <x:c r="H311" s="52" t="n">
        <x:v>1.7997</x:v>
      </x:c>
      <x:c r="I311" s="52" t="n">
        <x:v>-0.09065000000000012</x:v>
      </x:c>
      <x:c r="J311" s="52" t="n">
        <x:v>4.0426</x:v>
      </x:c>
      <x:c r="K311" s="52" t="n">
        <x:v>-0.37642500000000023</x:v>
      </x:c>
      <x:c r="L311" s="52" t="n">
        <x:v>4.46</x:v>
      </x:c>
      <x:c r="M311" s="52" t="n">
        <x:v>-0.6699999999999999</x:v>
      </x:c>
      <x:c r="N311" s="52" t="n">
        <x:v>0.7514587775999892</x:v>
      </x:c>
      <x:c r="O311" s="46" t="n">
        <x:v>109.69</x:v>
      </x:c>
      <x:c r="P311" s="52" t="n">
        <x:v>4.723935708200672</x:v>
      </x:c>
      <x:c r="Q311" s="46" t="n">
        <x:v>603.5582559999999</x:v>
      </x:c>
      <x:c r="R311" s="52" t="n">
        <x:v>8.121360695116977</x:v>
      </x:c>
      <x:c r="S311" s="58" t="n">
        <x:v>5.5024</x:v>
      </x:c>
      <x:c r="T311" s="52" t="n">
        <x:v>3.3974249869163113</x:v>
      </x:c>
      <x:c r="U311" s="52" t="n">
        <x:v>13.83</x:v>
      </x:c>
      <x:c r="V311" s="52" t="n">
        <x:v>-0.5099999999999998</x:v>
      </x:c>
      <x:c r="W311" s="46" t="n">
        <x:v>61.35</x:v>
      </x:c>
      <x:c r="X311" s="52" t="n">
        <x:v>-11.053050229899867</x:v>
      </x:c>
    </x:row>
    <x:row r="312">
      <x:c r="C312" s="19" t="n">
        <x:v>46023</x:v>
      </x:c>
      <x:c r="D312" s="46" t="n">
        <x:v>17616.6367</x:v>
      </x:c>
      <x:c r="E312" s="52" t="n">
        <x:v>2.585012039928534</x:v>
      </x:c>
      <x:c r="F312" s="46" t="n">
        <x:v>255.87538546074384</x:v>
      </x:c>
      <x:c r="G312" s="46" t="n">
        <x:v>-1.8390910341946565</x:v>
      </x:c>
      <x:c r="H312" s="52" t="n">
        <x:v>1.8009166666666667</x:v>
      </x:c>
      <x:c r="I312" s="52" t="n">
        <x:v>-0.04194999999999993</x:v>
      </x:c>
      <x:c r="J312" s="52" t="n">
        <x:v>3.974441666666667</x:v>
      </x:c>
      <x:c r="K312" s="52" t="n">
        <x:v>-0.2831083333333333</x:v>
      </x:c>
      <x:c r="L312" s="52" t="n">
        <x:v>4.26</x:v>
      </x:c>
      <x:c r="M312" s="52" t="n">
        <x:v>-0.9100000000000001</x:v>
      </x:c>
      <x:c r="N312" s="52" t="n">
        <x:v>0.6010535345999823</x:v>
      </x:c>
      <x:c r="O312" s="46" t="n">
        <x:v>120.7009</x:v>
      </x:c>
      <x:c r="P312" s="52" t="n">
        <x:v>11.766643189106812</x:v>
      </x:c>
      <x:c r="Q312" s="46" t="n">
        <x:v>631.2777770900001</x:v>
      </x:c>
      <x:c r="R312" s="52" t="n">
        <x:v>8.86095188001196</x:v>
      </x:c>
      <x:c r="S312" s="58" t="n">
        <x:v>5.2301</x:v>
      </x:c>
      <x:c r="T312" s="52" t="n">
        <x:v>-2.905691309094867</x:v>
      </x:c>
      <x:c r="U312" s="52" t="n">
        <x:v>13.39</x:v>
      </x:c>
      <x:c r="V312" s="52" t="n">
        <x:v>-0.6999999999999993</x:v>
      </x:c>
      <x:c r="W312" s="46" t="n">
        <x:v>72.25</x:v>
      </x:c>
      <x:c r="X312" s="52" t="n">
        <x:v>9.899863469804995</x:v>
      </x:c>
    </x:row>
    <x:row r="313">
      <x:c r="C313" s="19" t="n">
        <x:v>46054</x:v>
      </x:c>
      <x:c r="D313" s="46" t="n">
        <x:v>18054.3184</x:v>
      </x:c>
      <x:c r="E313" s="52" t="n">
        <x:v>5.713424067486668</x:v>
      </x:c>
      <x:c r="F313" s="46" t="n">
        <x:v>264.82943054641515</x:v>
      </x:c>
      <x:c r="G313" s="46" t="n">
        <x:v>3.393116858675437</x:v>
      </x:c>
      <x:c r="H313" s="52" t="n">
        <x:v>1.8154166666666667</x:v>
      </x:c>
      <x:c r="I313" s="52" t="n">
        <x:v>0.004641666666666877</x:v>
      </x:c>
      <x:c r="J313" s="52" t="n">
        <x:v>3.88755</x:v>
      </x:c>
      <x:c r="K313" s="52" t="n">
        <x:v>-0.3067416666666656</x:v>
      </x:c>
      <x:c r="L313" s="52" t="n">
        <x:v>4.44</x:v>
      </x:c>
      <x:c r="M313" s="52" t="n">
        <x:v>-0.23999999999999932</x:v>
      </x:c>
      <x:c r="N313" s="52" t="n">
        <x:v>0.842278960200038</x:v>
      </x:c>
      <x:c r="O313" s="46" t="n">
        <x:v>121.6831</x:v>
      </x:c>
      <x:c r="P313" s="52" t="n">
        <x:v>9.719586652120983</x:v>
      </x:c>
      <x:c r="Q313" s="46" t="n">
        <x:v>626.6071234499999</x:v>
      </x:c>
      <x:c r="R313" s="52" t="n">
        <x:v>6.20315593611592</x:v>
      </x:c>
      <x:c r="S313" s="58" t="n">
        <x:v>5.1495</x:v>
      </x:c>
      <x:c r="T313" s="52" t="n">
        <x:v>-3.5164307160050554</x:v>
      </x:c>
      <x:c r="U313" s="52" t="n">
        <x:v>13.13</x:v>
      </x:c>
      <x:c r="V313" s="52" t="n">
        <x:v>-0.6199999999999992</x:v>
      </x:c>
      <x:c r="W313" s="46" t="n">
        <x:v>71.32</x:v>
      </x:c>
      <x:c r="X313" s="52" t="n">
        <x:v>10.72005573440095</x:v>
      </x:c>
    </x:row>
    <x:row r="314">
      <x:c r="C314" s="19" t="n">
        <x:v>46082</x:v>
      </x:c>
      <x:c r="D314" s="46" t="n">
        <x:v>20043</x:v>
      </x:c>
      <x:c r="E314" s="52" t="n">
        <x:v>12.805299167493805</x:v>
      </x:c>
      <x:c r="F314" s="46" t="n">
        <x:v>300.38663882528573</x:v>
      </x:c>
      <x:c r="G314" s="46" t="n">
        <x:v>16.215740371616203</x:v>
      </x:c>
      <x:c r="H314" s="52" t="n">
        <x:v>1.8384749999999999</x:v>
      </x:c>
      <x:c r="I314" s="52" t="n">
        <x:v>0.03877499999999978</x:v>
      </x:c>
      <x:c r="J314" s="52" t="n">
        <x:v>4.2031</x:v>
      </x:c>
      <x:c r="K314" s="52" t="n">
        <x:v>0.16049999999999986</x:v>
      </x:c>
      <x:c r="L314" s="52" t="n">
        <x:v>3.81</x:v>
      </x:c>
      <x:c r="M314" s="52" t="n">
        <x:v>-0.6499999999999999</x:v>
      </x:c>
      <x:c r="N314" s="52" t="n">
        <x:v>1.3657166230000017</x:v>
      </x:c>
      <x:c r="O314" s="46" t="n">
        <x:v>135.246</x:v>
      </x:c>
      <x:c r="P314" s="52" t="n">
        <x:v>20.94371370046356</x:v>
      </x:c>
      <x:c r="Q314" s="46" t="n">
        <x:v>705.9029724000001</x:v>
      </x:c>
      <x:c r="R314" s="52" t="n">
        <x:v>15.663522906818391</x:v>
      </x:c>
      <x:c r="S314" s="58" t="n">
        <x:v>5.2194</x:v>
      </x:c>
      <x:c r="T314" s="52" t="n">
        <x:v>-5.280190793645163</x:v>
      </x:c>
      <x:c r="U314" s="52" t="n">
        <x:v>13.99</x:v>
      </x:c>
      <x:c r="V314" s="52" t="n">
        <x:v>0.16000000000000014</x:v>
      </x:c>
      <x:c r="W314" s="46" t="n">
        <x:v>126.69</x:v>
      </x:c>
      <x:c r="X314" s="52" t="n">
        <x:v>72.51479864570413</x:v>
      </x:c>
    </x:row>
    <x:row r="315">
      <x:c r="C315" s="19" t="n">
        <x:v>46113</x:v>
      </x:c>
      <x:c r="D315" s="46" t="n">
        <x:v>20708.8867</x:v>
      </x:c>
      <x:c r="E315" s="52" t="n">
        <x:v>16.171919471723918</x:v>
      </x:c>
      <x:c r="F315" s="46" t="n">
        <x:v>313.06883543489903</x:v>
      </x:c>
      <x:c r="G315" s="46" t="n">
        <x:v>20.17325374562938</x:v>
      </x:c>
      <x:c r="H315" s="52" t="n">
        <x:v>1.8164333333333333</x:v>
      </x:c>
      <x:c r="I315" s="52" t="n">
        <x:v>0.015516666666666623</x:v>
      </x:c>
      <x:c r="J315" s="52" t="n">
        <x:v>4.595133333333333</x:v>
      </x:c>
      <x:c r="K315" s="52" t="n">
        <x:v>0.6206916666666662</x:v>
      </x:c>
      <x:c r="L315" s="52" t="n">
        <x:v>4.14</x:v>
      </x:c>
      <x:c r="M315" s="52" t="n">
        <x:v>-0.1200000000000001</x:v>
      </x:c>
      <x:c r="N315" s="52" t="n">
        <x:v>1.9213943279999812</x:v>
      </x:c>
      <x:c r="O315" s="46" t="n">
        <x:v>140.5091</x:v>
      </x:c>
      <x:c r="P315" s="52" t="n">
        <x:v>15.19566707802593</x:v>
      </x:c>
      <x:c r="Q315" s="46" t="n">
        <x:v>700.9436962599999</x:v>
      </x:c>
      <x:c r="R315" s="52" t="n">
        <x:v>10.468158170387849</x:v>
      </x:c>
      <x:c r="S315" s="58" t="n">
        <x:v>4.9886</x:v>
      </x:c>
      <x:c r="T315" s="52" t="n">
        <x:v>-4.727508907638074</x:v>
      </x:c>
      <x:c r="U315" s="52" t="n">
        <x:v>14.04</x:v>
      </x:c>
      <x:c r="V315" s="52" t="n">
        <x:v>0.6499999999999986</x:v>
      </x:c>
      <x:c r="W315" s="46" t="n">
        <x:v>124.24</x:v>
      </x:c>
      <x:c r="X315" s="52" t="n">
        <x:v>54.208285184789005</x:v>
      </x:c>
    </x:row>
    <x:row r="316">
      <x:c r="C316" s="19" t="n">
        <x:v>46143</x:v>
      </x:c>
      <x:c r="D316" s="46" t="n">
        <x:v>20770.1445</x:v>
      </x:c>
      <x:c r="E316" s="52" t="n">
        <x:v>14.013169231215814</x:v>
      </x:c>
      <x:c r="F316" s="46" t="n">
        <x:v>315.52032231069825</x:v>
      </x:c>
      <x:c r="G316" s="46" t="n">
        <x:v>17.513713250212938</x:v>
      </x:c>
      <x:c r="H316" s="52" t="n">
        <x:v>1.8173083333333333</x:v>
      </x:c>
      <x:c r="I316" s="52" t="n">
        <x:v>0.0018916666666666249</x:v>
      </x:c>
      <x:c r="J316" s="52" t="n">
        <x:v>4.645208333333334</x:v>
      </x:c>
      <x:c r="K316" s="52" t="n">
        <x:v>0.7576583333333335</x:v>
      </x:c>
      <x:c r="L316" s="52" t="n">
        <x:v>4.39</x:v>
      </x:c>
      <x:c r="M316" s="52" t="n">
        <x:v>-0.05000000000000071</x:v>
      </x:c>
      <x:c r="N316" s="52" t="n">
        <x:v>2.2667872719999815</x:v>
      </x:c>
      <x:c r="O316" s="46" t="n">
        <x:v>135.1092</x:v>
      </x:c>
      <x:c r="P316" s="52" t="n">
        <x:v>10.466321606640822</x:v>
      </x:c>
      <x:c r="Q316" s="46" t="n">
        <x:v>683.2337134799999</x:v>
      </x:c>
      <x:c r="R316" s="52" t="n">
        <x:v>8.651724081511237</x:v>
      </x:c>
      <x:c r="S316" s="58" t="n">
        <x:v>5.0569</x:v>
      </x:c>
      <x:c r="T316" s="52" t="n">
        <x:v>-1.8145975251295885</x:v>
      </x:c>
      <x:c r="U316" s="52" t="n">
        <x:v>14.03</x:v>
      </x:c>
      <x:c r="V316" s="52" t="n">
        <x:v>0.8999999999999986</x:v>
      </x:c>
      <x:c r="W316" s="46" t="n">
        <x:v>92.88</x:v>
      </x:c>
      <x:c r="X316" s="52" t="n">
        <x:v>26.41315443946964</x:v>
      </x:c>
    </x:row>
    <x:row r="317">
      <x:c r="C317" s="19" t="n">
        <x:v>46174</x:v>
      </x:c>
      <x:c r="D317" s="46" t="n">
        <x:v>20981.9043</x:v>
      </x:c>
      <x:c r="E317" s="52" t="n">
        <x:v>4.578040063511158</x:v>
      </x:c>
      <x:c r="F317" s="46" t="n">
        <x:v>314.36930843068996</x:v>
      </x:c>
      <x:c r="G317" s="46" t="n">
        <x:v>4.549799533901175</x:v>
      </x:c>
      <x:c r="H317" s="52" t="n">
        <x:v>1.8378999999999999</x:v>
      </x:c>
      <x:c r="I317" s="52" t="n">
        <x:v>-0.0005749999999999922</x:v>
      </x:c>
      <x:c r="J317" s="52" t="n">
        <x:v>4.751250000000001</x:v>
      </x:c>
      <x:c r="K317" s="52" t="n">
        <x:v>0.5481500000000006</x:v>
      </x:c>
      <x:c r="L317" s="52" t="n">
        <x:v>4.72</x:v>
      </x:c>
      <x:c r="M317" s="52" t="n">
        <x:v>0.9099999999999997</x:v>
      </x:c>
      <x:c r="N317" s="52" t="n">
        <x:v>2.144920196799993</x:v>
      </x:c>
      <x:c r="O317" s="46" t="n">
        <x:v>123.1774</x:v>
      </x:c>
      <x:c r="P317" s="52" t="n">
        <x:v>-9.346974971436097</x:v>
      </x:c>
      <x:c r="Q317" s="46" t="n">
        <x:v>637.64012884</x:v>
      </x:c>
      <x:c r="R317" s="52" t="n">
        <x:v>-10.170373236427857</x:v>
      </x:c>
      <x:c r="S317" s="58" t="n">
        <x:v>5.1766</x:v>
      </x:c>
      <x:c r="T317" s="52" t="n">
        <x:v>-0.82339826499175</x:v>
      </x:c>
      <x:c r="U317" s="52" t="n">
        <x:v>14.02436877582083</x:v>
      </x:c>
      <x:c r="V317" s="52" t="n">
        <x:v>0.03436877582083042</x:v>
      </x:c>
      <x:c r="W317" s="46" t="n">
        <x:v>70.46</x:v>
      </x:c>
      <x:c r="X317" s="52" t="n">
        <x:v>-58.669798470087045</x:v>
      </x:c>
    </x:row>
    <x:row r="318">
      <x:c r="C318" s="19" t="n">
        <x:v>46204</x:v>
      </x:c>
      <x:c r="D318" s="46" t="n">
        <x:v>20993.6973</x:v>
      </x:c>
      <x:c r="E318" s="52" t="n">
        <x:v>1.365934678115294</x:v>
      </x:c>
      <x:c r="F318" s="46" t="n">
        <x:v>315.17570621130795</x:v>
      </x:c>
      <x:c r="G318" s="46" t="n">
        <x:v>0.6707192932441214</x:v>
      </x:c>
      <x:c r="H318" s="52" t="n">
        <x:v>1.7453083333333335</x:v>
      </x:c>
      <x:c r="I318" s="52" t="n">
        <x:v>-0.07112499999999988</x:v>
      </x:c>
      <x:c r="J318" s="52" t="n">
        <x:v>4.556025</x:v>
      </x:c>
      <x:c r="K318" s="52" t="n">
        <x:v>-0.03910833333333308</x:v>
      </x:c>
      <x:c r="L318" s="52" t="n">
        <x:v>4.64</x:v>
      </x:c>
      <x:c r="M318" s="52" t="n">
        <x:v>0.5</x:v>
      </x:c>
      <x:c r="N318" s="52" t="n">
        <x:v>1.4158922176000122</x:v>
      </x:c>
      <x:c r="O318" s="46" t="n">
        <x:v>132.0536</x:v>
      </x:c>
      <x:c r="P318" s="52" t="n">
        <x:v>-6.206435458753927</x:v>
      </x:c>
      <x:c r="Q318" s="46" t="n">
        <x:v>670.47574328</x:v>
      </x:c>
      <x:c r="R318" s="52" t="n">
        <x:v>-4.44400396307886</x:v>
      </x:c>
      <x:c r="S318" s="58" t="n">
        <x:v>5.0773</x:v>
      </x:c>
      <x:c r="T318" s="52" t="n">
        <x:v>1.7624314956750646</x:v>
      </x:c>
      <x:c r="U318" s="52" t="n">
        <x:v>13.841040226136116</x:v>
      </x:c>
      <x:c r="V318" s="52" t="n">
        <x:v>-0.19895977386388353</x:v>
      </x:c>
      <x:c r="W318" s="46" t="n">
        <x:v>96.95</x:v>
      </x:c>
      <x:c r="X318" s="52" t="n">
        <x:v>-24.801979715177076</x:v>
      </x:c>
    </x:row>
    <x:row r="319">
      <x:c r="C319" s="20" t="n">
        <x:v>46235</x:v>
      </x:c>
      <x:c r="D319" s="47" t="n">
        <x:v>21062.002</x:v>
      </x:c>
      <x:c r="E319" s="53" t="n">
        <x:v>1.3953968902589646</x:v>
      </x:c>
      <x:c r="F319" s="47"/>
      <x:c r="G319" s="47"/>
      <x:c r="H319" s="53" t="n">
        <x:v>1.65</x:v>
      </x:c>
      <x:c r="I319" s="53" t="n">
        <x:v>-0.1673083333333334</x:v>
      </x:c>
      <x:c r="J319" s="53" t="n">
        <x:v>4.508733333333334</x:v>
      </x:c>
      <x:c r="K319" s="53" t="n">
        <x:v>-0.1364749999999999</x:v>
      </x:c>
      <x:c r="L319" s="53"/>
      <x:c r="M319" s="53"/>
      <x:c r="N319" s="53"/>
      <x:c r="O319" s="47" t="n">
        <x:v>138.9678</x:v>
      </x:c>
      <x:c r="P319" s="53" t="n">
        <x:v>2.815891126533077</x:v>
      </x:c>
      <x:c r="Q319" s="47" t="n">
        <x:v>715.8509313600001</x:v>
      </x:c>
      <x:c r="R319" s="53" t="n">
        <x:v>4.663496117474421</x:v>
      </x:c>
      <x:c r="S319" s="59" t="n">
        <x:v>5.1512</x:v>
      </x:c>
      <x:c r="T319" s="53" t="n">
        <x:v>1.847604990941325</x:v>
      </x:c>
      <x:c r="U319" s="53" t="n">
        <x:v>13.80444661883018</x:v>
      </x:c>
      <x:c r="V319" s="53" t="n">
        <x:v>-0.22555338116981893</x:v>
      </x:c>
      <x:c r="W319" s="47" t="n">
        <x:v>89.75</x:v>
      </x:c>
      <x:c r="X319" s="53" t="n">
        <x:v>-3.428031002124776</x:v>
      </x:c>
    </x:row>
  </x:sheetData>
  <x:pageMargins left="0.7" right="0.7" top="0.75" bottom="0.75" header="0.3" footer="0.3"/>
  <x:tableParts count="1">
    <x:tablePart xmlns:r="http://schemas.openxmlformats.org/officeDocument/2006/relationships" r:id="Rc6726f691d50497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13" hidden="0" customWidth="1"/>
    <x:col min="5" max="5" width="2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2">
      <x:c r="C2" s="2" t="str">
        <x:v>Regressões contemporâneas do IBOV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3">
      <x:c r="C3" s="4" t="str">
        <x:v>OLS com erros HAC/Newey-West. Target direto: BEst EPS do IBOV.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</x:row>
    <x:row r="6" ht="36" customHeight="1">
      <x:c r="C6" s="11" t="str">
        <x:v>target</x:v>
      </x:c>
      <x:c r="D6" s="11" t="str">
        <x:v>sample</x:v>
      </x:c>
      <x:c r="E6" s="11" t="str">
        <x:v>specification</x:v>
      </x:c>
      <x:c r="F6" s="11" t="str">
        <x:v>n</x:v>
      </x:c>
      <x:c r="G6" s="11" t="str">
        <x:v>r2</x:v>
      </x:c>
      <x:c r="H6" s="11" t="str">
        <x:v>adj_r2</x:v>
      </x:c>
      <x:c r="I6" s="11" t="str">
        <x:v>variable</x:v>
      </x:c>
      <x:c r="J6" s="11" t="str">
        <x:v>beta</x:v>
      </x:c>
      <x:c r="K6" s="11" t="str">
        <x:v>beta_std</x:v>
      </x:c>
      <x:c r="L6" s="11" t="str">
        <x:v>se_hac</x:v>
      </x:c>
      <x:c r="M6" s="11" t="str">
        <x:v>t_hac</x:v>
      </x:c>
      <x:c r="N6" s="11" t="str">
        <x:v>p_hac</x:v>
      </x:c>
    </x:row>
    <x:row r="7">
      <x:c r="C7" s="42" t="str">
        <x:v>IBOV BEst EPS</x:v>
      </x:c>
      <x:c r="D7" s="42" t="str">
        <x:v>full</x:v>
      </x:c>
      <x:c r="E7" s="42" t="str">
        <x:v>full contemporaneous</x:v>
      </x:c>
      <x:c r="F7" s="63" t="n">
        <x:v>208</x:v>
      </x:c>
      <x:c r="G7" s="69" t="n">
        <x:v>0.23437636744501522</x:v>
      </x:c>
      <x:c r="H7" s="69" t="n">
        <x:v>0.21542528743127798</x:v>
      </x:c>
      <x:c r="I7" s="45" t="str">
        <x:v>d_focus_pib3</x:v>
      </x:c>
      <x:c r="J7" s="51" t="n">
        <x:v>6.429138825862399</x:v>
      </x:c>
      <x:c r="K7" s="69" t="n">
        <x:v>0.4221338978668027</x:v>
      </x:c>
      <x:c r="L7" s="45" t="n">
        <x:v>0.8295832697040564</x:v>
      </x:c>
      <x:c r="M7" s="45" t="n">
        <x:v>7.749841469387293</x:v>
      </x:c>
      <x:c r="N7" s="69" t="n">
        <x:v>9.325873406851315e-15</x:v>
      </x:c>
    </x:row>
    <x:row r="8">
      <x:c r="C8" s="43" t="str">
        <x:v>IBOV BEst EPS</x:v>
      </x:c>
      <x:c r="D8" s="43" t="str">
        <x:v>full</x:v>
      </x:c>
      <x:c r="E8" s="43" t="str">
        <x:v>full contemporaneous</x:v>
      </x:c>
      <x:c r="F8" s="64" t="n">
        <x:v>208</x:v>
      </x:c>
      <x:c r="G8" s="70" t="n">
        <x:v>0.23437636744501522</x:v>
      </x:c>
      <x:c r="H8" s="70" t="n">
        <x:v>0.21542528743127798</x:v>
      </x:c>
      <x:c r="I8" s="46" t="str">
        <x:v>d_bcom_usd3</x:v>
      </x:c>
      <x:c r="J8" s="52" t="n">
        <x:v>0.27454118765993685</x:v>
      </x:c>
      <x:c r="K8" s="70" t="n">
        <x:v>0.15998298088843046</x:v>
      </x:c>
      <x:c r="L8" s="46" t="n">
        <x:v>0.1572509770851782</x:v>
      </x:c>
      <x:c r="M8" s="46" t="n">
        <x:v>1.7458790574714584</x:v>
      </x:c>
      <x:c r="N8" s="70" t="n">
        <x:v>0.08083196968147499</x:v>
      </x:c>
    </x:row>
    <x:row r="9">
      <x:c r="C9" s="43" t="str">
        <x:v>IBOV BEst EPS</x:v>
      </x:c>
      <x:c r="D9" s="43" t="str">
        <x:v>full</x:v>
      </x:c>
      <x:c r="E9" s="43" t="str">
        <x:v>full contemporaneous</x:v>
      </x:c>
      <x:c r="F9" s="64" t="n">
        <x:v>208</x:v>
      </x:c>
      <x:c r="G9" s="70" t="n">
        <x:v>0.23437636744501522</x:v>
      </x:c>
      <x:c r="H9" s="70" t="n">
        <x:v>0.21542528743127798</x:v>
      </x:c>
      <x:c r="I9" s="46" t="str">
        <x:v>d_usdbrl3</x:v>
      </x:c>
      <x:c r="J9" s="52" t="n">
        <x:v>0.22558039232755345</x:v>
      </x:c>
      <x:c r="K9" s="70" t="n">
        <x:v>0.12704611053431875</x:v>
      </x:c>
      <x:c r="L9" s="46" t="n">
        <x:v>0.19706359678635407</x:v>
      </x:c>
      <x:c r="M9" s="46" t="n">
        <x:v>1.1447085915726778</x:v>
      </x:c>
      <x:c r="N9" s="70" t="n">
        <x:v>0.25232989125552363</x:v>
      </x:c>
    </x:row>
    <x:row r="10">
      <x:c r="C10" s="43" t="str">
        <x:v>IBOV BEst EPS</x:v>
      </x:c>
      <x:c r="D10" s="43" t="str">
        <x:v>full</x:v>
      </x:c>
      <x:c r="E10" s="43" t="str">
        <x:v>full contemporaneous</x:v>
      </x:c>
      <x:c r="F10" s="64" t="n">
        <x:v>208</x:v>
      </x:c>
      <x:c r="G10" s="70" t="n">
        <x:v>0.23437636744501522</x:v>
      </x:c>
      <x:c r="H10" s="70" t="n">
        <x:v>0.21542528743127798</x:v>
      </x:c>
      <x:c r="I10" s="46" t="str">
        <x:v>d_ipca12_3_available</x:v>
      </x:c>
      <x:c r="J10" s="52" t="n">
        <x:v>2.010294688469262</x:v>
      </x:c>
      <x:c r="K10" s="70" t="n">
        <x:v>0.16359353298188156</x:v>
      </x:c>
      <x:c r="L10" s="46" t="n">
        <x:v>1.0684880471082976</x:v>
      </x:c>
      <x:c r="M10" s="46" t="n">
        <x:v>1.8814386308857856</x:v>
      </x:c>
      <x:c r="N10" s="70" t="n">
        <x:v>0.059912276017090704</x:v>
      </x:c>
    </x:row>
    <x:row r="11">
      <x:c r="C11" s="43" t="str">
        <x:v>IBOV BEst EPS</x:v>
      </x:c>
      <x:c r="D11" s="43" t="str">
        <x:v>full</x:v>
      </x:c>
      <x:c r="E11" s="43" t="str">
        <x:v>full contemporaneous</x:v>
      </x:c>
      <x:c r="F11" s="64" t="n">
        <x:v>208</x:v>
      </x:c>
      <x:c r="G11" s="70" t="n">
        <x:v>0.23437636744501522</x:v>
      </x:c>
      <x:c r="H11" s="70" t="n">
        <x:v>0.21542528743127798</x:v>
      </x:c>
      <x:c r="I11" s="46" t="str">
        <x:v>d_swap360_3</x:v>
      </x:c>
      <x:c r="J11" s="52" t="n">
        <x:v>0.8410336956670192</x:v>
      </x:c>
      <x:c r="K11" s="70" t="n">
        <x:v>0.0688986850015037</x:v>
      </x:c>
      <x:c r="L11" s="46" t="n">
        <x:v>1.129951104592017</x:v>
      </x:c>
      <x:c r="M11" s="46" t="n">
        <x:v>0.7443098132734558</x:v>
      </x:c>
      <x:c r="N11" s="70" t="n">
        <x:v>0.4566890657749334</x:v>
      </x:c>
    </x:row>
    <x:row r="12">
      <x:c r="C12" s="43" t="str">
        <x:v>IBOV BEst EPS</x:v>
      </x:c>
      <x:c r="D12" s="43" t="str">
        <x:v>ex_2013_14</x:v>
      </x:c>
      <x:c r="E12" s="43" t="str">
        <x:v>full contemporaneous</x:v>
      </x:c>
      <x:c r="F12" s="64" t="n">
        <x:v>184</x:v>
      </x:c>
      <x:c r="G12" s="70" t="n">
        <x:v>0.49329249230764305</x:v>
      </x:c>
      <x:c r="H12" s="70" t="n">
        <x:v>0.47905913534999256</x:v>
      </x:c>
      <x:c r="I12" s="46" t="str">
        <x:v>d_focus_pib3</x:v>
      </x:c>
      <x:c r="J12" s="52" t="n">
        <x:v>6.003022470385266</x:v>
      </x:c>
      <x:c r="K12" s="70" t="n">
        <x:v>0.594136881041381</x:v>
      </x:c>
      <x:c r="L12" s="46" t="n">
        <x:v>0.837853263692236</x:v>
      </x:c>
      <x:c r="M12" s="46" t="n">
        <x:v>7.1647658731211</x:v>
      </x:c>
      <x:c r="N12" s="70" t="n">
        <x:v>7.791545186819349e-13</x:v>
      </x:c>
    </x:row>
    <x:row r="13">
      <x:c r="C13" s="43" t="str">
        <x:v>IBOV BEst EPS</x:v>
      </x:c>
      <x:c r="D13" s="43" t="str">
        <x:v>ex_2013_14</x:v>
      </x:c>
      <x:c r="E13" s="43" t="str">
        <x:v>full contemporaneous</x:v>
      </x:c>
      <x:c r="F13" s="64" t="n">
        <x:v>184</x:v>
      </x:c>
      <x:c r="G13" s="70" t="n">
        <x:v>0.49329249230764305</x:v>
      </x:c>
      <x:c r="H13" s="70" t="n">
        <x:v>0.47905913534999256</x:v>
      </x:c>
      <x:c r="I13" s="46" t="str">
        <x:v>d_bcom_usd3</x:v>
      </x:c>
      <x:c r="J13" s="52" t="n">
        <x:v>0.13682962510050256</x:v>
      </x:c>
      <x:c r="K13" s="70" t="n">
        <x:v>0.1162925306083771</x:v>
      </x:c>
      <x:c r="L13" s="46" t="n">
        <x:v>0.13943863198781706</x:v>
      </x:c>
      <x:c r="M13" s="46" t="n">
        <x:v>0.9812892105285252</x:v>
      </x:c>
      <x:c r="N13" s="70" t="n">
        <x:v>0.3264501418835484</x:v>
      </x:c>
    </x:row>
    <x:row r="14">
      <x:c r="C14" s="43" t="str">
        <x:v>IBOV BEst EPS</x:v>
      </x:c>
      <x:c r="D14" s="43" t="str">
        <x:v>ex_2013_14</x:v>
      </x:c>
      <x:c r="E14" s="43" t="str">
        <x:v>full contemporaneous</x:v>
      </x:c>
      <x:c r="F14" s="64" t="n">
        <x:v>184</x:v>
      </x:c>
      <x:c r="G14" s="70" t="n">
        <x:v>0.49329249230764305</x:v>
      </x:c>
      <x:c r="H14" s="70" t="n">
        <x:v>0.47905913534999256</x:v>
      </x:c>
      <x:c r="I14" s="46" t="str">
        <x:v>d_usdbrl3</x:v>
      </x:c>
      <x:c r="J14" s="52" t="n">
        <x:v>0.04276301496385937</x:v>
      </x:c>
      <x:c r="K14" s="70" t="n">
        <x:v>0.03510773947912599</x:v>
      </x:c>
      <x:c r="L14" s="46" t="n">
        <x:v>0.12443172596597701</x:v>
      </x:c>
      <x:c r="M14" s="46" t="n">
        <x:v>0.3436664936685997</x:v>
      </x:c>
      <x:c r="N14" s="70" t="n">
        <x:v>0.7310971121847265</x:v>
      </x:c>
    </x:row>
    <x:row r="15">
      <x:c r="C15" s="43" t="str">
        <x:v>IBOV BEst EPS</x:v>
      </x:c>
      <x:c r="D15" s="43" t="str">
        <x:v>ex_2013_14</x:v>
      </x:c>
      <x:c r="E15" s="43" t="str">
        <x:v>full contemporaneous</x:v>
      </x:c>
      <x:c r="F15" s="64" t="n">
        <x:v>184</x:v>
      </x:c>
      <x:c r="G15" s="70" t="n">
        <x:v>0.49329249230764305</x:v>
      </x:c>
      <x:c r="H15" s="70" t="n">
        <x:v>0.47905913534999256</x:v>
      </x:c>
      <x:c r="I15" s="46" t="str">
        <x:v>d_ipca12_3_available</x:v>
      </x:c>
      <x:c r="J15" s="52" t="n">
        <x:v>1.5469924567664708</x:v>
      </x:c>
      <x:c r="K15" s="70" t="n">
        <x:v>0.19039122448228643</x:v>
      </x:c>
      <x:c r="L15" s="46" t="n">
        <x:v>0.8150885309438257</x:v>
      </x:c>
      <x:c r="M15" s="46" t="n">
        <x:v>1.8979440858714358</x:v>
      </x:c>
      <x:c r="N15" s="70" t="n">
        <x:v>0.05770344804271921</x:v>
      </x:c>
    </x:row>
    <x:row r="16">
      <x:c r="C16" s="43" t="str">
        <x:v>IBOV BEst EPS</x:v>
      </x:c>
      <x:c r="D16" s="43" t="str">
        <x:v>ex_2013_14</x:v>
      </x:c>
      <x:c r="E16" s="43" t="str">
        <x:v>full contemporaneous</x:v>
      </x:c>
      <x:c r="F16" s="64" t="n">
        <x:v>184</x:v>
      </x:c>
      <x:c r="G16" s="70" t="n">
        <x:v>0.49329249230764305</x:v>
      </x:c>
      <x:c r="H16" s="70" t="n">
        <x:v>0.47905913534999256</x:v>
      </x:c>
      <x:c r="I16" s="46" t="str">
        <x:v>d_swap360_3</x:v>
      </x:c>
      <x:c r="J16" s="52" t="n">
        <x:v>1.7314797734629659</x:v>
      </x:c>
      <x:c r="K16" s="70" t="n">
        <x:v>0.208152502938589</x:v>
      </x:c>
      <x:c r="L16" s="46" t="n">
        <x:v>0.6488064779402077</x:v>
      </x:c>
      <x:c r="M16" s="46" t="n">
        <x:v>2.6687152985277907</x:v>
      </x:c>
      <x:c r="N16" s="70" t="n">
        <x:v>0.007614196116265237</x:v>
      </x:c>
    </x:row>
    <x:row r="17">
      <x:c r="C17" s="43" t="str">
        <x:v>IBOV BEst EPS</x:v>
      </x:c>
      <x:c r="D17" s="43" t="str">
        <x:v>clean</x:v>
      </x:c>
      <x:c r="E17" s="43" t="str">
        <x:v>full contemporaneous</x:v>
      </x:c>
      <x:c r="F17" s="64" t="n">
        <x:v>160</x:v>
      </x:c>
      <x:c r="G17" s="70" t="n">
        <x:v>0.18470927127595094</x:v>
      </x:c>
      <x:c r="H17" s="70" t="n">
        <x:v>0.15823879307062472</x:v>
      </x:c>
      <x:c r="I17" s="46" t="str">
        <x:v>d_focus_pib3</x:v>
      </x:c>
      <x:c r="J17" s="52" t="n">
        <x:v>3.714619037605127</x:v>
      </x:c>
      <x:c r="K17" s="70" t="n">
        <x:v>0.36941627711514824</x:v>
      </x:c>
      <x:c r="L17" s="46" t="n">
        <x:v>0.677485187394981</x:v>
      </x:c>
      <x:c r="M17" s="46" t="n">
        <x:v>5.482952405038289</x:v>
      </x:c>
      <x:c r="N17" s="70" t="n">
        <x:v>4.182855817269626e-8</x:v>
      </x:c>
    </x:row>
    <x:row r="18">
      <x:c r="C18" s="43" t="str">
        <x:v>IBOV BEst EPS</x:v>
      </x:c>
      <x:c r="D18" s="43" t="str">
        <x:v>clean</x:v>
      </x:c>
      <x:c r="E18" s="43" t="str">
        <x:v>full contemporaneous</x:v>
      </x:c>
      <x:c r="F18" s="64" t="n">
        <x:v>160</x:v>
      </x:c>
      <x:c r="G18" s="70" t="n">
        <x:v>0.18470927127595094</x:v>
      </x:c>
      <x:c r="H18" s="70" t="n">
        <x:v>0.15823879307062472</x:v>
      </x:c>
      <x:c r="I18" s="46" t="str">
        <x:v>d_bcom_usd3</x:v>
      </x:c>
      <x:c r="J18" s="52" t="n">
        <x:v>0.09042952930628423</x:v>
      </x:c>
      <x:c r="K18" s="70" t="n">
        <x:v>0.10467002997421958</x:v>
      </x:c>
      <x:c r="L18" s="46" t="n">
        <x:v>0.12756262116510023</x:v>
      </x:c>
      <x:c r="M18" s="46" t="n">
        <x:v>0.7089030350767422</x:v>
      </x:c>
      <x:c r="N18" s="70" t="n">
        <x:v>0.47838465153025567</x:v>
      </x:c>
    </x:row>
    <x:row r="19">
      <x:c r="C19" s="43" t="str">
        <x:v>IBOV BEst EPS</x:v>
      </x:c>
      <x:c r="D19" s="43" t="str">
        <x:v>clean</x:v>
      </x:c>
      <x:c r="E19" s="43" t="str">
        <x:v>full contemporaneous</x:v>
      </x:c>
      <x:c r="F19" s="64" t="n">
        <x:v>160</x:v>
      </x:c>
      <x:c r="G19" s="70" t="n">
        <x:v>0.18470927127595094</x:v>
      </x:c>
      <x:c r="H19" s="70" t="n">
        <x:v>0.15823879307062472</x:v>
      </x:c>
      <x:c r="I19" s="46" t="str">
        <x:v>d_usdbrl3</x:v>
      </x:c>
      <x:c r="J19" s="52" t="n">
        <x:v>0.017385579644193072</x:v>
      </x:c>
      <x:c r="K19" s="70" t="n">
        <x:v>0.019651336224965385</x:v>
      </x:c>
      <x:c r="L19" s="46" t="n">
        <x:v>0.12716024201270112</x:v>
      </x:c>
      <x:c r="M19" s="46" t="n">
        <x:v>0.1367218194068595</x:v>
      </x:c>
      <x:c r="N19" s="70" t="n">
        <x:v>0.891250682096165</x:v>
      </x:c>
    </x:row>
    <x:row r="20">
      <x:c r="C20" s="43" t="str">
        <x:v>IBOV BEst EPS</x:v>
      </x:c>
      <x:c r="D20" s="43" t="str">
        <x:v>clean</x:v>
      </x:c>
      <x:c r="E20" s="43" t="str">
        <x:v>full contemporaneous</x:v>
      </x:c>
      <x:c r="F20" s="64" t="n">
        <x:v>160</x:v>
      </x:c>
      <x:c r="G20" s="70" t="n">
        <x:v>0.18470927127595094</x:v>
      </x:c>
      <x:c r="H20" s="70" t="n">
        <x:v>0.15823879307062472</x:v>
      </x:c>
      <x:c r="I20" s="46" t="str">
        <x:v>d_ipca12_3_available</x:v>
      </x:c>
      <x:c r="J20" s="52" t="n">
        <x:v>0.35477584334702583</x:v>
      </x:c>
      <x:c r="K20" s="70" t="n">
        <x:v>0.05782584022823409</x:v>
      </x:c>
      <x:c r="L20" s="46" t="n">
        <x:v>0.8281472894592093</x:v>
      </x:c>
      <x:c r="M20" s="46" t="n">
        <x:v>0.42839703499929216</x:v>
      </x:c>
      <x:c r="N20" s="70" t="n">
        <x:v>0.6683620829882089</x:v>
      </x:c>
    </x:row>
    <x:row r="21">
      <x:c r="C21" s="43" t="str">
        <x:v>IBOV BEst EPS</x:v>
      </x:c>
      <x:c r="D21" s="43" t="str">
        <x:v>clean</x:v>
      </x:c>
      <x:c r="E21" s="43" t="str">
        <x:v>full contemporaneous</x:v>
      </x:c>
      <x:c r="F21" s="64" t="n">
        <x:v>160</x:v>
      </x:c>
      <x:c r="G21" s="70" t="n">
        <x:v>0.18470927127595094</x:v>
      </x:c>
      <x:c r="H21" s="70" t="n">
        <x:v>0.15823879307062472</x:v>
      </x:c>
      <x:c r="I21" s="46" t="str">
        <x:v>d_swap360_3</x:v>
      </x:c>
      <x:c r="J21" s="52" t="n">
        <x:v>1.3149257652331197</x:v>
      </x:c>
      <x:c r="K21" s="70" t="n">
        <x:v>0.19538773160746475</x:v>
      </x:c>
      <x:c r="L21" s="46" t="n">
        <x:v>0.7634231237547549</x:v>
      </x:c>
      <x:c r="M21" s="46" t="n">
        <x:v>1.7224075670722436</x:v>
      </x:c>
      <x:c r="N21" s="70" t="n">
        <x:v>0.0849957138811952</x:v>
      </x:c>
    </x:row>
    <x:row r="22">
      <x:c r="C22" s="43" t="str">
        <x:v>IBOV BEst EPS</x:v>
      </x:c>
      <x:c r="D22" s="43" t="str">
        <x:v>post2022</x:v>
      </x:c>
      <x:c r="E22" s="43" t="str">
        <x:v>full contemporaneous</x:v>
      </x:c>
      <x:c r="F22" s="64" t="n">
        <x:v>55</x:v>
      </x:c>
      <x:c r="G22" s="70" t="n">
        <x:v>0.41032052649737616</x:v>
      </x:c>
      <x:c r="H22" s="70" t="n">
        <x:v>0.3501491516501696</x:v>
      </x:c>
      <x:c r="I22" s="46" t="str">
        <x:v>d_focus_pib3</x:v>
      </x:c>
      <x:c r="J22" s="52" t="n">
        <x:v>2.03048227772354</x:v>
      </x:c>
      <x:c r="K22" s="70" t="n">
        <x:v>0.1137868246277135</x:v>
      </x:c>
      <x:c r="L22" s="46" t="n">
        <x:v>2.592951108243614</x:v>
      </x:c>
      <x:c r="M22" s="46" t="n">
        <x:v>0.783077733810001</x:v>
      </x:c>
      <x:c r="N22" s="70" t="n">
        <x:v>0.4335814656809762</x:v>
      </x:c>
    </x:row>
    <x:row r="23">
      <x:c r="C23" s="43" t="str">
        <x:v>IBOV BEst EPS</x:v>
      </x:c>
      <x:c r="D23" s="43" t="str">
        <x:v>post2022</x:v>
      </x:c>
      <x:c r="E23" s="43" t="str">
        <x:v>full contemporaneous</x:v>
      </x:c>
      <x:c r="F23" s="64" t="n">
        <x:v>55</x:v>
      </x:c>
      <x:c r="G23" s="70" t="n">
        <x:v>0.41032052649737616</x:v>
      </x:c>
      <x:c r="H23" s="70" t="n">
        <x:v>0.3501491516501696</x:v>
      </x:c>
      <x:c r="I23" s="46" t="str">
        <x:v>d_bcom_usd3</x:v>
      </x:c>
      <x:c r="J23" s="52" t="n">
        <x:v>0.3701410742579796</x:v>
      </x:c>
      <x:c r="K23" s="70" t="n">
        <x:v>0.5491815601770683</x:v>
      </x:c>
      <x:c r="L23" s="46" t="n">
        <x:v>0.14217468978810263</x:v>
      </x:c>
      <x:c r="M23" s="46" t="n">
        <x:v>2.6034245252065498</x:v>
      </x:c>
      <x:c r="N23" s="70" t="n">
        <x:v>0.009229758721172265</x:v>
      </x:c>
    </x:row>
    <x:row r="24">
      <x:c r="C24" s="43" t="str">
        <x:v>IBOV BEst EPS</x:v>
      </x:c>
      <x:c r="D24" s="43" t="str">
        <x:v>post2022</x:v>
      </x:c>
      <x:c r="E24" s="43" t="str">
        <x:v>full contemporaneous</x:v>
      </x:c>
      <x:c r="F24" s="64" t="n">
        <x:v>55</x:v>
      </x:c>
      <x:c r="G24" s="70" t="n">
        <x:v>0.41032052649737616</x:v>
      </x:c>
      <x:c r="H24" s="70" t="n">
        <x:v>0.3501491516501696</x:v>
      </x:c>
      <x:c r="I24" s="46" t="str">
        <x:v>d_usdbrl3</x:v>
      </x:c>
      <x:c r="J24" s="52" t="n">
        <x:v>0.22910964885138674</x:v>
      </x:c>
      <x:c r="K24" s="70" t="n">
        <x:v>0.23742685549386744</x:v>
      </x:c>
      <x:c r="L24" s="46" t="n">
        <x:v>0.1783385328458324</x:v>
      </x:c>
      <x:c r="M24" s="46" t="n">
        <x:v>1.284689546310467</x:v>
      </x:c>
      <x:c r="N24" s="70" t="n">
        <x:v>0.19890079272940042</x:v>
      </x:c>
    </x:row>
    <x:row r="25">
      <x:c r="C25" s="43" t="str">
        <x:v>IBOV BEst EPS</x:v>
      </x:c>
      <x:c r="D25" s="43" t="str">
        <x:v>post2022</x:v>
      </x:c>
      <x:c r="E25" s="43" t="str">
        <x:v>full contemporaneous</x:v>
      </x:c>
      <x:c r="F25" s="64" t="n">
        <x:v>55</x:v>
      </x:c>
      <x:c r="G25" s="70" t="n">
        <x:v>0.41032052649737616</x:v>
      </x:c>
      <x:c r="H25" s="70" t="n">
        <x:v>0.3501491516501696</x:v>
      </x:c>
      <x:c r="I25" s="46" t="str">
        <x:v>d_ipca12_3_available</x:v>
      </x:c>
      <x:c r="J25" s="52" t="n">
        <x:v>1.3929888951772351</x:v>
      </x:c>
      <x:c r="K25" s="70" t="n">
        <x:v>0.31806255563307295</x:v>
      </x:c>
      <x:c r="L25" s="46" t="n">
        <x:v>0.46736977636048277</x:v>
      </x:c>
      <x:c r="M25" s="46" t="n">
        <x:v>2.9804856146770207</x:v>
      </x:c>
      <x:c r="N25" s="70" t="n">
        <x:v>0.002877917546806774</x:v>
      </x:c>
    </x:row>
    <x:row r="26">
      <x:c r="C26" s="44" t="str">
        <x:v>IBOV BEst EPS</x:v>
      </x:c>
      <x:c r="D26" s="44" t="str">
        <x:v>post2022</x:v>
      </x:c>
      <x:c r="E26" s="44" t="str">
        <x:v>full contemporaneous</x:v>
      </x:c>
      <x:c r="F26" s="65" t="n">
        <x:v>55</x:v>
      </x:c>
      <x:c r="G26" s="71" t="n">
        <x:v>0.41032052649737616</x:v>
      </x:c>
      <x:c r="H26" s="71" t="n">
        <x:v>0.3501491516501696</x:v>
      </x:c>
      <x:c r="I26" s="47" t="str">
        <x:v>d_swap360_3</x:v>
      </x:c>
      <x:c r="J26" s="53" t="n">
        <x:v>0.13537369843381525</x:v>
      </x:c>
      <x:c r="K26" s="71" t="n">
        <x:v>0.023996875691559397</x:v>
      </x:c>
      <x:c r="L26" s="47" t="n">
        <x:v>0.9080856386112691</x:v>
      </x:c>
      <x:c r="M26" s="47" t="n">
        <x:v>0.14907591605659745</x:v>
      </x:c>
      <x:c r="N26" s="71" t="n">
        <x:v>0.8814937297181968</x:v>
      </x:c>
    </x:row>
  </x:sheetData>
  <x:pageMargins left="0.7" right="0.7" top="0.75" bottom="0.75" header="0.3" footer="0.3"/>
  <x:tableParts count="1">
    <x:tablePart xmlns:r="http://schemas.openxmlformats.org/officeDocument/2006/relationships" r:id="Rb1e1b9d6be1d44e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7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7" hidden="0" customWidth="1"/>
    <x:col min="27" max="27" width="17" hidden="0" customWidth="1"/>
    <x:col min="28" max="28" width="13" hidden="0" customWidth="1"/>
    <x:col min="29" max="29" width="13" hidden="0" customWidth="1"/>
    <x:col min="30" max="30" width="17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7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7" hidden="0" customWidth="1"/>
    <x:col min="43" max="43" width="13" hidden="0" customWidth="1"/>
    <x:col min="44" max="44" width="13" hidden="0" customWidth="1"/>
  </x:cols>
  <x:sheetData>
    <x:row r="2">
      <x:c r="C2" s="2" t="str">
        <x:v>Regressões contemporâneas por setor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  <x:c r="X2" s="98"/>
      <x:c r="Y2" s="98"/>
      <x:c r="Z2" s="98"/>
      <x:c r="AA2" s="98"/>
      <x:c r="AB2" s="98"/>
      <x:c r="AC2" s="98"/>
      <x:c r="AD2" s="98"/>
      <x:c r="AE2" s="98"/>
      <x:c r="AF2" s="98"/>
      <x:c r="AG2" s="98"/>
      <x:c r="AH2" s="98"/>
      <x:c r="AI2" s="98"/>
      <x:c r="AJ2" s="98"/>
      <x:c r="AK2" s="98"/>
      <x:c r="AL2" s="98"/>
      <x:c r="AM2" s="98"/>
      <x:c r="AN2" s="98"/>
      <x:c r="AO2" s="98"/>
      <x:c r="AP2" s="98"/>
      <x:c r="AQ2" s="98"/>
      <x:c r="AR2" s="98"/>
    </x:row>
    <x:row r="3">
      <x:c r="C3" s="4" t="str">
        <x:v>OLS com erros HAC/Newey-West e ajuste Benjamini-Hochberg entre setores.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  <x:c r="AA4" s="99"/>
      <x:c r="AB4" s="99"/>
      <x:c r="AC4" s="99"/>
      <x:c r="AD4" s="99"/>
      <x:c r="AE4" s="99"/>
      <x:c r="AF4" s="99"/>
      <x:c r="AG4" s="99"/>
      <x:c r="AH4" s="99"/>
      <x:c r="AI4" s="99"/>
      <x:c r="AJ4" s="99"/>
      <x:c r="AK4" s="99"/>
      <x:c r="AL4" s="99"/>
      <x:c r="AM4" s="99"/>
      <x:c r="AN4" s="99"/>
      <x:c r="AO4" s="99"/>
      <x:c r="AP4" s="99"/>
      <x:c r="AQ4" s="99"/>
      <x:c r="AR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  <x:c r="P5" s="99"/>
      <x:c r="Q5" s="99"/>
      <x:c r="R5" s="99"/>
      <x:c r="S5" s="99"/>
      <x:c r="T5" s="99"/>
      <x:c r="U5" s="99"/>
      <x:c r="V5" s="99"/>
      <x:c r="W5" s="99"/>
      <x:c r="X5" s="99"/>
      <x:c r="Y5" s="99"/>
      <x:c r="Z5" s="99"/>
      <x:c r="AA5" s="99"/>
      <x:c r="AB5" s="99"/>
      <x:c r="AC5" s="99"/>
      <x:c r="AD5" s="99"/>
      <x:c r="AE5" s="99"/>
      <x:c r="AF5" s="99"/>
      <x:c r="AG5" s="99"/>
      <x:c r="AH5" s="99"/>
      <x:c r="AI5" s="99"/>
      <x:c r="AJ5" s="99"/>
      <x:c r="AK5" s="99"/>
      <x:c r="AL5" s="99"/>
      <x:c r="AM5" s="99"/>
      <x:c r="AN5" s="99"/>
      <x:c r="AO5" s="99"/>
      <x:c r="AP5" s="99"/>
      <x:c r="AQ5" s="99"/>
      <x:c r="AR5" s="99"/>
    </x:row>
    <x:row r="6" ht="36" customHeight="1">
      <x:c r="C6" s="11" t="str">
        <x:v>target</x:v>
      </x:c>
      <x:c r="D6" s="11" t="str">
        <x:v>sample</x:v>
      </x:c>
      <x:c r="E6" s="11" t="str">
        <x:v>start</x:v>
      </x:c>
      <x:c r="F6" s="11" t="str">
        <x:v>end</x:v>
      </x:c>
      <x:c r="G6" s="11" t="str">
        <x:v>n</x:v>
      </x:c>
      <x:c r="H6" s="11" t="str">
        <x:v>r2</x:v>
      </x:c>
      <x:c r="I6" s="11" t="str">
        <x:v>adj_r2</x:v>
      </x:c>
      <x:c r="J6" s="11" t="str">
        <x:v>invalid_nonpositive_windows_full</x:v>
      </x:c>
      <x:c r="K6" s="11" t="str">
        <x:v>d_focus_pib3_beta</x:v>
      </x:c>
      <x:c r="L6" s="11" t="str">
        <x:v>d_focus_pib3_beta_std</x:v>
      </x:c>
      <x:c r="M6" s="11" t="str">
        <x:v>d_focus_pib3_t</x:v>
      </x:c>
      <x:c r="N6" s="11" t="str">
        <x:v>d_focus_pib3_p</x:v>
      </x:c>
      <x:c r="O6" s="11" t="str">
        <x:v>d_focus_pib3_partial_r2</x:v>
      </x:c>
      <x:c r="P6" s="11" t="str">
        <x:v>d_bcom_usd3_beta</x:v>
      </x:c>
      <x:c r="Q6" s="11" t="str">
        <x:v>d_bcom_usd3_beta_std</x:v>
      </x:c>
      <x:c r="R6" s="11" t="str">
        <x:v>d_bcom_usd3_t</x:v>
      </x:c>
      <x:c r="S6" s="11" t="str">
        <x:v>d_bcom_usd3_p</x:v>
      </x:c>
      <x:c r="T6" s="11" t="str">
        <x:v>d_bcom_usd3_partial_r2</x:v>
      </x:c>
      <x:c r="U6" s="11" t="str">
        <x:v>d_usdbrl3_beta</x:v>
      </x:c>
      <x:c r="V6" s="11" t="str">
        <x:v>d_usdbrl3_beta_std</x:v>
      </x:c>
      <x:c r="W6" s="11" t="str">
        <x:v>d_usdbrl3_t</x:v>
      </x:c>
      <x:c r="X6" s="11" t="str">
        <x:v>d_usdbrl3_p</x:v>
      </x:c>
      <x:c r="Y6" s="11" t="str">
        <x:v>d_usdbrl3_partial_r2</x:v>
      </x:c>
      <x:c r="Z6" s="11" t="str">
        <x:v>d_ipca12_3_available_beta</x:v>
      </x:c>
      <x:c r="AA6" s="11" t="str">
        <x:v>d_ipca12_3_available_beta_std</x:v>
      </x:c>
      <x:c r="AB6" s="11" t="str">
        <x:v>d_ipca12_3_available_t</x:v>
      </x:c>
      <x:c r="AC6" s="11" t="str">
        <x:v>d_ipca12_3_available_p</x:v>
      </x:c>
      <x:c r="AD6" s="11" t="str">
        <x:v>d_ipca12_3_available_partial_r2</x:v>
      </x:c>
      <x:c r="AE6" s="11" t="str">
        <x:v>d_swap360_3_beta</x:v>
      </x:c>
      <x:c r="AF6" s="11" t="str">
        <x:v>d_swap360_3_beta_std</x:v>
      </x:c>
      <x:c r="AG6" s="11" t="str">
        <x:v>d_swap360_3_t</x:v>
      </x:c>
      <x:c r="AH6" s="11" t="str">
        <x:v>d_swap360_3_p</x:v>
      </x:c>
      <x:c r="AI6" s="11" t="str">
        <x:v>d_swap360_3_partial_r2</x:v>
      </x:c>
      <x:c r="AJ6" s="11" t="str">
        <x:v>focus_ibov_same_sample</x:v>
      </x:c>
      <x:c r="AK6" s="11" t="str">
        <x:v>focus_difference_vs_ibov</x:v>
      </x:c>
      <x:c r="AL6" s="11" t="str">
        <x:v>focus_difference_p</x:v>
      </x:c>
      <x:c r="AM6" s="11" t="str">
        <x:v>d_focus_pib3_q_bh</x:v>
      </x:c>
      <x:c r="AN6" s="11" t="str">
        <x:v>d_bcom_usd3_q_bh</x:v>
      </x:c>
      <x:c r="AO6" s="11" t="str">
        <x:v>d_usdbrl3_q_bh</x:v>
      </x:c>
      <x:c r="AP6" s="11" t="str">
        <x:v>d_ipca12_3_available_q_bh</x:v>
      </x:c>
      <x:c r="AQ6" s="11" t="str">
        <x:v>d_swap360_3_q_bh</x:v>
      </x:c>
      <x:c r="AR6" s="11" t="str">
        <x:v>focus_difference_q_bh</x:v>
      </x:c>
    </x:row>
    <x:row r="7">
      <x:c r="C7" s="42" t="str">
        <x:v>IBOV</x:v>
      </x:c>
      <x:c r="D7" s="42" t="str">
        <x:v>full</x:v>
      </x:c>
      <x:c r="E7" s="18" t="n">
        <x:v>39904</x:v>
      </x:c>
      <x:c r="F7" s="18" t="n">
        <x:v>46204</x:v>
      </x:c>
      <x:c r="G7" s="63" t="n">
        <x:v>208</x:v>
      </x:c>
      <x:c r="H7" s="69" t="n">
        <x:v>0.42156239854717303</x:v>
      </x:c>
      <x:c r="I7" s="69" t="n">
        <x:v>0.4072446361349744</x:v>
      </x:c>
      <x:c r="J7" s="63" t="n">
        <x:v>0</x:v>
      </x:c>
      <x:c r="K7" s="51" t="n">
        <x:v>5.968952397629377</x:v>
      </x:c>
      <x:c r="L7" s="69" t="n">
        <x:v>0.40884433266258297</x:v>
      </x:c>
      <x:c r="M7" s="51" t="n">
        <x:v>5.514900878246487</x:v>
      </x:c>
      <x:c r="N7" s="69" t="n">
        <x:v>3.489765854070015e-8</x:v>
      </x:c>
      <x:c r="O7" s="69" t="n">
        <x:v>0.13458729519670887</x:v>
      </x:c>
      <x:c r="P7" s="51" t="n">
        <x:v>0.6425647656115169</x:v>
      </x:c>
      <x:c r="Q7" s="69" t="n">
        <x:v>0.39061204085773316</x:v>
      </x:c>
      <x:c r="R7" s="51" t="n">
        <x:v>3.5702679678293765</x:v>
      </x:c>
      <x:c r="S7" s="69" t="n">
        <x:v>0.0003566162259081018</x:v>
      </x:c>
      <x:c r="T7" s="69" t="n">
        <x:v>0.08388161703033592</x:v>
      </x:c>
      <x:c r="U7" s="51" t="n">
        <x:v>0.2796608472641493</x:v>
      </x:c>
      <x:c r="V7" s="69" t="n">
        <x:v>0.1643062703731633</x:v>
      </x:c>
      <x:c r="W7" s="51" t="n">
        <x:v>1.6408484518695945</x:v>
      </x:c>
      <x:c r="X7" s="69" t="n">
        <x:v>0.10082887767624515</x:v>
      </x:c>
      <x:c r="Y7" s="69" t="n">
        <x:v>0.013970484994119237</x:v>
      </x:c>
      <x:c r="Z7" s="51" t="n">
        <x:v>3.1759078086445047</x:v>
      </x:c>
      <x:c r="AA7" s="69" t="n">
        <x:v>0.26961045903228187</x:v>
      </x:c>
      <x:c r="AB7" s="51" t="n">
        <x:v>2.95294671950929</x:v>
      </x:c>
      <x:c r="AC7" s="69" t="n">
        <x:v>0.003147562847097163</x:v>
      </x:c>
      <x:c r="AD7" s="69" t="n">
        <x:v>0.053235347815641876</x:v>
      </x:c>
      <x:c r="AE7" s="51" t="n">
        <x:v>0.7937536012147359</x:v>
      </x:c>
      <x:c r="AF7" s="69" t="n">
        <x:v>0.06783372838465096</x:v>
      </x:c>
      <x:c r="AG7" s="51" t="n">
        <x:v>0.9983248566665499</x:v>
      </x:c>
      <x:c r="AH7" s="69" t="n">
        <x:v>0.3181218581500387</x:v>
      </x:c>
      <x:c r="AI7" s="69" t="n">
        <x:v>0.003017170608975217</x:v>
      </x:c>
      <x:c r="AJ7" s="51" t="n">
        <x:v>5.968952397629377</x:v>
      </x:c>
      <x:c r="AK7" s="51" t="n">
        <x:v>0</x:v>
      </x:c>
      <x:c r="AL7" s="69"/>
      <x:c r="AM7" s="69"/>
      <x:c r="AN7" s="69"/>
      <x:c r="AO7" s="69"/>
      <x:c r="AP7" s="69"/>
      <x:c r="AQ7" s="69"/>
      <x:c r="AR7" s="69"/>
    </x:row>
    <x:row r="8">
      <x:c r="C8" s="43" t="str">
        <x:v>IBOV</x:v>
      </x:c>
      <x:c r="D8" s="43" t="str">
        <x:v>ex_2013_14</x:v>
      </x:c>
      <x:c r="E8" s="19" t="n">
        <x:v>39904</x:v>
      </x:c>
      <x:c r="F8" s="19" t="n">
        <x:v>46204</x:v>
      </x:c>
      <x:c r="G8" s="64" t="n">
        <x:v>184</x:v>
      </x:c>
      <x:c r="H8" s="70" t="n">
        <x:v>0.4378618651513946</x:v>
      </x:c>
      <x:c r="I8" s="70" t="n">
        <x:v>0.42207146810508545</x:v>
      </x:c>
      <x:c r="J8" s="64" t="n">
        <x:v>0</x:v>
      </x:c>
      <x:c r="K8" s="52" t="n">
        <x:v>6.179005187471408</x:v>
      </x:c>
      <x:c r="L8" s="70" t="n">
        <x:v>0.430088638781141</x:v>
      </x:c>
      <x:c r="M8" s="52" t="n">
        <x:v>5.679723558059265</x:v>
      </x:c>
      <x:c r="N8" s="70" t="n">
        <x:v>1.349126099725595e-8</x:v>
      </x:c>
      <x:c r="O8" s="70" t="n">
        <x:v>0.1482996890874133</x:v>
      </x:c>
      <x:c r="P8" s="52" t="n">
        <x:v>0.638970710509807</x:v>
      </x:c>
      <x:c r="Q8" s="70" t="n">
        <x:v>0.3819227272079247</x:v>
      </x:c>
      <x:c r="R8" s="52" t="n">
        <x:v>3.241243806124603</x:v>
      </x:c>
      <x:c r="S8" s="70" t="n">
        <x:v>0.001190093526896252</x:v>
      </x:c>
      <x:c r="T8" s="70" t="n">
        <x:v>0.0773936418805341</x:v>
      </x:c>
      <x:c r="U8" s="52" t="n">
        <x:v>0.30761286578718927</x:v>
      </x:c>
      <x:c r="V8" s="70" t="n">
        <x:v>0.17760775023582037</x:v>
      </x:c>
      <x:c r="W8" s="52" t="n">
        <x:v>1.6585011190967796</x:v>
      </x:c>
      <x:c r="X8" s="70" t="n">
        <x:v>0.09721636183488536</x:v>
      </x:c>
      <x:c r="Y8" s="70" t="n">
        <x:v>0.016172119745116564</x:v>
      </x:c>
      <x:c r="Z8" s="52" t="n">
        <x:v>3.209394419808668</x:v>
      </x:c>
      <x:c r="AA8" s="70" t="n">
        <x:v>0.27778237812723067</x:v>
      </x:c>
      <x:c r="AB8" s="52" t="n">
        <x:v>2.9333750006721546</x:v>
      </x:c>
      <x:c r="AC8" s="70" t="n">
        <x:v>0.00335298638717596</x:v>
      </x:c>
      <x:c r="AD8" s="70" t="n">
        <x:v>0.05424323110696572</x:v>
      </x:c>
      <x:c r="AE8" s="52" t="n">
        <x:v>0.7412980849881029</x:v>
      </x:c>
      <x:c r="AF8" s="70" t="n">
        <x:v>0.06267292448919115</x:v>
      </x:c>
      <x:c r="AG8" s="52" t="n">
        <x:v>0.9454318453259561</x:v>
      </x:c>
      <x:c r="AH8" s="70" t="n">
        <x:v>0.34443845057217715</x:v>
      </x:c>
      <x:c r="AI8" s="70" t="n">
        <x:v>0.0024387250754548395</x:v>
      </x:c>
      <x:c r="AJ8" s="52" t="n">
        <x:v>6.179005187471408</x:v>
      </x:c>
      <x:c r="AK8" s="52" t="n">
        <x:v>0</x:v>
      </x:c>
      <x:c r="AL8" s="70"/>
      <x:c r="AM8" s="70"/>
      <x:c r="AN8" s="70"/>
      <x:c r="AO8" s="70"/>
      <x:c r="AP8" s="70"/>
      <x:c r="AQ8" s="70"/>
      <x:c r="AR8" s="70"/>
    </x:row>
    <x:row r="9">
      <x:c r="C9" s="43" t="str">
        <x:v>IBOV</x:v>
      </x:c>
      <x:c r="D9" s="43" t="str">
        <x:v>ex_2020_21</x:v>
      </x:c>
      <x:c r="E9" s="19" t="n">
        <x:v>39904</x:v>
      </x:c>
      <x:c r="F9" s="19" t="n">
        <x:v>46204</x:v>
      </x:c>
      <x:c r="G9" s="64" t="n">
        <x:v>184</x:v>
      </x:c>
      <x:c r="H9" s="70" t="n">
        <x:v>0.24162811460113742</x:v>
      </x:c>
      <x:c r="I9" s="70" t="n">
        <x:v>0.22032553355060758</x:v>
      </x:c>
      <x:c r="J9" s="64" t="n">
        <x:v>0</x:v>
      </x:c>
      <x:c r="K9" s="52" t="n">
        <x:v>3.8491398290680143</x:v>
      </x:c>
      <x:c r="L9" s="70" t="n">
        <x:v>0.23110054171717043</x:v>
      </x:c>
      <x:c r="M9" s="52" t="n">
        <x:v>3.2048454350100353</x:v>
      </x:c>
      <x:c r="N9" s="70" t="n">
        <x:v>0.001351350271558971</x:v>
      </x:c>
      <x:c r="O9" s="70" t="n">
        <x:v>0.044149731692410765</x:v>
      </x:c>
      <x:c r="P9" s="52" t="n">
        <x:v>0.644049963595104</x:v>
      </x:c>
      <x:c r="Q9" s="70" t="n">
        <x:v>0.4603184610415526</x:v>
      </x:c>
      <x:c r="R9" s="52" t="n">
        <x:v>3.749151418650591</x:v>
      </x:c>
      <x:c r="S9" s="70" t="n">
        <x:v>0.0001774339357081267</x:v>
      </x:c>
      <x:c r="T9" s="70" t="n">
        <x:v>0.12752999602989057</x:v>
      </x:c>
      <x:c r="U9" s="52" t="n">
        <x:v>0.29165169069599184</x:v>
      </x:c>
      <x:c r="V9" s="70" t="n">
        <x:v>0.20440352375182957</x:v>
      </x:c>
      <x:c r="W9" s="52" t="n">
        <x:v>1.6992991698118174</x:v>
      </x:c>
      <x:c r="X9" s="70" t="n">
        <x:v>0.08926282893149251</x:v>
      </x:c>
      <x:c r="Y9" s="70" t="n">
        <x:v>0.022024909631309875</x:v>
      </x:c>
      <x:c r="Z9" s="52" t="n">
        <x:v>2.155016137003257</x:v>
      </x:c>
      <x:c r="AA9" s="70" t="n">
        <x:v>0.20863910516578718</x:v>
      </x:c>
      <x:c r="AB9" s="52" t="n">
        <x:v>1.9810196896619119</x:v>
      </x:c>
      <x:c r="AC9" s="70" t="n">
        <x:v>0.047589065553500065</x:v>
      </x:c>
      <x:c r="AD9" s="70" t="n">
        <x:v>0.03364990387677713</x:v>
      </x:c>
      <x:c r="AE9" s="52" t="n">
        <x:v>0.5590357332648435</x:v>
      </x:c>
      <x:c r="AF9" s="70" t="n">
        <x:v>0.05226391181580653</x:v>
      </x:c>
      <x:c r="AG9" s="52" t="n">
        <x:v>0.6378026119139591</x:v>
      </x:c>
      <x:c r="AH9" s="70" t="n">
        <x:v>0.5236021791219696</x:v>
      </x:c>
      <x:c r="AI9" s="70" t="n">
        <x:v>0.0020580716852192094</x:v>
      </x:c>
      <x:c r="AJ9" s="52" t="n">
        <x:v>3.8491398290680143</x:v>
      </x:c>
      <x:c r="AK9" s="52" t="n">
        <x:v>0</x:v>
      </x:c>
      <x:c r="AL9" s="70"/>
      <x:c r="AM9" s="70"/>
      <x:c r="AN9" s="70"/>
      <x:c r="AO9" s="70"/>
      <x:c r="AP9" s="70"/>
      <x:c r="AQ9" s="70"/>
      <x:c r="AR9" s="70"/>
    </x:row>
    <x:row r="10">
      <x:c r="C10" s="43" t="str">
        <x:v>IBOV</x:v>
      </x:c>
      <x:c r="D10" s="43" t="str">
        <x:v>clean</x:v>
      </x:c>
      <x:c r="E10" s="19" t="n">
        <x:v>39904</x:v>
      </x:c>
      <x:c r="F10" s="19" t="n">
        <x:v>46204</x:v>
      </x:c>
      <x:c r="G10" s="64" t="n">
        <x:v>160</x:v>
      </x:c>
      <x:c r="H10" s="70" t="n">
        <x:v>0.24994435729384612</x:v>
      </x:c>
      <x:c r="I10" s="70" t="n">
        <x:v>0.22559190136182805</x:v>
      </x:c>
      <x:c r="J10" s="64" t="n">
        <x:v>0</x:v>
      </x:c>
      <x:c r="K10" s="52" t="n">
        <x:v>4.166800677918155</x:v>
      </x:c>
      <x:c r="L10" s="70" t="n">
        <x:v>0.2548726497622179</x:v>
      </x:c>
      <x:c r="M10" s="52" t="n">
        <x:v>3.3911466581937932</x:v>
      </x:c>
      <x:c r="N10" s="70" t="n">
        <x:v>0.0006960084581588699</x:v>
      </x:c>
      <x:c r="O10" s="70" t="n">
        <x:v>0.054124969794097866</x:v>
      </x:c>
      <x:c r="P10" s="52" t="n">
        <x:v>0.6388790310264731</x:v>
      </x:c>
      <x:c r="Q10" s="70" t="n">
        <x:v>0.45483038829140343</x:v>
      </x:c>
      <x:c r="R10" s="52" t="n">
        <x:v>3.348884329618049</x:v>
      </x:c>
      <x:c r="S10" s="70" t="n">
        <x:v>0.0008113766187791693</x:v>
      </x:c>
      <x:c r="T10" s="70" t="n">
        <x:v>0.12152880948072065</x:v>
      </x:c>
      <x:c r="U10" s="52" t="n">
        <x:v>0.327206901919177</x:v>
      </x:c>
      <x:c r="V10" s="70" t="n">
        <x:v>0.22748047588095055</x:v>
      </x:c>
      <x:c r="W10" s="52" t="n">
        <x:v>1.7043663850527677</x:v>
      </x:c>
      <x:c r="X10" s="70" t="n">
        <x:v>0.0883126598412991</x:v>
      </x:c>
      <x:c r="Y10" s="70" t="n">
        <x:v>0.02723985821769448</x:v>
      </x:c>
      <x:c r="Z10" s="52" t="n">
        <x:v>2.145720601704407</x:v>
      </x:c>
      <x:c r="AA10" s="70" t="n">
        <x:v>0.21510962475540113</x:v>
      </x:c>
      <x:c r="AB10" s="52" t="n">
        <x:v>1.9322015280488225</x:v>
      </x:c>
      <x:c r="AC10" s="70" t="n">
        <x:v>0.053334636667004665</x:v>
      </x:c>
      <x:c r="AD10" s="70" t="n">
        <x:v>0.03466097949767277</x:v>
      </x:c>
      <x:c r="AE10" s="52" t="n">
        <x:v>0.49066740201279013</x:v>
      </x:c>
      <x:c r="AF10" s="70" t="n">
        <x:v>0.04484376031567555</x:v>
      </x:c>
      <x:c r="AG10" s="52" t="n">
        <x:v>0.5706505391826517</x:v>
      </x:c>
      <x:c r="AH10" s="70" t="n">
        <x:v>0.568236552611753</x:v>
      </x:c>
      <x:c r="AI10" s="70" t="n">
        <x:v>0.0014784462450865288</x:v>
      </x:c>
      <x:c r="AJ10" s="52" t="n">
        <x:v>4.166800677918155</x:v>
      </x:c>
      <x:c r="AK10" s="52" t="n">
        <x:v>0</x:v>
      </x:c>
      <x:c r="AL10" s="70"/>
      <x:c r="AM10" s="70"/>
      <x:c r="AN10" s="70"/>
      <x:c r="AO10" s="70"/>
      <x:c r="AP10" s="70"/>
      <x:c r="AQ10" s="70"/>
      <x:c r="AR10" s="70"/>
    </x:row>
    <x:row r="11">
      <x:c r="C11" s="43" t="str">
        <x:v>IBOV</x:v>
      </x:c>
      <x:c r="D11" s="43" t="str">
        <x:v>ex_seams</x:v>
      </x:c>
      <x:c r="E11" s="19" t="n">
        <x:v>39904</x:v>
      </x:c>
      <x:c r="F11" s="19" t="n">
        <x:v>46204</x:v>
      </x:c>
      <x:c r="G11" s="64" t="n">
        <x:v>193</x:v>
      </x:c>
      <x:c r="H11" s="70" t="n">
        <x:v>0.4612024723761622</x:v>
      </x:c>
      <x:c r="I11" s="70" t="n">
        <x:v>0.4467961213701772</x:v>
      </x:c>
      <x:c r="J11" s="64" t="n">
        <x:v>0</x:v>
      </x:c>
      <x:c r="K11" s="52" t="n">
        <x:v>6.257300955716724</x:v>
      </x:c>
      <x:c r="L11" s="70" t="n">
        <x:v>0.4345551816236298</x:v>
      </x:c>
      <x:c r="M11" s="52" t="n">
        <x:v>5.986832802161705</x:v>
      </x:c>
      <x:c r="N11" s="70" t="n">
        <x:v>2.139665333800167e-9</x:v>
      </x:c>
      <x:c r="O11" s="70" t="n">
        <x:v>0.15400178323787028</x:v>
      </x:c>
      <x:c r="P11" s="52" t="n">
        <x:v>0.6098486586818714</x:v>
      </x:c>
      <x:c r="Q11" s="70" t="n">
        <x:v>0.36285411183335287</x:v>
      </x:c>
      <x:c r="R11" s="52" t="n">
        <x:v>3.0118686902628315</x:v>
      </x:c>
      <x:c r="S11" s="70" t="n">
        <x:v>0.0025964488513294803</x:v>
      </x:c>
      <x:c r="T11" s="70" t="n">
        <x:v>0.07564355068023343</x:v>
      </x:c>
      <x:c r="U11" s="52" t="n">
        <x:v>0.31370507237244283</x:v>
      </x:c>
      <x:c r="V11" s="70" t="n">
        <x:v>0.18324079443495153</x:v>
      </x:c>
      <x:c r="W11" s="52" t="n">
        <x:v>1.7904378886679697</x:v>
      </x:c>
      <x:c r="X11" s="70" t="n">
        <x:v>0.07338354390328261</x:v>
      </x:c>
      <x:c r="Y11" s="70" t="n">
        <x:v>0.018061079212948195</x:v>
      </x:c>
      <x:c r="Z11" s="52" t="n">
        <x:v>4.096021470339889</x:v>
      </x:c>
      <x:c r="AA11" s="70" t="n">
        <x:v>0.34076955043653884</x:v>
      </x:c>
      <x:c r="AB11" s="52" t="n">
        <x:v>3.9293751774127474</x:v>
      </x:c>
      <x:c r="AC11" s="70" t="n">
        <x:v>0.00008516687195081474</x:v>
      </x:c>
      <x:c r="AD11" s="70" t="n">
        <x:v>0.08628352326463096</x:v>
      </x:c>
      <x:c r="AE11" s="52" t="n">
        <x:v>0.7030359680732714</x:v>
      </x:c>
      <x:c r="AF11" s="70" t="n">
        <x:v>0.060050466455740165</x:v>
      </x:c>
      <x:c r="AG11" s="52" t="n">
        <x:v>0.9423785147667454</x:v>
      </x:c>
      <x:c r="AH11" s="70" t="n">
        <x:v>0.34599888317450067</x:v>
      </x:c>
      <x:c r="AI11" s="70" t="n">
        <x:v>0.002420155991802009</x:v>
      </x:c>
      <x:c r="AJ11" s="52" t="n">
        <x:v>6.257300955716724</x:v>
      </x:c>
      <x:c r="AK11" s="52" t="n">
        <x:v>0</x:v>
      </x:c>
      <x:c r="AL11" s="70"/>
      <x:c r="AM11" s="70"/>
      <x:c r="AN11" s="70"/>
      <x:c r="AO11" s="70"/>
      <x:c r="AP11" s="70"/>
      <x:c r="AQ11" s="70"/>
      <x:c r="AR11" s="70"/>
    </x:row>
    <x:row r="12">
      <x:c r="C12" s="43" t="str">
        <x:v>IBOV</x:v>
      </x:c>
      <x:c r="D12" s="43" t="str">
        <x:v>audit_clean</x:v>
      </x:c>
      <x:c r="E12" s="19" t="n">
        <x:v>39904</x:v>
      </x:c>
      <x:c r="F12" s="19" t="n">
        <x:v>46204</x:v>
      </x:c>
      <x:c r="G12" s="64" t="n">
        <x:v>151</x:v>
      </x:c>
      <x:c r="H12" s="70" t="n">
        <x:v>0.2947933990467133</x:v>
      </x:c>
      <x:c r="I12" s="70" t="n">
        <x:v>0.27047593004832415</x:v>
      </x:c>
      <x:c r="J12" s="64" t="n">
        <x:v>0</x:v>
      </x:c>
      <x:c r="K12" s="52" t="n">
        <x:v>4.442488062949742</x:v>
      </x:c>
      <x:c r="L12" s="70" t="n">
        <x:v>0.2777487624893034</x:v>
      </x:c>
      <x:c r="M12" s="52" t="n">
        <x:v>3.391520682662669</x:v>
      </x:c>
      <x:c r="N12" s="70" t="n">
        <x:v>0.0006950591692611585</x:v>
      </x:c>
      <x:c r="O12" s="70" t="n">
        <x:v>0.06387832910925195</x:v>
      </x:c>
      <x:c r="P12" s="52" t="n">
        <x:v>0.6450459278625379</x:v>
      </x:c>
      <x:c r="Q12" s="70" t="n">
        <x:v>0.46145055700881465</x:v>
      </x:c>
      <x:c r="R12" s="52" t="n">
        <x:v>3.107269104957294</x:v>
      </x:c>
      <x:c r="S12" s="70" t="n">
        <x:v>0.0018882442564400748</x:v>
      </x:c>
      <x:c r="T12" s="70" t="n">
        <x:v>0.12319027289377849</x:v>
      </x:c>
      <x:c r="U12" s="52" t="n">
        <x:v>0.3559614878121167</x:v>
      </x:c>
      <x:c r="V12" s="70" t="n">
        <x:v>0.25246773373660336</x:v>
      </x:c>
      <x:c r="W12" s="52" t="n">
        <x:v>1.8014179856492487</x:v>
      </x:c>
      <x:c r="X12" s="70" t="n">
        <x:v>0.071637023413615</x:v>
      </x:c>
      <x:c r="Y12" s="70" t="n">
        <x:v>0.033096776109808324</x:v>
      </x:c>
      <x:c r="Z12" s="52" t="n">
        <x:v>2.7647025198319914</x:v>
      </x:c>
      <x:c r="AA12" s="70" t="n">
        <x:v>0.2695855944701918</x:v>
      </x:c>
      <x:c r="AB12" s="52" t="n">
        <x:v>3.254091526615604</x:v>
      </x:c>
      <x:c r="AC12" s="70" t="n">
        <x:v>0.0011375562289384078</x:v>
      </x:c>
      <x:c r="AD12" s="70" t="n">
        <x:v>0.05708410642763351</x:v>
      </x:c>
      <x:c r="AE12" s="52" t="n">
        <x:v>0.9363982293652462</x:v>
      </x:c>
      <x:c r="AF12" s="70" t="n">
        <x:v>0.08449022987147772</x:v>
      </x:c>
      <x:c r="AG12" s="52" t="n">
        <x:v>1.2789753938510928</x:v>
      </x:c>
      <x:c r="AH12" s="70" t="n">
        <x:v>0.20090572096373926</x:v>
      </x:c>
      <x:c r="AI12" s="70" t="n">
        <x:v>0.0055263049665270625</x:v>
      </x:c>
      <x:c r="AJ12" s="52" t="n">
        <x:v>4.442488062949742</x:v>
      </x:c>
      <x:c r="AK12" s="52" t="n">
        <x:v>0</x:v>
      </x:c>
      <x:c r="AL12" s="70"/>
      <x:c r="AM12" s="70"/>
      <x:c r="AN12" s="70"/>
      <x:c r="AO12" s="70"/>
      <x:c r="AP12" s="70"/>
      <x:c r="AQ12" s="70"/>
      <x:c r="AR12" s="70"/>
    </x:row>
    <x:row r="13">
      <x:c r="C13" s="43" t="str">
        <x:v>IBOV</x:v>
      </x:c>
      <x:c r="D13" s="43" t="str">
        <x:v>since_2020</x:v>
      </x:c>
      <x:c r="E13" s="19" t="n">
        <x:v>43831</x:v>
      </x:c>
      <x:c r="F13" s="19" t="n">
        <x:v>46204</x:v>
      </x:c>
      <x:c r="G13" s="64" t="n">
        <x:v>79</x:v>
      </x:c>
      <x:c r="H13" s="70" t="n">
        <x:v>0.6199256236942613</x:v>
      </x:c>
      <x:c r="I13" s="70" t="n">
        <x:v>0.5938931321664709</x:v>
      </x:c>
      <x:c r="J13" s="64" t="n">
        <x:v>0</x:v>
      </x:c>
      <x:c r="K13" s="52" t="n">
        <x:v>6.517266411873479</x:v>
      </x:c>
      <x:c r="L13" s="70" t="n">
        <x:v>0.43090681425615834</x:v>
      </x:c>
      <x:c r="M13" s="52" t="n">
        <x:v>4.88324916324047</x:v>
      </x:c>
      <x:c r="N13" s="70" t="n">
        <x:v>0.000001043518726762116</x:v>
      </x:c>
      <x:c r="O13" s="70" t="n">
        <x:v>0.136124032798712</x:v>
      </x:c>
      <x:c r="P13" s="52" t="n">
        <x:v>0.8550046567171536</x:v>
      </x:c>
      <x:c r="Q13" s="70" t="n">
        <x:v>0.4534955386926144</x:v>
      </x:c>
      <x:c r="R13" s="52" t="n">
        <x:v>2.561765647675719</x:v>
      </x:c>
      <x:c r="S13" s="70" t="n">
        <x:v>0.010414156408874442</x:v>
      </x:c>
      <x:c r="T13" s="70" t="n">
        <x:v>0.09919709046665093</x:v>
      </x:c>
      <x:c r="U13" s="52" t="n">
        <x:v>0.4048231772411639</x:v>
      </x:c>
      <x:c r="V13" s="70" t="n">
        <x:v>0.1770281614251965</x:v>
      </x:c>
      <x:c r="W13" s="52" t="n">
        <x:v>1.3823404170488605</x:v>
      </x:c>
      <x:c r="X13" s="70" t="n">
        <x:v>0.16686720154295642</x:v>
      </x:c>
      <x:c r="Y13" s="70" t="n">
        <x:v>0.015678030485350214</x:v>
      </x:c>
      <x:c r="Z13" s="52" t="n">
        <x:v>3.38422980561314</x:v>
      </x:c>
      <x:c r="AA13" s="70" t="n">
        <x:v>0.2807176965913113</x:v>
      </x:c>
      <x:c r="AB13" s="52" t="n">
        <x:v>2.6844650149499514</x:v>
      </x:c>
      <x:c r="AC13" s="70" t="n">
        <x:v>0.0072645985923682765</x:v>
      </x:c>
      <x:c r="AD13" s="70" t="n">
        <x:v>0.056850393923771336</x:v>
      </x:c>
      <x:c r="AE13" s="52" t="n">
        <x:v>1.0210285967229726</x:v>
      </x:c>
      <x:c r="AF13" s="70" t="n">
        <x:v>0.07615054089811854</x:v>
      </x:c>
      <x:c r="AG13" s="52" t="n">
        <x:v>0.8129834843837989</x:v>
      </x:c>
      <x:c r="AH13" s="70" t="n">
        <x:v>0.4162275272981144</x:v>
      </x:c>
      <x:c r="AI13" s="70" t="n">
        <x:v>0.003500394598115686</x:v>
      </x:c>
      <x:c r="AJ13" s="52" t="n">
        <x:v>6.517266411873479</x:v>
      </x:c>
      <x:c r="AK13" s="52" t="n">
        <x:v>0</x:v>
      </x:c>
      <x:c r="AL13" s="70"/>
      <x:c r="AM13" s="70"/>
      <x:c r="AN13" s="70"/>
      <x:c r="AO13" s="70"/>
      <x:c r="AP13" s="70"/>
      <x:c r="AQ13" s="70"/>
      <x:c r="AR13" s="70"/>
    </x:row>
    <x:row r="14">
      <x:c r="C14" s="43" t="str">
        <x:v>IBOV</x:v>
      </x:c>
      <x:c r="D14" s="43" t="str">
        <x:v>since_2022</x:v>
      </x:c>
      <x:c r="E14" s="19" t="n">
        <x:v>44562</x:v>
      </x:c>
      <x:c r="F14" s="19" t="n">
        <x:v>46204</x:v>
      </x:c>
      <x:c r="G14" s="64" t="n">
        <x:v>55</x:v>
      </x:c>
      <x:c r="H14" s="70" t="n">
        <x:v>0.5394878636893492</x:v>
      </x:c>
      <x:c r="I14" s="70" t="n">
        <x:v>0.49249682937193584</x:v>
      </x:c>
      <x:c r="J14" s="64" t="n">
        <x:v>0</x:v>
      </x:c>
      <x:c r="K14" s="52" t="n">
        <x:v>0.2982402843671333</x:v>
      </x:c>
      <x:c r="L14" s="70" t="n">
        <x:v>0.00788274212834527</x:v>
      </x:c>
      <x:c r="M14" s="52" t="n">
        <x:v>0.07879882672850258</x:v>
      </x:c>
      <x:c r="N14" s="70" t="n">
        <x:v>0.9371926372822919</x:v>
      </x:c>
      <x:c r="O14" s="70" t="n">
        <x:v>0.00006026101701428477</x:v>
      </x:c>
      <x:c r="P14" s="52" t="n">
        <x:v>1.0652936574491805</x:v>
      </x:c>
      <x:c r="Q14" s="70" t="n">
        <x:v>0.7454804295599953</x:v>
      </x:c>
      <x:c r="R14" s="52" t="n">
        <x:v>3.6260120891898264</x:v>
      </x:c>
      <x:c r="S14" s="70" t="n">
        <x:v>0.0002878318850667583</x:v>
      </x:c>
      <x:c r="T14" s="70" t="n">
        <x:v>0.2959629297012488</x:v>
      </x:c>
      <x:c r="U14" s="52" t="n">
        <x:v>0.6626591147376043</x:v>
      </x:c>
      <x:c r="V14" s="70" t="n">
        <x:v>0.32388801433819814</x:v>
      </x:c>
      <x:c r="W14" s="52" t="n">
        <x:v>2.2892829679261184</x:v>
      </x:c>
      <x:c r="X14" s="70" t="n">
        <x:v>0.02206291665221216</x:v>
      </x:c>
      <x:c r="Y14" s="70" t="n">
        <x:v>0.050408481555220264</x:v>
      </x:c>
      <x:c r="Z14" s="52" t="n">
        <x:v>2.43314029001824</x:v>
      </x:c>
      <x:c r="AA14" s="70" t="n">
        <x:v>0.26202955549937906</x:v>
      </x:c>
      <x:c r="AB14" s="52" t="n">
        <x:v>2.035679626494002</x:v>
      </x:c>
      <x:c r="AC14" s="70" t="n">
        <x:v>0.041782536208928356</x:v>
      </x:c>
      <x:c r="AD14" s="70" t="n">
        <x:v>0.06160459493864556</x:v>
      </x:c>
      <x:c r="AE14" s="52" t="n">
        <x:v>-0.00870170594006836</x:v>
      </x:c>
      <x:c r="AF14" s="70" t="n">
        <x:v>-0.0007275168402570225</x:v>
      </x:c>
      <x:c r="AG14" s="52" t="n">
        <x:v>-0.006010523191808698</x:v>
      </x:c>
      <x:c r="AH14" s="70" t="n">
        <x:v>0.9952043252179945</x:v>
      </x:c>
      <x:c r="AI14" s="70" t="n">
        <x:v>3.2166863372928844e-7</x:v>
      </x:c>
      <x:c r="AJ14" s="52" t="n">
        <x:v>0.2982402843671333</x:v>
      </x:c>
      <x:c r="AK14" s="52" t="n">
        <x:v>0</x:v>
      </x:c>
      <x:c r="AL14" s="70"/>
      <x:c r="AM14" s="70"/>
      <x:c r="AN14" s="70"/>
      <x:c r="AO14" s="70"/>
      <x:c r="AP14" s="70"/>
      <x:c r="AQ14" s="70"/>
      <x:c r="AR14" s="70"/>
    </x:row>
    <x:row r="15">
      <x:c r="C15" s="43" t="str">
        <x:v>IBOV</x:v>
      </x:c>
      <x:c r="D15" s="43" t="str">
        <x:v>since_2022_ex_seams</x:v>
      </x:c>
      <x:c r="E15" s="19" t="n">
        <x:v>44562</x:v>
      </x:c>
      <x:c r="F15" s="19" t="n">
        <x:v>46204</x:v>
      </x:c>
      <x:c r="G15" s="64" t="n">
        <x:v>52</x:v>
      </x:c>
      <x:c r="H15" s="70" t="n">
        <x:v>0.5628461890453108</x:v>
      </x:c>
      <x:c r="I15" s="70" t="n">
        <x:v>0.5153294704632794</x:v>
      </x:c>
      <x:c r="J15" s="64" t="n">
        <x:v>0</x:v>
      </x:c>
      <x:c r="K15" s="52" t="n">
        <x:v>-0.25374865841430233</x:v>
      </x:c>
      <x:c r="L15" s="70" t="n">
        <x:v>-0.006695245399023109</x:v>
      </x:c>
      <x:c r="M15" s="52" t="n">
        <x:v>-0.06716788430550454</x:v>
      </x:c>
      <x:c r="N15" s="70" t="n">
        <x:v>0.9464480519775598</x:v>
      </x:c>
      <x:c r="O15" s="70" t="n">
        <x:v>0.0000436618114388887</x:v>
      </x:c>
      <x:c r="P15" s="52" t="n">
        <x:v>1.160931030616655</x:v>
      </x:c>
      <x:c r="Q15" s="70" t="n">
        <x:v>0.795625844399258</x:v>
      </x:c>
      <x:c r="R15" s="52" t="n">
        <x:v>3.886685190838934</x:v>
      </x:c>
      <x:c r="S15" s="70" t="n">
        <x:v>0.00010162240555677826</x:v>
      </x:c>
      <x:c r="T15" s="70" t="n">
        <x:v>0.3214359218566947</x:v>
      </x:c>
      <x:c r="U15" s="52" t="n">
        <x:v>0.7592700695540957</x:v>
      </x:c>
      <x:c r="V15" s="70" t="n">
        <x:v>0.37246747996820145</x:v>
      </x:c>
      <x:c r="W15" s="52" t="n">
        <x:v>2.5646771766667595</x:v>
      </x:c>
      <x:c r="X15" s="70" t="n">
        <x:v>0.010327183884280888</x:v>
      </x:c>
      <x:c r="Y15" s="70" t="n">
        <x:v>0.06292158964585814</x:v>
      </x:c>
      <x:c r="Z15" s="52" t="n">
        <x:v>2.3570314767518243</x:v>
      </x:c>
      <x:c r="AA15" s="70" t="n">
        <x:v>0.25372074808780765</x:v>
      </x:c>
      <x:c r="AB15" s="52" t="n">
        <x:v>2.0169735411136176</x:v>
      </x:c>
      <x:c r="AC15" s="70" t="n">
        <x:v>0.04369827456223874</x:v>
      </x:c>
      <x:c r="AD15" s="70" t="n">
        <x:v>0.05773215114060193</x:v>
      </x:c>
      <x:c r="AE15" s="52" t="n">
        <x:v>-0.041408225362889545</x:v>
      </x:c>
      <x:c r="AF15" s="70" t="n">
        <x:v>-0.0034492521989908367</x:v>
      </x:c>
      <x:c r="AG15" s="52" t="n">
        <x:v>-0.027919874094315116</x:v>
      </x:c>
      <x:c r="AH15" s="70" t="n">
        <x:v>0.9777260573864586</x:v>
      </x:c>
      <x:c r="AI15" s="70" t="n">
        <x:v>0.0000072562538149245626</x:v>
      </x:c>
      <x:c r="AJ15" s="52" t="n">
        <x:v>-0.25374865841430233</x:v>
      </x:c>
      <x:c r="AK15" s="52" t="n">
        <x:v>0</x:v>
      </x:c>
      <x:c r="AL15" s="70"/>
      <x:c r="AM15" s="70"/>
      <x:c r="AN15" s="70"/>
      <x:c r="AO15" s="70"/>
      <x:c r="AP15" s="70"/>
      <x:c r="AQ15" s="70"/>
      <x:c r="AR15" s="70"/>
    </x:row>
    <x:row r="16">
      <x:c r="C16" s="43" t="str">
        <x:v>Communication Services</x:v>
      </x:c>
      <x:c r="D16" s="43" t="str">
        <x:v>full</x:v>
      </x:c>
      <x:c r="E16" s="19" t="n">
        <x:v>39904</x:v>
      </x:c>
      <x:c r="F16" s="19" t="n">
        <x:v>46204</x:v>
      </x:c>
      <x:c r="G16" s="64" t="n">
        <x:v>208</x:v>
      </x:c>
      <x:c r="H16" s="70" t="n">
        <x:v>0.06317116315059434</x:v>
      </x:c>
      <x:c r="I16" s="70" t="n">
        <x:v>0.039982330555312084</x:v>
      </x:c>
      <x:c r="J16" s="64" t="n">
        <x:v>0</x:v>
      </x:c>
      <x:c r="K16" s="52" t="n">
        <x:v>-0.883540011863548</x:v>
      </x:c>
      <x:c r="L16" s="70" t="n">
        <x:v>-0.05941605254267802</x:v>
      </x:c>
      <x:c r="M16" s="52" t="n">
        <x:v>-0.852692663659449</x:v>
      </x:c>
      <x:c r="N16" s="70" t="n">
        <x:v>0.39382976032876815</x:v>
      </x:c>
      <x:c r="O16" s="70" t="n">
        <x:v>0.0028424686998202997</x:v>
      </x:c>
      <x:c r="P16" s="52" t="n">
        <x:v>-0.03128925824252951</x:v>
      </x:c>
      <x:c r="Q16" s="70" t="n">
        <x:v>-0.0186741865574614</x:v>
      </x:c>
      <x:c r="R16" s="52" t="n">
        <x:v>-0.12556485883644994</x:v>
      </x:c>
      <x:c r="S16" s="70" t="n">
        <x:v>0.9000763813199093</x:v>
      </x:c>
      <x:c r="T16" s="70" t="n">
        <x:v>0.00019171625072977871</x:v>
      </x:c>
      <x:c r="U16" s="52" t="n">
        <x:v>-0.30819361972694104</x:v>
      </x:c>
      <x:c r="V16" s="70" t="n">
        <x:v>-0.17777218847880558</x:v>
      </x:c>
      <x:c r="W16" s="52" t="n">
        <x:v>-1.2553154506155586</x:v>
      </x:c>
      <x:c r="X16" s="70" t="n">
        <x:v>0.2093642684944914</x:v>
      </x:c>
      <x:c r="Y16" s="70" t="n">
        <x:v>0.016354258034920854</x:v>
      </x:c>
      <x:c r="Z16" s="52" t="n">
        <x:v>2.764655203099809</x:v>
      </x:c>
      <x:c r="AA16" s="70" t="n">
        <x:v>0.23042390425412201</x:v>
      </x:c>
      <x:c r="AB16" s="52" t="n">
        <x:v>2.312387712578633</x:v>
      </x:c>
      <x:c r="AC16" s="70" t="n">
        <x:v>0.020756326885603915</x:v>
      </x:c>
      <x:c r="AD16" s="70" t="n">
        <x:v>0.03888496264872743</x:v>
      </x:c>
      <x:c r="AE16" s="52" t="n">
        <x:v>-0.3152832859132041</x:v>
      </x:c>
      <x:c r="AF16" s="70" t="n">
        <x:v>-0.02645322551013174</x:v>
      </x:c>
      <x:c r="AG16" s="52" t="n">
        <x:v>-0.25350597521842383</x:v>
      </x:c>
      <x:c r="AH16" s="70" t="n">
        <x:v>0.7998772443851705</x:v>
      </x:c>
      <x:c r="AI16" s="70" t="n">
        <x:v>0.00045884474346891135</x:v>
      </x:c>
      <x:c r="AJ16" s="52" t="n">
        <x:v>5.968952397629377</x:v>
      </x:c>
      <x:c r="AK16" s="52" t="n">
        <x:v>-6.8524924094929265</x:v>
      </x:c>
      <x:c r="AL16" s="70" t="n">
        <x:v>0.0000024019728730451106</x:v>
      </x:c>
      <x:c r="AM16" s="70" t="n">
        <x:v>0.433212736361645</x:v>
      </x:c>
      <x:c r="AN16" s="70" t="n">
        <x:v>0.9866714792407835</x:v>
      </x:c>
      <x:c r="AO16" s="70" t="n">
        <x:v>0.5033100362593185</x:v>
      </x:c>
      <x:c r="AP16" s="70" t="n">
        <x:v>0.2246705158112964</x:v>
      </x:c>
      <x:c r="AQ16" s="70" t="n">
        <x:v>0.8372413255272277</x:v>
      </x:c>
      <x:c r="AR16" s="70" t="n">
        <x:v>0.000008807233867832073</x:v>
      </x:c>
    </x:row>
    <x:row r="17">
      <x:c r="C17" s="43" t="str">
        <x:v>Communication Services</x:v>
      </x:c>
      <x:c r="D17" s="43" t="str">
        <x:v>ex_2013_14</x:v>
      </x:c>
      <x:c r="E17" s="19" t="n">
        <x:v>39904</x:v>
      </x:c>
      <x:c r="F17" s="19" t="n">
        <x:v>46204</x:v>
      </x:c>
      <x:c r="G17" s="64" t="n">
        <x:v>184</x:v>
      </x:c>
      <x:c r="H17" s="70" t="n">
        <x:v>0.07607061262603543</x:v>
      </x:c>
      <x:c r="I17" s="70" t="n">
        <x:v>0.05011753994699142</x:v>
      </x:c>
      <x:c r="J17" s="64" t="n">
        <x:v>0</x:v>
      </x:c>
      <x:c r="K17" s="52" t="n">
        <x:v>-1.0551454972175867</x:v>
      </x:c>
      <x:c r="L17" s="70" t="n">
        <x:v>-0.07550815951397988</x:v>
      </x:c>
      <x:c r="M17" s="52" t="n">
        <x:v>-0.9458722207781625</x:v>
      </x:c>
      <x:c r="N17" s="70" t="n">
        <x:v>0.3442137637735818</x:v>
      </x:c>
      <x:c r="O17" s="70" t="n">
        <x:v>0.0045710089220903916</x:v>
      </x:c>
      <x:c r="P17" s="52" t="n">
        <x:v>-0.13883137633718734</x:v>
      </x:c>
      <x:c r="Q17" s="70" t="n">
        <x:v>-0.08531478583911827</x:v>
      </x:c>
      <x:c r="R17" s="52" t="n">
        <x:v>-0.5167801585801381</x:v>
      </x:c>
      <x:c r="S17" s="70" t="n">
        <x:v>0.6053096322505283</x:v>
      </x:c>
      <x:c r="T17" s="70" t="n">
        <x:v>0.0038619165730123806</x:v>
      </x:c>
      <x:c r="U17" s="52" t="n">
        <x:v>-0.40675778016574105</x:v>
      </x:c>
      <x:c r="V17" s="70" t="n">
        <x:v>-0.2414545590732794</x:v>
      </x:c>
      <x:c r="W17" s="52" t="n">
        <x:v>-1.5090057737895932</x:v>
      </x:c>
      <x:c r="X17" s="70" t="n">
        <x:v>0.13129730729027722</x:v>
      </x:c>
      <x:c r="Y17" s="70" t="n">
        <x:v>0.02988917599446439</x:v>
      </x:c>
      <x:c r="Z17" s="52" t="n">
        <x:v>2.741022214609645</x:v>
      </x:c>
      <x:c r="AA17" s="70" t="n">
        <x:v>0.24391374698958634</x:v>
      </x:c>
      <x:c r="AB17" s="52" t="n">
        <x:v>2.291007074707301</x:v>
      </x:c>
      <x:c r="AC17" s="70" t="n">
        <x:v>0.021963004487102644</x:v>
      </x:c>
      <x:c r="AD17" s="70" t="n">
        <x:v>0.041822378071602606</x:v>
      </x:c>
      <x:c r="AE17" s="52" t="n">
        <x:v>-0.13581286269003734</x:v>
      </x:c>
      <x:c r="AF17" s="70" t="n">
        <x:v>-0.011805111948994085</x:v>
      </x:c>
      <x:c r="AG17" s="52" t="n">
        <x:v>-0.11660739229556684</x:v>
      </x:c>
      <x:c r="AH17" s="70" t="n">
        <x:v>0.9071711794881825</x:v>
      </x:c>
      <x:c r="AI17" s="70" t="n">
        <x:v>0.0000865253057288351</x:v>
      </x:c>
      <x:c r="AJ17" s="52" t="n">
        <x:v>6.179005187471408</x:v>
      </x:c>
      <x:c r="AK17" s="52" t="n">
        <x:v>-7.234150684688998</x:v>
      </x:c>
      <x:c r="AL17" s="70" t="n">
        <x:v>7.848961884882044e-7</x:v>
      </x:c>
      <x:c r="AM17" s="70" t="n">
        <x:v>0.42070571127882217</x:v>
      </x:c>
      <x:c r="AN17" s="70" t="n">
        <x:v>0.9662546132430333</x:v>
      </x:c>
      <x:c r="AO17" s="70" t="n">
        <x:v>0.36106759504826236</x:v>
      </x:c>
      <x:c r="AP17" s="70" t="n">
        <x:v>0.24159304935812909</x:v>
      </x:c>
      <x:c r="AQ17" s="70" t="n">
        <x:v>0.9683227461635778</x:v>
      </x:c>
      <x:c r="AR17" s="70" t="n">
        <x:v>0.0000028779526911234163</x:v>
      </x:c>
    </x:row>
    <x:row r="18">
      <x:c r="C18" s="43" t="str">
        <x:v>Communication Services</x:v>
      </x:c>
      <x:c r="D18" s="43" t="str">
        <x:v>ex_2020_21</x:v>
      </x:c>
      <x:c r="E18" s="19" t="n">
        <x:v>39904</x:v>
      </x:c>
      <x:c r="F18" s="19" t="n">
        <x:v>46204</x:v>
      </x:c>
      <x:c r="G18" s="64" t="n">
        <x:v>184</x:v>
      </x:c>
      <x:c r="H18" s="70" t="n">
        <x:v>0.08321338194884342</x:v>
      </x:c>
      <x:c r="I18" s="70" t="n">
        <x:v>0.057460948857518734</x:v>
      </x:c>
      <x:c r="J18" s="64" t="n">
        <x:v>0</x:v>
      </x:c>
      <x:c r="K18" s="52" t="n">
        <x:v>-0.7398567885381091</x:v>
      </x:c>
      <x:c r="L18" s="70" t="n">
        <x:v>-0.033069120392357085</x:v>
      </x:c>
      <x:c r="M18" s="52" t="n">
        <x:v>-0.42801143018410526</x:v>
      </x:c>
      <x:c r="N18" s="70" t="n">
        <x:v>0.6686427986451651</x:v>
      </x:c>
      <x:c r="O18" s="70" t="n">
        <x:v>0.000904006239691002</x:v>
      </x:c>
      <x:c r="P18" s="52" t="n">
        <x:v>-0.004009908497659115</x:v>
      </x:c>
      <x:c r="Q18" s="70" t="n">
        <x:v>-0.00213359016121316</x:v>
      </x:c>
      <x:c r="R18" s="52" t="n">
        <x:v>-0.013955539193255241</x:v>
      </x:c>
      <x:c r="S18" s="70" t="n">
        <x:v>0.9888654521631886</x:v>
      </x:c>
      <x:c r="T18" s="70" t="n">
        <x:v>0.000002739791796546598</x:v>
      </x:c>
      <x:c r="U18" s="52" t="n">
        <x:v>-0.35286327976802</x:v>
      </x:c>
      <x:c r="V18" s="70" t="n">
        <x:v>-0.18410604621455007</x:v>
      </x:c>
      <x:c r="W18" s="52" t="n">
        <x:v>-1.2269517947417083</x:v>
      </x:c>
      <x:c r="X18" s="70" t="n">
        <x:v>0.21984070956910085</x:v>
      </x:c>
      <x:c r="Y18" s="70" t="n">
        <x:v>0.01786789867802674</x:v>
      </x:c>
      <x:c r="Z18" s="52" t="n">
        <x:v>3.5699441360864514</x:v>
      </x:c>
      <x:c r="AA18" s="70" t="n">
        <x:v>0.25730268008289986</x:v>
      </x:c>
      <x:c r="AB18" s="52" t="n">
        <x:v>2.5040113131757753</x:v>
      </x:c>
      <x:c r="AC18" s="70" t="n">
        <x:v>0.012279410772955135</x:v>
      </x:c>
      <x:c r="AD18" s="70" t="n">
        <x:v>0.05117773072627718</x:v>
      </x:c>
      <x:c r="AE18" s="52" t="n">
        <x:v>0.29074363420999927</x:v>
      </x:c>
      <x:c r="AF18" s="70" t="n">
        <x:v>0.02023532869600153</x:v>
      </x:c>
      <x:c r="AG18" s="52" t="n">
        <x:v>0.18604113481263776</x:v>
      </x:c>
      <x:c r="AH18" s="70" t="n">
        <x:v>0.8524125034726469</x:v>
      </x:c>
      <x:c r="AI18" s="70" t="n">
        <x:v>0.00030851565018963356</x:v>
      </x:c>
      <x:c r="AJ18" s="52" t="n">
        <x:v>3.8491398290680143</x:v>
      </x:c>
      <x:c r="AK18" s="52" t="n">
        <x:v>-4.588996617606125</x:v>
      </x:c>
      <x:c r="AL18" s="70" t="n">
        <x:v>0.026764239495962183</x:v>
      </x:c>
      <x:c r="AM18" s="70" t="n">
        <x:v>0.7487098281381741</x:v>
      </x:c>
      <x:c r="AN18" s="70" t="n">
        <x:v>0.9888654521631886</x:v>
      </x:c>
      <x:c r="AO18" s="70" t="n">
        <x:v>0.4234185263265951</x:v>
      </x:c>
      <x:c r="AP18" s="70" t="n">
        <x:v>0.06753675925125324</x:v>
      </x:c>
      <x:c r="AQ18" s="70" t="n">
        <x:v>0.852412503472647</x:v>
      </x:c>
      <x:c r="AR18" s="70" t="n">
        <x:v>0.098135544818528</x:v>
      </x:c>
    </x:row>
    <x:row r="19">
      <x:c r="C19" s="43" t="str">
        <x:v>Communication Services</x:v>
      </x:c>
      <x:c r="D19" s="43" t="str">
        <x:v>clean</x:v>
      </x:c>
      <x:c r="E19" s="19" t="n">
        <x:v>39904</x:v>
      </x:c>
      <x:c r="F19" s="19" t="n">
        <x:v>46204</x:v>
      </x:c>
      <x:c r="G19" s="64" t="n">
        <x:v>160</x:v>
      </x:c>
      <x:c r="H19" s="70" t="n">
        <x:v>0.10191467204103677</x:v>
      </x:c>
      <x:c r="I19" s="70" t="n">
        <x:v>0.0727560574969145</x:v>
      </x:c>
      <x:c r="J19" s="64" t="n">
        <x:v>0</x:v>
      </x:c>
      <x:c r="K19" s="52" t="n">
        <x:v>-1.4236058141443197</x:v>
      </x:c>
      <x:c r="L19" s="70" t="n">
        <x:v>-0.06642529438183913</x:v>
      </x:c>
      <x:c r="M19" s="52" t="n">
        <x:v>-0.7477053023992102</x:v>
      </x:c>
      <x:c r="N19" s="70" t="n">
        <x:v>0.45463793216829584</x:v>
      </x:c>
      <x:c r="O19" s="70" t="n">
        <x:v>0.0036763612038001048</x:v>
      </x:c>
      <x:c r="P19" s="52" t="n">
        <x:v>-0.1522009352803948</x:v>
      </x:c>
      <x:c r="Q19" s="70" t="n">
        <x:v>-0.08265542952507653</x:v>
      </x:c>
      <x:c r="R19" s="52" t="n">
        <x:v>-0.4824356014770666</x:v>
      </x:c>
      <x:c r="S19" s="70" t="n">
        <x:v>0.6294965356011621</x:v>
      </x:c>
      <x:c r="T19" s="70" t="n">
        <x:v>0.004013498187507958</x:v>
      </x:c>
      <x:c r="U19" s="52" t="n">
        <x:v>-0.49140217763643745</x:v>
      </x:c>
      <x:c r="V19" s="70" t="n">
        <x:v>-0.26060453908547276</x:v>
      </x:c>
      <x:c r="W19" s="52" t="n">
        <x:v>-1.530995553467601</x:v>
      </x:c>
      <x:c r="X19" s="70" t="n">
        <x:v>0.1257704916016742</x:v>
      </x:c>
      <x:c r="Y19" s="70" t="n">
        <x:v>0.03575036976838464</x:v>
      </x:c>
      <x:c r="Z19" s="52" t="n">
        <x:v>3.4927059563297522</x:v>
      </x:c>
      <x:c r="AA19" s="70" t="n">
        <x:v>0.26709879165768274</x:v>
      </x:c>
      <x:c r="AB19" s="52" t="n">
        <x:v>2.4886259026690927</x:v>
      </x:c>
      <x:c r="AC19" s="70" t="n">
        <x:v>0.012823782273272633</x:v>
      </x:c>
      <x:c r="AD19" s="70" t="n">
        <x:v>0.05343982074393261</x:v>
      </x:c>
      <x:c r="AE19" s="52" t="n">
        <x:v>0.6811491629801252</x:v>
      </x:c>
      <x:c r="AF19" s="70" t="n">
        <x:v>0.04748760541224445</x:v>
      </x:c>
      <x:c r="AG19" s="52" t="n">
        <x:v>0.47516280045994597</x:v>
      </x:c>
      <x:c r="AH19" s="70" t="n">
        <x:v>0.6346709393399252</x:v>
      </x:c>
      <x:c r="AI19" s="70" t="n">
        <x:v>0.0016579141359638339</x:v>
      </x:c>
      <x:c r="AJ19" s="52" t="n">
        <x:v>4.166800677918155</x:v>
      </x:c>
      <x:c r="AK19" s="52" t="n">
        <x:v>-5.590406492062472</x:v>
      </x:c>
      <x:c r="AL19" s="70" t="n">
        <x:v>0.011568348844297693</x:v>
      </x:c>
      <x:c r="AM19" s="70" t="n">
        <x:v>0.7144310362644648</x:v>
      </x:c>
      <x:c r="AN19" s="70" t="n">
        <x:v>0.718167628131334</x:v>
      </x:c>
      <x:c r="AO19" s="70" t="n">
        <x:v>0.2737209695649228</x:v>
      </x:c>
      <x:c r="AP19" s="70" t="n">
        <x:v>0.07053080250299948</x:v>
      </x:c>
      <x:c r="AQ19" s="70" t="n">
        <x:v>0.6981380332739178</x:v>
      </x:c>
      <x:c r="AR19" s="70" t="n">
        <x:v>0.06362591864363731</x:v>
      </x:c>
    </x:row>
    <x:row r="20">
      <x:c r="C20" s="43" t="str">
        <x:v>Communication Services</x:v>
      </x:c>
      <x:c r="D20" s="43" t="str">
        <x:v>ex_seams</x:v>
      </x:c>
      <x:c r="E20" s="19" t="n">
        <x:v>39904</x:v>
      </x:c>
      <x:c r="F20" s="19" t="n">
        <x:v>46204</x:v>
      </x:c>
      <x:c r="G20" s="64" t="n">
        <x:v>193</x:v>
      </x:c>
      <x:c r="H20" s="70" t="n">
        <x:v>0.07669219709475894</x:v>
      </x:c>
      <x:c r="I20" s="70" t="n">
        <x:v>0.052004822685527974</x:v>
      </x:c>
      <x:c r="J20" s="64" t="n">
        <x:v>0</x:v>
      </x:c>
      <x:c r="K20" s="52" t="n">
        <x:v>-0.4563795373955875</x:v>
      </x:c>
      <x:c r="L20" s="70" t="n">
        <x:v>-0.03118162279553999</x:v>
      </x:c>
      <x:c r="M20" s="52" t="n">
        <x:v>-0.41793580686910425</x:v>
      </x:c>
      <x:c r="N20" s="70" t="n">
        <x:v>0.6759940518784902</x:v>
      </x:c>
      <x:c r="O20" s="70" t="n">
        <x:v>0.0007929271916206071</x:v>
      </x:c>
      <x:c r="P20" s="52" t="n">
        <x:v>-0.12019341105150849</x:v>
      </x:c>
      <x:c r="Q20" s="70" t="n">
        <x:v>-0.07035667339630103</x:v>
      </x:c>
      <x:c r="R20" s="52" t="n">
        <x:v>-0.5241191036461282</x:v>
      </x:c>
      <x:c r="S20" s="70" t="n">
        <x:v>0.6001957021418398</x:v>
      </x:c>
      <x:c r="T20" s="70" t="n">
        <x:v>0.002843926725725421</x:v>
      </x:c>
      <x:c r="U20" s="52" t="n">
        <x:v>-0.3243274198767141</x:v>
      </x:c>
      <x:c r="V20" s="70" t="n">
        <x:v>-0.1863798477964846</x:v>
      </x:c>
      <x:c r="W20" s="52" t="n">
        <x:v>-1.3160974366094005</x:v>
      </x:c>
      <x:c r="X20" s="70" t="n">
        <x:v>0.18814134124796844</x:v>
      </x:c>
      <x:c r="Y20" s="70" t="n">
        <x:v>0.018685179354608672</x:v>
      </x:c>
      <x:c r="Z20" s="52" t="n">
        <x:v>3.3204804497564946</x:v>
      </x:c>
      <x:c r="AA20" s="70" t="n">
        <x:v>0.2717779040383032</x:v>
      </x:c>
      <x:c r="AB20" s="52" t="n">
        <x:v>2.602537571554884</x:v>
      </x:c>
      <x:c r="AC20" s="70" t="n">
        <x:v>0.00925366751647605</x:v>
      </x:c>
      <x:c r="AD20" s="70" t="n">
        <x:v>0.05488258996752704</x:v>
      </x:c>
      <x:c r="AE20" s="52" t="n">
        <x:v>-0.7477882158119704</x:v>
      </x:c>
      <x:c r="AF20" s="70" t="n">
        <x:v>-0.06283941280982193</x:v>
      </x:c>
      <x:c r="AG20" s="52" t="n">
        <x:v>-0.589958605094235</x:v>
      </x:c>
      <x:c r="AH20" s="70" t="n">
        <x:v>0.555218402083429</x:v>
      </x:c>
      <x:c r="AI20" s="70" t="n">
        <x:v>0.0026501766634002832</x:v>
      </x:c>
      <x:c r="AJ20" s="52" t="n">
        <x:v>6.257300955716724</x:v>
      </x:c>
      <x:c r="AK20" s="52" t="n">
        <x:v>-6.713680493112314</x:v>
      </x:c>
      <x:c r="AL20" s="70" t="n">
        <x:v>0.000007366251579377092</x:v>
      </x:c>
      <x:c r="AM20" s="70" t="n">
        <x:v>0.6759940518784902</x:v>
      </x:c>
      <x:c r="AN20" s="70" t="n">
        <x:v>0.8090555968373689</x:v>
      </x:c>
      <x:c r="AO20" s="70" t="n">
        <x:v>0.39477873517995377</x:v>
      </x:c>
      <x:c r="AP20" s="70" t="n">
        <x:v>0.10179034268123655</x:v>
      </x:c>
      <x:c r="AQ20" s="70" t="n">
        <x:v>0.6786002692130799</x:v>
      </x:c>
      <x:c r="AR20" s="70" t="n">
        <x:v>0.00002700958912438267</x:v>
      </x:c>
    </x:row>
    <x:row r="21">
      <x:c r="C21" s="43" t="str">
        <x:v>Communication Services</x:v>
      </x:c>
      <x:c r="D21" s="43" t="str">
        <x:v>audit_clean</x:v>
      </x:c>
      <x:c r="E21" s="19" t="n">
        <x:v>39904</x:v>
      </x:c>
      <x:c r="F21" s="19" t="n">
        <x:v>46204</x:v>
      </x:c>
      <x:c r="G21" s="64" t="n">
        <x:v>151</x:v>
      </x:c>
      <x:c r="H21" s="70" t="n">
        <x:v>0.10328106483799182</x:v>
      </x:c>
      <x:c r="I21" s="70" t="n">
        <x:v>0.07235972224619847</x:v>
      </x:c>
      <x:c r="J21" s="64" t="n">
        <x:v>0</x:v>
      </x:c>
      <x:c r="K21" s="52" t="n">
        <x:v>-1.3415917401323207</x:v>
      </x:c>
      <x:c r="L21" s="70" t="n">
        <x:v>-0.06226055784999246</x:v>
      </x:c>
      <x:c r="M21" s="52" t="n">
        <x:v>-0.6501079187065504</x:v>
      </x:c>
      <x:c r="N21" s="70" t="n">
        <x:v>0.5156225145381561</x:v>
      </x:c>
      <x:c r="O21" s="70" t="n">
        <x:v>0.0032097802286424892</x:v>
      </x:c>
      <x:c r="P21" s="52" t="n">
        <x:v>-0.18061909444386803</x:v>
      </x:c>
      <x:c r="Q21" s="70" t="n">
        <x:v>-0.09591023739898266</x:v>
      </x:c>
      <x:c r="R21" s="52" t="n">
        <x:v>-0.6046006459415331</x:v>
      </x:c>
      <x:c r="S21" s="70" t="n">
        <x:v>0.5454443773767197</x:v>
      </x:c>
      <x:c r="T21" s="70" t="n">
        <x:v>0.005321768764018131</x:v>
      </x:c>
      <x:c r="U21" s="52" t="n">
        <x:v>-0.5096114581643711</x:v>
      </x:c>
      <x:c r="V21" s="70" t="n">
        <x:v>-0.2682926784812775</x:v>
      </x:c>
      <x:c r="W21" s="52" t="n">
        <x:v>-1.5457111127198575</x:v>
      </x:c>
      <x:c r="X21" s="70" t="n">
        <x:v>0.12217435222402129</x:v>
      </x:c>
      <x:c r="Y21" s="70" t="n">
        <x:v>0.03737589244006245</x:v>
      </x:c>
      <x:c r="Z21" s="52" t="n">
        <x:v>3.6552780206018265</x:v>
      </x:c>
      <x:c r="AA21" s="70" t="n">
        <x:v>0.2645668685651993</x:v>
      </x:c>
      <x:c r="AB21" s="52" t="n">
        <x:v>2.5437629744531454</x:v>
      </x:c>
      <x:c r="AC21" s="70" t="n">
        <x:v>0.010966547263408177</x:v>
      </x:c>
      <x:c r="AD21" s="70" t="n">
        <x:v>0.05497848371349057</x:v>
      </x:c>
      <x:c r="AE21" s="52" t="n">
        <x:v>0.8099447854647558</x:v>
      </x:c>
      <x:c r="AF21" s="70" t="n">
        <x:v>0.05424604630491385</x:v>
      </x:c>
      <x:c r="AG21" s="52" t="n">
        <x:v>0.5413797975584467</x:v>
      </x:c>
      <x:c r="AH21" s="70" t="n">
        <x:v>0.5882458290706729</x:v>
      </x:c>
      <x:c r="AI21" s="70" t="n">
        <x:v>0.0022780226867160636</x:v>
      </x:c>
      <x:c r="AJ21" s="52" t="n">
        <x:v>4.442488062949742</x:v>
      </x:c>
      <x:c r="AK21" s="52" t="n">
        <x:v>-5.78407980308206</x:v>
      </x:c>
      <x:c r="AL21" s="70" t="n">
        <x:v>0.016406867932986735</x:v>
      </x:c>
      <x:c r="AM21" s="70" t="n">
        <x:v>0.6992771055179756</x:v>
      </x:c>
      <x:c r="AN21" s="70" t="n">
        <x:v>0.9581476092413563</x:v>
      </x:c>
      <x:c r="AO21" s="70" t="n">
        <x:v>0.27322637413212103</x:v>
      </x:c>
      <x:c r="AP21" s="70" t="n">
        <x:v>0.060316009948744975</x:v>
      </x:c>
      <x:c r="AQ21" s="70" t="n">
        <x:v>0.6470704119777402</x:v>
      </x:c>
      <x:c r="AR21" s="70" t="n">
        <x:v>0.06015851575428469</x:v>
      </x:c>
    </x:row>
    <x:row r="22">
      <x:c r="C22" s="43" t="str">
        <x:v>Communication Services</x:v>
      </x:c>
      <x:c r="D22" s="43" t="str">
        <x:v>since_2020</x:v>
      </x:c>
      <x:c r="E22" s="19" t="n">
        <x:v>43831</x:v>
      </x:c>
      <x:c r="F22" s="19" t="n">
        <x:v>46204</x:v>
      </x:c>
      <x:c r="G22" s="64" t="n">
        <x:v>79</x:v>
      </x:c>
      <x:c r="H22" s="70" t="n">
        <x:v>0.18628387439113303</x:v>
      </x:c>
      <x:c r="I22" s="70" t="n">
        <x:v>0.13054989318504628</x:v>
      </x:c>
      <x:c r="J22" s="64" t="n">
        <x:v>0</x:v>
      </x:c>
      <x:c r="K22" s="52" t="n">
        <x:v>-0.05378320270849386</x:v>
      </x:c>
      <x:c r="L22" s="70" t="n">
        <x:v>-0.009766855504864985</x:v>
      </x:c>
      <x:c r="M22" s="52" t="n">
        <x:v>-0.08016677609009722</x:v>
      </x:c>
      <x:c r="N22" s="70" t="n">
        <x:v>0.9361046139273366</x:v>
      </x:c>
      <x:c r="O22" s="70" t="n">
        <x:v>0.00006993226720297674</x:v>
      </x:c>
      <x:c r="P22" s="52" t="n">
        <x:v>0.13015135919313972</x:v>
      </x:c>
      <x:c r="Q22" s="70" t="n">
        <x:v>0.18960223900501214</x:v>
      </x:c>
      <x:c r="R22" s="52" t="n">
        <x:v>1.0829582858088884</x:v>
      </x:c>
      <x:c r="S22" s="70" t="n">
        <x:v>0.27882693890910737</x:v>
      </x:c>
      <x:c r="T22" s="70" t="n">
        <x:v>0.017339629729497652</x:v>
      </x:c>
      <x:c r="U22" s="52" t="n">
        <x:v>-0.03490828493736217</x:v>
      </x:c>
      <x:c r="V22" s="70" t="n">
        <x:v>-0.04192718616418426</x:v>
      </x:c>
      <x:c r="W22" s="52" t="n">
        <x:v>-0.2897190991189561</x:v>
      </x:c>
      <x:c r="X22" s="70" t="n">
        <x:v>0.7720311437123839</x:v>
      </x:c>
      <x:c r="Y22" s="70" t="n">
        <x:v>0.0008794238113288833</x:v>
      </x:c>
      <x:c r="Z22" s="52" t="n">
        <x:v>1.825364899877989</x:v>
      </x:c>
      <x:c r="AA22" s="70" t="n">
        <x:v>0.41586259146604565</x:v>
      </x:c>
      <x:c r="AB22" s="52" t="n">
        <x:v>2.5184039587176708</x:v>
      </x:c>
      <x:c r="AC22" s="70" t="n">
        <x:v>0.011788802900501771</x:v>
      </x:c>
      <x:c r="AD22" s="70" t="n">
        <x:v>0.1247652399416258</x:v>
      </x:c>
      <x:c r="AE22" s="52" t="n">
        <x:v>-1.5872727289717166</x:v>
      </x:c>
      <x:c r="AF22" s="70" t="n">
        <x:v>-0.32514483242026965</x:v>
      </x:c>
      <x:c r="AG22" s="52" t="n">
        <x:v>-1.7553537411978861</x:v>
      </x:c>
      <x:c r="AH22" s="70" t="n">
        <x:v>0.07919881937688711</x:v>
      </x:c>
      <x:c r="AI22" s="70" t="n">
        <x:v>0.06381528779529255</x:v>
      </x:c>
      <x:c r="AJ22" s="52" t="n">
        <x:v>6.517266411873479</x:v>
      </x:c>
      <x:c r="AK22" s="52" t="n">
        <x:v>-6.571049614581968</x:v>
      </x:c>
      <x:c r="AL22" s="70" t="n">
        <x:v>0.000017365088992304933</x:v>
      </x:c>
      <x:c r="AM22" s="70" t="n">
        <x:v>0.9361046139273366</x:v>
      </x:c>
      <x:c r="AN22" s="70" t="n">
        <x:v>0.5513720907474443</x:v>
      </x:c>
      <x:c r="AO22" s="70" t="n">
        <x:v>0.831904993950753</x:v>
      </x:c>
      <x:c r="AP22" s="70" t="n">
        <x:v>0.06483841595275974</x:v>
      </x:c>
      <x:c r="AQ22" s="70" t="n">
        <x:v>0.14519783552429302</x:v>
      </x:c>
      <x:c r="AR22" s="70" t="n">
        <x:v>0.00009550798945767713</x:v>
      </x:c>
    </x:row>
    <x:row r="23">
      <x:c r="C23" s="43" t="str">
        <x:v>Communication Services</x:v>
      </x:c>
      <x:c r="D23" s="43" t="str">
        <x:v>since_2022</x:v>
      </x:c>
      <x:c r="E23" s="19" t="n">
        <x:v>44562</x:v>
      </x:c>
      <x:c r="F23" s="19" t="n">
        <x:v>46204</x:v>
      </x:c>
      <x:c r="G23" s="64" t="n">
        <x:v>55</x:v>
      </x:c>
      <x:c r="H23" s="70" t="n">
        <x:v>0.33832040681732867</x:v>
      </x:c>
      <x:c r="I23" s="70" t="n">
        <x:v>0.27080208098236225</x:v>
      </x:c>
      <x:c r="J23" s="64" t="n">
        <x:v>0</x:v>
      </x:c>
      <x:c r="K23" s="52" t="n">
        <x:v>4.081376394847972</x:v>
      </x:c>
      <x:c r="L23" s="70" t="n">
        <x:v>0.1933339863636839</x:v>
      </x:c>
      <x:c r="M23" s="52" t="n">
        <x:v>1.3585496054887507</x:v>
      </x:c>
      <x:c r="N23" s="70" t="n">
        <x:v>0.17428935343997987</x:v>
      </x:c>
      <x:c r="O23" s="70" t="n">
        <x:v>0.036249183560152276</x:v>
      </x:c>
      <x:c r="P23" s="52" t="n">
        <x:v>0.23246316298098701</x:v>
      </x:c>
      <x:c r="Q23" s="70" t="n">
        <x:v>0.2915490232665865</x:v>
      </x:c>
      <x:c r="R23" s="52" t="n">
        <x:v>3.1616252408458525</x:v>
      </x:c>
      <x:c r="S23" s="70" t="n">
        <x:v>0.0015689133524847687</x:v>
      </x:c>
      <x:c r="T23" s="70" t="n">
        <x:v>0.04526765587681836</x:v>
      </x:c>
      <x:c r="U23" s="52" t="n">
        <x:v>0.10224463812231077</x:v>
      </x:c>
      <x:c r="V23" s="70" t="n">
        <x:v>0.08956447526639016</x:v>
      </x:c>
      <x:c r="W23" s="52" t="n">
        <x:v>0.48263305412817425</x:v>
      </x:c>
      <x:c r="X23" s="70" t="n">
        <x:v>0.6293563050626796</x:v>
      </x:c>
      <x:c r="Y23" s="70" t="n">
        <x:v>0.003854654283960368</x:v>
      </x:c>
      <x:c r="Z23" s="52" t="n">
        <x:v>2.1792817164774743</x:v>
      </x:c>
      <x:c r="AA23" s="70" t="n">
        <x:v>0.42061721921195355</x:v>
      </x:c>
      <x:c r="AB23" s="52" t="n">
        <x:v>2.9140183325094324</x:v>
      </x:c>
      <x:c r="AC23" s="70" t="n">
        <x:v>0.0035680895257024225</x:v>
      </x:c>
      <x:c r="AD23" s="70" t="n">
        <x:v>0.15874009716416249</x:v>
      </x:c>
      <x:c r="AE23" s="52" t="n">
        <x:v>-2.6386691165778986</x:v>
      </x:c>
      <x:c r="AF23" s="70" t="n">
        <x:v>-0.39537947865251827</x:v>
      </x:c>
      <x:c r="AG23" s="52" t="n">
        <x:v>-1.9991964501718849</x:v>
      </x:c>
      <x:c r="AH23" s="70" t="n">
        <x:v>0.04558710251120357</x:v>
      </x:c>
      <x:c r="AI23" s="70" t="n">
        <x:v>0.09500596253432625</x:v>
      </x:c>
      <x:c r="AJ23" s="52" t="n">
        <x:v>0.2982402843671333</x:v>
      </x:c>
      <x:c r="AK23" s="52" t="n">
        <x:v>3.783136110480841</x:v>
      </x:c>
      <x:c r="AL23" s="70" t="n">
        <x:v>0.47401580412032907</x:v>
      </x:c>
      <x:c r="AM23" s="70" t="n">
        <x:v>0.6390609626132595</x:v>
      </x:c>
      <x:c r="AN23" s="70" t="n">
        <x:v>0.009353498314541686</x:v>
      </x:c>
      <x:c r="AO23" s="70" t="n">
        <x:v>0.7231921470233547</x:v>
      </x:c>
      <x:c r="AP23" s="70" t="n">
        <x:v>0.01308299492757555</x:v>
      </x:c>
      <x:c r="AQ23" s="70" t="n">
        <x:v>0.1671527092077464</x:v>
      </x:c>
      <x:c r="AR23" s="70" t="n">
        <x:v>0.9772311542052887</x:v>
      </x:c>
    </x:row>
    <x:row r="24">
      <x:c r="C24" s="43" t="str">
        <x:v>Communication Services</x:v>
      </x:c>
      <x:c r="D24" s="43" t="str">
        <x:v>since_2022_ex_seams</x:v>
      </x:c>
      <x:c r="E24" s="19" t="n">
        <x:v>44562</x:v>
      </x:c>
      <x:c r="F24" s="19" t="n">
        <x:v>46204</x:v>
      </x:c>
      <x:c r="G24" s="64" t="n">
        <x:v>52</x:v>
      </x:c>
      <x:c r="H24" s="70" t="n">
        <x:v>0.3488743812107209</x:v>
      </x:c>
      <x:c r="I24" s="70" t="n">
        <x:v>0.27809985742927756</x:v>
      </x:c>
      <x:c r="J24" s="64" t="n">
        <x:v>0</x:v>
      </x:c>
      <x:c r="K24" s="52" t="n">
        <x:v>4.385167485774207</x:v>
      </x:c>
      <x:c r="L24" s="70" t="n">
        <x:v>0.20654765275408798</x:v>
      </x:c>
      <x:c r="M24" s="52" t="n">
        <x:v>1.4812620752894876</x:v>
      </x:c>
      <x:c r="N24" s="70" t="n">
        <x:v>0.1385367503201025</x:v>
      </x:c>
      <x:c r="O24" s="70" t="n">
        <x:v>0.04155365963574964</x:v>
      </x:c>
      <x:c r="P24" s="52" t="n">
        <x:v>0.22308751650583591</x:v>
      </x:c>
      <x:c r="Q24" s="70" t="n">
        <x:v>0.27292861084439446</x:v>
      </x:c>
      <x:c r="R24" s="52" t="n">
        <x:v>2.4906344774626574</x:v>
      </x:c>
      <x:c r="S24" s="70" t="n">
        <x:v>0.012751522978133867</x:v>
      </x:c>
      <x:c r="T24" s="70" t="n">
        <x:v>0.037824637542802186</x:v>
      </x:c>
      <x:c r="U24" s="52" t="n">
        <x:v>0.10050021810809362</x:v>
      </x:c>
      <x:c r="V24" s="70" t="n">
        <x:v>0.08800967520193527</x:v>
      </x:c>
      <x:c r="W24" s="52" t="n">
        <x:v>0.4848600847822994</x:v>
      </x:c>
      <x:c r="X24" s="70" t="n">
        <x:v>0.627775597975796</x:v>
      </x:c>
      <x:c r="Y24" s="70" t="n">
        <x:v>0.0035130457154795014</x:v>
      </x:c>
      <x:c r="Z24" s="52" t="n">
        <x:v>2.257428798661581</x:v>
      </x:c>
      <x:c r="AA24" s="70" t="n">
        <x:v>0.43378646372037877</x:v>
      </x:c>
      <x:c r="AB24" s="52" t="n">
        <x:v>3.075617501491205</x:v>
      </x:c>
      <x:c r="AC24" s="70" t="n">
        <x:v>0.002100671391560782</x:v>
      </x:c>
      <x:c r="AD24" s="70" t="n">
        <x:v>0.16875543352085276</x:v>
      </x:c>
      <x:c r="AE24" s="52" t="n">
        <x:v>-2.7232163976445</x:v>
      </x:c>
      <x:c r="AF24" s="70" t="n">
        <x:v>-0.4049410631135442</x:v>
      </x:c>
      <x:c r="AG24" s="52" t="n">
        <x:v>-2.0693480455393063</x:v>
      </x:c>
      <x:c r="AH24" s="70" t="n">
        <x:v>0.03851343811764307</x:v>
      </x:c>
      <x:c r="AI24" s="70" t="n">
        <x:v>0.10001063923035036</x:v>
      </x:c>
      <x:c r="AJ24" s="52" t="n">
        <x:v>-0.25374865841430233</x:v>
      </x:c>
      <x:c r="AK24" s="52" t="n">
        <x:v>4.638916144188507</x:v>
      </x:c>
      <x:c r="AL24" s="70" t="n">
        <x:v>0.37531201618132615</x:v>
      </x:c>
      <x:c r="AM24" s="70" t="n">
        <x:v>0.6845642455099491</x:v>
      </x:c>
      <x:c r="AN24" s="70" t="n">
        <x:v>0.14026675275947253</x:v>
      </x:c>
      <x:c r="AO24" s="70" t="n">
        <x:v>0.6905531577733756</x:v>
      </x:c>
      <x:c r="AP24" s="70" t="n">
        <x:v>0.007702461769056201</x:v>
      </x:c>
      <x:c r="AQ24" s="70" t="n">
        <x:v>0.14121593976469127</x:v>
      </x:c>
      <x:c r="AR24" s="70" t="n">
        <x:v>0.9127750527660768</x:v>
      </x:c>
    </x:row>
    <x:row r="25">
      <x:c r="C25" s="43" t="str">
        <x:v>Consumer Discretionary</x:v>
      </x:c>
      <x:c r="D25" s="43" t="str">
        <x:v>full</x:v>
      </x:c>
      <x:c r="E25" s="19" t="n">
        <x:v>39904</x:v>
      </x:c>
      <x:c r="F25" s="19" t="n">
        <x:v>46204</x:v>
      </x:c>
      <x:c r="G25" s="64" t="n">
        <x:v>208</x:v>
      </x:c>
      <x:c r="H25" s="70" t="n">
        <x:v>0.19275513404364952</x:v>
      </x:c>
      <x:c r="I25" s="70" t="n">
        <x:v>0.17277382548037357</x:v>
      </x:c>
      <x:c r="J25" s="64" t="n">
        <x:v>0</x:v>
      </x:c>
      <x:c r="K25" s="52" t="n">
        <x:v>3.92559497336404</x:v>
      </x:c>
      <x:c r="L25" s="70" t="n">
        <x:v>0.2756882411244894</x:v>
      </x:c>
      <x:c r="M25" s="52" t="n">
        <x:v>3.345768664314699</x:v>
      </x:c>
      <x:c r="N25" s="70" t="n">
        <x:v>0.0008205482341148151</x:v>
      </x:c>
      <x:c r="O25" s="70" t="n">
        <x:v>0.06119621847546464</x:v>
      </x:c>
      <x:c r="P25" s="52" t="n">
        <x:v>0.015085836610212455</x:v>
      </x:c>
      <x:c r="Q25" s="70" t="n">
        <x:v>0.009402665917781279</x:v>
      </x:c>
      <x:c r="R25" s="52" t="n">
        <x:v>0.0697005181663428</x:v>
      </x:c>
      <x:c r="S25" s="70" t="n">
        <x:v>0.9444320293495982</x:v>
      </x:c>
      <x:c r="T25" s="70" t="n">
        <x:v>0.00004860462001110566</x:v>
      </x:c>
      <x:c r="U25" s="52" t="n">
        <x:v>-0.20256108051625787</x:v>
      </x:c>
      <x:c r="V25" s="70" t="n">
        <x:v>-0.12202009553706478</x:v>
      </x:c>
      <x:c r="W25" s="52" t="n">
        <x:v>-0.9934820851807908</x:v>
      </x:c>
      <x:c r="X25" s="70" t="n">
        <x:v>0.32047507662632246</x:v>
      </x:c>
      <x:c r="Y25" s="70" t="n">
        <x:v>0.00770488089029342</x:v>
      </x:c>
      <x:c r="Z25" s="52" t="n">
        <x:v>2.2831567981161767</x:v>
      </x:c>
      <x:c r="AA25" s="70" t="n">
        <x:v>0.19872727344855248</x:v>
      </x:c>
      <x:c r="AB25" s="52" t="n">
        <x:v>1.9691613214574861</x:v>
      </x:c>
      <x:c r="AC25" s="70" t="n">
        <x:v>0.04893456891293324</x:v>
      </x:c>
      <x:c r="AD25" s="70" t="n">
        <x:v>0.028922882436577035</x:v>
      </x:c>
      <x:c r="AE25" s="52" t="n">
        <x:v>1.9040317015584676</x:v>
      </x:c>
      <x:c r="AF25" s="70" t="n">
        <x:v>0.16683495232199935</x:v>
      </x:c>
      <x:c r="AG25" s="52" t="n">
        <x:v>1.5358272306554446</x:v>
      </x:c>
      <x:c r="AH25" s="70" t="n">
        <x:v>0.12458075925338052</x:v>
      </x:c>
      <x:c r="AI25" s="70" t="n">
        <x:v>0.018250828134407815</x:v>
      </x:c>
      <x:c r="AJ25" s="52" t="n">
        <x:v>5.968952397629377</x:v>
      </x:c>
      <x:c r="AK25" s="52" t="n">
        <x:v>-2.043357424265335</x:v>
      </x:c>
      <x:c r="AL25" s="70" t="n">
        <x:v>0.23297111682719351</x:v>
      </x:c>
      <x:c r="AM25" s="70" t="n">
        <x:v>0.009026030575262967</x:v>
      </x:c>
      <x:c r="AN25" s="70" t="n">
        <x:v>0.9866714792407835</x:v>
      </x:c>
      <x:c r="AO25" s="70" t="n">
        <x:v>0.5033100362593185</x:v>
      </x:c>
      <x:c r="AP25" s="70" t="n">
        <x:v>0.2246705158112964</x:v>
      </x:c>
      <x:c r="AQ25" s="70" t="n">
        <x:v>0.36354796876680706</x:v>
      </x:c>
      <x:c r="AR25" s="70" t="n">
        <x:v>0.28474247612212544</x:v>
      </x:c>
    </x:row>
    <x:row r="26">
      <x:c r="C26" s="43" t="str">
        <x:v>Consumer Discretionary</x:v>
      </x:c>
      <x:c r="D26" s="43" t="str">
        <x:v>ex_2013_14</x:v>
      </x:c>
      <x:c r="E26" s="19" t="n">
        <x:v>39904</x:v>
      </x:c>
      <x:c r="F26" s="19" t="n">
        <x:v>46204</x:v>
      </x:c>
      <x:c r="G26" s="64" t="n">
        <x:v>184</x:v>
      </x:c>
      <x:c r="H26" s="70" t="n">
        <x:v>0.2640832588475134</x:v>
      </x:c>
      <x:c r="I26" s="70" t="n">
        <x:v>0.2434114402758143</x:v>
      </x:c>
      <x:c r="J26" s="64" t="n">
        <x:v>0</x:v>
      </x:c>
      <x:c r="K26" s="52" t="n">
        <x:v>4.538925815437483</x:v>
      </x:c>
      <x:c r="L26" s="70" t="n">
        <x:v>0.3542791715015566</x:v>
      </x:c>
      <x:c r="M26" s="52" t="n">
        <x:v>4.382574440276152</x:v>
      </x:c>
      <x:c r="N26" s="70" t="n">
        <x:v>0.000011728507188335513</x:v>
      </x:c>
      <x:c r="O26" s="70" t="n">
        <x:v>0.10062723524790629</x:v>
      </x:c>
      <x:c r="P26" s="52" t="n">
        <x:v>0.07617274238111582</x:v>
      </x:c>
      <x:c r="Q26" s="70" t="n">
        <x:v>0.0510560565921683</x:v>
      </x:c>
      <x:c r="R26" s="52" t="n">
        <x:v>0.3816370107194615</x:v>
      </x:c>
      <x:c r="S26" s="70" t="n">
        <x:v>0.7027306278131151</x:v>
      </x:c>
      <x:c r="T26" s="70" t="n">
        <x:v>0.0013830848185791833</x:v>
      </x:c>
      <x:c r="U26" s="52" t="n">
        <x:v>-0.1408031790566926</x:v>
      </x:c>
      <x:c r="V26" s="70" t="n">
        <x:v>-0.09116392244047937</x:v>
      </x:c>
      <x:c r="W26" s="52" t="n">
        <x:v>-0.7360790727326499</x:v>
      </x:c>
      <x:c r="X26" s="70" t="n">
        <x:v>0.46168257770463095</x:v>
      </x:c>
      <x:c r="Y26" s="70" t="n">
        <x:v>0.004260780172763323</x:v>
      </x:c>
      <x:c r="Z26" s="52" t="n">
        <x:v>2.205377592873549</x:v>
      </x:c>
      <x:c r="AA26" s="70" t="n">
        <x:v>0.2140512071335312</x:v>
      </x:c>
      <x:c r="AB26" s="52" t="n">
        <x:v>1.8330333324017976</x:v>
      </x:c>
      <x:c r="AC26" s="70" t="n">
        <x:v>0.06679761426921438</x:v>
      </x:c>
      <x:c r="AD26" s="70" t="n">
        <x:v>0.032208576475901474</x:v>
      </x:c>
      <x:c r="AE26" s="52" t="n">
        <x:v>1.6635306492242994</x:v>
      </x:c>
      <x:c r="AF26" s="70" t="n">
        <x:v>0.15771427878837674</x:v>
      </x:c>
      <x:c r="AG26" s="52" t="n">
        <x:v>1.35703248199669</x:v>
      </x:c>
      <x:c r="AH26" s="70" t="n">
        <x:v>0.17477088985203348</x:v>
      </x:c>
      <x:c r="AI26" s="70" t="n">
        <x:v>0.015443472224677901</x:v>
      </x:c>
      <x:c r="AJ26" s="52" t="n">
        <x:v>6.179005187471408</x:v>
      </x:c>
      <x:c r="AK26" s="52" t="n">
        <x:v>-1.6400793720339244</x:v>
      </x:c>
      <x:c r="AL26" s="70" t="n">
        <x:v>0.33350838447744713</x:v>
      </x:c>
      <x:c r="AM26" s="70" t="n">
        <x:v>0.00012901357907169064</x:v>
      </x:c>
      <x:c r="AN26" s="70" t="n">
        <x:v>0.9662546132430333</x:v>
      </x:c>
      <x:c r="AO26" s="70" t="n">
        <x:v>0.5642787060834379</x:v>
      </x:c>
      <x:c r="AP26" s="70" t="n">
        <x:v>0.2632026036499188</x:v>
      </x:c>
      <x:c r="AQ26" s="70" t="n">
        <x:v>0.3888261902065162</x:v>
      </x:c>
      <x:c r="AR26" s="70" t="n">
        <x:v>0.40762135880576866</x:v>
      </x:c>
    </x:row>
    <x:row r="27">
      <x:c r="C27" s="43" t="str">
        <x:v>Consumer Discretionary</x:v>
      </x:c>
      <x:c r="D27" s="43" t="str">
        <x:v>ex_2020_21</x:v>
      </x:c>
      <x:c r="E27" s="19" t="n">
        <x:v>39904</x:v>
      </x:c>
      <x:c r="F27" s="19" t="n">
        <x:v>46204</x:v>
      </x:c>
      <x:c r="G27" s="64" t="n">
        <x:v>184</x:v>
      </x:c>
      <x:c r="H27" s="70" t="n">
        <x:v>0.06364912114308985</x:v>
      </x:c>
      <x:c r="I27" s="70" t="n">
        <x:v>0.03734713016396318</x:v>
      </x:c>
      <x:c r="J27" s="64" t="n">
        <x:v>0</x:v>
      </x:c>
      <x:c r="K27" s="52" t="n">
        <x:v>2.447671839493641</x:v>
      </x:c>
      <x:c r="L27" s="70" t="n">
        <x:v>0.12598564499354845</x:v>
      </x:c>
      <x:c r="M27" s="52" t="n">
        <x:v>1.1313290566239649</x:v>
      </x:c>
      <x:c r="N27" s="70" t="n">
        <x:v>0.25791661891114126</x:v>
      </x:c>
      <x:c r="O27" s="70" t="n">
        <x:v>0.013121040290522301</x:v>
      </x:c>
      <x:c r="P27" s="52" t="n">
        <x:v>0.04720799495048836</x:v>
      </x:c>
      <x:c r="Q27" s="70" t="n">
        <x:v>0.028925773742024007</x:v>
      </x:c>
      <x:c r="R27" s="52" t="n">
        <x:v>0.19617761283333734</x:v>
      </x:c>
      <x:c r="S27" s="70" t="n">
        <x:v>0.8444711499565125</x:v>
      </x:c>
      <x:c r="T27" s="70" t="n">
        <x:v>0.0005035765876371112</x:v>
      </x:c>
      <x:c r="U27" s="52" t="n">
        <x:v>-0.11620185504283942</x:v>
      </x:c>
      <x:c r="V27" s="70" t="n">
        <x:v>-0.06981802160494227</x:v>
      </x:c>
      <x:c r="W27" s="52" t="n">
        <x:v>-0.49281766959269785</x:v>
      </x:c>
      <x:c r="X27" s="70" t="n">
        <x:v>0.6221414245358077</x:v>
      </x:c>
      <x:c r="Y27" s="70" t="n">
        <x:v>0.0025696410110076506</x:v>
      </x:c>
      <x:c r="Z27" s="52" t="n">
        <x:v>1.9373754102912943</x:v>
      </x:c>
      <x:c r="AA27" s="70" t="n">
        <x:v>0.1608013035843598</x:v>
      </x:c>
      <x:c r="AB27" s="52" t="n">
        <x:v>1.377682708758252</x:v>
      </x:c>
      <x:c r="AC27" s="70" t="n">
        <x:v>0.16830127225507385</x:v>
      </x:c>
      <x:c r="AD27" s="70" t="n">
        <x:v>0.019988101010191106</x:v>
      </x:c>
      <x:c r="AE27" s="52" t="n">
        <x:v>1.6145215065409653</x:v>
      </x:c>
      <x:c r="AF27" s="70" t="n">
        <x:v>0.12940074458620165</x:v>
      </x:c>
      <x:c r="AG27" s="52" t="n">
        <x:v>1.1757047992735117</x:v>
      </x:c>
      <x:c r="AH27" s="70" t="n">
        <x:v>0.23971286014605675</x:v>
      </x:c>
      <x:c r="AI27" s="70" t="n">
        <x:v>0.012616248178006662</x:v>
      </x:c>
      <x:c r="AJ27" s="52" t="n">
        <x:v>3.8491398290680143</x:v>
      </x:c>
      <x:c r="AK27" s="52" t="n">
        <x:v>-1.4014679895743736</x:v>
      </x:c>
      <x:c r="AL27" s="70" t="n">
        <x:v>0.5735402393464533</x:v>
      </x:c>
      <x:c r="AM27" s="70" t="n">
        <x:v>0.7043878603541852</x:v>
      </x:c>
      <x:c r="AN27" s="70" t="n">
        <x:v>0.9289182649521639</x:v>
      </x:c>
      <x:c r="AO27" s="70" t="n">
        <x:v>0.8373060161960555</x:v>
      </x:c>
      <x:c r="AP27" s="70" t="n">
        <x:v>0.6171046649352708</x:v>
      </x:c>
      <x:c r="AQ27" s="70" t="n">
        <x:v>0.4394735769344374</x:v>
      </x:c>
      <x:c r="AR27" s="70" t="n">
        <x:v>0.6308942632810985</x:v>
      </x:c>
    </x:row>
    <x:row r="28">
      <x:c r="C28" s="43" t="str">
        <x:v>Consumer Discretionary</x:v>
      </x:c>
      <x:c r="D28" s="43" t="str">
        <x:v>clean</x:v>
      </x:c>
      <x:c r="E28" s="19" t="n">
        <x:v>39904</x:v>
      </x:c>
      <x:c r="F28" s="19" t="n">
        <x:v>46204</x:v>
      </x:c>
      <x:c r="G28" s="64" t="n">
        <x:v>160</x:v>
      </x:c>
      <x:c r="H28" s="70" t="n">
        <x:v>0.09774698160358963</x:v>
      </x:c>
      <x:c r="I28" s="70" t="n">
        <x:v>0.06845305243487498</x:v>
      </x:c>
      <x:c r="J28" s="64" t="n">
        <x:v>0</x:v>
      </x:c>
      <x:c r="K28" s="52" t="n">
        <x:v>3.87785693309109</x:v>
      </x:c>
      <x:c r="L28" s="70" t="n">
        <x:v>0.2245211736323114</x:v>
      </x:c>
      <x:c r="M28" s="52" t="n">
        <x:v>1.9978666584665683</x:v>
      </x:c>
      <x:c r="N28" s="70" t="n">
        <x:v>0.0457311182048894</x:v>
      </x:c>
      <x:c r="O28" s="70" t="n">
        <x:v>0.042001597258747636</x:v>
      </x:c>
      <x:c r="P28" s="52" t="n">
        <x:v>0.11230000555585362</x:v>
      </x:c>
      <x:c r="Q28" s="70" t="n">
        <x:v>0.07567555768111296</x:v>
      </x:c>
      <x:c r="R28" s="52" t="n">
        <x:v>0.4932960484215719</x:v>
      </x:c>
      <x:c r="S28" s="70" t="n">
        <x:v>0.6218034200879758</x:v>
      </x:c>
      <x:c r="T28" s="70" t="n">
        <x:v>0.0033642755339927666</x:v>
      </x:c>
      <x:c r="U28" s="52" t="n">
        <x:v>-0.03675306206823725</x:v>
      </x:c>
      <x:c r="V28" s="70" t="n">
        <x:v>-0.024185786430818257</x:v>
      </x:c>
      <x:c r="W28" s="52" t="n">
        <x:v>-0.1629416782454459</x:v>
      </x:c>
      <x:c r="X28" s="70" t="n">
        <x:v>0.8705643548234256</x:v>
      </x:c>
      <x:c r="Y28" s="70" t="n">
        <x:v>0.0003079193729585983</x:v>
      </x:c>
      <x:c r="Z28" s="52" t="n">
        <x:v>1.8628564492126496</x:v>
      </x:c>
      <x:c r="AA28" s="70" t="n">
        <x:v>0.17677102274967732</x:v>
      </x:c>
      <x:c r="AB28" s="52" t="n">
        <x:v>1.2855894077544885</x:v>
      </x:c>
      <x:c r="AC28" s="70" t="n">
        <x:v>0.19858639534788347</x:v>
      </x:c>
      <x:c r="AD28" s="70" t="n">
        <x:v>0.023406867427755995</x:v>
      </x:c>
      <x:c r="AE28" s="52" t="n">
        <x:v>1.2487249647331016</x:v>
      </x:c>
      <x:c r="AF28" s="70" t="n">
        <x:v>0.108025584317642</x:v>
      </x:c>
      <x:c r="AG28" s="52" t="n">
        <x:v>0.9114026347403509</x:v>
      </x:c>
      <x:c r="AH28" s="70" t="n">
        <x:v>0.3620832658940323</x:v>
      </x:c>
      <x:c r="AI28" s="70" t="n">
        <x:v>0.008579357033339341</x:v>
      </x:c>
      <x:c r="AJ28" s="52" t="n">
        <x:v>4.166800677918155</x:v>
      </x:c>
      <x:c r="AK28" s="52" t="n">
        <x:v>-0.28894374482706386</x:v>
      </x:c>
      <x:c r="AL28" s="70" t="n">
        <x:v>0.9053824929541239</x:v>
      </x:c>
      <x:c r="AM28" s="70" t="n">
        <x:v>0.16768076675126112</x:v>
      </x:c>
      <x:c r="AN28" s="70" t="n">
        <x:v>0.718167628131334</x:v>
      </x:c>
      <x:c r="AO28" s="70" t="n">
        <x:v>0.8960101119446274</x:v>
      </x:c>
      <x:c r="AP28" s="70" t="n">
        <x:v>0.4368900697653436</x:v>
      </x:c>
      <x:c r="AQ28" s="70" t="n">
        <x:v>0.5689879892620507</x:v>
      </x:c>
      <x:c r="AR28" s="70" t="n">
        <x:v>0.9053824929541239</x:v>
      </x:c>
    </x:row>
    <x:row r="29">
      <x:c r="C29" s="43" t="str">
        <x:v>Consumer Discretionary</x:v>
      </x:c>
      <x:c r="D29" s="43" t="str">
        <x:v>ex_seams</x:v>
      </x:c>
      <x:c r="E29" s="19" t="n">
        <x:v>39904</x:v>
      </x:c>
      <x:c r="F29" s="19" t="n">
        <x:v>46204</x:v>
      </x:c>
      <x:c r="G29" s="64" t="n">
        <x:v>193</x:v>
      </x:c>
      <x:c r="H29" s="70" t="n">
        <x:v>0.19549396054577683</x:v>
      </x:c>
      <x:c r="I29" s="70" t="n">
        <x:v>0.1739831038758778</x:v>
      </x:c>
      <x:c r="J29" s="64" t="n">
        <x:v>0</x:v>
      </x:c>
      <x:c r="K29" s="52" t="n">
        <x:v>4.128321639343767</x:v>
      </x:c>
      <x:c r="L29" s="70" t="n">
        <x:v>0.30080952715117104</x:v>
      </x:c>
      <x:c r="M29" s="52" t="n">
        <x:v>3.6721900215725243</x:v>
      </x:c>
      <x:c r="N29" s="70" t="n">
        <x:v>0.00024048075852101114</x:v>
      </x:c>
      <x:c r="O29" s="70" t="n">
        <x:v>0.07379366121554554</x:v>
      </x:c>
      <x:c r="P29" s="52" t="n">
        <x:v>-0.10984084554414086</x:v>
      </x:c>
      <x:c r="Q29" s="70" t="n">
        <x:v>-0.0685699787809345</x:v>
      </x:c>
      <x:c r="R29" s="52" t="n">
        <x:v>-0.48417284015615825</x:v>
      </x:c>
      <x:c r="S29" s="70" t="n">
        <x:v>0.6282632103810517</x:v>
      </x:c>
      <x:c r="T29" s="70" t="n">
        <x:v>0.0027013187853925924</x:v>
      </x:c>
      <x:c r="U29" s="52" t="n">
        <x:v>-0.2533139469021459</x:v>
      </x:c>
      <x:c r="V29" s="70" t="n">
        <x:v>-0.1552458138992918</x:v>
      </x:c>
      <x:c r="W29" s="52" t="n">
        <x:v>-1.2892985437757947</x:v>
      </x:c>
      <x:c r="X29" s="70" t="n">
        <x:v>0.1972943170571817</x:v>
      </x:c>
      <x:c r="Y29" s="70" t="n">
        <x:v>0.012964004183352307</x:v>
      </x:c>
      <x:c r="Z29" s="52" t="n">
        <x:v>2.498216592899723</x:v>
      </x:c>
      <x:c r="AA29" s="70" t="n">
        <x:v>0.21806643176326745</x:v>
      </x:c>
      <x:c r="AB29" s="52" t="n">
        <x:v>1.9076832799195655</x:v>
      </x:c>
      <x:c r="AC29" s="70" t="n">
        <x:v>0.05643216403880347</x:v>
      </x:c>
      <x:c r="AD29" s="70" t="n">
        <x:v>0.03533327897770633</x:v>
      </x:c>
      <x:c r="AE29" s="52" t="n">
        <x:v>1.6418024754072968</x:v>
      </x:c>
      <x:c r="AF29" s="70" t="n">
        <x:v>0.14713632976393995</x:v>
      </x:c>
      <x:c r="AG29" s="52" t="n">
        <x:v>1.3094918962899158</x:v>
      </x:c>
      <x:c r="AH29" s="70" t="n">
        <x:v>0.19036778099505236</x:v>
      </x:c>
      <x:c r="AI29" s="70" t="n">
        <x:v>0.014529491866812183</x:v>
      </x:c>
      <x:c r="AJ29" s="52" t="n">
        <x:v>6.257300955716724</x:v>
      </x:c>
      <x:c r="AK29" s="52" t="n">
        <x:v>-2.128979316372954</x:v>
      </x:c>
      <x:c r="AL29" s="70" t="n">
        <x:v>0.20476864134194273</x:v>
      </x:c>
      <x:c r="AM29" s="70" t="n">
        <x:v>0.0026452883437311225</x:v>
      </x:c>
      <x:c r="AN29" s="70" t="n">
        <x:v>0.8090555968373689</x:v>
      </x:c>
      <x:c r="AO29" s="70" t="n">
        <x:v>0.39477873517995377</x:v>
      </x:c>
      <x:c r="AP29" s="70" t="n">
        <x:v>0.15518845110670954</x:v>
      </x:c>
      <x:c r="AQ29" s="70" t="n">
        <x:v>0.4188091181891152</x:v>
      </x:c>
      <x:c r="AR29" s="70" t="n">
        <x:v>0.25027278386237445</x:v>
      </x:c>
    </x:row>
    <x:row r="30">
      <x:c r="C30" s="43" t="str">
        <x:v>Consumer Discretionary</x:v>
      </x:c>
      <x:c r="D30" s="43" t="str">
        <x:v>audit_clean</x:v>
      </x:c>
      <x:c r="E30" s="19" t="n">
        <x:v>39904</x:v>
      </x:c>
      <x:c r="F30" s="19" t="n">
        <x:v>46204</x:v>
      </x:c>
      <x:c r="G30" s="64" t="n">
        <x:v>151</x:v>
      </x:c>
      <x:c r="H30" s="70" t="n">
        <x:v>0.08795004452529609</x:v>
      </x:c>
      <x:c r="I30" s="70" t="n">
        <x:v>0.05650004606065118</x:v>
      </x:c>
      <x:c r="J30" s="64" t="n">
        <x:v>0</x:v>
      </x:c>
      <x:c r="K30" s="52" t="n">
        <x:v>3.651566511074157</x:v>
      </x:c>
      <x:c r="L30" s="70" t="n">
        <x:v>0.21908418734526902</x:v>
      </x:c>
      <x:c r="M30" s="52" t="n">
        <x:v>1.888654376910375</x:v>
      </x:c>
      <x:c r="N30" s="70" t="n">
        <x:v>0.05893815563569116</x:v>
      </x:c>
      <x:c r="O30" s="70" t="n">
        <x:v>0.039743979334243784</x:v>
      </x:c>
      <x:c r="P30" s="52" t="n">
        <x:v>0.02321735208552478</x:v>
      </x:c>
      <x:c r="Q30" s="70" t="n">
        <x:v>0.01593871035360106</x:v>
      </x:c>
      <x:c r="R30" s="52" t="n">
        <x:v>0.10131442213927593</x:v>
      </x:c>
      <x:c r="S30" s="70" t="n">
        <x:v>0.9193008678918129</x:v>
      </x:c>
      <x:c r="T30" s="70" t="n">
        <x:v>0.0001469712626032127</x:v>
      </x:c>
      <x:c r="U30" s="52" t="n">
        <x:v>-0.10791865506636311</x:v>
      </x:c>
      <x:c r="V30" s="70" t="n">
        <x:v>-0.07345229115923567</x:v>
      </x:c>
      <x:c r="W30" s="52" t="n">
        <x:v>-0.4904854042577286</x:v>
      </x:c>
      <x:c r="X30" s="70" t="n">
        <x:v>0.6237904556313889</x:v>
      </x:c>
      <x:c r="Y30" s="70" t="n">
        <x:v>0.0028014612711003695</x:v>
      </x:c>
      <x:c r="Z30" s="52" t="n">
        <x:v>1.5371674392555503</x:v>
      </x:c>
      <x:c r="AA30" s="70" t="n">
        <x:v>0.14383858570559244</x:v>
      </x:c>
      <x:c r="AB30" s="52" t="n">
        <x:v>1.0224388018441264</x:v>
      </x:c>
      <x:c r="AC30" s="70" t="n">
        <x:v>0.3065732636246512</x:v>
      </x:c>
      <x:c r="AD30" s="70" t="n">
        <x:v>0.016250721680375002</x:v>
      </x:c>
      <x:c r="AE30" s="52" t="n">
        <x:v>1.4768348284764325</x:v>
      </x:c>
      <x:c r="AF30" s="70" t="n">
        <x:v>0.12787445275969744</x:v>
      </x:c>
      <x:c r="AG30" s="52" t="n">
        <x:v>1.052126662091658</x:v>
      </x:c>
      <x:c r="AH30" s="70" t="n">
        <x:v>0.29274144107752287</x:v>
      </x:c>
      <x:c r="AI30" s="70" t="n">
        <x:v>0.012658709703629145</x:v>
      </x:c>
      <x:c r="AJ30" s="52" t="n">
        <x:v>4.442488062949742</x:v>
      </x:c>
      <x:c r="AK30" s="52" t="n">
        <x:v>-0.7909215518755826</x:v>
      </x:c>
      <x:c r="AL30" s="70" t="n">
        <x:v>0.753447261981266</x:v>
      </x:c>
      <x:c r="AM30" s="70" t="n">
        <x:v>0.21610657066420091</x:v>
      </x:c>
      <x:c r="AN30" s="70" t="n">
        <x:v>0.9581476092413563</x:v>
      </x:c>
      <x:c r="AO30" s="70" t="n">
        <x:v>0.7624105568828087</x:v>
      </x:c>
      <x:c r="AP30" s="70" t="n">
        <x:v>0.48175798569588046</x:v>
      </x:c>
      <x:c r="AQ30" s="70" t="n">
        <x:v>0.45971750530088473</x:v>
      </x:c>
      <x:c r="AR30" s="70" t="n">
        <x:v>0.7648892435215306</x:v>
      </x:c>
    </x:row>
    <x:row r="31">
      <x:c r="C31" s="43" t="str">
        <x:v>Consumer Discretionary</x:v>
      </x:c>
      <x:c r="D31" s="43" t="str">
        <x:v>since_2020</x:v>
      </x:c>
      <x:c r="E31" s="19" t="n">
        <x:v>43831</x:v>
      </x:c>
      <x:c r="F31" s="19" t="n">
        <x:v>46204</x:v>
      </x:c>
      <x:c r="G31" s="64" t="n">
        <x:v>79</x:v>
      </x:c>
      <x:c r="H31" s="70" t="n">
        <x:v>0.3324190373724224</x:v>
      </x:c>
      <x:c r="I31" s="70" t="n">
        <x:v>0.28669431390478006</x:v>
      </x:c>
      <x:c r="J31" s="64" t="n">
        <x:v>0</x:v>
      </x:c>
      <x:c r="K31" s="52" t="n">
        <x:v>4.870679368193197</x:v>
      </x:c>
      <x:c r="L31" s="70" t="n">
        <x:v>0.36719245724209915</x:v>
      </x:c>
      <x:c r="M31" s="52" t="n">
        <x:v>3.142164669167334</x:v>
      </x:c>
      <x:c r="N31" s="70" t="n">
        <x:v>0.0016770368914262868</x:v>
      </x:c>
      <x:c r="O31" s="70" t="n">
        <x:v>0.09884520034297417</x:v>
      </x:c>
      <x:c r="P31" s="52" t="n">
        <x:v>0.2998836528036213</x:v>
      </x:c>
      <x:c r="Q31" s="70" t="n">
        <x:v>0.18136089640054093</x:v>
      </x:c>
      <x:c r="R31" s="52" t="n">
        <x:v>0.9966030406257771</x:v>
      </x:c>
      <x:c r="S31" s="70" t="n">
        <x:v>0.3189572294801901</x:v>
      </x:c>
      <x:c r="T31" s="70" t="n">
        <x:v>0.015865004641063996</x:v>
      </x:c>
      <x:c r="U31" s="52" t="n">
        <x:v>0.14834284394985153</x:v>
      </x:c>
      <x:c r="V31" s="70" t="n">
        <x:v>0.07396562190298334</x:v>
      </x:c>
      <x:c r="W31" s="52" t="n">
        <x:v>0.3543823416541106</x:v>
      </x:c>
      <x:c r="X31" s="70" t="n">
        <x:v>0.7230523663305033</x:v>
      </x:c>
      <x:c r="Y31" s="70" t="n">
        <x:v>0.0027369484214537776</x:v>
      </x:c>
      <x:c r="Z31" s="52" t="n">
        <x:v>3.2837857952095564</x:v>
      </x:c>
      <x:c r="AA31" s="70" t="n">
        <x:v>0.3105782853800698</x:v>
      </x:c>
      <x:c r="AB31" s="52" t="n">
        <x:v>1.552958971289181</x:v>
      </x:c>
      <x:c r="AC31" s="70" t="n">
        <x:v>0.12043293682210177</x:v>
      </x:c>
      <x:c r="AD31" s="70" t="n">
        <x:v>0.06958827499502951</x:v>
      </x:c>
      <x:c r="AE31" s="52" t="n">
        <x:v>-0.07806289552105661</x:v>
      </x:c>
      <x:c r="AF31" s="70" t="n">
        <x:v>-0.0066384404733304675</x:v>
      </x:c>
      <x:c r="AG31" s="52" t="n">
        <x:v>-0.03426123541860945</x:v>
      </x:c>
      <x:c r="AH31" s="70" t="n">
        <x:v>0.9726688363635978</x:v>
      </x:c>
      <x:c r="AI31" s="70" t="n">
        <x:v>0.00002660131773668528</x:v>
      </x:c>
      <x:c r="AJ31" s="52" t="n">
        <x:v>6.517266411873479</x:v>
      </x:c>
      <x:c r="AK31" s="52" t="n">
        <x:v>-1.6465870436802756</x:v>
      </x:c>
      <x:c r="AL31" s="70" t="n">
        <x:v>0.48233847947328123</x:v>
      </x:c>
      <x:c r="AM31" s="70" t="n">
        <x:v>0.003689481161137831</x:v>
      </x:c>
      <x:c r="AN31" s="70" t="n">
        <x:v>0.5513720907474443</x:v>
      </x:c>
      <x:c r="AO31" s="70" t="n">
        <x:v>0.831904993950753</x:v>
      </x:c>
      <x:c r="AP31" s="70" t="n">
        <x:v>0.24347335092644412</x:v>
      </x:c>
      <x:c r="AQ31" s="70" t="n">
        <x:v>0.9726688363635977</x:v>
      </x:c>
      <x:c r="AR31" s="70" t="n">
        <x:v>0.5895248082451215</x:v>
      </x:c>
    </x:row>
    <x:row r="32">
      <x:c r="C32" s="43" t="str">
        <x:v>Consumer Discretionary</x:v>
      </x:c>
      <x:c r="D32" s="43" t="str">
        <x:v>since_2022</x:v>
      </x:c>
      <x:c r="E32" s="19" t="n">
        <x:v>44562</x:v>
      </x:c>
      <x:c r="F32" s="19" t="n">
        <x:v>46204</x:v>
      </x:c>
      <x:c r="G32" s="64" t="n">
        <x:v>55</x:v>
      </x:c>
      <x:c r="H32" s="70" t="n">
        <x:v>0.3036758566825378</x:v>
      </x:c>
      <x:c r="I32" s="70" t="n">
        <x:v>0.23262237267055197</x:v>
      </x:c>
      <x:c r="J32" s="64" t="n">
        <x:v>0</x:v>
      </x:c>
      <x:c r="K32" s="52" t="n">
        <x:v>-1.3870946547388894</x:v>
      </x:c>
      <x:c r="L32" s="70" t="n">
        <x:v>-0.03031324712635297</x:v>
      </x:c>
      <x:c r="M32" s="52" t="n">
        <x:v>-0.17092215839637873</x:v>
      </x:c>
      <x:c r="N32" s="70" t="n">
        <x:v>0.8642849731631006</x:v>
      </x:c>
      <x:c r="O32" s="70" t="n">
        <x:v>0.000891141641572446</x:v>
      </x:c>
      <x:c r="P32" s="52" t="n">
        <x:v>0.8259860729720208</x:v>
      </x:c>
      <x:c r="Q32" s="70" t="n">
        <x:v>0.4779197491726909</x:v>
      </x:c>
      <x:c r="R32" s="52" t="n">
        <x:v>3.1380711237226686</x:v>
      </x:c>
      <x:c r="S32" s="70" t="n">
        <x:v>0.0017006360571893975</x:v>
      </x:c>
      <x:c r="T32" s="70" t="n">
        <x:v>0.12163954270573585</x:v>
      </x:c>
      <x:c r="U32" s="52" t="n">
        <x:v>1.5369158863551888</x:v>
      </x:c>
      <x:c r="V32" s="70" t="n">
        <x:v>0.6211123259496815</x:v>
      </x:c>
      <x:c r="W32" s="52" t="n">
        <x:v>3.0616191798748376</x:v>
      </x:c>
      <x:c r="X32" s="70" t="n">
        <x:v>0.0022014333431292776</x:v>
      </x:c>
      <x:c r="Y32" s="70" t="n">
        <x:v>0.18537627763781506</x:v>
      </x:c>
      <x:c r="Z32" s="52" t="n">
        <x:v>3.8629371275868842</x:v>
      </x:c>
      <x:c r="AA32" s="70" t="n">
        <x:v>0.34396647583416856</x:v>
      </x:c>
      <x:c r="AB32" s="52" t="n">
        <x:v>1.527276698439713</x:v>
      </x:c>
      <x:c r="AC32" s="70" t="n">
        <x:v>0.12669222118259826</x:v>
      </x:c>
      <x:c r="AD32" s="70" t="n">
        <x:v>0.10615605717454313</x:v>
      </x:c>
      <x:c r="AE32" s="52" t="n">
        <x:v>-6.299339587919677</x:v>
      </x:c>
      <x:c r="AF32" s="70" t="n">
        <x:v>-0.4354607497855048</x:v>
      </x:c>
      <x:c r="AG32" s="52" t="n">
        <x:v>-2.629208156911987</x:v>
      </x:c>
      <x:c r="AH32" s="70" t="n">
        <x:v>0.008558395646113048</x:v>
      </x:c>
      <x:c r="AI32" s="70" t="n">
        <x:v>0.1152446160871834</x:v>
      </x:c>
      <x:c r="AJ32" s="52" t="n">
        <x:v>0.2982402843671333</x:v>
      </x:c>
      <x:c r="AK32" s="52" t="n">
        <x:v>-1.6853349391060166</x:v>
      </x:c>
      <x:c r="AL32" s="70" t="n">
        <x:v>0.8200860465305913</x:v>
      </x:c>
      <x:c r="AM32" s="70" t="n">
        <x:v>0.9072887452862399</x:v>
      </x:c>
      <x:c r="AN32" s="70" t="n">
        <x:v>0.009353498314541686</x:v>
      </x:c>
      <x:c r="AO32" s="70" t="n">
        <x:v>0.012107883387211027</x:v>
      </x:c>
      <x:c r="AP32" s="70" t="n">
        <x:v>0.2787228866017162</x:v>
      </x:c>
      <x:c r="AQ32" s="70" t="n">
        <x:v>0.047071176053621766</x:v>
      </x:c>
      <x:c r="AR32" s="70" t="n">
        <x:v>0.9772311542052887</x:v>
      </x:c>
    </x:row>
    <x:row r="33">
      <x:c r="C33" s="43" t="str">
        <x:v>Consumer Discretionary</x:v>
      </x:c>
      <x:c r="D33" s="43" t="str">
        <x:v>since_2022_ex_seams</x:v>
      </x:c>
      <x:c r="E33" s="19" t="n">
        <x:v>44562</x:v>
      </x:c>
      <x:c r="F33" s="19" t="n">
        <x:v>46204</x:v>
      </x:c>
      <x:c r="G33" s="64" t="n">
        <x:v>52</x:v>
      </x:c>
      <x:c r="H33" s="70" t="n">
        <x:v>0.275973910104491</x:v>
      </x:c>
      <x:c r="I33" s="70" t="n">
        <x:v>0.19727542207237048</x:v>
      </x:c>
      <x:c r="J33" s="64" t="n">
        <x:v>0</x:v>
      </x:c>
      <x:c r="K33" s="52" t="n">
        <x:v>-1.8749846994586132</x:v>
      </x:c>
      <x:c r="L33" s="70" t="n">
        <x:v>-0.04439566193057193</x:v>
      </x:c>
      <x:c r="M33" s="52" t="n">
        <x:v>-0.21428303308831506</x:v>
      </x:c>
      <x:c r="N33" s="70" t="n">
        <x:v>0.8303263483856891</x:v>
      </x:c>
      <x:c r="O33" s="70" t="n">
        <x:v>0.0019197727442272772</x:v>
      </x:c>
      <x:c r="P33" s="52" t="n">
        <x:v>0.6649845638665881</x:v>
      </x:c>
      <x:c r="Q33" s="70" t="n">
        <x:v>0.4089724838240958</x:v>
      </x:c>
      <x:c r="R33" s="52" t="n">
        <x:v>2.1785698433708722</x:v>
      </x:c>
      <x:c r="S33" s="70" t="n">
        <x:v>0.029363638479481313</x:v>
      </x:c>
      <x:c r="T33" s="70" t="n">
        <x:v>0.08493072352105946</x:v>
      </x:c>
      <x:c r="U33" s="52" t="n">
        <x:v>1.3600542639154247</x:v>
      </x:c>
      <x:c r="V33" s="70" t="n">
        <x:v>0.5987263601175425</x:v>
      </x:c>
      <x:c r="W33" s="52" t="n">
        <x:v>2.4412564136172437</x:v>
      </x:c>
      <x:c r="X33" s="70" t="n">
        <x:v>0.014636258497426669</x:v>
      </x:c>
      <x:c r="Y33" s="70" t="n">
        <x:v>0.16258471847555012</x:v>
      </x:c>
      <x:c r="Z33" s="52" t="n">
        <x:v>3.6974604475384396</x:v>
      </x:c>
      <x:c r="AA33" s="70" t="n">
        <x:v>0.3571693640299133</x:v>
      </x:c>
      <x:c r="AB33" s="52" t="n">
        <x:v>1.5471966166514084</x:v>
      </x:c>
      <x:c r="AC33" s="70" t="n">
        <x:v>0.12181584158394965</x:v>
      </x:c>
      <x:c r="AD33" s="70" t="n">
        <x:v>0.11440741538614496</x:v>
      </x:c>
      <x:c r="AE33" s="52" t="n">
        <x:v>-5.9940907955000275</x:v>
      </x:c>
      <x:c r="AF33" s="70" t="n">
        <x:v>-0.4480657122739902</x:v>
      </x:c>
      <x:c r="AG33" s="52" t="n">
        <x:v>-2.4038497794666</x:v>
      </x:c>
      <x:c r="AH33" s="70" t="n">
        <x:v>0.01622343839049578</x:v>
      </x:c>
      <x:c r="AI33" s="70" t="n">
        <x:v>0.12244639074593</x:v>
      </x:c>
      <x:c r="AJ33" s="52" t="n">
        <x:v>-0.25374865841430233</x:v>
      </x:c>
      <x:c r="AK33" s="52" t="n">
        <x:v>-1.62123604104432</x:v>
      </x:c>
      <x:c r="AL33" s="70" t="n">
        <x:v>0.8458294464241978</x:v>
      </x:c>
      <x:c r="AM33" s="70" t="n">
        <x:v>0.9361322152825664</x:v>
      </x:c>
      <x:c r="AN33" s="70" t="n">
        <x:v>0.16150001163714722</x:v>
      </x:c>
      <x:c r="AO33" s="70" t="n">
        <x:v>0.08049942173584668</x:v>
      </x:c>
      <x:c r="AP33" s="70" t="n">
        <x:v>0.2679948514846892</x:v>
      </x:c>
      <x:c r="AQ33" s="70" t="n">
        <x:v>0.0892289111477268</x:v>
      </x:c>
      <x:c r="AR33" s="70" t="n">
        <x:v>0.9127750527660768</x:v>
      </x:c>
    </x:row>
    <x:row r="34">
      <x:c r="C34" s="43" t="str">
        <x:v>Consumer Staples</x:v>
      </x:c>
      <x:c r="D34" s="43" t="str">
        <x:v>full</x:v>
      </x:c>
      <x:c r="E34" s="19" t="n">
        <x:v>39904</x:v>
      </x:c>
      <x:c r="F34" s="19" t="n">
        <x:v>46204</x:v>
      </x:c>
      <x:c r="G34" s="64" t="n">
        <x:v>208</x:v>
      </x:c>
      <x:c r="H34" s="70" t="n">
        <x:v>0.08771426274082184</x:v>
      </x:c>
      <x:c r="I34" s="70" t="n">
        <x:v>0.06513293261064412</x:v>
      </x:c>
      <x:c r="J34" s="64" t="n">
        <x:v>0</x:v>
      </x:c>
      <x:c r="K34" s="52" t="n">
        <x:v>0.7422051640121128</x:v>
      </x:c>
      <x:c r="L34" s="70" t="n">
        <x:v>0.06519660424049817</x:v>
      </x:c>
      <x:c r="M34" s="52" t="n">
        <x:v>0.5458682829133673</x:v>
      </x:c>
      <x:c r="N34" s="70" t="n">
        <x:v>0.5851564818447612</x:v>
      </x:c>
      <x:c r="O34" s="70" t="n">
        <x:v>0.0034224574184947842</x:v>
      </x:c>
      <x:c r="P34" s="52" t="n">
        <x:v>0.06383204307954686</x:v>
      </x:c>
      <x:c r="Q34" s="70" t="n">
        <x:v>0.049763234615277756</x:v>
      </x:c>
      <x:c r="R34" s="52" t="n">
        <x:v>0.46037598766033677</x:v>
      </x:c>
      <x:c r="S34" s="70" t="n">
        <x:v>0.6452463672021873</x:v>
      </x:c>
      <x:c r="T34" s="70" t="n">
        <x:v>0.0013614219376866243</x:v>
      </x:c>
      <x:c r="U34" s="52" t="n">
        <x:v>-0.1385148053001053</x:v>
      </x:c>
      <x:c r="V34" s="70" t="n">
        <x:v>-0.10436618349072226</x:v>
      </x:c>
      <x:c r="W34" s="52" t="n">
        <x:v>-0.8465724932199223</x:v>
      </x:c>
      <x:c r="X34" s="70" t="n">
        <x:v>0.39723345122262765</x:v>
      </x:c>
      <x:c r="Y34" s="70" t="n">
        <x:v>0.005636672632463924</x:v>
      </x:c>
      <x:c r="Z34" s="52" t="n">
        <x:v>1.0765209519486723</x:v>
      </x:c>
      <x:c r="AA34" s="70" t="n">
        <x:v>0.11720131198922366</x:v>
      </x:c>
      <x:c r="AB34" s="52" t="n">
        <x:v>1.1334102005750915</x:v>
      </x:c>
      <x:c r="AC34" s="70" t="n">
        <x:v>0.2570420324066012</x:v>
      </x:c>
      <x:c r="AD34" s="70" t="n">
        <x:v>0.010059851524416574</x:v>
      </x:c>
      <x:c r="AE34" s="52" t="n">
        <x:v>1.6079742166230002</x:v>
      </x:c>
      <x:c r="AF34" s="70" t="n">
        <x:v>0.17623014475468082</x:v>
      </x:c>
      <x:c r="AG34" s="52" t="n">
        <x:v>1.0804758634562808</x:v>
      </x:c>
      <x:c r="AH34" s="70" t="n">
        <x:v>0.2799303293017883</x:v>
      </x:c>
      <x:c r="AI34" s="70" t="n">
        <x:v>0.020364271954801172</x:v>
      </x:c>
      <x:c r="AJ34" s="52" t="n">
        <x:v>5.968952397629377</x:v>
      </x:c>
      <x:c r="AK34" s="52" t="n">
        <x:v>-5.226747233617262</x:v>
      </x:c>
      <x:c r="AL34" s="70" t="n">
        <x:v>0.0027812457710798544</x:v>
      </x:c>
      <x:c r="AM34" s="70" t="n">
        <x:v>0.5851564818447612</x:v>
      </x:c>
      <x:c r="AN34" s="70" t="n">
        <x:v>0.9866714792407835</x:v>
      </x:c>
      <x:c r="AO34" s="70" t="n">
        <x:v>0.5033100362593185</x:v>
      </x:c>
      <x:c r="AP34" s="70" t="n">
        <x:v>0.5654924712945226</x:v>
      </x:c>
      <x:c r="AQ34" s="70" t="n">
        <x:v>0.43989051747423874</x:v>
      </x:c>
      <x:c r="AR34" s="70" t="n">
        <x:v>0.005098950580313066</x:v>
      </x:c>
    </x:row>
    <x:row r="35">
      <x:c r="C35" s="43" t="str">
        <x:v>Consumer Staples</x:v>
      </x:c>
      <x:c r="D35" s="43" t="str">
        <x:v>ex_2013_14</x:v>
      </x:c>
      <x:c r="E35" s="19" t="n">
        <x:v>39904</x:v>
      </x:c>
      <x:c r="F35" s="19" t="n">
        <x:v>46204</x:v>
      </x:c>
      <x:c r="G35" s="64" t="n">
        <x:v>184</x:v>
      </x:c>
      <x:c r="H35" s="70" t="n">
        <x:v>0.10203261262098395</x:v>
      </x:c>
      <x:c r="I35" s="70" t="n">
        <x:v>0.07680880960471947</x:v>
      </x:c>
      <x:c r="J35" s="64" t="n">
        <x:v>0</x:v>
      </x:c>
      <x:c r="K35" s="52" t="n">
        <x:v>0.9888551618659024</x:v>
      </x:c>
      <x:c r="L35" s="70" t="n">
        <x:v>0.09480915999020752</x:v>
      </x:c>
      <x:c r="M35" s="52" t="n">
        <x:v>0.7357442840298802</x:v>
      </x:c>
      <x:c r="N35" s="70" t="n">
        <x:v>0.4618863341205608</x:v>
      </x:c>
      <x:c r="O35" s="70" t="n">
        <x:v>0.007206508400802836</x:v>
      </x:c>
      <x:c r="P35" s="52" t="n">
        <x:v>0.058977654623136755</x:v>
      </x:c>
      <x:c r="Q35" s="70" t="n">
        <x:v>0.048557939850301886</x:v>
      </x:c>
      <x:c r="R35" s="52" t="n">
        <x:v>0.417874021893872</x:v>
      </x:c>
      <x:c r="S35" s="70" t="n">
        <x:v>0.6760392270035211</x:v>
      </x:c>
      <x:c r="T35" s="70" t="n">
        <x:v>0.001251050334795667</x:v>
      </x:c>
      <x:c r="U35" s="52" t="n">
        <x:v>-0.16724709920275127</x:v>
      </x:c>
      <x:c r="V35" s="70" t="n">
        <x:v>-0.1330130385428612</x:v>
      </x:c>
      <x:c r="W35" s="52" t="n">
        <x:v>-0.9863409292414932</x:v>
      </x:c>
      <x:c r="X35" s="70" t="n">
        <x:v>0.32396584148057506</x:v>
      </x:c>
      <x:c r="Y35" s="70" t="n">
        <x:v>0.009070506760504471</x:v>
      </x:c>
      <x:c r="Z35" s="52" t="n">
        <x:v>1.4769109496713038</x:v>
      </x:c>
      <x:c r="AA35" s="70" t="n">
        <x:v>0.1760816552141396</x:v>
      </x:c>
      <x:c r="AB35" s="52" t="n">
        <x:v>1.5657381236342165</x:v>
      </x:c>
      <x:c r="AC35" s="70" t="n">
        <x:v>0.11740993728675342</x:v>
      </x:c>
      <x:c r="AD35" s="70" t="n">
        <x:v>0.02179537732910819</x:v>
      </x:c>
      <x:c r="AE35" s="52" t="n">
        <x:v>0.9174294420639637</x:v>
      </x:c>
      <x:c r="AF35" s="70" t="n">
        <x:v>0.106841003620856</x:v>
      </x:c>
      <x:c r="AG35" s="52" t="n">
        <x:v>0.5959484709971611</x:v>
      </x:c>
      <x:c r="AH35" s="70" t="n">
        <x:v>0.5512096509532962</x:v>
      </x:c>
      <x:c r="AI35" s="70" t="n">
        <x:v>0.007087267755643389</x:v>
      </x:c>
      <x:c r="AJ35" s="52" t="n">
        <x:v>6.179005187471408</x:v>
      </x:c>
      <x:c r="AK35" s="52" t="n">
        <x:v>-5.190150025605499</x:v>
      </x:c>
      <x:c r="AL35" s="70" t="n">
        <x:v>0.0033229215677927915</x:v>
      </x:c>
      <x:c r="AM35" s="70" t="n">
        <x:v>0.5080749675326169</x:v>
      </x:c>
      <x:c r="AN35" s="70" t="n">
        <x:v>0.9662546132430333</x:v>
      </x:c>
      <x:c r="AO35" s="70" t="n">
        <x:v>0.5642787060834379</x:v>
      </x:c>
      <x:c r="AP35" s="70" t="n">
        <x:v>0.3228773275385719</x:v>
      </x:c>
      <x:c r="AQ35" s="70" t="n">
        <x:v>0.7209609207328858</x:v>
      </x:c>
      <x:c r="AR35" s="70" t="n">
        <x:v>0.006092022874286784</x:v>
      </x:c>
    </x:row>
    <x:row r="36">
      <x:c r="C36" s="43" t="str">
        <x:v>Consumer Staples</x:v>
      </x:c>
      <x:c r="D36" s="43" t="str">
        <x:v>ex_2020_21</x:v>
      </x:c>
      <x:c r="E36" s="19" t="n">
        <x:v>39904</x:v>
      </x:c>
      <x:c r="F36" s="19" t="n">
        <x:v>46204</x:v>
      </x:c>
      <x:c r="G36" s="64" t="n">
        <x:v>184</x:v>
      </x:c>
      <x:c r="H36" s="70" t="n">
        <x:v>0.016692970067153867</x:v>
      </x:c>
      <x:c r="I36" s="70" t="n">
        <x:v>-0.010928013919723867</x:v>
      </x:c>
      <x:c r="J36" s="64" t="n">
        <x:v>0</x:v>
      </x:c>
      <x:c r="K36" s="52" t="n">
        <x:v>-0.9806854154622037</x:v>
      </x:c>
      <x:c r="L36" s="70" t="n">
        <x:v>-0.0671258884262828</x:v>
      </x:c>
      <x:c r="M36" s="52" t="n">
        <x:v>-0.8701625839140816</x:v>
      </x:c>
      <x:c r="N36" s="70" t="n">
        <x:v>0.3842115601931919</x:v>
      </x:c>
      <x:c r="O36" s="70" t="n">
        <x:v>0.00372482810112007</x:v>
      </x:c>
      <x:c r="P36" s="52" t="n">
        <x:v>0.08816692608481623</x:v>
      </x:c>
      <x:c r="Q36" s="70" t="n">
        <x:v>0.07184020895342808</x:v>
      </x:c>
      <x:c r="R36" s="52" t="n">
        <x:v>0.6192183432883381</x:v>
      </x:c>
      <x:c r="S36" s="70" t="n">
        <x:v>0.535772529309164</x:v>
      </x:c>
      <x:c r="T36" s="70" t="n">
        <x:v>0.003106209436027463</x:v>
      </x:c>
      <x:c r="U36" s="52" t="n">
        <x:v>0.042227482244701964</x:v>
      </x:c>
      <x:c r="V36" s="70" t="n">
        <x:v>0.03373977039417865</x:v>
      </x:c>
      <x:c r="W36" s="52" t="n">
        <x:v>0.32067102445320084</x:v>
      </x:c>
      <x:c r="X36" s="70" t="n">
        <x:v>0.7484597076981099</x:v>
      </x:c>
      <x:c r="Y36" s="70" t="n">
        <x:v>0.0006000972325483911</x:v>
      </x:c>
      <x:c r="Z36" s="52" t="n">
        <x:v>0.8135917519775608</x:v>
      </x:c>
      <x:c r="AA36" s="70" t="n">
        <x:v>0.08979967745695835</x:v>
      </x:c>
      <x:c r="AB36" s="52" t="n">
        <x:v>0.8423604706623842</x:v>
      </x:c>
      <x:c r="AC36" s="70" t="n">
        <x:v>0.3995862123012184</x:v>
      </x:c>
      <x:c r="AD36" s="70" t="n">
        <x:v>0.006233643459824245</x:v>
      </x:c>
      <x:c r="AE36" s="52" t="n">
        <x:v>-0.2974916397359656</x:v>
      </x:c>
      <x:c r="AF36" s="70" t="n">
        <x:v>-0.031707365872711224</x:v>
      </x:c>
      <x:c r="AG36" s="52" t="n">
        <x:v>-0.245080535542435</x:v>
      </x:c>
      <x:c r="AH36" s="70" t="n">
        <x:v>0.8063940738006459</x:v>
      </x:c>
      <x:c r="AI36" s="70" t="n">
        <x:v>0.0007574901692123381</x:v>
      </x:c>
      <x:c r="AJ36" s="52" t="n">
        <x:v>3.8491398290680143</x:v>
      </x:c>
      <x:c r="AK36" s="52" t="n">
        <x:v>-4.829825244530215</x:v>
      </x:c>
      <x:c r="AL36" s="70" t="n">
        <x:v>0.008776895291494391</x:v>
      </x:c>
      <x:c r="AM36" s="70" t="n">
        <x:v>0.7043878603541852</x:v>
      </x:c>
      <x:c r="AN36" s="70" t="n">
        <x:v>0.8635982664161705</x:v>
      </x:c>
      <x:c r="AO36" s="70" t="n">
        <x:v>0.8373060161960555</x:v>
      </x:c>
      <x:c r="AP36" s="70" t="n">
        <x:v>0.6530692764357904</x:v>
      </x:c>
      <x:c r="AQ36" s="70" t="n">
        <x:v>0.852412503472647</x:v>
      </x:c>
      <x:c r="AR36" s="70" t="n">
        <x:v>0.04827292410321915</x:v>
      </x:c>
    </x:row>
    <x:row r="37">
      <x:c r="C37" s="43" t="str">
        <x:v>Consumer Staples</x:v>
      </x:c>
      <x:c r="D37" s="43" t="str">
        <x:v>clean</x:v>
      </x:c>
      <x:c r="E37" s="19" t="n">
        <x:v>39904</x:v>
      </x:c>
      <x:c r="F37" s="19" t="n">
        <x:v>46204</x:v>
      </x:c>
      <x:c r="G37" s="64" t="n">
        <x:v>160</x:v>
      </x:c>
      <x:c r="H37" s="70" t="n">
        <x:v>0.030966878339145798</x:v>
      </x:c>
      <x:c r="I37" s="70" t="n">
        <x:v>-0.0004952360004921719</x:v>
      </x:c>
      <x:c r="J37" s="64" t="n">
        <x:v>0</x:v>
      </x:c>
      <x:c r="K37" s="52" t="n">
        <x:v>-0.11099031443321844</x:v>
      </x:c>
      <x:c r="L37" s="70" t="n">
        <x:v>-0.008480872370744713</x:v>
      </x:c>
      <x:c r="M37" s="52" t="n">
        <x:v>-0.10547544713219895</x:v>
      </x:c>
      <x:c r="N37" s="70" t="n">
        <x:v>0.915998551649589</x:v>
      </x:c>
      <x:c r="O37" s="70" t="n">
        <x:v>0.000059928340811366</x:v>
      </x:c>
      <x:c r="P37" s="52" t="n">
        <x:v>0.07705588432943705</x:v>
      </x:c>
      <x:c r="Q37" s="70" t="n">
        <x:v>0.06852855682275083</x:v>
      </x:c>
      <x:c r="R37" s="52" t="n">
        <x:v>0.5449616924617537</x:v>
      </x:c>
      <x:c r="S37" s="70" t="n">
        <x:v>0.5857798645817667</x:v>
      </x:c>
      <x:c r="T37" s="70" t="n">
        <x:v>0.0027588206548428973</x:v>
      </x:c>
      <x:c r="U37" s="52" t="n">
        <x:v>0.019772912847264054</x:v>
      </x:c>
      <x:c r="V37" s="70" t="n">
        <x:v>0.017172252362993856</x:v>
      </x:c>
      <x:c r="W37" s="52" t="n">
        <x:v>0.13070318595012168</x:v>
      </x:c>
      <x:c r="X37" s="70" t="n">
        <x:v>0.8960101119446273</x:v>
      </x:c>
      <x:c r="Y37" s="70" t="n">
        <x:v>0.00015522837496195763</x:v>
      </x:c>
      <x:c r="Z37" s="52" t="n">
        <x:v>1.3130026417727618</x:v>
      </x:c>
      <x:c r="AA37" s="70" t="n">
        <x:v>0.16443232948368408</x:v>
      </x:c>
      <x:c r="AB37" s="52" t="n">
        <x:v>1.4924318393432492</x:v>
      </x:c>
      <x:c r="AC37" s="70" t="n">
        <x:v>0.13558597341429968</x:v>
      </x:c>
      <x:c r="AD37" s="70" t="n">
        <x:v>0.020253289237269878</x:v>
      </x:c>
      <x:c r="AE37" s="52" t="n">
        <x:v>-1.4266670113387787</x:v>
      </x:c>
      <x:c r="AF37" s="70" t="n">
        <x:v>-0.16288173006317916</x:v>
      </x:c>
      <x:c r="AG37" s="52" t="n">
        <x:v>-1.3117282303420936</x:v>
      </x:c>
      <x:c r="AH37" s="70" t="n">
        <x:v>0.18961184807041986</x:v>
      </x:c>
      <x:c r="AI37" s="70" t="n">
        <x:v>0.01950501283652417</x:v>
      </x:c>
      <x:c r="AJ37" s="52" t="n">
        <x:v>4.166800677918155</x:v>
      </x:c>
      <x:c r="AK37" s="52" t="n">
        <x:v>-4.277790992351376</x:v>
      </x:c>
      <x:c r="AL37" s="70" t="n">
        <x:v>0.025358202997039392</x:v>
      </x:c>
      <x:c r="AM37" s="70" t="n">
        <x:v>0.915998551649589</x:v>
      </x:c>
      <x:c r="AN37" s="70" t="n">
        <x:v>0.718167628131334</x:v>
      </x:c>
      <x:c r="AO37" s="70" t="n">
        <x:v>0.8960101119446274</x:v>
      </x:c>
      <x:c r="AP37" s="70" t="n">
        <x:v>0.4368900697653436</x:v>
      </x:c>
      <x:c r="AQ37" s="70" t="n">
        <x:v>0.3553610092681516</x:v>
      </x:c>
      <x:c r="AR37" s="70" t="n">
        <x:v>0.09298007765581111</x:v>
      </x:c>
    </x:row>
    <x:row r="38">
      <x:c r="C38" s="43" t="str">
        <x:v>Consumer Staples</x:v>
      </x:c>
      <x:c r="D38" s="43" t="str">
        <x:v>ex_seams</x:v>
      </x:c>
      <x:c r="E38" s="19" t="n">
        <x:v>39904</x:v>
      </x:c>
      <x:c r="F38" s="19" t="n">
        <x:v>46204</x:v>
      </x:c>
      <x:c r="G38" s="64" t="n">
        <x:v>193</x:v>
      </x:c>
      <x:c r="H38" s="70" t="n">
        <x:v>0.10263172953563404</x:v>
      </x:c>
      <x:c r="I38" s="70" t="n">
        <x:v>0.07863792551252258</x:v>
      </x:c>
      <x:c r="J38" s="64" t="n">
        <x:v>0</x:v>
      </x:c>
      <x:c r="K38" s="52" t="n">
        <x:v>0.7774972038817614</x:v>
      </x:c>
      <x:c r="L38" s="70" t="n">
        <x:v>0.07752237848194556</x:v>
      </x:c>
      <x:c r="M38" s="52" t="n">
        <x:v>0.5399205465509258</x:v>
      </x:c>
      <x:c r="N38" s="70" t="n">
        <x:v>0.5892518275658534</x:v>
      </x:c>
      <x:c r="O38" s="70" t="n">
        <x:v>0.004901060481656727</x:v>
      </x:c>
      <x:c r="P38" s="52" t="n">
        <x:v>-0.0578223847482289</x:v>
      </x:c>
      <x:c r="Q38" s="70" t="n">
        <x:v>-0.04939424356693274</x:v>
      </x:c>
      <x:c r="R38" s="52" t="n">
        <x:v>-0.4372161765108979</x:v>
      </x:c>
      <x:c r="S38" s="70" t="n">
        <x:v>0.6619545792305745</x:v>
      </x:c>
      <x:c r="T38" s="70" t="n">
        <x:v>0.0014017174712592784</x:v>
      </x:c>
      <x:c r="U38" s="52" t="n">
        <x:v>-0.16790974268811343</x:v>
      </x:c>
      <x:c r="V38" s="70" t="n">
        <x:v>-0.14081434034111046</x:v>
      </x:c>
      <x:c r="W38" s="52" t="n">
        <x:v>-1.1777117091369933</x:v>
      </x:c>
      <x:c r="X38" s="70" t="n">
        <x:v>0.2389115572757292</x:v>
      </x:c>
      <x:c r="Y38" s="70" t="n">
        <x:v>0.010665792625286663</x:v>
      </x:c>
      <x:c r="Z38" s="52" t="n">
        <x:v>1.9156382320459098</x:v>
      </x:c>
      <x:c r="AA38" s="70" t="n">
        <x:v>0.22881390704213328</x:v>
      </x:c>
      <x:c r="AB38" s="52" t="n">
        <x:v>2.035542341011839</x:v>
      </x:c>
      <x:c r="AC38" s="70" t="n">
        <x:v>0.04179633271228811</x:v>
      </x:c>
      <x:c r="AD38" s="70" t="n">
        <x:v>0.03890192942440707</x:v>
      </x:c>
      <x:c r="AE38" s="52" t="n">
        <x:v>1.0039154053319692</x:v>
      </x:c>
      <x:c r="AF38" s="70" t="n">
        <x:v>0.1231136828893146</x:v>
      </x:c>
      <x:c r="AG38" s="52" t="n">
        <x:v>0.7636220550621509</x:v>
      </x:c>
      <x:c r="AH38" s="70" t="n">
        <x:v>0.4450925022000418</x:v>
      </x:c>
      <x:c r="AI38" s="70" t="n">
        <x:v>0.010172395461270578</x:v>
      </x:c>
      <x:c r="AJ38" s="52" t="n">
        <x:v>6.257300955716724</x:v>
      </x:c>
      <x:c r="AK38" s="52" t="n">
        <x:v>-5.479803751834965</x:v>
      </x:c>
      <x:c r="AL38" s="70" t="n">
        <x:v>0.002835319040840112</x:v>
      </x:c>
      <x:c r="AM38" s="70" t="n">
        <x:v>0.6481770103224387</x:v>
      </x:c>
      <x:c r="AN38" s="70" t="n">
        <x:v>0.8090555968373689</x:v>
      </x:c>
      <x:c r="AO38" s="70" t="n">
        <x:v>0.39477873517995377</x:v>
      </x:c>
      <x:c r="AP38" s="70" t="n">
        <x:v>0.15518845110670954</x:v>
      </x:c>
      <x:c r="AQ38" s="70" t="n">
        <x:v>0.6120021905250574</x:v>
      </x:c>
      <x:c r="AR38" s="70" t="n">
        <x:v>0.005198084908206872</x:v>
      </x:c>
    </x:row>
    <x:row r="39">
      <x:c r="C39" s="43" t="str">
        <x:v>Consumer Staples</x:v>
      </x:c>
      <x:c r="D39" s="43" t="str">
        <x:v>audit_clean</x:v>
      </x:c>
      <x:c r="E39" s="19" t="n">
        <x:v>39904</x:v>
      </x:c>
      <x:c r="F39" s="19" t="n">
        <x:v>46204</x:v>
      </x:c>
      <x:c r="G39" s="64" t="n">
        <x:v>151</x:v>
      </x:c>
      <x:c r="H39" s="70" t="n">
        <x:v>0.027991882798086398</x:v>
      </x:c>
      <x:c r="I39" s="70" t="n">
        <x:v>-0.005525638484738193</x:v>
      </x:c>
      <x:c r="J39" s="64" t="n">
        <x:v>0</x:v>
      </x:c>
      <x:c r="K39" s="52" t="n">
        <x:v>-0.5186238333680167</x:v>
      </x:c>
      <x:c r="L39" s="70" t="n">
        <x:v>-0.04109071361265461</x:v>
      </x:c>
      <x:c r="M39" s="52" t="n">
        <x:v>-0.47403925840749944</x:v>
      </x:c>
      <x:c r="N39" s="70" t="n">
        <x:v>0.6354719121958976</x:v>
      </x:c>
      <x:c r="O39" s="70" t="n">
        <x:v>0.001398094893933055</x:v>
      </x:c>
      <x:c r="P39" s="52" t="n">
        <x:v>0.038048915831634805</x:v>
      </x:c>
      <x:c r="Q39" s="70" t="n">
        <x:v>0.034493889893233855</x:v>
      </x:c>
      <x:c r="R39" s="52" t="n">
        <x:v>0.2795721357918863</x:v>
      </x:c>
      <x:c r="S39" s="70" t="n">
        <x:v>0.7798057873472803</x:v>
      </x:c>
      <x:c r="T39" s="70" t="n">
        <x:v>0.0006883517385667393</x:v>
      </x:c>
      <x:c r="U39" s="52" t="n">
        <x:v>-0.039005486855496374</x:v>
      </x:c>
      <x:c r="V39" s="70" t="n">
        <x:v>-0.03505854765664623</x:v>
      </x:c>
      <x:c r="W39" s="52" t="n">
        <x:v>-0.2617695061244167</x:v>
      </x:c>
      <x:c r="X39" s="70" t="n">
        <x:v>0.7934991500772883</x:v>
      </x:c>
      <x:c r="Y39" s="70" t="n">
        <x:v>0.0006382073047475068</x:v>
      </x:c>
      <x:c r="Z39" s="52" t="n">
        <x:v>1.2123932636853174</x:v>
      </x:c>
      <x:c r="AA39" s="70" t="n">
        <x:v>0.14981563435609552</x:v>
      </x:c>
      <x:c r="AB39" s="52" t="n">
        <x:v>1.348830960540011</x:v>
      </x:c>
      <x:c r="AC39" s="70" t="n">
        <x:v>0.17739126772612668</x:v>
      </x:c>
      <x:c r="AD39" s="70" t="n">
        <x:v>0.017629342653522007</x:v>
      </x:c>
      <x:c r="AE39" s="52" t="n">
        <x:v>-1.0935608526362182</x:v>
      </x:c>
      <x:c r="AF39" s="70" t="n">
        <x:v>-0.1250415108204298</x:v>
      </x:c>
      <x:c r="AG39" s="52" t="n">
        <x:v>-0.9654089830897272</x:v>
      </x:c>
      <x:c r="AH39" s="70" t="n">
        <x:v>0.3343400038551889</x:v>
      </x:c>
      <x:c r="AI39" s="70" t="n">
        <x:v>0.012104038295040143</x:v>
      </x:c>
      <x:c r="AJ39" s="52" t="n">
        <x:v>4.442488062949742</x:v>
      </x:c>
      <x:c r="AK39" s="52" t="n">
        <x:v>-4.961111896317752</x:v>
      </x:c>
      <x:c r="AL39" s="70" t="n">
        <x:v>0.015467970016199706</x:v>
      </x:c>
      <x:c r="AM39" s="70" t="n">
        <x:v>0.6992771055179756</x:v>
      </x:c>
      <x:c r="AN39" s="70" t="n">
        <x:v>0.9581476092413563</x:v>
      </x:c>
      <x:c r="AO39" s="70" t="n">
        <x:v>0.800081580172293</x:v>
      </x:c>
      <x:c r="AP39" s="70" t="n">
        <x:v>0.48175798569588046</x:v>
      </x:c>
      <x:c r="AQ39" s="70" t="n">
        <x:v>0.45971750530088473</x:v>
      </x:c>
      <x:c r="AR39" s="70" t="n">
        <x:v>0.06015851575428469</x:v>
      </x:c>
    </x:row>
    <x:row r="40">
      <x:c r="C40" s="43" t="str">
        <x:v>Consumer Staples</x:v>
      </x:c>
      <x:c r="D40" s="43" t="str">
        <x:v>since_2020</x:v>
      </x:c>
      <x:c r="E40" s="19" t="n">
        <x:v>43831</x:v>
      </x:c>
      <x:c r="F40" s="19" t="n">
        <x:v>46204</x:v>
      </x:c>
      <x:c r="G40" s="64" t="n">
        <x:v>79</x:v>
      </x:c>
      <x:c r="H40" s="70" t="n">
        <x:v>0.32559658922619517</x:v>
      </x:c>
      <x:c r="I40" s="70" t="n">
        <x:v>0.2794045747896332</x:v>
      </x:c>
      <x:c r="J40" s="64" t="n">
        <x:v>0</x:v>
      </x:c>
      <x:c r="K40" s="52" t="n">
        <x:v>1.585056241845666</x:v>
      </x:c>
      <x:c r="L40" s="70" t="n">
        <x:v>0.15375028302209698</x:v>
      </x:c>
      <x:c r="M40" s="52" t="n">
        <x:v>1.4939042281400898</x:v>
      </x:c>
      <x:c r="N40" s="70" t="n">
        <x:v>0.13520065318128172</x:v>
      </x:c>
      <x:c r="O40" s="70" t="n">
        <x:v>0.017330054593135857</x:v>
      </x:c>
      <x:c r="P40" s="52" t="n">
        <x:v>-0.08971058655492414</x:v>
      </x:c>
      <x:c r="Q40" s="70" t="n">
        <x:v>-0.06980742119943183</x:v>
      </x:c>
      <x:c r="R40" s="52" t="n">
        <x:v>-0.4744905943262271</x:v>
      </x:c>
      <x:c r="S40" s="70" t="n">
        <x:v>0.6351501036072102</x:v>
      </x:c>
      <x:c r="T40" s="70" t="n">
        <x:v>0.0023504774316596144</x:v>
      </x:c>
      <x:c r="U40" s="52" t="n">
        <x:v>-0.4425878684137255</x:v>
      </x:c>
      <x:c r="V40" s="70" t="n">
        <x:v>-0.2839421424312578</x:v>
      </x:c>
      <x:c r="W40" s="52" t="n">
        <x:v>-1.6261562849395435</x:v>
      </x:c>
      <x:c r="X40" s="70" t="n">
        <x:v>0.10391641301732446</x:v>
      </x:c>
      <x:c r="Y40" s="70" t="n">
        <x:v>0.040333554458149345</x:v>
      </x:c>
      <x:c r="Z40" s="52" t="n">
        <x:v>0.7381555019071528</x:v>
      </x:c>
      <x:c r="AA40" s="70" t="n">
        <x:v>0.08982788334778183</x:v>
      </x:c>
      <x:c r="AB40" s="52" t="n">
        <x:v>0.6926438551000885</x:v>
      </x:c>
      <x:c r="AC40" s="70" t="n">
        <x:v>0.48853308140980367</x:v>
      </x:c>
      <x:c r="AD40" s="70" t="n">
        <x:v>0.005821249688385821</x:v>
      </x:c>
      <x:c r="AE40" s="52" t="n">
        <x:v>4.098468113600946</x:v>
      </x:c>
      <x:c r="AF40" s="70" t="n">
        <x:v>0.4484458473921169</x:v>
      </x:c>
      <x:c r="AG40" s="52" t="n">
        <x:v>2.045661066753093</x:v>
      </x:c>
      <x:c r="AH40" s="70" t="n">
        <x:v>0.04078972877200737</x:v>
      </x:c>
      <x:c r="AI40" s="70" t="n">
        <x:v>0.12139227025843402</x:v>
      </x:c>
      <x:c r="AJ40" s="52" t="n">
        <x:v>6.517266411873479</x:v>
      </x:c>
      <x:c r="AK40" s="52" t="n">
        <x:v>-4.932210170027809</x:v>
      </x:c>
      <x:c r="AL40" s="70" t="n">
        <x:v>0.007585071993581494</x:v>
      </x:c>
      <x:c r="AM40" s="70" t="n">
        <x:v>0.18590089812426236</x:v>
      </x:c>
      <x:c r="AN40" s="70" t="n">
        <x:v>0.7762945710754792</x:v>
      </x:c>
      <x:c r="AO40" s="70" t="n">
        <x:v>0.28577013579764227</x:v>
      </x:c>
      <x:c r="AP40" s="70" t="n">
        <x:v>0.5842754380261526</x:v>
      </x:c>
      <x:c r="AQ40" s="70" t="n">
        <x:v>0.08973740329841622</x:v>
      </x:c>
      <x:c r="AR40" s="70" t="n">
        <x:v>0.013905965321566072</x:v>
      </x:c>
    </x:row>
    <x:row r="41">
      <x:c r="C41" s="43" t="str">
        <x:v>Consumer Staples</x:v>
      </x:c>
      <x:c r="D41" s="43" t="str">
        <x:v>since_2022</x:v>
      </x:c>
      <x:c r="E41" s="19" t="n">
        <x:v>44562</x:v>
      </x:c>
      <x:c r="F41" s="19" t="n">
        <x:v>46204</x:v>
      </x:c>
      <x:c r="G41" s="64" t="n">
        <x:v>55</x:v>
      </x:c>
      <x:c r="H41" s="70" t="n">
        <x:v>0.04784855022952439</x:v>
      </x:c>
      <x:c r="I41" s="70" t="n">
        <x:v>-0.04930976097154449</x:v>
      </x:c>
      <x:c r="J41" s="64" t="n">
        <x:v>0</x:v>
      </x:c>
      <x:c r="K41" s="52" t="n">
        <x:v>-0.9555836674064759</x:v>
      </x:c>
      <x:c r="L41" s="70" t="n">
        <x:v>-0.03249691989940584</x:v>
      </x:c>
      <x:c r="M41" s="52" t="n">
        <x:v>-0.36035429970275534</x:v>
      </x:c>
      <x:c r="N41" s="70" t="n">
        <x:v>0.718582197633248</x:v>
      </x:c>
      <x:c r="O41" s="70" t="n">
        <x:v>0.0010241562454099684</x:v>
      </x:c>
      <x:c r="P41" s="52" t="n">
        <x:v>0.12378455784285824</x:v>
      </x:c>
      <x:c r="Q41" s="70" t="n">
        <x:v>0.11145404682417345</x:v>
      </x:c>
      <x:c r="R41" s="52" t="n">
        <x:v>0.579512073643136</x:v>
      </x:c>
      <x:c r="S41" s="70" t="n">
        <x:v>0.5622437023100817</x:v>
      </x:c>
      <x:c r="T41" s="70" t="n">
        <x:v>0.006615406082445374</x:v>
      </x:c>
      <x:c r="U41" s="52" t="n">
        <x:v>0.27395165592746407</x:v>
      </x:c>
      <x:c r="V41" s="70" t="n">
        <x:v>0.17228247326440663</x:v>
      </x:c>
      <x:c r="W41" s="52" t="n">
        <x:v>0.7691330039668882</x:v>
      </x:c>
      <x:c r="X41" s="70" t="n">
        <x:v>0.44181435727871676</x:v>
      </x:c>
      <x:c r="Y41" s="70" t="n">
        <x:v>0.014262513125694043</x:v>
      </x:c>
      <x:c r="Z41" s="52" t="n">
        <x:v>1.3978411183408763</x:v>
      </x:c>
      <x:c r="AA41" s="70" t="n">
        <x:v>0.19368830926848593</x:v>
      </x:c>
      <x:c r="AB41" s="52" t="n">
        <x:v>1.2366184447423312</x:v>
      </x:c>
      <x:c r="AC41" s="70" t="n">
        <x:v>0.2162287689769653</x:v>
      </x:c>
      <x:c r="AD41" s="70" t="n">
        <x:v>0.033660406964357015</x:v>
      </x:c>
      <x:c r="AE41" s="52" t="n">
        <x:v>-1.407424389869102</x:v>
      </x:c>
      <x:c r="AF41" s="70" t="n">
        <x:v>-0.15140010885761018</x:v>
      </x:c>
      <x:c r="AG41" s="52" t="n">
        <x:v>-0.6322503181931597</x:v>
      </x:c>
      <x:c r="AH41" s="70" t="n">
        <x:v>0.5272233220449596</x:v>
      </x:c>
      <x:c r="AI41" s="70" t="n">
        <x:v>0.013930765711928639</x:v>
      </x:c>
      <x:c r="AJ41" s="52" t="n">
        <x:v>0.2982402843671333</x:v>
      </x:c>
      <x:c r="AK41" s="52" t="n">
        <x:v>-1.253823951773611</x:v>
      </x:c>
      <x:c r="AL41" s="70" t="n">
        <x:v>0.8063611263953516</x:v>
      </x:c>
      <x:c r="AM41" s="70" t="n">
        <x:v>0.9072887452862399</x:v>
      </x:c>
      <x:c r="AN41" s="70" t="n">
        <x:v>0.5622437023100817</x:v>
      </x:c>
      <x:c r="AO41" s="70" t="n">
        <x:v>0.6074947412582355</x:v>
      </x:c>
      <x:c r="AP41" s="70" t="n">
        <x:v>0.33978806553523117</x:v>
      </x:c>
      <x:c r="AQ41" s="70" t="n">
        <x:v>0.7922010945865314</x:v>
      </x:c>
      <x:c r="AR41" s="70" t="n">
        <x:v>0.9772311542052887</x:v>
      </x:c>
    </x:row>
    <x:row r="42">
      <x:c r="C42" s="43" t="str">
        <x:v>Consumer Staples</x:v>
      </x:c>
      <x:c r="D42" s="43" t="str">
        <x:v>since_2022_ex_seams</x:v>
      </x:c>
      <x:c r="E42" s="19" t="n">
        <x:v>44562</x:v>
      </x:c>
      <x:c r="F42" s="19" t="n">
        <x:v>46204</x:v>
      </x:c>
      <x:c r="G42" s="64" t="n">
        <x:v>52</x:v>
      </x:c>
      <x:c r="H42" s="70" t="n">
        <x:v>0.03576223877827733</x:v>
      </x:c>
      <x:c r="I42" s="70" t="n">
        <x:v>-0.06904621352843154</x:v>
      </x:c>
      <x:c r="J42" s="64" t="n">
        <x:v>0</x:v>
      </x:c>
      <x:c r="K42" s="52" t="n">
        <x:v>-1.1531387408355154</x:v>
      </x:c>
      <x:c r="L42" s="70" t="n">
        <x:v>-0.042464376772641116</x:v>
      </x:c>
      <x:c r="M42" s="52" t="n">
        <x:v>-0.5211046884828957</x:v>
      </x:c>
      <x:c r="N42" s="70" t="n">
        <x:v>0.6022938450223414</x:v>
      </x:c>
      <x:c r="O42" s="70" t="n">
        <x:v>0.0017563790952410674</x:v>
      </x:c>
      <x:c r="P42" s="52" t="n">
        <x:v>-0.05079227403842834</x:v>
      </x:c>
      <x:c r="Q42" s="70" t="n">
        <x:v>-0.04858257906969617</x:v>
      </x:c>
      <x:c r="R42" s="52" t="n">
        <x:v>-0.2372676675128879</x:v>
      </x:c>
      <x:c r="S42" s="70" t="n">
        <x:v>0.8124491435729799</x:v>
      </x:c>
      <x:c r="T42" s="70" t="n">
        <x:v>0.0011984992813072193</x:v>
      </x:c>
      <x:c r="U42" s="52" t="n">
        <x:v>0.06288615680551629</x:v>
      </x:c>
      <x:c r="V42" s="70" t="n">
        <x:v>0.043055395332305915</x:v>
      </x:c>
      <x:c r="W42" s="52" t="n">
        <x:v>0.17771209197683707</x:v>
      </x:c>
      <x:c r="X42" s="70" t="n">
        <x:v>0.8589490883893651</x:v>
      </x:c>
      <x:c r="Y42" s="70" t="n">
        <x:v>0.0008407717817952021</x:v>
      </x:c>
      <x:c r="Z42" s="52" t="n">
        <x:v>1.204962545248468</x:v>
      </x:c>
      <x:c r="AA42" s="70" t="n">
        <x:v>0.1810275172587938</x:v>
      </x:c>
      <x:c r="AB42" s="52" t="n">
        <x:v>1.1445720277791775</x:v>
      </x:c>
      <x:c r="AC42" s="70" t="n">
        <x:v>0.2523864850751538</x:v>
      </x:c>
      <x:c r="AD42" s="70" t="n">
        <x:v>0.029389687206576753</x:v>
      </x:c>
      <x:c r="AE42" s="52" t="n">
        <x:v>-0.9457630619052529</x:v>
      </x:c>
      <x:c r="AF42" s="70" t="n">
        <x:v>-0.10995149182773713</x:v>
      </x:c>
      <x:c r="AG42" s="52" t="n">
        <x:v>-0.4126826736921807</x:v>
      </x:c>
      <x:c r="AH42" s="70" t="n">
        <x:v>0.679839120722199</x:v>
      </x:c>
      <x:c r="AI42" s="70" t="n">
        <x:v>0.00737334946810686</x:v>
      </x:c>
      <x:c r="AJ42" s="52" t="n">
        <x:v>-0.25374865841430233</x:v>
      </x:c>
      <x:c r="AK42" s="52" t="n">
        <x:v>-0.899390082421217</x:v>
      </x:c>
      <x:c r="AL42" s="70" t="n">
        <x:v>0.8592552657836818</x:v>
      </x:c>
      <x:c r="AM42" s="70" t="n">
        <x:v>0.9361322152825664</x:v>
      </x:c>
      <x:c r="AN42" s="70" t="n">
        <x:v>0.893694057930278</x:v>
      </x:c>
      <x:c r="AO42" s="70" t="n">
        <x:v>0.858949088389365</x:v>
      </x:c>
      <x:c r="AP42" s="70" t="n">
        <x:v>0.33737048995447294</x:v>
      </x:c>
      <x:c r="AQ42" s="70" t="n">
        <x:v>0.8827674863636481</x:v>
      </x:c>
      <x:c r="AR42" s="70" t="n">
        <x:v>0.9127750527660768</x:v>
      </x:c>
    </x:row>
    <x:row r="43">
      <x:c r="C43" s="43" t="str">
        <x:v>Energy</x:v>
      </x:c>
      <x:c r="D43" s="43" t="str">
        <x:v>full</x:v>
      </x:c>
      <x:c r="E43" s="19" t="n">
        <x:v>39904</x:v>
      </x:c>
      <x:c r="F43" s="19" t="n">
        <x:v>46204</x:v>
      </x:c>
      <x:c r="G43" s="64" t="n">
        <x:v>206</x:v>
      </x:c>
      <x:c r="H43" s="70" t="n">
        <x:v>0.49377481532976364</x:v>
      </x:c>
      <x:c r="I43" s="70" t="n">
        <x:v>0.4811191857130077</x:v>
      </x:c>
      <x:c r="J43" s="64" t="n">
        <x:v>2</x:v>
      </x:c>
      <x:c r="K43" s="52" t="n">
        <x:v>28.233040623324193</x:v>
      </x:c>
      <x:c r="L43" s="70" t="n">
        <x:v>0.6270607454719992</x:v>
      </x:c>
      <x:c r="M43" s="52" t="n">
        <x:v>2.945597583934818</x:v>
      </x:c>
      <x:c r="N43" s="70" t="n">
        <x:v>0.0032233145432249977</x:v>
      </x:c>
      <x:c r="O43" s="70" t="n">
        <x:v>0.31144195233672733</x:v>
      </x:c>
      <x:c r="P43" s="52" t="n">
        <x:v>0.6337208616431314</x:v>
      </x:c>
      <x:c r="Q43" s="70" t="n">
        <x:v>0.12892130690648426</x:v>
      </x:c>
      <x:c r="R43" s="52" t="n">
        <x:v>1.7238030192400122</x:v>
      </x:c>
      <x:c r="S43" s="70" t="n">
        <x:v>0.08474340938967062</x:v>
      </x:c>
      <x:c r="T43" s="70" t="n">
        <x:v>0.009005503255673508</x:v>
      </x:c>
      <x:c r="U43" s="52" t="n">
        <x:v>0.3924887415133149</x:v>
      </x:c>
      <x:c r="V43" s="70" t="n">
        <x:v>0.07739321256092857</x:v>
      </x:c>
      <x:c r="W43" s="52" t="n">
        <x:v>0.8454539806659841</x:v>
      </x:c>
      <x:c r="X43" s="70" t="n">
        <x:v>0.39785741632353266</x:v>
      </x:c>
      <x:c r="Y43" s="70" t="n">
        <x:v>0.0030215054974821465</x:v>
      </x:c>
      <x:c r="Z43" s="52" t="n">
        <x:v>6.739876475479515</x:v>
      </x:c>
      <x:c r="AA43" s="70" t="n">
        <x:v>0.19028708025984567</x:v>
      </x:c>
      <x:c r="AB43" s="52" t="n">
        <x:v>1.8715146800638534</x:v>
      </x:c>
      <x:c r="AC43" s="70" t="n">
        <x:v>0.06127377703944448</x:v>
      </x:c>
      <x:c r="AD43" s="70" t="n">
        <x:v>0.026602483454533643</x:v>
      </x:c>
      <x:c r="AE43" s="52" t="n">
        <x:v>7.0383105830039465</x:v>
      </x:c>
      <x:c r="AF43" s="70" t="n">
        <x:v>0.20156760916172778</x:v>
      </x:c>
      <x:c r="AG43" s="52" t="n">
        <x:v>1.9329819595105264</x:v>
      </x:c>
      <x:c r="AH43" s="70" t="n">
        <x:v>0.05323842022907943</x:v>
      </x:c>
      <x:c r="AI43" s="70" t="n">
        <x:v>0.02671297077399959</x:v>
      </x:c>
      <x:c r="AJ43" s="52" t="n">
        <x:v>5.706845342030378</x:v>
      </x:c>
      <x:c r="AK43" s="52" t="n">
        <x:v>22.526195281293834</x:v>
      </x:c>
      <x:c r="AL43" s="70" t="n">
        <x:v>0.012311805705848666</x:v>
      </x:c>
      <x:c r="AM43" s="70" t="n">
        <x:v>0.017728229987737487</x:v>
      </x:c>
      <x:c r="AN43" s="70" t="n">
        <x:v>0.4660887516431884</x:v>
      </x:c>
      <x:c r="AO43" s="70" t="n">
        <x:v>0.5033100362593185</x:v>
      </x:c>
      <x:c r="AP43" s="70" t="n">
        <x:v>0.2246705158112964</x:v>
      </x:c>
      <x:c r="AQ43" s="70" t="n">
        <x:v>0.29281131125993687</x:v>
      </x:c>
      <x:c r="AR43" s="70" t="n">
        <x:v>0.019347123252047904</x:v>
      </x:c>
    </x:row>
    <x:row r="44">
      <x:c r="C44" s="43" t="str">
        <x:v>Energy</x:v>
      </x:c>
      <x:c r="D44" s="43" t="str">
        <x:v>ex_2013_14</x:v>
      </x:c>
      <x:c r="E44" s="19" t="n">
        <x:v>39904</x:v>
      </x:c>
      <x:c r="F44" s="19" t="n">
        <x:v>46204</x:v>
      </x:c>
      <x:c r="G44" s="64" t="n">
        <x:v>182</x:v>
      </x:c>
      <x:c r="H44" s="70" t="n">
        <x:v>0.4993292883463868</x:v>
      </x:c>
      <x:c r="I44" s="70" t="n">
        <x:v>0.4851056885835</x:v>
      </x:c>
      <x:c r="J44" s="64" t="n">
        <x:v>2</x:v>
      </x:c>
      <x:c r="K44" s="52" t="n">
        <x:v>28.626538032501575</x:v>
      </x:c>
      <x:c r="L44" s="70" t="n">
        <x:v>0.6296303188510535</x:v>
      </x:c>
      <x:c r="M44" s="52" t="n">
        <x:v>2.9331660342343393</x:v>
      </x:c>
      <x:c r="N44" s="70" t="n">
        <x:v>0.0033552440821082996</x:v>
      </x:c>
      <x:c r="O44" s="70" t="n">
        <x:v>0.31243395303972876</x:v>
      </x:c>
      <x:c r="P44" s="52" t="n">
        <x:v>0.6400293339822536</x:v>
      </x:c>
      <x:c r="Q44" s="70" t="n">
        <x:v>0.1248453547446441</x:v>
      </x:c>
      <x:c r="R44" s="52" t="n">
        <x:v>1.5420798600448746</x:v>
      </x:c>
      <x:c r="S44" s="70" t="n">
        <x:v>0.12305418840164828</x:v>
      </x:c>
      <x:c r="T44" s="70" t="n">
        <x:v>0.00813932407182183</x:v>
      </x:c>
      <x:c r="U44" s="52" t="n">
        <x:v>0.4045749707754993</x:v>
      </x:c>
      <x:c r="V44" s="70" t="n">
        <x:v>0.0764283657095556</x:v>
      </x:c>
      <x:c r="W44" s="52" t="n">
        <x:v>0.7963291543399398</x:v>
      </x:c>
      <x:c r="X44" s="70" t="n">
        <x:v>0.42584074429732044</x:v>
      </x:c>
      <x:c r="Y44" s="70" t="n">
        <x:v>0.0029132024299126646</x:v>
      </x:c>
      <x:c r="Z44" s="52" t="n">
        <x:v>6.84317507402199</x:v>
      </x:c>
      <x:c r="AA44" s="70" t="n">
        <x:v>0.19205800004547327</x:v>
      </x:c>
      <x:c r="AB44" s="52" t="n">
        <x:v>1.8004948993050542</x:v>
      </x:c>
      <x:c r="AC44" s="70" t="n">
        <x:v>0.07178252826815967</x:v>
      </x:c>
      <x:c r="AD44" s="70" t="n">
        <x:v>0.026009746670000444</x:v>
      </x:c>
      <x:c r="AE44" s="52" t="n">
        <x:v>6.832861814191537</x:v>
      </x:c>
      <x:c r="AF44" s="70" t="n">
        <x:v>0.18876383109007946</x:v>
      </x:c>
      <x:c r="AG44" s="52" t="n">
        <x:v>1.6866493528195603</x:v>
      </x:c>
      <x:c r="AH44" s="70" t="n">
        <x:v>0.0916707961480836</x:v>
      </x:c>
      <x:c r="AI44" s="70" t="n">
        <x:v>0.02218984153516579</x:v>
      </x:c>
      <x:c r="AJ44" s="52" t="n">
        <x:v>5.925752558414628</x:v>
      </x:c>
      <x:c r="AK44" s="52" t="n">
        <x:v>22.700785474086945</x:v>
      </x:c>
      <x:c r="AL44" s="70" t="n">
        <x:v>0.013564099876675506</x:v>
      </x:c>
      <x:c r="AM44" s="70" t="n">
        <x:v>0.018453842451595648</x:v>
      </x:c>
      <x:c r="AN44" s="70" t="n">
        <x:v>0.6767980362090655</x:v>
      </x:c>
      <x:c r="AO44" s="70" t="n">
        <x:v>0.5642787060834379</x:v>
      </x:c>
      <x:c r="AP44" s="70" t="n">
        <x:v>0.2632026036499188</x:v>
      </x:c>
      <x:c r="AQ44" s="70" t="n">
        <x:v>0.3888261902065162</x:v>
      </x:c>
      <x:c r="AR44" s="70" t="n">
        <x:v>0.021315014091918653</x:v>
      </x:c>
    </x:row>
    <x:row r="45">
      <x:c r="C45" s="43" t="str">
        <x:v>Energy</x:v>
      </x:c>
      <x:c r="D45" s="43" t="str">
        <x:v>ex_2020_21</x:v>
      </x:c>
      <x:c r="E45" s="19" t="n">
        <x:v>39904</x:v>
      </x:c>
      <x:c r="F45" s="19" t="n">
        <x:v>46204</x:v>
      </x:c>
      <x:c r="G45" s="64" t="n">
        <x:v>184</x:v>
      </x:c>
      <x:c r="H45" s="70" t="n">
        <x:v>0.16073669310257155</x:v>
      </x:c>
      <x:c r="I45" s="70" t="n">
        <x:v>0.13716188111107075</x:v>
      </x:c>
      <x:c r="J45" s="64" t="n">
        <x:v>2</x:v>
      </x:c>
      <x:c r="K45" s="52" t="n">
        <x:v>9.793495366825459</x:v>
      </x:c>
      <x:c r="L45" s="70" t="n">
        <x:v>0.3360349927271993</x:v>
      </x:c>
      <x:c r="M45" s="52" t="n">
        <x:v>2.4727615189473777</x:v>
      </x:c>
      <x:c r="N45" s="70" t="n">
        <x:v>0.01340735781534197</x:v>
      </x:c>
      <x:c r="O45" s="70" t="n">
        <x:v>0.09334587927356008</x:v>
      </x:c>
      <x:c r="P45" s="52" t="n">
        <x:v>0.581465163484268</x:v>
      </x:c>
      <x:c r="Q45" s="70" t="n">
        <x:v>0.23750460806808135</x:v>
      </x:c>
      <x:c r="R45" s="52" t="n">
        <x:v>2.086472829388797</x:v>
      </x:c>
      <x:c r="S45" s="70" t="n">
        <x:v>0.0369358139013225</x:v>
      </x:c>
      <x:c r="T45" s="70" t="n">
        <x:v>0.03394998927645354</x:v>
      </x:c>
      <x:c r="U45" s="52" t="n">
        <x:v>0.33256530387725647</x:v>
      </x:c>
      <x:c r="V45" s="70" t="n">
        <x:v>0.13320187095661734</x:v>
      </x:c>
      <x:c r="W45" s="52" t="n">
        <x:v>1.1043342907877585</x:v>
      </x:c>
      <x:c r="X45" s="70" t="n">
        <x:v>0.26944815311692416</x:v>
      </x:c>
      <x:c r="Y45" s="70" t="n">
        <x:v>0.009353152777550777</x:v>
      </x:c>
      <x:c r="Z45" s="52" t="n">
        <x:v>0.9523964744331335</x:v>
      </x:c>
      <x:c r="AA45" s="70" t="n">
        <x:v>0.05269537154858972</x:v>
      </x:c>
      <x:c r="AB45" s="52" t="n">
        <x:v>0.5682056848910342</x:v>
      </x:c>
      <x:c r="AC45" s="70" t="n">
        <x:v>0.5698953117543497</x:v>
      </x:c>
      <x:c r="AD45" s="70" t="n">
        <x:v>0.002146531900971027</x:v>
      </x:c>
      <x:c r="AE45" s="52" t="n">
        <x:v>2.1493488874074296</x:v>
      </x:c>
      <x:c r="AF45" s="70" t="n">
        <x:v>0.11483618804367593</x:v>
      </x:c>
      <x:c r="AG45" s="52" t="n">
        <x:v>0.9606929029290247</x:v>
      </x:c>
      <x:c r="AH45" s="70" t="n">
        <x:v>0.33670660071918057</x:v>
      </x:c>
      <x:c r="AI45" s="70" t="n">
        <x:v>0.00993606007047354</x:v>
      </x:c>
      <x:c r="AJ45" s="52" t="n">
        <x:v>3.8491398290680143</x:v>
      </x:c>
      <x:c r="AK45" s="52" t="n">
        <x:v>5.944355537757443</x:v>
      </x:c>
      <x:c r="AL45" s="70" t="n">
        <x:v>0.0850753516456515</x:v>
      </x:c>
      <x:c r="AM45" s="70" t="n">
        <x:v>0.07374046798438083</x:v>
      </x:c>
      <x:c r="AN45" s="70" t="n">
        <x:v>0.20314697645727375</x:v>
      </x:c>
      <x:c r="AO45" s="70" t="n">
        <x:v>0.4234185263265951</x:v>
      </x:c>
      <x:c r="AP45" s="70" t="n">
        <x:v>0.6530692764357904</x:v>
      </x:c>
      <x:c r="AQ45" s="70" t="n">
        <x:v>0.5291103725587123</x:v>
      </x:c>
      <x:c r="AR45" s="70" t="n">
        <x:v>0.1871657736204333</x:v>
      </x:c>
    </x:row>
    <x:row r="46">
      <x:c r="C46" s="43" t="str">
        <x:v>Energy</x:v>
      </x:c>
      <x:c r="D46" s="43" t="str">
        <x:v>clean</x:v>
      </x:c>
      <x:c r="E46" s="19" t="n">
        <x:v>39904</x:v>
      </x:c>
      <x:c r="F46" s="19" t="n">
        <x:v>46204</x:v>
      </x:c>
      <x:c r="G46" s="64" t="n">
        <x:v>160</x:v>
      </x:c>
      <x:c r="H46" s="70" t="n">
        <x:v>0.1624879947161636</x:v>
      </x:c>
      <x:c r="I46" s="70" t="n">
        <x:v>0.13529604649266236</x:v>
      </x:c>
      <x:c r="J46" s="64" t="n">
        <x:v>2</x:v>
      </x:c>
      <x:c r="K46" s="52" t="n">
        <x:v>10.08931264021524</x:v>
      </x:c>
      <x:c r="L46" s="70" t="n">
        <x:v>0.3418899807808112</x:v>
      </x:c>
      <x:c r="M46" s="52" t="n">
        <x:v>2.4984526125800186</x:v>
      </x:c>
      <x:c r="N46" s="70" t="n">
        <x:v>0.012473681833376382</x:v>
      </x:c>
      <x:c r="O46" s="70" t="n">
        <x:v>0.09739214846811572</x:v>
      </x:c>
      <x:c r="P46" s="52" t="n">
        <x:v>0.5873892347394793</x:v>
      </x:c>
      <x:c r="Q46" s="70" t="n">
        <x:v>0.23166536405143023</x:v>
      </x:c>
      <x:c r="R46" s="52" t="n">
        <x:v>1.9373980648866151</x:v>
      </x:c>
      <x:c r="S46" s="70" t="n">
        <x:v>0.05269670300623952</x:v>
      </x:c>
      <x:c r="T46" s="70" t="n">
        <x:v>0.03152844218566564</x:v>
      </x:c>
      <x:c r="U46" s="52" t="n">
        <x:v>0.3261369572668684</x:v>
      </x:c>
      <x:c r="V46" s="70" t="n">
        <x:v>0.12561050839441512</x:v>
      </x:c>
      <x:c r="W46" s="52" t="n">
        <x:v>0.9601653864291031</x:v>
      </x:c>
      <x:c r="X46" s="70" t="n">
        <x:v>0.3369719844235681</x:v>
      </x:c>
      <x:c r="Y46" s="70" t="n">
        <x:v>0.00830555260528354</x:v>
      </x:c>
      <x:c r="Z46" s="52" t="n">
        <x:v>0.9913758438526203</x:v>
      </x:c>
      <x:c r="AA46" s="70" t="n">
        <x:v>0.0550591230924844</x:v>
      </x:c>
      <x:c r="AB46" s="52" t="n">
        <x:v>0.5664918394236064</x:v>
      </x:c>
      <x:c r="AC46" s="70" t="n">
        <x:v>0.5710594788738841</x:v>
      </x:c>
      <x:c r="AD46" s="70" t="n">
        <x:v>0.00227080439762839</x:v>
      </x:c>
      <x:c r="AE46" s="52" t="n">
        <x:v>1.8143427032889927</x:v>
      </x:c>
      <x:c r="AF46" s="70" t="n">
        <x:v>0.09186253482233553</x:v>
      </x:c>
      <x:c r="AG46" s="52" t="n">
        <x:v>0.7358730836231313</x:v>
      </x:c>
      <x:c r="AH46" s="70" t="n">
        <x:v>0.46180793920340024</x:v>
      </x:c>
      <x:c r="AI46" s="70" t="n">
        <x:v>0.006204093628924823</x:v>
      </x:c>
      <x:c r="AJ46" s="52" t="n">
        <x:v>4.166800677918155</x:v>
      </x:c>
      <x:c r="AK46" s="52" t="n">
        <x:v>5.922511962297091</x:v>
      </x:c>
      <x:c r="AL46" s="70" t="n">
        <x:v>0.09241446195592973</x:v>
      </x:c>
      <x:c r="AM46" s="70" t="n">
        <x:v>0.0686052500835701</x:v>
      </x:c>
      <x:c r="AN46" s="70" t="n">
        <x:v>0.28983186653431736</x:v>
      </x:c>
      <x:c r="AO46" s="70" t="n">
        <x:v>0.5295274040941785</x:v>
      </x:c>
      <x:c r="AP46" s="70" t="n">
        <x:v>0.7183762040793694</x:v>
      </x:c>
      <x:c r="AQ46" s="70" t="n">
        <x:v>0.6349859164046754</x:v>
      </x:c>
      <x:c r="AR46" s="70" t="n">
        <x:v>0.14522272593074673</x:v>
      </x:c>
    </x:row>
    <x:row r="47">
      <x:c r="C47" s="43" t="str">
        <x:v>Energy</x:v>
      </x:c>
      <x:c r="D47" s="43" t="str">
        <x:v>ex_seams</x:v>
      </x:c>
      <x:c r="E47" s="19" t="n">
        <x:v>39904</x:v>
      </x:c>
      <x:c r="F47" s="19" t="n">
        <x:v>46204</x:v>
      </x:c>
      <x:c r="G47" s="64" t="n">
        <x:v>191</x:v>
      </x:c>
      <x:c r="H47" s="70" t="n">
        <x:v>0.4979417414332141</x:v>
      </x:c>
      <x:c r="I47" s="70" t="n">
        <x:v>0.4843725993097875</x:v>
      </x:c>
      <x:c r="J47" s="64" t="n">
        <x:v>2</x:v>
      </x:c>
      <x:c r="K47" s="52" t="n">
        <x:v>28.194554375889357</x:v>
      </x:c>
      <x:c r="L47" s="70" t="n">
        <x:v>0.6250200840131077</x:v>
      </x:c>
      <x:c r="M47" s="52" t="n">
        <x:v>2.887994018057077</x:v>
      </x:c>
      <x:c r="N47" s="70" t="n">
        <x:v>0.0038770724573631288</x:v>
      </x:c>
      <x:c r="O47" s="70" t="n">
        <x:v>0.3135559443784547</x:v>
      </x:c>
      <x:c r="P47" s="52" t="n">
        <x:v>0.5822816846653227</x:v>
      </x:c>
      <x:c r="Q47" s="70" t="n">
        <x:v>0.11427222240407583</x:v>
      </x:c>
      <x:c r="R47" s="52" t="n">
        <x:v>1.4032848718057016</x:v>
      </x:c>
      <x:c r="S47" s="70" t="n">
        <x:v>0.16053190756968316</x:v>
      </x:c>
      <x:c r="T47" s="70" t="n">
        <x:v>0.007394313253898832</x:v>
      </x:c>
      <x:c r="U47" s="52" t="n">
        <x:v>0.43935612204515806</x:v>
      </x:c>
      <x:c r="V47" s="70" t="n">
        <x:v>0.0849172822444817</x:v>
      </x:c>
      <x:c r="W47" s="52" t="n">
        <x:v>0.9052223345104637</x:v>
      </x:c>
      <x:c r="X47" s="70" t="n">
        <x:v>0.3653476118901797</x:v>
      </x:c>
      <x:c r="Y47" s="70" t="n">
        <x:v>0.0037828946576182743</x:v>
      </x:c>
      <x:c r="Z47" s="52" t="n">
        <x:v>8.170420842247292</x:v>
      </x:c>
      <x:c r="AA47" s="70" t="n">
        <x:v>0.22259106992793148</x:v>
      </x:c>
      <x:c r="AB47" s="52" t="n">
        <x:v>1.9321883385759862</x:v>
      </x:c>
      <x:c r="AC47" s="70" t="n">
        <x:v>0.05333626399437019</x:v>
      </x:c>
      <x:c r="AD47" s="70" t="n">
        <x:v>0.036950889094865436</x:v>
      </x:c>
      <x:c r="AE47" s="52" t="n">
        <x:v>7.252325001374225</x:v>
      </x:c>
      <x:c r="AF47" s="70" t="n">
        <x:v>0.20462536524862723</x:v>
      </x:c>
      <x:c r="AG47" s="52" t="n">
        <x:v>1.949727184314035</x:v>
      </x:c>
      <x:c r="AH47" s="70" t="n">
        <x:v>0.05120864443494</x:v>
      </x:c>
      <x:c r="AI47" s="70" t="n">
        <x:v>0.02819650482034941</x:v>
      </x:c>
      <x:c r="AJ47" s="52" t="n">
        <x:v>6.03355971264353</x:v>
      </x:c>
      <x:c r="AK47" s="52" t="n">
        <x:v>22.160994663245827</x:v>
      </x:c>
      <x:c r="AL47" s="70" t="n">
        <x:v>0.016658877798097604</x:v>
      </x:c>
      <x:c r="AM47" s="70" t="n">
        <x:v>0.02132389851549721</x:v>
      </x:c>
      <x:c r="AN47" s="70" t="n">
        <x:v>0.8090555968373689</x:v>
      </x:c>
      <x:c r="AO47" s="70" t="n">
        <x:v>0.5023529663489972</x:v>
      </x:c>
      <x:c r="AP47" s="70" t="n">
        <x:v>0.15518845110670954</x:v>
      </x:c>
      <x:c r="AQ47" s="70" t="n">
        <x:v>0.3501608579080534</x:v>
      </x:c>
      <x:c r="AR47" s="70" t="n">
        <x:v>0.026178236539867665</x:v>
      </x:c>
    </x:row>
    <x:row r="48">
      <x:c r="C48" s="43" t="str">
        <x:v>Energy</x:v>
      </x:c>
      <x:c r="D48" s="43" t="str">
        <x:v>audit_clean</x:v>
      </x:c>
      <x:c r="E48" s="19" t="n">
        <x:v>39904</x:v>
      </x:c>
      <x:c r="F48" s="19" t="n">
        <x:v>46204</x:v>
      </x:c>
      <x:c r="G48" s="64" t="n">
        <x:v>151</x:v>
      </x:c>
      <x:c r="H48" s="70" t="n">
        <x:v>0.17821282494671498</x:v>
      </x:c>
      <x:c r="I48" s="70" t="n">
        <x:v>0.14987533615177406</x:v>
      </x:c>
      <x:c r="J48" s="64" t="n">
        <x:v>2</x:v>
      </x:c>
      <x:c r="K48" s="52" t="n">
        <x:v>9.978455544837985</x:v>
      </x:c>
      <x:c r="L48" s="70" t="n">
        <x:v>0.3451499789676633</x:v>
      </x:c>
      <x:c r="M48" s="52" t="n">
        <x:v>2.385385015564932</x:v>
      </x:c>
      <x:c r="N48" s="70" t="n">
        <x:v>0.017061254972397633</x:v>
      </x:c>
      <x:c r="O48" s="70" t="n">
        <x:v>0.09864270768649075</x:v>
      </x:c>
      <x:c r="P48" s="52" t="n">
        <x:v>0.5515429107760372</x:v>
      </x:c>
      <x:c r="Q48" s="70" t="n">
        <x:v>0.2182893284347993</x:v>
      </x:c>
      <x:c r="R48" s="52" t="n">
        <x:v>1.658632888866324</x:v>
      </x:c>
      <x:c r="S48" s="70" t="n">
        <x:v>0.09718979024422136</x:v>
      </x:c>
      <x:c r="T48" s="70" t="n">
        <x:v>0.02756709974920779</x:v>
      </x:c>
      <x:c r="U48" s="52" t="n">
        <x:v>0.29701722853303814</x:v>
      </x:c>
      <x:c r="V48" s="70" t="n">
        <x:v>0.11654755605780345</x:v>
      </x:c>
      <x:c r="W48" s="52" t="n">
        <x:v>0.8561751071300976</x:v>
      </x:c>
      <x:c r="X48" s="70" t="n">
        <x:v>0.3919009294196061</x:v>
      </x:c>
      <x:c r="Y48" s="70" t="n">
        <x:v>0.0070531037265231245</x:v>
      </x:c>
      <x:c r="Z48" s="52" t="n">
        <x:v>1.5299349740987072</x:v>
      </x:c>
      <x:c r="AA48" s="70" t="n">
        <x:v>0.08253533288279255</x:v>
      </x:c>
      <x:c r="AB48" s="52" t="n">
        <x:v>1.078275533268052</x:v>
      </x:c>
      <x:c r="AC48" s="70" t="n">
        <x:v>0.280910812436892</x:v>
      </x:c>
      <x:c r="AD48" s="70" t="n">
        <x:v>0.00535058981386638</x:v>
      </x:c>
      <x:c r="AE48" s="52" t="n">
        <x:v>2.7910906516417766</x:v>
      </x:c>
      <x:c r="AF48" s="70" t="n">
        <x:v>0.13932803475065947</x:v>
      </x:c>
      <x:c r="AG48" s="52" t="n">
        <x:v>1.1541620935053494</x:v>
      </x:c>
      <x:c r="AH48" s="70" t="n">
        <x:v>0.2484337202094804</x:v>
      </x:c>
      <x:c r="AI48" s="70" t="n">
        <x:v>0.015027920429729336</x:v>
      </x:c>
      <x:c r="AJ48" s="52" t="n">
        <x:v>4.442488062949742</x:v>
      </x:c>
      <x:c r="AK48" s="52" t="n">
        <x:v>5.535967481888249</x:v>
      </x:c>
      <x:c r="AL48" s="70" t="n">
        <x:v>0.12268674332698337</x:v>
      </x:c>
      <x:c r="AM48" s="70" t="n">
        <x:v>0.09383690234818698</x:v>
      </x:c>
      <x:c r="AN48" s="70" t="n">
        <x:v>0.46923644927178615</x:v>
      </x:c>
      <x:c r="AO48" s="70" t="n">
        <x:v>0.615844317659381</x:v>
      </x:c>
      <x:c r="AP48" s="70" t="n">
        <x:v>0.48175798569588046</x:v>
      </x:c>
      <x:c r="AQ48" s="70" t="n">
        <x:v>0.45971750530088473</x:v>
      </x:c>
      <x:c r="AR48" s="70" t="n">
        <x:v>0.1927934537995453</x:v>
      </x:c>
    </x:row>
    <x:row r="49">
      <x:c r="C49" s="43" t="str">
        <x:v>Energy</x:v>
      </x:c>
      <x:c r="D49" s="43" t="str">
        <x:v>since_2020</x:v>
      </x:c>
      <x:c r="E49" s="19" t="n">
        <x:v>43831</x:v>
      </x:c>
      <x:c r="F49" s="19" t="n">
        <x:v>46204</x:v>
      </x:c>
      <x:c r="G49" s="64" t="n">
        <x:v>77</x:v>
      </x:c>
      <x:c r="H49" s="70" t="n">
        <x:v>0.6870470109520358</x:v>
      </x:c>
      <x:c r="I49" s="70" t="n">
        <x:v>0.6650080680613342</x:v>
      </x:c>
      <x:c r="J49" s="64" t="n">
        <x:v>2</x:v>
      </x:c>
      <x:c r="K49" s="52" t="n">
        <x:v>40.06190807837756</x:v>
      </x:c>
      <x:c r="L49" s="70" t="n">
        <x:v>0.7268271089689927</x:v>
      </x:c>
      <x:c r="M49" s="52" t="n">
        <x:v>4.195343059761824</x:v>
      </x:c>
      <x:c r="N49" s="70" t="n">
        <x:v>0.000027245888757354564</x:v>
      </x:c>
      <x:c r="O49" s="70" t="n">
        <x:v>0.3767079900036122</x:v>
      </x:c>
      <x:c r="P49" s="52" t="n">
        <x:v>0.17977247617289294</x:v>
      </x:c>
      <x:c r="Q49" s="70" t="n">
        <x:v>0.027672421371227773</x:v>
      </x:c>
      <x:c r="R49" s="52" t="n">
        <x:v>0.2040499315197478</x:v>
      </x:c>
      <x:c r="S49" s="70" t="n">
        <x:v>0.8383144799371876</x:v>
      </x:c>
      <x:c r="T49" s="70" t="n">
        <x:v>0.00035332968322709934</x:v>
      </x:c>
      <x:c r="U49" s="52" t="n">
        <x:v>0.201467489227662</x:v>
      </x:c>
      <x:c r="V49" s="70" t="n">
        <x:v>0.025612578012207066</x:v>
      </x:c>
      <x:c r="W49" s="52" t="n">
        <x:v>0.2122589819460914</x:v>
      </x:c>
      <x:c r="X49" s="70" t="n">
        <x:v>0.831904993950753</x:v>
      </x:c>
      <x:c r="Y49" s="70" t="n">
        <x:v>0.00030826177595522086</x:v>
      </x:c>
      <x:c r="Z49" s="52" t="n">
        <x:v>4.868590169300216</x:v>
      </x:c>
      <x:c r="AA49" s="70" t="n">
        <x:v>0.11571701639992085</x:v>
      </x:c>
      <x:c r="AB49" s="52" t="n">
        <x:v>1.4363168606719718</x:v>
      </x:c>
      <x:c r="AC49" s="70" t="n">
        <x:v>0.1509121984449726</x:v>
      </x:c>
      <x:c r="AD49" s="70" t="n">
        <x:v>0.009877292752810463</x:v>
      </x:c>
      <x:c r="AE49" s="52" t="n">
        <x:v>15.20175027332694</x:v>
      </x:c>
      <x:c r="AF49" s="70" t="n">
        <x:v>0.3281101589597246</x:v>
      </x:c>
      <x:c r="AG49" s="52" t="n">
        <x:v>2.661558857539337</x:v>
      </x:c>
      <x:c r="AH49" s="70" t="n">
        <x:v>0.007777974126706777</x:v>
      </x:c>
      <x:c r="AI49" s="70" t="n">
        <x:v>0.06462791705884197</x:v>
      </x:c>
      <x:c r="AJ49" s="52" t="n">
        <x:v>6.269183634334258</x:v>
      </x:c>
      <x:c r="AK49" s="52" t="n">
        <x:v>33.7927244440433</x:v>
      </x:c>
      <x:c r="AL49" s="70" t="n">
        <x:v>0.00019065050135891326</x:v>
      </x:c>
      <x:c r="AM49" s="70" t="n">
        <x:v>0.0001498523881654501</x:v>
      </x:c>
      <x:c r="AN49" s="70" t="n">
        <x:v>0.9221459279309062</x:v>
      </x:c>
      <x:c r="AO49" s="70" t="n">
        <x:v>0.831904993950753</x:v>
      </x:c>
      <x:c r="AP49" s="70" t="n">
        <x:v>0.24347335092644412</x:v>
      </x:c>
      <x:c r="AQ49" s="70" t="n">
        <x:v>0.0439300975918863</x:v>
      </x:c>
      <x:c r="AR49" s="70" t="n">
        <x:v>0.0004194311029896092</x:v>
      </x:c>
    </x:row>
    <x:row r="50">
      <x:c r="C50" s="43" t="str">
        <x:v>Energy</x:v>
      </x:c>
      <x:c r="D50" s="43" t="str">
        <x:v>since_2022</x:v>
      </x:c>
      <x:c r="E50" s="19" t="n">
        <x:v>44562</x:v>
      </x:c>
      <x:c r="F50" s="19" t="n">
        <x:v>46204</x:v>
      </x:c>
      <x:c r="G50" s="64" t="n">
        <x:v>55</x:v>
      </x:c>
      <x:c r="H50" s="70" t="n">
        <x:v>0.2309314778888898</x:v>
      </x:c>
      <x:c r="I50" s="70" t="n">
        <x:v>0.1524550980816337</x:v>
      </x:c>
      <x:c r="J50" s="64" t="n">
        <x:v>2</x:v>
      </x:c>
      <x:c r="K50" s="52" t="n">
        <x:v>3.869159584002884</x:v>
      </x:c>
      <x:c r="L50" s="70" t="n">
        <x:v>0.06967781938079082</x:v>
      </x:c>
      <x:c r="M50" s="52" t="n">
        <x:v>0.5708695735958129</x:v>
      </x:c>
      <x:c r="N50" s="70" t="n">
        <x:v>0.5680880572119187</x:v>
      </x:c>
      <x:c r="O50" s="70" t="n">
        <x:v>0.004708373634786267</x:v>
      </x:c>
      <x:c r="P50" s="52" t="n">
        <x:v>0.9241136301325157</x:v>
      </x:c>
      <x:c r="Q50" s="70" t="n">
        <x:v>0.44061489520499453</x:v>
      </x:c>
      <x:c r="R50" s="52" t="n">
        <x:v>1.9909018517742325</x:v>
      </x:c>
      <x:c r="S50" s="70" t="n">
        <x:v>0.04649167859631187</x:v>
      </x:c>
      <x:c r="T50" s="70" t="n">
        <x:v>0.10339110414849062</x:v>
      </x:c>
      <x:c r="U50" s="52" t="n">
        <x:v>0.5361071302971787</x:v>
      </x:c>
      <x:c r="V50" s="70" t="n">
        <x:v>0.17853492182340558</x:v>
      </x:c>
      <x:c r="W50" s="52" t="n">
        <x:v>0.9872392947813439</x:v>
      </x:c>
      <x:c r="X50" s="70" t="n">
        <x:v>0.3235253424126907</x:v>
      </x:c>
      <x:c r="Y50" s="70" t="n">
        <x:v>0.015316524040652313</x:v>
      </x:c>
      <x:c r="Z50" s="52" t="n">
        <x:v>1.9806318351813412</x:v>
      </x:c>
      <x:c r="AA50" s="70" t="n">
        <x:v>0.14532949969344697</x:v>
      </x:c>
      <x:c r="AB50" s="52" t="n">
        <x:v>1.4052211564585775</x:v>
      </x:c>
      <x:c r="AC50" s="70" t="n">
        <x:v>0.15995552488466114</x:v>
      </x:c>
      <x:c r="AD50" s="70" t="n">
        <x:v>0.018950475125018462</x:v>
      </x:c>
      <x:c r="AE50" s="52" t="n">
        <x:v>1.5612040108061374</x:v>
      </x:c>
      <x:c r="AF50" s="70" t="n">
        <x:v>0.08893346209234469</x:v>
      </x:c>
      <x:c r="AG50" s="52" t="n">
        <x:v>0.5590226670731007</x:v>
      </x:c>
      <x:c r="AH50" s="70" t="n">
        <x:v>0.5761462506083865</x:v>
      </x:c>
      <x:c r="AI50" s="70" t="n">
        <x:v>0.004806766348350311</x:v>
      </x:c>
      <x:c r="AJ50" s="52" t="n">
        <x:v>0.2982402843671333</x:v>
      </x:c>
      <x:c r="AK50" s="52" t="n">
        <x:v>3.5709192996357517</x:v>
      </x:c>
      <x:c r="AL50" s="70" t="n">
        <x:v>0.409702993618382</x:v>
      </x:c>
      <x:c r="AM50" s="70" t="n">
        <x:v>0.9072887452862399</x:v>
      </x:c>
      <x:c r="AN50" s="70" t="n">
        <x:v>0.17046948818647686</x:v>
      </x:c>
      <x:c r="AO50" s="70" t="n">
        <x:v>0.508396966648514</x:v>
      </x:c>
      <x:c r="AP50" s="70" t="n">
        <x:v>0.29325179562187875</x:v>
      </x:c>
      <x:c r="AQ50" s="70" t="n">
        <x:v>0.7922010945865314</x:v>
      </x:c>
      <x:c r="AR50" s="70" t="n">
        <x:v>0.9772311542052887</x:v>
      </x:c>
    </x:row>
    <x:row r="51">
      <x:c r="C51" s="43" t="str">
        <x:v>Energy</x:v>
      </x:c>
      <x:c r="D51" s="43" t="str">
        <x:v>since_2022_ex_seams</x:v>
      </x:c>
      <x:c r="E51" s="19" t="n">
        <x:v>44562</x:v>
      </x:c>
      <x:c r="F51" s="19" t="n">
        <x:v>46204</x:v>
      </x:c>
      <x:c r="G51" s="64" t="n">
        <x:v>52</x:v>
      </x:c>
      <x:c r="H51" s="70" t="n">
        <x:v>0.2128183458679942</x:v>
      </x:c>
      <x:c r="I51" s="70" t="n">
        <x:v>0.12725512259277616</x:v>
      </x:c>
      <x:c r="J51" s="64" t="n">
        <x:v>2</x:v>
      </x:c>
      <x:c r="K51" s="52" t="n">
        <x:v>2.6385849094289293</x:v>
      </x:c>
      <x:c r="L51" s="70" t="n">
        <x:v>0.04987006136742326</x:v>
      </x:c>
      <x:c r="M51" s="52" t="n">
        <x:v>0.4447114363087884</x:v>
      </x:c>
      <x:c r="N51" s="70" t="n">
        <x:v>0.6565283035719476</x:v>
      </x:c>
      <x:c r="O51" s="70" t="n">
        <x:v>0.0024224150475237183</x:v>
      </x:c>
      <x:c r="P51" s="52" t="n">
        <x:v>0.8300069437137054</x:v>
      </x:c>
      <x:c r="Q51" s="70" t="n">
        <x:v>0.4074649636046197</x:v>
      </x:c>
      <x:c r="R51" s="52" t="n">
        <x:v>1.6541718066761613</x:v>
      </x:c>
      <x:c r="S51" s="70" t="n">
        <x:v>0.09809260950887588</x:v>
      </x:c>
      <x:c r="T51" s="70" t="n">
        <x:v>0.08430574843126903</x:v>
      </x:c>
      <x:c r="U51" s="52" t="n">
        <x:v>0.37434907977869103</x:v>
      </x:c>
      <x:c r="V51" s="70" t="n">
        <x:v>0.13154517819318579</x:v>
      </x:c>
      <x:c r="W51" s="52" t="n">
        <x:v>0.7391069510483529</x:v>
      </x:c>
      <x:c r="X51" s="70" t="n">
        <x:v>0.45984205631393005</x:v>
      </x:c>
      <x:c r="Y51" s="70" t="n">
        <x:v>0.00784825005995804</x:v>
      </x:c>
      <x:c r="Z51" s="52" t="n">
        <x:v>1.5105103462150882</x:v>
      </x:c>
      <x:c r="AA51" s="70" t="n">
        <x:v>0.11647169309221007</x:v>
      </x:c>
      <x:c r="AB51" s="52" t="n">
        <x:v>1.1275567489658522</x:v>
      </x:c>
      <x:c r="AC51" s="70" t="n">
        <x:v>0.2595071613277151</x:v>
      </x:c>
      <x:c r="AD51" s="70" t="n">
        <x:v>0.01216596466462705</x:v>
      </x:c>
      <x:c r="AE51" s="52" t="n">
        <x:v>2.3155222479225</x:v>
      </x:c>
      <x:c r="AF51" s="70" t="n">
        <x:v>0.13816351485688505</x:v>
      </x:c>
      <x:c r="AG51" s="52" t="n">
        <x:v>0.8734119989266087</x:v>
      </x:c>
      <x:c r="AH51" s="70" t="n">
        <x:v>0.3824385531757579</x:v>
      </x:c>
      <x:c r="AI51" s="70" t="n">
        <x:v>0.01164258217385672</x:v>
      </x:c>
      <x:c r="AJ51" s="52" t="n">
        <x:v>-0.25374865841430233</x:v>
      </x:c>
      <x:c r="AK51" s="52" t="n">
        <x:v>2.89233356784323</x:v>
      </x:c>
      <x:c r="AL51" s="70" t="n">
        <x:v>0.3801718049327256</x:v>
      </x:c>
      <x:c r="AM51" s="70" t="n">
        <x:v>0.9361322152825664</x:v>
      </x:c>
      <x:c r="AN51" s="70" t="n">
        <x:v>0.2697546761494087</x:v>
      </x:c>
      <x:c r="AO51" s="70" t="n">
        <x:v>0.5688850760090902</x:v>
      </x:c>
      <x:c r="AP51" s="70" t="n">
        <x:v>0.33737048995447294</x:v>
      </x:c>
      <x:c r="AQ51" s="70" t="n">
        <x:v>0.6247003961706689</x:v>
      </x:c>
      <x:c r="AR51" s="70" t="n">
        <x:v>0.9127750527660768</x:v>
      </x:c>
    </x:row>
    <x:row r="52">
      <x:c r="C52" s="43" t="str">
        <x:v>Financials</x:v>
      </x:c>
      <x:c r="D52" s="43" t="str">
        <x:v>full</x:v>
      </x:c>
      <x:c r="E52" s="19" t="n">
        <x:v>39904</x:v>
      </x:c>
      <x:c r="F52" s="19" t="n">
        <x:v>46204</x:v>
      </x:c>
      <x:c r="G52" s="64" t="n">
        <x:v>208</x:v>
      </x:c>
      <x:c r="H52" s="70" t="n">
        <x:v>0.12497457389597788</x:v>
      </x:c>
      <x:c r="I52" s="70" t="n">
        <x:v>0.10331552869538319</x:v>
      </x:c>
      <x:c r="J52" s="64" t="n">
        <x:v>0</x:v>
      </x:c>
      <x:c r="K52" s="52" t="n">
        <x:v>1.5933244231169468</x:v>
      </x:c>
      <x:c r="L52" s="70" t="n">
        <x:v>0.23034262518713985</x:v>
      </x:c>
      <x:c r="M52" s="52" t="n">
        <x:v>2.282700402161341</x:v>
      </x:c>
      <x:c r="N52" s="70" t="n">
        <x:v>0.022448022092140807</x:v>
      </x:c>
      <x:c r="O52" s="70" t="n">
        <x:v>0.042720539191024254</x:v>
      </x:c>
      <x:c r="P52" s="52" t="n">
        <x:v>-0.01617020819415077</x:v>
      </x:c>
      <x:c r="Q52" s="70" t="n">
        <x:v>-0.02074696444350084</x:v>
      </x:c>
      <x:c r="R52" s="52" t="n">
        <x:v>-0.1109486394137998</x:v>
      </x:c>
      <x:c r="S52" s="70" t="n">
        <x:v>0.9116570749875013</x:v>
      </x:c>
      <x:c r="T52" s="70" t="n">
        <x:v>0.0002366380981053684</x:v>
      </x:c>
      <x:c r="U52" s="52" t="n">
        <x:v>-0.09404481653953134</x:v>
      </x:c>
      <x:c r="V52" s="70" t="n">
        <x:v>-0.11661853044857443</x:v>
      </x:c>
      <x:c r="W52" s="52" t="n">
        <x:v>-0.7609437812315464</x:v>
      </x:c>
      <x:c r="X52" s="70" t="n">
        <x:v>0.4466906468976637</x:v>
      </x:c>
      <x:c r="Y52" s="70" t="n">
        <x:v>0.0070378229449027385</x:v>
      </x:c>
      <x:c r="Z52" s="52" t="n">
        <x:v>0.7696450840693287</x:v>
      </x:c>
      <x:c r="AA52" s="70" t="n">
        <x:v>0.13790168754766371</x:v>
      </x:c>
      <x:c r="AB52" s="52" t="n">
        <x:v>1.3108689338184616</x:v>
      </x:c>
      <x:c r="AC52" s="70" t="n">
        <x:v>0.18990204818710588</x:v>
      </x:c>
      <x:c r="AD52" s="70" t="n">
        <x:v>0.013927263290043013</x:v>
      </x:c>
      <x:c r="AE52" s="52" t="n">
        <x:v>0.8664026806872978</x:v>
      </x:c>
      <x:c r="AF52" s="70" t="n">
        <x:v>0.15627517686016118</x:v>
      </x:c>
      <x:c r="AG52" s="52" t="n">
        <x:v>1.5054856581182143</x:v>
      </x:c>
      <x:c r="AH52" s="70" t="n">
        <x:v>0.13219926136974802</x:v>
      </x:c>
      <x:c r="AI52" s="70" t="n">
        <x:v>0.01601358209006576</x:v>
      </x:c>
      <x:c r="AJ52" s="52" t="n">
        <x:v>5.968952397629377</x:v>
      </x:c>
      <x:c r="AK52" s="52" t="n">
        <x:v>-4.375627974512429</x:v>
      </x:c>
      <x:c r="AL52" s="70" t="n">
        <x:v>0.00011606831495614145</x:v>
      </x:c>
      <x:c r="AM52" s="70" t="n">
        <x:v>0.08230941433784962</x:v>
      </x:c>
      <x:c r="AN52" s="70" t="n">
        <x:v>0.9866714792407835</x:v>
      </x:c>
      <x:c r="AO52" s="70" t="n">
        <x:v>0.5033100362593185</x:v>
      </x:c>
      <x:c r="AP52" s="70" t="n">
        <x:v>0.5222306325145412</x:v>
      </x:c>
      <x:c r="AQ52" s="70" t="n">
        <x:v>0.36354796876680706</x:v>
      </x:c>
      <x:c r="AR52" s="70" t="n">
        <x:v>0.000319187866129389</x:v>
      </x:c>
    </x:row>
    <x:row r="53">
      <x:c r="C53" s="43" t="str">
        <x:v>Financials</x:v>
      </x:c>
      <x:c r="D53" s="43" t="str">
        <x:v>ex_2013_14</x:v>
      </x:c>
      <x:c r="E53" s="19" t="n">
        <x:v>39904</x:v>
      </x:c>
      <x:c r="F53" s="19" t="n">
        <x:v>46204</x:v>
      </x:c>
      <x:c r="G53" s="64" t="n">
        <x:v>184</x:v>
      </x:c>
      <x:c r="H53" s="70" t="n">
        <x:v>0.14121226533587905</x:v>
      </x:c>
      <x:c r="I53" s="70" t="n">
        <x:v>0.11708901436216779</x:v>
      </x:c>
      <x:c r="J53" s="64" t="n">
        <x:v>0</x:v>
      </x:c>
      <x:c r="K53" s="52" t="n">
        <x:v>1.7070586487209107</x:v>
      </x:c>
      <x:c r="L53" s="70" t="n">
        <x:v>0.2514328770161939</x:v>
      </x:c>
      <x:c r="M53" s="52" t="n">
        <x:v>2.4480414045780323</x:v>
      </x:c>
      <x:c r="N53" s="70" t="n">
        <x:v>0.014363514862337112</x:v>
      </x:c>
      <x:c r="O53" s="70" t="n">
        <x:v>0.050683713740495406</x:v>
      </x:c>
      <x:c r="P53" s="52" t="n">
        <x:v>0.018773683138318065</x:v>
      </x:c>
      <x:c r="Q53" s="70" t="n">
        <x:v>0.023745332060722723</x:v>
      </x:c>
      <x:c r="R53" s="52" t="n">
        <x:v>0.11964119914816193</x:v>
      </x:c>
      <x:c r="S53" s="70" t="n">
        <x:v>0.9047673819064683</x:v>
      </x:c>
      <x:c r="T53" s="70" t="n">
        <x:v>0.0002991649926153972</x:v>
      </x:c>
      <x:c r="U53" s="52" t="n">
        <x:v>-0.08295469817465739</x:v>
      </x:c>
      <x:c r="V53" s="70" t="n">
        <x:v>-0.10135206855155444</x:v>
      </x:c>
      <x:c r="W53" s="52" t="n">
        <x:v>-0.6235594784699783</x:v>
      </x:c>
      <x:c r="X53" s="70" t="n">
        <x:v>0.5329169293837066</x:v>
      </x:c>
      <x:c r="Y53" s="70" t="n">
        <x:v>0.005266333473939233</x:v>
      </x:c>
      <x:c r="Z53" s="52" t="n">
        <x:v>0.8620681096734212</x:v>
      </x:c>
      <x:c r="AA53" s="70" t="n">
        <x:v>0.15789100535619063</x:v>
      </x:c>
      <x:c r="AB53" s="52" t="n">
        <x:v>1.3842010369629176</x:v>
      </x:c>
      <x:c r="AC53" s="70" t="n">
        <x:v>0.16629690594156976</x:v>
      </x:c>
      <x:c r="AD53" s="70" t="n">
        <x:v>0.01752471436467118</x:v>
      </x:c>
      <x:c r="AE53" s="52" t="n">
        <x:v>0.5956276134517162</x:v>
      </x:c>
      <x:c r="AF53" s="70" t="n">
        <x:v>0.10656046767715716</x:v>
      </x:c>
      <x:c r="AG53" s="52" t="n">
        <x:v>0.9940094762942774</x:v>
      </x:c>
      <x:c r="AH53" s="70" t="n">
        <x:v>0.3202182539855438</x:v>
      </x:c>
      <x:c r="AI53" s="70" t="n">
        <x:v>0.0070500980736694085</x:v>
      </x:c>
      <x:c r="AJ53" s="52" t="n">
        <x:v>6.179005187471408</x:v>
      </x:c>
      <x:c r="AK53" s="52" t="n">
        <x:v>-4.471946538750493</x:v>
      </x:c>
      <x:c r="AL53" s="70" t="n">
        <x:v>0.00012182305187824483</x:v>
      </x:c>
      <x:c r="AM53" s="70" t="n">
        <x:v>0.05266622116190275</x:v>
      </x:c>
      <x:c r="AN53" s="70" t="n">
        <x:v>0.9866714792407835</x:v>
      </x:c>
      <x:c r="AO53" s="70" t="n">
        <x:v>0.5862086223220773</x:v>
      </x:c>
      <x:c r="AP53" s="70" t="n">
        <x:v>0.3658531930714535</x:v>
      </x:c>
      <x:c r="AQ53" s="70" t="n">
        <x:v>0.5032001134058546</x:v>
      </x:c>
      <x:c r="AR53" s="70" t="n">
        <x:v>0.00033501339266517327</x:v>
      </x:c>
    </x:row>
    <x:row r="54">
      <x:c r="C54" s="43" t="str">
        <x:v>Financials</x:v>
      </x:c>
      <x:c r="D54" s="43" t="str">
        <x:v>ex_2020_21</x:v>
      </x:c>
      <x:c r="E54" s="19" t="n">
        <x:v>39904</x:v>
      </x:c>
      <x:c r="F54" s="19" t="n">
        <x:v>46204</x:v>
      </x:c>
      <x:c r="G54" s="64" t="n">
        <x:v>184</x:v>
      </x:c>
      <x:c r="H54" s="70" t="n">
        <x:v>0.044556544254205965</x:v>
      </x:c>
      <x:c r="I54" s="70" t="n">
        <x:v>0.01771824493550389</x:v>
      </x:c>
      <x:c r="J54" s="64" t="n">
        <x:v>0</x:v>
      </x:c>
      <x:c r="K54" s="52" t="n">
        <x:v>0.7509781321598248</x:v>
      </x:c>
      <x:c r="L54" s="70" t="n">
        <x:v>0.09915529786723351</x:v>
      </x:c>
      <x:c r="M54" s="52" t="n">
        <x:v>0.6630708456214383</x:v>
      </x:c>
      <x:c r="N54" s="70" t="n">
        <x:v>0.5072851816847468</x:v>
      </x:c>
      <x:c r="O54" s="70" t="n">
        <x:v>0.008127518910403753</x:v>
      </x:c>
      <x:c r="P54" s="52" t="n">
        <x:v>0.10684641910475817</x:v>
      </x:c>
      <x:c r="Q54" s="70" t="n">
        <x:v>0.16793845809715613</x:v>
      </x:c>
      <x:c r="R54" s="52" t="n">
        <x:v>1.111850725839863</x:v>
      </x:c>
      <x:c r="S54" s="70" t="n">
        <x:v>0.26620233756720046</x:v>
      </x:c>
      <x:c r="T54" s="70" t="n">
        <x:v>0.01697445674456899</x:v>
      </x:c>
      <x:c r="U54" s="52" t="n">
        <x:v>0.01685631226639317</x:v>
      </x:c>
      <x:c r="V54" s="70" t="n">
        <x:v>0.025979919758079735</x:v>
      </x:c>
      <x:c r="W54" s="52" t="n">
        <x:v>0.20534061204830928</x:v>
      </x:c>
      <x:c r="X54" s="70" t="n">
        <x:v>0.8373060161960555</x:v>
      </x:c>
      <x:c r="Y54" s="70" t="n">
        <x:v>0.0003558057720068897</x:v>
      </x:c>
      <x:c r="Z54" s="52" t="n">
        <x:v>0.2281178899827752</x:v>
      </x:c>
      <x:c r="AA54" s="70" t="n">
        <x:v>0.048568633878167136</x:v>
      </x:c>
      <x:c r="AB54" s="52" t="n">
        <x:v>0.5913630140899977</x:v>
      </x:c>
      <x:c r="AC54" s="70" t="n">
        <x:v>0.5542772164924457</x:v>
      </x:c>
      <x:c r="AD54" s="70" t="n">
        <x:v>0.0018234933383631802</x:v>
      </x:c>
      <x:c r="AE54" s="52" t="n">
        <x:v>0.3357790093173143</x:v>
      </x:c>
      <x:c r="AF54" s="70" t="n">
        <x:v>0.06903466861341495</x:v>
      </x:c>
      <x:c r="AG54" s="52" t="n">
        <x:v>0.6269316748635059</x:v>
      </x:c>
      <x:c r="AH54" s="70" t="n">
        <x:v>0.5307040232947597</x:v>
      </x:c>
      <x:c r="AI54" s="70" t="n">
        <x:v>0.003590799547706358</x:v>
      </x:c>
      <x:c r="AJ54" s="52" t="n">
        <x:v>3.8491398290680143</x:v>
      </x:c>
      <x:c r="AK54" s="52" t="n">
        <x:v>-3.0981616969081913</x:v>
      </x:c>
      <x:c r="AL54" s="70" t="n">
        <x:v>0.05084609024512776</x:v>
      </x:c>
      <x:c r="AM54" s="70" t="n">
        <x:v>0.7484332346301469</x:v>
      </x:c>
      <x:c r="AN54" s="70" t="n">
        <x:v>0.8635982664161705</x:v>
      </x:c>
      <x:c r="AO54" s="70" t="n">
        <x:v>0.8373060161960555</x:v>
      </x:c>
      <x:c r="AP54" s="70" t="n">
        <x:v>0.6530692764357904</x:v>
      </x:c>
      <x:c r="AQ54" s="70" t="n">
        <x:v>0.7297180320302946</x:v>
      </x:c>
      <x:c r="AR54" s="70" t="n">
        <x:v>0.13982674817410135</x:v>
      </x:c>
    </x:row>
    <x:row r="55">
      <x:c r="C55" s="43" t="str">
        <x:v>Financials</x:v>
      </x:c>
      <x:c r="D55" s="43" t="str">
        <x:v>clean</x:v>
      </x:c>
      <x:c r="E55" s="19" t="n">
        <x:v>39904</x:v>
      </x:c>
      <x:c r="F55" s="19" t="n">
        <x:v>46204</x:v>
      </x:c>
      <x:c r="G55" s="64" t="n">
        <x:v>160</x:v>
      </x:c>
      <x:c r="H55" s="70" t="n">
        <x:v>0.07633837064114268</x:v>
      </x:c>
      <x:c r="I55" s="70" t="n">
        <x:v>0.04634935670092</x:v>
      </x:c>
      <x:c r="J55" s="64" t="n">
        <x:v>0</x:v>
      </x:c>
      <x:c r="K55" s="52" t="n">
        <x:v>1.1517199408251397</x:v>
      </x:c>
      <x:c r="L55" s="70" t="n">
        <x:v>0.15541956396472223</x:v>
      </x:c>
      <x:c r="M55" s="52" t="n">
        <x:v>1.034424223717163</x:v>
      </x:c>
      <x:c r="N55" s="70" t="n">
        <x:v>0.3009378848038855</x:v>
      </x:c>
      <x:c r="O55" s="70" t="n">
        <x:v>0.020126236477966963</x:v>
      </x:c>
      <x:c r="P55" s="52" t="n">
        <x:v>0.15809068354840894</x:v>
      </x:c>
      <x:c r="Q55" s="70" t="n">
        <x:v>0.24829925032623537</x:v>
      </x:c>
      <x:c r="R55" s="52" t="n">
        <x:v>1.610392341885754</x:v>
      </x:c>
      <x:c r="S55" s="70" t="n">
        <x:v>0.10731223137126866</x:v>
      </x:c>
      <x:c r="T55" s="70" t="n">
        <x:v>0.03621855452187206</x:v>
      </x:c>
      <x:c r="U55" s="52" t="n">
        <x:v>0.042518172513708485</x:v>
      </x:c>
      <x:c r="V55" s="70" t="n">
        <x:v>0.06521305622104938</x:v>
      </x:c>
      <x:c r="W55" s="52" t="n">
        <x:v>0.47982961203325514</x:v>
      </x:c>
      <x:c r="X55" s="70" t="n">
        <x:v>0.6313485549157654</x:v>
      </x:c>
      <x:c r="Y55" s="70" t="n">
        <x:v>0.002238647397045268</x:v>
      </x:c>
      <x:c r="Z55" s="52" t="n">
        <x:v>0.31188222784716696</x:v>
      </x:c>
      <x:c r="AA55" s="70" t="n">
        <x:v>0.0689787931173203</x:v>
      </x:c>
      <x:c r="AB55" s="52" t="n">
        <x:v>0.8423298462044168</x:v>
      </x:c>
      <x:c r="AC55" s="70" t="n">
        <x:v>0.39960334921665397</x:v>
      </x:c>
      <x:c r="AD55" s="70" t="n">
        <x:v>0.0035641200923817173</x:v>
      </x:c>
      <x:c r="AE55" s="52" t="n">
        <x:v>-0.06836986022565261</x:v>
      </x:c>
      <x:c r="AF55" s="70" t="n">
        <x:v>-0.013785350112737016</x:v>
      </x:c>
      <x:c r="AG55" s="52" t="n">
        <x:v>-0.12735963329297448</x:v>
      </x:c>
      <x:c r="AH55" s="70" t="n">
        <x:v>0.8986557639729316</x:v>
      </x:c>
      <x:c r="AI55" s="70" t="n">
        <x:v>0.00013971308886429057</x:v>
      </x:c>
      <x:c r="AJ55" s="52" t="n">
        <x:v>4.166800677918155</x:v>
      </x:c>
      <x:c r="AK55" s="52" t="n">
        <x:v>-3.0150807370930144</x:v>
      </x:c>
      <x:c r="AL55" s="70" t="n">
        <x:v>0.06803373490579911</x:v>
      </x:c>
      <x:c r="AM55" s="70" t="n">
        <x:v>0.6916769145070888</x:v>
      </x:c>
      <x:c r="AN55" s="70" t="n">
        <x:v>0.39347818169465176</x:v>
      </x:c>
      <x:c r="AO55" s="70" t="n">
        <x:v>0.8681042630091773</x:v>
      </x:c>
      <x:c r="AP55" s="70" t="n">
        <x:v>0.7183762040793694</x:v>
      </x:c>
      <x:c r="AQ55" s="70" t="n">
        <x:v>0.8986557639729316</x:v>
      </x:c>
      <x:c r="AR55" s="70" t="n">
        <x:v>0.14169438016516755</x:v>
      </x:c>
    </x:row>
    <x:row r="56">
      <x:c r="C56" s="43" t="str">
        <x:v>Financials</x:v>
      </x:c>
      <x:c r="D56" s="43" t="str">
        <x:v>ex_seams</x:v>
      </x:c>
      <x:c r="E56" s="19" t="n">
        <x:v>39904</x:v>
      </x:c>
      <x:c r="F56" s="19" t="n">
        <x:v>46204</x:v>
      </x:c>
      <x:c r="G56" s="64" t="n">
        <x:v>193</x:v>
      </x:c>
      <x:c r="H56" s="70" t="n">
        <x:v>0.1384604387966255</x:v>
      </x:c>
      <x:c r="I56" s="70" t="n">
        <x:v>0.11542462165215028</x:v>
      </x:c>
      <x:c r="J56" s="64" t="n">
        <x:v>0</x:v>
      </x:c>
      <x:c r="K56" s="52" t="n">
        <x:v>1.7719856604370101</x:v>
      </x:c>
      <x:c r="L56" s="70" t="n">
        <x:v>0.25764471145681284</x:v>
      </x:c>
      <x:c r="M56" s="52" t="n">
        <x:v>2.488356773860446</x:v>
      </x:c>
      <x:c r="N56" s="70" t="n">
        <x:v>0.012833491767569205</x:v>
      </x:c>
      <x:c r="O56" s="70" t="n">
        <x:v>0.05413502588604169</x:v>
      </x:c>
      <x:c r="P56" s="52" t="n">
        <x:v>-0.051477375502612</x:v>
      </x:c>
      <x:c r="Q56" s="70" t="n">
        <x:v>-0.06412531520643913</x:v>
      </x:c>
      <x:c r="R56" s="52" t="n">
        <x:v>-0.3300963546925246</x:v>
      </x:c>
      <x:c r="S56" s="70" t="n">
        <x:v>0.7413271575402516</x:v>
      </x:c>
      <x:c r="T56" s="70" t="n">
        <x:v>0.0023624728944344753</x:v>
      </x:c>
      <x:c r="U56" s="52" t="n">
        <x:v>-0.0816627564235699</x:v>
      </x:c>
      <x:c r="V56" s="70" t="n">
        <x:v>-0.09986833283391253</x:v>
      </x:c>
      <x:c r="W56" s="52" t="n">
        <x:v>-0.6572549515358462</x:v>
      </x:c>
      <x:c r="X56" s="70" t="n">
        <x:v>0.511016997224377</x:v>
      </x:c>
      <x:c r="Y56" s="70" t="n">
        <x:v>0.00536481765595842</x:v>
      </x:c>
      <x:c r="Z56" s="52" t="n">
        <x:v>1.1088497615156798</x:v>
      </x:c>
      <x:c r="AA56" s="70" t="n">
        <x:v>0.19314096828790828</x:v>
      </x:c>
      <x:c r="AB56" s="52" t="n">
        <x:v>1.6634581897449832</x:v>
      </x:c>
      <x:c r="AC56" s="70" t="n">
        <x:v>0.09622075345030501</x:v>
      </x:c>
      <x:c r="AD56" s="70" t="n">
        <x:v>0.02771756768093203</x:v>
      </x:c>
      <x:c r="AE56" s="52" t="n">
        <x:v>0.7520764877164924</x:v>
      </x:c>
      <x:c r="AF56" s="70" t="n">
        <x:v>0.1344943350921065</x:v>
      </x:c>
      <x:c r="AG56" s="52" t="n">
        <x:v>1.4160631556686039</x:v>
      </x:c>
      <x:c r="AH56" s="70" t="n">
        <x:v>0.15675701430527522</x:v>
      </x:c>
      <x:c r="AI56" s="70" t="n">
        <x:v>0.012139996832349231</x:v>
      </x:c>
      <x:c r="AJ56" s="52" t="n">
        <x:v>6.257300955716724</x:v>
      </x:c>
      <x:c r="AK56" s="52" t="n">
        <x:v>-4.485315295279711</x:v>
      </x:c>
      <x:c r="AL56" s="70" t="n">
        <x:v>0.00008004579705023218</x:v>
      </x:c>
      <x:c r="AM56" s="70" t="n">
        <x:v>0.047056136481087085</x:v>
      </x:c>
      <x:c r="AN56" s="70" t="n">
        <x:v>0.8154598732942768</x:v>
      </x:c>
      <x:c r="AO56" s="70" t="n">
        <x:v>0.6245763299409052</x:v>
      </x:c>
      <x:c r="AP56" s="70" t="n">
        <x:v>0.211685657590671</x:v>
      </x:c>
      <x:c r="AQ56" s="70" t="n">
        <x:v>0.4188091181891152</x:v>
      </x:c>
      <x:c r="AR56" s="70" t="n">
        <x:v>0.0002201259418881385</x:v>
      </x:c>
    </x:row>
    <x:row r="57">
      <x:c r="C57" s="43" t="str">
        <x:v>Financials</x:v>
      </x:c>
      <x:c r="D57" s="43" t="str">
        <x:v>audit_clean</x:v>
      </x:c>
      <x:c r="E57" s="19" t="n">
        <x:v>39904</x:v>
      </x:c>
      <x:c r="F57" s="19" t="n">
        <x:v>46204</x:v>
      </x:c>
      <x:c r="G57" s="64" t="n">
        <x:v>151</x:v>
      </x:c>
      <x:c r="H57" s="70" t="n">
        <x:v>0.07693507860790771</x:v>
      </x:c>
      <x:c r="I57" s="70" t="n">
        <x:v>0.04510525373231844</x:v>
      </x:c>
      <x:c r="J57" s="64" t="n">
        <x:v>0</x:v>
      </x:c>
      <x:c r="K57" s="52" t="n">
        <x:v>1.2789226215724512</x:v>
      </x:c>
      <x:c r="L57" s="70" t="n">
        <x:v>0.17435119217144213</x:v>
      </x:c>
      <x:c r="M57" s="52" t="n">
        <x:v>1.1443309279603133</x:v>
      </x:c>
      <x:c r="N57" s="70" t="n">
        <x:v>0.25248642158565837</x:v>
      </x:c>
      <x:c r="O57" s="70" t="n">
        <x:v>0.025170922067041968</x:v>
      </x:c>
      <x:c r="P57" s="52" t="n">
        <x:v>0.1515576427301621</x:v>
      </x:c>
      <x:c r="Q57" s="70" t="n">
        <x:v>0.23641072097607188</x:v>
      </x:c>
      <x:c r="R57" s="52" t="n">
        <x:v>1.5221417090212994</x:v>
      </x:c>
      <x:c r="S57" s="70" t="n">
        <x:v>0.1279735770741235</x:v>
      </x:c>
      <x:c r="T57" s="70" t="n">
        <x:v>0.03233407215126394</x:v>
      </x:c>
      <x:c r="U57" s="52" t="n">
        <x:v>0.04977169707788698</x:v>
      </x:c>
      <x:c r="V57" s="70" t="n">
        <x:v>0.07697330009244271</x:v>
      </x:c>
      <x:c r="W57" s="52" t="n">
        <x:v>0.5415805520837449</x:v>
      </x:c>
      <x:c r="X57" s="70" t="n">
        <x:v>0.5881074922901302</x:v>
      </x:c>
      <x:c r="Y57" s="70" t="n">
        <x:v>0.0030764803244907046</x:v>
      </x:c>
      <x:c r="Z57" s="52" t="n">
        <x:v>0.38942342491476095</x:v>
      </x:c>
      <x:c r="AA57" s="70" t="n">
        <x:v>0.08279900812044773</x:v>
      </x:c>
      <x:c r="AB57" s="52" t="n">
        <x:v>1.0891815279411075</x:v>
      </x:c>
      <x:c r="AC57" s="70" t="n">
        <x:v>0.27607384309287597</x:v>
      </x:c>
      <x:c r="AD57" s="70" t="n">
        <x:v>0.0053848314303539535</x:v>
      </x:c>
      <x:c r="AE57" s="52" t="n">
        <x:v>0.0018959807840594478</x:v>
      </x:c>
      <x:c r="AF57" s="70" t="n">
        <x:v>0.0003730221563250681</x:v>
      </x:c>
      <x:c r="AG57" s="52" t="n">
        <x:v>0.0035291035646903635</x:v>
      </x:c>
      <x:c r="AH57" s="70" t="n">
        <x:v>0.9971841885972148</x:v>
      </x:c>
      <x:c r="AI57" s="70" t="n">
        <x:v>1.0771870428971653e-7</x:v>
      </x:c>
      <x:c r="AJ57" s="52" t="n">
        <x:v>4.442488062949742</x:v>
      </x:c>
      <x:c r="AK57" s="52" t="n">
        <x:v>-3.1635654413772882</x:v>
      </x:c>
      <x:c r="AL57" s="70" t="n">
        <x:v>0.06546432840096572</x:v>
      </x:c>
      <x:c r="AM57" s="70" t="n">
        <x:v>0.6593571353922666</x:v>
      </x:c>
      <x:c r="AN57" s="70" t="n">
        <x:v>0.46923644927178615</x:v>
      </x:c>
      <x:c r="AO57" s="70" t="n">
        <x:v>0.7624105568828087</x:v>
      </x:c>
      <x:c r="AP57" s="70" t="n">
        <x:v>0.48175798569588046</x:v>
      </x:c>
      <x:c r="AQ57" s="70" t="n">
        <x:v>0.9971841885972149</x:v>
      </x:c>
      <x:c r="AR57" s="70" t="n">
        <x:v>0.12001793540177048</x:v>
      </x:c>
    </x:row>
    <x:row r="58">
      <x:c r="C58" s="43" t="str">
        <x:v>Financials</x:v>
      </x:c>
      <x:c r="D58" s="43" t="str">
        <x:v>since_2020</x:v>
      </x:c>
      <x:c r="E58" s="19" t="n">
        <x:v>43831</x:v>
      </x:c>
      <x:c r="F58" s="19" t="n">
        <x:v>46204</x:v>
      </x:c>
      <x:c r="G58" s="64" t="n">
        <x:v>79</x:v>
      </x:c>
      <x:c r="H58" s="70" t="n">
        <x:v>0.31652699146147656</x:v>
      </x:c>
      <x:c r="I58" s="70" t="n">
        <x:v>0.26971377169856403</x:v>
      </x:c>
      <x:c r="J58" s="64" t="n">
        <x:v>0</x:v>
      </x:c>
      <x:c r="K58" s="52" t="n">
        <x:v>2.341991798100389</x:v>
      </x:c>
      <x:c r="L58" s="70" t="n">
        <x:v>0.3591280564035275</x:v>
      </x:c>
      <x:c r="M58" s="52" t="n">
        <x:v>3.675056284476978</x:v>
      </x:c>
      <x:c r="N58" s="70" t="n">
        <x:v>0.00023779698529136084</x:v>
      </x:c>
      <x:c r="O58" s="70" t="n">
        <x:v>0.09455113647771762</x:v>
      </x:c>
      <x:c r="P58" s="52" t="n">
        <x:v>-0.24473068965682865</x:v>
      </x:c>
      <x:c r="Q58" s="70" t="n">
        <x:v>-0.30105029057328503</x:v>
      </x:c>
      <x:c r="R58" s="52" t="n">
        <x:v>-0.9814641335048628</x:v>
      </x:c>
      <x:c r="S58" s="70" t="n">
        <x:v>0.32636391307713764</x:v>
      </x:c>
      <x:c r="T58" s="70" t="n">
        <x:v>0.04371505182262436</x:v>
      </x:c>
      <x:c r="U58" s="52" t="n">
        <x:v>-0.21812683396316723</x:v>
      </x:c>
      <x:c r="V58" s="70" t="n">
        <x:v>-0.22122396061881855</x:v>
      </x:c>
      <x:c r="W58" s="52" t="n">
        <x:v>-0.9542267667767915</x:v>
      </x:c>
      <x:c r="X58" s="70" t="n">
        <x:v>0.33996886842988294</x:v>
      </x:c>
      <x:c r="Y58" s="70" t="n">
        <x:v>0.024483365355987385</x:v>
      </x:c>
      <x:c r="Z58" s="52" t="n">
        <x:v>1.0869979605062279</x:v>
      </x:c>
      <x:c r="AA58" s="70" t="n">
        <x:v>0.2091147911789608</x:v>
      </x:c>
      <x:c r="AB58" s="52" t="n">
        <x:v>1.4223054861321596</x:v>
      </x:c>
      <x:c r="AC58" s="70" t="n">
        <x:v>0.1549375869531917</x:v>
      </x:c>
      <x:c r="AD58" s="70" t="n">
        <x:v>0.03154738748919883</x:v>
      </x:c>
      <x:c r="AE58" s="52" t="n">
        <x:v>1.904987735933354</x:v>
      </x:c>
      <x:c r="AF58" s="70" t="n">
        <x:v>0.3295136034398647</x:v>
      </x:c>
      <x:c r="AG58" s="52" t="n">
        <x:v>1.6667833814403354</x:v>
      </x:c>
      <x:c r="AH58" s="70" t="n">
        <x:v>0.09555748590057567</x:v>
      </x:c>
      <x:c r="AI58" s="70" t="n">
        <x:v>0.06554170228015366</x:v>
      </x:c>
      <x:c r="AJ58" s="52" t="n">
        <x:v>6.517266411873479</x:v>
      </x:c>
      <x:c r="AK58" s="52" t="n">
        <x:v>-4.175274613773087</x:v>
      </x:c>
      <x:c r="AL58" s="70" t="n">
        <x:v>0.00008882020055711592</x:v>
      </x:c>
      <x:c r="AM58" s="70" t="n">
        <x:v>0.0008719222794016565</x:v>
      </x:c>
      <x:c r="AN58" s="70" t="n">
        <x:v>0.5513720907474443</x:v>
      </x:c>
      <x:c r="AO58" s="70" t="n">
        <x:v>0.7479315105457425</x:v>
      </x:c>
      <x:c r="AP58" s="70" t="n">
        <x:v>0.24347335092644412</x:v>
      </x:c>
      <x:c r="AQ58" s="70" t="n">
        <x:v>0.15016176355804747</x:v>
      </x:c>
      <x:c r="AR58" s="70" t="n">
        <x:v>0.00032567406870942506</x:v>
      </x:c>
    </x:row>
    <x:row r="59">
      <x:c r="C59" s="43" t="str">
        <x:v>Financials</x:v>
      </x:c>
      <x:c r="D59" s="43" t="str">
        <x:v>since_2022</x:v>
      </x:c>
      <x:c r="E59" s="19" t="n">
        <x:v>44562</x:v>
      </x:c>
      <x:c r="F59" s="19" t="n">
        <x:v>46204</x:v>
      </x:c>
      <x:c r="G59" s="64" t="n">
        <x:v>55</x:v>
      </x:c>
      <x:c r="H59" s="70" t="n">
        <x:v>0.26863922786286876</x:v>
      </x:c>
      <x:c r="I59" s="70" t="n">
        <x:v>0.19401057764479412</x:v>
      </x:c>
      <x:c r="J59" s="64" t="n">
        <x:v>0</x:v>
      </x:c>
      <x:c r="K59" s="52" t="n">
        <x:v>1.7952200769130822</x:v>
      </x:c>
      <x:c r="L59" s="70" t="n">
        <x:v>0.190538825944327</x:v>
      </x:c>
      <x:c r="M59" s="52" t="n">
        <x:v>1.4766071439227824</x:v>
      </x:c>
      <x:c r="N59" s="70" t="n">
        <x:v>0.1397809756311712</x:v>
      </x:c>
      <x:c r="O59" s="70" t="n">
        <x:v>0.03520860251624769</x:v>
      </x:c>
      <x:c r="P59" s="52" t="n">
        <x:v>0.08576470978478046</x:v>
      </x:c>
      <x:c r="Q59" s="70" t="n">
        <x:v>0.24100735773164872</x:v>
      </x:c>
      <x:c r="R59" s="52" t="n">
        <x:v>1.2593561189693654</x:v>
      </x:c>
      <x:c r="S59" s="70" t="n">
        <x:v>0.20790173161423864</x:v>
      </x:c>
      <x:c r="T59" s="70" t="n">
        <x:v>0.03093324112309137</x:v>
      </x:c>
      <x:c r="U59" s="52" t="n">
        <x:v>0.2286335271007376</x:v>
      </x:c>
      <x:c r="V59" s="70" t="n">
        <x:v>0.4487447604385116</x:v>
      </x:c>
      <x:c r="W59" s="52" t="n">
        <x:v>2.0213580969185188</x:v>
      </x:c>
      <x:c r="X59" s="70" t="n">
        <x:v>0.04324270910493677</x:v>
      </x:c>
      <x:c r="Y59" s="70" t="n">
        <x:v>0.0967637393710773</x:v>
      </x:c>
      <x:c r="Z59" s="52" t="n">
        <x:v>0.7988438460463301</x:v>
      </x:c>
      <x:c r="AA59" s="70" t="n">
        <x:v>0.3454616137423494</x:v>
      </x:c>
      <x:c r="AB59" s="52" t="n">
        <x:v>2.6446757728529198</x:v>
      </x:c>
      <x:c r="AC59" s="70" t="n">
        <x:v>0.008176922539729903</x:v>
      </x:c>
      <x:c r="AD59" s="70" t="n">
        <x:v>0.1070809316052217</x:v>
      </x:c>
      <x:c r="AE59" s="52" t="n">
        <x:v>-0.5840946897329141</x:v>
      </x:c>
      <x:c r="AF59" s="70" t="n">
        <x:v>-0.19609958706554192</x:v>
      </x:c>
      <x:c r="AG59" s="52" t="n">
        <x:v>-1.0949103188256815</x:v>
      </x:c>
      <x:c r="AH59" s="70" t="n">
        <x:v>0.27355592789965755</x:v>
      </x:c>
      <x:c r="AI59" s="70" t="n">
        <x:v>0.023370928770172883</x:v>
      </x:c>
      <x:c r="AJ59" s="52" t="n">
        <x:v>0.2982402843671333</x:v>
      </x:c>
      <x:c r="AK59" s="52" t="n">
        <x:v>1.4969797925459525</x:v>
      </x:c>
      <x:c r="AL59" s="70" t="n">
        <x:v>0.6581302625558969</x:v>
      </x:c>
      <x:c r="AM59" s="70" t="n">
        <x:v>0.6390609626132595</x:v>
      </x:c>
      <x:c r="AN59" s="70" t="n">
        <x:v>0.3267027211080893</x:v>
      </x:c>
      <x:c r="AO59" s="70" t="n">
        <x:v>0.0951339600308609</x:v>
      </x:c>
      <x:c r="AP59" s="70" t="n">
        <x:v>0.022486536984257233</x:v>
      </x:c>
      <x:c r="AQ59" s="70" t="n">
        <x:v>0.6018230413792466</x:v>
      </x:c>
      <x:c r="AR59" s="70" t="n">
        <x:v>0.9772311542052887</x:v>
      </x:c>
    </x:row>
    <x:row r="60">
      <x:c r="C60" s="43" t="str">
        <x:v>Financials</x:v>
      </x:c>
      <x:c r="D60" s="43" t="str">
        <x:v>since_2022_ex_seams</x:v>
      </x:c>
      <x:c r="E60" s="19" t="n">
        <x:v>44562</x:v>
      </x:c>
      <x:c r="F60" s="19" t="n">
        <x:v>46204</x:v>
      </x:c>
      <x:c r="G60" s="64" t="n">
        <x:v>52</x:v>
      </x:c>
      <x:c r="H60" s="70" t="n">
        <x:v>0.26156376467313625</x:v>
      </x:c>
      <x:c r="I60" s="70" t="n">
        <x:v>0.1812989564854337</x:v>
      </x:c>
      <x:c r="J60" s="64" t="n">
        <x:v>0</x:v>
      </x:c>
      <x:c r="K60" s="52" t="n">
        <x:v>1.7074172228075957</x:v>
      </x:c>
      <x:c r="L60" s="70" t="n">
        <x:v>0.18238911065898544</x:v>
      </x:c>
      <x:c r="M60" s="52" t="n">
        <x:v>1.3918625184377804</x:v>
      </x:c>
      <x:c r="N60" s="70" t="n">
        <x:v>0.16396403382902913</x:v>
      </x:c>
      <x:c r="O60" s="70" t="n">
        <x:v>0.03240160786088797</x:v>
      </x:c>
      <x:c r="P60" s="52" t="n">
        <x:v>0.09654958212174813</x:v>
      </x:c>
      <x:c r="Q60" s="70" t="n">
        <x:v>0.26788559665008427</x:v>
      </x:c>
      <x:c r="R60" s="52" t="n">
        <x:v>1.1785362218759512</x:v>
      </x:c>
      <x:c r="S60" s="70" t="n">
        <x:v>0.2385829007496647</x:v>
      </x:c>
      <x:c r="T60" s="70" t="n">
        <x:v>0.03643974866188371</x:v>
      </x:c>
      <x:c r="U60" s="52" t="n">
        <x:v>0.2364688267427335</x:v>
      </x:c>
      <x:c r="V60" s="70" t="n">
        <x:v>0.4696371888431235</x:v>
      </x:c>
      <x:c r="W60" s="52" t="n">
        <x:v>1.9117823178482196</x:v>
      </x:c>
      <x:c r="X60" s="70" t="n">
        <x:v>0.05590412068353601</x:v>
      </x:c>
      <x:c r="Y60" s="70" t="n">
        <x:v>0.10003406665817083</x:v>
      </x:c>
      <x:c r="Z60" s="52" t="n">
        <x:v>0.7747892655060273</x:v>
      </x:c>
      <x:c r="AA60" s="70" t="n">
        <x:v>0.33765306698802544</x:v>
      </x:c>
      <x:c r="AB60" s="52" t="n">
        <x:v>2.6462000359683393</x:v>
      </x:c>
      <x:c r="AC60" s="70" t="n">
        <x:v>0.008140166419662087</x:v>
      </x:c>
      <x:c r="AD60" s="70" t="n">
        <x:v>0.10224619879385621</x:v>
      </x:c>
      <x:c r="AE60" s="52" t="n">
        <x:v>-0.5598251251560765</x:v>
      </x:c>
      <x:c r="AF60" s="70" t="n">
        <x:v>-0.18879357932681853</x:v>
      </x:c>
      <x:c r="AG60" s="52" t="n">
        <x:v>-1.0282209290659372</x:v>
      </x:c>
      <x:c r="AH60" s="70" t="n">
        <x:v>0.3038459156511846</x:v>
      </x:c>
      <x:c r="AI60" s="70" t="n">
        <x:v>0.02173887204759306</x:v>
      </x:c>
      <x:c r="AJ60" s="52" t="n">
        <x:v>-0.25374865841430233</x:v>
      </x:c>
      <x:c r="AK60" s="52" t="n">
        <x:v>1.9611658812218917</x:v>
      </x:c>
      <x:c r="AL60" s="70" t="n">
        <x:v>0.5605013920446604</x:v>
      </x:c>
      <x:c r="AM60" s="70" t="n">
        <x:v>0.6845642455099491</x:v>
      </x:c>
      <x:c r="AN60" s="70" t="n">
        <x:v>0.37491598689233024</x:v>
      </x:c>
      <x:c r="AO60" s="70" t="n">
        <x:v>0.12298906550377922</x:v>
      </x:c>
      <x:c r="AP60" s="70" t="n">
        <x:v>0.02238545765407074</x:v>
      </x:c>
      <x:c r="AQ60" s="70" t="n">
        <x:v>0.6247003961706689</x:v>
      </x:c>
      <x:c r="AR60" s="70" t="n">
        <x:v>0.9127750527660768</x:v>
      </x:c>
    </x:row>
    <x:row r="61">
      <x:c r="C61" s="43" t="str">
        <x:v>Health Care</x:v>
      </x:c>
      <x:c r="D61" s="43" t="str">
        <x:v>full</x:v>
      </x:c>
      <x:c r="E61" s="19" t="n">
        <x:v>40634</x:v>
      </x:c>
      <x:c r="F61" s="19" t="n">
        <x:v>46204</x:v>
      </x:c>
      <x:c r="G61" s="64" t="n">
        <x:v>184</x:v>
      </x:c>
      <x:c r="H61" s="70" t="n">
        <x:v>0.1427183611722901</x:v>
      </x:c>
      <x:c r="I61" s="70" t="n">
        <x:v>0.11863741626139945</x:v>
      </x:c>
      <x:c r="J61" s="64" t="n">
        <x:v>0</x:v>
      </x:c>
      <x:c r="K61" s="52" t="n">
        <x:v>-0.7588255148361802</x:v>
      </x:c>
      <x:c r="L61" s="70" t="n">
        <x:v>-0.06644873891759176</x:v>
      </x:c>
      <x:c r="M61" s="52" t="n">
        <x:v>-0.8683852799834433</x:v>
      </x:c>
      <x:c r="N61" s="70" t="n">
        <x:v>0.3851834504369611</x:v>
      </x:c>
      <x:c r="O61" s="70" t="n">
        <x:v>0.0033008493180491927</x:v>
      </x:c>
      <x:c r="P61" s="52" t="n">
        <x:v>0.10593023494491104</x:v>
      </x:c>
      <x:c r="Q61" s="70" t="n">
        <x:v>0.08347946485764719</x:v>
      </x:c>
      <x:c r="R61" s="52" t="n">
        <x:v>0.7390350861437144</x:v>
      </x:c>
      <x:c r="S61" s="70" t="n">
        <x:v>0.4598856923661321</x:v>
      </x:c>
      <x:c r="T61" s="70" t="n">
        <x:v>0.0038949029318902095</x:v>
      </x:c>
      <x:c r="U61" s="52" t="n">
        <x:v>-0.3648016785066043</x:v>
      </x:c>
      <x:c r="V61" s="70" t="n">
        <x:v>-0.27680465835883133</x:v>
      </x:c>
      <x:c r="W61" s="52" t="n">
        <x:v>-2.307005790240323</x:v>
      </x:c>
      <x:c r="X61" s="70" t="n">
        <x:v>0.0210544973163711</x:v>
      </x:c>
      <x:c r="Y61" s="70" t="n">
        <x:v>0.042145590606799566</x:v>
      </x:c>
      <x:c r="Z61" s="52" t="n">
        <x:v>0.5071544795097195</x:v>
      </x:c>
      <x:c r="AA61" s="70" t="n">
        <x:v>0.058896286770981576</x:v>
      </x:c>
      <x:c r="AB61" s="52" t="n">
        <x:v>0.4993436366740204</x:v>
      </x:c>
      <x:c r="AC61" s="70" t="n">
        <x:v>0.6175373188018796</x:v>
      </x:c>
      <x:c r="AD61" s="70" t="n">
        <x:v>0.002554592384370724</x:v>
      </x:c>
      <x:c r="AE61" s="52" t="n">
        <x:v>1.8576314638415163</x:v>
      </x:c>
      <x:c r="AF61" s="70" t="n">
        <x:v>0.21558873750551813</x:v>
      </x:c>
      <x:c r="AG61" s="52" t="n">
        <x:v>1.1460649458430765</x:v>
      </x:c>
      <x:c r="AH61" s="70" t="n">
        <x:v>0.2517682805348589</x:v>
      </x:c>
      <x:c r="AI61" s="70" t="n">
        <x:v>0.029701668421696636</x:v>
      </x:c>
      <x:c r="AJ61" s="52" t="n">
        <x:v>6.545174596036837</x:v>
      </x:c>
      <x:c r="AK61" s="52" t="n">
        <x:v>-7.304000110873012</x:v>
      </x:c>
      <x:c r="AL61" s="70" t="n">
        <x:v>5.726182639165245e-9</x:v>
      </x:c>
      <x:c r="AM61" s="70" t="n">
        <x:v>0.433212736361645</x:v>
      </x:c>
      <x:c r="AN61" s="70" t="n">
        <x:v>0.9866714792407835</x:v>
      </x:c>
      <x:c r="AO61" s="70" t="n">
        <x:v>0.11186004919926547</x:v>
      </x:c>
      <x:c r="AP61" s="70" t="n">
        <x:v>0.8491138133525844</x:v>
      </x:c>
      <x:c r="AQ61" s="70" t="n">
        <x:v>0.43989051747423874</x:v>
      </x:c>
      <x:c r="AR61" s="70" t="n">
        <x:v>3.1494004515408847e-8</x:v>
      </x:c>
    </x:row>
    <x:row r="62">
      <x:c r="C62" s="43" t="str">
        <x:v>Health Care</x:v>
      </x:c>
      <x:c r="D62" s="43" t="str">
        <x:v>ex_2013_14</x:v>
      </x:c>
      <x:c r="E62" s="19" t="n">
        <x:v>40634</x:v>
      </x:c>
      <x:c r="F62" s="19" t="n">
        <x:v>46204</x:v>
      </x:c>
      <x:c r="G62" s="64" t="n">
        <x:v>160</x:v>
      </x:c>
      <x:c r="H62" s="70" t="n">
        <x:v>0.1443502025827489</x:v>
      </x:c>
      <x:c r="I62" s="70" t="n">
        <x:v>0.11656936500426673</x:v>
      </x:c>
      <x:c r="J62" s="64" t="n">
        <x:v>0</x:v>
      </x:c>
      <x:c r="K62" s="52" t="n">
        <x:v>-0.6044922285073145</x:v>
      </x:c>
      <x:c r="L62" s="70" t="n">
        <x:v>-0.05361663896746517</x:v>
      </x:c>
      <x:c r="M62" s="52" t="n">
        <x:v>-0.6465657994182377</x:v>
      </x:c>
      <x:c r="N62" s="70" t="n">
        <x:v>0.5179129987007762</x:v>
      </x:c>
      <x:c r="O62" s="70" t="n">
        <x:v>0.002107420689984707</x:v>
      </x:c>
      <x:c r="P62" s="52" t="n">
        <x:v>0.11721123189824378</x:v>
      </x:c>
      <x:c r="Q62" s="70" t="n">
        <x:v>0.09025462953771021</x:v>
      </x:c>
      <x:c r="R62" s="52" t="n">
        <x:v>0.7108795261991063</x:v>
      </x:c>
      <x:c r="S62" s="70" t="n">
        <x:v>0.4771588942222511</x:v>
      </x:c>
      <x:c r="T62" s="70" t="n">
        <x:v>0.00434568057463558</x:v>
      </x:c>
      <x:c r="U62" s="52" t="n">
        <x:v>-0.3115037809766166</x:v>
      </x:c>
      <x:c r="V62" s="70" t="n">
        <x:v>-0.23009072530391902</x:v>
      </x:c>
      <x:c r="W62" s="52" t="n">
        <x:v>-1.8753502036980032</x:v>
      </x:c>
      <x:c r="X62" s="70" t="n">
        <x:v>0.060744560929456126</x:v>
      </x:c>
      <x:c r="Y62" s="70" t="n">
        <x:v>0.028719026320508045</x:v>
      </x:c>
      <x:c r="Z62" s="52" t="n">
        <x:v>0.21930866039159164</x:v>
      </x:c>
      <x:c r="AA62" s="70" t="n">
        <x:v>0.02586143092291822</x:v>
      </x:c>
      <x:c r="AB62" s="52" t="n">
        <x:v>0.20597749397380793</x:v>
      </x:c>
      <x:c r="AC62" s="70" t="n">
        <x:v>0.8368084915544522</x:v>
      </x:c>
      <x:c r="AD62" s="70" t="n">
        <x:v>0.00047104517510654365</x:v>
      </x:c>
      <x:c r="AE62" s="52" t="n">
        <x:v>2.2716491881932517</x:v>
      </x:c>
      <x:c r="AF62" s="70" t="n">
        <x:v>0.25861757919330486</x:v>
      </x:c>
      <x:c r="AG62" s="52" t="n">
        <x:v>1.3508634529202581</x:v>
      </x:c>
      <x:c r="AH62" s="70" t="n">
        <x:v>0.17673917736659828</x:v>
      </x:c>
      <x:c r="AI62" s="70" t="n">
        <x:v>0.039992631223684905</x:v>
      </x:c>
      <x:c r="AJ62" s="52" t="n">
        <x:v>6.797517437672876</x:v>
      </x:c>
      <x:c r="AK62" s="52" t="n">
        <x:v>-7.402009666180187</x:v>
      </x:c>
      <x:c r="AL62" s="70" t="n">
        <x:v>6.881720038265371e-8</x:v>
      </x:c>
      <x:c r="AM62" s="70" t="n">
        <x:v>0.5179129987007762</x:v>
      </x:c>
      <x:c r="AN62" s="70" t="n">
        <x:v>0.9662546132430333</x:v>
      </x:c>
      <x:c r="AO62" s="70" t="n">
        <x:v>0.25041047291457813</x:v>
      </x:c>
      <x:c r="AP62" s="70" t="n">
        <x:v>0.9386131198694879</x:v>
      </x:c>
      <x:c r="AQ62" s="70" t="n">
        <x:v>0.3888261902065162</x:v>
      </x:c>
      <x:c r="AR62" s="70" t="n">
        <x:v>3.784946021045954e-7</x:v>
      </x:c>
    </x:row>
    <x:row r="63">
      <x:c r="C63" s="43" t="str">
        <x:v>Health Care</x:v>
      </x:c>
      <x:c r="D63" s="43" t="str">
        <x:v>ex_2020_21</x:v>
      </x:c>
      <x:c r="E63" s="19" t="n">
        <x:v>40634</x:v>
      </x:c>
      <x:c r="F63" s="19" t="n">
        <x:v>46204</x:v>
      </x:c>
      <x:c r="G63" s="64" t="n">
        <x:v>160</x:v>
      </x:c>
      <x:c r="H63" s="70" t="n">
        <x:v>0.19334512195431863</x:v>
      </x:c>
      <x:c r="I63" s="70" t="n">
        <x:v>0.16715502851127695</x:v>
      </x:c>
      <x:c r="J63" s="64" t="n">
        <x:v>0</x:v>
      </x:c>
      <x:c r="K63" s="52" t="n">
        <x:v>0.8721378934221543</x:v>
      </x:c>
      <x:c r="L63" s="70" t="n">
        <x:v>0.04721054747740597</x:v>
      </x:c>
      <x:c r="M63" s="52" t="n">
        <x:v>0.41158272136162494</x:v>
      </x:c>
      <x:c r="N63" s="70" t="n">
        <x:v>0.6806452983074309</x:v>
      </x:c>
      <x:c r="O63" s="70" t="n">
        <x:v>0.001665327572362485</x:v>
      </x:c>
      <x:c r="P63" s="52" t="n">
        <x:v>0.09119600530444238</x:v>
      </x:c>
      <x:c r="Q63" s="70" t="n">
        <x:v>0.06686130749377688</x:v>
      </x:c>
      <x:c r="R63" s="52" t="n">
        <x:v>0.6107475170441828</x:v>
      </x:c>
      <x:c r="S63" s="70" t="n">
        <x:v>0.5413667432542955</x:v>
      </x:c>
      <x:c r="T63" s="70" t="n">
        <x:v>0.002864064039310721</x:v>
      </x:c>
      <x:c r="U63" s="52" t="n">
        <x:v>-0.5196232544315711</x:v>
      </x:c>
      <x:c r="V63" s="70" t="n">
        <x:v>-0.37784116385752226</x:v>
      </x:c>
      <x:c r="W63" s="52" t="n">
        <x:v>-3.101180496675602</x:v>
      </x:c>
      <x:c r="X63" s="70" t="n">
        <x:v>0.0019275075858535828</x:v>
      </x:c>
      <x:c r="Y63" s="70" t="n">
        <x:v>0.08150871945838034</x:v>
      </x:c>
      <x:c r="Z63" s="52" t="n">
        <x:v>0.4174541447202499</x:v>
      </x:c>
      <x:c r="AA63" s="70" t="n">
        <x:v>0.04467020822876362</x:v>
      </x:c>
      <x:c r="AB63" s="52" t="n">
        <x:v>0.4715404327474574</x:v>
      </x:c>
      <x:c r="AC63" s="70" t="n">
        <x:v>0.6372548531313429</x:v>
      </x:c>
      <x:c r="AD63" s="70" t="n">
        <x:v>0.001590283740978582</x:v>
      </x:c>
      <x:c r="AE63" s="52" t="n">
        <x:v>2.4552126088165056</x:v>
      </x:c>
      <x:c r="AF63" s="70" t="n">
        <x:v>0.24942149430957247</x:v>
      </x:c>
      <x:c r="AG63" s="52" t="n">
        <x:v>1.2374635265032177</x:v>
      </x:c>
      <x:c r="AH63" s="70" t="n">
        <x:v>0.21591504710221399</x:v>
      </x:c>
      <x:c r="AI63" s="70" t="n">
        <x:v>0.045670237179498474</x:v>
      </x:c>
      <x:c r="AJ63" s="52" t="n">
        <x:v>4.423805672816994</x:v>
      </x:c>
      <x:c r="AK63" s="52" t="n">
        <x:v>-3.5516677793948395</x:v>
      </x:c>
      <x:c r="AL63" s="70" t="n">
        <x:v>0.19689381002004103</x:v>
      </x:c>
      <x:c r="AM63" s="70" t="n">
        <x:v>0.7487098281381741</x:v>
      </x:c>
      <x:c r="AN63" s="70" t="n">
        <x:v>0.8635982664161705</x:v>
      </x:c>
      <x:c r="AO63" s="70" t="n">
        <x:v>0.010601291722194706</x:v>
      </x:c>
      <x:c r="AP63" s="70" t="n">
        <x:v>0.6530692764357904</x:v>
      </x:c>
      <x:c r="AQ63" s="70" t="n">
        <x:v>0.4394735769344374</x:v>
      </x:c>
      <x:c r="AR63" s="70" t="n">
        <x:v>0.2707289887775564</x:v>
      </x:c>
    </x:row>
    <x:row r="64">
      <x:c r="C64" s="43" t="str">
        <x:v>Health Care</x:v>
      </x:c>
      <x:c r="D64" s="43" t="str">
        <x:v>clean</x:v>
      </x:c>
      <x:c r="E64" s="19" t="n">
        <x:v>40634</x:v>
      </x:c>
      <x:c r="F64" s="19" t="n">
        <x:v>46204</x:v>
      </x:c>
      <x:c r="G64" s="64" t="n">
        <x:v>136</x:v>
      </x:c>
      <x:c r="H64" s="70" t="n">
        <x:v>0.19401978902333528</x:v>
      </x:c>
      <x:c r="I64" s="70" t="n">
        <x:v>0.16302055013961736</x:v>
      </x:c>
      <x:c r="J64" s="64" t="n">
        <x:v>0</x:v>
      </x:c>
      <x:c r="K64" s="52" t="n">
        <x:v>1.0548399741245769</x:v>
      </x:c>
      <x:c r="L64" s="70" t="n">
        <x:v>0.056257476960388034</x:v>
      </x:c>
      <x:c r="M64" s="52" t="n">
        <x:v>0.4561082738993668</x:v>
      </x:c>
      <x:c r="N64" s="70" t="n">
        <x:v>0.6483121207272686</x:v>
      </x:c>
      <x:c r="O64" s="70" t="n">
        <x:v>0.002403689952931165</x:v>
      </x:c>
      <x:c r="P64" s="52" t="n">
        <x:v>0.1219137636814439</x:v>
      </x:c>
      <x:c r="Q64" s="70" t="n">
        <x:v>0.08648237795670131</x:v>
      </x:c>
      <x:c r="R64" s="52" t="n">
        <x:v>0.7090355766216269</x:v>
      </x:c>
      <x:c r="S64" s="70" t="n">
        <x:v>0.47830239966631716</x:v>
      </x:c>
      <x:c r="T64" s="70" t="n">
        <x:v>0.0046918804630309285</x:v>
      </x:c>
      <x:c r="U64" s="52" t="n">
        <x:v>-0.46736651221929576</x:v>
      </x:c>
      <x:c r="V64" s="70" t="n">
        <x:v>-0.32667195734732113</x:v>
      </x:c>
      <x:c r="W64" s="52" t="n">
        <x:v>-2.679979790123279</x:v>
      </x:c>
      <x:c r="X64" s="70" t="n">
        <x:v>0.007362660523854814</x:v>
      </x:c>
      <x:c r="Y64" s="70" t="n">
        <x:v>0.060529330144406646</x:v>
      </x:c>
      <x:c r="Z64" s="52" t="n">
        <x:v>0.16693168223537017</x:v>
      </x:c>
      <x:c r="AA64" s="70" t="n">
        <x:v>0.018039796168183943</x:v>
      </x:c>
      <x:c r="AB64" s="52" t="n">
        <x:v>0.18006481344815287</x:v>
      </x:c>
      <x:c r="AC64" s="70" t="n">
        <x:v>0.8571016858571829</x:v>
      </x:c>
      <x:c r="AD64" s="70" t="n">
        <x:v>0.00025354098574736916</x:v>
      </x:c>
      <x:c r="AE64" s="52" t="n">
        <x:v>2.9057735622725165</x:v>
      </x:c>
      <x:c r="AF64" s="70" t="n">
        <x:v>0.27729140451175877</x:v>
      </x:c>
      <x:c r="AG64" s="52" t="n">
        <x:v>1.405276691432672</x:v>
      </x:c>
      <x:c r="AH64" s="70" t="n">
        <x:v>0.15993901664937749</x:v>
      </x:c>
      <x:c r="AI64" s="70" t="n">
        <x:v>0.05612841304864169</x:v>
      </x:c>
      <x:c r="AJ64" s="52" t="n">
        <x:v>4.925762693455346</x:v>
      </x:c>
      <x:c r="AK64" s="52" t="n">
        <x:v>-3.8709227193307685</x:v>
      </x:c>
      <x:c r="AL64" s="70" t="n">
        <x:v>0.18740111242703028</x:v>
      </x:c>
      <x:c r="AM64" s="70" t="n">
        <x:v>0.7754930747273424</x:v>
      </x:c>
      <x:c r="AN64" s="70" t="n">
        <x:v>0.718167628131334</x:v>
      </x:c>
      <x:c r="AO64" s="70" t="n">
        <x:v>0.040494632881201476</x:v>
      </x:c>
      <x:c r="AP64" s="70" t="n">
        <x:v>0.8571016858571828</x:v>
      </x:c>
      <x:c r="AQ64" s="70" t="n">
        <x:v>0.3553610092681516</x:v>
      </x:c>
      <x:c r="AR64" s="70" t="n">
        <x:v>0.25767652958716664</x:v>
      </x:c>
    </x:row>
    <x:row r="65">
      <x:c r="C65" s="43" t="str">
        <x:v>Health Care</x:v>
      </x:c>
      <x:c r="D65" s="43" t="str">
        <x:v>ex_seams</x:v>
      </x:c>
      <x:c r="E65" s="19" t="n">
        <x:v>40634</x:v>
      </x:c>
      <x:c r="F65" s="19" t="n">
        <x:v>46204</x:v>
      </x:c>
      <x:c r="G65" s="64" t="n">
        <x:v>172</x:v>
      </x:c>
      <x:c r="H65" s="70" t="n">
        <x:v>0.1817585168254584</x:v>
      </x:c>
      <x:c r="I65" s="70" t="n">
        <x:v>0.15711268901899622</x:v>
      </x:c>
      <x:c r="J65" s="64" t="n">
        <x:v>0</x:v>
      </x:c>
      <x:c r="K65" s="52" t="n">
        <x:v>-0.6410802145982467</x:v>
      </x:c>
      <x:c r="L65" s="70" t="n">
        <x:v>-0.055920765834879926</x:v>
      </x:c>
      <x:c r="M65" s="52" t="n">
        <x:v>-0.686104719015086</x:v>
      </x:c>
      <x:c r="N65" s="70" t="n">
        <x:v>0.49264707534982843</x:v>
      </x:c>
      <x:c r="O65" s="70" t="n">
        <x:v>0.0023928605566607697</x:v>
      </x:c>
      <x:c r="P65" s="52" t="n">
        <x:v>0.12467396585998661</x:v>
      </x:c>
      <x:c r="Q65" s="70" t="n">
        <x:v>0.09528256246072722</x:v>
      </x:c>
      <x:c r="R65" s="52" t="n">
        <x:v>0.8784377807834938</x:v>
      </x:c>
      <x:c r="S65" s="70" t="n">
        <x:v>0.379706189004291</x:v>
      </x:c>
      <x:c r="T65" s="70" t="n">
        <x:v>0.005312293457065742</x:v>
      </x:c>
      <x:c r="U65" s="52" t="n">
        <x:v>-0.4141854613323189</x:v>
      </x:c>
      <x:c r="V65" s="70" t="n">
        <x:v>-0.3059513235545667</x:v>
      </x:c>
      <x:c r="W65" s="52" t="n">
        <x:v>-2.6351701878417133</x:v>
      </x:c>
      <x:c r="X65" s="70" t="n">
        <x:v>0.008409510679710186</x:v>
      </x:c>
      <x:c r="Y65" s="70" t="n">
        <x:v>0.05362782158633861</x:v>
      </x:c>
      <x:c r="Z65" s="52" t="n">
        <x:v>0.07577249918352169</x:v>
      </x:c>
      <x:c r="AA65" s="70" t="n">
        <x:v>0.008510137822170125</x:v>
      </x:c>
      <x:c r="AB65" s="52" t="n">
        <x:v>0.07445246148247311</x:v>
      </x:c>
      <x:c r="AC65" s="70" t="n">
        <x:v>0.9406503663693779</x:v>
      </x:c>
      <x:c r="AD65" s="70" t="n">
        <x:v>0.000053848979565174204</x:v>
      </x:c>
      <x:c r="AE65" s="52" t="n">
        <x:v>2.4407993273480724</x:v>
      </x:c>
      <x:c r="AF65" s="70" t="n">
        <x:v>0.279302980776347</x:v>
      </x:c>
      <x:c r="AG65" s="52" t="n">
        <x:v>1.5061240323753184</x:v>
      </x:c>
      <x:c r="AH65" s="70" t="n">
        <x:v>0.13203533632581932</x:v>
      </x:c>
      <x:c r="AI65" s="70" t="n">
        <x:v>0.050734743392096715</x:v>
      </x:c>
      <x:c r="AJ65" s="52" t="n">
        <x:v>6.845386320163209</x:v>
      </x:c>
      <x:c r="AK65" s="52" t="n">
        <x:v>-7.486466534761455</x:v>
      </x:c>
      <x:c r="AL65" s="70" t="n">
        <x:v>8.208840052148503e-9</x:v>
      </x:c>
      <x:c r="AM65" s="70" t="n">
        <x:v>0.6021242032053459</x:v>
      </x:c>
      <x:c r="AN65" s="70" t="n">
        <x:v>0.8090555968373689</x:v>
      </x:c>
      <x:c r="AO65" s="70" t="n">
        <x:v>0.09250461747681205</x:v>
      </x:c>
      <x:c r="AP65" s="70" t="n">
        <x:v>0.9406503663693779</x:v>
      </x:c>
      <x:c r="AQ65" s="70" t="n">
        <x:v>0.4188091181891152</x:v>
      </x:c>
      <x:c r="AR65" s="70" t="n">
        <x:v>4.5148620286816765e-8</x:v>
      </x:c>
    </x:row>
    <x:row r="66">
      <x:c r="C66" s="43" t="str">
        <x:v>Health Care</x:v>
      </x:c>
      <x:c r="D66" s="43" t="str">
        <x:v>audit_clean</x:v>
      </x:c>
      <x:c r="E66" s="19" t="n">
        <x:v>40634</x:v>
      </x:c>
      <x:c r="F66" s="19" t="n">
        <x:v>46204</x:v>
      </x:c>
      <x:c r="G66" s="64" t="n">
        <x:v>130</x:v>
      </x:c>
      <x:c r="H66" s="70" t="n">
        <x:v>0.2041865721709598</x:v>
      </x:c>
      <x:c r="I66" s="70" t="n">
        <x:v>0.17209732104882103</x:v>
      </x:c>
      <x:c r="J66" s="64" t="n">
        <x:v>0</x:v>
      </x:c>
      <x:c r="K66" s="52" t="n">
        <x:v>1.089768415088332</x:v>
      </x:c>
      <x:c r="L66" s="70" t="n">
        <x:v>0.05838626515609657</x:v>
      </x:c>
      <x:c r="M66" s="52" t="n">
        <x:v>0.46661876657642715</x:v>
      </x:c>
      <x:c r="N66" s="70" t="n">
        <x:v>0.6407726579027062</x:v>
      </x:c>
      <x:c r="O66" s="70" t="n">
        <x:v>0.0025827570312985104</x:v>
      </x:c>
      <x:c r="P66" s="52" t="n">
        <x:v>0.06585733250674353</x:v>
      </x:c>
      <x:c r="Q66" s="70" t="n">
        <x:v>0.046696692342563295</x:v>
      </x:c>
      <x:c r="R66" s="52" t="n">
        <x:v>0.39410279648222435</x:v>
      </x:c>
      <x:c r="S66" s="70" t="n">
        <x:v>0.6935051464570092</x:v>
      </x:c>
      <x:c r="T66" s="70" t="n">
        <x:v>0.0013303942805982238</x:v>
      </x:c>
      <x:c r="U66" s="52" t="n">
        <x:v>-0.5154747177936175</x:v>
      </x:c>
      <x:c r="V66" s="70" t="n">
        <x:v>-0.3585823058666917</x:v>
      </x:c>
      <x:c r="W66" s="52" t="n">
        <x:v>-3.0320715575309554</x:v>
      </x:c>
      <x:c r="X66" s="70" t="n">
        <x:v>0.0024288161901355743</x:v>
      </x:c>
      <x:c r="Y66" s="70" t="n">
        <x:v>0.07215224096728534</x:v>
      </x:c>
      <x:c r="Z66" s="52" t="n">
        <x:v>0.19199395686689497</x:v>
      </x:c>
      <x:c r="AA66" s="70" t="n">
        <x:v>0.01991994628809941</x:v>
      </x:c>
      <x:c r="AB66" s="52" t="n">
        <x:v>0.21716991727722307</x:v>
      </x:c>
      <x:c r="AC66" s="70" t="n">
        <x:v>0.8280759277556979</x:v>
      </x:c>
      <x:c r="AD66" s="70" t="n">
        <x:v>0.00032036981474214965</x:v>
      </x:c>
      <x:c r="AE66" s="52" t="n">
        <x:v>3.1589887197183795</x:v>
      </x:c>
      <x:c r="AF66" s="70" t="n">
        <x:v>0.2940130566025805</x:v>
      </x:c>
      <x:c r="AG66" s="52" t="n">
        <x:v>1.4967200197062476</x:v>
      </x:c>
      <x:c r="AH66" s="70" t="n">
        <x:v>0.13446612484158216</x:v>
      </x:c>
      <x:c r="AI66" s="70" t="n">
        <x:v>0.06538333577171929</x:v>
      </x:c>
      <x:c r="AJ66" s="52" t="n">
        <x:v>5.256187035189023</x:v>
      </x:c>
      <x:c r="AK66" s="52" t="n">
        <x:v>-4.166418620100691</x:v>
      </x:c>
      <x:c r="AL66" s="70" t="n">
        <x:v>0.17379221808436762</x:v>
      </x:c>
      <x:c r="AM66" s="70" t="n">
        <x:v>0.6992771055179756</x:v>
      </x:c>
      <x:c r="AN66" s="70" t="n">
        <x:v>0.9581476092413563</x:v>
      </x:c>
      <x:c r="AO66" s="70" t="n">
        <x:v>0.013358489045745658</x:v>
      </x:c>
      <x:c r="AP66" s="70" t="n">
        <x:v>0.9108835205312678</x:v>
      </x:c>
      <x:c r="AQ66" s="70" t="n">
        <x:v>0.398761597592996</x:v>
      </x:c>
      <x:c r="AR66" s="70" t="n">
        <x:v>0.23896429986600548</x:v>
      </x:c>
    </x:row>
    <x:row r="67">
      <x:c r="C67" s="43" t="str">
        <x:v>Health Care</x:v>
      </x:c>
      <x:c r="D67" s="43" t="str">
        <x:v>since_2020</x:v>
      </x:c>
      <x:c r="E67" s="19" t="n">
        <x:v>43831</x:v>
      </x:c>
      <x:c r="F67" s="19" t="n">
        <x:v>46204</x:v>
      </x:c>
      <x:c r="G67" s="64" t="n">
        <x:v>79</x:v>
      </x:c>
      <x:c r="H67" s="70" t="n">
        <x:v>0.11316068591815343</x:v>
      </x:c>
      <x:c r="I67" s="70" t="n">
        <x:v>0.05241826714542419</x:v>
      </x:c>
      <x:c r="J67" s="64" t="n">
        <x:v>0</x:v>
      </x:c>
      <x:c r="K67" s="52" t="n">
        <x:v>-0.7220018604968343</x:v>
      </x:c>
      <x:c r="L67" s="70" t="n">
        <x:v>-0.09026797298169148</x:v>
      </x:c>
      <x:c r="M67" s="52" t="n">
        <x:v>-0.7683510739918606</x:v>
      </x:c>
      <x:c r="N67" s="70" t="n">
        <x:v>0.442278639065141</x:v>
      </x:c>
      <x:c r="O67" s="70" t="n">
        <x:v>0.005973590718405419</x:v>
      </x:c>
      <x:c r="P67" s="52" t="n">
        <x:v>0.2573802392101098</x:v>
      </x:c>
      <x:c r="Q67" s="70" t="n">
        <x:v>0.2581411408400646</x:v>
      </x:c>
      <x:c r="R67" s="52" t="n">
        <x:v>0.9328970054633915</x:v>
      </x:c>
      <x:c r="S67" s="70" t="n">
        <x:v>0.35087314865746455</x:v>
      </x:c>
      <x:c r="T67" s="70" t="n">
        <x:v>0.03214158921088184</x:v>
      </x:c>
      <x:c r="U67" s="52" t="n">
        <x:v>0.0594770593132819</x:v>
      </x:c>
      <x:c r="V67" s="70" t="n">
        <x:v>0.04918174838343993</x:v>
      </x:c>
      <x:c r="W67" s="52" t="n">
        <x:v>0.23544546007808823</x:v>
      </x:c>
      <x:c r="X67" s="70" t="n">
        <x:v>0.813863005543688</x:v>
      </x:c>
      <x:c r="Y67" s="70" t="n">
        <x:v>0.0012100817579908663</x:v>
      </x:c>
      <x:c r="Z67" s="52" t="n">
        <x:v>1.4774779963543692</x:v>
      </x:c>
      <x:c r="AA67" s="70" t="n">
        <x:v>0.23174397573716413</x:v>
      </x:c>
      <x:c r="AB67" s="52" t="n">
        <x:v>1.8758682264780033</x:v>
      </x:c>
      <x:c r="AC67" s="70" t="n">
        <x:v>0.06067337658380634</x:v>
      </x:c>
      <x:c r="AD67" s="70" t="n">
        <x:v>0.038744566107448475</x:v>
      </x:c>
      <x:c r="AE67" s="52" t="n">
        <x:v>-0.12262117139358297</x:v>
      </x:c>
      <x:c r="AF67" s="70" t="n">
        <x:v>-0.017293306275674946</x:v>
      </x:c>
      <x:c r="AG67" s="52" t="n">
        <x:v>-0.12686040461620013</x:v>
      </x:c>
      <x:c r="AH67" s="70" t="n">
        <x:v>0.8990508859103337</x:v>
      </x:c>
      <x:c r="AI67" s="70" t="n">
        <x:v>0.00018052073219543274</x:v>
      </x:c>
      <x:c r="AJ67" s="52" t="n">
        <x:v>6.517266411873479</x:v>
      </x:c>
      <x:c r="AK67" s="52" t="n">
        <x:v>-7.239268272370312</x:v>
      </x:c>
      <x:c r="AL67" s="70" t="n">
        <x:v>0.00015927479677690926</x:v>
      </x:c>
      <x:c r="AM67" s="70" t="n">
        <x:v>0.48650650297165504</x:v>
      </x:c>
      <x:c r="AN67" s="70" t="n">
        <x:v>0.5513720907474443</x:v>
      </x:c>
      <x:c r="AO67" s="70" t="n">
        <x:v>0.831904993950753</x:v>
      </x:c>
      <x:c r="AP67" s="70" t="n">
        <x:v>0.22246904747395657</x:v>
      </x:c>
      <x:c r="AQ67" s="70" t="n">
        <x:v>0.9726688363635977</x:v>
      </x:c>
      <x:c r="AR67" s="70" t="n">
        <x:v>0.0004194311029896092</x:v>
      </x:c>
    </x:row>
    <x:row r="68">
      <x:c r="C68" s="43" t="str">
        <x:v>Health Care</x:v>
      </x:c>
      <x:c r="D68" s="43" t="str">
        <x:v>since_2022</x:v>
      </x:c>
      <x:c r="E68" s="19" t="n">
        <x:v>44562</x:v>
      </x:c>
      <x:c r="F68" s="19" t="n">
        <x:v>46204</x:v>
      </x:c>
      <x:c r="G68" s="64" t="n">
        <x:v>55</x:v>
      </x:c>
      <x:c r="H68" s="70" t="n">
        <x:v>0.1905991265091842</x:v>
      </x:c>
      <x:c r="I68" s="70" t="n">
        <x:v>0.10800720064277447</x:v>
      </x:c>
      <x:c r="J68" s="64" t="n">
        <x:v>0</x:v>
      </x:c>
      <x:c r="K68" s="52" t="n">
        <x:v>4.414734846750082</x:v>
      </x:c>
      <x:c r="L68" s="70" t="n">
        <x:v>0.16151183936806945</x:v>
      </x:c>
      <x:c r="M68" s="52" t="n">
        <x:v>0.9539799940150724</x:v>
      </x:c>
      <x:c r="N68" s="70" t="n">
        <x:v>0.34009376924421986</x:v>
      </x:c>
      <x:c r="O68" s="70" t="n">
        <x:v>0.02529825373100847</x:v>
      </x:c>
      <x:c r="P68" s="52" t="n">
        <x:v>0.3370349579440539</x:v>
      </x:c>
      <x:c r="Q68" s="70" t="n">
        <x:v>0.3264604525773196</x:v>
      </x:c>
      <x:c r="R68" s="52" t="n">
        <x:v>1.113293324766029</x:v>
      </x:c>
      <x:c r="S68" s="70" t="n">
        <x:v>0.2655824723964062</x:v>
      </x:c>
      <x:c r="T68" s="70" t="n">
        <x:v>0.05675785586995985</x:v>
      </x:c>
      <x:c r="U68" s="52" t="n">
        <x:v>-0.11084824579844366</x:v>
      </x:c>
      <x:c r="V68" s="70" t="n">
        <x:v>-0.07499326284041762</x:v>
      </x:c>
      <x:c r="W68" s="52" t="n">
        <x:v>-0.31316979208698353</x:v>
      </x:c>
      <x:c r="X68" s="70" t="n">
        <x:v>0.754151667330816</x:v>
      </x:c>
      <x:c r="Y68" s="70" t="n">
        <x:v>0.002702454312059732</x:v>
      </x:c>
      <x:c r="Z68" s="52" t="n">
        <x:v>0.8390963686830385</x:v>
      </x:c>
      <x:c r="AA68" s="70" t="n">
        <x:v>0.12507879692841456</x:v>
      </x:c>
      <x:c r="AB68" s="52" t="n">
        <x:v>0.9398408625556783</x:v>
      </x:c>
      <x:c r="AC68" s="70" t="n">
        <x:v>0.347299195155244</x:v>
      </x:c>
      <x:c r="AD68" s="70" t="n">
        <x:v>0.014037182191916964</x:v>
      </x:c>
      <x:c r="AE68" s="52" t="n">
        <x:v>-0.431114428523666</x:v>
      </x:c>
      <x:c r="AF68" s="70" t="n">
        <x:v>-0.04989073815376071</x:v>
      </x:c>
      <x:c r="AG68" s="52" t="n">
        <x:v>-0.3304888417092631</x:v>
      </x:c>
      <x:c r="AH68" s="70" t="n">
        <x:v>0.7410306224677756</x:v>
      </x:c>
      <x:c r="AI68" s="70" t="n">
        <x:v>0.001512733667034083</x:v>
      </x:c>
      <x:c r="AJ68" s="52" t="n">
        <x:v>0.2982402843671333</x:v>
      </x:c>
      <x:c r="AK68" s="52" t="n">
        <x:v>4.11649456238295</x:v>
      </x:c>
      <x:c r="AL68" s="70" t="n">
        <x:v>0.49566404187461854</x:v>
      </x:c>
      <x:c r="AM68" s="70" t="n">
        <x:v>0.7482062923372836</x:v>
      </x:c>
      <x:c r="AN68" s="70" t="n">
        <x:v>0.3651758995450585</x:v>
      </x:c>
      <x:c r="AO68" s="70" t="n">
        <x:v>0.754151667330816</x:v>
      </x:c>
      <x:c r="AP68" s="70" t="n">
        <x:v>0.42447679407863154</x:v>
      </x:c>
      <x:c r="AQ68" s="70" t="n">
        <x:v>0.8248457995503515</x:v>
      </x:c>
      <x:c r="AR68" s="70" t="n">
        <x:v>0.9772311542052887</x:v>
      </x:c>
    </x:row>
    <x:row r="69">
      <x:c r="C69" s="43" t="str">
        <x:v>Health Care</x:v>
      </x:c>
      <x:c r="D69" s="43" t="str">
        <x:v>since_2022_ex_seams</x:v>
      </x:c>
      <x:c r="E69" s="19" t="n">
        <x:v>44562</x:v>
      </x:c>
      <x:c r="F69" s="19" t="n">
        <x:v>46204</x:v>
      </x:c>
      <x:c r="G69" s="64" t="n">
        <x:v>52</x:v>
      </x:c>
      <x:c r="H69" s="70" t="n">
        <x:v>0.18100621745614343</x:v>
      </x:c>
      <x:c r="I69" s="70" t="n">
        <x:v>0.09198515413615904</x:v>
      </x:c>
      <x:c r="J69" s="64" t="n">
        <x:v>0</x:v>
      </x:c>
      <x:c r="K69" s="52" t="n">
        <x:v>4.801664471101765</x:v>
      </x:c>
      <x:c r="L69" s="70" t="n">
        <x:v>0.18600393002447216</x:v>
      </x:c>
      <x:c r="M69" s="52" t="n">
        <x:v>0.9993105713395195</x:v>
      </x:c>
      <x:c r="N69" s="70" t="n">
        <x:v>0.31764426597942585</x:v>
      </x:c>
      <x:c r="O69" s="70" t="n">
        <x:v>0.03369868787577912</x:v>
      </x:c>
      <x:c r="P69" s="52" t="n">
        <x:v>0.1956762453376406</x:v>
      </x:c>
      <x:c r="Q69" s="70" t="n">
        <x:v>0.1968829621906826</x:v>
      </x:c>
      <x:c r="R69" s="52" t="n">
        <x:v>0.731480349577886</x:v>
      </x:c>
      <x:c r="S69" s="70" t="n">
        <x:v>0.4644858028677632</x:v>
      </x:c>
      <x:c r="T69" s="70" t="n">
        <x:v>0.019683073553380837</x:v>
      </x:c>
      <x:c r="U69" s="52" t="n">
        <x:v>-0.2723238076831085</x:v>
      </x:c>
      <x:c r="V69" s="70" t="n">
        <x:v>-0.19613055500011695</x:v>
      </x:c>
      <x:c r="W69" s="52" t="n">
        <x:v>-0.8096077576178289</x:v>
      </x:c>
      <x:c r="X69" s="70" t="n">
        <x:v>0.41816564807508394</x:v>
      </x:c>
      <x:c r="Y69" s="70" t="n">
        <x:v>0.0174467074749034</x:v>
      </x:c>
      <x:c r="Z69" s="52" t="n">
        <x:v>0.8105322363240713</x:v>
      </x:c>
      <x:c r="AA69" s="70" t="n">
        <x:v>0.12809390315959385</x:v>
      </x:c>
      <x:c r="AB69" s="52" t="n">
        <x:v>1.1340398533670386</x:v>
      </x:c>
      <x:c r="AC69" s="70" t="n">
        <x:v>0.2567778311951998</x:v>
      </x:c>
      <x:c r="AD69" s="70" t="n">
        <x:v>0.014715082184714512</x:v>
      </x:c>
      <x:c r="AE69" s="52" t="n">
        <x:v>-0.18681198274408706</x:v>
      </x:c>
      <x:c r="AF69" s="70" t="n">
        <x:v>-0.022846023941812815</x:v>
      </x:c>
      <x:c r="AG69" s="52" t="n">
        <x:v>-0.1474618543313872</x:v>
      </x:c>
      <x:c r="AH69" s="70" t="n">
        <x:v>0.8827674863636481</x:v>
      </x:c>
      <x:c r="AI69" s="70" t="n">
        <x:v>0.00031833458237184864</x:v>
      </x:c>
      <x:c r="AJ69" s="52" t="n">
        <x:v>-0.25374865841430233</x:v>
      </x:c>
      <x:c r="AK69" s="52" t="n">
        <x:v>5.055413129516054</x:v>
      </x:c>
      <x:c r="AL69" s="70" t="n">
        <x:v>0.4162716432738274</x:v>
      </x:c>
      <x:c r="AM69" s="70" t="n">
        <x:v>0.6988173851547369</x:v>
      </x:c>
      <x:c r="AN69" s="70" t="n">
        <x:v>0.6386679789431744</x:v>
      </x:c>
      <x:c r="AO69" s="70" t="n">
        <x:v>0.5688850760090902</x:v>
      </x:c>
      <x:c r="AP69" s="70" t="n">
        <x:v>0.33737048995447294</x:v>
      </x:c>
      <x:c r="AQ69" s="70" t="n">
        <x:v>0.8827674863636481</x:v>
      </x:c>
      <x:c r="AR69" s="70" t="n">
        <x:v>0.9127750527660768</x:v>
      </x:c>
    </x:row>
    <x:row r="70">
      <x:c r="C70" s="43" t="str">
        <x:v>Industrials</x:v>
      </x:c>
      <x:c r="D70" s="43" t="str">
        <x:v>full</x:v>
      </x:c>
      <x:c r="E70" s="19" t="n">
        <x:v>39904</x:v>
      </x:c>
      <x:c r="F70" s="19" t="n">
        <x:v>46204</x:v>
      </x:c>
      <x:c r="G70" s="64" t="n">
        <x:v>208</x:v>
      </x:c>
      <x:c r="H70" s="70" t="n">
        <x:v>0.1168767223132533</x:v>
      </x:c>
      <x:c r="I70" s="70" t="n">
        <x:v>0.09501723524179917</x:v>
      </x:c>
      <x:c r="J70" s="64" t="n">
        <x:v>0</x:v>
      </x:c>
      <x:c r="K70" s="52" t="n">
        <x:v>2.8045009315544918</x:v>
      </x:c>
      <x:c r="L70" s="70" t="n">
        <x:v>0.2426682151117753</x:v>
      </x:c>
      <x:c r="M70" s="52" t="n">
        <x:v>1.035853472782735</x:v>
      </x:c>
      <x:c r="N70" s="70" t="n">
        <x:v>0.3002705066102225</x:v>
      </x:c>
      <x:c r="O70" s="70" t="n">
        <x:v>0.04741479669940685</x:v>
      </x:c>
      <x:c r="P70" s="52" t="n">
        <x:v>0.018190933254294994</x:v>
      </x:c>
      <x:c r="Q70" s="70" t="n">
        <x:v>0.013969508933519482</x:v>
      </x:c>
      <x:c r="R70" s="52" t="n">
        <x:v>0.09259475744089936</x:v>
      </x:c>
      <x:c r="S70" s="70" t="n">
        <x:v>0.9262255088119145</x:v>
      </x:c>
      <x:c r="T70" s="70" t="n">
        <x:v>0.00010728470722620731</x:v>
      </x:c>
      <x:c r="U70" s="52" t="n">
        <x:v>0.17845758475491058</x:v>
      </x:c>
      <x:c r="V70" s="70" t="n">
        <x:v>0.1324509019607522</x:v>
      </x:c>
      <x:c r="W70" s="52" t="n">
        <x:v>1.1192422395725465</x:v>
      </x:c>
      <x:c r="X70" s="70" t="n">
        <x:v>0.26303680985461453</x:v>
      </x:c>
      <x:c r="Y70" s="70" t="n">
        <x:v>0.009078478055737804</x:v>
      </x:c>
      <x:c r="Z70" s="52" t="n">
        <x:v>0.2948888623935882</x:v>
      </x:c>
      <x:c r="AA70" s="70" t="n">
        <x:v>0.0316245722062274</x:v>
      </x:c>
      <x:c r="AB70" s="52" t="n">
        <x:v>0.188857198707982</x:v>
      </x:c>
      <x:c r="AC70" s="70" t="n">
        <x:v>0.8502047403050126</x:v>
      </x:c>
      <x:c r="AD70" s="70" t="n">
        <x:v>0.0007324465590096141</x:v>
      </x:c>
      <x:c r="AE70" s="52" t="n">
        <x:v>2.2402789078196568</x:v>
      </x:c>
      <x:c r="AF70" s="70" t="n">
        <x:v>0.24185747251531065</x:v>
      </x:c>
      <x:c r="AG70" s="52" t="n">
        <x:v>1.9477402855167418</x:v>
      </x:c>
      <x:c r="AH70" s="70" t="n">
        <x:v>0.05144604712930123</x:v>
      </x:c>
      <x:c r="AI70" s="70" t="n">
        <x:v>0.03835548797422905</x:v>
      </x:c>
      <x:c r="AJ70" s="52" t="n">
        <x:v>5.968952397629377</x:v>
      </x:c>
      <x:c r="AK70" s="52" t="n">
        <x:v>-3.1644514660748864</x:v>
      </x:c>
      <x:c r="AL70" s="70" t="n">
        <x:v>0.17068688214314154</x:v>
      </x:c>
      <x:c r="AM70" s="70" t="n">
        <x:v>0.4128719465890559</x:v>
      </x:c>
      <x:c r="AN70" s="70" t="n">
        <x:v>0.9866714792407835</x:v>
      </x:c>
      <x:c r="AO70" s="70" t="n">
        <x:v>0.5033100362593185</x:v>
      </x:c>
      <x:c r="AP70" s="70" t="n">
        <x:v>0.9352252143355138</x:v>
      </x:c>
      <x:c r="AQ70" s="70" t="n">
        <x:v>0.29281131125993687</x:v>
      </x:c>
      <x:c r="AR70" s="70" t="n">
        <x:v>0.23469446294681962</x:v>
      </x:c>
    </x:row>
    <x:row r="71">
      <x:c r="C71" s="43" t="str">
        <x:v>Industrials</x:v>
      </x:c>
      <x:c r="D71" s="43" t="str">
        <x:v>ex_2013_14</x:v>
      </x:c>
      <x:c r="E71" s="19" t="n">
        <x:v>39904</x:v>
      </x:c>
      <x:c r="F71" s="19" t="n">
        <x:v>46204</x:v>
      </x:c>
      <x:c r="G71" s="64" t="n">
        <x:v>184</x:v>
      </x:c>
      <x:c r="H71" s="70" t="n">
        <x:v>0.13381460012775392</x:v>
      </x:c>
      <x:c r="I71" s="70" t="n">
        <x:v>0.10948354956954476</x:v>
      </x:c>
      <x:c r="J71" s="64" t="n">
        <x:v>0</x:v>
      </x:c>
      <x:c r="K71" s="52" t="n">
        <x:v>2.997954806769225</x:v>
      </x:c>
      <x:c r="L71" s="70" t="n">
        <x:v>0.26770027791479883</x:v>
      </x:c>
      <x:c r="M71" s="52" t="n">
        <x:v>1.0865906450896123</x:v>
      </x:c>
      <x:c r="N71" s="70" t="n">
        <x:v>0.27721776121290276</x:v>
      </x:c>
      <x:c r="O71" s="70" t="n">
        <x:v>0.05745422143248324</x:v>
      </x:c>
      <x:c r="P71" s="52" t="n">
        <x:v>0.02844819540743848</x:v>
      </x:c>
      <x:c r="Q71" s="70" t="n">
        <x:v>0.02181391436380175</x:v>
      </x:c>
      <x:c r="R71" s="52" t="n">
        <x:v>0.13021970708952774</x:v>
      </x:c>
      <x:c r="S71" s="70" t="n">
        <x:v>0.8963926033317089</x:v>
      </x:c>
      <x:c r="T71" s="70" t="n">
        <x:v>0.00025247680491369273</x:v>
      </x:c>
      <x:c r="U71" s="52" t="n">
        <x:v>0.21765345214709075</x:v>
      </x:c>
      <x:c r="V71" s="70" t="n">
        <x:v>0.1612156902068759</x:v>
      </x:c>
      <x:c r="W71" s="52" t="n">
        <x:v>1.3353441624694393</x:v>
      </x:c>
      <x:c r="X71" s="70" t="n">
        <x:v>0.1817637308506097</x:v>
      </x:c>
      <x:c r="Y71" s="70" t="n">
        <x:v>0.013324709088838094</x:v>
      </x:c>
      <x:c r="Z71" s="52" t="n">
        <x:v>-0.1212438264974207</x:v>
      </x:c>
      <x:c r="AA71" s="70" t="n">
        <x:v>-0.013462495236646152</x:v>
      </x:c>
      <x:c r="AB71" s="52" t="n">
        <x:v>-0.07701310472274428</x:v>
      </x:c>
      <x:c r="AC71" s="70" t="n">
        <x:v>0.9386131198694878</x:v>
      </x:c>
      <x:c r="AD71" s="70" t="n">
        <x:v>0.00012740524087151428</x:v>
      </x:c>
      <x:c r="AE71" s="52" t="n">
        <x:v>2.509348492780966</x:v>
      </x:c>
      <x:c r="AF71" s="70" t="n">
        <x:v>0.2721650730829949</x:v>
      </x:c>
      <x:c r="AG71" s="52" t="n">
        <x:v>1.996913625015704</x:v>
      </x:c>
      <x:c r="AH71" s="70" t="n">
        <x:v>0.04583456682598985</x:v>
      </x:c>
      <x:c r="AI71" s="70" t="n">
        <x:v>0.045990454941955194</x:v>
      </x:c>
      <x:c r="AJ71" s="52" t="n">
        <x:v>6.179005187471408</x:v>
      </x:c>
      <x:c r="AK71" s="52" t="n">
        <x:v>-3.1810503807021786</x:v>
      </x:c>
      <x:c r="AL71" s="70" t="n">
        <x:v>0.1813475362348438</x:v>
      </x:c>
      <x:c r="AM71" s="70" t="n">
        <x:v>0.3811744216677413</x:v>
      </x:c>
      <x:c r="AN71" s="70" t="n">
        <x:v>0.9866714792407835</x:v>
      </x:c>
      <x:c r="AO71" s="70" t="n">
        <x:v>0.3998802078713414</x:v>
      </x:c>
      <x:c r="AP71" s="70" t="n">
        <x:v>0.9386131198694879</x:v>
      </x:c>
      <x:c r="AQ71" s="70" t="n">
        <x:v>0.3888261902065162</x:v>
      </x:c>
      <x:c r="AR71" s="70" t="n">
        <x:v>0.2493528623229102</x:v>
      </x:c>
    </x:row>
    <x:row r="72">
      <x:c r="C72" s="43" t="str">
        <x:v>Industrials</x:v>
      </x:c>
      <x:c r="D72" s="43" t="str">
        <x:v>ex_2020_21</x:v>
      </x:c>
      <x:c r="E72" s="19" t="n">
        <x:v>39904</x:v>
      </x:c>
      <x:c r="F72" s="19" t="n">
        <x:v>46204</x:v>
      </x:c>
      <x:c r="G72" s="64" t="n">
        <x:v>184</x:v>
      </x:c>
      <x:c r="H72" s="70" t="n">
        <x:v>0.1930971411337602</x:v>
      </x:c>
      <x:c r="I72" s="70" t="n">
        <x:v>0.17043133049144998</x:v>
      </x:c>
      <x:c r="J72" s="64" t="n">
        <x:v>0</x:v>
      </x:c>
      <x:c r="K72" s="52" t="n">
        <x:v>-4.690567224088998</x:v>
      </x:c>
      <x:c r="L72" s="70" t="n">
        <x:v>-0.35062180069342513</x:v>
      </x:c>
      <x:c r="M72" s="52" t="n">
        <x:v>-3.2670969285039373</x:v>
      </x:c>
      <x:c r="N72" s="70" t="n">
        <x:v>0.0010865647139834955</x:v>
      </x:c>
      <x:c r="O72" s="70" t="n">
        <x:v>0.10162579903686009</x:v>
      </x:c>
      <x:c r="P72" s="52" t="n">
        <x:v>0.06075202382236472</x:v>
      </x:c>
      <x:c r="Q72" s="70" t="n">
        <x:v>0.05405997725011111</x:v>
      </x:c>
      <x:c r="R72" s="52" t="n">
        <x:v>0.4137979245092787</x:v>
      </x:c>
      <x:c r="S72" s="70" t="n">
        <x:v>0.6790221041011555</x:v>
      </x:c>
      <x:c r="T72" s="70" t="n">
        <x:v>0.00175892482383333</x:v>
      </x:c>
      <x:c r="U72" s="52" t="n">
        <x:v>0.16653169180087346</x:v>
      </x:c>
      <x:c r="V72" s="70" t="n">
        <x:v>0.1453105177070236</x:v>
      </x:c>
      <x:c r="W72" s="52" t="n">
        <x:v>1.1688957595813987</x:v>
      </x:c>
      <x:c r="X72" s="70" t="n">
        <x:v>0.24244563218707849</x:v>
      </x:c>
      <x:c r="Y72" s="70" t="n">
        <x:v>0.011130930689259744</x:v>
      </x:c>
      <x:c r="Z72" s="52" t="n">
        <x:v>-2.2017976116944005</x:v>
      </x:c>
      <x:c r="AA72" s="70" t="n">
        <x:v>-0.2653987402432412</x:v>
      </x:c>
      <x:c r="AB72" s="52" t="n">
        <x:v>-2.6053867146628655</x:v>
      </x:c>
      <x:c r="AC72" s="70" t="n">
        <x:v>0.009177061566828293</x:v>
      </x:c>
      <x:c r="AD72" s="70" t="n">
        <x:v>0.054449026495903</x:v>
      </x:c>
      <x:c r="AE72" s="52" t="n">
        <x:v>1.536515982120467</x:v>
      </x:c>
      <x:c r="AF72" s="70" t="n">
        <x:v>0.1788445464468315</x:v>
      </x:c>
      <x:c r="AG72" s="52" t="n">
        <x:v>1.6286618715972034</x:v>
      </x:c>
      <x:c r="AH72" s="70" t="n">
        <x:v>0.10338461853391645</x:v>
      </x:c>
      <x:c r="AI72" s="70" t="n">
        <x:v>0.02409950243872394</x:v>
      </x:c>
      <x:c r="AJ72" s="52" t="n">
        <x:v>3.8491398290680143</x:v>
      </x:c>
      <x:c r="AK72" s="52" t="n">
        <x:v>-8.539707053157015</x:v>
      </x:c>
      <x:c r="AL72" s="70" t="n">
        <x:v>1.5398184949333427e-8</x:v>
      </x:c>
      <x:c r="AM72" s="70" t="n">
        <x:v>0.01195221185381845</x:v>
      </x:c>
      <x:c r="AN72" s="70" t="n">
        <x:v>0.8635982664161705</x:v>
      </x:c>
      <x:c r="AO72" s="70" t="n">
        <x:v>0.4234185263265951</x:v>
      </x:c>
      <x:c r="AP72" s="70" t="n">
        <x:v>0.06753675925125324</x:v>
      </x:c>
      <x:c r="AQ72" s="70" t="n">
        <x:v>0.37176939688101707</x:v>
      </x:c>
      <x:c r="AR72" s="70" t="n">
        <x:v>1.693800344426677e-7</x:v>
      </x:c>
    </x:row>
    <x:row r="73">
      <x:c r="C73" s="43" t="str">
        <x:v>Industrials</x:v>
      </x:c>
      <x:c r="D73" s="43" t="str">
        <x:v>clean</x:v>
      </x:c>
      <x:c r="E73" s="19" t="n">
        <x:v>39904</x:v>
      </x:c>
      <x:c r="F73" s="19" t="n">
        <x:v>46204</x:v>
      </x:c>
      <x:c r="G73" s="64" t="n">
        <x:v>160</x:v>
      </x:c>
      <x:c r="H73" s="70" t="n">
        <x:v>0.25845117876421064</x:v>
      </x:c>
      <x:c r="I73" s="70" t="n">
        <x:v>0.2343749183344772</x:v>
      </x:c>
      <x:c r="J73" s="64" t="n">
        <x:v>0</x:v>
      </x:c>
      <x:c r="K73" s="52" t="n">
        <x:v>-4.881107283463601</x:v>
      </x:c>
      <x:c r="L73" s="70" t="n">
        <x:v>-0.38229713208569854</x:v>
      </x:c>
      <x:c r="M73" s="52" t="n">
        <x:v>-3.380886123168991</x:v>
      </x:c>
      <x:c r="N73" s="70" t="n">
        <x:v>0.0007225248027011855</x:v>
      </x:c>
      <x:c r="O73" s="70" t="n">
        <x:v>0.12177363746714531</x:v>
      </x:c>
      <x:c r="P73" s="52" t="n">
        <x:v>0.06701096030655851</x:v>
      </x:c>
      <x:c r="Q73" s="70" t="n">
        <x:v>0.06108560219243596</x:v>
      </x:c>
      <x:c r="R73" s="52" t="n">
        <x:v>0.44976532625031185</x:v>
      </x:c>
      <x:c r="S73" s="70" t="n">
        <x:v>0.6528796619375763</x:v>
      </x:c>
      <x:c r="T73" s="70" t="n">
        <x:v>0.0021920881593539</x:v>
      </x:c>
      <x:c r="U73" s="52" t="n">
        <x:v>0.2073483887009262</x:v>
      </x:c>
      <x:c r="V73" s="70" t="n">
        <x:v>0.18457994656318777</x:v>
      </x:c>
      <x:c r="W73" s="52" t="n">
        <x:v>1.442000094207594</x:v>
      </x:c>
      <x:c r="X73" s="70" t="n">
        <x:v>0.14930234703541245</x:v>
      </x:c>
      <x:c r="Y73" s="70" t="n">
        <x:v>0.01793434906472957</x:v>
      </x:c>
      <x:c r="Z73" s="52" t="n">
        <x:v>-2.8812848566032194</x:v>
      </x:c>
      <x:c r="AA73" s="70" t="n">
        <x:v>-0.3698580258004621</x:v>
      </x:c>
      <x:c r="AB73" s="52" t="n">
        <x:v>-4.199534845675141</x:v>
      </x:c>
      <x:c r="AC73" s="70" t="n">
        <x:v>0.00002674638687505393</x:v>
      </x:c>
      <x:c r="AD73" s="70" t="n">
        <x:v>0.1024687033137398</x:v>
      </x:c>
      <x:c r="AE73" s="52" t="n">
        <x:v>2.0574972274055594</x:v>
      </x:c>
      <x:c r="AF73" s="70" t="n">
        <x:v>0.24077769579515643</x:v>
      </x:c>
      <x:c r="AG73" s="52" t="n">
        <x:v>2.255134425019126</x:v>
      </x:c>
      <x:c r="AH73" s="70" t="n">
        <x:v>0.0241248924204287</x:v>
      </x:c>
      <x:c r="AI73" s="70" t="n">
        <x:v>0.042622017329105755</x:v>
      </x:c>
      <x:c r="AJ73" s="52" t="n">
        <x:v>4.166800677918155</x:v>
      </x:c>
      <x:c r="AK73" s="52" t="n">
        <x:v>-9.047907961381755</x:v>
      </x:c>
      <x:c r="AL73" s="70" t="n">
        <x:v>9.567506786822833e-10</x:v>
      </x:c>
      <x:c r="AM73" s="70" t="n">
        <x:v>0.00794777282971304</x:v>
      </x:c>
      <x:c r="AN73" s="70" t="n">
        <x:v>0.718167628131334</x:v>
      </x:c>
      <x:c r="AO73" s="70" t="n">
        <x:v>0.2737209695649228</x:v>
      </x:c>
      <x:c r="AP73" s="70" t="n">
        <x:v>0.0002942102556255932</x:v>
      </x:c>
      <x:c r="AQ73" s="70" t="n">
        <x:v>0.13268690831235785</x:v>
      </x:c>
      <x:c r="AR73" s="70" t="n">
        <x:v>1.0524257465505116e-8</x:v>
      </x:c>
    </x:row>
    <x:row r="74">
      <x:c r="C74" s="43" t="str">
        <x:v>Industrials</x:v>
      </x:c>
      <x:c r="D74" s="43" t="str">
        <x:v>ex_seams</x:v>
      </x:c>
      <x:c r="E74" s="19" t="n">
        <x:v>39904</x:v>
      </x:c>
      <x:c r="F74" s="19" t="n">
        <x:v>46204</x:v>
      </x:c>
      <x:c r="G74" s="64" t="n">
        <x:v>193</x:v>
      </x:c>
      <x:c r="H74" s="70" t="n">
        <x:v>0.12364723369629849</x:v>
      </x:c>
      <x:c r="I74" s="70" t="n">
        <x:v>0.10021534154914069</x:v>
      </x:c>
      <x:c r="J74" s="64" t="n">
        <x:v>0</x:v>
      </x:c>
      <x:c r="K74" s="52" t="n">
        <x:v>3.0513848000913155</x:v>
      </x:c>
      <x:c r="L74" s="70" t="n">
        <x:v>0.26298080958661507</x:v>
      </x:c>
      <x:c r="M74" s="52" t="n">
        <x:v>1.1026227631008043</x:v>
      </x:c>
      <x:c r="N74" s="70" t="n">
        <x:v>0.2701910207516316</x:v>
      </x:c>
      <x:c r="O74" s="70" t="n">
        <x:v>0.056400635845086367</x:v>
      </x:c>
      <x:c r="P74" s="52" t="n">
        <x:v>-0.013946660463035054</x:v>
      </x:c>
      <x:c r="Q74" s="70" t="n">
        <x:v>-0.01029791716573171</x:v>
      </x:c>
      <x:c r="R74" s="52" t="n">
        <x:v>-0.07092040616038552</x:v>
      </x:c>
      <x:c r="S74" s="70" t="n">
        <x:v>0.9434611024998742</x:v>
      </x:c>
      <x:c r="T74" s="70" t="n">
        <x:v>0.00006092655143297154</x:v>
      </x:c>
      <x:c r="U74" s="52" t="n">
        <x:v>0.18215346463055893</x:v>
      </x:c>
      <x:c r="V74" s="70" t="n">
        <x:v>0.13204052772820518</x:v>
      </x:c>
      <x:c r="W74" s="52" t="n">
        <x:v>1.14738428917589</x:v>
      </x:c>
      <x:c r="X74" s="70" t="n">
        <x:v>0.2512228314781524</x:v>
      </x:c>
      <x:c r="Y74" s="70" t="n">
        <x:v>0.009378078597709338</x:v>
      </x:c>
      <x:c r="Z74" s="52" t="n">
        <x:v>0.42069602297630393</x:v>
      </x:c>
      <x:c r="AA74" s="70" t="n">
        <x:v>0.04343463273271474</x:v>
      </x:c>
      <x:c r="AB74" s="52" t="n">
        <x:v>0.24754357722703232</x:v>
      </x:c>
      <x:c r="AC74" s="70" t="n">
        <x:v>0.804487570867769</x:v>
      </x:c>
      <x:c r="AD74" s="70" t="n">
        <x:v>0.0014017759842450683</x:v>
      </x:c>
      <x:c r="AE74" s="52" t="n">
        <x:v>2.2256937227477978</x:v>
      </x:c>
      <x:c r="AF74" s="70" t="n">
        <x:v>0.23592471109675528</x:v>
      </x:c>
      <x:c r="AG74" s="52" t="n">
        <x:v>1.8545143398967685</x:v>
      </x:c>
      <x:c r="AH74" s="70" t="n">
        <x:v>0.06366561052873698</x:v>
      </x:c>
      <x:c r="AI74" s="70" t="n">
        <x:v>0.03735574935695973</x:v>
      </x:c>
      <x:c r="AJ74" s="52" t="n">
        <x:v>6.257300955716724</x:v>
      </x:c>
      <x:c r="AK74" s="52" t="n">
        <x:v>-3.2059161556254083</x:v>
      </x:c>
      <x:c r="AL74" s="70" t="n">
        <x:v>0.19276156182279003</x:v>
      </x:c>
      <x:c r="AM74" s="70" t="n">
        <x:v>0.37151265353349344</x:v>
      </x:c>
      <x:c r="AN74" s="70" t="n">
        <x:v>0.9434611024998744</x:v>
      </x:c>
      <x:c r="AO74" s="70" t="n">
        <x:v>0.39477873517995377</x:v>
      </x:c>
      <x:c r="AP74" s="70" t="n">
        <x:v>0.9328281158347742</x:v>
      </x:c>
      <x:c r="AQ74" s="70" t="n">
        <x:v>0.3501608579080534</x:v>
      </x:c>
      <x:c r="AR74" s="70" t="n">
        <x:v>0.25027278386237445</x:v>
      </x:c>
    </x:row>
    <x:row r="75">
      <x:c r="C75" s="43" t="str">
        <x:v>Industrials</x:v>
      </x:c>
      <x:c r="D75" s="43" t="str">
        <x:v>audit_clean</x:v>
      </x:c>
      <x:c r="E75" s="19" t="n">
        <x:v>39904</x:v>
      </x:c>
      <x:c r="F75" s="19" t="n">
        <x:v>46204</x:v>
      </x:c>
      <x:c r="G75" s="64" t="n">
        <x:v>151</x:v>
      </x:c>
      <x:c r="H75" s="70" t="n">
        <x:v>0.2634823749622862</x:v>
      </x:c>
      <x:c r="I75" s="70" t="n">
        <x:v>0.23808521547822714</x:v>
      </x:c>
      <x:c r="J75" s="64" t="n">
        <x:v>0</x:v>
      </x:c>
      <x:c r="K75" s="52" t="n">
        <x:v>-4.635895364341248</x:v>
      </x:c>
      <x:c r="L75" s="70" t="n">
        <x:v>-0.36919110914834785</x:v>
      </x:c>
      <x:c r="M75" s="52" t="n">
        <x:v>-3.252955782822438</x:v>
      </x:c>
      <x:c r="N75" s="70" t="n">
        <x:v>0.0011421126803268233</x:v>
      </x:c>
      <x:c r="O75" s="70" t="n">
        <x:v>0.11286304157109772</x:v>
      </x:c>
      <x:c r="P75" s="52" t="n">
        <x:v>0.03639723533394079</x:v>
      </x:c>
      <x:c r="Q75" s="70" t="n">
        <x:v>0.03316612086102988</x:v>
      </x:c>
      <x:c r="R75" s="52" t="n">
        <x:v>0.2506588483628082</x:v>
      </x:c>
      <x:c r="S75" s="70" t="n">
        <x:v>0.8020778793186312</x:v>
      </x:c>
      <x:c r="T75" s="70" t="n">
        <x:v>0.0006363783939165035</x:v>
      </x:c>
      <x:c r="U75" s="52" t="n">
        <x:v>0.21780638369081196</x:v>
      </x:c>
      <x:c r="V75" s="70" t="n">
        <x:v>0.19677286924474388</x:v>
      </x:c>
      <x:c r="W75" s="52" t="n">
        <x:v>1.5374064559268787</x:v>
      </x:c>
      <x:c r="X75" s="70" t="n">
        <x:v>0.12419380642369138</x:v>
      </x:c>
      <x:c r="Y75" s="70" t="n">
        <x:v>0.020105013334253963</x:v>
      </x:c>
      <x:c r="Z75" s="52" t="n">
        <x:v>-2.9618004916419842</x:v>
      </x:c>
      <x:c r="AA75" s="70" t="n">
        <x:v>-0.3678712260804634</x:v>
      </x:c>
      <x:c r="AB75" s="52" t="n">
        <x:v>-4.1953081540519666</x:v>
      </x:c>
      <x:c r="AC75" s="70" t="n">
        <x:v>0.000027250085194552298</x:v>
      </x:c>
      <x:c r="AD75" s="70" t="n">
        <x:v>0.10629515842376591</x:v>
      </x:c>
      <x:c r="AE75" s="52" t="n">
        <x:v>1.9696479090499084</x:v>
      </x:c>
      <x:c r="AF75" s="70" t="n">
        <x:v>0.22637384782006081</x:v>
      </x:c>
      <x:c r="AG75" s="52" t="n">
        <x:v>2.105706173172055</x:v>
      </x:c>
      <x:c r="AH75" s="70" t="n">
        <x:v>0.0352298832780269</x:v>
      </x:c>
      <x:c r="AI75" s="70" t="n">
        <x:v>0.03967111162066783</x:v>
      </x:c>
      <x:c r="AJ75" s="52" t="n">
        <x:v>4.442488062949742</x:v>
      </x:c>
      <x:c r="AK75" s="52" t="n">
        <x:v>-9.078383427290985</x:v>
      </x:c>
      <x:c r="AL75" s="70" t="n">
        <x:v>4.0029846104516764e-9</x:v>
      </x:c>
      <x:c r="AM75" s="70" t="n">
        <x:v>0.012563239483595057</x:v>
      </x:c>
      <x:c r="AN75" s="70" t="n">
        <x:v>0.9581476092413563</x:v>
      </x:c>
      <x:c r="AO75" s="70" t="n">
        <x:v>0.27322637413212103</x:v>
      </x:c>
      <x:c r="AP75" s="70" t="n">
        <x:v>0.0002997509371400753</x:v>
      </x:c>
      <x:c r="AQ75" s="70" t="n">
        <x:v>0.19376435802914793</x:v>
      </x:c>
      <x:c r="AR75" s="70" t="n">
        <x:v>4.403283071496844e-8</x:v>
      </x:c>
    </x:row>
    <x:row r="76">
      <x:c r="C76" s="43" t="str">
        <x:v>Industrials</x:v>
      </x:c>
      <x:c r="D76" s="43" t="str">
        <x:v>since_2020</x:v>
      </x:c>
      <x:c r="E76" s="19" t="n">
        <x:v>43831</x:v>
      </x:c>
      <x:c r="F76" s="19" t="n">
        <x:v>46204</x:v>
      </x:c>
      <x:c r="G76" s="64" t="n">
        <x:v>79</x:v>
      </x:c>
      <x:c r="H76" s="70" t="n">
        <x:v>0.5573590223696536</x:v>
      </x:c>
      <x:c r="I76" s="70" t="n">
        <x:v>0.5270411471894929</x:v>
      </x:c>
      <x:c r="J76" s="64" t="n">
        <x:v>0</x:v>
      </x:c>
      <x:c r="K76" s="52" t="n">
        <x:v>8.157012182587511</x:v>
      </x:c>
      <x:c r="L76" s="70" t="n">
        <x:v>0.7643935543128515</x:v>
      </x:c>
      <x:c r="M76" s="52" t="n">
        <x:v>5.335405914737165</x:v>
      </x:c>
      <x:c r="N76" s="70" t="n">
        <x:v>9.53310508311489e-8</x:v>
      </x:c>
      <x:c r="O76" s="70" t="n">
        <x:v>0.42835329853405646</x:v>
      </x:c>
      <x:c r="P76" s="52" t="n">
        <x:v>-0.31017285443269405</x:v>
      </x:c>
      <x:c r="Q76" s="70" t="n">
        <x:v>-0.2331719707801362</x:v>
      </x:c>
      <x:c r="R76" s="52" t="n">
        <x:v>-1.012633047433473</x:v>
      </x:c>
      <x:c r="S76" s="70" t="n">
        <x:v>0.311235468606204</x:v>
      </x:c>
      <x:c r="T76" s="70" t="n">
        <x:v>0.02622440134990156</x:v>
      </x:c>
      <x:c r="U76" s="52" t="n">
        <x:v>0.12268667245215426</x:v>
      </x:c>
      <x:c r="V76" s="70" t="n">
        <x:v>0.07604005022926363</x:v>
      </x:c>
      <x:c r="W76" s="52" t="n">
        <x:v>0.5649863088192267</x:v>
      </x:c>
      <x:c r="X76" s="70" t="n">
        <x:v>0.5720830766270415</x:v>
      </x:c>
      <x:c r="Y76" s="70" t="n">
        <x:v>0.0028926212806783536</x:v>
      </x:c>
      <x:c r="Z76" s="52" t="n">
        <x:v>-0.8346532918769751</x:v>
      </x:c>
      <x:c r="AA76" s="70" t="n">
        <x:v>-0.09812599508087683</x:v>
      </x:c>
      <x:c r="AB76" s="52" t="n">
        <x:v>-0.5988785665284144</x:v>
      </x:c>
      <x:c r="AC76" s="70" t="n">
        <x:v>0.5492538652868593</x:v>
      </x:c>
      <x:c r="AD76" s="70" t="n">
        <x:v>0.006946436064617423</x:v>
      </x:c>
      <x:c r="AE76" s="52" t="n">
        <x:v>4.417549232030263</x:v>
      </x:c>
      <x:c r="AF76" s="70" t="n">
        <x:v>0.4669651850392013</x:v>
      </x:c>
      <x:c r="AG76" s="52" t="n">
        <x:v>2.650185449332162</x:v>
      </x:c>
      <x:c r="AH76" s="70" t="n">
        <x:v>0.008044759935771362</x:v>
      </x:c>
      <x:c r="AI76" s="70" t="n">
        <x:v>0.1316254973533535</x:v>
      </x:c>
      <x:c r="AJ76" s="52" t="n">
        <x:v>6.517266411873479</x:v>
      </x:c>
      <x:c r="AK76" s="52" t="n">
        <x:v>1.63974577071404</x:v>
      </x:c>
      <x:c r="AL76" s="70" t="n">
        <x:v>0.36070410706517997</x:v>
      </x:c>
      <x:c r="AM76" s="70" t="n">
        <x:v>0.000001048641559142638</x:v>
      </x:c>
      <x:c r="AN76" s="70" t="n">
        <x:v>0.5513720907474443</x:v>
      </x:c>
      <x:c r="AO76" s="70" t="n">
        <x:v>0.831904993950753</x:v>
      </x:c>
      <x:c r="AP76" s="70" t="n">
        <x:v>0.5842754380261526</x:v>
      </x:c>
      <x:c r="AQ76" s="70" t="n">
        <x:v>0.0439300975918863</x:v>
      </x:c>
      <x:c r="AR76" s="70" t="n">
        <x:v>0.49596814721462246</x:v>
      </x:c>
    </x:row>
    <x:row r="77">
      <x:c r="C77" s="43" t="str">
        <x:v>Industrials</x:v>
      </x:c>
      <x:c r="D77" s="43" t="str">
        <x:v>since_2022</x:v>
      </x:c>
      <x:c r="E77" s="19" t="n">
        <x:v>44562</x:v>
      </x:c>
      <x:c r="F77" s="19" t="n">
        <x:v>46204</x:v>
      </x:c>
      <x:c r="G77" s="64" t="n">
        <x:v>55</x:v>
      </x:c>
      <x:c r="H77" s="70" t="n">
        <x:v>0.3631199129263686</x:v>
      </x:c>
      <x:c r="I77" s="70" t="n">
        <x:v>0.2981321489392633</x:v>
      </x:c>
      <x:c r="J77" s="64" t="n">
        <x:v>0</x:v>
      </x:c>
      <x:c r="K77" s="52" t="n">
        <x:v>0.39707458877908985</x:v>
      </x:c>
      <x:c r="L77" s="70" t="n">
        <x:v>0.020166596595208114</x:v>
      </x:c>
      <x:c r="M77" s="52" t="n">
        <x:v>0.1298159307828317</x:v>
      </x:c>
      <x:c r="N77" s="70" t="n">
        <x:v>0.8967120586299351</x:v>
      </x:c>
      <x:c r="O77" s="70" t="n">
        <x:v>0.00039440920267885815</x:v>
      </x:c>
      <x:c r="P77" s="52" t="n">
        <x:v>0.08078749944592678</x:v>
      </x:c>
      <x:c r="Q77" s="70" t="n">
        <x:v>0.10863269974432252</x:v>
      </x:c>
      <x:c r="R77" s="52" t="n">
        <x:v>0.6147058774887821</x:v>
      </x:c>
      <x:c r="S77" s="70" t="n">
        <x:v>0.5387489776078633</x:v>
      </x:c>
      <x:c r="T77" s="70" t="n">
        <x:v>0.006284720522767295</x:v>
      </x:c>
      <x:c r="U77" s="52" t="n">
        <x:v>0.48220345365638523</x:v>
      </x:c>
      <x:c r="V77" s="70" t="n">
        <x:v>0.45288143600433106</x:v>
      </x:c>
      <x:c r="W77" s="52" t="n">
        <x:v>2.157239202526325</x:v>
      </x:c>
      <x:c r="X77" s="70" t="n">
        <x:v>0.03098703139639314</x:v>
      </x:c>
      <x:c r="Y77" s="70" t="n">
        <x:v>0.0985559615359618</x:v>
      </x:c>
      <x:c r="Z77" s="52" t="n">
        <x:v>-2.112703076565708</x:v>
      </x:c>
      <x:c r="AA77" s="70" t="n">
        <x:v>-0.4371908822395428</x:v>
      </x:c>
      <x:c r="AB77" s="52" t="n">
        <x:v>-2.93073827365245</x:v>
      </x:c>
      <x:c r="AC77" s="70" t="n">
        <x:v>0.003381575513526691</x:v>
      </x:c>
      <x:c r="AD77" s="70" t="n">
        <x:v>0.17149629347791917</x:v>
      </x:c>
      <x:c r="AE77" s="52" t="n">
        <x:v>0.8424713791797069</x:v>
      </x:c>
      <x:c r="AF77" s="70" t="n">
        <x:v>0.13534533918984537</x:v>
      </x:c>
      <x:c r="AG77" s="52" t="n">
        <x:v>0.859431773352799</x:v>
      </x:c>
      <x:c r="AH77" s="70" t="n">
        <x:v>0.3901023462973514</x:v>
      </x:c>
      <x:c r="AI77" s="70" t="n">
        <x:v>0.011132923455493549</x:v>
      </x:c>
      <x:c r="AJ77" s="52" t="n">
        <x:v>0.2982402843671333</x:v>
      </x:c>
      <x:c r="AK77" s="52" t="n">
        <x:v>0.09883430441195523</x:v>
      </x:c>
      <x:c r="AL77" s="70" t="n">
        <x:v>0.9772311542052887</x:v>
      </x:c>
      <x:c r="AM77" s="70" t="n">
        <x:v>0.9072887452862399</x:v>
      </x:c>
      <x:c r="AN77" s="70" t="n">
        <x:v>0.5622437023100817</x:v>
      </x:c>
      <x:c r="AO77" s="70" t="n">
        <x:v>0.08521433634008113</x:v>
      </x:c>
      <x:c r="AP77" s="70" t="n">
        <x:v>0.01308299492757555</x:v>
      </x:c>
      <x:c r="AQ77" s="70" t="n">
        <x:v>0.7151876348784776</x:v>
      </x:c>
      <x:c r="AR77" s="70" t="n">
        <x:v>0.9772311542052887</x:v>
      </x:c>
    </x:row>
    <x:row r="78">
      <x:c r="C78" s="43" t="str">
        <x:v>Industrials</x:v>
      </x:c>
      <x:c r="D78" s="43" t="str">
        <x:v>since_2022_ex_seams</x:v>
      </x:c>
      <x:c r="E78" s="19" t="n">
        <x:v>44562</x:v>
      </x:c>
      <x:c r="F78" s="19" t="n">
        <x:v>46204</x:v>
      </x:c>
      <x:c r="G78" s="64" t="n">
        <x:v>52</x:v>
      </x:c>
      <x:c r="H78" s="70" t="n">
        <x:v>0.35844363127072565</x:v>
      </x:c>
      <x:c r="I78" s="70" t="n">
        <x:v>0.28870924336536974</x:v>
      </x:c>
      <x:c r="J78" s="64" t="n">
        <x:v>0</x:v>
      </x:c>
      <x:c r="K78" s="52" t="n">
        <x:v>0.5783700471940698</x:v>
      </x:c>
      <x:c r="L78" s="70" t="n">
        <x:v>0.029387821218345378</x:v>
      </x:c>
      <x:c r="M78" s="52" t="n">
        <x:v>0.18780529270278082</x:v>
      </x:c>
      <x:c r="N78" s="70" t="n">
        <x:v>0.8510292866205149</x:v>
      </x:c>
      <x:c r="O78" s="70" t="n">
        <x:v>0.0008412082602085036</x:v>
      </x:c>
      <x:c r="P78" s="52" t="n">
        <x:v>0.06923799384972074</x:v>
      </x:c>
      <x:c r="Q78" s="70" t="n">
        <x:v>0.09137887117651058</x:v>
      </x:c>
      <x:c r="R78" s="52" t="n">
        <x:v>0.48596050501817967</x:v>
      </x:c>
      <x:c r="S78" s="70" t="n">
        <x:v>0.6269951684438939</x:v>
      </x:c>
      <x:c r="T78" s="70" t="n">
        <x:v>0.00424002310546312</x:v>
      </x:c>
      <x:c r="U78" s="52" t="n">
        <x:v>0.46971969549551107</x:v>
      </x:c>
      <x:c r="V78" s="70" t="n">
        <x:v>0.4437411470576275</x:v>
      </x:c>
      <x:c r="W78" s="52" t="n">
        <x:v>2.0030402260861826</x:v>
      </x:c>
      <x:c r="X78" s="70" t="n">
        <x:v>0.04517297096458961</x:v>
      </x:c>
      <x:c r="Y78" s="70" t="n">
        <x:v>0.08930635582511559</x:v>
      </x:c>
      <x:c r="Z78" s="52" t="n">
        <x:v>-2.086904095692527</x:v>
      </x:c>
      <x:c r="AA78" s="70" t="n">
        <x:v>-0.43260540677738</x:v>
      </x:c>
      <x:c r="AB78" s="52" t="n">
        <x:v>-3.1802763050714375</x:v>
      </x:c>
      <x:c r="AC78" s="70" t="n">
        <x:v>0.0014713468745934932</x:v>
      </x:c>
      <x:c r="AD78" s="70" t="n">
        <x:v>0.16783775412878543</x:v>
      </x:c>
      <x:c r="AE78" s="52" t="n">
        <x:v>0.8426371041324903</x:v>
      </x:c>
      <x:c r="AF78" s="70" t="n">
        <x:v>0.13516920544184616</x:v>
      </x:c>
      <x:c r="AG78" s="52" t="n">
        <x:v>0.846028911838124</x:v>
      </x:c>
      <x:c r="AH78" s="70" t="n">
        <x:v>0.3975366157449711</x:v>
      </x:c>
      <x:c r="AI78" s="70" t="n">
        <x:v>0.011143409428259421</x:v>
      </x:c>
      <x:c r="AJ78" s="52" t="n">
        <x:v>-0.25374865841430233</x:v>
      </x:c>
      <x:c r="AK78" s="52" t="n">
        <x:v>0.8321187056083673</x:v>
      </x:c>
      <x:c r="AL78" s="70" t="n">
        <x:v>0.8054246812294614</x:v>
      </x:c>
      <x:c r="AM78" s="70" t="n">
        <x:v>0.9361322152825664</x:v>
      </x:c>
      <x:c r="AN78" s="70" t="n">
        <x:v>0.7663274280980925</x:v>
      </x:c>
      <x:c r="AO78" s="70" t="n">
        <x:v>0.12298906550377922</x:v>
      </x:c>
      <x:c r="AP78" s="70" t="n">
        <x:v>0.007702461769056201</x:v>
      </x:c>
      <x:c r="AQ78" s="70" t="n">
        <x:v>0.6247003961706689</x:v>
      </x:c>
      <x:c r="AR78" s="70" t="n">
        <x:v>0.9127750527660768</x:v>
      </x:c>
    </x:row>
    <x:row r="79">
      <x:c r="C79" s="43" t="str">
        <x:v>Information Technology</x:v>
      </x:c>
      <x:c r="D79" s="43" t="str">
        <x:v>full</x:v>
      </x:c>
      <x:c r="E79" s="19" t="n">
        <x:v>43922</x:v>
      </x:c>
      <x:c r="F79" s="19" t="n">
        <x:v>46204</x:v>
      </x:c>
      <x:c r="G79" s="64" t="n">
        <x:v>76</x:v>
      </x:c>
      <x:c r="H79" s="70" t="n">
        <x:v>0.024773621474271867</x:v>
      </x:c>
      <x:c r="I79" s="70" t="n">
        <x:v>-0.044885405563280134</x:v>
      </x:c>
      <x:c r="J79" s="64" t="n">
        <x:v>0</x:v>
      </x:c>
      <x:c r="K79" s="52" t="n">
        <x:v>-0.9401232980465728</x:v>
      </x:c>
      <x:c r="L79" s="70" t="n">
        <x:v>-0.10645216675960692</x:v>
      </x:c>
      <x:c r="M79" s="52" t="n">
        <x:v>-1.2007061208016214</x:v>
      </x:c>
      <x:c r="N79" s="70" t="n">
        <x:v>0.22986521899469992</x:v>
      </x:c>
      <x:c r="O79" s="70" t="n">
        <x:v>0.008701987762344099</x:v>
      </x:c>
      <x:c r="P79" s="52" t="n">
        <x:v>0.002359426589998548</x:v>
      </x:c>
      <x:c r="Q79" s="70" t="n">
        <x:v>0.002019314119638571</x:v>
      </x:c>
      <x:c r="R79" s="52" t="n">
        <x:v>0.01670560048955807</x:v>
      </x:c>
      <x:c r="S79" s="70" t="n">
        <x:v>0.9866714792407836</x:v>
      </x:c>
      <x:c r="T79" s="70" t="n">
        <x:v>0.0000023053211741785873</x:v>
      </x:c>
      <x:c r="U79" s="52" t="n">
        <x:v>-0.2184231542147007</x:v>
      </x:c>
      <x:c r="V79" s="70" t="n">
        <x:v>-0.15426810621399994</x:v>
      </x:c>
      <x:c r="W79" s="52" t="n">
        <x:v>-0.7428795984818786</x:v>
      </x:c>
      <x:c r="X79" s="70" t="n">
        <x:v>0.4575545784175623</x:v>
      </x:c>
      <x:c r="Y79" s="70" t="n">
        <x:v>0.013260339458493697</x:v>
      </x:c>
      <x:c r="Z79" s="52" t="n">
        <x:v>-0.6213201570984397</x:v>
      </x:c>
      <x:c r="AA79" s="70" t="n">
        <x:v>-0.0895375748472208</x:v>
      </x:c>
      <x:c r="AB79" s="52" t="n">
        <x:v>-0.5471503577123578</x:v>
      </x:c>
      <x:c r="AC79" s="70" t="n">
        <x:v>0.5842754380261526</x:v>
      </x:c>
      <x:c r="AD79" s="70" t="n">
        <x:v>0.005231581610514846</x:v>
      </x:c>
      <x:c r="AE79" s="52" t="n">
        <x:v>0.4127522127106782</x:v>
      </x:c>
      <x:c r="AF79" s="70" t="n">
        <x:v>0.05360184728739115</x:v>
      </x:c>
      <x:c r="AG79" s="52" t="n">
        <x:v>0.5390141123378437</x:v>
      </x:c>
      <x:c r="AH79" s="70" t="n">
        <x:v>0.5898771169632702</x:v>
      </x:c>
      <x:c r="AI79" s="70" t="n">
        <x:v>0.0016372489856755212</x:v>
      </x:c>
      <x:c r="AJ79" s="52" t="n">
        <x:v>6.7634522997471915</x:v>
      </x:c>
      <x:c r="AK79" s="52" t="n">
        <x:v>-7.703575597793769</x:v>
      </x:c>
      <x:c r="AL79" s="70" t="n">
        <x:v>4.50328663248456e-12</x:v>
      </x:c>
      <x:c r="AM79" s="70" t="n">
        <x:v>0.36121677270595703</x:v>
      </x:c>
      <x:c r="AN79" s="70" t="n">
        <x:v>0.9866714792407835</x:v>
      </x:c>
      <x:c r="AO79" s="70" t="n">
        <x:v>0.5033100362593185</x:v>
      </x:c>
      <x:c r="AP79" s="70" t="n">
        <x:v>0.8491138133525844</x:v>
      </x:c>
      <x:c r="AQ79" s="70" t="n">
        <x:v>0.7209609207328858</x:v>
      </x:c>
      <x:c r="AR79" s="70" t="n">
        <x:v>4.953615295733016e-11</x:v>
      </x:c>
    </x:row>
    <x:row r="80">
      <x:c r="C80" s="43" t="str">
        <x:v>Information Technology</x:v>
      </x:c>
      <x:c r="D80" s="43" t="str">
        <x:v>ex_2013_14</x:v>
      </x:c>
      <x:c r="E80" s="19" t="n">
        <x:v>43922</x:v>
      </x:c>
      <x:c r="F80" s="19" t="n">
        <x:v>46204</x:v>
      </x:c>
      <x:c r="G80" s="64" t="n">
        <x:v>76</x:v>
      </x:c>
      <x:c r="H80" s="70" t="n">
        <x:v>0.024773621474271867</x:v>
      </x:c>
      <x:c r="I80" s="70" t="n">
        <x:v>-0.044885405563280134</x:v>
      </x:c>
      <x:c r="J80" s="64" t="n">
        <x:v>0</x:v>
      </x:c>
      <x:c r="K80" s="52" t="n">
        <x:v>-0.9401232980465728</x:v>
      </x:c>
      <x:c r="L80" s="70" t="n">
        <x:v>-0.10645216675960692</x:v>
      </x:c>
      <x:c r="M80" s="52" t="n">
        <x:v>-1.2007061208016214</x:v>
      </x:c>
      <x:c r="N80" s="70" t="n">
        <x:v>0.22986521899469992</x:v>
      </x:c>
      <x:c r="O80" s="70" t="n">
        <x:v>0.008701987762344099</x:v>
      </x:c>
      <x:c r="P80" s="52" t="n">
        <x:v>0.002359426589998548</x:v>
      </x:c>
      <x:c r="Q80" s="70" t="n">
        <x:v>0.002019314119638571</x:v>
      </x:c>
      <x:c r="R80" s="52" t="n">
        <x:v>0.01670560048955807</x:v>
      </x:c>
      <x:c r="S80" s="70" t="n">
        <x:v>0.9866714792407836</x:v>
      </x:c>
      <x:c r="T80" s="70" t="n">
        <x:v>0.0000023053211741785873</x:v>
      </x:c>
      <x:c r="U80" s="52" t="n">
        <x:v>-0.2184231542147007</x:v>
      </x:c>
      <x:c r="V80" s="70" t="n">
        <x:v>-0.15426810621399994</x:v>
      </x:c>
      <x:c r="W80" s="52" t="n">
        <x:v>-0.7428795984818786</x:v>
      </x:c>
      <x:c r="X80" s="70" t="n">
        <x:v>0.4575545784175623</x:v>
      </x:c>
      <x:c r="Y80" s="70" t="n">
        <x:v>0.013260339458493697</x:v>
      </x:c>
      <x:c r="Z80" s="52" t="n">
        <x:v>-0.6213201570984397</x:v>
      </x:c>
      <x:c r="AA80" s="70" t="n">
        <x:v>-0.0895375748472208</x:v>
      </x:c>
      <x:c r="AB80" s="52" t="n">
        <x:v>-0.5471503577123578</x:v>
      </x:c>
      <x:c r="AC80" s="70" t="n">
        <x:v>0.5842754380261526</x:v>
      </x:c>
      <x:c r="AD80" s="70" t="n">
        <x:v>0.005231581610514846</x:v>
      </x:c>
      <x:c r="AE80" s="52" t="n">
        <x:v>0.4127522127106782</x:v>
      </x:c>
      <x:c r="AF80" s="70" t="n">
        <x:v>0.05360184728739115</x:v>
      </x:c>
      <x:c r="AG80" s="52" t="n">
        <x:v>0.5390141123378437</x:v>
      </x:c>
      <x:c r="AH80" s="70" t="n">
        <x:v>0.5898771169632702</x:v>
      </x:c>
      <x:c r="AI80" s="70" t="n">
        <x:v>0.0016372489856755212</x:v>
      </x:c>
      <x:c r="AJ80" s="52" t="n">
        <x:v>6.7634522997471915</x:v>
      </x:c>
      <x:c r="AK80" s="52" t="n">
        <x:v>-7.703575597793769</x:v>
      </x:c>
      <x:c r="AL80" s="70" t="n">
        <x:v>4.50328663248456e-12</x:v>
      </x:c>
      <x:c r="AM80" s="70" t="n">
        <x:v>0.36121677270595703</x:v>
      </x:c>
      <x:c r="AN80" s="70" t="n">
        <x:v>0.9866714792407835</x:v>
      </x:c>
      <x:c r="AO80" s="70" t="n">
        <x:v>0.5642787060834379</x:v>
      </x:c>
      <x:c r="AP80" s="70" t="n">
        <x:v>0.9181471168982398</x:v>
      </x:c>
      <x:c r="AQ80" s="70" t="n">
        <x:v>0.7209609207328858</x:v>
      </x:c>
      <x:c r="AR80" s="70" t="n">
        <x:v>4.953615295733016e-11</x:v>
      </x:c>
    </x:row>
    <x:row r="81">
      <x:c r="C81" s="43" t="str">
        <x:v>Information Technology</x:v>
      </x:c>
      <x:c r="D81" s="43" t="str">
        <x:v>ex_2020_21</x:v>
      </x:c>
      <x:c r="E81" s="19" t="n">
        <x:v>44562</x:v>
      </x:c>
      <x:c r="F81" s="19" t="n">
        <x:v>46204</x:v>
      </x:c>
      <x:c r="G81" s="64" t="n">
        <x:v>55</x:v>
      </x:c>
      <x:c r="H81" s="70" t="n">
        <x:v>0.3456807957195902</x:v>
      </x:c>
      <x:c r="I81" s="70" t="n">
        <x:v>0.2789135299766913</x:v>
      </x:c>
      <x:c r="J81" s="64" t="n">
        <x:v>0</x:v>
      </x:c>
      <x:c r="K81" s="52" t="n">
        <x:v>-4.367063322191754</x:v>
      </x:c>
      <x:c r="L81" s="70" t="n">
        <x:v>-0.19868093207288637</x:v>
      </x:c>
      <x:c r="M81" s="52" t="n">
        <x:v>-1.0060352838370141</x:v>
      </x:c>
      <x:c r="N81" s="70" t="n">
        <x:v>0.3143985975032222</x:v>
      </x:c>
      <x:c r="O81" s="70" t="n">
        <x:v>0.0382819626611165</x:v>
      </x:c>
      <x:c r="P81" s="52" t="n">
        <x:v>-0.09032546667007058</x:v>
      </x:c>
      <x:c r="Q81" s="70" t="n">
        <x:v>-0.10880097926930515</x:v>
      </x:c>
      <x:c r="R81" s="52" t="n">
        <x:v>-0.5836371190196332</x:v>
      </x:c>
      <x:c r="S81" s="70" t="n">
        <x:v>0.5594644812542404</x:v>
      </x:c>
      <x:c r="T81" s="70" t="n">
        <x:v>0.006304206532529721</x:v>
      </x:c>
      <x:c r="U81" s="52" t="n">
        <x:v>-0.6926124440460071</x:v>
      </x:c>
      <x:c r="V81" s="70" t="n">
        <x:v>-0.5827075912966446</x:v>
      </x:c>
      <x:c r="W81" s="52" t="n">
        <x:v>-3.952800776283671</x:v>
      </x:c>
      <x:c r="X81" s="70" t="n">
        <x:v>0.00007724174495105096</x:v>
      </x:c>
      <x:c r="Y81" s="70" t="n">
        <x:v>0.16316056982735272</x:v>
      </x:c>
      <x:c r="Z81" s="52" t="n">
        <x:v>0.4307738314235312</x:v>
      </x:c>
      <x:c r="AA81" s="70" t="n">
        <x:v>0.07985242832815378</x:v>
      </x:c>
      <x:c r="AB81" s="52" t="n">
        <x:v>0.44950240101513306</x:v>
      </x:c>
      <x:c r="AC81" s="70" t="n">
        <x:v>0.6530692764357904</x:v>
      </x:c>
      <x:c r="AD81" s="70" t="n">
        <x:v>0.005721222019023364</x:v>
      </x:c>
      <x:c r="AE81" s="52" t="n">
        <x:v>2.90573647194528</x:v>
      </x:c>
      <x:c r="AF81" s="70" t="n">
        <x:v>0.41816777021037865</x:v>
      </x:c>
      <x:c r="AG81" s="52" t="n">
        <x:v>2.8634214159234856</x:v>
      </x:c>
      <x:c r="AH81" s="70" t="n">
        <x:v>0.004190927572327974</x:v>
      </x:c>
      <x:c r="AI81" s="70" t="n">
        <x:v>0.10627319258021717</x:v>
      </x:c>
      <x:c r="AJ81" s="52" t="n">
        <x:v>0.2982402843671333</x:v>
      </x:c>
      <x:c r="AK81" s="52" t="n">
        <x:v>-4.6653036065588855</x:v>
      </x:c>
      <x:c r="AL81" s="70" t="n">
        <x:v>0.3342465328156379</x:v>
      </x:c>
      <x:c r="AM81" s="70" t="n">
        <x:v>0.7043878603541852</x:v>
      </x:c>
      <x:c r="AN81" s="70" t="n">
        <x:v>0.8635982664161705</x:v>
      </x:c>
      <x:c r="AO81" s="70" t="n">
        <x:v>0.0008496591944615606</x:v>
      </x:c>
      <x:c r="AP81" s="70" t="n">
        <x:v>0.6530692764357904</x:v>
      </x:c>
      <x:c r="AQ81" s="70" t="n">
        <x:v>0.04610020329560771</x:v>
      </x:c>
      <x:c r="AR81" s="70" t="n">
        <x:v>0.40852354010800185</x:v>
      </x:c>
    </x:row>
    <x:row r="82">
      <x:c r="C82" s="43" t="str">
        <x:v>Information Technology</x:v>
      </x:c>
      <x:c r="D82" s="43" t="str">
        <x:v>clean</x:v>
      </x:c>
      <x:c r="E82" s="19" t="n">
        <x:v>44562</x:v>
      </x:c>
      <x:c r="F82" s="19" t="n">
        <x:v>46204</x:v>
      </x:c>
      <x:c r="G82" s="64" t="n">
        <x:v>55</x:v>
      </x:c>
      <x:c r="H82" s="70" t="n">
        <x:v>0.3456807957195902</x:v>
      </x:c>
      <x:c r="I82" s="70" t="n">
        <x:v>0.2789135299766913</x:v>
      </x:c>
      <x:c r="J82" s="64" t="n">
        <x:v>0</x:v>
      </x:c>
      <x:c r="K82" s="52" t="n">
        <x:v>-4.367063322191754</x:v>
      </x:c>
      <x:c r="L82" s="70" t="n">
        <x:v>-0.19868093207288637</x:v>
      </x:c>
      <x:c r="M82" s="52" t="n">
        <x:v>-1.0060352838370141</x:v>
      </x:c>
      <x:c r="N82" s="70" t="n">
        <x:v>0.3143985975032222</x:v>
      </x:c>
      <x:c r="O82" s="70" t="n">
        <x:v>0.0382819626611165</x:v>
      </x:c>
      <x:c r="P82" s="52" t="n">
        <x:v>-0.09032546667007058</x:v>
      </x:c>
      <x:c r="Q82" s="70" t="n">
        <x:v>-0.10880097926930515</x:v>
      </x:c>
      <x:c r="R82" s="52" t="n">
        <x:v>-0.5836371190196332</x:v>
      </x:c>
      <x:c r="S82" s="70" t="n">
        <x:v>0.5594644812542404</x:v>
      </x:c>
      <x:c r="T82" s="70" t="n">
        <x:v>0.006304206532529721</x:v>
      </x:c>
      <x:c r="U82" s="52" t="n">
        <x:v>-0.6926124440460071</x:v>
      </x:c>
      <x:c r="V82" s="70" t="n">
        <x:v>-0.5827075912966446</x:v>
      </x:c>
      <x:c r="W82" s="52" t="n">
        <x:v>-3.952800776283671</x:v>
      </x:c>
      <x:c r="X82" s="70" t="n">
        <x:v>0.00007724174495105096</x:v>
      </x:c>
      <x:c r="Y82" s="70" t="n">
        <x:v>0.16316056982735272</x:v>
      </x:c>
      <x:c r="Z82" s="52" t="n">
        <x:v>0.4307738314235312</x:v>
      </x:c>
      <x:c r="AA82" s="70" t="n">
        <x:v>0.07985242832815378</x:v>
      </x:c>
      <x:c r="AB82" s="52" t="n">
        <x:v>0.44950240101513306</x:v>
      </x:c>
      <x:c r="AC82" s="70" t="n">
        <x:v>0.6530692764357904</x:v>
      </x:c>
      <x:c r="AD82" s="70" t="n">
        <x:v>0.005721222019023364</x:v>
      </x:c>
      <x:c r="AE82" s="52" t="n">
        <x:v>2.90573647194528</x:v>
      </x:c>
      <x:c r="AF82" s="70" t="n">
        <x:v>0.41816777021037865</x:v>
      </x:c>
      <x:c r="AG82" s="52" t="n">
        <x:v>2.8634214159234856</x:v>
      </x:c>
      <x:c r="AH82" s="70" t="n">
        <x:v>0.004190927572327974</x:v>
      </x:c>
      <x:c r="AI82" s="70" t="n">
        <x:v>0.10627319258021717</x:v>
      </x:c>
      <x:c r="AJ82" s="52" t="n">
        <x:v>0.2982402843671333</x:v>
      </x:c>
      <x:c r="AK82" s="52" t="n">
        <x:v>-4.6653036065588855</x:v>
      </x:c>
      <x:c r="AL82" s="70" t="n">
        <x:v>0.3342465328156379</x:v>
      </x:c>
      <x:c r="AM82" s="70" t="n">
        <x:v>0.6916769145070888</x:v>
      </x:c>
      <x:c r="AN82" s="70" t="n">
        <x:v>0.718167628131334</x:v>
      </x:c>
      <x:c r="AO82" s="70" t="n">
        <x:v>0.0008496591944615606</x:v>
      </x:c>
      <x:c r="AP82" s="70" t="n">
        <x:v>0.7183762040793694</x:v>
      </x:c>
      <x:c r="AQ82" s="70" t="n">
        <x:v>0.04610020329560771</x:v>
      </x:c>
      <x:c r="AR82" s="70" t="n">
        <x:v>0.40852354010800185</x:v>
      </x:c>
    </x:row>
    <x:row r="83">
      <x:c r="C83" s="43" t="str">
        <x:v>Information Technology</x:v>
      </x:c>
      <x:c r="D83" s="43" t="str">
        <x:v>ex_seams</x:v>
      </x:c>
      <x:c r="E83" s="19" t="n">
        <x:v>43922</x:v>
      </x:c>
      <x:c r="F83" s="19" t="n">
        <x:v>46204</x:v>
      </x:c>
      <x:c r="G83" s="64" t="n">
        <x:v>73</x:v>
      </x:c>
      <x:c r="H83" s="70" t="n">
        <x:v>0.022003446584470288</x:v>
      </x:c>
      <x:c r="I83" s="70" t="n">
        <x:v>-0.05098137083459897</x:v>
      </x:c>
      <x:c r="J83" s="64" t="n">
        <x:v>0</x:v>
      </x:c>
      <x:c r="K83" s="52" t="n">
        <x:v>-0.9775558134093074</x:v>
      </x:c>
      <x:c r="L83" s="70" t="n">
        <x:v>-0.11274699802708874</x:v>
      </x:c>
      <x:c r="M83" s="52" t="n">
        <x:v>-1.2468006895743657</x:v>
      </x:c>
      <x:c r="N83" s="70" t="n">
        <x:v>0.21247058759934778</x:v>
      </x:c>
      <x:c r="O83" s="70" t="n">
        <x:v>0.009756867315977247</x:v>
      </x:c>
      <x:c r="P83" s="52" t="n">
        <x:v>0.08211726767966032</x:v>
      </x:c>
      <x:c r="Q83" s="70" t="n">
        <x:v>0.06992831443006525</x:v>
      </x:c>
      <x:c r="R83" s="52" t="n">
        <x:v>0.5231179538566495</x:v>
      </x:c>
      <x:c r="S83" s="70" t="n">
        <x:v>0.6008921722277769</x:v>
      </x:c>
      <x:c r="T83" s="70" t="n">
        <x:v>0.002667308340139063</x:v>
      </x:c>
      <x:c r="U83" s="52" t="n">
        <x:v>-0.13923331690265053</x:v>
      </x:c>
      <x:c r="V83" s="70" t="n">
        <x:v>-0.09983949809470276</x:v>
      </x:c>
      <x:c r="W83" s="52" t="n">
        <x:v>-0.46638664414336134</x:v>
      </x:c>
      <x:c r="X83" s="70" t="n">
        <x:v>0.6409387697299662</x:v>
      </x:c>
      <x:c r="Y83" s="70" t="n">
        <x:v>0.005318202327678878</x:v>
      </x:c>
      <x:c r="Z83" s="52" t="n">
        <x:v>-0.48090918659215326</x:v>
      </x:c>
      <x:c r="AA83" s="70" t="n">
        <x:v>-0.06997711884749938</x:v>
      </x:c>
      <x:c r="AB83" s="52" t="n">
        <x:v>-0.45033654650691013</x:v>
      </x:c>
      <x:c r="AC83" s="70" t="n">
        <x:v>0.65246779077532</x:v>
      </x:c>
      <x:c r="AD83" s="70" t="n">
        <x:v>0.0031865470205707513</x:v>
      </x:c>
      <x:c r="AE83" s="52" t="n">
        <x:v>0.2683154867162597</x:v>
      </x:c>
      <x:c r="AF83" s="70" t="n">
        <x:v>0.03520110284388064</x:v>
      </x:c>
      <x:c r="AG83" s="52" t="n">
        <x:v>0.3423109637606465</x:v>
      </x:c>
      <x:c r="AH83" s="70" t="n">
        <x:v>0.732116885537712</x:v>
      </x:c>
      <x:c r="AI83" s="70" t="n">
        <x:v>0.0007083905684536207</x:v>
      </x:c>
      <x:c r="AJ83" s="52" t="n">
        <x:v>6.716670142107276</x:v>
      </x:c>
      <x:c r="AK83" s="52" t="n">
        <x:v>-7.694225955516585</x:v>
      </x:c>
      <x:c r="AL83" s="70" t="n">
        <x:v>6.387335105273451e-12</x:v>
      </x:c>
      <x:c r="AM83" s="70" t="n">
        <x:v>0.33388235194183224</x:v>
      </x:c>
      <x:c r="AN83" s="70" t="n">
        <x:v>0.8090555968373689</x:v>
      </x:c>
      <x:c r="AO83" s="70" t="n">
        <x:v>0.7050326467029628</x:v>
      </x:c>
      <x:c r="AP83" s="70" t="n">
        <x:v>0.9328281158347742</x:v>
      </x:c>
      <x:c r="AQ83" s="70" t="n">
        <x:v>0.8053285740914833</x:v>
      </x:c>
      <x:c r="AR83" s="70" t="n">
        <x:v>7.026068615800796e-11</x:v>
      </x:c>
    </x:row>
    <x:row r="84">
      <x:c r="C84" s="43" t="str">
        <x:v>Information Technology</x:v>
      </x:c>
      <x:c r="D84" s="43" t="str">
        <x:v>audit_clean</x:v>
      </x:c>
      <x:c r="E84" s="19" t="n">
        <x:v>44562</x:v>
      </x:c>
      <x:c r="F84" s="19" t="n">
        <x:v>46204</x:v>
      </x:c>
      <x:c r="G84" s="64" t="n">
        <x:v>52</x:v>
      </x:c>
      <x:c r="H84" s="70" t="n">
        <x:v>0.372439002184873</x:v>
      </x:c>
      <x:c r="I84" s="70" t="n">
        <x:v>0.3042258502484462</x:v>
      </x:c>
      <x:c r="J84" s="64" t="n">
        <x:v>0</x:v>
      </x:c>
      <x:c r="K84" s="52" t="n">
        <x:v>-4.45094517172395</x:v>
      </x:c>
      <x:c r="L84" s="70" t="n">
        <x:v>-0.21002968821906923</x:v>
      </x:c>
      <x:c r="M84" s="52" t="n">
        <x:v>-1.0370602287278956</x:v>
      </x:c>
      <x:c r="N84" s="70" t="n">
        <x:v>0.29970778881466664</x:v>
      </x:c>
      <x:c r="O84" s="70" t="n">
        <x:v>0.04296651460674228</x:v>
      </x:c>
      <x:c r="P84" s="52" t="n">
        <x:v>0.01592040066303113</x:v>
      </x:c>
      <x:c r="Q84" s="70" t="n">
        <x:v>0.01951291504656373</x:v>
      </x:c>
      <x:c r="R84" s="52" t="n">
        <x:v>0.09964107997168724</x:v>
      </x:c>
      <x:c r="S84" s="70" t="n">
        <x:v>0.9206292789927286</x:v>
      </x:c>
      <x:c r="T84" s="70" t="n">
        <x:v>0.0001933396611595306</x:v>
      </x:c>
      <x:c r="U84" s="52" t="n">
        <x:v>-0.5672335073597211</x:v>
      </x:c>
      <x:c r="V84" s="70" t="n">
        <x:v>-0.4976450125593106</x:v>
      </x:c>
      <x:c r="W84" s="52" t="n">
        <x:v>-3.2844647080936404</x:v>
      </x:c>
      <x:c r="X84" s="70" t="n">
        <x:v>0.0010217629401065853</x:v>
      </x:c>
      <x:c r="Y84" s="70" t="n">
        <x:v>0.11232134017025908</x:v>
      </x:c>
      <x:c r="Z84" s="52" t="n">
        <x:v>0.5021472103237303</x:v>
      </x:c>
      <x:c r="AA84" s="70" t="n">
        <x:v>0.09666902836528429</x:v>
      </x:c>
      <x:c r="AB84" s="52" t="n">
        <x:v>0.5514794478185494</x:v>
      </x:c>
      <x:c r="AC84" s="70" t="n">
        <x:v>0.5813050516013849</x:v>
      </x:c>
      <x:c r="AD84" s="70" t="n">
        <x:v>0.00838070358296561</x:v>
      </x:c>
      <x:c r="AE84" s="52" t="n">
        <x:v>2.6693852136329626</x:v>
      </x:c>
      <x:c r="AF84" s="70" t="n">
        <x:v>0.39766308763012337</x:v>
      </x:c>
      <x:c r="AG84" s="52" t="n">
        <x:v>2.7273949317783157</x:v>
      </x:c>
      <x:c r="AH84" s="70" t="n">
        <x:v>0.006383658397082215</x:v>
      </x:c>
      <x:c r="AI84" s="70" t="n">
        <x:v>0.09644797777278624</x:v>
      </x:c>
      <x:c r="AJ84" s="52" t="n">
        <x:v>-0.25374865841430233</x:v>
      </x:c>
      <x:c r="AK84" s="52" t="n">
        <x:v>-4.197196513309653</x:v>
      </x:c>
      <x:c r="AL84" s="70" t="n">
        <x:v>0.3706852367097808</x:v>
      </x:c>
      <x:c r="AM84" s="70" t="n">
        <x:v>0.6593571353922666</x:v>
      </x:c>
      <x:c r="AN84" s="70" t="n">
        <x:v>0.9581476092413563</x:v>
      </x:c>
      <x:c r="AO84" s="70" t="n">
        <x:v>0.011239392341172438</x:v>
      </x:c>
      <x:c r="AP84" s="70" t="n">
        <x:v>0.7992944459519042</x:v>
      </x:c>
      <x:c r="AQ84" s="70" t="n">
        <x:v>0.07022024236790436</x:v>
      </x:c>
      <x:c r="AR84" s="70" t="n">
        <x:v>0.4530597337563988</x:v>
      </x:c>
    </x:row>
    <x:row r="85">
      <x:c r="C85" s="43" t="str">
        <x:v>Information Technology</x:v>
      </x:c>
      <x:c r="D85" s="43" t="str">
        <x:v>since_2020</x:v>
      </x:c>
      <x:c r="E85" s="19" t="n">
        <x:v>43922</x:v>
      </x:c>
      <x:c r="F85" s="19" t="n">
        <x:v>46204</x:v>
      </x:c>
      <x:c r="G85" s="64" t="n">
        <x:v>76</x:v>
      </x:c>
      <x:c r="H85" s="70" t="n">
        <x:v>0.024773621474271867</x:v>
      </x:c>
      <x:c r="I85" s="70" t="n">
        <x:v>-0.044885405563280134</x:v>
      </x:c>
      <x:c r="J85" s="64" t="n">
        <x:v>0</x:v>
      </x:c>
      <x:c r="K85" s="52" t="n">
        <x:v>-0.9401232980465728</x:v>
      </x:c>
      <x:c r="L85" s="70" t="n">
        <x:v>-0.10645216675960692</x:v>
      </x:c>
      <x:c r="M85" s="52" t="n">
        <x:v>-1.2007061208016214</x:v>
      </x:c>
      <x:c r="N85" s="70" t="n">
        <x:v>0.22986521899469992</x:v>
      </x:c>
      <x:c r="O85" s="70" t="n">
        <x:v>0.008701987762344099</x:v>
      </x:c>
      <x:c r="P85" s="52" t="n">
        <x:v>0.002359426589998548</x:v>
      </x:c>
      <x:c r="Q85" s="70" t="n">
        <x:v>0.002019314119638571</x:v>
      </x:c>
      <x:c r="R85" s="52" t="n">
        <x:v>0.01670560048955807</x:v>
      </x:c>
      <x:c r="S85" s="70" t="n">
        <x:v>0.9866714792407836</x:v>
      </x:c>
      <x:c r="T85" s="70" t="n">
        <x:v>0.0000023053211741785873</x:v>
      </x:c>
      <x:c r="U85" s="52" t="n">
        <x:v>-0.2184231542147007</x:v>
      </x:c>
      <x:c r="V85" s="70" t="n">
        <x:v>-0.15426810621399994</x:v>
      </x:c>
      <x:c r="W85" s="52" t="n">
        <x:v>-0.7428795984818786</x:v>
      </x:c>
      <x:c r="X85" s="70" t="n">
        <x:v>0.4575545784175623</x:v>
      </x:c>
      <x:c r="Y85" s="70" t="n">
        <x:v>0.013260339458493697</x:v>
      </x:c>
      <x:c r="Z85" s="52" t="n">
        <x:v>-0.6213201570984397</x:v>
      </x:c>
      <x:c r="AA85" s="70" t="n">
        <x:v>-0.0895375748472208</x:v>
      </x:c>
      <x:c r="AB85" s="52" t="n">
        <x:v>-0.5471503577123578</x:v>
      </x:c>
      <x:c r="AC85" s="70" t="n">
        <x:v>0.5842754380261526</x:v>
      </x:c>
      <x:c r="AD85" s="70" t="n">
        <x:v>0.005231581610514846</x:v>
      </x:c>
      <x:c r="AE85" s="52" t="n">
        <x:v>0.4127522127106782</x:v>
      </x:c>
      <x:c r="AF85" s="70" t="n">
        <x:v>0.05360184728739115</x:v>
      </x:c>
      <x:c r="AG85" s="52" t="n">
        <x:v>0.5390141123378437</x:v>
      </x:c>
      <x:c r="AH85" s="70" t="n">
        <x:v>0.5898771169632702</x:v>
      </x:c>
      <x:c r="AI85" s="70" t="n">
        <x:v>0.0016372489856755212</x:v>
      </x:c>
      <x:c r="AJ85" s="52" t="n">
        <x:v>6.7634522997471915</x:v>
      </x:c>
      <x:c r="AK85" s="52" t="n">
        <x:v>-7.703575597793769</x:v>
      </x:c>
      <x:c r="AL85" s="70" t="n">
        <x:v>4.50328663248456e-12</x:v>
      </x:c>
      <x:c r="AM85" s="70" t="n">
        <x:v>0.2809463787712999</x:v>
      </x:c>
      <x:c r="AN85" s="70" t="n">
        <x:v>0.9866714792407835</x:v>
      </x:c>
      <x:c r="AO85" s="70" t="n">
        <x:v>0.831904993950753</x:v>
      </x:c>
      <x:c r="AP85" s="70" t="n">
        <x:v>0.5842754380261526</x:v>
      </x:c>
      <x:c r="AQ85" s="70" t="n">
        <x:v>0.8110810358244964</x:v>
      </x:c>
      <x:c r="AR85" s="70" t="n">
        <x:v>4.953615295733016e-11</x:v>
      </x:c>
    </x:row>
    <x:row r="86">
      <x:c r="C86" s="43" t="str">
        <x:v>Information Technology</x:v>
      </x:c>
      <x:c r="D86" s="43" t="str">
        <x:v>since_2022</x:v>
      </x:c>
      <x:c r="E86" s="19" t="n">
        <x:v>44562</x:v>
      </x:c>
      <x:c r="F86" s="19" t="n">
        <x:v>46204</x:v>
      </x:c>
      <x:c r="G86" s="64" t="n">
        <x:v>55</x:v>
      </x:c>
      <x:c r="H86" s="70" t="n">
        <x:v>0.3456807957195902</x:v>
      </x:c>
      <x:c r="I86" s="70" t="n">
        <x:v>0.2789135299766913</x:v>
      </x:c>
      <x:c r="J86" s="64" t="n">
        <x:v>0</x:v>
      </x:c>
      <x:c r="K86" s="52" t="n">
        <x:v>-4.367063322191754</x:v>
      </x:c>
      <x:c r="L86" s="70" t="n">
        <x:v>-0.19868093207288637</x:v>
      </x:c>
      <x:c r="M86" s="52" t="n">
        <x:v>-1.0060352838370141</x:v>
      </x:c>
      <x:c r="N86" s="70" t="n">
        <x:v>0.3143985975032222</x:v>
      </x:c>
      <x:c r="O86" s="70" t="n">
        <x:v>0.0382819626611165</x:v>
      </x:c>
      <x:c r="P86" s="52" t="n">
        <x:v>-0.09032546667007058</x:v>
      </x:c>
      <x:c r="Q86" s="70" t="n">
        <x:v>-0.10880097926930515</x:v>
      </x:c>
      <x:c r="R86" s="52" t="n">
        <x:v>-0.5836371190196332</x:v>
      </x:c>
      <x:c r="S86" s="70" t="n">
        <x:v>0.5594644812542404</x:v>
      </x:c>
      <x:c r="T86" s="70" t="n">
        <x:v>0.006304206532529721</x:v>
      </x:c>
      <x:c r="U86" s="52" t="n">
        <x:v>-0.6926124440460071</x:v>
      </x:c>
      <x:c r="V86" s="70" t="n">
        <x:v>-0.5827075912966446</x:v>
      </x:c>
      <x:c r="W86" s="52" t="n">
        <x:v>-3.952800776283671</x:v>
      </x:c>
      <x:c r="X86" s="70" t="n">
        <x:v>0.00007724174495105096</x:v>
      </x:c>
      <x:c r="Y86" s="70" t="n">
        <x:v>0.16316056982735272</x:v>
      </x:c>
      <x:c r="Z86" s="52" t="n">
        <x:v>0.4307738314235312</x:v>
      </x:c>
      <x:c r="AA86" s="70" t="n">
        <x:v>0.07985242832815378</x:v>
      </x:c>
      <x:c r="AB86" s="52" t="n">
        <x:v>0.44950240101513306</x:v>
      </x:c>
      <x:c r="AC86" s="70" t="n">
        <x:v>0.6530692764357904</x:v>
      </x:c>
      <x:c r="AD86" s="70" t="n">
        <x:v>0.005721222019023364</x:v>
      </x:c>
      <x:c r="AE86" s="52" t="n">
        <x:v>2.90573647194528</x:v>
      </x:c>
      <x:c r="AF86" s="70" t="n">
        <x:v>0.41816777021037865</x:v>
      </x:c>
      <x:c r="AG86" s="52" t="n">
        <x:v>2.8634214159234856</x:v>
      </x:c>
      <x:c r="AH86" s="70" t="n">
        <x:v>0.004190927572327974</x:v>
      </x:c>
      <x:c r="AI86" s="70" t="n">
        <x:v>0.10627319258021717</x:v>
      </x:c>
      <x:c r="AJ86" s="52" t="n">
        <x:v>0.2982402843671333</x:v>
      </x:c>
      <x:c r="AK86" s="52" t="n">
        <x:v>-4.6653036065588855</x:v>
      </x:c>
      <x:c r="AL86" s="70" t="n">
        <x:v>0.3342465328156379</x:v>
      </x:c>
      <x:c r="AM86" s="70" t="n">
        <x:v>0.7482062923372836</x:v>
      </x:c>
      <x:c r="AN86" s="70" t="n">
        <x:v>0.5622437023100817</x:v>
      </x:c>
      <x:c r="AO86" s="70" t="n">
        <x:v>0.0008496591944615606</x:v>
      </x:c>
      <x:c r="AP86" s="70" t="n">
        <x:v>0.6530692764357904</x:v>
      </x:c>
      <x:c r="AQ86" s="70" t="n">
        <x:v>0.04610020329560771</x:v>
      </x:c>
      <x:c r="AR86" s="70" t="n">
        <x:v>0.9772311542052887</x:v>
      </x:c>
    </x:row>
    <x:row r="87">
      <x:c r="C87" s="43" t="str">
        <x:v>Information Technology</x:v>
      </x:c>
      <x:c r="D87" s="43" t="str">
        <x:v>since_2022_ex_seams</x:v>
      </x:c>
      <x:c r="E87" s="19" t="n">
        <x:v>44562</x:v>
      </x:c>
      <x:c r="F87" s="19" t="n">
        <x:v>46204</x:v>
      </x:c>
      <x:c r="G87" s="64" t="n">
        <x:v>52</x:v>
      </x:c>
      <x:c r="H87" s="70" t="n">
        <x:v>0.372439002184873</x:v>
      </x:c>
      <x:c r="I87" s="70" t="n">
        <x:v>0.3042258502484462</x:v>
      </x:c>
      <x:c r="J87" s="64" t="n">
        <x:v>0</x:v>
      </x:c>
      <x:c r="K87" s="52" t="n">
        <x:v>-4.45094517172395</x:v>
      </x:c>
      <x:c r="L87" s="70" t="n">
        <x:v>-0.21002968821906923</x:v>
      </x:c>
      <x:c r="M87" s="52" t="n">
        <x:v>-1.0370602287278956</x:v>
      </x:c>
      <x:c r="N87" s="70" t="n">
        <x:v>0.29970778881466664</x:v>
      </x:c>
      <x:c r="O87" s="70" t="n">
        <x:v>0.04296651460674228</x:v>
      </x:c>
      <x:c r="P87" s="52" t="n">
        <x:v>0.01592040066303113</x:v>
      </x:c>
      <x:c r="Q87" s="70" t="n">
        <x:v>0.01951291504656373</x:v>
      </x:c>
      <x:c r="R87" s="52" t="n">
        <x:v>0.09964107997168724</x:v>
      </x:c>
      <x:c r="S87" s="70" t="n">
        <x:v>0.9206292789927286</x:v>
      </x:c>
      <x:c r="T87" s="70" t="n">
        <x:v>0.0001933396611595306</x:v>
      </x:c>
      <x:c r="U87" s="52" t="n">
        <x:v>-0.5672335073597211</x:v>
      </x:c>
      <x:c r="V87" s="70" t="n">
        <x:v>-0.4976450125593106</x:v>
      </x:c>
      <x:c r="W87" s="52" t="n">
        <x:v>-3.2844647080936404</x:v>
      </x:c>
      <x:c r="X87" s="70" t="n">
        <x:v>0.0010217629401065853</x:v>
      </x:c>
      <x:c r="Y87" s="70" t="n">
        <x:v>0.11232134017025908</x:v>
      </x:c>
      <x:c r="Z87" s="52" t="n">
        <x:v>0.5021472103237303</x:v>
      </x:c>
      <x:c r="AA87" s="70" t="n">
        <x:v>0.09666902836528429</x:v>
      </x:c>
      <x:c r="AB87" s="52" t="n">
        <x:v>0.5514794478185494</x:v>
      </x:c>
      <x:c r="AC87" s="70" t="n">
        <x:v>0.5813050516013849</x:v>
      </x:c>
      <x:c r="AD87" s="70" t="n">
        <x:v>0.00838070358296561</x:v>
      </x:c>
      <x:c r="AE87" s="52" t="n">
        <x:v>2.6693852136329626</x:v>
      </x:c>
      <x:c r="AF87" s="70" t="n">
        <x:v>0.39766308763012337</x:v>
      </x:c>
      <x:c r="AG87" s="52" t="n">
        <x:v>2.7273949317783157</x:v>
      </x:c>
      <x:c r="AH87" s="70" t="n">
        <x:v>0.006383658397082215</x:v>
      </x:c>
      <x:c r="AI87" s="70" t="n">
        <x:v>0.09644797777278624</x:v>
      </x:c>
      <x:c r="AJ87" s="52" t="n">
        <x:v>-0.25374865841430233</x:v>
      </x:c>
      <x:c r="AK87" s="52" t="n">
        <x:v>-4.197196513309653</x:v>
      </x:c>
      <x:c r="AL87" s="70" t="n">
        <x:v>0.3706852367097808</x:v>
      </x:c>
      <x:c r="AM87" s="70" t="n">
        <x:v>0.6988173851547369</x:v>
      </x:c>
      <x:c r="AN87" s="70" t="n">
        <x:v>0.9206292789927286</x:v>
      </x:c>
      <x:c r="AO87" s="70" t="n">
        <x:v>0.011239392341172438</x:v>
      </x:c>
      <x:c r="AP87" s="70" t="n">
        <x:v>0.5813050516013849</x:v>
      </x:c>
      <x:c r="AQ87" s="70" t="n">
        <x:v>0.07022024236790436</x:v>
      </x:c>
      <x:c r="AR87" s="70" t="n">
        <x:v>0.9127750527660768</x:v>
      </x:c>
    </x:row>
    <x:row r="88">
      <x:c r="C88" s="43" t="str">
        <x:v>Materials</x:v>
      </x:c>
      <x:c r="D88" s="43" t="str">
        <x:v>full</x:v>
      </x:c>
      <x:c r="E88" s="19" t="n">
        <x:v>39904</x:v>
      </x:c>
      <x:c r="F88" s="19" t="n">
        <x:v>46204</x:v>
      </x:c>
      <x:c r="G88" s="64" t="n">
        <x:v>206</x:v>
      </x:c>
      <x:c r="H88" s="70" t="n">
        <x:v>0.03870239228721395</x:v>
      </x:c>
      <x:c r="I88" s="70" t="n">
        <x:v>0.014669952094394367</x:v>
      </x:c>
      <x:c r="J88" s="64" t="n">
        <x:v>2</x:v>
      </x:c>
      <x:c r="K88" s="52" t="n">
        <x:v>6.488450445350453</x:v>
      </x:c>
      <x:c r="L88" s="70" t="n">
        <x:v>0.15804627481306638</x:v>
      </x:c>
      <x:c r="M88" s="52" t="n">
        <x:v>2.0260459781667532</x:v>
      </x:c>
      <x:c r="N88" s="70" t="n">
        <x:v>0.04276007321743425</x:v>
      </x:c>
      <x:c r="O88" s="70" t="n">
        <x:v>0.020121816150996175</x:v>
      </x:c>
      <x:c r="P88" s="52" t="n">
        <x:v>0.43113158419959574</x:v>
      </x:c>
      <x:c r="Q88" s="70" t="n">
        <x:v>0.09270640290855053</x:v>
      </x:c>
      <x:c r="R88" s="52" t="n">
        <x:v>0.9134394368719376</x:v>
      </x:c>
      <x:c r="S88" s="70" t="n">
        <x:v>0.3610114722579416</x:v>
      </x:c>
      <x:c r="T88" s="70" t="n">
        <x:v>0.004718049892123433</x:v>
      </x:c>
      <x:c r="U88" s="52" t="n">
        <x:v>0.15579427834835435</x:v>
      </x:c>
      <x:c r="V88" s="70" t="n">
        <x:v>0.03224690841497068</x:v>
      </x:c>
      <x:c r="W88" s="52" t="n">
        <x:v>0.34933280735704186</x:v>
      </x:c>
      <x:c r="X88" s="70" t="n">
        <x:v>0.7268394712766277</x:v>
      </x:c>
      <x:c r="Y88" s="70" t="n">
        <x:v>0.0005401654411117951</x:v>
      </x:c>
      <x:c r="Z88" s="52" t="n">
        <x:v>-1.0029195999695337</x:v>
      </x:c>
      <x:c r="AA88" s="70" t="n">
        <x:v>-0.030087120047707916</x:v>
      </x:c>
      <x:c r="AB88" s="52" t="n">
        <x:v>-0.2904671171455328</x:v>
      </x:c>
      <x:c r="AC88" s="70" t="n">
        <x:v>0.7714589035899839</x:v>
      </x:c>
      <x:c r="AD88" s="70" t="n">
        <x:v>0.0006655204477754584</x:v>
      </x:c>
      <x:c r="AE88" s="52" t="n">
        <x:v>-0.6906596772395749</x:v>
      </x:c>
      <x:c r="AF88" s="70" t="n">
        <x:v>-0.020982711723198606</x:v>
      </x:c>
      <x:c r="AG88" s="52" t="n">
        <x:v>-0.20542341793945237</x:v>
      </x:c>
      <x:c r="AH88" s="70" t="n">
        <x:v>0.8372413255272277</x:v>
      </x:c>
      <x:c r="AI88" s="70" t="n">
        <x:v>0.00028905483167662727</x:v>
      </x:c>
      <x:c r="AJ88" s="52" t="n">
        <x:v>5.920897353880115</x:v>
      </x:c>
      <x:c r="AK88" s="52" t="n">
        <x:v>0.567553091470338</x:v>
      </x:c>
      <x:c r="AL88" s="70" t="n">
        <x:v>0.8459795648767896</x:v>
      </x:c>
      <x:c r="AM88" s="70" t="n">
        <x:v>0.11759020134794418</x:v>
      </x:c>
      <x:c r="AN88" s="70" t="n">
        <x:v>0.9866714792407835</x:v>
      </x:c>
      <x:c r="AO88" s="70" t="n">
        <x:v>0.7268394712766277</x:v>
      </x:c>
      <x:c r="AP88" s="70" t="n">
        <x:v>0.9352252143355138</x:v>
      </x:c>
      <x:c r="AQ88" s="70" t="n">
        <x:v>0.8372413255272277</x:v>
      </x:c>
      <x:c r="AR88" s="70" t="n">
        <x:v>0.8459795648767897</x:v>
      </x:c>
    </x:row>
    <x:row r="89">
      <x:c r="C89" s="43" t="str">
        <x:v>Materials</x:v>
      </x:c>
      <x:c r="D89" s="43" t="str">
        <x:v>ex_2013_14</x:v>
      </x:c>
      <x:c r="E89" s="19" t="n">
        <x:v>39904</x:v>
      </x:c>
      <x:c r="F89" s="19" t="n">
        <x:v>46204</x:v>
      </x:c>
      <x:c r="G89" s="64" t="n">
        <x:v>182</x:v>
      </x:c>
      <x:c r="H89" s="70" t="n">
        <x:v>0.031766264148429535</x:v>
      </x:c>
      <x:c r="I89" s="70" t="n">
        <x:v>0.004259623925373601</x:v>
      </x:c>
      <x:c r="J89" s="64" t="n">
        <x:v>2</x:v>
      </x:c>
      <x:c r="K89" s="52" t="n">
        <x:v>6.773677135301451</x:v>
      </x:c>
      <x:c r="L89" s="70" t="n">
        <x:v>0.16589956054683025</x:v>
      </x:c>
      <x:c r="M89" s="52" t="n">
        <x:v>2.1110002697503427</x:v>
      </x:c>
      <x:c r="N89" s="70" t="n">
        <x:v>0.03477228867633153</x:v>
      </x:c>
      <x:c r="O89" s="70" t="n">
        <x:v>0.022087921988712678</x:v>
      </x:c>
      <x:c r="P89" s="52" t="n">
        <x:v>0.2090900084654903</x:v>
      </x:c>
      <x:c r="Q89" s="70" t="n">
        <x:v>0.04370863971234604</x:v>
      </x:c>
      <x:c r="R89" s="52" t="n">
        <x:v>0.41188575865971455</x:v>
      </x:c>
      <x:c r="S89" s="70" t="n">
        <x:v>0.6804231595997976</x:v>
      </x:c>
      <x:c r="T89" s="70" t="n">
        <x:v>0.0010132342070198197</x:v>
      </x:c>
      <x:c r="U89" s="52" t="n">
        <x:v>0.11540857856285491</x:v>
      </x:c>
      <x:c r="V89" s="70" t="n">
        <x:v>0.023199213702118138</x:v>
      </x:c>
      <x:c r="W89" s="52" t="n">
        <x:v>0.2387452410269275</x:v>
      </x:c>
      <x:c r="X89" s="70" t="n">
        <x:v>0.8113031336808183</x:v>
      </x:c>
      <x:c r="Y89" s="70" t="n">
        <x:v>0.0002778432353210958</x:v>
      </x:c>
      <x:c r="Z89" s="52" t="n">
        <x:v>-1.1374875531374615</x:v>
      </x:c>
      <x:c r="AA89" s="70" t="n">
        <x:v>-0.03442061063784211</x:v>
      </x:c>
      <x:c r="AB89" s="52" t="n">
        <x:v>-0.304461804115701</x:v>
      </x:c>
      <x:c r="AC89" s="70" t="n">
        <x:v>0.7607760882033401</x:v>
      </x:c>
      <x:c r="AD89" s="70" t="n">
        <x:v>0.0008379089919596794</x:v>
      </x:c>
      <x:c r="AE89" s="52" t="n">
        <x:v>0.15087945034559494</x:v>
      </x:c>
      <x:c r="AF89" s="70" t="n">
        <x:v>0.0044857874549679155</x:v>
      </x:c>
      <x:c r="AG89" s="52" t="n">
        <x:v>0.03971198550596631</x:v>
      </x:c>
      <x:c r="AH89" s="70" t="n">
        <x:v>0.9683227461635779</x:v>
      </x:c>
      <x:c r="AI89" s="70" t="n">
        <x:v>0.000012528058557226274</x:v>
      </x:c>
      <x:c r="AJ89" s="52" t="n">
        <x:v>6.130093699219806</x:v>
      </x:c>
      <x:c r="AK89" s="52" t="n">
        <x:v>0.6435834360816429</x:v>
      </x:c>
      <x:c r="AL89" s="70" t="n">
        <x:v>0.8238547770490532</x:v>
      </x:c>
      <x:c r="AM89" s="70" t="n">
        <x:v>0.09562379385991171</x:v>
      </x:c>
      <x:c r="AN89" s="70" t="n">
        <x:v>0.9662546132430333</x:v>
      </x:c>
      <x:c r="AO89" s="70" t="n">
        <x:v>0.8113031336808182</x:v>
      </x:c>
      <x:c r="AP89" s="70" t="n">
        <x:v>0.9386131198694879</x:v>
      </x:c>
      <x:c r="AQ89" s="70" t="n">
        <x:v>0.9683227461635778</x:v>
      </x:c>
      <x:c r="AR89" s="70" t="n">
        <x:v>0.8238547770490533</x:v>
      </x:c>
    </x:row>
    <x:row r="90">
      <x:c r="C90" s="43" t="str">
        <x:v>Materials</x:v>
      </x:c>
      <x:c r="D90" s="43" t="str">
        <x:v>ex_2020_21</x:v>
      </x:c>
      <x:c r="E90" s="19" t="n">
        <x:v>39904</x:v>
      </x:c>
      <x:c r="F90" s="19" t="n">
        <x:v>46204</x:v>
      </x:c>
      <x:c r="G90" s="64" t="n">
        <x:v>182</x:v>
      </x:c>
      <x:c r="H90" s="70" t="n">
        <x:v>0.023544748324699438</x:v>
      </x:c>
      <x:c r="I90" s="70" t="n">
        <x:v>-0.004195457688803472</x:v>
      </x:c>
      <x:c r="J90" s="64" t="n">
        <x:v>2</x:v>
      </x:c>
      <x:c r="K90" s="52" t="n">
        <x:v>5.74781916958805</x:v>
      </x:c>
      <x:c r="L90" s="70" t="n">
        <x:v>0.09438499918895325</x:v>
      </x:c>
      <x:c r="M90" s="52" t="n">
        <x:v>0.8706837821985403</x:v>
      </x:c>
      <x:c r="N90" s="70" t="n">
        <x:v>0.38392683600825195</x:v>
      </x:c>
      <x:c r="O90" s="70" t="n">
        <x:v>0.007402505054434072</x:v>
      </x:c>
      <x:c r="P90" s="52" t="n">
        <x:v>0.28158254397889615</x:v>
      </x:c>
      <x:c r="Q90" s="70" t="n">
        <x:v>0.05477001229864034</x:v>
      </x:c>
      <x:c r="R90" s="52" t="n">
        <x:v>0.5143464106768635</x:v>
      </x:c>
      <x:c r="S90" s="70" t="n">
        <x:v>0.6070098190585784</x:v>
      </x:c>
      <x:c r="T90" s="70" t="n">
        <x:v>0.0018029060345913228</x:v>
      </x:c>
      <x:c r="U90" s="52" t="n">
        <x:v>-0.11379041376186372</x:v>
      </x:c>
      <x:c r="V90" s="70" t="n">
        <x:v>-0.02157069224651272</x:v>
      </x:c>
      <x:c r="W90" s="52" t="n">
        <x:v>-0.2234351325203478</x:v>
      </x:c>
      <x:c r="X90" s="70" t="n">
        <x:v>0.8231968635801983</x:v>
      </x:c>
      <x:c r="Y90" s="70" t="n">
        <x:v>0.0002471856465426914</x:v>
      </x:c>
      <x:c r="Z90" s="52" t="n">
        <x:v>-2.2827719695611646</x:v>
      </x:c>
      <x:c r="AA90" s="70" t="n">
        <x:v>-0.059893213984433154</x:v>
      </x:c>
      <x:c r="AB90" s="52" t="n">
        <x:v>-0.5160098255711703</x:v>
      </x:c>
      <x:c r="AC90" s="70" t="n">
        <x:v>0.6058475467560354</x:v>
      </x:c>
      <x:c r="AD90" s="70" t="n">
        <x:v>0.002802391051142661</x:v>
      </x:c>
      <x:c r="AE90" s="52" t="n">
        <x:v>1.22088776272037</x:v>
      </x:c>
      <x:c r="AF90" s="70" t="n">
        <x:v>0.031217022525858763</x:v>
      </x:c>
      <x:c r="AG90" s="52" t="n">
        <x:v>0.3031529993202092</x:v>
      </x:c>
      <x:c r="AH90" s="70" t="n">
        <x:v>0.7617732656590264</x:v>
      </x:c>
      <x:c r="AI90" s="70" t="n">
        <x:v>0.000738474045561488</x:v>
      </x:c>
      <x:c r="AJ90" s="52" t="n">
        <x:v>3.7917043784671853</x:v>
      </x:c>
      <x:c r="AK90" s="52" t="n">
        <x:v>1.9561147911208616</x:v>
      </x:c>
      <x:c r="AL90" s="70" t="n">
        <x:v>0.7545787337780694</x:v>
      </x:c>
      <x:c r="AM90" s="70" t="n">
        <x:v>0.7043878603541852</x:v>
      </x:c>
      <x:c r="AN90" s="70" t="n">
        <x:v>0.8635982664161705</x:v>
      </x:c>
      <x:c r="AO90" s="70" t="n">
        <x:v>0.8373060161960555</x:v>
      </x:c>
      <x:c r="AP90" s="70" t="n">
        <x:v>0.6530692764357904</x:v>
      </x:c>
      <x:c r="AQ90" s="70" t="n">
        <x:v>0.852412503472647</x:v>
      </x:c>
      <x:c r="AR90" s="70" t="n">
        <x:v>0.7545787337780694</x:v>
      </x:c>
    </x:row>
    <x:row r="91">
      <x:c r="C91" s="43" t="str">
        <x:v>Materials</x:v>
      </x:c>
      <x:c r="D91" s="43" t="str">
        <x:v>clean</x:v>
      </x:c>
      <x:c r="E91" s="19" t="n">
        <x:v>39904</x:v>
      </x:c>
      <x:c r="F91" s="19" t="n">
        <x:v>46204</x:v>
      </x:c>
      <x:c r="G91" s="64" t="n">
        <x:v>158</x:v>
      </x:c>
      <x:c r="H91" s="70" t="n">
        <x:v>0.017901427671243475</x:v>
      </x:c>
      <x:c r="I91" s="70" t="n">
        <x:v>-0.014404446418518235</x:v>
      </x:c>
      <x:c r="J91" s="64" t="n">
        <x:v>2</x:v>
      </x:c>
      <x:c r="K91" s="52" t="n">
        <x:v>5.507495172540182</x:v>
      </x:c>
      <x:c r="L91" s="70" t="n">
        <x:v>0.08895470592573507</x:v>
      </x:c>
      <x:c r="M91" s="52" t="n">
        <x:v>0.7816767661345632</x:v>
      </x:c>
      <x:c r="N91" s="70" t="n">
        <x:v>0.4344045593502064</x:v>
      </x:c>
      <x:c r="O91" s="70" t="n">
        <x:v>0.006642359212092663</x:v>
      </x:c>
      <x:c r="P91" s="52" t="n">
        <x:v>0.013818698036536237</x:v>
      </x:c>
      <x:c r="Q91" s="70" t="n">
        <x:v>0.002583510012234643</x:v>
      </x:c>
      <x:c r="R91" s="52" t="n">
        <x:v>0.02241624046009778</x:v>
      </x:c>
      <x:c r="S91" s="70" t="n">
        <x:v>0.9821159255931609</x:v>
      </x:c>
      <x:c r="T91" s="70" t="n">
        <x:v>0.000003925574709295887</x:v>
      </x:c>
      <x:c r="U91" s="52" t="n">
        <x:v>-0.18189781969849772</x:v>
      </x:c>
      <x:c r="V91" s="70" t="n">
        <x:v>-0.03296438871743182</x:v>
      </x:c>
      <x:c r="W91" s="52" t="n">
        <x:v>-0.3223152074517514</x:v>
      </x:c>
      <x:c r="X91" s="70" t="n">
        <x:v>0.7472139134983617</x:v>
      </x:c>
      <x:c r="Y91" s="70" t="n">
        <x:v>0.0005799974481128789</x:v>
      </x:c>
      <x:c r="Z91" s="52" t="n">
        <x:v>-2.466883974880359</x:v>
      </x:c>
      <x:c r="AA91" s="70" t="n">
        <x:v>-0.06468861658147876</x:v>
      </x:c>
      <x:c r="AB91" s="52" t="n">
        <x:v>-0.5068950939499229</x:v>
      </x:c>
      <x:c r="AC91" s="70" t="n">
        <x:v>0.61222842820539</x:v>
      </x:c>
      <x:c r="AD91" s="70" t="n">
        <x:v>0.0031833136203724965</x:v>
      </x:c>
      <x:c r="AE91" s="52" t="n">
        <x:v>2.3631551252242224</x:v>
      </x:c>
      <x:c r="AF91" s="70" t="n">
        <x:v>0.05699298644302471</x:v>
      </x:c>
      <x:c r="AG91" s="52" t="n">
        <x:v>0.4819077375731254</x:v>
      </x:c>
      <x:c r="AH91" s="70" t="n">
        <x:v>0.6298714892337121</x:v>
      </x:c>
      <x:c r="AI91" s="70" t="n">
        <x:v>0.002411005045860115</x:v>
      </x:c>
      <x:c r="AJ91" s="52" t="n">
        <x:v>4.104556404824133</x:v>
      </x:c>
      <x:c r="AK91" s="52" t="n">
        <x:v>1.402938767716043</x:v>
      </x:c>
      <x:c r="AL91" s="70" t="n">
        <x:v>0.8331536655379603</x:v>
      </x:c>
      <x:c r="AM91" s="70" t="n">
        <x:v>0.7144310362644648</x:v>
      </x:c>
      <x:c r="AN91" s="70" t="n">
        <x:v>0.9821159255931609</x:v>
      </x:c>
      <x:c r="AO91" s="70" t="n">
        <x:v>0.8960101119446274</x:v>
      </x:c>
      <x:c r="AP91" s="70" t="n">
        <x:v>0.7183762040793694</x:v>
      </x:c>
      <x:c r="AQ91" s="70" t="n">
        <x:v>0.6981380332739178</x:v>
      </x:c>
      <x:c r="AR91" s="70" t="n">
        <x:v>0.9053824929541239</x:v>
      </x:c>
    </x:row>
    <x:row r="92">
      <x:c r="C92" s="43" t="str">
        <x:v>Materials</x:v>
      </x:c>
      <x:c r="D92" s="43" t="str">
        <x:v>ex_seams</x:v>
      </x:c>
      <x:c r="E92" s="19" t="n">
        <x:v>39904</x:v>
      </x:c>
      <x:c r="F92" s="19" t="n">
        <x:v>46204</x:v>
      </x:c>
      <x:c r="G92" s="64" t="n">
        <x:v>191</x:v>
      </x:c>
      <x:c r="H92" s="70" t="n">
        <x:v>0.04058531408975008</x:v>
      </x:c>
      <x:c r="I92" s="70" t="n">
        <x:v>0.014655187443527118</x:v>
      </x:c>
      <x:c r="J92" s="64" t="n">
        <x:v>2</x:v>
      </x:c>
      <x:c r="K92" s="52" t="n">
        <x:v>7.107232270886631</x:v>
      </x:c>
      <x:c r="L92" s="70" t="n">
        <x:v>0.17509278819592924</x:v>
      </x:c>
      <x:c r="M92" s="52" t="n">
        <x:v>2.0620074215655553</x:v>
      </x:c>
      <x:c r="N92" s="70" t="n">
        <x:v>0.03920702940300891</x:v>
      </x:c>
      <x:c r="O92" s="70" t="n">
        <x:v>0.025018635968189984</x:v>
      </x:c>
      <x:c r="P92" s="52" t="n">
        <x:v>0.39796679577089433</x:v>
      </x:c>
      <x:c r="Q92" s="70" t="n">
        <x:v>0.08348825390867981</x:v>
      </x:c>
      <x:c r="R92" s="52" t="n">
        <x:v>0.7965712986428269</x:v>
      </x:c>
      <x:c r="S92" s="70" t="n">
        <x:v>0.4257000518889966</x:v>
      </x:c>
      <x:c r="T92" s="70" t="n">
        <x:v>0.0040008359808042515</x:v>
      </x:c>
      <x:c r="U92" s="52" t="n">
        <x:v>0.16349892074163996</x:v>
      </x:c>
      <x:c r="V92" s="70" t="n">
        <x:v>0.03353524667813547</x:v>
      </x:c>
      <x:c r="W92" s="52" t="n">
        <x:v>0.34457381620820465</x:v>
      </x:c>
      <x:c r="X92" s="70" t="n">
        <x:v>0.7304147931952694</x:v>
      </x:c>
      <x:c r="Y92" s="70" t="n">
        <x:v>0.0006070587377192682</x:v>
      </x:c>
      <x:c r="Z92" s="52" t="n">
        <x:v>0.6060436915454201</x:v>
      </x:c>
      <x:c r="AA92" s="70" t="n">
        <x:v>0.017763073517777707</x:v>
      </x:c>
      <x:c r="AB92" s="52" t="n">
        <x:v>0.19546431139665169</x:v>
      </x:c>
      <x:c r="AC92" s="70" t="n">
        <x:v>0.8450294741612803</x:v>
      </x:c>
      <x:c r="AD92" s="70" t="n">
        <x:v>0.00023504036886845547</x:v>
      </x:c>
      <x:c r="AE92" s="52" t="n">
        <x:v>0.04357868553174282</x:v>
      </x:c>
      <x:c r="AF92" s="70" t="n">
        <x:v>0.0013201606495573392</x:v>
      </x:c>
      <x:c r="AG92" s="52" t="n">
        <x:v>0.013678143355521004</x:v>
      </x:c>
      <x:c r="AH92" s="70" t="n">
        <x:v>0.9890867608931471</x:v>
      </x:c>
      <x:c r="AI92" s="70" t="n">
        <x:v>0.000001170738226696777</x:v>
      </x:c>
      <x:c r="AJ92" s="52" t="n">
        <x:v>6.206079047591063</x:v>
      </x:c>
      <x:c r="AK92" s="52" t="n">
        <x:v>0.9011532232955635</x:v>
      </x:c>
      <x:c r="AL92" s="70" t="n">
        <x:v>0.777144763866054</x:v>
      </x:c>
      <x:c r="AM92" s="70" t="n">
        <x:v>0.1078193308582745</x:v>
      </x:c>
      <x:c r="AN92" s="70" t="n">
        <x:v>0.8090555968373689</x:v>
      </x:c>
      <x:c r="AO92" s="70" t="n">
        <x:v>0.7304147931952693</x:v>
      </x:c>
      <x:c r="AP92" s="70" t="n">
        <x:v>0.9328281158347742</x:v>
      </x:c>
      <x:c r="AQ92" s="70" t="n">
        <x:v>0.989086760893147</x:v>
      </x:c>
      <x:c r="AR92" s="70" t="n">
        <x:v>0.777144763866054</x:v>
      </x:c>
    </x:row>
    <x:row r="93">
      <x:c r="C93" s="43" t="str">
        <x:v>Materials</x:v>
      </x:c>
      <x:c r="D93" s="43" t="str">
        <x:v>audit_clean</x:v>
      </x:c>
      <x:c r="E93" s="19" t="n">
        <x:v>39904</x:v>
      </x:c>
      <x:c r="F93" s="19" t="n">
        <x:v>46204</x:v>
      </x:c>
      <x:c r="G93" s="64" t="n">
        <x:v>149</x:v>
      </x:c>
      <x:c r="H93" s="70" t="n">
        <x:v>0.019610897896041868</x:v>
      </x:c>
      <x:c r="I93" s="70" t="n">
        <x:v>-0.014668441338362204</x:v>
      </x:c>
      <x:c r="J93" s="64" t="n">
        <x:v>2</x:v>
      </x:c>
      <x:c r="K93" s="52" t="n">
        <x:v>6.365813131293479</x:v>
      </x:c>
      <x:c r="L93" s="70" t="n">
        <x:v>0.10544121715821926</x:v>
      </x:c>
      <x:c r="M93" s="52" t="n">
        <x:v>0.8972820831308403</x:v>
      </x:c>
      <x:c r="N93" s="70" t="n">
        <x:v>0.3695684145632905</x:v>
      </x:c>
      <x:c r="O93" s="70" t="n">
        <x:v>0.009276867412068568</x:v>
      </x:c>
      <x:c r="P93" s="52" t="n">
        <x:v>-0.03295159429626926</x:v>
      </x:c>
      <x:c r="Q93" s="70" t="n">
        <x:v>-0.006209357729572913</x:v>
      </x:c>
      <x:c r="R93" s="52" t="n">
        <x:v>-0.052478270324874426</x:v>
      </x:c>
      <x:c r="S93" s="70" t="n">
        <x:v>0.9581476092413563</x:v>
      </x:c>
      <x:c r="T93" s="70" t="n">
        <x:v>0.000022300251512397118</x:v>
      </x:c>
      <x:c r="U93" s="52" t="n">
        <x:v>-0.14984221573537582</x:v>
      </x:c>
      <x:c r="V93" s="70" t="n">
        <x:v>-0.027807493083471257</x:v>
      </x:c>
      <x:c r="W93" s="52" t="n">
        <x:v>-0.2532415244403148</x:v>
      </x:c>
      <x:c r="X93" s="70" t="n">
        <x:v>0.8000815801722931</x:v>
      </x:c>
      <x:c r="Y93" s="70" t="n">
        <x:v>0.000406618708116091</x:v>
      </x:c>
      <x:c r="Z93" s="52" t="n">
        <x:v>-0.21812970620901106</x:v>
      </x:c>
      <x:c r="AA93" s="70" t="n">
        <x:v>-0.005577136267470206</x:v>
      </x:c>
      <x:c r="AB93" s="52" t="n">
        <x:v>-0.055398229873301855</x:v>
      </x:c>
      <x:c r="AC93" s="70" t="n">
        <x:v>0.9558212060302962</x:v>
      </x:c>
      <x:c r="AD93" s="70" t="n">
        <x:v>0.000024806166724511414</x:v>
      </x:c>
      <x:c r="AE93" s="52" t="n">
        <x:v>3.9141532211858543</x:v>
      </x:c>
      <x:c r="AF93" s="70" t="n">
        <x:v>0.09349829742909915</x:v>
      </x:c>
      <x:c r="AG93" s="52" t="n">
        <x:v>0.8557304130517939</x:v>
      </x:c>
      <x:c r="AH93" s="70" t="n">
        <x:v>0.3921469137072846</x:v>
      </x:c>
      <x:c r="AI93" s="70" t="n">
        <x:v>0.0068362748312805754</x:v>
      </x:c>
      <x:c r="AJ93" s="52" t="n">
        <x:v>4.372923561877174</x:v>
      </x:c>
      <x:c r="AK93" s="52" t="n">
        <x:v>1.9928895694163131</x:v>
      </x:c>
      <x:c r="AL93" s="70" t="n">
        <x:v>0.7648892435215306</x:v>
      </x:c>
      <x:c r="AM93" s="70" t="n">
        <x:v>0.6775420933660325</x:v>
      </x:c>
      <x:c r="AN93" s="70" t="n">
        <x:v>0.9581476092413563</x:v>
      </x:c>
      <x:c r="AO93" s="70" t="n">
        <x:v>0.800081580172293</x:v>
      </x:c>
      <x:c r="AP93" s="70" t="n">
        <x:v>0.9558212060302961</x:v>
      </x:c>
      <x:c r="AQ93" s="70" t="n">
        <x:v>0.47929067230890343</x:v>
      </x:c>
      <x:c r="AR93" s="70" t="n">
        <x:v>0.7648892435215306</x:v>
      </x:c>
    </x:row>
    <x:row r="94">
      <x:c r="C94" s="43" t="str">
        <x:v>Materials</x:v>
      </x:c>
      <x:c r="D94" s="43" t="str">
        <x:v>since_2020</x:v>
      </x:c>
      <x:c r="E94" s="19" t="n">
        <x:v>43831</x:v>
      </x:c>
      <x:c r="F94" s="19" t="n">
        <x:v>46204</x:v>
      </x:c>
      <x:c r="G94" s="64" t="n">
        <x:v>79</x:v>
      </x:c>
      <x:c r="H94" s="70" t="n">
        <x:v>0.44265588309933834</x:v>
      </x:c>
      <x:c r="I94" s="70" t="n">
        <x:v>0.40448162851710123</x:v>
      </x:c>
      <x:c r="J94" s="64" t="n">
        <x:v>2</x:v>
      </x:c>
      <x:c r="K94" s="52" t="n">
        <x:v>5.324628624259324</x:v>
      </x:c>
      <x:c r="L94" s="70" t="n">
        <x:v>0.3409334537510346</x:v>
      </x:c>
      <x:c r="M94" s="52" t="n">
        <x:v>2.205747270697492</x:v>
      </x:c>
      <x:c r="N94" s="70" t="n">
        <x:v>0.027401700128230955</x:v>
      </x:c>
      <x:c r="O94" s="70" t="n">
        <x:v>0.08521328721233379</x:v>
      </x:c>
      <x:c r="P94" s="52" t="n">
        <x:v>1.0099669767244324</x:v>
      </x:c>
      <x:c r="Q94" s="70" t="n">
        <x:v>0.5187691247548731</x:v>
      </x:c>
      <x:c r="R94" s="52" t="n">
        <x:v>3.3662386463475933</x:v>
      </x:c>
      <x:c r="S94" s="70" t="n">
        <x:v>0.0007620075276100202</x:v>
      </x:c>
      <x:c r="T94" s="70" t="n">
        <x:v>0.12980790393581787</x:v>
      </x:c>
      <x:c r="U94" s="52" t="n">
        <x:v>0.9819636096339022</x:v>
      </x:c>
      <x:c r="V94" s="70" t="n">
        <x:v>0.41584816687452114</x:v>
      </x:c>
      <x:c r="W94" s="52" t="n">
        <x:v>2.905039176523361</x:v>
      </x:c>
      <x:c r="X94" s="70" t="n">
        <x:v>0.0036720713490272505</x:v>
      </x:c>
      <x:c r="Y94" s="70" t="n">
        <x:v>0.08651200345087606</x:v>
      </x:c>
      <x:c r="Z94" s="52" t="n">
        <x:v>5.284267678006786</x:v>
      </x:c>
      <x:c r="AA94" s="70" t="n">
        <x:v>0.4244799314167444</x:v>
      </x:c>
      <x:c r="AB94" s="52" t="n">
        <x:v>4.379234012378992</x:v>
      </x:c>
      <x:c r="AC94" s="70" t="n">
        <x:v>0.000011909718832914251</x:v>
      </x:c>
      <x:c r="AD94" s="70" t="n">
        <x:v>0.12998948404562516</x:v>
      </x:c>
      <x:c r="AE94" s="52" t="n">
        <x:v>-6.174480880426768</x:v>
      </x:c>
      <x:c r="AF94" s="70" t="n">
        <x:v>-0.4459620926373734</x:v>
      </x:c>
      <x:c r="AG94" s="52" t="n">
        <x:v>-2.214100881557592</x:v>
      </x:c>
      <x:c r="AH94" s="70" t="n">
        <x:v>0.026821840014419562</x:v>
      </x:c>
      <x:c r="AI94" s="70" t="n">
        <x:v>0.12005131163504523</x:v>
      </x:c>
      <x:c r="AJ94" s="52" t="n">
        <x:v>6.517266411873479</x:v>
      </x:c>
      <x:c r="AK94" s="52" t="n">
        <x:v>-1.19263778761416</x:v>
      </x:c>
      <x:c r="AL94" s="70" t="n">
        <x:v>0.5506308363531776</x:v>
      </x:c>
      <x:c r="AM94" s="70" t="n">
        <x:v>0.05023645023509008</x:v>
      </x:c>
      <x:c r="AN94" s="70" t="n">
        <x:v>0.008382082803710222</x:v>
      </x:c>
      <x:c r="AO94" s="70" t="n">
        <x:v>0.020196392419649878</x:v>
      </x:c>
      <x:c r="AP94" s="70" t="n">
        <x:v>0.00013100690716205676</x:v>
      </x:c>
      <x:c r="AQ94" s="70" t="n">
        <x:v>0.0737600600396538</x:v>
      </x:c>
      <x:c r="AR94" s="70" t="n">
        <x:v>0.6056939199884953</x:v>
      </x:c>
    </x:row>
    <x:row r="95">
      <x:c r="C95" s="43" t="str">
        <x:v>Materials</x:v>
      </x:c>
      <x:c r="D95" s="43" t="str">
        <x:v>since_2022</x:v>
      </x:c>
      <x:c r="E95" s="19" t="n">
        <x:v>44562</x:v>
      </x:c>
      <x:c r="F95" s="19" t="n">
        <x:v>46204</x:v>
      </x:c>
      <x:c r="G95" s="64" t="n">
        <x:v>55</x:v>
      </x:c>
      <x:c r="H95" s="70" t="n">
        <x:v>0.3630670623684963</x:v>
      </x:c>
      <x:c r="I95" s="70" t="n">
        <x:v>0.2980739054673224</x:v>
      </x:c>
      <x:c r="J95" s="64" t="n">
        <x:v>2</x:v>
      </x:c>
      <x:c r="K95" s="52" t="n">
        <x:v>-3.741789589629452</x:v>
      </x:c>
      <x:c r="L95" s="70" t="n">
        <x:v>-0.09606217770508566</x:v>
      </x:c>
      <x:c r="M95" s="52" t="n">
        <x:v>-0.3635596449312344</x:v>
      </x:c>
      <x:c r="N95" s="70" t="n">
        <x:v>0.7161868660950106</x:v>
      </x:c>
      <x:c r="O95" s="70" t="n">
        <x:v>0.00894925067954866</x:v>
      </x:c>
      <x:c r="P95" s="52" t="n">
        <x:v>0.5522328739345359</x:v>
      </x:c>
      <x:c r="Q95" s="70" t="n">
        <x:v>0.37536278469646644</x:v>
      </x:c>
      <x:c r="R95" s="52" t="n">
        <x:v>1.6386823997961208</x:v>
      </x:c>
      <x:c r="S95" s="70" t="n">
        <x:v>0.10127942139630974</x:v>
      </x:c>
      <x:c r="T95" s="70" t="n">
        <x:v>0.07503558085717843</x:v>
      </x:c>
      <x:c r="U95" s="52" t="n">
        <x:v>0.1911118531511251</x:v>
      </x:c>
      <x:c r="V95" s="70" t="n">
        <x:v>0.09073072378451218</x:v>
      </x:c>
      <x:c r="W95" s="52" t="n">
        <x:v>0.4434401416828016</x:v>
      </x:c>
      <x:c r="X95" s="70" t="n">
        <x:v>0.6574474063848679</x:v>
      </x:c>
      <x:c r="Y95" s="70" t="n">
        <x:v>0.003955693304781183</x:v>
      </x:c>
      <x:c r="Z95" s="52" t="n">
        <x:v>4.33366062021446</x:v>
      </x:c>
      <x:c r="AA95" s="70" t="n">
        <x:v>0.45331498775200413</x:v>
      </x:c>
      <x:c r="AB95" s="52" t="n">
        <x:v>4.126298806465544</x:v>
      </x:c>
      <x:c r="AC95" s="70" t="n">
        <x:v>0.00003686482227793775</x:v>
      </x:c>
      <x:c r="AD95" s="70" t="n">
        <x:v>0.18437952952704373</x:v>
      </x:c>
      <x:c r="AE95" s="52" t="n">
        <x:v>-0.5825844194762652</x:v>
      </x:c>
      <x:c r="AF95" s="70" t="n">
        <x:v>-0.0473107207276748</x:v>
      </x:c>
      <x:c r="AG95" s="52" t="n">
        <x:v>-0.22131676177975118</x:v>
      </x:c>
      <x:c r="AH95" s="70" t="n">
        <x:v>0.8248457995503515</x:v>
      </x:c>
      <x:c r="AI95" s="70" t="n">
        <x:v>0.001360322062220587</x:v>
      </x:c>
      <x:c r="AJ95" s="52" t="n">
        <x:v>0.2982402843671333</x:v>
      </x:c>
      <x:c r="AK95" s="52" t="n">
        <x:v>-4.040029873996581</x:v>
      </x:c>
      <x:c r="AL95" s="70" t="n">
        <x:v>0.684970499772348</x:v>
      </x:c>
      <x:c r="AM95" s="70" t="n">
        <x:v>0.9072887452862399</x:v>
      </x:c>
      <x:c r="AN95" s="70" t="n">
        <x:v>0.22281472707188144</x:v>
      </x:c>
      <x:c r="AO95" s="70" t="n">
        <x:v>0.7231921470233547</x:v>
      </x:c>
      <x:c r="AP95" s="70" t="n">
        <x:v>0.0004055130450573152</x:v>
      </x:c>
      <x:c r="AQ95" s="70" t="n">
        <x:v>0.8248457995503515</x:v>
      </x:c>
      <x:c r="AR95" s="70" t="n">
        <x:v>0.9772311542052887</x:v>
      </x:c>
    </x:row>
    <x:row r="96">
      <x:c r="C96" s="43" t="str">
        <x:v>Materials</x:v>
      </x:c>
      <x:c r="D96" s="43" t="str">
        <x:v>since_2022_ex_seams</x:v>
      </x:c>
      <x:c r="E96" s="19" t="n">
        <x:v>44562</x:v>
      </x:c>
      <x:c r="F96" s="19" t="n">
        <x:v>46204</x:v>
      </x:c>
      <x:c r="G96" s="64" t="n">
        <x:v>52</x:v>
      </x:c>
      <x:c r="H96" s="70" t="n">
        <x:v>0.39056507115727934</x:v>
      </x:c>
      <x:c r="I96" s="70" t="n">
        <x:v>0.3243221441091575</x:v>
      </x:c>
      <x:c r="J96" s="64" t="n">
        <x:v>2</x:v>
      </x:c>
      <x:c r="K96" s="52" t="n">
        <x:v>-4.00340369371525</x:v>
      </x:c>
      <x:c r="L96" s="70" t="n">
        <x:v>-0.10214112372107143</x:v>
      </x:c>
      <x:c r="M96" s="52" t="n">
        <x:v>-0.38912772218948355</x:v>
      </x:c>
      <x:c r="N96" s="70" t="n">
        <x:v>0.6971816670807591</x:v>
      </x:c>
      <x:c r="O96" s="70" t="n">
        <x:v>0.010161785264451884</x:v>
      </x:c>
      <x:c r="P96" s="52" t="n">
        <x:v>0.6627358968819586</x:v>
      </x:c>
      <x:c r="Q96" s="70" t="n">
        <x:v>0.43918900383339954</x:v>
      </x:c>
      <x:c r="R96" s="52" t="n">
        <x:v>1.8422726463169823</x:v>
      </x:c>
      <x:c r="S96" s="70" t="n">
        <x:v>0.06543527880709998</x:v>
      </x:c>
      <x:c r="T96" s="70" t="n">
        <x:v>0.09794438903685798</x:v>
      </x:c>
      <x:c r="U96" s="52" t="n">
        <x:v>0.3259524269305848</x:v>
      </x:c>
      <x:c r="V96" s="70" t="n">
        <x:v>0.15461613054303122</x:v>
      </x:c>
      <x:c r="W96" s="52" t="n">
        <x:v>0.7298998143123144</x:v>
      </x:c>
      <x:c r="X96" s="70" t="n">
        <x:v>0.46545142582561927</x:v>
      </x:c>
      <x:c r="Y96" s="70" t="n">
        <x:v>0.01084257825987689</x:v>
      </x:c>
      <x:c r="Z96" s="52" t="n">
        <x:v>4.394234868040306</x:v>
      </x:c>
      <x:c r="AA96" s="70" t="n">
        <x:v>0.4573854739918803</x:v>
      </x:c>
      <x:c r="AB96" s="52" t="n">
        <x:v>4.2975394213475235</x:v>
      </x:c>
      <x:c r="AC96" s="70" t="n">
        <x:v>0.000017270455291651388</x:v>
      </x:c>
      <x:c r="AD96" s="70" t="n">
        <x:v>0.18761627501179745</x:v>
      </x:c>
      <x:c r="AE96" s="52" t="n">
        <x:v>-0.8493810019102472</x:v>
      </x:c>
      <x:c r="AF96" s="70" t="n">
        <x:v>-0.06841469189915451</x:v>
      </x:c>
      <x:c r="AG96" s="52" t="n">
        <x:v>-0.32538110501781753</x:v>
      </x:c>
      <x:c r="AH96" s="70" t="n">
        <x:v>0.7448926541687713</x:v>
      </x:c>
      <x:c r="AI96" s="70" t="n">
        <x:v>0.0028547055324004145</x:v>
      </x:c>
      <x:c r="AJ96" s="52" t="n">
        <x:v>-0.25374865841430233</x:v>
      </x:c>
      <x:c r="AK96" s="52" t="n">
        <x:v>-3.7496550353009486</x:v>
      </x:c>
      <x:c r="AL96" s="70" t="n">
        <x:v>0.705025470970077</x:v>
      </x:c>
      <x:c r="AM96" s="70" t="n">
        <x:v>0.9361322152825664</x:v>
      </x:c>
      <x:c r="AN96" s="70" t="n">
        <x:v>0.23992935562603326</x:v>
      </x:c>
      <x:c r="AO96" s="70" t="n">
        <x:v>0.5688850760090902</x:v>
      </x:c>
      <x:c r="AP96" s="70" t="n">
        <x:v>0.00018997500820816526</x:v>
      </x:c>
      <x:c r="AQ96" s="70" t="n">
        <x:v>0.8827674863636481</x:v>
      </x:c>
      <x:c r="AR96" s="70" t="n">
        <x:v>0.9127750527660768</x:v>
      </x:c>
    </x:row>
    <x:row r="97">
      <x:c r="C97" s="43" t="str">
        <x:v>Real Estate</x:v>
      </x:c>
      <x:c r="D97" s="43" t="str">
        <x:v>full</x:v>
      </x:c>
      <x:c r="E97" s="19" t="n">
        <x:v>40878</x:v>
      </x:c>
      <x:c r="F97" s="19" t="n">
        <x:v>46204</x:v>
      </x:c>
      <x:c r="G97" s="64" t="n">
        <x:v>176</x:v>
      </x:c>
      <x:c r="H97" s="70" t="n">
        <x:v>0.2693597592022495</x:v>
      </x:c>
      <x:c r="I97" s="70" t="n">
        <x:v>0.2478703403552569</x:v>
      </x:c>
      <x:c r="J97" s="64" t="n">
        <x:v>4</x:v>
      </x:c>
      <x:c r="K97" s="52" t="n">
        <x:v>4.405236235237736</x:v>
      </x:c>
      <x:c r="L97" s="70" t="n">
        <x:v>0.3742807160262763</x:v>
      </x:c>
      <x:c r="M97" s="52" t="n">
        <x:v>1.8539643556446985</x:v>
      </x:c>
      <x:c r="N97" s="70" t="n">
        <x:v>0.06374425965685848</x:v>
      </x:c>
      <x:c r="O97" s="70" t="n">
        <x:v>0.10373446996630276</x:v>
      </x:c>
      <x:c r="P97" s="52" t="n">
        <x:v>-0.16826769947817705</x:v>
      </x:c>
      <x:c r="Q97" s="70" t="n">
        <x:v>-0.12609992005830967</x:v>
      </x:c>
      <x:c r="R97" s="52" t="n">
        <x:v>-1.0118791451030043</x:v>
      </x:c>
      <x:c r="S97" s="70" t="n">
        <x:v>0.3115958418454863</x:v>
      </x:c>
      <x:c r="T97" s="70" t="n">
        <x:v>0.00896932494570557</x:v>
      </x:c>
      <x:c r="U97" s="52" t="n">
        <x:v>-0.459192058478755</x:v>
      </x:c>
      <x:c r="V97" s="70" t="n">
        <x:v>-0.32931447767518235</x:v>
      </x:c>
      <x:c r="W97" s="52" t="n">
        <x:v>-2.4740678823540874</x:v>
      </x:c>
      <x:c r="X97" s="70" t="n">
        <x:v>0.013358431206281551</x:v>
      </x:c>
      <x:c r="Y97" s="70" t="n">
        <x:v>0.0579583415488244</x:v>
      </x:c>
      <x:c r="Z97" s="52" t="n">
        <x:v>-0.4269955404735345</x:v>
      </x:c>
      <x:c r="AA97" s="70" t="n">
        <x:v>-0.04804141073127495</x:v>
      </x:c>
      <x:c r="AB97" s="52" t="n">
        <x:v>-0.5456793846598719</x:v>
      </x:c>
      <x:c r="AC97" s="70" t="n">
        <x:v>0.5852863451808057</x:v>
      </x:c>
      <x:c r="AD97" s="70" t="n">
        <x:v>0.0016119924687750808</x:v>
      </x:c>
      <x:c r="AE97" s="52" t="n">
        <x:v>1.3658816504159426</x:v>
      </x:c>
      <x:c r="AF97" s="70" t="n">
        <x:v>0.14918237884574792</x:v>
      </x:c>
      <x:c r="AG97" s="52" t="n">
        <x:v>0.95146148927528</x:v>
      </x:c>
      <x:c r="AH97" s="70" t="n">
        <x:v>0.3413701589946989</x:v>
      </x:c>
      <x:c r="AI97" s="70" t="n">
        <x:v>0.01321402154112461</x:v>
      </x:c>
      <x:c r="AJ97" s="52" t="n">
        <x:v>6.492977113348984</x:v>
      </x:c>
      <x:c r="AK97" s="52" t="n">
        <x:v>-2.087740878111247</x:v>
      </x:c>
      <x:c r="AL97" s="70" t="n">
        <x:v>0.4532071147229453</x:v>
      </x:c>
      <x:c r="AM97" s="70" t="n">
        <x:v>0.14023737124508867</x:v>
      </x:c>
      <x:c r="AN97" s="70" t="n">
        <x:v>0.9866714792407835</x:v>
      </x:c>
      <x:c r="AO97" s="70" t="n">
        <x:v>0.11186004919926547</x:v>
      </x:c>
      <x:c r="AP97" s="70" t="n">
        <x:v>0.8491138133525844</x:v>
      </x:c>
      <x:c r="AQ97" s="70" t="n">
        <x:v>0.46938396861771103</x:v>
      </x:c>
      <x:c r="AR97" s="70" t="n">
        <x:v>0.49852782619523983</x:v>
      </x:c>
    </x:row>
    <x:row r="98">
      <x:c r="C98" s="43" t="str">
        <x:v>Real Estate</x:v>
      </x:c>
      <x:c r="D98" s="43" t="str">
        <x:v>ex_2013_14</x:v>
      </x:c>
      <x:c r="E98" s="19" t="n">
        <x:v>40878</x:v>
      </x:c>
      <x:c r="F98" s="19" t="n">
        <x:v>46204</x:v>
      </x:c>
      <x:c r="G98" s="64" t="n">
        <x:v>152</x:v>
      </x:c>
      <x:c r="H98" s="70" t="n">
        <x:v>0.2763767525922227</x:v>
      </x:c>
      <x:c r="I98" s="70" t="n">
        <x:v>0.25159513453031257</x:v>
      </x:c>
      <x:c r="J98" s="64" t="n">
        <x:v>4</x:v>
      </x:c>
      <x:c r="K98" s="52" t="n">
        <x:v>4.353681161161876</x:v>
      </x:c>
      <x:c r="L98" s="70" t="n">
        <x:v>0.383942646429172</x:v>
      </x:c>
      <x:c r="M98" s="52" t="n">
        <x:v>1.7916185393338975</x:v>
      </x:c>
      <x:c r="N98" s="70" t="n">
        <x:v>0.0731940913298259</x:v>
      </x:c>
      <x:c r="O98" s="70" t="n">
        <x:v>0.10685336397975875</x:v>
      </x:c>
      <x:c r="P98" s="52" t="n">
        <x:v>-0.2355731768856223</x:v>
      </x:c>
      <x:c r="Q98" s="70" t="n">
        <x:v>-0.17618176594820564</x:v>
      </x:c>
      <x:c r="R98" s="52" t="n">
        <x:v>-1.2970020765572858</x:v>
      </x:c>
      <x:c r="S98" s="70" t="n">
        <x:v>0.1946304723079395</x:v>
      </x:c>
      <x:c r="T98" s="70" t="n">
        <x:v>0.016687786081958866</x:v>
      </x:c>
      <x:c r="U98" s="52" t="n">
        <x:v>-0.4802213433654834</x:v>
      </x:c>
      <x:c r="V98" s="70" t="n">
        <x:v>-0.3426772643280146</x:v>
      </x:c>
      <x:c r="W98" s="52" t="n">
        <x:v>-2.415611636950065</x:v>
      </x:c>
      <x:c r="X98" s="70" t="n">
        <x:v>0.015708806191057745</x:v>
      </x:c>
      <x:c r="Y98" s="70" t="n">
        <x:v>0.06168893025263511</x:v>
      </x:c>
      <x:c r="Z98" s="52" t="n">
        <x:v>-0.7864226247654174</x:v>
      </x:c>
      <x:c r="AA98" s="70" t="n">
        <x:v>-0.0921026964595946</x:v>
      </x:c>
      <x:c r="AB98" s="52" t="n">
        <x:v>-0.9952393895552417</x:v>
      </x:c>
      <x:c r="AC98" s="70" t="n">
        <x:v>0.31961984844129865</x:v>
      </x:c>
      <x:c r="AD98" s="70" t="n">
        <x:v>0.005639853209954859</x:v>
      </x:c>
      <x:c r="AE98" s="52" t="n">
        <x:v>2.162643226599779</x:v>
      </x:c>
      <x:c r="AF98" s="70" t="n">
        <x:v>0.23768680644303847</x:v>
      </x:c>
      <x:c r="AG98" s="52" t="n">
        <x:v>1.462346534601193</x:v>
      </x:c>
      <x:c r="AH98" s="70" t="n">
        <x:v>0.1436462726368739</x:v>
      </x:c>
      <x:c r="AI98" s="70" t="n">
        <x:v>0.03135903047699573</x:v>
      </x:c>
      <x:c r="AJ98" s="52" t="n">
        <x:v>6.756316075983591</x:v>
      </x:c>
      <x:c r="AK98" s="52" t="n">
        <x:v>-2.4026349148217143</x:v>
      </x:c>
      <x:c r="AL98" s="70" t="n">
        <x:v>0.39873847032229515</x:v>
      </x:c>
      <x:c r="AM98" s="70" t="n">
        <x:v>0.161027000925617</x:v>
      </x:c>
      <x:c r="AN98" s="70" t="n">
        <x:v>0.7136450651291115</x:v>
      </x:c>
      <x:c r="AO98" s="70" t="n">
        <x:v>0.1727968681016352</x:v>
      </x:c>
      <x:c r="AP98" s="70" t="n">
        <x:v>0.5859697221423809</x:v>
      </x:c>
      <x:c r="AQ98" s="70" t="n">
        <x:v>0.3888261902065162</x:v>
      </x:c>
      <x:c r="AR98" s="70" t="n">
        <x:v>0.4386123173545247</x:v>
      </x:c>
    </x:row>
    <x:row r="99">
      <x:c r="C99" s="43" t="str">
        <x:v>Real Estate</x:v>
      </x:c>
      <x:c r="D99" s="43" t="str">
        <x:v>ex_2020_21</x:v>
      </x:c>
      <x:c r="E99" s="19" t="n">
        <x:v>40878</x:v>
      </x:c>
      <x:c r="F99" s="19" t="n">
        <x:v>46204</x:v>
      </x:c>
      <x:c r="G99" s="64" t="n">
        <x:v>152</x:v>
      </x:c>
      <x:c r="H99" s="70" t="n">
        <x:v>0.14507235270657393</x:v>
      </x:c>
      <x:c r="I99" s="70" t="n">
        <x:v>0.11579400862118261</x:v>
      </x:c>
      <x:c r="J99" s="64" t="n">
        <x:v>4</x:v>
      </x:c>
      <x:c r="K99" s="52" t="n">
        <x:v>0.07990945111703254</x:v>
      </x:c>
      <x:c r="L99" s="70" t="n">
        <x:v>0.005402082685996734</x:v>
      </x:c>
      <x:c r="M99" s="52" t="n">
        <x:v>0.03662949937198345</x:v>
      </x:c>
      <x:c r="N99" s="70" t="n">
        <x:v>0.9707804222102974</x:v>
      </x:c>
      <x:c r="O99" s="70" t="n">
        <x:v>0.00002164990478825679</x:v>
      </x:c>
      <x:c r="P99" s="52" t="n">
        <x:v>-0.05595240381113298</x:v>
      </x:c>
      <x:c r="Q99" s="70" t="n">
        <x:v>-0.05025232120662021</x:v>
      </x:c>
      <x:c r="R99" s="52" t="n">
        <x:v>-0.3764526645818889</x:v>
      </x:c>
      <x:c r="S99" s="70" t="n">
        <x:v>0.7065803997950486</x:v>
      </x:c>
      <x:c r="T99" s="70" t="n">
        <x:v>0.0016482595869217187</x:v>
      </x:c>
      <x:c r="U99" s="52" t="n">
        <x:v>-0.20660892968132152</x:v>
      </x:c>
      <x:c r="V99" s="70" t="n">
        <x:v>-0.18238955732702783</x:v>
      </x:c>
      <x:c r="W99" s="52" t="n">
        <x:v>-1.4692254082062832</x:v>
      </x:c>
      <x:c r="X99" s="70" t="n">
        <x:v>0.14177166088337945</x:v>
      </x:c>
      <x:c r="Y99" s="70" t="n">
        <x:v>0.01819451803053651</x:v>
      </x:c>
      <x:c r="Z99" s="52" t="n">
        <x:v>-0.8344174298293363</x:v>
      </x:c>
      <x:c r="AA99" s="70" t="n">
        <x:v>-0.11148658071470395</x:v>
      </x:c>
      <x:c r="AB99" s="52" t="n">
        <x:v>-1.0143908101948682</x:v>
      </x:c>
      <x:c r="AC99" s="70" t="n">
        <x:v>0.3103963076281149</x:v>
      </x:c>
      <x:c r="AD99" s="70" t="n">
        <x:v>0.009641930386231845</x:v>
      </x:c>
      <x:c r="AE99" s="52" t="n">
        <x:v>-1.7401692435447045</x:v>
      </x:c>
      <x:c r="AF99" s="70" t="n">
        <x:v>-0.2129692019418738</x:v>
      </x:c>
      <x:c r="AG99" s="52" t="n">
        <x:v>-2.188932871891886</x:v>
      </x:c>
      <x:c r="AH99" s="70" t="n">
        <x:v>0.028601719429334427</x:v>
      </x:c>
      <x:c r="AI99" s="70" t="n">
        <x:v>0.029553078507874475</x:v>
      </x:c>
      <x:c r="AJ99" s="52" t="n">
        <x:v>4.326328511404108</x:v>
      </x:c>
      <x:c r="AK99" s="52" t="n">
        <x:v>-4.246419060287077</x:v>
      </x:c>
      <x:c r="AL99" s="70" t="n">
        <x:v>0.1564433701877026</x:v>
      </x:c>
      <x:c r="AM99" s="70" t="n">
        <x:v>0.9707804222102975</x:v>
      </x:c>
      <x:c r="AN99" s="70" t="n">
        <x:v>0.8635982664161705</x:v>
      </x:c>
      <x:c r="AO99" s="70" t="n">
        <x:v>0.3898720674292935</x:v>
      </x:c>
      <x:c r="AP99" s="70" t="n">
        <x:v>0.6530692764357904</x:v>
      </x:c>
      <x:c r="AQ99" s="70" t="n">
        <x:v>0.15730945686133935</x:v>
      </x:c>
      <x:c r="AR99" s="70" t="n">
        <x:v>0.24583958172353265</x:v>
      </x:c>
    </x:row>
    <x:row r="100">
      <x:c r="C100" s="43" t="str">
        <x:v>Real Estate</x:v>
      </x:c>
      <x:c r="D100" s="43" t="str">
        <x:v>clean</x:v>
      </x:c>
      <x:c r="E100" s="19" t="n">
        <x:v>40878</x:v>
      </x:c>
      <x:c r="F100" s="19" t="n">
        <x:v>46204</x:v>
      </x:c>
      <x:c r="G100" s="64" t="n">
        <x:v>128</x:v>
      </x:c>
      <x:c r="H100" s="70" t="n">
        <x:v>0.10930262239186261</x:v>
      </x:c>
      <x:c r="I100" s="70" t="n">
        <x:v>0.07279863150628318</x:v>
      </x:c>
      <x:c r="J100" s="64" t="n">
        <x:v>4</x:v>
      </x:c>
      <x:c r="K100" s="52" t="n">
        <x:v>-0.7883634495654727</x:v>
      </x:c>
      <x:c r="L100" s="70" t="n">
        <x:v>-0.057070191069551246</x:v>
      </x:c>
      <x:c r="M100" s="52" t="n">
        <x:v>-0.3785881754476095</x:v>
      </x:c>
      <x:c r="N100" s="70" t="n">
        <x:v>0.704993704297584</x:v>
      </x:c>
      <x:c r="O100" s="70" t="n">
        <x:v>0.0024676474208986665</x:v>
      </x:c>
      <x:c r="P100" s="52" t="n">
        <x:v>-0.08079214746109101</x:v>
      </x:c>
      <x:c r="Q100" s="70" t="n">
        <x:v>-0.07619021280855892</x:v>
      </x:c>
      <x:c r="R100" s="52" t="n">
        <x:v>-0.5112726380788163</x:v>
      </x:c>
      <x:c r="S100" s="70" t="n">
        <x:v>0.6091601617472799</x:v>
      </x:c>
      <x:c r="T100" s="70" t="n">
        <x:v>0.00370970171858509</x:v>
      </x:c>
      <x:c r="U100" s="52" t="n">
        <x:v>-0.21057886493030614</x:v>
      </x:c>
      <x:c r="V100" s="70" t="n">
        <x:v>-0.19390077393870547</x:v>
      </x:c>
      <x:c r="W100" s="52" t="n">
        <x:v>-1.4790303243982765</x:v>
      </x:c>
      <x:c r="X100" s="70" t="n">
        <x:v>0.1391322103208945</x:v>
      </x:c>
      <x:c r="Y100" s="70" t="n">
        <x:v>0.02030470939873108</x:v>
      </x:c>
      <x:c r="Z100" s="52" t="n">
        <x:v>-1.1482845883298336</x:v>
      </x:c>
      <x:c r="AA100" s="70" t="n">
        <x:v>-0.1688070716451701</x:v>
      </x:c>
      <x:c r="AB100" s="52" t="n">
        <x:v>-1.3083833992510754</x:v>
      </x:c>
      <x:c r="AC100" s="70" t="n">
        <x:v>0.19074330040422094</x:v>
      </x:c>
      <x:c r="AD100" s="70" t="n">
        <x:v>0.021578423848540584</x:v>
      </x:c>
      <x:c r="AE100" s="52" t="n">
        <x:v>-0.9720080163538053</x:v>
      </x:c>
      <x:c r="AF100" s="70" t="n">
        <x:v>-0.1216791221611637</x:v>
      </x:c>
      <x:c r="AG100" s="52" t="n">
        <x:v>-1.3952675193317858</x:v>
      </x:c>
      <x:c r="AH100" s="70" t="n">
        <x:v>0.16293518290303388</x:v>
      </x:c>
      <x:c r="AI100" s="70" t="n">
        <x:v>0.009607898629387823</x:v>
      </x:c>
      <x:c r="AJ100" s="52" t="n">
        <x:v>4.86306037311907</x:v>
      </x:c>
      <x:c r="AK100" s="52" t="n">
        <x:v>-5.651423822684542</x:v>
      </x:c>
      <x:c r="AL100" s="70" t="n">
        <x:v>0.04683211689145095</x:v>
      </x:c>
      <x:c r="AM100" s="70" t="n">
        <x:v>0.7754930747273424</x:v>
      </x:c>
      <x:c r="AN100" s="70" t="n">
        <x:v>0.718167628131334</x:v>
      </x:c>
      <x:c r="AO100" s="70" t="n">
        <x:v>0.2737209695649228</x:v>
      </x:c>
      <x:c r="AP100" s="70" t="n">
        <x:v>0.4368900697653436</x:v>
      </x:c>
      <x:c r="AQ100" s="70" t="n">
        <x:v>0.3553610092681516</x:v>
      </x:c>
      <x:c r="AR100" s="70" t="n">
        <x:v>0.1287883214514901</x:v>
      </x:c>
    </x:row>
    <x:row r="101">
      <x:c r="C101" s="43" t="str">
        <x:v>Real Estate</x:v>
      </x:c>
      <x:c r="D101" s="43" t="str">
        <x:v>ex_seams</x:v>
      </x:c>
      <x:c r="E101" s="19" t="n">
        <x:v>40878</x:v>
      </x:c>
      <x:c r="F101" s="19" t="n">
        <x:v>46204</x:v>
      </x:c>
      <x:c r="G101" s="64" t="n">
        <x:v>164</x:v>
      </x:c>
      <x:c r="H101" s="70" t="n">
        <x:v>0.23943268596981937</x:v>
      </x:c>
      <x:c r="I101" s="70" t="n">
        <x:v>0.21536410008278828</x:v>
      </x:c>
      <x:c r="J101" s="64" t="n">
        <x:v>4</x:v>
      </x:c>
      <x:c r="K101" s="52" t="n">
        <x:v>4.14338690608311</x:v>
      </x:c>
      <x:c r="L101" s="70" t="n">
        <x:v>0.3581756786209167</x:v>
      </x:c>
      <x:c r="M101" s="52" t="n">
        <x:v>1.7312098720116333</x:v>
      </x:c>
      <x:c r="N101" s="70" t="n">
        <x:v>0.08341433926243669</x:v>
      </x:c>
      <x:c r="O101" s="70" t="n">
        <x:v>0.09728903183874327</x:v>
      </x:c>
      <x:c r="P101" s="52" t="n">
        <x:v>-0.12469923093374377</x:v>
      </x:c>
      <x:c r="Q101" s="70" t="n">
        <x:v>-0.0922675438409431</x:v>
      </x:c>
      <x:c r="R101" s="52" t="n">
        <x:v>-0.7579417223795164</x:v>
      </x:c>
      <x:c r="S101" s="70" t="n">
        <x:v>0.44848587156878494</x:v>
      </x:c>
      <x:c r="T101" s="70" t="n">
        <x:v>0.005053607468084698</x:v>
      </x:c>
      <x:c r="U101" s="52" t="n">
        <x:v>-0.41788053882643794</x:v>
      </x:c>
      <x:c r="V101" s="70" t="n">
        <x:v>-0.29717578929173283</x:v>
      </x:c>
      <x:c r="W101" s="52" t="n">
        <x:v>-2.267566743554909</x:v>
      </x:c>
      <x:c r="X101" s="70" t="n">
        <x:v>0.02335562658334034</x:v>
      </x:c>
      <x:c r="Y101" s="70" t="n">
        <x:v>0.04905705099088886</x:v>
      </x:c>
      <x:c r="Z101" s="52" t="n">
        <x:v>-0.31741014001225465</x:v>
      </x:c>
      <x:c r="AA101" s="70" t="n">
        <x:v>-0.03528886778608489</x:v>
      </x:c>
      <x:c r="AB101" s="52" t="n">
        <x:v>-0.36352558008941355</x:v>
      </x:c>
      <x:c r="AC101" s="70" t="n">
        <x:v>0.7162123078787745</x:v>
      </x:c>
      <x:c r="AD101" s="70" t="n">
        <x:v>0.0008690131764773623</x:v>
      </x:c>
      <x:c r="AE101" s="52" t="n">
        <x:v>1.387866013984094</x:v>
      </x:c>
      <x:c r="AF101" s="70" t="n">
        <x:v>0.1521195540657621</x:v>
      </x:c>
      <x:c r="AG101" s="52" t="n">
        <x:v>0.9356507836289192</x:v>
      </x:c>
      <x:c r="AH101" s="70" t="n">
        <x:v>0.3494530183981541</x:v>
      </x:c>
      <x:c r="AI101" s="70" t="n">
        <x:v>0.013825036048415895</x:v>
      </x:c>
      <x:c r="AJ101" s="52" t="n">
        <x:v>6.803507385488639</x:v>
      </x:c>
      <x:c r="AK101" s="52" t="n">
        <x:v>-2.6601204794055264</x:v>
      </x:c>
      <x:c r="AL101" s="70" t="n">
        <x:v>0.34678475281598375</x:v>
      </x:c>
      <x:c r="AM101" s="70" t="n">
        <x:v>0.17116441598185253</x:v>
      </x:c>
      <x:c r="AN101" s="70" t="n">
        <x:v>0.8090555968373689</x:v>
      </x:c>
      <x:c r="AO101" s="70" t="n">
        <x:v>0.12845594620837186</x:v>
      </x:c>
      <x:c r="AP101" s="70" t="n">
        <x:v>0.9328281158347742</x:v>
      </x:c>
      <x:c r="AQ101" s="70" t="n">
        <x:v>0.5491404574828136</x:v>
      </x:c>
      <x:c r="AR101" s="70" t="n">
        <x:v>0.38146322809758215</x:v>
      </x:c>
    </x:row>
    <x:row r="102">
      <x:c r="C102" s="43" t="str">
        <x:v>Real Estate</x:v>
      </x:c>
      <x:c r="D102" s="43" t="str">
        <x:v>audit_clean</x:v>
      </x:c>
      <x:c r="E102" s="19" t="n">
        <x:v>40878</x:v>
      </x:c>
      <x:c r="F102" s="19" t="n">
        <x:v>46204</x:v>
      </x:c>
      <x:c r="G102" s="64" t="n">
        <x:v>122</x:v>
      </x:c>
      <x:c r="H102" s="70" t="n">
        <x:v>0.08754503184010332</x:v>
      </x:c>
      <x:c r="I102" s="70" t="n">
        <x:v>0.048215076315969774</x:v>
      </x:c>
      <x:c r="J102" s="64" t="n">
        <x:v>4</x:v>
      </x:c>
      <x:c r="K102" s="52" t="n">
        <x:v>-0.8111969643381373</x:v>
      </x:c>
      <x:c r="L102" s="70" t="n">
        <x:v>-0.06010981772237711</x:v>
      </x:c>
      <x:c r="M102" s="52" t="n">
        <x:v>-0.4078046752845844</x:v>
      </x:c>
      <x:c r="N102" s="70" t="n">
        <x:v>0.6834170809164417</x:v>
      </x:c>
      <x:c r="O102" s="70" t="n">
        <x:v>0.002728091683416367</x:v>
      </x:c>
      <x:c r="P102" s="52" t="n">
        <x:v>-0.03346770128346116</x:v>
      </x:c>
      <x:c r="Q102" s="70" t="n">
        <x:v>-0.03209251661432697</x:v>
      </x:c>
      <x:c r="R102" s="52" t="n">
        <x:v>-0.22565152652556572</x:v>
      </x:c>
      <x:c r="S102" s="70" t="n">
        <x:v>0.8214724618748461</x:v>
      </x:c>
      <x:c r="T102" s="70" t="n">
        <x:v>0.000638769749288115</x:v>
      </x:c>
      <x:c r="U102" s="52" t="n">
        <x:v>-0.1685058557803356</x:v>
      </x:c>
      <x:c r="V102" s="70" t="n">
        <x:v>-0.15715505233398336</x:v>
      </x:c>
      <x:c r="W102" s="52" t="n">
        <x:v>-1.2607197252772002</x:v>
      </x:c>
      <x:c r="X102" s="70" t="n">
        <x:v>0.207409844584185</x:v>
      </x:c>
      <x:c r="Y102" s="70" t="n">
        <x:v>0.013162063149825709</x:v>
      </x:c>
      <x:c r="Z102" s="52" t="n">
        <x:v>-1.0702268923088851</x:v>
      </x:c>
      <x:c r="AA102" s="70" t="n">
        <x:v>-0.15401519111603962</x:v>
      </x:c>
      <x:c r="AB102" s="52" t="n">
        <x:v>-1.2494954570687058</x:v>
      </x:c>
      <x:c r="AC102" s="70" t="n">
        <x:v>0.21148391406774225</x:v>
      </x:c>
      <x:c r="AD102" s="70" t="n">
        <x:v>0.018692867331325136</x:v>
      </x:c>
      <x:c r="AE102" s="52" t="n">
        <x:v>-1.0283920502168278</x:v>
      </x:c>
      <x:c r="AF102" s="70" t="n">
        <x:v>-0.1271675305597419</x:v>
      </x:c>
      <x:c r="AG102" s="52" t="n">
        <x:v>-1.457406451396698</x:v>
      </x:c>
      <x:c r="AH102" s="70" t="n">
        <x:v>0.145004217306544</x:v>
      </x:c>
      <x:c r="AI102" s="70" t="n">
        <x:v>0.01093956110481642</x:v>
      </x:c>
      <x:c r="AJ102" s="52" t="n">
        <x:v>5.244664568598911</x:v>
      </x:c>
      <x:c r="AK102" s="52" t="n">
        <x:v>-6.055861532937044</x:v>
      </x:c>
      <x:c r="AL102" s="70" t="n">
        <x:v>0.04360839350625678</x:v>
      </x:c>
      <x:c r="AM102" s="70" t="n">
        <x:v>0.6992771055179756</x:v>
      </x:c>
      <x:c r="AN102" s="70" t="n">
        <x:v>0.9581476092413563</x:v>
      </x:c>
      <x:c r="AO102" s="70" t="n">
        <x:v>0.3802513817376725</x:v>
      </x:c>
      <x:c r="AP102" s="70" t="n">
        <x:v>0.48175798569588046</x:v>
      </x:c>
      <x:c r="AQ102" s="70" t="n">
        <x:v>0.398761597592996</x:v>
      </x:c>
      <x:c r="AR102" s="70" t="n">
        <x:v>0.11992308214220615</x:v>
      </x:c>
    </x:row>
    <x:row r="103">
      <x:c r="C103" s="43" t="str">
        <x:v>Real Estate</x:v>
      </x:c>
      <x:c r="D103" s="43" t="str">
        <x:v>since_2020</x:v>
      </x:c>
      <x:c r="E103" s="19" t="n">
        <x:v>43831</x:v>
      </x:c>
      <x:c r="F103" s="19" t="n">
        <x:v>46204</x:v>
      </x:c>
      <x:c r="G103" s="64" t="n">
        <x:v>79</x:v>
      </x:c>
      <x:c r="H103" s="70" t="n">
        <x:v>0.5154302170795315</x:v>
      </x:c>
      <x:c r="I103" s="70" t="n">
        <x:v>0.4822405059205953</x:v>
      </x:c>
      <x:c r="J103" s="64" t="n">
        <x:v>4</x:v>
      </x:c>
      <x:c r="K103" s="52" t="n">
        <x:v>6.041064732797061</x:v>
      </x:c>
      <x:c r="L103" s="70" t="n">
        <x:v>0.5006139233069784</x:v>
      </x:c>
      <x:c r="M103" s="52" t="n">
        <x:v>3.4718271611756566</x:v>
      </x:c>
      <x:c r="N103" s="70" t="n">
        <x:v>0.0005169290335769183</x:v>
      </x:c>
      <x:c r="O103" s="70" t="n">
        <x:v>0.18372740098124907</x:v>
      </x:c>
      <x:c r="P103" s="52" t="n">
        <x:v>-0.5856645492767223</x:v>
      </x:c>
      <x:c r="Q103" s="70" t="n">
        <x:v>-0.3893364124977561</x:v>
      </x:c>
      <x:c r="R103" s="52" t="n">
        <x:v>-2.9194283752441645</x:v>
      </x:c>
      <x:c r="S103" s="70" t="n">
        <x:v>0.003506739688834193</x:v>
      </x:c>
      <x:c r="T103" s="70" t="n">
        <x:v>0.07311440359007226</x:v>
      </x:c>
      <x:c r="U103" s="52" t="n">
        <x:v>-0.9861581756280433</x:v>
      </x:c>
      <x:c r="V103" s="70" t="n">
        <x:v>-0.5404992760259499</x:v>
      </x:c>
      <x:c r="W103" s="52" t="n">
        <x:v>-4.152877537953413</x:v>
      </x:c>
      <x:c r="X103" s="70" t="n">
        <x:v>0.000032832046024555694</x:v>
      </x:c>
      <x:c r="Y103" s="70" t="n">
        <x:v>0.1461493943403761</x:v>
      </x:c>
      <x:c r="Z103" s="52" t="n">
        <x:v>-1.6706349181772153</x:v>
      </x:c>
      <x:c r="AA103" s="70" t="n">
        <x:v>-0.17368529364248741</x:v>
      </x:c>
      <x:c r="AB103" s="52" t="n">
        <x:v>-1.61651310387778</x:v>
      </x:c>
      <x:c r="AC103" s="70" t="n">
        <x:v>0.10598342257001026</x:v>
      </x:c>
      <x:c r="AD103" s="70" t="n">
        <x:v>0.021763061507557913</x:v>
      </x:c>
      <x:c r="AE103" s="52" t="n">
        <x:v>4.412821927238943</x:v>
      </x:c>
      <x:c r="AF103" s="70" t="n">
        <x:v>0.4124991294570869</x:v>
      </x:c>
      <x:c r="AG103" s="52" t="n">
        <x:v>2.5127053429484505</x:v>
      </x:c>
      <x:c r="AH103" s="70" t="n">
        <x:v>0.011980935706878082</x:v>
      </x:c>
      <x:c r="AI103" s="70" t="n">
        <x:v>0.10271103195904319</x:v>
      </x:c>
      <x:c r="AJ103" s="52" t="n">
        <x:v>6.517266411873479</x:v>
      </x:c>
      <x:c r="AK103" s="52" t="n">
        <x:v>-0.4762016790764142</x:v>
      </x:c>
      <x:c r="AL103" s="70" t="n">
        <x:v>0.8500078462872727</x:v>
      </x:c>
      <x:c r="AM103" s="70" t="n">
        <x:v>0.0014215548423365254</x:v>
      </x:c>
      <x:c r="AN103" s="70" t="n">
        <x:v>0.01928706828858806</x:v>
      </x:c>
      <x:c r="AO103" s="70" t="n">
        <x:v>0.00036115250627011264</x:v>
      </x:c>
      <x:c r="AP103" s="70" t="n">
        <x:v>0.24347335092644412</x:v>
      </x:c>
      <x:c r="AQ103" s="70" t="n">
        <x:v>0.0439300975918863</x:v>
      </x:c>
      <x:c r="AR103" s="70" t="n">
        <x:v>0.8500078462872728</x:v>
      </x:c>
    </x:row>
    <x:row r="104">
      <x:c r="C104" s="43" t="str">
        <x:v>Real Estate</x:v>
      </x:c>
      <x:c r="D104" s="43" t="str">
        <x:v>since_2022</x:v>
      </x:c>
      <x:c r="E104" s="19" t="n">
        <x:v>44562</x:v>
      </x:c>
      <x:c r="F104" s="19" t="n">
        <x:v>46204</x:v>
      </x:c>
      <x:c r="G104" s="64" t="n">
        <x:v>55</x:v>
      </x:c>
      <x:c r="H104" s="70" t="n">
        <x:v>0.26062329042549504</x:v>
      </x:c>
      <x:c r="I104" s="70" t="n">
        <x:v>0.18517668740768833</x:v>
      </x:c>
      <x:c r="J104" s="64" t="n">
        <x:v>4</x:v>
      </x:c>
      <x:c r="K104" s="52" t="n">
        <x:v>10.946895704480216</x:v>
      </x:c>
      <x:c r="L104" s="70" t="n">
        <x:v>0.3638969400919176</x:v>
      </x:c>
      <x:c r="M104" s="52" t="n">
        <x:v>1.3710030682272178</x:v>
      </x:c>
      <x:c r="N104" s="70" t="n">
        <x:v>0.17037399957415844</x:v>
      </x:c>
      <x:c r="O104" s="70" t="n">
        <x:v>0.12842176230004043</x:v>
      </x:c>
      <x:c r="P104" s="52" t="n">
        <x:v>-0.339830991945691</x:v>
      </x:c>
      <x:c r="Q104" s="70" t="n">
        <x:v>-0.29909303328796794</x:v>
      </x:c>
      <x:c r="R104" s="52" t="n">
        <x:v>-1.7399845867507506</x:v>
      </x:c>
      <x:c r="S104" s="70" t="n">
        <x:v>0.0818617244393458</x:v>
      </x:c>
      <x:c r="T104" s="70" t="n">
        <x:v>0.04764062150901094</x:v>
      </x:c>
      <x:c r="U104" s="52" t="n">
        <x:v>-0.5625370489337027</x:v>
      </x:c>
      <x:c r="V104" s="70" t="n">
        <x:v>-0.34580577370097954</x:v>
      </x:c>
      <x:c r="W104" s="52" t="n">
        <x:v>-1.8571553763975082</x:v>
      </x:c>
      <x:c r="X104" s="70" t="n">
        <x:v>0.06328905158941467</x:v>
      </x:c>
      <x:c r="Y104" s="70" t="n">
        <x:v>0.057461682978252826</x:v>
      </x:c>
      <x:c r="Z104" s="52" t="n">
        <x:v>-1.4101782011671888</x:v>
      </x:c>
      <x:c r="AA104" s="70" t="n">
        <x:v>-0.19100007398273516</x:v>
      </x:c>
      <x:c r="AB104" s="52" t="n">
        <x:v>-1.0122933843246946</x:v>
      </x:c>
      <x:c r="AC104" s="70" t="n">
        <x:v>0.31139779710226456</x:v>
      </x:c>
      <x:c r="AD104" s="70" t="n">
        <x:v>0.03273253320001168</x:v>
      </x:c>
      <x:c r="AE104" s="52" t="n">
        <x:v>0.3877593515126396</x:v>
      </x:c>
      <x:c r="AF104" s="70" t="n">
        <x:v>0.04077343839014655</x:v>
      </x:c>
      <x:c r="AG104" s="52" t="n">
        <x:v>0.22377739754969572</x:v>
      </x:c>
      <x:c r="AH104" s="70" t="n">
        <x:v>0.8229305181334021</x:v>
      </x:c>
      <x:c r="AI104" s="70" t="n">
        <x:v>0.0010103626581954295</x:v>
      </x:c>
      <x:c r="AJ104" s="52" t="n">
        <x:v>0.2982402843671333</x:v>
      </x:c>
      <x:c r="AK104" s="52" t="n">
        <x:v>10.648655420113082</x:v>
      </x:c>
      <x:c r="AL104" s="70" t="n">
        <x:v>0.2503902585858644</x:v>
      </x:c>
      <x:c r="AM104" s="70" t="n">
        <x:v>0.6390609626132595</x:v>
      </x:c>
      <x:c r="AN104" s="70" t="n">
        <x:v>0.22281472707188144</x:v>
      </x:c>
      <x:c r="AO104" s="70" t="n">
        <x:v>0.1160299279139269</x:v>
      </x:c>
      <x:c r="AP104" s="70" t="n">
        <x:v>0.42447679407863154</x:v>
      </x:c>
      <x:c r="AQ104" s="70" t="n">
        <x:v>0.8248457995503515</x:v>
      </x:c>
      <x:c r="AR104" s="70" t="n">
        <x:v>0.9772311542052887</x:v>
      </x:c>
    </x:row>
    <x:row r="105">
      <x:c r="C105" s="43" t="str">
        <x:v>Real Estate</x:v>
      </x:c>
      <x:c r="D105" s="43" t="str">
        <x:v>since_2022_ex_seams</x:v>
      </x:c>
      <x:c r="E105" s="19" t="n">
        <x:v>44562</x:v>
      </x:c>
      <x:c r="F105" s="19" t="n">
        <x:v>46204</x:v>
      </x:c>
      <x:c r="G105" s="64" t="n">
        <x:v>52</x:v>
      </x:c>
      <x:c r="H105" s="70" t="n">
        <x:v>0.23708999179256807</x:v>
      </x:c>
      <x:c r="I105" s="70" t="n">
        <x:v>0.15416499090045588</x:v>
      </x:c>
      <x:c r="J105" s="64" t="n">
        <x:v>4</x:v>
      </x:c>
      <x:c r="K105" s="52" t="n">
        <x:v>10.816255801090753</x:v>
      </x:c>
      <x:c r="L105" s="70" t="n">
        <x:v>0.36446549773968523</x:v>
      </x:c>
      <x:c r="M105" s="52" t="n">
        <x:v>1.3204064847074997</x:v>
      </x:c>
      <x:c r="N105" s="70" t="n">
        <x:v>0.18669933968453156</x:v>
      </x:c>
      <x:c r="O105" s="70" t="n">
        <x:v>0.1293843040736682</x:v>
      </x:c>
      <x:c r="P105" s="52" t="n">
        <x:v>-0.2881383952926839</x:v>
      </x:c>
      <x:c r="Q105" s="70" t="n">
        <x:v>-0.25218562231075986</x:v>
      </x:c>
      <x:c r="R105" s="52" t="n">
        <x:v>-1.3323177592607574</x:v>
      </x:c>
      <x:c r="S105" s="70" t="n">
        <x:v>0.18275579379983586</x:v>
      </x:c>
      <x:c r="T105" s="70" t="n">
        <x:v>0.032293661684977826</x:v>
      </x:c>
      <x:c r="U105" s="52" t="n">
        <x:v>-0.5017068487704708</x:v>
      </x:c>
      <x:c r="V105" s="70" t="n">
        <x:v>-0.3143104621933078</x:v>
      </x:c>
      <x:c r="W105" s="52" t="n">
        <x:v>-1.5972171199218892</x:v>
      </x:c>
      <x:c r="X105" s="70" t="n">
        <x:v>0.1102173178322805</x:v>
      </x:c>
      <x:c r="Y105" s="70" t="n">
        <x:v>0.044806460637138</x:v>
      </x:c>
      <x:c r="Z105" s="52" t="n">
        <x:v>-1.3914120628367541</x:v>
      </x:c>
      <x:c r="AA105" s="70" t="n">
        <x:v>-0.19127715009244145</x:v>
      </x:c>
      <x:c r="AB105" s="52" t="n">
        <x:v>-1.0892800652276164</x:v>
      </x:c>
      <x:c r="AC105" s="70" t="n">
        <x:v>0.2760304008718415</x:v>
      </x:c>
      <x:c r="AD105" s="70" t="n">
        <x:v>0.03281194374878693</x:v>
      </x:c>
      <x:c r="AE105" s="52" t="n">
        <x:v>0.2825172380911771</x:v>
      </x:c>
      <x:c r="AF105" s="70" t="n">
        <x:v>0.030053842825674845</x:v>
      </x:c>
      <x:c r="AG105" s="52" t="n">
        <x:v>0.1662388053092278</x:v>
      </x:c>
      <x:c r="AH105" s="70" t="n">
        <x:v>0.8679690220744047</x:v>
      </x:c>
      <x:c r="AI105" s="70" t="n">
        <x:v>0.0005508870805399635</x:v>
      </x:c>
      <x:c r="AJ105" s="52" t="n">
        <x:v>-0.25374865841430233</x:v>
      </x:c>
      <x:c r="AK105" s="52" t="n">
        <x:v>11.070004459505046</x:v>
      </x:c>
      <x:c r="AL105" s="70" t="n">
        <x:v>0.23641021511734994</x:v>
      </x:c>
      <x:c r="AM105" s="70" t="n">
        <x:v>0.6845642455099491</x:v>
      </x:c>
      <x:c r="AN105" s="70" t="n">
        <x:v>0.3435773446111296</x:v>
      </x:c>
      <x:c r="AO105" s="70" t="n">
        <x:v>0.20206508269251425</x:v>
      </x:c>
      <x:c r="AP105" s="70" t="n">
        <x:v>0.33737048995447294</x:v>
      </x:c>
      <x:c r="AQ105" s="70" t="n">
        <x:v>0.8827674863636481</x:v>
      </x:c>
      <x:c r="AR105" s="70" t="n">
        <x:v>0.9127750527660768</x:v>
      </x:c>
    </x:row>
    <x:row r="106">
      <x:c r="C106" s="43" t="str">
        <x:v>Utilities</x:v>
      </x:c>
      <x:c r="D106" s="43" t="str">
        <x:v>full</x:v>
      </x:c>
      <x:c r="E106" s="19" t="n">
        <x:v>39904</x:v>
      </x:c>
      <x:c r="F106" s="19" t="n">
        <x:v>46204</x:v>
      </x:c>
      <x:c r="G106" s="64" t="n">
        <x:v>208</x:v>
      </x:c>
      <x:c r="H106" s="70" t="n">
        <x:v>0.05402762458060262</x:v>
      </x:c>
      <x:c r="I106" s="70" t="n">
        <x:v>0.030612466773191738</x:v>
      </x:c>
      <x:c r="J106" s="64" t="n">
        <x:v>0</x:v>
      </x:c>
      <x:c r="K106" s="52" t="n">
        <x:v>1.5220745452500921</x:v>
      </x:c>
      <x:c r="L106" s="70" t="n">
        <x:v>0.12508298693909897</x:v>
      </x:c>
      <x:c r="M106" s="52" t="n">
        <x:v>1.5706119298720957</x:v>
      </x:c>
      <x:c r="N106" s="70" t="n">
        <x:v>0.11627281719079452</x:v>
      </x:c>
      <x:c r="O106" s="70" t="n">
        <x:v>0.012597506414773862</x:v>
      </x:c>
      <x:c r="P106" s="52" t="n">
        <x:v>0.32364077411817255</x:v>
      </x:c>
      <x:c r="Q106" s="70" t="n">
        <x:v>0.23604478178793148</x:v>
      </x:c>
      <x:c r="R106" s="52" t="n">
        <x:v>2.4229151139773215</x:v>
      </x:c>
      <x:c r="S106" s="70" t="n">
        <x:v>0.015396523883129953</x:v>
      </x:c>
      <x:c r="T106" s="70" t="n">
        <x:v>0.030631223832583432</x:v>
      </x:c>
      <x:c r="U106" s="52" t="n">
        <x:v>0.22735477417568717</x:v>
      </x:c>
      <x:c r="V106" s="70" t="n">
        <x:v>0.16026142525705792</x:v>
      </x:c>
      <x:c r="W106" s="52" t="n">
        <x:v>2.163440881027168</x:v>
      </x:c>
      <x:c r="X106" s="70" t="n">
        <x:v>0.03050728614525422</x:v>
      </x:c>
      <x:c r="Y106" s="70" t="n">
        <x:v>0.013291108687828013</x:v>
      </x:c>
      <x:c r="Z106" s="52" t="n">
        <x:v>0.04497755577521002</x:v>
      </x:c>
      <x:c r="AA106" s="70" t="n">
        <x:v>0.004581072378282466</x:v>
      </x:c>
      <x:c r="AB106" s="52" t="n">
        <x:v>0.05067447717036665</x:v>
      </x:c>
      <x:c r="AC106" s="70" t="n">
        <x:v>0.9595849147794415</x:v>
      </x:c>
      <x:c r="AD106" s="70" t="n">
        <x:v>0.000015369542177956497</x:v>
      </x:c>
      <x:c r="AE106" s="52" t="n">
        <x:v>-1.0549332061163024</x:v>
      </x:c>
      <x:c r="AF106" s="70" t="n">
        <x:v>-0.10816515978117178</x:v>
      </x:c>
      <x:c r="AG106" s="52" t="n">
        <x:v>-1.27224922966286</x:v>
      </x:c>
      <x:c r="AH106" s="70" t="n">
        <x:v>0.2032845811715127</x:v>
      </x:c>
      <x:c r="AI106" s="70" t="n">
        <x:v>0.00767155290864896</x:v>
      </x:c>
      <x:c r="AJ106" s="52" t="n">
        <x:v>5.968952397629377</x:v>
      </x:c>
      <x:c r="AK106" s="52" t="n">
        <x:v>-4.446877852379283</x:v>
      </x:c>
      <x:c r="AL106" s="70" t="n">
        <x:v>0.0018658089760683616</x:v>
      </x:c>
      <x:c r="AM106" s="70" t="n">
        <x:v>0.21316683151645663</x:v>
      </x:c>
      <x:c r="AN106" s="70" t="n">
        <x:v>0.1693617627144295</x:v>
      </x:c>
      <x:c r="AO106" s="70" t="n">
        <x:v>0.11186004919926547</x:v>
      </x:c>
      <x:c r="AP106" s="70" t="n">
        <x:v>0.9595849147794415</x:v>
      </x:c>
      <x:c r="AQ106" s="70" t="n">
        <x:v>0.43989051747423874</x:v>
      </x:c>
      <x:c r="AR106" s="70" t="n">
        <x:v>0.004104779747350395</x:v>
      </x:c>
    </x:row>
    <x:row r="107">
      <x:c r="C107" s="43" t="str">
        <x:v>Utilities</x:v>
      </x:c>
      <x:c r="D107" s="43" t="str">
        <x:v>ex_2013_14</x:v>
      </x:c>
      <x:c r="E107" s="19" t="n">
        <x:v>39904</x:v>
      </x:c>
      <x:c r="F107" s="19" t="n">
        <x:v>46204</x:v>
      </x:c>
      <x:c r="G107" s="64" t="n">
        <x:v>184</x:v>
      </x:c>
      <x:c r="H107" s="70" t="n">
        <x:v>0.04312098206495507</x:v>
      </x:c>
      <x:c r="I107" s="70" t="n">
        <x:v>0.016242357965655985</x:v>
      </x:c>
      <x:c r="J107" s="64" t="n">
        <x:v>0</x:v>
      </x:c>
      <x:c r="K107" s="52" t="n">
        <x:v>1.4329922282042227</x:v>
      </x:c>
      <x:c r="L107" s="70" t="n">
        <x:v>0.12531637185956535</x:v>
      </x:c>
      <x:c r="M107" s="52" t="n">
        <x:v>1.4371582827212923</x:v>
      </x:c>
      <x:c r="N107" s="70" t="n">
        <x:v>0.1506730236534013</x:v>
      </x:c>
      <x:c r="O107" s="70" t="n">
        <x:v>0.012590411518391909</x:v>
      </x:c>
      <x:c r="P107" s="52" t="n">
        <x:v>0.27593229140742637</x:v>
      </x:c>
      <x:c r="Q107" s="70" t="n">
        <x:v>0.20721521762777168</x:v>
      </x:c>
      <x:c r="R107" s="52" t="n">
        <x:v>1.9377938436629774</x:v>
      </x:c>
      <x:c r="S107" s="70" t="n">
        <x:v>0.052648379165598946</x:v>
      </x:c>
      <x:c r="T107" s="70" t="n">
        <x:v>0.02278230021125416</x:v>
      </x:c>
      <x:c r="U107" s="52" t="n">
        <x:v>0.19830072916031383</x:v>
      </x:c>
      <x:c r="V107" s="70" t="n">
        <x:v>0.1438488173451682</x:v>
      </x:c>
      <x:c r="W107" s="52" t="n">
        <x:v>1.8230635568629443</x:v>
      </x:c>
      <x:c r="X107" s="70" t="n">
        <x:v>0.06829376534033949</x:v>
      </x:c>
      <x:c r="Y107" s="70" t="n">
        <x:v>0.010608542328502724</x:v>
      </x:c>
      <x:c r="Z107" s="52" t="n">
        <x:v>0.11439483824029867</x:v>
      </x:c>
      <x:c r="AA107" s="70" t="n">
        <x:v>0.012439776973381528</x:v>
      </x:c>
      <x:c r="AB107" s="52" t="n">
        <x:v>0.13075187394771226</x:v>
      </x:c>
      <x:c r="AC107" s="70" t="n">
        <x:v>0.8959715950738476</x:v>
      </x:c>
      <x:c r="AD107" s="70" t="n">
        <x:v>0.00010878308135109371</x:v>
      </x:c>
      <x:c r="AE107" s="52" t="n">
        <x:v>-0.95271040219425</x:v>
      </x:c>
      <x:c r="AF107" s="70" t="n">
        <x:v>-0.10119814612244198</x:v>
      </x:c>
      <x:c r="AG107" s="52" t="n">
        <x:v>-1.136552274223047</x:v>
      </x:c>
      <x:c r="AH107" s="70" t="n">
        <x:v>0.2557255010199255</x:v>
      </x:c>
      <x:c r="AI107" s="70" t="n">
        <x:v>0.006358402789407025</x:v>
      </x:c>
      <x:c r="AJ107" s="52" t="n">
        <x:v>6.179005187471408</x:v>
      </x:c>
      <x:c r="AK107" s="52" t="n">
        <x:v>-4.746012959267179</x:v>
      </x:c>
      <x:c r="AL107" s="70" t="n">
        <x:v>0.0013042748307912078</x:v>
      </x:c>
      <x:c r="AM107" s="70" t="n">
        <x:v>0.2762338766979024</x:v>
      </x:c>
      <x:c r="AN107" s="70" t="n">
        <x:v>0.5791321708215884</x:v>
      </x:c>
      <x:c r="AO107" s="70" t="n">
        <x:v>0.25041047291457813</x:v>
      </x:c>
      <x:c r="AP107" s="70" t="n">
        <x:v>0.9386131198694879</x:v>
      </x:c>
      <x:c r="AQ107" s="70" t="n">
        <x:v>0.4688300852031968</x:v>
      </x:c>
      <x:c r="AR107" s="70" t="n">
        <x:v>0.002869404627740657</x:v>
      </x:c>
    </x:row>
    <x:row r="108">
      <x:c r="C108" s="43" t="str">
        <x:v>Utilities</x:v>
      </x:c>
      <x:c r="D108" s="43" t="str">
        <x:v>ex_2020_21</x:v>
      </x:c>
      <x:c r="E108" s="19" t="n">
        <x:v>39904</x:v>
      </x:c>
      <x:c r="F108" s="19" t="n">
        <x:v>46204</x:v>
      </x:c>
      <x:c r="G108" s="64" t="n">
        <x:v>184</x:v>
      </x:c>
      <x:c r="H108" s="70" t="n">
        <x:v>0.0514783927202106</x:v>
      </x:c>
      <x:c r="I108" s="70" t="n">
        <x:v>0.024834527347182833</x:v>
      </x:c>
      <x:c r="J108" s="64" t="n">
        <x:v>0</x:v>
      </x:c>
      <x:c r="K108" s="52" t="n">
        <x:v>1.027129081595052</x:v>
      </x:c>
      <x:c r="L108" s="70" t="n">
        <x:v>0.05766672872511654</x:v>
      </x:c>
      <x:c r="M108" s="52" t="n">
        <x:v>0.6063007213042378</x:v>
      </x:c>
      <x:c r="N108" s="70" t="n">
        <x:v>0.5443150797310159</x:v>
      </x:c>
      <x:c r="O108" s="70" t="n">
        <x:v>0.002749012870636447</x:v>
      </x:c>
      <x:c r="P108" s="52" t="n">
        <x:v>0.3578818003813308</x:v>
      </x:c>
      <x:c r="Q108" s="70" t="n">
        <x:v>0.23918914185735043</x:v>
      </x:c>
      <x:c r="R108" s="52" t="n">
        <x:v>2.5705928482242686</x:v>
      </x:c>
      <x:c r="S108" s="70" t="n">
        <x:v>0.010152460802927532</x:v>
      </x:c>
      <x:c r="T108" s="70" t="n">
        <x:v>0.03443328699552828</x:v>
      </x:c>
      <x:c r="U108" s="52" t="n">
        <x:v>0.27848199393890916</x:v>
      </x:c>
      <x:c r="V108" s="70" t="n">
        <x:v>0.18250888612259053</x:v>
      </x:c>
      <x:c r="W108" s="52" t="n">
        <x:v>2.502163726476655</x:v>
      </x:c>
      <x:c r="X108" s="70" t="n">
        <x:v>0.012343682601492212</x:v>
      </x:c>
      <x:c r="Y108" s="70" t="n">
        <x:v>0.017559227571882774</x:v>
      </x:c>
      <x:c r="Z108" s="52" t="n">
        <x:v>-0.579386353403597</x:v>
      </x:c>
      <x:c r="AA108" s="70" t="n">
        <x:v>-0.052453740252290756</x:v>
      </x:c>
      <x:c r="AB108" s="52" t="n">
        <x:v>-0.6230952955582892</x:v>
      </x:c>
      <x:c r="AC108" s="70" t="n">
        <x:v>0.5332219010292758</x:v>
      </x:c>
      <x:c r="AD108" s="70" t="n">
        <x:v>0.002126891461670666</x:v>
      </x:c>
      <x:c r="AE108" s="52" t="n">
        <x:v>-1.413024713140369</x:v>
      </x:c>
      <x:c r="AF108" s="70" t="n">
        <x:v>-0.12353076073573385</x:v>
      </x:c>
      <x:c r="AG108" s="52" t="n">
        <x:v>-1.4939492990907577</x:v>
      </x:c>
      <x:c r="AH108" s="70" t="n">
        <x:v>0.13518887159309712</x:v>
      </x:c>
      <x:c r="AI108" s="70" t="n">
        <x:v>0.011497592302406767</x:v>
      </x:c>
      <x:c r="AJ108" s="52" t="n">
        <x:v>3.8491398290680143</x:v>
      </x:c>
      <x:c r="AK108" s="52" t="n">
        <x:v>-2.8220107474729668</x:v>
      </x:c>
      <x:c r="AL108" s="70" t="n">
        <x:v>0.12684863931724832</x:v>
      </x:c>
      <x:c r="AM108" s="70" t="n">
        <x:v>0.7484332346301469</x:v>
      </x:c>
      <x:c r="AN108" s="70" t="n">
        <x:v>0.11167706883220285</x:v>
      </x:c>
      <x:c r="AO108" s="70" t="n">
        <x:v>0.045260169538804775</x:v>
      </x:c>
      <x:c r="AP108" s="70" t="n">
        <x:v>0.6530692764357904</x:v>
      </x:c>
      <x:c r="AQ108" s="70" t="n">
        <x:v>0.37176939688101707</x:v>
      </x:c>
      <x:c r="AR108" s="70" t="n">
        <x:v>0.23255583874828858</x:v>
      </x:c>
    </x:row>
    <x:row r="109">
      <x:c r="C109" s="43" t="str">
        <x:v>Utilities</x:v>
      </x:c>
      <x:c r="D109" s="43" t="str">
        <x:v>clean</x:v>
      </x:c>
      <x:c r="E109" s="19" t="n">
        <x:v>39904</x:v>
      </x:c>
      <x:c r="F109" s="19" t="n">
        <x:v>46204</x:v>
      </x:c>
      <x:c r="G109" s="64" t="n">
        <x:v>160</x:v>
      </x:c>
      <x:c r="H109" s="70" t="n">
        <x:v>0.038237143913540494</x:v>
      </x:c>
      <x:c r="I109" s="70" t="n">
        <x:v>0.0070110771574866115</x:v>
      </x:c>
      <x:c r="J109" s="64" t="n">
        <x:v>0</x:v>
      </x:c>
      <x:c r="K109" s="52" t="n">
        <x:v>0.7573082627585546</x:v>
      </x:c>
      <x:c r="L109" s="70" t="n">
        <x:v>0.0445601114869171</x:v>
      </x:c>
      <x:c r="M109" s="52" t="n">
        <x:v>0.4457387232709187</x:v>
      </x:c>
      <x:c r="N109" s="70" t="n">
        <x:v>0.6557859894377629</x:v>
      </x:c>
      <x:c r="O109" s="70" t="n">
        <x:v>0.0016544122469404066</x:v>
      </x:c>
      <x:c r="P109" s="52" t="n">
        <x:v>0.31167595650305824</x:v>
      </x:c>
      <x:c r="Q109" s="70" t="n">
        <x:v>0.21344559946392952</x:v>
      </x:c>
      <x:c r="R109" s="52" t="n">
        <x:v>2.1008165246765778</x:v>
      </x:c>
      <x:c r="S109" s="70" t="n">
        <x:v>0.035657075296728236</x:v>
      </x:c>
      <x:c r="T109" s="70" t="n">
        <x:v>0.02676422721102012</x:v>
      </x:c>
      <x:c r="U109" s="52" t="n">
        <x:v>0.2514340841450835</x:v>
      </x:c>
      <x:c r="V109" s="70" t="n">
        <x:v>0.1681507805417507</x:v>
      </x:c>
      <x:c r="W109" s="52" t="n">
        <x:v>2.194023406515567</x:v>
      </x:c>
      <x:c r="X109" s="70" t="n">
        <x:v>0.028233726886490507</x:v>
      </x:c>
      <x:c r="Y109" s="70" t="n">
        <x:v>0.01488381837566044</x:v>
      </x:c>
      <x:c r="Z109" s="52" t="n">
        <x:v>-0.5244445020146143</x:v>
      </x:c>
      <x:c r="AA109" s="70" t="n">
        <x:v>-0.050575393915945246</x:v>
      </x:c>
      <x:c r="AB109" s="52" t="n">
        <x:v>-0.5865680391335277</x:v>
      </x:c>
      <x:c r="AC109" s="70" t="n">
        <x:v>0.5574938531950386</x:v>
      </x:c>
      <x:c r="AD109" s="70" t="n">
        <x:v>0.0019160184828375115</x:v>
      </x:c>
      <x:c r="AE109" s="52" t="n">
        <x:v>-1.3087268061340092</x:v>
      </x:c>
      <x:c r="AF109" s="70" t="n">
        <x:v>-0.11505801573486452</x:v>
      </x:c>
      <x:c r="AG109" s="52" t="n">
        <x:v>-1.2993224944615658</x:v>
      </x:c>
      <x:c r="AH109" s="70" t="n">
        <x:v>0.19383327778262815</x:v>
      </x:c>
      <x:c r="AI109" s="70" t="n">
        <x:v>0.009732742947253237</x:v>
      </x:c>
      <x:c r="AJ109" s="52" t="n">
        <x:v>4.166800677918155</x:v>
      </x:c>
      <x:c r="AK109" s="52" t="n">
        <x:v>-3.409492415159602</x:v>
      </x:c>
      <x:c r="AL109" s="70" t="n">
        <x:v>0.07728784372645503</x:v>
      </x:c>
      <x:c r="AM109" s="70" t="n">
        <x:v>0.7754930747273424</x:v>
      </x:c>
      <x:c r="AN109" s="70" t="n">
        <x:v>0.28983186653431736</x:v>
      </x:c>
      <x:c r="AO109" s="70" t="n">
        <x:v>0.10352366525046519</x:v>
      </x:c>
      <x:c r="AP109" s="70" t="n">
        <x:v>0.7183762040793694</x:v>
      </x:c>
      <x:c r="AQ109" s="70" t="n">
        <x:v>0.3553610092681516</x:v>
      </x:c>
      <x:c r="AR109" s="70" t="n">
        <x:v>0.14169438016516755</x:v>
      </x:c>
    </x:row>
    <x:row r="110">
      <x:c r="C110" s="43" t="str">
        <x:v>Utilities</x:v>
      </x:c>
      <x:c r="D110" s="43" t="str">
        <x:v>ex_seams</x:v>
      </x:c>
      <x:c r="E110" s="19" t="n">
        <x:v>39904</x:v>
      </x:c>
      <x:c r="F110" s="19" t="n">
        <x:v>46204</x:v>
      </x:c>
      <x:c r="G110" s="64" t="n">
        <x:v>193</x:v>
      </x:c>
      <x:c r="H110" s="70" t="n">
        <x:v>0.060682150503628574</x:v>
      </x:c>
      <x:c r="I110" s="70" t="n">
        <x:v>0.03556669998233519</x:v>
      </x:c>
      <x:c r="J110" s="64" t="n">
        <x:v>0</x:v>
      </x:c>
      <x:c r="K110" s="52" t="n">
        <x:v>1.6394573235027021</x:v>
      </x:c>
      <x:c r="L110" s="70" t="n">
        <x:v>0.13367374876526555</x:v>
      </x:c>
      <x:c r="M110" s="52" t="n">
        <x:v>1.6779215819310076</x:v>
      </x:c>
      <x:c r="N110" s="70" t="n">
        <x:v>0.09336240871737411</x:v>
      </x:c>
      <x:c r="O110" s="70" t="n">
        <x:v>0.014572301204124782</x:v>
      </x:c>
      <x:c r="P110" s="52" t="n">
        <x:v>0.35028265880310683</x:v>
      </x:c>
      <x:c r="Q110" s="70" t="n">
        <x:v>0.24469029006791793</x:v>
      </x:c>
      <x:c r="R110" s="52" t="n">
        <x:v>2.4879995249661597</x:v>
      </x:c>
      <x:c r="S110" s="70" t="n">
        <x:v>0.012846390462590174</x:v>
      </x:c>
      <x:c r="T110" s="70" t="n">
        <x:v>0.03439864061180997</x:v>
      </x:c>
      <x:c r="U110" s="52" t="n">
        <x:v>0.22561297544454129</x:v>
      </x:c>
      <x:c r="V110" s="70" t="n">
        <x:v>0.1547222671572953</x:v>
      </x:c>
      <x:c r="W110" s="52" t="n">
        <x:v>2.034865862057255</x:v>
      </x:c>
      <x:c r="X110" s="70" t="n">
        <x:v>0.04186437178764146</x:v>
      </x:c>
      <x:c r="Y110" s="70" t="n">
        <x:v>0.01287671271449431</x:v>
      </x:c>
      <x:c r="Z110" s="52" t="n">
        <x:v>0.1901727590323831</x:v>
      </x:c>
      <x:c r="AA110" s="70" t="n">
        <x:v>0.01857526364394481</x:v>
      </x:c>
      <x:c r="AB110" s="52" t="n">
        <x:v>0.19163827395376365</x:v>
      </x:c>
      <x:c r="AC110" s="70" t="n">
        <x:v>0.8480255598497948</x:v>
      </x:c>
      <x:c r="AD110" s="70" t="n">
        <x:v>0.0002563753587164763</x:v>
      </x:c>
      <x:c r="AE110" s="52" t="n">
        <x:v>-0.9159994222000738</x:v>
      </x:c>
      <x:c r="AF110" s="70" t="n">
        <x:v>-0.09185909507365225</x:v>
      </x:c>
      <x:c r="AG110" s="52" t="n">
        <x:v>-1.0363968514880606</x:v>
      </x:c>
      <x:c r="AH110" s="70" t="n">
        <x:v>0.300017038635946</x:v>
      </x:c>
      <x:c r="AI110" s="70" t="n">
        <x:v>0.005663108918751658</x:v>
      </x:c>
      <x:c r="AJ110" s="52" t="n">
        <x:v>6.257300955716724</x:v>
      </x:c>
      <x:c r="AK110" s="52" t="n">
        <x:v>-4.617843632214021</x:v>
      </x:c>
      <x:c r="AL110" s="70" t="n">
        <x:v>0.001586420918793685</x:v>
      </x:c>
      <x:c r="AM110" s="70" t="n">
        <x:v>0.17116441598185253</x:v>
      </x:c>
      <x:c r="AN110" s="70" t="n">
        <x:v>0.1413102950884919</x:v>
      </x:c>
      <x:c r="AO110" s="70" t="n">
        <x:v>0.15350269655468537</x:v>
      </x:c>
      <x:c r="AP110" s="70" t="n">
        <x:v>0.9328281158347742</x:v>
      </x:c>
      <x:c r="AQ110" s="70" t="n">
        <x:v>0.5491404574828136</x:v>
      </x:c>
      <x:c r="AR110" s="70" t="n">
        <x:v>0.0034901260213461073</x:v>
      </x:c>
    </x:row>
    <x:row r="111">
      <x:c r="C111" s="43" t="str">
        <x:v>Utilities</x:v>
      </x:c>
      <x:c r="D111" s="43" t="str">
        <x:v>audit_clean</x:v>
      </x:c>
      <x:c r="E111" s="19" t="n">
        <x:v>39904</x:v>
      </x:c>
      <x:c r="F111" s="19" t="n">
        <x:v>46204</x:v>
      </x:c>
      <x:c r="G111" s="64" t="n">
        <x:v>151</x:v>
      </x:c>
      <x:c r="H111" s="70" t="n">
        <x:v>0.037193199984310144</x:v>
      </x:c>
      <x:c r="I111" s="70" t="n">
        <x:v>0.00399296550101047</x:v>
      </x:c>
      <x:c r="J111" s="64" t="n">
        <x:v>0</x:v>
      </x:c>
      <x:c r="K111" s="52" t="n">
        <x:v>0.6771100784669598</x:v>
      </x:c>
      <x:c r="L111" s="70" t="n">
        <x:v>0.03995656024862887</x:v>
      </x:c>
      <x:c r="M111" s="52" t="n">
        <x:v>0.38629648217624346</x:v>
      </x:c>
      <x:c r="N111" s="70" t="n">
        <x:v>0.6992771055179756</x:v>
      </x:c>
      <x:c r="O111" s="70" t="n">
        <x:v>0.0013219817819531965</x:v>
      </x:c>
      <x:c r="P111" s="52" t="n">
        <x:v>0.33999371809995754</x:v>
      </x:c>
      <x:c r="Q111" s="70" t="n">
        <x:v>0.22956643089945117</x:v>
      </x:c>
      <x:c r="R111" s="52" t="n">
        <x:v>2.1808156931258265</x:v>
      </x:c>
      <x:c r="S111" s="70" t="n">
        <x:v>0.02919705136340567</x:v>
      </x:c>
      <x:c r="T111" s="70" t="n">
        <x:v>0.03048897559446595</x:v>
      </x:c>
      <x:c r="U111" s="52" t="n">
        <x:v>0.2665601600955154</x:v>
      </x:c>
      <x:c r="V111" s="70" t="n">
        <x:v>0.17844363504746819</x:v>
      </x:c>
      <x:c r="W111" s="52" t="n">
        <x:v>2.2483617184985945</x:v>
      </x:c>
      <x:c r="X111" s="70" t="n">
        <x:v>0.02455313414144422</x:v>
      </x:c>
      <x:c r="Y111" s="70" t="n">
        <x:v>0.01653392837818557</x:v>
      </x:c>
      <x:c r="Z111" s="52" t="n">
        <x:v>-0.3646680517330113</x:v>
      </x:c>
      <x:c r="AA111" s="70" t="n">
        <x:v>-0.03356208575755279</x:v>
      </x:c>
      <x:c r="AB111" s="52" t="n">
        <x:v>-0.3755987805842945</x:v>
      </x:c>
      <x:c r="AC111" s="70" t="n">
        <x:v>0.7072151974532506</x:v>
      </x:c>
      <x:c r="AD111" s="70" t="n">
        <x:v>0.0008847482850651289</x:v>
      </x:c>
      <x:c r="AE111" s="52" t="n">
        <x:v>-1.1531221598431265</x:v>
      </x:c>
      <x:c r="AF111" s="70" t="n">
        <x:v>-0.0982028696479153</x:v>
      </x:c>
      <x:c r="AG111" s="52" t="n">
        <x:v>-1.0834247500140577</x:v>
      </x:c>
      <x:c r="AH111" s="70" t="n">
        <x:v>0.2786199349325673</x:v>
      </x:c>
      <x:c r="AI111" s="70" t="n">
        <x:v>0.007465694625808594</x:v>
      </x:c>
      <x:c r="AJ111" s="52" t="n">
        <x:v>4.442488062949742</x:v>
      </x:c>
      <x:c r="AK111" s="52" t="n">
        <x:v>-3.76537798448278</x:v>
      </x:c>
      <x:c r="AL111" s="70" t="n">
        <x:v>0.05621489972516969</x:v>
      </x:c>
      <x:c r="AM111" s="70" t="n">
        <x:v>0.6992771055179756</x:v>
      </x:c>
      <x:c r="AN111" s="70" t="n">
        <x:v>0.32116756499746235</x:v>
      </x:c>
      <x:c r="AO111" s="70" t="n">
        <x:v>0.09002815851862882</x:v>
      </x:c>
      <x:c r="AP111" s="70" t="n">
        <x:v>0.8643741302206396</x:v>
      </x:c>
      <x:c r="AQ111" s="70" t="n">
        <x:v>0.45971750530088473</x:v>
      </x:c>
      <x:c r="AR111" s="70" t="n">
        <x:v>0.12001793540177048</x:v>
      </x:c>
    </x:row>
    <x:row r="112">
      <x:c r="C112" s="43" t="str">
        <x:v>Utilities</x:v>
      </x:c>
      <x:c r="D112" s="43" t="str">
        <x:v>since_2020</x:v>
      </x:c>
      <x:c r="E112" s="19" t="n">
        <x:v>43831</x:v>
      </x:c>
      <x:c r="F112" s="19" t="n">
        <x:v>46204</x:v>
      </x:c>
      <x:c r="G112" s="64" t="n">
        <x:v>79</x:v>
      </x:c>
      <x:c r="H112" s="70" t="n">
        <x:v>0.104281461528688</x:v>
      </x:c>
      <x:c r="I112" s="70" t="n">
        <x:v>0.04293087670188578</x:v>
      </x:c>
      <x:c r="J112" s="64" t="n">
        <x:v>0</x:v>
      </x:c>
      <x:c r="K112" s="52" t="n">
        <x:v>2.462679870631809</x:v>
      </x:c>
      <x:c r="L112" s="70" t="n">
        <x:v>0.2898925027396682</x:v>
      </x:c>
      <x:c r="M112" s="52" t="n">
        <x:v>1.6671572582471124</x:v>
      </x:c>
      <x:c r="N112" s="70" t="n">
        <x:v>0.09548313914880424</x:v>
      </x:c>
      <x:c r="O112" s="70" t="n">
        <x:v>0.06160870078540348</x:v>
      </x:c>
      <x:c r="P112" s="52" t="n">
        <x:v>0.15303257605449838</x:v>
      </x:c>
      <x:c r="Q112" s="70" t="n">
        <x:v>0.14451055314474712</x:v>
      </x:c>
      <x:c r="R112" s="52" t="n">
        <x:v>0.6513683324182101</x:v>
      </x:c>
      <x:c r="S112" s="70" t="n">
        <x:v>0.5148087477338181</x:v>
      </x:c>
      <x:c r="T112" s="70" t="n">
        <x:v>0.010072842026147888</x:v>
      </x:c>
      <x:c r="U112" s="52" t="n">
        <x:v>0.3227784005372092</x:v>
      </x:c>
      <x:c r="V112" s="70" t="n">
        <x:v>0.2513000589815829</x:v>
      </x:c>
      <x:c r="W112" s="52" t="n">
        <x:v>1.7136222087757393</x:v>
      </x:c>
      <x:c r="X112" s="70" t="n">
        <x:v>0.08659813206271827</x:v>
      </x:c>
      <x:c r="Y112" s="70" t="n">
        <x:v>0.03159308004555006</x:v>
      </x:c>
      <x:c r="Z112" s="52" t="n">
        <x:v>0.7515012521757899</x:v>
      </x:c>
      <x:c r="AA112" s="70" t="n">
        <x:v>0.11098155093542203</x:v>
      </x:c>
      <x:c r="AB112" s="52" t="n">
        <x:v>0.7129902977601786</x:v>
      </x:c>
      <x:c r="AC112" s="70" t="n">
        <x:v>0.4758517608869173</x:v>
      </x:c>
      <x:c r="AD112" s="70" t="n">
        <x:v>0.008885778319218773</x:v>
      </x:c>
      <x:c r="AE112" s="52" t="n">
        <x:v>-0.3970455434487712</x:v>
      </x:c>
      <x:c r="AF112" s="70" t="n">
        <x:v>-0.05272135309043853</x:v>
      </x:c>
      <x:c r="AG112" s="52" t="n">
        <x:v>-0.32110954268265074</x:v>
      </x:c>
      <x:c r="AH112" s="70" t="n">
        <x:v>0.7481273789326437</x:v>
      </x:c>
      <x:c r="AI112" s="70" t="n">
        <x:v>0.0016778151660460372</x:v>
      </x:c>
      <x:c r="AJ112" s="52" t="n">
        <x:v>6.517266411873479</x:v>
      </x:c>
      <x:c r="AK112" s="52" t="n">
        <x:v>-4.054586541241667</x:v>
      </x:c>
      <x:c r="AL112" s="70" t="n">
        <x:v>0.07923713860986892</x:v>
      </x:c>
      <x:c r="AM112" s="70" t="n">
        <x:v>0.15004493294812096</x:v>
      </x:c>
      <x:c r="AN112" s="70" t="n">
        <x:v>0.7078620281339999</x:v>
      </x:c>
      <x:c r="AO112" s="70" t="n">
        <x:v>0.28577013579764227</x:v>
      </x:c>
      <x:c r="AP112" s="70" t="n">
        <x:v>0.5842754380261526</x:v>
      </x:c>
      <x:c r="AQ112" s="70" t="n">
        <x:v>0.9143779075843423</x:v>
      </x:c>
      <x:c r="AR112" s="70" t="n">
        <x:v>0.12451550352979401</x:v>
      </x:c>
    </x:row>
    <x:row r="113">
      <x:c r="C113" s="43" t="str">
        <x:v>Utilities</x:v>
      </x:c>
      <x:c r="D113" s="43" t="str">
        <x:v>since_2022</x:v>
      </x:c>
      <x:c r="E113" s="19" t="n">
        <x:v>44562</x:v>
      </x:c>
      <x:c r="F113" s="19" t="n">
        <x:v>46204</x:v>
      </x:c>
      <x:c r="G113" s="64" t="n">
        <x:v>55</x:v>
      </x:c>
      <x:c r="H113" s="70" t="n">
        <x:v>0.1352249251355626</x:v>
      </x:c>
      <x:c r="I113" s="70" t="n">
        <x:v>0.046982570557558834</x:v>
      </x:c>
      <x:c r="J113" s="64" t="n">
        <x:v>0</x:v>
      </x:c>
      <x:c r="K113" s="52" t="n">
        <x:v>0.5333360947200793</x:v>
      </x:c>
      <x:c r="L113" s="70" t="n">
        <x:v>0.016648582871078087</x:v>
      </x:c>
      <x:c r="M113" s="52" t="n">
        <x:v>0.11645904152971501</x:v>
      </x:c>
      <x:c r="N113" s="70" t="n">
        <x:v>0.9072887452862399</x:v>
      </x:c>
      <x:c r="O113" s="70" t="n">
        <x:v>0.0002688043931938777</x:v>
      </x:c>
      <x:c r="P113" s="52" t="n">
        <x:v>0.3697973197282792</x:v>
      </x:c>
      <x:c r="Q113" s="70" t="n">
        <x:v>0.3056299747069226</x:v>
      </x:c>
      <x:c r="R113" s="52" t="n">
        <x:v>1.3952114623831795</x:v>
      </x:c>
      <x:c r="S113" s="70" t="n">
        <x:v>0.1629520814922898</x:v>
      </x:c>
      <x:c r="T113" s="70" t="n">
        <x:v>0.04974583386220055</x:v>
      </x:c>
      <x:c r="U113" s="52" t="n">
        <x:v>0.8589434340964299</x:v>
      </x:c>
      <x:c r="V113" s="70" t="n">
        <x:v>0.49583199353701357</x:v>
      </x:c>
      <x:c r="W113" s="52" t="n">
        <x:v>2.226341898534421</x:v>
      </x:c>
      <x:c r="X113" s="70" t="n">
        <x:v>0.02599128903728065</x:v>
      </x:c>
      <x:c r="Y113" s="70" t="n">
        <x:v>0.1181361882229901</x:v>
      </x:c>
      <x:c r="Z113" s="52" t="n">
        <x:v>0.8836492369845852</x:v>
      </x:c>
      <x:c r="AA113" s="70" t="n">
        <x:v>0.11239016728624561</x:v>
      </x:c>
      <x:c r="AB113" s="52" t="n">
        <x:v>0.716492696749113</x:v>
      </x:c>
      <x:c r="AC113" s="70" t="n">
        <x:v>0.47368717546409433</x:v>
      </x:c>
      <x:c r="AD113" s="70" t="n">
        <x:v>0.011333633938336751</x:v>
      </x:c>
      <x:c r="AE113" s="52" t="n">
        <x:v>-2.105597475450875</x:v>
      </x:c>
      <x:c r="AF113" s="70" t="n">
        <x:v>-0.20791186775557258</x:v>
      </x:c>
      <x:c r="AG113" s="52" t="n">
        <x:v>-1.1606479254511584</x:v>
      </x:c>
      <x:c r="AH113" s="70" t="n">
        <x:v>0.2457851070635968</x:v>
      </x:c>
      <x:c r="AI113" s="70" t="n">
        <x:v>0.026271276372307195</x:v>
      </x:c>
      <x:c r="AJ113" s="52" t="n">
        <x:v>0.2982402843671333</x:v>
      </x:c>
      <x:c r="AK113" s="52" t="n">
        <x:v>0.2350958103529564</x:v>
      </x:c>
      <x:c r="AL113" s="70" t="n">
        <x:v>0.9636121262639505</x:v>
      </x:c>
      <x:c r="AM113" s="70" t="n">
        <x:v>0.9072887452862399</x:v>
      </x:c>
      <x:c r="AN113" s="70" t="n">
        <x:v>0.2987454827358646</x:v>
      </x:c>
      <x:c r="AO113" s="70" t="n">
        <x:v>0.08521433634008113</x:v>
      </x:c>
      <x:c r="AP113" s="70" t="n">
        <x:v>0.5210558930105037</x:v>
      </x:c>
      <x:c r="AQ113" s="70" t="n">
        <x:v>0.6018230413792466</x:v>
      </x:c>
      <x:c r="AR113" s="70" t="n">
        <x:v>0.9772311542052887</x:v>
      </x:c>
    </x:row>
    <x:row r="114">
      <x:c r="C114" s="44" t="str">
        <x:v>Utilities</x:v>
      </x:c>
      <x:c r="D114" s="44" t="str">
        <x:v>since_2022_ex_seams</x:v>
      </x:c>
      <x:c r="E114" s="20" t="n">
        <x:v>44562</x:v>
      </x:c>
      <x:c r="F114" s="20" t="n">
        <x:v>46204</x:v>
      </x:c>
      <x:c r="G114" s="65" t="n">
        <x:v>52</x:v>
      </x:c>
      <x:c r="H114" s="71" t="n">
        <x:v>0.13269692900429741</x:v>
      </x:c>
      <x:c r="I114" s="71" t="n">
        <x:v>0.038424856069981916</x:v>
      </x:c>
      <x:c r="J114" s="65" t="n">
        <x:v>0</x:v>
      </x:c>
      <x:c r="K114" s="53" t="n">
        <x:v>0.3143430028926143</x:v>
      </x:c>
      <x:c r="L114" s="71" t="n">
        <x:v>0.009800119818604751</x:v>
      </x:c>
      <x:c r="M114" s="53" t="n">
        <x:v>0.06606321499591897</x:v>
      </x:c>
      <x:c r="N114" s="71" t="n">
        <x:v>0.9473274970269285</x:v>
      </x:c>
      <x:c r="O114" s="71" t="n">
        <x:v>0.0000935473568851597</x:v>
      </x:c>
      <x:c r="P114" s="53" t="n">
        <x:v>0.3833218208249195</x:v>
      </x:c>
      <x:c r="Q114" s="71" t="n">
        <x:v>0.31040652910668654</x:v>
      </x:c>
      <x:c r="R114" s="53" t="n">
        <x:v>1.3182922798131589</x:v>
      </x:c>
      <x:c r="S114" s="71" t="n">
        <x:v>0.1874058243333434</x:v>
      </x:c>
      <x:c r="T114" s="71" t="n">
        <x:v>0.04892584565302949</x:v>
      </x:c>
      <x:c r="U114" s="53" t="n">
        <x:v>0.8804575006703925</x:v>
      </x:c>
      <x:c r="V114" s="71" t="n">
        <x:v>0.5103467116889681</x:v>
      </x:c>
      <x:c r="W114" s="53" t="n">
        <x:v>2.231522850475742</x:v>
      </x:c>
      <x:c r="X114" s="71" t="n">
        <x:v>0.025646515629851985</x:v>
      </x:c>
      <x:c r="Y114" s="71" t="n">
        <x:v>0.11812820547843428</x:v>
      </x:c>
      <x:c r="Z114" s="53" t="n">
        <x:v>0.877332810599138</x:v>
      </x:c>
      <x:c r="AA114" s="71" t="n">
        <x:v>0.11158859650859959</x:v>
      </x:c>
      <x:c r="AB114" s="53" t="n">
        <x:v>0.66729389459082</x:v>
      </x:c>
      <x:c r="AC114" s="71" t="n">
        <x:v>0.5045844254734091</x:v>
      </x:c>
      <x:c r="AD114" s="71" t="n">
        <x:v>0.01116722853875085</x:v>
      </x:c>
      <x:c r="AE114" s="53" t="n">
        <x:v>-2.162852197403762</x:v>
      </x:c>
      <x:c r="AF114" s="71" t="n">
        <x:v>-0.21287762515352907</x:v>
      </x:c>
      <x:c r="AG114" s="53" t="n">
        <x:v>-1.1366453929217302</x:v>
      </x:c>
      <x:c r="AH114" s="71" t="n">
        <x:v>0.2556865558326731</x:v>
      </x:c>
      <x:c r="AI114" s="71" t="n">
        <x:v>0.027639017378658925</x:v>
      </x:c>
      <x:c r="AJ114" s="53" t="n">
        <x:v>-0.25374865841430233</x:v>
      </x:c>
      <x:c r="AK114" s="53" t="n">
        <x:v>0.5680916613069104</x:v>
      </x:c>
      <x:c r="AL114" s="71" t="n">
        <x:v>0.9127750527660767</x:v>
      </x:c>
      <x:c r="AM114" s="71" t="n">
        <x:v>0.9473274970269284</x:v>
      </x:c>
      <x:c r="AN114" s="71" t="n">
        <x:v>0.3435773446111296</x:v>
      </x:c>
      <x:c r="AO114" s="71" t="n">
        <x:v>0.09403722397612395</x:v>
      </x:c>
      <x:c r="AP114" s="71" t="n">
        <x:v>0.55504286802075</x:v>
      </x:c>
      <x:c r="AQ114" s="71" t="n">
        <x:v>0.6247003961706689</x:v>
      </x:c>
      <x:c r="AR114" s="71" t="n">
        <x:v>0.9127750527660768</x:v>
      </x:c>
    </x:row>
  </x:sheetData>
  <x:pageMargins left="0.7" right="0.7" top="0.75" bottom="0.75" header="0.3" footer="0.3"/>
  <x:tableParts count="1">
    <x:tablePart xmlns:r="http://schemas.openxmlformats.org/officeDocument/2006/relationships" r:id="R8a4b6f2a1b5d437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20" topLeftCell="A21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2">
      <x:c r="C2" s="2" t="str">
        <x:v>Robustez do sinal do swap pré-DI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</x:row>
    <x:row r="3">
      <x:c r="C3" s="4" t="str">
        <x:v>O coeficiente positivo aparece em algumas especificações, mas perde magnitude e significância em outras janelas.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</x:row>
    <x:row r="6">
      <x:c r="C6" s="74" t="str">
        <x:v>Comparação do modelo completo - BEst EPS do IBOV</x:v>
      </x:c>
      <x:c r="D6" s="75"/>
      <x:c r="E6" s="75"/>
      <x:c r="F6" s="75"/>
      <x:c r="G6" s="75"/>
      <x:c r="H6" s="76"/>
      <x:c r="I6" s="99"/>
      <x:c r="J6" s="99"/>
      <x:c r="K6" s="99"/>
      <x:c r="L6" s="99"/>
      <x:c r="M6" s="99"/>
    </x:row>
    <x:row r="7">
      <x:c r="C7" s="11" t="str">
        <x:v>Amostra</x:v>
      </x:c>
      <x:c r="D7" s="11" t="str">
        <x:v>n</x:v>
      </x:c>
      <x:c r="E7" s="11" t="str">
        <x:v>R²</x:v>
      </x:c>
      <x:c r="F7" s="11" t="str">
        <x:v>Beta swap</x:v>
      </x:c>
      <x:c r="G7" s="11" t="str">
        <x:v>Beta pad.</x:v>
      </x:c>
      <x:c r="H7" s="11" t="str">
        <x:v>p-valor HAC</x:v>
      </x:c>
      <x:c r="I7" s="99"/>
      <x:c r="J7" s="99"/>
      <x:c r="K7" s="99"/>
      <x:c r="L7" s="99"/>
      <x:c r="M7" s="99"/>
    </x:row>
    <x:row r="8">
      <x:c r="C8" s="6" t="str">
        <x:v>full</x:v>
      </x:c>
      <x:c r="D8" s="91" t="n">
        <x:f>SUMIFS('Swap Robustez'!$F$21:$F$68,'Swap Robustez'!$C$21:$C$68,"IBOV BEst EPS",'Swap Robustez'!$D$21:$D$68,$C8,'Swap Robustez'!$E$21:$E$68,"full")</x:f>
        <x:v>208</x:v>
      </x:c>
      <x:c r="E8" s="81" t="n">
        <x:f>SUMIFS('Swap Robustez'!$G$21:$G$68,'Swap Robustez'!$C$21:$C$68,"IBOV BEst EPS",'Swap Robustez'!$D$21:$D$68,$C8,'Swap Robustez'!$E$21:$E$68,"full")</x:f>
        <x:v>0.23437636744501522</x:v>
      </x:c>
      <x:c r="F8" s="81" t="n">
        <x:f>SUMIFS('Swap Robustez'!$H$21:$H$68,'Swap Robustez'!$C$21:$C$68,"IBOV BEst EPS",'Swap Robustez'!$D$21:$D$68,$C8,'Swap Robustez'!$E$21:$E$68,"full")</x:f>
        <x:v>0.8410336956670192</x:v>
      </x:c>
      <x:c r="G8" s="81" t="n">
        <x:f>SUMIFS('Swap Robustez'!$I$21:$I$68,'Swap Robustez'!$C$21:$C$68,"IBOV BEst EPS",'Swap Robustez'!$D$21:$D$68,$C8,'Swap Robustez'!$E$21:$E$68,"full")</x:f>
        <x:v>0.0688986850015037</x:v>
      </x:c>
      <x:c r="H8" s="81" t="n">
        <x:f>SUMIFS('Swap Robustez'!$L$21:$L$68,'Swap Robustez'!$C$21:$C$68,"IBOV BEst EPS",'Swap Robustez'!$D$21:$D$68,$C8,'Swap Robustez'!$E$21:$E$68,"full")</x:f>
        <x:v>0.4566890657749334</x:v>
      </x:c>
      <x:c r="I8" s="99"/>
      <x:c r="J8" s="99"/>
      <x:c r="K8" s="99"/>
      <x:c r="L8" s="99"/>
      <x:c r="M8" s="99"/>
    </x:row>
    <x:row r="9">
      <x:c r="C9" s="6" t="str">
        <x:v>ex_2013_14</x:v>
      </x:c>
      <x:c r="D9" s="91" t="n">
        <x:f>SUMIFS('Swap Robustez'!$F$21:$F$68,'Swap Robustez'!$C$21:$C$68,"IBOV BEst EPS",'Swap Robustez'!$D$21:$D$68,$C9,'Swap Robustez'!$E$21:$E$68,"full")</x:f>
        <x:v>184</x:v>
      </x:c>
      <x:c r="E9" s="81" t="n">
        <x:f>SUMIFS('Swap Robustez'!$G$21:$G$68,'Swap Robustez'!$C$21:$C$68,"IBOV BEst EPS",'Swap Robustez'!$D$21:$D$68,$C9,'Swap Robustez'!$E$21:$E$68,"full")</x:f>
        <x:v>0.49329249230764305</x:v>
      </x:c>
      <x:c r="F9" s="81" t="n">
        <x:f>SUMIFS('Swap Robustez'!$H$21:$H$68,'Swap Robustez'!$C$21:$C$68,"IBOV BEst EPS",'Swap Robustez'!$D$21:$D$68,$C9,'Swap Robustez'!$E$21:$E$68,"full")</x:f>
        <x:v>1.7314797734629659</x:v>
      </x:c>
      <x:c r="G9" s="81" t="n">
        <x:f>SUMIFS('Swap Robustez'!$I$21:$I$68,'Swap Robustez'!$C$21:$C$68,"IBOV BEst EPS",'Swap Robustez'!$D$21:$D$68,$C9,'Swap Robustez'!$E$21:$E$68,"full")</x:f>
        <x:v>0.208152502938589</x:v>
      </x:c>
      <x:c r="H9" s="81" t="n">
        <x:f>SUMIFS('Swap Robustez'!$L$21:$L$68,'Swap Robustez'!$C$21:$C$68,"IBOV BEst EPS",'Swap Robustez'!$D$21:$D$68,$C9,'Swap Robustez'!$E$21:$E$68,"full")</x:f>
        <x:v>0.007614196116265237</x:v>
      </x:c>
      <x:c r="I9" s="99"/>
      <x:c r="J9" s="99"/>
      <x:c r="K9" s="99"/>
      <x:c r="L9" s="99"/>
      <x:c r="M9" s="99"/>
    </x:row>
    <x:row r="10">
      <x:c r="C10" s="6" t="str">
        <x:v>ex_2020_21</x:v>
      </x:c>
      <x:c r="D10" s="91" t="n">
        <x:f>SUMIFS('Swap Robustez'!$F$21:$F$68,'Swap Robustez'!$C$21:$C$68,"IBOV BEst EPS",'Swap Robustez'!$D$21:$D$68,$C10,'Swap Robustez'!$E$21:$E$68,"full")</x:f>
        <x:v>184</x:v>
      </x:c>
      <x:c r="E10" s="81" t="n">
        <x:f>SUMIFS('Swap Robustez'!$G$21:$G$68,'Swap Robustez'!$C$21:$C$68,"IBOV BEst EPS",'Swap Robustez'!$D$21:$D$68,$C10,'Swap Robustez'!$E$21:$E$68,"full")</x:f>
        <x:v>0.0659086699002236</x:v>
      </x:c>
      <x:c r="F10" s="81" t="n">
        <x:f>SUMIFS('Swap Robustez'!$H$21:$H$68,'Swap Robustez'!$C$21:$C$68,"IBOV BEst EPS",'Swap Robustez'!$D$21:$D$68,$C10,'Swap Robustez'!$E$21:$E$68,"full")</x:f>
        <x:v>0.16953602419755054</x:v>
      </x:c>
      <x:c r="G10" s="81" t="n">
        <x:f>SUMIFS('Swap Robustez'!$I$21:$I$68,'Swap Robustez'!$C$21:$C$68,"IBOV BEst EPS",'Swap Robustez'!$D$21:$D$68,$C10,'Swap Robustez'!$E$21:$E$68,"full")</x:f>
        <x:v>0.01319020458222922</x:v>
      </x:c>
      <x:c r="H10" s="81" t="n">
        <x:f>SUMIFS('Swap Robustez'!$L$21:$L$68,'Swap Robustez'!$C$21:$C$68,"IBOV BEst EPS",'Swap Robustez'!$D$21:$D$68,$C10,'Swap Robustez'!$E$21:$E$68,"full")</x:f>
        <x:v>0.9054854323119323</x:v>
      </x:c>
      <x:c r="I10" s="99"/>
      <x:c r="J10" s="99"/>
      <x:c r="K10" s="99"/>
      <x:c r="L10" s="99"/>
      <x:c r="M10" s="99"/>
    </x:row>
    <x:row r="11">
      <x:c r="C11" s="6" t="str">
        <x:v>clean</x:v>
      </x:c>
      <x:c r="D11" s="91" t="n">
        <x:f>SUMIFS('Swap Robustez'!$F$21:$F$68,'Swap Robustez'!$C$21:$C$68,"IBOV BEst EPS",'Swap Robustez'!$D$21:$D$68,$C11,'Swap Robustez'!$E$21:$E$68,"full")</x:f>
        <x:v>160</x:v>
      </x:c>
      <x:c r="E11" s="81" t="n">
        <x:f>SUMIFS('Swap Robustez'!$G$21:$G$68,'Swap Robustez'!$C$21:$C$68,"IBOV BEst EPS",'Swap Robustez'!$D$21:$D$68,$C11,'Swap Robustez'!$E$21:$E$68,"full")</x:f>
        <x:v>0.18470927127595094</x:v>
      </x:c>
      <x:c r="F11" s="81" t="n">
        <x:f>SUMIFS('Swap Robustez'!$H$21:$H$68,'Swap Robustez'!$C$21:$C$68,"IBOV BEst EPS",'Swap Robustez'!$D$21:$D$68,$C11,'Swap Robustez'!$E$21:$E$68,"full")</x:f>
        <x:v>1.3149257652331197</x:v>
      </x:c>
      <x:c r="G11" s="81" t="n">
        <x:f>SUMIFS('Swap Robustez'!$I$21:$I$68,'Swap Robustez'!$C$21:$C$68,"IBOV BEst EPS",'Swap Robustez'!$D$21:$D$68,$C11,'Swap Robustez'!$E$21:$E$68,"full")</x:f>
        <x:v>0.19538773160746475</x:v>
      </x:c>
      <x:c r="H11" s="81" t="n">
        <x:f>SUMIFS('Swap Robustez'!$L$21:$L$68,'Swap Robustez'!$C$21:$C$68,"IBOV BEst EPS",'Swap Robustez'!$D$21:$D$68,$C11,'Swap Robustez'!$E$21:$E$68,"full")</x:f>
        <x:v>0.0849957138811952</x:v>
      </x:c>
      <x:c r="I11" s="99"/>
      <x:c r="J11" s="99"/>
      <x:c r="K11" s="99"/>
      <x:c r="L11" s="99"/>
      <x:c r="M11" s="99"/>
    </x:row>
    <x:row r="12">
      <x:c r="C12" s="6" t="str">
        <x:v>post2022</x:v>
      </x:c>
      <x:c r="D12" s="91" t="n">
        <x:f>SUMIFS('Swap Robustez'!$F$21:$F$68,'Swap Robustez'!$C$21:$C$68,"IBOV BEst EPS",'Swap Robustez'!$D$21:$D$68,$C12,'Swap Robustez'!$E$21:$E$68,"full")</x:f>
        <x:v>55</x:v>
      </x:c>
      <x:c r="E12" s="81" t="n">
        <x:f>SUMIFS('Swap Robustez'!$G$21:$G$68,'Swap Robustez'!$C$21:$C$68,"IBOV BEst EPS",'Swap Robustez'!$D$21:$D$68,$C12,'Swap Robustez'!$E$21:$E$68,"full")</x:f>
        <x:v>0.41032052649737616</x:v>
      </x:c>
      <x:c r="F12" s="81" t="n">
        <x:f>SUMIFS('Swap Robustez'!$H$21:$H$68,'Swap Robustez'!$C$21:$C$68,"IBOV BEst EPS",'Swap Robustez'!$D$21:$D$68,$C12,'Swap Robustez'!$E$21:$E$68,"full")</x:f>
        <x:v>0.13537369843381525</x:v>
      </x:c>
      <x:c r="G12" s="81" t="n">
        <x:f>SUMIFS('Swap Robustez'!$I$21:$I$68,'Swap Robustez'!$C$21:$C$68,"IBOV BEst EPS",'Swap Robustez'!$D$21:$D$68,$C12,'Swap Robustez'!$E$21:$E$68,"full")</x:f>
        <x:v>0.023996875691559397</x:v>
      </x:c>
      <x:c r="H12" s="81" t="n">
        <x:f>SUMIFS('Swap Robustez'!$L$21:$L$68,'Swap Robustez'!$C$21:$C$68,"IBOV BEst EPS",'Swap Robustez'!$D$21:$D$68,$C12,'Swap Robustez'!$E$21:$E$68,"full")</x:f>
        <x:v>0.8814937297181968</x:v>
      </x:c>
      <x:c r="I12" s="99"/>
      <x:c r="J12" s="99"/>
      <x:c r="K12" s="99"/>
      <x:c r="L12" s="99"/>
      <x:c r="M12" s="99"/>
    </x:row>
    <x:row r="13">
      <x:c r="C13" s="99"/>
      <x:c r="D13" s="99"/>
      <x:c r="E13" s="99"/>
      <x:c r="F13" s="99"/>
      <x:c r="G13" s="99"/>
      <x:c r="H13" s="99"/>
      <x:c r="I13" s="99"/>
      <x:c r="J13" s="99"/>
      <x:c r="K13" s="99"/>
      <x:c r="L13" s="99"/>
      <x:c r="M13" s="99"/>
    </x:row>
    <x:row r="14">
      <x:c r="C14" s="84" t="str">
        <x:v>Leitura</x:v>
      </x:c>
      <x:c r="D14" s="84" t="str">
        <x:v>O sinal do swap é sensível à janela. Na amostra ex_2013_14, beta = 1,73 e p = 0,008; na amostra limpa, beta = 1,31 e p = 0,085; desde 2022, o efeito é próximo de zero.</x:v>
      </x:c>
      <x:c r="E14" s="84"/>
      <x:c r="F14" s="84"/>
      <x:c r="G14" s="84"/>
      <x:c r="H14" s="84"/>
      <x:c r="I14" s="99"/>
      <x:c r="J14" s="99"/>
      <x:c r="K14" s="99"/>
      <x:c r="L14" s="99"/>
      <x:c r="M14" s="99"/>
    </x:row>
    <x:row r="15">
      <x:c r="C15" s="84"/>
      <x:c r="D15" s="84"/>
      <x:c r="E15" s="84"/>
      <x:c r="F15" s="84"/>
      <x:c r="G15" s="84"/>
      <x:c r="H15" s="84"/>
      <x:c r="I15" s="99"/>
      <x:c r="J15" s="99"/>
      <x:c r="K15" s="99"/>
      <x:c r="L15" s="99"/>
      <x:c r="M15" s="99"/>
    </x:row>
    <x:row r="16">
      <x:c r="C16" s="84"/>
      <x:c r="D16" s="84"/>
      <x:c r="E16" s="84"/>
      <x:c r="F16" s="84"/>
      <x:c r="G16" s="84"/>
      <x:c r="H16" s="84"/>
      <x:c r="I16" s="99"/>
      <x:c r="J16" s="99"/>
      <x:c r="K16" s="99"/>
      <x:c r="L16" s="99"/>
      <x:c r="M16" s="99"/>
    </x:row>
    <x:row r="17">
      <x:c r="C17" s="99"/>
      <x:c r="D17" s="99"/>
      <x:c r="E17" s="99"/>
      <x:c r="F17" s="99"/>
      <x:c r="G17" s="99"/>
      <x:c r="H17" s="99"/>
      <x:c r="I17" s="99"/>
      <x:c r="J17" s="99"/>
      <x:c r="K17" s="99"/>
      <x:c r="L17" s="99"/>
      <x:c r="M17" s="99"/>
    </x:row>
    <x:row r="18">
      <x:c r="C18" s="74" t="str">
        <x:v>Resultados completos</x:v>
      </x:c>
      <x:c r="D18" s="75"/>
      <x:c r="E18" s="75"/>
      <x:c r="F18" s="75"/>
      <x:c r="G18" s="75"/>
      <x:c r="H18" s="75"/>
      <x:c r="I18" s="75"/>
      <x:c r="J18" s="75"/>
      <x:c r="K18" s="75"/>
      <x:c r="L18" s="76"/>
      <x:c r="M18" s="99"/>
    </x:row>
    <x:row r="19">
      <x:c r="C19" s="99"/>
      <x:c r="D19" s="99"/>
      <x:c r="E19" s="99"/>
      <x:c r="F19" s="99"/>
      <x:c r="G19" s="99"/>
      <x:c r="H19" s="99"/>
      <x:c r="I19" s="99"/>
      <x:c r="J19" s="99"/>
      <x:c r="K19" s="99"/>
      <x:c r="L19" s="99"/>
      <x:c r="M19" s="99"/>
    </x:row>
    <x:row r="20">
      <x:c r="C20" s="11" t="str">
        <x:v>target</x:v>
      </x:c>
      <x:c r="D20" s="11" t="str">
        <x:v>sample</x:v>
      </x:c>
      <x:c r="E20" s="11" t="str">
        <x:v>specification</x:v>
      </x:c>
      <x:c r="F20" s="11" t="str">
        <x:v>n</x:v>
      </x:c>
      <x:c r="G20" s="11" t="str">
        <x:v>r2</x:v>
      </x:c>
      <x:c r="H20" s="11" t="str">
        <x:v>beta_swap</x:v>
      </x:c>
      <x:c r="I20" s="11" t="str">
        <x:v>beta_std_swap</x:v>
      </x:c>
      <x:c r="J20" s="11" t="str">
        <x:v>se_hac_swap</x:v>
      </x:c>
      <x:c r="K20" s="11" t="str">
        <x:v>t_hac_swap</x:v>
      </x:c>
      <x:c r="L20" s="11" t="str">
        <x:v>p_hac_swap</x:v>
      </x:c>
      <x:c r="M20" s="99"/>
    </x:row>
    <x:row r="21">
      <x:c r="C21" s="90" t="str">
        <x:v>IBOV BEst EPS</x:v>
      </x:c>
      <x:c r="D21" s="90" t="str">
        <x:v>full</x:v>
      </x:c>
      <x:c r="E21" s="90" t="str">
        <x:v>swap_only</x:v>
      </x:c>
      <x:c r="F21" s="91" t="n">
        <x:v>245</x:v>
      </x:c>
      <x:c r="G21" s="81" t="n">
        <x:v>0.039309193586091196</x:v>
      </x:c>
      <x:c r="H21" s="80" t="n">
        <x:v>2.2287364681807804</x:v>
      </x:c>
      <x:c r="I21" s="81" t="n">
        <x:v>0.19826546241363194</x:v>
      </x:c>
      <x:c r="J21" s="80" t="n">
        <x:v>1.1242885478982054</x:v>
      </x:c>
      <x:c r="K21" s="80" t="n">
        <x:v>1.9823527263950866</x:v>
      </x:c>
      <x:c r="L21" s="81" t="n">
        <x:v>0.04743977661285248</x:v>
      </x:c>
      <x:c r="M21" s="99"/>
    </x:row>
    <x:row r="22">
      <x:c r="C22" s="90" t="str">
        <x:v>IBOV BEst EPS</x:v>
      </x:c>
      <x:c r="D22" s="90" t="str">
        <x:v>full</x:v>
      </x:c>
      <x:c r="E22" s="90" t="str">
        <x:v>focus_swap</x:v>
      </x:c>
      <x:c r="F22" s="91" t="n">
        <x:v>209</x:v>
      </x:c>
      <x:c r="G22" s="81" t="n">
        <x:v>0.20049096704147573</x:v>
      </x:c>
      <x:c r="H22" s="80" t="n">
        <x:v>2.4343815371959296</x:v>
      </x:c>
      <x:c r="I22" s="81" t="n">
        <x:v>0.19945698513197196</x:v>
      </x:c>
      <x:c r="J22" s="80" t="n">
        <x:v>0.9425598091424003</x:v>
      </x:c>
      <x:c r="K22" s="80" t="n">
        <x:v>2.582734287610758</x:v>
      </x:c>
      <x:c r="L22" s="81" t="n">
        <x:v>0.00980207833043334</x:v>
      </x:c>
      <x:c r="M22" s="99"/>
    </x:row>
    <x:row r="23">
      <x:c r="C23" s="90" t="str">
        <x:v>IBOV BEst EPS</x:v>
      </x:c>
      <x:c r="D23" s="90" t="str">
        <x:v>full</x:v>
      </x:c>
      <x:c r="E23" s="90" t="str">
        <x:v>focus_bcom_fx_swap</x:v>
      </x:c>
      <x:c r="F23" s="91" t="n">
        <x:v>209</x:v>
      </x:c>
      <x:c r="G23" s="81" t="n">
        <x:v>0.21478868848109933</x:v>
      </x:c>
      <x:c r="H23" s="80" t="n">
        <x:v>1.8674866840773365</x:v>
      </x:c>
      <x:c r="I23" s="81" t="n">
        <x:v>0.1530094022193489</x:v>
      </x:c>
      <x:c r="J23" s="80" t="n">
        <x:v>0.9919035334457592</x:v>
      </x:c>
      <x:c r="K23" s="80" t="n">
        <x:v>1.882730145732924</x:v>
      </x:c>
      <x:c r="L23" s="81" t="n">
        <x:v>0.059736947911045446</x:v>
      </x:c>
      <x:c r="M23" s="99"/>
    </x:row>
    <x:row r="24">
      <x:c r="C24" s="90" t="str">
        <x:v>IBOV BEst EPS</x:v>
      </x:c>
      <x:c r="D24" s="90" t="str">
        <x:v>full</x:v>
      </x:c>
      <x:c r="E24" s="90" t="str">
        <x:v>full</x:v>
      </x:c>
      <x:c r="F24" s="91" t="n">
        <x:v>208</x:v>
      </x:c>
      <x:c r="G24" s="81" t="n">
        <x:v>0.23437636744501522</x:v>
      </x:c>
      <x:c r="H24" s="80" t="n">
        <x:v>0.8410336956670192</x:v>
      </x:c>
      <x:c r="I24" s="81" t="n">
        <x:v>0.0688986850015037</x:v>
      </x:c>
      <x:c r="J24" s="80" t="n">
        <x:v>1.129951104592017</x:v>
      </x:c>
      <x:c r="K24" s="80" t="n">
        <x:v>0.7443098132734558</x:v>
      </x:c>
      <x:c r="L24" s="81" t="n">
        <x:v>0.4566890657749334</x:v>
      </x:c>
      <x:c r="M24" s="99"/>
    </x:row>
    <x:row r="25">
      <x:c r="C25" s="90" t="str">
        <x:v>IBOV BEst EPS</x:v>
      </x:c>
      <x:c r="D25" s="90" t="str">
        <x:v>ex_2013_14</x:v>
      </x:c>
      <x:c r="E25" s="90" t="str">
        <x:v>swap_only</x:v>
      </x:c>
      <x:c r="F25" s="91" t="n">
        <x:v>221</x:v>
      </x:c>
      <x:c r="G25" s="81" t="n">
        <x:v>0.11219588035607764</x:v>
      </x:c>
      <x:c r="H25" s="80" t="n">
        <x:v>2.6957984480201698</x:v>
      </x:c>
      <x:c r="I25" s="81" t="n">
        <x:v>0.3349565350251844</x:v>
      </x:c>
      <x:c r="J25" s="80" t="n">
        <x:v>1.0654575208526536</x:v>
      </x:c>
      <x:c r="K25" s="80" t="n">
        <x:v>2.530179190872672</x:v>
      </x:c>
      <x:c r="L25" s="81" t="n">
        <x:v>0.011400428687865283</x:v>
      </x:c>
      <x:c r="M25" s="99"/>
    </x:row>
    <x:row r="26">
      <x:c r="C26" s="90" t="str">
        <x:v>IBOV BEst EPS</x:v>
      </x:c>
      <x:c r="D26" s="90" t="str">
        <x:v>ex_2013_14</x:v>
      </x:c>
      <x:c r="E26" s="90" t="str">
        <x:v>focus_swap</x:v>
      </x:c>
      <x:c r="F26" s="91" t="n">
        <x:v>185</x:v>
      </x:c>
      <x:c r="G26" s="81" t="n">
        <x:v>0.46113157912234737</x:v>
      </x:c>
      <x:c r="H26" s="80" t="n">
        <x:v>2.8460224946269133</x:v>
      </x:c>
      <x:c r="I26" s="81" t="n">
        <x:v>0.34215289247752667</x:v>
      </x:c>
      <x:c r="J26" s="80" t="n">
        <x:v>0.7959653215612652</x:v>
      </x:c>
      <x:c r="K26" s="80" t="n">
        <x:v>3.5755609164536395</x:v>
      </x:c>
      <x:c r="L26" s="81" t="n">
        <x:v>0.0003494777853625397</x:v>
      </x:c>
      <x:c r="M26" s="99"/>
    </x:row>
    <x:row r="27">
      <x:c r="C27" s="90" t="str">
        <x:v>IBOV BEst EPS</x:v>
      </x:c>
      <x:c r="D27" s="90" t="str">
        <x:v>ex_2013_14</x:v>
      </x:c>
      <x:c r="E27" s="90" t="str">
        <x:v>focus_bcom_fx_swap</x:v>
      </x:c>
      <x:c r="F27" s="91" t="n">
        <x:v>185</x:v>
      </x:c>
      <x:c r="G27" s="81" t="n">
        <x:v>0.4678491708587851</x:v>
      </x:c>
      <x:c r="H27" s="80" t="n">
        <x:v>2.5876909814877753</x:v>
      </x:c>
      <x:c r="I27" s="81" t="n">
        <x:v>0.3110959087026179</x:v>
      </x:c>
      <x:c r="J27" s="80" t="n">
        <x:v>0.805211705171496</x:v>
      </x:c>
      <x:c r="K27" s="80" t="n">
        <x:v>3.2136778003452426</x:v>
      </x:c>
      <x:c r="L27" s="81" t="n">
        <x:v>0.0013104663470757671</x:v>
      </x:c>
      <x:c r="M27" s="99"/>
    </x:row>
    <x:row r="28">
      <x:c r="C28" s="90" t="str">
        <x:v>IBOV BEst EPS</x:v>
      </x:c>
      <x:c r="D28" s="90" t="str">
        <x:v>ex_2013_14</x:v>
      </x:c>
      <x:c r="E28" s="90" t="str">
        <x:v>full</x:v>
      </x:c>
      <x:c r="F28" s="91" t="n">
        <x:v>184</x:v>
      </x:c>
      <x:c r="G28" s="81" t="n">
        <x:v>0.49329249230764305</x:v>
      </x:c>
      <x:c r="H28" s="80" t="n">
        <x:v>1.7314797734629659</x:v>
      </x:c>
      <x:c r="I28" s="81" t="n">
        <x:v>0.208152502938589</x:v>
      </x:c>
      <x:c r="J28" s="80" t="n">
        <x:v>0.6488064779402077</x:v>
      </x:c>
      <x:c r="K28" s="80" t="n">
        <x:v>2.6687152985277907</x:v>
      </x:c>
      <x:c r="L28" s="81" t="n">
        <x:v>0.007614196116265237</x:v>
      </x:c>
      <x:c r="M28" s="99"/>
    </x:row>
    <x:row r="29">
      <x:c r="C29" s="90" t="str">
        <x:v>IBOV BEst EPS</x:v>
      </x:c>
      <x:c r="D29" s="90" t="str">
        <x:v>ex_2020_21</x:v>
      </x:c>
      <x:c r="E29" s="90" t="str">
        <x:v>swap_only</x:v>
      </x:c>
      <x:c r="F29" s="91" t="n">
        <x:v>221</x:v>
      </x:c>
      <x:c r="G29" s="81" t="n">
        <x:v>0.015026685382607874</x:v>
      </x:c>
      <x:c r="H29" s="80" t="n">
        <x:v>1.405451539760484</x:v>
      </x:c>
      <x:c r="I29" s="81" t="n">
        <x:v>0.12258338134758716</x:v>
      </x:c>
      <x:c r="J29" s="80" t="n">
        <x:v>1.215292684873476</x:v>
      </x:c>
      <x:c r="K29" s="80" t="n">
        <x:v>1.1564716526758372</x:v>
      </x:c>
      <x:c r="L29" s="81" t="n">
        <x:v>0.24748828805135048</x:v>
      </x:c>
      <x:c r="M29" s="99"/>
    </x:row>
    <x:row r="30">
      <x:c r="C30" s="90" t="str">
        <x:v>IBOV BEst EPS</x:v>
      </x:c>
      <x:c r="D30" s="90" t="str">
        <x:v>ex_2020_21</x:v>
      </x:c>
      <x:c r="E30" s="90" t="str">
        <x:v>focus_swap</x:v>
      </x:c>
      <x:c r="F30" s="91" t="n">
        <x:v>185</x:v>
      </x:c>
      <x:c r="G30" s="81" t="n">
        <x:v>0.04593163872791073</x:v>
      </x:c>
      <x:c r="H30" s="80" t="n">
        <x:v>1.0601445690434317</x:v>
      </x:c>
      <x:c r="I30" s="81" t="n">
        <x:v>0.08248766925573019</x:v>
      </x:c>
      <x:c r="J30" s="80" t="n">
        <x:v>1.144324732375936</x:v>
      </x:c>
      <x:c r="K30" s="80" t="n">
        <x:v>0.9264368225637115</x:v>
      </x:c>
      <x:c r="L30" s="81" t="n">
        <x:v>0.3542190153331184</x:v>
      </x:c>
      <x:c r="M30" s="99"/>
    </x:row>
    <x:row r="31">
      <x:c r="C31" s="90" t="str">
        <x:v>IBOV BEst EPS</x:v>
      </x:c>
      <x:c r="D31" s="90" t="str">
        <x:v>ex_2020_21</x:v>
      </x:c>
      <x:c r="E31" s="90" t="str">
        <x:v>focus_bcom_fx_swap</x:v>
      </x:c>
      <x:c r="F31" s="91" t="n">
        <x:v>185</x:v>
      </x:c>
      <x:c r="G31" s="81" t="n">
        <x:v>0.06131888231690519</x:v>
      </x:c>
      <x:c r="H31" s="80" t="n">
        <x:v>0.5322091835800593</x:v>
      </x:c>
      <x:c r="I31" s="81" t="n">
        <x:v>0.04141010235012178</x:v>
      </x:c>
      <x:c r="J31" s="80" t="n">
        <x:v>1.208325385593766</x:v>
      </x:c>
      <x:c r="K31" s="80" t="n">
        <x:v>0.4404518765601651</x:v>
      </x:c>
      <x:c r="L31" s="81" t="n">
        <x:v>0.6596098593360944</x:v>
      </x:c>
      <x:c r="M31" s="99"/>
    </x:row>
    <x:row r="32">
      <x:c r="C32" s="90" t="str">
        <x:v>IBOV BEst EPS</x:v>
      </x:c>
      <x:c r="D32" s="90" t="str">
        <x:v>ex_2020_21</x:v>
      </x:c>
      <x:c r="E32" s="90" t="str">
        <x:v>full</x:v>
      </x:c>
      <x:c r="F32" s="91" t="n">
        <x:v>184</x:v>
      </x:c>
      <x:c r="G32" s="81" t="n">
        <x:v>0.0659086699002236</x:v>
      </x:c>
      <x:c r="H32" s="80" t="n">
        <x:v>0.16953602419755054</x:v>
      </x:c>
      <x:c r="I32" s="81" t="n">
        <x:v>0.01319020458222922</x:v>
      </x:c>
      <x:c r="J32" s="80" t="n">
        <x:v>1.4278540497386194</x:v>
      </x:c>
      <x:c r="K32" s="80" t="n">
        <x:v>0.11873484144166242</x:v>
      </x:c>
      <x:c r="L32" s="81" t="n">
        <x:v>0.9054854323119323</x:v>
      </x:c>
      <x:c r="M32" s="99"/>
    </x:row>
    <x:row r="33">
      <x:c r="C33" s="90" t="str">
        <x:v>IBOV BEst EPS</x:v>
      </x:c>
      <x:c r="D33" s="90" t="str">
        <x:v>clean</x:v>
      </x:c>
      <x:c r="E33" s="90" t="str">
        <x:v>swap_only</x:v>
      </x:c>
      <x:c r="F33" s="91" t="n">
        <x:v>197</x:v>
      </x:c>
      <x:c r="G33" s="81" t="n">
        <x:v>0.0849181660373648</x:v>
      </x:c>
      <x:c r="H33" s="80" t="n">
        <x:v>2.0067253826639866</x:v>
      </x:c>
      <x:c r="I33" s="81" t="n">
        <x:v>0.29140721685875454</x:v>
      </x:c>
      <x:c r="J33" s="80" t="n">
        <x:v>0.96141963189537</x:v>
      </x:c>
      <x:c r="K33" s="80" t="n">
        <x:v>2.08725234651998</x:v>
      </x:c>
      <x:c r="L33" s="81" t="n">
        <x:v>0.03686532990601066</x:v>
      </x:c>
      <x:c r="M33" s="99"/>
    </x:row>
    <x:row r="34">
      <x:c r="C34" s="90" t="str">
        <x:v>IBOV BEst EPS</x:v>
      </x:c>
      <x:c r="D34" s="90" t="str">
        <x:v>clean</x:v>
      </x:c>
      <x:c r="E34" s="90" t="str">
        <x:v>focus_swap</x:v>
      </x:c>
      <x:c r="F34" s="91" t="n">
        <x:v>161</x:v>
      </x:c>
      <x:c r="G34" s="81" t="n">
        <x:v>0.17425389627796128</x:v>
      </x:c>
      <x:c r="H34" s="80" t="n">
        <x:v>1.5906478780736775</x:v>
      </x:c>
      <x:c r="I34" s="81" t="n">
        <x:v>0.23635399768063556</x:v>
      </x:c>
      <x:c r="J34" s="80" t="n">
        <x:v>0.7987596428690771</x:v>
      </x:c>
      <x:c r="K34" s="80" t="n">
        <x:v>1.9913974025530443</x:v>
      </x:c>
      <x:c r="L34" s="81" t="n">
        <x:v>0.04643721458790662</x:v>
      </x:c>
      <x:c r="M34" s="99"/>
    </x:row>
    <x:row r="35">
      <x:c r="C35" s="90" t="str">
        <x:v>IBOV BEst EPS</x:v>
      </x:c>
      <x:c r="D35" s="90" t="str">
        <x:v>clean</x:v>
      </x:c>
      <x:c r="E35" s="90" t="str">
        <x:v>focus_bcom_fx_swap</x:v>
      </x:c>
      <x:c r="F35" s="91" t="n">
        <x:v>161</x:v>
      </x:c>
      <x:c r="G35" s="81" t="n">
        <x:v>0.18224592719607213</x:v>
      </x:c>
      <x:c r="H35" s="80" t="n">
        <x:v>1.4675848089865213</x:v>
      </x:c>
      <x:c r="I35" s="81" t="n">
        <x:v>0.21806808491103985</x:v>
      </x:c>
      <x:c r="J35" s="80" t="n">
        <x:v>0.8131320219195194</x:v>
      </x:c>
      <x:c r="K35" s="80" t="n">
        <x:v>1.8048542787948119</x:v>
      </x:c>
      <x:c r="L35" s="81" t="n">
        <x:v>0.07109748801583349</x:v>
      </x:c>
      <x:c r="M35" s="99"/>
    </x:row>
    <x:row r="36">
      <x:c r="C36" s="90" t="str">
        <x:v>IBOV BEst EPS</x:v>
      </x:c>
      <x:c r="D36" s="90" t="str">
        <x:v>clean</x:v>
      </x:c>
      <x:c r="E36" s="90" t="str">
        <x:v>full</x:v>
      </x:c>
      <x:c r="F36" s="91" t="n">
        <x:v>160</x:v>
      </x:c>
      <x:c r="G36" s="81" t="n">
        <x:v>0.18470927127595094</x:v>
      </x:c>
      <x:c r="H36" s="80" t="n">
        <x:v>1.3149257652331197</x:v>
      </x:c>
      <x:c r="I36" s="81" t="n">
        <x:v>0.19538773160746475</x:v>
      </x:c>
      <x:c r="J36" s="80" t="n">
        <x:v>0.7634231237547549</x:v>
      </x:c>
      <x:c r="K36" s="80" t="n">
        <x:v>1.7224075670722436</x:v>
      </x:c>
      <x:c r="L36" s="81" t="n">
        <x:v>0.0849957138811952</x:v>
      </x:c>
      <x:c r="M36" s="99"/>
    </x:row>
    <x:row r="37">
      <x:c r="C37" s="90" t="str">
        <x:v>IBOV BEst EPS</x:v>
      </x:c>
      <x:c r="D37" s="90" t="str">
        <x:v>pre2020_clean</x:v>
      </x:c>
      <x:c r="E37" s="90" t="str">
        <x:v>swap_only</x:v>
      </x:c>
      <x:c r="F37" s="91" t="n">
        <x:v>141</x:v>
      </x:c>
      <x:c r="G37" s="81" t="n">
        <x:v>0.08227080591597169</x:v>
      </x:c>
      <x:c r="H37" s="80" t="n">
        <x:v>2.125963544690181</x:v>
      </x:c>
      <x:c r="I37" s="81" t="n">
        <x:v>0.28682887915266064</x:v>
      </x:c>
      <x:c r="J37" s="80" t="n">
        <x:v>1.1927957121805812</x:v>
      </x:c>
      <x:c r="K37" s="80" t="n">
        <x:v>1.7823366759121317</x:v>
      </x:c>
      <x:c r="L37" s="81" t="n">
        <x:v>0.07469434523199192</x:v>
      </x:c>
      <x:c r="M37" s="99"/>
    </x:row>
    <x:row r="38">
      <x:c r="C38" s="90" t="str">
        <x:v>IBOV BEst EPS</x:v>
      </x:c>
      <x:c r="D38" s="90" t="str">
        <x:v>pre2020_clean</x:v>
      </x:c>
      <x:c r="E38" s="90" t="str">
        <x:v>focus_swap</x:v>
      </x:c>
      <x:c r="F38" s="91" t="n">
        <x:v>105</x:v>
      </x:c>
      <x:c r="G38" s="81" t="n">
        <x:v>0.19341065736711593</x:v>
      </x:c>
      <x:c r="H38" s="80" t="n">
        <x:v>1.4100391106329817</x:v>
      </x:c>
      <x:c r="I38" s="81" t="n">
        <x:v>0.18763866682437308</x:v>
      </x:c>
      <x:c r="J38" s="80" t="n">
        <x:v>1.1220957488559329</x:v>
      </x:c>
      <x:c r="K38" s="80" t="n">
        <x:v>1.2566121136013841</x:v>
      </x:c>
      <x:c r="L38" s="81" t="n">
        <x:v>0.20889412616100178</x:v>
      </x:c>
      <x:c r="M38" s="99"/>
    </x:row>
    <x:row r="39">
      <x:c r="C39" s="90" t="str">
        <x:v>IBOV BEst EPS</x:v>
      </x:c>
      <x:c r="D39" s="90" t="str">
        <x:v>pre2020_clean</x:v>
      </x:c>
      <x:c r="E39" s="90" t="str">
        <x:v>focus_bcom_fx_swap</x:v>
      </x:c>
      <x:c r="F39" s="91" t="n">
        <x:v>105</x:v>
      </x:c>
      <x:c r="G39" s="81" t="n">
        <x:v>0.20362107486592373</x:v>
      </x:c>
      <x:c r="H39" s="80" t="n">
        <x:v>1.5604903614074936</x:v>
      </x:c>
      <x:c r="I39" s="81" t="n">
        <x:v>0.20765972291034127</x:v>
      </x:c>
      <x:c r="J39" s="80" t="n">
        <x:v>1.0798946936841998</x:v>
      </x:c>
      <x:c r="K39" s="80" t="n">
        <x:v>1.4450393825750545</x:v>
      </x:c>
      <x:c r="L39" s="81" t="n">
        <x:v>0.14844682391014263</x:v>
      </x:c>
      <x:c r="M39" s="99"/>
    </x:row>
    <x:row r="40">
      <x:c r="C40" s="90" t="str">
        <x:v>IBOV BEst EPS</x:v>
      </x:c>
      <x:c r="D40" s="90" t="str">
        <x:v>pre2020_clean</x:v>
      </x:c>
      <x:c r="E40" s="90" t="str">
        <x:v>full</x:v>
      </x:c>
      <x:c r="F40" s="91" t="n">
        <x:v>105</x:v>
      </x:c>
      <x:c r="G40" s="81" t="n">
        <x:v>0.22989170942154458</x:v>
      </x:c>
      <x:c r="H40" s="80" t="n">
        <x:v>2.5634473339052626</x:v>
      </x:c>
      <x:c r="I40" s="81" t="n">
        <x:v>0.3411265947031466</x:v>
      </x:c>
      <x:c r="J40" s="80" t="n">
        <x:v>1.0075927921873988</x:v>
      </x:c>
      <x:c r="K40" s="80" t="n">
        <x:v>2.544130281381068</x:v>
      </x:c>
      <x:c r="L40" s="81" t="n">
        <x:v>0.010955021621669392</x:v>
      </x:c>
      <x:c r="M40" s="99"/>
    </x:row>
    <x:row r="41">
      <x:c r="C41" s="90" t="str">
        <x:v>IBOV BEst EPS</x:v>
      </x:c>
      <x:c r="D41" s="90" t="str">
        <x:v>post2022</x:v>
      </x:c>
      <x:c r="E41" s="90" t="str">
        <x:v>swap_only</x:v>
      </x:c>
      <x:c r="F41" s="91" t="n">
        <x:v>56</x:v>
      </x:c>
      <x:c r="G41" s="81" t="n">
        <x:v>0.08608795797870694</x:v>
      </x:c>
      <x:c r="H41" s="80" t="n">
        <x:v>1.6539805241259782</x:v>
      </x:c>
      <x:c r="I41" s="81" t="n">
        <x:v>0.29340749475551386</x:v>
      </x:c>
      <x:c r="J41" s="80" t="n">
        <x:v>0.9382088238608167</x:v>
      </x:c>
      <x:c r="K41" s="80" t="n">
        <x:v>1.7629129912887562</x:v>
      </x:c>
      <x:c r="L41" s="81" t="n">
        <x:v>0.07791516559949496</x:v>
      </x:c>
      <x:c r="M41" s="99"/>
    </x:row>
    <x:row r="42">
      <x:c r="C42" s="90" t="str">
        <x:v>IBOV BEst EPS</x:v>
      </x:c>
      <x:c r="D42" s="90" t="str">
        <x:v>post2022</x:v>
      </x:c>
      <x:c r="E42" s="90" t="str">
        <x:v>focus_swap</x:v>
      </x:c>
      <x:c r="F42" s="91" t="n">
        <x:v>56</x:v>
      </x:c>
      <x:c r="G42" s="81" t="n">
        <x:v>0.1106862146957962</x:v>
      </x:c>
      <x:c r="H42" s="80" t="n">
        <x:v>1.7555249160855615</x:v>
      </x:c>
      <x:c r="I42" s="81" t="n">
        <x:v>0.3114209388177272</x:v>
      </x:c>
      <x:c r="J42" s="80" t="n">
        <x:v>1.0106822825323714</x:v>
      </x:c>
      <x:c r="K42" s="80" t="n">
        <x:v>1.7369701106137017</x:v>
      </x:c>
      <x:c r="L42" s="81" t="n">
        <x:v>0.08239244679243529</x:v>
      </x:c>
      <x:c r="M42" s="99"/>
    </x:row>
    <x:row r="43">
      <x:c r="C43" s="90" t="str">
        <x:v>IBOV BEst EPS</x:v>
      </x:c>
      <x:c r="D43" s="90" t="str">
        <x:v>post2022</x:v>
      </x:c>
      <x:c r="E43" s="90" t="str">
        <x:v>focus_bcom_fx_swap</x:v>
      </x:c>
      <x:c r="F43" s="91" t="n">
        <x:v>56</x:v>
      </x:c>
      <x:c r="G43" s="81" t="n">
        <x:v>0.31881109757064785</x:v>
      </x:c>
      <x:c r="H43" s="80" t="n">
        <x:v>0.6834172817676526</x:v>
      </x:c>
      <x:c r="I43" s="81" t="n">
        <x:v>0.12123465155191704</x:v>
      </x:c>
      <x:c r="J43" s="80" t="n">
        <x:v>0.949877955348808</x:v>
      </x:c>
      <x:c r="K43" s="80" t="n">
        <x:v>0.7194790424593994</x:v>
      </x:c>
      <x:c r="L43" s="81" t="n">
        <x:v>0.47184581057844266</x:v>
      </x:c>
      <x:c r="M43" s="99"/>
    </x:row>
    <x:row r="44">
      <x:c r="C44" s="90" t="str">
        <x:v>IBOV BEst EPS</x:v>
      </x:c>
      <x:c r="D44" s="90" t="str">
        <x:v>post2022</x:v>
      </x:c>
      <x:c r="E44" s="90" t="str">
        <x:v>full</x:v>
      </x:c>
      <x:c r="F44" s="91" t="n">
        <x:v>55</x:v>
      </x:c>
      <x:c r="G44" s="81" t="n">
        <x:v>0.41032052649737616</x:v>
      </x:c>
      <x:c r="H44" s="80" t="n">
        <x:v>0.13537369843381525</x:v>
      </x:c>
      <x:c r="I44" s="81" t="n">
        <x:v>0.023996875691559397</x:v>
      </x:c>
      <x:c r="J44" s="80" t="n">
        <x:v>0.9080856386112691</x:v>
      </x:c>
      <x:c r="K44" s="80" t="n">
        <x:v>0.14907591605659745</x:v>
      </x:c>
      <x:c r="L44" s="81" t="n">
        <x:v>0.8814937297181968</x:v>
      </x:c>
      <x:c r="M44" s="99"/>
    </x:row>
    <x:row r="45">
      <x:c r="C45" s="90" t="str">
        <x:v>IBOV constant basket</x:v>
      </x:c>
      <x:c r="D45" s="90" t="str">
        <x:v>full</x:v>
      </x:c>
      <x:c r="E45" s="90" t="str">
        <x:v>swap_only</x:v>
      </x:c>
      <x:c r="F45" s="91" t="n">
        <x:v>196</x:v>
      </x:c>
      <x:c r="G45" s="81" t="n">
        <x:v>0.05398829849089881</x:v>
      </x:c>
      <x:c r="H45" s="80" t="n">
        <x:v>2.0204816095211173</x:v>
      </x:c>
      <x:c r="I45" s="81" t="n">
        <x:v>0.2323538217695137</x:v>
      </x:c>
      <x:c r="J45" s="80" t="n">
        <x:v>1.2162862956597387</x:v>
      </x:c>
      <x:c r="K45" s="80" t="n">
        <x:v>1.661189159765355</x:v>
      </x:c>
      <x:c r="L45" s="81" t="n">
        <x:v>0.09667546202710353</x:v>
      </x:c>
      <x:c r="M45" s="99"/>
    </x:row>
    <x:row r="46">
      <x:c r="C46" s="90" t="str">
        <x:v>IBOV constant basket</x:v>
      </x:c>
      <x:c r="D46" s="90" t="str">
        <x:v>full</x:v>
      </x:c>
      <x:c r="E46" s="90" t="str">
        <x:v>focus_swap</x:v>
      </x:c>
      <x:c r="F46" s="91" t="n">
        <x:v>196</x:v>
      </x:c>
      <x:c r="G46" s="81" t="n">
        <x:v>0.44218231696704413</x:v>
      </x:c>
      <x:c r="H46" s="80" t="n">
        <x:v>2.852633304461901</x:v>
      </x:c>
      <x:c r="I46" s="81" t="n">
        <x:v>0.32805062281948577</x:v>
      </x:c>
      <x:c r="J46" s="80" t="n">
        <x:v>0.8497713785769756</x:v>
      </x:c>
      <x:c r="K46" s="80" t="n">
        <x:v>3.3569420862807964</x:v>
      </x:c>
      <x:c r="L46" s="81" t="n">
        <x:v>0.0007880961832258393</x:v>
      </x:c>
      <x:c r="M46" s="99"/>
    </x:row>
    <x:row r="47">
      <x:c r="C47" s="90" t="str">
        <x:v>IBOV constant basket</x:v>
      </x:c>
      <x:c r="D47" s="90" t="str">
        <x:v>full</x:v>
      </x:c>
      <x:c r="E47" s="90" t="str">
        <x:v>focus_bcom_fx_swap</x:v>
      </x:c>
      <x:c r="F47" s="91" t="n">
        <x:v>196</x:v>
      </x:c>
      <x:c r="G47" s="81" t="n">
        <x:v>0.47027378338261183</x:v>
      </x:c>
      <x:c r="H47" s="80" t="n">
        <x:v>2.4317575133441727</x:v>
      </x:c>
      <x:c r="I47" s="81" t="n">
        <x:v>0.27965023248895976</x:v>
      </x:c>
      <x:c r="J47" s="80" t="n">
        <x:v>0.8639027047422301</x:v>
      </x:c>
      <x:c r="K47" s="80" t="n">
        <x:v>2.814851140059524</x:v>
      </x:c>
      <x:c r="L47" s="81" t="n">
        <x:v>0.0048799832688648515</x:v>
      </x:c>
      <x:c r="M47" s="99"/>
    </x:row>
    <x:row r="48">
      <x:c r="C48" s="90" t="str">
        <x:v>IBOV constant basket</x:v>
      </x:c>
      <x:c r="D48" s="90" t="str">
        <x:v>full</x:v>
      </x:c>
      <x:c r="E48" s="90" t="str">
        <x:v>full</x:v>
      </x:c>
      <x:c r="F48" s="91" t="n">
        <x:v>196</x:v>
      </x:c>
      <x:c r="G48" s="81" t="n">
        <x:v>0.5041074055028246</x:v>
      </x:c>
      <x:c r="H48" s="80" t="n">
        <x:v>1.4345494418019027</x:v>
      </x:c>
      <x:c r="I48" s="81" t="n">
        <x:v>0.16497207584037232</x:v>
      </x:c>
      <x:c r="J48" s="80" t="n">
        <x:v>0.6479028865326552</x:v>
      </x:c>
      <x:c r="K48" s="80" t="n">
        <x:v>2.214142692709858</x:v>
      </x:c>
      <x:c r="L48" s="81" t="n">
        <x:v>0.026818964579014448</x:v>
      </x:c>
      <x:c r="M48" s="99"/>
    </x:row>
    <x:row r="49">
      <x:c r="C49" s="90" t="str">
        <x:v>IBOV constant basket</x:v>
      </x:c>
      <x:c r="D49" s="90" t="str">
        <x:v>ex_2013_14</x:v>
      </x:c>
      <x:c r="E49" s="90" t="str">
        <x:v>swap_only</x:v>
      </x:c>
      <x:c r="F49" s="91" t="n">
        <x:v>172</x:v>
      </x:c>
      <x:c r="G49" s="81" t="n">
        <x:v>0.07401446019069946</x:v>
      </x:c>
      <x:c r="H49" s="80" t="n">
        <x:v>2.4342331361870526</x:v>
      </x:c>
      <x:c r="I49" s="81" t="n">
        <x:v>0.2720559872355312</x:v>
      </x:c>
      <x:c r="J49" s="80" t="n">
        <x:v>1.3212006364789635</x:v>
      </x:c>
      <x:c r="K49" s="80" t="n">
        <x:v>1.8424401782566135</x:v>
      </x:c>
      <x:c r="L49" s="81" t="n">
        <x:v>0.06541078931595523</x:v>
      </x:c>
      <x:c r="M49" s="99"/>
    </x:row>
    <x:row r="50">
      <x:c r="C50" s="90" t="str">
        <x:v>IBOV constant basket</x:v>
      </x:c>
      <x:c r="D50" s="90" t="str">
        <x:v>ex_2013_14</x:v>
      </x:c>
      <x:c r="E50" s="90" t="str">
        <x:v>focus_swap</x:v>
      </x:c>
      <x:c r="F50" s="91" t="n">
        <x:v>172</x:v>
      </x:c>
      <x:c r="G50" s="81" t="n">
        <x:v>0.457959168979985</x:v>
      </x:c>
      <x:c r="H50" s="80" t="n">
        <x:v>3.1642722009865265</x:v>
      </x:c>
      <x:c r="I50" s="81" t="n">
        <x:v>0.3536469801203066</x:v>
      </x:c>
      <x:c r="J50" s="80" t="n">
        <x:v>0.8848103549004677</x:v>
      </x:c>
      <x:c r="K50" s="80" t="n">
        <x:v>3.5762151555544075</x:v>
      </x:c>
      <x:c r="L50" s="81" t="n">
        <x:v>0.00034860477328035877</x:v>
      </x:c>
      <x:c r="M50" s="99"/>
    </x:row>
    <x:row r="51">
      <x:c r="C51" s="90" t="str">
        <x:v>IBOV constant basket</x:v>
      </x:c>
      <x:c r="D51" s="90" t="str">
        <x:v>ex_2013_14</x:v>
      </x:c>
      <x:c r="E51" s="90" t="str">
        <x:v>focus_bcom_fx_swap</x:v>
      </x:c>
      <x:c r="F51" s="91" t="n">
        <x:v>172</x:v>
      </x:c>
      <x:c r="G51" s="81" t="n">
        <x:v>0.4762804452556585</x:v>
      </x:c>
      <x:c r="H51" s="80" t="n">
        <x:v>2.7444836190773123</x:v>
      </x:c>
      <x:c r="I51" s="81" t="n">
        <x:v>0.30673035763919015</x:v>
      </x:c>
      <x:c r="J51" s="80" t="n">
        <x:v>0.9318662987532075</x:v>
      </x:c>
      <x:c r="K51" s="80" t="n">
        <x:v>2.9451474130455195</x:v>
      </x:c>
      <x:c r="L51" s="81" t="n">
        <x:v>0.0032280082677045296</x:v>
      </x:c>
      <x:c r="M51" s="99"/>
    </x:row>
    <x:row r="52">
      <x:c r="C52" s="90" t="str">
        <x:v>IBOV constant basket</x:v>
      </x:c>
      <x:c r="D52" s="90" t="str">
        <x:v>ex_2013_14</x:v>
      </x:c>
      <x:c r="E52" s="90" t="str">
        <x:v>full</x:v>
      </x:c>
      <x:c r="F52" s="91" t="n">
        <x:v>172</x:v>
      </x:c>
      <x:c r="G52" s="81" t="n">
        <x:v>0.507313238240414</x:v>
      </x:c>
      <x:c r="H52" s="80" t="n">
        <x:v>1.679184134126619</x:v>
      </x:c>
      <x:c r="I52" s="81" t="n">
        <x:v>0.18766982117236042</x:v>
      </x:c>
      <x:c r="J52" s="80" t="n">
        <x:v>0.7062676610983024</x:v>
      </x:c>
      <x:c r="K52" s="80" t="n">
        <x:v>2.3775463986491383</x:v>
      </x:c>
      <x:c r="L52" s="81" t="n">
        <x:v>0.01742825019615868</x:v>
      </x:c>
      <x:c r="M52" s="99"/>
    </x:row>
    <x:row r="53">
      <x:c r="C53" s="90" t="str">
        <x:v>IBOV constant basket</x:v>
      </x:c>
      <x:c r="D53" s="90" t="str">
        <x:v>ex_2020_21</x:v>
      </x:c>
      <x:c r="E53" s="90" t="str">
        <x:v>swap_only</x:v>
      </x:c>
      <x:c r="F53" s="91" t="n">
        <x:v>172</x:v>
      </x:c>
      <x:c r="G53" s="81" t="n">
        <x:v>0.003245907187507835</x:v>
      </x:c>
      <x:c r="H53" s="80" t="n">
        <x:v>0.39385407906528375</x:v>
      </x:c>
      <x:c r="I53" s="81" t="n">
        <x:v>0.05697286360635059</x:v>
      </x:c>
      <x:c r="J53" s="80" t="n">
        <x:v>0.9429787873729059</x:v>
      </x:c>
      <x:c r="K53" s="80" t="n">
        <x:v>0.4176701367403423</x:v>
      </x:c>
      <x:c r="L53" s="81" t="n">
        <x:v>0.6761883093409065</x:v>
      </x:c>
      <x:c r="M53" s="99"/>
    </x:row>
    <x:row r="54">
      <x:c r="C54" s="90" t="str">
        <x:v>IBOV constant basket</x:v>
      </x:c>
      <x:c r="D54" s="90" t="str">
        <x:v>ex_2020_21</x:v>
      </x:c>
      <x:c r="E54" s="90" t="str">
        <x:v>focus_swap</x:v>
      </x:c>
      <x:c r="F54" s="91" t="n">
        <x:v>172</x:v>
      </x:c>
      <x:c r="G54" s="81" t="n">
        <x:v>0.10103879523680548</x:v>
      </x:c>
      <x:c r="H54" s="80" t="n">
        <x:v>1.1052639109056557</x:v>
      </x:c>
      <x:c r="I54" s="81" t="n">
        <x:v>0.15988167545323773</x:v>
      </x:c>
      <x:c r="J54" s="80" t="n">
        <x:v>0.8463066879652577</x:v>
      </x:c>
      <x:c r="K54" s="80" t="n">
        <x:v>1.305985083921526</x:v>
      </x:c>
      <x:c r="L54" s="81" t="n">
        <x:v>0.19155763010378868</x:v>
      </x:c>
      <x:c r="M54" s="99"/>
    </x:row>
    <x:row r="55">
      <x:c r="C55" s="90" t="str">
        <x:v>IBOV constant basket</x:v>
      </x:c>
      <x:c r="D55" s="90" t="str">
        <x:v>ex_2020_21</x:v>
      </x:c>
      <x:c r="E55" s="90" t="str">
        <x:v>focus_bcom_fx_swap</x:v>
      </x:c>
      <x:c r="F55" s="91" t="n">
        <x:v>172</x:v>
      </x:c>
      <x:c r="G55" s="81" t="n">
        <x:v>0.16701023361290923</x:v>
      </x:c>
      <x:c r="H55" s="80" t="n">
        <x:v>0.7853778499767843</x:v>
      </x:c>
      <x:c r="I55" s="81" t="n">
        <x:v>0.11360863706773847</x:v>
      </x:c>
      <x:c r="J55" s="80" t="n">
        <x:v>0.8121638358801633</x:v>
      </x:c>
      <x:c r="K55" s="80" t="n">
        <x:v>0.9670189871550359</x:v>
      </x:c>
      <x:c r="L55" s="81" t="n">
        <x:v>0.3335345419640614</x:v>
      </x:c>
      <x:c r="M55" s="99"/>
    </x:row>
    <x:row r="56">
      <x:c r="C56" s="90" t="str">
        <x:v>IBOV constant basket</x:v>
      </x:c>
      <x:c r="D56" s="90" t="str">
        <x:v>ex_2020_21</x:v>
      </x:c>
      <x:c r="E56" s="90" t="str">
        <x:v>full</x:v>
      </x:c>
      <x:c r="F56" s="91" t="n">
        <x:v>172</x:v>
      </x:c>
      <x:c r="G56" s="81" t="n">
        <x:v>0.17615548650043333</x:v>
      </x:c>
      <x:c r="H56" s="80" t="n">
        <x:v>0.525084405570639</x:v>
      </x:c>
      <x:c r="I56" s="81" t="n">
        <x:v>0.07595595376692546</x:v>
      </x:c>
      <x:c r="J56" s="80" t="n">
        <x:v>0.7601971742807279</x:v>
      </x:c>
      <x:c r="K56" s="80" t="n">
        <x:v>0.6907213330113409</x:v>
      </x:c>
      <x:c r="L56" s="81" t="n">
        <x:v>0.4897406803889566</x:v>
      </x:c>
      <x:c r="M56" s="99"/>
    </x:row>
    <x:row r="57">
      <x:c r="C57" s="90" t="str">
        <x:v>IBOV constant basket</x:v>
      </x:c>
      <x:c r="D57" s="90" t="str">
        <x:v>clean</x:v>
      </x:c>
      <x:c r="E57" s="90" t="str">
        <x:v>swap_only</x:v>
      </x:c>
      <x:c r="F57" s="91" t="n">
        <x:v>148</x:v>
      </x:c>
      <x:c r="G57" s="81" t="n">
        <x:v>0.01339342307871283</x:v>
      </x:c>
      <x:c r="H57" s="80" t="n">
        <x:v>0.8452450063436985</x:v>
      </x:c>
      <x:c r="I57" s="81" t="n">
        <x:v>0.11572995756809493</x:v>
      </x:c>
      <x:c r="J57" s="80" t="n">
        <x:v>1.0267424127724782</x:v>
      </x:c>
      <x:c r="K57" s="80" t="n">
        <x:v>0.823229853787097</x:v>
      </x:c>
      <x:c r="L57" s="81" t="n">
        <x:v>0.41037729495060504</x:v>
      </x:c>
      <x:c r="M57" s="99"/>
    </x:row>
    <x:row r="58">
      <x:c r="C58" s="90" t="str">
        <x:v>IBOV constant basket</x:v>
      </x:c>
      <x:c r="D58" s="90" t="str">
        <x:v>clean</x:v>
      </x:c>
      <x:c r="E58" s="90" t="str">
        <x:v>focus_swap</x:v>
      </x:c>
      <x:c r="F58" s="91" t="n">
        <x:v>148</x:v>
      </x:c>
      <x:c r="G58" s="81" t="n">
        <x:v>0.10361515357950568</x:v>
      </x:c>
      <x:c r="H58" s="80" t="n">
        <x:v>1.4564018849488938</x:v>
      </x:c>
      <x:c r="I58" s="81" t="n">
        <x:v>0.19940884250393573</x:v>
      </x:c>
      <x:c r="J58" s="80" t="n">
        <x:v>0.9519269934219535</x:v>
      </x:c>
      <x:c r="K58" s="80" t="n">
        <x:v>1.5299512410226668</x:v>
      </x:c>
      <x:c r="L58" s="81" t="n">
        <x:v>0.1260287984722459</x:v>
      </x:c>
      <x:c r="M58" s="99"/>
    </x:row>
    <x:row r="59">
      <x:c r="C59" s="90" t="str">
        <x:v>IBOV constant basket</x:v>
      </x:c>
      <x:c r="D59" s="90" t="str">
        <x:v>clean</x:v>
      </x:c>
      <x:c r="E59" s="90" t="str">
        <x:v>focus_bcom_fx_swap</x:v>
      </x:c>
      <x:c r="F59" s="91" t="n">
        <x:v>148</x:v>
      </x:c>
      <x:c r="G59" s="81" t="n">
        <x:v>0.15479852182415554</x:v>
      </x:c>
      <x:c r="H59" s="80" t="n">
        <x:v>1.059263079613738</x:v>
      </x:c>
      <x:c r="I59" s="81" t="n">
        <x:v>0.14503306181888212</x:v>
      </x:c>
      <x:c r="J59" s="80" t="n">
        <x:v>0.9320091572025743</x:v>
      </x:c>
      <x:c r="K59" s="80" t="n">
        <x:v>1.1365372018372828</x:v>
      </x:c>
      <x:c r="L59" s="81" t="n">
        <x:v>0.255731805156322</x:v>
      </x:c>
      <x:c r="M59" s="99"/>
    </x:row>
    <x:row r="60">
      <x:c r="C60" s="90" t="str">
        <x:v>IBOV constant basket</x:v>
      </x:c>
      <x:c r="D60" s="90" t="str">
        <x:v>clean</x:v>
      </x:c>
      <x:c r="E60" s="90" t="str">
        <x:v>full</x:v>
      </x:c>
      <x:c r="F60" s="91" t="n">
        <x:v>148</x:v>
      </x:c>
      <x:c r="G60" s="81" t="n">
        <x:v>0.16306616331687562</x:v>
      </x:c>
      <x:c r="H60" s="80" t="n">
        <x:v>0.7725188033000302</x:v>
      </x:c>
      <x:c r="I60" s="81" t="n">
        <x:v>0.10577237091669583</x:v>
      </x:c>
      <x:c r="J60" s="80" t="n">
        <x:v>0.8779480882215923</x:v>
      </x:c>
      <x:c r="K60" s="80" t="n">
        <x:v>0.879913987699291</x:v>
      </x:c>
      <x:c r="L60" s="81" t="n">
        <x:v>0.37890590658361534</x:v>
      </x:c>
      <x:c r="M60" s="99"/>
    </x:row>
    <x:row r="61">
      <x:c r="C61" s="90" t="str">
        <x:v>IBOV constant basket</x:v>
      </x:c>
      <x:c r="D61" s="90" t="str">
        <x:v>pre2020_clean</x:v>
      </x:c>
      <x:c r="E61" s="90" t="str">
        <x:v>swap_only</x:v>
      </x:c>
      <x:c r="F61" s="91" t="n">
        <x:v>93</x:v>
      </x:c>
      <x:c r="G61" s="81" t="n">
        <x:v>0.0012805839725456014</x:v>
      </x:c>
      <x:c r="H61" s="80" t="n">
        <x:v>0.28127360157687004</x:v>
      </x:c>
      <x:c r="I61" s="81" t="n">
        <x:v>0.03578524797378613</x:v>
      </x:c>
      <x:c r="J61" s="80" t="n">
        <x:v>1.645284380985916</x:v>
      </x:c>
      <x:c r="K61" s="80" t="n">
        <x:v>0.17095743740563585</x:v>
      </x:c>
      <x:c r="L61" s="81" t="n">
        <x:v>0.8642572328531424</x:v>
      </x:c>
      <x:c r="M61" s="99"/>
    </x:row>
    <x:row r="62">
      <x:c r="C62" s="90" t="str">
        <x:v>IBOV constant basket</x:v>
      </x:c>
      <x:c r="D62" s="90" t="str">
        <x:v>pre2020_clean</x:v>
      </x:c>
      <x:c r="E62" s="90" t="str">
        <x:v>focus_swap</x:v>
      </x:c>
      <x:c r="F62" s="91" t="n">
        <x:v>93</x:v>
      </x:c>
      <x:c r="G62" s="81" t="n">
        <x:v>0.12778884433924786</x:v>
      </x:c>
      <x:c r="H62" s="80" t="n">
        <x:v>1.3656098382182869</x:v>
      </x:c>
      <x:c r="I62" s="81" t="n">
        <x:v>0.1737407507214211</x:v>
      </x:c>
      <x:c r="J62" s="80" t="n">
        <x:v>1.485883272479857</x:v>
      </x:c>
      <x:c r="K62" s="80" t="n">
        <x:v>0.9190559336058475</x:v>
      </x:c>
      <x:c r="L62" s="81" t="n">
        <x:v>0.3580663166944098</x:v>
      </x:c>
      <x:c r="M62" s="99"/>
    </x:row>
    <x:row r="63">
      <x:c r="C63" s="90" t="str">
        <x:v>IBOV constant basket</x:v>
      </x:c>
      <x:c r="D63" s="90" t="str">
        <x:v>pre2020_clean</x:v>
      </x:c>
      <x:c r="E63" s="90" t="str">
        <x:v>focus_bcom_fx_swap</x:v>
      </x:c>
      <x:c r="F63" s="91" t="n">
        <x:v>93</x:v>
      </x:c>
      <x:c r="G63" s="81" t="n">
        <x:v>0.14714671373073362</x:v>
      </x:c>
      <x:c r="H63" s="80" t="n">
        <x:v>1.3502618111259932</x:v>
      </x:c>
      <x:c r="I63" s="81" t="n">
        <x:v>0.17178808629672218</x:v>
      </x:c>
      <x:c r="J63" s="80" t="n">
        <x:v>1.4456887198749515</x:v>
      </x:c>
      <x:c r="K63" s="80" t="n">
        <x:v>0.93399207766025</x:v>
      </x:c>
      <x:c r="L63" s="81" t="n">
        <x:v>0.35030797962544424</x:v>
      </x:c>
      <x:c r="M63" s="99"/>
    </x:row>
    <x:row r="64">
      <x:c r="C64" s="90" t="str">
        <x:v>IBOV constant basket</x:v>
      </x:c>
      <x:c r="D64" s="90" t="str">
        <x:v>pre2020_clean</x:v>
      </x:c>
      <x:c r="E64" s="90" t="str">
        <x:v>full</x:v>
      </x:c>
      <x:c r="F64" s="91" t="n">
        <x:v>93</x:v>
      </x:c>
      <x:c r="G64" s="81" t="n">
        <x:v>0.16409425604305972</x:v>
      </x:c>
      <x:c r="H64" s="80" t="n">
        <x:v>2.1646381820465734</x:v>
      </x:c>
      <x:c r="I64" s="81" t="n">
        <x:v>0.2753977397231586</x:v>
      </x:c>
      <x:c r="J64" s="80" t="n">
        <x:v>1.526724597349358</x:v>
      </x:c>
      <x:c r="K64" s="80" t="n">
        <x:v>1.417831471245526</x:v>
      </x:c>
      <x:c r="L64" s="81" t="n">
        <x:v>0.15623997357410513</x:v>
      </x:c>
      <x:c r="M64" s="99"/>
    </x:row>
    <x:row r="65">
      <x:c r="C65" s="90" t="str">
        <x:v>IBOV constant basket</x:v>
      </x:c>
      <x:c r="D65" s="90" t="str">
        <x:v>post2022</x:v>
      </x:c>
      <x:c r="E65" s="90" t="str">
        <x:v>swap_only</x:v>
      </x:c>
      <x:c r="F65" s="91" t="n">
        <x:v>55</x:v>
      </x:c>
      <x:c r="G65" s="81" t="n">
        <x:v>0.09712415451752121</x:v>
      </x:c>
      <x:c r="H65" s="80" t="n">
        <x:v>2.1717747477191947</x:v>
      </x:c>
      <x:c r="I65" s="81" t="n">
        <x:v>0.3116474843754098</x:v>
      </x:c>
      <x:c r="J65" s="80" t="n">
        <x:v>0.9963301307112751</x:v>
      </x:c>
      <x:c r="K65" s="80" t="n">
        <x:v>2.1797742342377777</x:v>
      </x:c>
      <x:c r="L65" s="81" t="n">
        <x:v>0.02927420074312148</x:v>
      </x:c>
      <x:c r="M65" s="99"/>
    </x:row>
    <x:row r="66">
      <x:c r="C66" s="90" t="str">
        <x:v>IBOV constant basket</x:v>
      </x:c>
      <x:c r="D66" s="90" t="str">
        <x:v>post2022</x:v>
      </x:c>
      <x:c r="E66" s="90" t="str">
        <x:v>focus_swap</x:v>
      </x:c>
      <x:c r="F66" s="91" t="n">
        <x:v>55</x:v>
      </x:c>
      <x:c r="G66" s="81" t="n">
        <x:v>0.11464469921114562</x:v>
      </x:c>
      <x:c r="H66" s="80" t="n">
        <x:v>2.2825329387456894</x:v>
      </x:c>
      <x:c r="I66" s="81" t="n">
        <x:v>0.32754117300201796</x:v>
      </x:c>
      <x:c r="J66" s="80" t="n">
        <x:v>1.0495347465714557</x:v>
      </x:c>
      <x:c r="K66" s="80" t="n">
        <x:v>2.1748045466832835</x:v>
      </x:c>
      <x:c r="L66" s="81" t="n">
        <x:v>0.02964476623769907</x:v>
      </x:c>
      <x:c r="M66" s="99"/>
    </x:row>
    <x:row r="67">
      <x:c r="C67" s="90" t="str">
        <x:v>IBOV constant basket</x:v>
      </x:c>
      <x:c r="D67" s="90" t="str">
        <x:v>post2022</x:v>
      </x:c>
      <x:c r="E67" s="90" t="str">
        <x:v>focus_bcom_fx_swap</x:v>
      </x:c>
      <x:c r="F67" s="91" t="n">
        <x:v>55</x:v>
      </x:c>
      <x:c r="G67" s="81" t="n">
        <x:v>0.31930670760061175</x:v>
      </x:c>
      <x:c r="H67" s="80" t="n">
        <x:v>0.867369794624941</x:v>
      </x:c>
      <x:c r="I67" s="81" t="n">
        <x:v>0.12446669011229801</x:v>
      </x:c>
      <x:c r="J67" s="80" t="n">
        <x:v>0.9398179505025388</x:v>
      </x:c>
      <x:c r="K67" s="80" t="n">
        <x:v>0.922912564248365</x:v>
      </x:c>
      <x:c r="L67" s="81" t="n">
        <x:v>0.356052772456648</x:v>
      </x:c>
      <x:c r="M67" s="99"/>
    </x:row>
    <x:row r="68">
      <x:c r="C68" s="90" t="str">
        <x:v>IBOV constant basket</x:v>
      </x:c>
      <x:c r="D68" s="90" t="str">
        <x:v>post2022</x:v>
      </x:c>
      <x:c r="E68" s="90" t="str">
        <x:v>full</x:v>
      </x:c>
      <x:c r="F68" s="91" t="n">
        <x:v>55</x:v>
      </x:c>
      <x:c r="G68" s="81" t="n">
        <x:v>0.38385016101320013</x:v>
      </x:c>
      <x:c r="H68" s="80" t="n">
        <x:v>0.33223416639701575</x:v>
      </x:c>
      <x:c r="I68" s="81" t="n">
        <x:v>0.04767526756167051</x:v>
      </x:c>
      <x:c r="J68" s="80" t="n">
        <x:v>0.8613476326890163</x:v>
      </x:c>
      <x:c r="K68" s="80" t="n">
        <x:v>0.3857143780146275</x:v>
      </x:c>
      <x:c r="L68" s="81" t="n">
        <x:v>0.6997082132179744</x:v>
      </x:c>
      <x:c r="M68" s="99"/>
    </x:row>
  </x:sheetData>
  <x:mergeCells>
    <x:mergeCell ref="C14:C16"/>
    <x:mergeCell ref="D14:H16"/>
  </x:mergeCells>
  <x:conditionalFormatting sqref="H8:H12">
    <x:cfRule type="cellIs" dxfId="3" priority="1" operator="lessThan">
      <x:formula>0.1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149ad5b9754a32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13" hidden="0" customWidth="1"/>
    <x:col min="5" max="5" width="2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7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7" hidden="0" customWidth="1"/>
    <x:col min="25" max="25" width="17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2">
      <x:c r="C2" s="2" t="str">
        <x:v>Regressões de Energia, Petrobras e Brent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  <x:c r="X2" s="98"/>
      <x:c r="Y2" s="98"/>
      <x:c r="Z2" s="98"/>
      <x:c r="AA2" s="98"/>
      <x:c r="AB2" s="98"/>
      <x:c r="AC2" s="98"/>
      <x:c r="AD2" s="98"/>
      <x:c r="AE2" s="98"/>
      <x:c r="AF2" s="98"/>
      <x:c r="AG2" s="98"/>
      <x:c r="AH2" s="98"/>
      <x:c r="AI2" s="98"/>
    </x:row>
    <x:row r="3">
      <x:c r="C3" s="4" t="str">
        <x:v>Especificações com BCOM ou Brent e diferentes janelas de robustez.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  <x:c r="AA4" s="99"/>
      <x:c r="AB4" s="99"/>
      <x:c r="AC4" s="99"/>
      <x:c r="AD4" s="99"/>
      <x:c r="AE4" s="99"/>
      <x:c r="AF4" s="99"/>
      <x:c r="AG4" s="99"/>
      <x:c r="AH4" s="99"/>
      <x:c r="AI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  <x:c r="O5" s="99"/>
      <x:c r="P5" s="99"/>
      <x:c r="Q5" s="99"/>
      <x:c r="R5" s="99"/>
      <x:c r="S5" s="99"/>
      <x:c r="T5" s="99"/>
      <x:c r="U5" s="99"/>
      <x:c r="V5" s="99"/>
      <x:c r="W5" s="99"/>
      <x:c r="X5" s="99"/>
      <x:c r="Y5" s="99"/>
      <x:c r="Z5" s="99"/>
      <x:c r="AA5" s="99"/>
      <x:c r="AB5" s="99"/>
      <x:c r="AC5" s="99"/>
      <x:c r="AD5" s="99"/>
      <x:c r="AE5" s="99"/>
      <x:c r="AF5" s="99"/>
      <x:c r="AG5" s="99"/>
      <x:c r="AH5" s="99"/>
      <x:c r="AI5" s="99"/>
    </x:row>
    <x:row r="6" ht="36" customHeight="1">
      <x:c r="C6" s="11" t="str">
        <x:v>target</x:v>
      </x:c>
      <x:c r="D6" s="11" t="str">
        <x:v>sample</x:v>
      </x:c>
      <x:c r="E6" s="11" t="str">
        <x:v>specification</x:v>
      </x:c>
      <x:c r="F6" s="11" t="str">
        <x:v>start</x:v>
      </x:c>
      <x:c r="G6" s="11" t="str">
        <x:v>end</x:v>
      </x:c>
      <x:c r="H6" s="11" t="str">
        <x:v>n</x:v>
      </x:c>
      <x:c r="I6" s="11" t="str">
        <x:v>r2</x:v>
      </x:c>
      <x:c r="J6" s="11" t="str">
        <x:v>adj_r2</x:v>
      </x:c>
      <x:c r="K6" s="11" t="str">
        <x:v>invalid_nonpositive_windows</x:v>
      </x:c>
      <x:c r="L6" s="11" t="str">
        <x:v>d_focus_pib3_beta</x:v>
      </x:c>
      <x:c r="M6" s="11" t="str">
        <x:v>d_focus_pib3_beta_std</x:v>
      </x:c>
      <x:c r="N6" s="11" t="str">
        <x:v>d_focus_pib3_t</x:v>
      </x:c>
      <x:c r="O6" s="11" t="str">
        <x:v>d_focus_pib3_p</x:v>
      </x:c>
      <x:c r="P6" s="11" t="str">
        <x:v>d_bcom_usd3_beta</x:v>
      </x:c>
      <x:c r="Q6" s="11" t="str">
        <x:v>d_bcom_usd3_beta_std</x:v>
      </x:c>
      <x:c r="R6" s="11" t="str">
        <x:v>d_bcom_usd3_t</x:v>
      </x:c>
      <x:c r="S6" s="11" t="str">
        <x:v>d_bcom_usd3_p</x:v>
      </x:c>
      <x:c r="T6" s="11" t="str">
        <x:v>d_usdbrl3_beta</x:v>
      </x:c>
      <x:c r="U6" s="11" t="str">
        <x:v>d_usdbrl3_beta_std</x:v>
      </x:c>
      <x:c r="V6" s="11" t="str">
        <x:v>d_usdbrl3_t</x:v>
      </x:c>
      <x:c r="W6" s="11" t="str">
        <x:v>d_usdbrl3_p</x:v>
      </x:c>
      <x:c r="X6" s="11" t="str">
        <x:v>d_ipca12_3_available_beta</x:v>
      </x:c>
      <x:c r="Y6" s="11" t="str">
        <x:v>d_ipca12_3_available_beta_std</x:v>
      </x:c>
      <x:c r="Z6" s="11" t="str">
        <x:v>d_ipca12_3_available_t</x:v>
      </x:c>
      <x:c r="AA6" s="11" t="str">
        <x:v>d_ipca12_3_available_p</x:v>
      </x:c>
      <x:c r="AB6" s="11" t="str">
        <x:v>d_swap360_3_beta</x:v>
      </x:c>
      <x:c r="AC6" s="11" t="str">
        <x:v>d_swap360_3_beta_std</x:v>
      </x:c>
      <x:c r="AD6" s="11" t="str">
        <x:v>d_swap360_3_t</x:v>
      </x:c>
      <x:c r="AE6" s="11" t="str">
        <x:v>d_swap360_3_p</x:v>
      </x:c>
      <x:c r="AF6" s="11" t="str">
        <x:v>d_brent3_beta</x:v>
      </x:c>
      <x:c r="AG6" s="11" t="str">
        <x:v>d_brent3_beta_std</x:v>
      </x:c>
      <x:c r="AH6" s="11" t="str">
        <x:v>d_brent3_t</x:v>
      </x:c>
      <x:c r="AI6" s="11" t="str">
        <x:v>d_brent3_p</x:v>
      </x:c>
    </x:row>
    <x:row r="7">
      <x:c r="C7" s="42" t="str">
        <x:v>Energy reported</x:v>
      </x:c>
      <x:c r="D7" s="42" t="str">
        <x:v>primary</x:v>
      </x:c>
      <x:c r="E7" s="42" t="str">
        <x:v>BCOM</x:v>
      </x:c>
      <x:c r="F7" s="18" t="n">
        <x:v>39904</x:v>
      </x:c>
      <x:c r="G7" s="18" t="n">
        <x:v>46204</x:v>
      </x:c>
      <x:c r="H7" s="63" t="n">
        <x:v>182</x:v>
      </x:c>
      <x:c r="I7" s="69" t="n">
        <x:v>0.49932928834638846</x:v>
      </x:c>
      <x:c r="J7" s="69" t="n">
        <x:v>0.4851056885835018</x:v>
      </x:c>
      <x:c r="K7" s="63" t="n">
        <x:v>2</x:v>
      </x:c>
      <x:c r="L7" s="51" t="n">
        <x:v>28.626538032501646</x:v>
      </x:c>
      <x:c r="M7" s="69" t="n">
        <x:v>0.6296303188510547</x:v>
      </x:c>
      <x:c r="N7" s="51" t="n">
        <x:v>2.93316603423433</x:v>
      </x:c>
      <x:c r="O7" s="69" t="n">
        <x:v>0.0033552440821082996</x:v>
      </x:c>
      <x:c r="P7" s="51" t="n">
        <x:v>0.64002933398225</x:v>
      </x:c>
      <x:c r="Q7" s="69" t="n">
        <x:v>0.1248453547446446</x:v>
      </x:c>
      <x:c r="R7" s="51" t="n">
        <x:v>1.5420798600448684</x:v>
      </x:c>
      <x:c r="S7" s="69" t="n">
        <x:v>0.12305418840164961</x:v>
      </x:c>
      <x:c r="T7" s="51" t="n">
        <x:v>0.4045749707754993</x:v>
      </x:c>
      <x:c r="U7" s="69" t="n">
        <x:v>0.07642836570955588</x:v>
      </x:c>
      <x:c r="V7" s="51" t="n">
        <x:v>0.7963291543399407</x:v>
      </x:c>
      <x:c r="W7" s="69" t="n">
        <x:v>0.4258407442973198</x:v>
      </x:c>
      <x:c r="X7" s="51" t="n">
        <x:v>6.843175074021987</x:v>
      </x:c>
      <x:c r="Y7" s="69" t="n">
        <x:v>0.1920580000454732</x:v>
      </x:c>
      <x:c r="Z7" s="51" t="n">
        <x:v>1.8004948993050554</x:v>
      </x:c>
      <x:c r="AA7" s="69" t="n">
        <x:v>0.07178252826815967</x:v>
      </x:c>
      <x:c r="AB7" s="51" t="n">
        <x:v>6.8328618141915385</x:v>
      </x:c>
      <x:c r="AC7" s="69" t="n">
        <x:v>0.18876383109007897</x:v>
      </x:c>
      <x:c r="AD7" s="51" t="n">
        <x:v>1.6866493528195579</x:v>
      </x:c>
      <x:c r="AE7" s="69" t="n">
        <x:v>0.09167079614808427</x:v>
      </x:c>
      <x:c r="AF7" s="51"/>
      <x:c r="AG7" s="69"/>
      <x:c r="AH7" s="51"/>
      <x:c r="AI7" s="69"/>
    </x:row>
    <x:row r="8">
      <x:c r="C8" s="43" t="str">
        <x:v>Energy reported</x:v>
      </x:c>
      <x:c r="D8" s="43" t="str">
        <x:v>primary</x:v>
      </x:c>
      <x:c r="E8" s="43" t="str">
        <x:v>Brent</x:v>
      </x:c>
      <x:c r="F8" s="19" t="n">
        <x:v>39904</x:v>
      </x:c>
      <x:c r="G8" s="19" t="n">
        <x:v>46204</x:v>
      </x:c>
      <x:c r="H8" s="64" t="n">
        <x:v>182</x:v>
      </x:c>
      <x:c r="I8" s="70" t="n">
        <x:v>0.49312583755746375</x:v>
      </x:c>
      <x:c r="J8" s="70" t="n">
        <x:v>0.4787260033971644</x:v>
      </x:c>
      <x:c r="K8" s="64" t="n">
        <x:v>2</x:v>
      </x:c>
      <x:c r="L8" s="52" t="n">
        <x:v>28.528348615089985</x:v>
      </x:c>
      <x:c r="M8" s="70" t="n">
        <x:v>0.6274706782363725</x:v>
      </x:c>
      <x:c r="N8" s="52" t="n">
        <x:v>2.5915902036719807</x:v>
      </x:c>
      <x:c r="O8" s="70" t="n">
        <x:v>0.009553349316678617</x:v>
      </x:c>
      <x:c r="P8" s="52"/>
      <x:c r="Q8" s="70"/>
      <x:c r="R8" s="52"/>
      <x:c r="S8" s="70"/>
      <x:c r="T8" s="52" t="n">
        <x:v>0.11951440813792047</x:v>
      </x:c>
      <x:c r="U8" s="70" t="n">
        <x:v>0.022577498739521237</x:v>
      </x:c>
      <x:c r="V8" s="52" t="n">
        <x:v>0.303613091079179</x:v>
      </x:c>
      <x:c r="W8" s="70" t="n">
        <x:v>0.7614226768863157</x:v>
      </x:c>
      <x:c r="X8" s="52" t="n">
        <x:v>6.731006318873527</x:v>
      </x:c>
      <x:c r="Y8" s="70" t="n">
        <x:v>0.18890991358730486</x:v>
      </x:c>
      <x:c r="Z8" s="52" t="n">
        <x:v>1.784512952257522</x:v>
      </x:c>
      <x:c r="AA8" s="70" t="n">
        <x:v>0.07434035205433043</x:v>
      </x:c>
      <x:c r="AB8" s="52" t="n">
        <x:v>7.830157719980971</x:v>
      </x:c>
      <x:c r="AC8" s="70" t="n">
        <x:v>0.21631500964842132</x:v>
      </x:c>
      <x:c r="AD8" s="52" t="n">
        <x:v>1.8940689373818413</x:v>
      </x:c>
      <x:c r="AE8" s="70" t="n">
        <x:v>0.058215860143599585</x:v>
      </x:c>
      <x:c r="AF8" s="52" t="n">
        <x:v>0.09129803122504043</x:v>
      </x:c>
      <x:c r="AG8" s="70" t="n">
        <x:v>0.054349297314249506</x:v>
      </x:c>
      <x:c r="AH8" s="52" t="n">
        <x:v>0.38138902015514486</x:v>
      </x:c>
      <x:c r="AI8" s="70" t="n">
        <x:v>0.7029146071134358</x:v>
      </x:c>
    </x:row>
    <x:row r="9">
      <x:c r="C9" s="43" t="str">
        <x:v>Energy reported</x:v>
      </x:c>
      <x:c r="D9" s="43" t="str">
        <x:v>clean</x:v>
      </x:c>
      <x:c r="E9" s="43" t="str">
        <x:v>BCOM</x:v>
      </x:c>
      <x:c r="F9" s="19" t="n">
        <x:v>39904</x:v>
      </x:c>
      <x:c r="G9" s="19" t="n">
        <x:v>46204</x:v>
      </x:c>
      <x:c r="H9" s="64" t="n">
        <x:v>160</x:v>
      </x:c>
      <x:c r="I9" s="70" t="n">
        <x:v>0.16248799471616326</x:v>
      </x:c>
      <x:c r="J9" s="70" t="n">
        <x:v>0.13529604649266203</x:v>
      </x:c>
      <x:c r="K9" s="64" t="n">
        <x:v>2</x:v>
      </x:c>
      <x:c r="L9" s="52" t="n">
        <x:v>10.089312640215242</x:v>
      </x:c>
      <x:c r="M9" s="70" t="n">
        <x:v>0.34188998078081084</x:v>
      </x:c>
      <x:c r="N9" s="52" t="n">
        <x:v>2.498452612580019</x:v>
      </x:c>
      <x:c r="O9" s="70" t="n">
        <x:v>0.012473681833376382</x:v>
      </x:c>
      <x:c r="P9" s="52" t="n">
        <x:v>0.5873892347394785</x:v>
      </x:c>
      <x:c r="Q9" s="70" t="n">
        <x:v>0.23166536405142982</x:v>
      </x:c>
      <x:c r="R9" s="52" t="n">
        <x:v>1.9373980648866078</x:v>
      </x:c>
      <x:c r="S9" s="70" t="n">
        <x:v>0.05269670300624063</x:v>
      </x:c>
      <x:c r="T9" s="52" t="n">
        <x:v>0.3261369572668684</x:v>
      </x:c>
      <x:c r="U9" s="70" t="n">
        <x:v>0.12561050839441493</x:v>
      </x:c>
      <x:c r="V9" s="52" t="n">
        <x:v>0.9601653864291021</x:v>
      </x:c>
      <x:c r="W9" s="70" t="n">
        <x:v>0.33697198442356857</x:v>
      </x:c>
      <x:c r="X9" s="52" t="n">
        <x:v>0.9913758438526226</x:v>
      </x:c>
      <x:c r="Y9" s="70" t="n">
        <x:v>0.055059123092484494</x:v>
      </x:c>
      <x:c r="Z9" s="52" t="n">
        <x:v>0.5664918394236079</x:v>
      </x:c>
      <x:c r="AA9" s="70" t="n">
        <x:v>0.571059478873883</x:v>
      </x:c>
      <x:c r="AB9" s="52" t="n">
        <x:v>1.8143427032889936</x:v>
      </x:c>
      <x:c r="AC9" s="70" t="n">
        <x:v>0.0918625348223355</x:v>
      </x:c>
      <x:c r="AD9" s="52" t="n">
        <x:v>0.7358730836231315</x:v>
      </x:c>
      <x:c r="AE9" s="70" t="n">
        <x:v>0.46180793920340024</x:v>
      </x:c>
      <x:c r="AF9" s="52"/>
      <x:c r="AG9" s="70"/>
      <x:c r="AH9" s="52"/>
      <x:c r="AI9" s="70"/>
    </x:row>
    <x:row r="10">
      <x:c r="C10" s="43" t="str">
        <x:v>Energy reported</x:v>
      </x:c>
      <x:c r="D10" s="43" t="str">
        <x:v>clean</x:v>
      </x:c>
      <x:c r="E10" s="43" t="str">
        <x:v>Brent</x:v>
      </x:c>
      <x:c r="F10" s="19" t="n">
        <x:v>39904</x:v>
      </x:c>
      <x:c r="G10" s="19" t="n">
        <x:v>46204</x:v>
      </x:c>
      <x:c r="H10" s="64" t="n">
        <x:v>160</x:v>
      </x:c>
      <x:c r="I10" s="70" t="n">
        <x:v>0.17976960051602175</x:v>
      </x:c>
      <x:c r="J10" s="70" t="n">
        <x:v>0.15313874338991862</x:v>
      </x:c>
      <x:c r="K10" s="64" t="n">
        <x:v>2</x:v>
      </x:c>
      <x:c r="L10" s="52" t="n">
        <x:v>9.566327188638336</x:v>
      </x:c>
      <x:c r="M10" s="70" t="n">
        <x:v>0.32416791265145445</x:v>
      </x:c>
      <x:c r="N10" s="52" t="n">
        <x:v>2.381495686301751</x:v>
      </x:c>
      <x:c r="O10" s="70" t="n">
        <x:v>0.017242492710607182</x:v>
      </x:c>
      <x:c r="P10" s="52"/>
      <x:c r="Q10" s="70"/>
      <x:c r="R10" s="52"/>
      <x:c r="S10" s="70"/>
      <x:c r="T10" s="52" t="n">
        <x:v>0.19961278826344753</x:v>
      </x:c>
      <x:c r="U10" s="70" t="n">
        <x:v>0.07688016723379679</x:v>
      </x:c>
      <x:c r="V10" s="52" t="n">
        <x:v>0.6912981396629625</x:v>
      </x:c>
      <x:c r="W10" s="70" t="n">
        <x:v>0.4893782006681606</x:v>
      </x:c>
      <x:c r="X10" s="52" t="n">
        <x:v>0.5801982021556658</x:v>
      </x:c>
      <x:c r="Y10" s="70" t="n">
        <x:v>0.0322231012875837</x:v>
      </x:c>
      <x:c r="Z10" s="52" t="n">
        <x:v>0.3358049329164842</x:v>
      </x:c>
      <x:c r="AA10" s="70" t="n">
        <x:v>0.7370179700476156</x:v>
      </x:c>
      <x:c r="AB10" s="52" t="n">
        <x:v>2.29030398431773</x:v>
      </x:c>
      <x:c r="AC10" s="70" t="n">
        <x:v>0.11596107457082175</x:v>
      </x:c>
      <x:c r="AD10" s="52" t="n">
        <x:v>0.9470319506771127</x:v>
      </x:c>
      <x:c r="AE10" s="70" t="n">
        <x:v>0.3436224982012268</x:v>
      </x:c>
      <x:c r="AF10" s="52" t="n">
        <x:v>0.2517156296419536</x:v>
      </x:c>
      <x:c r="AG10" s="70" t="n">
        <x:v>0.24478807516954132</x:v>
      </x:c>
      <x:c r="AH10" s="52" t="n">
        <x:v>2.1025322191313007</x:v>
      </x:c>
      <x:c r="AI10" s="70" t="n">
        <x:v>0.035506680368178056</x:v>
      </x:c>
    </x:row>
    <x:row r="11">
      <x:c r="C11" s="43" t="str">
        <x:v>Energy reported</x:v>
      </x:c>
      <x:c r="D11" s="43" t="str">
        <x:v>audit_clean</x:v>
      </x:c>
      <x:c r="E11" s="43" t="str">
        <x:v>BCOM</x:v>
      </x:c>
      <x:c r="F11" s="19" t="n">
        <x:v>39904</x:v>
      </x:c>
      <x:c r="G11" s="19" t="n">
        <x:v>46204</x:v>
      </x:c>
      <x:c r="H11" s="64" t="n">
        <x:v>151</x:v>
      </x:c>
      <x:c r="I11" s="70" t="n">
        <x:v>0.17821282494671464</x:v>
      </x:c>
      <x:c r="J11" s="70" t="n">
        <x:v>0.14987533615177373</x:v>
      </x:c>
      <x:c r="K11" s="64" t="n">
        <x:v>2</x:v>
      </x:c>
      <x:c r="L11" s="52" t="n">
        <x:v>9.978455544837987</x:v>
      </x:c>
      <x:c r="M11" s="70" t="n">
        <x:v>0.3451499789676632</x:v>
      </x:c>
      <x:c r="N11" s="52" t="n">
        <x:v>2.385385015564933</x:v>
      </x:c>
      <x:c r="O11" s="70" t="n">
        <x:v>0.017061254972397633</x:v>
      </x:c>
      <x:c r="P11" s="52" t="n">
        <x:v>0.5515429107760341</x:v>
      </x:c>
      <x:c r="Q11" s="70" t="n">
        <x:v>0.2182893284347986</x:v>
      </x:c>
      <x:c r="R11" s="52" t="n">
        <x:v>1.6586328888663113</x:v>
      </x:c>
      <x:c r="S11" s="70" t="n">
        <x:v>0.09718979024422358</x:v>
      </x:c>
      <x:c r="T11" s="52" t="n">
        <x:v>0.29701722853303636</x:v>
      </x:c>
      <x:c r="U11" s="70" t="n">
        <x:v>0.11654755605780305</x:v>
      </x:c>
      <x:c r="V11" s="52" t="n">
        <x:v>0.8561751071300918</x:v>
      </x:c>
      <x:c r="W11" s="70" t="n">
        <x:v>0.3919009294196094</x:v>
      </x:c>
      <x:c r="X11" s="52" t="n">
        <x:v>1.5299349740987103</x:v>
      </x:c>
      <x:c r="Y11" s="70" t="n">
        <x:v>0.08253533288279277</x:v>
      </x:c>
      <x:c r="Z11" s="52" t="n">
        <x:v>1.078275533268055</x:v>
      </x:c>
      <x:c r="AA11" s="70" t="n">
        <x:v>0.28091081243689064</x:v>
      </x:c>
      <x:c r="AB11" s="52" t="n">
        <x:v>2.791090651641774</x:v>
      </x:c>
      <x:c r="AC11" s="70" t="n">
        <x:v>0.13932803475065952</x:v>
      </x:c>
      <x:c r="AD11" s="52" t="n">
        <x:v>1.1541620935053483</x:v>
      </x:c>
      <x:c r="AE11" s="70" t="n">
        <x:v>0.24843372020948085</x:v>
      </x:c>
      <x:c r="AF11" s="52"/>
      <x:c r="AG11" s="70"/>
      <x:c r="AH11" s="52"/>
      <x:c r="AI11" s="70"/>
    </x:row>
    <x:row r="12">
      <x:c r="C12" s="43" t="str">
        <x:v>Energy reported</x:v>
      </x:c>
      <x:c r="D12" s="43" t="str">
        <x:v>audit_clean</x:v>
      </x:c>
      <x:c r="E12" s="43" t="str">
        <x:v>Brent</x:v>
      </x:c>
      <x:c r="F12" s="19" t="n">
        <x:v>39904</x:v>
      </x:c>
      <x:c r="G12" s="19" t="n">
        <x:v>46204</x:v>
      </x:c>
      <x:c r="H12" s="64" t="n">
        <x:v>151</x:v>
      </x:c>
      <x:c r="I12" s="70" t="n">
        <x:v>0.19145125489323378</x:v>
      </x:c>
      <x:c r="J12" s="70" t="n">
        <x:v>0.1635702636826557</x:v>
      </x:c>
      <x:c r="K12" s="64" t="n">
        <x:v>2</x:v>
      </x:c>
      <x:c r="L12" s="52" t="n">
        <x:v>9.4575230414712</x:v>
      </x:c>
      <x:c r="M12" s="70" t="n">
        <x:v>0.32713117417641246</x:v>
      </x:c>
      <x:c r="N12" s="52" t="n">
        <x:v>2.2566586130922306</x:v>
      </x:c>
      <x:c r="O12" s="70" t="n">
        <x:v>0.024029414824056294</x:v>
      </x:c>
      <x:c r="P12" s="52"/>
      <x:c r="Q12" s="70"/>
      <x:c r="R12" s="52"/>
      <x:c r="S12" s="70"/>
      <x:c r="T12" s="52" t="n">
        <x:v>0.1652187610674849</x:v>
      </x:c>
      <x:c r="U12" s="70" t="n">
        <x:v>0.06483072686529817</x:v>
      </x:c>
      <x:c r="V12" s="52" t="n">
        <x:v>0.5739912973366474</x:v>
      </x:c>
      <x:c r="W12" s="70" t="n">
        <x:v>0.5659736903683596</x:v>
      </x:c>
      <x:c r="X12" s="52" t="n">
        <x:v>1.0922784431654837</x:v>
      </x:c>
      <x:c r="Y12" s="70" t="n">
        <x:v>0.058925095794002624</x:v>
      </x:c>
      <x:c r="Z12" s="52" t="n">
        <x:v>0.7489298246882156</x:v>
      </x:c>
      <x:c r="AA12" s="70" t="n">
        <x:v>0.4538995030544677</x:v>
      </x:c>
      <x:c r="AB12" s="52" t="n">
        <x:v>3.196502395747847</x:v>
      </x:c>
      <x:c r="AC12" s="70" t="n">
        <x:v>0.15956572267308927</x:v>
      </x:c>
      <x:c r="AD12" s="52" t="n">
        <x:v>1.337373549675896</x:v>
      </x:c>
      <x:c r="AE12" s="70" t="n">
        <x:v>0.18110073386483672</x:v>
      </x:c>
      <x:c r="AF12" s="52" t="n">
        <x:v>0.22777940550810882</x:v>
      </x:c>
      <x:c r="AG12" s="70" t="n">
        <x:v>0.22369535676353444</x:v>
      </x:c>
      <x:c r="AH12" s="52" t="n">
        <x:v>1.7914343516408802</x:v>
      </x:c>
      <x:c r="AI12" s="70" t="n">
        <x:v>0.0732236205549901</x:v>
      </x:c>
    </x:row>
    <x:row r="13">
      <x:c r="C13" s="43" t="str">
        <x:v>Energy reported</x:v>
      </x:c>
      <x:c r="D13" s="43" t="str">
        <x:v>since_2022_ex_seams</x:v>
      </x:c>
      <x:c r="E13" s="43" t="str">
        <x:v>BCOM</x:v>
      </x:c>
      <x:c r="F13" s="19" t="n">
        <x:v>44562</x:v>
      </x:c>
      <x:c r="G13" s="19" t="n">
        <x:v>46204</x:v>
      </x:c>
      <x:c r="H13" s="64" t="n">
        <x:v>52</x:v>
      </x:c>
      <x:c r="I13" s="70" t="n">
        <x:v>0.2128183458679942</x:v>
      </x:c>
      <x:c r="J13" s="70" t="n">
        <x:v>0.12725512259277616</x:v>
      </x:c>
      <x:c r="K13" s="64" t="n">
        <x:v>2</x:v>
      </x:c>
      <x:c r="L13" s="52" t="n">
        <x:v>2.6385849094289293</x:v>
      </x:c>
      <x:c r="M13" s="70" t="n">
        <x:v>0.04987006136742326</x:v>
      </x:c>
      <x:c r="N13" s="52" t="n">
        <x:v>0.4447114363087884</x:v>
      </x:c>
      <x:c r="O13" s="70" t="n">
        <x:v>0.6565283035719476</x:v>
      </x:c>
      <x:c r="P13" s="52" t="n">
        <x:v>0.8300069437137054</x:v>
      </x:c>
      <x:c r="Q13" s="70" t="n">
        <x:v>0.4074649636046197</x:v>
      </x:c>
      <x:c r="R13" s="52" t="n">
        <x:v>1.6541718066761613</x:v>
      </x:c>
      <x:c r="S13" s="70" t="n">
        <x:v>0.09809260950887588</x:v>
      </x:c>
      <x:c r="T13" s="52" t="n">
        <x:v>0.37434907977869103</x:v>
      </x:c>
      <x:c r="U13" s="70" t="n">
        <x:v>0.13154517819318579</x:v>
      </x:c>
      <x:c r="V13" s="52" t="n">
        <x:v>0.7391069510483529</x:v>
      </x:c>
      <x:c r="W13" s="70" t="n">
        <x:v>0.45984205631393005</x:v>
      </x:c>
      <x:c r="X13" s="52" t="n">
        <x:v>1.5105103462150882</x:v>
      </x:c>
      <x:c r="Y13" s="70" t="n">
        <x:v>0.11647169309221007</x:v>
      </x:c>
      <x:c r="Z13" s="52" t="n">
        <x:v>1.1275567489658522</x:v>
      </x:c>
      <x:c r="AA13" s="70" t="n">
        <x:v>0.2595071613277151</x:v>
      </x:c>
      <x:c r="AB13" s="52" t="n">
        <x:v>2.3155222479225</x:v>
      </x:c>
      <x:c r="AC13" s="70" t="n">
        <x:v>0.13816351485688505</x:v>
      </x:c>
      <x:c r="AD13" s="52" t="n">
        <x:v>0.8734119989266087</x:v>
      </x:c>
      <x:c r="AE13" s="70" t="n">
        <x:v>0.3824385531757579</x:v>
      </x:c>
      <x:c r="AF13" s="52"/>
      <x:c r="AG13" s="70"/>
      <x:c r="AH13" s="52"/>
      <x:c r="AI13" s="70"/>
    </x:row>
    <x:row r="14">
      <x:c r="C14" s="43" t="str">
        <x:v>Energy reported</x:v>
      </x:c>
      <x:c r="D14" s="43" t="str">
        <x:v>since_2022_ex_seams</x:v>
      </x:c>
      <x:c r="E14" s="43" t="str">
        <x:v>Brent</x:v>
      </x:c>
      <x:c r="F14" s="19" t="n">
        <x:v>44562</x:v>
      </x:c>
      <x:c r="G14" s="19" t="n">
        <x:v>46204</x:v>
      </x:c>
      <x:c r="H14" s="64" t="n">
        <x:v>52</x:v>
      </x:c>
      <x:c r="I14" s="70" t="n">
        <x:v>0.34905857436165266</x:v>
      </x:c>
      <x:c r="J14" s="70" t="n">
        <x:v>0.2783040715748758</x:v>
      </x:c>
      <x:c r="K14" s="64" t="n">
        <x:v>2</x:v>
      </x:c>
      <x:c r="L14" s="52" t="n">
        <x:v>0.6205610729161011</x:v>
      </x:c>
      <x:c r="M14" s="70" t="n">
        <x:v>0.01172879397512272</x:v>
      </x:c>
      <x:c r="N14" s="52" t="n">
        <x:v>0.1305192500626341</x:v>
      </x:c>
      <x:c r="O14" s="70" t="n">
        <x:v>0.8961556250654699</x:v>
      </x:c>
      <x:c r="P14" s="52"/>
      <x:c r="Q14" s="70"/>
      <x:c r="R14" s="52"/>
      <x:c r="S14" s="70"/>
      <x:c r="T14" s="52" t="n">
        <x:v>0.1824992668683586</x:v>
      </x:c>
      <x:c r="U14" s="70" t="n">
        <x:v>0.06412971175063774</x:v>
      </x:c>
      <x:c r="V14" s="52" t="n">
        <x:v>0.5274164596254265</x:v>
      </x:c>
      <x:c r="W14" s="70" t="n">
        <x:v>0.5979044158293221</x:v>
      </x:c>
      <x:c r="X14" s="52" t="n">
        <x:v>1.1888154153391395</x:v>
      </x:c>
      <x:c r="Y14" s="70" t="n">
        <x:v>0.09166659768045779</x:v>
      </x:c>
      <x:c r="Z14" s="52" t="n">
        <x:v>0.938186132848934</x:v>
      </x:c>
      <x:c r="AA14" s="70" t="n">
        <x:v>0.3481487635203211</x:v>
      </x:c>
      <x:c r="AB14" s="52" t="n">
        <x:v>2.399542128620789</x:v>
      </x:c>
      <x:c r="AC14" s="70" t="n">
        <x:v>0.14317684696610883</x:v>
      </x:c>
      <x:c r="AD14" s="52" t="n">
        <x:v>1.2865582345496998</x:v>
      </x:c>
      <x:c r="AE14" s="70" t="n">
        <x:v>0.19824830891336886</x:v>
      </x:c>
      <x:c r="AF14" s="52" t="n">
        <x:v>0.4109014436609413</x:v>
      </x:c>
      <x:c r="AG14" s="70" t="n">
        <x:v>0.5288755044502611</x:v>
      </x:c>
      <x:c r="AH14" s="52" t="n">
        <x:v>3.0072354219213957</x:v>
      </x:c>
      <x:c r="AI14" s="70" t="n">
        <x:v>0.002636355058044604</x:v>
      </x:c>
    </x:row>
    <x:row r="15">
      <x:c r="C15" s="43" t="str">
        <x:v>IBOV</x:v>
      </x:c>
      <x:c r="D15" s="43" t="str">
        <x:v>primary</x:v>
      </x:c>
      <x:c r="E15" s="43" t="str">
        <x:v>BCOM</x:v>
      </x:c>
      <x:c r="F15" s="19" t="n">
        <x:v>39904</x:v>
      </x:c>
      <x:c r="G15" s="19" t="n">
        <x:v>46204</x:v>
      </x:c>
      <x:c r="H15" s="64" t="n">
        <x:v>184</x:v>
      </x:c>
      <x:c r="I15" s="70" t="n">
        <x:v>0.4378618651513946</x:v>
      </x:c>
      <x:c r="J15" s="70" t="n">
        <x:v>0.42207146810508545</x:v>
      </x:c>
      <x:c r="K15" s="64" t="n">
        <x:v>0</x:v>
      </x:c>
      <x:c r="L15" s="52" t="n">
        <x:v>6.179005187471408</x:v>
      </x:c>
      <x:c r="M15" s="70" t="n">
        <x:v>0.430088638781141</x:v>
      </x:c>
      <x:c r="N15" s="52" t="n">
        <x:v>5.679723558059265</x:v>
      </x:c>
      <x:c r="O15" s="70" t="n">
        <x:v>1.349126099725595e-8</x:v>
      </x:c>
      <x:c r="P15" s="52" t="n">
        <x:v>0.638970710509807</x:v>
      </x:c>
      <x:c r="Q15" s="70" t="n">
        <x:v>0.3819227272079247</x:v>
      </x:c>
      <x:c r="R15" s="52" t="n">
        <x:v>3.241243806124603</x:v>
      </x:c>
      <x:c r="S15" s="70" t="n">
        <x:v>0.001190093526896252</x:v>
      </x:c>
      <x:c r="T15" s="52" t="n">
        <x:v>0.30761286578718927</x:v>
      </x:c>
      <x:c r="U15" s="70" t="n">
        <x:v>0.17760775023582037</x:v>
      </x:c>
      <x:c r="V15" s="52" t="n">
        <x:v>1.6585011190967796</x:v>
      </x:c>
      <x:c r="W15" s="70" t="n">
        <x:v>0.09721636183488536</x:v>
      </x:c>
      <x:c r="X15" s="52" t="n">
        <x:v>3.209394419808668</x:v>
      </x:c>
      <x:c r="Y15" s="70" t="n">
        <x:v>0.27778237812723067</x:v>
      </x:c>
      <x:c r="Z15" s="52" t="n">
        <x:v>2.9333750006721546</x:v>
      </x:c>
      <x:c r="AA15" s="70" t="n">
        <x:v>0.00335298638717596</x:v>
      </x:c>
      <x:c r="AB15" s="52" t="n">
        <x:v>0.7412980849881029</x:v>
      </x:c>
      <x:c r="AC15" s="70" t="n">
        <x:v>0.06267292448919115</x:v>
      </x:c>
      <x:c r="AD15" s="52" t="n">
        <x:v>0.9454318453259561</x:v>
      </x:c>
      <x:c r="AE15" s="70" t="n">
        <x:v>0.34443845057217715</x:v>
      </x:c>
      <x:c r="AF15" s="52"/>
      <x:c r="AG15" s="70"/>
      <x:c r="AH15" s="52"/>
      <x:c r="AI15" s="70"/>
    </x:row>
    <x:row r="16">
      <x:c r="C16" s="43" t="str">
        <x:v>IBOV</x:v>
      </x:c>
      <x:c r="D16" s="43" t="str">
        <x:v>primary</x:v>
      </x:c>
      <x:c r="E16" s="43" t="str">
        <x:v>Brent</x:v>
      </x:c>
      <x:c r="F16" s="19" t="n">
        <x:v>39904</x:v>
      </x:c>
      <x:c r="G16" s="19" t="n">
        <x:v>46204</x:v>
      </x:c>
      <x:c r="H16" s="64" t="n">
        <x:v>184</x:v>
      </x:c>
      <x:c r="I16" s="70" t="n">
        <x:v>0.389191477330491</x:v>
      </x:c>
      <x:c r="J16" s="70" t="n">
        <x:v>0.37203393455887557</x:v>
      </x:c>
      <x:c r="K16" s="64" t="n">
        <x:v>0</x:v>
      </x:c>
      <x:c r="L16" s="52" t="n">
        <x:v>6.218562657827185</x:v>
      </x:c>
      <x:c r="M16" s="70" t="n">
        <x:v>0.43284202999263055</x:v>
      </x:c>
      <x:c r="N16" s="52" t="n">
        <x:v>4.263604974169302</x:v>
      </x:c>
      <x:c r="O16" s="70" t="n">
        <x:v>0.00002011549322111783</x:v>
      </x:c>
      <x:c r="P16" s="52"/>
      <x:c r="Q16" s="70"/>
      <x:c r="R16" s="52"/>
      <x:c r="S16" s="70"/>
      <x:c r="T16" s="52" t="n">
        <x:v>0.049650144070245705</x:v>
      </x:c>
      <x:c r="U16" s="70" t="n">
        <x:v>0.028666715108401478</x:v>
      </x:c>
      <x:c r="V16" s="52" t="n">
        <x:v>0.27423235746120517</x:v>
      </x:c>
      <x:c r="W16" s="70" t="n">
        <x:v>0.7839060632480086</x:v>
      </x:c>
      <x:c r="X16" s="52" t="n">
        <x:v>3.168842360926816</x:v>
      </x:c>
      <x:c r="Y16" s="70" t="n">
        <x:v>0.2742724800341109</x:v>
      </x:c>
      <x:c r="Z16" s="52" t="n">
        <x:v>2.8565993702333805</x:v>
      </x:c>
      <x:c r="AA16" s="70" t="n">
        <x:v>0.004282059435735341</x:v>
      </x:c>
      <x:c r="AB16" s="52" t="n">
        <x:v>1.6734551060330338</x:v>
      </x:c>
      <x:c r="AC16" s="70" t="n">
        <x:v>0.1414819862891491</x:v>
      </x:c>
      <x:c r="AD16" s="52" t="n">
        <x:v>1.9615694962093542</x:v>
      </x:c>
      <x:c r="AE16" s="70" t="n">
        <x:v>0.049812626560227224</x:v>
      </x:c>
      <x:c r="AF16" s="52" t="n">
        <x:v>0.10453966209105037</x:v>
      </x:c>
      <x:c r="AG16" s="70" t="n">
        <x:v>0.19914333893566494</x:v>
      </x:c>
      <x:c r="AH16" s="52" t="n">
        <x:v>1.280906264878104</x:v>
      </x:c>
      <x:c r="AI16" s="70" t="n">
        <x:v>0.20022659204672744</x:v>
      </x:c>
    </x:row>
    <x:row r="17">
      <x:c r="C17" s="43" t="str">
        <x:v>IBOV</x:v>
      </x:c>
      <x:c r="D17" s="43" t="str">
        <x:v>clean</x:v>
      </x:c>
      <x:c r="E17" s="43" t="str">
        <x:v>BCOM</x:v>
      </x:c>
      <x:c r="F17" s="19" t="n">
        <x:v>39904</x:v>
      </x:c>
      <x:c r="G17" s="19" t="n">
        <x:v>46204</x:v>
      </x:c>
      <x:c r="H17" s="64" t="n">
        <x:v>160</x:v>
      </x:c>
      <x:c r="I17" s="70" t="n">
        <x:v>0.24994435729384612</x:v>
      </x:c>
      <x:c r="J17" s="70" t="n">
        <x:v>0.22559190136182805</x:v>
      </x:c>
      <x:c r="K17" s="64" t="n">
        <x:v>0</x:v>
      </x:c>
      <x:c r="L17" s="52" t="n">
        <x:v>4.166800677918155</x:v>
      </x:c>
      <x:c r="M17" s="70" t="n">
        <x:v>0.2548726497622179</x:v>
      </x:c>
      <x:c r="N17" s="52" t="n">
        <x:v>3.3911466581937932</x:v>
      </x:c>
      <x:c r="O17" s="70" t="n">
        <x:v>0.0006960084581588699</x:v>
      </x:c>
      <x:c r="P17" s="52" t="n">
        <x:v>0.6388790310264731</x:v>
      </x:c>
      <x:c r="Q17" s="70" t="n">
        <x:v>0.45483038829140343</x:v>
      </x:c>
      <x:c r="R17" s="52" t="n">
        <x:v>3.348884329618049</x:v>
      </x:c>
      <x:c r="S17" s="70" t="n">
        <x:v>0.0008113766187791693</x:v>
      </x:c>
      <x:c r="T17" s="52" t="n">
        <x:v>0.327206901919177</x:v>
      </x:c>
      <x:c r="U17" s="70" t="n">
        <x:v>0.22748047588095055</x:v>
      </x:c>
      <x:c r="V17" s="52" t="n">
        <x:v>1.7043663850527677</x:v>
      </x:c>
      <x:c r="W17" s="70" t="n">
        <x:v>0.0883126598412991</x:v>
      </x:c>
      <x:c r="X17" s="52" t="n">
        <x:v>2.145720601704407</x:v>
      </x:c>
      <x:c r="Y17" s="70" t="n">
        <x:v>0.21510962475540113</x:v>
      </x:c>
      <x:c r="Z17" s="52" t="n">
        <x:v>1.9322015280488225</x:v>
      </x:c>
      <x:c r="AA17" s="70" t="n">
        <x:v>0.053334636667004665</x:v>
      </x:c>
      <x:c r="AB17" s="52" t="n">
        <x:v>0.49066740201279013</x:v>
      </x:c>
      <x:c r="AC17" s="70" t="n">
        <x:v>0.04484376031567555</x:v>
      </x:c>
      <x:c r="AD17" s="52" t="n">
        <x:v>0.5706505391826517</x:v>
      </x:c>
      <x:c r="AE17" s="70" t="n">
        <x:v>0.568236552611753</x:v>
      </x:c>
      <x:c r="AF17" s="52"/>
      <x:c r="AG17" s="70"/>
      <x:c r="AH17" s="52"/>
      <x:c r="AI17" s="70"/>
    </x:row>
    <x:row r="18">
      <x:c r="C18" s="43" t="str">
        <x:v>IBOV</x:v>
      </x:c>
      <x:c r="D18" s="43" t="str">
        <x:v>clean</x:v>
      </x:c>
      <x:c r="E18" s="43" t="str">
        <x:v>Brent</x:v>
      </x:c>
      <x:c r="F18" s="19" t="n">
        <x:v>39904</x:v>
      </x:c>
      <x:c r="G18" s="19" t="n">
        <x:v>46204</x:v>
      </x:c>
      <x:c r="H18" s="64" t="n">
        <x:v>160</x:v>
      </x:c>
      <x:c r="I18" s="70" t="n">
        <x:v>0.2442804852415661</x:v>
      </x:c>
      <x:c r="J18" s="70" t="n">
        <x:v>0.2197441373597987</x:v>
      </x:c>
      <x:c r="K18" s="64" t="n">
        <x:v>0</x:v>
      </x:c>
      <x:c r="L18" s="52" t="n">
        <x:v>3.7117043243604932</x:v>
      </x:c>
      <x:c r="M18" s="70" t="n">
        <x:v>0.227035557831457</x:v>
      </x:c>
      <x:c r="N18" s="52" t="n">
        <x:v>2.6002111846970215</x:v>
      </x:c>
      <x:c r="O18" s="70" t="n">
        <x:v>0.00931664059175219</x:v>
      </x:c>
      <x:c r="P18" s="52"/>
      <x:c r="Q18" s="70"/>
      <x:c r="R18" s="52"/>
      <x:c r="S18" s="70"/>
      <x:c r="T18" s="52" t="n">
        <x:v>0.12801438602350257</x:v>
      </x:c>
      <x:c r="U18" s="70" t="n">
        <x:v>0.08899804154933971</x:v>
      </x:c>
      <x:c r="V18" s="52" t="n">
        <x:v>0.7077167476521993</x:v>
      </x:c>
      <x:c r="W18" s="70" t="n">
        <x:v>0.4791211749728137</x:v>
      </x:c>
      <x:c r="X18" s="52" t="n">
        <x:v>1.7872607514045558</x:v>
      </x:c>
      <x:c r="Y18" s="70" t="n">
        <x:v>0.17917383524644562</x:v>
      </x:c>
      <x:c r="Z18" s="52" t="n">
        <x:v>1.575680066123725</x:v>
      </x:c>
      <x:c r="AA18" s="70" t="n">
        <x:v>0.11509955366157731</x:v>
      </x:c>
      <x:c r="AB18" s="52" t="n">
        <x:v>1.1670304823660522</x:v>
      </x:c>
      <x:c r="AC18" s="70" t="n">
        <x:v>0.10665887935010285</x:v>
      </x:c>
      <x:c r="AD18" s="52" t="n">
        <x:v>1.2734896180475932</x:v>
      </x:c>
      <x:c r="AE18" s="70" t="n">
        <x:v>0.20284435429384917</x:v>
      </x:c>
      <x:c r="AF18" s="52" t="n">
        <x:v>0.21485025192031948</x:v>
      </x:c>
      <x:c r="AG18" s="70" t="n">
        <x:v>0.377147866929134</x:v>
      </x:c>
      <x:c r="AH18" s="52" t="n">
        <x:v>2.785514845792775</x:v>
      </x:c>
      <x:c r="AI18" s="70" t="n">
        <x:v>0.005344279269200891</x:v>
      </x:c>
    </x:row>
    <x:row r="19">
      <x:c r="C19" s="43" t="str">
        <x:v>IBOV</x:v>
      </x:c>
      <x:c r="D19" s="43" t="str">
        <x:v>audit_clean</x:v>
      </x:c>
      <x:c r="E19" s="43" t="str">
        <x:v>BCOM</x:v>
      </x:c>
      <x:c r="F19" s="19" t="n">
        <x:v>39904</x:v>
      </x:c>
      <x:c r="G19" s="19" t="n">
        <x:v>46204</x:v>
      </x:c>
      <x:c r="H19" s="64" t="n">
        <x:v>151</x:v>
      </x:c>
      <x:c r="I19" s="70" t="n">
        <x:v>0.2947933990467133</x:v>
      </x:c>
      <x:c r="J19" s="70" t="n">
        <x:v>0.27047593004832415</x:v>
      </x:c>
      <x:c r="K19" s="64" t="n">
        <x:v>0</x:v>
      </x:c>
      <x:c r="L19" s="52" t="n">
        <x:v>4.442488062949742</x:v>
      </x:c>
      <x:c r="M19" s="70" t="n">
        <x:v>0.2777487624893034</x:v>
      </x:c>
      <x:c r="N19" s="52" t="n">
        <x:v>3.391520682662669</x:v>
      </x:c>
      <x:c r="O19" s="70" t="n">
        <x:v>0.0006950591692611585</x:v>
      </x:c>
      <x:c r="P19" s="52" t="n">
        <x:v>0.6450459278625379</x:v>
      </x:c>
      <x:c r="Q19" s="70" t="n">
        <x:v>0.46145055700881465</x:v>
      </x:c>
      <x:c r="R19" s="52" t="n">
        <x:v>3.107269104957294</x:v>
      </x:c>
      <x:c r="S19" s="70" t="n">
        <x:v>0.0018882442564400748</x:v>
      </x:c>
      <x:c r="T19" s="52" t="n">
        <x:v>0.3559614878121167</x:v>
      </x:c>
      <x:c r="U19" s="70" t="n">
        <x:v>0.25246773373660336</x:v>
      </x:c>
      <x:c r="V19" s="52" t="n">
        <x:v>1.8014179856492487</x:v>
      </x:c>
      <x:c r="W19" s="70" t="n">
        <x:v>0.071637023413615</x:v>
      </x:c>
      <x:c r="X19" s="52" t="n">
        <x:v>2.7647025198319914</x:v>
      </x:c>
      <x:c r="Y19" s="70" t="n">
        <x:v>0.2695855944701918</x:v>
      </x:c>
      <x:c r="Z19" s="52" t="n">
        <x:v>3.254091526615604</x:v>
      </x:c>
      <x:c r="AA19" s="70" t="n">
        <x:v>0.0011375562289384078</x:v>
      </x:c>
      <x:c r="AB19" s="52" t="n">
        <x:v>0.9363982293652462</x:v>
      </x:c>
      <x:c r="AC19" s="70" t="n">
        <x:v>0.08449022987147772</x:v>
      </x:c>
      <x:c r="AD19" s="52" t="n">
        <x:v>1.2789753938510928</x:v>
      </x:c>
      <x:c r="AE19" s="70" t="n">
        <x:v>0.20090572096373926</x:v>
      </x:c>
      <x:c r="AF19" s="52"/>
      <x:c r="AG19" s="70"/>
      <x:c r="AH19" s="52"/>
      <x:c r="AI19" s="70"/>
    </x:row>
    <x:row r="20">
      <x:c r="C20" s="43" t="str">
        <x:v>IBOV</x:v>
      </x:c>
      <x:c r="D20" s="43" t="str">
        <x:v>audit_clean</x:v>
      </x:c>
      <x:c r="E20" s="43" t="str">
        <x:v>Brent</x:v>
      </x:c>
      <x:c r="F20" s="19" t="n">
        <x:v>39904</x:v>
      </x:c>
      <x:c r="G20" s="19" t="n">
        <x:v>46204</x:v>
      </x:c>
      <x:c r="H20" s="64" t="n">
        <x:v>151</x:v>
      </x:c>
      <x:c r="I20" s="70" t="n">
        <x:v>0.27448367567343124</x:v>
      </x:c>
      <x:c r="J20" s="70" t="n">
        <x:v>0.24946587138630816</x:v>
      </x:c>
      <x:c r="K20" s="64" t="n">
        <x:v>0</x:v>
      </x:c>
      <x:c r="L20" s="52" t="n">
        <x:v>3.98806552116015</x:v>
      </x:c>
      <x:c r="M20" s="70" t="n">
        <x:v>0.24933781420067852</x:v>
      </x:c>
      <x:c r="N20" s="52" t="n">
        <x:v>2.6567471313145443</x:v>
      </x:c>
      <x:c r="O20" s="70" t="n">
        <x:v>0.00788985988790225</x:v>
      </x:c>
      <x:c r="P20" s="52"/>
      <x:c r="Q20" s="70"/>
      <x:c r="R20" s="52"/>
      <x:c r="S20" s="70"/>
      <x:c r="T20" s="52" t="n">
        <x:v>0.13471882386808387</x:v>
      </x:c>
      <x:c r="U20" s="70" t="n">
        <x:v>0.09555010111539869</x:v>
      </x:c>
      <x:c r="V20" s="52" t="n">
        <x:v>0.7412931567019528</x:v>
      </x:c>
      <x:c r="W20" s="70" t="n">
        <x:v>0.45851571009178427</x:v>
      </x:c>
      <x:c r="X20" s="52" t="n">
        <x:v>2.348658825107024</x:v>
      </x:c>
      <x:c r="Y20" s="70" t="n">
        <x:v>0.2290172562987414</x:v>
      </x:c>
      <x:c r="Z20" s="52" t="n">
        <x:v>2.5515378520697083</x:v>
      </x:c>
      <x:c r="AA20" s="70" t="n">
        <x:v>0.010724867354920953</x:v>
      </x:c>
      <x:c r="AB20" s="52" t="n">
        <x:v>1.5903102413275485</x:v>
      </x:c>
      <x:c r="AC20" s="70" t="n">
        <x:v>0.14349202469958977</x:v>
      </x:c>
      <x:c r="AD20" s="52" t="n">
        <x:v>2.001509944998401</x:v>
      </x:c>
      <x:c r="AE20" s="70" t="n">
        <x:v>0.045337463122516075</x:v>
      </x:c>
      <x:c r="AF20" s="52" t="n">
        <x:v>0.20009684647744708</x:v>
      </x:c>
      <x:c r="AG20" s="70" t="n">
        <x:v>0.3551927538381441</x:v>
      </x:c>
      <x:c r="AH20" s="52" t="n">
        <x:v>2.4361682809853553</x:v>
      </x:c>
      <x:c r="AI20" s="70" t="n">
        <x:v>0.01484377714426266</x:v>
      </x:c>
    </x:row>
    <x:row r="21">
      <x:c r="C21" s="43" t="str">
        <x:v>IBOV</x:v>
      </x:c>
      <x:c r="D21" s="43" t="str">
        <x:v>since_2022_ex_seams</x:v>
      </x:c>
      <x:c r="E21" s="43" t="str">
        <x:v>BCOM</x:v>
      </x:c>
      <x:c r="F21" s="19" t="n">
        <x:v>44562</x:v>
      </x:c>
      <x:c r="G21" s="19" t="n">
        <x:v>46204</x:v>
      </x:c>
      <x:c r="H21" s="64" t="n">
        <x:v>52</x:v>
      </x:c>
      <x:c r="I21" s="70" t="n">
        <x:v>0.5628461890453108</x:v>
      </x:c>
      <x:c r="J21" s="70" t="n">
        <x:v>0.5153294704632794</x:v>
      </x:c>
      <x:c r="K21" s="64" t="n">
        <x:v>0</x:v>
      </x:c>
      <x:c r="L21" s="52" t="n">
        <x:v>-0.25374865841430233</x:v>
      </x:c>
      <x:c r="M21" s="70" t="n">
        <x:v>-0.006695245399023109</x:v>
      </x:c>
      <x:c r="N21" s="52" t="n">
        <x:v>-0.06716788430550454</x:v>
      </x:c>
      <x:c r="O21" s="70" t="n">
        <x:v>0.9464480519775598</x:v>
      </x:c>
      <x:c r="P21" s="52" t="n">
        <x:v>1.160931030616655</x:v>
      </x:c>
      <x:c r="Q21" s="70" t="n">
        <x:v>0.795625844399258</x:v>
      </x:c>
      <x:c r="R21" s="52" t="n">
        <x:v>3.886685190838934</x:v>
      </x:c>
      <x:c r="S21" s="70" t="n">
        <x:v>0.00010162240555677826</x:v>
      </x:c>
      <x:c r="T21" s="52" t="n">
        <x:v>0.7592700695540957</x:v>
      </x:c>
      <x:c r="U21" s="70" t="n">
        <x:v>0.37246747996820145</x:v>
      </x:c>
      <x:c r="V21" s="52" t="n">
        <x:v>2.5646771766667595</x:v>
      </x:c>
      <x:c r="W21" s="70" t="n">
        <x:v>0.010327183884280888</x:v>
      </x:c>
      <x:c r="X21" s="52" t="n">
        <x:v>2.3570314767518243</x:v>
      </x:c>
      <x:c r="Y21" s="70" t="n">
        <x:v>0.25372074808780765</x:v>
      </x:c>
      <x:c r="Z21" s="52" t="n">
        <x:v>2.0169735411136176</x:v>
      </x:c>
      <x:c r="AA21" s="70" t="n">
        <x:v>0.04369827456223874</x:v>
      </x:c>
      <x:c r="AB21" s="52" t="n">
        <x:v>-0.041408225362889545</x:v>
      </x:c>
      <x:c r="AC21" s="70" t="n">
        <x:v>-0.0034492521989908367</x:v>
      </x:c>
      <x:c r="AD21" s="52" t="n">
        <x:v>-0.027919874094315116</x:v>
      </x:c>
      <x:c r="AE21" s="70" t="n">
        <x:v>0.9777260573864586</x:v>
      </x:c>
      <x:c r="AF21" s="52"/>
      <x:c r="AG21" s="70"/>
      <x:c r="AH21" s="52"/>
      <x:c r="AI21" s="70"/>
    </x:row>
    <x:row r="22">
      <x:c r="C22" s="43" t="str">
        <x:v>IBOV</x:v>
      </x:c>
      <x:c r="D22" s="43" t="str">
        <x:v>since_2022_ex_seams</x:v>
      </x:c>
      <x:c r="E22" s="43" t="str">
        <x:v>Brent</x:v>
      </x:c>
      <x:c r="F22" s="19" t="n">
        <x:v>44562</x:v>
      </x:c>
      <x:c r="G22" s="19" t="n">
        <x:v>46204</x:v>
      </x:c>
      <x:c r="H22" s="64" t="n">
        <x:v>52</x:v>
      </x:c>
      <x:c r="I22" s="70" t="n">
        <x:v>0.650529124480552</x:v>
      </x:c>
      <x:c r="J22" s="70" t="n">
        <x:v>0.6125431597501771</x:v>
      </x:c>
      <x:c r="K22" s="64" t="n">
        <x:v>0</x:v>
      </x:c>
      <x:c r="L22" s="52" t="n">
        <x:v>-1.7821376590350562</x:v>
      </x:c>
      <x:c r="M22" s="70" t="n">
        <x:v>-0.04702231348391378</x:v>
      </x:c>
      <x:c r="N22" s="52" t="n">
        <x:v>-0.43250513115455</x:v>
      </x:c>
      <x:c r="O22" s="70" t="n">
        <x:v>0.6653743236967153</x:v>
      </x:c>
      <x:c r="P22" s="52"/>
      <x:c r="Q22" s="70"/>
      <x:c r="R22" s="52"/>
      <x:c r="S22" s="70"/>
      <x:c r="T22" s="52" t="n">
        <x:v>0.2161467899249644</x:v>
      </x:c>
      <x:c r="U22" s="70" t="n">
        <x:v>0.10603295635484204</x:v>
      </x:c>
      <x:c r="V22" s="52" t="n">
        <x:v>0.9254444366668482</x:v>
      </x:c>
      <x:c r="W22" s="70" t="n">
        <x:v>0.35473477333005965</x:v>
      </x:c>
      <x:c r="X22" s="52" t="n">
        <x:v>2.1561962276036897</x:v>
      </x:c>
      <x:c r="Y22" s="70" t="n">
        <x:v>0.23210200003167775</x:v>
      </x:c>
      <x:c r="Z22" s="52" t="n">
        <x:v>2.039849943665772</x:v>
      </x:c>
      <x:c r="AA22" s="70" t="n">
        <x:v>0.04136527365707843</x:v>
      </x:c>
      <x:c r="AB22" s="52" t="n">
        <x:v>1.2481730697064317</x:v>
      </x:c>
      <x:c r="AC22" s="70" t="n">
        <x:v>0.10397121991284955</x:v>
      </x:c>
      <x:c r="AD22" s="52" t="n">
        <x:v>1.1003047349826596</x:v>
      </x:c>
      <x:c r="AE22" s="70" t="n">
        <x:v>0.27119936978709847</x:v>
      </x:c>
      <x:c r="AF22" s="52" t="n">
        <x:v>0.4008841903475395</x:v>
      </x:c>
      <x:c r="AG22" s="70" t="n">
        <x:v>0.7203252379868055</x:v>
      </x:c>
      <x:c r="AH22" s="52" t="n">
        <x:v>5.827589434030954</x:v>
      </x:c>
      <x:c r="AI22" s="70" t="n">
        <x:v>5.623371546192857e-9</x:v>
      </x:c>
    </x:row>
    <x:row r="23">
      <x:c r="C23" s="43" t="str">
        <x:v>Petrobras</x:v>
      </x:c>
      <x:c r="D23" s="43" t="str">
        <x:v>primary</x:v>
      </x:c>
      <x:c r="E23" s="43" t="str">
        <x:v>BCOM</x:v>
      </x:c>
      <x:c r="F23" s="19" t="n">
        <x:v>39904</x:v>
      </x:c>
      <x:c r="G23" s="19" t="n">
        <x:v>46204</x:v>
      </x:c>
      <x:c r="H23" s="64" t="n">
        <x:v>182</x:v>
      </x:c>
      <x:c r="I23" s="70" t="n">
        <x:v>0.5080438903664803</x:v>
      </x:c>
      <x:c r="J23" s="70" t="n">
        <x:v>0.49406786452461904</x:v>
      </x:c>
      <x:c r="K23" s="64" t="n">
        <x:v>2</x:v>
      </x:c>
      <x:c r="L23" s="52" t="n">
        <x:v>28.771948116674597</x:v>
      </x:c>
      <x:c r="M23" s="70" t="n">
        <x:v>0.6319146199690786</x:v>
      </x:c>
      <x:c r="N23" s="52" t="n">
        <x:v>2.952200544196299</x:v>
      </x:c>
      <x:c r="O23" s="70" t="n">
        <x:v>0.0031551793998847444</x:v>
      </x:c>
      <x:c r="P23" s="52" t="n">
        <x:v>0.61159828298244</x:v>
      </x:c>
      <x:c r="Q23" s="70" t="n">
        <x:v>0.11912724490598425</x:v>
      </x:c>
      <x:c r="R23" s="52" t="n">
        <x:v>1.5314974920013762</x:v>
      </x:c>
      <x:c r="S23" s="70" t="n">
        <x:v>0.12564648579726123</x:v>
      </x:c>
      <x:c r="T23" s="52" t="n">
        <x:v>0.3561336535292874</x:v>
      </x:c>
      <x:c r="U23" s="70" t="n">
        <x:v>0.06718014060289465</x:v>
      </x:c>
      <x:c r="V23" s="52" t="n">
        <x:v>0.705769123412053</x:v>
      </x:c>
      <x:c r="W23" s="70" t="n">
        <x:v>0.4803317265094975</x:v>
      </x:c>
      <x:c r="X23" s="52" t="n">
        <x:v>6.895847613423711</x:v>
      </x:c>
      <x:c r="Y23" s="70" t="n">
        <x:v>0.19325677975466168</x:v>
      </x:c>
      <x:c r="Z23" s="52" t="n">
        <x:v>1.729112804014622</x:v>
      </x:c>
      <x:c r="AA23" s="70" t="n">
        <x:v>0.08378890800377237</x:v>
      </x:c>
      <x:c r="AB23" s="52" t="n">
        <x:v>7.172876925637736</x:v>
      </x:c>
      <x:c r="AC23" s="70" t="n">
        <x:v>0.19787086676578539</x:v>
      </x:c>
      <x:c r="AD23" s="52" t="n">
        <x:v>1.7269618266309932</x:v>
      </x:c>
      <x:c r="AE23" s="70" t="n">
        <x:v>0.08417451941800458</x:v>
      </x:c>
      <x:c r="AF23" s="52"/>
      <x:c r="AG23" s="70"/>
      <x:c r="AH23" s="52"/>
      <x:c r="AI23" s="70"/>
    </x:row>
    <x:row r="24">
      <x:c r="C24" s="43" t="str">
        <x:v>Petrobras</x:v>
      </x:c>
      <x:c r="D24" s="43" t="str">
        <x:v>primary</x:v>
      </x:c>
      <x:c r="E24" s="43" t="str">
        <x:v>Brent</x:v>
      </x:c>
      <x:c r="F24" s="19" t="n">
        <x:v>39904</x:v>
      </x:c>
      <x:c r="G24" s="19" t="n">
        <x:v>46204</x:v>
      </x:c>
      <x:c r="H24" s="64" t="n">
        <x:v>182</x:v>
      </x:c>
      <x:c r="I24" s="70" t="n">
        <x:v>0.5026459369384499</x:v>
      </x:c>
      <x:c r="J24" s="70" t="n">
        <x:v>0.4885165601469287</x:v>
      </x:c>
      <x:c r="K24" s="64" t="n">
        <x:v>2</x:v>
      </x:c>
      <x:c r="L24" s="52" t="n">
        <x:v>28.64070111278911</x:v>
      </x:c>
      <x:c r="M24" s="70" t="n">
        <x:v>0.6290320587936562</x:v>
      </x:c>
      <x:c r="N24" s="52" t="n">
        <x:v>2.6036557367092406</x:v>
      </x:c>
      <x:c r="O24" s="70" t="n">
        <x:v>0.009223535230559188</x:v>
      </x:c>
      <x:c r="P24" s="52"/>
      <x:c r="Q24" s="70"/>
      <x:c r="R24" s="52"/>
      <x:c r="S24" s="70"/>
      <x:c r="T24" s="52" t="n">
        <x:v>0.0918444795412583</x:v>
      </x:c>
      <x:c r="U24" s="70" t="n">
        <x:v>0.01732530747385342</x:v>
      </x:c>
      <x:c r="V24" s="52" t="n">
        <x:v>0.2278920040746653</x:v>
      </x:c>
      <x:c r="W24" s="70" t="n">
        <x:v>0.8197301990073111</x:v>
      </x:c>
      <x:c r="X24" s="52" t="n">
        <x:v>6.786300384391505</x:v>
      </x:c>
      <x:c r="Y24" s="70" t="n">
        <x:v>0.1901867083289829</x:v>
      </x:c>
      <x:c r="Z24" s="52" t="n">
        <x:v>1.7175221599742414</x:v>
      </x:c>
      <x:c r="AA24" s="70" t="n">
        <x:v>0.0858838090650369</x:v>
      </x:c>
      <x:c r="AB24" s="52" t="n">
        <x:v>8.096388467268769</x:v>
      </x:c>
      <x:c r="AC24" s="70" t="n">
        <x:v>0.22334684120465992</x:v>
      </x:c>
      <x:c r="AD24" s="52" t="n">
        <x:v>1.8927829455579361</x:v>
      </x:c>
      <x:c r="AE24" s="70" t="n">
        <x:v>0.058386740471485066</x:v>
      </x:c>
      <x:c r="AF24" s="52" t="n">
        <x:v>0.09323032178816604</x:v>
      </x:c>
      <x:c r="AG24" s="70" t="n">
        <x:v>0.05541942761789384</x:v>
      </x:c>
      <x:c r="AH24" s="52" t="n">
        <x:v>0.3867399950892519</x:v>
      </x:c>
      <x:c r="AI24" s="70" t="n">
        <x:v>0.6989487038740427</x:v>
      </x:c>
    </x:row>
    <x:row r="25">
      <x:c r="C25" s="43" t="str">
        <x:v>Petrobras</x:v>
      </x:c>
      <x:c r="D25" s="43" t="str">
        <x:v>clean</x:v>
      </x:c>
      <x:c r="E25" s="43" t="str">
        <x:v>BCOM</x:v>
      </x:c>
      <x:c r="F25" s="19" t="n">
        <x:v>39904</x:v>
      </x:c>
      <x:c r="G25" s="19" t="n">
        <x:v>46204</x:v>
      </x:c>
      <x:c r="H25" s="64" t="n">
        <x:v>160</x:v>
      </x:c>
      <x:c r="I25" s="70" t="n">
        <x:v>0.17682893594592397</x:v>
      </x:c>
      <x:c r="J25" s="70" t="n">
        <x:v>0.15010260269741504</x:v>
      </x:c>
      <x:c r="K25" s="64" t="n">
        <x:v>2</x:v>
      </x:c>
      <x:c r="L25" s="52" t="n">
        <x:v>10.246238820812344</x:v>
      </x:c>
      <x:c r="M25" s="70" t="n">
        <x:v>0.3534708021865621</x:v>
      </x:c>
      <x:c r="N25" s="52" t="n">
        <x:v>2.573478645604782</x:v>
      </x:c>
      <x:c r="O25" s="70" t="n">
        <x:v>0.010068185978036492</x:v>
      </x:c>
      <x:c r="P25" s="52" t="n">
        <x:v>0.5328638274537179</x:v>
      </x:c>
      <x:c r="Q25" s="70" t="n">
        <x:v>0.21395165106534209</x:v>
      </x:c>
      <x:c r="R25" s="52" t="n">
        <x:v>1.8124631550392798</x:v>
      </x:c>
      <x:c r="S25" s="70" t="n">
        <x:v>0.06991466207343078</x:v>
      </x:c>
      <x:c r="T25" s="52" t="n">
        <x:v>0.23385542906660906</x:v>
      </x:c>
      <x:c r="U25" s="70" t="n">
        <x:v>0.09169331883624823</x:v>
      </x:c>
      <x:c r="V25" s="52" t="n">
        <x:v>0.6896144756146789</x:v>
      </x:c>
      <x:c r="W25" s="70" t="n">
        <x:v>0.4904366617343121</x:v>
      </x:c>
      <x:c r="X25" s="52" t="n">
        <x:v>1.1671047527769516</x:v>
      </x:c>
      <x:c r="Y25" s="70" t="n">
        <x:v>0.06598801623990022</x:v>
      </x:c>
      <x:c r="Z25" s="52" t="n">
        <x:v>0.6932013191197781</x:v>
      </x:c>
      <x:c r="AA25" s="70" t="n">
        <x:v>0.48818322047466967</x:v>
      </x:c>
      <x:c r="AB25" s="52" t="n">
        <x:v>2.29089248892245</x:v>
      </x:c>
      <x:c r="AC25" s="70" t="n">
        <x:v>0.11808319302187972</x:v>
      </x:c>
      <x:c r="AD25" s="52" t="n">
        <x:v>0.8884235482162356</x:v>
      </x:c>
      <x:c r="AE25" s="70" t="n">
        <x:v>0.3743129631849966</x:v>
      </x:c>
      <x:c r="AF25" s="52"/>
      <x:c r="AG25" s="70"/>
      <x:c r="AH25" s="52"/>
      <x:c r="AI25" s="70"/>
    </x:row>
    <x:row r="26">
      <x:c r="C26" s="43" t="str">
        <x:v>Petrobras</x:v>
      </x:c>
      <x:c r="D26" s="43" t="str">
        <x:v>clean</x:v>
      </x:c>
      <x:c r="E26" s="43" t="str">
        <x:v>Brent</x:v>
      </x:c>
      <x:c r="F26" s="19" t="n">
        <x:v>39904</x:v>
      </x:c>
      <x:c r="G26" s="19" t="n">
        <x:v>46204</x:v>
      </x:c>
      <x:c r="H26" s="64" t="n">
        <x:v>160</x:v>
      </x:c>
      <x:c r="I26" s="70" t="n">
        <x:v>0.20159467358464922</x:v>
      </x:c>
      <x:c r="J26" s="70" t="n">
        <x:v>0.175672422727008</x:v>
      </x:c>
      <x:c r="K26" s="64" t="n">
        <x:v>2</x:v>
      </x:c>
      <x:c r="L26" s="52" t="n">
        <x:v>9.721593475395217</x:v>
      </x:c>
      <x:c r="M26" s="70" t="n">
        <x:v>0.3353717890412353</x:v>
      </x:c>
      <x:c r="N26" s="52" t="n">
        <x:v>2.4631165669647617</x:v>
      </x:c>
      <x:c r="O26" s="70" t="n">
        <x:v>0.013773512824500456</x:v>
      </x:c>
      <x:c r="P26" s="52"/>
      <x:c r="Q26" s="70"/>
      <x:c r="R26" s="52"/>
      <x:c r="S26" s="70"/>
      <x:c r="T26" s="52" t="n">
        <x:v>0.14625906002892064</x:v>
      </x:c>
      <x:c r="U26" s="70" t="n">
        <x:v>0.057347305031356606</x:v>
      </x:c>
      <x:c r="V26" s="52" t="n">
        <x:v>0.4951852161434507</x:v>
      </x:c>
      <x:c r="W26" s="70" t="n">
        <x:v>0.6204693853241874</x:v>
      </x:c>
      <x:c r="X26" s="52" t="n">
        <x:v>0.7549123131842235</x:v>
      </x:c>
      <x:c r="Y26" s="70" t="n">
        <x:v>0.04268268624866205</x:v>
      </x:c>
      <x:c r="Z26" s="52" t="n">
        <x:v>0.4562481539135715</x:v>
      </x:c>
      <x:c r="AA26" s="70" t="n">
        <x:v>0.6482115416376855</x:v>
      </x:c>
      <x:c r="AB26" s="52" t="n">
        <x:v>2.652623665862134</x:v>
      </x:c>
      <x:c r="AC26" s="70" t="n">
        <x:v>0.1367284906930469</x:v>
      </x:c>
      <x:c r="AD26" s="52" t="n">
        <x:v>1.0582610490788134</x:v>
      </x:c>
      <x:c r="AE26" s="70" t="n">
        <x:v>0.28993644555884</x:v>
      </x:c>
      <x:c r="AF26" s="52" t="n">
        <x:v>0.25436419602785065</x:v>
      </x:c>
      <x:c r="AG26" s="70" t="n">
        <x:v>0.25182586384953826</x:v>
      </x:c>
      <x:c r="AH26" s="52" t="n">
        <x:v>2.238362960623611</x:v>
      </x:c>
      <x:c r="AI26" s="70" t="n">
        <x:v>0.025197395386789445</x:v>
      </x:c>
    </x:row>
    <x:row r="27">
      <x:c r="C27" s="43" t="str">
        <x:v>Petrobras</x:v>
      </x:c>
      <x:c r="D27" s="43" t="str">
        <x:v>audit_clean</x:v>
      </x:c>
      <x:c r="E27" s="43" t="str">
        <x:v>BCOM</x:v>
      </x:c>
      <x:c r="F27" s="19" t="n">
        <x:v>39904</x:v>
      </x:c>
      <x:c r="G27" s="19" t="n">
        <x:v>46204</x:v>
      </x:c>
      <x:c r="H27" s="64" t="n">
        <x:v>151</x:v>
      </x:c>
      <x:c r="I27" s="70" t="n">
        <x:v>0.19531850219479574</x:v>
      </x:c>
      <x:c r="J27" s="70" t="n">
        <x:v>0.1675708643394439</x:v>
      </x:c>
      <x:c r="K27" s="64" t="n">
        <x:v>2</x:v>
      </x:c>
      <x:c r="L27" s="52" t="n">
        <x:v>10.156794023744851</x:v>
      </x:c>
      <x:c r="M27" s="70" t="n">
        <x:v>0.3577961263526956</x:v>
      </x:c>
      <x:c r="N27" s="52" t="n">
        <x:v>2.448123142999315</x:v>
      </x:c>
      <x:c r="O27" s="70" t="n">
        <x:v>0.014360256647650615</x:v>
      </x:c>
      <x:c r="P27" s="52" t="n">
        <x:v>0.483159351174689</x:v>
      </x:c>
      <x:c r="Q27" s="70" t="n">
        <x:v>0.19475026269281642</x:v>
      </x:c>
      <x:c r="R27" s="52" t="n">
        <x:v>1.499703007046294</x:v>
      </x:c>
      <x:c r="S27" s="70" t="n">
        <x:v>0.13369135130183052</x:v>
      </x:c>
      <x:c r="T27" s="52" t="n">
        <x:v>0.19419585689526997</x:v>
      </x:c>
      <x:c r="U27" s="70" t="n">
        <x:v>0.07760611706998807</x:v>
      </x:c>
      <x:c r="V27" s="52" t="n">
        <x:v>0.5654075636205024</x:v>
      </x:c>
      <x:c r="W27" s="70" t="n">
        <x:v>0.5717965811545365</x:v>
      </x:c>
      <x:c r="X27" s="52" t="n">
        <x:v>1.7082008709561947</x:v>
      </x:c>
      <x:c r="Y27" s="70" t="n">
        <x:v>0.0938513098546793</x:v>
      </x:c>
      <x:c r="Z27" s="52" t="n">
        <x:v>1.1480623152757083</x:v>
      </x:c>
      <x:c r="AA27" s="70" t="n">
        <x:v>0.2509428397538407</x:v>
      </x:c>
      <x:c r="AB27" s="52" t="n">
        <x:v>3.275588639275233</x:v>
      </x:c>
      <x:c r="AC27" s="70" t="n">
        <x:v>0.166528430976221</x:v>
      </x:c>
      <x:c r="AD27" s="52" t="n">
        <x:v>1.2592043698835382</x:v>
      </x:c>
      <x:c r="AE27" s="70" t="n">
        <x:v>0.20795652358622574</x:v>
      </x:c>
      <x:c r="AF27" s="52"/>
      <x:c r="AG27" s="70"/>
      <x:c r="AH27" s="52"/>
      <x:c r="AI27" s="70"/>
    </x:row>
    <x:row r="28">
      <x:c r="C28" s="43" t="str">
        <x:v>Petrobras</x:v>
      </x:c>
      <x:c r="D28" s="43" t="str">
        <x:v>audit_clean</x:v>
      </x:c>
      <x:c r="E28" s="43" t="str">
        <x:v>Brent</x:v>
      </x:c>
      <x:c r="F28" s="19" t="n">
        <x:v>39904</x:v>
      </x:c>
      <x:c r="G28" s="19" t="n">
        <x:v>46204</x:v>
      </x:c>
      <x:c r="H28" s="64" t="n">
        <x:v>151</x:v>
      </x:c>
      <x:c r="I28" s="70" t="n">
        <x:v>0.2161191638951493</x:v>
      </x:c>
      <x:c r="J28" s="70" t="n">
        <x:v>0.18908879023636138</x:v>
      </x:c>
      <x:c r="K28" s="64" t="n">
        <x:v>2</x:v>
      </x:c>
      <x:c r="L28" s="52" t="n">
        <x:v>9.631872961534452</x:v>
      </x:c>
      <x:c r="M28" s="70" t="n">
        <x:v>0.3393045903167444</x:v>
      </x:c>
      <x:c r="N28" s="52" t="n">
        <x:v>2.3270766767877644</x:v>
      </x:c>
      <x:c r="O28" s="70" t="n">
        <x:v>0.019961184608590088</x:v>
      </x:c>
      <x:c r="P28" s="52"/>
      <x:c r="Q28" s="70"/>
      <x:c r="R28" s="52"/>
      <x:c r="S28" s="70"/>
      <x:c r="T28" s="52" t="n">
        <x:v>0.1084596963417539</x:v>
      </x:c>
      <x:c r="U28" s="70" t="n">
        <x:v>0.04334354000256899</x:v>
      </x:c>
      <x:c r="V28" s="52" t="n">
        <x:v>0.367508159978973</x:v>
      </x:c>
      <x:c r="W28" s="70" t="n">
        <x:v>0.7132400062662909</x:v>
      </x:c>
      <x:c r="X28" s="52" t="n">
        <x:v>1.2823705199361481</x:v>
      </x:c>
      <x:c r="Y28" s="70" t="n">
        <x:v>0.07045550383525126</x:v>
      </x:c>
      <x:c r="Z28" s="52" t="n">
        <x:v>0.8502617871729142</x:v>
      </x:c>
      <x:c r="AA28" s="70" t="n">
        <x:v>0.39517955668429483</x:v>
      </x:c>
      <x:c r="AB28" s="52" t="n">
        <x:v>3.551108150399324</x:v>
      </x:c>
      <x:c r="AC28" s="70" t="n">
        <x:v>0.1805356330225022</x:v>
      </x:c>
      <x:c r="AD28" s="52" t="n">
        <x:v>1.3915744241971848</x:v>
      </x:c>
      <x:c r="AE28" s="70" t="n">
        <x:v>0.16405130813928004</x:v>
      </x:c>
      <x:c r="AF28" s="52" t="n">
        <x:v>0.2289036893036247</x:v>
      </x:c>
      <x:c r="AG28" s="70" t="n">
        <x:v>0.2289442663454955</x:v>
      </x:c>
      <x:c r="AH28" s="52" t="n">
        <x:v>1.8910425159763633</x:v>
      </x:c>
      <x:c r="AI28" s="70" t="n">
        <x:v>0.05861866901686574</x:v>
      </x:c>
    </x:row>
    <x:row r="29">
      <x:c r="C29" s="43" t="str">
        <x:v>Petrobras</x:v>
      </x:c>
      <x:c r="D29" s="43" t="str">
        <x:v>since_2022_ex_seams</x:v>
      </x:c>
      <x:c r="E29" s="43" t="str">
        <x:v>BCOM</x:v>
      </x:c>
      <x:c r="F29" s="19" t="n">
        <x:v>44562</x:v>
      </x:c>
      <x:c r="G29" s="19" t="n">
        <x:v>46204</x:v>
      </x:c>
      <x:c r="H29" s="64" t="n">
        <x:v>52</x:v>
      </x:c>
      <x:c r="I29" s="70" t="n">
        <x:v>0.22061060358126416</x:v>
      </x:c>
      <x:c r="J29" s="70" t="n">
        <x:v>0.1358943648400972</x:v>
      </x:c>
      <x:c r="K29" s="64" t="n">
        <x:v>2</x:v>
      </x:c>
      <x:c r="L29" s="52" t="n">
        <x:v>2.4335980293513346</x:v>
      </x:c>
      <x:c r="M29" s="70" t="n">
        <x:v>0.04666092128807881</x:v>
      </x:c>
      <x:c r="N29" s="52" t="n">
        <x:v>0.41482441342474335</x:v>
      </x:c>
      <x:c r="O29" s="70" t="n">
        <x:v>0.6782704462940488</x:v>
      </x:c>
      <x:c r="P29" s="52" t="n">
        <x:v>0.8165530792991125</x:v>
      </x:c>
      <x:c r="Q29" s="70" t="n">
        <x:v>0.40665732788876807</x:v>
      </x:c>
      <x:c r="R29" s="52" t="n">
        <x:v>1.7862953976703435</x:v>
      </x:c>
      <x:c r="S29" s="70" t="n">
        <x:v>0.07405144170477285</x:v>
      </x:c>
      <x:c r="T29" s="52" t="n">
        <x:v>0.25654013741328363</x:v>
      </x:c>
      <x:c r="U29" s="70" t="n">
        <x:v>0.09145113981644719</x:v>
      </x:c>
      <x:c r="V29" s="52" t="n">
        <x:v>0.5346624412535961</x:v>
      </x:c>
      <x:c r="W29" s="70" t="n">
        <x:v>0.592883297494901</x:v>
      </x:c>
      <x:c r="X29" s="52" t="n">
        <x:v>0.987801163657527</x:v>
      </x:c>
      <x:c r="Y29" s="70" t="n">
        <x:v>0.07726838832901012</x:v>
      </x:c>
      <x:c r="Z29" s="52" t="n">
        <x:v>0.7104040358880033</x:v>
      </x:c>
      <x:c r="AA29" s="70" t="n">
        <x:v>0.4774536211555298</x:v>
      </x:c>
      <x:c r="AB29" s="52" t="n">
        <x:v>2.865114121925999</x:v>
      </x:c>
      <x:c r="AC29" s="70" t="n">
        <x:v>0.17342910235073813</x:v>
      </x:c>
      <x:c r="AD29" s="52" t="n">
        <x:v>1.014309583053081</x:v>
      </x:c>
      <x:c r="AE29" s="70" t="n">
        <x:v>0.3104350527529216</x:v>
      </x:c>
      <x:c r="AF29" s="52"/>
      <x:c r="AG29" s="70"/>
      <x:c r="AH29" s="52"/>
      <x:c r="AI29" s="70"/>
    </x:row>
    <x:row r="30">
      <x:c r="C30" s="43" t="str">
        <x:v>Petrobras</x:v>
      </x:c>
      <x:c r="D30" s="43" t="str">
        <x:v>since_2022_ex_seams</x:v>
      </x:c>
      <x:c r="E30" s="43" t="str">
        <x:v>Brent</x:v>
      </x:c>
      <x:c r="F30" s="19" t="n">
        <x:v>44562</x:v>
      </x:c>
      <x:c r="G30" s="19" t="n">
        <x:v>46204</x:v>
      </x:c>
      <x:c r="H30" s="64" t="n">
        <x:v>52</x:v>
      </x:c>
      <x:c r="I30" s="70" t="n">
        <x:v>0.3530668149562336</x:v>
      </x:c>
      <x:c r="J30" s="70" t="n">
        <x:v>0.2827479904949546</x:v>
      </x:c>
      <x:c r="K30" s="64" t="n">
        <x:v>2</x:v>
      </x:c>
      <x:c r="L30" s="52" t="n">
        <x:v>0.4705919768842717</x:v>
      </x:c>
      <x:c r="M30" s="70" t="n">
        <x:v>0.009022958979815698</x:v>
      </x:c>
      <x:c r="N30" s="52" t="n">
        <x:v>0.10152164265726378</x:v>
      </x:c>
      <x:c r="O30" s="70" t="n">
        <x:v>0.9191363779593569</x:v>
      </x:c>
      <x:c r="P30" s="52"/>
      <x:c r="Q30" s="70"/>
      <x:c r="R30" s="52"/>
      <x:c r="S30" s="70"/>
      <x:c r="T30" s="52" t="n">
        <x:v>0.06306397983533435</x:v>
      </x:c>
      <x:c r="U30" s="70" t="n">
        <x:v>0.0224809766434787</x:v>
      </x:c>
      <x:c r="V30" s="52" t="n">
        <x:v>0.19614003305094507</x:v>
      </x:c>
      <x:c r="W30" s="70" t="n">
        <x:v>0.8445005629257865</x:v>
      </x:c>
      <x:c r="X30" s="52" t="n">
        <x:v>0.6756144710402225</x:v>
      </x:c>
      <x:c r="Y30" s="70" t="n">
        <x:v>0.052848329430732546</x:v>
      </x:c>
      <x:c r="Z30" s="52" t="n">
        <x:v>0.49521521781225203</x:v>
      </x:c>
      <x:c r="AA30" s="70" t="n">
        <x:v>0.6204482097146315</x:v>
      </x:c>
      <x:c r="AB30" s="52" t="n">
        <x:v>2.9679735367722526</x:v>
      </x:c>
      <x:c r="AC30" s="70" t="n">
        <x:v>0.17965531716312255</x:v>
      </x:c>
      <x:c r="AD30" s="52" t="n">
        <x:v>1.5097362807234729</x:v>
      </x:c>
      <x:c r="AE30" s="70" t="n">
        <x:v>0.13111072974408788</x:v>
      </x:c>
      <x:c r="AF30" s="52" t="n">
        <x:v>0.40124466486328425</x:v>
      </x:c>
      <x:c r="AG30" s="70" t="n">
        <x:v>0.5239148306409275</x:v>
      </x:c>
      <x:c r="AH30" s="52" t="n">
        <x:v>3.225112766957067</x:v>
      </x:c>
      <x:c r="AI30" s="70" t="n">
        <x:v>0.0012592305803376114</x:v>
      </x:c>
    </x:row>
    <x:row r="31">
      <x:c r="C31" s="43" t="str">
        <x:v>Ex-Petrobras dynamic</x:v>
      </x:c>
      <x:c r="D31" s="43" t="str">
        <x:v>primary</x:v>
      </x:c>
      <x:c r="E31" s="43" t="str">
        <x:v>BCOM</x:v>
      </x:c>
      <x:c r="F31" s="19" t="n">
        <x:v>40269</x:v>
      </x:c>
      <x:c r="G31" s="19" t="n">
        <x:v>46204</x:v>
      </x:c>
      <x:c r="H31" s="64" t="n">
        <x:v>94</x:v>
      </x:c>
      <x:c r="I31" s="70" t="n">
        <x:v>0.1448458694326884</x:v>
      </x:c>
      <x:c r="J31" s="70" t="n">
        <x:v>0.09625756655954565</x:v>
      </x:c>
      <x:c r="K31" s="64" t="n">
        <x:v>17</x:v>
      </x:c>
      <x:c r="L31" s="52" t="n">
        <x:v>3.7735071703476937</x:v>
      </x:c>
      <x:c r="M31" s="70" t="n">
        <x:v>0.08031078350525664</x:v>
      </x:c>
      <x:c r="N31" s="52" t="n">
        <x:v>0.6343499020476259</x:v>
      </x:c>
      <x:c r="O31" s="70" t="n">
        <x:v>0.5258524964489513</x:v>
      </x:c>
      <x:c r="P31" s="52" t="n">
        <x:v>0.6316827485929681</x:v>
      </x:c>
      <x:c r="Q31" s="70" t="n">
        <x:v>0.19022313656195924</x:v>
      </x:c>
      <x:c r="R31" s="52" t="n">
        <x:v>1.3509801447682577</x:v>
      </x:c>
      <x:c r="S31" s="70" t="n">
        <x:v>0.17670179307980005</x:v>
      </x:c>
      <x:c r="T31" s="52" t="n">
        <x:v>-0.8692240231836939</x:v>
      </x:c>
      <x:c r="U31" s="70" t="n">
        <x:v>-0.20424027643255172</x:v>
      </x:c>
      <x:c r="V31" s="52" t="n">
        <x:v>-1.6950634823489457</x:v>
      </x:c>
      <x:c r="W31" s="70" t="n">
        <x:v>0.09006337873745052</x:v>
      </x:c>
      <x:c r="X31" s="52" t="n">
        <x:v>-1.7344989766999008</x:v>
      </x:c>
      <x:c r="Y31" s="70" t="n">
        <x:v>-0.08169436498003856</x:v>
      </x:c>
      <x:c r="Z31" s="52" t="n">
        <x:v>-0.5698521750173637</x:v>
      </x:c>
      <x:c r="AA31" s="70" t="n">
        <x:v>0.5687779644078776</x:v>
      </x:c>
      <x:c r="AB31" s="52" t="n">
        <x:v>2.7291734149201146</x:v>
      </x:c>
      <x:c r="AC31" s="70" t="n">
        <x:v>0.12776536998333926</x:v>
      </x:c>
      <x:c r="AD31" s="52" t="n">
        <x:v>0.8506350982215046</x:v>
      </x:c>
      <x:c r="AE31" s="70" t="n">
        <x:v>0.394972086144755</x:v>
      </x:c>
      <x:c r="AF31" s="52"/>
      <x:c r="AG31" s="70"/>
      <x:c r="AH31" s="52"/>
      <x:c r="AI31" s="70"/>
    </x:row>
    <x:row r="32">
      <x:c r="C32" s="43" t="str">
        <x:v>Ex-Petrobras dynamic</x:v>
      </x:c>
      <x:c r="D32" s="43" t="str">
        <x:v>primary</x:v>
      </x:c>
      <x:c r="E32" s="43" t="str">
        <x:v>Brent</x:v>
      </x:c>
      <x:c r="F32" s="19" t="n">
        <x:v>40269</x:v>
      </x:c>
      <x:c r="G32" s="19" t="n">
        <x:v>46204</x:v>
      </x:c>
      <x:c r="H32" s="64" t="n">
        <x:v>94</x:v>
      </x:c>
      <x:c r="I32" s="70" t="n">
        <x:v>0.25129209514595907</x:v>
      </x:c>
      <x:c r="J32" s="70" t="n">
        <x:v>0.20875187327925215</x:v>
      </x:c>
      <x:c r="K32" s="64" t="n">
        <x:v>17</x:v>
      </x:c>
      <x:c r="L32" s="52" t="n">
        <x:v>1.6901848285847043</x:v>
      </x:c>
      <x:c r="M32" s="70" t="n">
        <x:v>0.03597185899605039</x:v>
      </x:c>
      <x:c r="N32" s="52" t="n">
        <x:v>0.3200018628480218</x:v>
      </x:c>
      <x:c r="O32" s="70" t="n">
        <x:v>0.7489669184012493</x:v>
      </x:c>
      <x:c r="P32" s="52"/>
      <x:c r="Q32" s="70"/>
      <x:c r="R32" s="52"/>
      <x:c r="S32" s="70"/>
      <x:c r="T32" s="52" t="n">
        <x:v>-0.8116887374479954</x:v>
      </x:c>
      <x:c r="U32" s="70" t="n">
        <x:v>-0.19072129588223818</x:v>
      </x:c>
      <x:c r="V32" s="52" t="n">
        <x:v>-1.8847890679256818</x:v>
      </x:c>
      <x:c r="W32" s="70" t="n">
        <x:v>0.05945832149141772</x:v>
      </x:c>
      <x:c r="X32" s="52" t="n">
        <x:v>-2.941947848801898</x:v>
      </x:c>
      <x:c r="Y32" s="70" t="n">
        <x:v>-0.13856483315403215</x:v>
      </x:c>
      <x:c r="Z32" s="52" t="n">
        <x:v>-0.9012745944355177</x:v>
      </x:c>
      <x:c r="AA32" s="70" t="n">
        <x:v>0.3674423382222365</x:v>
      </x:c>
      <x:c r="AB32" s="52" t="n">
        <x:v>2.6052786924110785</x:v>
      </x:c>
      <x:c r="AC32" s="70" t="n">
        <x:v>0.12196527865392362</x:v>
      </x:c>
      <x:c r="AD32" s="52" t="n">
        <x:v>0.9738954318259743</x:v>
      </x:c>
      <x:c r="AE32" s="70" t="n">
        <x:v>0.33010846216999923</x:v>
      </x:c>
      <x:c r="AF32" s="52" t="n">
        <x:v>0.5777489650012007</x:v>
      </x:c>
      <x:c r="AG32" s="70" t="n">
        <x:v>0.3972832395236488</x:v>
      </x:c>
      <x:c r="AH32" s="52" t="n">
        <x:v>3.8486936522268427</x:v>
      </x:c>
      <x:c r="AI32" s="70" t="n">
        <x:v>0.00011874940190859107</x:v>
      </x:c>
    </x:row>
    <x:row r="33">
      <x:c r="C33" s="43" t="str">
        <x:v>Ex-Petrobras dynamic</x:v>
      </x:c>
      <x:c r="D33" s="43" t="str">
        <x:v>clean</x:v>
      </x:c>
      <x:c r="E33" s="43" t="str">
        <x:v>BCOM</x:v>
      </x:c>
      <x:c r="F33" s="19" t="n">
        <x:v>40269</x:v>
      </x:c>
      <x:c r="G33" s="19" t="n">
        <x:v>46204</x:v>
      </x:c>
      <x:c r="H33" s="64" t="n">
        <x:v>81</x:v>
      </x:c>
      <x:c r="I33" s="70" t="n">
        <x:v>0.13194015248972546</x:v>
      </x:c>
      <x:c r="J33" s="70" t="n">
        <x:v>0.07406949598904056</x:v>
      </x:c>
      <x:c r="K33" s="64" t="n">
        <x:v>17</x:v>
      </x:c>
      <x:c r="L33" s="52" t="n">
        <x:v>-1.9753937514215492</x:v>
      </x:c>
      <x:c r="M33" s="70" t="n">
        <x:v>-0.024060216816165908</x:v>
      </x:c>
      <x:c r="N33" s="52" t="n">
        <x:v>-0.1847687473586765</x:v>
      </x:c>
      <x:c r="O33" s="70" t="n">
        <x:v>0.8534104217492793</x:v>
      </x:c>
      <x:c r="P33" s="52" t="n">
        <x:v>0.31809708506126455</x:v>
      </x:c>
      <x:c r="Q33" s="70" t="n">
        <x:v>0.09307108963720967</x:v>
      </x:c>
      <x:c r="R33" s="52" t="n">
        <x:v>0.6808067045815572</x:v>
      </x:c>
      <x:c r="S33" s="70" t="n">
        <x:v>0.49599380713895247</x:v>
      </x:c>
      <x:c r="T33" s="52" t="n">
        <x:v>-1.237709728500016</x:v>
      </x:c>
      <x:c r="U33" s="70" t="n">
        <x:v>-0.27084163846504045</x:v>
      </x:c>
      <x:c r="V33" s="52" t="n">
        <x:v>-1.9622342201810916</x:v>
      </x:c>
      <x:c r="W33" s="70" t="n">
        <x:v>0.049735221579918054</x:v>
      </x:c>
      <x:c r="X33" s="52" t="n">
        <x:v>-2.287901936443585</x:v>
      </x:c>
      <x:c r="Y33" s="70" t="n">
        <x:v>-0.09240086795004666</x:v>
      </x:c>
      <x:c r="Z33" s="52" t="n">
        <x:v>-0.7182785660491062</x:v>
      </x:c>
      <x:c r="AA33" s="70" t="n">
        <x:v>0.4725855433609787</x:v>
      </x:c>
      <x:c r="AB33" s="52" t="n">
        <x:v>2.8486695314595982</x:v>
      </x:c>
      <x:c r="AC33" s="70" t="n">
        <x:v>0.10192868091605517</x:v>
      </x:c>
      <x:c r="AD33" s="52" t="n">
        <x:v>0.7021791620341821</x:v>
      </x:c>
      <x:c r="AE33" s="70" t="n">
        <x:v>0.4825674391316892</x:v>
      </x:c>
      <x:c r="AF33" s="52"/>
      <x:c r="AG33" s="70"/>
      <x:c r="AH33" s="52"/>
      <x:c r="AI33" s="70"/>
    </x:row>
    <x:row r="34">
      <x:c r="C34" s="43" t="str">
        <x:v>Ex-Petrobras dynamic</x:v>
      </x:c>
      <x:c r="D34" s="43" t="str">
        <x:v>clean</x:v>
      </x:c>
      <x:c r="E34" s="43" t="str">
        <x:v>Brent</x:v>
      </x:c>
      <x:c r="F34" s="19" t="n">
        <x:v>40269</x:v>
      </x:c>
      <x:c r="G34" s="19" t="n">
        <x:v>46204</x:v>
      </x:c>
      <x:c r="H34" s="64" t="n">
        <x:v>81</x:v>
      </x:c>
      <x:c r="I34" s="70" t="n">
        <x:v>0.22471886374884242</x:v>
      </x:c>
      <x:c r="J34" s="70" t="n">
        <x:v>0.17303345466543196</x:v>
      </x:c>
      <x:c r="K34" s="64" t="n">
        <x:v>17</x:v>
      </x:c>
      <x:c r="L34" s="52" t="n">
        <x:v>-1.7513119123366918</x:v>
      </x:c>
      <x:c r="M34" s="70" t="n">
        <x:v>-0.021330908986237157</x:v>
      </x:c>
      <x:c r="N34" s="52" t="n">
        <x:v>-0.15847446547603472</x:v>
      </x:c>
      <x:c r="O34" s="70" t="n">
        <x:v>0.8740829399909804</x:v>
      </x:c>
      <x:c r="P34" s="52"/>
      <x:c r="Q34" s="70"/>
      <x:c r="R34" s="52"/>
      <x:c r="S34" s="70"/>
      <x:c r="T34" s="52" t="n">
        <x:v>-0.957050174868232</x:v>
      </x:c>
      <x:c r="U34" s="70" t="n">
        <x:v>-0.20942635537712162</x:v>
      </x:c>
      <x:c r="V34" s="52" t="n">
        <x:v>-1.7623727430575893</x:v>
      </x:c>
      <x:c r="W34" s="70" t="n">
        <x:v>0.0780063407562217</x:v>
      </x:c>
      <x:c r="X34" s="52" t="n">
        <x:v>-3.491505265731371</x:v>
      </x:c>
      <x:c r="Y34" s="70" t="n">
        <x:v>-0.14101046546917495</x:v>
      </x:c>
      <x:c r="Z34" s="52" t="n">
        <x:v>-0.9890850960532728</x:v>
      </x:c>
      <x:c r="AA34" s="70" t="n">
        <x:v>0.32262150893465336</x:v>
      </x:c>
      <x:c r="AB34" s="52" t="n">
        <x:v>2.1685069333857263</x:v>
      </x:c>
      <x:c r="AC34" s="70" t="n">
        <x:v>0.07759167879472276</x:v>
      </x:c>
      <x:c r="AD34" s="52" t="n">
        <x:v>0.599401316530413</x:v>
      </x:c>
      <x:c r="AE34" s="70" t="n">
        <x:v>0.548905299268706</x:v>
      </x:c>
      <x:c r="AF34" s="52" t="n">
        <x:v>0.5207947809766593</x:v>
      </x:c>
      <x:c r="AG34" s="70" t="n">
        <x:v>0.3449426708842982</x:v>
      </x:c>
      <x:c r="AH34" s="52" t="n">
        <x:v>3.6542278865227686</x:v>
      </x:c>
      <x:c r="AI34" s="70" t="n">
        <x:v>0.00025795707961817627</x:v>
      </x:c>
    </x:row>
    <x:row r="35">
      <x:c r="C35" s="43" t="str">
        <x:v>Ex-Petrobras dynamic</x:v>
      </x:c>
      <x:c r="D35" s="43" t="str">
        <x:v>audit_clean</x:v>
      </x:c>
      <x:c r="E35" s="43" t="str">
        <x:v>BCOM</x:v>
      </x:c>
      <x:c r="F35" s="19" t="n">
        <x:v>40269</x:v>
      </x:c>
      <x:c r="G35" s="19" t="n">
        <x:v>46204</x:v>
      </x:c>
      <x:c r="H35" s="64" t="n">
        <x:v>75</x:v>
      </x:c>
      <x:c r="I35" s="70" t="n">
        <x:v>0.13776380125563092</x:v>
      </x:c>
      <x:c r="J35" s="70" t="n">
        <x:v>0.07528291728864767</x:v>
      </x:c>
      <x:c r="K35" s="64" t="n">
        <x:v>17</x:v>
      </x:c>
      <x:c r="L35" s="52" t="n">
        <x:v>3.4506214174364898</x:v>
      </x:c>
      <x:c r="M35" s="70" t="n">
        <x:v>0.04482618236948849</x:v>
      </x:c>
      <x:c r="N35" s="52" t="n">
        <x:v>0.29734049443485383</x:v>
      </x:c>
      <x:c r="O35" s="70" t="n">
        <x:v>0.7662065687433031</x:v>
      </x:c>
      <x:c r="P35" s="52" t="n">
        <x:v>0.114367008424475</x:v>
      </x:c>
      <x:c r="Q35" s="70" t="n">
        <x:v>0.035437709837684246</x:v>
      </x:c>
      <x:c r="R35" s="52" t="n">
        <x:v>0.1968142833486201</x:v>
      </x:c>
      <x:c r="S35" s="70" t="n">
        <x:v>0.8439728732393732</x:v>
      </x:c>
      <x:c r="T35" s="52" t="n">
        <x:v>-1.2881377321074918</x:v>
      </x:c>
      <x:c r="U35" s="70" t="n">
        <x:v>-0.3088949969931254</x:v>
      </x:c>
      <x:c r="V35" s="52" t="n">
        <x:v>-1.7668805558315726</x:v>
      </x:c>
      <x:c r="W35" s="70" t="n">
        <x:v>0.07724823403147862</x:v>
      </x:c>
      <x:c r="X35" s="52" t="n">
        <x:v>-3.220070527009302</x:v>
      </x:c>
      <x:c r="Y35" s="70" t="n">
        <x:v>-0.13972296888448837</x:v>
      </x:c>
      <x:c r="Z35" s="52" t="n">
        <x:v>-1.0371746869499452</x:v>
      </x:c>
      <x:c r="AA35" s="70" t="n">
        <x:v>0.2996544527776044</x:v>
      </x:c>
      <x:c r="AB35" s="52" t="n">
        <x:v>2.5856330153398046</x:v>
      </x:c>
      <x:c r="AC35" s="70" t="n">
        <x:v>0.10006995226034622</x:v>
      </x:c>
      <x:c r="AD35" s="52" t="n">
        <x:v>0.6579505287828861</x:v>
      </x:c>
      <x:c r="AE35" s="70" t="n">
        <x:v>0.5105699205879373</x:v>
      </x:c>
      <x:c r="AF35" s="52"/>
      <x:c r="AG35" s="70"/>
      <x:c r="AH35" s="52"/>
      <x:c r="AI35" s="70"/>
    </x:row>
    <x:row r="36">
      <x:c r="C36" s="43" t="str">
        <x:v>Ex-Petrobras dynamic</x:v>
      </x:c>
      <x:c r="D36" s="43" t="str">
        <x:v>audit_clean</x:v>
      </x:c>
      <x:c r="E36" s="43" t="str">
        <x:v>Brent</x:v>
      </x:c>
      <x:c r="F36" s="19" t="n">
        <x:v>40269</x:v>
      </x:c>
      <x:c r="G36" s="19" t="n">
        <x:v>46204</x:v>
      </x:c>
      <x:c r="H36" s="64" t="n">
        <x:v>75</x:v>
      </x:c>
      <x:c r="I36" s="70" t="n">
        <x:v>0.21243659441588925</x:v>
      </x:c>
      <x:c r="J36" s="70" t="n">
        <x:v>0.15536678241704072</x:v>
      </x:c>
      <x:c r="K36" s="64" t="n">
        <x:v>17</x:v>
      </x:c>
      <x:c r="L36" s="52" t="n">
        <x:v>3.453909190315284</x:v>
      </x:c>
      <x:c r="M36" s="70" t="n">
        <x:v>0.04486889302615754</x:v>
      </x:c>
      <x:c r="N36" s="52" t="n">
        <x:v>0.27462073274820115</x:v>
      </x:c>
      <x:c r="O36" s="70" t="n">
        <x:v>0.7836076361175708</x:v>
      </x:c>
      <x:c r="P36" s="52"/>
      <x:c r="Q36" s="70"/>
      <x:c r="R36" s="52"/>
      <x:c r="S36" s="70"/>
      <x:c r="T36" s="52" t="n">
        <x:v>-0.951531338625503</x:v>
      </x:c>
      <x:c r="U36" s="70" t="n">
        <x:v>-0.2281768965052425</x:v>
      </x:c>
      <x:c r="V36" s="52" t="n">
        <x:v>-1.5795862650534613</x:v>
      </x:c>
      <x:c r="W36" s="70" t="n">
        <x:v>0.11420164672323874</x:v>
      </x:c>
      <x:c r="X36" s="52" t="n">
        <x:v>-4.077087634610254</x:v>
      </x:c>
      <x:c r="Y36" s="70" t="n">
        <x:v>-0.1769100347125195</x:v>
      </x:c>
      <x:c r="Z36" s="52" t="n">
        <x:v>-1.1903548681965832</x:v>
      </x:c>
      <x:c r="AA36" s="70" t="n">
        <x:v>0.2339069437452026</x:v>
      </x:c>
      <x:c r="AB36" s="52" t="n">
        <x:v>1.7652392603740477</x:v>
      </x:c>
      <x:c r="AC36" s="70" t="n">
        <x:v>0.06831882462272165</x:v>
      </x:c>
      <x:c r="AD36" s="52" t="n">
        <x:v>0.47344967351913503</x:v>
      </x:c>
      <x:c r="AE36" s="70" t="n">
        <x:v>0.6358923978812372</x:v>
      </x:c>
      <x:c r="AF36" s="52" t="n">
        <x:v>0.4241328143759979</x:v>
      </x:c>
      <x:c r="AG36" s="70" t="n">
        <x:v>0.3004497672186552</x:v>
      </x:c>
      <x:c r="AH36" s="52" t="n">
        <x:v>3.4115469574722113</x:v>
      </x:c>
      <x:c r="AI36" s="70" t="n">
        <x:v>0.0006459537431189322</x:v>
      </x:c>
    </x:row>
    <x:row r="37">
      <x:c r="C37" s="43" t="str">
        <x:v>Ex-Petrobras dynamic</x:v>
      </x:c>
      <x:c r="D37" s="43" t="str">
        <x:v>since_2022_ex_seams</x:v>
      </x:c>
      <x:c r="E37" s="43" t="str">
        <x:v>BCOM</x:v>
      </x:c>
      <x:c r="F37" s="19" t="n">
        <x:v>44562</x:v>
      </x:c>
      <x:c r="G37" s="19" t="n">
        <x:v>46204</x:v>
      </x:c>
      <x:c r="H37" s="64" t="n">
        <x:v>52</x:v>
      </x:c>
      <x:c r="I37" s="70" t="n">
        <x:v>0.2076646505410743</x:v>
      </x:c>
      <x:c r="J37" s="70" t="n">
        <x:v>0.12154124299119107</x:v>
      </x:c>
      <x:c r="K37" s="64" t="n">
        <x:v>17</x:v>
      </x:c>
      <x:c r="L37" s="52" t="n">
        <x:v>-7.003160417195841</x:v>
      </x:c>
      <x:c r="M37" s="70" t="n">
        <x:v>-0.08649810964575279</x:v>
      </x:c>
      <x:c r="N37" s="52" t="n">
        <x:v>-0.5764599263760042</x:v>
      </x:c>
      <x:c r="O37" s="70" t="n">
        <x:v>0.5643043489691131</x:v>
      </x:c>
      <x:c r="P37" s="52" t="n">
        <x:v>0.7922104705327664</x:v>
      </x:c>
      <x:c r="Q37" s="70" t="n">
        <x:v>0.25415159362928</x:v>
      </x:c>
      <x:c r="R37" s="52" t="n">
        <x:v>1.213313426855356</x:v>
      </x:c>
      <x:c r="S37" s="70" t="n">
        <x:v>0.22501001136295407</x:v>
      </x:c>
      <x:c r="T37" s="52" t="n">
        <x:v>-0.959060175441824</x:v>
      </x:c>
      <x:c r="U37" s="70" t="n">
        <x:v>-0.22023570788775884</x:v>
      </x:c>
      <x:c r="V37" s="52" t="n">
        <x:v>-0.7769474879612943</x:v>
      </x:c>
      <x:c r="W37" s="70" t="n">
        <x:v>0.4371897523494246</x:v>
      </x:c>
      <x:c r="X37" s="52" t="n">
        <x:v>-3.8465382878867374</x:v>
      </x:c>
      <x:c r="Y37" s="70" t="n">
        <x:v>-0.19382529671583926</x:v>
      </x:c>
      <x:c r="Z37" s="52" t="n">
        <x:v>-0.9924516238688669</x:v>
      </x:c>
      <x:c r="AA37" s="70" t="n">
        <x:v>0.3209772668182165</x:v>
      </x:c>
      <x:c r="AB37" s="52" t="n">
        <x:v>3.986930352424682</x:v>
      </x:c>
      <x:c r="AC37" s="70" t="n">
        <x:v>0.15546290454337103</x:v>
      </x:c>
      <x:c r="AD37" s="52" t="n">
        <x:v>0.4617549744633775</x:v>
      </x:c>
      <x:c r="AE37" s="70" t="n">
        <x:v>0.6442570428833891</x:v>
      </x:c>
      <x:c r="AF37" s="52"/>
      <x:c r="AG37" s="70"/>
      <x:c r="AH37" s="52"/>
      <x:c r="AI37" s="70"/>
    </x:row>
    <x:row r="38">
      <x:c r="C38" s="43" t="str">
        <x:v>Ex-Petrobras dynamic</x:v>
      </x:c>
      <x:c r="D38" s="43" t="str">
        <x:v>since_2022_ex_seams</x:v>
      </x:c>
      <x:c r="E38" s="43" t="str">
        <x:v>Brent</x:v>
      </x:c>
      <x:c r="F38" s="19" t="n">
        <x:v>44562</x:v>
      </x:c>
      <x:c r="G38" s="19" t="n">
        <x:v>46204</x:v>
      </x:c>
      <x:c r="H38" s="64" t="n">
        <x:v>52</x:v>
      </x:c>
      <x:c r="I38" s="70" t="n">
        <x:v>0.291214473526883</x:v>
      </x:c>
      <x:c r="J38" s="70" t="n">
        <x:v>0.21417256847545718</x:v>
      </x:c>
      <x:c r="K38" s="64" t="n">
        <x:v>17</x:v>
      </x:c>
      <x:c r="L38" s="52" t="n">
        <x:v>-9.409506268671898</x:v>
      </x:c>
      <x:c r="M38" s="70" t="n">
        <x:v>-0.11621960035950211</x:v>
      </x:c>
      <x:c r="N38" s="52" t="n">
        <x:v>-0.9697068306458377</x:v>
      </x:c>
      <x:c r="O38" s="70" t="n">
        <x:v>0.332192644724836</x:v>
      </x:c>
      <x:c r="P38" s="52"/>
      <x:c r="Q38" s="70"/>
      <x:c r="R38" s="52"/>
      <x:c r="S38" s="70"/>
      <x:c r="T38" s="52" t="n">
        <x:v>-1.0402160962753277</x:v>
      </x:c>
      <x:c r="U38" s="70" t="n">
        <x:v>-0.23887211062006397</x:v>
      </x:c>
      <x:c r="V38" s="52" t="n">
        <x:v>-1.1328301355477266</x:v>
      </x:c>
      <x:c r="W38" s="70" t="n">
        <x:v>0.25728559359721426</x:v>
      </x:c>
      <x:c r="X38" s="52" t="n">
        <x:v>-4.246019242072914</x:v>
      </x:c>
      <x:c r="Y38" s="70" t="n">
        <x:v>-0.21395495842265347</x:v>
      </x:c>
      <x:c r="Z38" s="52" t="n">
        <x:v>-1.0990173811204085</x:v>
      </x:c>
      <x:c r="AA38" s="70" t="n">
        <x:v>0.2717604846108821</x:v>
      </x:c>
      <x:c r="AB38" s="52" t="n">
        <x:v>3.6322331459852197</x:v>
      </x:c>
      <x:c r="AC38" s="70" t="n">
        <x:v>0.14163214928250573</x:v>
      </x:c>
      <x:c r="AD38" s="52" t="n">
        <x:v>0.5435802468625821</x:v>
      </x:c>
      <x:c r="AE38" s="70" t="n">
        <x:v>0.5867303557904024</x:v>
      </x:c>
      <x:c r="AF38" s="52" t="n">
        <x:v>0.45669433322481723</x:v>
      </x:c>
      <x:c r="AG38" s="70" t="n">
        <x:v>0.3841360990215935</x:v>
      </x:c>
      <x:c r="AH38" s="52" t="n">
        <x:v>3.576460643873678</x:v>
      </x:c>
      <x:c r="AI38" s="70" t="n">
        <x:v>0.0003482777220140676</x:v>
      </x:c>
    </x:row>
    <x:row r="39">
      <x:c r="C39" s="43" t="str">
        <x:v>Ex-Petrobras core (PRIO + Brava)</x:v>
      </x:c>
      <x:c r="D39" s="43" t="str">
        <x:v>primary</x:v>
      </x:c>
      <x:c r="E39" s="43" t="str">
        <x:v>BCOM</x:v>
      </x:c>
      <x:c r="F39" s="19" t="n">
        <x:v>44652</x:v>
      </x:c>
      <x:c r="G39" s="19" t="n">
        <x:v>46204</x:v>
      </x:c>
      <x:c r="H39" s="64" t="n">
        <x:v>52</x:v>
      </x:c>
      <x:c r="I39" s="70" t="n">
        <x:v>0.14839769230901578</x:v>
      </x:c>
      <x:c r="J39" s="70" t="n">
        <x:v>0.05583222408173483</x:v>
      </x:c>
      <x:c r="K39" s="64" t="n">
        <x:v>0</x:v>
      </x:c>
      <x:c r="L39" s="52" t="n">
        <x:v>17.234068975786883</x:v>
      </x:c>
      <x:c r="M39" s="70" t="n">
        <x:v>0.18706344913297815</x:v>
      </x:c>
      <x:c r="N39" s="52" t="n">
        <x:v>0.9988188239577241</x:v>
      </x:c>
      <x:c r="O39" s="70" t="n">
        <x:v>0.31788246550025523</x:v>
      </x:c>
      <x:c r="P39" s="52" t="n">
        <x:v>0.567829347682757</x:v>
      </x:c>
      <x:c r="Q39" s="70" t="n">
        <x:v>0.2055894489239026</x:v>
      </x:c>
      <x:c r="R39" s="52" t="n">
        <x:v>1.1401325370830082</x:v>
      </x:c>
      <x:c r="S39" s="70" t="n">
        <x:v>0.2542310882832588</x:v>
      </x:c>
      <x:c r="T39" s="52" t="n">
        <x:v>-0.3643156801152829</x:v>
      </x:c>
      <x:c r="U39" s="70" t="n">
        <x:v>-0.09248036624808292</x:v>
      </x:c>
      <x:c r="V39" s="52" t="n">
        <x:v>-0.37408473096332834</x:v>
      </x:c>
      <x:c r="W39" s="70" t="n">
        <x:v>0.7083412782960081</x:v>
      </x:c>
      <x:c r="X39" s="52" t="n">
        <x:v>-4.567555499560546</x:v>
      </x:c>
      <x:c r="Y39" s="70" t="n">
        <x:v>-0.2879080993536204</x:v>
      </x:c>
      <x:c r="Z39" s="52" t="n">
        <x:v>-1.3513358212356936</x:v>
      </x:c>
      <x:c r="AA39" s="70" t="n">
        <x:v>0.17658788221868438</x:v>
      </x:c>
      <x:c r="AB39" s="52" t="n">
        <x:v>2.7001705547556654</x:v>
      </x:c>
      <x:c r="AC39" s="70" t="n">
        <x:v>0.13065801850658565</x:v>
      </x:c>
      <x:c r="AD39" s="52" t="n">
        <x:v>0.3878354931166394</x:v>
      </x:c>
      <x:c r="AE39" s="70" t="n">
        <x:v>0.6981377776629651</x:v>
      </x:c>
      <x:c r="AF39" s="52"/>
      <x:c r="AG39" s="70"/>
      <x:c r="AH39" s="52"/>
      <x:c r="AI39" s="70"/>
    </x:row>
    <x:row r="40">
      <x:c r="C40" s="43" t="str">
        <x:v>Ex-Petrobras core (PRIO + Brava)</x:v>
      </x:c>
      <x:c r="D40" s="43" t="str">
        <x:v>primary</x:v>
      </x:c>
      <x:c r="E40" s="43" t="str">
        <x:v>Brent</x:v>
      </x:c>
      <x:c r="F40" s="19" t="n">
        <x:v>44652</x:v>
      </x:c>
      <x:c r="G40" s="19" t="n">
        <x:v>46204</x:v>
      </x:c>
      <x:c r="H40" s="64" t="n">
        <x:v>52</x:v>
      </x:c>
      <x:c r="I40" s="70" t="n">
        <x:v>0.2124525692682444</x:v>
      </x:c>
      <x:c r="J40" s="70" t="n">
        <x:v>0.12684958766696663</x:v>
      </x:c>
      <x:c r="K40" s="64" t="n">
        <x:v>0</x:v>
      </x:c>
      <x:c r="L40" s="52" t="n">
        <x:v>11.229591221978522</x:v>
      </x:c>
      <x:c r="M40" s="70" t="n">
        <x:v>0.1218891527757042</x:v>
      </x:c>
      <x:c r="N40" s="52" t="n">
        <x:v>0.6796187918514167</x:v>
      </x:c>
      <x:c r="O40" s="70" t="n">
        <x:v>0.49674586778127994</x:v>
      </x:c>
      <x:c r="P40" s="52"/>
      <x:c r="Q40" s="70"/>
      <x:c r="R40" s="52"/>
      <x:c r="S40" s="70"/>
      <x:c r="T40" s="52" t="n">
        <x:v>-0.46550959715451923</x:v>
      </x:c>
      <x:c r="U40" s="70" t="n">
        <x:v>-0.11816811734050017</x:v>
      </x:c>
      <x:c r="V40" s="52" t="n">
        <x:v>-0.6116576435001522</x:v>
      </x:c>
      <x:c r="W40" s="70" t="n">
        <x:v>0.5407642913223798</x:v>
      </x:c>
      <x:c r="X40" s="52" t="n">
        <x:v>-4.83404896194202</x:v>
      </x:c>
      <x:c r="Y40" s="70" t="n">
        <x:v>-0.30470606190750726</x:v>
      </x:c>
      <x:c r="Z40" s="52" t="n">
        <x:v>-1.46982600753267</x:v>
      </x:c>
      <x:c r="AA40" s="70" t="n">
        <x:v>0.1416088834553122</x:v>
      </x:c>
      <x:c r="AB40" s="52" t="n">
        <x:v>2.576614321378005</x:v>
      </x:c>
      <x:c r="AC40" s="70" t="n">
        <x:v>0.12467928038619888</x:v>
      </x:c>
      <x:c r="AD40" s="52" t="n">
        <x:v>0.44486053179500495</x:v>
      </x:c>
      <x:c r="AE40" s="70" t="n">
        <x:v>0.6564205466132704</x:v>
      </x:c>
      <x:c r="AF40" s="52" t="n">
        <x:v>0.33680982803582005</x:v>
      </x:c>
      <x:c r="AG40" s="70" t="n">
        <x:v>0.33209691364681904</x:v>
      </x:c>
      <x:c r="AH40" s="52" t="n">
        <x:v>2.268999461765086</x:v>
      </x:c>
      <x:c r="AI40" s="70" t="n">
        <x:v>0.023268358600213368</x:v>
      </x:c>
    </x:row>
    <x:row r="41">
      <x:c r="C41" s="43" t="str">
        <x:v>Ex-Petrobras core (PRIO + Brava)</x:v>
      </x:c>
      <x:c r="D41" s="43" t="str">
        <x:v>clean</x:v>
      </x:c>
      <x:c r="E41" s="43" t="str">
        <x:v>BCOM</x:v>
      </x:c>
      <x:c r="F41" s="19" t="n">
        <x:v>44652</x:v>
      </x:c>
      <x:c r="G41" s="19" t="n">
        <x:v>46204</x:v>
      </x:c>
      <x:c r="H41" s="64" t="n">
        <x:v>52</x:v>
      </x:c>
      <x:c r="I41" s="70" t="n">
        <x:v>0.14839769230901578</x:v>
      </x:c>
      <x:c r="J41" s="70" t="n">
        <x:v>0.05583222408173483</x:v>
      </x:c>
      <x:c r="K41" s="64" t="n">
        <x:v>0</x:v>
      </x:c>
      <x:c r="L41" s="52" t="n">
        <x:v>17.234068975786883</x:v>
      </x:c>
      <x:c r="M41" s="70" t="n">
        <x:v>0.18706344913297815</x:v>
      </x:c>
      <x:c r="N41" s="52" t="n">
        <x:v>0.9988188239577241</x:v>
      </x:c>
      <x:c r="O41" s="70" t="n">
        <x:v>0.31788246550025523</x:v>
      </x:c>
      <x:c r="P41" s="52" t="n">
        <x:v>0.567829347682757</x:v>
      </x:c>
      <x:c r="Q41" s="70" t="n">
        <x:v>0.2055894489239026</x:v>
      </x:c>
      <x:c r="R41" s="52" t="n">
        <x:v>1.1401325370830082</x:v>
      </x:c>
      <x:c r="S41" s="70" t="n">
        <x:v>0.2542310882832588</x:v>
      </x:c>
      <x:c r="T41" s="52" t="n">
        <x:v>-0.3643156801152829</x:v>
      </x:c>
      <x:c r="U41" s="70" t="n">
        <x:v>-0.09248036624808292</x:v>
      </x:c>
      <x:c r="V41" s="52" t="n">
        <x:v>-0.37408473096332834</x:v>
      </x:c>
      <x:c r="W41" s="70" t="n">
        <x:v>0.7083412782960081</x:v>
      </x:c>
      <x:c r="X41" s="52" t="n">
        <x:v>-4.567555499560546</x:v>
      </x:c>
      <x:c r="Y41" s="70" t="n">
        <x:v>-0.2879080993536204</x:v>
      </x:c>
      <x:c r="Z41" s="52" t="n">
        <x:v>-1.3513358212356936</x:v>
      </x:c>
      <x:c r="AA41" s="70" t="n">
        <x:v>0.17658788221868438</x:v>
      </x:c>
      <x:c r="AB41" s="52" t="n">
        <x:v>2.7001705547556654</x:v>
      </x:c>
      <x:c r="AC41" s="70" t="n">
        <x:v>0.13065801850658565</x:v>
      </x:c>
      <x:c r="AD41" s="52" t="n">
        <x:v>0.3878354931166394</x:v>
      </x:c>
      <x:c r="AE41" s="70" t="n">
        <x:v>0.6981377776629651</x:v>
      </x:c>
      <x:c r="AF41" s="52"/>
      <x:c r="AG41" s="70"/>
      <x:c r="AH41" s="52"/>
      <x:c r="AI41" s="70"/>
    </x:row>
    <x:row r="42">
      <x:c r="C42" s="43" t="str">
        <x:v>Ex-Petrobras core (PRIO + Brava)</x:v>
      </x:c>
      <x:c r="D42" s="43" t="str">
        <x:v>clean</x:v>
      </x:c>
      <x:c r="E42" s="43" t="str">
        <x:v>Brent</x:v>
      </x:c>
      <x:c r="F42" s="19" t="n">
        <x:v>44652</x:v>
      </x:c>
      <x:c r="G42" s="19" t="n">
        <x:v>46204</x:v>
      </x:c>
      <x:c r="H42" s="64" t="n">
        <x:v>52</x:v>
      </x:c>
      <x:c r="I42" s="70" t="n">
        <x:v>0.2124525692682444</x:v>
      </x:c>
      <x:c r="J42" s="70" t="n">
        <x:v>0.12684958766696663</x:v>
      </x:c>
      <x:c r="K42" s="64" t="n">
        <x:v>0</x:v>
      </x:c>
      <x:c r="L42" s="52" t="n">
        <x:v>11.229591221978522</x:v>
      </x:c>
      <x:c r="M42" s="70" t="n">
        <x:v>0.1218891527757042</x:v>
      </x:c>
      <x:c r="N42" s="52" t="n">
        <x:v>0.6796187918514167</x:v>
      </x:c>
      <x:c r="O42" s="70" t="n">
        <x:v>0.49674586778127994</x:v>
      </x:c>
      <x:c r="P42" s="52"/>
      <x:c r="Q42" s="70"/>
      <x:c r="R42" s="52"/>
      <x:c r="S42" s="70"/>
      <x:c r="T42" s="52" t="n">
        <x:v>-0.46550959715451923</x:v>
      </x:c>
      <x:c r="U42" s="70" t="n">
        <x:v>-0.11816811734050017</x:v>
      </x:c>
      <x:c r="V42" s="52" t="n">
        <x:v>-0.6116576435001522</x:v>
      </x:c>
      <x:c r="W42" s="70" t="n">
        <x:v>0.5407642913223798</x:v>
      </x:c>
      <x:c r="X42" s="52" t="n">
        <x:v>-4.83404896194202</x:v>
      </x:c>
      <x:c r="Y42" s="70" t="n">
        <x:v>-0.30470606190750726</x:v>
      </x:c>
      <x:c r="Z42" s="52" t="n">
        <x:v>-1.46982600753267</x:v>
      </x:c>
      <x:c r="AA42" s="70" t="n">
        <x:v>0.1416088834553122</x:v>
      </x:c>
      <x:c r="AB42" s="52" t="n">
        <x:v>2.576614321378005</x:v>
      </x:c>
      <x:c r="AC42" s="70" t="n">
        <x:v>0.12467928038619888</x:v>
      </x:c>
      <x:c r="AD42" s="52" t="n">
        <x:v>0.44486053179500495</x:v>
      </x:c>
      <x:c r="AE42" s="70" t="n">
        <x:v>0.6564205466132704</x:v>
      </x:c>
      <x:c r="AF42" s="52" t="n">
        <x:v>0.33680982803582005</x:v>
      </x:c>
      <x:c r="AG42" s="70" t="n">
        <x:v>0.33209691364681904</x:v>
      </x:c>
      <x:c r="AH42" s="52" t="n">
        <x:v>2.268999461765086</x:v>
      </x:c>
      <x:c r="AI42" s="70" t="n">
        <x:v>0.023268358600213368</x:v>
      </x:c>
    </x:row>
    <x:row r="43">
      <x:c r="C43" s="43" t="str">
        <x:v>Ex-Petrobras core (PRIO + Brava)</x:v>
      </x:c>
      <x:c r="D43" s="43" t="str">
        <x:v>audit_clean</x:v>
      </x:c>
      <x:c r="E43" s="43" t="str">
        <x:v>BCOM</x:v>
      </x:c>
      <x:c r="F43" s="19" t="n">
        <x:v>44652</x:v>
      </x:c>
      <x:c r="G43" s="19" t="n">
        <x:v>46204</x:v>
      </x:c>
      <x:c r="H43" s="64" t="n">
        <x:v>49</x:v>
      </x:c>
      <x:c r="I43" s="70" t="n">
        <x:v>0.14998771168747693</x:v>
      </x:c>
      <x:c r="J43" s="70" t="n">
        <x:v>0.05114907351160225</x:v>
      </x:c>
      <x:c r="K43" s="64" t="n">
        <x:v>0</x:v>
      </x:c>
      <x:c r="L43" s="52" t="n">
        <x:v>17.053271744904134</x:v>
      </x:c>
      <x:c r="M43" s="70" t="n">
        <x:v>0.1815402915634559</x:v>
      </x:c>
      <x:c r="N43" s="52" t="n">
        <x:v>0.9620220142482244</x:v>
      </x:c>
      <x:c r="O43" s="70" t="n">
        <x:v>0.33603854580500014</x:v>
      </x:c>
      <x:c r="P43" s="52" t="n">
        <x:v>0.6156155088515263</x:v>
      </x:c>
      <x:c r="Q43" s="70" t="n">
        <x:v>0.2163237772042295</x:v>
      </x:c>
      <x:c r="R43" s="52" t="n">
        <x:v>1.1913256509360184</x:v>
      </x:c>
      <x:c r="S43" s="70" t="n">
        <x:v>0.2335257677889957</x:v>
      </x:c>
      <x:c r="T43" s="52" t="n">
        <x:v>-0.3128995537155168</x:v>
      </x:c>
      <x:c r="U43" s="70" t="n">
        <x:v>-0.07882320250958526</x:v>
      </x:c>
      <x:c r="V43" s="52" t="n">
        <x:v>-0.3109360238507989</x:v>
      </x:c>
      <x:c r="W43" s="70" t="n">
        <x:v>0.7558492578472389</x:v>
      </x:c>
      <x:c r="X43" s="52" t="n">
        <x:v>-4.576133172478288</x:v>
      </x:c>
      <x:c r="Y43" s="70" t="n">
        <x:v>-0.28625785332279663</x:v>
      </x:c>
      <x:c r="Z43" s="52" t="n">
        <x:v>-1.3336001814362204</x:v>
      </x:c>
      <x:c r="AA43" s="70" t="n">
        <x:v>0.1823349234681173</x:v>
      </x:c>
      <x:c r="AB43" s="52" t="n">
        <x:v>2.6458862422982303</x:v>
      </x:c>
      <x:c r="AC43" s="70" t="n">
        <x:v>0.1267056571033573</x:v>
      </x:c>
      <x:c r="AD43" s="52" t="n">
        <x:v>0.36777412661896774</x:v>
      </x:c>
      <x:c r="AE43" s="70" t="n">
        <x:v>0.713041662934689</x:v>
      </x:c>
      <x:c r="AF43" s="52"/>
      <x:c r="AG43" s="70"/>
      <x:c r="AH43" s="52"/>
      <x:c r="AI43" s="70"/>
    </x:row>
    <x:row r="44">
      <x:c r="C44" s="43" t="str">
        <x:v>Ex-Petrobras core (PRIO + Brava)</x:v>
      </x:c>
      <x:c r="D44" s="43" t="str">
        <x:v>audit_clean</x:v>
      </x:c>
      <x:c r="E44" s="43" t="str">
        <x:v>Brent</x:v>
      </x:c>
      <x:c r="F44" s="19" t="n">
        <x:v>44652</x:v>
      </x:c>
      <x:c r="G44" s="19" t="n">
        <x:v>46204</x:v>
      </x:c>
      <x:c r="H44" s="64" t="n">
        <x:v>49</x:v>
      </x:c>
      <x:c r="I44" s="70" t="n">
        <x:v>0.21236442911899467</x:v>
      </x:c>
      <x:c r="J44" s="70" t="n">
        <x:v>0.12077889762120342</x:v>
      </x:c>
      <x:c r="K44" s="64" t="n">
        <x:v>0</x:v>
      </x:c>
      <x:c r="L44" s="52" t="n">
        <x:v>11.171558055198183</x:v>
      </x:c>
      <x:c r="M44" s="70" t="n">
        <x:v>0.11892661636408758</x:v>
      </x:c>
      <x:c r="N44" s="52" t="n">
        <x:v>0.6573687645564406</x:v>
      </x:c>
      <x:c r="O44" s="70" t="n">
        <x:v>0.5109438308360756</x:v>
      </x:c>
      <x:c r="P44" s="52"/>
      <x:c r="Q44" s="70"/>
      <x:c r="R44" s="52"/>
      <x:c r="S44" s="70"/>
      <x:c r="T44" s="52" t="n">
        <x:v>-0.45753872036939525</x:v>
      </x:c>
      <x:c r="U44" s="70" t="n">
        <x:v>-0.11525956743435536</x:v>
      </x:c>
      <x:c r="V44" s="52" t="n">
        <x:v>-0.5829615482688609</x:v>
      </x:c>
      <x:c r="W44" s="70" t="n">
        <x:v>0.5599191856229979</x:v>
      </x:c>
      <x:c r="X44" s="52" t="n">
        <x:v>-4.8243365465547985</x:v>
      </x:c>
      <x:c r="Y44" s="70" t="n">
        <x:v>-0.30178409838007225</x:v>
      </x:c>
      <x:c r="Z44" s="52" t="n">
        <x:v>-1.4578933064247412</x:v>
      </x:c>
      <x:c r="AA44" s="70" t="n">
        <x:v>0.1448699539163978</x:v>
      </x:c>
      <x:c r="AB44" s="52" t="n">
        <x:v>2.5484524589332556</x:v>
      </x:c>
      <x:c r="AC44" s="70" t="n">
        <x:v>0.12203976809121236</x:v>
      </x:c>
      <x:c r="AD44" s="52" t="n">
        <x:v>0.42726595949742163</x:v>
      </x:c>
      <x:c r="AE44" s="70" t="n">
        <x:v>0.6691856236617104</x:v>
      </x:c>
      <x:c r="AF44" s="52" t="n">
        <x:v>0.3381479253980153</x:v>
      </x:c>
      <x:c r="AG44" s="70" t="n">
        <x:v>0.33242976315863515</x:v>
      </x:c>
      <x:c r="AH44" s="52" t="n">
        <x:v>2.2606847829610355</x:v>
      </x:c>
      <x:c r="AI44" s="70" t="n">
        <x:v>0.023778783433511474</x:v>
      </x:c>
    </x:row>
    <x:row r="45">
      <x:c r="C45" s="43" t="str">
        <x:v>Ex-Petrobras core (PRIO + Brava)</x:v>
      </x:c>
      <x:c r="D45" s="43" t="str">
        <x:v>since_2022_ex_seams</x:v>
      </x:c>
      <x:c r="E45" s="43" t="str">
        <x:v>BCOM</x:v>
      </x:c>
      <x:c r="F45" s="19" t="n">
        <x:v>44652</x:v>
      </x:c>
      <x:c r="G45" s="19" t="n">
        <x:v>46204</x:v>
      </x:c>
      <x:c r="H45" s="64" t="n">
        <x:v>49</x:v>
      </x:c>
      <x:c r="I45" s="70" t="n">
        <x:v>0.14998771168747693</x:v>
      </x:c>
      <x:c r="J45" s="70" t="n">
        <x:v>0.05114907351160225</x:v>
      </x:c>
      <x:c r="K45" s="64" t="n">
        <x:v>0</x:v>
      </x:c>
      <x:c r="L45" s="52" t="n">
        <x:v>17.053271744904134</x:v>
      </x:c>
      <x:c r="M45" s="70" t="n">
        <x:v>0.1815402915634559</x:v>
      </x:c>
      <x:c r="N45" s="52" t="n">
        <x:v>0.9620220142482244</x:v>
      </x:c>
      <x:c r="O45" s="70" t="n">
        <x:v>0.33603854580500014</x:v>
      </x:c>
      <x:c r="P45" s="52" t="n">
        <x:v>0.6156155088515263</x:v>
      </x:c>
      <x:c r="Q45" s="70" t="n">
        <x:v>0.2163237772042295</x:v>
      </x:c>
      <x:c r="R45" s="52" t="n">
        <x:v>1.1913256509360184</x:v>
      </x:c>
      <x:c r="S45" s="70" t="n">
        <x:v>0.2335257677889957</x:v>
      </x:c>
      <x:c r="T45" s="52" t="n">
        <x:v>-0.3128995537155168</x:v>
      </x:c>
      <x:c r="U45" s="70" t="n">
        <x:v>-0.07882320250958526</x:v>
      </x:c>
      <x:c r="V45" s="52" t="n">
        <x:v>-0.3109360238507989</x:v>
      </x:c>
      <x:c r="W45" s="70" t="n">
        <x:v>0.7558492578472389</x:v>
      </x:c>
      <x:c r="X45" s="52" t="n">
        <x:v>-4.576133172478288</x:v>
      </x:c>
      <x:c r="Y45" s="70" t="n">
        <x:v>-0.28625785332279663</x:v>
      </x:c>
      <x:c r="Z45" s="52" t="n">
        <x:v>-1.3336001814362204</x:v>
      </x:c>
      <x:c r="AA45" s="70" t="n">
        <x:v>0.1823349234681173</x:v>
      </x:c>
      <x:c r="AB45" s="52" t="n">
        <x:v>2.6458862422982303</x:v>
      </x:c>
      <x:c r="AC45" s="70" t="n">
        <x:v>0.1267056571033573</x:v>
      </x:c>
      <x:c r="AD45" s="52" t="n">
        <x:v>0.36777412661896774</x:v>
      </x:c>
      <x:c r="AE45" s="70" t="n">
        <x:v>0.713041662934689</x:v>
      </x:c>
      <x:c r="AF45" s="52"/>
      <x:c r="AG45" s="70"/>
      <x:c r="AH45" s="52"/>
      <x:c r="AI45" s="70"/>
    </x:row>
    <x:row r="46">
      <x:c r="C46" s="43" t="str">
        <x:v>Ex-Petrobras core (PRIO + Brava)</x:v>
      </x:c>
      <x:c r="D46" s="43" t="str">
        <x:v>since_2022_ex_seams</x:v>
      </x:c>
      <x:c r="E46" s="43" t="str">
        <x:v>Brent</x:v>
      </x:c>
      <x:c r="F46" s="19" t="n">
        <x:v>44652</x:v>
      </x:c>
      <x:c r="G46" s="19" t="n">
        <x:v>46204</x:v>
      </x:c>
      <x:c r="H46" s="64" t="n">
        <x:v>49</x:v>
      </x:c>
      <x:c r="I46" s="70" t="n">
        <x:v>0.21236442911899467</x:v>
      </x:c>
      <x:c r="J46" s="70" t="n">
        <x:v>0.12077889762120342</x:v>
      </x:c>
      <x:c r="K46" s="64" t="n">
        <x:v>0</x:v>
      </x:c>
      <x:c r="L46" s="52" t="n">
        <x:v>11.171558055198183</x:v>
      </x:c>
      <x:c r="M46" s="70" t="n">
        <x:v>0.11892661636408758</x:v>
      </x:c>
      <x:c r="N46" s="52" t="n">
        <x:v>0.6573687645564406</x:v>
      </x:c>
      <x:c r="O46" s="70" t="n">
        <x:v>0.5109438308360756</x:v>
      </x:c>
      <x:c r="P46" s="52"/>
      <x:c r="Q46" s="70"/>
      <x:c r="R46" s="52"/>
      <x:c r="S46" s="70"/>
      <x:c r="T46" s="52" t="n">
        <x:v>-0.45753872036939525</x:v>
      </x:c>
      <x:c r="U46" s="70" t="n">
        <x:v>-0.11525956743435536</x:v>
      </x:c>
      <x:c r="V46" s="52" t="n">
        <x:v>-0.5829615482688609</x:v>
      </x:c>
      <x:c r="W46" s="70" t="n">
        <x:v>0.5599191856229979</x:v>
      </x:c>
      <x:c r="X46" s="52" t="n">
        <x:v>-4.8243365465547985</x:v>
      </x:c>
      <x:c r="Y46" s="70" t="n">
        <x:v>-0.30178409838007225</x:v>
      </x:c>
      <x:c r="Z46" s="52" t="n">
        <x:v>-1.4578933064247412</x:v>
      </x:c>
      <x:c r="AA46" s="70" t="n">
        <x:v>0.1448699539163978</x:v>
      </x:c>
      <x:c r="AB46" s="52" t="n">
        <x:v>2.5484524589332556</x:v>
      </x:c>
      <x:c r="AC46" s="70" t="n">
        <x:v>0.12203976809121236</x:v>
      </x:c>
      <x:c r="AD46" s="52" t="n">
        <x:v>0.42726595949742163</x:v>
      </x:c>
      <x:c r="AE46" s="70" t="n">
        <x:v>0.6691856236617104</x:v>
      </x:c>
      <x:c r="AF46" s="52" t="n">
        <x:v>0.3381479253980153</x:v>
      </x:c>
      <x:c r="AG46" s="70" t="n">
        <x:v>0.33242976315863515</x:v>
      </x:c>
      <x:c r="AH46" s="52" t="n">
        <x:v>2.2606847829610355</x:v>
      </x:c>
      <x:c r="AI46" s="70" t="n">
        <x:v>0.023778783433511474</x:v>
      </x:c>
    </x:row>
    <x:row r="47">
      <x:c r="C47" s="43" t="str">
        <x:v>PRIO</x:v>
      </x:c>
      <x:c r="D47" s="43" t="str">
        <x:v>primary</x:v>
      </x:c>
      <x:c r="E47" s="43" t="str">
        <x:v>BCOM</x:v>
      </x:c>
      <x:c r="F47" s="19" t="n">
        <x:v>44166</x:v>
      </x:c>
      <x:c r="G47" s="19" t="n">
        <x:v>46204</x:v>
      </x:c>
      <x:c r="H47" s="64" t="n">
        <x:v>68</x:v>
      </x:c>
      <x:c r="I47" s="70" t="n">
        <x:v>0.138308328209245</x:v>
      </x:c>
      <x:c r="J47" s="70" t="n">
        <x:v>0.06881706435515178</x:v>
      </x:c>
      <x:c r="K47" s="64" t="n">
        <x:v>0</x:v>
      </x:c>
      <x:c r="L47" s="52" t="n">
        <x:v>10.08512925738002</x:v>
      </x:c>
      <x:c r="M47" s="70" t="n">
        <x:v>0.29477459784234666</x:v>
      </x:c>
      <x:c r="N47" s="52" t="n">
        <x:v>1.648805699449301</x:v>
      </x:c>
      <x:c r="O47" s="70" t="n">
        <x:v>0.09918744695760173</x:v>
      </x:c>
      <x:c r="P47" s="52" t="n">
        <x:v>0.6398453157417556</x:v>
      </x:c>
      <x:c r="Q47" s="70" t="n">
        <x:v>0.2365365155906477</x:v>
      </x:c>
      <x:c r="R47" s="52" t="n">
        <x:v>1.2349062053608277</x:v>
      </x:c>
      <x:c r="S47" s="70" t="n">
        <x:v>0.21686541373626778</x:v>
      </x:c>
      <x:c r="T47" s="52" t="n">
        <x:v>-0.012142178754274147</x:v>
      </x:c>
      <x:c r="U47" s="70" t="n">
        <x:v>-0.0034170334507778732</x:v>
      </x:c>
      <x:c r="V47" s="52" t="n">
        <x:v>-0.018794279643671898</x:v>
      </x:c>
      <x:c r="W47" s="70" t="n">
        <x:v>0.9850052172013264</x:v>
      </x:c>
      <x:c r="X47" s="52" t="n">
        <x:v>-2.330144196653837</x:v>
      </x:c>
      <x:c r="Y47" s="70" t="n">
        <x:v>-0.15354710806559113</x:v>
      </x:c>
      <x:c r="Z47" s="52" t="n">
        <x:v>-0.7328796521935453</x:v>
      </x:c>
      <x:c r="AA47" s="70" t="n">
        <x:v>0.4636318345516921</x:v>
      </x:c>
      <x:c r="AB47" s="52" t="n">
        <x:v>2.587923299299834</x:v>
      </x:c>
      <x:c r="AC47" s="70" t="n">
        <x:v>0.1538164784164119</x:v>
      </x:c>
      <x:c r="AD47" s="52" t="n">
        <x:v>0.5229752141674233</x:v>
      </x:c>
      <x:c r="AE47" s="70" t="n">
        <x:v>0.600991501707123</x:v>
      </x:c>
      <x:c r="AF47" s="52"/>
      <x:c r="AG47" s="70"/>
      <x:c r="AH47" s="52"/>
      <x:c r="AI47" s="70"/>
    </x:row>
    <x:row r="48">
      <x:c r="C48" s="43" t="str">
        <x:v>PRIO</x:v>
      </x:c>
      <x:c r="D48" s="43" t="str">
        <x:v>primary</x:v>
      </x:c>
      <x:c r="E48" s="43" t="str">
        <x:v>Brent</x:v>
      </x:c>
      <x:c r="F48" s="19" t="n">
        <x:v>44166</x:v>
      </x:c>
      <x:c r="G48" s="19" t="n">
        <x:v>46204</x:v>
      </x:c>
      <x:c r="H48" s="64" t="n">
        <x:v>68</x:v>
      </x:c>
      <x:c r="I48" s="70" t="n">
        <x:v>0.22296182288829536</x:v>
      </x:c>
      <x:c r="J48" s="70" t="n">
        <x:v>0.1602974537663837</x:v>
      </x:c>
      <x:c r="K48" s="64" t="n">
        <x:v>0</x:v>
      </x:c>
      <x:c r="L48" s="52" t="n">
        <x:v>7.893511769805429</x:v>
      </x:c>
      <x:c r="M48" s="70" t="n">
        <x:v>0.23071660244766137</x:v>
      </x:c>
      <x:c r="N48" s="52" t="n">
        <x:v>1.4283272199203625</x:v>
      </x:c>
      <x:c r="O48" s="70" t="n">
        <x:v>0.1531976966357116</x:v>
      </x:c>
      <x:c r="P48" s="52"/>
      <x:c r="Q48" s="70"/>
      <x:c r="R48" s="52"/>
      <x:c r="S48" s="70"/>
      <x:c r="T48" s="52" t="n">
        <x:v>-0.061066653435096985</x:v>
      </x:c>
      <x:c r="U48" s="70" t="n">
        <x:v>-0.01718528459658577</x:v>
      </x:c>
      <x:c r="V48" s="52" t="n">
        <x:v>-0.12473297640687037</x:v>
      </x:c>
      <x:c r="W48" s="70" t="n">
        <x:v>0.900734949868212</x:v>
      </x:c>
      <x:c r="X48" s="52" t="n">
        <x:v>-2.736825282597488</x:v>
      </x:c>
      <x:c r="Y48" s="70" t="n">
        <x:v>-0.18034575200414832</x:v>
      </x:c>
      <x:c r="Z48" s="52" t="n">
        <x:v>-0.8423700851685241</x:v>
      </x:c>
      <x:c r="AA48" s="70" t="n">
        <x:v>0.3995808322815455</x:v>
      </x:c>
      <x:c r="AB48" s="52" t="n">
        <x:v>2.155934968102829</x:v>
      </x:c>
      <x:c r="AC48" s="70" t="n">
        <x:v>0.12814070825750465</x:v>
      </x:c>
      <x:c r="AD48" s="52" t="n">
        <x:v>0.5224917818700764</x:v>
      </x:c>
      <x:c r="AE48" s="70" t="n">
        <x:v>0.6013279669199147</x:v>
      </x:c>
      <x:c r="AF48" s="52" t="n">
        <x:v>0.40945047710460525</x:v>
      </x:c>
      <x:c r="AG48" s="70" t="n">
        <x:v>0.38910729157878465</x:v>
      </x:c>
      <x:c r="AH48" s="52" t="n">
        <x:v>2.6009919717203056</x:v>
      </x:c>
      <x:c r="AI48" s="70" t="n">
        <x:v>0.009295462930224208</x:v>
      </x:c>
    </x:row>
    <x:row r="49">
      <x:c r="C49" s="43" t="str">
        <x:v>PRIO</x:v>
      </x:c>
      <x:c r="D49" s="43" t="str">
        <x:v>clean</x:v>
      </x:c>
      <x:c r="E49" s="43" t="str">
        <x:v>BCOM</x:v>
      </x:c>
      <x:c r="F49" s="19" t="n">
        <x:v>44562</x:v>
      </x:c>
      <x:c r="G49" s="19" t="n">
        <x:v>46204</x:v>
      </x:c>
      <x:c r="H49" s="64" t="n">
        <x:v>55</x:v>
      </x:c>
      <x:c r="I49" s="70" t="n">
        <x:v>0.12582441232354336</x:v>
      </x:c>
      <x:c r="J49" s="70" t="n">
        <x:v>0.03662282174431308</x:v>
      </x:c>
      <x:c r="K49" s="64" t="n">
        <x:v>0</x:v>
      </x:c>
      <x:c r="L49" s="52" t="n">
        <x:v>15.81893773734574</x:v>
      </x:c>
      <x:c r="M49" s="70" t="n">
        <x:v>0.22096011689568962</x:v>
      </x:c>
      <x:c r="N49" s="52" t="n">
        <x:v>1.884258307755172</x:v>
      </x:c>
      <x:c r="O49" s="70" t="n">
        <x:v>0.05953004396769912</x:v>
      </x:c>
      <x:c r="P49" s="52" t="n">
        <x:v>0.45472750877378587</x:v>
      </x:c>
      <x:c r="Q49" s="70" t="n">
        <x:v>0.16816812912947834</x:v>
      </x:c>
      <x:c r="R49" s="52" t="n">
        <x:v>0.8438962073571534</x:v>
      </x:c>
      <x:c r="S49" s="70" t="n">
        <x:v>0.39872740772272586</x:v>
      </x:c>
      <x:c r="T49" s="52" t="n">
        <x:v>-0.21747957074330504</x:v>
      </x:c>
      <x:c r="U49" s="70" t="n">
        <x:v>-0.05617573037891162</x:v>
      </x:c>
      <x:c r="V49" s="52" t="n">
        <x:v>-0.2797861322055629</x:v>
      </x:c>
      <x:c r="W49" s="70" t="n">
        <x:v>0.7796415918633846</x:v>
      </x:c>
      <x:c r="X49" s="52" t="n">
        <x:v>-4.1326711953069015</x:v>
      </x:c>
      <x:c r="Y49" s="70" t="n">
        <x:v>-0.23520120513045303</x:v>
      </x:c>
      <x:c r="Z49" s="52" t="n">
        <x:v>-1.4204514324796598</x:v>
      </x:c>
      <x:c r="AA49" s="70" t="n">
        <x:v>0.15547629842008592</x:v>
      </x:c>
      <x:c r="AB49" s="52" t="n">
        <x:v>0.08503241682445561</x:v>
      </x:c>
      <x:c r="AC49" s="70" t="n">
        <x:v>0.003757065185534739</x:v>
      </x:c>
      <x:c r="AD49" s="52" t="n">
        <x:v>0.013876961069831523</x:v>
      </x:c>
      <x:c r="AE49" s="70" t="n">
        <x:v>0.9889281423640199</x:v>
      </x:c>
      <x:c r="AF49" s="52"/>
      <x:c r="AG49" s="70"/>
      <x:c r="AH49" s="52"/>
      <x:c r="AI49" s="70"/>
    </x:row>
    <x:row r="50">
      <x:c r="C50" s="43" t="str">
        <x:v>PRIO</x:v>
      </x:c>
      <x:c r="D50" s="43" t="str">
        <x:v>clean</x:v>
      </x:c>
      <x:c r="E50" s="43" t="str">
        <x:v>Brent</x:v>
      </x:c>
      <x:c r="F50" s="19" t="n">
        <x:v>44562</x:v>
      </x:c>
      <x:c r="G50" s="19" t="n">
        <x:v>46204</x:v>
      </x:c>
      <x:c r="H50" s="64" t="n">
        <x:v>55</x:v>
      </x:c>
      <x:c r="I50" s="70" t="n">
        <x:v>0.20243590917303755</x:v>
      </x:c>
      <x:c r="J50" s="70" t="n">
        <x:v>0.12105181827232714</x:v>
      </x:c>
      <x:c r="K50" s="64" t="n">
        <x:v>0</x:v>
      </x:c>
      <x:c r="L50" s="52" t="n">
        <x:v>13.572093855961135</x:v>
      </x:c>
      <x:c r="M50" s="70" t="n">
        <x:v>0.18957603188819439</x:v>
      </x:c>
      <x:c r="N50" s="52" t="n">
        <x:v>1.6204182300237902</x:v>
      </x:c>
      <x:c r="O50" s="70" t="n">
        <x:v>0.10514246644861758</x:v>
      </x:c>
      <x:c r="P50" s="52"/>
      <x:c r="Q50" s="70"/>
      <x:c r="R50" s="52"/>
      <x:c r="S50" s="70"/>
      <x:c r="T50" s="52" t="n">
        <x:v>-0.11600769158691548</x:v>
      </x:c>
      <x:c r="U50" s="70" t="n">
        <x:v>-0.029965190671441856</x:v>
      </x:c>
      <x:c r="V50" s="52" t="n">
        <x:v>-0.2190573324796541</x:v>
      </x:c>
      <x:c r="W50" s="70" t="n">
        <x:v>0.8266053872788008</x:v>
      </x:c>
      <x:c r="X50" s="52" t="n">
        <x:v>-4.539384596700003</x:v>
      </x:c>
      <x:c r="Y50" s="70" t="n">
        <x:v>-0.258348336278701</x:v>
      </x:c>
      <x:c r="Z50" s="52" t="n">
        <x:v>-1.496512535890978</x:v>
      </x:c>
      <x:c r="AA50" s="70" t="n">
        <x:v>0.13452014362601927</x:v>
      </x:c>
      <x:c r="AB50" s="52" t="n">
        <x:v>-0.6535256054762839</x:v>
      </x:c>
      <x:c r="AC50" s="70" t="n">
        <x:v>-0.028875320635179315</x:v>
      </x:c>
      <x:c r="AD50" s="52" t="n">
        <x:v>-0.13290028306502286</x:v>
      </x:c>
      <x:c r="AE50" s="70" t="n">
        <x:v>0.8942722430368466</x:v>
      </x:c>
      <x:c r="AF50" s="52" t="n">
        <x:v>0.35944723808510126</x:v>
      </x:c>
      <x:c r="AG50" s="70" t="n">
        <x:v>0.3401715728001491</x:v>
      </x:c>
      <x:c r="AH50" s="52" t="n">
        <x:v>2.1271554629373717</x:v>
      </x:c>
      <x:c r="AI50" s="70" t="n">
        <x:v>0.03340716823533252</x:v>
      </x:c>
    </x:row>
    <x:row r="51">
      <x:c r="C51" s="43" t="str">
        <x:v>PRIO</x:v>
      </x:c>
      <x:c r="D51" s="43" t="str">
        <x:v>audit_clean</x:v>
      </x:c>
      <x:c r="E51" s="43" t="str">
        <x:v>BCOM</x:v>
      </x:c>
      <x:c r="F51" s="19" t="n">
        <x:v>44562</x:v>
      </x:c>
      <x:c r="G51" s="19" t="n">
        <x:v>46204</x:v>
      </x:c>
      <x:c r="H51" s="64" t="n">
        <x:v>52</x:v>
      </x:c>
      <x:c r="I51" s="70" t="n">
        <x:v>0.12784471245350437</x:v>
      </x:c>
      <x:c r="J51" s="70" t="n">
        <x:v>0.03304522467671145</x:v>
      </x:c>
      <x:c r="K51" s="64" t="n">
        <x:v>0</x:v>
      </x:c>
      <x:c r="L51" s="52" t="n">
        <x:v>15.68232481176911</x:v>
      </x:c>
      <x:c r="M51" s="70" t="n">
        <x:v>0.21746321621703674</x:v>
      </x:c>
      <x:c r="N51" s="52" t="n">
        <x:v>1.838637024698894</x:v>
      </x:c>
      <x:c r="O51" s="70" t="n">
        <x:v>0.06596859172815028</x:v>
      </x:c>
      <x:c r="P51" s="52" t="n">
        <x:v>0.5427554365975613</x:v>
      </x:c>
      <x:c r="Q51" s="70" t="n">
        <x:v>0.19548762114683335</x:v>
      </x:c>
      <x:c r="R51" s="52" t="n">
        <x:v>0.9733241488454748</x:v>
      </x:c>
      <x:c r="S51" s="70" t="n">
        <x:v>0.3303922240140822</x:v>
      </x:c>
      <x:c r="T51" s="52" t="n">
        <x:v>-0.11136835835965897</x:v>
      </x:c>
      <x:c r="U51" s="70" t="n">
        <x:v>-0.028712202970061787</x:v>
      </x:c>
      <x:c r="V51" s="52" t="n">
        <x:v>-0.1434238267593657</x:v>
      </x:c>
      <x:c r="W51" s="70" t="n">
        <x:v>0.8859554664688971</x:v>
      </x:c>
      <x:c r="X51" s="52" t="n">
        <x:v>-4.076894942116888</x:v>
      </x:c>
      <x:c r="Y51" s="70" t="n">
        <x:v>-0.23063899572919042</x:v>
      </x:c>
      <x:c r="Z51" s="52" t="n">
        <x:v>-1.3279152902910198</x:v>
      </x:c>
      <x:c r="AA51" s="70" t="n">
        <x:v>0.1842060928792688</x:v>
      </x:c>
      <x:c r="AB51" s="52" t="n">
        <x:v>-0.12323859643427348</x:v>
      </x:c>
      <x:c r="AC51" s="70" t="n">
        <x:v>-0.005395077556483427</x:v>
      </x:c>
      <x:c r="AD51" s="52" t="n">
        <x:v>-0.01963373958192931</x:v>
      </x:c>
      <x:c r="AE51" s="70" t="n">
        <x:v>0.9843355487217376</x:v>
      </x:c>
      <x:c r="AF51" s="52"/>
      <x:c r="AG51" s="70"/>
      <x:c r="AH51" s="52"/>
      <x:c r="AI51" s="70"/>
    </x:row>
    <x:row r="52">
      <x:c r="C52" s="43" t="str">
        <x:v>PRIO</x:v>
      </x:c>
      <x:c r="D52" s="43" t="str">
        <x:v>audit_clean</x:v>
      </x:c>
      <x:c r="E52" s="43" t="str">
        <x:v>Brent</x:v>
      </x:c>
      <x:c r="F52" s="19" t="n">
        <x:v>44562</x:v>
      </x:c>
      <x:c r="G52" s="19" t="n">
        <x:v>46204</x:v>
      </x:c>
      <x:c r="H52" s="64" t="n">
        <x:v>52</x:v>
      </x:c>
      <x:c r="I52" s="70" t="n">
        <x:v>0.20374677007692565</x:v>
      </x:c>
      <x:c r="J52" s="70" t="n">
        <x:v>0.11719750595485234</x:v>
      </x:c>
      <x:c r="K52" s="64" t="n">
        <x:v>0</x:v>
      </x:c>
      <x:c r="L52" s="52" t="n">
        <x:v>13.622168562265768</x:v>
      </x:c>
      <x:c r="M52" s="70" t="n">
        <x:v>0.18889550005862601</x:v>
      </x:c>
      <x:c r="N52" s="52" t="n">
        <x:v>1.6011063775027128</x:v>
      </x:c>
      <x:c r="O52" s="70" t="n">
        <x:v>0.10935335992884454</x:v>
      </x:c>
      <x:c r="P52" s="52"/>
      <x:c r="Q52" s="70"/>
      <x:c r="R52" s="52"/>
      <x:c r="S52" s="70"/>
      <x:c r="T52" s="52" t="n">
        <x:v>-0.07959501001985814</x:v>
      </x:c>
      <x:c r="U52" s="70" t="n">
        <x:v>-0.020520622883869313</x:v>
      </x:c>
      <x:c r="V52" s="52" t="n">
        <x:v>-0.15016386808920873</x:v>
      </x:c>
      <x:c r="W52" s="70" t="n">
        <x:v>0.8806353317006324</x:v>
      </x:c>
      <x:c r="X52" s="52" t="n">
        <x:v>-4.429799593650705</x:v>
      </x:c>
      <x:c r="Y52" s="70" t="n">
        <x:v>-0.2506035951543742</x:v>
      </x:c>
      <x:c r="Z52" s="52" t="n">
        <x:v>-1.3965072255898845</x:v>
      </x:c>
      <x:c r="AA52" s="70" t="n">
        <x:v>0.16256180626198513</x:v>
      </x:c>
      <x:c r="AB52" s="52" t="n">
        <x:v>-0.7389354569495032</x:v>
      </x:c>
      <x:c r="AC52" s="70" t="n">
        <x:v>-0.03234874637349891</x:v>
      </x:c>
      <x:c r="AD52" s="52" t="n">
        <x:v>-0.14767934206056837</x:v>
      </x:c>
      <x:c r="AE52" s="70" t="n">
        <x:v>0.8825958355026191</x:v>
      </x:c>
      <x:c r="AF52" s="52" t="n">
        <x:v>0.3681664833521321</x:v>
      </x:c>
      <x:c r="AG52" s="70" t="n">
        <x:v>0.34766948037699197</x:v>
      </x:c>
      <x:c r="AH52" s="52" t="n">
        <x:v>2.160632140800362</x:v>
      </x:c>
      <x:c r="AI52" s="70" t="n">
        <x:v>0.030723766599304314</x:v>
      </x:c>
    </x:row>
    <x:row r="53">
      <x:c r="C53" s="43" t="str">
        <x:v>PRIO</x:v>
      </x:c>
      <x:c r="D53" s="43" t="str">
        <x:v>since_2022_ex_seams</x:v>
      </x:c>
      <x:c r="E53" s="43" t="str">
        <x:v>BCOM</x:v>
      </x:c>
      <x:c r="F53" s="19" t="n">
        <x:v>44562</x:v>
      </x:c>
      <x:c r="G53" s="19" t="n">
        <x:v>46204</x:v>
      </x:c>
      <x:c r="H53" s="64" t="n">
        <x:v>52</x:v>
      </x:c>
      <x:c r="I53" s="70" t="n">
        <x:v>0.12784471245350437</x:v>
      </x:c>
      <x:c r="J53" s="70" t="n">
        <x:v>0.03304522467671145</x:v>
      </x:c>
      <x:c r="K53" s="64" t="n">
        <x:v>0</x:v>
      </x:c>
      <x:c r="L53" s="52" t="n">
        <x:v>15.68232481176911</x:v>
      </x:c>
      <x:c r="M53" s="70" t="n">
        <x:v>0.21746321621703674</x:v>
      </x:c>
      <x:c r="N53" s="52" t="n">
        <x:v>1.838637024698894</x:v>
      </x:c>
      <x:c r="O53" s="70" t="n">
        <x:v>0.06596859172815028</x:v>
      </x:c>
      <x:c r="P53" s="52" t="n">
        <x:v>0.5427554365975613</x:v>
      </x:c>
      <x:c r="Q53" s="70" t="n">
        <x:v>0.19548762114683335</x:v>
      </x:c>
      <x:c r="R53" s="52" t="n">
        <x:v>0.9733241488454748</x:v>
      </x:c>
      <x:c r="S53" s="70" t="n">
        <x:v>0.3303922240140822</x:v>
      </x:c>
      <x:c r="T53" s="52" t="n">
        <x:v>-0.11136835835965897</x:v>
      </x:c>
      <x:c r="U53" s="70" t="n">
        <x:v>-0.028712202970061787</x:v>
      </x:c>
      <x:c r="V53" s="52" t="n">
        <x:v>-0.1434238267593657</x:v>
      </x:c>
      <x:c r="W53" s="70" t="n">
        <x:v>0.8859554664688971</x:v>
      </x:c>
      <x:c r="X53" s="52" t="n">
        <x:v>-4.076894942116888</x:v>
      </x:c>
      <x:c r="Y53" s="70" t="n">
        <x:v>-0.23063899572919042</x:v>
      </x:c>
      <x:c r="Z53" s="52" t="n">
        <x:v>-1.3279152902910198</x:v>
      </x:c>
      <x:c r="AA53" s="70" t="n">
        <x:v>0.1842060928792688</x:v>
      </x:c>
      <x:c r="AB53" s="52" t="n">
        <x:v>-0.12323859643427348</x:v>
      </x:c>
      <x:c r="AC53" s="70" t="n">
        <x:v>-0.005395077556483427</x:v>
      </x:c>
      <x:c r="AD53" s="52" t="n">
        <x:v>-0.01963373958192931</x:v>
      </x:c>
      <x:c r="AE53" s="70" t="n">
        <x:v>0.9843355487217376</x:v>
      </x:c>
      <x:c r="AF53" s="52"/>
      <x:c r="AG53" s="70"/>
      <x:c r="AH53" s="52"/>
      <x:c r="AI53" s="70"/>
    </x:row>
    <x:row r="54">
      <x:c r="C54" s="43" t="str">
        <x:v>PRIO</x:v>
      </x:c>
      <x:c r="D54" s="43" t="str">
        <x:v>since_2022_ex_seams</x:v>
      </x:c>
      <x:c r="E54" s="43" t="str">
        <x:v>Brent</x:v>
      </x:c>
      <x:c r="F54" s="19" t="n">
        <x:v>44562</x:v>
      </x:c>
      <x:c r="G54" s="19" t="n">
        <x:v>46204</x:v>
      </x:c>
      <x:c r="H54" s="64" t="n">
        <x:v>52</x:v>
      </x:c>
      <x:c r="I54" s="70" t="n">
        <x:v>0.20374677007692565</x:v>
      </x:c>
      <x:c r="J54" s="70" t="n">
        <x:v>0.11719750595485234</x:v>
      </x:c>
      <x:c r="K54" s="64" t="n">
        <x:v>0</x:v>
      </x:c>
      <x:c r="L54" s="52" t="n">
        <x:v>13.622168562265768</x:v>
      </x:c>
      <x:c r="M54" s="70" t="n">
        <x:v>0.18889550005862601</x:v>
      </x:c>
      <x:c r="N54" s="52" t="n">
        <x:v>1.6011063775027128</x:v>
      </x:c>
      <x:c r="O54" s="70" t="n">
        <x:v>0.10935335992884454</x:v>
      </x:c>
      <x:c r="P54" s="52"/>
      <x:c r="Q54" s="70"/>
      <x:c r="R54" s="52"/>
      <x:c r="S54" s="70"/>
      <x:c r="T54" s="52" t="n">
        <x:v>-0.07959501001985814</x:v>
      </x:c>
      <x:c r="U54" s="70" t="n">
        <x:v>-0.020520622883869313</x:v>
      </x:c>
      <x:c r="V54" s="52" t="n">
        <x:v>-0.15016386808920873</x:v>
      </x:c>
      <x:c r="W54" s="70" t="n">
        <x:v>0.8806353317006324</x:v>
      </x:c>
      <x:c r="X54" s="52" t="n">
        <x:v>-4.429799593650705</x:v>
      </x:c>
      <x:c r="Y54" s="70" t="n">
        <x:v>-0.2506035951543742</x:v>
      </x:c>
      <x:c r="Z54" s="52" t="n">
        <x:v>-1.3965072255898845</x:v>
      </x:c>
      <x:c r="AA54" s="70" t="n">
        <x:v>0.16256180626198513</x:v>
      </x:c>
      <x:c r="AB54" s="52" t="n">
        <x:v>-0.7389354569495032</x:v>
      </x:c>
      <x:c r="AC54" s="70" t="n">
        <x:v>-0.03234874637349891</x:v>
      </x:c>
      <x:c r="AD54" s="52" t="n">
        <x:v>-0.14767934206056837</x:v>
      </x:c>
      <x:c r="AE54" s="70" t="n">
        <x:v>0.8825958355026191</x:v>
      </x:c>
      <x:c r="AF54" s="52" t="n">
        <x:v>0.3681664833521321</x:v>
      </x:c>
      <x:c r="AG54" s="70" t="n">
        <x:v>0.34766948037699197</x:v>
      </x:c>
      <x:c r="AH54" s="52" t="n">
        <x:v>2.160632140800362</x:v>
      </x:c>
      <x:c r="AI54" s="70" t="n">
        <x:v>0.030723766599304314</x:v>
      </x:c>
    </x:row>
    <x:row r="55">
      <x:c r="C55" s="43" t="str">
        <x:v>Brava Energia</x:v>
      </x:c>
      <x:c r="D55" s="43" t="str">
        <x:v>primary</x:v>
      </x:c>
      <x:c r="E55" s="43" t="str">
        <x:v>BCOM</x:v>
      </x:c>
      <x:c r="F55" s="19" t="n">
        <x:v>44652</x:v>
      </x:c>
      <x:c r="G55" s="19" t="n">
        <x:v>46204</x:v>
      </x:c>
      <x:c r="H55" s="64" t="n">
        <x:v>52</x:v>
      </x:c>
      <x:c r="I55" s="70" t="n">
        <x:v>0.14011960604743845</x:v>
      </x:c>
      <x:c r="J55" s="70" t="n">
        <x:v>0.04665434583520345</x:v>
      </x:c>
      <x:c r="K55" s="64" t="n">
        <x:v>0</x:v>
      </x:c>
      <x:c r="L55" s="52" t="n">
        <x:v>7.395749509475807</x:v>
      </x:c>
      <x:c r="M55" s="70" t="n">
        <x:v>0.0684750869699268</x:v>
      </x:c>
      <x:c r="N55" s="52" t="n">
        <x:v>0.30495964994356867</x:v>
      </x:c>
      <x:c r="O55" s="70" t="n">
        <x:v>0.7603968840319193</x:v>
      </x:c>
      <x:c r="P55" s="52" t="n">
        <x:v>0.47845989668360467</x:v>
      </x:c>
      <x:c r="Q55" s="70" t="n">
        <x:v>0.14776712305443884</x:v>
      </x:c>
      <x:c r="R55" s="52" t="n">
        <x:v>0.748592830483124</x:v>
      </x:c>
      <x:c r="S55" s="70" t="n">
        <x:v>0.4541026546785829</x:v>
      </x:c>
      <x:c r="T55" s="52" t="n">
        <x:v>-0.13726395502334132</x:v>
      </x:c>
      <x:c r="U55" s="70" t="n">
        <x:v>-0.029721961940858473</x:v>
      </x:c>
      <x:c r="V55" s="52" t="n">
        <x:v>-0.13698301722355763</x:v>
      </x:c>
      <x:c r="W55" s="70" t="n">
        <x:v>0.8910442188543128</x:v>
      </x:c>
      <x:c r="X55" s="52" t="n">
        <x:v>-4.392106660746537</x:v>
      </x:c>
      <x:c r="Y55" s="70" t="n">
        <x:v>-0.23615231964011746</x:v>
      </x:c>
      <x:c r="Z55" s="52" t="n">
        <x:v>-1.006932019071148</x:v>
      </x:c>
      <x:c r="AA55" s="70" t="n">
        <x:v>0.31396744380809194</x:v>
      </x:c>
      <x:c r="AB55" s="52" t="n">
        <x:v>8.215369492052508</x:v>
      </x:c>
      <x:c r="AC55" s="70" t="n">
        <x:v>0.3390949013224395</x:v>
      </x:c>
      <x:c r="AD55" s="52" t="n">
        <x:v>1.0625576356760154</x:v>
      </x:c>
      <x:c r="AE55" s="70" t="n">
        <x:v>0.28798260754726135</x:v>
      </x:c>
      <x:c r="AF55" s="52"/>
      <x:c r="AG55" s="70"/>
      <x:c r="AH55" s="52"/>
      <x:c r="AI55" s="70"/>
    </x:row>
    <x:row r="56">
      <x:c r="C56" s="43" t="str">
        <x:v>Brava Energia</x:v>
      </x:c>
      <x:c r="D56" s="43" t="str">
        <x:v>primary</x:v>
      </x:c>
      <x:c r="E56" s="43" t="str">
        <x:v>Brent</x:v>
      </x:c>
      <x:c r="F56" s="19" t="n">
        <x:v>44652</x:v>
      </x:c>
      <x:c r="G56" s="19" t="n">
        <x:v>46204</x:v>
      </x:c>
      <x:c r="H56" s="64" t="n">
        <x:v>52</x:v>
      </x:c>
      <x:c r="I56" s="70" t="n">
        <x:v>0.14137189023033014</x:v>
      </x:c>
      <x:c r="J56" s="70" t="n">
        <x:v>0.04804274786406171</x:v>
      </x:c>
      <x:c r="K56" s="64" t="n">
        <x:v>0</x:v>
      </x:c>
      <x:c r="L56" s="52" t="n">
        <x:v>4.835532683635501</x:v>
      </x:c>
      <x:c r="M56" s="70" t="n">
        <x:v>0.04477078633255821</x:v>
      </x:c>
      <x:c r="N56" s="52" t="n">
        <x:v>0.19786013449974138</x:v>
      </x:c>
      <x:c r="O56" s="70" t="n">
        <x:v>0.8431544955540053</x:v>
      </x:c>
      <x:c r="P56" s="52"/>
      <x:c r="Q56" s="70"/>
      <x:c r="R56" s="52"/>
      <x:c r="S56" s="70"/>
      <x:c r="T56" s="52" t="n">
        <x:v>-0.3688045815348872</x:v>
      </x:c>
      <x:c r="U56" s="70" t="n">
        <x:v>-0.07985778738584376</x:v>
      </x:c>
      <x:c r="V56" s="52" t="n">
        <x:v>-0.4846023405947646</x:v>
      </x:c>
      <x:c r="W56" s="70" t="n">
        <x:v>0.627958453077057</x:v>
      </x:c>
      <x:c r="X56" s="52" t="n">
        <x:v>-4.428128812405303</x:v>
      </x:c>
      <x:c r="Y56" s="70" t="n">
        <x:v>-0.2380891384220185</x:v>
      </x:c>
      <x:c r="Z56" s="52" t="n">
        <x:v>-1.0370931129319128</x:v>
      </x:c>
      <x:c r="AA56" s="70" t="n">
        <x:v>0.29969246455674114</x:v>
      </x:c>
      <x:c r="AB56" s="52" t="n">
        <x:v>8.812667565563517</x:v>
      </x:c>
      <x:c r="AC56" s="70" t="n">
        <x:v>0.3637487810405984</x:v>
      </x:c>
      <x:c r="AD56" s="52" t="n">
        <x:v>1.336629305260644</x:v>
      </x:c>
      <x:c r="AE56" s="70" t="n">
        <x:v>0.18134366833892335</x:v>
      </x:c>
      <x:c r="AF56" s="52" t="n">
        <x:v>0.16298210045316885</x:v>
      </x:c>
      <x:c r="AG56" s="70" t="n">
        <x:v>0.1370784807825402</x:v>
      </x:c>
      <x:c r="AH56" s="52" t="n">
        <x:v>0.868720301754661</x:v>
      </x:c>
      <x:c r="AI56" s="70" t="n">
        <x:v>0.3850001342995233</x:v>
      </x:c>
    </x:row>
    <x:row r="57">
      <x:c r="C57" s="43" t="str">
        <x:v>Brava Energia</x:v>
      </x:c>
      <x:c r="D57" s="43" t="str">
        <x:v>clean</x:v>
      </x:c>
      <x:c r="E57" s="43" t="str">
        <x:v>BCOM</x:v>
      </x:c>
      <x:c r="F57" s="19" t="n">
        <x:v>44652</x:v>
      </x:c>
      <x:c r="G57" s="19" t="n">
        <x:v>46204</x:v>
      </x:c>
      <x:c r="H57" s="64" t="n">
        <x:v>52</x:v>
      </x:c>
      <x:c r="I57" s="70" t="n">
        <x:v>0.14011960604743845</x:v>
      </x:c>
      <x:c r="J57" s="70" t="n">
        <x:v>0.04665434583520345</x:v>
      </x:c>
      <x:c r="K57" s="64" t="n">
        <x:v>0</x:v>
      </x:c>
      <x:c r="L57" s="52" t="n">
        <x:v>7.395749509475807</x:v>
      </x:c>
      <x:c r="M57" s="70" t="n">
        <x:v>0.0684750869699268</x:v>
      </x:c>
      <x:c r="N57" s="52" t="n">
        <x:v>0.30495964994356867</x:v>
      </x:c>
      <x:c r="O57" s="70" t="n">
        <x:v>0.7603968840319193</x:v>
      </x:c>
      <x:c r="P57" s="52" t="n">
        <x:v>0.47845989668360467</x:v>
      </x:c>
      <x:c r="Q57" s="70" t="n">
        <x:v>0.14776712305443884</x:v>
      </x:c>
      <x:c r="R57" s="52" t="n">
        <x:v>0.748592830483124</x:v>
      </x:c>
      <x:c r="S57" s="70" t="n">
        <x:v>0.4541026546785829</x:v>
      </x:c>
      <x:c r="T57" s="52" t="n">
        <x:v>-0.13726395502334132</x:v>
      </x:c>
      <x:c r="U57" s="70" t="n">
        <x:v>-0.029721961940858473</x:v>
      </x:c>
      <x:c r="V57" s="52" t="n">
        <x:v>-0.13698301722355763</x:v>
      </x:c>
      <x:c r="W57" s="70" t="n">
        <x:v>0.8910442188543128</x:v>
      </x:c>
      <x:c r="X57" s="52" t="n">
        <x:v>-4.392106660746537</x:v>
      </x:c>
      <x:c r="Y57" s="70" t="n">
        <x:v>-0.23615231964011746</x:v>
      </x:c>
      <x:c r="Z57" s="52" t="n">
        <x:v>-1.006932019071148</x:v>
      </x:c>
      <x:c r="AA57" s="70" t="n">
        <x:v>0.31396744380809194</x:v>
      </x:c>
      <x:c r="AB57" s="52" t="n">
        <x:v>8.215369492052508</x:v>
      </x:c>
      <x:c r="AC57" s="70" t="n">
        <x:v>0.3390949013224395</x:v>
      </x:c>
      <x:c r="AD57" s="52" t="n">
        <x:v>1.0625576356760154</x:v>
      </x:c>
      <x:c r="AE57" s="70" t="n">
        <x:v>0.28798260754726135</x:v>
      </x:c>
      <x:c r="AF57" s="52"/>
      <x:c r="AG57" s="70"/>
      <x:c r="AH57" s="52"/>
      <x:c r="AI57" s="70"/>
    </x:row>
    <x:row r="58">
      <x:c r="C58" s="43" t="str">
        <x:v>Brava Energia</x:v>
      </x:c>
      <x:c r="D58" s="43" t="str">
        <x:v>clean</x:v>
      </x:c>
      <x:c r="E58" s="43" t="str">
        <x:v>Brent</x:v>
      </x:c>
      <x:c r="F58" s="19" t="n">
        <x:v>44652</x:v>
      </x:c>
      <x:c r="G58" s="19" t="n">
        <x:v>46204</x:v>
      </x:c>
      <x:c r="H58" s="64" t="n">
        <x:v>52</x:v>
      </x:c>
      <x:c r="I58" s="70" t="n">
        <x:v>0.14137189023033014</x:v>
      </x:c>
      <x:c r="J58" s="70" t="n">
        <x:v>0.04804274786406171</x:v>
      </x:c>
      <x:c r="K58" s="64" t="n">
        <x:v>0</x:v>
      </x:c>
      <x:c r="L58" s="52" t="n">
        <x:v>4.835532683635501</x:v>
      </x:c>
      <x:c r="M58" s="70" t="n">
        <x:v>0.04477078633255821</x:v>
      </x:c>
      <x:c r="N58" s="52" t="n">
        <x:v>0.19786013449974138</x:v>
      </x:c>
      <x:c r="O58" s="70" t="n">
        <x:v>0.8431544955540053</x:v>
      </x:c>
      <x:c r="P58" s="52"/>
      <x:c r="Q58" s="70"/>
      <x:c r="R58" s="52"/>
      <x:c r="S58" s="70"/>
      <x:c r="T58" s="52" t="n">
        <x:v>-0.3688045815348872</x:v>
      </x:c>
      <x:c r="U58" s="70" t="n">
        <x:v>-0.07985778738584376</x:v>
      </x:c>
      <x:c r="V58" s="52" t="n">
        <x:v>-0.4846023405947646</x:v>
      </x:c>
      <x:c r="W58" s="70" t="n">
        <x:v>0.627958453077057</x:v>
      </x:c>
      <x:c r="X58" s="52" t="n">
        <x:v>-4.428128812405303</x:v>
      </x:c>
      <x:c r="Y58" s="70" t="n">
        <x:v>-0.2380891384220185</x:v>
      </x:c>
      <x:c r="Z58" s="52" t="n">
        <x:v>-1.0370931129319128</x:v>
      </x:c>
      <x:c r="AA58" s="70" t="n">
        <x:v>0.29969246455674114</x:v>
      </x:c>
      <x:c r="AB58" s="52" t="n">
        <x:v>8.812667565563517</x:v>
      </x:c>
      <x:c r="AC58" s="70" t="n">
        <x:v>0.3637487810405984</x:v>
      </x:c>
      <x:c r="AD58" s="52" t="n">
        <x:v>1.336629305260644</x:v>
      </x:c>
      <x:c r="AE58" s="70" t="n">
        <x:v>0.18134366833892335</x:v>
      </x:c>
      <x:c r="AF58" s="52" t="n">
        <x:v>0.16298210045316885</x:v>
      </x:c>
      <x:c r="AG58" s="70" t="n">
        <x:v>0.1370784807825402</x:v>
      </x:c>
      <x:c r="AH58" s="52" t="n">
        <x:v>0.868720301754661</x:v>
      </x:c>
      <x:c r="AI58" s="70" t="n">
        <x:v>0.3850001342995233</x:v>
      </x:c>
    </x:row>
    <x:row r="59">
      <x:c r="C59" s="43" t="str">
        <x:v>Brava Energia</x:v>
      </x:c>
      <x:c r="D59" s="43" t="str">
        <x:v>audit_clean</x:v>
      </x:c>
      <x:c r="E59" s="43" t="str">
        <x:v>BCOM</x:v>
      </x:c>
      <x:c r="F59" s="19" t="n">
        <x:v>44652</x:v>
      </x:c>
      <x:c r="G59" s="19" t="n">
        <x:v>46204</x:v>
      </x:c>
      <x:c r="H59" s="64" t="n">
        <x:v>49</x:v>
      </x:c>
      <x:c r="I59" s="70" t="n">
        <x:v>0.1390564411869344</x:v>
      </x:c>
      <x:c r="J59" s="70" t="n">
        <x:v>0.03894672504588037</x:v>
      </x:c>
      <x:c r="K59" s="64" t="n">
        <x:v>0</x:v>
      </x:c>
      <x:c r="L59" s="52" t="n">
        <x:v>6.522217322210858</x:v>
      </x:c>
      <x:c r="M59" s="70" t="n">
        <x:v>0.05939289242756879</x:v>
      </x:c>
      <x:c r="N59" s="52" t="n">
        <x:v>0.26303283478130246</x:v>
      </x:c>
      <x:c r="O59" s="70" t="n">
        <x:v>0.7925252714277984</x:v>
      </x:c>
      <x:c r="P59" s="52" t="n">
        <x:v>0.4473262575229091</x:v>
      </x:c>
      <x:c r="Q59" s="70" t="n">
        <x:v>0.13445996414891992</x:v>
      </x:c>
      <x:c r="R59" s="52" t="n">
        <x:v>0.6512011286124008</x:v>
      </x:c>
      <x:c r="S59" s="70" t="n">
        <x:v>0.5149166619059817</x:v>
      </x:c>
      <x:c r="T59" s="52" t="n">
        <x:v>-0.21516949845964506</x:v>
      </x:c>
      <x:c r="U59" s="70" t="n">
        <x:v>-0.04636643806457444</x:v>
      </x:c>
      <x:c r="V59" s="52" t="n">
        <x:v>-0.20260069615011828</x:v>
      </x:c>
      <x:c r="W59" s="70" t="n">
        <x:v>0.8394471458373916</x:v>
      </x:c>
      <x:c r="X59" s="52" t="n">
        <x:v>-4.541307334373823</x:v>
      </x:c>
      <x:c r="Y59" s="70" t="n">
        <x:v>-0.24300406792132623</x:v>
      </x:c>
      <x:c r="Z59" s="52" t="n">
        <x:v>-1.0893207505459586</x:v>
      </x:c>
      <x:c r="AA59" s="70" t="n">
        <x:v>0.27601246525942713</x:v>
      </x:c>
      <x:c r="AB59" s="52" t="n">
        <x:v>8.529291108331394</x:v>
      </x:c>
      <x:c r="AC59" s="70" t="n">
        <x:v>0.3493909640671813</x:v>
      </x:c>
      <x:c r="AD59" s="52" t="n">
        <x:v>1.0725878558277895</x:v>
      </x:c>
      <x:c r="AE59" s="70" t="n">
        <x:v>0.28345607592325717</x:v>
      </x:c>
      <x:c r="AF59" s="52"/>
      <x:c r="AG59" s="70"/>
      <x:c r="AH59" s="52"/>
      <x:c r="AI59" s="70"/>
    </x:row>
    <x:row r="60">
      <x:c r="C60" s="43" t="str">
        <x:v>Brava Energia</x:v>
      </x:c>
      <x:c r="D60" s="43" t="str">
        <x:v>audit_clean</x:v>
      </x:c>
      <x:c r="E60" s="43" t="str">
        <x:v>Brent</x:v>
      </x:c>
      <x:c r="F60" s="19" t="n">
        <x:v>44652</x:v>
      </x:c>
      <x:c r="G60" s="19" t="n">
        <x:v>46204</x:v>
      </x:c>
      <x:c r="H60" s="64" t="n">
        <x:v>49</x:v>
      </x:c>
      <x:c r="I60" s="70" t="n">
        <x:v>0.14179232874521075</x:v>
      </x:c>
      <x:c r="J60" s="70" t="n">
        <x:v>0.042000739064421255</x:v>
      </x:c>
      <x:c r="K60" s="64" t="n">
        <x:v>0</x:v>
      </x:c>
      <x:c r="L60" s="52" t="n">
        <x:v>4.082898538416744</x:v>
      </x:c>
      <x:c r="M60" s="70" t="n">
        <x:v>0.037179864102207194</x:v>
      </x:c>
      <x:c r="N60" s="52" t="n">
        <x:v>0.16402945666628096</x:v>
      </x:c>
      <x:c r="O60" s="70" t="n">
        <x:v>0.8697079548006232</x:v>
      </x:c>
      <x:c r="P60" s="52"/>
      <x:c r="Q60" s="70"/>
      <x:c r="R60" s="52"/>
      <x:c r="S60" s="70"/>
      <x:c r="T60" s="52" t="n">
        <x:v>-0.4340657980454814</x:v>
      </x:c>
      <x:c r="U60" s="70" t="n">
        <x:v>-0.09353595693211311</x:v>
      </x:c>
      <x:c r="V60" s="52" t="n">
        <x:v>-0.5592036017854236</x:v>
      </x:c>
      <x:c r="W60" s="70" t="n">
        <x:v>0.5760227753055953</x:v>
      </x:c>
      <x:c r="X60" s="52" t="n">
        <x:v>-4.591854106839886</x:v>
      </x:c>
      <x:c r="Y60" s="70" t="n">
        <x:v>-0.24570881138508094</x:v>
      </x:c>
      <x:c r="Z60" s="52" t="n">
        <x:v>-1.136355287548038</x:v>
      </x:c>
      <x:c r="AA60" s="70" t="n">
        <x:v>0.2558079006655871</x:v>
      </x:c>
      <x:c r="AB60" s="52" t="n">
        <x:v>8.995165880006988</x:v>
      </x:c>
      <x:c r="AC60" s="70" t="n">
        <x:v>0.36847489889165</x:v>
      </x:c>
      <x:c r="AD60" s="52" t="n">
        <x:v>1.3190358420086319</x:v>
      </x:c>
      <x:c r="AE60" s="70" t="n">
        <x:v>0.18715713023356062</x:v>
      </x:c>
      <x:c r="AF60" s="52" t="n">
        <x:v>0.15521893275441734</x:v>
      </x:c>
      <x:c r="AG60" s="70" t="n">
        <x:v>0.13053042746961632</x:v>
      </x:c>
      <x:c r="AH60" s="52" t="n">
        <x:v>0.8367862547262788</x:v>
      </x:c>
      <x:c r="AI60" s="70" t="n">
        <x:v>0.4027127249628577</x:v>
      </x:c>
    </x:row>
    <x:row r="61">
      <x:c r="C61" s="43" t="str">
        <x:v>Brava Energia</x:v>
      </x:c>
      <x:c r="D61" s="43" t="str">
        <x:v>since_2022_ex_seams</x:v>
      </x:c>
      <x:c r="E61" s="43" t="str">
        <x:v>BCOM</x:v>
      </x:c>
      <x:c r="F61" s="19" t="n">
        <x:v>44652</x:v>
      </x:c>
      <x:c r="G61" s="19" t="n">
        <x:v>46204</x:v>
      </x:c>
      <x:c r="H61" s="64" t="n">
        <x:v>49</x:v>
      </x:c>
      <x:c r="I61" s="70" t="n">
        <x:v>0.1390564411869344</x:v>
      </x:c>
      <x:c r="J61" s="70" t="n">
        <x:v>0.03894672504588037</x:v>
      </x:c>
      <x:c r="K61" s="64" t="n">
        <x:v>0</x:v>
      </x:c>
      <x:c r="L61" s="52" t="n">
        <x:v>6.522217322210858</x:v>
      </x:c>
      <x:c r="M61" s="70" t="n">
        <x:v>0.05939289242756879</x:v>
      </x:c>
      <x:c r="N61" s="52" t="n">
        <x:v>0.26303283478130246</x:v>
      </x:c>
      <x:c r="O61" s="70" t="n">
        <x:v>0.7925252714277984</x:v>
      </x:c>
      <x:c r="P61" s="52" t="n">
        <x:v>0.4473262575229091</x:v>
      </x:c>
      <x:c r="Q61" s="70" t="n">
        <x:v>0.13445996414891992</x:v>
      </x:c>
      <x:c r="R61" s="52" t="n">
        <x:v>0.6512011286124008</x:v>
      </x:c>
      <x:c r="S61" s="70" t="n">
        <x:v>0.5149166619059817</x:v>
      </x:c>
      <x:c r="T61" s="52" t="n">
        <x:v>-0.21516949845964506</x:v>
      </x:c>
      <x:c r="U61" s="70" t="n">
        <x:v>-0.04636643806457444</x:v>
      </x:c>
      <x:c r="V61" s="52" t="n">
        <x:v>-0.20260069615011828</x:v>
      </x:c>
      <x:c r="W61" s="70" t="n">
        <x:v>0.8394471458373916</x:v>
      </x:c>
      <x:c r="X61" s="52" t="n">
        <x:v>-4.541307334373823</x:v>
      </x:c>
      <x:c r="Y61" s="70" t="n">
        <x:v>-0.24300406792132623</x:v>
      </x:c>
      <x:c r="Z61" s="52" t="n">
        <x:v>-1.0893207505459586</x:v>
      </x:c>
      <x:c r="AA61" s="70" t="n">
        <x:v>0.27601246525942713</x:v>
      </x:c>
      <x:c r="AB61" s="52" t="n">
        <x:v>8.529291108331394</x:v>
      </x:c>
      <x:c r="AC61" s="70" t="n">
        <x:v>0.3493909640671813</x:v>
      </x:c>
      <x:c r="AD61" s="52" t="n">
        <x:v>1.0725878558277895</x:v>
      </x:c>
      <x:c r="AE61" s="70" t="n">
        <x:v>0.28345607592325717</x:v>
      </x:c>
      <x:c r="AF61" s="52"/>
      <x:c r="AG61" s="70"/>
      <x:c r="AH61" s="52"/>
      <x:c r="AI61" s="70"/>
    </x:row>
    <x:row r="62">
      <x:c r="C62" s="43" t="str">
        <x:v>Brava Energia</x:v>
      </x:c>
      <x:c r="D62" s="43" t="str">
        <x:v>since_2022_ex_seams</x:v>
      </x:c>
      <x:c r="E62" s="43" t="str">
        <x:v>Brent</x:v>
      </x:c>
      <x:c r="F62" s="19" t="n">
        <x:v>44652</x:v>
      </x:c>
      <x:c r="G62" s="19" t="n">
        <x:v>46204</x:v>
      </x:c>
      <x:c r="H62" s="64" t="n">
        <x:v>49</x:v>
      </x:c>
      <x:c r="I62" s="70" t="n">
        <x:v>0.14179232874521075</x:v>
      </x:c>
      <x:c r="J62" s="70" t="n">
        <x:v>0.042000739064421255</x:v>
      </x:c>
      <x:c r="K62" s="64" t="n">
        <x:v>0</x:v>
      </x:c>
      <x:c r="L62" s="52" t="n">
        <x:v>4.082898538416744</x:v>
      </x:c>
      <x:c r="M62" s="70" t="n">
        <x:v>0.037179864102207194</x:v>
      </x:c>
      <x:c r="N62" s="52" t="n">
        <x:v>0.16402945666628096</x:v>
      </x:c>
      <x:c r="O62" s="70" t="n">
        <x:v>0.8697079548006232</x:v>
      </x:c>
      <x:c r="P62" s="52"/>
      <x:c r="Q62" s="70"/>
      <x:c r="R62" s="52"/>
      <x:c r="S62" s="70"/>
      <x:c r="T62" s="52" t="n">
        <x:v>-0.4340657980454814</x:v>
      </x:c>
      <x:c r="U62" s="70" t="n">
        <x:v>-0.09353595693211311</x:v>
      </x:c>
      <x:c r="V62" s="52" t="n">
        <x:v>-0.5592036017854236</x:v>
      </x:c>
      <x:c r="W62" s="70" t="n">
        <x:v>0.5760227753055953</x:v>
      </x:c>
      <x:c r="X62" s="52" t="n">
        <x:v>-4.591854106839886</x:v>
      </x:c>
      <x:c r="Y62" s="70" t="n">
        <x:v>-0.24570881138508094</x:v>
      </x:c>
      <x:c r="Z62" s="52" t="n">
        <x:v>-1.136355287548038</x:v>
      </x:c>
      <x:c r="AA62" s="70" t="n">
        <x:v>0.2558079006655871</x:v>
      </x:c>
      <x:c r="AB62" s="52" t="n">
        <x:v>8.995165880006988</x:v>
      </x:c>
      <x:c r="AC62" s="70" t="n">
        <x:v>0.36847489889165</x:v>
      </x:c>
      <x:c r="AD62" s="52" t="n">
        <x:v>1.3190358420086319</x:v>
      </x:c>
      <x:c r="AE62" s="70" t="n">
        <x:v>0.18715713023356062</x:v>
      </x:c>
      <x:c r="AF62" s="52" t="n">
        <x:v>0.15521893275441734</x:v>
      </x:c>
      <x:c r="AG62" s="70" t="n">
        <x:v>0.13053042746961632</x:v>
      </x:c>
      <x:c r="AH62" s="52" t="n">
        <x:v>0.8367862547262788</x:v>
      </x:c>
      <x:c r="AI62" s="70" t="n">
        <x:v>0.4027127249628577</x:v>
      </x:c>
    </x:row>
    <x:row r="63">
      <x:c r="C63" s="43" t="str">
        <x:v>PetroReconcavo</x:v>
      </x:c>
      <x:c r="D63" s="43" t="str">
        <x:v>primary</x:v>
      </x:c>
      <x:c r="E63" s="43" t="str">
        <x:v>BCOM</x:v>
      </x:c>
      <x:c r="F63" s="19" t="n">
        <x:v>45261</x:v>
      </x:c>
      <x:c r="G63" s="19" t="n">
        <x:v>46204</x:v>
      </x:c>
      <x:c r="H63" s="64" t="n">
        <x:v>32</x:v>
      </x:c>
      <x:c r="I63" s="70" t="n">
        <x:v>0.228095261433222</x:v>
      </x:c>
      <x:c r="J63" s="70" t="n">
        <x:v>0.07965204247807245</x:v>
      </x:c>
      <x:c r="K63" s="64" t="n">
        <x:v>0</x:v>
      </x:c>
      <x:c r="L63" s="52" t="n">
        <x:v>17.082196787665687</x:v>
      </x:c>
      <x:c r="M63" s="70" t="n">
        <x:v>0.11890808897965499</x:v>
      </x:c>
      <x:c r="N63" s="52" t="n">
        <x:v>0.8358546472095248</x:v>
      </x:c>
      <x:c r="O63" s="70" t="n">
        <x:v>0.40323667917272843</x:v>
      </x:c>
      <x:c r="P63" s="52" t="n">
        <x:v>0.21564127565047997</x:v>
      </x:c>
      <x:c r="Q63" s="70" t="n">
        <x:v>0.06413226535816965</x:v>
      </x:c>
      <x:c r="R63" s="52" t="n">
        <x:v>0.25988230592357275</x:v>
      </x:c>
      <x:c r="S63" s="70" t="n">
        <x:v>0.7949545602811803</x:v>
      </x:c>
      <x:c r="T63" s="52" t="n">
        <x:v>-1.8454988310230998</x:v>
      </x:c>
      <x:c r="U63" s="70" t="n">
        <x:v>-0.40248153925156616</x:v>
      </x:c>
      <x:c r="V63" s="52" t="n">
        <x:v>-1.2977703534300307</x:v>
      </x:c>
      <x:c r="W63" s="70" t="n">
        <x:v>0.19436625990181788</x:v>
      </x:c>
      <x:c r="X63" s="52" t="n">
        <x:v>5.455026005820351</x:v>
      </x:c>
      <x:c r="Y63" s="70" t="n">
        <x:v>0.12135523249314223</x:v>
      </x:c>
      <x:c r="Z63" s="52" t="n">
        <x:v>0.41129523693374165</x:v>
      </x:c>
      <x:c r="AA63" s="70" t="n">
        <x:v>0.6808560617380537</x:v>
      </x:c>
      <x:c r="AB63" s="52" t="n">
        <x:v>11.884200523454451</x:v>
      </x:c>
      <x:c r="AC63" s="70" t="n">
        <x:v>0.5304409817239453</x:v>
      </x:c>
      <x:c r="AD63" s="52" t="n">
        <x:v>1.5399626559981858</x:v>
      </x:c>
      <x:c r="AE63" s="70" t="n">
        <x:v>0.12356945647530448</x:v>
      </x:c>
      <x:c r="AF63" s="52"/>
      <x:c r="AG63" s="70"/>
      <x:c r="AH63" s="52"/>
      <x:c r="AI63" s="70"/>
    </x:row>
    <x:row r="64">
      <x:c r="C64" s="43" t="str">
        <x:v>PetroReconcavo</x:v>
      </x:c>
      <x:c r="D64" s="43" t="str">
        <x:v>primary</x:v>
      </x:c>
      <x:c r="E64" s="43" t="str">
        <x:v>Brent</x:v>
      </x:c>
      <x:c r="F64" s="19" t="n">
        <x:v>45261</x:v>
      </x:c>
      <x:c r="G64" s="19" t="n">
        <x:v>46204</x:v>
      </x:c>
      <x:c r="H64" s="64" t="n">
        <x:v>32</x:v>
      </x:c>
      <x:c r="I64" s="70" t="n">
        <x:v>0.2557720517980364</x:v>
      </x:c>
      <x:c r="J64" s="70" t="n">
        <x:v>0.11265129252842798</x:v>
      </x:c>
      <x:c r="K64" s="64" t="n">
        <x:v>0</x:v>
      </x:c>
      <x:c r="L64" s="52" t="n">
        <x:v>12.759423301243135</x:v>
      </x:c>
      <x:c r="M64" s="70" t="n">
        <x:v>0.08881753676604548</x:v>
      </x:c>
      <x:c r="N64" s="52" t="n">
        <x:v>0.6795455605774869</x:v>
      </x:c>
      <x:c r="O64" s="70" t="n">
        <x:v>0.4967922499573645</x:v>
      </x:c>
      <x:c r="P64" s="52"/>
      <x:c r="Q64" s="70"/>
      <x:c r="R64" s="52"/>
      <x:c r="S64" s="70"/>
      <x:c r="T64" s="52" t="n">
        <x:v>-1.4956527890343558</x:v>
      </x:c>
      <x:c r="U64" s="70" t="n">
        <x:v>-0.32618424167883364</x:v>
      </x:c>
      <x:c r="V64" s="52" t="n">
        <x:v>-1.3125600200494854</x:v>
      </x:c>
      <x:c r="W64" s="70" t="n">
        <x:v>0.18933124889785624</x:v>
      </x:c>
      <x:c r="X64" s="52" t="n">
        <x:v>9.160060503678825</x:v>
      </x:c>
      <x:c r="Y64" s="70" t="n">
        <x:v>0.20377928004176693</x:v>
      </x:c>
      <x:c r="Z64" s="52" t="n">
        <x:v>0.7422762870265268</x:v>
      </x:c>
      <x:c r="AA64" s="70" t="n">
        <x:v>0.4579199559714233</x:v>
      </x:c>
      <x:c r="AB64" s="52" t="n">
        <x:v>9.694934960669357</x:v>
      </x:c>
      <x:c r="AC64" s="70" t="n">
        <x:v>0.43272501235046706</x:v>
      </x:c>
      <x:c r="AD64" s="52" t="n">
        <x:v>1.6419795195761728</x:v>
      </x:c>
      <x:c r="AE64" s="70" t="n">
        <x:v>0.1005942485362108</x:v>
      </x:c>
      <x:c r="AF64" s="52" t="n">
        <x:v>0.23421380652386148</x:v>
      </x:c>
      <x:c r="AG64" s="70" t="n">
        <x:v>0.22766470056645666</x:v>
      </x:c>
      <x:c r="AH64" s="52" t="n">
        <x:v>1.4632110086766934</x:v>
      </x:c>
      <x:c r="AI64" s="70" t="n">
        <x:v>0.1434096494061703</x:v>
      </x:c>
    </x:row>
    <x:row r="65">
      <x:c r="C65" s="43" t="str">
        <x:v>PetroReconcavo</x:v>
      </x:c>
      <x:c r="D65" s="43" t="str">
        <x:v>clean</x:v>
      </x:c>
      <x:c r="E65" s="43" t="str">
        <x:v>BCOM</x:v>
      </x:c>
      <x:c r="F65" s="19" t="n">
        <x:v>45261</x:v>
      </x:c>
      <x:c r="G65" s="19" t="n">
        <x:v>46204</x:v>
      </x:c>
      <x:c r="H65" s="64" t="n">
        <x:v>32</x:v>
      </x:c>
      <x:c r="I65" s="70" t="n">
        <x:v>0.228095261433222</x:v>
      </x:c>
      <x:c r="J65" s="70" t="n">
        <x:v>0.07965204247807245</x:v>
      </x:c>
      <x:c r="K65" s="64" t="n">
        <x:v>0</x:v>
      </x:c>
      <x:c r="L65" s="52" t="n">
        <x:v>17.082196787665687</x:v>
      </x:c>
      <x:c r="M65" s="70" t="n">
        <x:v>0.11890808897965499</x:v>
      </x:c>
      <x:c r="N65" s="52" t="n">
        <x:v>0.8358546472095248</x:v>
      </x:c>
      <x:c r="O65" s="70" t="n">
        <x:v>0.40323667917272843</x:v>
      </x:c>
      <x:c r="P65" s="52" t="n">
        <x:v>0.21564127565047997</x:v>
      </x:c>
      <x:c r="Q65" s="70" t="n">
        <x:v>0.06413226535816965</x:v>
      </x:c>
      <x:c r="R65" s="52" t="n">
        <x:v>0.25988230592357275</x:v>
      </x:c>
      <x:c r="S65" s="70" t="n">
        <x:v>0.7949545602811803</x:v>
      </x:c>
      <x:c r="T65" s="52" t="n">
        <x:v>-1.8454988310230998</x:v>
      </x:c>
      <x:c r="U65" s="70" t="n">
        <x:v>-0.40248153925156616</x:v>
      </x:c>
      <x:c r="V65" s="52" t="n">
        <x:v>-1.2977703534300307</x:v>
      </x:c>
      <x:c r="W65" s="70" t="n">
        <x:v>0.19436625990181788</x:v>
      </x:c>
      <x:c r="X65" s="52" t="n">
        <x:v>5.455026005820351</x:v>
      </x:c>
      <x:c r="Y65" s="70" t="n">
        <x:v>0.12135523249314223</x:v>
      </x:c>
      <x:c r="Z65" s="52" t="n">
        <x:v>0.41129523693374165</x:v>
      </x:c>
      <x:c r="AA65" s="70" t="n">
        <x:v>0.6808560617380537</x:v>
      </x:c>
      <x:c r="AB65" s="52" t="n">
        <x:v>11.884200523454451</x:v>
      </x:c>
      <x:c r="AC65" s="70" t="n">
        <x:v>0.5304409817239453</x:v>
      </x:c>
      <x:c r="AD65" s="52" t="n">
        <x:v>1.5399626559981858</x:v>
      </x:c>
      <x:c r="AE65" s="70" t="n">
        <x:v>0.12356945647530448</x:v>
      </x:c>
      <x:c r="AF65" s="52"/>
      <x:c r="AG65" s="70"/>
      <x:c r="AH65" s="52"/>
      <x:c r="AI65" s="70"/>
    </x:row>
    <x:row r="66">
      <x:c r="C66" s="43" t="str">
        <x:v>PetroReconcavo</x:v>
      </x:c>
      <x:c r="D66" s="43" t="str">
        <x:v>clean</x:v>
      </x:c>
      <x:c r="E66" s="43" t="str">
        <x:v>Brent</x:v>
      </x:c>
      <x:c r="F66" s="19" t="n">
        <x:v>45261</x:v>
      </x:c>
      <x:c r="G66" s="19" t="n">
        <x:v>46204</x:v>
      </x:c>
      <x:c r="H66" s="64" t="n">
        <x:v>32</x:v>
      </x:c>
      <x:c r="I66" s="70" t="n">
        <x:v>0.2557720517980364</x:v>
      </x:c>
      <x:c r="J66" s="70" t="n">
        <x:v>0.11265129252842798</x:v>
      </x:c>
      <x:c r="K66" s="64" t="n">
        <x:v>0</x:v>
      </x:c>
      <x:c r="L66" s="52" t="n">
        <x:v>12.759423301243135</x:v>
      </x:c>
      <x:c r="M66" s="70" t="n">
        <x:v>0.08881753676604548</x:v>
      </x:c>
      <x:c r="N66" s="52" t="n">
        <x:v>0.6795455605774869</x:v>
      </x:c>
      <x:c r="O66" s="70" t="n">
        <x:v>0.4967922499573645</x:v>
      </x:c>
      <x:c r="P66" s="52"/>
      <x:c r="Q66" s="70"/>
      <x:c r="R66" s="52"/>
      <x:c r="S66" s="70"/>
      <x:c r="T66" s="52" t="n">
        <x:v>-1.4956527890343558</x:v>
      </x:c>
      <x:c r="U66" s="70" t="n">
        <x:v>-0.32618424167883364</x:v>
      </x:c>
      <x:c r="V66" s="52" t="n">
        <x:v>-1.3125600200494854</x:v>
      </x:c>
      <x:c r="W66" s="70" t="n">
        <x:v>0.18933124889785624</x:v>
      </x:c>
      <x:c r="X66" s="52" t="n">
        <x:v>9.160060503678825</x:v>
      </x:c>
      <x:c r="Y66" s="70" t="n">
        <x:v>0.20377928004176693</x:v>
      </x:c>
      <x:c r="Z66" s="52" t="n">
        <x:v>0.7422762870265268</x:v>
      </x:c>
      <x:c r="AA66" s="70" t="n">
        <x:v>0.4579199559714233</x:v>
      </x:c>
      <x:c r="AB66" s="52" t="n">
        <x:v>9.694934960669357</x:v>
      </x:c>
      <x:c r="AC66" s="70" t="n">
        <x:v>0.43272501235046706</x:v>
      </x:c>
      <x:c r="AD66" s="52" t="n">
        <x:v>1.6419795195761728</x:v>
      </x:c>
      <x:c r="AE66" s="70" t="n">
        <x:v>0.1005942485362108</x:v>
      </x:c>
      <x:c r="AF66" s="52" t="n">
        <x:v>0.23421380652386148</x:v>
      </x:c>
      <x:c r="AG66" s="70" t="n">
        <x:v>0.22766470056645666</x:v>
      </x:c>
      <x:c r="AH66" s="52" t="n">
        <x:v>1.4632110086766934</x:v>
      </x:c>
      <x:c r="AI66" s="70" t="n">
        <x:v>0.1434096494061703</x:v>
      </x:c>
    </x:row>
    <x:row r="67">
      <x:c r="C67" s="43" t="str">
        <x:v>PetroReconcavo</x:v>
      </x:c>
      <x:c r="D67" s="43" t="str">
        <x:v>audit_clean</x:v>
      </x:c>
      <x:c r="E67" s="43" t="str">
        <x:v>BCOM</x:v>
      </x:c>
      <x:c r="F67" s="19" t="n">
        <x:v>45261</x:v>
      </x:c>
      <x:c r="G67" s="19" t="n">
        <x:v>46204</x:v>
      </x:c>
      <x:c r="H67" s="64" t="n">
        <x:v>32</x:v>
      </x:c>
      <x:c r="I67" s="70" t="n">
        <x:v>0.228095261433222</x:v>
      </x:c>
      <x:c r="J67" s="70" t="n">
        <x:v>0.07965204247807245</x:v>
      </x:c>
      <x:c r="K67" s="64" t="n">
        <x:v>0</x:v>
      </x:c>
      <x:c r="L67" s="52" t="n">
        <x:v>17.082196787665687</x:v>
      </x:c>
      <x:c r="M67" s="70" t="n">
        <x:v>0.11890808897965499</x:v>
      </x:c>
      <x:c r="N67" s="52" t="n">
        <x:v>0.8358546472095248</x:v>
      </x:c>
      <x:c r="O67" s="70" t="n">
        <x:v>0.40323667917272843</x:v>
      </x:c>
      <x:c r="P67" s="52" t="n">
        <x:v>0.21564127565047997</x:v>
      </x:c>
      <x:c r="Q67" s="70" t="n">
        <x:v>0.06413226535816965</x:v>
      </x:c>
      <x:c r="R67" s="52" t="n">
        <x:v>0.25988230592357275</x:v>
      </x:c>
      <x:c r="S67" s="70" t="n">
        <x:v>0.7949545602811803</x:v>
      </x:c>
      <x:c r="T67" s="52" t="n">
        <x:v>-1.8454988310230998</x:v>
      </x:c>
      <x:c r="U67" s="70" t="n">
        <x:v>-0.40248153925156616</x:v>
      </x:c>
      <x:c r="V67" s="52" t="n">
        <x:v>-1.2977703534300307</x:v>
      </x:c>
      <x:c r="W67" s="70" t="n">
        <x:v>0.19436625990181788</x:v>
      </x:c>
      <x:c r="X67" s="52" t="n">
        <x:v>5.455026005820351</x:v>
      </x:c>
      <x:c r="Y67" s="70" t="n">
        <x:v>0.12135523249314223</x:v>
      </x:c>
      <x:c r="Z67" s="52" t="n">
        <x:v>0.41129523693374165</x:v>
      </x:c>
      <x:c r="AA67" s="70" t="n">
        <x:v>0.6808560617380537</x:v>
      </x:c>
      <x:c r="AB67" s="52" t="n">
        <x:v>11.884200523454451</x:v>
      </x:c>
      <x:c r="AC67" s="70" t="n">
        <x:v>0.5304409817239453</x:v>
      </x:c>
      <x:c r="AD67" s="52" t="n">
        <x:v>1.5399626559981858</x:v>
      </x:c>
      <x:c r="AE67" s="70" t="n">
        <x:v>0.12356945647530448</x:v>
      </x:c>
      <x:c r="AF67" s="52"/>
      <x:c r="AG67" s="70"/>
      <x:c r="AH67" s="52"/>
      <x:c r="AI67" s="70"/>
    </x:row>
    <x:row r="68">
      <x:c r="C68" s="43" t="str">
        <x:v>PetroReconcavo</x:v>
      </x:c>
      <x:c r="D68" s="43" t="str">
        <x:v>audit_clean</x:v>
      </x:c>
      <x:c r="E68" s="43" t="str">
        <x:v>Brent</x:v>
      </x:c>
      <x:c r="F68" s="19" t="n">
        <x:v>45261</x:v>
      </x:c>
      <x:c r="G68" s="19" t="n">
        <x:v>46204</x:v>
      </x:c>
      <x:c r="H68" s="64" t="n">
        <x:v>32</x:v>
      </x:c>
      <x:c r="I68" s="70" t="n">
        <x:v>0.2557720517980364</x:v>
      </x:c>
      <x:c r="J68" s="70" t="n">
        <x:v>0.11265129252842798</x:v>
      </x:c>
      <x:c r="K68" s="64" t="n">
        <x:v>0</x:v>
      </x:c>
      <x:c r="L68" s="52" t="n">
        <x:v>12.759423301243135</x:v>
      </x:c>
      <x:c r="M68" s="70" t="n">
        <x:v>0.08881753676604548</x:v>
      </x:c>
      <x:c r="N68" s="52" t="n">
        <x:v>0.6795455605774869</x:v>
      </x:c>
      <x:c r="O68" s="70" t="n">
        <x:v>0.4967922499573645</x:v>
      </x:c>
      <x:c r="P68" s="52"/>
      <x:c r="Q68" s="70"/>
      <x:c r="R68" s="52"/>
      <x:c r="S68" s="70"/>
      <x:c r="T68" s="52" t="n">
        <x:v>-1.4956527890343558</x:v>
      </x:c>
      <x:c r="U68" s="70" t="n">
        <x:v>-0.32618424167883364</x:v>
      </x:c>
      <x:c r="V68" s="52" t="n">
        <x:v>-1.3125600200494854</x:v>
      </x:c>
      <x:c r="W68" s="70" t="n">
        <x:v>0.18933124889785624</x:v>
      </x:c>
      <x:c r="X68" s="52" t="n">
        <x:v>9.160060503678825</x:v>
      </x:c>
      <x:c r="Y68" s="70" t="n">
        <x:v>0.20377928004176693</x:v>
      </x:c>
      <x:c r="Z68" s="52" t="n">
        <x:v>0.7422762870265268</x:v>
      </x:c>
      <x:c r="AA68" s="70" t="n">
        <x:v>0.4579199559714233</x:v>
      </x:c>
      <x:c r="AB68" s="52" t="n">
        <x:v>9.694934960669357</x:v>
      </x:c>
      <x:c r="AC68" s="70" t="n">
        <x:v>0.43272501235046706</x:v>
      </x:c>
      <x:c r="AD68" s="52" t="n">
        <x:v>1.6419795195761728</x:v>
      </x:c>
      <x:c r="AE68" s="70" t="n">
        <x:v>0.1005942485362108</x:v>
      </x:c>
      <x:c r="AF68" s="52" t="n">
        <x:v>0.23421380652386148</x:v>
      </x:c>
      <x:c r="AG68" s="70" t="n">
        <x:v>0.22766470056645666</x:v>
      </x:c>
      <x:c r="AH68" s="52" t="n">
        <x:v>1.4632110086766934</x:v>
      </x:c>
      <x:c r="AI68" s="70" t="n">
        <x:v>0.1434096494061703</x:v>
      </x:c>
    </x:row>
    <x:row r="69">
      <x:c r="C69" s="43" t="str">
        <x:v>PetroReconcavo</x:v>
      </x:c>
      <x:c r="D69" s="43" t="str">
        <x:v>since_2022_ex_seams</x:v>
      </x:c>
      <x:c r="E69" s="43" t="str">
        <x:v>BCOM</x:v>
      </x:c>
      <x:c r="F69" s="19" t="n">
        <x:v>45261</x:v>
      </x:c>
      <x:c r="G69" s="19" t="n">
        <x:v>46204</x:v>
      </x:c>
      <x:c r="H69" s="64" t="n">
        <x:v>32</x:v>
      </x:c>
      <x:c r="I69" s="70" t="n">
        <x:v>0.228095261433222</x:v>
      </x:c>
      <x:c r="J69" s="70" t="n">
        <x:v>0.07965204247807245</x:v>
      </x:c>
      <x:c r="K69" s="64" t="n">
        <x:v>0</x:v>
      </x:c>
      <x:c r="L69" s="52" t="n">
        <x:v>17.082196787665687</x:v>
      </x:c>
      <x:c r="M69" s="70" t="n">
        <x:v>0.11890808897965499</x:v>
      </x:c>
      <x:c r="N69" s="52" t="n">
        <x:v>0.8358546472095248</x:v>
      </x:c>
      <x:c r="O69" s="70" t="n">
        <x:v>0.40323667917272843</x:v>
      </x:c>
      <x:c r="P69" s="52" t="n">
        <x:v>0.21564127565047997</x:v>
      </x:c>
      <x:c r="Q69" s="70" t="n">
        <x:v>0.06413226535816965</x:v>
      </x:c>
      <x:c r="R69" s="52" t="n">
        <x:v>0.25988230592357275</x:v>
      </x:c>
      <x:c r="S69" s="70" t="n">
        <x:v>0.7949545602811803</x:v>
      </x:c>
      <x:c r="T69" s="52" t="n">
        <x:v>-1.8454988310230998</x:v>
      </x:c>
      <x:c r="U69" s="70" t="n">
        <x:v>-0.40248153925156616</x:v>
      </x:c>
      <x:c r="V69" s="52" t="n">
        <x:v>-1.2977703534300307</x:v>
      </x:c>
      <x:c r="W69" s="70" t="n">
        <x:v>0.19436625990181788</x:v>
      </x:c>
      <x:c r="X69" s="52" t="n">
        <x:v>5.455026005820351</x:v>
      </x:c>
      <x:c r="Y69" s="70" t="n">
        <x:v>0.12135523249314223</x:v>
      </x:c>
      <x:c r="Z69" s="52" t="n">
        <x:v>0.41129523693374165</x:v>
      </x:c>
      <x:c r="AA69" s="70" t="n">
        <x:v>0.6808560617380537</x:v>
      </x:c>
      <x:c r="AB69" s="52" t="n">
        <x:v>11.884200523454451</x:v>
      </x:c>
      <x:c r="AC69" s="70" t="n">
        <x:v>0.5304409817239453</x:v>
      </x:c>
      <x:c r="AD69" s="52" t="n">
        <x:v>1.5399626559981858</x:v>
      </x:c>
      <x:c r="AE69" s="70" t="n">
        <x:v>0.12356945647530448</x:v>
      </x:c>
      <x:c r="AF69" s="52"/>
      <x:c r="AG69" s="70"/>
      <x:c r="AH69" s="52"/>
      <x:c r="AI69" s="70"/>
    </x:row>
    <x:row r="70">
      <x:c r="C70" s="43" t="str">
        <x:v>PetroReconcavo</x:v>
      </x:c>
      <x:c r="D70" s="43" t="str">
        <x:v>since_2022_ex_seams</x:v>
      </x:c>
      <x:c r="E70" s="43" t="str">
        <x:v>Brent</x:v>
      </x:c>
      <x:c r="F70" s="19" t="n">
        <x:v>45261</x:v>
      </x:c>
      <x:c r="G70" s="19" t="n">
        <x:v>46204</x:v>
      </x:c>
      <x:c r="H70" s="64" t="n">
        <x:v>32</x:v>
      </x:c>
      <x:c r="I70" s="70" t="n">
        <x:v>0.2557720517980364</x:v>
      </x:c>
      <x:c r="J70" s="70" t="n">
        <x:v>0.11265129252842798</x:v>
      </x:c>
      <x:c r="K70" s="64" t="n">
        <x:v>0</x:v>
      </x:c>
      <x:c r="L70" s="52" t="n">
        <x:v>12.759423301243135</x:v>
      </x:c>
      <x:c r="M70" s="70" t="n">
        <x:v>0.08881753676604548</x:v>
      </x:c>
      <x:c r="N70" s="52" t="n">
        <x:v>0.6795455605774869</x:v>
      </x:c>
      <x:c r="O70" s="70" t="n">
        <x:v>0.4967922499573645</x:v>
      </x:c>
      <x:c r="P70" s="52"/>
      <x:c r="Q70" s="70"/>
      <x:c r="R70" s="52"/>
      <x:c r="S70" s="70"/>
      <x:c r="T70" s="52" t="n">
        <x:v>-1.4956527890343558</x:v>
      </x:c>
      <x:c r="U70" s="70" t="n">
        <x:v>-0.32618424167883364</x:v>
      </x:c>
      <x:c r="V70" s="52" t="n">
        <x:v>-1.3125600200494854</x:v>
      </x:c>
      <x:c r="W70" s="70" t="n">
        <x:v>0.18933124889785624</x:v>
      </x:c>
      <x:c r="X70" s="52" t="n">
        <x:v>9.160060503678825</x:v>
      </x:c>
      <x:c r="Y70" s="70" t="n">
        <x:v>0.20377928004176693</x:v>
      </x:c>
      <x:c r="Z70" s="52" t="n">
        <x:v>0.7422762870265268</x:v>
      </x:c>
      <x:c r="AA70" s="70" t="n">
        <x:v>0.4579199559714233</x:v>
      </x:c>
      <x:c r="AB70" s="52" t="n">
        <x:v>9.694934960669357</x:v>
      </x:c>
      <x:c r="AC70" s="70" t="n">
        <x:v>0.43272501235046706</x:v>
      </x:c>
      <x:c r="AD70" s="52" t="n">
        <x:v>1.6419795195761728</x:v>
      </x:c>
      <x:c r="AE70" s="70" t="n">
        <x:v>0.1005942485362108</x:v>
      </x:c>
      <x:c r="AF70" s="52" t="n">
        <x:v>0.23421380652386148</x:v>
      </x:c>
      <x:c r="AG70" s="70" t="n">
        <x:v>0.22766470056645666</x:v>
      </x:c>
      <x:c r="AH70" s="52" t="n">
        <x:v>1.4632110086766934</x:v>
      </x:c>
      <x:c r="AI70" s="70" t="n">
        <x:v>0.1434096494061703</x:v>
      </x:c>
    </x:row>
    <x:row r="71">
      <x:c r="C71" s="43" t="str">
        <x:v>Oleo e Gas Participacoes</x:v>
      </x:c>
      <x:c r="D71" s="43" t="str">
        <x:v>primary</x:v>
      </x:c>
      <x:c r="E71" s="43" t="str">
        <x:v>BCOM</x:v>
      </x:c>
      <x:c r="F71" s="19" t="n">
        <x:v>40269</x:v>
      </x:c>
      <x:c r="G71" s="19" t="n">
        <x:v>41030</x:v>
      </x:c>
      <x:c r="H71" s="64" t="n">
        <x:v>26</x:v>
      </x:c>
      <x:c r="I71" s="70" t="n">
        <x:v>0.17871967973292702</x:v>
      </x:c>
      <x:c r="J71" s="70" t="n">
        <x:v>-0.026600400333841367</x:v>
      </x:c>
      <x:c r="K71" s="64" t="n">
        <x:v>17</x:v>
      </x:c>
      <x:c r="L71" s="52" t="n">
        <x:v>20.26651220011713</x:v>
      </x:c>
      <x:c r="M71" s="70" t="n">
        <x:v>0.20591559869500398</x:v>
      </x:c>
      <x:c r="N71" s="52" t="n">
        <x:v>0.9118383899869391</x:v>
      </x:c>
      <x:c r="O71" s="70" t="n">
        <x:v>0.36185379793873285</x:v>
      </x:c>
      <x:c r="P71" s="52" t="n">
        <x:v>-0.0763638672092366</x:v>
      </x:c>
      <x:c r="Q71" s="70" t="n">
        <x:v>-0.018540623012193967</x:v>
      </x:c>
      <x:c r="R71" s="52" t="n">
        <x:v>-0.07371059414225398</x:v>
      </x:c>
      <x:c r="S71" s="70" t="n">
        <x:v>0.9412406688169661</x:v>
      </x:c>
      <x:c r="T71" s="52" t="n">
        <x:v>-2.6374270573786394</x:v>
      </x:c>
      <x:c r="U71" s="70" t="n">
        <x:v>-0.5363877294993329</x:v>
      </x:c>
      <x:c r="V71" s="52" t="n">
        <x:v>-2.0694764717214302</x:v>
      </x:c>
      <x:c r="W71" s="70" t="n">
        <x:v>0.0385013969744783</x:v>
      </x:c>
      <x:c r="X71" s="52" t="n">
        <x:v>8.712550207170109</x:v>
      </x:c>
      <x:c r="Y71" s="70" t="n">
        <x:v>0.18661869664610137</x:v>
      </x:c>
      <x:c r="Z71" s="52" t="n">
        <x:v>1.0565132658896195</x:v>
      </x:c>
      <x:c r="AA71" s="70" t="n">
        <x:v>0.29073378331774835</x:v>
      </x:c>
      <x:c r="AB71" s="52" t="n">
        <x:v>-8.873985364437278</x:v>
      </x:c>
      <x:c r="AC71" s="70" t="n">
        <x:v>-0.26380493709399305</x:v>
      </x:c>
      <x:c r="AD71" s="52" t="n">
        <x:v>-0.7897742705474607</x:v>
      </x:c>
      <x:c r="AE71" s="70" t="n">
        <x:v>0.4296596077876096</x:v>
      </x:c>
      <x:c r="AF71" s="52"/>
      <x:c r="AG71" s="70"/>
      <x:c r="AH71" s="52"/>
      <x:c r="AI71" s="70"/>
    </x:row>
    <x:row r="72">
      <x:c r="C72" s="43" t="str">
        <x:v>Oleo e Gas Participacoes</x:v>
      </x:c>
      <x:c r="D72" s="43" t="str">
        <x:v>primary</x:v>
      </x:c>
      <x:c r="E72" s="43" t="str">
        <x:v>Brent</x:v>
      </x:c>
      <x:c r="F72" s="19" t="n">
        <x:v>40269</x:v>
      </x:c>
      <x:c r="G72" s="19" t="n">
        <x:v>41030</x:v>
      </x:c>
      <x:c r="H72" s="64" t="n">
        <x:v>26</x:v>
      </x:c>
      <x:c r="I72" s="70" t="n">
        <x:v>0.3312630346609048</x:v>
      </x:c>
      <x:c r="J72" s="70" t="n">
        <x:v>0.16407879332613096</x:v>
      </x:c>
      <x:c r="K72" s="64" t="n">
        <x:v>17</x:v>
      </x:c>
      <x:c r="L72" s="52" t="n">
        <x:v>40.95348749131703</x:v>
      </x:c>
      <x:c r="M72" s="70" t="n">
        <x:v>0.4161032649403867</x:v>
      </x:c>
      <x:c r="N72" s="52" t="n">
        <x:v>1.4901841013293173</x:v>
      </x:c>
      <x:c r="O72" s="70" t="n">
        <x:v>0.13617583554700108</x:v>
      </x:c>
      <x:c r="P72" s="52"/>
      <x:c r="Q72" s="70"/>
      <x:c r="R72" s="52"/>
      <x:c r="S72" s="70"/>
      <x:c r="T72" s="52" t="n">
        <x:v>-1.5020141759157815</x:v>
      </x:c>
      <x:c r="U72" s="70" t="n">
        <x:v>-0.30547270349764055</x:v>
      </x:c>
      <x:c r="V72" s="52" t="n">
        <x:v>-1.3815002271733117</x:v>
      </x:c>
      <x:c r="W72" s="70" t="n">
        <x:v>0.16712520802128172</x:v>
      </x:c>
      <x:c r="X72" s="52" t="n">
        <x:v>9.910275563794524</x:v>
      </x:c>
      <x:c r="Y72" s="70" t="n">
        <x:v>0.21227340619478074</x:v>
      </x:c>
      <x:c r="Z72" s="52" t="n">
        <x:v>1.4094988053009354</x:v>
      </x:c>
      <x:c r="AA72" s="70" t="n">
        <x:v>0.15868772647570406</x:v>
      </x:c>
      <x:c r="AB72" s="52" t="n">
        <x:v>-13.744082071900685</x:v>
      </x:c>
      <x:c r="AC72" s="70" t="n">
        <x:v>-0.4085826781868213</x:v>
      </x:c>
      <x:c r="AD72" s="52" t="n">
        <x:v>-1.1546002812361584</x:v>
      </x:c>
      <x:c r="AE72" s="70" t="n">
        <x:v>0.2482541514645289</x:v>
      </x:c>
      <x:c r="AF72" s="52" t="n">
        <x:v>1.5783239967988365</x:v>
      </x:c>
      <x:c r="AG72" s="70" t="n">
        <x:v>0.547029122509086</x:v>
      </x:c>
      <x:c r="AH72" s="52" t="n">
        <x:v>1.6762495666568842</x:v>
      </x:c>
      <x:c r="AI72" s="70" t="n">
        <x:v>0.09368931900241773</x:v>
      </x:c>
    </x:row>
    <x:row r="73">
      <x:c r="C73" s="43" t="str">
        <x:v>Oleo e Gas Participacoes</x:v>
      </x:c>
      <x:c r="D73" s="43" t="str">
        <x:v>clean</x:v>
      </x:c>
      <x:c r="E73" s="43" t="str">
        <x:v>BCOM</x:v>
      </x:c>
      <x:c r="F73" s="19" t="n">
        <x:v>40269</x:v>
      </x:c>
      <x:c r="G73" s="19" t="n">
        <x:v>41030</x:v>
      </x:c>
      <x:c r="H73" s="64" t="n">
        <x:v>26</x:v>
      </x:c>
      <x:c r="I73" s="70" t="n">
        <x:v>0.17871967973292702</x:v>
      </x:c>
      <x:c r="J73" s="70" t="n">
        <x:v>-0.026600400333841367</x:v>
      </x:c>
      <x:c r="K73" s="64" t="n">
        <x:v>17</x:v>
      </x:c>
      <x:c r="L73" s="52" t="n">
        <x:v>20.26651220011713</x:v>
      </x:c>
      <x:c r="M73" s="70" t="n">
        <x:v>0.20591559869500398</x:v>
      </x:c>
      <x:c r="N73" s="52" t="n">
        <x:v>0.9118383899869391</x:v>
      </x:c>
      <x:c r="O73" s="70" t="n">
        <x:v>0.36185379793873285</x:v>
      </x:c>
      <x:c r="P73" s="52" t="n">
        <x:v>-0.0763638672092366</x:v>
      </x:c>
      <x:c r="Q73" s="70" t="n">
        <x:v>-0.018540623012193967</x:v>
      </x:c>
      <x:c r="R73" s="52" t="n">
        <x:v>-0.07371059414225398</x:v>
      </x:c>
      <x:c r="S73" s="70" t="n">
        <x:v>0.9412406688169661</x:v>
      </x:c>
      <x:c r="T73" s="52" t="n">
        <x:v>-2.6374270573786394</x:v>
      </x:c>
      <x:c r="U73" s="70" t="n">
        <x:v>-0.5363877294993329</x:v>
      </x:c>
      <x:c r="V73" s="52" t="n">
        <x:v>-2.0694764717214302</x:v>
      </x:c>
      <x:c r="W73" s="70" t="n">
        <x:v>0.0385013969744783</x:v>
      </x:c>
      <x:c r="X73" s="52" t="n">
        <x:v>8.712550207170109</x:v>
      </x:c>
      <x:c r="Y73" s="70" t="n">
        <x:v>0.18661869664610137</x:v>
      </x:c>
      <x:c r="Z73" s="52" t="n">
        <x:v>1.0565132658896195</x:v>
      </x:c>
      <x:c r="AA73" s="70" t="n">
        <x:v>0.29073378331774835</x:v>
      </x:c>
      <x:c r="AB73" s="52" t="n">
        <x:v>-8.873985364437278</x:v>
      </x:c>
      <x:c r="AC73" s="70" t="n">
        <x:v>-0.26380493709399305</x:v>
      </x:c>
      <x:c r="AD73" s="52" t="n">
        <x:v>-0.7897742705474607</x:v>
      </x:c>
      <x:c r="AE73" s="70" t="n">
        <x:v>0.4296596077876096</x:v>
      </x:c>
      <x:c r="AF73" s="52"/>
      <x:c r="AG73" s="70"/>
      <x:c r="AH73" s="52"/>
      <x:c r="AI73" s="70"/>
    </x:row>
    <x:row r="74">
      <x:c r="C74" s="44" t="str">
        <x:v>Oleo e Gas Participacoes</x:v>
      </x:c>
      <x:c r="D74" s="44" t="str">
        <x:v>clean</x:v>
      </x:c>
      <x:c r="E74" s="44" t="str">
        <x:v>Brent</x:v>
      </x:c>
      <x:c r="F74" s="20" t="n">
        <x:v>40269</x:v>
      </x:c>
      <x:c r="G74" s="20" t="n">
        <x:v>41030</x:v>
      </x:c>
      <x:c r="H74" s="65" t="n">
        <x:v>26</x:v>
      </x:c>
      <x:c r="I74" s="71" t="n">
        <x:v>0.3312630346609048</x:v>
      </x:c>
      <x:c r="J74" s="71" t="n">
        <x:v>0.16407879332613096</x:v>
      </x:c>
      <x:c r="K74" s="65" t="n">
        <x:v>17</x:v>
      </x:c>
      <x:c r="L74" s="53" t="n">
        <x:v>40.95348749131703</x:v>
      </x:c>
      <x:c r="M74" s="71" t="n">
        <x:v>0.4161032649403867</x:v>
      </x:c>
      <x:c r="N74" s="53" t="n">
        <x:v>1.4901841013293173</x:v>
      </x:c>
      <x:c r="O74" s="71" t="n">
        <x:v>0.13617583554700108</x:v>
      </x:c>
      <x:c r="P74" s="53"/>
      <x:c r="Q74" s="71"/>
      <x:c r="R74" s="53"/>
      <x:c r="S74" s="71"/>
      <x:c r="T74" s="53" t="n">
        <x:v>-1.5020141759157815</x:v>
      </x:c>
      <x:c r="U74" s="71" t="n">
        <x:v>-0.30547270349764055</x:v>
      </x:c>
      <x:c r="V74" s="53" t="n">
        <x:v>-1.3815002271733117</x:v>
      </x:c>
      <x:c r="W74" s="71" t="n">
        <x:v>0.16712520802128172</x:v>
      </x:c>
      <x:c r="X74" s="53" t="n">
        <x:v>9.910275563794524</x:v>
      </x:c>
      <x:c r="Y74" s="71" t="n">
        <x:v>0.21227340619478074</x:v>
      </x:c>
      <x:c r="Z74" s="53" t="n">
        <x:v>1.4094988053009354</x:v>
      </x:c>
      <x:c r="AA74" s="71" t="n">
        <x:v>0.15868772647570406</x:v>
      </x:c>
      <x:c r="AB74" s="53" t="n">
        <x:v>-13.744082071900685</x:v>
      </x:c>
      <x:c r="AC74" s="71" t="n">
        <x:v>-0.4085826781868213</x:v>
      </x:c>
      <x:c r="AD74" s="53" t="n">
        <x:v>-1.1546002812361584</x:v>
      </x:c>
      <x:c r="AE74" s="71" t="n">
        <x:v>0.2482541514645289</x:v>
      </x:c>
      <x:c r="AF74" s="53" t="n">
        <x:v>1.5783239967988365</x:v>
      </x:c>
      <x:c r="AG74" s="71" t="n">
        <x:v>0.547029122509086</x:v>
      </x:c>
      <x:c r="AH74" s="53" t="n">
        <x:v>1.6762495666568842</x:v>
      </x:c>
      <x:c r="AI74" s="71" t="n">
        <x:v>0.09368931900241773</x:v>
      </x:c>
    </x:row>
  </x:sheetData>
  <x:pageMargins left="0.7" right="0.7" top="0.75" bottom="0.75" header="0.3" footer="0.3"/>
  <x:tableParts count="1">
    <x:tablePart xmlns:r="http://schemas.openxmlformats.org/officeDocument/2006/relationships" r:id="R9ba5697ec14f4af7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3" hidden="0" customWidth="1"/>
    <x:col min="5" max="5" width="24" hidden="0" customWidth="1"/>
    <x:col min="6" max="6" width="13" hidden="0" customWidth="1"/>
  </x:cols>
  <x:sheetData>
    <x:row r="2">
      <x:c r="C2" s="2" t="str">
        <x:v>Diagnóstico das emendas das séries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</x:row>
    <x:row r="3">
      <x:c r="C3" s="4" t="str">
        <x:v>Revisions de três meses que atravessam as mudanças entre arquivos-fonte.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</x:row>
    <x:row r="6" ht="36" customHeight="1">
      <x:c r="C6" s="11" t="str">
        <x:v>seam_start</x:v>
      </x:c>
      <x:c r="D6" s="11" t="str">
        <x:v>revision_month</x:v>
      </x:c>
      <x:c r="E6" s="11" t="str">
        <x:v>target</x:v>
      </x:c>
      <x:c r="F6" s="11" t="str">
        <x:v>revision_3m_log_pct</x:v>
      </x:c>
      <x:c r="G6" s="99"/>
      <x:c r="H6" s="99"/>
      <x:c r="I6" s="99"/>
      <x:c r="J6" s="99"/>
      <x:c r="K6" s="99"/>
      <x:c r="L6" s="99"/>
      <x:c r="M6" s="99"/>
    </x:row>
    <x:row r="7">
      <x:c r="C7" s="18" t="n">
        <x:v>40544</x:v>
      </x:c>
      <x:c r="D7" s="18" t="n">
        <x:v>40544</x:v>
      </x:c>
      <x:c r="E7" s="42" t="str">
        <x:v>IBOV</x:v>
      </x:c>
      <x:c r="F7" s="51" t="n">
        <x:v>12.819551514897022</x:v>
      </x:c>
      <x:c r="G7" s="99"/>
      <x:c r="H7" s="99"/>
      <x:c r="I7" s="99"/>
      <x:c r="J7" s="99"/>
      <x:c r="K7" s="99"/>
      <x:c r="L7" s="99"/>
      <x:c r="M7" s="99"/>
    </x:row>
    <x:row r="8">
      <x:c r="C8" s="19" t="n">
        <x:v>40544</x:v>
      </x:c>
      <x:c r="D8" s="19" t="n">
        <x:v>40544</x:v>
      </x:c>
      <x:c r="E8" s="43" t="str">
        <x:v>Communication Services</x:v>
      </x:c>
      <x:c r="F8" s="52" t="n">
        <x:v>12.054874209765025</x:v>
      </x:c>
      <x:c r="G8" s="99"/>
      <x:c r="H8" s="99"/>
      <x:c r="I8" s="99"/>
      <x:c r="J8" s="99"/>
      <x:c r="K8" s="99"/>
      <x:c r="L8" s="99"/>
      <x:c r="M8" s="99"/>
    </x:row>
    <x:row r="9">
      <x:c r="C9" s="19" t="n">
        <x:v>40544</x:v>
      </x:c>
      <x:c r="D9" s="19" t="n">
        <x:v>40544</x:v>
      </x:c>
      <x:c r="E9" s="43" t="str">
        <x:v>Consumer Discretionary</x:v>
      </x:c>
      <x:c r="F9" s="52" t="n">
        <x:v>8.748804703218724</x:v>
      </x:c>
      <x:c r="G9" s="99"/>
      <x:c r="H9" s="99"/>
      <x:c r="I9" s="99"/>
      <x:c r="J9" s="99"/>
      <x:c r="K9" s="99"/>
      <x:c r="L9" s="99"/>
      <x:c r="M9" s="99"/>
    </x:row>
    <x:row r="10">
      <x:c r="C10" s="19" t="n">
        <x:v>40544</x:v>
      </x:c>
      <x:c r="D10" s="19" t="n">
        <x:v>40544</x:v>
      </x:c>
      <x:c r="E10" s="43" t="str">
        <x:v>Consumer Staples</x:v>
      </x:c>
      <x:c r="F10" s="52" t="n">
        <x:v>-1.7695309547538534</x:v>
      </x:c>
      <x:c r="G10" s="99"/>
      <x:c r="H10" s="99"/>
      <x:c r="I10" s="99"/>
      <x:c r="J10" s="99"/>
      <x:c r="K10" s="99"/>
      <x:c r="L10" s="99"/>
      <x:c r="M10" s="99"/>
    </x:row>
    <x:row r="11">
      <x:c r="C11" s="19" t="n">
        <x:v>40544</x:v>
      </x:c>
      <x:c r="D11" s="19" t="n">
        <x:v>40544</x:v>
      </x:c>
      <x:c r="E11" s="43" t="str">
        <x:v>Energy</x:v>
      </x:c>
      <x:c r="F11" s="52" t="n">
        <x:v>5.929174799869321</x:v>
      </x:c>
      <x:c r="G11" s="99"/>
      <x:c r="H11" s="99"/>
      <x:c r="I11" s="99"/>
      <x:c r="J11" s="99"/>
      <x:c r="K11" s="99"/>
      <x:c r="L11" s="99"/>
      <x:c r="M11" s="99"/>
    </x:row>
    <x:row r="12">
      <x:c r="C12" s="19" t="n">
        <x:v>40544</x:v>
      </x:c>
      <x:c r="D12" s="19" t="n">
        <x:v>40544</x:v>
      </x:c>
      <x:c r="E12" s="43" t="str">
        <x:v>Financials</x:v>
      </x:c>
      <x:c r="F12" s="52" t="n">
        <x:v>7.330807423454227</x:v>
      </x:c>
      <x:c r="G12" s="99"/>
      <x:c r="H12" s="99"/>
      <x:c r="I12" s="99"/>
      <x:c r="J12" s="99"/>
      <x:c r="K12" s="99"/>
      <x:c r="L12" s="99"/>
      <x:c r="M12" s="99"/>
    </x:row>
    <x:row r="13">
      <x:c r="C13" s="19" t="n">
        <x:v>40544</x:v>
      </x:c>
      <x:c r="D13" s="19" t="n">
        <x:v>40544</x:v>
      </x:c>
      <x:c r="E13" s="43" t="str">
        <x:v>Health Care</x:v>
      </x:c>
      <x:c r="F13" s="52"/>
      <x:c r="G13" s="99"/>
      <x:c r="H13" s="99"/>
      <x:c r="I13" s="99"/>
      <x:c r="J13" s="99"/>
      <x:c r="K13" s="99"/>
      <x:c r="L13" s="99"/>
      <x:c r="M13" s="99"/>
    </x:row>
    <x:row r="14">
      <x:c r="C14" s="19" t="n">
        <x:v>40544</x:v>
      </x:c>
      <x:c r="D14" s="19" t="n">
        <x:v>40544</x:v>
      </x:c>
      <x:c r="E14" s="43" t="str">
        <x:v>Industrials</x:v>
      </x:c>
      <x:c r="F14" s="52" t="n">
        <x:v>18.98266866093595</x:v>
      </x:c>
      <x:c r="G14" s="99"/>
      <x:c r="H14" s="99"/>
      <x:c r="I14" s="99"/>
      <x:c r="J14" s="99"/>
      <x:c r="K14" s="99"/>
      <x:c r="L14" s="99"/>
      <x:c r="M14" s="99"/>
    </x:row>
    <x:row r="15">
      <x:c r="C15" s="19" t="n">
        <x:v>40544</x:v>
      </x:c>
      <x:c r="D15" s="19" t="n">
        <x:v>40544</x:v>
      </x:c>
      <x:c r="E15" s="43" t="str">
        <x:v>Information Technology</x:v>
      </x:c>
      <x:c r="F15" s="52"/>
      <x:c r="G15" s="99"/>
      <x:c r="H15" s="99"/>
      <x:c r="I15" s="99"/>
      <x:c r="J15" s="99"/>
      <x:c r="K15" s="99"/>
      <x:c r="L15" s="99"/>
      <x:c r="M15" s="99"/>
    </x:row>
    <x:row r="16">
      <x:c r="C16" s="19" t="n">
        <x:v>40544</x:v>
      </x:c>
      <x:c r="D16" s="19" t="n">
        <x:v>40544</x:v>
      </x:c>
      <x:c r="E16" s="43" t="str">
        <x:v>Materials</x:v>
      </x:c>
      <x:c r="F16" s="52" t="n">
        <x:v>8.738170177403697</x:v>
      </x:c>
      <x:c r="G16" s="99"/>
      <x:c r="H16" s="99"/>
      <x:c r="I16" s="99"/>
      <x:c r="J16" s="99"/>
      <x:c r="K16" s="99"/>
      <x:c r="L16" s="99"/>
      <x:c r="M16" s="99"/>
    </x:row>
    <x:row r="17">
      <x:c r="C17" s="19" t="n">
        <x:v>40544</x:v>
      </x:c>
      <x:c r="D17" s="19" t="n">
        <x:v>40544</x:v>
      </x:c>
      <x:c r="E17" s="43" t="str">
        <x:v>Real Estate</x:v>
      </x:c>
      <x:c r="F17" s="52"/>
      <x:c r="G17" s="99"/>
      <x:c r="H17" s="99"/>
      <x:c r="I17" s="99"/>
      <x:c r="J17" s="99"/>
      <x:c r="K17" s="99"/>
      <x:c r="L17" s="99"/>
      <x:c r="M17" s="99"/>
    </x:row>
    <x:row r="18">
      <x:c r="C18" s="19" t="n">
        <x:v>40544</x:v>
      </x:c>
      <x:c r="D18" s="19" t="n">
        <x:v>40544</x:v>
      </x:c>
      <x:c r="E18" s="43" t="str">
        <x:v>Utilities</x:v>
      </x:c>
      <x:c r="F18" s="52" t="n">
        <x:v>-6.152738939869089</x:v>
      </x:c>
      <x:c r="G18" s="99"/>
      <x:c r="H18" s="99"/>
      <x:c r="I18" s="99"/>
      <x:c r="J18" s="99"/>
      <x:c r="K18" s="99"/>
      <x:c r="L18" s="99"/>
      <x:c r="M18" s="99"/>
    </x:row>
    <x:row r="19">
      <x:c r="C19" s="19" t="n">
        <x:v>40544</x:v>
      </x:c>
      <x:c r="D19" s="19" t="n">
        <x:v>40575</x:v>
      </x:c>
      <x:c r="E19" s="43" t="str">
        <x:v>IBOV</x:v>
      </x:c>
      <x:c r="F19" s="52" t="n">
        <x:v>11.109556726106531</x:v>
      </x:c>
      <x:c r="G19" s="99"/>
      <x:c r="H19" s="99"/>
      <x:c r="I19" s="99"/>
      <x:c r="J19" s="99"/>
      <x:c r="K19" s="99"/>
      <x:c r="L19" s="99"/>
      <x:c r="M19" s="99"/>
    </x:row>
    <x:row r="20">
      <x:c r="C20" s="19" t="n">
        <x:v>40544</x:v>
      </x:c>
      <x:c r="D20" s="19" t="n">
        <x:v>40575</x:v>
      </x:c>
      <x:c r="E20" s="43" t="str">
        <x:v>Communication Services</x:v>
      </x:c>
      <x:c r="F20" s="52" t="n">
        <x:v>8.306323772162667</x:v>
      </x:c>
      <x:c r="G20" s="99"/>
      <x:c r="H20" s="99"/>
      <x:c r="I20" s="99"/>
      <x:c r="J20" s="99"/>
      <x:c r="K20" s="99"/>
      <x:c r="L20" s="99"/>
      <x:c r="M20" s="99"/>
    </x:row>
    <x:row r="21">
      <x:c r="C21" s="19" t="n">
        <x:v>40544</x:v>
      </x:c>
      <x:c r="D21" s="19" t="n">
        <x:v>40575</x:v>
      </x:c>
      <x:c r="E21" s="43" t="str">
        <x:v>Consumer Discretionary</x:v>
      </x:c>
      <x:c r="F21" s="52" t="n">
        <x:v>6.851631333271214</x:v>
      </x:c>
      <x:c r="G21" s="99"/>
      <x:c r="H21" s="99"/>
      <x:c r="I21" s="99"/>
      <x:c r="J21" s="99"/>
      <x:c r="K21" s="99"/>
      <x:c r="L21" s="99"/>
      <x:c r="M21" s="99"/>
    </x:row>
    <x:row r="22">
      <x:c r="C22" s="19" t="n">
        <x:v>40544</x:v>
      </x:c>
      <x:c r="D22" s="19" t="n">
        <x:v>40575</x:v>
      </x:c>
      <x:c r="E22" s="43" t="str">
        <x:v>Consumer Staples</x:v>
      </x:c>
      <x:c r="F22" s="52" t="n">
        <x:v>-4.700290839229417</x:v>
      </x:c>
      <x:c r="G22" s="99"/>
      <x:c r="H22" s="99"/>
      <x:c r="I22" s="99"/>
      <x:c r="J22" s="99"/>
      <x:c r="K22" s="99"/>
      <x:c r="L22" s="99"/>
      <x:c r="M22" s="99"/>
    </x:row>
    <x:row r="23">
      <x:c r="C23" s="19" t="n">
        <x:v>40544</x:v>
      </x:c>
      <x:c r="D23" s="19" t="n">
        <x:v>40575</x:v>
      </x:c>
      <x:c r="E23" s="43" t="str">
        <x:v>Energy</x:v>
      </x:c>
      <x:c r="F23" s="52" t="n">
        <x:v>1.3153921534390192</x:v>
      </x:c>
      <x:c r="G23" s="99"/>
      <x:c r="H23" s="99"/>
      <x:c r="I23" s="99"/>
      <x:c r="J23" s="99"/>
      <x:c r="K23" s="99"/>
      <x:c r="L23" s="99"/>
      <x:c r="M23" s="99"/>
    </x:row>
    <x:row r="24">
      <x:c r="C24" s="19" t="n">
        <x:v>40544</x:v>
      </x:c>
      <x:c r="D24" s="19" t="n">
        <x:v>40575</x:v>
      </x:c>
      <x:c r="E24" s="43" t="str">
        <x:v>Financials</x:v>
      </x:c>
      <x:c r="F24" s="52" t="n">
        <x:v>7.7389093358174375</x:v>
      </x:c>
      <x:c r="G24" s="99"/>
      <x:c r="H24" s="99"/>
      <x:c r="I24" s="99"/>
      <x:c r="J24" s="99"/>
      <x:c r="K24" s="99"/>
      <x:c r="L24" s="99"/>
      <x:c r="M24" s="99"/>
    </x:row>
    <x:row r="25">
      <x:c r="C25" s="19" t="n">
        <x:v>40544</x:v>
      </x:c>
      <x:c r="D25" s="19" t="n">
        <x:v>40575</x:v>
      </x:c>
      <x:c r="E25" s="43" t="str">
        <x:v>Health Care</x:v>
      </x:c>
      <x:c r="F25" s="52"/>
      <x:c r="G25" s="99"/>
      <x:c r="H25" s="99"/>
      <x:c r="I25" s="99"/>
      <x:c r="J25" s="99"/>
      <x:c r="K25" s="99"/>
      <x:c r="L25" s="99"/>
      <x:c r="M25" s="99"/>
    </x:row>
    <x:row r="26">
      <x:c r="C26" s="19" t="n">
        <x:v>40544</x:v>
      </x:c>
      <x:c r="D26" s="19" t="n">
        <x:v>40575</x:v>
      </x:c>
      <x:c r="E26" s="43" t="str">
        <x:v>Industrials</x:v>
      </x:c>
      <x:c r="F26" s="52" t="n">
        <x:v>14.363270940563048</x:v>
      </x:c>
      <x:c r="G26" s="99"/>
      <x:c r="H26" s="99"/>
      <x:c r="I26" s="99"/>
      <x:c r="J26" s="99"/>
      <x:c r="K26" s="99"/>
      <x:c r="L26" s="99"/>
      <x:c r="M26" s="99"/>
    </x:row>
    <x:row r="27">
      <x:c r="C27" s="19" t="n">
        <x:v>40544</x:v>
      </x:c>
      <x:c r="D27" s="19" t="n">
        <x:v>40575</x:v>
      </x:c>
      <x:c r="E27" s="43" t="str">
        <x:v>Information Technology</x:v>
      </x:c>
      <x:c r="F27" s="52"/>
      <x:c r="G27" s="99"/>
      <x:c r="H27" s="99"/>
      <x:c r="I27" s="99"/>
      <x:c r="J27" s="99"/>
      <x:c r="K27" s="99"/>
      <x:c r="L27" s="99"/>
      <x:c r="M27" s="99"/>
    </x:row>
    <x:row r="28">
      <x:c r="C28" s="19" t="n">
        <x:v>40544</x:v>
      </x:c>
      <x:c r="D28" s="19" t="n">
        <x:v>40575</x:v>
      </x:c>
      <x:c r="E28" s="43" t="str">
        <x:v>Materials</x:v>
      </x:c>
      <x:c r="F28" s="52" t="n">
        <x:v>5.525230954974147</x:v>
      </x:c>
      <x:c r="G28" s="99"/>
      <x:c r="H28" s="99"/>
      <x:c r="I28" s="99"/>
      <x:c r="J28" s="99"/>
      <x:c r="K28" s="99"/>
      <x:c r="L28" s="99"/>
      <x:c r="M28" s="99"/>
    </x:row>
    <x:row r="29">
      <x:c r="C29" s="19" t="n">
        <x:v>40544</x:v>
      </x:c>
      <x:c r="D29" s="19" t="n">
        <x:v>40575</x:v>
      </x:c>
      <x:c r="E29" s="43" t="str">
        <x:v>Real Estate</x:v>
      </x:c>
      <x:c r="F29" s="52"/>
      <x:c r="G29" s="99"/>
      <x:c r="H29" s="99"/>
      <x:c r="I29" s="99"/>
      <x:c r="J29" s="99"/>
      <x:c r="K29" s="99"/>
      <x:c r="L29" s="99"/>
      <x:c r="M29" s="99"/>
    </x:row>
    <x:row r="30">
      <x:c r="C30" s="19" t="n">
        <x:v>40544</x:v>
      </x:c>
      <x:c r="D30" s="19" t="n">
        <x:v>40575</x:v>
      </x:c>
      <x:c r="E30" s="43" t="str">
        <x:v>Utilities</x:v>
      </x:c>
      <x:c r="F30" s="52" t="n">
        <x:v>1.181028348061617</x:v>
      </x:c>
      <x:c r="G30" s="99"/>
      <x:c r="H30" s="99"/>
      <x:c r="I30" s="99"/>
      <x:c r="J30" s="99"/>
      <x:c r="K30" s="99"/>
      <x:c r="L30" s="99"/>
      <x:c r="M30" s="99"/>
    </x:row>
    <x:row r="31">
      <x:c r="C31" s="19" t="n">
        <x:v>40544</x:v>
      </x:c>
      <x:c r="D31" s="19" t="n">
        <x:v>40603</x:v>
      </x:c>
      <x:c r="E31" s="43" t="str">
        <x:v>IBOV</x:v>
      </x:c>
      <x:c r="F31" s="52" t="n">
        <x:v>4.767769110936255</x:v>
      </x:c>
      <x:c r="G31" s="99"/>
      <x:c r="H31" s="99"/>
      <x:c r="I31" s="99"/>
      <x:c r="J31" s="99"/>
      <x:c r="K31" s="99"/>
      <x:c r="L31" s="99"/>
      <x:c r="M31" s="99"/>
    </x:row>
    <x:row r="32">
      <x:c r="C32" s="19" t="n">
        <x:v>40544</x:v>
      </x:c>
      <x:c r="D32" s="19" t="n">
        <x:v>40603</x:v>
      </x:c>
      <x:c r="E32" s="43" t="str">
        <x:v>Communication Services</x:v>
      </x:c>
      <x:c r="F32" s="52" t="n">
        <x:v>9.0151179793596</x:v>
      </x:c>
      <x:c r="G32" s="99"/>
      <x:c r="H32" s="99"/>
      <x:c r="I32" s="99"/>
      <x:c r="J32" s="99"/>
      <x:c r="K32" s="99"/>
      <x:c r="L32" s="99"/>
      <x:c r="M32" s="99"/>
    </x:row>
    <x:row r="33">
      <x:c r="C33" s="19" t="n">
        <x:v>40544</x:v>
      </x:c>
      <x:c r="D33" s="19" t="n">
        <x:v>40603</x:v>
      </x:c>
      <x:c r="E33" s="43" t="str">
        <x:v>Consumer Discretionary</x:v>
      </x:c>
      <x:c r="F33" s="52" t="n">
        <x:v>2.3945868600399587</x:v>
      </x:c>
      <x:c r="G33" s="99"/>
      <x:c r="H33" s="99"/>
      <x:c r="I33" s="99"/>
      <x:c r="J33" s="99"/>
      <x:c r="K33" s="99"/>
      <x:c r="L33" s="99"/>
      <x:c r="M33" s="99"/>
    </x:row>
    <x:row r="34">
      <x:c r="C34" s="19" t="n">
        <x:v>40544</x:v>
      </x:c>
      <x:c r="D34" s="19" t="n">
        <x:v>40603</x:v>
      </x:c>
      <x:c r="E34" s="43" t="str">
        <x:v>Consumer Staples</x:v>
      </x:c>
      <x:c r="F34" s="52" t="n">
        <x:v>-5.892524201005509</x:v>
      </x:c>
      <x:c r="G34" s="99"/>
      <x:c r="H34" s="99"/>
      <x:c r="I34" s="99"/>
      <x:c r="J34" s="99"/>
      <x:c r="K34" s="99"/>
      <x:c r="L34" s="99"/>
      <x:c r="M34" s="99"/>
    </x:row>
    <x:row r="35">
      <x:c r="C35" s="19" t="n">
        <x:v>40544</x:v>
      </x:c>
      <x:c r="D35" s="19" t="n">
        <x:v>40603</x:v>
      </x:c>
      <x:c r="E35" s="43" t="str">
        <x:v>Energy</x:v>
      </x:c>
      <x:c r="F35" s="52" t="n">
        <x:v>-3.2929993030255935</x:v>
      </x:c>
      <x:c r="G35" s="99"/>
      <x:c r="H35" s="99"/>
      <x:c r="I35" s="99"/>
      <x:c r="J35" s="99"/>
      <x:c r="K35" s="99"/>
      <x:c r="L35" s="99"/>
      <x:c r="M35" s="99"/>
    </x:row>
    <x:row r="36">
      <x:c r="C36" s="19" t="n">
        <x:v>40544</x:v>
      </x:c>
      <x:c r="D36" s="19" t="n">
        <x:v>40603</x:v>
      </x:c>
      <x:c r="E36" s="43" t="str">
        <x:v>Financials</x:v>
      </x:c>
      <x:c r="F36" s="52" t="n">
        <x:v>6.383376418793177</x:v>
      </x:c>
      <x:c r="G36" s="99"/>
      <x:c r="H36" s="99"/>
      <x:c r="I36" s="99"/>
      <x:c r="J36" s="99"/>
      <x:c r="K36" s="99"/>
      <x:c r="L36" s="99"/>
      <x:c r="M36" s="99"/>
    </x:row>
    <x:row r="37">
      <x:c r="C37" s="19" t="n">
        <x:v>40544</x:v>
      </x:c>
      <x:c r="D37" s="19" t="n">
        <x:v>40603</x:v>
      </x:c>
      <x:c r="E37" s="43" t="str">
        <x:v>Health Care</x:v>
      </x:c>
      <x:c r="F37" s="52"/>
      <x:c r="G37" s="99"/>
      <x:c r="H37" s="99"/>
      <x:c r="I37" s="99"/>
      <x:c r="J37" s="99"/>
      <x:c r="K37" s="99"/>
      <x:c r="L37" s="99"/>
      <x:c r="M37" s="99"/>
    </x:row>
    <x:row r="38">
      <x:c r="C38" s="19" t="n">
        <x:v>40544</x:v>
      </x:c>
      <x:c r="D38" s="19" t="n">
        <x:v>40603</x:v>
      </x:c>
      <x:c r="E38" s="43" t="str">
        <x:v>Industrials</x:v>
      </x:c>
      <x:c r="F38" s="52" t="n">
        <x:v>2.6363086452957276</x:v>
      </x:c>
      <x:c r="G38" s="99"/>
      <x:c r="H38" s="99"/>
      <x:c r="I38" s="99"/>
      <x:c r="J38" s="99"/>
      <x:c r="K38" s="99"/>
      <x:c r="L38" s="99"/>
      <x:c r="M38" s="99"/>
    </x:row>
    <x:row r="39">
      <x:c r="C39" s="19" t="n">
        <x:v>40544</x:v>
      </x:c>
      <x:c r="D39" s="19" t="n">
        <x:v>40603</x:v>
      </x:c>
      <x:c r="E39" s="43" t="str">
        <x:v>Information Technology</x:v>
      </x:c>
      <x:c r="F39" s="52"/>
      <x:c r="G39" s="99"/>
      <x:c r="H39" s="99"/>
      <x:c r="I39" s="99"/>
      <x:c r="J39" s="99"/>
      <x:c r="K39" s="99"/>
      <x:c r="L39" s="99"/>
      <x:c r="M39" s="99"/>
    </x:row>
    <x:row r="40">
      <x:c r="C40" s="19" t="n">
        <x:v>40544</x:v>
      </x:c>
      <x:c r="D40" s="19" t="n">
        <x:v>40603</x:v>
      </x:c>
      <x:c r="E40" s="43" t="str">
        <x:v>Materials</x:v>
      </x:c>
      <x:c r="F40" s="52" t="n">
        <x:v>2.5143455412344333</x:v>
      </x:c>
      <x:c r="G40" s="99"/>
      <x:c r="H40" s="99"/>
      <x:c r="I40" s="99"/>
      <x:c r="J40" s="99"/>
      <x:c r="K40" s="99"/>
      <x:c r="L40" s="99"/>
      <x:c r="M40" s="99"/>
    </x:row>
    <x:row r="41">
      <x:c r="C41" s="19" t="n">
        <x:v>40544</x:v>
      </x:c>
      <x:c r="D41" s="19" t="n">
        <x:v>40603</x:v>
      </x:c>
      <x:c r="E41" s="43" t="str">
        <x:v>Real Estate</x:v>
      </x:c>
      <x:c r="F41" s="52"/>
      <x:c r="G41" s="99"/>
      <x:c r="H41" s="99"/>
      <x:c r="I41" s="99"/>
      <x:c r="J41" s="99"/>
      <x:c r="K41" s="99"/>
      <x:c r="L41" s="99"/>
      <x:c r="M41" s="99"/>
    </x:row>
    <x:row r="42">
      <x:c r="C42" s="19" t="n">
        <x:v>40544</x:v>
      </x:c>
      <x:c r="D42" s="19" t="n">
        <x:v>40603</x:v>
      </x:c>
      <x:c r="E42" s="43" t="str">
        <x:v>Utilities</x:v>
      </x:c>
      <x:c r="F42" s="52" t="n">
        <x:v>5.741267119729973</x:v>
      </x:c>
      <x:c r="G42" s="99"/>
      <x:c r="H42" s="99"/>
      <x:c r="I42" s="99"/>
      <x:c r="J42" s="99"/>
      <x:c r="K42" s="99"/>
      <x:c r="L42" s="99"/>
      <x:c r="M42" s="99"/>
    </x:row>
    <x:row r="43">
      <x:c r="C43" s="19" t="n">
        <x:v>41640</x:v>
      </x:c>
      <x:c r="D43" s="19" t="n">
        <x:v>41640</x:v>
      </x:c>
      <x:c r="E43" s="43" t="str">
        <x:v>IBOV</x:v>
      </x:c>
      <x:c r="F43" s="52" t="n">
        <x:v>19.269185115957924</x:v>
      </x:c>
      <x:c r="G43" s="99"/>
      <x:c r="H43" s="99"/>
      <x:c r="I43" s="99"/>
      <x:c r="J43" s="99"/>
      <x:c r="K43" s="99"/>
      <x:c r="L43" s="99"/>
      <x:c r="M43" s="99"/>
    </x:row>
    <x:row r="44">
      <x:c r="C44" s="19" t="n">
        <x:v>41640</x:v>
      </x:c>
      <x:c r="D44" s="19" t="n">
        <x:v>41640</x:v>
      </x:c>
      <x:c r="E44" s="43" t="str">
        <x:v>Communication Services</x:v>
      </x:c>
      <x:c r="F44" s="52" t="n">
        <x:v>24.014276665002274</x:v>
      </x:c>
      <x:c r="G44" s="99"/>
      <x:c r="H44" s="99"/>
      <x:c r="I44" s="99"/>
      <x:c r="J44" s="99"/>
      <x:c r="K44" s="99"/>
      <x:c r="L44" s="99"/>
      <x:c r="M44" s="99"/>
    </x:row>
    <x:row r="45">
      <x:c r="C45" s="19" t="n">
        <x:v>41640</x:v>
      </x:c>
      <x:c r="D45" s="19" t="n">
        <x:v>41640</x:v>
      </x:c>
      <x:c r="E45" s="43" t="str">
        <x:v>Consumer Discretionary</x:v>
      </x:c>
      <x:c r="F45" s="52" t="n">
        <x:v>18.901306735879288</x:v>
      </x:c>
      <x:c r="G45" s="99"/>
      <x:c r="H45" s="99"/>
      <x:c r="I45" s="99"/>
      <x:c r="J45" s="99"/>
      <x:c r="K45" s="99"/>
      <x:c r="L45" s="99"/>
      <x:c r="M45" s="99"/>
    </x:row>
    <x:row r="46">
      <x:c r="C46" s="19" t="n">
        <x:v>41640</x:v>
      </x:c>
      <x:c r="D46" s="19" t="n">
        <x:v>41640</x:v>
      </x:c>
      <x:c r="E46" s="43" t="str">
        <x:v>Consumer Staples</x:v>
      </x:c>
      <x:c r="F46" s="52" t="n">
        <x:v>35.29450984517295</x:v>
      </x:c>
      <x:c r="G46" s="99"/>
      <x:c r="H46" s="99"/>
      <x:c r="I46" s="99"/>
      <x:c r="J46" s="99"/>
      <x:c r="K46" s="99"/>
      <x:c r="L46" s="99"/>
      <x:c r="M46" s="99"/>
    </x:row>
    <x:row r="47">
      <x:c r="C47" s="19" t="n">
        <x:v>41640</x:v>
      </x:c>
      <x:c r="D47" s="19" t="n">
        <x:v>41640</x:v>
      </x:c>
      <x:c r="E47" s="43" t="str">
        <x:v>Energy</x:v>
      </x:c>
      <x:c r="F47" s="52" t="n">
        <x:v>22.18563805953628</x:v>
      </x:c>
      <x:c r="G47" s="99"/>
      <x:c r="H47" s="99"/>
      <x:c r="I47" s="99"/>
      <x:c r="J47" s="99"/>
      <x:c r="K47" s="99"/>
      <x:c r="L47" s="99"/>
      <x:c r="M47" s="99"/>
    </x:row>
    <x:row r="48">
      <x:c r="C48" s="19" t="n">
        <x:v>41640</x:v>
      </x:c>
      <x:c r="D48" s="19" t="n">
        <x:v>41640</x:v>
      </x:c>
      <x:c r="E48" s="43" t="str">
        <x:v>Financials</x:v>
      </x:c>
      <x:c r="F48" s="52" t="n">
        <x:v>6.641935344230705</x:v>
      </x:c>
      <x:c r="G48" s="99"/>
      <x:c r="H48" s="99"/>
      <x:c r="I48" s="99"/>
      <x:c r="J48" s="99"/>
      <x:c r="K48" s="99"/>
      <x:c r="L48" s="99"/>
      <x:c r="M48" s="99"/>
    </x:row>
    <x:row r="49">
      <x:c r="C49" s="19" t="n">
        <x:v>41640</x:v>
      </x:c>
      <x:c r="D49" s="19" t="n">
        <x:v>41640</x:v>
      </x:c>
      <x:c r="E49" s="43" t="str">
        <x:v>Health Care</x:v>
      </x:c>
      <x:c r="F49" s="52" t="n">
        <x:v>-11.543305947046196</x:v>
      </x:c>
      <x:c r="G49" s="99"/>
      <x:c r="H49" s="99"/>
      <x:c r="I49" s="99"/>
      <x:c r="J49" s="99"/>
      <x:c r="K49" s="99"/>
      <x:c r="L49" s="99"/>
      <x:c r="M49" s="99"/>
    </x:row>
    <x:row r="50">
      <x:c r="C50" s="19" t="n">
        <x:v>41640</x:v>
      </x:c>
      <x:c r="D50" s="19" t="n">
        <x:v>41640</x:v>
      </x:c>
      <x:c r="E50" s="43" t="str">
        <x:v>Industrials</x:v>
      </x:c>
      <x:c r="F50" s="52" t="n">
        <x:v>16.268843994177132</x:v>
      </x:c>
      <x:c r="G50" s="99"/>
      <x:c r="H50" s="99"/>
      <x:c r="I50" s="99"/>
      <x:c r="J50" s="99"/>
      <x:c r="K50" s="99"/>
      <x:c r="L50" s="99"/>
      <x:c r="M50" s="99"/>
    </x:row>
    <x:row r="51">
      <x:c r="C51" s="19" t="n">
        <x:v>41640</x:v>
      </x:c>
      <x:c r="D51" s="19" t="n">
        <x:v>41640</x:v>
      </x:c>
      <x:c r="E51" s="43" t="str">
        <x:v>Information Technology</x:v>
      </x:c>
      <x:c r="F51" s="52"/>
      <x:c r="G51" s="99"/>
      <x:c r="H51" s="99"/>
      <x:c r="I51" s="99"/>
      <x:c r="J51" s="99"/>
      <x:c r="K51" s="99"/>
      <x:c r="L51" s="99"/>
      <x:c r="M51" s="99"/>
    </x:row>
    <x:row r="52">
      <x:c r="C52" s="19" t="n">
        <x:v>41640</x:v>
      </x:c>
      <x:c r="D52" s="19" t="n">
        <x:v>41640</x:v>
      </x:c>
      <x:c r="E52" s="43" t="str">
        <x:v>Materials</x:v>
      </x:c>
      <x:c r="F52" s="52" t="n">
        <x:v>28.18046329734276</x:v>
      </x:c>
      <x:c r="G52" s="99"/>
      <x:c r="H52" s="99"/>
      <x:c r="I52" s="99"/>
      <x:c r="J52" s="99"/>
      <x:c r="K52" s="99"/>
      <x:c r="L52" s="99"/>
      <x:c r="M52" s="99"/>
    </x:row>
    <x:row r="53">
      <x:c r="C53" s="19" t="n">
        <x:v>41640</x:v>
      </x:c>
      <x:c r="D53" s="19" t="n">
        <x:v>41640</x:v>
      </x:c>
      <x:c r="E53" s="43" t="str">
        <x:v>Real Estate</x:v>
      </x:c>
      <x:c r="F53" s="52" t="n">
        <x:v>-2.262035292142143</x:v>
      </x:c>
      <x:c r="G53" s="99"/>
      <x:c r="H53" s="99"/>
      <x:c r="I53" s="99"/>
      <x:c r="J53" s="99"/>
      <x:c r="K53" s="99"/>
      <x:c r="L53" s="99"/>
      <x:c r="M53" s="99"/>
    </x:row>
    <x:row r="54">
      <x:c r="C54" s="19" t="n">
        <x:v>41640</x:v>
      </x:c>
      <x:c r="D54" s="19" t="n">
        <x:v>41640</x:v>
      </x:c>
      <x:c r="E54" s="43" t="str">
        <x:v>Utilities</x:v>
      </x:c>
      <x:c r="F54" s="52" t="n">
        <x:v>7.983914408622837</x:v>
      </x:c>
      <x:c r="G54" s="99"/>
      <x:c r="H54" s="99"/>
      <x:c r="I54" s="99"/>
      <x:c r="J54" s="99"/>
      <x:c r="K54" s="99"/>
      <x:c r="L54" s="99"/>
      <x:c r="M54" s="99"/>
    </x:row>
    <x:row r="55">
      <x:c r="C55" s="19" t="n">
        <x:v>41640</x:v>
      </x:c>
      <x:c r="D55" s="19" t="n">
        <x:v>41671</x:v>
      </x:c>
      <x:c r="E55" s="43" t="str">
        <x:v>IBOV</x:v>
      </x:c>
      <x:c r="F55" s="52" t="n">
        <x:v>12.499467288936707</x:v>
      </x:c>
      <x:c r="G55" s="99"/>
      <x:c r="H55" s="99"/>
      <x:c r="I55" s="99"/>
      <x:c r="J55" s="99"/>
      <x:c r="K55" s="99"/>
      <x:c r="L55" s="99"/>
      <x:c r="M55" s="99"/>
    </x:row>
    <x:row r="56">
      <x:c r="C56" s="19" t="n">
        <x:v>41640</x:v>
      </x:c>
      <x:c r="D56" s="19" t="n">
        <x:v>41671</x:v>
      </x:c>
      <x:c r="E56" s="43" t="str">
        <x:v>Communication Services</x:v>
      </x:c>
      <x:c r="F56" s="52" t="n">
        <x:v>32.0350342781713</x:v>
      </x:c>
      <x:c r="G56" s="99"/>
      <x:c r="H56" s="99"/>
      <x:c r="I56" s="99"/>
      <x:c r="J56" s="99"/>
      <x:c r="K56" s="99"/>
      <x:c r="L56" s="99"/>
      <x:c r="M56" s="99"/>
    </x:row>
    <x:row r="57">
      <x:c r="C57" s="19" t="n">
        <x:v>41640</x:v>
      </x:c>
      <x:c r="D57" s="19" t="n">
        <x:v>41671</x:v>
      </x:c>
      <x:c r="E57" s="43" t="str">
        <x:v>Consumer Discretionary</x:v>
      </x:c>
      <x:c r="F57" s="52" t="n">
        <x:v>21.708955333277427</x:v>
      </x:c>
      <x:c r="G57" s="99"/>
      <x:c r="H57" s="99"/>
      <x:c r="I57" s="99"/>
      <x:c r="J57" s="99"/>
      <x:c r="K57" s="99"/>
      <x:c r="L57" s="99"/>
      <x:c r="M57" s="99"/>
    </x:row>
    <x:row r="58">
      <x:c r="C58" s="19" t="n">
        <x:v>41640</x:v>
      </x:c>
      <x:c r="D58" s="19" t="n">
        <x:v>41671</x:v>
      </x:c>
      <x:c r="E58" s="43" t="str">
        <x:v>Consumer Staples</x:v>
      </x:c>
      <x:c r="F58" s="52" t="n">
        <x:v>33.489980102513265</x:v>
      </x:c>
      <x:c r="G58" s="99"/>
      <x:c r="H58" s="99"/>
      <x:c r="I58" s="99"/>
      <x:c r="J58" s="99"/>
      <x:c r="K58" s="99"/>
      <x:c r="L58" s="99"/>
      <x:c r="M58" s="99"/>
    </x:row>
    <x:row r="59">
      <x:c r="C59" s="19" t="n">
        <x:v>41640</x:v>
      </x:c>
      <x:c r="D59" s="19" t="n">
        <x:v>41671</x:v>
      </x:c>
      <x:c r="E59" s="43" t="str">
        <x:v>Energy</x:v>
      </x:c>
      <x:c r="F59" s="52" t="n">
        <x:v>-1.2026028441393226</x:v>
      </x:c>
      <x:c r="G59" s="99"/>
      <x:c r="H59" s="99"/>
      <x:c r="I59" s="99"/>
      <x:c r="J59" s="99"/>
      <x:c r="K59" s="99"/>
      <x:c r="L59" s="99"/>
      <x:c r="M59" s="99"/>
    </x:row>
    <x:row r="60">
      <x:c r="C60" s="19" t="n">
        <x:v>41640</x:v>
      </x:c>
      <x:c r="D60" s="19" t="n">
        <x:v>41671</x:v>
      </x:c>
      <x:c r="E60" s="43" t="str">
        <x:v>Financials</x:v>
      </x:c>
      <x:c r="F60" s="52" t="n">
        <x:v>9.45327903670674</x:v>
      </x:c>
      <x:c r="G60" s="99"/>
      <x:c r="H60" s="99"/>
      <x:c r="I60" s="99"/>
      <x:c r="J60" s="99"/>
      <x:c r="K60" s="99"/>
      <x:c r="L60" s="99"/>
      <x:c r="M60" s="99"/>
    </x:row>
    <x:row r="61">
      <x:c r="C61" s="19" t="n">
        <x:v>41640</x:v>
      </x:c>
      <x:c r="D61" s="19" t="n">
        <x:v>41671</x:v>
      </x:c>
      <x:c r="E61" s="43" t="str">
        <x:v>Health Care</x:v>
      </x:c>
      <x:c r="F61" s="52" t="n">
        <x:v>-5.599468225411134</x:v>
      </x:c>
      <x:c r="G61" s="99"/>
      <x:c r="H61" s="99"/>
      <x:c r="I61" s="99"/>
      <x:c r="J61" s="99"/>
      <x:c r="K61" s="99"/>
      <x:c r="L61" s="99"/>
      <x:c r="M61" s="99"/>
    </x:row>
    <x:row r="62">
      <x:c r="C62" s="19" t="n">
        <x:v>41640</x:v>
      </x:c>
      <x:c r="D62" s="19" t="n">
        <x:v>41671</x:v>
      </x:c>
      <x:c r="E62" s="43" t="str">
        <x:v>Industrials</x:v>
      </x:c>
      <x:c r="F62" s="52" t="n">
        <x:v>10.083582415152259</x:v>
      </x:c>
      <x:c r="G62" s="99"/>
      <x:c r="H62" s="99"/>
      <x:c r="I62" s="99"/>
      <x:c r="J62" s="99"/>
      <x:c r="K62" s="99"/>
      <x:c r="L62" s="99"/>
      <x:c r="M62" s="99"/>
    </x:row>
    <x:row r="63">
      <x:c r="C63" s="19" t="n">
        <x:v>41640</x:v>
      </x:c>
      <x:c r="D63" s="19" t="n">
        <x:v>41671</x:v>
      </x:c>
      <x:c r="E63" s="43" t="str">
        <x:v>Information Technology</x:v>
      </x:c>
      <x:c r="F63" s="52"/>
      <x:c r="G63" s="99"/>
      <x:c r="H63" s="99"/>
      <x:c r="I63" s="99"/>
      <x:c r="J63" s="99"/>
      <x:c r="K63" s="99"/>
      <x:c r="L63" s="99"/>
      <x:c r="M63" s="99"/>
    </x:row>
    <x:row r="64">
      <x:c r="C64" s="19" t="n">
        <x:v>41640</x:v>
      </x:c>
      <x:c r="D64" s="19" t="n">
        <x:v>41671</x:v>
      </x:c>
      <x:c r="E64" s="43" t="str">
        <x:v>Materials</x:v>
      </x:c>
      <x:c r="F64" s="52" t="n">
        <x:v>22.94495352691995</x:v>
      </x:c>
      <x:c r="G64" s="99"/>
      <x:c r="H64" s="99"/>
      <x:c r="I64" s="99"/>
      <x:c r="J64" s="99"/>
      <x:c r="K64" s="99"/>
      <x:c r="L64" s="99"/>
      <x:c r="M64" s="99"/>
    </x:row>
    <x:row r="65">
      <x:c r="C65" s="19" t="n">
        <x:v>41640</x:v>
      </x:c>
      <x:c r="D65" s="19" t="n">
        <x:v>41671</x:v>
      </x:c>
      <x:c r="E65" s="43" t="str">
        <x:v>Real Estate</x:v>
      </x:c>
      <x:c r="F65" s="52" t="n">
        <x:v>-6.692803521846331</x:v>
      </x:c>
      <x:c r="G65" s="99"/>
      <x:c r="H65" s="99"/>
      <x:c r="I65" s="99"/>
      <x:c r="J65" s="99"/>
      <x:c r="K65" s="99"/>
      <x:c r="L65" s="99"/>
      <x:c r="M65" s="99"/>
    </x:row>
    <x:row r="66">
      <x:c r="C66" s="19" t="n">
        <x:v>41640</x:v>
      </x:c>
      <x:c r="D66" s="19" t="n">
        <x:v>41671</x:v>
      </x:c>
      <x:c r="E66" s="43" t="str">
        <x:v>Utilities</x:v>
      </x:c>
      <x:c r="F66" s="52" t="n">
        <x:v>11.196338549639188</x:v>
      </x:c>
      <x:c r="G66" s="99"/>
      <x:c r="H66" s="99"/>
      <x:c r="I66" s="99"/>
      <x:c r="J66" s="99"/>
      <x:c r="K66" s="99"/>
      <x:c r="L66" s="99"/>
      <x:c r="M66" s="99"/>
    </x:row>
    <x:row r="67">
      <x:c r="C67" s="19" t="n">
        <x:v>41640</x:v>
      </x:c>
      <x:c r="D67" s="19" t="n">
        <x:v>41699</x:v>
      </x:c>
      <x:c r="E67" s="43" t="str">
        <x:v>IBOV</x:v>
      </x:c>
      <x:c r="F67" s="52" t="n">
        <x:v>17.4822050643899</x:v>
      </x:c>
      <x:c r="G67" s="99"/>
      <x:c r="H67" s="99"/>
      <x:c r="I67" s="99"/>
      <x:c r="J67" s="99"/>
      <x:c r="K67" s="99"/>
      <x:c r="L67" s="99"/>
      <x:c r="M67" s="99"/>
    </x:row>
    <x:row r="68">
      <x:c r="C68" s="19" t="n">
        <x:v>41640</x:v>
      </x:c>
      <x:c r="D68" s="19" t="n">
        <x:v>41699</x:v>
      </x:c>
      <x:c r="E68" s="43" t="str">
        <x:v>Communication Services</x:v>
      </x:c>
      <x:c r="F68" s="52" t="n">
        <x:v>35.66336176509582</x:v>
      </x:c>
      <x:c r="G68" s="99"/>
      <x:c r="H68" s="99"/>
      <x:c r="I68" s="99"/>
      <x:c r="J68" s="99"/>
      <x:c r="K68" s="99"/>
      <x:c r="L68" s="99"/>
      <x:c r="M68" s="99"/>
    </x:row>
    <x:row r="69">
      <x:c r="C69" s="19" t="n">
        <x:v>41640</x:v>
      </x:c>
      <x:c r="D69" s="19" t="n">
        <x:v>41699</x:v>
      </x:c>
      <x:c r="E69" s="43" t="str">
        <x:v>Consumer Discretionary</x:v>
      </x:c>
      <x:c r="F69" s="52" t="n">
        <x:v>29.429156507654692</x:v>
      </x:c>
      <x:c r="G69" s="99"/>
      <x:c r="H69" s="99"/>
      <x:c r="I69" s="99"/>
      <x:c r="J69" s="99"/>
      <x:c r="K69" s="99"/>
      <x:c r="L69" s="99"/>
      <x:c r="M69" s="99"/>
    </x:row>
    <x:row r="70">
      <x:c r="C70" s="19" t="n">
        <x:v>41640</x:v>
      </x:c>
      <x:c r="D70" s="19" t="n">
        <x:v>41699</x:v>
      </x:c>
      <x:c r="E70" s="43" t="str">
        <x:v>Consumer Staples</x:v>
      </x:c>
      <x:c r="F70" s="52" t="n">
        <x:v>31.293762319958063</x:v>
      </x:c>
      <x:c r="G70" s="99"/>
      <x:c r="H70" s="99"/>
      <x:c r="I70" s="99"/>
      <x:c r="J70" s="99"/>
      <x:c r="K70" s="99"/>
      <x:c r="L70" s="99"/>
      <x:c r="M70" s="99"/>
    </x:row>
    <x:row r="71">
      <x:c r="C71" s="19" t="n">
        <x:v>41640</x:v>
      </x:c>
      <x:c r="D71" s="19" t="n">
        <x:v>41699</x:v>
      </x:c>
      <x:c r="E71" s="43" t="str">
        <x:v>Energy</x:v>
      </x:c>
      <x:c r="F71" s="52" t="n">
        <x:v>-0.5937784011851444</x:v>
      </x:c>
      <x:c r="G71" s="99"/>
      <x:c r="H71" s="99"/>
      <x:c r="I71" s="99"/>
      <x:c r="J71" s="99"/>
      <x:c r="K71" s="99"/>
      <x:c r="L71" s="99"/>
      <x:c r="M71" s="99"/>
    </x:row>
    <x:row r="72">
      <x:c r="C72" s="19" t="n">
        <x:v>41640</x:v>
      </x:c>
      <x:c r="D72" s="19" t="n">
        <x:v>41699</x:v>
      </x:c>
      <x:c r="E72" s="43" t="str">
        <x:v>Financials</x:v>
      </x:c>
      <x:c r="F72" s="52" t="n">
        <x:v>9.590989443434163</x:v>
      </x:c>
      <x:c r="G72" s="99"/>
      <x:c r="H72" s="99"/>
      <x:c r="I72" s="99"/>
      <x:c r="J72" s="99"/>
      <x:c r="K72" s="99"/>
      <x:c r="L72" s="99"/>
      <x:c r="M72" s="99"/>
    </x:row>
    <x:row r="73">
      <x:c r="C73" s="19" t="n">
        <x:v>41640</x:v>
      </x:c>
      <x:c r="D73" s="19" t="n">
        <x:v>41699</x:v>
      </x:c>
      <x:c r="E73" s="43" t="str">
        <x:v>Health Care</x:v>
      </x:c>
      <x:c r="F73" s="52" t="n">
        <x:v>5.02632532554829</x:v>
      </x:c>
      <x:c r="G73" s="99"/>
      <x:c r="H73" s="99"/>
      <x:c r="I73" s="99"/>
      <x:c r="J73" s="99"/>
      <x:c r="K73" s="99"/>
      <x:c r="L73" s="99"/>
      <x:c r="M73" s="99"/>
    </x:row>
    <x:row r="74">
      <x:c r="C74" s="19" t="n">
        <x:v>41640</x:v>
      </x:c>
      <x:c r="D74" s="19" t="n">
        <x:v>41699</x:v>
      </x:c>
      <x:c r="E74" s="43" t="str">
        <x:v>Industrials</x:v>
      </x:c>
      <x:c r="F74" s="52" t="n">
        <x:v>9.616259556312775</x:v>
      </x:c>
      <x:c r="G74" s="99"/>
      <x:c r="H74" s="99"/>
      <x:c r="I74" s="99"/>
      <x:c r="J74" s="99"/>
      <x:c r="K74" s="99"/>
      <x:c r="L74" s="99"/>
      <x:c r="M74" s="99"/>
    </x:row>
    <x:row r="75">
      <x:c r="C75" s="19" t="n">
        <x:v>41640</x:v>
      </x:c>
      <x:c r="D75" s="19" t="n">
        <x:v>41699</x:v>
      </x:c>
      <x:c r="E75" s="43" t="str">
        <x:v>Information Technology</x:v>
      </x:c>
      <x:c r="F75" s="52"/>
      <x:c r="G75" s="99"/>
      <x:c r="H75" s="99"/>
      <x:c r="I75" s="99"/>
      <x:c r="J75" s="99"/>
      <x:c r="K75" s="99"/>
      <x:c r="L75" s="99"/>
      <x:c r="M75" s="99"/>
    </x:row>
    <x:row r="76">
      <x:c r="C76" s="19" t="n">
        <x:v>41640</x:v>
      </x:c>
      <x:c r="D76" s="19" t="n">
        <x:v>41699</x:v>
      </x:c>
      <x:c r="E76" s="43" t="str">
        <x:v>Materials</x:v>
      </x:c>
      <x:c r="F76" s="52" t="n">
        <x:v>28.404571747045466</x:v>
      </x:c>
      <x:c r="G76" s="99"/>
      <x:c r="H76" s="99"/>
      <x:c r="I76" s="99"/>
      <x:c r="J76" s="99"/>
      <x:c r="K76" s="99"/>
      <x:c r="L76" s="99"/>
      <x:c r="M76" s="99"/>
    </x:row>
    <x:row r="77">
      <x:c r="C77" s="19" t="n">
        <x:v>41640</x:v>
      </x:c>
      <x:c r="D77" s="19" t="n">
        <x:v>41699</x:v>
      </x:c>
      <x:c r="E77" s="43" t="str">
        <x:v>Real Estate</x:v>
      </x:c>
      <x:c r="F77" s="52" t="n">
        <x:v>-8.64855904638046</x:v>
      </x:c>
      <x:c r="G77" s="99"/>
      <x:c r="H77" s="99"/>
      <x:c r="I77" s="99"/>
      <x:c r="J77" s="99"/>
      <x:c r="K77" s="99"/>
      <x:c r="L77" s="99"/>
      <x:c r="M77" s="99"/>
    </x:row>
    <x:row r="78">
      <x:c r="C78" s="19" t="n">
        <x:v>41640</x:v>
      </x:c>
      <x:c r="D78" s="19" t="n">
        <x:v>41699</x:v>
      </x:c>
      <x:c r="E78" s="43" t="str">
        <x:v>Utilities</x:v>
      </x:c>
      <x:c r="F78" s="52" t="n">
        <x:v>5.552810243108789</x:v>
      </x:c>
      <x:c r="G78" s="99"/>
      <x:c r="H78" s="99"/>
      <x:c r="I78" s="99"/>
      <x:c r="J78" s="99"/>
      <x:c r="K78" s="99"/>
      <x:c r="L78" s="99"/>
      <x:c r="M78" s="99"/>
    </x:row>
    <x:row r="79">
      <x:c r="C79" s="19" t="n">
        <x:v>42736</x:v>
      </x:c>
      <x:c r="D79" s="19" t="n">
        <x:v>42736</x:v>
      </x:c>
      <x:c r="E79" s="43" t="str">
        <x:v>IBOV</x:v>
      </x:c>
      <x:c r="F79" s="52" t="n">
        <x:v>14.444666486676047</x:v>
      </x:c>
      <x:c r="G79" s="99"/>
      <x:c r="H79" s="99"/>
      <x:c r="I79" s="99"/>
      <x:c r="J79" s="99"/>
      <x:c r="K79" s="99"/>
      <x:c r="L79" s="99"/>
      <x:c r="M79" s="99"/>
    </x:row>
    <x:row r="80">
      <x:c r="C80" s="19" t="n">
        <x:v>42736</x:v>
      </x:c>
      <x:c r="D80" s="19" t="n">
        <x:v>42736</x:v>
      </x:c>
      <x:c r="E80" s="43" t="str">
        <x:v>Communication Services</x:v>
      </x:c>
      <x:c r="F80" s="52" t="n">
        <x:v>6.704366531562314</x:v>
      </x:c>
      <x:c r="G80" s="99"/>
      <x:c r="H80" s="99"/>
      <x:c r="I80" s="99"/>
      <x:c r="J80" s="99"/>
      <x:c r="K80" s="99"/>
      <x:c r="L80" s="99"/>
      <x:c r="M80" s="99"/>
    </x:row>
    <x:row r="81">
      <x:c r="C81" s="19" t="n">
        <x:v>42736</x:v>
      </x:c>
      <x:c r="D81" s="19" t="n">
        <x:v>42736</x:v>
      </x:c>
      <x:c r="E81" s="43" t="str">
        <x:v>Consumer Discretionary</x:v>
      </x:c>
      <x:c r="F81" s="52" t="n">
        <x:v>-1.5970450436851125</x:v>
      </x:c>
      <x:c r="G81" s="99"/>
      <x:c r="H81" s="99"/>
      <x:c r="I81" s="99"/>
      <x:c r="J81" s="99"/>
      <x:c r="K81" s="99"/>
      <x:c r="L81" s="99"/>
      <x:c r="M81" s="99"/>
    </x:row>
    <x:row r="82">
      <x:c r="C82" s="19" t="n">
        <x:v>42736</x:v>
      </x:c>
      <x:c r="D82" s="19" t="n">
        <x:v>42736</x:v>
      </x:c>
      <x:c r="E82" s="43" t="str">
        <x:v>Consumer Staples</x:v>
      </x:c>
      <x:c r="F82" s="52" t="n">
        <x:v>-1.3711246701003357</x:v>
      </x:c>
      <x:c r="G82" s="99"/>
      <x:c r="H82" s="99"/>
      <x:c r="I82" s="99"/>
      <x:c r="J82" s="99"/>
      <x:c r="K82" s="99"/>
      <x:c r="L82" s="99"/>
      <x:c r="M82" s="99"/>
    </x:row>
    <x:row r="83">
      <x:c r="C83" s="19" t="n">
        <x:v>42736</x:v>
      </x:c>
      <x:c r="D83" s="19" t="n">
        <x:v>42736</x:v>
      </x:c>
      <x:c r="E83" s="43" t="str">
        <x:v>Energy</x:v>
      </x:c>
      <x:c r="F83" s="52" t="n">
        <x:v>21.718930349379967</x:v>
      </x:c>
      <x:c r="G83" s="99"/>
      <x:c r="H83" s="99"/>
      <x:c r="I83" s="99"/>
      <x:c r="J83" s="99"/>
      <x:c r="K83" s="99"/>
      <x:c r="L83" s="99"/>
      <x:c r="M83" s="99"/>
    </x:row>
    <x:row r="84">
      <x:c r="C84" s="19" t="n">
        <x:v>42736</x:v>
      </x:c>
      <x:c r="D84" s="19" t="n">
        <x:v>42736</x:v>
      </x:c>
      <x:c r="E84" s="43" t="str">
        <x:v>Financials</x:v>
      </x:c>
      <x:c r="F84" s="52" t="n">
        <x:v>7.622121708526877</x:v>
      </x:c>
      <x:c r="G84" s="99"/>
      <x:c r="H84" s="99"/>
      <x:c r="I84" s="99"/>
      <x:c r="J84" s="99"/>
      <x:c r="K84" s="99"/>
      <x:c r="L84" s="99"/>
      <x:c r="M84" s="99"/>
    </x:row>
    <x:row r="85">
      <x:c r="C85" s="19" t="n">
        <x:v>42736</x:v>
      </x:c>
      <x:c r="D85" s="19" t="n">
        <x:v>42736</x:v>
      </x:c>
      <x:c r="E85" s="43" t="str">
        <x:v>Health Care</x:v>
      </x:c>
      <x:c r="F85" s="52" t="n">
        <x:v>6.6554073113647165</x:v>
      </x:c>
      <x:c r="G85" s="99"/>
      <x:c r="H85" s="99"/>
      <x:c r="I85" s="99"/>
      <x:c r="J85" s="99"/>
      <x:c r="K85" s="99"/>
      <x:c r="L85" s="99"/>
      <x:c r="M85" s="99"/>
    </x:row>
    <x:row r="86">
      <x:c r="C86" s="19" t="n">
        <x:v>42736</x:v>
      </x:c>
      <x:c r="D86" s="19" t="n">
        <x:v>42736</x:v>
      </x:c>
      <x:c r="E86" s="43" t="str">
        <x:v>Industrials</x:v>
      </x:c>
      <x:c r="F86" s="52" t="n">
        <x:v>1.0804387316942075</x:v>
      </x:c>
      <x:c r="G86" s="99"/>
      <x:c r="H86" s="99"/>
      <x:c r="I86" s="99"/>
      <x:c r="J86" s="99"/>
      <x:c r="K86" s="99"/>
      <x:c r="L86" s="99"/>
      <x:c r="M86" s="99"/>
    </x:row>
    <x:row r="87">
      <x:c r="C87" s="19" t="n">
        <x:v>42736</x:v>
      </x:c>
      <x:c r="D87" s="19" t="n">
        <x:v>42736</x:v>
      </x:c>
      <x:c r="E87" s="43" t="str">
        <x:v>Information Technology</x:v>
      </x:c>
      <x:c r="F87" s="52"/>
      <x:c r="G87" s="99"/>
      <x:c r="H87" s="99"/>
      <x:c r="I87" s="99"/>
      <x:c r="J87" s="99"/>
      <x:c r="K87" s="99"/>
      <x:c r="L87" s="99"/>
      <x:c r="M87" s="99"/>
    </x:row>
    <x:row r="88">
      <x:c r="C88" s="19" t="n">
        <x:v>42736</x:v>
      </x:c>
      <x:c r="D88" s="19" t="n">
        <x:v>42736</x:v>
      </x:c>
      <x:c r="E88" s="43" t="str">
        <x:v>Materials</x:v>
      </x:c>
      <x:c r="F88" s="52" t="n">
        <x:v>82.71562621940016</x:v>
      </x:c>
      <x:c r="G88" s="99"/>
      <x:c r="H88" s="99"/>
      <x:c r="I88" s="99"/>
      <x:c r="J88" s="99"/>
      <x:c r="K88" s="99"/>
      <x:c r="L88" s="99"/>
      <x:c r="M88" s="99"/>
    </x:row>
    <x:row r="89">
      <x:c r="C89" s="19" t="n">
        <x:v>42736</x:v>
      </x:c>
      <x:c r="D89" s="19" t="n">
        <x:v>42736</x:v>
      </x:c>
      <x:c r="E89" s="43" t="str">
        <x:v>Real Estate</x:v>
      </x:c>
      <x:c r="F89" s="52" t="n">
        <x:v>4.554537266060925</x:v>
      </x:c>
      <x:c r="G89" s="99"/>
      <x:c r="H89" s="99"/>
      <x:c r="I89" s="99"/>
      <x:c r="J89" s="99"/>
      <x:c r="K89" s="99"/>
      <x:c r="L89" s="99"/>
      <x:c r="M89" s="99"/>
    </x:row>
    <x:row r="90">
      <x:c r="C90" s="19" t="n">
        <x:v>42736</x:v>
      </x:c>
      <x:c r="D90" s="19" t="n">
        <x:v>42736</x:v>
      </x:c>
      <x:c r="E90" s="43" t="str">
        <x:v>Utilities</x:v>
      </x:c>
      <x:c r="F90" s="52" t="n">
        <x:v>0.34556463581981145</x:v>
      </x:c>
      <x:c r="G90" s="99"/>
      <x:c r="H90" s="99"/>
      <x:c r="I90" s="99"/>
      <x:c r="J90" s="99"/>
      <x:c r="K90" s="99"/>
      <x:c r="L90" s="99"/>
      <x:c r="M90" s="99"/>
    </x:row>
    <x:row r="91">
      <x:c r="C91" s="19" t="n">
        <x:v>42736</x:v>
      </x:c>
      <x:c r="D91" s="19" t="n">
        <x:v>42767</x:v>
      </x:c>
      <x:c r="E91" s="43" t="str">
        <x:v>IBOV</x:v>
      </x:c>
      <x:c r="F91" s="52" t="n">
        <x:v>16.27081053329744</x:v>
      </x:c>
      <x:c r="G91" s="99"/>
      <x:c r="H91" s="99"/>
      <x:c r="I91" s="99"/>
      <x:c r="J91" s="99"/>
      <x:c r="K91" s="99"/>
      <x:c r="L91" s="99"/>
      <x:c r="M91" s="99"/>
    </x:row>
    <x:row r="92">
      <x:c r="C92" s="19" t="n">
        <x:v>42736</x:v>
      </x:c>
      <x:c r="D92" s="19" t="n">
        <x:v>42767</x:v>
      </x:c>
      <x:c r="E92" s="43" t="str">
        <x:v>Communication Services</x:v>
      </x:c>
      <x:c r="F92" s="52" t="n">
        <x:v>2.6221809658077335</x:v>
      </x:c>
      <x:c r="G92" s="99"/>
      <x:c r="H92" s="99"/>
      <x:c r="I92" s="99"/>
      <x:c r="J92" s="99"/>
      <x:c r="K92" s="99"/>
      <x:c r="L92" s="99"/>
      <x:c r="M92" s="99"/>
    </x:row>
    <x:row r="93">
      <x:c r="C93" s="19" t="n">
        <x:v>42736</x:v>
      </x:c>
      <x:c r="D93" s="19" t="n">
        <x:v>42767</x:v>
      </x:c>
      <x:c r="E93" s="43" t="str">
        <x:v>Consumer Discretionary</x:v>
      </x:c>
      <x:c r="F93" s="52" t="n">
        <x:v>-3.723407226794383</x:v>
      </x:c>
      <x:c r="G93" s="99"/>
      <x:c r="H93" s="99"/>
      <x:c r="I93" s="99"/>
      <x:c r="J93" s="99"/>
      <x:c r="K93" s="99"/>
      <x:c r="L93" s="99"/>
      <x:c r="M93" s="99"/>
    </x:row>
    <x:row r="94">
      <x:c r="C94" s="19" t="n">
        <x:v>42736</x:v>
      </x:c>
      <x:c r="D94" s="19" t="n">
        <x:v>42767</x:v>
      </x:c>
      <x:c r="E94" s="43" t="str">
        <x:v>Consumer Staples</x:v>
      </x:c>
      <x:c r="F94" s="52" t="n">
        <x:v>6.3457729032568535</x:v>
      </x:c>
      <x:c r="G94" s="99"/>
      <x:c r="H94" s="99"/>
      <x:c r="I94" s="99"/>
      <x:c r="J94" s="99"/>
      <x:c r="K94" s="99"/>
      <x:c r="L94" s="99"/>
      <x:c r="M94" s="99"/>
    </x:row>
    <x:row r="95">
      <x:c r="C95" s="19" t="n">
        <x:v>42736</x:v>
      </x:c>
      <x:c r="D95" s="19" t="n">
        <x:v>42767</x:v>
      </x:c>
      <x:c r="E95" s="43" t="str">
        <x:v>Energy</x:v>
      </x:c>
      <x:c r="F95" s="52" t="n">
        <x:v>27.334756807722872</x:v>
      </x:c>
      <x:c r="G95" s="99"/>
      <x:c r="H95" s="99"/>
      <x:c r="I95" s="99"/>
      <x:c r="J95" s="99"/>
      <x:c r="K95" s="99"/>
      <x:c r="L95" s="99"/>
      <x:c r="M95" s="99"/>
    </x:row>
    <x:row r="96">
      <x:c r="C96" s="19" t="n">
        <x:v>42736</x:v>
      </x:c>
      <x:c r="D96" s="19" t="n">
        <x:v>42767</x:v>
      </x:c>
      <x:c r="E96" s="43" t="str">
        <x:v>Financials</x:v>
      </x:c>
      <x:c r="F96" s="52" t="n">
        <x:v>4.49870351809088</x:v>
      </x:c>
      <x:c r="G96" s="99"/>
      <x:c r="H96" s="99"/>
      <x:c r="I96" s="99"/>
      <x:c r="J96" s="99"/>
      <x:c r="K96" s="99"/>
      <x:c r="L96" s="99"/>
      <x:c r="M96" s="99"/>
    </x:row>
    <x:row r="97">
      <x:c r="C97" s="19" t="n">
        <x:v>42736</x:v>
      </x:c>
      <x:c r="D97" s="19" t="n">
        <x:v>42767</x:v>
      </x:c>
      <x:c r="E97" s="43" t="str">
        <x:v>Health Care</x:v>
      </x:c>
      <x:c r="F97" s="52" t="n">
        <x:v>4.835011038313522</x:v>
      </x:c>
      <x:c r="G97" s="99"/>
      <x:c r="H97" s="99"/>
      <x:c r="I97" s="99"/>
      <x:c r="J97" s="99"/>
      <x:c r="K97" s="99"/>
      <x:c r="L97" s="99"/>
      <x:c r="M97" s="99"/>
    </x:row>
    <x:row r="98">
      <x:c r="C98" s="19" t="n">
        <x:v>42736</x:v>
      </x:c>
      <x:c r="D98" s="19" t="n">
        <x:v>42767</x:v>
      </x:c>
      <x:c r="E98" s="43" t="str">
        <x:v>Industrials</x:v>
      </x:c>
      <x:c r="F98" s="52" t="n">
        <x:v>9.813606673114975</x:v>
      </x:c>
      <x:c r="G98" s="99"/>
      <x:c r="H98" s="99"/>
      <x:c r="I98" s="99"/>
      <x:c r="J98" s="99"/>
      <x:c r="K98" s="99"/>
      <x:c r="L98" s="99"/>
      <x:c r="M98" s="99"/>
    </x:row>
    <x:row r="99">
      <x:c r="C99" s="19" t="n">
        <x:v>42736</x:v>
      </x:c>
      <x:c r="D99" s="19" t="n">
        <x:v>42767</x:v>
      </x:c>
      <x:c r="E99" s="43" t="str">
        <x:v>Information Technology</x:v>
      </x:c>
      <x:c r="F99" s="52"/>
      <x:c r="G99" s="99"/>
      <x:c r="H99" s="99"/>
      <x:c r="I99" s="99"/>
      <x:c r="J99" s="99"/>
      <x:c r="K99" s="99"/>
      <x:c r="L99" s="99"/>
      <x:c r="M99" s="99"/>
    </x:row>
    <x:row r="100">
      <x:c r="C100" s="19" t="n">
        <x:v>42736</x:v>
      </x:c>
      <x:c r="D100" s="19" t="n">
        <x:v>42767</x:v>
      </x:c>
      <x:c r="E100" s="43" t="str">
        <x:v>Materials</x:v>
      </x:c>
      <x:c r="F100" s="52" t="n">
        <x:v>79.65360951252731</x:v>
      </x:c>
      <x:c r="G100" s="99"/>
      <x:c r="H100" s="99"/>
      <x:c r="I100" s="99"/>
      <x:c r="J100" s="99"/>
      <x:c r="K100" s="99"/>
      <x:c r="L100" s="99"/>
      <x:c r="M100" s="99"/>
    </x:row>
    <x:row r="101">
      <x:c r="C101" s="19" t="n">
        <x:v>42736</x:v>
      </x:c>
      <x:c r="D101" s="19" t="n">
        <x:v>42767</x:v>
      </x:c>
      <x:c r="E101" s="43" t="str">
        <x:v>Real Estate</x:v>
      </x:c>
      <x:c r="F101" s="52" t="n">
        <x:v>9.276753425951856</x:v>
      </x:c>
      <x:c r="G101" s="99"/>
      <x:c r="H101" s="99"/>
      <x:c r="I101" s="99"/>
      <x:c r="J101" s="99"/>
      <x:c r="K101" s="99"/>
      <x:c r="L101" s="99"/>
      <x:c r="M101" s="99"/>
    </x:row>
    <x:row r="102">
      <x:c r="C102" s="19" t="n">
        <x:v>42736</x:v>
      </x:c>
      <x:c r="D102" s="19" t="n">
        <x:v>42767</x:v>
      </x:c>
      <x:c r="E102" s="43" t="str">
        <x:v>Utilities</x:v>
      </x:c>
      <x:c r="F102" s="52" t="n">
        <x:v>8.555820522971626</x:v>
      </x:c>
      <x:c r="G102" s="99"/>
      <x:c r="H102" s="99"/>
      <x:c r="I102" s="99"/>
      <x:c r="J102" s="99"/>
      <x:c r="K102" s="99"/>
      <x:c r="L102" s="99"/>
      <x:c r="M102" s="99"/>
    </x:row>
    <x:row r="103">
      <x:c r="C103" s="19" t="n">
        <x:v>42736</x:v>
      </x:c>
      <x:c r="D103" s="19" t="n">
        <x:v>42795</x:v>
      </x:c>
      <x:c r="E103" s="43" t="str">
        <x:v>IBOV</x:v>
      </x:c>
      <x:c r="F103" s="52" t="n">
        <x:v>14.039621340314321</x:v>
      </x:c>
      <x:c r="G103" s="99"/>
      <x:c r="H103" s="99"/>
      <x:c r="I103" s="99"/>
      <x:c r="J103" s="99"/>
      <x:c r="K103" s="99"/>
      <x:c r="L103" s="99"/>
      <x:c r="M103" s="99"/>
    </x:row>
    <x:row r="104">
      <x:c r="C104" s="19" t="n">
        <x:v>42736</x:v>
      </x:c>
      <x:c r="D104" s="19" t="n">
        <x:v>42795</x:v>
      </x:c>
      <x:c r="E104" s="43" t="str">
        <x:v>Communication Services</x:v>
      </x:c>
      <x:c r="F104" s="52" t="n">
        <x:v>-0.21543052283189648</x:v>
      </x:c>
      <x:c r="G104" s="99"/>
      <x:c r="H104" s="99"/>
      <x:c r="I104" s="99"/>
      <x:c r="J104" s="99"/>
      <x:c r="K104" s="99"/>
      <x:c r="L104" s="99"/>
      <x:c r="M104" s="99"/>
    </x:row>
    <x:row r="105">
      <x:c r="C105" s="19" t="n">
        <x:v>42736</x:v>
      </x:c>
      <x:c r="D105" s="19" t="n">
        <x:v>42795</x:v>
      </x:c>
      <x:c r="E105" s="43" t="str">
        <x:v>Consumer Discretionary</x:v>
      </x:c>
      <x:c r="F105" s="52" t="n">
        <x:v>-1.553521929901541</x:v>
      </x:c>
      <x:c r="G105" s="99"/>
      <x:c r="H105" s="99"/>
      <x:c r="I105" s="99"/>
      <x:c r="J105" s="99"/>
      <x:c r="K105" s="99"/>
      <x:c r="L105" s="99"/>
      <x:c r="M105" s="99"/>
    </x:row>
    <x:row r="106">
      <x:c r="C106" s="19" t="n">
        <x:v>42736</x:v>
      </x:c>
      <x:c r="D106" s="19" t="n">
        <x:v>42795</x:v>
      </x:c>
      <x:c r="E106" s="43" t="str">
        <x:v>Consumer Staples</x:v>
      </x:c>
      <x:c r="F106" s="52" t="n">
        <x:v>6.1770659963164025</x:v>
      </x:c>
      <x:c r="G106" s="99"/>
      <x:c r="H106" s="99"/>
      <x:c r="I106" s="99"/>
      <x:c r="J106" s="99"/>
      <x:c r="K106" s="99"/>
      <x:c r="L106" s="99"/>
      <x:c r="M106" s="99"/>
    </x:row>
    <x:row r="107">
      <x:c r="C107" s="19" t="n">
        <x:v>42736</x:v>
      </x:c>
      <x:c r="D107" s="19" t="n">
        <x:v>42795</x:v>
      </x:c>
      <x:c r="E107" s="43" t="str">
        <x:v>Energy</x:v>
      </x:c>
      <x:c r="F107" s="52" t="n">
        <x:v>20.32434108633202</x:v>
      </x:c>
      <x:c r="G107" s="99"/>
      <x:c r="H107" s="99"/>
      <x:c r="I107" s="99"/>
      <x:c r="J107" s="99"/>
      <x:c r="K107" s="99"/>
      <x:c r="L107" s="99"/>
      <x:c r="M107" s="99"/>
    </x:row>
    <x:row r="108">
      <x:c r="C108" s="19" t="n">
        <x:v>42736</x:v>
      </x:c>
      <x:c r="D108" s="19" t="n">
        <x:v>42795</x:v>
      </x:c>
      <x:c r="E108" s="43" t="str">
        <x:v>Financials</x:v>
      </x:c>
      <x:c r="F108" s="52" t="n">
        <x:v>6.159673337576598</x:v>
      </x:c>
      <x:c r="G108" s="99"/>
      <x:c r="H108" s="99"/>
      <x:c r="I108" s="99"/>
      <x:c r="J108" s="99"/>
      <x:c r="K108" s="99"/>
      <x:c r="L108" s="99"/>
      <x:c r="M108" s="99"/>
    </x:row>
    <x:row r="109">
      <x:c r="C109" s="19" t="n">
        <x:v>42736</x:v>
      </x:c>
      <x:c r="D109" s="19" t="n">
        <x:v>42795</x:v>
      </x:c>
      <x:c r="E109" s="43" t="str">
        <x:v>Health Care</x:v>
      </x:c>
      <x:c r="F109" s="52" t="n">
        <x:v>3.4357648032366135</x:v>
      </x:c>
      <x:c r="G109" s="99"/>
      <x:c r="H109" s="99"/>
      <x:c r="I109" s="99"/>
      <x:c r="J109" s="99"/>
      <x:c r="K109" s="99"/>
      <x:c r="L109" s="99"/>
      <x:c r="M109" s="99"/>
    </x:row>
    <x:row r="110">
      <x:c r="C110" s="19" t="n">
        <x:v>42736</x:v>
      </x:c>
      <x:c r="D110" s="19" t="n">
        <x:v>42795</x:v>
      </x:c>
      <x:c r="E110" s="43" t="str">
        <x:v>Industrials</x:v>
      </x:c>
      <x:c r="F110" s="52" t="n">
        <x:v>3.0188973025581136</x:v>
      </x:c>
      <x:c r="G110" s="99"/>
      <x:c r="H110" s="99"/>
      <x:c r="I110" s="99"/>
      <x:c r="J110" s="99"/>
      <x:c r="K110" s="99"/>
      <x:c r="L110" s="99"/>
      <x:c r="M110" s="99"/>
    </x:row>
    <x:row r="111">
      <x:c r="C111" s="19" t="n">
        <x:v>42736</x:v>
      </x:c>
      <x:c r="D111" s="19" t="n">
        <x:v>42795</x:v>
      </x:c>
      <x:c r="E111" s="43" t="str">
        <x:v>Information Technology</x:v>
      </x:c>
      <x:c r="F111" s="52"/>
      <x:c r="G111" s="99"/>
      <x:c r="H111" s="99"/>
      <x:c r="I111" s="99"/>
      <x:c r="J111" s="99"/>
      <x:c r="K111" s="99"/>
      <x:c r="L111" s="99"/>
      <x:c r="M111" s="99"/>
    </x:row>
    <x:row r="112">
      <x:c r="C112" s="19" t="n">
        <x:v>42736</x:v>
      </x:c>
      <x:c r="D112" s="19" t="n">
        <x:v>42795</x:v>
      </x:c>
      <x:c r="E112" s="43" t="str">
        <x:v>Materials</x:v>
      </x:c>
      <x:c r="F112" s="52" t="n">
        <x:v>56.01850765804532</x:v>
      </x:c>
      <x:c r="G112" s="99"/>
      <x:c r="H112" s="99"/>
      <x:c r="I112" s="99"/>
      <x:c r="J112" s="99"/>
      <x:c r="K112" s="99"/>
      <x:c r="L112" s="99"/>
      <x:c r="M112" s="99"/>
    </x:row>
    <x:row r="113">
      <x:c r="C113" s="19" t="n">
        <x:v>42736</x:v>
      </x:c>
      <x:c r="D113" s="19" t="n">
        <x:v>42795</x:v>
      </x:c>
      <x:c r="E113" s="43" t="str">
        <x:v>Real Estate</x:v>
      </x:c>
      <x:c r="F113" s="52" t="n">
        <x:v>12.291914477056945</x:v>
      </x:c>
      <x:c r="G113" s="99"/>
      <x:c r="H113" s="99"/>
      <x:c r="I113" s="99"/>
      <x:c r="J113" s="99"/>
      <x:c r="K113" s="99"/>
      <x:c r="L113" s="99"/>
      <x:c r="M113" s="99"/>
    </x:row>
    <x:row r="114">
      <x:c r="C114" s="19" t="n">
        <x:v>42736</x:v>
      </x:c>
      <x:c r="D114" s="19" t="n">
        <x:v>42795</x:v>
      </x:c>
      <x:c r="E114" s="43" t="str">
        <x:v>Utilities</x:v>
      </x:c>
      <x:c r="F114" s="52" t="n">
        <x:v>17.116561806108617</x:v>
      </x:c>
      <x:c r="G114" s="99"/>
      <x:c r="H114" s="99"/>
      <x:c r="I114" s="99"/>
      <x:c r="J114" s="99"/>
      <x:c r="K114" s="99"/>
      <x:c r="L114" s="99"/>
      <x:c r="M114" s="99"/>
    </x:row>
    <x:row r="115">
      <x:c r="C115" s="19" t="n">
        <x:v>43831</x:v>
      </x:c>
      <x:c r="D115" s="19" t="n">
        <x:v>43831</x:v>
      </x:c>
      <x:c r="E115" s="43" t="str">
        <x:v>IBOV</x:v>
      </x:c>
      <x:c r="F115" s="52" t="n">
        <x:v>-9.236160362673196</x:v>
      </x:c>
      <x:c r="G115" s="99"/>
      <x:c r="H115" s="99"/>
      <x:c r="I115" s="99"/>
      <x:c r="J115" s="99"/>
      <x:c r="K115" s="99"/>
      <x:c r="L115" s="99"/>
      <x:c r="M115" s="99"/>
    </x:row>
    <x:row r="116">
      <x:c r="C116" s="19" t="n">
        <x:v>43831</x:v>
      </x:c>
      <x:c r="D116" s="19" t="n">
        <x:v>43831</x:v>
      </x:c>
      <x:c r="E116" s="43" t="str">
        <x:v>Communication Services</x:v>
      </x:c>
      <x:c r="F116" s="52" t="n">
        <x:v>-4.073939225075627</x:v>
      </x:c>
      <x:c r="G116" s="99"/>
      <x:c r="H116" s="99"/>
      <x:c r="I116" s="99"/>
      <x:c r="J116" s="99"/>
      <x:c r="K116" s="99"/>
      <x:c r="L116" s="99"/>
      <x:c r="M116" s="99"/>
    </x:row>
    <x:row r="117">
      <x:c r="C117" s="19" t="n">
        <x:v>43831</x:v>
      </x:c>
      <x:c r="D117" s="19" t="n">
        <x:v>43831</x:v>
      </x:c>
      <x:c r="E117" s="43" t="str">
        <x:v>Consumer Discretionary</x:v>
      </x:c>
      <x:c r="F117" s="52" t="n">
        <x:v>-3.9699918287889173</x:v>
      </x:c>
      <x:c r="G117" s="99"/>
      <x:c r="H117" s="99"/>
      <x:c r="I117" s="99"/>
      <x:c r="J117" s="99"/>
      <x:c r="K117" s="99"/>
      <x:c r="L117" s="99"/>
      <x:c r="M117" s="99"/>
    </x:row>
    <x:row r="118">
      <x:c r="C118" s="19" t="n">
        <x:v>43831</x:v>
      </x:c>
      <x:c r="D118" s="19" t="n">
        <x:v>43831</x:v>
      </x:c>
      <x:c r="E118" s="43" t="str">
        <x:v>Consumer Staples</x:v>
      </x:c>
      <x:c r="F118" s="52" t="n">
        <x:v>-10.085699904462334</x:v>
      </x:c>
      <x:c r="G118" s="99"/>
      <x:c r="H118" s="99"/>
      <x:c r="I118" s="99"/>
      <x:c r="J118" s="99"/>
      <x:c r="K118" s="99"/>
      <x:c r="L118" s="99"/>
      <x:c r="M118" s="99"/>
    </x:row>
    <x:row r="119">
      <x:c r="C119" s="19" t="n">
        <x:v>43831</x:v>
      </x:c>
      <x:c r="D119" s="19" t="n">
        <x:v>43831</x:v>
      </x:c>
      <x:c r="E119" s="43" t="str">
        <x:v>Energy</x:v>
      </x:c>
      <x:c r="F119" s="52" t="n">
        <x:v>5.810712546209148</x:v>
      </x:c>
      <x:c r="G119" s="99"/>
      <x:c r="H119" s="99"/>
      <x:c r="I119" s="99"/>
      <x:c r="J119" s="99"/>
      <x:c r="K119" s="99"/>
      <x:c r="L119" s="99"/>
      <x:c r="M119" s="99"/>
    </x:row>
    <x:row r="120">
      <x:c r="C120" s="19" t="n">
        <x:v>43831</x:v>
      </x:c>
      <x:c r="D120" s="19" t="n">
        <x:v>43831</x:v>
      </x:c>
      <x:c r="E120" s="43" t="str">
        <x:v>Financials</x:v>
      </x:c>
      <x:c r="F120" s="52" t="n">
        <x:v>-5.316582093698714</x:v>
      </x:c>
      <x:c r="G120" s="99"/>
      <x:c r="H120" s="99"/>
      <x:c r="I120" s="99"/>
      <x:c r="J120" s="99"/>
      <x:c r="K120" s="99"/>
      <x:c r="L120" s="99"/>
      <x:c r="M120" s="99"/>
    </x:row>
    <x:row r="121">
      <x:c r="C121" s="19" t="n">
        <x:v>43831</x:v>
      </x:c>
      <x:c r="D121" s="19" t="n">
        <x:v>43831</x:v>
      </x:c>
      <x:c r="E121" s="43" t="str">
        <x:v>Health Care</x:v>
      </x:c>
      <x:c r="F121" s="52" t="n">
        <x:v>5.516638962194924</x:v>
      </x:c>
      <x:c r="G121" s="99"/>
      <x:c r="H121" s="99"/>
      <x:c r="I121" s="99"/>
      <x:c r="J121" s="99"/>
      <x:c r="K121" s="99"/>
      <x:c r="L121" s="99"/>
      <x:c r="M121" s="99"/>
    </x:row>
    <x:row r="122">
      <x:c r="C122" s="19" t="n">
        <x:v>43831</x:v>
      </x:c>
      <x:c r="D122" s="19" t="n">
        <x:v>43831</x:v>
      </x:c>
      <x:c r="E122" s="43" t="str">
        <x:v>Industrials</x:v>
      </x:c>
      <x:c r="F122" s="52" t="n">
        <x:v>6.167449531681666</x:v>
      </x:c>
      <x:c r="G122" s="99"/>
      <x:c r="H122" s="99"/>
      <x:c r="I122" s="99"/>
      <x:c r="J122" s="99"/>
      <x:c r="K122" s="99"/>
      <x:c r="L122" s="99"/>
      <x:c r="M122" s="99"/>
    </x:row>
    <x:row r="123">
      <x:c r="C123" s="19" t="n">
        <x:v>43831</x:v>
      </x:c>
      <x:c r="D123" s="19" t="n">
        <x:v>43831</x:v>
      </x:c>
      <x:c r="E123" s="43" t="str">
        <x:v>Information Technology</x:v>
      </x:c>
      <x:c r="F123" s="52"/>
      <x:c r="G123" s="99"/>
      <x:c r="H123" s="99"/>
      <x:c r="I123" s="99"/>
      <x:c r="J123" s="99"/>
      <x:c r="K123" s="99"/>
      <x:c r="L123" s="99"/>
      <x:c r="M123" s="99"/>
    </x:row>
    <x:row r="124">
      <x:c r="C124" s="19" t="n">
        <x:v>43831</x:v>
      </x:c>
      <x:c r="D124" s="19" t="n">
        <x:v>43831</x:v>
      </x:c>
      <x:c r="E124" s="43" t="str">
        <x:v>Materials</x:v>
      </x:c>
      <x:c r="F124" s="52" t="n">
        <x:v>1.1280452844659936</x:v>
      </x:c>
      <x:c r="G124" s="99"/>
      <x:c r="H124" s="99"/>
      <x:c r="I124" s="99"/>
      <x:c r="J124" s="99"/>
      <x:c r="K124" s="99"/>
      <x:c r="L124" s="99"/>
      <x:c r="M124" s="99"/>
    </x:row>
    <x:row r="125">
      <x:c r="C125" s="19" t="n">
        <x:v>43831</x:v>
      </x:c>
      <x:c r="D125" s="19" t="n">
        <x:v>43831</x:v>
      </x:c>
      <x:c r="E125" s="43" t="str">
        <x:v>Real Estate</x:v>
      </x:c>
      <x:c r="F125" s="52" t="n">
        <x:v>3.8442645834609173</x:v>
      </x:c>
      <x:c r="G125" s="99"/>
      <x:c r="H125" s="99"/>
      <x:c r="I125" s="99"/>
      <x:c r="J125" s="99"/>
      <x:c r="K125" s="99"/>
      <x:c r="L125" s="99"/>
      <x:c r="M125" s="99"/>
    </x:row>
    <x:row r="126">
      <x:c r="C126" s="19" t="n">
        <x:v>43831</x:v>
      </x:c>
      <x:c r="D126" s="19" t="n">
        <x:v>43831</x:v>
      </x:c>
      <x:c r="E126" s="43" t="str">
        <x:v>Utilities</x:v>
      </x:c>
      <x:c r="F126" s="52" t="n">
        <x:v>-6.5258966325499115</x:v>
      </x:c>
      <x:c r="G126" s="99"/>
      <x:c r="H126" s="99"/>
      <x:c r="I126" s="99"/>
      <x:c r="J126" s="99"/>
      <x:c r="K126" s="99"/>
      <x:c r="L126" s="99"/>
      <x:c r="M126" s="99"/>
    </x:row>
    <x:row r="127">
      <x:c r="C127" s="19" t="n">
        <x:v>43831</x:v>
      </x:c>
      <x:c r="D127" s="19" t="n">
        <x:v>43862</x:v>
      </x:c>
      <x:c r="E127" s="43" t="str">
        <x:v>IBOV</x:v>
      </x:c>
      <x:c r="F127" s="52" t="n">
        <x:v>-7.917957098831925</x:v>
      </x:c>
      <x:c r="G127" s="99"/>
      <x:c r="H127" s="99"/>
      <x:c r="I127" s="99"/>
      <x:c r="J127" s="99"/>
      <x:c r="K127" s="99"/>
      <x:c r="L127" s="99"/>
      <x:c r="M127" s="99"/>
    </x:row>
    <x:row r="128">
      <x:c r="C128" s="19" t="n">
        <x:v>43831</x:v>
      </x:c>
      <x:c r="D128" s="19" t="n">
        <x:v>43862</x:v>
      </x:c>
      <x:c r="E128" s="43" t="str">
        <x:v>Communication Services</x:v>
      </x:c>
      <x:c r="F128" s="52" t="n">
        <x:v>-4.795018528064966</x:v>
      </x:c>
      <x:c r="G128" s="99"/>
      <x:c r="H128" s="99"/>
      <x:c r="I128" s="99"/>
      <x:c r="J128" s="99"/>
      <x:c r="K128" s="99"/>
      <x:c r="L128" s="99"/>
      <x:c r="M128" s="99"/>
    </x:row>
    <x:row r="129">
      <x:c r="C129" s="19" t="n">
        <x:v>43831</x:v>
      </x:c>
      <x:c r="D129" s="19" t="n">
        <x:v>43862</x:v>
      </x:c>
      <x:c r="E129" s="43" t="str">
        <x:v>Consumer Discretionary</x:v>
      </x:c>
      <x:c r="F129" s="52" t="n">
        <x:v>-3.4517964316694205</x:v>
      </x:c>
      <x:c r="G129" s="99"/>
      <x:c r="H129" s="99"/>
      <x:c r="I129" s="99"/>
      <x:c r="J129" s="99"/>
      <x:c r="K129" s="99"/>
      <x:c r="L129" s="99"/>
      <x:c r="M129" s="99"/>
    </x:row>
    <x:row r="130">
      <x:c r="C130" s="19" t="n">
        <x:v>43831</x:v>
      </x:c>
      <x:c r="D130" s="19" t="n">
        <x:v>43862</x:v>
      </x:c>
      <x:c r="E130" s="43" t="str">
        <x:v>Consumer Staples</x:v>
      </x:c>
      <x:c r="F130" s="52" t="n">
        <x:v>-19.967960619614825</x:v>
      </x:c>
      <x:c r="G130" s="99"/>
      <x:c r="H130" s="99"/>
      <x:c r="I130" s="99"/>
      <x:c r="J130" s="99"/>
      <x:c r="K130" s="99"/>
      <x:c r="L130" s="99"/>
      <x:c r="M130" s="99"/>
    </x:row>
    <x:row r="131">
      <x:c r="C131" s="19" t="n">
        <x:v>43831</x:v>
      </x:c>
      <x:c r="D131" s="19" t="n">
        <x:v>43862</x:v>
      </x:c>
      <x:c r="E131" s="43" t="str">
        <x:v>Energy</x:v>
      </x:c>
      <x:c r="F131" s="52" t="n">
        <x:v>1.7100823229461837</x:v>
      </x:c>
      <x:c r="G131" s="99"/>
      <x:c r="H131" s="99"/>
      <x:c r="I131" s="99"/>
      <x:c r="J131" s="99"/>
      <x:c r="K131" s="99"/>
      <x:c r="L131" s="99"/>
      <x:c r="M131" s="99"/>
    </x:row>
    <x:row r="132">
      <x:c r="C132" s="19" t="n">
        <x:v>43831</x:v>
      </x:c>
      <x:c r="D132" s="19" t="n">
        <x:v>43862</x:v>
      </x:c>
      <x:c r="E132" s="43" t="str">
        <x:v>Financials</x:v>
      </x:c>
      <x:c r="F132" s="52" t="n">
        <x:v>-3.1219056636640437</x:v>
      </x:c>
      <x:c r="G132" s="99"/>
      <x:c r="H132" s="99"/>
      <x:c r="I132" s="99"/>
      <x:c r="J132" s="99"/>
      <x:c r="K132" s="99"/>
      <x:c r="L132" s="99"/>
      <x:c r="M132" s="99"/>
    </x:row>
    <x:row r="133">
      <x:c r="C133" s="19" t="n">
        <x:v>43831</x:v>
      </x:c>
      <x:c r="D133" s="19" t="n">
        <x:v>43862</x:v>
      </x:c>
      <x:c r="E133" s="43" t="str">
        <x:v>Health Care</x:v>
      </x:c>
      <x:c r="F133" s="52" t="n">
        <x:v>10.241845491587297</x:v>
      </x:c>
      <x:c r="G133" s="99"/>
      <x:c r="H133" s="99"/>
      <x:c r="I133" s="99"/>
      <x:c r="J133" s="99"/>
      <x:c r="K133" s="99"/>
      <x:c r="L133" s="99"/>
      <x:c r="M133" s="99"/>
    </x:row>
    <x:row r="134">
      <x:c r="C134" s="19" t="n">
        <x:v>43831</x:v>
      </x:c>
      <x:c r="D134" s="19" t="n">
        <x:v>43862</x:v>
      </x:c>
      <x:c r="E134" s="43" t="str">
        <x:v>Industrials</x:v>
      </x:c>
      <x:c r="F134" s="52" t="n">
        <x:v>7.609570918648205</x:v>
      </x:c>
      <x:c r="G134" s="99"/>
      <x:c r="H134" s="99"/>
      <x:c r="I134" s="99"/>
      <x:c r="J134" s="99"/>
      <x:c r="K134" s="99"/>
      <x:c r="L134" s="99"/>
      <x:c r="M134" s="99"/>
    </x:row>
    <x:row r="135">
      <x:c r="C135" s="19" t="n">
        <x:v>43831</x:v>
      </x:c>
      <x:c r="D135" s="19" t="n">
        <x:v>43862</x:v>
      </x:c>
      <x:c r="E135" s="43" t="str">
        <x:v>Information Technology</x:v>
      </x:c>
      <x:c r="F135" s="52"/>
      <x:c r="G135" s="99"/>
      <x:c r="H135" s="99"/>
      <x:c r="I135" s="99"/>
      <x:c r="J135" s="99"/>
      <x:c r="K135" s="99"/>
      <x:c r="L135" s="99"/>
      <x:c r="M135" s="99"/>
    </x:row>
    <x:row r="136">
      <x:c r="C136" s="19" t="n">
        <x:v>43831</x:v>
      </x:c>
      <x:c r="D136" s="19" t="n">
        <x:v>43862</x:v>
      </x:c>
      <x:c r="E136" s="43" t="str">
        <x:v>Materials</x:v>
      </x:c>
      <x:c r="F136" s="52" t="n">
        <x:v>3.07095725560435</x:v>
      </x:c>
      <x:c r="G136" s="99"/>
      <x:c r="H136" s="99"/>
      <x:c r="I136" s="99"/>
      <x:c r="J136" s="99"/>
      <x:c r="K136" s="99"/>
      <x:c r="L136" s="99"/>
      <x:c r="M136" s="99"/>
    </x:row>
    <x:row r="137">
      <x:c r="C137" s="19" t="n">
        <x:v>43831</x:v>
      </x:c>
      <x:c r="D137" s="19" t="n">
        <x:v>43862</x:v>
      </x:c>
      <x:c r="E137" s="43" t="str">
        <x:v>Real Estate</x:v>
      </x:c>
      <x:c r="F137" s="52" t="n">
        <x:v>6.684177528152543</x:v>
      </x:c>
      <x:c r="G137" s="99"/>
      <x:c r="H137" s="99"/>
      <x:c r="I137" s="99"/>
      <x:c r="J137" s="99"/>
      <x:c r="K137" s="99"/>
      <x:c r="L137" s="99"/>
      <x:c r="M137" s="99"/>
    </x:row>
    <x:row r="138">
      <x:c r="C138" s="19" t="n">
        <x:v>43831</x:v>
      </x:c>
      <x:c r="D138" s="19" t="n">
        <x:v>43862</x:v>
      </x:c>
      <x:c r="E138" s="43" t="str">
        <x:v>Utilities</x:v>
      </x:c>
      <x:c r="F138" s="52" t="n">
        <x:v>6.326488819771203</x:v>
      </x:c>
      <x:c r="G138" s="99"/>
      <x:c r="H138" s="99"/>
      <x:c r="I138" s="99"/>
      <x:c r="J138" s="99"/>
      <x:c r="K138" s="99"/>
      <x:c r="L138" s="99"/>
      <x:c r="M138" s="99"/>
    </x:row>
    <x:row r="139">
      <x:c r="C139" s="19" t="n">
        <x:v>43831</x:v>
      </x:c>
      <x:c r="D139" s="19" t="n">
        <x:v>43891</x:v>
      </x:c>
      <x:c r="E139" s="43" t="str">
        <x:v>IBOV</x:v>
      </x:c>
      <x:c r="F139" s="52" t="n">
        <x:v>-22.556033504741972</x:v>
      </x:c>
      <x:c r="G139" s="99"/>
      <x:c r="H139" s="99"/>
      <x:c r="I139" s="99"/>
      <x:c r="J139" s="99"/>
      <x:c r="K139" s="99"/>
      <x:c r="L139" s="99"/>
      <x:c r="M139" s="99"/>
    </x:row>
    <x:row r="140">
      <x:c r="C140" s="19" t="n">
        <x:v>43831</x:v>
      </x:c>
      <x:c r="D140" s="19" t="n">
        <x:v>43891</x:v>
      </x:c>
      <x:c r="E140" s="43" t="str">
        <x:v>Communication Services</x:v>
      </x:c>
      <x:c r="F140" s="52" t="n">
        <x:v>1.3720934397745461</x:v>
      </x:c>
      <x:c r="G140" s="99"/>
      <x:c r="H140" s="99"/>
      <x:c r="I140" s="99"/>
      <x:c r="J140" s="99"/>
      <x:c r="K140" s="99"/>
      <x:c r="L140" s="99"/>
      <x:c r="M140" s="99"/>
    </x:row>
    <x:row r="141">
      <x:c r="C141" s="19" t="n">
        <x:v>43831</x:v>
      </x:c>
      <x:c r="D141" s="19" t="n">
        <x:v>43891</x:v>
      </x:c>
      <x:c r="E141" s="43" t="str">
        <x:v>Consumer Discretionary</x:v>
      </x:c>
      <x:c r="F141" s="52" t="n">
        <x:v>-19.702493165993385</x:v>
      </x:c>
      <x:c r="G141" s="99"/>
      <x:c r="H141" s="99"/>
      <x:c r="I141" s="99"/>
      <x:c r="J141" s="99"/>
      <x:c r="K141" s="99"/>
      <x:c r="L141" s="99"/>
      <x:c r="M141" s="99"/>
    </x:row>
    <x:row r="142">
      <x:c r="C142" s="19" t="n">
        <x:v>43831</x:v>
      </x:c>
      <x:c r="D142" s="19" t="n">
        <x:v>43891</x:v>
      </x:c>
      <x:c r="E142" s="43" t="str">
        <x:v>Consumer Staples</x:v>
      </x:c>
      <x:c r="F142" s="52" t="n">
        <x:v>-25.551266373741484</x:v>
      </x:c>
      <x:c r="G142" s="99"/>
      <x:c r="H142" s="99"/>
      <x:c r="I142" s="99"/>
      <x:c r="J142" s="99"/>
      <x:c r="K142" s="99"/>
      <x:c r="L142" s="99"/>
      <x:c r="M142" s="99"/>
    </x:row>
    <x:row r="143">
      <x:c r="C143" s="19" t="n">
        <x:v>43831</x:v>
      </x:c>
      <x:c r="D143" s="19" t="n">
        <x:v>43891</x:v>
      </x:c>
      <x:c r="E143" s="43" t="str">
        <x:v>Energy</x:v>
      </x:c>
      <x:c r="F143" s="52" t="n">
        <x:v>-96.00206183517982</x:v>
      </x:c>
      <x:c r="G143" s="99"/>
      <x:c r="H143" s="99"/>
      <x:c r="I143" s="99"/>
      <x:c r="J143" s="99"/>
      <x:c r="K143" s="99"/>
      <x:c r="L143" s="99"/>
      <x:c r="M143" s="99"/>
    </x:row>
    <x:row r="144">
      <x:c r="C144" s="19" t="n">
        <x:v>43831</x:v>
      </x:c>
      <x:c r="D144" s="19" t="n">
        <x:v>43891</x:v>
      </x:c>
      <x:c r="E144" s="43" t="str">
        <x:v>Financials</x:v>
      </x:c>
      <x:c r="F144" s="52" t="n">
        <x:v>-6.797824969340943</x:v>
      </x:c>
      <x:c r="G144" s="99"/>
      <x:c r="H144" s="99"/>
      <x:c r="I144" s="99"/>
      <x:c r="J144" s="99"/>
      <x:c r="K144" s="99"/>
      <x:c r="L144" s="99"/>
      <x:c r="M144" s="99"/>
    </x:row>
    <x:row r="145">
      <x:c r="C145" s="19" t="n">
        <x:v>43831</x:v>
      </x:c>
      <x:c r="D145" s="19" t="n">
        <x:v>43891</x:v>
      </x:c>
      <x:c r="E145" s="43" t="str">
        <x:v>Health Care</x:v>
      </x:c>
      <x:c r="F145" s="52" t="n">
        <x:v>11.344103686527351</x:v>
      </x:c>
      <x:c r="G145" s="99"/>
      <x:c r="H145" s="99"/>
      <x:c r="I145" s="99"/>
      <x:c r="J145" s="99"/>
      <x:c r="K145" s="99"/>
      <x:c r="L145" s="99"/>
      <x:c r="M145" s="99"/>
    </x:row>
    <x:row r="146">
      <x:c r="C146" s="19" t="n">
        <x:v>43831</x:v>
      </x:c>
      <x:c r="D146" s="19" t="n">
        <x:v>43891</x:v>
      </x:c>
      <x:c r="E146" s="43" t="str">
        <x:v>Industrials</x:v>
      </x:c>
      <x:c r="F146" s="52" t="n">
        <x:v>0.2224466095199845</x:v>
      </x:c>
      <x:c r="G146" s="99"/>
      <x:c r="H146" s="99"/>
      <x:c r="I146" s="99"/>
      <x:c r="J146" s="99"/>
      <x:c r="K146" s="99"/>
      <x:c r="L146" s="99"/>
      <x:c r="M146" s="99"/>
    </x:row>
    <x:row r="147">
      <x:c r="C147" s="19" t="n">
        <x:v>43831</x:v>
      </x:c>
      <x:c r="D147" s="19" t="n">
        <x:v>43891</x:v>
      </x:c>
      <x:c r="E147" s="43" t="str">
        <x:v>Information Technology</x:v>
      </x:c>
      <x:c r="F147" s="52"/>
      <x:c r="G147" s="99"/>
      <x:c r="H147" s="99"/>
      <x:c r="I147" s="99"/>
      <x:c r="J147" s="99"/>
      <x:c r="K147" s="99"/>
      <x:c r="L147" s="99"/>
      <x:c r="M147" s="99"/>
    </x:row>
    <x:row r="148">
      <x:c r="C148" s="19" t="n">
        <x:v>43831</x:v>
      </x:c>
      <x:c r="D148" s="19" t="n">
        <x:v>43891</x:v>
      </x:c>
      <x:c r="E148" s="43" t="str">
        <x:v>Materials</x:v>
      </x:c>
      <x:c r="F148" s="52" t="n">
        <x:v>6.166908710359349</x:v>
      </x:c>
      <x:c r="G148" s="99"/>
      <x:c r="H148" s="99"/>
      <x:c r="I148" s="99"/>
      <x:c r="J148" s="99"/>
      <x:c r="K148" s="99"/>
      <x:c r="L148" s="99"/>
      <x:c r="M148" s="99"/>
    </x:row>
    <x:row r="149">
      <x:c r="C149" s="19" t="n">
        <x:v>43831</x:v>
      </x:c>
      <x:c r="D149" s="19" t="n">
        <x:v>43891</x:v>
      </x:c>
      <x:c r="E149" s="43" t="str">
        <x:v>Real Estate</x:v>
      </x:c>
      <x:c r="F149" s="52" t="n">
        <x:v>-26.01888602957577</x:v>
      </x:c>
      <x:c r="G149" s="99"/>
      <x:c r="H149" s="99"/>
      <x:c r="I149" s="99"/>
      <x:c r="J149" s="99"/>
      <x:c r="K149" s="99"/>
      <x:c r="L149" s="99"/>
      <x:c r="M149" s="99"/>
    </x:row>
    <x:row r="150">
      <x:c r="C150" s="19" t="n">
        <x:v>43831</x:v>
      </x:c>
      <x:c r="D150" s="19" t="n">
        <x:v>43891</x:v>
      </x:c>
      <x:c r="E150" s="43" t="str">
        <x:v>Utilities</x:v>
      </x:c>
      <x:c r="F150" s="52" t="n">
        <x:v>8.314362320727152</x:v>
      </x:c>
      <x:c r="G150" s="99"/>
      <x:c r="H150" s="99"/>
      <x:c r="I150" s="99"/>
      <x:c r="J150" s="99"/>
      <x:c r="K150" s="99"/>
      <x:c r="L150" s="99"/>
      <x:c r="M150" s="99"/>
    </x:row>
    <x:row r="151">
      <x:c r="C151" s="19" t="n">
        <x:v>44927</x:v>
      </x:c>
      <x:c r="D151" s="19" t="n">
        <x:v>44927</x:v>
      </x:c>
      <x:c r="E151" s="43" t="str">
        <x:v>IBOV</x:v>
      </x:c>
      <x:c r="F151" s="52" t="n">
        <x:v>-8.584029188979267</x:v>
      </x:c>
      <x:c r="G151" s="99"/>
      <x:c r="H151" s="99"/>
      <x:c r="I151" s="99"/>
      <x:c r="J151" s="99"/>
      <x:c r="K151" s="99"/>
      <x:c r="L151" s="99"/>
      <x:c r="M151" s="99"/>
    </x:row>
    <x:row r="152">
      <x:c r="C152" s="19" t="n">
        <x:v>44927</x:v>
      </x:c>
      <x:c r="D152" s="19" t="n">
        <x:v>44927</x:v>
      </x:c>
      <x:c r="E152" s="43" t="str">
        <x:v>Communication Services</x:v>
      </x:c>
      <x:c r="F152" s="52" t="n">
        <x:v>2.014605295551222</x:v>
      </x:c>
      <x:c r="G152" s="99"/>
      <x:c r="H152" s="99"/>
      <x:c r="I152" s="99"/>
      <x:c r="J152" s="99"/>
      <x:c r="K152" s="99"/>
      <x:c r="L152" s="99"/>
      <x:c r="M152" s="99"/>
    </x:row>
    <x:row r="153">
      <x:c r="C153" s="19" t="n">
        <x:v>44927</x:v>
      </x:c>
      <x:c r="D153" s="19" t="n">
        <x:v>44927</x:v>
      </x:c>
      <x:c r="E153" s="43" t="str">
        <x:v>Consumer Discretionary</x:v>
      </x:c>
      <x:c r="F153" s="52" t="n">
        <x:v>-18.722290766249174</x:v>
      </x:c>
      <x:c r="G153" s="99"/>
      <x:c r="H153" s="99"/>
      <x:c r="I153" s="99"/>
      <x:c r="J153" s="99"/>
      <x:c r="K153" s="99"/>
      <x:c r="L153" s="99"/>
      <x:c r="M153" s="99"/>
    </x:row>
    <x:row r="154">
      <x:c r="C154" s="19" t="n">
        <x:v>44927</x:v>
      </x:c>
      <x:c r="D154" s="19" t="n">
        <x:v>44927</x:v>
      </x:c>
      <x:c r="E154" s="43" t="str">
        <x:v>Consumer Staples</x:v>
      </x:c>
      <x:c r="F154" s="52" t="n">
        <x:v>-16.87532179388406</x:v>
      </x:c>
      <x:c r="G154" s="99"/>
      <x:c r="H154" s="99"/>
      <x:c r="I154" s="99"/>
      <x:c r="J154" s="99"/>
      <x:c r="K154" s="99"/>
      <x:c r="L154" s="99"/>
      <x:c r="M154" s="99"/>
    </x:row>
    <x:row r="155">
      <x:c r="C155" s="19" t="n">
        <x:v>44927</x:v>
      </x:c>
      <x:c r="D155" s="19" t="n">
        <x:v>44927</x:v>
      </x:c>
      <x:c r="E155" s="43" t="str">
        <x:v>Energy</x:v>
      </x:c>
      <x:c r="F155" s="52" t="n">
        <x:v>-35.9306332255662</x:v>
      </x:c>
      <x:c r="G155" s="99"/>
      <x:c r="H155" s="99"/>
      <x:c r="I155" s="99"/>
      <x:c r="J155" s="99"/>
      <x:c r="K155" s="99"/>
      <x:c r="L155" s="99"/>
      <x:c r="M155" s="99"/>
    </x:row>
    <x:row r="156">
      <x:c r="C156" s="19" t="n">
        <x:v>44927</x:v>
      </x:c>
      <x:c r="D156" s="19" t="n">
        <x:v>44927</x:v>
      </x:c>
      <x:c r="E156" s="43" t="str">
        <x:v>Financials</x:v>
      </x:c>
      <x:c r="F156" s="52" t="n">
        <x:v>-0.7475341148486595</x:v>
      </x:c>
      <x:c r="G156" s="99"/>
      <x:c r="H156" s="99"/>
      <x:c r="I156" s="99"/>
      <x:c r="J156" s="99"/>
      <x:c r="K156" s="99"/>
      <x:c r="L156" s="99"/>
      <x:c r="M156" s="99"/>
    </x:row>
    <x:row r="157">
      <x:c r="C157" s="19" t="n">
        <x:v>44927</x:v>
      </x:c>
      <x:c r="D157" s="19" t="n">
        <x:v>44927</x:v>
      </x:c>
      <x:c r="E157" s="43" t="str">
        <x:v>Health Care</x:v>
      </x:c>
      <x:c r="F157" s="52" t="n">
        <x:v>-2.379421826759919</x:v>
      </x:c>
      <x:c r="G157" s="99"/>
      <x:c r="H157" s="99"/>
      <x:c r="I157" s="99"/>
      <x:c r="J157" s="99"/>
      <x:c r="K157" s="99"/>
      <x:c r="L157" s="99"/>
      <x:c r="M157" s="99"/>
    </x:row>
    <x:row r="158">
      <x:c r="C158" s="19" t="n">
        <x:v>44927</x:v>
      </x:c>
      <x:c r="D158" s="19" t="n">
        <x:v>44927</x:v>
      </x:c>
      <x:c r="E158" s="43" t="str">
        <x:v>Industrials</x:v>
      </x:c>
      <x:c r="F158" s="52" t="n">
        <x:v>6.471818504950605</x:v>
      </x:c>
      <x:c r="G158" s="99"/>
      <x:c r="H158" s="99"/>
      <x:c r="I158" s="99"/>
      <x:c r="J158" s="99"/>
      <x:c r="K158" s="99"/>
      <x:c r="L158" s="99"/>
      <x:c r="M158" s="99"/>
    </x:row>
    <x:row r="159">
      <x:c r="C159" s="19" t="n">
        <x:v>44927</x:v>
      </x:c>
      <x:c r="D159" s="19" t="n">
        <x:v>44927</x:v>
      </x:c>
      <x:c r="E159" s="43" t="str">
        <x:v>Information Technology</x:v>
      </x:c>
      <x:c r="F159" s="52" t="n">
        <x:v>15.849816361478467</x:v>
      </x:c>
      <x:c r="G159" s="99"/>
      <x:c r="H159" s="99"/>
      <x:c r="I159" s="99"/>
      <x:c r="J159" s="99"/>
      <x:c r="K159" s="99"/>
      <x:c r="L159" s="99"/>
      <x:c r="M159" s="99"/>
    </x:row>
    <x:row r="160">
      <x:c r="C160" s="19" t="n">
        <x:v>44927</x:v>
      </x:c>
      <x:c r="D160" s="19" t="n">
        <x:v>44927</x:v>
      </x:c>
      <x:c r="E160" s="43" t="str">
        <x:v>Materials</x:v>
      </x:c>
      <x:c r="F160" s="52" t="n">
        <x:v>-1.1938446009330168</x:v>
      </x:c>
      <x:c r="G160" s="99"/>
      <x:c r="H160" s="99"/>
      <x:c r="I160" s="99"/>
      <x:c r="J160" s="99"/>
      <x:c r="K160" s="99"/>
      <x:c r="L160" s="99"/>
      <x:c r="M160" s="99"/>
    </x:row>
    <x:row r="161">
      <x:c r="C161" s="19" t="n">
        <x:v>44927</x:v>
      </x:c>
      <x:c r="D161" s="19" t="n">
        <x:v>44927</x:v>
      </x:c>
      <x:c r="E161" s="43" t="str">
        <x:v>Real Estate</x:v>
      </x:c>
      <x:c r="F161" s="52" t="n">
        <x:v>8.077948262525592</x:v>
      </x:c>
      <x:c r="G161" s="99"/>
      <x:c r="H161" s="99"/>
      <x:c r="I161" s="99"/>
      <x:c r="J161" s="99"/>
      <x:c r="K161" s="99"/>
      <x:c r="L161" s="99"/>
      <x:c r="M161" s="99"/>
    </x:row>
    <x:row r="162">
      <x:c r="C162" s="19" t="n">
        <x:v>44927</x:v>
      </x:c>
      <x:c r="D162" s="19" t="n">
        <x:v>44927</x:v>
      </x:c>
      <x:c r="E162" s="43" t="str">
        <x:v>Utilities</x:v>
      </x:c>
      <x:c r="F162" s="52" t="n">
        <x:v>-0.011327838791759156</x:v>
      </x:c>
      <x:c r="G162" s="99"/>
      <x:c r="H162" s="99"/>
      <x:c r="I162" s="99"/>
      <x:c r="J162" s="99"/>
      <x:c r="K162" s="99"/>
      <x:c r="L162" s="99"/>
      <x:c r="M162" s="99"/>
    </x:row>
    <x:row r="163">
      <x:c r="C163" s="19" t="n">
        <x:v>44927</x:v>
      </x:c>
      <x:c r="D163" s="19" t="n">
        <x:v>44958</x:v>
      </x:c>
      <x:c r="E163" s="43" t="str">
        <x:v>IBOV</x:v>
      </x:c>
      <x:c r="F163" s="52" t="n">
        <x:v>-3.397083449313322</x:v>
      </x:c>
      <x:c r="G163" s="99"/>
      <x:c r="H163" s="99"/>
      <x:c r="I163" s="99"/>
      <x:c r="J163" s="99"/>
      <x:c r="K163" s="99"/>
      <x:c r="L163" s="99"/>
      <x:c r="M163" s="99"/>
    </x:row>
    <x:row r="164">
      <x:c r="C164" s="19" t="n">
        <x:v>44927</x:v>
      </x:c>
      <x:c r="D164" s="19" t="n">
        <x:v>44958</x:v>
      </x:c>
      <x:c r="E164" s="43" t="str">
        <x:v>Communication Services</x:v>
      </x:c>
      <x:c r="F164" s="52" t="n">
        <x:v>0.1517554349025482</x:v>
      </x:c>
      <x:c r="G164" s="99"/>
      <x:c r="H164" s="99"/>
      <x:c r="I164" s="99"/>
      <x:c r="J164" s="99"/>
      <x:c r="K164" s="99"/>
      <x:c r="L164" s="99"/>
      <x:c r="M164" s="99"/>
    </x:row>
    <x:row r="165">
      <x:c r="C165" s="19" t="n">
        <x:v>44927</x:v>
      </x:c>
      <x:c r="D165" s="19" t="n">
        <x:v>44958</x:v>
      </x:c>
      <x:c r="E165" s="43" t="str">
        <x:v>Consumer Discretionary</x:v>
      </x:c>
      <x:c r="F165" s="52" t="n">
        <x:v>-30.18545985422525</x:v>
      </x:c>
      <x:c r="G165" s="99"/>
      <x:c r="H165" s="99"/>
      <x:c r="I165" s="99"/>
      <x:c r="J165" s="99"/>
      <x:c r="K165" s="99"/>
      <x:c r="L165" s="99"/>
      <x:c r="M165" s="99"/>
    </x:row>
    <x:row r="166">
      <x:c r="C166" s="19" t="n">
        <x:v>44927</x:v>
      </x:c>
      <x:c r="D166" s="19" t="n">
        <x:v>44958</x:v>
      </x:c>
      <x:c r="E166" s="43" t="str">
        <x:v>Consumer Staples</x:v>
      </x:c>
      <x:c r="F166" s="52" t="n">
        <x:v>-16.053384595331377</x:v>
      </x:c>
      <x:c r="G166" s="99"/>
      <x:c r="H166" s="99"/>
      <x:c r="I166" s="99"/>
      <x:c r="J166" s="99"/>
      <x:c r="K166" s="99"/>
      <x:c r="L166" s="99"/>
      <x:c r="M166" s="99"/>
    </x:row>
    <x:row r="167">
      <x:c r="C167" s="19" t="n">
        <x:v>44927</x:v>
      </x:c>
      <x:c r="D167" s="19" t="n">
        <x:v>44958</x:v>
      </x:c>
      <x:c r="E167" s="43" t="str">
        <x:v>Energy</x:v>
      </x:c>
      <x:c r="F167" s="52" t="n">
        <x:v>-12.878084823821917</x:v>
      </x:c>
      <x:c r="G167" s="99"/>
      <x:c r="H167" s="99"/>
      <x:c r="I167" s="99"/>
      <x:c r="J167" s="99"/>
      <x:c r="K167" s="99"/>
      <x:c r="L167" s="99"/>
      <x:c r="M167" s="99"/>
    </x:row>
    <x:row r="168">
      <x:c r="C168" s="19" t="n">
        <x:v>44927</x:v>
      </x:c>
      <x:c r="D168" s="19" t="n">
        <x:v>44958</x:v>
      </x:c>
      <x:c r="E168" s="43" t="str">
        <x:v>Financials</x:v>
      </x:c>
      <x:c r="F168" s="52" t="n">
        <x:v>3.7793293290822754</x:v>
      </x:c>
      <x:c r="G168" s="99"/>
      <x:c r="H168" s="99"/>
      <x:c r="I168" s="99"/>
      <x:c r="J168" s="99"/>
      <x:c r="K168" s="99"/>
      <x:c r="L168" s="99"/>
      <x:c r="M168" s="99"/>
    </x:row>
    <x:row r="169">
      <x:c r="C169" s="19" t="n">
        <x:v>44927</x:v>
      </x:c>
      <x:c r="D169" s="19" t="n">
        <x:v>44958</x:v>
      </x:c>
      <x:c r="E169" s="43" t="str">
        <x:v>Health Care</x:v>
      </x:c>
      <x:c r="F169" s="52" t="n">
        <x:v>-7.326370389542084</x:v>
      </x:c>
      <x:c r="G169" s="99"/>
      <x:c r="H169" s="99"/>
      <x:c r="I169" s="99"/>
      <x:c r="J169" s="99"/>
      <x:c r="K169" s="99"/>
      <x:c r="L169" s="99"/>
      <x:c r="M169" s="99"/>
    </x:row>
    <x:row r="170">
      <x:c r="C170" s="19" t="n">
        <x:v>44927</x:v>
      </x:c>
      <x:c r="D170" s="19" t="n">
        <x:v>44958</x:v>
      </x:c>
      <x:c r="E170" s="43" t="str">
        <x:v>Industrials</x:v>
      </x:c>
      <x:c r="F170" s="52" t="n">
        <x:v>4.414634613538676</x:v>
      </x:c>
      <x:c r="G170" s="99"/>
      <x:c r="H170" s="99"/>
      <x:c r="I170" s="99"/>
      <x:c r="J170" s="99"/>
      <x:c r="K170" s="99"/>
      <x:c r="L170" s="99"/>
      <x:c r="M170" s="99"/>
    </x:row>
    <x:row r="171">
      <x:c r="C171" s="19" t="n">
        <x:v>44927</x:v>
      </x:c>
      <x:c r="D171" s="19" t="n">
        <x:v>44958</x:v>
      </x:c>
      <x:c r="E171" s="43" t="str">
        <x:v>Information Technology</x:v>
      </x:c>
      <x:c r="F171" s="52" t="n">
        <x:v>13.4775458820543</x:v>
      </x:c>
      <x:c r="G171" s="99"/>
      <x:c r="H171" s="99"/>
      <x:c r="I171" s="99"/>
      <x:c r="J171" s="99"/>
      <x:c r="K171" s="99"/>
      <x:c r="L171" s="99"/>
      <x:c r="M171" s="99"/>
    </x:row>
    <x:row r="172">
      <x:c r="C172" s="19" t="n">
        <x:v>44927</x:v>
      </x:c>
      <x:c r="D172" s="19" t="n">
        <x:v>44958</x:v>
      </x:c>
      <x:c r="E172" s="43" t="str">
        <x:v>Materials</x:v>
      </x:c>
      <x:c r="F172" s="52" t="n">
        <x:v>-5.28534368730962</x:v>
      </x:c>
      <x:c r="G172" s="99"/>
      <x:c r="H172" s="99"/>
      <x:c r="I172" s="99"/>
      <x:c r="J172" s="99"/>
      <x:c r="K172" s="99"/>
      <x:c r="L172" s="99"/>
      <x:c r="M172" s="99"/>
    </x:row>
    <x:row r="173">
      <x:c r="C173" s="19" t="n">
        <x:v>44927</x:v>
      </x:c>
      <x:c r="D173" s="19" t="n">
        <x:v>44958</x:v>
      </x:c>
      <x:c r="E173" s="43" t="str">
        <x:v>Real Estate</x:v>
      </x:c>
      <x:c r="F173" s="52" t="n">
        <x:v>11.347180607123981</x:v>
      </x:c>
      <x:c r="G173" s="99"/>
      <x:c r="H173" s="99"/>
      <x:c r="I173" s="99"/>
      <x:c r="J173" s="99"/>
      <x:c r="K173" s="99"/>
      <x:c r="L173" s="99"/>
      <x:c r="M173" s="99"/>
    </x:row>
    <x:row r="174">
      <x:c r="C174" s="19" t="n">
        <x:v>44927</x:v>
      </x:c>
      <x:c r="D174" s="19" t="n">
        <x:v>44958</x:v>
      </x:c>
      <x:c r="E174" s="43" t="str">
        <x:v>Utilities</x:v>
      </x:c>
      <x:c r="F174" s="52" t="n">
        <x:v>-4.055469029313335</x:v>
      </x:c>
      <x:c r="G174" s="99"/>
      <x:c r="H174" s="99"/>
      <x:c r="I174" s="99"/>
      <x:c r="J174" s="99"/>
      <x:c r="K174" s="99"/>
      <x:c r="L174" s="99"/>
      <x:c r="M174" s="99"/>
    </x:row>
    <x:row r="175">
      <x:c r="C175" s="19" t="n">
        <x:v>44927</x:v>
      </x:c>
      <x:c r="D175" s="19" t="n">
        <x:v>44986</x:v>
      </x:c>
      <x:c r="E175" s="43" t="str">
        <x:v>IBOV</x:v>
      </x:c>
      <x:c r="F175" s="52" t="n">
        <x:v>1.0059765847028914</x:v>
      </x:c>
      <x:c r="G175" s="99"/>
      <x:c r="H175" s="99"/>
      <x:c r="I175" s="99"/>
      <x:c r="J175" s="99"/>
      <x:c r="K175" s="99"/>
      <x:c r="L175" s="99"/>
      <x:c r="M175" s="99"/>
    </x:row>
    <x:row r="176">
      <x:c r="C176" s="19" t="n">
        <x:v>44927</x:v>
      </x:c>
      <x:c r="D176" s="19" t="n">
        <x:v>44986</x:v>
      </x:c>
      <x:c r="E176" s="43" t="str">
        <x:v>Communication Services</x:v>
      </x:c>
      <x:c r="F176" s="52" t="n">
        <x:v>-0.6791539872506406</x:v>
      </x:c>
      <x:c r="G176" s="99"/>
      <x:c r="H176" s="99"/>
      <x:c r="I176" s="99"/>
      <x:c r="J176" s="99"/>
      <x:c r="K176" s="99"/>
      <x:c r="L176" s="99"/>
      <x:c r="M176" s="99"/>
    </x:row>
    <x:row r="177">
      <x:c r="C177" s="19" t="n">
        <x:v>44927</x:v>
      </x:c>
      <x:c r="D177" s="19" t="n">
        <x:v>44986</x:v>
      </x:c>
      <x:c r="E177" s="43" t="str">
        <x:v>Consumer Discretionary</x:v>
      </x:c>
      <x:c r="F177" s="52" t="n">
        <x:v>2.287710699800747</x:v>
      </x:c>
      <x:c r="G177" s="99"/>
      <x:c r="H177" s="99"/>
      <x:c r="I177" s="99"/>
      <x:c r="J177" s="99"/>
      <x:c r="K177" s="99"/>
      <x:c r="L177" s="99"/>
      <x:c r="M177" s="99"/>
    </x:row>
    <x:row r="178">
      <x:c r="C178" s="19" t="n">
        <x:v>44927</x:v>
      </x:c>
      <x:c r="D178" s="19" t="n">
        <x:v>44986</x:v>
      </x:c>
      <x:c r="E178" s="43" t="str">
        <x:v>Consumer Staples</x:v>
      </x:c>
      <x:c r="F178" s="52" t="n">
        <x:v>-5.5718836208512466</x:v>
      </x:c>
      <x:c r="G178" s="99"/>
      <x:c r="H178" s="99"/>
      <x:c r="I178" s="99"/>
      <x:c r="J178" s="99"/>
      <x:c r="K178" s="99"/>
      <x:c r="L178" s="99"/>
      <x:c r="M178" s="99"/>
    </x:row>
    <x:row r="179">
      <x:c r="C179" s="19" t="n">
        <x:v>44927</x:v>
      </x:c>
      <x:c r="D179" s="19" t="n">
        <x:v>44986</x:v>
      </x:c>
      <x:c r="E179" s="43" t="str">
        <x:v>Energy</x:v>
      </x:c>
      <x:c r="F179" s="52" t="n">
        <x:v>-2.6873866521752077</x:v>
      </x:c>
      <x:c r="G179" s="99"/>
      <x:c r="H179" s="99"/>
      <x:c r="I179" s="99"/>
      <x:c r="J179" s="99"/>
      <x:c r="K179" s="99"/>
      <x:c r="L179" s="99"/>
      <x:c r="M179" s="99"/>
    </x:row>
    <x:row r="180">
      <x:c r="C180" s="19" t="n">
        <x:v>44927</x:v>
      </x:c>
      <x:c r="D180" s="19" t="n">
        <x:v>44986</x:v>
      </x:c>
      <x:c r="E180" s="43" t="str">
        <x:v>Financials</x:v>
      </x:c>
      <x:c r="F180" s="52" t="n">
        <x:v>3.149451718105165</x:v>
      </x:c>
      <x:c r="G180" s="99"/>
      <x:c r="H180" s="99"/>
      <x:c r="I180" s="99"/>
      <x:c r="J180" s="99"/>
      <x:c r="K180" s="99"/>
      <x:c r="L180" s="99"/>
      <x:c r="M180" s="99"/>
    </x:row>
    <x:row r="181">
      <x:c r="C181" s="19" t="n">
        <x:v>44927</x:v>
      </x:c>
      <x:c r="D181" s="19" t="n">
        <x:v>44986</x:v>
      </x:c>
      <x:c r="E181" s="43" t="str">
        <x:v>Health Care</x:v>
      </x:c>
      <x:c r="F181" s="52" t="n">
        <x:v>-7.553366208037379</x:v>
      </x:c>
      <x:c r="G181" s="99"/>
      <x:c r="H181" s="99"/>
      <x:c r="I181" s="99"/>
      <x:c r="J181" s="99"/>
      <x:c r="K181" s="99"/>
      <x:c r="L181" s="99"/>
      <x:c r="M181" s="99"/>
    </x:row>
    <x:row r="182">
      <x:c r="C182" s="19" t="n">
        <x:v>44927</x:v>
      </x:c>
      <x:c r="D182" s="19" t="n">
        <x:v>44986</x:v>
      </x:c>
      <x:c r="E182" s="43" t="str">
        <x:v>Industrials</x:v>
      </x:c>
      <x:c r="F182" s="52" t="n">
        <x:v>-0.9547724512798718</x:v>
      </x:c>
      <x:c r="G182" s="99"/>
      <x:c r="H182" s="99"/>
      <x:c r="I182" s="99"/>
      <x:c r="J182" s="99"/>
      <x:c r="K182" s="99"/>
      <x:c r="L182" s="99"/>
      <x:c r="M182" s="99"/>
    </x:row>
    <x:row r="183">
      <x:c r="C183" s="19" t="n">
        <x:v>44927</x:v>
      </x:c>
      <x:c r="D183" s="19" t="n">
        <x:v>44986</x:v>
      </x:c>
      <x:c r="E183" s="43" t="str">
        <x:v>Information Technology</x:v>
      </x:c>
      <x:c r="F183" s="52" t="n">
        <x:v>11.68675861634281</x:v>
      </x:c>
      <x:c r="G183" s="99"/>
      <x:c r="H183" s="99"/>
      <x:c r="I183" s="99"/>
      <x:c r="J183" s="99"/>
      <x:c r="K183" s="99"/>
      <x:c r="L183" s="99"/>
      <x:c r="M183" s="99"/>
    </x:row>
    <x:row r="184">
      <x:c r="C184" s="19" t="n">
        <x:v>44927</x:v>
      </x:c>
      <x:c r="D184" s="19" t="n">
        <x:v>44986</x:v>
      </x:c>
      <x:c r="E184" s="43" t="str">
        <x:v>Materials</x:v>
      </x:c>
      <x:c r="F184" s="52" t="n">
        <x:v>3.2395275839846347</x:v>
      </x:c>
      <x:c r="G184" s="99"/>
      <x:c r="H184" s="99"/>
      <x:c r="I184" s="99"/>
      <x:c r="J184" s="99"/>
      <x:c r="K184" s="99"/>
      <x:c r="L184" s="99"/>
      <x:c r="M184" s="99"/>
    </x:row>
    <x:row r="185">
      <x:c r="C185" s="19" t="n">
        <x:v>44927</x:v>
      </x:c>
      <x:c r="D185" s="19" t="n">
        <x:v>44986</x:v>
      </x:c>
      <x:c r="E185" s="43" t="str">
        <x:v>Real Estate</x:v>
      </x:c>
      <x:c r="F185" s="52" t="n">
        <x:v>14.485800796713438</x:v>
      </x:c>
      <x:c r="G185" s="99"/>
      <x:c r="H185" s="99"/>
      <x:c r="I185" s="99"/>
      <x:c r="J185" s="99"/>
      <x:c r="K185" s="99"/>
      <x:c r="L185" s="99"/>
      <x:c r="M185" s="99"/>
    </x:row>
    <x:row r="186">
      <x:c r="C186" s="20" t="n">
        <x:v>44927</x:v>
      </x:c>
      <x:c r="D186" s="20" t="n">
        <x:v>44986</x:v>
      </x:c>
      <x:c r="E186" s="44" t="str">
        <x:v>Utilities</x:v>
      </x:c>
      <x:c r="F186" s="53" t="n">
        <x:v>6.320067247077371</x:v>
      </x:c>
      <x:c r="G186" s="99"/>
      <x:c r="H186" s="99"/>
      <x:c r="I186" s="99"/>
      <x:c r="J186" s="99"/>
      <x:c r="K186" s="99"/>
      <x:c r="L186" s="99"/>
      <x:c r="M186" s="99"/>
    </x:row>
  </x:sheetData>
  <x:pageMargins left="0.7" right="0.7" top="0.75" bottom="0.75" header="0.3" footer="0.3"/>
  <x:tableParts count="1">
    <x:tablePart xmlns:r="http://schemas.openxmlformats.org/officeDocument/2006/relationships" r:id="Rbf66babba8a941bf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62" hidden="0" customWidth="1"/>
    <x:col min="5" max="5" width="13" hidden="0" customWidth="1"/>
    <x:col min="6" max="6" width="13" hidden="0" customWidth="1"/>
    <x:col min="7" max="7" width="13" hidden="0" customWidth="1"/>
    <x:col min="8" max="8" width="24" hidden="0" customWidth="1"/>
    <x:col min="9" max="9" width="13" hidden="0" customWidth="1"/>
    <x:col min="10" max="10" width="13" hidden="0" customWidth="1"/>
    <x:col min="11" max="11" width="24" hidden="0" customWidth="1"/>
    <x:col min="12" max="12" width="24" hidden="0" customWidth="1"/>
    <x:col min="13" max="13" width="66" hidden="0" customWidth="1"/>
  </x:cols>
  <x:sheetData>
    <x:row r="2">
      <x:c r="C2" s="2" t="str">
        <x:v>Fontes e rastreabilidade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</x:row>
    <x:row r="3">
      <x:c r="C3" s="4" t="str">
        <x:v>Arquivos, URLs, cobertura, classificação, métrica e hash SHA-256 quando disponível.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</x:row>
    <x:row r="6" ht="36" customHeight="1">
      <x:c r="C6" s="11" t="str">
        <x:v>source_file</x:v>
      </x:c>
      <x:c r="D6" s="11" t="str">
        <x:v>source_url</x:v>
      </x:c>
      <x:c r="E6" s="11" t="str">
        <x:v>start_date</x:v>
      </x:c>
      <x:c r="F6" s="11" t="str">
        <x:v>end_date</x:v>
      </x:c>
      <x:c r="G6" s="11" t="str">
        <x:v>months</x:v>
      </x:c>
      <x:c r="H6" s="11" t="str">
        <x:v>series</x:v>
      </x:c>
      <x:c r="I6" s="11" t="str">
        <x:v>currency</x:v>
      </x:c>
      <x:c r="J6" s="11" t="str">
        <x:v>benchmark</x:v>
      </x:c>
      <x:c r="K6" s="11" t="str">
        <x:v>classification</x:v>
      </x:c>
      <x:c r="L6" s="11" t="str">
        <x:v>metric</x:v>
      </x:c>
      <x:c r="M6" s="11" t="str">
        <x:v>sha256</x:v>
      </x:c>
    </x:row>
    <x:row r="7">
      <x:c r="C7" s="42" t="str">
        <x:v>grid_20qvjmd3.xlsx</x:v>
      </x:c>
      <x:c r="D7" s="42" t="str">
        <x:v>https://researchxp1.s3.sa-east-1.amazonaws.com/grid_20qvjmd3.xlsx</x:v>
      </x:c>
      <x:c r="E7" s="18" t="n">
        <x:v>39478</x:v>
      </x:c>
      <x:c r="F7" s="18" t="n">
        <x:v>40543</x:v>
      </x:c>
      <x:c r="G7" s="63" t="n">
        <x:v>36</x:v>
      </x:c>
      <x:c r="H7" s="42" t="n">
        <x:v>11</x:v>
      </x:c>
      <x:c r="I7" s="42" t="str">
        <x:v>BRL</x:v>
      </x:c>
      <x:c r="J7" s="42" t="str">
        <x:v>IBOV</x:v>
      </x:c>
      <x:c r="K7" s="42" t="str">
        <x:v>GICS Sector</x:v>
      </x:c>
      <x:c r="L7" s="42" t="str">
        <x:v>BEst Net Inc</x:v>
      </x:c>
      <x:c r="M7" s="45" t="str">
        <x:v>c1b37e2a5da044fd089eb45dd5ca0f40e63781523e2a09c67b670f57d1128845</x:v>
      </x:c>
    </x:row>
    <x:row r="8">
      <x:c r="C8" s="43" t="str">
        <x:v>grid_u4lflnxf.xlsx</x:v>
      </x:c>
      <x:c r="D8" s="43" t="str">
        <x:v>https://researchxp1.s3.sa-east-1.amazonaws.com/grid_u4lflnxf.xlsx</x:v>
      </x:c>
      <x:c r="E8" s="19" t="n">
        <x:v>40574</x:v>
      </x:c>
      <x:c r="F8" s="19" t="n">
        <x:v>41639</x:v>
      </x:c>
      <x:c r="G8" s="64" t="n">
        <x:v>36</x:v>
      </x:c>
      <x:c r="H8" s="43" t="n">
        <x:v>12</x:v>
      </x:c>
      <x:c r="I8" s="43" t="str">
        <x:v>BRL</x:v>
      </x:c>
      <x:c r="J8" s="43" t="str">
        <x:v>IBOV</x:v>
      </x:c>
      <x:c r="K8" s="43" t="str">
        <x:v>GICS Sector</x:v>
      </x:c>
      <x:c r="L8" s="43" t="str">
        <x:v>BEst Net Inc</x:v>
      </x:c>
      <x:c r="M8" s="46" t="str">
        <x:v>7ed34657db550a54b2b6e35952e8cea3803d157d3bcd4656f10065798aef8138</x:v>
      </x:c>
    </x:row>
    <x:row r="9">
      <x:c r="C9" s="43" t="str">
        <x:v>grid_vtqvtw11.xlsx</x:v>
      </x:c>
      <x:c r="D9" s="43" t="str">
        <x:v>https://researchxp1.s3.sa-east-1.amazonaws.com/grid_vtqvtw11.xlsx</x:v>
      </x:c>
      <x:c r="E9" s="19" t="n">
        <x:v>41670</x:v>
      </x:c>
      <x:c r="F9" s="19" t="n">
        <x:v>42734</x:v>
      </x:c>
      <x:c r="G9" s="64" t="n">
        <x:v>36</x:v>
      </x:c>
      <x:c r="H9" s="43" t="n">
        <x:v>12</x:v>
      </x:c>
      <x:c r="I9" s="43" t="str">
        <x:v>BRL</x:v>
      </x:c>
      <x:c r="J9" s="43" t="str">
        <x:v>IBOV</x:v>
      </x:c>
      <x:c r="K9" s="43" t="str">
        <x:v>GICS Sector</x:v>
      </x:c>
      <x:c r="L9" s="43" t="str">
        <x:v>BEst Net Inc</x:v>
      </x:c>
      <x:c r="M9" s="46" t="str">
        <x:v>b07e8c335aeed7f4131cd16da0014f34d9b1187c34f0bb65e4537f57e7dd6ee2</x:v>
      </x:c>
    </x:row>
    <x:row r="10">
      <x:c r="C10" s="43" t="str">
        <x:v>grid_ovzcidwu.xlsx</x:v>
      </x:c>
      <x:c r="D10" s="43" t="str">
        <x:v>https://researchxp1.s3.sa-east-1.amazonaws.com/grid_ovzcidwu.xlsx</x:v>
      </x:c>
      <x:c r="E10" s="19" t="n">
        <x:v>42766</x:v>
      </x:c>
      <x:c r="F10" s="19" t="n">
        <x:v>43830</x:v>
      </x:c>
      <x:c r="G10" s="64" t="n">
        <x:v>36</x:v>
      </x:c>
      <x:c r="H10" s="43" t="n">
        <x:v>12</x:v>
      </x:c>
      <x:c r="I10" s="43" t="str">
        <x:v>BRL</x:v>
      </x:c>
      <x:c r="J10" s="43" t="str">
        <x:v>IBOV</x:v>
      </x:c>
      <x:c r="K10" s="43" t="str">
        <x:v>GICS Sector</x:v>
      </x:c>
      <x:c r="L10" s="43" t="str">
        <x:v>BEst Net Inc</x:v>
      </x:c>
      <x:c r="M10" s="46" t="str">
        <x:v>0b77cacde0be9686941e9d2ca6d0d0d902d0be0528a11595d8f1017fb9a866c8</x:v>
      </x:c>
    </x:row>
    <x:row r="11">
      <x:c r="C11" s="43" t="str">
        <x:v>grid_1mk3z2wn.xlsx</x:v>
      </x:c>
      <x:c r="D11" s="43" t="str">
        <x:v>https://researchxp1.s3.sa-east-1.amazonaws.com/grid_1mk3z2wn.xlsx</x:v>
      </x:c>
      <x:c r="E11" s="19" t="n">
        <x:v>43861</x:v>
      </x:c>
      <x:c r="F11" s="19" t="n">
        <x:v>44925</x:v>
      </x:c>
      <x:c r="G11" s="64" t="n">
        <x:v>36</x:v>
      </x:c>
      <x:c r="H11" s="43" t="n">
        <x:v>13</x:v>
      </x:c>
      <x:c r="I11" s="43" t="str">
        <x:v>BRL</x:v>
      </x:c>
      <x:c r="J11" s="43" t="str">
        <x:v>IBOV</x:v>
      </x:c>
      <x:c r="K11" s="43" t="str">
        <x:v>GICS Sector</x:v>
      </x:c>
      <x:c r="L11" s="43" t="str">
        <x:v>BEst Net Inc</x:v>
      </x:c>
      <x:c r="M11" s="46" t="str">
        <x:v>477dd2d9a05cea515a92419c4a1345bd134024811585d80033286a331ef76d79</x:v>
      </x:c>
    </x:row>
    <x:row r="12">
      <x:c r="C12" s="43" t="str">
        <x:v>grid_22fp35k1.xlsx</x:v>
      </x:c>
      <x:c r="D12" s="43" t="str">
        <x:v>https://researchxp1.s3.sa-east-1.amazonaws.com/grid_22fp35k1.xlsx</x:v>
      </x:c>
      <x:c r="E12" s="19" t="n">
        <x:v>44957</x:v>
      </x:c>
      <x:c r="F12" s="19" t="n">
        <x:v>46268</x:v>
      </x:c>
      <x:c r="G12" s="64" t="n">
        <x:v>45</x:v>
      </x:c>
      <x:c r="H12" s="43" t="n">
        <x:v>12</x:v>
      </x:c>
      <x:c r="I12" s="43" t="str">
        <x:v>BRL</x:v>
      </x:c>
      <x:c r="J12" s="43" t="str">
        <x:v>IBOV</x:v>
      </x:c>
      <x:c r="K12" s="43" t="str">
        <x:v>GICS Sector</x:v>
      </x:c>
      <x:c r="L12" s="43" t="str">
        <x:v>BEst Net Inc</x:v>
      </x:c>
      <x:c r="M12" s="46" t="str">
        <x:v>7a8101c3d80a549a50ff17c5535e281b1deb2b6ee9b3337f72e3956480ea71a8</x:v>
      </x:c>
    </x:row>
    <x:row r="13">
      <x:c r="C13" s="43" t="str">
        <x:v>Ibovespa Best EPS.xlsx</x:v>
      </x:c>
      <x:c r="D13" s="43" t="str">
        <x:v>Bloomberg export; local source</x:v>
      </x:c>
      <x:c r="E13" s="19" t="n">
        <x:v>38748</x:v>
      </x:c>
      <x:c r="F13" s="19" t="n">
        <x:v>46265</x:v>
      </x:c>
      <x:c r="G13" s="64"/>
      <x:c r="H13" s="43" t="str">
        <x:v>BEst EPS</x:v>
      </x:c>
      <x:c r="I13" s="43" t="str">
        <x:v>BRL</x:v>
      </x:c>
      <x:c r="J13" s="43" t="str">
        <x:v>IBOV</x:v>
      </x:c>
      <x:c r="K13" s="43" t="str">
        <x:v>Index</x:v>
      </x:c>
      <x:c r="L13" s="43" t="str">
        <x:v>BEst EPS</x:v>
      </x:c>
      <x:c r="M13" s="46"/>
    </x:row>
    <x:row r="14">
      <x:c r="C14" s="43" t="str">
        <x:v>BCB Focus PIB Total / IPCA</x:v>
      </x:c>
      <x:c r="D14" s="43" t="str">
        <x:v>https://olinda.bcb.gov.br/olinda/servico/Expectativas/versao/v1/aplicacao#!/recursos</x:v>
      </x:c>
      <x:c r="E14" s="19" t="n">
        <x:v>39815</x:v>
      </x:c>
      <x:c r="F14" s="19" t="n">
        <x:v>46255</x:v>
      </x:c>
      <x:c r="G14" s="64"/>
      <x:c r="H14" s="43" t="str">
        <x:v>Focus annual medians</x:v>
      </x:c>
      <x:c r="I14" s="43"/>
      <x:c r="J14" s="43"/>
      <x:c r="K14" s="43" t="str">
        <x:v>Macro</x:v>
      </x:c>
      <x:c r="L14" s="43" t="str">
        <x:v>PIB and IPCA expectations</x:v>
      </x:c>
      <x:c r="M14" s="46"/>
    </x:row>
    <x:row r="15">
      <x:c r="C15" s="43" t="str">
        <x:v>BCB SGS 13522</x:v>
      </x:c>
      <x:c r="D15" s="43" t="str">
        <x:v>https://api.bcb.gov.br/dados/serie/bcdata.sgs.13522/dados?formato=json</x:v>
      </x:c>
      <x:c r="E15" s="19" t="n">
        <x:v>36526</x:v>
      </x:c>
      <x:c r="F15" s="19" t="n">
        <x:v>46204</x:v>
      </x:c>
      <x:c r="G15" s="64"/>
      <x:c r="H15" s="43" t="str">
        <x:v>IPCA accumulated 12 months</x:v>
      </x:c>
      <x:c r="I15" s="43"/>
      <x:c r="J15" s="43"/>
      <x:c r="K15" s="43" t="str">
        <x:v>Macro</x:v>
      </x:c>
      <x:c r="L15" s="43" t="str">
        <x:v>percent</x:v>
      </x:c>
      <x:c r="M15" s="46"/>
    </x:row>
    <x:row r="16">
      <x:c r="C16" s="43" t="str">
        <x:v>BCB SGS 1</x:v>
      </x:c>
      <x:c r="D16" s="43" t="str">
        <x:v>https://api.bcb.gov.br/dados/serie/bcdata.sgs.1/dados?formato=json</x:v>
      </x:c>
      <x:c r="E16" s="19" t="n">
        <x:v>38718</x:v>
      </x:c>
      <x:c r="F16" s="19" t="n">
        <x:v>46265</x:v>
      </x:c>
      <x:c r="G16" s="64"/>
      <x:c r="H16" s="43" t="str">
        <x:v>USD/BRL</x:v>
      </x:c>
      <x:c r="I16" s="43" t="str">
        <x:v>BRL per USD</x:v>
      </x:c>
      <x:c r="J16" s="43"/>
      <x:c r="K16" s="43" t="str">
        <x:v>Macro</x:v>
      </x:c>
      <x:c r="L16" s="43" t="str">
        <x:v>daily exchange rate</x:v>
      </x:c>
      <x:c r="M16" s="46"/>
    </x:row>
    <x:row r="17">
      <x:c r="C17" s="43" t="str">
        <x:v>BCOM.xlsx</x:v>
      </x:c>
      <x:c r="D17" s="43" t="str">
        <x:v>Bloomberg export; local source</x:v>
      </x:c>
      <x:c r="E17" s="19" t="n">
        <x:v>38748</x:v>
      </x:c>
      <x:c r="F17" s="19" t="n">
        <x:v>46265</x:v>
      </x:c>
      <x:c r="G17" s="64"/>
      <x:c r="H17" s="43" t="str">
        <x:v>Bloomberg Commodity Index</x:v>
      </x:c>
      <x:c r="I17" s="43" t="str">
        <x:v>USD</x:v>
      </x:c>
      <x:c r="J17" s="43" t="str">
        <x:v>BCOM</x:v>
      </x:c>
      <x:c r="K17" s="43" t="str">
        <x:v>Macro</x:v>
      </x:c>
      <x:c r="L17" s="43" t="str">
        <x:v>last price</x:v>
      </x:c>
      <x:c r="M17" s="46"/>
    </x:row>
    <x:row r="18">
      <x:c r="C18" s="43" t="str">
        <x:v>swap_pre_di_360.csv</x:v>
      </x:c>
      <x:c r="D18" s="43" t="str">
        <x:v>https://researchxp1.s3.sa-east-1.amazonaws.com/bmf-swap.parquet</x:v>
      </x:c>
      <x:c r="E18" s="19" t="n">
        <x:v>34608</x:v>
      </x:c>
      <x:c r="F18" s="19" t="n">
        <x:v>46265</x:v>
      </x:c>
      <x:c r="G18" s="64"/>
      <x:c r="H18" s="43" t="str">
        <x:v>Pre-DI swap 360 days</x:v>
      </x:c>
      <x:c r="I18" s="43"/>
      <x:c r="J18" s="43"/>
      <x:c r="K18" s="43" t="str">
        <x:v>Macro</x:v>
      </x:c>
      <x:c r="L18" s="43" t="str">
        <x:v>annual percent rate</x:v>
      </x:c>
      <x:c r="M18" s="46"/>
    </x:row>
    <x:row r="19">
      <x:c r="C19" s="44" t="str">
        <x:v>EIA RBRTE daily</x:v>
      </x:c>
      <x:c r="D19" s="44" t="str">
        <x:v>https://www.eia.gov/dnav/pet/hist/leafhandler.ashx?f=d&amp;n=pet&amp;s=rbrte</x:v>
      </x:c>
      <x:c r="E19" s="20" t="n">
        <x:v>31917</x:v>
      </x:c>
      <x:c r="F19" s="20" t="n">
        <x:v>46266</x:v>
      </x:c>
      <x:c r="G19" s="65"/>
      <x:c r="H19" s="44" t="str">
        <x:v>Europe Brent Spot Price FOB</x:v>
      </x:c>
      <x:c r="I19" s="44" t="str">
        <x:v>USD per barrel</x:v>
      </x:c>
      <x:c r="J19" s="44" t="str">
        <x:v>Brent</x:v>
      </x:c>
      <x:c r="K19" s="44" t="str">
        <x:v>Macro</x:v>
      </x:c>
      <x:c r="L19" s="44" t="str">
        <x:v>daily spot price</x:v>
      </x:c>
      <x:c r="M19" s="47"/>
    </x:row>
  </x:sheetData>
  <x:pageMargins left="0.7" right="0.7" top="0.75" bottom="0.75" header="0.3" footer="0.3"/>
  <x:tableParts count="1">
    <x:tablePart xmlns:r="http://schemas.openxmlformats.org/officeDocument/2006/relationships" r:id="R3658833d8eea4f00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5" hidden="0" customWidth="1"/>
    <x:col min="4" max="4" width="62" hidden="0" customWidth="1"/>
    <x:col min="5" max="5" width="20" hidden="0" customWidth="1"/>
    <x:col min="6" max="6" width="38" hidden="0" customWidth="1"/>
    <x:col min="7" max="7" width="31" hidden="0" customWidth="1"/>
  </x:cols>
  <x:sheetData>
    <x:row r="2">
      <x:c r="C2" s="2" t="str">
        <x:v>Dicionário, metodologia e manutenção</x:v>
      </x:c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3">
      <x:c r="C3" s="4" t="str">
        <x:v>Definições das variáveis, estrutura do workbook, amostras e histórico de versões.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</x:row>
    <x:row r="5"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</x:row>
    <x:row r="6">
      <x:c r="C6" s="74" t="str">
        <x:v>Metodologia</x:v>
      </x:c>
      <x:c r="D6" s="75"/>
      <x:c r="E6" s="75"/>
      <x:c r="F6" s="76"/>
      <x:c r="G6" s="99"/>
      <x:c r="H6" s="99"/>
      <x:c r="I6" s="99"/>
      <x:c r="J6" s="99"/>
      <x:c r="K6" s="99"/>
      <x:c r="L6" s="99"/>
      <x:c r="M6" s="99"/>
      <x:c r="N6" s="99"/>
    </x:row>
    <x:row r="7">
      <x:c r="C7" s="11" t="str">
        <x:v>Item</x:v>
      </x:c>
      <x:c r="D7" s="11" t="str">
        <x:v>Definição</x:v>
      </x:c>
      <x:c r="E7" s="11" t="str">
        <x:v>Unidade</x:v>
      </x:c>
      <x:c r="F7" s="11" t="str">
        <x:v>Observação</x:v>
      </x:c>
      <x:c r="G7" s="99"/>
      <x:c r="H7" s="99"/>
      <x:c r="I7" s="99"/>
      <x:c r="J7" s="99"/>
      <x:c r="K7" s="99"/>
      <x:c r="L7" s="99"/>
      <x:c r="M7" s="99"/>
      <x:c r="N7" s="99"/>
    </x:row>
    <x:row r="8">
      <x:c r="C8" s="96" t="str">
        <x:v>Earnings 12m fwd</x:v>
      </x:c>
      <x:c r="D8" s="96" t="str">
        <x:v>Estimativa agregada de lucro líquido ou EPS para os próximos 12 meses</x:v>
      </x:c>
      <x:c r="E8" s="96" t="str">
        <x:v>BRL / índice</x:v>
      </x:c>
      <x:c r="F8" s="96" t="str">
        <x:v>A métrica depende da série</x:v>
      </x:c>
      <x:c r="G8" s="99"/>
      <x:c r="H8" s="99"/>
      <x:c r="I8" s="99"/>
      <x:c r="J8" s="99"/>
      <x:c r="K8" s="99"/>
      <x:c r="L8" s="99"/>
      <x:c r="M8" s="99"/>
      <x:c r="N8" s="99"/>
    </x:row>
    <x:row r="9">
      <x:c r="C9" s="96" t="str">
        <x:v>Revision 3m</x:v>
      </x:c>
      <x:c r="D9" s="96" t="str">
        <x:v>100 × log(Earnings_t / Earnings_t-3)</x:v>
      </x:c>
      <x:c r="E9" s="96" t="str">
        <x:v>% log</x:v>
      </x:c>
      <x:c r="F9" s="96" t="str">
        <x:v>Variação acumulada em três meses</x:v>
      </x:c>
      <x:c r="G9" s="99"/>
      <x:c r="H9" s="99"/>
      <x:c r="I9" s="99"/>
      <x:c r="J9" s="99"/>
      <x:c r="K9" s="99"/>
      <x:c r="L9" s="99"/>
      <x:c r="M9" s="99"/>
      <x:c r="N9" s="99"/>
    </x:row>
    <x:row r="10">
      <x:c r="C10" s="96" t="str">
        <x:v>Δ macro 3m</x:v>
      </x:c>
      <x:c r="D10" s="96" t="str">
        <x:v>Valor no mês t menos valor no mês t-3</x:v>
      </x:c>
      <x:c r="E10" s="96" t="str">
        <x:v>p.p. ou %</x:v>
      </x:c>
      <x:c r="F10" s="96" t="str">
        <x:v>Conforme a variável</x:v>
      </x:c>
      <x:c r="G10" s="99"/>
      <x:c r="H10" s="99"/>
      <x:c r="I10" s="99"/>
      <x:c r="J10" s="99"/>
      <x:c r="K10" s="99"/>
      <x:c r="L10" s="99"/>
      <x:c r="M10" s="99"/>
      <x:c r="N10" s="99"/>
    </x:row>
    <x:row r="11">
      <x:c r="C11" s="96" t="str">
        <x:v>Regressão</x:v>
      </x:c>
      <x:c r="D11" s="96" t="str">
        <x:v>OLS contemporâneo com erros HAC/Newey-West</x:v>
      </x:c>
      <x:c r="E11" s="96" t="str">
        <x:v>-</x:v>
      </x:c>
      <x:c r="F11" s="96" t="str">
        <x:v>Associação, não causalidade</x:v>
      </x:c>
      <x:c r="G11" s="99"/>
      <x:c r="H11" s="99"/>
      <x:c r="I11" s="99"/>
      <x:c r="J11" s="99"/>
      <x:c r="K11" s="99"/>
      <x:c r="L11" s="99"/>
      <x:c r="M11" s="99"/>
      <x:c r="N11" s="99"/>
    </x:row>
    <x:row r="12">
      <x:c r="C12" s="96" t="str">
        <x:v>Beta padronizado</x:v>
      </x:c>
      <x:c r="D12" s="96" t="str">
        <x:v>Mudança no target, em desvios-padrão, para 1 desvio-padrão do regressor</x:v>
      </x:c>
      <x:c r="E12" s="96" t="str">
        <x:v>desvios-padrão</x:v>
      </x:c>
      <x:c r="F12" s="96" t="str">
        <x:v>Comparável entre variáveis e setores</x:v>
      </x:c>
      <x:c r="G12" s="99"/>
      <x:c r="H12" s="99"/>
      <x:c r="I12" s="99"/>
      <x:c r="J12" s="99"/>
      <x:c r="K12" s="99"/>
      <x:c r="L12" s="99"/>
      <x:c r="M12" s="99"/>
      <x:c r="N12" s="99"/>
    </x:row>
    <x:row r="13">
      <x:c r="C13" s="96" t="str">
        <x:v>q BH</x:v>
      </x:c>
      <x:c r="D13" s="96" t="str">
        <x:v>p-valor ajustado por Benjamini-Hochberg entre setores</x:v>
      </x:c>
      <x:c r="E13" s="96" t="str">
        <x:v>probabilidade</x:v>
      </x:c>
      <x:c r="F13" s="96" t="str">
        <x:v>Controle de falsos descobrimentos</x:v>
      </x:c>
      <x:c r="G13" s="99"/>
      <x:c r="H13" s="99"/>
      <x:c r="I13" s="99"/>
      <x:c r="J13" s="99"/>
      <x:c r="K13" s="99"/>
      <x:c r="L13" s="99"/>
      <x:c r="M13" s="99"/>
      <x:c r="N13" s="99"/>
    </x:row>
    <x:row r="14">
      <x:c r="C14" s="99"/>
      <x:c r="D14" s="99"/>
      <x:c r="E14" s="99"/>
      <x:c r="F14" s="99"/>
      <x:c r="G14" s="99"/>
      <x:c r="H14" s="99"/>
      <x:c r="I14" s="99"/>
      <x:c r="J14" s="99"/>
      <x:c r="K14" s="99"/>
      <x:c r="L14" s="99"/>
      <x:c r="M14" s="99"/>
      <x:c r="N14" s="99"/>
    </x:row>
    <x:row r="15">
      <x:c r="C15" s="99"/>
      <x:c r="D15" s="99"/>
      <x:c r="E15" s="99"/>
      <x:c r="F15" s="99"/>
      <x:c r="G15" s="99"/>
      <x:c r="H15" s="99"/>
      <x:c r="I15" s="99"/>
      <x:c r="J15" s="99"/>
      <x:c r="K15" s="99"/>
      <x:c r="L15" s="99"/>
      <x:c r="M15" s="99"/>
      <x:c r="N15" s="99"/>
    </x:row>
    <x:row r="16">
      <x:c r="C16" s="74" t="str">
        <x:v>Amostras</x:v>
      </x:c>
      <x:c r="D16" s="75"/>
      <x:c r="E16" s="75"/>
      <x:c r="F16" s="76"/>
      <x:c r="G16" s="99"/>
      <x:c r="H16" s="99"/>
      <x:c r="I16" s="99"/>
      <x:c r="J16" s="99"/>
      <x:c r="K16" s="99"/>
      <x:c r="L16" s="99"/>
      <x:c r="M16" s="99"/>
      <x:c r="N16" s="99"/>
    </x:row>
    <x:row r="17">
      <x:c r="C17" s="11" t="str">
        <x:v>Nome</x:v>
      </x:c>
      <x:c r="D17" s="11" t="str">
        <x:v>Definição</x:v>
      </x:c>
      <x:c r="E17" s="11" t="str">
        <x:v>Uso</x:v>
      </x:c>
      <x:c r="F17" s="11" t="str">
        <x:v>Limitação</x:v>
      </x:c>
      <x:c r="G17" s="99"/>
      <x:c r="H17" s="99"/>
      <x:c r="I17" s="99"/>
      <x:c r="J17" s="99"/>
      <x:c r="K17" s="99"/>
      <x:c r="L17" s="99"/>
      <x:c r="M17" s="99"/>
      <x:c r="N17" s="99"/>
    </x:row>
    <x:row r="18">
      <x:c r="C18" s="96" t="str">
        <x:v>full</x:v>
      </x:c>
      <x:c r="D18" s="96" t="str">
        <x:v>Todas as observações disponíveis</x:v>
      </x:c>
      <x:c r="E18" s="96" t="str">
        <x:v>Referência ampla</x:v>
      </x:c>
      <x:c r="F18" s="96" t="str">
        <x:v>Inclui episódios extremos</x:v>
      </x:c>
      <x:c r="G18" s="99"/>
      <x:c r="H18" s="99"/>
      <x:c r="I18" s="99"/>
      <x:c r="J18" s="99"/>
      <x:c r="K18" s="99"/>
      <x:c r="L18" s="99"/>
      <x:c r="M18" s="99"/>
      <x:c r="N18" s="99"/>
    </x:row>
    <x:row r="19">
      <x:c r="C19" s="96" t="str">
        <x:v>ex_2013_14</x:v>
      </x:c>
      <x:c r="D19" s="96" t="str">
        <x:v>Exclui 2013 e 2014</x:v>
      </x:c>
      <x:c r="E19" s="96" t="str">
        <x:v>Amostra principal</x:v>
      </x:c>
      <x:c r="F19" s="96" t="str">
        <x:v>Escolha motivada por instabilidade histórica</x:v>
      </x:c>
      <x:c r="G19" s="99"/>
      <x:c r="H19" s="99"/>
      <x:c r="I19" s="99"/>
      <x:c r="J19" s="99"/>
      <x:c r="K19" s="99"/>
      <x:c r="L19" s="99"/>
      <x:c r="M19" s="99"/>
      <x:c r="N19" s="99"/>
    </x:row>
    <x:row r="20">
      <x:c r="C20" s="96" t="str">
        <x:v>ex_2020_21</x:v>
      </x:c>
      <x:c r="D20" s="96" t="str">
        <x:v>Exclui 2020 e 2021</x:v>
      </x:c>
      <x:c r="E20" s="96" t="str">
        <x:v>Robustez à pandemia</x:v>
      </x:c>
      <x:c r="F20" s="96" t="str">
        <x:v>Mantém 2013-2014</x:v>
      </x:c>
      <x:c r="G20" s="99"/>
      <x:c r="H20" s="99"/>
      <x:c r="I20" s="99"/>
      <x:c r="J20" s="99"/>
      <x:c r="K20" s="99"/>
      <x:c r="L20" s="99"/>
      <x:c r="M20" s="99"/>
      <x:c r="N20" s="99"/>
    </x:row>
    <x:row r="21">
      <x:c r="C21" s="96" t="str">
        <x:v>clean</x:v>
      </x:c>
      <x:c r="D21" s="96" t="str">
        <x:v>Exclui 2013-2014 e 2020-2021</x:v>
      </x:c>
      <x:c r="E21" s="96" t="str">
        <x:v>Robustez conjunta</x:v>
      </x:c>
      <x:c r="F21" s="96" t="str">
        <x:v>Menor amostra</x:v>
      </x:c>
      <x:c r="G21" s="99"/>
      <x:c r="H21" s="99"/>
      <x:c r="I21" s="99"/>
      <x:c r="J21" s="99"/>
      <x:c r="K21" s="99"/>
      <x:c r="L21" s="99"/>
      <x:c r="M21" s="99"/>
      <x:c r="N21" s="99"/>
    </x:row>
    <x:row r="22">
      <x:c r="C22" s="96" t="str">
        <x:v>ex_seams</x:v>
      </x:c>
      <x:c r="D22" s="96" t="str">
        <x:v>Exclui revisions que atravessam emendas</x:v>
      </x:c>
      <x:c r="E22" s="96" t="str">
        <x:v>Auditoria das séries setoriais</x:v>
      </x:c>
      <x:c r="F22" s="96" t="str">
        <x:v>Mantém choques macro</x:v>
      </x:c>
      <x:c r="G22" s="99"/>
      <x:c r="H22" s="99"/>
      <x:c r="I22" s="99"/>
      <x:c r="J22" s="99"/>
      <x:c r="K22" s="99"/>
      <x:c r="L22" s="99"/>
      <x:c r="M22" s="99"/>
      <x:c r="N22" s="99"/>
    </x:row>
    <x:row r="23">
      <x:c r="C23" s="96" t="str">
        <x:v>since_2022</x:v>
      </x:c>
      <x:c r="D23" s="96" t="str">
        <x:v>Janeiro de 2022 em diante</x:v>
      </x:c>
      <x:c r="E23" s="96" t="str">
        <x:v>Regime recente</x:v>
      </x:c>
      <x:c r="F23" s="96" t="str">
        <x:v>Poucas observações</x:v>
      </x:c>
      <x:c r="G23" s="99"/>
      <x:c r="H23" s="99"/>
      <x:c r="I23" s="99"/>
      <x:c r="J23" s="99"/>
      <x:c r="K23" s="99"/>
      <x:c r="L23" s="99"/>
      <x:c r="M23" s="99"/>
      <x:c r="N23" s="99"/>
    </x:row>
    <x:row r="24">
      <x:c r="C24" s="99"/>
      <x:c r="D24" s="99"/>
      <x:c r="E24" s="99"/>
      <x:c r="F24" s="99"/>
      <x:c r="G24" s="99"/>
      <x:c r="H24" s="99"/>
      <x:c r="I24" s="99"/>
      <x:c r="J24" s="99"/>
      <x:c r="K24" s="99"/>
      <x:c r="L24" s="99"/>
      <x:c r="M24" s="99"/>
      <x:c r="N24" s="99"/>
    </x:row>
    <x:row r="25">
      <x:c r="C25" s="99"/>
      <x:c r="D25" s="99"/>
      <x:c r="E25" s="99"/>
      <x:c r="F25" s="99"/>
      <x:c r="G25" s="99"/>
      <x:c r="H25" s="99"/>
      <x:c r="I25" s="99"/>
      <x:c r="J25" s="99"/>
      <x:c r="K25" s="99"/>
      <x:c r="L25" s="99"/>
      <x:c r="M25" s="99"/>
      <x:c r="N25" s="99"/>
    </x:row>
    <x:row r="26">
      <x:c r="C26" s="74" t="str">
        <x:v>Variáveis principais</x:v>
      </x:c>
      <x:c r="D26" s="75"/>
      <x:c r="E26" s="75"/>
      <x:c r="F26" s="75"/>
      <x:c r="G26" s="76"/>
      <x:c r="H26" s="99"/>
      <x:c r="I26" s="99"/>
      <x:c r="J26" s="99"/>
      <x:c r="K26" s="99"/>
      <x:c r="L26" s="99"/>
      <x:c r="M26" s="99"/>
      <x:c r="N26" s="99"/>
    </x:row>
    <x:row r="27">
      <x:c r="C27" s="11" t="str">
        <x:v>Variável</x:v>
      </x:c>
      <x:c r="D27" s="11" t="str">
        <x:v>Descrição</x:v>
      </x:c>
      <x:c r="E27" s="11" t="str">
        <x:v>Unidade</x:v>
      </x:c>
      <x:c r="F27" s="11" t="str">
        <x:v>Transformação</x:v>
      </x:c>
      <x:c r="G27" s="11" t="str">
        <x:v>Origem</x:v>
      </x:c>
      <x:c r="H27" s="99"/>
      <x:c r="I27" s="99"/>
      <x:c r="J27" s="99"/>
      <x:c r="K27" s="99"/>
      <x:c r="L27" s="99"/>
      <x:c r="M27" s="99"/>
      <x:c r="N27" s="99"/>
    </x:row>
    <x:row r="28">
      <x:c r="C28" s="96" t="str">
        <x:v>eps</x:v>
      </x:c>
      <x:c r="D28" s="96" t="str">
        <x:v>BEst EPS 12 meses forward do IBOV</x:v>
      </x:c>
      <x:c r="E28" s="96" t="str">
        <x:v>BRL por ação</x:v>
      </x:c>
      <x:c r="F28" s="96" t="str">
        <x:v>nível</x:v>
      </x:c>
      <x:c r="G28" s="96" t="str">
        <x:v>Bloomberg</x:v>
      </x:c>
      <x:c r="H28" s="99"/>
      <x:c r="I28" s="99"/>
      <x:c r="J28" s="99"/>
      <x:c r="K28" s="99"/>
      <x:c r="L28" s="99"/>
      <x:c r="M28" s="99"/>
      <x:c r="N28" s="99"/>
    </x:row>
    <x:row r="29">
      <x:c r="C29" s="96" t="str">
        <x:v>y_rev3</x:v>
      </x:c>
      <x:c r="D29" s="96" t="str">
        <x:v>Revision do BEst EPS do IBOV</x:v>
      </x:c>
      <x:c r="E29" s="96" t="str">
        <x:v>% log</x:v>
      </x:c>
      <x:c r="F29" s="96" t="str">
        <x:v>100 × log(t/t-3)</x:v>
      </x:c>
      <x:c r="G29" s="96" t="str">
        <x:v>Calculado</x:v>
      </x:c>
      <x:c r="H29" s="99"/>
      <x:c r="I29" s="99"/>
      <x:c r="J29" s="99"/>
      <x:c r="K29" s="99"/>
      <x:c r="L29" s="99"/>
      <x:c r="M29" s="99"/>
      <x:c r="N29" s="99"/>
    </x:row>
    <x:row r="30">
      <x:c r="C30" s="96" t="str">
        <x:v>IBOV / setores</x:v>
      </x:c>
      <x:c r="D30" s="96" t="str">
        <x:v>BEst Net Income agregado</x:v>
      </x:c>
      <x:c r="E30" s="96" t="str">
        <x:v>BRL</x:v>
      </x:c>
      <x:c r="F30" s="96" t="str">
        <x:v>nível</x:v>
      </x:c>
      <x:c r="G30" s="96" t="str">
        <x:v>Grades XP/Bloomberg</x:v>
      </x:c>
      <x:c r="H30" s="99"/>
      <x:c r="I30" s="99"/>
      <x:c r="J30" s="99"/>
      <x:c r="K30" s="99"/>
      <x:c r="L30" s="99"/>
      <x:c r="M30" s="99"/>
      <x:c r="N30" s="99"/>
    </x:row>
    <x:row r="31">
      <x:c r="C31" s="96" t="str">
        <x:v>focus_pib</x:v>
      </x:c>
      <x:c r="D31" s="96" t="str">
        <x:v>Mediana Focus para crescimento do PIB anual</x:v>
      </x:c>
      <x:c r="E31" s="96" t="str">
        <x:v>%</x:v>
      </x:c>
      <x:c r="F31" s="96" t="str">
        <x:v>nível</x:v>
      </x:c>
      <x:c r="G31" s="96" t="str">
        <x:v>Banco Central do Brasil</x:v>
      </x:c>
      <x:c r="H31" s="99"/>
      <x:c r="I31" s="99"/>
      <x:c r="J31" s="99"/>
      <x:c r="K31" s="99"/>
      <x:c r="L31" s="99"/>
      <x:c r="M31" s="99"/>
      <x:c r="N31" s="99"/>
    </x:row>
    <x:row r="32">
      <x:c r="C32" s="96" t="str">
        <x:v>d_focus_pib3</x:v>
      </x:c>
      <x:c r="D32" s="96" t="str">
        <x:v>Mudança da expectativa de PIB</x:v>
      </x:c>
      <x:c r="E32" s="96" t="str">
        <x:v>p.p.</x:v>
      </x:c>
      <x:c r="F32" s="96" t="str">
        <x:v>t menos t-3</x:v>
      </x:c>
      <x:c r="G32" s="96" t="str">
        <x:v>Calculado</x:v>
      </x:c>
      <x:c r="H32" s="99"/>
      <x:c r="I32" s="99"/>
      <x:c r="J32" s="99"/>
      <x:c r="K32" s="99"/>
      <x:c r="L32" s="99"/>
      <x:c r="M32" s="99"/>
      <x:c r="N32" s="99"/>
    </x:row>
    <x:row r="33">
      <x:c r="C33" s="96" t="str">
        <x:v>focus_ipca</x:v>
      </x:c>
      <x:c r="D33" s="96" t="str">
        <x:v>Mediana Focus para IPCA anual</x:v>
      </x:c>
      <x:c r="E33" s="96" t="str">
        <x:v>%</x:v>
      </x:c>
      <x:c r="F33" s="96" t="str">
        <x:v>nível</x:v>
      </x:c>
      <x:c r="G33" s="96" t="str">
        <x:v>Banco Central do Brasil</x:v>
      </x:c>
      <x:c r="H33" s="99"/>
      <x:c r="I33" s="99"/>
      <x:c r="J33" s="99"/>
      <x:c r="K33" s="99"/>
      <x:c r="L33" s="99"/>
      <x:c r="M33" s="99"/>
      <x:c r="N33" s="99"/>
    </x:row>
    <x:row r="34">
      <x:c r="C34" s="96" t="str">
        <x:v>d_focus_ipca3</x:v>
      </x:c>
      <x:c r="D34" s="96" t="str">
        <x:v>Mudança da expectativa de IPCA</x:v>
      </x:c>
      <x:c r="E34" s="96" t="str">
        <x:v>p.p.</x:v>
      </x:c>
      <x:c r="F34" s="96" t="str">
        <x:v>t menos t-3</x:v>
      </x:c>
      <x:c r="G34" s="96" t="str">
        <x:v>Calculado</x:v>
      </x:c>
      <x:c r="H34" s="99"/>
      <x:c r="I34" s="99"/>
      <x:c r="J34" s="99"/>
      <x:c r="K34" s="99"/>
      <x:c r="L34" s="99"/>
      <x:c r="M34" s="99"/>
      <x:c r="N34" s="99"/>
    </x:row>
    <x:row r="35">
      <x:c r="C35" s="96" t="str">
        <x:v>ipca12_available</x:v>
      </x:c>
      <x:c r="D35" s="96" t="str">
        <x:v>IPCA acumulado em 12 meses disponível na data</x:v>
      </x:c>
      <x:c r="E35" s="96" t="str">
        <x:v>%</x:v>
      </x:c>
      <x:c r="F35" s="96" t="str">
        <x:v>nível</x:v>
      </x:c>
      <x:c r="G35" s="96" t="str">
        <x:v>BCB SGS 13522</x:v>
      </x:c>
      <x:c r="H35" s="99"/>
      <x:c r="I35" s="99"/>
      <x:c r="J35" s="99"/>
      <x:c r="K35" s="99"/>
      <x:c r="L35" s="99"/>
      <x:c r="M35" s="99"/>
      <x:c r="N35" s="99"/>
    </x:row>
    <x:row r="36">
      <x:c r="C36" s="96" t="str">
        <x:v>d_ipca12_3_available</x:v>
      </x:c>
      <x:c r="D36" s="96" t="str">
        <x:v>Mudança do IPCA 12 meses realizado</x:v>
      </x:c>
      <x:c r="E36" s="96" t="str">
        <x:v>p.p.</x:v>
      </x:c>
      <x:c r="F36" s="96" t="str">
        <x:v>t menos t-3</x:v>
      </x:c>
      <x:c r="G36" s="96" t="str">
        <x:v>Calculado</x:v>
      </x:c>
      <x:c r="H36" s="99"/>
      <x:c r="I36" s="99"/>
      <x:c r="J36" s="99"/>
      <x:c r="K36" s="99"/>
      <x:c r="L36" s="99"/>
      <x:c r="M36" s="99"/>
      <x:c r="N36" s="99"/>
    </x:row>
    <x:row r="37">
      <x:c r="C37" s="96" t="str">
        <x:v>ipca3_flow_available</x:v>
      </x:c>
      <x:c r="D37" s="96" t="str">
        <x:v>Inflação acumulada no fluxo de três meses</x:v>
      </x:c>
      <x:c r="E37" s="96" t="str">
        <x:v>%</x:v>
      </x:c>
      <x:c r="F37" s="96" t="str">
        <x:v>fluxo 3m</x:v>
      </x:c>
      <x:c r="G37" s="96" t="str">
        <x:v>Calculado</x:v>
      </x:c>
      <x:c r="H37" s="99"/>
      <x:c r="I37" s="99"/>
      <x:c r="J37" s="99"/>
      <x:c r="K37" s="99"/>
      <x:c r="L37" s="99"/>
      <x:c r="M37" s="99"/>
      <x:c r="N37" s="99"/>
    </x:row>
    <x:row r="38">
      <x:c r="C38" s="96" t="str">
        <x:v>bcom_usd</x:v>
      </x:c>
      <x:c r="D38" s="96" t="str">
        <x:v>Bloomberg Commodity Index</x:v>
      </x:c>
      <x:c r="E38" s="96" t="str">
        <x:v>índice USD</x:v>
      </x:c>
      <x:c r="F38" s="96" t="str">
        <x:v>nível</x:v>
      </x:c>
      <x:c r="G38" s="96" t="str">
        <x:v>Bloomberg</x:v>
      </x:c>
      <x:c r="H38" s="99"/>
      <x:c r="I38" s="99"/>
      <x:c r="J38" s="99"/>
      <x:c r="K38" s="99"/>
      <x:c r="L38" s="99"/>
      <x:c r="M38" s="99"/>
      <x:c r="N38" s="99"/>
    </x:row>
    <x:row r="39">
      <x:c r="C39" s="96" t="str">
        <x:v>d_bcom_usd3</x:v>
      </x:c>
      <x:c r="D39" s="96" t="str">
        <x:v>Variação do BCOM em USD</x:v>
      </x:c>
      <x:c r="E39" s="96" t="str">
        <x:v>% log</x:v>
      </x:c>
      <x:c r="F39" s="96" t="str">
        <x:v>100 × log(t/t-3)</x:v>
      </x:c>
      <x:c r="G39" s="96" t="str">
        <x:v>Calculado</x:v>
      </x:c>
      <x:c r="H39" s="99"/>
      <x:c r="I39" s="99"/>
      <x:c r="J39" s="99"/>
      <x:c r="K39" s="99"/>
      <x:c r="L39" s="99"/>
      <x:c r="M39" s="99"/>
      <x:c r="N39" s="99"/>
    </x:row>
    <x:row r="40">
      <x:c r="C40" s="96" t="str">
        <x:v>usdbrl</x:v>
      </x:c>
      <x:c r="D40" s="96" t="str">
        <x:v>Taxa de câmbio USD/BRL</x:v>
      </x:c>
      <x:c r="E40" s="96" t="str">
        <x:v>BRL por USD</x:v>
      </x:c>
      <x:c r="F40" s="96" t="str">
        <x:v>nível</x:v>
      </x:c>
      <x:c r="G40" s="96" t="str">
        <x:v>BCB SGS 1</x:v>
      </x:c>
      <x:c r="H40" s="99"/>
      <x:c r="I40" s="99"/>
      <x:c r="J40" s="99"/>
      <x:c r="K40" s="99"/>
      <x:c r="L40" s="99"/>
      <x:c r="M40" s="99"/>
      <x:c r="N40" s="99"/>
    </x:row>
    <x:row r="41">
      <x:c r="C41" s="96" t="str">
        <x:v>d_usdbrl3</x:v>
      </x:c>
      <x:c r="D41" s="96" t="str">
        <x:v>Variação do USD/BRL</x:v>
      </x:c>
      <x:c r="E41" s="96" t="str">
        <x:v>% log</x:v>
      </x:c>
      <x:c r="F41" s="96" t="str">
        <x:v>100 × log(t/t-3)</x:v>
      </x:c>
      <x:c r="G41" s="96" t="str">
        <x:v>Calculado</x:v>
      </x:c>
      <x:c r="H41" s="99"/>
      <x:c r="I41" s="99"/>
      <x:c r="J41" s="99"/>
      <x:c r="K41" s="99"/>
      <x:c r="L41" s="99"/>
      <x:c r="M41" s="99"/>
      <x:c r="N41" s="99"/>
    </x:row>
    <x:row r="42">
      <x:c r="C42" s="96" t="str">
        <x:v>swap360</x:v>
      </x:c>
      <x:c r="D42" s="96" t="str">
        <x:v>Swap pré-DI de 360 dias</x:v>
      </x:c>
      <x:c r="E42" s="96" t="str">
        <x:v>% a.a.</x:v>
      </x:c>
      <x:c r="F42" s="96" t="str">
        <x:v>nível</x:v>
      </x:c>
      <x:c r="G42" s="96" t="str">
        <x:v>B3 / série XP</x:v>
      </x:c>
      <x:c r="H42" s="99"/>
      <x:c r="I42" s="99"/>
      <x:c r="J42" s="99"/>
      <x:c r="K42" s="99"/>
      <x:c r="L42" s="99"/>
      <x:c r="M42" s="99"/>
      <x:c r="N42" s="99"/>
    </x:row>
    <x:row r="43">
      <x:c r="C43" s="96" t="str">
        <x:v>d_swap360_3</x:v>
      </x:c>
      <x:c r="D43" s="96" t="str">
        <x:v>Mudança do swap pré-DI</x:v>
      </x:c>
      <x:c r="E43" s="96" t="str">
        <x:v>p.p.</x:v>
      </x:c>
      <x:c r="F43" s="96" t="str">
        <x:v>t menos t-3</x:v>
      </x:c>
      <x:c r="G43" s="96" t="str">
        <x:v>Calculado</x:v>
      </x:c>
      <x:c r="H43" s="99"/>
      <x:c r="I43" s="99"/>
      <x:c r="J43" s="99"/>
      <x:c r="K43" s="99"/>
      <x:c r="L43" s="99"/>
      <x:c r="M43" s="99"/>
      <x:c r="N43" s="99"/>
    </x:row>
    <x:row r="44">
      <x:c r="C44" s="96" t="str">
        <x:v>brent_usd</x:v>
      </x:c>
      <x:c r="D44" s="96" t="str">
        <x:v>Europe Brent Spot Price FOB</x:v>
      </x:c>
      <x:c r="E44" s="96" t="str">
        <x:v>USD/barril</x:v>
      </x:c>
      <x:c r="F44" s="96" t="str">
        <x:v>último dia do mês</x:v>
      </x:c>
      <x:c r="G44" s="96" t="str">
        <x:v>EIA</x:v>
      </x:c>
      <x:c r="H44" s="99"/>
      <x:c r="I44" s="99"/>
      <x:c r="J44" s="99"/>
      <x:c r="K44" s="99"/>
      <x:c r="L44" s="99"/>
      <x:c r="M44" s="99"/>
      <x:c r="N44" s="99"/>
    </x:row>
    <x:row r="45">
      <x:c r="C45" s="96" t="str">
        <x:v>d_brent3</x:v>
      </x:c>
      <x:c r="D45" s="96" t="str">
        <x:v>Variação do Brent</x:v>
      </x:c>
      <x:c r="E45" s="96" t="str">
        <x:v>% log</x:v>
      </x:c>
      <x:c r="F45" s="96" t="str">
        <x:v>100 × log(t/t-3)</x:v>
      </x:c>
      <x:c r="G45" s="96" t="str">
        <x:v>Calculado</x:v>
      </x:c>
      <x:c r="H45" s="99"/>
      <x:c r="I45" s="99"/>
      <x:c r="J45" s="99"/>
      <x:c r="K45" s="99"/>
      <x:c r="L45" s="99"/>
      <x:c r="M45" s="99"/>
      <x:c r="N45" s="99"/>
    </x:row>
    <x:row r="46">
      <x:c r="C46" s="96" t="str">
        <x:v>beta</x:v>
      </x:c>
      <x:c r="D46" s="96" t="str">
        <x:v>Coeficiente da regressão</x:v>
      </x:c>
      <x:c r="E46" s="96" t="str">
        <x:v>unidade do target / unidade do regressor</x:v>
      </x:c>
      <x:c r="F46" s="96" t="str">
        <x:v>OLS HAC</x:v>
      </x:c>
      <x:c r="G46" s="96" t="str">
        <x:v>Calculado</x:v>
      </x:c>
      <x:c r="H46" s="99"/>
      <x:c r="I46" s="99"/>
      <x:c r="J46" s="99"/>
      <x:c r="K46" s="99"/>
      <x:c r="L46" s="99"/>
      <x:c r="M46" s="99"/>
      <x:c r="N46" s="99"/>
    </x:row>
    <x:row r="47">
      <x:c r="C47" s="96" t="str">
        <x:v>beta_std</x:v>
      </x:c>
      <x:c r="D47" s="96" t="str">
        <x:v>Coeficiente padronizado</x:v>
      </x:c>
      <x:c r="E47" s="96" t="str">
        <x:v>desvios-padrão</x:v>
      </x:c>
      <x:c r="F47" s="96" t="str">
        <x:v>beta × sd(x) / sd(y)</x:v>
      </x:c>
      <x:c r="G47" s="96" t="str">
        <x:v>Calculado</x:v>
      </x:c>
      <x:c r="H47" s="99"/>
      <x:c r="I47" s="99"/>
      <x:c r="J47" s="99"/>
      <x:c r="K47" s="99"/>
      <x:c r="L47" s="99"/>
      <x:c r="M47" s="99"/>
      <x:c r="N47" s="99"/>
    </x:row>
    <x:row r="48">
      <x:c r="C48" s="96" t="str">
        <x:v>p_hac</x:v>
      </x:c>
      <x:c r="D48" s="96" t="str">
        <x:v>p-valor com erro HAC</x:v>
      </x:c>
      <x:c r="E48" s="96" t="str">
        <x:v>probabilidade</x:v>
      </x:c>
      <x:c r="F48" s="96" t="str">
        <x:v>teste bilateral</x:v>
      </x:c>
      <x:c r="G48" s="96" t="str">
        <x:v>Calculado</x:v>
      </x:c>
      <x:c r="H48" s="99"/>
      <x:c r="I48" s="99"/>
      <x:c r="J48" s="99"/>
      <x:c r="K48" s="99"/>
      <x:c r="L48" s="99"/>
      <x:c r="M48" s="99"/>
      <x:c r="N48" s="99"/>
    </x:row>
    <x:row r="49">
      <x:c r="C49" s="96" t="str">
        <x:v>q_bh</x:v>
      </x:c>
      <x:c r="D49" s="96" t="str">
        <x:v>p-valor ajustado entre setores</x:v>
      </x:c>
      <x:c r="E49" s="96" t="str">
        <x:v>probabilidade</x:v>
      </x:c>
      <x:c r="F49" s="96" t="str">
        <x:v>Benjamini-Hochberg</x:v>
      </x:c>
      <x:c r="G49" s="96" t="str">
        <x:v>Calculado</x:v>
      </x:c>
      <x:c r="H49" s="99"/>
      <x:c r="I49" s="99"/>
      <x:c r="J49" s="99"/>
      <x:c r="K49" s="99"/>
      <x:c r="L49" s="99"/>
      <x:c r="M49" s="99"/>
      <x:c r="N49" s="99"/>
    </x:row>
    <x:row r="50">
      <x:c r="C50" s="96" t="str">
        <x:v>r2</x:v>
      </x:c>
      <x:c r="D50" s="96" t="str">
        <x:v>Coeficiente de determinação</x:v>
      </x:c>
      <x:c r="E50" s="96" t="str">
        <x:v>proporção</x:v>
      </x:c>
      <x:c r="F50" s="96" t="str">
        <x:v>OLS</x:v>
      </x:c>
      <x:c r="G50" s="96" t="str">
        <x:v>Calculado</x:v>
      </x:c>
      <x:c r="H50" s="99"/>
      <x:c r="I50" s="99"/>
      <x:c r="J50" s="99"/>
      <x:c r="K50" s="99"/>
      <x:c r="L50" s="99"/>
      <x:c r="M50" s="99"/>
      <x:c r="N50" s="99"/>
    </x:row>
    <x:row r="51">
      <x:c r="C51" s="99"/>
      <x:c r="D51" s="99"/>
      <x:c r="E51" s="99"/>
      <x:c r="F51" s="99"/>
      <x:c r="G51" s="99"/>
      <x:c r="H51" s="99"/>
      <x:c r="I51" s="99"/>
      <x:c r="J51" s="99"/>
      <x:c r="K51" s="99"/>
      <x:c r="L51" s="99"/>
      <x:c r="M51" s="99"/>
      <x:c r="N51" s="99"/>
    </x:row>
    <x:row r="52">
      <x:c r="C52" s="99"/>
      <x:c r="D52" s="99"/>
      <x:c r="E52" s="99"/>
      <x:c r="F52" s="99"/>
      <x:c r="G52" s="99"/>
      <x:c r="H52" s="99"/>
      <x:c r="I52" s="99"/>
      <x:c r="J52" s="99"/>
      <x:c r="K52" s="99"/>
      <x:c r="L52" s="99"/>
      <x:c r="M52" s="99"/>
      <x:c r="N52" s="99"/>
    </x:row>
    <x:row r="53">
      <x:c r="C53" s="99"/>
      <x:c r="D53" s="99"/>
      <x:c r="E53" s="99"/>
      <x:c r="F53" s="99"/>
      <x:c r="G53" s="99"/>
      <x:c r="H53" s="99"/>
      <x:c r="I53" s="99"/>
      <x:c r="J53" s="99"/>
      <x:c r="K53" s="99"/>
      <x:c r="L53" s="99"/>
      <x:c r="M53" s="99"/>
      <x:c r="N53" s="99"/>
    </x:row>
    <x:row r="54">
      <x:c r="C54" s="99"/>
      <x:c r="D54" s="99"/>
      <x:c r="E54" s="99"/>
      <x:c r="F54" s="99"/>
      <x:c r="G54" s="99"/>
      <x:c r="H54" s="99"/>
      <x:c r="I54" s="99"/>
      <x:c r="J54" s="99"/>
      <x:c r="K54" s="99"/>
      <x:c r="L54" s="99"/>
      <x:c r="M54" s="99"/>
      <x:c r="N54" s="99"/>
    </x:row>
    <x:row r="55">
      <x:c r="C55" s="74" t="str">
        <x:v>Mapa das abas</x:v>
      </x:c>
      <x:c r="D55" s="75"/>
      <x:c r="E55" s="75"/>
      <x:c r="F55" s="76"/>
      <x:c r="G55" s="99"/>
      <x:c r="H55" s="99"/>
      <x:c r="I55" s="99"/>
      <x:c r="J55" s="99"/>
      <x:c r="K55" s="99"/>
      <x:c r="L55" s="99"/>
      <x:c r="M55" s="99"/>
      <x:c r="N55" s="99"/>
    </x:row>
    <x:row r="56">
      <x:c r="C56" s="11" t="str">
        <x:v>Aba</x:v>
      </x:c>
      <x:c r="D56" s="11" t="str">
        <x:v>Conteúdo</x:v>
      </x:c>
      <x:c r="E56" s="11" t="str">
        <x:v>Tipo</x:v>
      </x:c>
      <x:c r="F56" s="11" t="str">
        <x:v>Uso</x:v>
      </x:c>
      <x:c r="G56" s="99"/>
      <x:c r="H56" s="99"/>
      <x:c r="I56" s="99"/>
      <x:c r="J56" s="99"/>
      <x:c r="K56" s="99"/>
      <x:c r="L56" s="99"/>
      <x:c r="M56" s="99"/>
      <x:c r="N56" s="99"/>
    </x:row>
    <x:row r="57">
      <x:c r="C57" s="96" t="str">
        <x:v>Resumo</x:v>
      </x:c>
      <x:c r="D57" s="96" t="str">
        <x:v>Conclusões e coeficientes principais</x:v>
      </x:c>
      <x:c r="E57" s="96" t="str">
        <x:v>Saída</x:v>
      </x:c>
      <x:c r="F57" s="96" t="str">
        <x:v>Leitura executiva</x:v>
      </x:c>
      <x:c r="G57" s="99"/>
      <x:c r="H57" s="99"/>
      <x:c r="I57" s="99"/>
      <x:c r="J57" s="99"/>
      <x:c r="K57" s="99"/>
      <x:c r="L57" s="99"/>
      <x:c r="M57" s="99"/>
      <x:c r="N57" s="99"/>
    </x:row>
    <x:row r="58">
      <x:c r="C58" s="96" t="str">
        <x:v>Painel Setorial</x:v>
      </x:c>
      <x:c r="D58" s="96" t="str">
        <x:v>Comparação de betas e significância</x:v>
      </x:c>
      <x:c r="E58" s="96" t="str">
        <x:v>Saída</x:v>
      </x:c>
      <x:c r="F58" s="96" t="str">
        <x:v>Ranking setorial</x:v>
      </x:c>
      <x:c r="G58" s="99"/>
      <x:c r="H58" s="99"/>
      <x:c r="I58" s="99"/>
      <x:c r="J58" s="99"/>
      <x:c r="K58" s="99"/>
      <x:c r="L58" s="99"/>
      <x:c r="M58" s="99"/>
      <x:c r="N58" s="99"/>
    </x:row>
    <x:row r="59">
      <x:c r="C59" s="96" t="str">
        <x:v>Sens Focus-Swap</x:v>
      </x:c>
      <x:c r="D59" s="96" t="str">
        <x:v>Matriz formula-driven</x:v>
      </x:c>
      <x:c r="E59" s="96" t="str">
        <x:v>Saída</x:v>
      </x:c>
      <x:c r="F59" s="96" t="str">
        <x:v>Cenários conjuntos</x:v>
      </x:c>
      <x:c r="G59" s="99"/>
      <x:c r="H59" s="99"/>
      <x:c r="I59" s="99"/>
      <x:c r="J59" s="99"/>
      <x:c r="K59" s="99"/>
      <x:c r="L59" s="99"/>
      <x:c r="M59" s="99"/>
      <x:c r="N59" s="99"/>
    </x:row>
    <x:row r="60">
      <x:c r="C60" s="96" t="str">
        <x:v>Inflacao</x:v>
      </x:c>
      <x:c r="D60" s="96" t="str">
        <x:v>Teste entre Focus e inflação realizada</x:v>
      </x:c>
      <x:c r="E60" s="96" t="str">
        <x:v>Saída + detalhe</x:v>
      </x:c>
      <x:c r="F60" s="96" t="str">
        <x:v>Seleção da variável</x:v>
      </x:c>
      <x:c r="G60" s="99"/>
      <x:c r="H60" s="99"/>
      <x:c r="I60" s="99"/>
      <x:c r="J60" s="99"/>
      <x:c r="K60" s="99"/>
      <x:c r="L60" s="99"/>
      <x:c r="M60" s="99"/>
      <x:c r="N60" s="99"/>
    </x:row>
    <x:row r="61">
      <x:c r="C61" s="96" t="str">
        <x:v>Ex-Commodities</x:v>
      </x:c>
      <x:c r="D61" s="96" t="str">
        <x:v>IBOV, ex-commodities e commodities</x:v>
      </x:c>
      <x:c r="E61" s="96" t="str">
        <x:v>Saída + detalhe</x:v>
      </x:c>
      <x:c r="F61" s="96" t="str">
        <x:v>Comparação de exposição</x:v>
      </x:c>
      <x:c r="G61" s="99"/>
      <x:c r="H61" s="99"/>
      <x:c r="I61" s="99"/>
      <x:c r="J61" s="99"/>
      <x:c r="K61" s="99"/>
      <x:c r="L61" s="99"/>
      <x:c r="M61" s="99"/>
      <x:c r="N61" s="99"/>
    </x:row>
    <x:row r="62">
      <x:c r="C62" s="96" t="str">
        <x:v>Energia</x:v>
      </x:c>
      <x:c r="D62" s="96" t="str">
        <x:v>Petrobras e Brent</x:v>
      </x:c>
      <x:c r="E62" s="96" t="str">
        <x:v>Saída</x:v>
      </x:c>
      <x:c r="F62" s="96" t="str">
        <x:v>Decomposição do setor</x:v>
      </x:c>
      <x:c r="G62" s="99"/>
      <x:c r="H62" s="99"/>
      <x:c r="I62" s="99"/>
      <x:c r="J62" s="99"/>
      <x:c r="K62" s="99"/>
      <x:c r="L62" s="99"/>
      <x:c r="M62" s="99"/>
      <x:c r="N62" s="99"/>
    </x:row>
    <x:row r="63">
      <x:c r="C63" s="96" t="str">
        <x:v>Earnings 12M Fwd</x:v>
      </x:c>
      <x:c r="D63" s="96" t="str">
        <x:v>Séries setoriais consolidadas</x:v>
      </x:c>
      <x:c r="E63" s="96" t="str">
        <x:v>Dados</x:v>
      </x:c>
      <x:c r="F63" s="96" t="str">
        <x:v>Níveis</x:v>
      </x:c>
      <x:c r="G63" s="99"/>
      <x:c r="H63" s="99"/>
      <x:c r="I63" s="99"/>
      <x:c r="J63" s="99"/>
      <x:c r="K63" s="99"/>
      <x:c r="L63" s="99"/>
      <x:c r="M63" s="99"/>
      <x:c r="N63" s="99"/>
    </x:row>
    <x:row r="64">
      <x:c r="C64" s="96" t="str">
        <x:v>Earnings Base 100</x:v>
      </x:c>
      <x:c r="D64" s="96" t="str">
        <x:v>Séries normalizadas</x:v>
      </x:c>
      <x:c r="E64" s="96" t="str">
        <x:v>Dados + gráfico</x:v>
      </x:c>
      <x:c r="F64" s="96" t="str">
        <x:v>Comparação histórica</x:v>
      </x:c>
      <x:c r="G64" s="99"/>
      <x:c r="H64" s="99"/>
      <x:c r="I64" s="99"/>
      <x:c r="J64" s="99"/>
      <x:c r="K64" s="99"/>
      <x:c r="L64" s="99"/>
      <x:c r="M64" s="99"/>
      <x:c r="N64" s="99"/>
    </x:row>
    <x:row r="65">
      <x:c r="C65" s="96" t="str">
        <x:v>Revisions 3M</x:v>
      </x:c>
      <x:c r="D65" s="96" t="str">
        <x:v>Revisions setoriais</x:v>
      </x:c>
      <x:c r="E65" s="96" t="str">
        <x:v>Dados</x:v>
      </x:c>
      <x:c r="F65" s="96" t="str">
        <x:v>Targets das regressões</x:v>
      </x:c>
      <x:c r="G65" s="99"/>
      <x:c r="H65" s="99"/>
      <x:c r="I65" s="99"/>
      <x:c r="J65" s="99"/>
      <x:c r="K65" s="99"/>
      <x:c r="L65" s="99"/>
      <x:c r="M65" s="99"/>
      <x:c r="N65" s="99"/>
    </x:row>
    <x:row r="66">
      <x:c r="C66" s="96" t="str">
        <x:v>Series Energia</x:v>
      </x:c>
      <x:c r="D66" s="96" t="str">
        <x:v>Companhias do setor</x:v>
      </x:c>
      <x:c r="E66" s="96" t="str">
        <x:v>Dados + gráfico</x:v>
      </x:c>
      <x:c r="F66" s="96" t="str">
        <x:v>Decomposição</x:v>
      </x:c>
      <x:c r="G66" s="99"/>
      <x:c r="H66" s="99"/>
      <x:c r="I66" s="99"/>
      <x:c r="J66" s="99"/>
      <x:c r="K66" s="99"/>
      <x:c r="L66" s="99"/>
      <x:c r="M66" s="99"/>
      <x:c r="N66" s="99"/>
    </x:row>
    <x:row r="67">
      <x:c r="C67" s="96" t="str">
        <x:v>Macro IBOV</x:v>
      </x:c>
      <x:c r="D67" s="96" t="str">
        <x:v>Earnings do índice e macro</x:v>
      </x:c>
      <x:c r="E67" s="96" t="str">
        <x:v>Dados</x:v>
      </x:c>
      <x:c r="F67" s="96" t="str">
        <x:v>Regressores</x:v>
      </x:c>
      <x:c r="G67" s="99"/>
      <x:c r="H67" s="99"/>
      <x:c r="I67" s="99"/>
      <x:c r="J67" s="99"/>
      <x:c r="K67" s="99"/>
      <x:c r="L67" s="99"/>
      <x:c r="M67" s="99"/>
      <x:c r="N67" s="99"/>
    </x:row>
    <x:row r="68">
      <x:c r="C68" s="96" t="str">
        <x:v>Reg IBOV</x:v>
      </x:c>
      <x:c r="D68" s="96" t="str">
        <x:v>Coeficientes do índice</x:v>
      </x:c>
      <x:c r="E68" s="96" t="str">
        <x:v>Resultados</x:v>
      </x:c>
      <x:c r="F68" s="96" t="str">
        <x:v>Auditoria</x:v>
      </x:c>
      <x:c r="G68" s="99"/>
      <x:c r="H68" s="99"/>
      <x:c r="I68" s="99"/>
      <x:c r="J68" s="99"/>
      <x:c r="K68" s="99"/>
      <x:c r="L68" s="99"/>
      <x:c r="M68" s="99"/>
      <x:c r="N68" s="99"/>
    </x:row>
    <x:row r="69">
      <x:c r="C69" s="96" t="str">
        <x:v>Reg Setores</x:v>
      </x:c>
      <x:c r="D69" s="96" t="str">
        <x:v>Coeficientes por setor</x:v>
      </x:c>
      <x:c r="E69" s="96" t="str">
        <x:v>Resultados</x:v>
      </x:c>
      <x:c r="F69" s="96" t="str">
        <x:v>Auditoria</x:v>
      </x:c>
      <x:c r="G69" s="99"/>
      <x:c r="H69" s="99"/>
      <x:c r="I69" s="99"/>
      <x:c r="J69" s="99"/>
      <x:c r="K69" s="99"/>
      <x:c r="L69" s="99"/>
      <x:c r="M69" s="99"/>
      <x:c r="N69" s="99"/>
    </x:row>
    <x:row r="70">
      <x:c r="C70" s="96" t="str">
        <x:v>Swap Robustez</x:v>
      </x:c>
      <x:c r="D70" s="96" t="str">
        <x:v>Variações de especificação e amostra</x:v>
      </x:c>
      <x:c r="E70" s="96" t="str">
        <x:v>Resultados</x:v>
      </x:c>
      <x:c r="F70" s="96" t="str">
        <x:v>Sinal do swap</x:v>
      </x:c>
      <x:c r="G70" s="99"/>
      <x:c r="H70" s="99"/>
      <x:c r="I70" s="99"/>
      <x:c r="J70" s="99"/>
      <x:c r="K70" s="99"/>
      <x:c r="L70" s="99"/>
      <x:c r="M70" s="99"/>
      <x:c r="N70" s="99"/>
    </x:row>
    <x:row r="71">
      <x:c r="C71" s="96" t="str">
        <x:v>Reg Energia</x:v>
      </x:c>
      <x:c r="D71" s="96" t="str">
        <x:v>Energia/Petrobras/Brent</x:v>
      </x:c>
      <x:c r="E71" s="96" t="str">
        <x:v>Resultados</x:v>
      </x:c>
      <x:c r="F71" s="96" t="str">
        <x:v>Auditoria</x:v>
      </x:c>
      <x:c r="G71" s="99"/>
      <x:c r="H71" s="99"/>
      <x:c r="I71" s="99"/>
      <x:c r="J71" s="99"/>
      <x:c r="K71" s="99"/>
      <x:c r="L71" s="99"/>
      <x:c r="M71" s="99"/>
      <x:c r="N71" s="99"/>
    </x:row>
    <x:row r="72">
      <x:c r="C72" s="96" t="str">
        <x:v>Seams</x:v>
      </x:c>
      <x:c r="D72" s="96" t="str">
        <x:v>Janelas que atravessam emendas</x:v>
      </x:c>
      <x:c r="E72" s="96" t="str">
        <x:v>Diagnóstico</x:v>
      </x:c>
      <x:c r="F72" s="96" t="str">
        <x:v>Controle metodológico</x:v>
      </x:c>
      <x:c r="G72" s="99"/>
      <x:c r="H72" s="99"/>
      <x:c r="I72" s="99"/>
      <x:c r="J72" s="99"/>
      <x:c r="K72" s="99"/>
      <x:c r="L72" s="99"/>
      <x:c r="M72" s="99"/>
      <x:c r="N72" s="99"/>
    </x:row>
    <x:row r="73">
      <x:c r="C73" s="96" t="str">
        <x:v>Fontes</x:v>
      </x:c>
      <x:c r="D73" s="96" t="str">
        <x:v>URLs e hashes</x:v>
      </x:c>
      <x:c r="E73" s="96" t="str">
        <x:v>Proveniência</x:v>
      </x:c>
      <x:c r="F73" s="96" t="str">
        <x:v>Rastreabilidade</x:v>
      </x:c>
      <x:c r="G73" s="99"/>
      <x:c r="H73" s="99"/>
      <x:c r="I73" s="99"/>
      <x:c r="J73" s="99"/>
      <x:c r="K73" s="99"/>
      <x:c r="L73" s="99"/>
      <x:c r="M73" s="99"/>
      <x:c r="N73" s="99"/>
    </x:row>
    <x:row r="74">
      <x:c r="C74" s="99"/>
      <x:c r="D74" s="99"/>
      <x:c r="E74" s="99"/>
      <x:c r="F74" s="99"/>
      <x:c r="G74" s="99"/>
      <x:c r="H74" s="99"/>
      <x:c r="I74" s="99"/>
      <x:c r="J74" s="99"/>
      <x:c r="K74" s="99"/>
      <x:c r="L74" s="99"/>
      <x:c r="M74" s="99"/>
      <x:c r="N74" s="99"/>
    </x:row>
    <x:row r="75">
      <x:c r="C75" s="99"/>
      <x:c r="D75" s="99"/>
      <x:c r="E75" s="99"/>
      <x:c r="F75" s="99"/>
      <x:c r="G75" s="99"/>
      <x:c r="H75" s="99"/>
      <x:c r="I75" s="99"/>
      <x:c r="J75" s="99"/>
      <x:c r="K75" s="99"/>
      <x:c r="L75" s="99"/>
      <x:c r="M75" s="99"/>
      <x:c r="N75" s="99"/>
    </x:row>
    <x:row r="76">
      <x:c r="C76" s="74" t="str">
        <x:v>Histórico de versões</x:v>
      </x:c>
      <x:c r="D76" s="75"/>
      <x:c r="E76" s="75"/>
      <x:c r="F76" s="76"/>
      <x:c r="G76" s="99"/>
      <x:c r="H76" s="99"/>
      <x:c r="I76" s="99"/>
      <x:c r="J76" s="99"/>
      <x:c r="K76" s="99"/>
      <x:c r="L76" s="99"/>
      <x:c r="M76" s="99"/>
      <x:c r="N76" s="99"/>
    </x:row>
    <x:row r="77">
      <x:c r="C77" s="11" t="str">
        <x:v>Data</x:v>
      </x:c>
      <x:c r="D77" s="11" t="str">
        <x:v>Versão</x:v>
      </x:c>
      <x:c r="E77" s="11" t="str">
        <x:v>Alteração</x:v>
      </x:c>
      <x:c r="F77" s="11" t="str">
        <x:v>Responsável</x:v>
      </x:c>
      <x:c r="G77" s="99"/>
      <x:c r="H77" s="99"/>
      <x:c r="I77" s="99"/>
      <x:c r="J77" s="99"/>
      <x:c r="K77" s="99"/>
      <x:c r="L77" s="99"/>
      <x:c r="M77" s="99"/>
      <x:c r="N77" s="99"/>
    </x:row>
    <x:row r="78">
      <x:c r="C78" s="97" t="n">
        <x:v>46269</x:v>
      </x:c>
      <x:c r="D78" s="6" t="str">
        <x:v>1.0</x:v>
      </x:c>
      <x:c r="E78" s="6" t="str">
        <x:v>Consolidação das séries, regressões, sensibilidades e documentação em um workbook.</x:v>
      </x:c>
      <x:c r="F78" s="6" t="str">
        <x:v>Codex</x:v>
      </x:c>
      <x:c r="G78" s="99"/>
      <x:c r="H78" s="99"/>
      <x:c r="I78" s="99"/>
      <x:c r="J78" s="99"/>
      <x:c r="K78" s="99"/>
      <x:c r="L78" s="99"/>
      <x:c r="M78" s="99"/>
      <x:c r="N78" s="99"/>
    </x:row>
  </x:sheetData>
  <x:pageMargins left="0.7" right="0.7" top="0.75" bottom="0.75" header="0.3" footer="0.3"/>
</x:worksheet>
</file>