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ctor Map" sheetId="3" state="visible" r:id="rId3"/>
    <sheet xmlns:r="http://schemas.openxmlformats.org/officeDocument/2006/relationships" name="Data" sheetId="4" state="visible" r:id="rId4"/>
    <sheet xmlns:r="http://schemas.openxmlformats.org/officeDocument/2006/relationships" name="Sector Aggregation" sheetId="5" state="visible" r:id="rId5"/>
    <sheet xmlns:r="http://schemas.openxmlformats.org/officeDocument/2006/relationships" name="Index Members" sheetId="6" state="visible" r:id="rId6"/>
  </sheets>
  <definedNames>
    <definedName name="IdxTicker">'Inputs'!$C$5</definedName>
    <definedName name="TkSuffix">'Inputs'!$C$6</definedName>
    <definedName name="AsOf">'Inputs'!$C$7</definedName>
    <definedName name="MomA">'Inputs'!$C$9</definedName>
    <definedName name="MomB">'Inputs'!$C$10</definedName>
    <definedName name="RevA">'Inputs'!$C$11</definedName>
    <definedName name="RevB">'Inputs'!$C$12</definedName>
    <definedName name="FldMcap">'Inputs'!$C$14</definedName>
    <definedName name="FldShOut">'Inputs'!$C$15</definedName>
    <definedName name="FldPx">'Inputs'!$C$16</definedName>
    <definedName name="FldEps">'Inputs'!$C$17</definedName>
    <definedName name="FpOvr">'Inputs'!$C$18</definedName>
    <definedName name="FldTRR">'Inputs'!$C$19</definedName>
    <definedName name="WgtBasis">'Inputs'!$C$21</definedName>
    <definedName name="DtMomA">'Inputs'!$C$24</definedName>
    <definedName name="DtMomB">'Inputs'!$C$25</definedName>
    <definedName name="DtRevA">'Inputs'!$C$26</definedName>
    <definedName name="DtRevB">'Inputs'!$C$27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A2226"/>
      <sz val="13"/>
    </font>
    <font>
      <name val="Arial"/>
      <color rgb="00595959"/>
      <sz val="9"/>
    </font>
    <font>
      <name val="Arial"/>
      <b val="1"/>
      <color rgb="001A2226"/>
      <sz val="9"/>
    </font>
    <font>
      <name val="Arial"/>
      <sz val="10"/>
    </font>
    <font>
      <name val="Arial"/>
      <b val="1"/>
      <color rgb="000000FF"/>
      <sz val="11"/>
    </font>
    <font>
      <name val="Arial"/>
      <color rgb="00000000"/>
      <sz val="10"/>
    </font>
    <font>
      <name val="Arial"/>
      <b val="1"/>
      <color rgb="00FFFFFF"/>
      <sz val="9"/>
    </font>
    <font>
      <name val="Arial"/>
      <color rgb="007030A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F00"/>
      </patternFill>
    </fill>
    <fill>
      <patternFill patternType="solid">
        <fgColor rgb="00EAF2F2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5" fillId="3" borderId="1" pivotButton="0" quotePrefix="0" xfId="0"/>
    <xf numFmtId="0" fontId="2" fillId="0" borderId="0" applyAlignment="1" pivotButton="0" quotePrefix="0" xfId="0">
      <alignment vertical="top" wrapText="1"/>
    </xf>
    <xf numFmtId="164" fontId="5" fillId="3" borderId="1" pivotButton="0" quotePrefix="0" xfId="0"/>
    <xf numFmtId="3" fontId="5" fillId="3" borderId="1" pivotButton="0" quotePrefix="0" xfId="0"/>
    <xf numFmtId="164" fontId="6" fillId="4" borderId="0" pivotButton="0" quotePrefix="0" xfId="0"/>
    <xf numFmtId="0" fontId="7" fillId="5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9" fillId="4" borderId="0" pivotButton="0" quotePrefix="0" xfId="0"/>
    <xf numFmtId="0" fontId="3" fillId="2" borderId="0" applyAlignment="1" pivotButton="0" quotePrefix="0" xfId="0">
      <alignment horizontal="center"/>
    </xf>
    <xf numFmtId="3" fontId="8" fillId="0" borderId="0" pivotButton="0" quotePrefix="0" xfId="0"/>
    <xf numFmtId="4" fontId="8" fillId="0" borderId="0" pivotButton="0" quotePrefix="0" xfId="0"/>
    <xf numFmtId="3" fontId="6" fillId="0" borderId="0" pivotButton="0" quotePrefix="0" xfId="0"/>
    <xf numFmtId="3" fontId="9" fillId="0" borderId="0" pivotButton="0" quotePrefix="0" xfId="0"/>
    <xf numFmtId="10" fontId="9" fillId="0" borderId="0" pivotButton="0" quotePrefix="0" xfId="0"/>
    <xf numFmtId="10" fontId="8" fillId="0" borderId="0" pivotButton="0" quotePrefix="0" xfId="0"/>
    <xf numFmtId="3" fontId="2" fillId="6" borderId="0" pivotButton="0" quotePrefix="0" xfId="0"/>
    <xf numFmtId="4" fontId="2" fillId="6" borderId="0" pivotButton="0" quotePrefix="0" xfId="0"/>
    <xf numFmtId="165" fontId="6" fillId="0" borderId="0" pivotButton="0" quotePrefix="0" xfId="0"/>
    <xf numFmtId="3" fontId="2" fillId="0" borderId="0" pivotButton="0" quotePrefix="0" xfId="0"/>
    <xf numFmtId="3" fontId="9" fillId="4" borderId="0" pivotButton="0" quotePrefix="0" xfId="0"/>
    <xf numFmtId="165" fontId="9" fillId="4" borderId="0" pivotButton="0" quotePrefix="0" xfId="0"/>
    <xf numFmtId="10" fontId="9" fillId="4" borderId="0" pivotButton="0" quotePrefix="0" xfId="0"/>
    <xf numFmtId="3" fontId="2" fillId="4" borderId="0" pivotButton="0" quotePrefix="0" xfId="0"/>
    <xf numFmtId="0" fontId="7" fillId="5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1">
    <dxf>
      <font>
        <name val="Arial"/>
        <color rgb="00548235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1">
      <c r="A1" s="1" t="inlineStr">
        <is>
          <t>Ibovespa factor screen — revisions, momentum and size, aggregated by sector</t>
        </is>
      </c>
    </row>
    <row r="2">
      <c r="A2" s="2" t="inlineStr">
        <is>
          <t>Open with the Bloomberg add-in running. Fill one column on Sector Map; everything else calculates.</t>
        </is>
      </c>
    </row>
    <row r="4">
      <c r="B4" s="3" t="inlineStr">
        <is>
          <t>WHAT YOU DO</t>
        </is>
      </c>
    </row>
    <row r="5" ht="44" customHeight="1">
      <c r="B5" s="4" t="inlineStr">
        <is>
          <t>1. Open in Bloomberg</t>
        </is>
      </c>
      <c r="C5" s="5" t="inlineStr">
        <is>
          <t>The add-in resolves one BDS call for the member list and roughly 700 BDP/BDH calls for the data. Give it a moment and press F9 if anything still reads #N/A Requesting.</t>
        </is>
      </c>
    </row>
    <row r="6" ht="44" customHeight="1">
      <c r="B6" s="4" t="inlineStr">
        <is>
          <t>2. Fill column B on Sector Map</t>
        </is>
      </c>
      <c r="C6" s="5" t="inlineStr">
        <is>
          <t>Ticker arrives on its own. Type your sector next to it. The Status column tracks what is still empty.</t>
        </is>
      </c>
    </row>
    <row r="7" ht="44" customHeight="1">
      <c r="B7" s="4" t="inlineStr">
        <is>
          <t>3. Read Sector Aggregation</t>
        </is>
      </c>
      <c r="C7" s="5" t="inlineStr">
        <is>
          <t>It discovers your sector names automatically — there is no list to maintain. Add a name, and a new row appears.</t>
        </is>
      </c>
    </row>
    <row r="9">
      <c r="B9" s="3" t="inlineStr">
        <is>
          <t>ONE THING WORTH DOING ONCE</t>
        </is>
      </c>
    </row>
    <row r="10" ht="100" customHeight="1">
      <c r="B10" s="4" t="inlineStr">
        <is>
          <t>Freeze the ticker column</t>
        </is>
      </c>
      <c r="C10" s="5" t="inlineStr">
        <is>
          <t>Column A of Sector Map is a formula reading the live index. That is convenient now, but the Ibovespa rebalances three times a year, and when a name enters or leaves, the formula shifts every ticker below it while your typed sectors stay put — silently misaligning them. After you have filled the sectors, select column A, copy, and Paste Special &gt; Values. The list becomes static, your mapping is anchored to it permanently, and any future entrant simply shows "◄ not in map" on Data so you can add one row. Five seconds, and the file stops being able to lie to you.</t>
        </is>
      </c>
    </row>
    <row r="12">
      <c r="B12" s="3" t="inlineStr">
        <is>
          <t>THE FIELDS, AND WHY</t>
        </is>
      </c>
    </row>
    <row r="13" ht="44" customHeight="1">
      <c r="B13" s="4" t="inlineStr">
        <is>
          <t>Earnings revisions</t>
        </is>
      </c>
      <c r="C13" s="5" t="inlineStr">
        <is>
          <t>Forward EPS today divided by forward EPS as of the lookback date, minus one. The fiscal period is pinned with BEST_FPERIOD_OVERRIDE (default "BF", blended forward 12m). Without pinning it, every annual roll would compare two different fiscal years and the "revision" would be an artefact.</t>
        </is>
      </c>
    </row>
    <row r="14" ht="44" customHeight="1">
      <c r="B14" s="4" t="inlineStr">
        <is>
          <t>Momentum</t>
        </is>
      </c>
      <c r="C14" s="5" t="inlineStr">
        <is>
          <t>Total return over the window via CUST_TRR_RETURN_HOLDING_PER with explicit start and end date overrides. Total return rather than price return, so a large dividend is not read as a fall. Divided by 100 because the field returns percentage points.</t>
        </is>
      </c>
    </row>
    <row r="15" ht="44" customHeight="1">
      <c r="B15" s="4" t="inlineStr">
        <is>
          <t>Market cap</t>
        </is>
      </c>
      <c r="C15" s="5" t="inlineStr">
        <is>
          <t>Two are pulled. CUR_MKT_CAP is company-level, so for a name with both an ON and a PN line in the index it reports the same number twice. Shares outstanding x price gives the cap of the individual listed line. Weighting basis defaults to the latter — this is what you asked for, and it keeps PETR3+PETR4 from counting Petrobras twice.</t>
        </is>
      </c>
    </row>
    <row r="16" ht="44" customHeight="1">
      <c r="B16" s="4" t="inlineStr">
        <is>
          <t>Missing data</t>
        </is>
      </c>
      <c r="C16" s="5" t="inlineStr">
        <is>
          <t>A security enters a weighted average only where both that factor and its market cap returned numbers, and only once it has a sector. The n columns on Sector Aggregation show how many names actually stood behind each figure, and the Data flag column says what is missing per ticker.</t>
        </is>
      </c>
    </row>
    <row r="18">
      <c r="B18" s="3" t="inlineStr">
        <is>
          <t>WHAT I COULD NOT VERIFY</t>
        </is>
      </c>
    </row>
    <row r="19" ht="44" customHeight="1">
      <c r="B19" s="4" t="inlineStr">
        <is>
          <t>No terminal here</t>
        </is>
      </c>
      <c r="C19" s="5" t="inlineStr">
        <is>
          <t>The IRR workbook I built earlier was checked cell by cell against Excel. This one could not be: there is no Bloomberg here, so no formula in it has ever returned a value. The structure, the Excel-side logic and the aggregation are sound, but treat the first open as a test run.</t>
        </is>
      </c>
    </row>
    <row r="20" ht="44" customHeight="1">
      <c r="B20" s="4" t="inlineStr">
        <is>
          <t>Field names are the likely failure</t>
        </is>
      </c>
      <c r="C20" s="5" t="inlineStr">
        <is>
          <t>BDP, BDH and BDS syntax is stable, and CUR_MKT_CAP, EQY_SH_OUT, PX_LAST and BEST_EPS are long-standing mnemonics. CUST_TRR_RETURN_HOLDING_PER is the one I would check first — it is entitlement-sensitive and the override names vary. If it fails, put CHG_PCT_3M in the Total return field cell, clear the date overrides, and accept price-only momentum over a fixed window.</t>
        </is>
      </c>
    </row>
    <row r="21" ht="44" customHeight="1">
      <c r="B21" s="4" t="inlineStr">
        <is>
          <t>Every mnemonic is a cell, not a formula</t>
        </is>
      </c>
      <c r="C21" s="5" t="inlineStr">
        <is>
          <t>This is why the Inputs sheet holds the field names. A wrong mnemonic is a one-cell fix that propagates to all 87 tickers, not a find-and-replace across the file.</t>
        </is>
      </c>
    </row>
    <row r="22" ht="44" customHeight="1">
      <c r="B22" s="4" t="inlineStr">
        <is>
          <t>Scale conventions</t>
        </is>
      </c>
      <c r="C22" s="5" t="inlineStr">
        <is>
          <t>Check two things on the first pull: that EQY_SH_OUT is in millions on your terminal, and that the total return field returns 60 rather than 0.60 for 60%. Both are divided or multiplied accordingly and both differ between setups.</t>
        </is>
      </c>
    </row>
    <row r="24">
      <c r="B24" s="3" t="inlineStr">
        <is>
          <t>COLOUR KEY</t>
        </is>
      </c>
    </row>
    <row r="25" ht="18" customHeight="1">
      <c r="B25" s="4" t="inlineStr">
        <is>
          <t>Yellow</t>
        </is>
      </c>
      <c r="C25" s="5" t="inlineStr">
        <is>
          <t>You edit these.</t>
        </is>
      </c>
    </row>
    <row r="26" ht="18" customHeight="1">
      <c r="B26" s="4" t="inlineStr">
        <is>
          <t>Purple</t>
        </is>
      </c>
      <c r="C26" s="5" t="inlineStr">
        <is>
          <t>Calls Bloomberg.</t>
        </is>
      </c>
    </row>
    <row r="27" ht="18" customHeight="1">
      <c r="B27" s="4" t="inlineStr">
        <is>
          <t>Black</t>
        </is>
      </c>
      <c r="C27" s="5" t="inlineStr">
        <is>
          <t>Calculated in Excel.</t>
        </is>
      </c>
    </row>
    <row r="28" ht="18" customHeight="1">
      <c r="B28" s="4" t="inlineStr">
        <is>
          <t>Grey, hidden</t>
        </is>
      </c>
      <c r="C28" s="5" t="inlineStr">
        <is>
          <t>Aggregation helpers on Data, columns Q to Y. Ungroup to inspect.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3" customWidth="1" min="4" max="4"/>
    <col width="74" customWidth="1" min="5" max="5"/>
  </cols>
  <sheetData>
    <row r="1">
      <c r="A1" s="1" t="inlineStr">
        <is>
          <t>Inputs — the whole workbook is driven from here</t>
        </is>
      </c>
    </row>
    <row r="2">
      <c r="A2" s="2" t="inlineStr">
        <is>
          <t>Edit only the YELLOW cells. Field mnemonics live here on purpose: if your terminal names a field differently, change it once here and every ticker follows.</t>
        </is>
      </c>
    </row>
    <row r="4">
      <c r="B4" s="6" t="inlineStr">
        <is>
          <t>SCOPE</t>
        </is>
      </c>
      <c r="C4" s="7" t="n"/>
    </row>
    <row r="5" ht="30" customHeight="1">
      <c r="B5" s="4" t="inlineStr">
        <is>
          <t>Index ticker</t>
        </is>
      </c>
      <c r="C5" s="8" t="inlineStr">
        <is>
          <t>IBOV Index</t>
        </is>
      </c>
      <c r="E5" s="9" t="inlineStr">
        <is>
          <t>Feeds BDS(...,"INDX_MEMBERS") on the Index Members sheet. Swap for "IBX Index", "SMLL Index", etc.</t>
        </is>
      </c>
    </row>
    <row r="6" ht="30" customHeight="1">
      <c r="B6" s="4" t="inlineStr">
        <is>
          <t>Ticker suffix</t>
        </is>
      </c>
      <c r="C6" s="8" t="inlineStr">
        <is>
          <t xml:space="preserve"> Equity</t>
        </is>
      </c>
      <c r="E6" s="9" t="inlineStr">
        <is>
          <t>INDX_MEMBERS returns "PETR4 BZ", so " Equity" is appended to make a full BDP ticker. Keep the leading space.</t>
        </is>
      </c>
    </row>
    <row r="7" ht="30" customHeight="1">
      <c r="B7" s="4" t="inlineStr">
        <is>
          <t>As-of date</t>
        </is>
      </c>
      <c r="C7" s="10">
        <f>TODAY()</f>
        <v/>
      </c>
      <c r="E7" s="9" t="inlineStr">
        <is>
          <t>Anchor for every lookback. Leave as TODAY() for a live screen, or hardcode a date to freeze a snapshot.</t>
        </is>
      </c>
    </row>
    <row r="8">
      <c r="B8" s="6" t="inlineStr">
        <is>
          <t>WINDOWS</t>
        </is>
      </c>
      <c r="C8" s="7" t="n"/>
    </row>
    <row r="9" ht="30" customHeight="1">
      <c r="B9" s="4" t="inlineStr">
        <is>
          <t>Momentum window A (months)</t>
        </is>
      </c>
      <c r="C9" s="11" t="n">
        <v>3</v>
      </c>
      <c r="E9" s="9" t="inlineStr">
        <is>
          <t>Short momentum horizon.</t>
        </is>
      </c>
    </row>
    <row r="10" ht="30" customHeight="1">
      <c r="B10" s="4" t="inlineStr">
        <is>
          <t>Momentum window B (months)</t>
        </is>
      </c>
      <c r="C10" s="11" t="n">
        <v>6</v>
      </c>
      <c r="E10" s="9" t="inlineStr">
        <is>
          <t>Long momentum horizon.</t>
        </is>
      </c>
    </row>
    <row r="11" ht="30" customHeight="1">
      <c r="B11" s="4" t="inlineStr">
        <is>
          <t>Revision window A (months)</t>
        </is>
      </c>
      <c r="C11" s="11" t="n">
        <v>3</v>
      </c>
      <c r="E11" s="9" t="inlineStr">
        <is>
          <t>Short earnings-revision horizon.</t>
        </is>
      </c>
    </row>
    <row r="12" ht="30" customHeight="1">
      <c r="B12" s="4" t="inlineStr">
        <is>
          <t>Revision window B (months)</t>
        </is>
      </c>
      <c r="C12" s="11" t="n">
        <v>6</v>
      </c>
      <c r="E12" s="9" t="inlineStr">
        <is>
          <t>Long earnings-revision horizon.</t>
        </is>
      </c>
    </row>
    <row r="13">
      <c r="B13" s="6" t="inlineStr">
        <is>
          <t>FIELDS</t>
        </is>
      </c>
      <c r="C13" s="7" t="n"/>
    </row>
    <row r="14" ht="44" customHeight="1">
      <c r="B14" s="4" t="inlineStr">
        <is>
          <t>Market cap</t>
        </is>
      </c>
      <c r="C14" s="8" t="inlineStr">
        <is>
          <t>CUR_MKT_CAP</t>
        </is>
      </c>
      <c r="E14" s="9" t="inlineStr">
        <is>
          <t>Bloomberg reports this at COMPANY level. For a Brazilian name with ON and PN lines both in the index it is the same number on both, which double-counts if you weight by it. See Weighting basis.</t>
        </is>
      </c>
    </row>
    <row r="15" ht="30" customHeight="1">
      <c r="B15" s="4" t="inlineStr">
        <is>
          <t>Shares outstanding</t>
        </is>
      </c>
      <c r="C15" s="8" t="inlineStr">
        <is>
          <t>EQY_SH_OUT</t>
        </is>
      </c>
      <c r="E15" s="9" t="inlineStr">
        <is>
          <t>Shares of THIS listed line, in millions. Used to build a security-level cap.</t>
        </is>
      </c>
    </row>
    <row r="16" ht="30" customHeight="1">
      <c r="B16" s="4" t="inlineStr">
        <is>
          <t>Last price</t>
        </is>
      </c>
      <c r="C16" s="8" t="inlineStr">
        <is>
          <t>PX_LAST</t>
        </is>
      </c>
      <c r="E16" s="9" t="inlineStr">
        <is>
          <t>Used with shares outstanding for the security-level cap.</t>
        </is>
      </c>
    </row>
    <row r="17" ht="44" customHeight="1">
      <c r="B17" s="4" t="inlineStr">
        <is>
          <t>Forward EPS estimate</t>
        </is>
      </c>
      <c r="C17" s="8" t="inlineStr">
        <is>
          <t>BEST_EPS</t>
        </is>
      </c>
      <c r="E17" s="9" t="inlineStr">
        <is>
          <t>Consensus EPS. The revision is the change in this number, so the fiscal period must be pinned — see the override below.</t>
        </is>
      </c>
    </row>
    <row r="18" ht="44" customHeight="1">
      <c r="B18" s="4" t="inlineStr">
        <is>
          <t>Fiscal period override</t>
        </is>
      </c>
      <c r="C18" s="8" t="inlineStr">
        <is>
          <t>BF</t>
        </is>
      </c>
      <c r="E18" s="9" t="inlineStr">
        <is>
          <t>BEST_FPERIOD_OVERRIDE. "BF" is blended forward 12m, which rolls continuously and is the right choice for a revision. A fixed year ("2027") also works. Leaving it unpinned would compare different fiscal years and produce a meaningless revision at every annual roll.</t>
        </is>
      </c>
    </row>
    <row r="19" ht="44" customHeight="1">
      <c r="B19" s="4" t="inlineStr">
        <is>
          <t>Total return field</t>
        </is>
      </c>
      <c r="C19" s="8" t="inlineStr">
        <is>
          <t>CUST_TRR_RETURN_HOLDING_PER</t>
        </is>
      </c>
      <c r="E19" s="9" t="inlineStr">
        <is>
          <t>Total return over a custom window, driven by the two date overrides. Includes dividends, which is the correct momentum measure. If your terminal rejects it, try CHG_PCT_3M / CHG_PCT_6M instead (price only, fixed windows).</t>
        </is>
      </c>
    </row>
    <row r="20">
      <c r="B20" s="6" t="inlineStr">
        <is>
          <t>WEIGHTING</t>
        </is>
      </c>
      <c r="C20" s="7" t="n"/>
    </row>
    <row r="21" ht="44" customHeight="1">
      <c r="B21" s="4" t="inlineStr">
        <is>
          <t>Weighting basis</t>
        </is>
      </c>
      <c r="C21" s="8" t="inlineStr">
        <is>
          <t>SEC_CAP</t>
        </is>
      </c>
      <c r="E21" s="9" t="inlineStr">
        <is>
          <t>SEC_CAP = shares outstanding x price, i.e. the market cap of THIS listed line. COMPANY_CAP = the CUR_MKT_CAP field. Use SEC_CAP for Brazil: it is what you asked for, and it stops PETR3+PETR4 or ITUB3+ITUB4 from counting the same company twice.</t>
        </is>
      </c>
    </row>
    <row r="23">
      <c r="B23" s="6" t="inlineStr">
        <is>
          <t>DERIVED DATES (calculated)</t>
        </is>
      </c>
      <c r="C23" s="7" t="n"/>
    </row>
    <row r="24">
      <c r="B24" s="4" t="inlineStr">
        <is>
          <t>Momentum A start</t>
        </is>
      </c>
      <c r="C24" s="12">
        <f>EDATE(AsOf,-MomA)</f>
        <v/>
      </c>
      <c r="E24" s="2" t="inlineStr">
        <is>
          <t>EDATE back from the as-of date. Bloomberg overrides receive it as YYYYMMDD.</t>
        </is>
      </c>
    </row>
    <row r="25">
      <c r="B25" s="4" t="inlineStr">
        <is>
          <t>Momentum B start</t>
        </is>
      </c>
      <c r="C25" s="12">
        <f>EDATE(AsOf,-MomB)</f>
        <v/>
      </c>
      <c r="E25" s="2" t="inlineStr">
        <is>
          <t>EDATE back from the as-of date. Bloomberg overrides receive it as YYYYMMDD.</t>
        </is>
      </c>
    </row>
    <row r="26">
      <c r="B26" s="4" t="inlineStr">
        <is>
          <t>Revision A base date</t>
        </is>
      </c>
      <c r="C26" s="12">
        <f>EDATE(AsOf,-RevA)</f>
        <v/>
      </c>
      <c r="E26" s="2" t="inlineStr">
        <is>
          <t>EDATE back from the as-of date. Bloomberg overrides receive it as YYYYMMDD.</t>
        </is>
      </c>
    </row>
    <row r="27">
      <c r="B27" s="4" t="inlineStr">
        <is>
          <t>Revision B base date</t>
        </is>
      </c>
      <c r="C27" s="12">
        <f>EDATE(AsOf,-RevB)</f>
        <v/>
      </c>
      <c r="E27" s="2" t="inlineStr">
        <is>
          <t>EDATE back from the as-of date. Bloomberg overrides receive it as YYYYMMDD.</t>
        </is>
      </c>
    </row>
  </sheetData>
  <dataValidations count="1">
    <dataValidation sqref="C21" showDropDown="0" showInputMessage="0" showErrorMessage="0" allowBlank="0" type="list">
      <formula1>"SEC_CAP,COMPANY_CAP"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</cols>
  <sheetData>
    <row r="1">
      <c r="A1" s="1" t="inlineStr">
        <is>
          <t>Sector Map — the only sheet you fill in</t>
        </is>
      </c>
    </row>
    <row r="2">
      <c r="A2" s="2" t="inlineStr">
        <is>
          <t>Column A arrives from the index automatically. Type your sector in column B. Nothing else in the workbook needs touching.</t>
        </is>
      </c>
    </row>
    <row r="3" ht="40" customHeight="1">
      <c r="A3" s="13" t="inlineStr">
        <is>
          <t>Ticker</t>
        </is>
      </c>
      <c r="B3" s="13" t="inlineStr">
        <is>
          <t>Sector (fill this in)</t>
        </is>
      </c>
      <c r="C3" s="13" t="inlineStr">
        <is>
          <t>Status</t>
        </is>
      </c>
    </row>
    <row r="4">
      <c r="A4" s="14">
        <f>IFERROR(IF(INDEX('Index Members'!$A$4:$A$403,ROW()-3)=0,"",INDEX('Index Members'!$A$4:$A$403,ROW()-3)),"")</f>
        <v/>
      </c>
      <c r="B4" s="8" t="n"/>
      <c r="C4" s="2">
        <f>IF($A4="","",IF($B4="","EMPTY","ok"))</f>
        <v/>
      </c>
    </row>
    <row r="5">
      <c r="A5" s="14">
        <f>IFERROR(IF(INDEX('Index Members'!$A$4:$A$403,ROW()-3)=0,"",INDEX('Index Members'!$A$4:$A$403,ROW()-3)),"")</f>
        <v/>
      </c>
      <c r="B5" s="8" t="n"/>
      <c r="C5" s="2">
        <f>IF($A5="","",IF($B5="","EMPTY","ok"))</f>
        <v/>
      </c>
    </row>
    <row r="6">
      <c r="A6" s="14">
        <f>IFERROR(IF(INDEX('Index Members'!$A$4:$A$403,ROW()-3)=0,"",INDEX('Index Members'!$A$4:$A$403,ROW()-3)),"")</f>
        <v/>
      </c>
      <c r="B6" s="8" t="n"/>
      <c r="C6" s="2">
        <f>IF($A6="","",IF($B6="","EMPTY","ok"))</f>
        <v/>
      </c>
    </row>
    <row r="7">
      <c r="A7" s="14">
        <f>IFERROR(IF(INDEX('Index Members'!$A$4:$A$403,ROW()-3)=0,"",INDEX('Index Members'!$A$4:$A$403,ROW()-3)),"")</f>
        <v/>
      </c>
      <c r="B7" s="8" t="n"/>
      <c r="C7" s="2">
        <f>IF($A7="","",IF($B7="","EMPTY","ok"))</f>
        <v/>
      </c>
    </row>
    <row r="8">
      <c r="A8" s="14">
        <f>IFERROR(IF(INDEX('Index Members'!$A$4:$A$403,ROW()-3)=0,"",INDEX('Index Members'!$A$4:$A$403,ROW()-3)),"")</f>
        <v/>
      </c>
      <c r="B8" s="8" t="n"/>
      <c r="C8" s="2">
        <f>IF($A8="","",IF($B8="","EMPTY","ok"))</f>
        <v/>
      </c>
    </row>
    <row r="9">
      <c r="A9" s="14">
        <f>IFERROR(IF(INDEX('Index Members'!$A$4:$A$403,ROW()-3)=0,"",INDEX('Index Members'!$A$4:$A$403,ROW()-3)),"")</f>
        <v/>
      </c>
      <c r="B9" s="8" t="n"/>
      <c r="C9" s="2">
        <f>IF($A9="","",IF($B9="","EMPTY","ok"))</f>
        <v/>
      </c>
    </row>
    <row r="10">
      <c r="A10" s="14">
        <f>IFERROR(IF(INDEX('Index Members'!$A$4:$A$403,ROW()-3)=0,"",INDEX('Index Members'!$A$4:$A$403,ROW()-3)),"")</f>
        <v/>
      </c>
      <c r="B10" s="8" t="n"/>
      <c r="C10" s="2">
        <f>IF($A10="","",IF($B10="","EMPTY","ok"))</f>
        <v/>
      </c>
    </row>
    <row r="11">
      <c r="A11" s="14">
        <f>IFERROR(IF(INDEX('Index Members'!$A$4:$A$403,ROW()-3)=0,"",INDEX('Index Members'!$A$4:$A$403,ROW()-3)),"")</f>
        <v/>
      </c>
      <c r="B11" s="8" t="n"/>
      <c r="C11" s="2">
        <f>IF($A11="","",IF($B11="","EMPTY","ok"))</f>
        <v/>
      </c>
    </row>
    <row r="12">
      <c r="A12" s="14">
        <f>IFERROR(IF(INDEX('Index Members'!$A$4:$A$403,ROW()-3)=0,"",INDEX('Index Members'!$A$4:$A$403,ROW()-3)),"")</f>
        <v/>
      </c>
      <c r="B12" s="8" t="n"/>
      <c r="C12" s="2">
        <f>IF($A12="","",IF($B12="","EMPTY","ok"))</f>
        <v/>
      </c>
    </row>
    <row r="13">
      <c r="A13" s="14">
        <f>IFERROR(IF(INDEX('Index Members'!$A$4:$A$403,ROW()-3)=0,"",INDEX('Index Members'!$A$4:$A$403,ROW()-3)),"")</f>
        <v/>
      </c>
      <c r="B13" s="8" t="n"/>
      <c r="C13" s="2">
        <f>IF($A13="","",IF($B13="","EMPTY","ok"))</f>
        <v/>
      </c>
    </row>
    <row r="14">
      <c r="A14" s="14">
        <f>IFERROR(IF(INDEX('Index Members'!$A$4:$A$403,ROW()-3)=0,"",INDEX('Index Members'!$A$4:$A$403,ROW()-3)),"")</f>
        <v/>
      </c>
      <c r="B14" s="8" t="n"/>
      <c r="C14" s="2">
        <f>IF($A14="","",IF($B14="","EMPTY","ok"))</f>
        <v/>
      </c>
    </row>
    <row r="15">
      <c r="A15" s="14">
        <f>IFERROR(IF(INDEX('Index Members'!$A$4:$A$403,ROW()-3)=0,"",INDEX('Index Members'!$A$4:$A$403,ROW()-3)),"")</f>
        <v/>
      </c>
      <c r="B15" s="8" t="n"/>
      <c r="C15" s="2">
        <f>IF($A15="","",IF($B15="","EMPTY","ok"))</f>
        <v/>
      </c>
    </row>
    <row r="16">
      <c r="A16" s="14">
        <f>IFERROR(IF(INDEX('Index Members'!$A$4:$A$403,ROW()-3)=0,"",INDEX('Index Members'!$A$4:$A$403,ROW()-3)),"")</f>
        <v/>
      </c>
      <c r="B16" s="8" t="n"/>
      <c r="C16" s="2">
        <f>IF($A16="","",IF($B16="","EMPTY","ok"))</f>
        <v/>
      </c>
    </row>
    <row r="17">
      <c r="A17" s="14">
        <f>IFERROR(IF(INDEX('Index Members'!$A$4:$A$403,ROW()-3)=0,"",INDEX('Index Members'!$A$4:$A$403,ROW()-3)),"")</f>
        <v/>
      </c>
      <c r="B17" s="8" t="n"/>
      <c r="C17" s="2">
        <f>IF($A17="","",IF($B17="","EMPTY","ok"))</f>
        <v/>
      </c>
    </row>
    <row r="18">
      <c r="A18" s="14">
        <f>IFERROR(IF(INDEX('Index Members'!$A$4:$A$403,ROW()-3)=0,"",INDEX('Index Members'!$A$4:$A$403,ROW()-3)),"")</f>
        <v/>
      </c>
      <c r="B18" s="8" t="n"/>
      <c r="C18" s="2">
        <f>IF($A18="","",IF($B18="","EMPTY","ok"))</f>
        <v/>
      </c>
    </row>
    <row r="19">
      <c r="A19" s="14">
        <f>IFERROR(IF(INDEX('Index Members'!$A$4:$A$403,ROW()-3)=0,"",INDEX('Index Members'!$A$4:$A$403,ROW()-3)),"")</f>
        <v/>
      </c>
      <c r="B19" s="8" t="n"/>
      <c r="C19" s="2">
        <f>IF($A19="","",IF($B19="","EMPTY","ok"))</f>
        <v/>
      </c>
    </row>
    <row r="20">
      <c r="A20" s="14">
        <f>IFERROR(IF(INDEX('Index Members'!$A$4:$A$403,ROW()-3)=0,"",INDEX('Index Members'!$A$4:$A$403,ROW()-3)),"")</f>
        <v/>
      </c>
      <c r="B20" s="8" t="n"/>
      <c r="C20" s="2">
        <f>IF($A20="","",IF($B20="","EMPTY","ok"))</f>
        <v/>
      </c>
    </row>
    <row r="21">
      <c r="A21" s="14">
        <f>IFERROR(IF(INDEX('Index Members'!$A$4:$A$403,ROW()-3)=0,"",INDEX('Index Members'!$A$4:$A$403,ROW()-3)),"")</f>
        <v/>
      </c>
      <c r="B21" s="8" t="n"/>
      <c r="C21" s="2">
        <f>IF($A21="","",IF($B21="","EMPTY","ok"))</f>
        <v/>
      </c>
    </row>
    <row r="22">
      <c r="A22" s="14">
        <f>IFERROR(IF(INDEX('Index Members'!$A$4:$A$403,ROW()-3)=0,"",INDEX('Index Members'!$A$4:$A$403,ROW()-3)),"")</f>
        <v/>
      </c>
      <c r="B22" s="8" t="n"/>
      <c r="C22" s="2">
        <f>IF($A22="","",IF($B22="","EMPTY","ok"))</f>
        <v/>
      </c>
    </row>
    <row r="23">
      <c r="A23" s="14">
        <f>IFERROR(IF(INDEX('Index Members'!$A$4:$A$403,ROW()-3)=0,"",INDEX('Index Members'!$A$4:$A$403,ROW()-3)),"")</f>
        <v/>
      </c>
      <c r="B23" s="8" t="n"/>
      <c r="C23" s="2">
        <f>IF($A23="","",IF($B23="","EMPTY","ok"))</f>
        <v/>
      </c>
    </row>
    <row r="24">
      <c r="A24" s="14">
        <f>IFERROR(IF(INDEX('Index Members'!$A$4:$A$403,ROW()-3)=0,"",INDEX('Index Members'!$A$4:$A$403,ROW()-3)),"")</f>
        <v/>
      </c>
      <c r="B24" s="8" t="n"/>
      <c r="C24" s="2">
        <f>IF($A24="","",IF($B24="","EMPTY","ok"))</f>
        <v/>
      </c>
    </row>
    <row r="25">
      <c r="A25" s="14">
        <f>IFERROR(IF(INDEX('Index Members'!$A$4:$A$403,ROW()-3)=0,"",INDEX('Index Members'!$A$4:$A$403,ROW()-3)),"")</f>
        <v/>
      </c>
      <c r="B25" s="8" t="n"/>
      <c r="C25" s="2">
        <f>IF($A25="","",IF($B25="","EMPTY","ok"))</f>
        <v/>
      </c>
    </row>
    <row r="26">
      <c r="A26" s="14">
        <f>IFERROR(IF(INDEX('Index Members'!$A$4:$A$403,ROW()-3)=0,"",INDEX('Index Members'!$A$4:$A$403,ROW()-3)),"")</f>
        <v/>
      </c>
      <c r="B26" s="8" t="n"/>
      <c r="C26" s="2">
        <f>IF($A26="","",IF($B26="","EMPTY","ok"))</f>
        <v/>
      </c>
    </row>
    <row r="27">
      <c r="A27" s="14">
        <f>IFERROR(IF(INDEX('Index Members'!$A$4:$A$403,ROW()-3)=0,"",INDEX('Index Members'!$A$4:$A$403,ROW()-3)),"")</f>
        <v/>
      </c>
      <c r="B27" s="8" t="n"/>
      <c r="C27" s="2">
        <f>IF($A27="","",IF($B27="","EMPTY","ok"))</f>
        <v/>
      </c>
    </row>
    <row r="28">
      <c r="A28" s="14">
        <f>IFERROR(IF(INDEX('Index Members'!$A$4:$A$403,ROW()-3)=0,"",INDEX('Index Members'!$A$4:$A$403,ROW()-3)),"")</f>
        <v/>
      </c>
      <c r="B28" s="8" t="n"/>
      <c r="C28" s="2">
        <f>IF($A28="","",IF($B28="","EMPTY","ok"))</f>
        <v/>
      </c>
    </row>
    <row r="29">
      <c r="A29" s="14">
        <f>IFERROR(IF(INDEX('Index Members'!$A$4:$A$403,ROW()-3)=0,"",INDEX('Index Members'!$A$4:$A$403,ROW()-3)),"")</f>
        <v/>
      </c>
      <c r="B29" s="8" t="n"/>
      <c r="C29" s="2">
        <f>IF($A29="","",IF($B29="","EMPTY","ok"))</f>
        <v/>
      </c>
    </row>
    <row r="30">
      <c r="A30" s="14">
        <f>IFERROR(IF(INDEX('Index Members'!$A$4:$A$403,ROW()-3)=0,"",INDEX('Index Members'!$A$4:$A$403,ROW()-3)),"")</f>
        <v/>
      </c>
      <c r="B30" s="8" t="n"/>
      <c r="C30" s="2">
        <f>IF($A30="","",IF($B30="","EMPTY","ok"))</f>
        <v/>
      </c>
    </row>
    <row r="31">
      <c r="A31" s="14">
        <f>IFERROR(IF(INDEX('Index Members'!$A$4:$A$403,ROW()-3)=0,"",INDEX('Index Members'!$A$4:$A$403,ROW()-3)),"")</f>
        <v/>
      </c>
      <c r="B31" s="8" t="n"/>
      <c r="C31" s="2">
        <f>IF($A31="","",IF($B31="","EMPTY","ok"))</f>
        <v/>
      </c>
    </row>
    <row r="32">
      <c r="A32" s="14">
        <f>IFERROR(IF(INDEX('Index Members'!$A$4:$A$403,ROW()-3)=0,"",INDEX('Index Members'!$A$4:$A$403,ROW()-3)),"")</f>
        <v/>
      </c>
      <c r="B32" s="8" t="n"/>
      <c r="C32" s="2">
        <f>IF($A32="","",IF($B32="","EMPTY","ok"))</f>
        <v/>
      </c>
    </row>
    <row r="33">
      <c r="A33" s="14">
        <f>IFERROR(IF(INDEX('Index Members'!$A$4:$A$403,ROW()-3)=0,"",INDEX('Index Members'!$A$4:$A$403,ROW()-3)),"")</f>
        <v/>
      </c>
      <c r="B33" s="8" t="n"/>
      <c r="C33" s="2">
        <f>IF($A33="","",IF($B33="","EMPTY","ok"))</f>
        <v/>
      </c>
    </row>
    <row r="34">
      <c r="A34" s="14">
        <f>IFERROR(IF(INDEX('Index Members'!$A$4:$A$403,ROW()-3)=0,"",INDEX('Index Members'!$A$4:$A$403,ROW()-3)),"")</f>
        <v/>
      </c>
      <c r="B34" s="8" t="n"/>
      <c r="C34" s="2">
        <f>IF($A34="","",IF($B34="","EMPTY","ok"))</f>
        <v/>
      </c>
    </row>
    <row r="35">
      <c r="A35" s="14">
        <f>IFERROR(IF(INDEX('Index Members'!$A$4:$A$403,ROW()-3)=0,"",INDEX('Index Members'!$A$4:$A$403,ROW()-3)),"")</f>
        <v/>
      </c>
      <c r="B35" s="8" t="n"/>
      <c r="C35" s="2">
        <f>IF($A35="","",IF($B35="","EMPTY","ok"))</f>
        <v/>
      </c>
    </row>
    <row r="36">
      <c r="A36" s="14">
        <f>IFERROR(IF(INDEX('Index Members'!$A$4:$A$403,ROW()-3)=0,"",INDEX('Index Members'!$A$4:$A$403,ROW()-3)),"")</f>
        <v/>
      </c>
      <c r="B36" s="8" t="n"/>
      <c r="C36" s="2">
        <f>IF($A36="","",IF($B36="","EMPTY","ok"))</f>
        <v/>
      </c>
    </row>
    <row r="37">
      <c r="A37" s="14">
        <f>IFERROR(IF(INDEX('Index Members'!$A$4:$A$403,ROW()-3)=0,"",INDEX('Index Members'!$A$4:$A$403,ROW()-3)),"")</f>
        <v/>
      </c>
      <c r="B37" s="8" t="n"/>
      <c r="C37" s="2">
        <f>IF($A37="","",IF($B37="","EMPTY","ok"))</f>
        <v/>
      </c>
    </row>
    <row r="38">
      <c r="A38" s="14">
        <f>IFERROR(IF(INDEX('Index Members'!$A$4:$A$403,ROW()-3)=0,"",INDEX('Index Members'!$A$4:$A$403,ROW()-3)),"")</f>
        <v/>
      </c>
      <c r="B38" s="8" t="n"/>
      <c r="C38" s="2">
        <f>IF($A38="","",IF($B38="","EMPTY","ok"))</f>
        <v/>
      </c>
    </row>
    <row r="39">
      <c r="A39" s="14">
        <f>IFERROR(IF(INDEX('Index Members'!$A$4:$A$403,ROW()-3)=0,"",INDEX('Index Members'!$A$4:$A$403,ROW()-3)),"")</f>
        <v/>
      </c>
      <c r="B39" s="8" t="n"/>
      <c r="C39" s="2">
        <f>IF($A39="","",IF($B39="","EMPTY","ok"))</f>
        <v/>
      </c>
    </row>
    <row r="40">
      <c r="A40" s="14">
        <f>IFERROR(IF(INDEX('Index Members'!$A$4:$A$403,ROW()-3)=0,"",INDEX('Index Members'!$A$4:$A$403,ROW()-3)),"")</f>
        <v/>
      </c>
      <c r="B40" s="8" t="n"/>
      <c r="C40" s="2">
        <f>IF($A40="","",IF($B40="","EMPTY","ok"))</f>
        <v/>
      </c>
    </row>
    <row r="41">
      <c r="A41" s="14">
        <f>IFERROR(IF(INDEX('Index Members'!$A$4:$A$403,ROW()-3)=0,"",INDEX('Index Members'!$A$4:$A$403,ROW()-3)),"")</f>
        <v/>
      </c>
      <c r="B41" s="8" t="n"/>
      <c r="C41" s="2">
        <f>IF($A41="","",IF($B41="","EMPTY","ok"))</f>
        <v/>
      </c>
    </row>
    <row r="42">
      <c r="A42" s="14">
        <f>IFERROR(IF(INDEX('Index Members'!$A$4:$A$403,ROW()-3)=0,"",INDEX('Index Members'!$A$4:$A$403,ROW()-3)),"")</f>
        <v/>
      </c>
      <c r="B42" s="8" t="n"/>
      <c r="C42" s="2">
        <f>IF($A42="","",IF($B42="","EMPTY","ok"))</f>
        <v/>
      </c>
    </row>
    <row r="43">
      <c r="A43" s="14">
        <f>IFERROR(IF(INDEX('Index Members'!$A$4:$A$403,ROW()-3)=0,"",INDEX('Index Members'!$A$4:$A$403,ROW()-3)),"")</f>
        <v/>
      </c>
      <c r="B43" s="8" t="n"/>
      <c r="C43" s="2">
        <f>IF($A43="","",IF($B43="","EMPTY","ok"))</f>
        <v/>
      </c>
    </row>
    <row r="44">
      <c r="A44" s="14">
        <f>IFERROR(IF(INDEX('Index Members'!$A$4:$A$403,ROW()-3)=0,"",INDEX('Index Members'!$A$4:$A$403,ROW()-3)),"")</f>
        <v/>
      </c>
      <c r="B44" s="8" t="n"/>
      <c r="C44" s="2">
        <f>IF($A44="","",IF($B44="","EMPTY","ok"))</f>
        <v/>
      </c>
    </row>
    <row r="45">
      <c r="A45" s="14">
        <f>IFERROR(IF(INDEX('Index Members'!$A$4:$A$403,ROW()-3)=0,"",INDEX('Index Members'!$A$4:$A$403,ROW()-3)),"")</f>
        <v/>
      </c>
      <c r="B45" s="8" t="n"/>
      <c r="C45" s="2">
        <f>IF($A45="","",IF($B45="","EMPTY","ok"))</f>
        <v/>
      </c>
    </row>
    <row r="46">
      <c r="A46" s="14">
        <f>IFERROR(IF(INDEX('Index Members'!$A$4:$A$403,ROW()-3)=0,"",INDEX('Index Members'!$A$4:$A$403,ROW()-3)),"")</f>
        <v/>
      </c>
      <c r="B46" s="8" t="n"/>
      <c r="C46" s="2">
        <f>IF($A46="","",IF($B46="","EMPTY","ok"))</f>
        <v/>
      </c>
    </row>
    <row r="47">
      <c r="A47" s="14">
        <f>IFERROR(IF(INDEX('Index Members'!$A$4:$A$403,ROW()-3)=0,"",INDEX('Index Members'!$A$4:$A$403,ROW()-3)),"")</f>
        <v/>
      </c>
      <c r="B47" s="8" t="n"/>
      <c r="C47" s="2">
        <f>IF($A47="","",IF($B47="","EMPTY","ok"))</f>
        <v/>
      </c>
    </row>
    <row r="48">
      <c r="A48" s="14">
        <f>IFERROR(IF(INDEX('Index Members'!$A$4:$A$403,ROW()-3)=0,"",INDEX('Index Members'!$A$4:$A$403,ROW()-3)),"")</f>
        <v/>
      </c>
      <c r="B48" s="8" t="n"/>
      <c r="C48" s="2">
        <f>IF($A48="","",IF($B48="","EMPTY","ok"))</f>
        <v/>
      </c>
    </row>
    <row r="49">
      <c r="A49" s="14">
        <f>IFERROR(IF(INDEX('Index Members'!$A$4:$A$403,ROW()-3)=0,"",INDEX('Index Members'!$A$4:$A$403,ROW()-3)),"")</f>
        <v/>
      </c>
      <c r="B49" s="8" t="n"/>
      <c r="C49" s="2">
        <f>IF($A49="","",IF($B49="","EMPTY","ok"))</f>
        <v/>
      </c>
    </row>
    <row r="50">
      <c r="A50" s="14">
        <f>IFERROR(IF(INDEX('Index Members'!$A$4:$A$403,ROW()-3)=0,"",INDEX('Index Members'!$A$4:$A$403,ROW()-3)),"")</f>
        <v/>
      </c>
      <c r="B50" s="8" t="n"/>
      <c r="C50" s="2">
        <f>IF($A50="","",IF($B50="","EMPTY","ok"))</f>
        <v/>
      </c>
    </row>
    <row r="51">
      <c r="A51" s="14">
        <f>IFERROR(IF(INDEX('Index Members'!$A$4:$A$403,ROW()-3)=0,"",INDEX('Index Members'!$A$4:$A$403,ROW()-3)),"")</f>
        <v/>
      </c>
      <c r="B51" s="8" t="n"/>
      <c r="C51" s="2">
        <f>IF($A51="","",IF($B51="","EMPTY","ok"))</f>
        <v/>
      </c>
    </row>
    <row r="52">
      <c r="A52" s="14">
        <f>IFERROR(IF(INDEX('Index Members'!$A$4:$A$403,ROW()-3)=0,"",INDEX('Index Members'!$A$4:$A$403,ROW()-3)),"")</f>
        <v/>
      </c>
      <c r="B52" s="8" t="n"/>
      <c r="C52" s="2">
        <f>IF($A52="","",IF($B52="","EMPTY","ok"))</f>
        <v/>
      </c>
    </row>
    <row r="53">
      <c r="A53" s="14">
        <f>IFERROR(IF(INDEX('Index Members'!$A$4:$A$403,ROW()-3)=0,"",INDEX('Index Members'!$A$4:$A$403,ROW()-3)),"")</f>
        <v/>
      </c>
      <c r="B53" s="8" t="n"/>
      <c r="C53" s="2">
        <f>IF($A53="","",IF($B53="","EMPTY","ok"))</f>
        <v/>
      </c>
    </row>
    <row r="54">
      <c r="A54" s="14">
        <f>IFERROR(IF(INDEX('Index Members'!$A$4:$A$403,ROW()-3)=0,"",INDEX('Index Members'!$A$4:$A$403,ROW()-3)),"")</f>
        <v/>
      </c>
      <c r="B54" s="8" t="n"/>
      <c r="C54" s="2">
        <f>IF($A54="","",IF($B54="","EMPTY","ok"))</f>
        <v/>
      </c>
    </row>
    <row r="55">
      <c r="A55" s="14">
        <f>IFERROR(IF(INDEX('Index Members'!$A$4:$A$403,ROW()-3)=0,"",INDEX('Index Members'!$A$4:$A$403,ROW()-3)),"")</f>
        <v/>
      </c>
      <c r="B55" s="8" t="n"/>
      <c r="C55" s="2">
        <f>IF($A55="","",IF($B55="","EMPTY","ok"))</f>
        <v/>
      </c>
    </row>
    <row r="56">
      <c r="A56" s="14">
        <f>IFERROR(IF(INDEX('Index Members'!$A$4:$A$403,ROW()-3)=0,"",INDEX('Index Members'!$A$4:$A$403,ROW()-3)),"")</f>
        <v/>
      </c>
      <c r="B56" s="8" t="n"/>
      <c r="C56" s="2">
        <f>IF($A56="","",IF($B56="","EMPTY","ok"))</f>
        <v/>
      </c>
    </row>
    <row r="57">
      <c r="A57" s="14">
        <f>IFERROR(IF(INDEX('Index Members'!$A$4:$A$403,ROW()-3)=0,"",INDEX('Index Members'!$A$4:$A$403,ROW()-3)),"")</f>
        <v/>
      </c>
      <c r="B57" s="8" t="n"/>
      <c r="C57" s="2">
        <f>IF($A57="","",IF($B57="","EMPTY","ok"))</f>
        <v/>
      </c>
    </row>
    <row r="58">
      <c r="A58" s="14">
        <f>IFERROR(IF(INDEX('Index Members'!$A$4:$A$403,ROW()-3)=0,"",INDEX('Index Members'!$A$4:$A$403,ROW()-3)),"")</f>
        <v/>
      </c>
      <c r="B58" s="8" t="n"/>
      <c r="C58" s="2">
        <f>IF($A58="","",IF($B58="","EMPTY","ok"))</f>
        <v/>
      </c>
    </row>
    <row r="59">
      <c r="A59" s="14">
        <f>IFERROR(IF(INDEX('Index Members'!$A$4:$A$403,ROW()-3)=0,"",INDEX('Index Members'!$A$4:$A$403,ROW()-3)),"")</f>
        <v/>
      </c>
      <c r="B59" s="8" t="n"/>
      <c r="C59" s="2">
        <f>IF($A59="","",IF($B59="","EMPTY","ok"))</f>
        <v/>
      </c>
    </row>
    <row r="60">
      <c r="A60" s="14">
        <f>IFERROR(IF(INDEX('Index Members'!$A$4:$A$403,ROW()-3)=0,"",INDEX('Index Members'!$A$4:$A$403,ROW()-3)),"")</f>
        <v/>
      </c>
      <c r="B60" s="8" t="n"/>
      <c r="C60" s="2">
        <f>IF($A60="","",IF($B60="","EMPTY","ok"))</f>
        <v/>
      </c>
    </row>
    <row r="61">
      <c r="A61" s="14">
        <f>IFERROR(IF(INDEX('Index Members'!$A$4:$A$403,ROW()-3)=0,"",INDEX('Index Members'!$A$4:$A$403,ROW()-3)),"")</f>
        <v/>
      </c>
      <c r="B61" s="8" t="n"/>
      <c r="C61" s="2">
        <f>IF($A61="","",IF($B61="","EMPTY","ok"))</f>
        <v/>
      </c>
    </row>
    <row r="62">
      <c r="A62" s="14">
        <f>IFERROR(IF(INDEX('Index Members'!$A$4:$A$403,ROW()-3)=0,"",INDEX('Index Members'!$A$4:$A$403,ROW()-3)),"")</f>
        <v/>
      </c>
      <c r="B62" s="8" t="n"/>
      <c r="C62" s="2">
        <f>IF($A62="","",IF($B62="","EMPTY","ok"))</f>
        <v/>
      </c>
    </row>
    <row r="63">
      <c r="A63" s="14">
        <f>IFERROR(IF(INDEX('Index Members'!$A$4:$A$403,ROW()-3)=0,"",INDEX('Index Members'!$A$4:$A$403,ROW()-3)),"")</f>
        <v/>
      </c>
      <c r="B63" s="8" t="n"/>
      <c r="C63" s="2">
        <f>IF($A63="","",IF($B63="","EMPTY","ok"))</f>
        <v/>
      </c>
    </row>
    <row r="64">
      <c r="A64" s="14">
        <f>IFERROR(IF(INDEX('Index Members'!$A$4:$A$403,ROW()-3)=0,"",INDEX('Index Members'!$A$4:$A$403,ROW()-3)),"")</f>
        <v/>
      </c>
      <c r="B64" s="8" t="n"/>
      <c r="C64" s="2">
        <f>IF($A64="","",IF($B64="","EMPTY","ok"))</f>
        <v/>
      </c>
    </row>
    <row r="65">
      <c r="A65" s="14">
        <f>IFERROR(IF(INDEX('Index Members'!$A$4:$A$403,ROW()-3)=0,"",INDEX('Index Members'!$A$4:$A$403,ROW()-3)),"")</f>
        <v/>
      </c>
      <c r="B65" s="8" t="n"/>
      <c r="C65" s="2">
        <f>IF($A65="","",IF($B65="","EMPTY","ok"))</f>
        <v/>
      </c>
    </row>
    <row r="66">
      <c r="A66" s="14">
        <f>IFERROR(IF(INDEX('Index Members'!$A$4:$A$403,ROW()-3)=0,"",INDEX('Index Members'!$A$4:$A$403,ROW()-3)),"")</f>
        <v/>
      </c>
      <c r="B66" s="8" t="n"/>
      <c r="C66" s="2">
        <f>IF($A66="","",IF($B66="","EMPTY","ok"))</f>
        <v/>
      </c>
    </row>
    <row r="67">
      <c r="A67" s="14">
        <f>IFERROR(IF(INDEX('Index Members'!$A$4:$A$403,ROW()-3)=0,"",INDEX('Index Members'!$A$4:$A$403,ROW()-3)),"")</f>
        <v/>
      </c>
      <c r="B67" s="8" t="n"/>
      <c r="C67" s="2">
        <f>IF($A67="","",IF($B67="","EMPTY","ok"))</f>
        <v/>
      </c>
    </row>
    <row r="68">
      <c r="A68" s="14">
        <f>IFERROR(IF(INDEX('Index Members'!$A$4:$A$403,ROW()-3)=0,"",INDEX('Index Members'!$A$4:$A$403,ROW()-3)),"")</f>
        <v/>
      </c>
      <c r="B68" s="8" t="n"/>
      <c r="C68" s="2">
        <f>IF($A68="","",IF($B68="","EMPTY","ok"))</f>
        <v/>
      </c>
    </row>
    <row r="69">
      <c r="A69" s="14">
        <f>IFERROR(IF(INDEX('Index Members'!$A$4:$A$403,ROW()-3)=0,"",INDEX('Index Members'!$A$4:$A$403,ROW()-3)),"")</f>
        <v/>
      </c>
      <c r="B69" s="8" t="n"/>
      <c r="C69" s="2">
        <f>IF($A69="","",IF($B69="","EMPTY","ok"))</f>
        <v/>
      </c>
    </row>
    <row r="70">
      <c r="A70" s="14">
        <f>IFERROR(IF(INDEX('Index Members'!$A$4:$A$403,ROW()-3)=0,"",INDEX('Index Members'!$A$4:$A$403,ROW()-3)),"")</f>
        <v/>
      </c>
      <c r="B70" s="8" t="n"/>
      <c r="C70" s="2">
        <f>IF($A70="","",IF($B70="","EMPTY","ok"))</f>
        <v/>
      </c>
    </row>
    <row r="71">
      <c r="A71" s="14">
        <f>IFERROR(IF(INDEX('Index Members'!$A$4:$A$403,ROW()-3)=0,"",INDEX('Index Members'!$A$4:$A$403,ROW()-3)),"")</f>
        <v/>
      </c>
      <c r="B71" s="8" t="n"/>
      <c r="C71" s="2">
        <f>IF($A71="","",IF($B71="","EMPTY","ok"))</f>
        <v/>
      </c>
    </row>
    <row r="72">
      <c r="A72" s="14">
        <f>IFERROR(IF(INDEX('Index Members'!$A$4:$A$403,ROW()-3)=0,"",INDEX('Index Members'!$A$4:$A$403,ROW()-3)),"")</f>
        <v/>
      </c>
      <c r="B72" s="8" t="n"/>
      <c r="C72" s="2">
        <f>IF($A72="","",IF($B72="","EMPTY","ok"))</f>
        <v/>
      </c>
    </row>
    <row r="73">
      <c r="A73" s="14">
        <f>IFERROR(IF(INDEX('Index Members'!$A$4:$A$403,ROW()-3)=0,"",INDEX('Index Members'!$A$4:$A$403,ROW()-3)),"")</f>
        <v/>
      </c>
      <c r="B73" s="8" t="n"/>
      <c r="C73" s="2">
        <f>IF($A73="","",IF($B73="","EMPTY","ok"))</f>
        <v/>
      </c>
    </row>
    <row r="74">
      <c r="A74" s="14">
        <f>IFERROR(IF(INDEX('Index Members'!$A$4:$A$403,ROW()-3)=0,"",INDEX('Index Members'!$A$4:$A$403,ROW()-3)),"")</f>
        <v/>
      </c>
      <c r="B74" s="8" t="n"/>
      <c r="C74" s="2">
        <f>IF($A74="","",IF($B74="","EMPTY","ok"))</f>
        <v/>
      </c>
    </row>
    <row r="75">
      <c r="A75" s="14">
        <f>IFERROR(IF(INDEX('Index Members'!$A$4:$A$403,ROW()-3)=0,"",INDEX('Index Members'!$A$4:$A$403,ROW()-3)),"")</f>
        <v/>
      </c>
      <c r="B75" s="8" t="n"/>
      <c r="C75" s="2">
        <f>IF($A75="","",IF($B75="","EMPTY","ok"))</f>
        <v/>
      </c>
    </row>
    <row r="76">
      <c r="A76" s="14">
        <f>IFERROR(IF(INDEX('Index Members'!$A$4:$A$403,ROW()-3)=0,"",INDEX('Index Members'!$A$4:$A$403,ROW()-3)),"")</f>
        <v/>
      </c>
      <c r="B76" s="8" t="n"/>
      <c r="C76" s="2">
        <f>IF($A76="","",IF($B76="","EMPTY","ok"))</f>
        <v/>
      </c>
    </row>
    <row r="77">
      <c r="A77" s="14">
        <f>IFERROR(IF(INDEX('Index Members'!$A$4:$A$403,ROW()-3)=0,"",INDEX('Index Members'!$A$4:$A$403,ROW()-3)),"")</f>
        <v/>
      </c>
      <c r="B77" s="8" t="n"/>
      <c r="C77" s="2">
        <f>IF($A77="","",IF($B77="","EMPTY","ok"))</f>
        <v/>
      </c>
    </row>
    <row r="78">
      <c r="A78" s="14">
        <f>IFERROR(IF(INDEX('Index Members'!$A$4:$A$403,ROW()-3)=0,"",INDEX('Index Members'!$A$4:$A$403,ROW()-3)),"")</f>
        <v/>
      </c>
      <c r="B78" s="8" t="n"/>
      <c r="C78" s="2">
        <f>IF($A78="","",IF($B78="","EMPTY","ok"))</f>
        <v/>
      </c>
    </row>
    <row r="79">
      <c r="A79" s="14">
        <f>IFERROR(IF(INDEX('Index Members'!$A$4:$A$403,ROW()-3)=0,"",INDEX('Index Members'!$A$4:$A$403,ROW()-3)),"")</f>
        <v/>
      </c>
      <c r="B79" s="8" t="n"/>
      <c r="C79" s="2">
        <f>IF($A79="","",IF($B79="","EMPTY","ok"))</f>
        <v/>
      </c>
    </row>
    <row r="80">
      <c r="A80" s="14">
        <f>IFERROR(IF(INDEX('Index Members'!$A$4:$A$403,ROW()-3)=0,"",INDEX('Index Members'!$A$4:$A$403,ROW()-3)),"")</f>
        <v/>
      </c>
      <c r="B80" s="8" t="n"/>
      <c r="C80" s="2">
        <f>IF($A80="","",IF($B80="","EMPTY","ok"))</f>
        <v/>
      </c>
    </row>
    <row r="81">
      <c r="A81" s="14">
        <f>IFERROR(IF(INDEX('Index Members'!$A$4:$A$403,ROW()-3)=0,"",INDEX('Index Members'!$A$4:$A$403,ROW()-3)),"")</f>
        <v/>
      </c>
      <c r="B81" s="8" t="n"/>
      <c r="C81" s="2">
        <f>IF($A81="","",IF($B81="","EMPTY","ok"))</f>
        <v/>
      </c>
    </row>
    <row r="82">
      <c r="A82" s="14">
        <f>IFERROR(IF(INDEX('Index Members'!$A$4:$A$403,ROW()-3)=0,"",INDEX('Index Members'!$A$4:$A$403,ROW()-3)),"")</f>
        <v/>
      </c>
      <c r="B82" s="8" t="n"/>
      <c r="C82" s="2">
        <f>IF($A82="","",IF($B82="","EMPTY","ok"))</f>
        <v/>
      </c>
    </row>
    <row r="83">
      <c r="A83" s="14">
        <f>IFERROR(IF(INDEX('Index Members'!$A$4:$A$403,ROW()-3)=0,"",INDEX('Index Members'!$A$4:$A$403,ROW()-3)),"")</f>
        <v/>
      </c>
      <c r="B83" s="8" t="n"/>
      <c r="C83" s="2">
        <f>IF($A83="","",IF($B83="","EMPTY","ok"))</f>
        <v/>
      </c>
    </row>
    <row r="84">
      <c r="A84" s="14">
        <f>IFERROR(IF(INDEX('Index Members'!$A$4:$A$403,ROW()-3)=0,"",INDEX('Index Members'!$A$4:$A$403,ROW()-3)),"")</f>
        <v/>
      </c>
      <c r="B84" s="8" t="n"/>
      <c r="C84" s="2">
        <f>IF($A84="","",IF($B84="","EMPTY","ok"))</f>
        <v/>
      </c>
    </row>
    <row r="85">
      <c r="A85" s="14">
        <f>IFERROR(IF(INDEX('Index Members'!$A$4:$A$403,ROW()-3)=0,"",INDEX('Index Members'!$A$4:$A$403,ROW()-3)),"")</f>
        <v/>
      </c>
      <c r="B85" s="8" t="n"/>
      <c r="C85" s="2">
        <f>IF($A85="","",IF($B85="","EMPTY","ok"))</f>
        <v/>
      </c>
    </row>
    <row r="86">
      <c r="A86" s="14">
        <f>IFERROR(IF(INDEX('Index Members'!$A$4:$A$403,ROW()-3)=0,"",INDEX('Index Members'!$A$4:$A$403,ROW()-3)),"")</f>
        <v/>
      </c>
      <c r="B86" s="8" t="n"/>
      <c r="C86" s="2">
        <f>IF($A86="","",IF($B86="","EMPTY","ok"))</f>
        <v/>
      </c>
    </row>
    <row r="87">
      <c r="A87" s="14">
        <f>IFERROR(IF(INDEX('Index Members'!$A$4:$A$403,ROW()-3)=0,"",INDEX('Index Members'!$A$4:$A$403,ROW()-3)),"")</f>
        <v/>
      </c>
      <c r="B87" s="8" t="n"/>
      <c r="C87" s="2">
        <f>IF($A87="","",IF($B87="","EMPTY","ok"))</f>
        <v/>
      </c>
    </row>
    <row r="88">
      <c r="A88" s="14">
        <f>IFERROR(IF(INDEX('Index Members'!$A$4:$A$403,ROW()-3)=0,"",INDEX('Index Members'!$A$4:$A$403,ROW()-3)),"")</f>
        <v/>
      </c>
      <c r="B88" s="8" t="n"/>
      <c r="C88" s="2">
        <f>IF($A88="","",IF($B88="","EMPTY","ok"))</f>
        <v/>
      </c>
    </row>
    <row r="89">
      <c r="A89" s="14">
        <f>IFERROR(IF(INDEX('Index Members'!$A$4:$A$403,ROW()-3)=0,"",INDEX('Index Members'!$A$4:$A$403,ROW()-3)),"")</f>
        <v/>
      </c>
      <c r="B89" s="8" t="n"/>
      <c r="C89" s="2">
        <f>IF($A89="","",IF($B89="","EMPTY","ok"))</f>
        <v/>
      </c>
    </row>
    <row r="90">
      <c r="A90" s="14">
        <f>IFERROR(IF(INDEX('Index Members'!$A$4:$A$403,ROW()-3)=0,"",INDEX('Index Members'!$A$4:$A$403,ROW()-3)),"")</f>
        <v/>
      </c>
      <c r="B90" s="8" t="n"/>
      <c r="C90" s="2">
        <f>IF($A90="","",IF($B90="","EMPTY","ok"))</f>
        <v/>
      </c>
    </row>
    <row r="91">
      <c r="A91" s="14">
        <f>IFERROR(IF(INDEX('Index Members'!$A$4:$A$403,ROW()-3)=0,"",INDEX('Index Members'!$A$4:$A$403,ROW()-3)),"")</f>
        <v/>
      </c>
      <c r="B91" s="8" t="n"/>
      <c r="C91" s="2">
        <f>IF($A91="","",IF($B91="","EMPTY","ok"))</f>
        <v/>
      </c>
    </row>
    <row r="92">
      <c r="A92" s="14">
        <f>IFERROR(IF(INDEX('Index Members'!$A$4:$A$403,ROW()-3)=0,"",INDEX('Index Members'!$A$4:$A$403,ROW()-3)),"")</f>
        <v/>
      </c>
      <c r="B92" s="8" t="n"/>
      <c r="C92" s="2">
        <f>IF($A92="","",IF($B92="","EMPTY","ok"))</f>
        <v/>
      </c>
    </row>
    <row r="93">
      <c r="A93" s="14">
        <f>IFERROR(IF(INDEX('Index Members'!$A$4:$A$403,ROW()-3)=0,"",INDEX('Index Members'!$A$4:$A$403,ROW()-3)),"")</f>
        <v/>
      </c>
      <c r="B93" s="8" t="n"/>
      <c r="C93" s="2">
        <f>IF($A93="","",IF($B93="","EMPTY","ok"))</f>
        <v/>
      </c>
    </row>
    <row r="94">
      <c r="A94" s="14">
        <f>IFERROR(IF(INDEX('Index Members'!$A$4:$A$403,ROW()-3)=0,"",INDEX('Index Members'!$A$4:$A$403,ROW()-3)),"")</f>
        <v/>
      </c>
      <c r="B94" s="8" t="n"/>
      <c r="C94" s="2">
        <f>IF($A94="","",IF($B94="","EMPTY","ok"))</f>
        <v/>
      </c>
    </row>
    <row r="95">
      <c r="A95" s="14">
        <f>IFERROR(IF(INDEX('Index Members'!$A$4:$A$403,ROW()-3)=0,"",INDEX('Index Members'!$A$4:$A$403,ROW()-3)),"")</f>
        <v/>
      </c>
      <c r="B95" s="8" t="n"/>
      <c r="C95" s="2">
        <f>IF($A95="","",IF($B95="","EMPTY","ok"))</f>
        <v/>
      </c>
    </row>
    <row r="96">
      <c r="A96" s="14">
        <f>IFERROR(IF(INDEX('Index Members'!$A$4:$A$403,ROW()-3)=0,"",INDEX('Index Members'!$A$4:$A$403,ROW()-3)),"")</f>
        <v/>
      </c>
      <c r="B96" s="8" t="n"/>
      <c r="C96" s="2">
        <f>IF($A96="","",IF($B96="","EMPTY","ok"))</f>
        <v/>
      </c>
    </row>
    <row r="97">
      <c r="A97" s="14">
        <f>IFERROR(IF(INDEX('Index Members'!$A$4:$A$403,ROW()-3)=0,"",INDEX('Index Members'!$A$4:$A$403,ROW()-3)),"")</f>
        <v/>
      </c>
      <c r="B97" s="8" t="n"/>
      <c r="C97" s="2">
        <f>IF($A97="","",IF($B97="","EMPTY","ok"))</f>
        <v/>
      </c>
    </row>
    <row r="98">
      <c r="A98" s="14">
        <f>IFERROR(IF(INDEX('Index Members'!$A$4:$A$403,ROW()-3)=0,"",INDEX('Index Members'!$A$4:$A$403,ROW()-3)),"")</f>
        <v/>
      </c>
      <c r="B98" s="8" t="n"/>
      <c r="C98" s="2">
        <f>IF($A98="","",IF($B98="","EMPTY","ok"))</f>
        <v/>
      </c>
    </row>
    <row r="99">
      <c r="A99" s="14">
        <f>IFERROR(IF(INDEX('Index Members'!$A$4:$A$403,ROW()-3)=0,"",INDEX('Index Members'!$A$4:$A$403,ROW()-3)),"")</f>
        <v/>
      </c>
      <c r="B99" s="8" t="n"/>
      <c r="C99" s="2">
        <f>IF($A99="","",IF($B99="","EMPTY","ok"))</f>
        <v/>
      </c>
    </row>
    <row r="100">
      <c r="A100" s="14">
        <f>IFERROR(IF(INDEX('Index Members'!$A$4:$A$403,ROW()-3)=0,"",INDEX('Index Members'!$A$4:$A$403,ROW()-3)),"")</f>
        <v/>
      </c>
      <c r="B100" s="8" t="n"/>
      <c r="C100" s="2">
        <f>IF($A100="","",IF($B100="","EMPTY","ok"))</f>
        <v/>
      </c>
    </row>
    <row r="101">
      <c r="A101" s="14">
        <f>IFERROR(IF(INDEX('Index Members'!$A$4:$A$403,ROW()-3)=0,"",INDEX('Index Members'!$A$4:$A$403,ROW()-3)),"")</f>
        <v/>
      </c>
      <c r="B101" s="8" t="n"/>
      <c r="C101" s="2">
        <f>IF($A101="","",IF($B101="","EMPTY","ok"))</f>
        <v/>
      </c>
    </row>
    <row r="102">
      <c r="A102" s="14">
        <f>IFERROR(IF(INDEX('Index Members'!$A$4:$A$403,ROW()-3)=0,"",INDEX('Index Members'!$A$4:$A$403,ROW()-3)),"")</f>
        <v/>
      </c>
      <c r="B102" s="8" t="n"/>
      <c r="C102" s="2">
        <f>IF($A102="","",IF($B102="","EMPTY","ok"))</f>
        <v/>
      </c>
    </row>
    <row r="103">
      <c r="A103" s="14">
        <f>IFERROR(IF(INDEX('Index Members'!$A$4:$A$403,ROW()-3)=0,"",INDEX('Index Members'!$A$4:$A$403,ROW()-3)),"")</f>
        <v/>
      </c>
      <c r="B103" s="8" t="n"/>
      <c r="C103" s="2">
        <f>IF($A103="","",IF($B103="","EMPTY","ok"))</f>
        <v/>
      </c>
    </row>
    <row r="104">
      <c r="A104" s="14">
        <f>IFERROR(IF(INDEX('Index Members'!$A$4:$A$403,ROW()-3)=0,"",INDEX('Index Members'!$A$4:$A$403,ROW()-3)),"")</f>
        <v/>
      </c>
      <c r="B104" s="8" t="n"/>
      <c r="C104" s="2">
        <f>IF($A104="","",IF($B104="","EMPTY","ok"))</f>
        <v/>
      </c>
    </row>
    <row r="105">
      <c r="A105" s="14">
        <f>IFERROR(IF(INDEX('Index Members'!$A$4:$A$403,ROW()-3)=0,"",INDEX('Index Members'!$A$4:$A$403,ROW()-3)),"")</f>
        <v/>
      </c>
      <c r="B105" s="8" t="n"/>
      <c r="C105" s="2">
        <f>IF($A105="","",IF($B105="","EMPTY","ok"))</f>
        <v/>
      </c>
    </row>
    <row r="106">
      <c r="A106" s="14">
        <f>IFERROR(IF(INDEX('Index Members'!$A$4:$A$403,ROW()-3)=0,"",INDEX('Index Members'!$A$4:$A$403,ROW()-3)),"")</f>
        <v/>
      </c>
      <c r="B106" s="8" t="n"/>
      <c r="C106" s="2">
        <f>IF($A106="","",IF($B106="","EMPTY","ok"))</f>
        <v/>
      </c>
    </row>
    <row r="107">
      <c r="A107" s="14">
        <f>IFERROR(IF(INDEX('Index Members'!$A$4:$A$403,ROW()-3)=0,"",INDEX('Index Members'!$A$4:$A$403,ROW()-3)),"")</f>
        <v/>
      </c>
      <c r="B107" s="8" t="n"/>
      <c r="C107" s="2">
        <f>IF($A107="","",IF($B107="","EMPTY","ok"))</f>
        <v/>
      </c>
    </row>
    <row r="108">
      <c r="A108" s="14">
        <f>IFERROR(IF(INDEX('Index Members'!$A$4:$A$403,ROW()-3)=0,"",INDEX('Index Members'!$A$4:$A$403,ROW()-3)),"")</f>
        <v/>
      </c>
      <c r="B108" s="8" t="n"/>
      <c r="C108" s="2">
        <f>IF($A108="","",IF($B108="","EMPTY","ok"))</f>
        <v/>
      </c>
    </row>
    <row r="109">
      <c r="A109" s="14">
        <f>IFERROR(IF(INDEX('Index Members'!$A$4:$A$403,ROW()-3)=0,"",INDEX('Index Members'!$A$4:$A$403,ROW()-3)),"")</f>
        <v/>
      </c>
      <c r="B109" s="8" t="n"/>
      <c r="C109" s="2">
        <f>IF($A109="","",IF($B109="","EMPTY","ok"))</f>
        <v/>
      </c>
    </row>
    <row r="110">
      <c r="A110" s="14">
        <f>IFERROR(IF(INDEX('Index Members'!$A$4:$A$403,ROW()-3)=0,"",INDEX('Index Members'!$A$4:$A$403,ROW()-3)),"")</f>
        <v/>
      </c>
      <c r="B110" s="8" t="n"/>
      <c r="C110" s="2">
        <f>IF($A110="","",IF($B110="","EMPTY","ok"))</f>
        <v/>
      </c>
    </row>
    <row r="111">
      <c r="A111" s="14">
        <f>IFERROR(IF(INDEX('Index Members'!$A$4:$A$403,ROW()-3)=0,"",INDEX('Index Members'!$A$4:$A$403,ROW()-3)),"")</f>
        <v/>
      </c>
      <c r="B111" s="8" t="n"/>
      <c r="C111" s="2">
        <f>IF($A111="","",IF($B111="","EMPTY","ok"))</f>
        <v/>
      </c>
    </row>
    <row r="112">
      <c r="A112" s="14">
        <f>IFERROR(IF(INDEX('Index Members'!$A$4:$A$403,ROW()-3)=0,"",INDEX('Index Members'!$A$4:$A$403,ROW()-3)),"")</f>
        <v/>
      </c>
      <c r="B112" s="8" t="n"/>
      <c r="C112" s="2">
        <f>IF($A112="","",IF($B112="","EMPTY","ok"))</f>
        <v/>
      </c>
    </row>
    <row r="113">
      <c r="A113" s="14">
        <f>IFERROR(IF(INDEX('Index Members'!$A$4:$A$403,ROW()-3)=0,"",INDEX('Index Members'!$A$4:$A$403,ROW()-3)),"")</f>
        <v/>
      </c>
      <c r="B113" s="8" t="n"/>
      <c r="C113" s="2">
        <f>IF($A113="","",IF($B113="","EMPTY","ok"))</f>
        <v/>
      </c>
    </row>
    <row r="114">
      <c r="A114" s="14">
        <f>IFERROR(IF(INDEX('Index Members'!$A$4:$A$403,ROW()-3)=0,"",INDEX('Index Members'!$A$4:$A$403,ROW()-3)),"")</f>
        <v/>
      </c>
      <c r="B114" s="8" t="n"/>
      <c r="C114" s="2">
        <f>IF($A114="","",IF($B114="","EMPTY","ok"))</f>
        <v/>
      </c>
    </row>
    <row r="115">
      <c r="A115" s="14">
        <f>IFERROR(IF(INDEX('Index Members'!$A$4:$A$403,ROW()-3)=0,"",INDEX('Index Members'!$A$4:$A$403,ROW()-3)),"")</f>
        <v/>
      </c>
      <c r="B115" s="8" t="n"/>
      <c r="C115" s="2">
        <f>IF($A115="","",IF($B115="","EMPTY","ok"))</f>
        <v/>
      </c>
    </row>
    <row r="116">
      <c r="A116" s="14">
        <f>IFERROR(IF(INDEX('Index Members'!$A$4:$A$403,ROW()-3)=0,"",INDEX('Index Members'!$A$4:$A$403,ROW()-3)),"")</f>
        <v/>
      </c>
      <c r="B116" s="8" t="n"/>
      <c r="C116" s="2">
        <f>IF($A116="","",IF($B116="","EMPTY","ok"))</f>
        <v/>
      </c>
    </row>
    <row r="117">
      <c r="A117" s="14">
        <f>IFERROR(IF(INDEX('Index Members'!$A$4:$A$403,ROW()-3)=0,"",INDEX('Index Members'!$A$4:$A$403,ROW()-3)),"")</f>
        <v/>
      </c>
      <c r="B117" s="8" t="n"/>
      <c r="C117" s="2">
        <f>IF($A117="","",IF($B117="","EMPTY","ok"))</f>
        <v/>
      </c>
    </row>
    <row r="118">
      <c r="A118" s="14">
        <f>IFERROR(IF(INDEX('Index Members'!$A$4:$A$403,ROW()-3)=0,"",INDEX('Index Members'!$A$4:$A$403,ROW()-3)),"")</f>
        <v/>
      </c>
      <c r="B118" s="8" t="n"/>
      <c r="C118" s="2">
        <f>IF($A118="","",IF($B118="","EMPTY","ok"))</f>
        <v/>
      </c>
    </row>
    <row r="119">
      <c r="A119" s="14">
        <f>IFERROR(IF(INDEX('Index Members'!$A$4:$A$403,ROW()-3)=0,"",INDEX('Index Members'!$A$4:$A$403,ROW()-3)),"")</f>
        <v/>
      </c>
      <c r="B119" s="8" t="n"/>
      <c r="C119" s="2">
        <f>IF($A119="","",IF($B119="","EMPTY","ok"))</f>
        <v/>
      </c>
    </row>
    <row r="120">
      <c r="A120" s="14">
        <f>IFERROR(IF(INDEX('Index Members'!$A$4:$A$403,ROW()-3)=0,"",INDEX('Index Members'!$A$4:$A$403,ROW()-3)),"")</f>
        <v/>
      </c>
      <c r="B120" s="8" t="n"/>
      <c r="C120" s="2">
        <f>IF($A120="","",IF($B120="","EMPTY","ok"))</f>
        <v/>
      </c>
    </row>
    <row r="121">
      <c r="A121" s="14">
        <f>IFERROR(IF(INDEX('Index Members'!$A$4:$A$403,ROW()-3)=0,"",INDEX('Index Members'!$A$4:$A$403,ROW()-3)),"")</f>
        <v/>
      </c>
      <c r="B121" s="8" t="n"/>
      <c r="C121" s="2">
        <f>IF($A121="","",IF($B121="","EMPTY","ok"))</f>
        <v/>
      </c>
    </row>
    <row r="122">
      <c r="A122" s="14">
        <f>IFERROR(IF(INDEX('Index Members'!$A$4:$A$403,ROW()-3)=0,"",INDEX('Index Members'!$A$4:$A$403,ROW()-3)),"")</f>
        <v/>
      </c>
      <c r="B122" s="8" t="n"/>
      <c r="C122" s="2">
        <f>IF($A122="","",IF($B122="","EMPTY","ok"))</f>
        <v/>
      </c>
    </row>
    <row r="123">
      <c r="A123" s="14">
        <f>IFERROR(IF(INDEX('Index Members'!$A$4:$A$403,ROW()-3)=0,"",INDEX('Index Members'!$A$4:$A$403,ROW()-3)),"")</f>
        <v/>
      </c>
      <c r="B123" s="8" t="n"/>
      <c r="C123" s="2">
        <f>IF($A123="","",IF($B123="","EMPTY","ok"))</f>
        <v/>
      </c>
    </row>
    <row r="125">
      <c r="A125" s="3" t="inlineStr">
        <is>
          <t>Filled:</t>
        </is>
      </c>
      <c r="B125" s="15">
        <f>COUNTIF($C$4:$C$123,"ok")&amp;" of "&amp;COUNTA($A$4:$A$123)&amp;" tickers — "&amp;COUNTIF($C$4:$C$123,"EMPTY")&amp;" to go"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9" customWidth="1" min="3" max="3"/>
    <col width="15" customWidth="1" min="4" max="4"/>
    <col width="13" customWidth="1" min="5" max="5"/>
    <col width="10" customWidth="1" min="6" max="6"/>
    <col width="15" customWidth="1" min="7" max="7"/>
    <col width="15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2" customWidth="1" min="14" max="14"/>
    <col width="12" customWidth="1" min="15" max="15"/>
    <col width="30" customWidth="1" min="16" max="16"/>
    <col hidden="1" outlineLevel="1" width="11" customWidth="1" min="17" max="17"/>
    <col hidden="1" outlineLevel="1" width="11" customWidth="1" min="18" max="18"/>
    <col hidden="1" outlineLevel="1" width="11" customWidth="1" min="19" max="19"/>
    <col hidden="1" outlineLevel="1" width="11" customWidth="1" min="20" max="20"/>
    <col hidden="1" outlineLevel="1" width="11" customWidth="1" min="21" max="21"/>
    <col hidden="1" outlineLevel="1" width="11" customWidth="1" min="22" max="22"/>
    <col hidden="1" outlineLevel="1" width="11" customWidth="1" min="23" max="23"/>
    <col hidden="1" outlineLevel="1" width="11" customWidth="1" min="24" max="24"/>
    <col hidden="1" outlineLevel="1" width="11" customWidth="1" min="25" max="25"/>
    <col hidden="1" outlineLevel="1" width="11" customWidth="1" min="26" max="26"/>
  </cols>
  <sheetData>
    <row r="1">
      <c r="A1" s="1" t="inlineStr">
        <is>
          <t>Security-level factor screen — every value pulled from Bloomberg</t>
        </is>
      </c>
    </row>
    <row r="2">
      <c r="A2" s="2" t="inlineStr">
        <is>
          <t>Purple cells call Bloomberg. Grey columns from Q onward are aggregation helpers; they are grouped and hidden, and can be ignored.</t>
        </is>
      </c>
    </row>
    <row r="3">
      <c r="A3" s="16" t="inlineStr">
        <is>
          <t>IDENTITY</t>
        </is>
      </c>
      <c r="D3" s="16" t="inlineStr">
        <is>
          <t>SIZE</t>
        </is>
      </c>
      <c r="I3" s="16" t="inlineStr">
        <is>
          <t>EARNINGS REVISIONS</t>
        </is>
      </c>
      <c r="N3" s="16" t="inlineStr">
        <is>
          <t>MOMENTUM</t>
        </is>
      </c>
      <c r="P3" s="16" t="inlineStr">
        <is>
          <t>QUALITY</t>
        </is>
      </c>
      <c r="Q3" s="16" t="inlineStr">
        <is>
          <t>AGGREGATION HELPERS</t>
        </is>
      </c>
    </row>
    <row r="4" ht="40" customHeight="1">
      <c r="A4" s="13" t="inlineStr">
        <is>
          <t>Ticker</t>
        </is>
      </c>
      <c r="B4" s="13" t="inlineStr">
        <is>
          <t>Sector</t>
        </is>
      </c>
      <c r="C4" s="13" t="inlineStr">
        <is>
          <t>Bloomberg ticker</t>
        </is>
      </c>
      <c r="D4" s="13" t="inlineStr">
        <is>
          <t>Company mkt cap</t>
        </is>
      </c>
      <c r="E4" s="13" t="inlineStr">
        <is>
          <t>Shares out (mm)</t>
        </is>
      </c>
      <c r="F4" s="13" t="inlineStr">
        <is>
          <t>Price</t>
        </is>
      </c>
      <c r="G4" s="13" t="inlineStr">
        <is>
          <t>Security mkt cap</t>
        </is>
      </c>
      <c r="H4" s="13" t="inlineStr">
        <is>
          <t>Weight used</t>
        </is>
      </c>
      <c r="I4" s="13" t="inlineStr">
        <is>
          <t>Fwd EPS now</t>
        </is>
      </c>
      <c r="J4" s="13" t="inlineStr">
        <is>
          <t>Fwd EPS at A</t>
        </is>
      </c>
      <c r="K4" s="13" t="inlineStr">
        <is>
          <t>Fwd EPS at B</t>
        </is>
      </c>
      <c r="L4" s="13" t="inlineStr">
        <is>
          <t>Earnings rev. A</t>
        </is>
      </c>
      <c r="M4" s="13" t="inlineStr">
        <is>
          <t>Earnings rev. B</t>
        </is>
      </c>
      <c r="N4" s="13" t="inlineStr">
        <is>
          <t>Momentum A</t>
        </is>
      </c>
      <c r="O4" s="13" t="inlineStr">
        <is>
          <t>Momentum B</t>
        </is>
      </c>
      <c r="P4" s="13" t="inlineStr">
        <is>
          <t>Data flag</t>
        </is>
      </c>
      <c r="Q4" s="13" t="inlineStr">
        <is>
          <t>mapped</t>
        </is>
      </c>
      <c r="R4" s="13" t="inlineStr">
        <is>
          <t>w·revA</t>
        </is>
      </c>
      <c r="S4" s="13" t="inlineStr">
        <is>
          <t>w revA</t>
        </is>
      </c>
      <c r="T4" s="13" t="inlineStr">
        <is>
          <t>w·revB</t>
        </is>
      </c>
      <c r="U4" s="13" t="inlineStr">
        <is>
          <t>w revB</t>
        </is>
      </c>
      <c r="V4" s="13" t="inlineStr">
        <is>
          <t>w·momA</t>
        </is>
      </c>
      <c r="W4" s="13" t="inlineStr">
        <is>
          <t>w momA</t>
        </is>
      </c>
      <c r="X4" s="13" t="inlineStr">
        <is>
          <t>w·momB</t>
        </is>
      </c>
      <c r="Y4" s="13" t="inlineStr">
        <is>
          <t>w momB</t>
        </is>
      </c>
      <c r="Z4" s="13" t="inlineStr">
        <is>
          <t>sector #</t>
        </is>
      </c>
    </row>
    <row r="5">
      <c r="A5" s="14">
        <f>IFERROR(IF(INDEX('Index Members'!$A$4:$A$403,ROW()-4)=0,"",INDEX('Index Members'!$A$4:$A$403,ROW()-4)),"")</f>
        <v/>
      </c>
      <c r="B5" s="14">
        <f>IF($A5="","",IFERROR(IF(VLOOKUP($A5,'Sector Map'!$A$4:$B$123,2,FALSE)=0,"NO SECTOR",VLOOKUP($A5,'Sector Map'!$A$4:$B$123,2,FALSE)),"NOT IN MAP"))</f>
        <v/>
      </c>
      <c r="C5" s="14">
        <f>IF($A5="","",$A5&amp;TkSuffix)</f>
        <v/>
      </c>
      <c r="D5" s="17">
        <f>IF($C5="","",BDP($C5,FldMcap))</f>
        <v/>
      </c>
      <c r="E5" s="17">
        <f>IF($C5="","",BDP($C5,FldShOut))</f>
        <v/>
      </c>
      <c r="F5" s="18">
        <f>IF($C5="","",BDP($C5,FldPx))</f>
        <v/>
      </c>
      <c r="G5" s="19">
        <f>IFERROR($E5*$F5,"")</f>
        <v/>
      </c>
      <c r="H5" s="20">
        <f>IFERROR(IF(WgtBasis="SEC_CAP",$G5,$D5),"")</f>
        <v/>
      </c>
      <c r="I5" s="18">
        <f>IF($C5="","",BDP($C5,FldEps,"BEST_FPERIOD_OVERRIDE="&amp;FpOvr))</f>
        <v/>
      </c>
      <c r="J5" s="18">
        <f>IF($C5="","",IFERROR(INDEX(BDH($C5,FldEps,DtRevA,DtRevA,"BEST_FPERIOD_OVERRIDE="&amp;FpOvr,"Days=A","Fill=P"),1,1),""))</f>
        <v/>
      </c>
      <c r="K5" s="18">
        <f>IF($C5="","",IFERROR(INDEX(BDH($C5,FldEps,DtRevB,DtRevB,"BEST_FPERIOD_OVERRIDE="&amp;FpOvr,"Days=A","Fill=P"),1,1),""))</f>
        <v/>
      </c>
      <c r="L5" s="21">
        <f>IFERROR(IF($J5&lt;=0,"",$I5/$J5-1),"")</f>
        <v/>
      </c>
      <c r="M5" s="21">
        <f>IFERROR(IF($K5&lt;=0,"",$I5/$K5-1),"")</f>
        <v/>
      </c>
      <c r="N5" s="22">
        <f>IF($C5="","",IFERROR(BDP($C5,FldTRR,"CUST_TRR_START_DT="&amp;TEXT(DtMomA,"yyyymmdd"),"CUST_TRR_END_DT="&amp;TEXT(AsOf,"yyyymmdd"))/100,""))</f>
        <v/>
      </c>
      <c r="O5" s="22">
        <f>IF($C5="","",IFERROR(BDP($C5,FldTRR,"CUST_TRR_START_DT="&amp;TEXT(DtMomB,"yyyymmdd"),"CUST_TRR_END_DT="&amp;TEXT(AsOf,"yyyymmdd"))/100,""))</f>
        <v/>
      </c>
      <c r="P5" s="2">
        <f>IF($A5="","",IF($Q5=0,"sector missing",IF(NOT(ISNUMBER($H5)),"no market cap",IF(COUNT($L5:$O5)=4,"complete","missing "&amp;(4-COUNT($L5:$O5))&amp;" of 4 factors"))))</f>
        <v/>
      </c>
      <c r="Q5" s="23">
        <f>IF(OR($B5="",$B5="NO SECTOR",$B5="NOT IN MAP"),0,1)</f>
        <v/>
      </c>
      <c r="R5" s="24">
        <f>IF(AND($Q5=1,ISNUMBER($L5),ISNUMBER($H5)),$L5*$H5,0)</f>
        <v/>
      </c>
      <c r="S5" s="23">
        <f>IF(AND($Q5=1,ISNUMBER($L5),ISNUMBER($H5)),$H5,0)</f>
        <v/>
      </c>
      <c r="T5" s="24">
        <f>IF(AND($Q5=1,ISNUMBER($M5),ISNUMBER($H5)),$M5*$H5,0)</f>
        <v/>
      </c>
      <c r="U5" s="23">
        <f>IF(AND($Q5=1,ISNUMBER($M5),ISNUMBER($H5)),$H5,0)</f>
        <v/>
      </c>
      <c r="V5" s="24">
        <f>IF(AND($Q5=1,ISNUMBER($N5),ISNUMBER($H5)),$N5*$H5,0)</f>
        <v/>
      </c>
      <c r="W5" s="23">
        <f>IF(AND($Q5=1,ISNUMBER($N5),ISNUMBER($H5)),$H5,0)</f>
        <v/>
      </c>
      <c r="X5" s="24">
        <f>IF(AND($Q5=1,ISNUMBER($O5),ISNUMBER($H5)),$O5*$H5,0)</f>
        <v/>
      </c>
      <c r="Y5" s="23">
        <f>IF(AND($Q5=1,ISNUMBER($O5),ISNUMBER($H5)),$H5,0)</f>
        <v/>
      </c>
      <c r="Z5" s="23">
        <f>IF($Q5=0,"",IF(COUNTIF($B$5:$B5,$B5)&gt;1,"",1))</f>
        <v/>
      </c>
    </row>
    <row r="6">
      <c r="A6" s="14">
        <f>IFERROR(IF(INDEX('Index Members'!$A$4:$A$403,ROW()-4)=0,"",INDEX('Index Members'!$A$4:$A$403,ROW()-4)),"")</f>
        <v/>
      </c>
      <c r="B6" s="14">
        <f>IF($A6="","",IFERROR(IF(VLOOKUP($A6,'Sector Map'!$A$4:$B$123,2,FALSE)=0,"NO SECTOR",VLOOKUP($A6,'Sector Map'!$A$4:$B$123,2,FALSE)),"NOT IN MAP"))</f>
        <v/>
      </c>
      <c r="C6" s="14">
        <f>IF($A6="","",$A6&amp;TkSuffix)</f>
        <v/>
      </c>
      <c r="D6" s="17">
        <f>IF($C6="","",BDP($C6,FldMcap))</f>
        <v/>
      </c>
      <c r="E6" s="17">
        <f>IF($C6="","",BDP($C6,FldShOut))</f>
        <v/>
      </c>
      <c r="F6" s="18">
        <f>IF($C6="","",BDP($C6,FldPx))</f>
        <v/>
      </c>
      <c r="G6" s="19">
        <f>IFERROR($E6*$F6,"")</f>
        <v/>
      </c>
      <c r="H6" s="20">
        <f>IFERROR(IF(WgtBasis="SEC_CAP",$G6,$D6),"")</f>
        <v/>
      </c>
      <c r="I6" s="18">
        <f>IF($C6="","",BDP($C6,FldEps,"BEST_FPERIOD_OVERRIDE="&amp;FpOvr))</f>
        <v/>
      </c>
      <c r="J6" s="18">
        <f>IF($C6="","",IFERROR(INDEX(BDH($C6,FldEps,DtRevA,DtRevA,"BEST_FPERIOD_OVERRIDE="&amp;FpOvr,"Days=A","Fill=P"),1,1),""))</f>
        <v/>
      </c>
      <c r="K6" s="18">
        <f>IF($C6="","",IFERROR(INDEX(BDH($C6,FldEps,DtRevB,DtRevB,"BEST_FPERIOD_OVERRIDE="&amp;FpOvr,"Days=A","Fill=P"),1,1),""))</f>
        <v/>
      </c>
      <c r="L6" s="21">
        <f>IFERROR(IF($J6&lt;=0,"",$I6/$J6-1),"")</f>
        <v/>
      </c>
      <c r="M6" s="21">
        <f>IFERROR(IF($K6&lt;=0,"",$I6/$K6-1),"")</f>
        <v/>
      </c>
      <c r="N6" s="22">
        <f>IF($C6="","",IFERROR(BDP($C6,FldTRR,"CUST_TRR_START_DT="&amp;TEXT(DtMomA,"yyyymmdd"),"CUST_TRR_END_DT="&amp;TEXT(AsOf,"yyyymmdd"))/100,""))</f>
        <v/>
      </c>
      <c r="O6" s="22">
        <f>IF($C6="","",IFERROR(BDP($C6,FldTRR,"CUST_TRR_START_DT="&amp;TEXT(DtMomB,"yyyymmdd"),"CUST_TRR_END_DT="&amp;TEXT(AsOf,"yyyymmdd"))/100,""))</f>
        <v/>
      </c>
      <c r="P6" s="2">
        <f>IF($A6="","",IF($Q6=0,"sector missing",IF(NOT(ISNUMBER($H6)),"no market cap",IF(COUNT($L6:$O6)=4,"complete","missing "&amp;(4-COUNT($L6:$O6))&amp;" of 4 factors"))))</f>
        <v/>
      </c>
      <c r="Q6" s="23">
        <f>IF(OR($B6="",$B6="NO SECTOR",$B6="NOT IN MAP"),0,1)</f>
        <v/>
      </c>
      <c r="R6" s="24">
        <f>IF(AND($Q6=1,ISNUMBER($L6),ISNUMBER($H6)),$L6*$H6,0)</f>
        <v/>
      </c>
      <c r="S6" s="23">
        <f>IF(AND($Q6=1,ISNUMBER($L6),ISNUMBER($H6)),$H6,0)</f>
        <v/>
      </c>
      <c r="T6" s="24">
        <f>IF(AND($Q6=1,ISNUMBER($M6),ISNUMBER($H6)),$M6*$H6,0)</f>
        <v/>
      </c>
      <c r="U6" s="23">
        <f>IF(AND($Q6=1,ISNUMBER($M6),ISNUMBER($H6)),$H6,0)</f>
        <v/>
      </c>
      <c r="V6" s="24">
        <f>IF(AND($Q6=1,ISNUMBER($N6),ISNUMBER($H6)),$N6*$H6,0)</f>
        <v/>
      </c>
      <c r="W6" s="23">
        <f>IF(AND($Q6=1,ISNUMBER($N6),ISNUMBER($H6)),$H6,0)</f>
        <v/>
      </c>
      <c r="X6" s="24">
        <f>IF(AND($Q6=1,ISNUMBER($O6),ISNUMBER($H6)),$O6*$H6,0)</f>
        <v/>
      </c>
      <c r="Y6" s="23">
        <f>IF(AND($Q6=1,ISNUMBER($O6),ISNUMBER($H6)),$H6,0)</f>
        <v/>
      </c>
      <c r="Z6" s="23">
        <f>IF($Q6=0,"",IF(COUNTIF($B$5:$B6,$B6)&gt;1,"",MAX(0,MAX($Z$5:$Z5))+1))</f>
        <v/>
      </c>
    </row>
    <row r="7">
      <c r="A7" s="14">
        <f>IFERROR(IF(INDEX('Index Members'!$A$4:$A$403,ROW()-4)=0,"",INDEX('Index Members'!$A$4:$A$403,ROW()-4)),"")</f>
        <v/>
      </c>
      <c r="B7" s="14">
        <f>IF($A7="","",IFERROR(IF(VLOOKUP($A7,'Sector Map'!$A$4:$B$123,2,FALSE)=0,"NO SECTOR",VLOOKUP($A7,'Sector Map'!$A$4:$B$123,2,FALSE)),"NOT IN MAP"))</f>
        <v/>
      </c>
      <c r="C7" s="14">
        <f>IF($A7="","",$A7&amp;TkSuffix)</f>
        <v/>
      </c>
      <c r="D7" s="17">
        <f>IF($C7="","",BDP($C7,FldMcap))</f>
        <v/>
      </c>
      <c r="E7" s="17">
        <f>IF($C7="","",BDP($C7,FldShOut))</f>
        <v/>
      </c>
      <c r="F7" s="18">
        <f>IF($C7="","",BDP($C7,FldPx))</f>
        <v/>
      </c>
      <c r="G7" s="19">
        <f>IFERROR($E7*$F7,"")</f>
        <v/>
      </c>
      <c r="H7" s="20">
        <f>IFERROR(IF(WgtBasis="SEC_CAP",$G7,$D7),"")</f>
        <v/>
      </c>
      <c r="I7" s="18">
        <f>IF($C7="","",BDP($C7,FldEps,"BEST_FPERIOD_OVERRIDE="&amp;FpOvr))</f>
        <v/>
      </c>
      <c r="J7" s="18">
        <f>IF($C7="","",IFERROR(INDEX(BDH($C7,FldEps,DtRevA,DtRevA,"BEST_FPERIOD_OVERRIDE="&amp;FpOvr,"Days=A","Fill=P"),1,1),""))</f>
        <v/>
      </c>
      <c r="K7" s="18">
        <f>IF($C7="","",IFERROR(INDEX(BDH($C7,FldEps,DtRevB,DtRevB,"BEST_FPERIOD_OVERRIDE="&amp;FpOvr,"Days=A","Fill=P"),1,1),""))</f>
        <v/>
      </c>
      <c r="L7" s="21">
        <f>IFERROR(IF($J7&lt;=0,"",$I7/$J7-1),"")</f>
        <v/>
      </c>
      <c r="M7" s="21">
        <f>IFERROR(IF($K7&lt;=0,"",$I7/$K7-1),"")</f>
        <v/>
      </c>
      <c r="N7" s="22">
        <f>IF($C7="","",IFERROR(BDP($C7,FldTRR,"CUST_TRR_START_DT="&amp;TEXT(DtMomA,"yyyymmdd"),"CUST_TRR_END_DT="&amp;TEXT(AsOf,"yyyymmdd"))/100,""))</f>
        <v/>
      </c>
      <c r="O7" s="22">
        <f>IF($C7="","",IFERROR(BDP($C7,FldTRR,"CUST_TRR_START_DT="&amp;TEXT(DtMomB,"yyyymmdd"),"CUST_TRR_END_DT="&amp;TEXT(AsOf,"yyyymmdd"))/100,""))</f>
        <v/>
      </c>
      <c r="P7" s="2">
        <f>IF($A7="","",IF($Q7=0,"sector missing",IF(NOT(ISNUMBER($H7)),"no market cap",IF(COUNT($L7:$O7)=4,"complete","missing "&amp;(4-COUNT($L7:$O7))&amp;" of 4 factors"))))</f>
        <v/>
      </c>
      <c r="Q7" s="23">
        <f>IF(OR($B7="",$B7="NO SECTOR",$B7="NOT IN MAP"),0,1)</f>
        <v/>
      </c>
      <c r="R7" s="24">
        <f>IF(AND($Q7=1,ISNUMBER($L7),ISNUMBER($H7)),$L7*$H7,0)</f>
        <v/>
      </c>
      <c r="S7" s="23">
        <f>IF(AND($Q7=1,ISNUMBER($L7),ISNUMBER($H7)),$H7,0)</f>
        <v/>
      </c>
      <c r="T7" s="24">
        <f>IF(AND($Q7=1,ISNUMBER($M7),ISNUMBER($H7)),$M7*$H7,0)</f>
        <v/>
      </c>
      <c r="U7" s="23">
        <f>IF(AND($Q7=1,ISNUMBER($M7),ISNUMBER($H7)),$H7,0)</f>
        <v/>
      </c>
      <c r="V7" s="24">
        <f>IF(AND($Q7=1,ISNUMBER($N7),ISNUMBER($H7)),$N7*$H7,0)</f>
        <v/>
      </c>
      <c r="W7" s="23">
        <f>IF(AND($Q7=1,ISNUMBER($N7),ISNUMBER($H7)),$H7,0)</f>
        <v/>
      </c>
      <c r="X7" s="24">
        <f>IF(AND($Q7=1,ISNUMBER($O7),ISNUMBER($H7)),$O7*$H7,0)</f>
        <v/>
      </c>
      <c r="Y7" s="23">
        <f>IF(AND($Q7=1,ISNUMBER($O7),ISNUMBER($H7)),$H7,0)</f>
        <v/>
      </c>
      <c r="Z7" s="23">
        <f>IF($Q7=0,"",IF(COUNTIF($B$5:$B7,$B7)&gt;1,"",MAX(0,MAX($Z$5:$Z6))+1))</f>
        <v/>
      </c>
    </row>
    <row r="8">
      <c r="A8" s="14">
        <f>IFERROR(IF(INDEX('Index Members'!$A$4:$A$403,ROW()-4)=0,"",INDEX('Index Members'!$A$4:$A$403,ROW()-4)),"")</f>
        <v/>
      </c>
      <c r="B8" s="14">
        <f>IF($A8="","",IFERROR(IF(VLOOKUP($A8,'Sector Map'!$A$4:$B$123,2,FALSE)=0,"NO SECTOR",VLOOKUP($A8,'Sector Map'!$A$4:$B$123,2,FALSE)),"NOT IN MAP"))</f>
        <v/>
      </c>
      <c r="C8" s="14">
        <f>IF($A8="","",$A8&amp;TkSuffix)</f>
        <v/>
      </c>
      <c r="D8" s="17">
        <f>IF($C8="","",BDP($C8,FldMcap))</f>
        <v/>
      </c>
      <c r="E8" s="17">
        <f>IF($C8="","",BDP($C8,FldShOut))</f>
        <v/>
      </c>
      <c r="F8" s="18">
        <f>IF($C8="","",BDP($C8,FldPx))</f>
        <v/>
      </c>
      <c r="G8" s="19">
        <f>IFERROR($E8*$F8,"")</f>
        <v/>
      </c>
      <c r="H8" s="20">
        <f>IFERROR(IF(WgtBasis="SEC_CAP",$G8,$D8),"")</f>
        <v/>
      </c>
      <c r="I8" s="18">
        <f>IF($C8="","",BDP($C8,FldEps,"BEST_FPERIOD_OVERRIDE="&amp;FpOvr))</f>
        <v/>
      </c>
      <c r="J8" s="18">
        <f>IF($C8="","",IFERROR(INDEX(BDH($C8,FldEps,DtRevA,DtRevA,"BEST_FPERIOD_OVERRIDE="&amp;FpOvr,"Days=A","Fill=P"),1,1),""))</f>
        <v/>
      </c>
      <c r="K8" s="18">
        <f>IF($C8="","",IFERROR(INDEX(BDH($C8,FldEps,DtRevB,DtRevB,"BEST_FPERIOD_OVERRIDE="&amp;FpOvr,"Days=A","Fill=P"),1,1),""))</f>
        <v/>
      </c>
      <c r="L8" s="21">
        <f>IFERROR(IF($J8&lt;=0,"",$I8/$J8-1),"")</f>
        <v/>
      </c>
      <c r="M8" s="21">
        <f>IFERROR(IF($K8&lt;=0,"",$I8/$K8-1),"")</f>
        <v/>
      </c>
      <c r="N8" s="22">
        <f>IF($C8="","",IFERROR(BDP($C8,FldTRR,"CUST_TRR_START_DT="&amp;TEXT(DtMomA,"yyyymmdd"),"CUST_TRR_END_DT="&amp;TEXT(AsOf,"yyyymmdd"))/100,""))</f>
        <v/>
      </c>
      <c r="O8" s="22">
        <f>IF($C8="","",IFERROR(BDP($C8,FldTRR,"CUST_TRR_START_DT="&amp;TEXT(DtMomB,"yyyymmdd"),"CUST_TRR_END_DT="&amp;TEXT(AsOf,"yyyymmdd"))/100,""))</f>
        <v/>
      </c>
      <c r="P8" s="2">
        <f>IF($A8="","",IF($Q8=0,"sector missing",IF(NOT(ISNUMBER($H8)),"no market cap",IF(COUNT($L8:$O8)=4,"complete","missing "&amp;(4-COUNT($L8:$O8))&amp;" of 4 factors"))))</f>
        <v/>
      </c>
      <c r="Q8" s="23">
        <f>IF(OR($B8="",$B8="NO SECTOR",$B8="NOT IN MAP"),0,1)</f>
        <v/>
      </c>
      <c r="R8" s="24">
        <f>IF(AND($Q8=1,ISNUMBER($L8),ISNUMBER($H8)),$L8*$H8,0)</f>
        <v/>
      </c>
      <c r="S8" s="23">
        <f>IF(AND($Q8=1,ISNUMBER($L8),ISNUMBER($H8)),$H8,0)</f>
        <v/>
      </c>
      <c r="T8" s="24">
        <f>IF(AND($Q8=1,ISNUMBER($M8),ISNUMBER($H8)),$M8*$H8,0)</f>
        <v/>
      </c>
      <c r="U8" s="23">
        <f>IF(AND($Q8=1,ISNUMBER($M8),ISNUMBER($H8)),$H8,0)</f>
        <v/>
      </c>
      <c r="V8" s="24">
        <f>IF(AND($Q8=1,ISNUMBER($N8),ISNUMBER($H8)),$N8*$H8,0)</f>
        <v/>
      </c>
      <c r="W8" s="23">
        <f>IF(AND($Q8=1,ISNUMBER($N8),ISNUMBER($H8)),$H8,0)</f>
        <v/>
      </c>
      <c r="X8" s="24">
        <f>IF(AND($Q8=1,ISNUMBER($O8),ISNUMBER($H8)),$O8*$H8,0)</f>
        <v/>
      </c>
      <c r="Y8" s="23">
        <f>IF(AND($Q8=1,ISNUMBER($O8),ISNUMBER($H8)),$H8,0)</f>
        <v/>
      </c>
      <c r="Z8" s="23">
        <f>IF($Q8=0,"",IF(COUNTIF($B$5:$B8,$B8)&gt;1,"",MAX(0,MAX($Z$5:$Z7))+1))</f>
        <v/>
      </c>
    </row>
    <row r="9">
      <c r="A9" s="14">
        <f>IFERROR(IF(INDEX('Index Members'!$A$4:$A$403,ROW()-4)=0,"",INDEX('Index Members'!$A$4:$A$403,ROW()-4)),"")</f>
        <v/>
      </c>
      <c r="B9" s="14">
        <f>IF($A9="","",IFERROR(IF(VLOOKUP($A9,'Sector Map'!$A$4:$B$123,2,FALSE)=0,"NO SECTOR",VLOOKUP($A9,'Sector Map'!$A$4:$B$123,2,FALSE)),"NOT IN MAP"))</f>
        <v/>
      </c>
      <c r="C9" s="14">
        <f>IF($A9="","",$A9&amp;TkSuffix)</f>
        <v/>
      </c>
      <c r="D9" s="17">
        <f>IF($C9="","",BDP($C9,FldMcap))</f>
        <v/>
      </c>
      <c r="E9" s="17">
        <f>IF($C9="","",BDP($C9,FldShOut))</f>
        <v/>
      </c>
      <c r="F9" s="18">
        <f>IF($C9="","",BDP($C9,FldPx))</f>
        <v/>
      </c>
      <c r="G9" s="19">
        <f>IFERROR($E9*$F9,"")</f>
        <v/>
      </c>
      <c r="H9" s="20">
        <f>IFERROR(IF(WgtBasis="SEC_CAP",$G9,$D9),"")</f>
        <v/>
      </c>
      <c r="I9" s="18">
        <f>IF($C9="","",BDP($C9,FldEps,"BEST_FPERIOD_OVERRIDE="&amp;FpOvr))</f>
        <v/>
      </c>
      <c r="J9" s="18">
        <f>IF($C9="","",IFERROR(INDEX(BDH($C9,FldEps,DtRevA,DtRevA,"BEST_FPERIOD_OVERRIDE="&amp;FpOvr,"Days=A","Fill=P"),1,1),""))</f>
        <v/>
      </c>
      <c r="K9" s="18">
        <f>IF($C9="","",IFERROR(INDEX(BDH($C9,FldEps,DtRevB,DtRevB,"BEST_FPERIOD_OVERRIDE="&amp;FpOvr,"Days=A","Fill=P"),1,1),""))</f>
        <v/>
      </c>
      <c r="L9" s="21">
        <f>IFERROR(IF($J9&lt;=0,"",$I9/$J9-1),"")</f>
        <v/>
      </c>
      <c r="M9" s="21">
        <f>IFERROR(IF($K9&lt;=0,"",$I9/$K9-1),"")</f>
        <v/>
      </c>
      <c r="N9" s="22">
        <f>IF($C9="","",IFERROR(BDP($C9,FldTRR,"CUST_TRR_START_DT="&amp;TEXT(DtMomA,"yyyymmdd"),"CUST_TRR_END_DT="&amp;TEXT(AsOf,"yyyymmdd"))/100,""))</f>
        <v/>
      </c>
      <c r="O9" s="22">
        <f>IF($C9="","",IFERROR(BDP($C9,FldTRR,"CUST_TRR_START_DT="&amp;TEXT(DtMomB,"yyyymmdd"),"CUST_TRR_END_DT="&amp;TEXT(AsOf,"yyyymmdd"))/100,""))</f>
        <v/>
      </c>
      <c r="P9" s="2">
        <f>IF($A9="","",IF($Q9=0,"sector missing",IF(NOT(ISNUMBER($H9)),"no market cap",IF(COUNT($L9:$O9)=4,"complete","missing "&amp;(4-COUNT($L9:$O9))&amp;" of 4 factors"))))</f>
        <v/>
      </c>
      <c r="Q9" s="23">
        <f>IF(OR($B9="",$B9="NO SECTOR",$B9="NOT IN MAP"),0,1)</f>
        <v/>
      </c>
      <c r="R9" s="24">
        <f>IF(AND($Q9=1,ISNUMBER($L9),ISNUMBER($H9)),$L9*$H9,0)</f>
        <v/>
      </c>
      <c r="S9" s="23">
        <f>IF(AND($Q9=1,ISNUMBER($L9),ISNUMBER($H9)),$H9,0)</f>
        <v/>
      </c>
      <c r="T9" s="24">
        <f>IF(AND($Q9=1,ISNUMBER($M9),ISNUMBER($H9)),$M9*$H9,0)</f>
        <v/>
      </c>
      <c r="U9" s="23">
        <f>IF(AND($Q9=1,ISNUMBER($M9),ISNUMBER($H9)),$H9,0)</f>
        <v/>
      </c>
      <c r="V9" s="24">
        <f>IF(AND($Q9=1,ISNUMBER($N9),ISNUMBER($H9)),$N9*$H9,0)</f>
        <v/>
      </c>
      <c r="W9" s="23">
        <f>IF(AND($Q9=1,ISNUMBER($N9),ISNUMBER($H9)),$H9,0)</f>
        <v/>
      </c>
      <c r="X9" s="24">
        <f>IF(AND($Q9=1,ISNUMBER($O9),ISNUMBER($H9)),$O9*$H9,0)</f>
        <v/>
      </c>
      <c r="Y9" s="23">
        <f>IF(AND($Q9=1,ISNUMBER($O9),ISNUMBER($H9)),$H9,0)</f>
        <v/>
      </c>
      <c r="Z9" s="23">
        <f>IF($Q9=0,"",IF(COUNTIF($B$5:$B9,$B9)&gt;1,"",MAX(0,MAX($Z$5:$Z8))+1))</f>
        <v/>
      </c>
    </row>
    <row r="10">
      <c r="A10" s="14">
        <f>IFERROR(IF(INDEX('Index Members'!$A$4:$A$403,ROW()-4)=0,"",INDEX('Index Members'!$A$4:$A$403,ROW()-4)),"")</f>
        <v/>
      </c>
      <c r="B10" s="14">
        <f>IF($A10="","",IFERROR(IF(VLOOKUP($A10,'Sector Map'!$A$4:$B$123,2,FALSE)=0,"NO SECTOR",VLOOKUP($A10,'Sector Map'!$A$4:$B$123,2,FALSE)),"NOT IN MAP"))</f>
        <v/>
      </c>
      <c r="C10" s="14">
        <f>IF($A10="","",$A10&amp;TkSuffix)</f>
        <v/>
      </c>
      <c r="D10" s="17">
        <f>IF($C10="","",BDP($C10,FldMcap))</f>
        <v/>
      </c>
      <c r="E10" s="17">
        <f>IF($C10="","",BDP($C10,FldShOut))</f>
        <v/>
      </c>
      <c r="F10" s="18">
        <f>IF($C10="","",BDP($C10,FldPx))</f>
        <v/>
      </c>
      <c r="G10" s="19">
        <f>IFERROR($E10*$F10,"")</f>
        <v/>
      </c>
      <c r="H10" s="20">
        <f>IFERROR(IF(WgtBasis="SEC_CAP",$G10,$D10),"")</f>
        <v/>
      </c>
      <c r="I10" s="18">
        <f>IF($C10="","",BDP($C10,FldEps,"BEST_FPERIOD_OVERRIDE="&amp;FpOvr))</f>
        <v/>
      </c>
      <c r="J10" s="18">
        <f>IF($C10="","",IFERROR(INDEX(BDH($C10,FldEps,DtRevA,DtRevA,"BEST_FPERIOD_OVERRIDE="&amp;FpOvr,"Days=A","Fill=P"),1,1),""))</f>
        <v/>
      </c>
      <c r="K10" s="18">
        <f>IF($C10="","",IFERROR(INDEX(BDH($C10,FldEps,DtRevB,DtRevB,"BEST_FPERIOD_OVERRIDE="&amp;FpOvr,"Days=A","Fill=P"),1,1),""))</f>
        <v/>
      </c>
      <c r="L10" s="21">
        <f>IFERROR(IF($J10&lt;=0,"",$I10/$J10-1),"")</f>
        <v/>
      </c>
      <c r="M10" s="21">
        <f>IFERROR(IF($K10&lt;=0,"",$I10/$K10-1),"")</f>
        <v/>
      </c>
      <c r="N10" s="22">
        <f>IF($C10="","",IFERROR(BDP($C10,FldTRR,"CUST_TRR_START_DT="&amp;TEXT(DtMomA,"yyyymmdd"),"CUST_TRR_END_DT="&amp;TEXT(AsOf,"yyyymmdd"))/100,""))</f>
        <v/>
      </c>
      <c r="O10" s="22">
        <f>IF($C10="","",IFERROR(BDP($C10,FldTRR,"CUST_TRR_START_DT="&amp;TEXT(DtMomB,"yyyymmdd"),"CUST_TRR_END_DT="&amp;TEXT(AsOf,"yyyymmdd"))/100,""))</f>
        <v/>
      </c>
      <c r="P10" s="2">
        <f>IF($A10="","",IF($Q10=0,"sector missing",IF(NOT(ISNUMBER($H10)),"no market cap",IF(COUNT($L10:$O10)=4,"complete","missing "&amp;(4-COUNT($L10:$O10))&amp;" of 4 factors"))))</f>
        <v/>
      </c>
      <c r="Q10" s="23">
        <f>IF(OR($B10="",$B10="NO SECTOR",$B10="NOT IN MAP"),0,1)</f>
        <v/>
      </c>
      <c r="R10" s="24">
        <f>IF(AND($Q10=1,ISNUMBER($L10),ISNUMBER($H10)),$L10*$H10,0)</f>
        <v/>
      </c>
      <c r="S10" s="23">
        <f>IF(AND($Q10=1,ISNUMBER($L10),ISNUMBER($H10)),$H10,0)</f>
        <v/>
      </c>
      <c r="T10" s="24">
        <f>IF(AND($Q10=1,ISNUMBER($M10),ISNUMBER($H10)),$M10*$H10,0)</f>
        <v/>
      </c>
      <c r="U10" s="23">
        <f>IF(AND($Q10=1,ISNUMBER($M10),ISNUMBER($H10)),$H10,0)</f>
        <v/>
      </c>
      <c r="V10" s="24">
        <f>IF(AND($Q10=1,ISNUMBER($N10),ISNUMBER($H10)),$N10*$H10,0)</f>
        <v/>
      </c>
      <c r="W10" s="23">
        <f>IF(AND($Q10=1,ISNUMBER($N10),ISNUMBER($H10)),$H10,0)</f>
        <v/>
      </c>
      <c r="X10" s="24">
        <f>IF(AND($Q10=1,ISNUMBER($O10),ISNUMBER($H10)),$O10*$H10,0)</f>
        <v/>
      </c>
      <c r="Y10" s="23">
        <f>IF(AND($Q10=1,ISNUMBER($O10),ISNUMBER($H10)),$H10,0)</f>
        <v/>
      </c>
      <c r="Z10" s="23">
        <f>IF($Q10=0,"",IF(COUNTIF($B$5:$B10,$B10)&gt;1,"",MAX(0,MAX($Z$5:$Z9))+1))</f>
        <v/>
      </c>
    </row>
    <row r="11">
      <c r="A11" s="14">
        <f>IFERROR(IF(INDEX('Index Members'!$A$4:$A$403,ROW()-4)=0,"",INDEX('Index Members'!$A$4:$A$403,ROW()-4)),"")</f>
        <v/>
      </c>
      <c r="B11" s="14">
        <f>IF($A11="","",IFERROR(IF(VLOOKUP($A11,'Sector Map'!$A$4:$B$123,2,FALSE)=0,"NO SECTOR",VLOOKUP($A11,'Sector Map'!$A$4:$B$123,2,FALSE)),"NOT IN MAP"))</f>
        <v/>
      </c>
      <c r="C11" s="14">
        <f>IF($A11="","",$A11&amp;TkSuffix)</f>
        <v/>
      </c>
      <c r="D11" s="17">
        <f>IF($C11="","",BDP($C11,FldMcap))</f>
        <v/>
      </c>
      <c r="E11" s="17">
        <f>IF($C11="","",BDP($C11,FldShOut))</f>
        <v/>
      </c>
      <c r="F11" s="18">
        <f>IF($C11="","",BDP($C11,FldPx))</f>
        <v/>
      </c>
      <c r="G11" s="19">
        <f>IFERROR($E11*$F11,"")</f>
        <v/>
      </c>
      <c r="H11" s="20">
        <f>IFERROR(IF(WgtBasis="SEC_CAP",$G11,$D11),"")</f>
        <v/>
      </c>
      <c r="I11" s="18">
        <f>IF($C11="","",BDP($C11,FldEps,"BEST_FPERIOD_OVERRIDE="&amp;FpOvr))</f>
        <v/>
      </c>
      <c r="J11" s="18">
        <f>IF($C11="","",IFERROR(INDEX(BDH($C11,FldEps,DtRevA,DtRevA,"BEST_FPERIOD_OVERRIDE="&amp;FpOvr,"Days=A","Fill=P"),1,1),""))</f>
        <v/>
      </c>
      <c r="K11" s="18">
        <f>IF($C11="","",IFERROR(INDEX(BDH($C11,FldEps,DtRevB,DtRevB,"BEST_FPERIOD_OVERRIDE="&amp;FpOvr,"Days=A","Fill=P"),1,1),""))</f>
        <v/>
      </c>
      <c r="L11" s="21">
        <f>IFERROR(IF($J11&lt;=0,"",$I11/$J11-1),"")</f>
        <v/>
      </c>
      <c r="M11" s="21">
        <f>IFERROR(IF($K11&lt;=0,"",$I11/$K11-1),"")</f>
        <v/>
      </c>
      <c r="N11" s="22">
        <f>IF($C11="","",IFERROR(BDP($C11,FldTRR,"CUST_TRR_START_DT="&amp;TEXT(DtMomA,"yyyymmdd"),"CUST_TRR_END_DT="&amp;TEXT(AsOf,"yyyymmdd"))/100,""))</f>
        <v/>
      </c>
      <c r="O11" s="22">
        <f>IF($C11="","",IFERROR(BDP($C11,FldTRR,"CUST_TRR_START_DT="&amp;TEXT(DtMomB,"yyyymmdd"),"CUST_TRR_END_DT="&amp;TEXT(AsOf,"yyyymmdd"))/100,""))</f>
        <v/>
      </c>
      <c r="P11" s="2">
        <f>IF($A11="","",IF($Q11=0,"sector missing",IF(NOT(ISNUMBER($H11)),"no market cap",IF(COUNT($L11:$O11)=4,"complete","missing "&amp;(4-COUNT($L11:$O11))&amp;" of 4 factors"))))</f>
        <v/>
      </c>
      <c r="Q11" s="23">
        <f>IF(OR($B11="",$B11="NO SECTOR",$B11="NOT IN MAP"),0,1)</f>
        <v/>
      </c>
      <c r="R11" s="24">
        <f>IF(AND($Q11=1,ISNUMBER($L11),ISNUMBER($H11)),$L11*$H11,0)</f>
        <v/>
      </c>
      <c r="S11" s="23">
        <f>IF(AND($Q11=1,ISNUMBER($L11),ISNUMBER($H11)),$H11,0)</f>
        <v/>
      </c>
      <c r="T11" s="24">
        <f>IF(AND($Q11=1,ISNUMBER($M11),ISNUMBER($H11)),$M11*$H11,0)</f>
        <v/>
      </c>
      <c r="U11" s="23">
        <f>IF(AND($Q11=1,ISNUMBER($M11),ISNUMBER($H11)),$H11,0)</f>
        <v/>
      </c>
      <c r="V11" s="24">
        <f>IF(AND($Q11=1,ISNUMBER($N11),ISNUMBER($H11)),$N11*$H11,0)</f>
        <v/>
      </c>
      <c r="W11" s="23">
        <f>IF(AND($Q11=1,ISNUMBER($N11),ISNUMBER($H11)),$H11,0)</f>
        <v/>
      </c>
      <c r="X11" s="24">
        <f>IF(AND($Q11=1,ISNUMBER($O11),ISNUMBER($H11)),$O11*$H11,0)</f>
        <v/>
      </c>
      <c r="Y11" s="23">
        <f>IF(AND($Q11=1,ISNUMBER($O11),ISNUMBER($H11)),$H11,0)</f>
        <v/>
      </c>
      <c r="Z11" s="23">
        <f>IF($Q11=0,"",IF(COUNTIF($B$5:$B11,$B11)&gt;1,"",MAX(0,MAX($Z$5:$Z10))+1))</f>
        <v/>
      </c>
    </row>
    <row r="12">
      <c r="A12" s="14">
        <f>IFERROR(IF(INDEX('Index Members'!$A$4:$A$403,ROW()-4)=0,"",INDEX('Index Members'!$A$4:$A$403,ROW()-4)),"")</f>
        <v/>
      </c>
      <c r="B12" s="14">
        <f>IF($A12="","",IFERROR(IF(VLOOKUP($A12,'Sector Map'!$A$4:$B$123,2,FALSE)=0,"NO SECTOR",VLOOKUP($A12,'Sector Map'!$A$4:$B$123,2,FALSE)),"NOT IN MAP"))</f>
        <v/>
      </c>
      <c r="C12" s="14">
        <f>IF($A12="","",$A12&amp;TkSuffix)</f>
        <v/>
      </c>
      <c r="D12" s="17">
        <f>IF($C12="","",BDP($C12,FldMcap))</f>
        <v/>
      </c>
      <c r="E12" s="17">
        <f>IF($C12="","",BDP($C12,FldShOut))</f>
        <v/>
      </c>
      <c r="F12" s="18">
        <f>IF($C12="","",BDP($C12,FldPx))</f>
        <v/>
      </c>
      <c r="G12" s="19">
        <f>IFERROR($E12*$F12,"")</f>
        <v/>
      </c>
      <c r="H12" s="20">
        <f>IFERROR(IF(WgtBasis="SEC_CAP",$G12,$D12),"")</f>
        <v/>
      </c>
      <c r="I12" s="18">
        <f>IF($C12="","",BDP($C12,FldEps,"BEST_FPERIOD_OVERRIDE="&amp;FpOvr))</f>
        <v/>
      </c>
      <c r="J12" s="18">
        <f>IF($C12="","",IFERROR(INDEX(BDH($C12,FldEps,DtRevA,DtRevA,"BEST_FPERIOD_OVERRIDE="&amp;FpOvr,"Days=A","Fill=P"),1,1),""))</f>
        <v/>
      </c>
      <c r="K12" s="18">
        <f>IF($C12="","",IFERROR(INDEX(BDH($C12,FldEps,DtRevB,DtRevB,"BEST_FPERIOD_OVERRIDE="&amp;FpOvr,"Days=A","Fill=P"),1,1),""))</f>
        <v/>
      </c>
      <c r="L12" s="21">
        <f>IFERROR(IF($J12&lt;=0,"",$I12/$J12-1),"")</f>
        <v/>
      </c>
      <c r="M12" s="21">
        <f>IFERROR(IF($K12&lt;=0,"",$I12/$K12-1),"")</f>
        <v/>
      </c>
      <c r="N12" s="22">
        <f>IF($C12="","",IFERROR(BDP($C12,FldTRR,"CUST_TRR_START_DT="&amp;TEXT(DtMomA,"yyyymmdd"),"CUST_TRR_END_DT="&amp;TEXT(AsOf,"yyyymmdd"))/100,""))</f>
        <v/>
      </c>
      <c r="O12" s="22">
        <f>IF($C12="","",IFERROR(BDP($C12,FldTRR,"CUST_TRR_START_DT="&amp;TEXT(DtMomB,"yyyymmdd"),"CUST_TRR_END_DT="&amp;TEXT(AsOf,"yyyymmdd"))/100,""))</f>
        <v/>
      </c>
      <c r="P12" s="2">
        <f>IF($A12="","",IF($Q12=0,"sector missing",IF(NOT(ISNUMBER($H12)),"no market cap",IF(COUNT($L12:$O12)=4,"complete","missing "&amp;(4-COUNT($L12:$O12))&amp;" of 4 factors"))))</f>
        <v/>
      </c>
      <c r="Q12" s="23">
        <f>IF(OR($B12="",$B12="NO SECTOR",$B12="NOT IN MAP"),0,1)</f>
        <v/>
      </c>
      <c r="R12" s="24">
        <f>IF(AND($Q12=1,ISNUMBER($L12),ISNUMBER($H12)),$L12*$H12,0)</f>
        <v/>
      </c>
      <c r="S12" s="23">
        <f>IF(AND($Q12=1,ISNUMBER($L12),ISNUMBER($H12)),$H12,0)</f>
        <v/>
      </c>
      <c r="T12" s="24">
        <f>IF(AND($Q12=1,ISNUMBER($M12),ISNUMBER($H12)),$M12*$H12,0)</f>
        <v/>
      </c>
      <c r="U12" s="23">
        <f>IF(AND($Q12=1,ISNUMBER($M12),ISNUMBER($H12)),$H12,0)</f>
        <v/>
      </c>
      <c r="V12" s="24">
        <f>IF(AND($Q12=1,ISNUMBER($N12),ISNUMBER($H12)),$N12*$H12,0)</f>
        <v/>
      </c>
      <c r="W12" s="23">
        <f>IF(AND($Q12=1,ISNUMBER($N12),ISNUMBER($H12)),$H12,0)</f>
        <v/>
      </c>
      <c r="X12" s="24">
        <f>IF(AND($Q12=1,ISNUMBER($O12),ISNUMBER($H12)),$O12*$H12,0)</f>
        <v/>
      </c>
      <c r="Y12" s="23">
        <f>IF(AND($Q12=1,ISNUMBER($O12),ISNUMBER($H12)),$H12,0)</f>
        <v/>
      </c>
      <c r="Z12" s="23">
        <f>IF($Q12=0,"",IF(COUNTIF($B$5:$B12,$B12)&gt;1,"",MAX(0,MAX($Z$5:$Z11))+1))</f>
        <v/>
      </c>
    </row>
    <row r="13">
      <c r="A13" s="14">
        <f>IFERROR(IF(INDEX('Index Members'!$A$4:$A$403,ROW()-4)=0,"",INDEX('Index Members'!$A$4:$A$403,ROW()-4)),"")</f>
        <v/>
      </c>
      <c r="B13" s="14">
        <f>IF($A13="","",IFERROR(IF(VLOOKUP($A13,'Sector Map'!$A$4:$B$123,2,FALSE)=0,"NO SECTOR",VLOOKUP($A13,'Sector Map'!$A$4:$B$123,2,FALSE)),"NOT IN MAP"))</f>
        <v/>
      </c>
      <c r="C13" s="14">
        <f>IF($A13="","",$A13&amp;TkSuffix)</f>
        <v/>
      </c>
      <c r="D13" s="17">
        <f>IF($C13="","",BDP($C13,FldMcap))</f>
        <v/>
      </c>
      <c r="E13" s="17">
        <f>IF($C13="","",BDP($C13,FldShOut))</f>
        <v/>
      </c>
      <c r="F13" s="18">
        <f>IF($C13="","",BDP($C13,FldPx))</f>
        <v/>
      </c>
      <c r="G13" s="19">
        <f>IFERROR($E13*$F13,"")</f>
        <v/>
      </c>
      <c r="H13" s="20">
        <f>IFERROR(IF(WgtBasis="SEC_CAP",$G13,$D13),"")</f>
        <v/>
      </c>
      <c r="I13" s="18">
        <f>IF($C13="","",BDP($C13,FldEps,"BEST_FPERIOD_OVERRIDE="&amp;FpOvr))</f>
        <v/>
      </c>
      <c r="J13" s="18">
        <f>IF($C13="","",IFERROR(INDEX(BDH($C13,FldEps,DtRevA,DtRevA,"BEST_FPERIOD_OVERRIDE="&amp;FpOvr,"Days=A","Fill=P"),1,1),""))</f>
        <v/>
      </c>
      <c r="K13" s="18">
        <f>IF($C13="","",IFERROR(INDEX(BDH($C13,FldEps,DtRevB,DtRevB,"BEST_FPERIOD_OVERRIDE="&amp;FpOvr,"Days=A","Fill=P"),1,1),""))</f>
        <v/>
      </c>
      <c r="L13" s="21">
        <f>IFERROR(IF($J13&lt;=0,"",$I13/$J13-1),"")</f>
        <v/>
      </c>
      <c r="M13" s="21">
        <f>IFERROR(IF($K13&lt;=0,"",$I13/$K13-1),"")</f>
        <v/>
      </c>
      <c r="N13" s="22">
        <f>IF($C13="","",IFERROR(BDP($C13,FldTRR,"CUST_TRR_START_DT="&amp;TEXT(DtMomA,"yyyymmdd"),"CUST_TRR_END_DT="&amp;TEXT(AsOf,"yyyymmdd"))/100,""))</f>
        <v/>
      </c>
      <c r="O13" s="22">
        <f>IF($C13="","",IFERROR(BDP($C13,FldTRR,"CUST_TRR_START_DT="&amp;TEXT(DtMomB,"yyyymmdd"),"CUST_TRR_END_DT="&amp;TEXT(AsOf,"yyyymmdd"))/100,""))</f>
        <v/>
      </c>
      <c r="P13" s="2">
        <f>IF($A13="","",IF($Q13=0,"sector missing",IF(NOT(ISNUMBER($H13)),"no market cap",IF(COUNT($L13:$O13)=4,"complete","missing "&amp;(4-COUNT($L13:$O13))&amp;" of 4 factors"))))</f>
        <v/>
      </c>
      <c r="Q13" s="23">
        <f>IF(OR($B13="",$B13="NO SECTOR",$B13="NOT IN MAP"),0,1)</f>
        <v/>
      </c>
      <c r="R13" s="24">
        <f>IF(AND($Q13=1,ISNUMBER($L13),ISNUMBER($H13)),$L13*$H13,0)</f>
        <v/>
      </c>
      <c r="S13" s="23">
        <f>IF(AND($Q13=1,ISNUMBER($L13),ISNUMBER($H13)),$H13,0)</f>
        <v/>
      </c>
      <c r="T13" s="24">
        <f>IF(AND($Q13=1,ISNUMBER($M13),ISNUMBER($H13)),$M13*$H13,0)</f>
        <v/>
      </c>
      <c r="U13" s="23">
        <f>IF(AND($Q13=1,ISNUMBER($M13),ISNUMBER($H13)),$H13,0)</f>
        <v/>
      </c>
      <c r="V13" s="24">
        <f>IF(AND($Q13=1,ISNUMBER($N13),ISNUMBER($H13)),$N13*$H13,0)</f>
        <v/>
      </c>
      <c r="W13" s="23">
        <f>IF(AND($Q13=1,ISNUMBER($N13),ISNUMBER($H13)),$H13,0)</f>
        <v/>
      </c>
      <c r="X13" s="24">
        <f>IF(AND($Q13=1,ISNUMBER($O13),ISNUMBER($H13)),$O13*$H13,0)</f>
        <v/>
      </c>
      <c r="Y13" s="23">
        <f>IF(AND($Q13=1,ISNUMBER($O13),ISNUMBER($H13)),$H13,0)</f>
        <v/>
      </c>
      <c r="Z13" s="23">
        <f>IF($Q13=0,"",IF(COUNTIF($B$5:$B13,$B13)&gt;1,"",MAX(0,MAX($Z$5:$Z12))+1))</f>
        <v/>
      </c>
    </row>
    <row r="14">
      <c r="A14" s="14">
        <f>IFERROR(IF(INDEX('Index Members'!$A$4:$A$403,ROW()-4)=0,"",INDEX('Index Members'!$A$4:$A$403,ROW()-4)),"")</f>
        <v/>
      </c>
      <c r="B14" s="14">
        <f>IF($A14="","",IFERROR(IF(VLOOKUP($A14,'Sector Map'!$A$4:$B$123,2,FALSE)=0,"NO SECTOR",VLOOKUP($A14,'Sector Map'!$A$4:$B$123,2,FALSE)),"NOT IN MAP"))</f>
        <v/>
      </c>
      <c r="C14" s="14">
        <f>IF($A14="","",$A14&amp;TkSuffix)</f>
        <v/>
      </c>
      <c r="D14" s="17">
        <f>IF($C14="","",BDP($C14,FldMcap))</f>
        <v/>
      </c>
      <c r="E14" s="17">
        <f>IF($C14="","",BDP($C14,FldShOut))</f>
        <v/>
      </c>
      <c r="F14" s="18">
        <f>IF($C14="","",BDP($C14,FldPx))</f>
        <v/>
      </c>
      <c r="G14" s="19">
        <f>IFERROR($E14*$F14,"")</f>
        <v/>
      </c>
      <c r="H14" s="20">
        <f>IFERROR(IF(WgtBasis="SEC_CAP",$G14,$D14),"")</f>
        <v/>
      </c>
      <c r="I14" s="18">
        <f>IF($C14="","",BDP($C14,FldEps,"BEST_FPERIOD_OVERRIDE="&amp;FpOvr))</f>
        <v/>
      </c>
      <c r="J14" s="18">
        <f>IF($C14="","",IFERROR(INDEX(BDH($C14,FldEps,DtRevA,DtRevA,"BEST_FPERIOD_OVERRIDE="&amp;FpOvr,"Days=A","Fill=P"),1,1),""))</f>
        <v/>
      </c>
      <c r="K14" s="18">
        <f>IF($C14="","",IFERROR(INDEX(BDH($C14,FldEps,DtRevB,DtRevB,"BEST_FPERIOD_OVERRIDE="&amp;FpOvr,"Days=A","Fill=P"),1,1),""))</f>
        <v/>
      </c>
      <c r="L14" s="21">
        <f>IFERROR(IF($J14&lt;=0,"",$I14/$J14-1),"")</f>
        <v/>
      </c>
      <c r="M14" s="21">
        <f>IFERROR(IF($K14&lt;=0,"",$I14/$K14-1),"")</f>
        <v/>
      </c>
      <c r="N14" s="22">
        <f>IF($C14="","",IFERROR(BDP($C14,FldTRR,"CUST_TRR_START_DT="&amp;TEXT(DtMomA,"yyyymmdd"),"CUST_TRR_END_DT="&amp;TEXT(AsOf,"yyyymmdd"))/100,""))</f>
        <v/>
      </c>
      <c r="O14" s="22">
        <f>IF($C14="","",IFERROR(BDP($C14,FldTRR,"CUST_TRR_START_DT="&amp;TEXT(DtMomB,"yyyymmdd"),"CUST_TRR_END_DT="&amp;TEXT(AsOf,"yyyymmdd"))/100,""))</f>
        <v/>
      </c>
      <c r="P14" s="2">
        <f>IF($A14="","",IF($Q14=0,"sector missing",IF(NOT(ISNUMBER($H14)),"no market cap",IF(COUNT($L14:$O14)=4,"complete","missing "&amp;(4-COUNT($L14:$O14))&amp;" of 4 factors"))))</f>
        <v/>
      </c>
      <c r="Q14" s="23">
        <f>IF(OR($B14="",$B14="NO SECTOR",$B14="NOT IN MAP"),0,1)</f>
        <v/>
      </c>
      <c r="R14" s="24">
        <f>IF(AND($Q14=1,ISNUMBER($L14),ISNUMBER($H14)),$L14*$H14,0)</f>
        <v/>
      </c>
      <c r="S14" s="23">
        <f>IF(AND($Q14=1,ISNUMBER($L14),ISNUMBER($H14)),$H14,0)</f>
        <v/>
      </c>
      <c r="T14" s="24">
        <f>IF(AND($Q14=1,ISNUMBER($M14),ISNUMBER($H14)),$M14*$H14,0)</f>
        <v/>
      </c>
      <c r="U14" s="23">
        <f>IF(AND($Q14=1,ISNUMBER($M14),ISNUMBER($H14)),$H14,0)</f>
        <v/>
      </c>
      <c r="V14" s="24">
        <f>IF(AND($Q14=1,ISNUMBER($N14),ISNUMBER($H14)),$N14*$H14,0)</f>
        <v/>
      </c>
      <c r="W14" s="23">
        <f>IF(AND($Q14=1,ISNUMBER($N14),ISNUMBER($H14)),$H14,0)</f>
        <v/>
      </c>
      <c r="X14" s="24">
        <f>IF(AND($Q14=1,ISNUMBER($O14),ISNUMBER($H14)),$O14*$H14,0)</f>
        <v/>
      </c>
      <c r="Y14" s="23">
        <f>IF(AND($Q14=1,ISNUMBER($O14),ISNUMBER($H14)),$H14,0)</f>
        <v/>
      </c>
      <c r="Z14" s="23">
        <f>IF($Q14=0,"",IF(COUNTIF($B$5:$B14,$B14)&gt;1,"",MAX(0,MAX($Z$5:$Z13))+1))</f>
        <v/>
      </c>
    </row>
    <row r="15">
      <c r="A15" s="14">
        <f>IFERROR(IF(INDEX('Index Members'!$A$4:$A$403,ROW()-4)=0,"",INDEX('Index Members'!$A$4:$A$403,ROW()-4)),"")</f>
        <v/>
      </c>
      <c r="B15" s="14">
        <f>IF($A15="","",IFERROR(IF(VLOOKUP($A15,'Sector Map'!$A$4:$B$123,2,FALSE)=0,"NO SECTOR",VLOOKUP($A15,'Sector Map'!$A$4:$B$123,2,FALSE)),"NOT IN MAP"))</f>
        <v/>
      </c>
      <c r="C15" s="14">
        <f>IF($A15="","",$A15&amp;TkSuffix)</f>
        <v/>
      </c>
      <c r="D15" s="17">
        <f>IF($C15="","",BDP($C15,FldMcap))</f>
        <v/>
      </c>
      <c r="E15" s="17">
        <f>IF($C15="","",BDP($C15,FldShOut))</f>
        <v/>
      </c>
      <c r="F15" s="18">
        <f>IF($C15="","",BDP($C15,FldPx))</f>
        <v/>
      </c>
      <c r="G15" s="19">
        <f>IFERROR($E15*$F15,"")</f>
        <v/>
      </c>
      <c r="H15" s="20">
        <f>IFERROR(IF(WgtBasis="SEC_CAP",$G15,$D15),"")</f>
        <v/>
      </c>
      <c r="I15" s="18">
        <f>IF($C15="","",BDP($C15,FldEps,"BEST_FPERIOD_OVERRIDE="&amp;FpOvr))</f>
        <v/>
      </c>
      <c r="J15" s="18">
        <f>IF($C15="","",IFERROR(INDEX(BDH($C15,FldEps,DtRevA,DtRevA,"BEST_FPERIOD_OVERRIDE="&amp;FpOvr,"Days=A","Fill=P"),1,1),""))</f>
        <v/>
      </c>
      <c r="K15" s="18">
        <f>IF($C15="","",IFERROR(INDEX(BDH($C15,FldEps,DtRevB,DtRevB,"BEST_FPERIOD_OVERRIDE="&amp;FpOvr,"Days=A","Fill=P"),1,1),""))</f>
        <v/>
      </c>
      <c r="L15" s="21">
        <f>IFERROR(IF($J15&lt;=0,"",$I15/$J15-1),"")</f>
        <v/>
      </c>
      <c r="M15" s="21">
        <f>IFERROR(IF($K15&lt;=0,"",$I15/$K15-1),"")</f>
        <v/>
      </c>
      <c r="N15" s="22">
        <f>IF($C15="","",IFERROR(BDP($C15,FldTRR,"CUST_TRR_START_DT="&amp;TEXT(DtMomA,"yyyymmdd"),"CUST_TRR_END_DT="&amp;TEXT(AsOf,"yyyymmdd"))/100,""))</f>
        <v/>
      </c>
      <c r="O15" s="22">
        <f>IF($C15="","",IFERROR(BDP($C15,FldTRR,"CUST_TRR_START_DT="&amp;TEXT(DtMomB,"yyyymmdd"),"CUST_TRR_END_DT="&amp;TEXT(AsOf,"yyyymmdd"))/100,""))</f>
        <v/>
      </c>
      <c r="P15" s="2">
        <f>IF($A15="","",IF($Q15=0,"sector missing",IF(NOT(ISNUMBER($H15)),"no market cap",IF(COUNT($L15:$O15)=4,"complete","missing "&amp;(4-COUNT($L15:$O15))&amp;" of 4 factors"))))</f>
        <v/>
      </c>
      <c r="Q15" s="23">
        <f>IF(OR($B15="",$B15="NO SECTOR",$B15="NOT IN MAP"),0,1)</f>
        <v/>
      </c>
      <c r="R15" s="24">
        <f>IF(AND($Q15=1,ISNUMBER($L15),ISNUMBER($H15)),$L15*$H15,0)</f>
        <v/>
      </c>
      <c r="S15" s="23">
        <f>IF(AND($Q15=1,ISNUMBER($L15),ISNUMBER($H15)),$H15,0)</f>
        <v/>
      </c>
      <c r="T15" s="24">
        <f>IF(AND($Q15=1,ISNUMBER($M15),ISNUMBER($H15)),$M15*$H15,0)</f>
        <v/>
      </c>
      <c r="U15" s="23">
        <f>IF(AND($Q15=1,ISNUMBER($M15),ISNUMBER($H15)),$H15,0)</f>
        <v/>
      </c>
      <c r="V15" s="24">
        <f>IF(AND($Q15=1,ISNUMBER($N15),ISNUMBER($H15)),$N15*$H15,0)</f>
        <v/>
      </c>
      <c r="W15" s="23">
        <f>IF(AND($Q15=1,ISNUMBER($N15),ISNUMBER($H15)),$H15,0)</f>
        <v/>
      </c>
      <c r="X15" s="24">
        <f>IF(AND($Q15=1,ISNUMBER($O15),ISNUMBER($H15)),$O15*$H15,0)</f>
        <v/>
      </c>
      <c r="Y15" s="23">
        <f>IF(AND($Q15=1,ISNUMBER($O15),ISNUMBER($H15)),$H15,0)</f>
        <v/>
      </c>
      <c r="Z15" s="23">
        <f>IF($Q15=0,"",IF(COUNTIF($B$5:$B15,$B15)&gt;1,"",MAX(0,MAX($Z$5:$Z14))+1))</f>
        <v/>
      </c>
    </row>
    <row r="16">
      <c r="A16" s="14">
        <f>IFERROR(IF(INDEX('Index Members'!$A$4:$A$403,ROW()-4)=0,"",INDEX('Index Members'!$A$4:$A$403,ROW()-4)),"")</f>
        <v/>
      </c>
      <c r="B16" s="14">
        <f>IF($A16="","",IFERROR(IF(VLOOKUP($A16,'Sector Map'!$A$4:$B$123,2,FALSE)=0,"NO SECTOR",VLOOKUP($A16,'Sector Map'!$A$4:$B$123,2,FALSE)),"NOT IN MAP"))</f>
        <v/>
      </c>
      <c r="C16" s="14">
        <f>IF($A16="","",$A16&amp;TkSuffix)</f>
        <v/>
      </c>
      <c r="D16" s="17">
        <f>IF($C16="","",BDP($C16,FldMcap))</f>
        <v/>
      </c>
      <c r="E16" s="17">
        <f>IF($C16="","",BDP($C16,FldShOut))</f>
        <v/>
      </c>
      <c r="F16" s="18">
        <f>IF($C16="","",BDP($C16,FldPx))</f>
        <v/>
      </c>
      <c r="G16" s="19">
        <f>IFERROR($E16*$F16,"")</f>
        <v/>
      </c>
      <c r="H16" s="20">
        <f>IFERROR(IF(WgtBasis="SEC_CAP",$G16,$D16),"")</f>
        <v/>
      </c>
      <c r="I16" s="18">
        <f>IF($C16="","",BDP($C16,FldEps,"BEST_FPERIOD_OVERRIDE="&amp;FpOvr))</f>
        <v/>
      </c>
      <c r="J16" s="18">
        <f>IF($C16="","",IFERROR(INDEX(BDH($C16,FldEps,DtRevA,DtRevA,"BEST_FPERIOD_OVERRIDE="&amp;FpOvr,"Days=A","Fill=P"),1,1),""))</f>
        <v/>
      </c>
      <c r="K16" s="18">
        <f>IF($C16="","",IFERROR(INDEX(BDH($C16,FldEps,DtRevB,DtRevB,"BEST_FPERIOD_OVERRIDE="&amp;FpOvr,"Days=A","Fill=P"),1,1),""))</f>
        <v/>
      </c>
      <c r="L16" s="21">
        <f>IFERROR(IF($J16&lt;=0,"",$I16/$J16-1),"")</f>
        <v/>
      </c>
      <c r="M16" s="21">
        <f>IFERROR(IF($K16&lt;=0,"",$I16/$K16-1),"")</f>
        <v/>
      </c>
      <c r="N16" s="22">
        <f>IF($C16="","",IFERROR(BDP($C16,FldTRR,"CUST_TRR_START_DT="&amp;TEXT(DtMomA,"yyyymmdd"),"CUST_TRR_END_DT="&amp;TEXT(AsOf,"yyyymmdd"))/100,""))</f>
        <v/>
      </c>
      <c r="O16" s="22">
        <f>IF($C16="","",IFERROR(BDP($C16,FldTRR,"CUST_TRR_START_DT="&amp;TEXT(DtMomB,"yyyymmdd"),"CUST_TRR_END_DT="&amp;TEXT(AsOf,"yyyymmdd"))/100,""))</f>
        <v/>
      </c>
      <c r="P16" s="2">
        <f>IF($A16="","",IF($Q16=0,"sector missing",IF(NOT(ISNUMBER($H16)),"no market cap",IF(COUNT($L16:$O16)=4,"complete","missing "&amp;(4-COUNT($L16:$O16))&amp;" of 4 factors"))))</f>
        <v/>
      </c>
      <c r="Q16" s="23">
        <f>IF(OR($B16="",$B16="NO SECTOR",$B16="NOT IN MAP"),0,1)</f>
        <v/>
      </c>
      <c r="R16" s="24">
        <f>IF(AND($Q16=1,ISNUMBER($L16),ISNUMBER($H16)),$L16*$H16,0)</f>
        <v/>
      </c>
      <c r="S16" s="23">
        <f>IF(AND($Q16=1,ISNUMBER($L16),ISNUMBER($H16)),$H16,0)</f>
        <v/>
      </c>
      <c r="T16" s="24">
        <f>IF(AND($Q16=1,ISNUMBER($M16),ISNUMBER($H16)),$M16*$H16,0)</f>
        <v/>
      </c>
      <c r="U16" s="23">
        <f>IF(AND($Q16=1,ISNUMBER($M16),ISNUMBER($H16)),$H16,0)</f>
        <v/>
      </c>
      <c r="V16" s="24">
        <f>IF(AND($Q16=1,ISNUMBER($N16),ISNUMBER($H16)),$N16*$H16,0)</f>
        <v/>
      </c>
      <c r="W16" s="23">
        <f>IF(AND($Q16=1,ISNUMBER($N16),ISNUMBER($H16)),$H16,0)</f>
        <v/>
      </c>
      <c r="X16" s="24">
        <f>IF(AND($Q16=1,ISNUMBER($O16),ISNUMBER($H16)),$O16*$H16,0)</f>
        <v/>
      </c>
      <c r="Y16" s="23">
        <f>IF(AND($Q16=1,ISNUMBER($O16),ISNUMBER($H16)),$H16,0)</f>
        <v/>
      </c>
      <c r="Z16" s="23">
        <f>IF($Q16=0,"",IF(COUNTIF($B$5:$B16,$B16)&gt;1,"",MAX(0,MAX($Z$5:$Z15))+1))</f>
        <v/>
      </c>
    </row>
    <row r="17">
      <c r="A17" s="14">
        <f>IFERROR(IF(INDEX('Index Members'!$A$4:$A$403,ROW()-4)=0,"",INDEX('Index Members'!$A$4:$A$403,ROW()-4)),"")</f>
        <v/>
      </c>
      <c r="B17" s="14">
        <f>IF($A17="","",IFERROR(IF(VLOOKUP($A17,'Sector Map'!$A$4:$B$123,2,FALSE)=0,"NO SECTOR",VLOOKUP($A17,'Sector Map'!$A$4:$B$123,2,FALSE)),"NOT IN MAP"))</f>
        <v/>
      </c>
      <c r="C17" s="14">
        <f>IF($A17="","",$A17&amp;TkSuffix)</f>
        <v/>
      </c>
      <c r="D17" s="17">
        <f>IF($C17="","",BDP($C17,FldMcap))</f>
        <v/>
      </c>
      <c r="E17" s="17">
        <f>IF($C17="","",BDP($C17,FldShOut))</f>
        <v/>
      </c>
      <c r="F17" s="18">
        <f>IF($C17="","",BDP($C17,FldPx))</f>
        <v/>
      </c>
      <c r="G17" s="19">
        <f>IFERROR($E17*$F17,"")</f>
        <v/>
      </c>
      <c r="H17" s="20">
        <f>IFERROR(IF(WgtBasis="SEC_CAP",$G17,$D17),"")</f>
        <v/>
      </c>
      <c r="I17" s="18">
        <f>IF($C17="","",BDP($C17,FldEps,"BEST_FPERIOD_OVERRIDE="&amp;FpOvr))</f>
        <v/>
      </c>
      <c r="J17" s="18">
        <f>IF($C17="","",IFERROR(INDEX(BDH($C17,FldEps,DtRevA,DtRevA,"BEST_FPERIOD_OVERRIDE="&amp;FpOvr,"Days=A","Fill=P"),1,1),""))</f>
        <v/>
      </c>
      <c r="K17" s="18">
        <f>IF($C17="","",IFERROR(INDEX(BDH($C17,FldEps,DtRevB,DtRevB,"BEST_FPERIOD_OVERRIDE="&amp;FpOvr,"Days=A","Fill=P"),1,1),""))</f>
        <v/>
      </c>
      <c r="L17" s="21">
        <f>IFERROR(IF($J17&lt;=0,"",$I17/$J17-1),"")</f>
        <v/>
      </c>
      <c r="M17" s="21">
        <f>IFERROR(IF($K17&lt;=0,"",$I17/$K17-1),"")</f>
        <v/>
      </c>
      <c r="N17" s="22">
        <f>IF($C17="","",IFERROR(BDP($C17,FldTRR,"CUST_TRR_START_DT="&amp;TEXT(DtMomA,"yyyymmdd"),"CUST_TRR_END_DT="&amp;TEXT(AsOf,"yyyymmdd"))/100,""))</f>
        <v/>
      </c>
      <c r="O17" s="22">
        <f>IF($C17="","",IFERROR(BDP($C17,FldTRR,"CUST_TRR_START_DT="&amp;TEXT(DtMomB,"yyyymmdd"),"CUST_TRR_END_DT="&amp;TEXT(AsOf,"yyyymmdd"))/100,""))</f>
        <v/>
      </c>
      <c r="P17" s="2">
        <f>IF($A17="","",IF($Q17=0,"sector missing",IF(NOT(ISNUMBER($H17)),"no market cap",IF(COUNT($L17:$O17)=4,"complete","missing "&amp;(4-COUNT($L17:$O17))&amp;" of 4 factors"))))</f>
        <v/>
      </c>
      <c r="Q17" s="23">
        <f>IF(OR($B17="",$B17="NO SECTOR",$B17="NOT IN MAP"),0,1)</f>
        <v/>
      </c>
      <c r="R17" s="24">
        <f>IF(AND($Q17=1,ISNUMBER($L17),ISNUMBER($H17)),$L17*$H17,0)</f>
        <v/>
      </c>
      <c r="S17" s="23">
        <f>IF(AND($Q17=1,ISNUMBER($L17),ISNUMBER($H17)),$H17,0)</f>
        <v/>
      </c>
      <c r="T17" s="24">
        <f>IF(AND($Q17=1,ISNUMBER($M17),ISNUMBER($H17)),$M17*$H17,0)</f>
        <v/>
      </c>
      <c r="U17" s="23">
        <f>IF(AND($Q17=1,ISNUMBER($M17),ISNUMBER($H17)),$H17,0)</f>
        <v/>
      </c>
      <c r="V17" s="24">
        <f>IF(AND($Q17=1,ISNUMBER($N17),ISNUMBER($H17)),$N17*$H17,0)</f>
        <v/>
      </c>
      <c r="W17" s="23">
        <f>IF(AND($Q17=1,ISNUMBER($N17),ISNUMBER($H17)),$H17,0)</f>
        <v/>
      </c>
      <c r="X17" s="24">
        <f>IF(AND($Q17=1,ISNUMBER($O17),ISNUMBER($H17)),$O17*$H17,0)</f>
        <v/>
      </c>
      <c r="Y17" s="23">
        <f>IF(AND($Q17=1,ISNUMBER($O17),ISNUMBER($H17)),$H17,0)</f>
        <v/>
      </c>
      <c r="Z17" s="23">
        <f>IF($Q17=0,"",IF(COUNTIF($B$5:$B17,$B17)&gt;1,"",MAX(0,MAX($Z$5:$Z16))+1))</f>
        <v/>
      </c>
    </row>
    <row r="18">
      <c r="A18" s="14">
        <f>IFERROR(IF(INDEX('Index Members'!$A$4:$A$403,ROW()-4)=0,"",INDEX('Index Members'!$A$4:$A$403,ROW()-4)),"")</f>
        <v/>
      </c>
      <c r="B18" s="14">
        <f>IF($A18="","",IFERROR(IF(VLOOKUP($A18,'Sector Map'!$A$4:$B$123,2,FALSE)=0,"NO SECTOR",VLOOKUP($A18,'Sector Map'!$A$4:$B$123,2,FALSE)),"NOT IN MAP"))</f>
        <v/>
      </c>
      <c r="C18" s="14">
        <f>IF($A18="","",$A18&amp;TkSuffix)</f>
        <v/>
      </c>
      <c r="D18" s="17">
        <f>IF($C18="","",BDP($C18,FldMcap))</f>
        <v/>
      </c>
      <c r="E18" s="17">
        <f>IF($C18="","",BDP($C18,FldShOut))</f>
        <v/>
      </c>
      <c r="F18" s="18">
        <f>IF($C18="","",BDP($C18,FldPx))</f>
        <v/>
      </c>
      <c r="G18" s="19">
        <f>IFERROR($E18*$F18,"")</f>
        <v/>
      </c>
      <c r="H18" s="20">
        <f>IFERROR(IF(WgtBasis="SEC_CAP",$G18,$D18),"")</f>
        <v/>
      </c>
      <c r="I18" s="18">
        <f>IF($C18="","",BDP($C18,FldEps,"BEST_FPERIOD_OVERRIDE="&amp;FpOvr))</f>
        <v/>
      </c>
      <c r="J18" s="18">
        <f>IF($C18="","",IFERROR(INDEX(BDH($C18,FldEps,DtRevA,DtRevA,"BEST_FPERIOD_OVERRIDE="&amp;FpOvr,"Days=A","Fill=P"),1,1),""))</f>
        <v/>
      </c>
      <c r="K18" s="18">
        <f>IF($C18="","",IFERROR(INDEX(BDH($C18,FldEps,DtRevB,DtRevB,"BEST_FPERIOD_OVERRIDE="&amp;FpOvr,"Days=A","Fill=P"),1,1),""))</f>
        <v/>
      </c>
      <c r="L18" s="21">
        <f>IFERROR(IF($J18&lt;=0,"",$I18/$J18-1),"")</f>
        <v/>
      </c>
      <c r="M18" s="21">
        <f>IFERROR(IF($K18&lt;=0,"",$I18/$K18-1),"")</f>
        <v/>
      </c>
      <c r="N18" s="22">
        <f>IF($C18="","",IFERROR(BDP($C18,FldTRR,"CUST_TRR_START_DT="&amp;TEXT(DtMomA,"yyyymmdd"),"CUST_TRR_END_DT="&amp;TEXT(AsOf,"yyyymmdd"))/100,""))</f>
        <v/>
      </c>
      <c r="O18" s="22">
        <f>IF($C18="","",IFERROR(BDP($C18,FldTRR,"CUST_TRR_START_DT="&amp;TEXT(DtMomB,"yyyymmdd"),"CUST_TRR_END_DT="&amp;TEXT(AsOf,"yyyymmdd"))/100,""))</f>
        <v/>
      </c>
      <c r="P18" s="2">
        <f>IF($A18="","",IF($Q18=0,"sector missing",IF(NOT(ISNUMBER($H18)),"no market cap",IF(COUNT($L18:$O18)=4,"complete","missing "&amp;(4-COUNT($L18:$O18))&amp;" of 4 factors"))))</f>
        <v/>
      </c>
      <c r="Q18" s="23">
        <f>IF(OR($B18="",$B18="NO SECTOR",$B18="NOT IN MAP"),0,1)</f>
        <v/>
      </c>
      <c r="R18" s="24">
        <f>IF(AND($Q18=1,ISNUMBER($L18),ISNUMBER($H18)),$L18*$H18,0)</f>
        <v/>
      </c>
      <c r="S18" s="23">
        <f>IF(AND($Q18=1,ISNUMBER($L18),ISNUMBER($H18)),$H18,0)</f>
        <v/>
      </c>
      <c r="T18" s="24">
        <f>IF(AND($Q18=1,ISNUMBER($M18),ISNUMBER($H18)),$M18*$H18,0)</f>
        <v/>
      </c>
      <c r="U18" s="23">
        <f>IF(AND($Q18=1,ISNUMBER($M18),ISNUMBER($H18)),$H18,0)</f>
        <v/>
      </c>
      <c r="V18" s="24">
        <f>IF(AND($Q18=1,ISNUMBER($N18),ISNUMBER($H18)),$N18*$H18,0)</f>
        <v/>
      </c>
      <c r="W18" s="23">
        <f>IF(AND($Q18=1,ISNUMBER($N18),ISNUMBER($H18)),$H18,0)</f>
        <v/>
      </c>
      <c r="X18" s="24">
        <f>IF(AND($Q18=1,ISNUMBER($O18),ISNUMBER($H18)),$O18*$H18,0)</f>
        <v/>
      </c>
      <c r="Y18" s="23">
        <f>IF(AND($Q18=1,ISNUMBER($O18),ISNUMBER($H18)),$H18,0)</f>
        <v/>
      </c>
      <c r="Z18" s="23">
        <f>IF($Q18=0,"",IF(COUNTIF($B$5:$B18,$B18)&gt;1,"",MAX(0,MAX($Z$5:$Z17))+1))</f>
        <v/>
      </c>
    </row>
    <row r="19">
      <c r="A19" s="14">
        <f>IFERROR(IF(INDEX('Index Members'!$A$4:$A$403,ROW()-4)=0,"",INDEX('Index Members'!$A$4:$A$403,ROW()-4)),"")</f>
        <v/>
      </c>
      <c r="B19" s="14">
        <f>IF($A19="","",IFERROR(IF(VLOOKUP($A19,'Sector Map'!$A$4:$B$123,2,FALSE)=0,"NO SECTOR",VLOOKUP($A19,'Sector Map'!$A$4:$B$123,2,FALSE)),"NOT IN MAP"))</f>
        <v/>
      </c>
      <c r="C19" s="14">
        <f>IF($A19="","",$A19&amp;TkSuffix)</f>
        <v/>
      </c>
      <c r="D19" s="17">
        <f>IF($C19="","",BDP($C19,FldMcap))</f>
        <v/>
      </c>
      <c r="E19" s="17">
        <f>IF($C19="","",BDP($C19,FldShOut))</f>
        <v/>
      </c>
      <c r="F19" s="18">
        <f>IF($C19="","",BDP($C19,FldPx))</f>
        <v/>
      </c>
      <c r="G19" s="19">
        <f>IFERROR($E19*$F19,"")</f>
        <v/>
      </c>
      <c r="H19" s="20">
        <f>IFERROR(IF(WgtBasis="SEC_CAP",$G19,$D19),"")</f>
        <v/>
      </c>
      <c r="I19" s="18">
        <f>IF($C19="","",BDP($C19,FldEps,"BEST_FPERIOD_OVERRIDE="&amp;FpOvr))</f>
        <v/>
      </c>
      <c r="J19" s="18">
        <f>IF($C19="","",IFERROR(INDEX(BDH($C19,FldEps,DtRevA,DtRevA,"BEST_FPERIOD_OVERRIDE="&amp;FpOvr,"Days=A","Fill=P"),1,1),""))</f>
        <v/>
      </c>
      <c r="K19" s="18">
        <f>IF($C19="","",IFERROR(INDEX(BDH($C19,FldEps,DtRevB,DtRevB,"BEST_FPERIOD_OVERRIDE="&amp;FpOvr,"Days=A","Fill=P"),1,1),""))</f>
        <v/>
      </c>
      <c r="L19" s="21">
        <f>IFERROR(IF($J19&lt;=0,"",$I19/$J19-1),"")</f>
        <v/>
      </c>
      <c r="M19" s="21">
        <f>IFERROR(IF($K19&lt;=0,"",$I19/$K19-1),"")</f>
        <v/>
      </c>
      <c r="N19" s="22">
        <f>IF($C19="","",IFERROR(BDP($C19,FldTRR,"CUST_TRR_START_DT="&amp;TEXT(DtMomA,"yyyymmdd"),"CUST_TRR_END_DT="&amp;TEXT(AsOf,"yyyymmdd"))/100,""))</f>
        <v/>
      </c>
      <c r="O19" s="22">
        <f>IF($C19="","",IFERROR(BDP($C19,FldTRR,"CUST_TRR_START_DT="&amp;TEXT(DtMomB,"yyyymmdd"),"CUST_TRR_END_DT="&amp;TEXT(AsOf,"yyyymmdd"))/100,""))</f>
        <v/>
      </c>
      <c r="P19" s="2">
        <f>IF($A19="","",IF($Q19=0,"sector missing",IF(NOT(ISNUMBER($H19)),"no market cap",IF(COUNT($L19:$O19)=4,"complete","missing "&amp;(4-COUNT($L19:$O19))&amp;" of 4 factors"))))</f>
        <v/>
      </c>
      <c r="Q19" s="23">
        <f>IF(OR($B19="",$B19="NO SECTOR",$B19="NOT IN MAP"),0,1)</f>
        <v/>
      </c>
      <c r="R19" s="24">
        <f>IF(AND($Q19=1,ISNUMBER($L19),ISNUMBER($H19)),$L19*$H19,0)</f>
        <v/>
      </c>
      <c r="S19" s="23">
        <f>IF(AND($Q19=1,ISNUMBER($L19),ISNUMBER($H19)),$H19,0)</f>
        <v/>
      </c>
      <c r="T19" s="24">
        <f>IF(AND($Q19=1,ISNUMBER($M19),ISNUMBER($H19)),$M19*$H19,0)</f>
        <v/>
      </c>
      <c r="U19" s="23">
        <f>IF(AND($Q19=1,ISNUMBER($M19),ISNUMBER($H19)),$H19,0)</f>
        <v/>
      </c>
      <c r="V19" s="24">
        <f>IF(AND($Q19=1,ISNUMBER($N19),ISNUMBER($H19)),$N19*$H19,0)</f>
        <v/>
      </c>
      <c r="W19" s="23">
        <f>IF(AND($Q19=1,ISNUMBER($N19),ISNUMBER($H19)),$H19,0)</f>
        <v/>
      </c>
      <c r="X19" s="24">
        <f>IF(AND($Q19=1,ISNUMBER($O19),ISNUMBER($H19)),$O19*$H19,0)</f>
        <v/>
      </c>
      <c r="Y19" s="23">
        <f>IF(AND($Q19=1,ISNUMBER($O19),ISNUMBER($H19)),$H19,0)</f>
        <v/>
      </c>
      <c r="Z19" s="23">
        <f>IF($Q19=0,"",IF(COUNTIF($B$5:$B19,$B19)&gt;1,"",MAX(0,MAX($Z$5:$Z18))+1))</f>
        <v/>
      </c>
    </row>
    <row r="20">
      <c r="A20" s="14">
        <f>IFERROR(IF(INDEX('Index Members'!$A$4:$A$403,ROW()-4)=0,"",INDEX('Index Members'!$A$4:$A$403,ROW()-4)),"")</f>
        <v/>
      </c>
      <c r="B20" s="14">
        <f>IF($A20="","",IFERROR(IF(VLOOKUP($A20,'Sector Map'!$A$4:$B$123,2,FALSE)=0,"NO SECTOR",VLOOKUP($A20,'Sector Map'!$A$4:$B$123,2,FALSE)),"NOT IN MAP"))</f>
        <v/>
      </c>
      <c r="C20" s="14">
        <f>IF($A20="","",$A20&amp;TkSuffix)</f>
        <v/>
      </c>
      <c r="D20" s="17">
        <f>IF($C20="","",BDP($C20,FldMcap))</f>
        <v/>
      </c>
      <c r="E20" s="17">
        <f>IF($C20="","",BDP($C20,FldShOut))</f>
        <v/>
      </c>
      <c r="F20" s="18">
        <f>IF($C20="","",BDP($C20,FldPx))</f>
        <v/>
      </c>
      <c r="G20" s="19">
        <f>IFERROR($E20*$F20,"")</f>
        <v/>
      </c>
      <c r="H20" s="20">
        <f>IFERROR(IF(WgtBasis="SEC_CAP",$G20,$D20),"")</f>
        <v/>
      </c>
      <c r="I20" s="18">
        <f>IF($C20="","",BDP($C20,FldEps,"BEST_FPERIOD_OVERRIDE="&amp;FpOvr))</f>
        <v/>
      </c>
      <c r="J20" s="18">
        <f>IF($C20="","",IFERROR(INDEX(BDH($C20,FldEps,DtRevA,DtRevA,"BEST_FPERIOD_OVERRIDE="&amp;FpOvr,"Days=A","Fill=P"),1,1),""))</f>
        <v/>
      </c>
      <c r="K20" s="18">
        <f>IF($C20="","",IFERROR(INDEX(BDH($C20,FldEps,DtRevB,DtRevB,"BEST_FPERIOD_OVERRIDE="&amp;FpOvr,"Days=A","Fill=P"),1,1),""))</f>
        <v/>
      </c>
      <c r="L20" s="21">
        <f>IFERROR(IF($J20&lt;=0,"",$I20/$J20-1),"")</f>
        <v/>
      </c>
      <c r="M20" s="21">
        <f>IFERROR(IF($K20&lt;=0,"",$I20/$K20-1),"")</f>
        <v/>
      </c>
      <c r="N20" s="22">
        <f>IF($C20="","",IFERROR(BDP($C20,FldTRR,"CUST_TRR_START_DT="&amp;TEXT(DtMomA,"yyyymmdd"),"CUST_TRR_END_DT="&amp;TEXT(AsOf,"yyyymmdd"))/100,""))</f>
        <v/>
      </c>
      <c r="O20" s="22">
        <f>IF($C20="","",IFERROR(BDP($C20,FldTRR,"CUST_TRR_START_DT="&amp;TEXT(DtMomB,"yyyymmdd"),"CUST_TRR_END_DT="&amp;TEXT(AsOf,"yyyymmdd"))/100,""))</f>
        <v/>
      </c>
      <c r="P20" s="2">
        <f>IF($A20="","",IF($Q20=0,"sector missing",IF(NOT(ISNUMBER($H20)),"no market cap",IF(COUNT($L20:$O20)=4,"complete","missing "&amp;(4-COUNT($L20:$O20))&amp;" of 4 factors"))))</f>
        <v/>
      </c>
      <c r="Q20" s="23">
        <f>IF(OR($B20="",$B20="NO SECTOR",$B20="NOT IN MAP"),0,1)</f>
        <v/>
      </c>
      <c r="R20" s="24">
        <f>IF(AND($Q20=1,ISNUMBER($L20),ISNUMBER($H20)),$L20*$H20,0)</f>
        <v/>
      </c>
      <c r="S20" s="23">
        <f>IF(AND($Q20=1,ISNUMBER($L20),ISNUMBER($H20)),$H20,0)</f>
        <v/>
      </c>
      <c r="T20" s="24">
        <f>IF(AND($Q20=1,ISNUMBER($M20),ISNUMBER($H20)),$M20*$H20,0)</f>
        <v/>
      </c>
      <c r="U20" s="23">
        <f>IF(AND($Q20=1,ISNUMBER($M20),ISNUMBER($H20)),$H20,0)</f>
        <v/>
      </c>
      <c r="V20" s="24">
        <f>IF(AND($Q20=1,ISNUMBER($N20),ISNUMBER($H20)),$N20*$H20,0)</f>
        <v/>
      </c>
      <c r="W20" s="23">
        <f>IF(AND($Q20=1,ISNUMBER($N20),ISNUMBER($H20)),$H20,0)</f>
        <v/>
      </c>
      <c r="X20" s="24">
        <f>IF(AND($Q20=1,ISNUMBER($O20),ISNUMBER($H20)),$O20*$H20,0)</f>
        <v/>
      </c>
      <c r="Y20" s="23">
        <f>IF(AND($Q20=1,ISNUMBER($O20),ISNUMBER($H20)),$H20,0)</f>
        <v/>
      </c>
      <c r="Z20" s="23">
        <f>IF($Q20=0,"",IF(COUNTIF($B$5:$B20,$B20)&gt;1,"",MAX(0,MAX($Z$5:$Z19))+1))</f>
        <v/>
      </c>
    </row>
    <row r="21">
      <c r="A21" s="14">
        <f>IFERROR(IF(INDEX('Index Members'!$A$4:$A$403,ROW()-4)=0,"",INDEX('Index Members'!$A$4:$A$403,ROW()-4)),"")</f>
        <v/>
      </c>
      <c r="B21" s="14">
        <f>IF($A21="","",IFERROR(IF(VLOOKUP($A21,'Sector Map'!$A$4:$B$123,2,FALSE)=0,"NO SECTOR",VLOOKUP($A21,'Sector Map'!$A$4:$B$123,2,FALSE)),"NOT IN MAP"))</f>
        <v/>
      </c>
      <c r="C21" s="14">
        <f>IF($A21="","",$A21&amp;TkSuffix)</f>
        <v/>
      </c>
      <c r="D21" s="17">
        <f>IF($C21="","",BDP($C21,FldMcap))</f>
        <v/>
      </c>
      <c r="E21" s="17">
        <f>IF($C21="","",BDP($C21,FldShOut))</f>
        <v/>
      </c>
      <c r="F21" s="18">
        <f>IF($C21="","",BDP($C21,FldPx))</f>
        <v/>
      </c>
      <c r="G21" s="19">
        <f>IFERROR($E21*$F21,"")</f>
        <v/>
      </c>
      <c r="H21" s="20">
        <f>IFERROR(IF(WgtBasis="SEC_CAP",$G21,$D21),"")</f>
        <v/>
      </c>
      <c r="I21" s="18">
        <f>IF($C21="","",BDP($C21,FldEps,"BEST_FPERIOD_OVERRIDE="&amp;FpOvr))</f>
        <v/>
      </c>
      <c r="J21" s="18">
        <f>IF($C21="","",IFERROR(INDEX(BDH($C21,FldEps,DtRevA,DtRevA,"BEST_FPERIOD_OVERRIDE="&amp;FpOvr,"Days=A","Fill=P"),1,1),""))</f>
        <v/>
      </c>
      <c r="K21" s="18">
        <f>IF($C21="","",IFERROR(INDEX(BDH($C21,FldEps,DtRevB,DtRevB,"BEST_FPERIOD_OVERRIDE="&amp;FpOvr,"Days=A","Fill=P"),1,1),""))</f>
        <v/>
      </c>
      <c r="L21" s="21">
        <f>IFERROR(IF($J21&lt;=0,"",$I21/$J21-1),"")</f>
        <v/>
      </c>
      <c r="M21" s="21">
        <f>IFERROR(IF($K21&lt;=0,"",$I21/$K21-1),"")</f>
        <v/>
      </c>
      <c r="N21" s="22">
        <f>IF($C21="","",IFERROR(BDP($C21,FldTRR,"CUST_TRR_START_DT="&amp;TEXT(DtMomA,"yyyymmdd"),"CUST_TRR_END_DT="&amp;TEXT(AsOf,"yyyymmdd"))/100,""))</f>
        <v/>
      </c>
      <c r="O21" s="22">
        <f>IF($C21="","",IFERROR(BDP($C21,FldTRR,"CUST_TRR_START_DT="&amp;TEXT(DtMomB,"yyyymmdd"),"CUST_TRR_END_DT="&amp;TEXT(AsOf,"yyyymmdd"))/100,""))</f>
        <v/>
      </c>
      <c r="P21" s="2">
        <f>IF($A21="","",IF($Q21=0,"sector missing",IF(NOT(ISNUMBER($H21)),"no market cap",IF(COUNT($L21:$O21)=4,"complete","missing "&amp;(4-COUNT($L21:$O21))&amp;" of 4 factors"))))</f>
        <v/>
      </c>
      <c r="Q21" s="23">
        <f>IF(OR($B21="",$B21="NO SECTOR",$B21="NOT IN MAP"),0,1)</f>
        <v/>
      </c>
      <c r="R21" s="24">
        <f>IF(AND($Q21=1,ISNUMBER($L21),ISNUMBER($H21)),$L21*$H21,0)</f>
        <v/>
      </c>
      <c r="S21" s="23">
        <f>IF(AND($Q21=1,ISNUMBER($L21),ISNUMBER($H21)),$H21,0)</f>
        <v/>
      </c>
      <c r="T21" s="24">
        <f>IF(AND($Q21=1,ISNUMBER($M21),ISNUMBER($H21)),$M21*$H21,0)</f>
        <v/>
      </c>
      <c r="U21" s="23">
        <f>IF(AND($Q21=1,ISNUMBER($M21),ISNUMBER($H21)),$H21,0)</f>
        <v/>
      </c>
      <c r="V21" s="24">
        <f>IF(AND($Q21=1,ISNUMBER($N21),ISNUMBER($H21)),$N21*$H21,0)</f>
        <v/>
      </c>
      <c r="W21" s="23">
        <f>IF(AND($Q21=1,ISNUMBER($N21),ISNUMBER($H21)),$H21,0)</f>
        <v/>
      </c>
      <c r="X21" s="24">
        <f>IF(AND($Q21=1,ISNUMBER($O21),ISNUMBER($H21)),$O21*$H21,0)</f>
        <v/>
      </c>
      <c r="Y21" s="23">
        <f>IF(AND($Q21=1,ISNUMBER($O21),ISNUMBER($H21)),$H21,0)</f>
        <v/>
      </c>
      <c r="Z21" s="23">
        <f>IF($Q21=0,"",IF(COUNTIF($B$5:$B21,$B21)&gt;1,"",MAX(0,MAX($Z$5:$Z20))+1))</f>
        <v/>
      </c>
    </row>
    <row r="22">
      <c r="A22" s="14">
        <f>IFERROR(IF(INDEX('Index Members'!$A$4:$A$403,ROW()-4)=0,"",INDEX('Index Members'!$A$4:$A$403,ROW()-4)),"")</f>
        <v/>
      </c>
      <c r="B22" s="14">
        <f>IF($A22="","",IFERROR(IF(VLOOKUP($A22,'Sector Map'!$A$4:$B$123,2,FALSE)=0,"NO SECTOR",VLOOKUP($A22,'Sector Map'!$A$4:$B$123,2,FALSE)),"NOT IN MAP"))</f>
        <v/>
      </c>
      <c r="C22" s="14">
        <f>IF($A22="","",$A22&amp;TkSuffix)</f>
        <v/>
      </c>
      <c r="D22" s="17">
        <f>IF($C22="","",BDP($C22,FldMcap))</f>
        <v/>
      </c>
      <c r="E22" s="17">
        <f>IF($C22="","",BDP($C22,FldShOut))</f>
        <v/>
      </c>
      <c r="F22" s="18">
        <f>IF($C22="","",BDP($C22,FldPx))</f>
        <v/>
      </c>
      <c r="G22" s="19">
        <f>IFERROR($E22*$F22,"")</f>
        <v/>
      </c>
      <c r="H22" s="20">
        <f>IFERROR(IF(WgtBasis="SEC_CAP",$G22,$D22),"")</f>
        <v/>
      </c>
      <c r="I22" s="18">
        <f>IF($C22="","",BDP($C22,FldEps,"BEST_FPERIOD_OVERRIDE="&amp;FpOvr))</f>
        <v/>
      </c>
      <c r="J22" s="18">
        <f>IF($C22="","",IFERROR(INDEX(BDH($C22,FldEps,DtRevA,DtRevA,"BEST_FPERIOD_OVERRIDE="&amp;FpOvr,"Days=A","Fill=P"),1,1),""))</f>
        <v/>
      </c>
      <c r="K22" s="18">
        <f>IF($C22="","",IFERROR(INDEX(BDH($C22,FldEps,DtRevB,DtRevB,"BEST_FPERIOD_OVERRIDE="&amp;FpOvr,"Days=A","Fill=P"),1,1),""))</f>
        <v/>
      </c>
      <c r="L22" s="21">
        <f>IFERROR(IF($J22&lt;=0,"",$I22/$J22-1),"")</f>
        <v/>
      </c>
      <c r="M22" s="21">
        <f>IFERROR(IF($K22&lt;=0,"",$I22/$K22-1),"")</f>
        <v/>
      </c>
      <c r="N22" s="22">
        <f>IF($C22="","",IFERROR(BDP($C22,FldTRR,"CUST_TRR_START_DT="&amp;TEXT(DtMomA,"yyyymmdd"),"CUST_TRR_END_DT="&amp;TEXT(AsOf,"yyyymmdd"))/100,""))</f>
        <v/>
      </c>
      <c r="O22" s="22">
        <f>IF($C22="","",IFERROR(BDP($C22,FldTRR,"CUST_TRR_START_DT="&amp;TEXT(DtMomB,"yyyymmdd"),"CUST_TRR_END_DT="&amp;TEXT(AsOf,"yyyymmdd"))/100,""))</f>
        <v/>
      </c>
      <c r="P22" s="2">
        <f>IF($A22="","",IF($Q22=0,"sector missing",IF(NOT(ISNUMBER($H22)),"no market cap",IF(COUNT($L22:$O22)=4,"complete","missing "&amp;(4-COUNT($L22:$O22))&amp;" of 4 factors"))))</f>
        <v/>
      </c>
      <c r="Q22" s="23">
        <f>IF(OR($B22="",$B22="NO SECTOR",$B22="NOT IN MAP"),0,1)</f>
        <v/>
      </c>
      <c r="R22" s="24">
        <f>IF(AND($Q22=1,ISNUMBER($L22),ISNUMBER($H22)),$L22*$H22,0)</f>
        <v/>
      </c>
      <c r="S22" s="23">
        <f>IF(AND($Q22=1,ISNUMBER($L22),ISNUMBER($H22)),$H22,0)</f>
        <v/>
      </c>
      <c r="T22" s="24">
        <f>IF(AND($Q22=1,ISNUMBER($M22),ISNUMBER($H22)),$M22*$H22,0)</f>
        <v/>
      </c>
      <c r="U22" s="23">
        <f>IF(AND($Q22=1,ISNUMBER($M22),ISNUMBER($H22)),$H22,0)</f>
        <v/>
      </c>
      <c r="V22" s="24">
        <f>IF(AND($Q22=1,ISNUMBER($N22),ISNUMBER($H22)),$N22*$H22,0)</f>
        <v/>
      </c>
      <c r="W22" s="23">
        <f>IF(AND($Q22=1,ISNUMBER($N22),ISNUMBER($H22)),$H22,0)</f>
        <v/>
      </c>
      <c r="X22" s="24">
        <f>IF(AND($Q22=1,ISNUMBER($O22),ISNUMBER($H22)),$O22*$H22,0)</f>
        <v/>
      </c>
      <c r="Y22" s="23">
        <f>IF(AND($Q22=1,ISNUMBER($O22),ISNUMBER($H22)),$H22,0)</f>
        <v/>
      </c>
      <c r="Z22" s="23">
        <f>IF($Q22=0,"",IF(COUNTIF($B$5:$B22,$B22)&gt;1,"",MAX(0,MAX($Z$5:$Z21))+1))</f>
        <v/>
      </c>
    </row>
    <row r="23">
      <c r="A23" s="14">
        <f>IFERROR(IF(INDEX('Index Members'!$A$4:$A$403,ROW()-4)=0,"",INDEX('Index Members'!$A$4:$A$403,ROW()-4)),"")</f>
        <v/>
      </c>
      <c r="B23" s="14">
        <f>IF($A23="","",IFERROR(IF(VLOOKUP($A23,'Sector Map'!$A$4:$B$123,2,FALSE)=0,"NO SECTOR",VLOOKUP($A23,'Sector Map'!$A$4:$B$123,2,FALSE)),"NOT IN MAP"))</f>
        <v/>
      </c>
      <c r="C23" s="14">
        <f>IF($A23="","",$A23&amp;TkSuffix)</f>
        <v/>
      </c>
      <c r="D23" s="17">
        <f>IF($C23="","",BDP($C23,FldMcap))</f>
        <v/>
      </c>
      <c r="E23" s="17">
        <f>IF($C23="","",BDP($C23,FldShOut))</f>
        <v/>
      </c>
      <c r="F23" s="18">
        <f>IF($C23="","",BDP($C23,FldPx))</f>
        <v/>
      </c>
      <c r="G23" s="19">
        <f>IFERROR($E23*$F23,"")</f>
        <v/>
      </c>
      <c r="H23" s="20">
        <f>IFERROR(IF(WgtBasis="SEC_CAP",$G23,$D23),"")</f>
        <v/>
      </c>
      <c r="I23" s="18">
        <f>IF($C23="","",BDP($C23,FldEps,"BEST_FPERIOD_OVERRIDE="&amp;FpOvr))</f>
        <v/>
      </c>
      <c r="J23" s="18">
        <f>IF($C23="","",IFERROR(INDEX(BDH($C23,FldEps,DtRevA,DtRevA,"BEST_FPERIOD_OVERRIDE="&amp;FpOvr,"Days=A","Fill=P"),1,1),""))</f>
        <v/>
      </c>
      <c r="K23" s="18">
        <f>IF($C23="","",IFERROR(INDEX(BDH($C23,FldEps,DtRevB,DtRevB,"BEST_FPERIOD_OVERRIDE="&amp;FpOvr,"Days=A","Fill=P"),1,1),""))</f>
        <v/>
      </c>
      <c r="L23" s="21">
        <f>IFERROR(IF($J23&lt;=0,"",$I23/$J23-1),"")</f>
        <v/>
      </c>
      <c r="M23" s="21">
        <f>IFERROR(IF($K23&lt;=0,"",$I23/$K23-1),"")</f>
        <v/>
      </c>
      <c r="N23" s="22">
        <f>IF($C23="","",IFERROR(BDP($C23,FldTRR,"CUST_TRR_START_DT="&amp;TEXT(DtMomA,"yyyymmdd"),"CUST_TRR_END_DT="&amp;TEXT(AsOf,"yyyymmdd"))/100,""))</f>
        <v/>
      </c>
      <c r="O23" s="22">
        <f>IF($C23="","",IFERROR(BDP($C23,FldTRR,"CUST_TRR_START_DT="&amp;TEXT(DtMomB,"yyyymmdd"),"CUST_TRR_END_DT="&amp;TEXT(AsOf,"yyyymmdd"))/100,""))</f>
        <v/>
      </c>
      <c r="P23" s="2">
        <f>IF($A23="","",IF($Q23=0,"sector missing",IF(NOT(ISNUMBER($H23)),"no market cap",IF(COUNT($L23:$O23)=4,"complete","missing "&amp;(4-COUNT($L23:$O23))&amp;" of 4 factors"))))</f>
        <v/>
      </c>
      <c r="Q23" s="23">
        <f>IF(OR($B23="",$B23="NO SECTOR",$B23="NOT IN MAP"),0,1)</f>
        <v/>
      </c>
      <c r="R23" s="24">
        <f>IF(AND($Q23=1,ISNUMBER($L23),ISNUMBER($H23)),$L23*$H23,0)</f>
        <v/>
      </c>
      <c r="S23" s="23">
        <f>IF(AND($Q23=1,ISNUMBER($L23),ISNUMBER($H23)),$H23,0)</f>
        <v/>
      </c>
      <c r="T23" s="24">
        <f>IF(AND($Q23=1,ISNUMBER($M23),ISNUMBER($H23)),$M23*$H23,0)</f>
        <v/>
      </c>
      <c r="U23" s="23">
        <f>IF(AND($Q23=1,ISNUMBER($M23),ISNUMBER($H23)),$H23,0)</f>
        <v/>
      </c>
      <c r="V23" s="24">
        <f>IF(AND($Q23=1,ISNUMBER($N23),ISNUMBER($H23)),$N23*$H23,0)</f>
        <v/>
      </c>
      <c r="W23" s="23">
        <f>IF(AND($Q23=1,ISNUMBER($N23),ISNUMBER($H23)),$H23,0)</f>
        <v/>
      </c>
      <c r="X23" s="24">
        <f>IF(AND($Q23=1,ISNUMBER($O23),ISNUMBER($H23)),$O23*$H23,0)</f>
        <v/>
      </c>
      <c r="Y23" s="23">
        <f>IF(AND($Q23=1,ISNUMBER($O23),ISNUMBER($H23)),$H23,0)</f>
        <v/>
      </c>
      <c r="Z23" s="23">
        <f>IF($Q23=0,"",IF(COUNTIF($B$5:$B23,$B23)&gt;1,"",MAX(0,MAX($Z$5:$Z22))+1))</f>
        <v/>
      </c>
    </row>
    <row r="24">
      <c r="A24" s="14">
        <f>IFERROR(IF(INDEX('Index Members'!$A$4:$A$403,ROW()-4)=0,"",INDEX('Index Members'!$A$4:$A$403,ROW()-4)),"")</f>
        <v/>
      </c>
      <c r="B24" s="14">
        <f>IF($A24="","",IFERROR(IF(VLOOKUP($A24,'Sector Map'!$A$4:$B$123,2,FALSE)=0,"NO SECTOR",VLOOKUP($A24,'Sector Map'!$A$4:$B$123,2,FALSE)),"NOT IN MAP"))</f>
        <v/>
      </c>
      <c r="C24" s="14">
        <f>IF($A24="","",$A24&amp;TkSuffix)</f>
        <v/>
      </c>
      <c r="D24" s="17">
        <f>IF($C24="","",BDP($C24,FldMcap))</f>
        <v/>
      </c>
      <c r="E24" s="17">
        <f>IF($C24="","",BDP($C24,FldShOut))</f>
        <v/>
      </c>
      <c r="F24" s="18">
        <f>IF($C24="","",BDP($C24,FldPx))</f>
        <v/>
      </c>
      <c r="G24" s="19">
        <f>IFERROR($E24*$F24,"")</f>
        <v/>
      </c>
      <c r="H24" s="20">
        <f>IFERROR(IF(WgtBasis="SEC_CAP",$G24,$D24),"")</f>
        <v/>
      </c>
      <c r="I24" s="18">
        <f>IF($C24="","",BDP($C24,FldEps,"BEST_FPERIOD_OVERRIDE="&amp;FpOvr))</f>
        <v/>
      </c>
      <c r="J24" s="18">
        <f>IF($C24="","",IFERROR(INDEX(BDH($C24,FldEps,DtRevA,DtRevA,"BEST_FPERIOD_OVERRIDE="&amp;FpOvr,"Days=A","Fill=P"),1,1),""))</f>
        <v/>
      </c>
      <c r="K24" s="18">
        <f>IF($C24="","",IFERROR(INDEX(BDH($C24,FldEps,DtRevB,DtRevB,"BEST_FPERIOD_OVERRIDE="&amp;FpOvr,"Days=A","Fill=P"),1,1),""))</f>
        <v/>
      </c>
      <c r="L24" s="21">
        <f>IFERROR(IF($J24&lt;=0,"",$I24/$J24-1),"")</f>
        <v/>
      </c>
      <c r="M24" s="21">
        <f>IFERROR(IF($K24&lt;=0,"",$I24/$K24-1),"")</f>
        <v/>
      </c>
      <c r="N24" s="22">
        <f>IF($C24="","",IFERROR(BDP($C24,FldTRR,"CUST_TRR_START_DT="&amp;TEXT(DtMomA,"yyyymmdd"),"CUST_TRR_END_DT="&amp;TEXT(AsOf,"yyyymmdd"))/100,""))</f>
        <v/>
      </c>
      <c r="O24" s="22">
        <f>IF($C24="","",IFERROR(BDP($C24,FldTRR,"CUST_TRR_START_DT="&amp;TEXT(DtMomB,"yyyymmdd"),"CUST_TRR_END_DT="&amp;TEXT(AsOf,"yyyymmdd"))/100,""))</f>
        <v/>
      </c>
      <c r="P24" s="2">
        <f>IF($A24="","",IF($Q24=0,"sector missing",IF(NOT(ISNUMBER($H24)),"no market cap",IF(COUNT($L24:$O24)=4,"complete","missing "&amp;(4-COUNT($L24:$O24))&amp;" of 4 factors"))))</f>
        <v/>
      </c>
      <c r="Q24" s="23">
        <f>IF(OR($B24="",$B24="NO SECTOR",$B24="NOT IN MAP"),0,1)</f>
        <v/>
      </c>
      <c r="R24" s="24">
        <f>IF(AND($Q24=1,ISNUMBER($L24),ISNUMBER($H24)),$L24*$H24,0)</f>
        <v/>
      </c>
      <c r="S24" s="23">
        <f>IF(AND($Q24=1,ISNUMBER($L24),ISNUMBER($H24)),$H24,0)</f>
        <v/>
      </c>
      <c r="T24" s="24">
        <f>IF(AND($Q24=1,ISNUMBER($M24),ISNUMBER($H24)),$M24*$H24,0)</f>
        <v/>
      </c>
      <c r="U24" s="23">
        <f>IF(AND($Q24=1,ISNUMBER($M24),ISNUMBER($H24)),$H24,0)</f>
        <v/>
      </c>
      <c r="V24" s="24">
        <f>IF(AND($Q24=1,ISNUMBER($N24),ISNUMBER($H24)),$N24*$H24,0)</f>
        <v/>
      </c>
      <c r="W24" s="23">
        <f>IF(AND($Q24=1,ISNUMBER($N24),ISNUMBER($H24)),$H24,0)</f>
        <v/>
      </c>
      <c r="X24" s="24">
        <f>IF(AND($Q24=1,ISNUMBER($O24),ISNUMBER($H24)),$O24*$H24,0)</f>
        <v/>
      </c>
      <c r="Y24" s="23">
        <f>IF(AND($Q24=1,ISNUMBER($O24),ISNUMBER($H24)),$H24,0)</f>
        <v/>
      </c>
      <c r="Z24" s="23">
        <f>IF($Q24=0,"",IF(COUNTIF($B$5:$B24,$B24)&gt;1,"",MAX(0,MAX($Z$5:$Z23))+1))</f>
        <v/>
      </c>
    </row>
    <row r="25">
      <c r="A25" s="14">
        <f>IFERROR(IF(INDEX('Index Members'!$A$4:$A$403,ROW()-4)=0,"",INDEX('Index Members'!$A$4:$A$403,ROW()-4)),"")</f>
        <v/>
      </c>
      <c r="B25" s="14">
        <f>IF($A25="","",IFERROR(IF(VLOOKUP($A25,'Sector Map'!$A$4:$B$123,2,FALSE)=0,"NO SECTOR",VLOOKUP($A25,'Sector Map'!$A$4:$B$123,2,FALSE)),"NOT IN MAP"))</f>
        <v/>
      </c>
      <c r="C25" s="14">
        <f>IF($A25="","",$A25&amp;TkSuffix)</f>
        <v/>
      </c>
      <c r="D25" s="17">
        <f>IF($C25="","",BDP($C25,FldMcap))</f>
        <v/>
      </c>
      <c r="E25" s="17">
        <f>IF($C25="","",BDP($C25,FldShOut))</f>
        <v/>
      </c>
      <c r="F25" s="18">
        <f>IF($C25="","",BDP($C25,FldPx))</f>
        <v/>
      </c>
      <c r="G25" s="19">
        <f>IFERROR($E25*$F25,"")</f>
        <v/>
      </c>
      <c r="H25" s="20">
        <f>IFERROR(IF(WgtBasis="SEC_CAP",$G25,$D25),"")</f>
        <v/>
      </c>
      <c r="I25" s="18">
        <f>IF($C25="","",BDP($C25,FldEps,"BEST_FPERIOD_OVERRIDE="&amp;FpOvr))</f>
        <v/>
      </c>
      <c r="J25" s="18">
        <f>IF($C25="","",IFERROR(INDEX(BDH($C25,FldEps,DtRevA,DtRevA,"BEST_FPERIOD_OVERRIDE="&amp;FpOvr,"Days=A","Fill=P"),1,1),""))</f>
        <v/>
      </c>
      <c r="K25" s="18">
        <f>IF($C25="","",IFERROR(INDEX(BDH($C25,FldEps,DtRevB,DtRevB,"BEST_FPERIOD_OVERRIDE="&amp;FpOvr,"Days=A","Fill=P"),1,1),""))</f>
        <v/>
      </c>
      <c r="L25" s="21">
        <f>IFERROR(IF($J25&lt;=0,"",$I25/$J25-1),"")</f>
        <v/>
      </c>
      <c r="M25" s="21">
        <f>IFERROR(IF($K25&lt;=0,"",$I25/$K25-1),"")</f>
        <v/>
      </c>
      <c r="N25" s="22">
        <f>IF($C25="","",IFERROR(BDP($C25,FldTRR,"CUST_TRR_START_DT="&amp;TEXT(DtMomA,"yyyymmdd"),"CUST_TRR_END_DT="&amp;TEXT(AsOf,"yyyymmdd"))/100,""))</f>
        <v/>
      </c>
      <c r="O25" s="22">
        <f>IF($C25="","",IFERROR(BDP($C25,FldTRR,"CUST_TRR_START_DT="&amp;TEXT(DtMomB,"yyyymmdd"),"CUST_TRR_END_DT="&amp;TEXT(AsOf,"yyyymmdd"))/100,""))</f>
        <v/>
      </c>
      <c r="P25" s="2">
        <f>IF($A25="","",IF($Q25=0,"sector missing",IF(NOT(ISNUMBER($H25)),"no market cap",IF(COUNT($L25:$O25)=4,"complete","missing "&amp;(4-COUNT($L25:$O25))&amp;" of 4 factors"))))</f>
        <v/>
      </c>
      <c r="Q25" s="23">
        <f>IF(OR($B25="",$B25="NO SECTOR",$B25="NOT IN MAP"),0,1)</f>
        <v/>
      </c>
      <c r="R25" s="24">
        <f>IF(AND($Q25=1,ISNUMBER($L25),ISNUMBER($H25)),$L25*$H25,0)</f>
        <v/>
      </c>
      <c r="S25" s="23">
        <f>IF(AND($Q25=1,ISNUMBER($L25),ISNUMBER($H25)),$H25,0)</f>
        <v/>
      </c>
      <c r="T25" s="24">
        <f>IF(AND($Q25=1,ISNUMBER($M25),ISNUMBER($H25)),$M25*$H25,0)</f>
        <v/>
      </c>
      <c r="U25" s="23">
        <f>IF(AND($Q25=1,ISNUMBER($M25),ISNUMBER($H25)),$H25,0)</f>
        <v/>
      </c>
      <c r="V25" s="24">
        <f>IF(AND($Q25=1,ISNUMBER($N25),ISNUMBER($H25)),$N25*$H25,0)</f>
        <v/>
      </c>
      <c r="W25" s="23">
        <f>IF(AND($Q25=1,ISNUMBER($N25),ISNUMBER($H25)),$H25,0)</f>
        <v/>
      </c>
      <c r="X25" s="24">
        <f>IF(AND($Q25=1,ISNUMBER($O25),ISNUMBER($H25)),$O25*$H25,0)</f>
        <v/>
      </c>
      <c r="Y25" s="23">
        <f>IF(AND($Q25=1,ISNUMBER($O25),ISNUMBER($H25)),$H25,0)</f>
        <v/>
      </c>
      <c r="Z25" s="23">
        <f>IF($Q25=0,"",IF(COUNTIF($B$5:$B25,$B25)&gt;1,"",MAX(0,MAX($Z$5:$Z24))+1))</f>
        <v/>
      </c>
    </row>
    <row r="26">
      <c r="A26" s="14">
        <f>IFERROR(IF(INDEX('Index Members'!$A$4:$A$403,ROW()-4)=0,"",INDEX('Index Members'!$A$4:$A$403,ROW()-4)),"")</f>
        <v/>
      </c>
      <c r="B26" s="14">
        <f>IF($A26="","",IFERROR(IF(VLOOKUP($A26,'Sector Map'!$A$4:$B$123,2,FALSE)=0,"NO SECTOR",VLOOKUP($A26,'Sector Map'!$A$4:$B$123,2,FALSE)),"NOT IN MAP"))</f>
        <v/>
      </c>
      <c r="C26" s="14">
        <f>IF($A26="","",$A26&amp;TkSuffix)</f>
        <v/>
      </c>
      <c r="D26" s="17">
        <f>IF($C26="","",BDP($C26,FldMcap))</f>
        <v/>
      </c>
      <c r="E26" s="17">
        <f>IF($C26="","",BDP($C26,FldShOut))</f>
        <v/>
      </c>
      <c r="F26" s="18">
        <f>IF($C26="","",BDP($C26,FldPx))</f>
        <v/>
      </c>
      <c r="G26" s="19">
        <f>IFERROR($E26*$F26,"")</f>
        <v/>
      </c>
      <c r="H26" s="20">
        <f>IFERROR(IF(WgtBasis="SEC_CAP",$G26,$D26),"")</f>
        <v/>
      </c>
      <c r="I26" s="18">
        <f>IF($C26="","",BDP($C26,FldEps,"BEST_FPERIOD_OVERRIDE="&amp;FpOvr))</f>
        <v/>
      </c>
      <c r="J26" s="18">
        <f>IF($C26="","",IFERROR(INDEX(BDH($C26,FldEps,DtRevA,DtRevA,"BEST_FPERIOD_OVERRIDE="&amp;FpOvr,"Days=A","Fill=P"),1,1),""))</f>
        <v/>
      </c>
      <c r="K26" s="18">
        <f>IF($C26="","",IFERROR(INDEX(BDH($C26,FldEps,DtRevB,DtRevB,"BEST_FPERIOD_OVERRIDE="&amp;FpOvr,"Days=A","Fill=P"),1,1),""))</f>
        <v/>
      </c>
      <c r="L26" s="21">
        <f>IFERROR(IF($J26&lt;=0,"",$I26/$J26-1),"")</f>
        <v/>
      </c>
      <c r="M26" s="21">
        <f>IFERROR(IF($K26&lt;=0,"",$I26/$K26-1),"")</f>
        <v/>
      </c>
      <c r="N26" s="22">
        <f>IF($C26="","",IFERROR(BDP($C26,FldTRR,"CUST_TRR_START_DT="&amp;TEXT(DtMomA,"yyyymmdd"),"CUST_TRR_END_DT="&amp;TEXT(AsOf,"yyyymmdd"))/100,""))</f>
        <v/>
      </c>
      <c r="O26" s="22">
        <f>IF($C26="","",IFERROR(BDP($C26,FldTRR,"CUST_TRR_START_DT="&amp;TEXT(DtMomB,"yyyymmdd"),"CUST_TRR_END_DT="&amp;TEXT(AsOf,"yyyymmdd"))/100,""))</f>
        <v/>
      </c>
      <c r="P26" s="2">
        <f>IF($A26="","",IF($Q26=0,"sector missing",IF(NOT(ISNUMBER($H26)),"no market cap",IF(COUNT($L26:$O26)=4,"complete","missing "&amp;(4-COUNT($L26:$O26))&amp;" of 4 factors"))))</f>
        <v/>
      </c>
      <c r="Q26" s="23">
        <f>IF(OR($B26="",$B26="NO SECTOR",$B26="NOT IN MAP"),0,1)</f>
        <v/>
      </c>
      <c r="R26" s="24">
        <f>IF(AND($Q26=1,ISNUMBER($L26),ISNUMBER($H26)),$L26*$H26,0)</f>
        <v/>
      </c>
      <c r="S26" s="23">
        <f>IF(AND($Q26=1,ISNUMBER($L26),ISNUMBER($H26)),$H26,0)</f>
        <v/>
      </c>
      <c r="T26" s="24">
        <f>IF(AND($Q26=1,ISNUMBER($M26),ISNUMBER($H26)),$M26*$H26,0)</f>
        <v/>
      </c>
      <c r="U26" s="23">
        <f>IF(AND($Q26=1,ISNUMBER($M26),ISNUMBER($H26)),$H26,0)</f>
        <v/>
      </c>
      <c r="V26" s="24">
        <f>IF(AND($Q26=1,ISNUMBER($N26),ISNUMBER($H26)),$N26*$H26,0)</f>
        <v/>
      </c>
      <c r="W26" s="23">
        <f>IF(AND($Q26=1,ISNUMBER($N26),ISNUMBER($H26)),$H26,0)</f>
        <v/>
      </c>
      <c r="X26" s="24">
        <f>IF(AND($Q26=1,ISNUMBER($O26),ISNUMBER($H26)),$O26*$H26,0)</f>
        <v/>
      </c>
      <c r="Y26" s="23">
        <f>IF(AND($Q26=1,ISNUMBER($O26),ISNUMBER($H26)),$H26,0)</f>
        <v/>
      </c>
      <c r="Z26" s="23">
        <f>IF($Q26=0,"",IF(COUNTIF($B$5:$B26,$B26)&gt;1,"",MAX(0,MAX($Z$5:$Z25))+1))</f>
        <v/>
      </c>
    </row>
    <row r="27">
      <c r="A27" s="14">
        <f>IFERROR(IF(INDEX('Index Members'!$A$4:$A$403,ROW()-4)=0,"",INDEX('Index Members'!$A$4:$A$403,ROW()-4)),"")</f>
        <v/>
      </c>
      <c r="B27" s="14">
        <f>IF($A27="","",IFERROR(IF(VLOOKUP($A27,'Sector Map'!$A$4:$B$123,2,FALSE)=0,"NO SECTOR",VLOOKUP($A27,'Sector Map'!$A$4:$B$123,2,FALSE)),"NOT IN MAP"))</f>
        <v/>
      </c>
      <c r="C27" s="14">
        <f>IF($A27="","",$A27&amp;TkSuffix)</f>
        <v/>
      </c>
      <c r="D27" s="17">
        <f>IF($C27="","",BDP($C27,FldMcap))</f>
        <v/>
      </c>
      <c r="E27" s="17">
        <f>IF($C27="","",BDP($C27,FldShOut))</f>
        <v/>
      </c>
      <c r="F27" s="18">
        <f>IF($C27="","",BDP($C27,FldPx))</f>
        <v/>
      </c>
      <c r="G27" s="19">
        <f>IFERROR($E27*$F27,"")</f>
        <v/>
      </c>
      <c r="H27" s="20">
        <f>IFERROR(IF(WgtBasis="SEC_CAP",$G27,$D27),"")</f>
        <v/>
      </c>
      <c r="I27" s="18">
        <f>IF($C27="","",BDP($C27,FldEps,"BEST_FPERIOD_OVERRIDE="&amp;FpOvr))</f>
        <v/>
      </c>
      <c r="J27" s="18">
        <f>IF($C27="","",IFERROR(INDEX(BDH($C27,FldEps,DtRevA,DtRevA,"BEST_FPERIOD_OVERRIDE="&amp;FpOvr,"Days=A","Fill=P"),1,1),""))</f>
        <v/>
      </c>
      <c r="K27" s="18">
        <f>IF($C27="","",IFERROR(INDEX(BDH($C27,FldEps,DtRevB,DtRevB,"BEST_FPERIOD_OVERRIDE="&amp;FpOvr,"Days=A","Fill=P"),1,1),""))</f>
        <v/>
      </c>
      <c r="L27" s="21">
        <f>IFERROR(IF($J27&lt;=0,"",$I27/$J27-1),"")</f>
        <v/>
      </c>
      <c r="M27" s="21">
        <f>IFERROR(IF($K27&lt;=0,"",$I27/$K27-1),"")</f>
        <v/>
      </c>
      <c r="N27" s="22">
        <f>IF($C27="","",IFERROR(BDP($C27,FldTRR,"CUST_TRR_START_DT="&amp;TEXT(DtMomA,"yyyymmdd"),"CUST_TRR_END_DT="&amp;TEXT(AsOf,"yyyymmdd"))/100,""))</f>
        <v/>
      </c>
      <c r="O27" s="22">
        <f>IF($C27="","",IFERROR(BDP($C27,FldTRR,"CUST_TRR_START_DT="&amp;TEXT(DtMomB,"yyyymmdd"),"CUST_TRR_END_DT="&amp;TEXT(AsOf,"yyyymmdd"))/100,""))</f>
        <v/>
      </c>
      <c r="P27" s="2">
        <f>IF($A27="","",IF($Q27=0,"sector missing",IF(NOT(ISNUMBER($H27)),"no market cap",IF(COUNT($L27:$O27)=4,"complete","missing "&amp;(4-COUNT($L27:$O27))&amp;" of 4 factors"))))</f>
        <v/>
      </c>
      <c r="Q27" s="23">
        <f>IF(OR($B27="",$B27="NO SECTOR",$B27="NOT IN MAP"),0,1)</f>
        <v/>
      </c>
      <c r="R27" s="24">
        <f>IF(AND($Q27=1,ISNUMBER($L27),ISNUMBER($H27)),$L27*$H27,0)</f>
        <v/>
      </c>
      <c r="S27" s="23">
        <f>IF(AND($Q27=1,ISNUMBER($L27),ISNUMBER($H27)),$H27,0)</f>
        <v/>
      </c>
      <c r="T27" s="24">
        <f>IF(AND($Q27=1,ISNUMBER($M27),ISNUMBER($H27)),$M27*$H27,0)</f>
        <v/>
      </c>
      <c r="U27" s="23">
        <f>IF(AND($Q27=1,ISNUMBER($M27),ISNUMBER($H27)),$H27,0)</f>
        <v/>
      </c>
      <c r="V27" s="24">
        <f>IF(AND($Q27=1,ISNUMBER($N27),ISNUMBER($H27)),$N27*$H27,0)</f>
        <v/>
      </c>
      <c r="W27" s="23">
        <f>IF(AND($Q27=1,ISNUMBER($N27),ISNUMBER($H27)),$H27,0)</f>
        <v/>
      </c>
      <c r="X27" s="24">
        <f>IF(AND($Q27=1,ISNUMBER($O27),ISNUMBER($H27)),$O27*$H27,0)</f>
        <v/>
      </c>
      <c r="Y27" s="23">
        <f>IF(AND($Q27=1,ISNUMBER($O27),ISNUMBER($H27)),$H27,0)</f>
        <v/>
      </c>
      <c r="Z27" s="23">
        <f>IF($Q27=0,"",IF(COUNTIF($B$5:$B27,$B27)&gt;1,"",MAX(0,MAX($Z$5:$Z26))+1))</f>
        <v/>
      </c>
    </row>
    <row r="28">
      <c r="A28" s="14">
        <f>IFERROR(IF(INDEX('Index Members'!$A$4:$A$403,ROW()-4)=0,"",INDEX('Index Members'!$A$4:$A$403,ROW()-4)),"")</f>
        <v/>
      </c>
      <c r="B28" s="14">
        <f>IF($A28="","",IFERROR(IF(VLOOKUP($A28,'Sector Map'!$A$4:$B$123,2,FALSE)=0,"NO SECTOR",VLOOKUP($A28,'Sector Map'!$A$4:$B$123,2,FALSE)),"NOT IN MAP"))</f>
        <v/>
      </c>
      <c r="C28" s="14">
        <f>IF($A28="","",$A28&amp;TkSuffix)</f>
        <v/>
      </c>
      <c r="D28" s="17">
        <f>IF($C28="","",BDP($C28,FldMcap))</f>
        <v/>
      </c>
      <c r="E28" s="17">
        <f>IF($C28="","",BDP($C28,FldShOut))</f>
        <v/>
      </c>
      <c r="F28" s="18">
        <f>IF($C28="","",BDP($C28,FldPx))</f>
        <v/>
      </c>
      <c r="G28" s="19">
        <f>IFERROR($E28*$F28,"")</f>
        <v/>
      </c>
      <c r="H28" s="20">
        <f>IFERROR(IF(WgtBasis="SEC_CAP",$G28,$D28),"")</f>
        <v/>
      </c>
      <c r="I28" s="18">
        <f>IF($C28="","",BDP($C28,FldEps,"BEST_FPERIOD_OVERRIDE="&amp;FpOvr))</f>
        <v/>
      </c>
      <c r="J28" s="18">
        <f>IF($C28="","",IFERROR(INDEX(BDH($C28,FldEps,DtRevA,DtRevA,"BEST_FPERIOD_OVERRIDE="&amp;FpOvr,"Days=A","Fill=P"),1,1),""))</f>
        <v/>
      </c>
      <c r="K28" s="18">
        <f>IF($C28="","",IFERROR(INDEX(BDH($C28,FldEps,DtRevB,DtRevB,"BEST_FPERIOD_OVERRIDE="&amp;FpOvr,"Days=A","Fill=P"),1,1),""))</f>
        <v/>
      </c>
      <c r="L28" s="21">
        <f>IFERROR(IF($J28&lt;=0,"",$I28/$J28-1),"")</f>
        <v/>
      </c>
      <c r="M28" s="21">
        <f>IFERROR(IF($K28&lt;=0,"",$I28/$K28-1),"")</f>
        <v/>
      </c>
      <c r="N28" s="22">
        <f>IF($C28="","",IFERROR(BDP($C28,FldTRR,"CUST_TRR_START_DT="&amp;TEXT(DtMomA,"yyyymmdd"),"CUST_TRR_END_DT="&amp;TEXT(AsOf,"yyyymmdd"))/100,""))</f>
        <v/>
      </c>
      <c r="O28" s="22">
        <f>IF($C28="","",IFERROR(BDP($C28,FldTRR,"CUST_TRR_START_DT="&amp;TEXT(DtMomB,"yyyymmdd"),"CUST_TRR_END_DT="&amp;TEXT(AsOf,"yyyymmdd"))/100,""))</f>
        <v/>
      </c>
      <c r="P28" s="2">
        <f>IF($A28="","",IF($Q28=0,"sector missing",IF(NOT(ISNUMBER($H28)),"no market cap",IF(COUNT($L28:$O28)=4,"complete","missing "&amp;(4-COUNT($L28:$O28))&amp;" of 4 factors"))))</f>
        <v/>
      </c>
      <c r="Q28" s="23">
        <f>IF(OR($B28="",$B28="NO SECTOR",$B28="NOT IN MAP"),0,1)</f>
        <v/>
      </c>
      <c r="R28" s="24">
        <f>IF(AND($Q28=1,ISNUMBER($L28),ISNUMBER($H28)),$L28*$H28,0)</f>
        <v/>
      </c>
      <c r="S28" s="23">
        <f>IF(AND($Q28=1,ISNUMBER($L28),ISNUMBER($H28)),$H28,0)</f>
        <v/>
      </c>
      <c r="T28" s="24">
        <f>IF(AND($Q28=1,ISNUMBER($M28),ISNUMBER($H28)),$M28*$H28,0)</f>
        <v/>
      </c>
      <c r="U28" s="23">
        <f>IF(AND($Q28=1,ISNUMBER($M28),ISNUMBER($H28)),$H28,0)</f>
        <v/>
      </c>
      <c r="V28" s="24">
        <f>IF(AND($Q28=1,ISNUMBER($N28),ISNUMBER($H28)),$N28*$H28,0)</f>
        <v/>
      </c>
      <c r="W28" s="23">
        <f>IF(AND($Q28=1,ISNUMBER($N28),ISNUMBER($H28)),$H28,0)</f>
        <v/>
      </c>
      <c r="X28" s="24">
        <f>IF(AND($Q28=1,ISNUMBER($O28),ISNUMBER($H28)),$O28*$H28,0)</f>
        <v/>
      </c>
      <c r="Y28" s="23">
        <f>IF(AND($Q28=1,ISNUMBER($O28),ISNUMBER($H28)),$H28,0)</f>
        <v/>
      </c>
      <c r="Z28" s="23">
        <f>IF($Q28=0,"",IF(COUNTIF($B$5:$B28,$B28)&gt;1,"",MAX(0,MAX($Z$5:$Z27))+1))</f>
        <v/>
      </c>
    </row>
    <row r="29">
      <c r="A29" s="14">
        <f>IFERROR(IF(INDEX('Index Members'!$A$4:$A$403,ROW()-4)=0,"",INDEX('Index Members'!$A$4:$A$403,ROW()-4)),"")</f>
        <v/>
      </c>
      <c r="B29" s="14">
        <f>IF($A29="","",IFERROR(IF(VLOOKUP($A29,'Sector Map'!$A$4:$B$123,2,FALSE)=0,"NO SECTOR",VLOOKUP($A29,'Sector Map'!$A$4:$B$123,2,FALSE)),"NOT IN MAP"))</f>
        <v/>
      </c>
      <c r="C29" s="14">
        <f>IF($A29="","",$A29&amp;TkSuffix)</f>
        <v/>
      </c>
      <c r="D29" s="17">
        <f>IF($C29="","",BDP($C29,FldMcap))</f>
        <v/>
      </c>
      <c r="E29" s="17">
        <f>IF($C29="","",BDP($C29,FldShOut))</f>
        <v/>
      </c>
      <c r="F29" s="18">
        <f>IF($C29="","",BDP($C29,FldPx))</f>
        <v/>
      </c>
      <c r="G29" s="19">
        <f>IFERROR($E29*$F29,"")</f>
        <v/>
      </c>
      <c r="H29" s="20">
        <f>IFERROR(IF(WgtBasis="SEC_CAP",$G29,$D29),"")</f>
        <v/>
      </c>
      <c r="I29" s="18">
        <f>IF($C29="","",BDP($C29,FldEps,"BEST_FPERIOD_OVERRIDE="&amp;FpOvr))</f>
        <v/>
      </c>
      <c r="J29" s="18">
        <f>IF($C29="","",IFERROR(INDEX(BDH($C29,FldEps,DtRevA,DtRevA,"BEST_FPERIOD_OVERRIDE="&amp;FpOvr,"Days=A","Fill=P"),1,1),""))</f>
        <v/>
      </c>
      <c r="K29" s="18">
        <f>IF($C29="","",IFERROR(INDEX(BDH($C29,FldEps,DtRevB,DtRevB,"BEST_FPERIOD_OVERRIDE="&amp;FpOvr,"Days=A","Fill=P"),1,1),""))</f>
        <v/>
      </c>
      <c r="L29" s="21">
        <f>IFERROR(IF($J29&lt;=0,"",$I29/$J29-1),"")</f>
        <v/>
      </c>
      <c r="M29" s="21">
        <f>IFERROR(IF($K29&lt;=0,"",$I29/$K29-1),"")</f>
        <v/>
      </c>
      <c r="N29" s="22">
        <f>IF($C29="","",IFERROR(BDP($C29,FldTRR,"CUST_TRR_START_DT="&amp;TEXT(DtMomA,"yyyymmdd"),"CUST_TRR_END_DT="&amp;TEXT(AsOf,"yyyymmdd"))/100,""))</f>
        <v/>
      </c>
      <c r="O29" s="22">
        <f>IF($C29="","",IFERROR(BDP($C29,FldTRR,"CUST_TRR_START_DT="&amp;TEXT(DtMomB,"yyyymmdd"),"CUST_TRR_END_DT="&amp;TEXT(AsOf,"yyyymmdd"))/100,""))</f>
        <v/>
      </c>
      <c r="P29" s="2">
        <f>IF($A29="","",IF($Q29=0,"sector missing",IF(NOT(ISNUMBER($H29)),"no market cap",IF(COUNT($L29:$O29)=4,"complete","missing "&amp;(4-COUNT($L29:$O29))&amp;" of 4 factors"))))</f>
        <v/>
      </c>
      <c r="Q29" s="23">
        <f>IF(OR($B29="",$B29="NO SECTOR",$B29="NOT IN MAP"),0,1)</f>
        <v/>
      </c>
      <c r="R29" s="24">
        <f>IF(AND($Q29=1,ISNUMBER($L29),ISNUMBER($H29)),$L29*$H29,0)</f>
        <v/>
      </c>
      <c r="S29" s="23">
        <f>IF(AND($Q29=1,ISNUMBER($L29),ISNUMBER($H29)),$H29,0)</f>
        <v/>
      </c>
      <c r="T29" s="24">
        <f>IF(AND($Q29=1,ISNUMBER($M29),ISNUMBER($H29)),$M29*$H29,0)</f>
        <v/>
      </c>
      <c r="U29" s="23">
        <f>IF(AND($Q29=1,ISNUMBER($M29),ISNUMBER($H29)),$H29,0)</f>
        <v/>
      </c>
      <c r="V29" s="24">
        <f>IF(AND($Q29=1,ISNUMBER($N29),ISNUMBER($H29)),$N29*$H29,0)</f>
        <v/>
      </c>
      <c r="W29" s="23">
        <f>IF(AND($Q29=1,ISNUMBER($N29),ISNUMBER($H29)),$H29,0)</f>
        <v/>
      </c>
      <c r="X29" s="24">
        <f>IF(AND($Q29=1,ISNUMBER($O29),ISNUMBER($H29)),$O29*$H29,0)</f>
        <v/>
      </c>
      <c r="Y29" s="23">
        <f>IF(AND($Q29=1,ISNUMBER($O29),ISNUMBER($H29)),$H29,0)</f>
        <v/>
      </c>
      <c r="Z29" s="23">
        <f>IF($Q29=0,"",IF(COUNTIF($B$5:$B29,$B29)&gt;1,"",MAX(0,MAX($Z$5:$Z28))+1))</f>
        <v/>
      </c>
    </row>
    <row r="30">
      <c r="A30" s="14">
        <f>IFERROR(IF(INDEX('Index Members'!$A$4:$A$403,ROW()-4)=0,"",INDEX('Index Members'!$A$4:$A$403,ROW()-4)),"")</f>
        <v/>
      </c>
      <c r="B30" s="14">
        <f>IF($A30="","",IFERROR(IF(VLOOKUP($A30,'Sector Map'!$A$4:$B$123,2,FALSE)=0,"NO SECTOR",VLOOKUP($A30,'Sector Map'!$A$4:$B$123,2,FALSE)),"NOT IN MAP"))</f>
        <v/>
      </c>
      <c r="C30" s="14">
        <f>IF($A30="","",$A30&amp;TkSuffix)</f>
        <v/>
      </c>
      <c r="D30" s="17">
        <f>IF($C30="","",BDP($C30,FldMcap))</f>
        <v/>
      </c>
      <c r="E30" s="17">
        <f>IF($C30="","",BDP($C30,FldShOut))</f>
        <v/>
      </c>
      <c r="F30" s="18">
        <f>IF($C30="","",BDP($C30,FldPx))</f>
        <v/>
      </c>
      <c r="G30" s="19">
        <f>IFERROR($E30*$F30,"")</f>
        <v/>
      </c>
      <c r="H30" s="20">
        <f>IFERROR(IF(WgtBasis="SEC_CAP",$G30,$D30),"")</f>
        <v/>
      </c>
      <c r="I30" s="18">
        <f>IF($C30="","",BDP($C30,FldEps,"BEST_FPERIOD_OVERRIDE="&amp;FpOvr))</f>
        <v/>
      </c>
      <c r="J30" s="18">
        <f>IF($C30="","",IFERROR(INDEX(BDH($C30,FldEps,DtRevA,DtRevA,"BEST_FPERIOD_OVERRIDE="&amp;FpOvr,"Days=A","Fill=P"),1,1),""))</f>
        <v/>
      </c>
      <c r="K30" s="18">
        <f>IF($C30="","",IFERROR(INDEX(BDH($C30,FldEps,DtRevB,DtRevB,"BEST_FPERIOD_OVERRIDE="&amp;FpOvr,"Days=A","Fill=P"),1,1),""))</f>
        <v/>
      </c>
      <c r="L30" s="21">
        <f>IFERROR(IF($J30&lt;=0,"",$I30/$J30-1),"")</f>
        <v/>
      </c>
      <c r="M30" s="21">
        <f>IFERROR(IF($K30&lt;=0,"",$I30/$K30-1),"")</f>
        <v/>
      </c>
      <c r="N30" s="22">
        <f>IF($C30="","",IFERROR(BDP($C30,FldTRR,"CUST_TRR_START_DT="&amp;TEXT(DtMomA,"yyyymmdd"),"CUST_TRR_END_DT="&amp;TEXT(AsOf,"yyyymmdd"))/100,""))</f>
        <v/>
      </c>
      <c r="O30" s="22">
        <f>IF($C30="","",IFERROR(BDP($C30,FldTRR,"CUST_TRR_START_DT="&amp;TEXT(DtMomB,"yyyymmdd"),"CUST_TRR_END_DT="&amp;TEXT(AsOf,"yyyymmdd"))/100,""))</f>
        <v/>
      </c>
      <c r="P30" s="2">
        <f>IF($A30="","",IF($Q30=0,"sector missing",IF(NOT(ISNUMBER($H30)),"no market cap",IF(COUNT($L30:$O30)=4,"complete","missing "&amp;(4-COUNT($L30:$O30))&amp;" of 4 factors"))))</f>
        <v/>
      </c>
      <c r="Q30" s="23">
        <f>IF(OR($B30="",$B30="NO SECTOR",$B30="NOT IN MAP"),0,1)</f>
        <v/>
      </c>
      <c r="R30" s="24">
        <f>IF(AND($Q30=1,ISNUMBER($L30),ISNUMBER($H30)),$L30*$H30,0)</f>
        <v/>
      </c>
      <c r="S30" s="23">
        <f>IF(AND($Q30=1,ISNUMBER($L30),ISNUMBER($H30)),$H30,0)</f>
        <v/>
      </c>
      <c r="T30" s="24">
        <f>IF(AND($Q30=1,ISNUMBER($M30),ISNUMBER($H30)),$M30*$H30,0)</f>
        <v/>
      </c>
      <c r="U30" s="23">
        <f>IF(AND($Q30=1,ISNUMBER($M30),ISNUMBER($H30)),$H30,0)</f>
        <v/>
      </c>
      <c r="V30" s="24">
        <f>IF(AND($Q30=1,ISNUMBER($N30),ISNUMBER($H30)),$N30*$H30,0)</f>
        <v/>
      </c>
      <c r="W30" s="23">
        <f>IF(AND($Q30=1,ISNUMBER($N30),ISNUMBER($H30)),$H30,0)</f>
        <v/>
      </c>
      <c r="X30" s="24">
        <f>IF(AND($Q30=1,ISNUMBER($O30),ISNUMBER($H30)),$O30*$H30,0)</f>
        <v/>
      </c>
      <c r="Y30" s="23">
        <f>IF(AND($Q30=1,ISNUMBER($O30),ISNUMBER($H30)),$H30,0)</f>
        <v/>
      </c>
      <c r="Z30" s="23">
        <f>IF($Q30=0,"",IF(COUNTIF($B$5:$B30,$B30)&gt;1,"",MAX(0,MAX($Z$5:$Z29))+1))</f>
        <v/>
      </c>
    </row>
    <row r="31">
      <c r="A31" s="14">
        <f>IFERROR(IF(INDEX('Index Members'!$A$4:$A$403,ROW()-4)=0,"",INDEX('Index Members'!$A$4:$A$403,ROW()-4)),"")</f>
        <v/>
      </c>
      <c r="B31" s="14">
        <f>IF($A31="","",IFERROR(IF(VLOOKUP($A31,'Sector Map'!$A$4:$B$123,2,FALSE)=0,"NO SECTOR",VLOOKUP($A31,'Sector Map'!$A$4:$B$123,2,FALSE)),"NOT IN MAP"))</f>
        <v/>
      </c>
      <c r="C31" s="14">
        <f>IF($A31="","",$A31&amp;TkSuffix)</f>
        <v/>
      </c>
      <c r="D31" s="17">
        <f>IF($C31="","",BDP($C31,FldMcap))</f>
        <v/>
      </c>
      <c r="E31" s="17">
        <f>IF($C31="","",BDP($C31,FldShOut))</f>
        <v/>
      </c>
      <c r="F31" s="18">
        <f>IF($C31="","",BDP($C31,FldPx))</f>
        <v/>
      </c>
      <c r="G31" s="19">
        <f>IFERROR($E31*$F31,"")</f>
        <v/>
      </c>
      <c r="H31" s="20">
        <f>IFERROR(IF(WgtBasis="SEC_CAP",$G31,$D31),"")</f>
        <v/>
      </c>
      <c r="I31" s="18">
        <f>IF($C31="","",BDP($C31,FldEps,"BEST_FPERIOD_OVERRIDE="&amp;FpOvr))</f>
        <v/>
      </c>
      <c r="J31" s="18">
        <f>IF($C31="","",IFERROR(INDEX(BDH($C31,FldEps,DtRevA,DtRevA,"BEST_FPERIOD_OVERRIDE="&amp;FpOvr,"Days=A","Fill=P"),1,1),""))</f>
        <v/>
      </c>
      <c r="K31" s="18">
        <f>IF($C31="","",IFERROR(INDEX(BDH($C31,FldEps,DtRevB,DtRevB,"BEST_FPERIOD_OVERRIDE="&amp;FpOvr,"Days=A","Fill=P"),1,1),""))</f>
        <v/>
      </c>
      <c r="L31" s="21">
        <f>IFERROR(IF($J31&lt;=0,"",$I31/$J31-1),"")</f>
        <v/>
      </c>
      <c r="M31" s="21">
        <f>IFERROR(IF($K31&lt;=0,"",$I31/$K31-1),"")</f>
        <v/>
      </c>
      <c r="N31" s="22">
        <f>IF($C31="","",IFERROR(BDP($C31,FldTRR,"CUST_TRR_START_DT="&amp;TEXT(DtMomA,"yyyymmdd"),"CUST_TRR_END_DT="&amp;TEXT(AsOf,"yyyymmdd"))/100,""))</f>
        <v/>
      </c>
      <c r="O31" s="22">
        <f>IF($C31="","",IFERROR(BDP($C31,FldTRR,"CUST_TRR_START_DT="&amp;TEXT(DtMomB,"yyyymmdd"),"CUST_TRR_END_DT="&amp;TEXT(AsOf,"yyyymmdd"))/100,""))</f>
        <v/>
      </c>
      <c r="P31" s="2">
        <f>IF($A31="","",IF($Q31=0,"sector missing",IF(NOT(ISNUMBER($H31)),"no market cap",IF(COUNT($L31:$O31)=4,"complete","missing "&amp;(4-COUNT($L31:$O31))&amp;" of 4 factors"))))</f>
        <v/>
      </c>
      <c r="Q31" s="23">
        <f>IF(OR($B31="",$B31="NO SECTOR",$B31="NOT IN MAP"),0,1)</f>
        <v/>
      </c>
      <c r="R31" s="24">
        <f>IF(AND($Q31=1,ISNUMBER($L31),ISNUMBER($H31)),$L31*$H31,0)</f>
        <v/>
      </c>
      <c r="S31" s="23">
        <f>IF(AND($Q31=1,ISNUMBER($L31),ISNUMBER($H31)),$H31,0)</f>
        <v/>
      </c>
      <c r="T31" s="24">
        <f>IF(AND($Q31=1,ISNUMBER($M31),ISNUMBER($H31)),$M31*$H31,0)</f>
        <v/>
      </c>
      <c r="U31" s="23">
        <f>IF(AND($Q31=1,ISNUMBER($M31),ISNUMBER($H31)),$H31,0)</f>
        <v/>
      </c>
      <c r="V31" s="24">
        <f>IF(AND($Q31=1,ISNUMBER($N31),ISNUMBER($H31)),$N31*$H31,0)</f>
        <v/>
      </c>
      <c r="W31" s="23">
        <f>IF(AND($Q31=1,ISNUMBER($N31),ISNUMBER($H31)),$H31,0)</f>
        <v/>
      </c>
      <c r="X31" s="24">
        <f>IF(AND($Q31=1,ISNUMBER($O31),ISNUMBER($H31)),$O31*$H31,0)</f>
        <v/>
      </c>
      <c r="Y31" s="23">
        <f>IF(AND($Q31=1,ISNUMBER($O31),ISNUMBER($H31)),$H31,0)</f>
        <v/>
      </c>
      <c r="Z31" s="23">
        <f>IF($Q31=0,"",IF(COUNTIF($B$5:$B31,$B31)&gt;1,"",MAX(0,MAX($Z$5:$Z30))+1))</f>
        <v/>
      </c>
    </row>
    <row r="32">
      <c r="A32" s="14">
        <f>IFERROR(IF(INDEX('Index Members'!$A$4:$A$403,ROW()-4)=0,"",INDEX('Index Members'!$A$4:$A$403,ROW()-4)),"")</f>
        <v/>
      </c>
      <c r="B32" s="14">
        <f>IF($A32="","",IFERROR(IF(VLOOKUP($A32,'Sector Map'!$A$4:$B$123,2,FALSE)=0,"NO SECTOR",VLOOKUP($A32,'Sector Map'!$A$4:$B$123,2,FALSE)),"NOT IN MAP"))</f>
        <v/>
      </c>
      <c r="C32" s="14">
        <f>IF($A32="","",$A32&amp;TkSuffix)</f>
        <v/>
      </c>
      <c r="D32" s="17">
        <f>IF($C32="","",BDP($C32,FldMcap))</f>
        <v/>
      </c>
      <c r="E32" s="17">
        <f>IF($C32="","",BDP($C32,FldShOut))</f>
        <v/>
      </c>
      <c r="F32" s="18">
        <f>IF($C32="","",BDP($C32,FldPx))</f>
        <v/>
      </c>
      <c r="G32" s="19">
        <f>IFERROR($E32*$F32,"")</f>
        <v/>
      </c>
      <c r="H32" s="20">
        <f>IFERROR(IF(WgtBasis="SEC_CAP",$G32,$D32),"")</f>
        <v/>
      </c>
      <c r="I32" s="18">
        <f>IF($C32="","",BDP($C32,FldEps,"BEST_FPERIOD_OVERRIDE="&amp;FpOvr))</f>
        <v/>
      </c>
      <c r="J32" s="18">
        <f>IF($C32="","",IFERROR(INDEX(BDH($C32,FldEps,DtRevA,DtRevA,"BEST_FPERIOD_OVERRIDE="&amp;FpOvr,"Days=A","Fill=P"),1,1),""))</f>
        <v/>
      </c>
      <c r="K32" s="18">
        <f>IF($C32="","",IFERROR(INDEX(BDH($C32,FldEps,DtRevB,DtRevB,"BEST_FPERIOD_OVERRIDE="&amp;FpOvr,"Days=A","Fill=P"),1,1),""))</f>
        <v/>
      </c>
      <c r="L32" s="21">
        <f>IFERROR(IF($J32&lt;=0,"",$I32/$J32-1),"")</f>
        <v/>
      </c>
      <c r="M32" s="21">
        <f>IFERROR(IF($K32&lt;=0,"",$I32/$K32-1),"")</f>
        <v/>
      </c>
      <c r="N32" s="22">
        <f>IF($C32="","",IFERROR(BDP($C32,FldTRR,"CUST_TRR_START_DT="&amp;TEXT(DtMomA,"yyyymmdd"),"CUST_TRR_END_DT="&amp;TEXT(AsOf,"yyyymmdd"))/100,""))</f>
        <v/>
      </c>
      <c r="O32" s="22">
        <f>IF($C32="","",IFERROR(BDP($C32,FldTRR,"CUST_TRR_START_DT="&amp;TEXT(DtMomB,"yyyymmdd"),"CUST_TRR_END_DT="&amp;TEXT(AsOf,"yyyymmdd"))/100,""))</f>
        <v/>
      </c>
      <c r="P32" s="2">
        <f>IF($A32="","",IF($Q32=0,"sector missing",IF(NOT(ISNUMBER($H32)),"no market cap",IF(COUNT($L32:$O32)=4,"complete","missing "&amp;(4-COUNT($L32:$O32))&amp;" of 4 factors"))))</f>
        <v/>
      </c>
      <c r="Q32" s="23">
        <f>IF(OR($B32="",$B32="NO SECTOR",$B32="NOT IN MAP"),0,1)</f>
        <v/>
      </c>
      <c r="R32" s="24">
        <f>IF(AND($Q32=1,ISNUMBER($L32),ISNUMBER($H32)),$L32*$H32,0)</f>
        <v/>
      </c>
      <c r="S32" s="23">
        <f>IF(AND($Q32=1,ISNUMBER($L32),ISNUMBER($H32)),$H32,0)</f>
        <v/>
      </c>
      <c r="T32" s="24">
        <f>IF(AND($Q32=1,ISNUMBER($M32),ISNUMBER($H32)),$M32*$H32,0)</f>
        <v/>
      </c>
      <c r="U32" s="23">
        <f>IF(AND($Q32=1,ISNUMBER($M32),ISNUMBER($H32)),$H32,0)</f>
        <v/>
      </c>
      <c r="V32" s="24">
        <f>IF(AND($Q32=1,ISNUMBER($N32),ISNUMBER($H32)),$N32*$H32,0)</f>
        <v/>
      </c>
      <c r="W32" s="23">
        <f>IF(AND($Q32=1,ISNUMBER($N32),ISNUMBER($H32)),$H32,0)</f>
        <v/>
      </c>
      <c r="X32" s="24">
        <f>IF(AND($Q32=1,ISNUMBER($O32),ISNUMBER($H32)),$O32*$H32,0)</f>
        <v/>
      </c>
      <c r="Y32" s="23">
        <f>IF(AND($Q32=1,ISNUMBER($O32),ISNUMBER($H32)),$H32,0)</f>
        <v/>
      </c>
      <c r="Z32" s="23">
        <f>IF($Q32=0,"",IF(COUNTIF($B$5:$B32,$B32)&gt;1,"",MAX(0,MAX($Z$5:$Z31))+1))</f>
        <v/>
      </c>
    </row>
    <row r="33">
      <c r="A33" s="14">
        <f>IFERROR(IF(INDEX('Index Members'!$A$4:$A$403,ROW()-4)=0,"",INDEX('Index Members'!$A$4:$A$403,ROW()-4)),"")</f>
        <v/>
      </c>
      <c r="B33" s="14">
        <f>IF($A33="","",IFERROR(IF(VLOOKUP($A33,'Sector Map'!$A$4:$B$123,2,FALSE)=0,"NO SECTOR",VLOOKUP($A33,'Sector Map'!$A$4:$B$123,2,FALSE)),"NOT IN MAP"))</f>
        <v/>
      </c>
      <c r="C33" s="14">
        <f>IF($A33="","",$A33&amp;TkSuffix)</f>
        <v/>
      </c>
      <c r="D33" s="17">
        <f>IF($C33="","",BDP($C33,FldMcap))</f>
        <v/>
      </c>
      <c r="E33" s="17">
        <f>IF($C33="","",BDP($C33,FldShOut))</f>
        <v/>
      </c>
      <c r="F33" s="18">
        <f>IF($C33="","",BDP($C33,FldPx))</f>
        <v/>
      </c>
      <c r="G33" s="19">
        <f>IFERROR($E33*$F33,"")</f>
        <v/>
      </c>
      <c r="H33" s="20">
        <f>IFERROR(IF(WgtBasis="SEC_CAP",$G33,$D33),"")</f>
        <v/>
      </c>
      <c r="I33" s="18">
        <f>IF($C33="","",BDP($C33,FldEps,"BEST_FPERIOD_OVERRIDE="&amp;FpOvr))</f>
        <v/>
      </c>
      <c r="J33" s="18">
        <f>IF($C33="","",IFERROR(INDEX(BDH($C33,FldEps,DtRevA,DtRevA,"BEST_FPERIOD_OVERRIDE="&amp;FpOvr,"Days=A","Fill=P"),1,1),""))</f>
        <v/>
      </c>
      <c r="K33" s="18">
        <f>IF($C33="","",IFERROR(INDEX(BDH($C33,FldEps,DtRevB,DtRevB,"BEST_FPERIOD_OVERRIDE="&amp;FpOvr,"Days=A","Fill=P"),1,1),""))</f>
        <v/>
      </c>
      <c r="L33" s="21">
        <f>IFERROR(IF($J33&lt;=0,"",$I33/$J33-1),"")</f>
        <v/>
      </c>
      <c r="M33" s="21">
        <f>IFERROR(IF($K33&lt;=0,"",$I33/$K33-1),"")</f>
        <v/>
      </c>
      <c r="N33" s="22">
        <f>IF($C33="","",IFERROR(BDP($C33,FldTRR,"CUST_TRR_START_DT="&amp;TEXT(DtMomA,"yyyymmdd"),"CUST_TRR_END_DT="&amp;TEXT(AsOf,"yyyymmdd"))/100,""))</f>
        <v/>
      </c>
      <c r="O33" s="22">
        <f>IF($C33="","",IFERROR(BDP($C33,FldTRR,"CUST_TRR_START_DT="&amp;TEXT(DtMomB,"yyyymmdd"),"CUST_TRR_END_DT="&amp;TEXT(AsOf,"yyyymmdd"))/100,""))</f>
        <v/>
      </c>
      <c r="P33" s="2">
        <f>IF($A33="","",IF($Q33=0,"sector missing",IF(NOT(ISNUMBER($H33)),"no market cap",IF(COUNT($L33:$O33)=4,"complete","missing "&amp;(4-COUNT($L33:$O33))&amp;" of 4 factors"))))</f>
        <v/>
      </c>
      <c r="Q33" s="23">
        <f>IF(OR($B33="",$B33="NO SECTOR",$B33="NOT IN MAP"),0,1)</f>
        <v/>
      </c>
      <c r="R33" s="24">
        <f>IF(AND($Q33=1,ISNUMBER($L33),ISNUMBER($H33)),$L33*$H33,0)</f>
        <v/>
      </c>
      <c r="S33" s="23">
        <f>IF(AND($Q33=1,ISNUMBER($L33),ISNUMBER($H33)),$H33,0)</f>
        <v/>
      </c>
      <c r="T33" s="24">
        <f>IF(AND($Q33=1,ISNUMBER($M33),ISNUMBER($H33)),$M33*$H33,0)</f>
        <v/>
      </c>
      <c r="U33" s="23">
        <f>IF(AND($Q33=1,ISNUMBER($M33),ISNUMBER($H33)),$H33,0)</f>
        <v/>
      </c>
      <c r="V33" s="24">
        <f>IF(AND($Q33=1,ISNUMBER($N33),ISNUMBER($H33)),$N33*$H33,0)</f>
        <v/>
      </c>
      <c r="W33" s="23">
        <f>IF(AND($Q33=1,ISNUMBER($N33),ISNUMBER($H33)),$H33,0)</f>
        <v/>
      </c>
      <c r="X33" s="24">
        <f>IF(AND($Q33=1,ISNUMBER($O33),ISNUMBER($H33)),$O33*$H33,0)</f>
        <v/>
      </c>
      <c r="Y33" s="23">
        <f>IF(AND($Q33=1,ISNUMBER($O33),ISNUMBER($H33)),$H33,0)</f>
        <v/>
      </c>
      <c r="Z33" s="23">
        <f>IF($Q33=0,"",IF(COUNTIF($B$5:$B33,$B33)&gt;1,"",MAX(0,MAX($Z$5:$Z32))+1))</f>
        <v/>
      </c>
    </row>
    <row r="34">
      <c r="A34" s="14">
        <f>IFERROR(IF(INDEX('Index Members'!$A$4:$A$403,ROW()-4)=0,"",INDEX('Index Members'!$A$4:$A$403,ROW()-4)),"")</f>
        <v/>
      </c>
      <c r="B34" s="14">
        <f>IF($A34="","",IFERROR(IF(VLOOKUP($A34,'Sector Map'!$A$4:$B$123,2,FALSE)=0,"NO SECTOR",VLOOKUP($A34,'Sector Map'!$A$4:$B$123,2,FALSE)),"NOT IN MAP"))</f>
        <v/>
      </c>
      <c r="C34" s="14">
        <f>IF($A34="","",$A34&amp;TkSuffix)</f>
        <v/>
      </c>
      <c r="D34" s="17">
        <f>IF($C34="","",BDP($C34,FldMcap))</f>
        <v/>
      </c>
      <c r="E34" s="17">
        <f>IF($C34="","",BDP($C34,FldShOut))</f>
        <v/>
      </c>
      <c r="F34" s="18">
        <f>IF($C34="","",BDP($C34,FldPx))</f>
        <v/>
      </c>
      <c r="G34" s="19">
        <f>IFERROR($E34*$F34,"")</f>
        <v/>
      </c>
      <c r="H34" s="20">
        <f>IFERROR(IF(WgtBasis="SEC_CAP",$G34,$D34),"")</f>
        <v/>
      </c>
      <c r="I34" s="18">
        <f>IF($C34="","",BDP($C34,FldEps,"BEST_FPERIOD_OVERRIDE="&amp;FpOvr))</f>
        <v/>
      </c>
      <c r="J34" s="18">
        <f>IF($C34="","",IFERROR(INDEX(BDH($C34,FldEps,DtRevA,DtRevA,"BEST_FPERIOD_OVERRIDE="&amp;FpOvr,"Days=A","Fill=P"),1,1),""))</f>
        <v/>
      </c>
      <c r="K34" s="18">
        <f>IF($C34="","",IFERROR(INDEX(BDH($C34,FldEps,DtRevB,DtRevB,"BEST_FPERIOD_OVERRIDE="&amp;FpOvr,"Days=A","Fill=P"),1,1),""))</f>
        <v/>
      </c>
      <c r="L34" s="21">
        <f>IFERROR(IF($J34&lt;=0,"",$I34/$J34-1),"")</f>
        <v/>
      </c>
      <c r="M34" s="21">
        <f>IFERROR(IF($K34&lt;=0,"",$I34/$K34-1),"")</f>
        <v/>
      </c>
      <c r="N34" s="22">
        <f>IF($C34="","",IFERROR(BDP($C34,FldTRR,"CUST_TRR_START_DT="&amp;TEXT(DtMomA,"yyyymmdd"),"CUST_TRR_END_DT="&amp;TEXT(AsOf,"yyyymmdd"))/100,""))</f>
        <v/>
      </c>
      <c r="O34" s="22">
        <f>IF($C34="","",IFERROR(BDP($C34,FldTRR,"CUST_TRR_START_DT="&amp;TEXT(DtMomB,"yyyymmdd"),"CUST_TRR_END_DT="&amp;TEXT(AsOf,"yyyymmdd"))/100,""))</f>
        <v/>
      </c>
      <c r="P34" s="2">
        <f>IF($A34="","",IF($Q34=0,"sector missing",IF(NOT(ISNUMBER($H34)),"no market cap",IF(COUNT($L34:$O34)=4,"complete","missing "&amp;(4-COUNT($L34:$O34))&amp;" of 4 factors"))))</f>
        <v/>
      </c>
      <c r="Q34" s="23">
        <f>IF(OR($B34="",$B34="NO SECTOR",$B34="NOT IN MAP"),0,1)</f>
        <v/>
      </c>
      <c r="R34" s="24">
        <f>IF(AND($Q34=1,ISNUMBER($L34),ISNUMBER($H34)),$L34*$H34,0)</f>
        <v/>
      </c>
      <c r="S34" s="23">
        <f>IF(AND($Q34=1,ISNUMBER($L34),ISNUMBER($H34)),$H34,0)</f>
        <v/>
      </c>
      <c r="T34" s="24">
        <f>IF(AND($Q34=1,ISNUMBER($M34),ISNUMBER($H34)),$M34*$H34,0)</f>
        <v/>
      </c>
      <c r="U34" s="23">
        <f>IF(AND($Q34=1,ISNUMBER($M34),ISNUMBER($H34)),$H34,0)</f>
        <v/>
      </c>
      <c r="V34" s="24">
        <f>IF(AND($Q34=1,ISNUMBER($N34),ISNUMBER($H34)),$N34*$H34,0)</f>
        <v/>
      </c>
      <c r="W34" s="23">
        <f>IF(AND($Q34=1,ISNUMBER($N34),ISNUMBER($H34)),$H34,0)</f>
        <v/>
      </c>
      <c r="X34" s="24">
        <f>IF(AND($Q34=1,ISNUMBER($O34),ISNUMBER($H34)),$O34*$H34,0)</f>
        <v/>
      </c>
      <c r="Y34" s="23">
        <f>IF(AND($Q34=1,ISNUMBER($O34),ISNUMBER($H34)),$H34,0)</f>
        <v/>
      </c>
      <c r="Z34" s="23">
        <f>IF($Q34=0,"",IF(COUNTIF($B$5:$B34,$B34)&gt;1,"",MAX(0,MAX($Z$5:$Z33))+1))</f>
        <v/>
      </c>
    </row>
    <row r="35">
      <c r="A35" s="14">
        <f>IFERROR(IF(INDEX('Index Members'!$A$4:$A$403,ROW()-4)=0,"",INDEX('Index Members'!$A$4:$A$403,ROW()-4)),"")</f>
        <v/>
      </c>
      <c r="B35" s="14">
        <f>IF($A35="","",IFERROR(IF(VLOOKUP($A35,'Sector Map'!$A$4:$B$123,2,FALSE)=0,"NO SECTOR",VLOOKUP($A35,'Sector Map'!$A$4:$B$123,2,FALSE)),"NOT IN MAP"))</f>
        <v/>
      </c>
      <c r="C35" s="14">
        <f>IF($A35="","",$A35&amp;TkSuffix)</f>
        <v/>
      </c>
      <c r="D35" s="17">
        <f>IF($C35="","",BDP($C35,FldMcap))</f>
        <v/>
      </c>
      <c r="E35" s="17">
        <f>IF($C35="","",BDP($C35,FldShOut))</f>
        <v/>
      </c>
      <c r="F35" s="18">
        <f>IF($C35="","",BDP($C35,FldPx))</f>
        <v/>
      </c>
      <c r="G35" s="19">
        <f>IFERROR($E35*$F35,"")</f>
        <v/>
      </c>
      <c r="H35" s="20">
        <f>IFERROR(IF(WgtBasis="SEC_CAP",$G35,$D35),"")</f>
        <v/>
      </c>
      <c r="I35" s="18">
        <f>IF($C35="","",BDP($C35,FldEps,"BEST_FPERIOD_OVERRIDE="&amp;FpOvr))</f>
        <v/>
      </c>
      <c r="J35" s="18">
        <f>IF($C35="","",IFERROR(INDEX(BDH($C35,FldEps,DtRevA,DtRevA,"BEST_FPERIOD_OVERRIDE="&amp;FpOvr,"Days=A","Fill=P"),1,1),""))</f>
        <v/>
      </c>
      <c r="K35" s="18">
        <f>IF($C35="","",IFERROR(INDEX(BDH($C35,FldEps,DtRevB,DtRevB,"BEST_FPERIOD_OVERRIDE="&amp;FpOvr,"Days=A","Fill=P"),1,1),""))</f>
        <v/>
      </c>
      <c r="L35" s="21">
        <f>IFERROR(IF($J35&lt;=0,"",$I35/$J35-1),"")</f>
        <v/>
      </c>
      <c r="M35" s="21">
        <f>IFERROR(IF($K35&lt;=0,"",$I35/$K35-1),"")</f>
        <v/>
      </c>
      <c r="N35" s="22">
        <f>IF($C35="","",IFERROR(BDP($C35,FldTRR,"CUST_TRR_START_DT="&amp;TEXT(DtMomA,"yyyymmdd"),"CUST_TRR_END_DT="&amp;TEXT(AsOf,"yyyymmdd"))/100,""))</f>
        <v/>
      </c>
      <c r="O35" s="22">
        <f>IF($C35="","",IFERROR(BDP($C35,FldTRR,"CUST_TRR_START_DT="&amp;TEXT(DtMomB,"yyyymmdd"),"CUST_TRR_END_DT="&amp;TEXT(AsOf,"yyyymmdd"))/100,""))</f>
        <v/>
      </c>
      <c r="P35" s="2">
        <f>IF($A35="","",IF($Q35=0,"sector missing",IF(NOT(ISNUMBER($H35)),"no market cap",IF(COUNT($L35:$O35)=4,"complete","missing "&amp;(4-COUNT($L35:$O35))&amp;" of 4 factors"))))</f>
        <v/>
      </c>
      <c r="Q35" s="23">
        <f>IF(OR($B35="",$B35="NO SECTOR",$B35="NOT IN MAP"),0,1)</f>
        <v/>
      </c>
      <c r="R35" s="24">
        <f>IF(AND($Q35=1,ISNUMBER($L35),ISNUMBER($H35)),$L35*$H35,0)</f>
        <v/>
      </c>
      <c r="S35" s="23">
        <f>IF(AND($Q35=1,ISNUMBER($L35),ISNUMBER($H35)),$H35,0)</f>
        <v/>
      </c>
      <c r="T35" s="24">
        <f>IF(AND($Q35=1,ISNUMBER($M35),ISNUMBER($H35)),$M35*$H35,0)</f>
        <v/>
      </c>
      <c r="U35" s="23">
        <f>IF(AND($Q35=1,ISNUMBER($M35),ISNUMBER($H35)),$H35,0)</f>
        <v/>
      </c>
      <c r="V35" s="24">
        <f>IF(AND($Q35=1,ISNUMBER($N35),ISNUMBER($H35)),$N35*$H35,0)</f>
        <v/>
      </c>
      <c r="W35" s="23">
        <f>IF(AND($Q35=1,ISNUMBER($N35),ISNUMBER($H35)),$H35,0)</f>
        <v/>
      </c>
      <c r="X35" s="24">
        <f>IF(AND($Q35=1,ISNUMBER($O35),ISNUMBER($H35)),$O35*$H35,0)</f>
        <v/>
      </c>
      <c r="Y35" s="23">
        <f>IF(AND($Q35=1,ISNUMBER($O35),ISNUMBER($H35)),$H35,0)</f>
        <v/>
      </c>
      <c r="Z35" s="23">
        <f>IF($Q35=0,"",IF(COUNTIF($B$5:$B35,$B35)&gt;1,"",MAX(0,MAX($Z$5:$Z34))+1))</f>
        <v/>
      </c>
    </row>
    <row r="36">
      <c r="A36" s="14">
        <f>IFERROR(IF(INDEX('Index Members'!$A$4:$A$403,ROW()-4)=0,"",INDEX('Index Members'!$A$4:$A$403,ROW()-4)),"")</f>
        <v/>
      </c>
      <c r="B36" s="14">
        <f>IF($A36="","",IFERROR(IF(VLOOKUP($A36,'Sector Map'!$A$4:$B$123,2,FALSE)=0,"NO SECTOR",VLOOKUP($A36,'Sector Map'!$A$4:$B$123,2,FALSE)),"NOT IN MAP"))</f>
        <v/>
      </c>
      <c r="C36" s="14">
        <f>IF($A36="","",$A36&amp;TkSuffix)</f>
        <v/>
      </c>
      <c r="D36" s="17">
        <f>IF($C36="","",BDP($C36,FldMcap))</f>
        <v/>
      </c>
      <c r="E36" s="17">
        <f>IF($C36="","",BDP($C36,FldShOut))</f>
        <v/>
      </c>
      <c r="F36" s="18">
        <f>IF($C36="","",BDP($C36,FldPx))</f>
        <v/>
      </c>
      <c r="G36" s="19">
        <f>IFERROR($E36*$F36,"")</f>
        <v/>
      </c>
      <c r="H36" s="20">
        <f>IFERROR(IF(WgtBasis="SEC_CAP",$G36,$D36),"")</f>
        <v/>
      </c>
      <c r="I36" s="18">
        <f>IF($C36="","",BDP($C36,FldEps,"BEST_FPERIOD_OVERRIDE="&amp;FpOvr))</f>
        <v/>
      </c>
      <c r="J36" s="18">
        <f>IF($C36="","",IFERROR(INDEX(BDH($C36,FldEps,DtRevA,DtRevA,"BEST_FPERIOD_OVERRIDE="&amp;FpOvr,"Days=A","Fill=P"),1,1),""))</f>
        <v/>
      </c>
      <c r="K36" s="18">
        <f>IF($C36="","",IFERROR(INDEX(BDH($C36,FldEps,DtRevB,DtRevB,"BEST_FPERIOD_OVERRIDE="&amp;FpOvr,"Days=A","Fill=P"),1,1),""))</f>
        <v/>
      </c>
      <c r="L36" s="21">
        <f>IFERROR(IF($J36&lt;=0,"",$I36/$J36-1),"")</f>
        <v/>
      </c>
      <c r="M36" s="21">
        <f>IFERROR(IF($K36&lt;=0,"",$I36/$K36-1),"")</f>
        <v/>
      </c>
      <c r="N36" s="22">
        <f>IF($C36="","",IFERROR(BDP($C36,FldTRR,"CUST_TRR_START_DT="&amp;TEXT(DtMomA,"yyyymmdd"),"CUST_TRR_END_DT="&amp;TEXT(AsOf,"yyyymmdd"))/100,""))</f>
        <v/>
      </c>
      <c r="O36" s="22">
        <f>IF($C36="","",IFERROR(BDP($C36,FldTRR,"CUST_TRR_START_DT="&amp;TEXT(DtMomB,"yyyymmdd"),"CUST_TRR_END_DT="&amp;TEXT(AsOf,"yyyymmdd"))/100,""))</f>
        <v/>
      </c>
      <c r="P36" s="2">
        <f>IF($A36="","",IF($Q36=0,"sector missing",IF(NOT(ISNUMBER($H36)),"no market cap",IF(COUNT($L36:$O36)=4,"complete","missing "&amp;(4-COUNT($L36:$O36))&amp;" of 4 factors"))))</f>
        <v/>
      </c>
      <c r="Q36" s="23">
        <f>IF(OR($B36="",$B36="NO SECTOR",$B36="NOT IN MAP"),0,1)</f>
        <v/>
      </c>
      <c r="R36" s="24">
        <f>IF(AND($Q36=1,ISNUMBER($L36),ISNUMBER($H36)),$L36*$H36,0)</f>
        <v/>
      </c>
      <c r="S36" s="23">
        <f>IF(AND($Q36=1,ISNUMBER($L36),ISNUMBER($H36)),$H36,0)</f>
        <v/>
      </c>
      <c r="T36" s="24">
        <f>IF(AND($Q36=1,ISNUMBER($M36),ISNUMBER($H36)),$M36*$H36,0)</f>
        <v/>
      </c>
      <c r="U36" s="23">
        <f>IF(AND($Q36=1,ISNUMBER($M36),ISNUMBER($H36)),$H36,0)</f>
        <v/>
      </c>
      <c r="V36" s="24">
        <f>IF(AND($Q36=1,ISNUMBER($N36),ISNUMBER($H36)),$N36*$H36,0)</f>
        <v/>
      </c>
      <c r="W36" s="23">
        <f>IF(AND($Q36=1,ISNUMBER($N36),ISNUMBER($H36)),$H36,0)</f>
        <v/>
      </c>
      <c r="X36" s="24">
        <f>IF(AND($Q36=1,ISNUMBER($O36),ISNUMBER($H36)),$O36*$H36,0)</f>
        <v/>
      </c>
      <c r="Y36" s="23">
        <f>IF(AND($Q36=1,ISNUMBER($O36),ISNUMBER($H36)),$H36,0)</f>
        <v/>
      </c>
      <c r="Z36" s="23">
        <f>IF($Q36=0,"",IF(COUNTIF($B$5:$B36,$B36)&gt;1,"",MAX(0,MAX($Z$5:$Z35))+1))</f>
        <v/>
      </c>
    </row>
    <row r="37">
      <c r="A37" s="14">
        <f>IFERROR(IF(INDEX('Index Members'!$A$4:$A$403,ROW()-4)=0,"",INDEX('Index Members'!$A$4:$A$403,ROW()-4)),"")</f>
        <v/>
      </c>
      <c r="B37" s="14">
        <f>IF($A37="","",IFERROR(IF(VLOOKUP($A37,'Sector Map'!$A$4:$B$123,2,FALSE)=0,"NO SECTOR",VLOOKUP($A37,'Sector Map'!$A$4:$B$123,2,FALSE)),"NOT IN MAP"))</f>
        <v/>
      </c>
      <c r="C37" s="14">
        <f>IF($A37="","",$A37&amp;TkSuffix)</f>
        <v/>
      </c>
      <c r="D37" s="17">
        <f>IF($C37="","",BDP($C37,FldMcap))</f>
        <v/>
      </c>
      <c r="E37" s="17">
        <f>IF($C37="","",BDP($C37,FldShOut))</f>
        <v/>
      </c>
      <c r="F37" s="18">
        <f>IF($C37="","",BDP($C37,FldPx))</f>
        <v/>
      </c>
      <c r="G37" s="19">
        <f>IFERROR($E37*$F37,"")</f>
        <v/>
      </c>
      <c r="H37" s="20">
        <f>IFERROR(IF(WgtBasis="SEC_CAP",$G37,$D37),"")</f>
        <v/>
      </c>
      <c r="I37" s="18">
        <f>IF($C37="","",BDP($C37,FldEps,"BEST_FPERIOD_OVERRIDE="&amp;FpOvr))</f>
        <v/>
      </c>
      <c r="J37" s="18">
        <f>IF($C37="","",IFERROR(INDEX(BDH($C37,FldEps,DtRevA,DtRevA,"BEST_FPERIOD_OVERRIDE="&amp;FpOvr,"Days=A","Fill=P"),1,1),""))</f>
        <v/>
      </c>
      <c r="K37" s="18">
        <f>IF($C37="","",IFERROR(INDEX(BDH($C37,FldEps,DtRevB,DtRevB,"BEST_FPERIOD_OVERRIDE="&amp;FpOvr,"Days=A","Fill=P"),1,1),""))</f>
        <v/>
      </c>
      <c r="L37" s="21">
        <f>IFERROR(IF($J37&lt;=0,"",$I37/$J37-1),"")</f>
        <v/>
      </c>
      <c r="M37" s="21">
        <f>IFERROR(IF($K37&lt;=0,"",$I37/$K37-1),"")</f>
        <v/>
      </c>
      <c r="N37" s="22">
        <f>IF($C37="","",IFERROR(BDP($C37,FldTRR,"CUST_TRR_START_DT="&amp;TEXT(DtMomA,"yyyymmdd"),"CUST_TRR_END_DT="&amp;TEXT(AsOf,"yyyymmdd"))/100,""))</f>
        <v/>
      </c>
      <c r="O37" s="22">
        <f>IF($C37="","",IFERROR(BDP($C37,FldTRR,"CUST_TRR_START_DT="&amp;TEXT(DtMomB,"yyyymmdd"),"CUST_TRR_END_DT="&amp;TEXT(AsOf,"yyyymmdd"))/100,""))</f>
        <v/>
      </c>
      <c r="P37" s="2">
        <f>IF($A37="","",IF($Q37=0,"sector missing",IF(NOT(ISNUMBER($H37)),"no market cap",IF(COUNT($L37:$O37)=4,"complete","missing "&amp;(4-COUNT($L37:$O37))&amp;" of 4 factors"))))</f>
        <v/>
      </c>
      <c r="Q37" s="23">
        <f>IF(OR($B37="",$B37="NO SECTOR",$B37="NOT IN MAP"),0,1)</f>
        <v/>
      </c>
      <c r="R37" s="24">
        <f>IF(AND($Q37=1,ISNUMBER($L37),ISNUMBER($H37)),$L37*$H37,0)</f>
        <v/>
      </c>
      <c r="S37" s="23">
        <f>IF(AND($Q37=1,ISNUMBER($L37),ISNUMBER($H37)),$H37,0)</f>
        <v/>
      </c>
      <c r="T37" s="24">
        <f>IF(AND($Q37=1,ISNUMBER($M37),ISNUMBER($H37)),$M37*$H37,0)</f>
        <v/>
      </c>
      <c r="U37" s="23">
        <f>IF(AND($Q37=1,ISNUMBER($M37),ISNUMBER($H37)),$H37,0)</f>
        <v/>
      </c>
      <c r="V37" s="24">
        <f>IF(AND($Q37=1,ISNUMBER($N37),ISNUMBER($H37)),$N37*$H37,0)</f>
        <v/>
      </c>
      <c r="W37" s="23">
        <f>IF(AND($Q37=1,ISNUMBER($N37),ISNUMBER($H37)),$H37,0)</f>
        <v/>
      </c>
      <c r="X37" s="24">
        <f>IF(AND($Q37=1,ISNUMBER($O37),ISNUMBER($H37)),$O37*$H37,0)</f>
        <v/>
      </c>
      <c r="Y37" s="23">
        <f>IF(AND($Q37=1,ISNUMBER($O37),ISNUMBER($H37)),$H37,0)</f>
        <v/>
      </c>
      <c r="Z37" s="23">
        <f>IF($Q37=0,"",IF(COUNTIF($B$5:$B37,$B37)&gt;1,"",MAX(0,MAX($Z$5:$Z36))+1))</f>
        <v/>
      </c>
    </row>
    <row r="38">
      <c r="A38" s="14">
        <f>IFERROR(IF(INDEX('Index Members'!$A$4:$A$403,ROW()-4)=0,"",INDEX('Index Members'!$A$4:$A$403,ROW()-4)),"")</f>
        <v/>
      </c>
      <c r="B38" s="14">
        <f>IF($A38="","",IFERROR(IF(VLOOKUP($A38,'Sector Map'!$A$4:$B$123,2,FALSE)=0,"NO SECTOR",VLOOKUP($A38,'Sector Map'!$A$4:$B$123,2,FALSE)),"NOT IN MAP"))</f>
        <v/>
      </c>
      <c r="C38" s="14">
        <f>IF($A38="","",$A38&amp;TkSuffix)</f>
        <v/>
      </c>
      <c r="D38" s="17">
        <f>IF($C38="","",BDP($C38,FldMcap))</f>
        <v/>
      </c>
      <c r="E38" s="17">
        <f>IF($C38="","",BDP($C38,FldShOut))</f>
        <v/>
      </c>
      <c r="F38" s="18">
        <f>IF($C38="","",BDP($C38,FldPx))</f>
        <v/>
      </c>
      <c r="G38" s="19">
        <f>IFERROR($E38*$F38,"")</f>
        <v/>
      </c>
      <c r="H38" s="20">
        <f>IFERROR(IF(WgtBasis="SEC_CAP",$G38,$D38),"")</f>
        <v/>
      </c>
      <c r="I38" s="18">
        <f>IF($C38="","",BDP($C38,FldEps,"BEST_FPERIOD_OVERRIDE="&amp;FpOvr))</f>
        <v/>
      </c>
      <c r="J38" s="18">
        <f>IF($C38="","",IFERROR(INDEX(BDH($C38,FldEps,DtRevA,DtRevA,"BEST_FPERIOD_OVERRIDE="&amp;FpOvr,"Days=A","Fill=P"),1,1),""))</f>
        <v/>
      </c>
      <c r="K38" s="18">
        <f>IF($C38="","",IFERROR(INDEX(BDH($C38,FldEps,DtRevB,DtRevB,"BEST_FPERIOD_OVERRIDE="&amp;FpOvr,"Days=A","Fill=P"),1,1),""))</f>
        <v/>
      </c>
      <c r="L38" s="21">
        <f>IFERROR(IF($J38&lt;=0,"",$I38/$J38-1),"")</f>
        <v/>
      </c>
      <c r="M38" s="21">
        <f>IFERROR(IF($K38&lt;=0,"",$I38/$K38-1),"")</f>
        <v/>
      </c>
      <c r="N38" s="22">
        <f>IF($C38="","",IFERROR(BDP($C38,FldTRR,"CUST_TRR_START_DT="&amp;TEXT(DtMomA,"yyyymmdd"),"CUST_TRR_END_DT="&amp;TEXT(AsOf,"yyyymmdd"))/100,""))</f>
        <v/>
      </c>
      <c r="O38" s="22">
        <f>IF($C38="","",IFERROR(BDP($C38,FldTRR,"CUST_TRR_START_DT="&amp;TEXT(DtMomB,"yyyymmdd"),"CUST_TRR_END_DT="&amp;TEXT(AsOf,"yyyymmdd"))/100,""))</f>
        <v/>
      </c>
      <c r="P38" s="2">
        <f>IF($A38="","",IF($Q38=0,"sector missing",IF(NOT(ISNUMBER($H38)),"no market cap",IF(COUNT($L38:$O38)=4,"complete","missing "&amp;(4-COUNT($L38:$O38))&amp;" of 4 factors"))))</f>
        <v/>
      </c>
      <c r="Q38" s="23">
        <f>IF(OR($B38="",$B38="NO SECTOR",$B38="NOT IN MAP"),0,1)</f>
        <v/>
      </c>
      <c r="R38" s="24">
        <f>IF(AND($Q38=1,ISNUMBER($L38),ISNUMBER($H38)),$L38*$H38,0)</f>
        <v/>
      </c>
      <c r="S38" s="23">
        <f>IF(AND($Q38=1,ISNUMBER($L38),ISNUMBER($H38)),$H38,0)</f>
        <v/>
      </c>
      <c r="T38" s="24">
        <f>IF(AND($Q38=1,ISNUMBER($M38),ISNUMBER($H38)),$M38*$H38,0)</f>
        <v/>
      </c>
      <c r="U38" s="23">
        <f>IF(AND($Q38=1,ISNUMBER($M38),ISNUMBER($H38)),$H38,0)</f>
        <v/>
      </c>
      <c r="V38" s="24">
        <f>IF(AND($Q38=1,ISNUMBER($N38),ISNUMBER($H38)),$N38*$H38,0)</f>
        <v/>
      </c>
      <c r="W38" s="23">
        <f>IF(AND($Q38=1,ISNUMBER($N38),ISNUMBER($H38)),$H38,0)</f>
        <v/>
      </c>
      <c r="X38" s="24">
        <f>IF(AND($Q38=1,ISNUMBER($O38),ISNUMBER($H38)),$O38*$H38,0)</f>
        <v/>
      </c>
      <c r="Y38" s="23">
        <f>IF(AND($Q38=1,ISNUMBER($O38),ISNUMBER($H38)),$H38,0)</f>
        <v/>
      </c>
      <c r="Z38" s="23">
        <f>IF($Q38=0,"",IF(COUNTIF($B$5:$B38,$B38)&gt;1,"",MAX(0,MAX($Z$5:$Z37))+1))</f>
        <v/>
      </c>
    </row>
    <row r="39">
      <c r="A39" s="14">
        <f>IFERROR(IF(INDEX('Index Members'!$A$4:$A$403,ROW()-4)=0,"",INDEX('Index Members'!$A$4:$A$403,ROW()-4)),"")</f>
        <v/>
      </c>
      <c r="B39" s="14">
        <f>IF($A39="","",IFERROR(IF(VLOOKUP($A39,'Sector Map'!$A$4:$B$123,2,FALSE)=0,"NO SECTOR",VLOOKUP($A39,'Sector Map'!$A$4:$B$123,2,FALSE)),"NOT IN MAP"))</f>
        <v/>
      </c>
      <c r="C39" s="14">
        <f>IF($A39="","",$A39&amp;TkSuffix)</f>
        <v/>
      </c>
      <c r="D39" s="17">
        <f>IF($C39="","",BDP($C39,FldMcap))</f>
        <v/>
      </c>
      <c r="E39" s="17">
        <f>IF($C39="","",BDP($C39,FldShOut))</f>
        <v/>
      </c>
      <c r="F39" s="18">
        <f>IF($C39="","",BDP($C39,FldPx))</f>
        <v/>
      </c>
      <c r="G39" s="19">
        <f>IFERROR($E39*$F39,"")</f>
        <v/>
      </c>
      <c r="H39" s="20">
        <f>IFERROR(IF(WgtBasis="SEC_CAP",$G39,$D39),"")</f>
        <v/>
      </c>
      <c r="I39" s="18">
        <f>IF($C39="","",BDP($C39,FldEps,"BEST_FPERIOD_OVERRIDE="&amp;FpOvr))</f>
        <v/>
      </c>
      <c r="J39" s="18">
        <f>IF($C39="","",IFERROR(INDEX(BDH($C39,FldEps,DtRevA,DtRevA,"BEST_FPERIOD_OVERRIDE="&amp;FpOvr,"Days=A","Fill=P"),1,1),""))</f>
        <v/>
      </c>
      <c r="K39" s="18">
        <f>IF($C39="","",IFERROR(INDEX(BDH($C39,FldEps,DtRevB,DtRevB,"BEST_FPERIOD_OVERRIDE="&amp;FpOvr,"Days=A","Fill=P"),1,1),""))</f>
        <v/>
      </c>
      <c r="L39" s="21">
        <f>IFERROR(IF($J39&lt;=0,"",$I39/$J39-1),"")</f>
        <v/>
      </c>
      <c r="M39" s="21">
        <f>IFERROR(IF($K39&lt;=0,"",$I39/$K39-1),"")</f>
        <v/>
      </c>
      <c r="N39" s="22">
        <f>IF($C39="","",IFERROR(BDP($C39,FldTRR,"CUST_TRR_START_DT="&amp;TEXT(DtMomA,"yyyymmdd"),"CUST_TRR_END_DT="&amp;TEXT(AsOf,"yyyymmdd"))/100,""))</f>
        <v/>
      </c>
      <c r="O39" s="22">
        <f>IF($C39="","",IFERROR(BDP($C39,FldTRR,"CUST_TRR_START_DT="&amp;TEXT(DtMomB,"yyyymmdd"),"CUST_TRR_END_DT="&amp;TEXT(AsOf,"yyyymmdd"))/100,""))</f>
        <v/>
      </c>
      <c r="P39" s="2">
        <f>IF($A39="","",IF($Q39=0,"sector missing",IF(NOT(ISNUMBER($H39)),"no market cap",IF(COUNT($L39:$O39)=4,"complete","missing "&amp;(4-COUNT($L39:$O39))&amp;" of 4 factors"))))</f>
        <v/>
      </c>
      <c r="Q39" s="23">
        <f>IF(OR($B39="",$B39="NO SECTOR",$B39="NOT IN MAP"),0,1)</f>
        <v/>
      </c>
      <c r="R39" s="24">
        <f>IF(AND($Q39=1,ISNUMBER($L39),ISNUMBER($H39)),$L39*$H39,0)</f>
        <v/>
      </c>
      <c r="S39" s="23">
        <f>IF(AND($Q39=1,ISNUMBER($L39),ISNUMBER($H39)),$H39,0)</f>
        <v/>
      </c>
      <c r="T39" s="24">
        <f>IF(AND($Q39=1,ISNUMBER($M39),ISNUMBER($H39)),$M39*$H39,0)</f>
        <v/>
      </c>
      <c r="U39" s="23">
        <f>IF(AND($Q39=1,ISNUMBER($M39),ISNUMBER($H39)),$H39,0)</f>
        <v/>
      </c>
      <c r="V39" s="24">
        <f>IF(AND($Q39=1,ISNUMBER($N39),ISNUMBER($H39)),$N39*$H39,0)</f>
        <v/>
      </c>
      <c r="W39" s="23">
        <f>IF(AND($Q39=1,ISNUMBER($N39),ISNUMBER($H39)),$H39,0)</f>
        <v/>
      </c>
      <c r="X39" s="24">
        <f>IF(AND($Q39=1,ISNUMBER($O39),ISNUMBER($H39)),$O39*$H39,0)</f>
        <v/>
      </c>
      <c r="Y39" s="23">
        <f>IF(AND($Q39=1,ISNUMBER($O39),ISNUMBER($H39)),$H39,0)</f>
        <v/>
      </c>
      <c r="Z39" s="23">
        <f>IF($Q39=0,"",IF(COUNTIF($B$5:$B39,$B39)&gt;1,"",MAX(0,MAX($Z$5:$Z38))+1))</f>
        <v/>
      </c>
    </row>
    <row r="40">
      <c r="A40" s="14">
        <f>IFERROR(IF(INDEX('Index Members'!$A$4:$A$403,ROW()-4)=0,"",INDEX('Index Members'!$A$4:$A$403,ROW()-4)),"")</f>
        <v/>
      </c>
      <c r="B40" s="14">
        <f>IF($A40="","",IFERROR(IF(VLOOKUP($A40,'Sector Map'!$A$4:$B$123,2,FALSE)=0,"NO SECTOR",VLOOKUP($A40,'Sector Map'!$A$4:$B$123,2,FALSE)),"NOT IN MAP"))</f>
        <v/>
      </c>
      <c r="C40" s="14">
        <f>IF($A40="","",$A40&amp;TkSuffix)</f>
        <v/>
      </c>
      <c r="D40" s="17">
        <f>IF($C40="","",BDP($C40,FldMcap))</f>
        <v/>
      </c>
      <c r="E40" s="17">
        <f>IF($C40="","",BDP($C40,FldShOut))</f>
        <v/>
      </c>
      <c r="F40" s="18">
        <f>IF($C40="","",BDP($C40,FldPx))</f>
        <v/>
      </c>
      <c r="G40" s="19">
        <f>IFERROR($E40*$F40,"")</f>
        <v/>
      </c>
      <c r="H40" s="20">
        <f>IFERROR(IF(WgtBasis="SEC_CAP",$G40,$D40),"")</f>
        <v/>
      </c>
      <c r="I40" s="18">
        <f>IF($C40="","",BDP($C40,FldEps,"BEST_FPERIOD_OVERRIDE="&amp;FpOvr))</f>
        <v/>
      </c>
      <c r="J40" s="18">
        <f>IF($C40="","",IFERROR(INDEX(BDH($C40,FldEps,DtRevA,DtRevA,"BEST_FPERIOD_OVERRIDE="&amp;FpOvr,"Days=A","Fill=P"),1,1),""))</f>
        <v/>
      </c>
      <c r="K40" s="18">
        <f>IF($C40="","",IFERROR(INDEX(BDH($C40,FldEps,DtRevB,DtRevB,"BEST_FPERIOD_OVERRIDE="&amp;FpOvr,"Days=A","Fill=P"),1,1),""))</f>
        <v/>
      </c>
      <c r="L40" s="21">
        <f>IFERROR(IF($J40&lt;=0,"",$I40/$J40-1),"")</f>
        <v/>
      </c>
      <c r="M40" s="21">
        <f>IFERROR(IF($K40&lt;=0,"",$I40/$K40-1),"")</f>
        <v/>
      </c>
      <c r="N40" s="22">
        <f>IF($C40="","",IFERROR(BDP($C40,FldTRR,"CUST_TRR_START_DT="&amp;TEXT(DtMomA,"yyyymmdd"),"CUST_TRR_END_DT="&amp;TEXT(AsOf,"yyyymmdd"))/100,""))</f>
        <v/>
      </c>
      <c r="O40" s="22">
        <f>IF($C40="","",IFERROR(BDP($C40,FldTRR,"CUST_TRR_START_DT="&amp;TEXT(DtMomB,"yyyymmdd"),"CUST_TRR_END_DT="&amp;TEXT(AsOf,"yyyymmdd"))/100,""))</f>
        <v/>
      </c>
      <c r="P40" s="2">
        <f>IF($A40="","",IF($Q40=0,"sector missing",IF(NOT(ISNUMBER($H40)),"no market cap",IF(COUNT($L40:$O40)=4,"complete","missing "&amp;(4-COUNT($L40:$O40))&amp;" of 4 factors"))))</f>
        <v/>
      </c>
      <c r="Q40" s="23">
        <f>IF(OR($B40="",$B40="NO SECTOR",$B40="NOT IN MAP"),0,1)</f>
        <v/>
      </c>
      <c r="R40" s="24">
        <f>IF(AND($Q40=1,ISNUMBER($L40),ISNUMBER($H40)),$L40*$H40,0)</f>
        <v/>
      </c>
      <c r="S40" s="23">
        <f>IF(AND($Q40=1,ISNUMBER($L40),ISNUMBER($H40)),$H40,0)</f>
        <v/>
      </c>
      <c r="T40" s="24">
        <f>IF(AND($Q40=1,ISNUMBER($M40),ISNUMBER($H40)),$M40*$H40,0)</f>
        <v/>
      </c>
      <c r="U40" s="23">
        <f>IF(AND($Q40=1,ISNUMBER($M40),ISNUMBER($H40)),$H40,0)</f>
        <v/>
      </c>
      <c r="V40" s="24">
        <f>IF(AND($Q40=1,ISNUMBER($N40),ISNUMBER($H40)),$N40*$H40,0)</f>
        <v/>
      </c>
      <c r="W40" s="23">
        <f>IF(AND($Q40=1,ISNUMBER($N40),ISNUMBER($H40)),$H40,0)</f>
        <v/>
      </c>
      <c r="X40" s="24">
        <f>IF(AND($Q40=1,ISNUMBER($O40),ISNUMBER($H40)),$O40*$H40,0)</f>
        <v/>
      </c>
      <c r="Y40" s="23">
        <f>IF(AND($Q40=1,ISNUMBER($O40),ISNUMBER($H40)),$H40,0)</f>
        <v/>
      </c>
      <c r="Z40" s="23">
        <f>IF($Q40=0,"",IF(COUNTIF($B$5:$B40,$B40)&gt;1,"",MAX(0,MAX($Z$5:$Z39))+1))</f>
        <v/>
      </c>
    </row>
    <row r="41">
      <c r="A41" s="14">
        <f>IFERROR(IF(INDEX('Index Members'!$A$4:$A$403,ROW()-4)=0,"",INDEX('Index Members'!$A$4:$A$403,ROW()-4)),"")</f>
        <v/>
      </c>
      <c r="B41" s="14">
        <f>IF($A41="","",IFERROR(IF(VLOOKUP($A41,'Sector Map'!$A$4:$B$123,2,FALSE)=0,"NO SECTOR",VLOOKUP($A41,'Sector Map'!$A$4:$B$123,2,FALSE)),"NOT IN MAP"))</f>
        <v/>
      </c>
      <c r="C41" s="14">
        <f>IF($A41="","",$A41&amp;TkSuffix)</f>
        <v/>
      </c>
      <c r="D41" s="17">
        <f>IF($C41="","",BDP($C41,FldMcap))</f>
        <v/>
      </c>
      <c r="E41" s="17">
        <f>IF($C41="","",BDP($C41,FldShOut))</f>
        <v/>
      </c>
      <c r="F41" s="18">
        <f>IF($C41="","",BDP($C41,FldPx))</f>
        <v/>
      </c>
      <c r="G41" s="19">
        <f>IFERROR($E41*$F41,"")</f>
        <v/>
      </c>
      <c r="H41" s="20">
        <f>IFERROR(IF(WgtBasis="SEC_CAP",$G41,$D41),"")</f>
        <v/>
      </c>
      <c r="I41" s="18">
        <f>IF($C41="","",BDP($C41,FldEps,"BEST_FPERIOD_OVERRIDE="&amp;FpOvr))</f>
        <v/>
      </c>
      <c r="J41" s="18">
        <f>IF($C41="","",IFERROR(INDEX(BDH($C41,FldEps,DtRevA,DtRevA,"BEST_FPERIOD_OVERRIDE="&amp;FpOvr,"Days=A","Fill=P"),1,1),""))</f>
        <v/>
      </c>
      <c r="K41" s="18">
        <f>IF($C41="","",IFERROR(INDEX(BDH($C41,FldEps,DtRevB,DtRevB,"BEST_FPERIOD_OVERRIDE="&amp;FpOvr,"Days=A","Fill=P"),1,1),""))</f>
        <v/>
      </c>
      <c r="L41" s="21">
        <f>IFERROR(IF($J41&lt;=0,"",$I41/$J41-1),"")</f>
        <v/>
      </c>
      <c r="M41" s="21">
        <f>IFERROR(IF($K41&lt;=0,"",$I41/$K41-1),"")</f>
        <v/>
      </c>
      <c r="N41" s="22">
        <f>IF($C41="","",IFERROR(BDP($C41,FldTRR,"CUST_TRR_START_DT="&amp;TEXT(DtMomA,"yyyymmdd"),"CUST_TRR_END_DT="&amp;TEXT(AsOf,"yyyymmdd"))/100,""))</f>
        <v/>
      </c>
      <c r="O41" s="22">
        <f>IF($C41="","",IFERROR(BDP($C41,FldTRR,"CUST_TRR_START_DT="&amp;TEXT(DtMomB,"yyyymmdd"),"CUST_TRR_END_DT="&amp;TEXT(AsOf,"yyyymmdd"))/100,""))</f>
        <v/>
      </c>
      <c r="P41" s="2">
        <f>IF($A41="","",IF($Q41=0,"sector missing",IF(NOT(ISNUMBER($H41)),"no market cap",IF(COUNT($L41:$O41)=4,"complete","missing "&amp;(4-COUNT($L41:$O41))&amp;" of 4 factors"))))</f>
        <v/>
      </c>
      <c r="Q41" s="23">
        <f>IF(OR($B41="",$B41="NO SECTOR",$B41="NOT IN MAP"),0,1)</f>
        <v/>
      </c>
      <c r="R41" s="24">
        <f>IF(AND($Q41=1,ISNUMBER($L41),ISNUMBER($H41)),$L41*$H41,0)</f>
        <v/>
      </c>
      <c r="S41" s="23">
        <f>IF(AND($Q41=1,ISNUMBER($L41),ISNUMBER($H41)),$H41,0)</f>
        <v/>
      </c>
      <c r="T41" s="24">
        <f>IF(AND($Q41=1,ISNUMBER($M41),ISNUMBER($H41)),$M41*$H41,0)</f>
        <v/>
      </c>
      <c r="U41" s="23">
        <f>IF(AND($Q41=1,ISNUMBER($M41),ISNUMBER($H41)),$H41,0)</f>
        <v/>
      </c>
      <c r="V41" s="24">
        <f>IF(AND($Q41=1,ISNUMBER($N41),ISNUMBER($H41)),$N41*$H41,0)</f>
        <v/>
      </c>
      <c r="W41" s="23">
        <f>IF(AND($Q41=1,ISNUMBER($N41),ISNUMBER($H41)),$H41,0)</f>
        <v/>
      </c>
      <c r="X41" s="24">
        <f>IF(AND($Q41=1,ISNUMBER($O41),ISNUMBER($H41)),$O41*$H41,0)</f>
        <v/>
      </c>
      <c r="Y41" s="23">
        <f>IF(AND($Q41=1,ISNUMBER($O41),ISNUMBER($H41)),$H41,0)</f>
        <v/>
      </c>
      <c r="Z41" s="23">
        <f>IF($Q41=0,"",IF(COUNTIF($B$5:$B41,$B41)&gt;1,"",MAX(0,MAX($Z$5:$Z40))+1))</f>
        <v/>
      </c>
    </row>
    <row r="42">
      <c r="A42" s="14">
        <f>IFERROR(IF(INDEX('Index Members'!$A$4:$A$403,ROW()-4)=0,"",INDEX('Index Members'!$A$4:$A$403,ROW()-4)),"")</f>
        <v/>
      </c>
      <c r="B42" s="14">
        <f>IF($A42="","",IFERROR(IF(VLOOKUP($A42,'Sector Map'!$A$4:$B$123,2,FALSE)=0,"NO SECTOR",VLOOKUP($A42,'Sector Map'!$A$4:$B$123,2,FALSE)),"NOT IN MAP"))</f>
        <v/>
      </c>
      <c r="C42" s="14">
        <f>IF($A42="","",$A42&amp;TkSuffix)</f>
        <v/>
      </c>
      <c r="D42" s="17">
        <f>IF($C42="","",BDP($C42,FldMcap))</f>
        <v/>
      </c>
      <c r="E42" s="17">
        <f>IF($C42="","",BDP($C42,FldShOut))</f>
        <v/>
      </c>
      <c r="F42" s="18">
        <f>IF($C42="","",BDP($C42,FldPx))</f>
        <v/>
      </c>
      <c r="G42" s="19">
        <f>IFERROR($E42*$F42,"")</f>
        <v/>
      </c>
      <c r="H42" s="20">
        <f>IFERROR(IF(WgtBasis="SEC_CAP",$G42,$D42),"")</f>
        <v/>
      </c>
      <c r="I42" s="18">
        <f>IF($C42="","",BDP($C42,FldEps,"BEST_FPERIOD_OVERRIDE="&amp;FpOvr))</f>
        <v/>
      </c>
      <c r="J42" s="18">
        <f>IF($C42="","",IFERROR(INDEX(BDH($C42,FldEps,DtRevA,DtRevA,"BEST_FPERIOD_OVERRIDE="&amp;FpOvr,"Days=A","Fill=P"),1,1),""))</f>
        <v/>
      </c>
      <c r="K42" s="18">
        <f>IF($C42="","",IFERROR(INDEX(BDH($C42,FldEps,DtRevB,DtRevB,"BEST_FPERIOD_OVERRIDE="&amp;FpOvr,"Days=A","Fill=P"),1,1),""))</f>
        <v/>
      </c>
      <c r="L42" s="21">
        <f>IFERROR(IF($J42&lt;=0,"",$I42/$J42-1),"")</f>
        <v/>
      </c>
      <c r="M42" s="21">
        <f>IFERROR(IF($K42&lt;=0,"",$I42/$K42-1),"")</f>
        <v/>
      </c>
      <c r="N42" s="22">
        <f>IF($C42="","",IFERROR(BDP($C42,FldTRR,"CUST_TRR_START_DT="&amp;TEXT(DtMomA,"yyyymmdd"),"CUST_TRR_END_DT="&amp;TEXT(AsOf,"yyyymmdd"))/100,""))</f>
        <v/>
      </c>
      <c r="O42" s="22">
        <f>IF($C42="","",IFERROR(BDP($C42,FldTRR,"CUST_TRR_START_DT="&amp;TEXT(DtMomB,"yyyymmdd"),"CUST_TRR_END_DT="&amp;TEXT(AsOf,"yyyymmdd"))/100,""))</f>
        <v/>
      </c>
      <c r="P42" s="2">
        <f>IF($A42="","",IF($Q42=0,"sector missing",IF(NOT(ISNUMBER($H42)),"no market cap",IF(COUNT($L42:$O42)=4,"complete","missing "&amp;(4-COUNT($L42:$O42))&amp;" of 4 factors"))))</f>
        <v/>
      </c>
      <c r="Q42" s="23">
        <f>IF(OR($B42="",$B42="NO SECTOR",$B42="NOT IN MAP"),0,1)</f>
        <v/>
      </c>
      <c r="R42" s="24">
        <f>IF(AND($Q42=1,ISNUMBER($L42),ISNUMBER($H42)),$L42*$H42,0)</f>
        <v/>
      </c>
      <c r="S42" s="23">
        <f>IF(AND($Q42=1,ISNUMBER($L42),ISNUMBER($H42)),$H42,0)</f>
        <v/>
      </c>
      <c r="T42" s="24">
        <f>IF(AND($Q42=1,ISNUMBER($M42),ISNUMBER($H42)),$M42*$H42,0)</f>
        <v/>
      </c>
      <c r="U42" s="23">
        <f>IF(AND($Q42=1,ISNUMBER($M42),ISNUMBER($H42)),$H42,0)</f>
        <v/>
      </c>
      <c r="V42" s="24">
        <f>IF(AND($Q42=1,ISNUMBER($N42),ISNUMBER($H42)),$N42*$H42,0)</f>
        <v/>
      </c>
      <c r="W42" s="23">
        <f>IF(AND($Q42=1,ISNUMBER($N42),ISNUMBER($H42)),$H42,0)</f>
        <v/>
      </c>
      <c r="X42" s="24">
        <f>IF(AND($Q42=1,ISNUMBER($O42),ISNUMBER($H42)),$O42*$H42,0)</f>
        <v/>
      </c>
      <c r="Y42" s="23">
        <f>IF(AND($Q42=1,ISNUMBER($O42),ISNUMBER($H42)),$H42,0)</f>
        <v/>
      </c>
      <c r="Z42" s="23">
        <f>IF($Q42=0,"",IF(COUNTIF($B$5:$B42,$B42)&gt;1,"",MAX(0,MAX($Z$5:$Z41))+1))</f>
        <v/>
      </c>
    </row>
    <row r="43">
      <c r="A43" s="14">
        <f>IFERROR(IF(INDEX('Index Members'!$A$4:$A$403,ROW()-4)=0,"",INDEX('Index Members'!$A$4:$A$403,ROW()-4)),"")</f>
        <v/>
      </c>
      <c r="B43" s="14">
        <f>IF($A43="","",IFERROR(IF(VLOOKUP($A43,'Sector Map'!$A$4:$B$123,2,FALSE)=0,"NO SECTOR",VLOOKUP($A43,'Sector Map'!$A$4:$B$123,2,FALSE)),"NOT IN MAP"))</f>
        <v/>
      </c>
      <c r="C43" s="14">
        <f>IF($A43="","",$A43&amp;TkSuffix)</f>
        <v/>
      </c>
      <c r="D43" s="17">
        <f>IF($C43="","",BDP($C43,FldMcap))</f>
        <v/>
      </c>
      <c r="E43" s="17">
        <f>IF($C43="","",BDP($C43,FldShOut))</f>
        <v/>
      </c>
      <c r="F43" s="18">
        <f>IF($C43="","",BDP($C43,FldPx))</f>
        <v/>
      </c>
      <c r="G43" s="19">
        <f>IFERROR($E43*$F43,"")</f>
        <v/>
      </c>
      <c r="H43" s="20">
        <f>IFERROR(IF(WgtBasis="SEC_CAP",$G43,$D43),"")</f>
        <v/>
      </c>
      <c r="I43" s="18">
        <f>IF($C43="","",BDP($C43,FldEps,"BEST_FPERIOD_OVERRIDE="&amp;FpOvr))</f>
        <v/>
      </c>
      <c r="J43" s="18">
        <f>IF($C43="","",IFERROR(INDEX(BDH($C43,FldEps,DtRevA,DtRevA,"BEST_FPERIOD_OVERRIDE="&amp;FpOvr,"Days=A","Fill=P"),1,1),""))</f>
        <v/>
      </c>
      <c r="K43" s="18">
        <f>IF($C43="","",IFERROR(INDEX(BDH($C43,FldEps,DtRevB,DtRevB,"BEST_FPERIOD_OVERRIDE="&amp;FpOvr,"Days=A","Fill=P"),1,1),""))</f>
        <v/>
      </c>
      <c r="L43" s="21">
        <f>IFERROR(IF($J43&lt;=0,"",$I43/$J43-1),"")</f>
        <v/>
      </c>
      <c r="M43" s="21">
        <f>IFERROR(IF($K43&lt;=0,"",$I43/$K43-1),"")</f>
        <v/>
      </c>
      <c r="N43" s="22">
        <f>IF($C43="","",IFERROR(BDP($C43,FldTRR,"CUST_TRR_START_DT="&amp;TEXT(DtMomA,"yyyymmdd"),"CUST_TRR_END_DT="&amp;TEXT(AsOf,"yyyymmdd"))/100,""))</f>
        <v/>
      </c>
      <c r="O43" s="22">
        <f>IF($C43="","",IFERROR(BDP($C43,FldTRR,"CUST_TRR_START_DT="&amp;TEXT(DtMomB,"yyyymmdd"),"CUST_TRR_END_DT="&amp;TEXT(AsOf,"yyyymmdd"))/100,""))</f>
        <v/>
      </c>
      <c r="P43" s="2">
        <f>IF($A43="","",IF($Q43=0,"sector missing",IF(NOT(ISNUMBER($H43)),"no market cap",IF(COUNT($L43:$O43)=4,"complete","missing "&amp;(4-COUNT($L43:$O43))&amp;" of 4 factors"))))</f>
        <v/>
      </c>
      <c r="Q43" s="23">
        <f>IF(OR($B43="",$B43="NO SECTOR",$B43="NOT IN MAP"),0,1)</f>
        <v/>
      </c>
      <c r="R43" s="24">
        <f>IF(AND($Q43=1,ISNUMBER($L43),ISNUMBER($H43)),$L43*$H43,0)</f>
        <v/>
      </c>
      <c r="S43" s="23">
        <f>IF(AND($Q43=1,ISNUMBER($L43),ISNUMBER($H43)),$H43,0)</f>
        <v/>
      </c>
      <c r="T43" s="24">
        <f>IF(AND($Q43=1,ISNUMBER($M43),ISNUMBER($H43)),$M43*$H43,0)</f>
        <v/>
      </c>
      <c r="U43" s="23">
        <f>IF(AND($Q43=1,ISNUMBER($M43),ISNUMBER($H43)),$H43,0)</f>
        <v/>
      </c>
      <c r="V43" s="24">
        <f>IF(AND($Q43=1,ISNUMBER($N43),ISNUMBER($H43)),$N43*$H43,0)</f>
        <v/>
      </c>
      <c r="W43" s="23">
        <f>IF(AND($Q43=1,ISNUMBER($N43),ISNUMBER($H43)),$H43,0)</f>
        <v/>
      </c>
      <c r="X43" s="24">
        <f>IF(AND($Q43=1,ISNUMBER($O43),ISNUMBER($H43)),$O43*$H43,0)</f>
        <v/>
      </c>
      <c r="Y43" s="23">
        <f>IF(AND($Q43=1,ISNUMBER($O43),ISNUMBER($H43)),$H43,0)</f>
        <v/>
      </c>
      <c r="Z43" s="23">
        <f>IF($Q43=0,"",IF(COUNTIF($B$5:$B43,$B43)&gt;1,"",MAX(0,MAX($Z$5:$Z42))+1))</f>
        <v/>
      </c>
    </row>
    <row r="44">
      <c r="A44" s="14">
        <f>IFERROR(IF(INDEX('Index Members'!$A$4:$A$403,ROW()-4)=0,"",INDEX('Index Members'!$A$4:$A$403,ROW()-4)),"")</f>
        <v/>
      </c>
      <c r="B44" s="14">
        <f>IF($A44="","",IFERROR(IF(VLOOKUP($A44,'Sector Map'!$A$4:$B$123,2,FALSE)=0,"NO SECTOR",VLOOKUP($A44,'Sector Map'!$A$4:$B$123,2,FALSE)),"NOT IN MAP"))</f>
        <v/>
      </c>
      <c r="C44" s="14">
        <f>IF($A44="","",$A44&amp;TkSuffix)</f>
        <v/>
      </c>
      <c r="D44" s="17">
        <f>IF($C44="","",BDP($C44,FldMcap))</f>
        <v/>
      </c>
      <c r="E44" s="17">
        <f>IF($C44="","",BDP($C44,FldShOut))</f>
        <v/>
      </c>
      <c r="F44" s="18">
        <f>IF($C44="","",BDP($C44,FldPx))</f>
        <v/>
      </c>
      <c r="G44" s="19">
        <f>IFERROR($E44*$F44,"")</f>
        <v/>
      </c>
      <c r="H44" s="20">
        <f>IFERROR(IF(WgtBasis="SEC_CAP",$G44,$D44),"")</f>
        <v/>
      </c>
      <c r="I44" s="18">
        <f>IF($C44="","",BDP($C44,FldEps,"BEST_FPERIOD_OVERRIDE="&amp;FpOvr))</f>
        <v/>
      </c>
      <c r="J44" s="18">
        <f>IF($C44="","",IFERROR(INDEX(BDH($C44,FldEps,DtRevA,DtRevA,"BEST_FPERIOD_OVERRIDE="&amp;FpOvr,"Days=A","Fill=P"),1,1),""))</f>
        <v/>
      </c>
      <c r="K44" s="18">
        <f>IF($C44="","",IFERROR(INDEX(BDH($C44,FldEps,DtRevB,DtRevB,"BEST_FPERIOD_OVERRIDE="&amp;FpOvr,"Days=A","Fill=P"),1,1),""))</f>
        <v/>
      </c>
      <c r="L44" s="21">
        <f>IFERROR(IF($J44&lt;=0,"",$I44/$J44-1),"")</f>
        <v/>
      </c>
      <c r="M44" s="21">
        <f>IFERROR(IF($K44&lt;=0,"",$I44/$K44-1),"")</f>
        <v/>
      </c>
      <c r="N44" s="22">
        <f>IF($C44="","",IFERROR(BDP($C44,FldTRR,"CUST_TRR_START_DT="&amp;TEXT(DtMomA,"yyyymmdd"),"CUST_TRR_END_DT="&amp;TEXT(AsOf,"yyyymmdd"))/100,""))</f>
        <v/>
      </c>
      <c r="O44" s="22">
        <f>IF($C44="","",IFERROR(BDP($C44,FldTRR,"CUST_TRR_START_DT="&amp;TEXT(DtMomB,"yyyymmdd"),"CUST_TRR_END_DT="&amp;TEXT(AsOf,"yyyymmdd"))/100,""))</f>
        <v/>
      </c>
      <c r="P44" s="2">
        <f>IF($A44="","",IF($Q44=0,"sector missing",IF(NOT(ISNUMBER($H44)),"no market cap",IF(COUNT($L44:$O44)=4,"complete","missing "&amp;(4-COUNT($L44:$O44))&amp;" of 4 factors"))))</f>
        <v/>
      </c>
      <c r="Q44" s="23">
        <f>IF(OR($B44="",$B44="NO SECTOR",$B44="NOT IN MAP"),0,1)</f>
        <v/>
      </c>
      <c r="R44" s="24">
        <f>IF(AND($Q44=1,ISNUMBER($L44),ISNUMBER($H44)),$L44*$H44,0)</f>
        <v/>
      </c>
      <c r="S44" s="23">
        <f>IF(AND($Q44=1,ISNUMBER($L44),ISNUMBER($H44)),$H44,0)</f>
        <v/>
      </c>
      <c r="T44" s="24">
        <f>IF(AND($Q44=1,ISNUMBER($M44),ISNUMBER($H44)),$M44*$H44,0)</f>
        <v/>
      </c>
      <c r="U44" s="23">
        <f>IF(AND($Q44=1,ISNUMBER($M44),ISNUMBER($H44)),$H44,0)</f>
        <v/>
      </c>
      <c r="V44" s="24">
        <f>IF(AND($Q44=1,ISNUMBER($N44),ISNUMBER($H44)),$N44*$H44,0)</f>
        <v/>
      </c>
      <c r="W44" s="23">
        <f>IF(AND($Q44=1,ISNUMBER($N44),ISNUMBER($H44)),$H44,0)</f>
        <v/>
      </c>
      <c r="X44" s="24">
        <f>IF(AND($Q44=1,ISNUMBER($O44),ISNUMBER($H44)),$O44*$H44,0)</f>
        <v/>
      </c>
      <c r="Y44" s="23">
        <f>IF(AND($Q44=1,ISNUMBER($O44),ISNUMBER($H44)),$H44,0)</f>
        <v/>
      </c>
      <c r="Z44" s="23">
        <f>IF($Q44=0,"",IF(COUNTIF($B$5:$B44,$B44)&gt;1,"",MAX(0,MAX($Z$5:$Z43))+1))</f>
        <v/>
      </c>
    </row>
    <row r="45">
      <c r="A45" s="14">
        <f>IFERROR(IF(INDEX('Index Members'!$A$4:$A$403,ROW()-4)=0,"",INDEX('Index Members'!$A$4:$A$403,ROW()-4)),"")</f>
        <v/>
      </c>
      <c r="B45" s="14">
        <f>IF($A45="","",IFERROR(IF(VLOOKUP($A45,'Sector Map'!$A$4:$B$123,2,FALSE)=0,"NO SECTOR",VLOOKUP($A45,'Sector Map'!$A$4:$B$123,2,FALSE)),"NOT IN MAP"))</f>
        <v/>
      </c>
      <c r="C45" s="14">
        <f>IF($A45="","",$A45&amp;TkSuffix)</f>
        <v/>
      </c>
      <c r="D45" s="17">
        <f>IF($C45="","",BDP($C45,FldMcap))</f>
        <v/>
      </c>
      <c r="E45" s="17">
        <f>IF($C45="","",BDP($C45,FldShOut))</f>
        <v/>
      </c>
      <c r="F45" s="18">
        <f>IF($C45="","",BDP($C45,FldPx))</f>
        <v/>
      </c>
      <c r="G45" s="19">
        <f>IFERROR($E45*$F45,"")</f>
        <v/>
      </c>
      <c r="H45" s="20">
        <f>IFERROR(IF(WgtBasis="SEC_CAP",$G45,$D45),"")</f>
        <v/>
      </c>
      <c r="I45" s="18">
        <f>IF($C45="","",BDP($C45,FldEps,"BEST_FPERIOD_OVERRIDE="&amp;FpOvr))</f>
        <v/>
      </c>
      <c r="J45" s="18">
        <f>IF($C45="","",IFERROR(INDEX(BDH($C45,FldEps,DtRevA,DtRevA,"BEST_FPERIOD_OVERRIDE="&amp;FpOvr,"Days=A","Fill=P"),1,1),""))</f>
        <v/>
      </c>
      <c r="K45" s="18">
        <f>IF($C45="","",IFERROR(INDEX(BDH($C45,FldEps,DtRevB,DtRevB,"BEST_FPERIOD_OVERRIDE="&amp;FpOvr,"Days=A","Fill=P"),1,1),""))</f>
        <v/>
      </c>
      <c r="L45" s="21">
        <f>IFERROR(IF($J45&lt;=0,"",$I45/$J45-1),"")</f>
        <v/>
      </c>
      <c r="M45" s="21">
        <f>IFERROR(IF($K45&lt;=0,"",$I45/$K45-1),"")</f>
        <v/>
      </c>
      <c r="N45" s="22">
        <f>IF($C45="","",IFERROR(BDP($C45,FldTRR,"CUST_TRR_START_DT="&amp;TEXT(DtMomA,"yyyymmdd"),"CUST_TRR_END_DT="&amp;TEXT(AsOf,"yyyymmdd"))/100,""))</f>
        <v/>
      </c>
      <c r="O45" s="22">
        <f>IF($C45="","",IFERROR(BDP($C45,FldTRR,"CUST_TRR_START_DT="&amp;TEXT(DtMomB,"yyyymmdd"),"CUST_TRR_END_DT="&amp;TEXT(AsOf,"yyyymmdd"))/100,""))</f>
        <v/>
      </c>
      <c r="P45" s="2">
        <f>IF($A45="","",IF($Q45=0,"sector missing",IF(NOT(ISNUMBER($H45)),"no market cap",IF(COUNT($L45:$O45)=4,"complete","missing "&amp;(4-COUNT($L45:$O45))&amp;" of 4 factors"))))</f>
        <v/>
      </c>
      <c r="Q45" s="23">
        <f>IF(OR($B45="",$B45="NO SECTOR",$B45="NOT IN MAP"),0,1)</f>
        <v/>
      </c>
      <c r="R45" s="24">
        <f>IF(AND($Q45=1,ISNUMBER($L45),ISNUMBER($H45)),$L45*$H45,0)</f>
        <v/>
      </c>
      <c r="S45" s="23">
        <f>IF(AND($Q45=1,ISNUMBER($L45),ISNUMBER($H45)),$H45,0)</f>
        <v/>
      </c>
      <c r="T45" s="24">
        <f>IF(AND($Q45=1,ISNUMBER($M45),ISNUMBER($H45)),$M45*$H45,0)</f>
        <v/>
      </c>
      <c r="U45" s="23">
        <f>IF(AND($Q45=1,ISNUMBER($M45),ISNUMBER($H45)),$H45,0)</f>
        <v/>
      </c>
      <c r="V45" s="24">
        <f>IF(AND($Q45=1,ISNUMBER($N45),ISNUMBER($H45)),$N45*$H45,0)</f>
        <v/>
      </c>
      <c r="W45" s="23">
        <f>IF(AND($Q45=1,ISNUMBER($N45),ISNUMBER($H45)),$H45,0)</f>
        <v/>
      </c>
      <c r="X45" s="24">
        <f>IF(AND($Q45=1,ISNUMBER($O45),ISNUMBER($H45)),$O45*$H45,0)</f>
        <v/>
      </c>
      <c r="Y45" s="23">
        <f>IF(AND($Q45=1,ISNUMBER($O45),ISNUMBER($H45)),$H45,0)</f>
        <v/>
      </c>
      <c r="Z45" s="23">
        <f>IF($Q45=0,"",IF(COUNTIF($B$5:$B45,$B45)&gt;1,"",MAX(0,MAX($Z$5:$Z44))+1))</f>
        <v/>
      </c>
    </row>
    <row r="46">
      <c r="A46" s="14">
        <f>IFERROR(IF(INDEX('Index Members'!$A$4:$A$403,ROW()-4)=0,"",INDEX('Index Members'!$A$4:$A$403,ROW()-4)),"")</f>
        <v/>
      </c>
      <c r="B46" s="14">
        <f>IF($A46="","",IFERROR(IF(VLOOKUP($A46,'Sector Map'!$A$4:$B$123,2,FALSE)=0,"NO SECTOR",VLOOKUP($A46,'Sector Map'!$A$4:$B$123,2,FALSE)),"NOT IN MAP"))</f>
        <v/>
      </c>
      <c r="C46" s="14">
        <f>IF($A46="","",$A46&amp;TkSuffix)</f>
        <v/>
      </c>
      <c r="D46" s="17">
        <f>IF($C46="","",BDP($C46,FldMcap))</f>
        <v/>
      </c>
      <c r="E46" s="17">
        <f>IF($C46="","",BDP($C46,FldShOut))</f>
        <v/>
      </c>
      <c r="F46" s="18">
        <f>IF($C46="","",BDP($C46,FldPx))</f>
        <v/>
      </c>
      <c r="G46" s="19">
        <f>IFERROR($E46*$F46,"")</f>
        <v/>
      </c>
      <c r="H46" s="20">
        <f>IFERROR(IF(WgtBasis="SEC_CAP",$G46,$D46),"")</f>
        <v/>
      </c>
      <c r="I46" s="18">
        <f>IF($C46="","",BDP($C46,FldEps,"BEST_FPERIOD_OVERRIDE="&amp;FpOvr))</f>
        <v/>
      </c>
      <c r="J46" s="18">
        <f>IF($C46="","",IFERROR(INDEX(BDH($C46,FldEps,DtRevA,DtRevA,"BEST_FPERIOD_OVERRIDE="&amp;FpOvr,"Days=A","Fill=P"),1,1),""))</f>
        <v/>
      </c>
      <c r="K46" s="18">
        <f>IF($C46="","",IFERROR(INDEX(BDH($C46,FldEps,DtRevB,DtRevB,"BEST_FPERIOD_OVERRIDE="&amp;FpOvr,"Days=A","Fill=P"),1,1),""))</f>
        <v/>
      </c>
      <c r="L46" s="21">
        <f>IFERROR(IF($J46&lt;=0,"",$I46/$J46-1),"")</f>
        <v/>
      </c>
      <c r="M46" s="21">
        <f>IFERROR(IF($K46&lt;=0,"",$I46/$K46-1),"")</f>
        <v/>
      </c>
      <c r="N46" s="22">
        <f>IF($C46="","",IFERROR(BDP($C46,FldTRR,"CUST_TRR_START_DT="&amp;TEXT(DtMomA,"yyyymmdd"),"CUST_TRR_END_DT="&amp;TEXT(AsOf,"yyyymmdd"))/100,""))</f>
        <v/>
      </c>
      <c r="O46" s="22">
        <f>IF($C46="","",IFERROR(BDP($C46,FldTRR,"CUST_TRR_START_DT="&amp;TEXT(DtMomB,"yyyymmdd"),"CUST_TRR_END_DT="&amp;TEXT(AsOf,"yyyymmdd"))/100,""))</f>
        <v/>
      </c>
      <c r="P46" s="2">
        <f>IF($A46="","",IF($Q46=0,"sector missing",IF(NOT(ISNUMBER($H46)),"no market cap",IF(COUNT($L46:$O46)=4,"complete","missing "&amp;(4-COUNT($L46:$O46))&amp;" of 4 factors"))))</f>
        <v/>
      </c>
      <c r="Q46" s="23">
        <f>IF(OR($B46="",$B46="NO SECTOR",$B46="NOT IN MAP"),0,1)</f>
        <v/>
      </c>
      <c r="R46" s="24">
        <f>IF(AND($Q46=1,ISNUMBER($L46),ISNUMBER($H46)),$L46*$H46,0)</f>
        <v/>
      </c>
      <c r="S46" s="23">
        <f>IF(AND($Q46=1,ISNUMBER($L46),ISNUMBER($H46)),$H46,0)</f>
        <v/>
      </c>
      <c r="T46" s="24">
        <f>IF(AND($Q46=1,ISNUMBER($M46),ISNUMBER($H46)),$M46*$H46,0)</f>
        <v/>
      </c>
      <c r="U46" s="23">
        <f>IF(AND($Q46=1,ISNUMBER($M46),ISNUMBER($H46)),$H46,0)</f>
        <v/>
      </c>
      <c r="V46" s="24">
        <f>IF(AND($Q46=1,ISNUMBER($N46),ISNUMBER($H46)),$N46*$H46,0)</f>
        <v/>
      </c>
      <c r="W46" s="23">
        <f>IF(AND($Q46=1,ISNUMBER($N46),ISNUMBER($H46)),$H46,0)</f>
        <v/>
      </c>
      <c r="X46" s="24">
        <f>IF(AND($Q46=1,ISNUMBER($O46),ISNUMBER($H46)),$O46*$H46,0)</f>
        <v/>
      </c>
      <c r="Y46" s="23">
        <f>IF(AND($Q46=1,ISNUMBER($O46),ISNUMBER($H46)),$H46,0)</f>
        <v/>
      </c>
      <c r="Z46" s="23">
        <f>IF($Q46=0,"",IF(COUNTIF($B$5:$B46,$B46)&gt;1,"",MAX(0,MAX($Z$5:$Z45))+1))</f>
        <v/>
      </c>
    </row>
    <row r="47">
      <c r="A47" s="14">
        <f>IFERROR(IF(INDEX('Index Members'!$A$4:$A$403,ROW()-4)=0,"",INDEX('Index Members'!$A$4:$A$403,ROW()-4)),"")</f>
        <v/>
      </c>
      <c r="B47" s="14">
        <f>IF($A47="","",IFERROR(IF(VLOOKUP($A47,'Sector Map'!$A$4:$B$123,2,FALSE)=0,"NO SECTOR",VLOOKUP($A47,'Sector Map'!$A$4:$B$123,2,FALSE)),"NOT IN MAP"))</f>
        <v/>
      </c>
      <c r="C47" s="14">
        <f>IF($A47="","",$A47&amp;TkSuffix)</f>
        <v/>
      </c>
      <c r="D47" s="17">
        <f>IF($C47="","",BDP($C47,FldMcap))</f>
        <v/>
      </c>
      <c r="E47" s="17">
        <f>IF($C47="","",BDP($C47,FldShOut))</f>
        <v/>
      </c>
      <c r="F47" s="18">
        <f>IF($C47="","",BDP($C47,FldPx))</f>
        <v/>
      </c>
      <c r="G47" s="19">
        <f>IFERROR($E47*$F47,"")</f>
        <v/>
      </c>
      <c r="H47" s="20">
        <f>IFERROR(IF(WgtBasis="SEC_CAP",$G47,$D47),"")</f>
        <v/>
      </c>
      <c r="I47" s="18">
        <f>IF($C47="","",BDP($C47,FldEps,"BEST_FPERIOD_OVERRIDE="&amp;FpOvr))</f>
        <v/>
      </c>
      <c r="J47" s="18">
        <f>IF($C47="","",IFERROR(INDEX(BDH($C47,FldEps,DtRevA,DtRevA,"BEST_FPERIOD_OVERRIDE="&amp;FpOvr,"Days=A","Fill=P"),1,1),""))</f>
        <v/>
      </c>
      <c r="K47" s="18">
        <f>IF($C47="","",IFERROR(INDEX(BDH($C47,FldEps,DtRevB,DtRevB,"BEST_FPERIOD_OVERRIDE="&amp;FpOvr,"Days=A","Fill=P"),1,1),""))</f>
        <v/>
      </c>
      <c r="L47" s="21">
        <f>IFERROR(IF($J47&lt;=0,"",$I47/$J47-1),"")</f>
        <v/>
      </c>
      <c r="M47" s="21">
        <f>IFERROR(IF($K47&lt;=0,"",$I47/$K47-1),"")</f>
        <v/>
      </c>
      <c r="N47" s="22">
        <f>IF($C47="","",IFERROR(BDP($C47,FldTRR,"CUST_TRR_START_DT="&amp;TEXT(DtMomA,"yyyymmdd"),"CUST_TRR_END_DT="&amp;TEXT(AsOf,"yyyymmdd"))/100,""))</f>
        <v/>
      </c>
      <c r="O47" s="22">
        <f>IF($C47="","",IFERROR(BDP($C47,FldTRR,"CUST_TRR_START_DT="&amp;TEXT(DtMomB,"yyyymmdd"),"CUST_TRR_END_DT="&amp;TEXT(AsOf,"yyyymmdd"))/100,""))</f>
        <v/>
      </c>
      <c r="P47" s="2">
        <f>IF($A47="","",IF($Q47=0,"sector missing",IF(NOT(ISNUMBER($H47)),"no market cap",IF(COUNT($L47:$O47)=4,"complete","missing "&amp;(4-COUNT($L47:$O47))&amp;" of 4 factors"))))</f>
        <v/>
      </c>
      <c r="Q47" s="23">
        <f>IF(OR($B47="",$B47="NO SECTOR",$B47="NOT IN MAP"),0,1)</f>
        <v/>
      </c>
      <c r="R47" s="24">
        <f>IF(AND($Q47=1,ISNUMBER($L47),ISNUMBER($H47)),$L47*$H47,0)</f>
        <v/>
      </c>
      <c r="S47" s="23">
        <f>IF(AND($Q47=1,ISNUMBER($L47),ISNUMBER($H47)),$H47,0)</f>
        <v/>
      </c>
      <c r="T47" s="24">
        <f>IF(AND($Q47=1,ISNUMBER($M47),ISNUMBER($H47)),$M47*$H47,0)</f>
        <v/>
      </c>
      <c r="U47" s="23">
        <f>IF(AND($Q47=1,ISNUMBER($M47),ISNUMBER($H47)),$H47,0)</f>
        <v/>
      </c>
      <c r="V47" s="24">
        <f>IF(AND($Q47=1,ISNUMBER($N47),ISNUMBER($H47)),$N47*$H47,0)</f>
        <v/>
      </c>
      <c r="W47" s="23">
        <f>IF(AND($Q47=1,ISNUMBER($N47),ISNUMBER($H47)),$H47,0)</f>
        <v/>
      </c>
      <c r="X47" s="24">
        <f>IF(AND($Q47=1,ISNUMBER($O47),ISNUMBER($H47)),$O47*$H47,0)</f>
        <v/>
      </c>
      <c r="Y47" s="23">
        <f>IF(AND($Q47=1,ISNUMBER($O47),ISNUMBER($H47)),$H47,0)</f>
        <v/>
      </c>
      <c r="Z47" s="23">
        <f>IF($Q47=0,"",IF(COUNTIF($B$5:$B47,$B47)&gt;1,"",MAX(0,MAX($Z$5:$Z46))+1))</f>
        <v/>
      </c>
    </row>
    <row r="48">
      <c r="A48" s="14">
        <f>IFERROR(IF(INDEX('Index Members'!$A$4:$A$403,ROW()-4)=0,"",INDEX('Index Members'!$A$4:$A$403,ROW()-4)),"")</f>
        <v/>
      </c>
      <c r="B48" s="14">
        <f>IF($A48="","",IFERROR(IF(VLOOKUP($A48,'Sector Map'!$A$4:$B$123,2,FALSE)=0,"NO SECTOR",VLOOKUP($A48,'Sector Map'!$A$4:$B$123,2,FALSE)),"NOT IN MAP"))</f>
        <v/>
      </c>
      <c r="C48" s="14">
        <f>IF($A48="","",$A48&amp;TkSuffix)</f>
        <v/>
      </c>
      <c r="D48" s="17">
        <f>IF($C48="","",BDP($C48,FldMcap))</f>
        <v/>
      </c>
      <c r="E48" s="17">
        <f>IF($C48="","",BDP($C48,FldShOut))</f>
        <v/>
      </c>
      <c r="F48" s="18">
        <f>IF($C48="","",BDP($C48,FldPx))</f>
        <v/>
      </c>
      <c r="G48" s="19">
        <f>IFERROR($E48*$F48,"")</f>
        <v/>
      </c>
      <c r="H48" s="20">
        <f>IFERROR(IF(WgtBasis="SEC_CAP",$G48,$D48),"")</f>
        <v/>
      </c>
      <c r="I48" s="18">
        <f>IF($C48="","",BDP($C48,FldEps,"BEST_FPERIOD_OVERRIDE="&amp;FpOvr))</f>
        <v/>
      </c>
      <c r="J48" s="18">
        <f>IF($C48="","",IFERROR(INDEX(BDH($C48,FldEps,DtRevA,DtRevA,"BEST_FPERIOD_OVERRIDE="&amp;FpOvr,"Days=A","Fill=P"),1,1),""))</f>
        <v/>
      </c>
      <c r="K48" s="18">
        <f>IF($C48="","",IFERROR(INDEX(BDH($C48,FldEps,DtRevB,DtRevB,"BEST_FPERIOD_OVERRIDE="&amp;FpOvr,"Days=A","Fill=P"),1,1),""))</f>
        <v/>
      </c>
      <c r="L48" s="21">
        <f>IFERROR(IF($J48&lt;=0,"",$I48/$J48-1),"")</f>
        <v/>
      </c>
      <c r="M48" s="21">
        <f>IFERROR(IF($K48&lt;=0,"",$I48/$K48-1),"")</f>
        <v/>
      </c>
      <c r="N48" s="22">
        <f>IF($C48="","",IFERROR(BDP($C48,FldTRR,"CUST_TRR_START_DT="&amp;TEXT(DtMomA,"yyyymmdd"),"CUST_TRR_END_DT="&amp;TEXT(AsOf,"yyyymmdd"))/100,""))</f>
        <v/>
      </c>
      <c r="O48" s="22">
        <f>IF($C48="","",IFERROR(BDP($C48,FldTRR,"CUST_TRR_START_DT="&amp;TEXT(DtMomB,"yyyymmdd"),"CUST_TRR_END_DT="&amp;TEXT(AsOf,"yyyymmdd"))/100,""))</f>
        <v/>
      </c>
      <c r="P48" s="2">
        <f>IF($A48="","",IF($Q48=0,"sector missing",IF(NOT(ISNUMBER($H48)),"no market cap",IF(COUNT($L48:$O48)=4,"complete","missing "&amp;(4-COUNT($L48:$O48))&amp;" of 4 factors"))))</f>
        <v/>
      </c>
      <c r="Q48" s="23">
        <f>IF(OR($B48="",$B48="NO SECTOR",$B48="NOT IN MAP"),0,1)</f>
        <v/>
      </c>
      <c r="R48" s="24">
        <f>IF(AND($Q48=1,ISNUMBER($L48),ISNUMBER($H48)),$L48*$H48,0)</f>
        <v/>
      </c>
      <c r="S48" s="23">
        <f>IF(AND($Q48=1,ISNUMBER($L48),ISNUMBER($H48)),$H48,0)</f>
        <v/>
      </c>
      <c r="T48" s="24">
        <f>IF(AND($Q48=1,ISNUMBER($M48),ISNUMBER($H48)),$M48*$H48,0)</f>
        <v/>
      </c>
      <c r="U48" s="23">
        <f>IF(AND($Q48=1,ISNUMBER($M48),ISNUMBER($H48)),$H48,0)</f>
        <v/>
      </c>
      <c r="V48" s="24">
        <f>IF(AND($Q48=1,ISNUMBER($N48),ISNUMBER($H48)),$N48*$H48,0)</f>
        <v/>
      </c>
      <c r="W48" s="23">
        <f>IF(AND($Q48=1,ISNUMBER($N48),ISNUMBER($H48)),$H48,0)</f>
        <v/>
      </c>
      <c r="X48" s="24">
        <f>IF(AND($Q48=1,ISNUMBER($O48),ISNUMBER($H48)),$O48*$H48,0)</f>
        <v/>
      </c>
      <c r="Y48" s="23">
        <f>IF(AND($Q48=1,ISNUMBER($O48),ISNUMBER($H48)),$H48,0)</f>
        <v/>
      </c>
      <c r="Z48" s="23">
        <f>IF($Q48=0,"",IF(COUNTIF($B$5:$B48,$B48)&gt;1,"",MAX(0,MAX($Z$5:$Z47))+1))</f>
        <v/>
      </c>
    </row>
    <row r="49">
      <c r="A49" s="14">
        <f>IFERROR(IF(INDEX('Index Members'!$A$4:$A$403,ROW()-4)=0,"",INDEX('Index Members'!$A$4:$A$403,ROW()-4)),"")</f>
        <v/>
      </c>
      <c r="B49" s="14">
        <f>IF($A49="","",IFERROR(IF(VLOOKUP($A49,'Sector Map'!$A$4:$B$123,2,FALSE)=0,"NO SECTOR",VLOOKUP($A49,'Sector Map'!$A$4:$B$123,2,FALSE)),"NOT IN MAP"))</f>
        <v/>
      </c>
      <c r="C49" s="14">
        <f>IF($A49="","",$A49&amp;TkSuffix)</f>
        <v/>
      </c>
      <c r="D49" s="17">
        <f>IF($C49="","",BDP($C49,FldMcap))</f>
        <v/>
      </c>
      <c r="E49" s="17">
        <f>IF($C49="","",BDP($C49,FldShOut))</f>
        <v/>
      </c>
      <c r="F49" s="18">
        <f>IF($C49="","",BDP($C49,FldPx))</f>
        <v/>
      </c>
      <c r="G49" s="19">
        <f>IFERROR($E49*$F49,"")</f>
        <v/>
      </c>
      <c r="H49" s="20">
        <f>IFERROR(IF(WgtBasis="SEC_CAP",$G49,$D49),"")</f>
        <v/>
      </c>
      <c r="I49" s="18">
        <f>IF($C49="","",BDP($C49,FldEps,"BEST_FPERIOD_OVERRIDE="&amp;FpOvr))</f>
        <v/>
      </c>
      <c r="J49" s="18">
        <f>IF($C49="","",IFERROR(INDEX(BDH($C49,FldEps,DtRevA,DtRevA,"BEST_FPERIOD_OVERRIDE="&amp;FpOvr,"Days=A","Fill=P"),1,1),""))</f>
        <v/>
      </c>
      <c r="K49" s="18">
        <f>IF($C49="","",IFERROR(INDEX(BDH($C49,FldEps,DtRevB,DtRevB,"BEST_FPERIOD_OVERRIDE="&amp;FpOvr,"Days=A","Fill=P"),1,1),""))</f>
        <v/>
      </c>
      <c r="L49" s="21">
        <f>IFERROR(IF($J49&lt;=0,"",$I49/$J49-1),"")</f>
        <v/>
      </c>
      <c r="M49" s="21">
        <f>IFERROR(IF($K49&lt;=0,"",$I49/$K49-1),"")</f>
        <v/>
      </c>
      <c r="N49" s="22">
        <f>IF($C49="","",IFERROR(BDP($C49,FldTRR,"CUST_TRR_START_DT="&amp;TEXT(DtMomA,"yyyymmdd"),"CUST_TRR_END_DT="&amp;TEXT(AsOf,"yyyymmdd"))/100,""))</f>
        <v/>
      </c>
      <c r="O49" s="22">
        <f>IF($C49="","",IFERROR(BDP($C49,FldTRR,"CUST_TRR_START_DT="&amp;TEXT(DtMomB,"yyyymmdd"),"CUST_TRR_END_DT="&amp;TEXT(AsOf,"yyyymmdd"))/100,""))</f>
        <v/>
      </c>
      <c r="P49" s="2">
        <f>IF($A49="","",IF($Q49=0,"sector missing",IF(NOT(ISNUMBER($H49)),"no market cap",IF(COUNT($L49:$O49)=4,"complete","missing "&amp;(4-COUNT($L49:$O49))&amp;" of 4 factors"))))</f>
        <v/>
      </c>
      <c r="Q49" s="23">
        <f>IF(OR($B49="",$B49="NO SECTOR",$B49="NOT IN MAP"),0,1)</f>
        <v/>
      </c>
      <c r="R49" s="24">
        <f>IF(AND($Q49=1,ISNUMBER($L49),ISNUMBER($H49)),$L49*$H49,0)</f>
        <v/>
      </c>
      <c r="S49" s="23">
        <f>IF(AND($Q49=1,ISNUMBER($L49),ISNUMBER($H49)),$H49,0)</f>
        <v/>
      </c>
      <c r="T49" s="24">
        <f>IF(AND($Q49=1,ISNUMBER($M49),ISNUMBER($H49)),$M49*$H49,0)</f>
        <v/>
      </c>
      <c r="U49" s="23">
        <f>IF(AND($Q49=1,ISNUMBER($M49),ISNUMBER($H49)),$H49,0)</f>
        <v/>
      </c>
      <c r="V49" s="24">
        <f>IF(AND($Q49=1,ISNUMBER($N49),ISNUMBER($H49)),$N49*$H49,0)</f>
        <v/>
      </c>
      <c r="W49" s="23">
        <f>IF(AND($Q49=1,ISNUMBER($N49),ISNUMBER($H49)),$H49,0)</f>
        <v/>
      </c>
      <c r="X49" s="24">
        <f>IF(AND($Q49=1,ISNUMBER($O49),ISNUMBER($H49)),$O49*$H49,0)</f>
        <v/>
      </c>
      <c r="Y49" s="23">
        <f>IF(AND($Q49=1,ISNUMBER($O49),ISNUMBER($H49)),$H49,0)</f>
        <v/>
      </c>
      <c r="Z49" s="23">
        <f>IF($Q49=0,"",IF(COUNTIF($B$5:$B49,$B49)&gt;1,"",MAX(0,MAX($Z$5:$Z48))+1))</f>
        <v/>
      </c>
    </row>
    <row r="50">
      <c r="A50" s="14">
        <f>IFERROR(IF(INDEX('Index Members'!$A$4:$A$403,ROW()-4)=0,"",INDEX('Index Members'!$A$4:$A$403,ROW()-4)),"")</f>
        <v/>
      </c>
      <c r="B50" s="14">
        <f>IF($A50="","",IFERROR(IF(VLOOKUP($A50,'Sector Map'!$A$4:$B$123,2,FALSE)=0,"NO SECTOR",VLOOKUP($A50,'Sector Map'!$A$4:$B$123,2,FALSE)),"NOT IN MAP"))</f>
        <v/>
      </c>
      <c r="C50" s="14">
        <f>IF($A50="","",$A50&amp;TkSuffix)</f>
        <v/>
      </c>
      <c r="D50" s="17">
        <f>IF($C50="","",BDP($C50,FldMcap))</f>
        <v/>
      </c>
      <c r="E50" s="17">
        <f>IF($C50="","",BDP($C50,FldShOut))</f>
        <v/>
      </c>
      <c r="F50" s="18">
        <f>IF($C50="","",BDP($C50,FldPx))</f>
        <v/>
      </c>
      <c r="G50" s="19">
        <f>IFERROR($E50*$F50,"")</f>
        <v/>
      </c>
      <c r="H50" s="20">
        <f>IFERROR(IF(WgtBasis="SEC_CAP",$G50,$D50),"")</f>
        <v/>
      </c>
      <c r="I50" s="18">
        <f>IF($C50="","",BDP($C50,FldEps,"BEST_FPERIOD_OVERRIDE="&amp;FpOvr))</f>
        <v/>
      </c>
      <c r="J50" s="18">
        <f>IF($C50="","",IFERROR(INDEX(BDH($C50,FldEps,DtRevA,DtRevA,"BEST_FPERIOD_OVERRIDE="&amp;FpOvr,"Days=A","Fill=P"),1,1),""))</f>
        <v/>
      </c>
      <c r="K50" s="18">
        <f>IF($C50="","",IFERROR(INDEX(BDH($C50,FldEps,DtRevB,DtRevB,"BEST_FPERIOD_OVERRIDE="&amp;FpOvr,"Days=A","Fill=P"),1,1),""))</f>
        <v/>
      </c>
      <c r="L50" s="21">
        <f>IFERROR(IF($J50&lt;=0,"",$I50/$J50-1),"")</f>
        <v/>
      </c>
      <c r="M50" s="21">
        <f>IFERROR(IF($K50&lt;=0,"",$I50/$K50-1),"")</f>
        <v/>
      </c>
      <c r="N50" s="22">
        <f>IF($C50="","",IFERROR(BDP($C50,FldTRR,"CUST_TRR_START_DT="&amp;TEXT(DtMomA,"yyyymmdd"),"CUST_TRR_END_DT="&amp;TEXT(AsOf,"yyyymmdd"))/100,""))</f>
        <v/>
      </c>
      <c r="O50" s="22">
        <f>IF($C50="","",IFERROR(BDP($C50,FldTRR,"CUST_TRR_START_DT="&amp;TEXT(DtMomB,"yyyymmdd"),"CUST_TRR_END_DT="&amp;TEXT(AsOf,"yyyymmdd"))/100,""))</f>
        <v/>
      </c>
      <c r="P50" s="2">
        <f>IF($A50="","",IF($Q50=0,"sector missing",IF(NOT(ISNUMBER($H50)),"no market cap",IF(COUNT($L50:$O50)=4,"complete","missing "&amp;(4-COUNT($L50:$O50))&amp;" of 4 factors"))))</f>
        <v/>
      </c>
      <c r="Q50" s="23">
        <f>IF(OR($B50="",$B50="NO SECTOR",$B50="NOT IN MAP"),0,1)</f>
        <v/>
      </c>
      <c r="R50" s="24">
        <f>IF(AND($Q50=1,ISNUMBER($L50),ISNUMBER($H50)),$L50*$H50,0)</f>
        <v/>
      </c>
      <c r="S50" s="23">
        <f>IF(AND($Q50=1,ISNUMBER($L50),ISNUMBER($H50)),$H50,0)</f>
        <v/>
      </c>
      <c r="T50" s="24">
        <f>IF(AND($Q50=1,ISNUMBER($M50),ISNUMBER($H50)),$M50*$H50,0)</f>
        <v/>
      </c>
      <c r="U50" s="23">
        <f>IF(AND($Q50=1,ISNUMBER($M50),ISNUMBER($H50)),$H50,0)</f>
        <v/>
      </c>
      <c r="V50" s="24">
        <f>IF(AND($Q50=1,ISNUMBER($N50),ISNUMBER($H50)),$N50*$H50,0)</f>
        <v/>
      </c>
      <c r="W50" s="23">
        <f>IF(AND($Q50=1,ISNUMBER($N50),ISNUMBER($H50)),$H50,0)</f>
        <v/>
      </c>
      <c r="X50" s="24">
        <f>IF(AND($Q50=1,ISNUMBER($O50),ISNUMBER($H50)),$O50*$H50,0)</f>
        <v/>
      </c>
      <c r="Y50" s="23">
        <f>IF(AND($Q50=1,ISNUMBER($O50),ISNUMBER($H50)),$H50,0)</f>
        <v/>
      </c>
      <c r="Z50" s="23">
        <f>IF($Q50=0,"",IF(COUNTIF($B$5:$B50,$B50)&gt;1,"",MAX(0,MAX($Z$5:$Z49))+1))</f>
        <v/>
      </c>
    </row>
    <row r="51">
      <c r="A51" s="14">
        <f>IFERROR(IF(INDEX('Index Members'!$A$4:$A$403,ROW()-4)=0,"",INDEX('Index Members'!$A$4:$A$403,ROW()-4)),"")</f>
        <v/>
      </c>
      <c r="B51" s="14">
        <f>IF($A51="","",IFERROR(IF(VLOOKUP($A51,'Sector Map'!$A$4:$B$123,2,FALSE)=0,"NO SECTOR",VLOOKUP($A51,'Sector Map'!$A$4:$B$123,2,FALSE)),"NOT IN MAP"))</f>
        <v/>
      </c>
      <c r="C51" s="14">
        <f>IF($A51="","",$A51&amp;TkSuffix)</f>
        <v/>
      </c>
      <c r="D51" s="17">
        <f>IF($C51="","",BDP($C51,FldMcap))</f>
        <v/>
      </c>
      <c r="E51" s="17">
        <f>IF($C51="","",BDP($C51,FldShOut))</f>
        <v/>
      </c>
      <c r="F51" s="18">
        <f>IF($C51="","",BDP($C51,FldPx))</f>
        <v/>
      </c>
      <c r="G51" s="19">
        <f>IFERROR($E51*$F51,"")</f>
        <v/>
      </c>
      <c r="H51" s="20">
        <f>IFERROR(IF(WgtBasis="SEC_CAP",$G51,$D51),"")</f>
        <v/>
      </c>
      <c r="I51" s="18">
        <f>IF($C51="","",BDP($C51,FldEps,"BEST_FPERIOD_OVERRIDE="&amp;FpOvr))</f>
        <v/>
      </c>
      <c r="J51" s="18">
        <f>IF($C51="","",IFERROR(INDEX(BDH($C51,FldEps,DtRevA,DtRevA,"BEST_FPERIOD_OVERRIDE="&amp;FpOvr,"Days=A","Fill=P"),1,1),""))</f>
        <v/>
      </c>
      <c r="K51" s="18">
        <f>IF($C51="","",IFERROR(INDEX(BDH($C51,FldEps,DtRevB,DtRevB,"BEST_FPERIOD_OVERRIDE="&amp;FpOvr,"Days=A","Fill=P"),1,1),""))</f>
        <v/>
      </c>
      <c r="L51" s="21">
        <f>IFERROR(IF($J51&lt;=0,"",$I51/$J51-1),"")</f>
        <v/>
      </c>
      <c r="M51" s="21">
        <f>IFERROR(IF($K51&lt;=0,"",$I51/$K51-1),"")</f>
        <v/>
      </c>
      <c r="N51" s="22">
        <f>IF($C51="","",IFERROR(BDP($C51,FldTRR,"CUST_TRR_START_DT="&amp;TEXT(DtMomA,"yyyymmdd"),"CUST_TRR_END_DT="&amp;TEXT(AsOf,"yyyymmdd"))/100,""))</f>
        <v/>
      </c>
      <c r="O51" s="22">
        <f>IF($C51="","",IFERROR(BDP($C51,FldTRR,"CUST_TRR_START_DT="&amp;TEXT(DtMomB,"yyyymmdd"),"CUST_TRR_END_DT="&amp;TEXT(AsOf,"yyyymmdd"))/100,""))</f>
        <v/>
      </c>
      <c r="P51" s="2">
        <f>IF($A51="","",IF($Q51=0,"sector missing",IF(NOT(ISNUMBER($H51)),"no market cap",IF(COUNT($L51:$O51)=4,"complete","missing "&amp;(4-COUNT($L51:$O51))&amp;" of 4 factors"))))</f>
        <v/>
      </c>
      <c r="Q51" s="23">
        <f>IF(OR($B51="",$B51="NO SECTOR",$B51="NOT IN MAP"),0,1)</f>
        <v/>
      </c>
      <c r="R51" s="24">
        <f>IF(AND($Q51=1,ISNUMBER($L51),ISNUMBER($H51)),$L51*$H51,0)</f>
        <v/>
      </c>
      <c r="S51" s="23">
        <f>IF(AND($Q51=1,ISNUMBER($L51),ISNUMBER($H51)),$H51,0)</f>
        <v/>
      </c>
      <c r="T51" s="24">
        <f>IF(AND($Q51=1,ISNUMBER($M51),ISNUMBER($H51)),$M51*$H51,0)</f>
        <v/>
      </c>
      <c r="U51" s="23">
        <f>IF(AND($Q51=1,ISNUMBER($M51),ISNUMBER($H51)),$H51,0)</f>
        <v/>
      </c>
      <c r="V51" s="24">
        <f>IF(AND($Q51=1,ISNUMBER($N51),ISNUMBER($H51)),$N51*$H51,0)</f>
        <v/>
      </c>
      <c r="W51" s="23">
        <f>IF(AND($Q51=1,ISNUMBER($N51),ISNUMBER($H51)),$H51,0)</f>
        <v/>
      </c>
      <c r="X51" s="24">
        <f>IF(AND($Q51=1,ISNUMBER($O51),ISNUMBER($H51)),$O51*$H51,0)</f>
        <v/>
      </c>
      <c r="Y51" s="23">
        <f>IF(AND($Q51=1,ISNUMBER($O51),ISNUMBER($H51)),$H51,0)</f>
        <v/>
      </c>
      <c r="Z51" s="23">
        <f>IF($Q51=0,"",IF(COUNTIF($B$5:$B51,$B51)&gt;1,"",MAX(0,MAX($Z$5:$Z50))+1))</f>
        <v/>
      </c>
    </row>
    <row r="52">
      <c r="A52" s="14">
        <f>IFERROR(IF(INDEX('Index Members'!$A$4:$A$403,ROW()-4)=0,"",INDEX('Index Members'!$A$4:$A$403,ROW()-4)),"")</f>
        <v/>
      </c>
      <c r="B52" s="14">
        <f>IF($A52="","",IFERROR(IF(VLOOKUP($A52,'Sector Map'!$A$4:$B$123,2,FALSE)=0,"NO SECTOR",VLOOKUP($A52,'Sector Map'!$A$4:$B$123,2,FALSE)),"NOT IN MAP"))</f>
        <v/>
      </c>
      <c r="C52" s="14">
        <f>IF($A52="","",$A52&amp;TkSuffix)</f>
        <v/>
      </c>
      <c r="D52" s="17">
        <f>IF($C52="","",BDP($C52,FldMcap))</f>
        <v/>
      </c>
      <c r="E52" s="17">
        <f>IF($C52="","",BDP($C52,FldShOut))</f>
        <v/>
      </c>
      <c r="F52" s="18">
        <f>IF($C52="","",BDP($C52,FldPx))</f>
        <v/>
      </c>
      <c r="G52" s="19">
        <f>IFERROR($E52*$F52,"")</f>
        <v/>
      </c>
      <c r="H52" s="20">
        <f>IFERROR(IF(WgtBasis="SEC_CAP",$G52,$D52),"")</f>
        <v/>
      </c>
      <c r="I52" s="18">
        <f>IF($C52="","",BDP($C52,FldEps,"BEST_FPERIOD_OVERRIDE="&amp;FpOvr))</f>
        <v/>
      </c>
      <c r="J52" s="18">
        <f>IF($C52="","",IFERROR(INDEX(BDH($C52,FldEps,DtRevA,DtRevA,"BEST_FPERIOD_OVERRIDE="&amp;FpOvr,"Days=A","Fill=P"),1,1),""))</f>
        <v/>
      </c>
      <c r="K52" s="18">
        <f>IF($C52="","",IFERROR(INDEX(BDH($C52,FldEps,DtRevB,DtRevB,"BEST_FPERIOD_OVERRIDE="&amp;FpOvr,"Days=A","Fill=P"),1,1),""))</f>
        <v/>
      </c>
      <c r="L52" s="21">
        <f>IFERROR(IF($J52&lt;=0,"",$I52/$J52-1),"")</f>
        <v/>
      </c>
      <c r="M52" s="21">
        <f>IFERROR(IF($K52&lt;=0,"",$I52/$K52-1),"")</f>
        <v/>
      </c>
      <c r="N52" s="22">
        <f>IF($C52="","",IFERROR(BDP($C52,FldTRR,"CUST_TRR_START_DT="&amp;TEXT(DtMomA,"yyyymmdd"),"CUST_TRR_END_DT="&amp;TEXT(AsOf,"yyyymmdd"))/100,""))</f>
        <v/>
      </c>
      <c r="O52" s="22">
        <f>IF($C52="","",IFERROR(BDP($C52,FldTRR,"CUST_TRR_START_DT="&amp;TEXT(DtMomB,"yyyymmdd"),"CUST_TRR_END_DT="&amp;TEXT(AsOf,"yyyymmdd"))/100,""))</f>
        <v/>
      </c>
      <c r="P52" s="2">
        <f>IF($A52="","",IF($Q52=0,"sector missing",IF(NOT(ISNUMBER($H52)),"no market cap",IF(COUNT($L52:$O52)=4,"complete","missing "&amp;(4-COUNT($L52:$O52))&amp;" of 4 factors"))))</f>
        <v/>
      </c>
      <c r="Q52" s="23">
        <f>IF(OR($B52="",$B52="NO SECTOR",$B52="NOT IN MAP"),0,1)</f>
        <v/>
      </c>
      <c r="R52" s="24">
        <f>IF(AND($Q52=1,ISNUMBER($L52),ISNUMBER($H52)),$L52*$H52,0)</f>
        <v/>
      </c>
      <c r="S52" s="23">
        <f>IF(AND($Q52=1,ISNUMBER($L52),ISNUMBER($H52)),$H52,0)</f>
        <v/>
      </c>
      <c r="T52" s="24">
        <f>IF(AND($Q52=1,ISNUMBER($M52),ISNUMBER($H52)),$M52*$H52,0)</f>
        <v/>
      </c>
      <c r="U52" s="23">
        <f>IF(AND($Q52=1,ISNUMBER($M52),ISNUMBER($H52)),$H52,0)</f>
        <v/>
      </c>
      <c r="V52" s="24">
        <f>IF(AND($Q52=1,ISNUMBER($N52),ISNUMBER($H52)),$N52*$H52,0)</f>
        <v/>
      </c>
      <c r="W52" s="23">
        <f>IF(AND($Q52=1,ISNUMBER($N52),ISNUMBER($H52)),$H52,0)</f>
        <v/>
      </c>
      <c r="X52" s="24">
        <f>IF(AND($Q52=1,ISNUMBER($O52),ISNUMBER($H52)),$O52*$H52,0)</f>
        <v/>
      </c>
      <c r="Y52" s="23">
        <f>IF(AND($Q52=1,ISNUMBER($O52),ISNUMBER($H52)),$H52,0)</f>
        <v/>
      </c>
      <c r="Z52" s="23">
        <f>IF($Q52=0,"",IF(COUNTIF($B$5:$B52,$B52)&gt;1,"",MAX(0,MAX($Z$5:$Z51))+1))</f>
        <v/>
      </c>
    </row>
    <row r="53">
      <c r="A53" s="14">
        <f>IFERROR(IF(INDEX('Index Members'!$A$4:$A$403,ROW()-4)=0,"",INDEX('Index Members'!$A$4:$A$403,ROW()-4)),"")</f>
        <v/>
      </c>
      <c r="B53" s="14">
        <f>IF($A53="","",IFERROR(IF(VLOOKUP($A53,'Sector Map'!$A$4:$B$123,2,FALSE)=0,"NO SECTOR",VLOOKUP($A53,'Sector Map'!$A$4:$B$123,2,FALSE)),"NOT IN MAP"))</f>
        <v/>
      </c>
      <c r="C53" s="14">
        <f>IF($A53="","",$A53&amp;TkSuffix)</f>
        <v/>
      </c>
      <c r="D53" s="17">
        <f>IF($C53="","",BDP($C53,FldMcap))</f>
        <v/>
      </c>
      <c r="E53" s="17">
        <f>IF($C53="","",BDP($C53,FldShOut))</f>
        <v/>
      </c>
      <c r="F53" s="18">
        <f>IF($C53="","",BDP($C53,FldPx))</f>
        <v/>
      </c>
      <c r="G53" s="19">
        <f>IFERROR($E53*$F53,"")</f>
        <v/>
      </c>
      <c r="H53" s="20">
        <f>IFERROR(IF(WgtBasis="SEC_CAP",$G53,$D53),"")</f>
        <v/>
      </c>
      <c r="I53" s="18">
        <f>IF($C53="","",BDP($C53,FldEps,"BEST_FPERIOD_OVERRIDE="&amp;FpOvr))</f>
        <v/>
      </c>
      <c r="J53" s="18">
        <f>IF($C53="","",IFERROR(INDEX(BDH($C53,FldEps,DtRevA,DtRevA,"BEST_FPERIOD_OVERRIDE="&amp;FpOvr,"Days=A","Fill=P"),1,1),""))</f>
        <v/>
      </c>
      <c r="K53" s="18">
        <f>IF($C53="","",IFERROR(INDEX(BDH($C53,FldEps,DtRevB,DtRevB,"BEST_FPERIOD_OVERRIDE="&amp;FpOvr,"Days=A","Fill=P"),1,1),""))</f>
        <v/>
      </c>
      <c r="L53" s="21">
        <f>IFERROR(IF($J53&lt;=0,"",$I53/$J53-1),"")</f>
        <v/>
      </c>
      <c r="M53" s="21">
        <f>IFERROR(IF($K53&lt;=0,"",$I53/$K53-1),"")</f>
        <v/>
      </c>
      <c r="N53" s="22">
        <f>IF($C53="","",IFERROR(BDP($C53,FldTRR,"CUST_TRR_START_DT="&amp;TEXT(DtMomA,"yyyymmdd"),"CUST_TRR_END_DT="&amp;TEXT(AsOf,"yyyymmdd"))/100,""))</f>
        <v/>
      </c>
      <c r="O53" s="22">
        <f>IF($C53="","",IFERROR(BDP($C53,FldTRR,"CUST_TRR_START_DT="&amp;TEXT(DtMomB,"yyyymmdd"),"CUST_TRR_END_DT="&amp;TEXT(AsOf,"yyyymmdd"))/100,""))</f>
        <v/>
      </c>
      <c r="P53" s="2">
        <f>IF($A53="","",IF($Q53=0,"sector missing",IF(NOT(ISNUMBER($H53)),"no market cap",IF(COUNT($L53:$O53)=4,"complete","missing "&amp;(4-COUNT($L53:$O53))&amp;" of 4 factors"))))</f>
        <v/>
      </c>
      <c r="Q53" s="23">
        <f>IF(OR($B53="",$B53="NO SECTOR",$B53="NOT IN MAP"),0,1)</f>
        <v/>
      </c>
      <c r="R53" s="24">
        <f>IF(AND($Q53=1,ISNUMBER($L53),ISNUMBER($H53)),$L53*$H53,0)</f>
        <v/>
      </c>
      <c r="S53" s="23">
        <f>IF(AND($Q53=1,ISNUMBER($L53),ISNUMBER($H53)),$H53,0)</f>
        <v/>
      </c>
      <c r="T53" s="24">
        <f>IF(AND($Q53=1,ISNUMBER($M53),ISNUMBER($H53)),$M53*$H53,0)</f>
        <v/>
      </c>
      <c r="U53" s="23">
        <f>IF(AND($Q53=1,ISNUMBER($M53),ISNUMBER($H53)),$H53,0)</f>
        <v/>
      </c>
      <c r="V53" s="24">
        <f>IF(AND($Q53=1,ISNUMBER($N53),ISNUMBER($H53)),$N53*$H53,0)</f>
        <v/>
      </c>
      <c r="W53" s="23">
        <f>IF(AND($Q53=1,ISNUMBER($N53),ISNUMBER($H53)),$H53,0)</f>
        <v/>
      </c>
      <c r="X53" s="24">
        <f>IF(AND($Q53=1,ISNUMBER($O53),ISNUMBER($H53)),$O53*$H53,0)</f>
        <v/>
      </c>
      <c r="Y53" s="23">
        <f>IF(AND($Q53=1,ISNUMBER($O53),ISNUMBER($H53)),$H53,0)</f>
        <v/>
      </c>
      <c r="Z53" s="23">
        <f>IF($Q53=0,"",IF(COUNTIF($B$5:$B53,$B53)&gt;1,"",MAX(0,MAX($Z$5:$Z52))+1))</f>
        <v/>
      </c>
    </row>
    <row r="54">
      <c r="A54" s="14">
        <f>IFERROR(IF(INDEX('Index Members'!$A$4:$A$403,ROW()-4)=0,"",INDEX('Index Members'!$A$4:$A$403,ROW()-4)),"")</f>
        <v/>
      </c>
      <c r="B54" s="14">
        <f>IF($A54="","",IFERROR(IF(VLOOKUP($A54,'Sector Map'!$A$4:$B$123,2,FALSE)=0,"NO SECTOR",VLOOKUP($A54,'Sector Map'!$A$4:$B$123,2,FALSE)),"NOT IN MAP"))</f>
        <v/>
      </c>
      <c r="C54" s="14">
        <f>IF($A54="","",$A54&amp;TkSuffix)</f>
        <v/>
      </c>
      <c r="D54" s="17">
        <f>IF($C54="","",BDP($C54,FldMcap))</f>
        <v/>
      </c>
      <c r="E54" s="17">
        <f>IF($C54="","",BDP($C54,FldShOut))</f>
        <v/>
      </c>
      <c r="F54" s="18">
        <f>IF($C54="","",BDP($C54,FldPx))</f>
        <v/>
      </c>
      <c r="G54" s="19">
        <f>IFERROR($E54*$F54,"")</f>
        <v/>
      </c>
      <c r="H54" s="20">
        <f>IFERROR(IF(WgtBasis="SEC_CAP",$G54,$D54),"")</f>
        <v/>
      </c>
      <c r="I54" s="18">
        <f>IF($C54="","",BDP($C54,FldEps,"BEST_FPERIOD_OVERRIDE="&amp;FpOvr))</f>
        <v/>
      </c>
      <c r="J54" s="18">
        <f>IF($C54="","",IFERROR(INDEX(BDH($C54,FldEps,DtRevA,DtRevA,"BEST_FPERIOD_OVERRIDE="&amp;FpOvr,"Days=A","Fill=P"),1,1),""))</f>
        <v/>
      </c>
      <c r="K54" s="18">
        <f>IF($C54="","",IFERROR(INDEX(BDH($C54,FldEps,DtRevB,DtRevB,"BEST_FPERIOD_OVERRIDE="&amp;FpOvr,"Days=A","Fill=P"),1,1),""))</f>
        <v/>
      </c>
      <c r="L54" s="21">
        <f>IFERROR(IF($J54&lt;=0,"",$I54/$J54-1),"")</f>
        <v/>
      </c>
      <c r="M54" s="21">
        <f>IFERROR(IF($K54&lt;=0,"",$I54/$K54-1),"")</f>
        <v/>
      </c>
      <c r="N54" s="22">
        <f>IF($C54="","",IFERROR(BDP($C54,FldTRR,"CUST_TRR_START_DT="&amp;TEXT(DtMomA,"yyyymmdd"),"CUST_TRR_END_DT="&amp;TEXT(AsOf,"yyyymmdd"))/100,""))</f>
        <v/>
      </c>
      <c r="O54" s="22">
        <f>IF($C54="","",IFERROR(BDP($C54,FldTRR,"CUST_TRR_START_DT="&amp;TEXT(DtMomB,"yyyymmdd"),"CUST_TRR_END_DT="&amp;TEXT(AsOf,"yyyymmdd"))/100,""))</f>
        <v/>
      </c>
      <c r="P54" s="2">
        <f>IF($A54="","",IF($Q54=0,"sector missing",IF(NOT(ISNUMBER($H54)),"no market cap",IF(COUNT($L54:$O54)=4,"complete","missing "&amp;(4-COUNT($L54:$O54))&amp;" of 4 factors"))))</f>
        <v/>
      </c>
      <c r="Q54" s="23">
        <f>IF(OR($B54="",$B54="NO SECTOR",$B54="NOT IN MAP"),0,1)</f>
        <v/>
      </c>
      <c r="R54" s="24">
        <f>IF(AND($Q54=1,ISNUMBER($L54),ISNUMBER($H54)),$L54*$H54,0)</f>
        <v/>
      </c>
      <c r="S54" s="23">
        <f>IF(AND($Q54=1,ISNUMBER($L54),ISNUMBER($H54)),$H54,0)</f>
        <v/>
      </c>
      <c r="T54" s="24">
        <f>IF(AND($Q54=1,ISNUMBER($M54),ISNUMBER($H54)),$M54*$H54,0)</f>
        <v/>
      </c>
      <c r="U54" s="23">
        <f>IF(AND($Q54=1,ISNUMBER($M54),ISNUMBER($H54)),$H54,0)</f>
        <v/>
      </c>
      <c r="V54" s="24">
        <f>IF(AND($Q54=1,ISNUMBER($N54),ISNUMBER($H54)),$N54*$H54,0)</f>
        <v/>
      </c>
      <c r="W54" s="23">
        <f>IF(AND($Q54=1,ISNUMBER($N54),ISNUMBER($H54)),$H54,0)</f>
        <v/>
      </c>
      <c r="X54" s="24">
        <f>IF(AND($Q54=1,ISNUMBER($O54),ISNUMBER($H54)),$O54*$H54,0)</f>
        <v/>
      </c>
      <c r="Y54" s="23">
        <f>IF(AND($Q54=1,ISNUMBER($O54),ISNUMBER($H54)),$H54,0)</f>
        <v/>
      </c>
      <c r="Z54" s="23">
        <f>IF($Q54=0,"",IF(COUNTIF($B$5:$B54,$B54)&gt;1,"",MAX(0,MAX($Z$5:$Z53))+1))</f>
        <v/>
      </c>
    </row>
    <row r="55">
      <c r="A55" s="14">
        <f>IFERROR(IF(INDEX('Index Members'!$A$4:$A$403,ROW()-4)=0,"",INDEX('Index Members'!$A$4:$A$403,ROW()-4)),"")</f>
        <v/>
      </c>
      <c r="B55" s="14">
        <f>IF($A55="","",IFERROR(IF(VLOOKUP($A55,'Sector Map'!$A$4:$B$123,2,FALSE)=0,"NO SECTOR",VLOOKUP($A55,'Sector Map'!$A$4:$B$123,2,FALSE)),"NOT IN MAP"))</f>
        <v/>
      </c>
      <c r="C55" s="14">
        <f>IF($A55="","",$A55&amp;TkSuffix)</f>
        <v/>
      </c>
      <c r="D55" s="17">
        <f>IF($C55="","",BDP($C55,FldMcap))</f>
        <v/>
      </c>
      <c r="E55" s="17">
        <f>IF($C55="","",BDP($C55,FldShOut))</f>
        <v/>
      </c>
      <c r="F55" s="18">
        <f>IF($C55="","",BDP($C55,FldPx))</f>
        <v/>
      </c>
      <c r="G55" s="19">
        <f>IFERROR($E55*$F55,"")</f>
        <v/>
      </c>
      <c r="H55" s="20">
        <f>IFERROR(IF(WgtBasis="SEC_CAP",$G55,$D55),"")</f>
        <v/>
      </c>
      <c r="I55" s="18">
        <f>IF($C55="","",BDP($C55,FldEps,"BEST_FPERIOD_OVERRIDE="&amp;FpOvr))</f>
        <v/>
      </c>
      <c r="J55" s="18">
        <f>IF($C55="","",IFERROR(INDEX(BDH($C55,FldEps,DtRevA,DtRevA,"BEST_FPERIOD_OVERRIDE="&amp;FpOvr,"Days=A","Fill=P"),1,1),""))</f>
        <v/>
      </c>
      <c r="K55" s="18">
        <f>IF($C55="","",IFERROR(INDEX(BDH($C55,FldEps,DtRevB,DtRevB,"BEST_FPERIOD_OVERRIDE="&amp;FpOvr,"Days=A","Fill=P"),1,1),""))</f>
        <v/>
      </c>
      <c r="L55" s="21">
        <f>IFERROR(IF($J55&lt;=0,"",$I55/$J55-1),"")</f>
        <v/>
      </c>
      <c r="M55" s="21">
        <f>IFERROR(IF($K55&lt;=0,"",$I55/$K55-1),"")</f>
        <v/>
      </c>
      <c r="N55" s="22">
        <f>IF($C55="","",IFERROR(BDP($C55,FldTRR,"CUST_TRR_START_DT="&amp;TEXT(DtMomA,"yyyymmdd"),"CUST_TRR_END_DT="&amp;TEXT(AsOf,"yyyymmdd"))/100,""))</f>
        <v/>
      </c>
      <c r="O55" s="22">
        <f>IF($C55="","",IFERROR(BDP($C55,FldTRR,"CUST_TRR_START_DT="&amp;TEXT(DtMomB,"yyyymmdd"),"CUST_TRR_END_DT="&amp;TEXT(AsOf,"yyyymmdd"))/100,""))</f>
        <v/>
      </c>
      <c r="P55" s="2">
        <f>IF($A55="","",IF($Q55=0,"sector missing",IF(NOT(ISNUMBER($H55)),"no market cap",IF(COUNT($L55:$O55)=4,"complete","missing "&amp;(4-COUNT($L55:$O55))&amp;" of 4 factors"))))</f>
        <v/>
      </c>
      <c r="Q55" s="23">
        <f>IF(OR($B55="",$B55="NO SECTOR",$B55="NOT IN MAP"),0,1)</f>
        <v/>
      </c>
      <c r="R55" s="24">
        <f>IF(AND($Q55=1,ISNUMBER($L55),ISNUMBER($H55)),$L55*$H55,0)</f>
        <v/>
      </c>
      <c r="S55" s="23">
        <f>IF(AND($Q55=1,ISNUMBER($L55),ISNUMBER($H55)),$H55,0)</f>
        <v/>
      </c>
      <c r="T55" s="24">
        <f>IF(AND($Q55=1,ISNUMBER($M55),ISNUMBER($H55)),$M55*$H55,0)</f>
        <v/>
      </c>
      <c r="U55" s="23">
        <f>IF(AND($Q55=1,ISNUMBER($M55),ISNUMBER($H55)),$H55,0)</f>
        <v/>
      </c>
      <c r="V55" s="24">
        <f>IF(AND($Q55=1,ISNUMBER($N55),ISNUMBER($H55)),$N55*$H55,0)</f>
        <v/>
      </c>
      <c r="W55" s="23">
        <f>IF(AND($Q55=1,ISNUMBER($N55),ISNUMBER($H55)),$H55,0)</f>
        <v/>
      </c>
      <c r="X55" s="24">
        <f>IF(AND($Q55=1,ISNUMBER($O55),ISNUMBER($H55)),$O55*$H55,0)</f>
        <v/>
      </c>
      <c r="Y55" s="23">
        <f>IF(AND($Q55=1,ISNUMBER($O55),ISNUMBER($H55)),$H55,0)</f>
        <v/>
      </c>
      <c r="Z55" s="23">
        <f>IF($Q55=0,"",IF(COUNTIF($B$5:$B55,$B55)&gt;1,"",MAX(0,MAX($Z$5:$Z54))+1))</f>
        <v/>
      </c>
    </row>
    <row r="56">
      <c r="A56" s="14">
        <f>IFERROR(IF(INDEX('Index Members'!$A$4:$A$403,ROW()-4)=0,"",INDEX('Index Members'!$A$4:$A$403,ROW()-4)),"")</f>
        <v/>
      </c>
      <c r="B56" s="14">
        <f>IF($A56="","",IFERROR(IF(VLOOKUP($A56,'Sector Map'!$A$4:$B$123,2,FALSE)=0,"NO SECTOR",VLOOKUP($A56,'Sector Map'!$A$4:$B$123,2,FALSE)),"NOT IN MAP"))</f>
        <v/>
      </c>
      <c r="C56" s="14">
        <f>IF($A56="","",$A56&amp;TkSuffix)</f>
        <v/>
      </c>
      <c r="D56" s="17">
        <f>IF($C56="","",BDP($C56,FldMcap))</f>
        <v/>
      </c>
      <c r="E56" s="17">
        <f>IF($C56="","",BDP($C56,FldShOut))</f>
        <v/>
      </c>
      <c r="F56" s="18">
        <f>IF($C56="","",BDP($C56,FldPx))</f>
        <v/>
      </c>
      <c r="G56" s="19">
        <f>IFERROR($E56*$F56,"")</f>
        <v/>
      </c>
      <c r="H56" s="20">
        <f>IFERROR(IF(WgtBasis="SEC_CAP",$G56,$D56),"")</f>
        <v/>
      </c>
      <c r="I56" s="18">
        <f>IF($C56="","",BDP($C56,FldEps,"BEST_FPERIOD_OVERRIDE="&amp;FpOvr))</f>
        <v/>
      </c>
      <c r="J56" s="18">
        <f>IF($C56="","",IFERROR(INDEX(BDH($C56,FldEps,DtRevA,DtRevA,"BEST_FPERIOD_OVERRIDE="&amp;FpOvr,"Days=A","Fill=P"),1,1),""))</f>
        <v/>
      </c>
      <c r="K56" s="18">
        <f>IF($C56="","",IFERROR(INDEX(BDH($C56,FldEps,DtRevB,DtRevB,"BEST_FPERIOD_OVERRIDE="&amp;FpOvr,"Days=A","Fill=P"),1,1),""))</f>
        <v/>
      </c>
      <c r="L56" s="21">
        <f>IFERROR(IF($J56&lt;=0,"",$I56/$J56-1),"")</f>
        <v/>
      </c>
      <c r="M56" s="21">
        <f>IFERROR(IF($K56&lt;=0,"",$I56/$K56-1),"")</f>
        <v/>
      </c>
      <c r="N56" s="22">
        <f>IF($C56="","",IFERROR(BDP($C56,FldTRR,"CUST_TRR_START_DT="&amp;TEXT(DtMomA,"yyyymmdd"),"CUST_TRR_END_DT="&amp;TEXT(AsOf,"yyyymmdd"))/100,""))</f>
        <v/>
      </c>
      <c r="O56" s="22">
        <f>IF($C56="","",IFERROR(BDP($C56,FldTRR,"CUST_TRR_START_DT="&amp;TEXT(DtMomB,"yyyymmdd"),"CUST_TRR_END_DT="&amp;TEXT(AsOf,"yyyymmdd"))/100,""))</f>
        <v/>
      </c>
      <c r="P56" s="2">
        <f>IF($A56="","",IF($Q56=0,"sector missing",IF(NOT(ISNUMBER($H56)),"no market cap",IF(COUNT($L56:$O56)=4,"complete","missing "&amp;(4-COUNT($L56:$O56))&amp;" of 4 factors"))))</f>
        <v/>
      </c>
      <c r="Q56" s="23">
        <f>IF(OR($B56="",$B56="NO SECTOR",$B56="NOT IN MAP"),0,1)</f>
        <v/>
      </c>
      <c r="R56" s="24">
        <f>IF(AND($Q56=1,ISNUMBER($L56),ISNUMBER($H56)),$L56*$H56,0)</f>
        <v/>
      </c>
      <c r="S56" s="23">
        <f>IF(AND($Q56=1,ISNUMBER($L56),ISNUMBER($H56)),$H56,0)</f>
        <v/>
      </c>
      <c r="T56" s="24">
        <f>IF(AND($Q56=1,ISNUMBER($M56),ISNUMBER($H56)),$M56*$H56,0)</f>
        <v/>
      </c>
      <c r="U56" s="23">
        <f>IF(AND($Q56=1,ISNUMBER($M56),ISNUMBER($H56)),$H56,0)</f>
        <v/>
      </c>
      <c r="V56" s="24">
        <f>IF(AND($Q56=1,ISNUMBER($N56),ISNUMBER($H56)),$N56*$H56,0)</f>
        <v/>
      </c>
      <c r="W56" s="23">
        <f>IF(AND($Q56=1,ISNUMBER($N56),ISNUMBER($H56)),$H56,0)</f>
        <v/>
      </c>
      <c r="X56" s="24">
        <f>IF(AND($Q56=1,ISNUMBER($O56),ISNUMBER($H56)),$O56*$H56,0)</f>
        <v/>
      </c>
      <c r="Y56" s="23">
        <f>IF(AND($Q56=1,ISNUMBER($O56),ISNUMBER($H56)),$H56,0)</f>
        <v/>
      </c>
      <c r="Z56" s="23">
        <f>IF($Q56=0,"",IF(COUNTIF($B$5:$B56,$B56)&gt;1,"",MAX(0,MAX($Z$5:$Z55))+1))</f>
        <v/>
      </c>
    </row>
    <row r="57">
      <c r="A57" s="14">
        <f>IFERROR(IF(INDEX('Index Members'!$A$4:$A$403,ROW()-4)=0,"",INDEX('Index Members'!$A$4:$A$403,ROW()-4)),"")</f>
        <v/>
      </c>
      <c r="B57" s="14">
        <f>IF($A57="","",IFERROR(IF(VLOOKUP($A57,'Sector Map'!$A$4:$B$123,2,FALSE)=0,"NO SECTOR",VLOOKUP($A57,'Sector Map'!$A$4:$B$123,2,FALSE)),"NOT IN MAP"))</f>
        <v/>
      </c>
      <c r="C57" s="14">
        <f>IF($A57="","",$A57&amp;TkSuffix)</f>
        <v/>
      </c>
      <c r="D57" s="17">
        <f>IF($C57="","",BDP($C57,FldMcap))</f>
        <v/>
      </c>
      <c r="E57" s="17">
        <f>IF($C57="","",BDP($C57,FldShOut))</f>
        <v/>
      </c>
      <c r="F57" s="18">
        <f>IF($C57="","",BDP($C57,FldPx))</f>
        <v/>
      </c>
      <c r="G57" s="19">
        <f>IFERROR($E57*$F57,"")</f>
        <v/>
      </c>
      <c r="H57" s="20">
        <f>IFERROR(IF(WgtBasis="SEC_CAP",$G57,$D57),"")</f>
        <v/>
      </c>
      <c r="I57" s="18">
        <f>IF($C57="","",BDP($C57,FldEps,"BEST_FPERIOD_OVERRIDE="&amp;FpOvr))</f>
        <v/>
      </c>
      <c r="J57" s="18">
        <f>IF($C57="","",IFERROR(INDEX(BDH($C57,FldEps,DtRevA,DtRevA,"BEST_FPERIOD_OVERRIDE="&amp;FpOvr,"Days=A","Fill=P"),1,1),""))</f>
        <v/>
      </c>
      <c r="K57" s="18">
        <f>IF($C57="","",IFERROR(INDEX(BDH($C57,FldEps,DtRevB,DtRevB,"BEST_FPERIOD_OVERRIDE="&amp;FpOvr,"Days=A","Fill=P"),1,1),""))</f>
        <v/>
      </c>
      <c r="L57" s="21">
        <f>IFERROR(IF($J57&lt;=0,"",$I57/$J57-1),"")</f>
        <v/>
      </c>
      <c r="M57" s="21">
        <f>IFERROR(IF($K57&lt;=0,"",$I57/$K57-1),"")</f>
        <v/>
      </c>
      <c r="N57" s="22">
        <f>IF($C57="","",IFERROR(BDP($C57,FldTRR,"CUST_TRR_START_DT="&amp;TEXT(DtMomA,"yyyymmdd"),"CUST_TRR_END_DT="&amp;TEXT(AsOf,"yyyymmdd"))/100,""))</f>
        <v/>
      </c>
      <c r="O57" s="22">
        <f>IF($C57="","",IFERROR(BDP($C57,FldTRR,"CUST_TRR_START_DT="&amp;TEXT(DtMomB,"yyyymmdd"),"CUST_TRR_END_DT="&amp;TEXT(AsOf,"yyyymmdd"))/100,""))</f>
        <v/>
      </c>
      <c r="P57" s="2">
        <f>IF($A57="","",IF($Q57=0,"sector missing",IF(NOT(ISNUMBER($H57)),"no market cap",IF(COUNT($L57:$O57)=4,"complete","missing "&amp;(4-COUNT($L57:$O57))&amp;" of 4 factors"))))</f>
        <v/>
      </c>
      <c r="Q57" s="23">
        <f>IF(OR($B57="",$B57="NO SECTOR",$B57="NOT IN MAP"),0,1)</f>
        <v/>
      </c>
      <c r="R57" s="24">
        <f>IF(AND($Q57=1,ISNUMBER($L57),ISNUMBER($H57)),$L57*$H57,0)</f>
        <v/>
      </c>
      <c r="S57" s="23">
        <f>IF(AND($Q57=1,ISNUMBER($L57),ISNUMBER($H57)),$H57,0)</f>
        <v/>
      </c>
      <c r="T57" s="24">
        <f>IF(AND($Q57=1,ISNUMBER($M57),ISNUMBER($H57)),$M57*$H57,0)</f>
        <v/>
      </c>
      <c r="U57" s="23">
        <f>IF(AND($Q57=1,ISNUMBER($M57),ISNUMBER($H57)),$H57,0)</f>
        <v/>
      </c>
      <c r="V57" s="24">
        <f>IF(AND($Q57=1,ISNUMBER($N57),ISNUMBER($H57)),$N57*$H57,0)</f>
        <v/>
      </c>
      <c r="W57" s="23">
        <f>IF(AND($Q57=1,ISNUMBER($N57),ISNUMBER($H57)),$H57,0)</f>
        <v/>
      </c>
      <c r="X57" s="24">
        <f>IF(AND($Q57=1,ISNUMBER($O57),ISNUMBER($H57)),$O57*$H57,0)</f>
        <v/>
      </c>
      <c r="Y57" s="23">
        <f>IF(AND($Q57=1,ISNUMBER($O57),ISNUMBER($H57)),$H57,0)</f>
        <v/>
      </c>
      <c r="Z57" s="23">
        <f>IF($Q57=0,"",IF(COUNTIF($B$5:$B57,$B57)&gt;1,"",MAX(0,MAX($Z$5:$Z56))+1))</f>
        <v/>
      </c>
    </row>
    <row r="58">
      <c r="A58" s="14">
        <f>IFERROR(IF(INDEX('Index Members'!$A$4:$A$403,ROW()-4)=0,"",INDEX('Index Members'!$A$4:$A$403,ROW()-4)),"")</f>
        <v/>
      </c>
      <c r="B58" s="14">
        <f>IF($A58="","",IFERROR(IF(VLOOKUP($A58,'Sector Map'!$A$4:$B$123,2,FALSE)=0,"NO SECTOR",VLOOKUP($A58,'Sector Map'!$A$4:$B$123,2,FALSE)),"NOT IN MAP"))</f>
        <v/>
      </c>
      <c r="C58" s="14">
        <f>IF($A58="","",$A58&amp;TkSuffix)</f>
        <v/>
      </c>
      <c r="D58" s="17">
        <f>IF($C58="","",BDP($C58,FldMcap))</f>
        <v/>
      </c>
      <c r="E58" s="17">
        <f>IF($C58="","",BDP($C58,FldShOut))</f>
        <v/>
      </c>
      <c r="F58" s="18">
        <f>IF($C58="","",BDP($C58,FldPx))</f>
        <v/>
      </c>
      <c r="G58" s="19">
        <f>IFERROR($E58*$F58,"")</f>
        <v/>
      </c>
      <c r="H58" s="20">
        <f>IFERROR(IF(WgtBasis="SEC_CAP",$G58,$D58),"")</f>
        <v/>
      </c>
      <c r="I58" s="18">
        <f>IF($C58="","",BDP($C58,FldEps,"BEST_FPERIOD_OVERRIDE="&amp;FpOvr))</f>
        <v/>
      </c>
      <c r="J58" s="18">
        <f>IF($C58="","",IFERROR(INDEX(BDH($C58,FldEps,DtRevA,DtRevA,"BEST_FPERIOD_OVERRIDE="&amp;FpOvr,"Days=A","Fill=P"),1,1),""))</f>
        <v/>
      </c>
      <c r="K58" s="18">
        <f>IF($C58="","",IFERROR(INDEX(BDH($C58,FldEps,DtRevB,DtRevB,"BEST_FPERIOD_OVERRIDE="&amp;FpOvr,"Days=A","Fill=P"),1,1),""))</f>
        <v/>
      </c>
      <c r="L58" s="21">
        <f>IFERROR(IF($J58&lt;=0,"",$I58/$J58-1),"")</f>
        <v/>
      </c>
      <c r="M58" s="21">
        <f>IFERROR(IF($K58&lt;=0,"",$I58/$K58-1),"")</f>
        <v/>
      </c>
      <c r="N58" s="22">
        <f>IF($C58="","",IFERROR(BDP($C58,FldTRR,"CUST_TRR_START_DT="&amp;TEXT(DtMomA,"yyyymmdd"),"CUST_TRR_END_DT="&amp;TEXT(AsOf,"yyyymmdd"))/100,""))</f>
        <v/>
      </c>
      <c r="O58" s="22">
        <f>IF($C58="","",IFERROR(BDP($C58,FldTRR,"CUST_TRR_START_DT="&amp;TEXT(DtMomB,"yyyymmdd"),"CUST_TRR_END_DT="&amp;TEXT(AsOf,"yyyymmdd"))/100,""))</f>
        <v/>
      </c>
      <c r="P58" s="2">
        <f>IF($A58="","",IF($Q58=0,"sector missing",IF(NOT(ISNUMBER($H58)),"no market cap",IF(COUNT($L58:$O58)=4,"complete","missing "&amp;(4-COUNT($L58:$O58))&amp;" of 4 factors"))))</f>
        <v/>
      </c>
      <c r="Q58" s="23">
        <f>IF(OR($B58="",$B58="NO SECTOR",$B58="NOT IN MAP"),0,1)</f>
        <v/>
      </c>
      <c r="R58" s="24">
        <f>IF(AND($Q58=1,ISNUMBER($L58),ISNUMBER($H58)),$L58*$H58,0)</f>
        <v/>
      </c>
      <c r="S58" s="23">
        <f>IF(AND($Q58=1,ISNUMBER($L58),ISNUMBER($H58)),$H58,0)</f>
        <v/>
      </c>
      <c r="T58" s="24">
        <f>IF(AND($Q58=1,ISNUMBER($M58),ISNUMBER($H58)),$M58*$H58,0)</f>
        <v/>
      </c>
      <c r="U58" s="23">
        <f>IF(AND($Q58=1,ISNUMBER($M58),ISNUMBER($H58)),$H58,0)</f>
        <v/>
      </c>
      <c r="V58" s="24">
        <f>IF(AND($Q58=1,ISNUMBER($N58),ISNUMBER($H58)),$N58*$H58,0)</f>
        <v/>
      </c>
      <c r="W58" s="23">
        <f>IF(AND($Q58=1,ISNUMBER($N58),ISNUMBER($H58)),$H58,0)</f>
        <v/>
      </c>
      <c r="X58" s="24">
        <f>IF(AND($Q58=1,ISNUMBER($O58),ISNUMBER($H58)),$O58*$H58,0)</f>
        <v/>
      </c>
      <c r="Y58" s="23">
        <f>IF(AND($Q58=1,ISNUMBER($O58),ISNUMBER($H58)),$H58,0)</f>
        <v/>
      </c>
      <c r="Z58" s="23">
        <f>IF($Q58=0,"",IF(COUNTIF($B$5:$B58,$B58)&gt;1,"",MAX(0,MAX($Z$5:$Z57))+1))</f>
        <v/>
      </c>
    </row>
    <row r="59">
      <c r="A59" s="14">
        <f>IFERROR(IF(INDEX('Index Members'!$A$4:$A$403,ROW()-4)=0,"",INDEX('Index Members'!$A$4:$A$403,ROW()-4)),"")</f>
        <v/>
      </c>
      <c r="B59" s="14">
        <f>IF($A59="","",IFERROR(IF(VLOOKUP($A59,'Sector Map'!$A$4:$B$123,2,FALSE)=0,"NO SECTOR",VLOOKUP($A59,'Sector Map'!$A$4:$B$123,2,FALSE)),"NOT IN MAP"))</f>
        <v/>
      </c>
      <c r="C59" s="14">
        <f>IF($A59="","",$A59&amp;TkSuffix)</f>
        <v/>
      </c>
      <c r="D59" s="17">
        <f>IF($C59="","",BDP($C59,FldMcap))</f>
        <v/>
      </c>
      <c r="E59" s="17">
        <f>IF($C59="","",BDP($C59,FldShOut))</f>
        <v/>
      </c>
      <c r="F59" s="18">
        <f>IF($C59="","",BDP($C59,FldPx))</f>
        <v/>
      </c>
      <c r="G59" s="19">
        <f>IFERROR($E59*$F59,"")</f>
        <v/>
      </c>
      <c r="H59" s="20">
        <f>IFERROR(IF(WgtBasis="SEC_CAP",$G59,$D59),"")</f>
        <v/>
      </c>
      <c r="I59" s="18">
        <f>IF($C59="","",BDP($C59,FldEps,"BEST_FPERIOD_OVERRIDE="&amp;FpOvr))</f>
        <v/>
      </c>
      <c r="J59" s="18">
        <f>IF($C59="","",IFERROR(INDEX(BDH($C59,FldEps,DtRevA,DtRevA,"BEST_FPERIOD_OVERRIDE="&amp;FpOvr,"Days=A","Fill=P"),1,1),""))</f>
        <v/>
      </c>
      <c r="K59" s="18">
        <f>IF($C59="","",IFERROR(INDEX(BDH($C59,FldEps,DtRevB,DtRevB,"BEST_FPERIOD_OVERRIDE="&amp;FpOvr,"Days=A","Fill=P"),1,1),""))</f>
        <v/>
      </c>
      <c r="L59" s="21">
        <f>IFERROR(IF($J59&lt;=0,"",$I59/$J59-1),"")</f>
        <v/>
      </c>
      <c r="M59" s="21">
        <f>IFERROR(IF($K59&lt;=0,"",$I59/$K59-1),"")</f>
        <v/>
      </c>
      <c r="N59" s="22">
        <f>IF($C59="","",IFERROR(BDP($C59,FldTRR,"CUST_TRR_START_DT="&amp;TEXT(DtMomA,"yyyymmdd"),"CUST_TRR_END_DT="&amp;TEXT(AsOf,"yyyymmdd"))/100,""))</f>
        <v/>
      </c>
      <c r="O59" s="22">
        <f>IF($C59="","",IFERROR(BDP($C59,FldTRR,"CUST_TRR_START_DT="&amp;TEXT(DtMomB,"yyyymmdd"),"CUST_TRR_END_DT="&amp;TEXT(AsOf,"yyyymmdd"))/100,""))</f>
        <v/>
      </c>
      <c r="P59" s="2">
        <f>IF($A59="","",IF($Q59=0,"sector missing",IF(NOT(ISNUMBER($H59)),"no market cap",IF(COUNT($L59:$O59)=4,"complete","missing "&amp;(4-COUNT($L59:$O59))&amp;" of 4 factors"))))</f>
        <v/>
      </c>
      <c r="Q59" s="23">
        <f>IF(OR($B59="",$B59="NO SECTOR",$B59="NOT IN MAP"),0,1)</f>
        <v/>
      </c>
      <c r="R59" s="24">
        <f>IF(AND($Q59=1,ISNUMBER($L59),ISNUMBER($H59)),$L59*$H59,0)</f>
        <v/>
      </c>
      <c r="S59" s="23">
        <f>IF(AND($Q59=1,ISNUMBER($L59),ISNUMBER($H59)),$H59,0)</f>
        <v/>
      </c>
      <c r="T59" s="24">
        <f>IF(AND($Q59=1,ISNUMBER($M59),ISNUMBER($H59)),$M59*$H59,0)</f>
        <v/>
      </c>
      <c r="U59" s="23">
        <f>IF(AND($Q59=1,ISNUMBER($M59),ISNUMBER($H59)),$H59,0)</f>
        <v/>
      </c>
      <c r="V59" s="24">
        <f>IF(AND($Q59=1,ISNUMBER($N59),ISNUMBER($H59)),$N59*$H59,0)</f>
        <v/>
      </c>
      <c r="W59" s="23">
        <f>IF(AND($Q59=1,ISNUMBER($N59),ISNUMBER($H59)),$H59,0)</f>
        <v/>
      </c>
      <c r="X59" s="24">
        <f>IF(AND($Q59=1,ISNUMBER($O59),ISNUMBER($H59)),$O59*$H59,0)</f>
        <v/>
      </c>
      <c r="Y59" s="23">
        <f>IF(AND($Q59=1,ISNUMBER($O59),ISNUMBER($H59)),$H59,0)</f>
        <v/>
      </c>
      <c r="Z59" s="23">
        <f>IF($Q59=0,"",IF(COUNTIF($B$5:$B59,$B59)&gt;1,"",MAX(0,MAX($Z$5:$Z58))+1))</f>
        <v/>
      </c>
    </row>
    <row r="60">
      <c r="A60" s="14">
        <f>IFERROR(IF(INDEX('Index Members'!$A$4:$A$403,ROW()-4)=0,"",INDEX('Index Members'!$A$4:$A$403,ROW()-4)),"")</f>
        <v/>
      </c>
      <c r="B60" s="14">
        <f>IF($A60="","",IFERROR(IF(VLOOKUP($A60,'Sector Map'!$A$4:$B$123,2,FALSE)=0,"NO SECTOR",VLOOKUP($A60,'Sector Map'!$A$4:$B$123,2,FALSE)),"NOT IN MAP"))</f>
        <v/>
      </c>
      <c r="C60" s="14">
        <f>IF($A60="","",$A60&amp;TkSuffix)</f>
        <v/>
      </c>
      <c r="D60" s="17">
        <f>IF($C60="","",BDP($C60,FldMcap))</f>
        <v/>
      </c>
      <c r="E60" s="17">
        <f>IF($C60="","",BDP($C60,FldShOut))</f>
        <v/>
      </c>
      <c r="F60" s="18">
        <f>IF($C60="","",BDP($C60,FldPx))</f>
        <v/>
      </c>
      <c r="G60" s="19">
        <f>IFERROR($E60*$F60,"")</f>
        <v/>
      </c>
      <c r="H60" s="20">
        <f>IFERROR(IF(WgtBasis="SEC_CAP",$G60,$D60),"")</f>
        <v/>
      </c>
      <c r="I60" s="18">
        <f>IF($C60="","",BDP($C60,FldEps,"BEST_FPERIOD_OVERRIDE="&amp;FpOvr))</f>
        <v/>
      </c>
      <c r="J60" s="18">
        <f>IF($C60="","",IFERROR(INDEX(BDH($C60,FldEps,DtRevA,DtRevA,"BEST_FPERIOD_OVERRIDE="&amp;FpOvr,"Days=A","Fill=P"),1,1),""))</f>
        <v/>
      </c>
      <c r="K60" s="18">
        <f>IF($C60="","",IFERROR(INDEX(BDH($C60,FldEps,DtRevB,DtRevB,"BEST_FPERIOD_OVERRIDE="&amp;FpOvr,"Days=A","Fill=P"),1,1),""))</f>
        <v/>
      </c>
      <c r="L60" s="21">
        <f>IFERROR(IF($J60&lt;=0,"",$I60/$J60-1),"")</f>
        <v/>
      </c>
      <c r="M60" s="21">
        <f>IFERROR(IF($K60&lt;=0,"",$I60/$K60-1),"")</f>
        <v/>
      </c>
      <c r="N60" s="22">
        <f>IF($C60="","",IFERROR(BDP($C60,FldTRR,"CUST_TRR_START_DT="&amp;TEXT(DtMomA,"yyyymmdd"),"CUST_TRR_END_DT="&amp;TEXT(AsOf,"yyyymmdd"))/100,""))</f>
        <v/>
      </c>
      <c r="O60" s="22">
        <f>IF($C60="","",IFERROR(BDP($C60,FldTRR,"CUST_TRR_START_DT="&amp;TEXT(DtMomB,"yyyymmdd"),"CUST_TRR_END_DT="&amp;TEXT(AsOf,"yyyymmdd"))/100,""))</f>
        <v/>
      </c>
      <c r="P60" s="2">
        <f>IF($A60="","",IF($Q60=0,"sector missing",IF(NOT(ISNUMBER($H60)),"no market cap",IF(COUNT($L60:$O60)=4,"complete","missing "&amp;(4-COUNT($L60:$O60))&amp;" of 4 factors"))))</f>
        <v/>
      </c>
      <c r="Q60" s="23">
        <f>IF(OR($B60="",$B60="NO SECTOR",$B60="NOT IN MAP"),0,1)</f>
        <v/>
      </c>
      <c r="R60" s="24">
        <f>IF(AND($Q60=1,ISNUMBER($L60),ISNUMBER($H60)),$L60*$H60,0)</f>
        <v/>
      </c>
      <c r="S60" s="23">
        <f>IF(AND($Q60=1,ISNUMBER($L60),ISNUMBER($H60)),$H60,0)</f>
        <v/>
      </c>
      <c r="T60" s="24">
        <f>IF(AND($Q60=1,ISNUMBER($M60),ISNUMBER($H60)),$M60*$H60,0)</f>
        <v/>
      </c>
      <c r="U60" s="23">
        <f>IF(AND($Q60=1,ISNUMBER($M60),ISNUMBER($H60)),$H60,0)</f>
        <v/>
      </c>
      <c r="V60" s="24">
        <f>IF(AND($Q60=1,ISNUMBER($N60),ISNUMBER($H60)),$N60*$H60,0)</f>
        <v/>
      </c>
      <c r="W60" s="23">
        <f>IF(AND($Q60=1,ISNUMBER($N60),ISNUMBER($H60)),$H60,0)</f>
        <v/>
      </c>
      <c r="X60" s="24">
        <f>IF(AND($Q60=1,ISNUMBER($O60),ISNUMBER($H60)),$O60*$H60,0)</f>
        <v/>
      </c>
      <c r="Y60" s="23">
        <f>IF(AND($Q60=1,ISNUMBER($O60),ISNUMBER($H60)),$H60,0)</f>
        <v/>
      </c>
      <c r="Z60" s="23">
        <f>IF($Q60=0,"",IF(COUNTIF($B$5:$B60,$B60)&gt;1,"",MAX(0,MAX($Z$5:$Z59))+1))</f>
        <v/>
      </c>
    </row>
    <row r="61">
      <c r="A61" s="14">
        <f>IFERROR(IF(INDEX('Index Members'!$A$4:$A$403,ROW()-4)=0,"",INDEX('Index Members'!$A$4:$A$403,ROW()-4)),"")</f>
        <v/>
      </c>
      <c r="B61" s="14">
        <f>IF($A61="","",IFERROR(IF(VLOOKUP($A61,'Sector Map'!$A$4:$B$123,2,FALSE)=0,"NO SECTOR",VLOOKUP($A61,'Sector Map'!$A$4:$B$123,2,FALSE)),"NOT IN MAP"))</f>
        <v/>
      </c>
      <c r="C61" s="14">
        <f>IF($A61="","",$A61&amp;TkSuffix)</f>
        <v/>
      </c>
      <c r="D61" s="17">
        <f>IF($C61="","",BDP($C61,FldMcap))</f>
        <v/>
      </c>
      <c r="E61" s="17">
        <f>IF($C61="","",BDP($C61,FldShOut))</f>
        <v/>
      </c>
      <c r="F61" s="18">
        <f>IF($C61="","",BDP($C61,FldPx))</f>
        <v/>
      </c>
      <c r="G61" s="19">
        <f>IFERROR($E61*$F61,"")</f>
        <v/>
      </c>
      <c r="H61" s="20">
        <f>IFERROR(IF(WgtBasis="SEC_CAP",$G61,$D61),"")</f>
        <v/>
      </c>
      <c r="I61" s="18">
        <f>IF($C61="","",BDP($C61,FldEps,"BEST_FPERIOD_OVERRIDE="&amp;FpOvr))</f>
        <v/>
      </c>
      <c r="J61" s="18">
        <f>IF($C61="","",IFERROR(INDEX(BDH($C61,FldEps,DtRevA,DtRevA,"BEST_FPERIOD_OVERRIDE="&amp;FpOvr,"Days=A","Fill=P"),1,1),""))</f>
        <v/>
      </c>
      <c r="K61" s="18">
        <f>IF($C61="","",IFERROR(INDEX(BDH($C61,FldEps,DtRevB,DtRevB,"BEST_FPERIOD_OVERRIDE="&amp;FpOvr,"Days=A","Fill=P"),1,1),""))</f>
        <v/>
      </c>
      <c r="L61" s="21">
        <f>IFERROR(IF($J61&lt;=0,"",$I61/$J61-1),"")</f>
        <v/>
      </c>
      <c r="M61" s="21">
        <f>IFERROR(IF($K61&lt;=0,"",$I61/$K61-1),"")</f>
        <v/>
      </c>
      <c r="N61" s="22">
        <f>IF($C61="","",IFERROR(BDP($C61,FldTRR,"CUST_TRR_START_DT="&amp;TEXT(DtMomA,"yyyymmdd"),"CUST_TRR_END_DT="&amp;TEXT(AsOf,"yyyymmdd"))/100,""))</f>
        <v/>
      </c>
      <c r="O61" s="22">
        <f>IF($C61="","",IFERROR(BDP($C61,FldTRR,"CUST_TRR_START_DT="&amp;TEXT(DtMomB,"yyyymmdd"),"CUST_TRR_END_DT="&amp;TEXT(AsOf,"yyyymmdd"))/100,""))</f>
        <v/>
      </c>
      <c r="P61" s="2">
        <f>IF($A61="","",IF($Q61=0,"sector missing",IF(NOT(ISNUMBER($H61)),"no market cap",IF(COUNT($L61:$O61)=4,"complete","missing "&amp;(4-COUNT($L61:$O61))&amp;" of 4 factors"))))</f>
        <v/>
      </c>
      <c r="Q61" s="23">
        <f>IF(OR($B61="",$B61="NO SECTOR",$B61="NOT IN MAP"),0,1)</f>
        <v/>
      </c>
      <c r="R61" s="24">
        <f>IF(AND($Q61=1,ISNUMBER($L61),ISNUMBER($H61)),$L61*$H61,0)</f>
        <v/>
      </c>
      <c r="S61" s="23">
        <f>IF(AND($Q61=1,ISNUMBER($L61),ISNUMBER($H61)),$H61,0)</f>
        <v/>
      </c>
      <c r="T61" s="24">
        <f>IF(AND($Q61=1,ISNUMBER($M61),ISNUMBER($H61)),$M61*$H61,0)</f>
        <v/>
      </c>
      <c r="U61" s="23">
        <f>IF(AND($Q61=1,ISNUMBER($M61),ISNUMBER($H61)),$H61,0)</f>
        <v/>
      </c>
      <c r="V61" s="24">
        <f>IF(AND($Q61=1,ISNUMBER($N61),ISNUMBER($H61)),$N61*$H61,0)</f>
        <v/>
      </c>
      <c r="W61" s="23">
        <f>IF(AND($Q61=1,ISNUMBER($N61),ISNUMBER($H61)),$H61,0)</f>
        <v/>
      </c>
      <c r="X61" s="24">
        <f>IF(AND($Q61=1,ISNUMBER($O61),ISNUMBER($H61)),$O61*$H61,0)</f>
        <v/>
      </c>
      <c r="Y61" s="23">
        <f>IF(AND($Q61=1,ISNUMBER($O61),ISNUMBER($H61)),$H61,0)</f>
        <v/>
      </c>
      <c r="Z61" s="23">
        <f>IF($Q61=0,"",IF(COUNTIF($B$5:$B61,$B61)&gt;1,"",MAX(0,MAX($Z$5:$Z60))+1))</f>
        <v/>
      </c>
    </row>
    <row r="62">
      <c r="A62" s="14">
        <f>IFERROR(IF(INDEX('Index Members'!$A$4:$A$403,ROW()-4)=0,"",INDEX('Index Members'!$A$4:$A$403,ROW()-4)),"")</f>
        <v/>
      </c>
      <c r="B62" s="14">
        <f>IF($A62="","",IFERROR(IF(VLOOKUP($A62,'Sector Map'!$A$4:$B$123,2,FALSE)=0,"NO SECTOR",VLOOKUP($A62,'Sector Map'!$A$4:$B$123,2,FALSE)),"NOT IN MAP"))</f>
        <v/>
      </c>
      <c r="C62" s="14">
        <f>IF($A62="","",$A62&amp;TkSuffix)</f>
        <v/>
      </c>
      <c r="D62" s="17">
        <f>IF($C62="","",BDP($C62,FldMcap))</f>
        <v/>
      </c>
      <c r="E62" s="17">
        <f>IF($C62="","",BDP($C62,FldShOut))</f>
        <v/>
      </c>
      <c r="F62" s="18">
        <f>IF($C62="","",BDP($C62,FldPx))</f>
        <v/>
      </c>
      <c r="G62" s="19">
        <f>IFERROR($E62*$F62,"")</f>
        <v/>
      </c>
      <c r="H62" s="20">
        <f>IFERROR(IF(WgtBasis="SEC_CAP",$G62,$D62),"")</f>
        <v/>
      </c>
      <c r="I62" s="18">
        <f>IF($C62="","",BDP($C62,FldEps,"BEST_FPERIOD_OVERRIDE="&amp;FpOvr))</f>
        <v/>
      </c>
      <c r="J62" s="18">
        <f>IF($C62="","",IFERROR(INDEX(BDH($C62,FldEps,DtRevA,DtRevA,"BEST_FPERIOD_OVERRIDE="&amp;FpOvr,"Days=A","Fill=P"),1,1),""))</f>
        <v/>
      </c>
      <c r="K62" s="18">
        <f>IF($C62="","",IFERROR(INDEX(BDH($C62,FldEps,DtRevB,DtRevB,"BEST_FPERIOD_OVERRIDE="&amp;FpOvr,"Days=A","Fill=P"),1,1),""))</f>
        <v/>
      </c>
      <c r="L62" s="21">
        <f>IFERROR(IF($J62&lt;=0,"",$I62/$J62-1),"")</f>
        <v/>
      </c>
      <c r="M62" s="21">
        <f>IFERROR(IF($K62&lt;=0,"",$I62/$K62-1),"")</f>
        <v/>
      </c>
      <c r="N62" s="22">
        <f>IF($C62="","",IFERROR(BDP($C62,FldTRR,"CUST_TRR_START_DT="&amp;TEXT(DtMomA,"yyyymmdd"),"CUST_TRR_END_DT="&amp;TEXT(AsOf,"yyyymmdd"))/100,""))</f>
        <v/>
      </c>
      <c r="O62" s="22">
        <f>IF($C62="","",IFERROR(BDP($C62,FldTRR,"CUST_TRR_START_DT="&amp;TEXT(DtMomB,"yyyymmdd"),"CUST_TRR_END_DT="&amp;TEXT(AsOf,"yyyymmdd"))/100,""))</f>
        <v/>
      </c>
      <c r="P62" s="2">
        <f>IF($A62="","",IF($Q62=0,"sector missing",IF(NOT(ISNUMBER($H62)),"no market cap",IF(COUNT($L62:$O62)=4,"complete","missing "&amp;(4-COUNT($L62:$O62))&amp;" of 4 factors"))))</f>
        <v/>
      </c>
      <c r="Q62" s="23">
        <f>IF(OR($B62="",$B62="NO SECTOR",$B62="NOT IN MAP"),0,1)</f>
        <v/>
      </c>
      <c r="R62" s="24">
        <f>IF(AND($Q62=1,ISNUMBER($L62),ISNUMBER($H62)),$L62*$H62,0)</f>
        <v/>
      </c>
      <c r="S62" s="23">
        <f>IF(AND($Q62=1,ISNUMBER($L62),ISNUMBER($H62)),$H62,0)</f>
        <v/>
      </c>
      <c r="T62" s="24">
        <f>IF(AND($Q62=1,ISNUMBER($M62),ISNUMBER($H62)),$M62*$H62,0)</f>
        <v/>
      </c>
      <c r="U62" s="23">
        <f>IF(AND($Q62=1,ISNUMBER($M62),ISNUMBER($H62)),$H62,0)</f>
        <v/>
      </c>
      <c r="V62" s="24">
        <f>IF(AND($Q62=1,ISNUMBER($N62),ISNUMBER($H62)),$N62*$H62,0)</f>
        <v/>
      </c>
      <c r="W62" s="23">
        <f>IF(AND($Q62=1,ISNUMBER($N62),ISNUMBER($H62)),$H62,0)</f>
        <v/>
      </c>
      <c r="X62" s="24">
        <f>IF(AND($Q62=1,ISNUMBER($O62),ISNUMBER($H62)),$O62*$H62,0)</f>
        <v/>
      </c>
      <c r="Y62" s="23">
        <f>IF(AND($Q62=1,ISNUMBER($O62),ISNUMBER($H62)),$H62,0)</f>
        <v/>
      </c>
      <c r="Z62" s="23">
        <f>IF($Q62=0,"",IF(COUNTIF($B$5:$B62,$B62)&gt;1,"",MAX(0,MAX($Z$5:$Z61))+1))</f>
        <v/>
      </c>
    </row>
    <row r="63">
      <c r="A63" s="14">
        <f>IFERROR(IF(INDEX('Index Members'!$A$4:$A$403,ROW()-4)=0,"",INDEX('Index Members'!$A$4:$A$403,ROW()-4)),"")</f>
        <v/>
      </c>
      <c r="B63" s="14">
        <f>IF($A63="","",IFERROR(IF(VLOOKUP($A63,'Sector Map'!$A$4:$B$123,2,FALSE)=0,"NO SECTOR",VLOOKUP($A63,'Sector Map'!$A$4:$B$123,2,FALSE)),"NOT IN MAP"))</f>
        <v/>
      </c>
      <c r="C63" s="14">
        <f>IF($A63="","",$A63&amp;TkSuffix)</f>
        <v/>
      </c>
      <c r="D63" s="17">
        <f>IF($C63="","",BDP($C63,FldMcap))</f>
        <v/>
      </c>
      <c r="E63" s="17">
        <f>IF($C63="","",BDP($C63,FldShOut))</f>
        <v/>
      </c>
      <c r="F63" s="18">
        <f>IF($C63="","",BDP($C63,FldPx))</f>
        <v/>
      </c>
      <c r="G63" s="19">
        <f>IFERROR($E63*$F63,"")</f>
        <v/>
      </c>
      <c r="H63" s="20">
        <f>IFERROR(IF(WgtBasis="SEC_CAP",$G63,$D63),"")</f>
        <v/>
      </c>
      <c r="I63" s="18">
        <f>IF($C63="","",BDP($C63,FldEps,"BEST_FPERIOD_OVERRIDE="&amp;FpOvr))</f>
        <v/>
      </c>
      <c r="J63" s="18">
        <f>IF($C63="","",IFERROR(INDEX(BDH($C63,FldEps,DtRevA,DtRevA,"BEST_FPERIOD_OVERRIDE="&amp;FpOvr,"Days=A","Fill=P"),1,1),""))</f>
        <v/>
      </c>
      <c r="K63" s="18">
        <f>IF($C63="","",IFERROR(INDEX(BDH($C63,FldEps,DtRevB,DtRevB,"BEST_FPERIOD_OVERRIDE="&amp;FpOvr,"Days=A","Fill=P"),1,1),""))</f>
        <v/>
      </c>
      <c r="L63" s="21">
        <f>IFERROR(IF($J63&lt;=0,"",$I63/$J63-1),"")</f>
        <v/>
      </c>
      <c r="M63" s="21">
        <f>IFERROR(IF($K63&lt;=0,"",$I63/$K63-1),"")</f>
        <v/>
      </c>
      <c r="N63" s="22">
        <f>IF($C63="","",IFERROR(BDP($C63,FldTRR,"CUST_TRR_START_DT="&amp;TEXT(DtMomA,"yyyymmdd"),"CUST_TRR_END_DT="&amp;TEXT(AsOf,"yyyymmdd"))/100,""))</f>
        <v/>
      </c>
      <c r="O63" s="22">
        <f>IF($C63="","",IFERROR(BDP($C63,FldTRR,"CUST_TRR_START_DT="&amp;TEXT(DtMomB,"yyyymmdd"),"CUST_TRR_END_DT="&amp;TEXT(AsOf,"yyyymmdd"))/100,""))</f>
        <v/>
      </c>
      <c r="P63" s="2">
        <f>IF($A63="","",IF($Q63=0,"sector missing",IF(NOT(ISNUMBER($H63)),"no market cap",IF(COUNT($L63:$O63)=4,"complete","missing "&amp;(4-COUNT($L63:$O63))&amp;" of 4 factors"))))</f>
        <v/>
      </c>
      <c r="Q63" s="23">
        <f>IF(OR($B63="",$B63="NO SECTOR",$B63="NOT IN MAP"),0,1)</f>
        <v/>
      </c>
      <c r="R63" s="24">
        <f>IF(AND($Q63=1,ISNUMBER($L63),ISNUMBER($H63)),$L63*$H63,0)</f>
        <v/>
      </c>
      <c r="S63" s="23">
        <f>IF(AND($Q63=1,ISNUMBER($L63),ISNUMBER($H63)),$H63,0)</f>
        <v/>
      </c>
      <c r="T63" s="24">
        <f>IF(AND($Q63=1,ISNUMBER($M63),ISNUMBER($H63)),$M63*$H63,0)</f>
        <v/>
      </c>
      <c r="U63" s="23">
        <f>IF(AND($Q63=1,ISNUMBER($M63),ISNUMBER($H63)),$H63,0)</f>
        <v/>
      </c>
      <c r="V63" s="24">
        <f>IF(AND($Q63=1,ISNUMBER($N63),ISNUMBER($H63)),$N63*$H63,0)</f>
        <v/>
      </c>
      <c r="W63" s="23">
        <f>IF(AND($Q63=1,ISNUMBER($N63),ISNUMBER($H63)),$H63,0)</f>
        <v/>
      </c>
      <c r="X63" s="24">
        <f>IF(AND($Q63=1,ISNUMBER($O63),ISNUMBER($H63)),$O63*$H63,0)</f>
        <v/>
      </c>
      <c r="Y63" s="23">
        <f>IF(AND($Q63=1,ISNUMBER($O63),ISNUMBER($H63)),$H63,0)</f>
        <v/>
      </c>
      <c r="Z63" s="23">
        <f>IF($Q63=0,"",IF(COUNTIF($B$5:$B63,$B63)&gt;1,"",MAX(0,MAX($Z$5:$Z62))+1))</f>
        <v/>
      </c>
    </row>
    <row r="64">
      <c r="A64" s="14">
        <f>IFERROR(IF(INDEX('Index Members'!$A$4:$A$403,ROW()-4)=0,"",INDEX('Index Members'!$A$4:$A$403,ROW()-4)),"")</f>
        <v/>
      </c>
      <c r="B64" s="14">
        <f>IF($A64="","",IFERROR(IF(VLOOKUP($A64,'Sector Map'!$A$4:$B$123,2,FALSE)=0,"NO SECTOR",VLOOKUP($A64,'Sector Map'!$A$4:$B$123,2,FALSE)),"NOT IN MAP"))</f>
        <v/>
      </c>
      <c r="C64" s="14">
        <f>IF($A64="","",$A64&amp;TkSuffix)</f>
        <v/>
      </c>
      <c r="D64" s="17">
        <f>IF($C64="","",BDP($C64,FldMcap))</f>
        <v/>
      </c>
      <c r="E64" s="17">
        <f>IF($C64="","",BDP($C64,FldShOut))</f>
        <v/>
      </c>
      <c r="F64" s="18">
        <f>IF($C64="","",BDP($C64,FldPx))</f>
        <v/>
      </c>
      <c r="G64" s="19">
        <f>IFERROR($E64*$F64,"")</f>
        <v/>
      </c>
      <c r="H64" s="20">
        <f>IFERROR(IF(WgtBasis="SEC_CAP",$G64,$D64),"")</f>
        <v/>
      </c>
      <c r="I64" s="18">
        <f>IF($C64="","",BDP($C64,FldEps,"BEST_FPERIOD_OVERRIDE="&amp;FpOvr))</f>
        <v/>
      </c>
      <c r="J64" s="18">
        <f>IF($C64="","",IFERROR(INDEX(BDH($C64,FldEps,DtRevA,DtRevA,"BEST_FPERIOD_OVERRIDE="&amp;FpOvr,"Days=A","Fill=P"),1,1),""))</f>
        <v/>
      </c>
      <c r="K64" s="18">
        <f>IF($C64="","",IFERROR(INDEX(BDH($C64,FldEps,DtRevB,DtRevB,"BEST_FPERIOD_OVERRIDE="&amp;FpOvr,"Days=A","Fill=P"),1,1),""))</f>
        <v/>
      </c>
      <c r="L64" s="21">
        <f>IFERROR(IF($J64&lt;=0,"",$I64/$J64-1),"")</f>
        <v/>
      </c>
      <c r="M64" s="21">
        <f>IFERROR(IF($K64&lt;=0,"",$I64/$K64-1),"")</f>
        <v/>
      </c>
      <c r="N64" s="22">
        <f>IF($C64="","",IFERROR(BDP($C64,FldTRR,"CUST_TRR_START_DT="&amp;TEXT(DtMomA,"yyyymmdd"),"CUST_TRR_END_DT="&amp;TEXT(AsOf,"yyyymmdd"))/100,""))</f>
        <v/>
      </c>
      <c r="O64" s="22">
        <f>IF($C64="","",IFERROR(BDP($C64,FldTRR,"CUST_TRR_START_DT="&amp;TEXT(DtMomB,"yyyymmdd"),"CUST_TRR_END_DT="&amp;TEXT(AsOf,"yyyymmdd"))/100,""))</f>
        <v/>
      </c>
      <c r="P64" s="2">
        <f>IF($A64="","",IF($Q64=0,"sector missing",IF(NOT(ISNUMBER($H64)),"no market cap",IF(COUNT($L64:$O64)=4,"complete","missing "&amp;(4-COUNT($L64:$O64))&amp;" of 4 factors"))))</f>
        <v/>
      </c>
      <c r="Q64" s="23">
        <f>IF(OR($B64="",$B64="NO SECTOR",$B64="NOT IN MAP"),0,1)</f>
        <v/>
      </c>
      <c r="R64" s="24">
        <f>IF(AND($Q64=1,ISNUMBER($L64),ISNUMBER($H64)),$L64*$H64,0)</f>
        <v/>
      </c>
      <c r="S64" s="23">
        <f>IF(AND($Q64=1,ISNUMBER($L64),ISNUMBER($H64)),$H64,0)</f>
        <v/>
      </c>
      <c r="T64" s="24">
        <f>IF(AND($Q64=1,ISNUMBER($M64),ISNUMBER($H64)),$M64*$H64,0)</f>
        <v/>
      </c>
      <c r="U64" s="23">
        <f>IF(AND($Q64=1,ISNUMBER($M64),ISNUMBER($H64)),$H64,0)</f>
        <v/>
      </c>
      <c r="V64" s="24">
        <f>IF(AND($Q64=1,ISNUMBER($N64),ISNUMBER($H64)),$N64*$H64,0)</f>
        <v/>
      </c>
      <c r="W64" s="23">
        <f>IF(AND($Q64=1,ISNUMBER($N64),ISNUMBER($H64)),$H64,0)</f>
        <v/>
      </c>
      <c r="X64" s="24">
        <f>IF(AND($Q64=1,ISNUMBER($O64),ISNUMBER($H64)),$O64*$H64,0)</f>
        <v/>
      </c>
      <c r="Y64" s="23">
        <f>IF(AND($Q64=1,ISNUMBER($O64),ISNUMBER($H64)),$H64,0)</f>
        <v/>
      </c>
      <c r="Z64" s="23">
        <f>IF($Q64=0,"",IF(COUNTIF($B$5:$B64,$B64)&gt;1,"",MAX(0,MAX($Z$5:$Z63))+1))</f>
        <v/>
      </c>
    </row>
    <row r="65">
      <c r="A65" s="14">
        <f>IFERROR(IF(INDEX('Index Members'!$A$4:$A$403,ROW()-4)=0,"",INDEX('Index Members'!$A$4:$A$403,ROW()-4)),"")</f>
        <v/>
      </c>
      <c r="B65" s="14">
        <f>IF($A65="","",IFERROR(IF(VLOOKUP($A65,'Sector Map'!$A$4:$B$123,2,FALSE)=0,"NO SECTOR",VLOOKUP($A65,'Sector Map'!$A$4:$B$123,2,FALSE)),"NOT IN MAP"))</f>
        <v/>
      </c>
      <c r="C65" s="14">
        <f>IF($A65="","",$A65&amp;TkSuffix)</f>
        <v/>
      </c>
      <c r="D65" s="17">
        <f>IF($C65="","",BDP($C65,FldMcap))</f>
        <v/>
      </c>
      <c r="E65" s="17">
        <f>IF($C65="","",BDP($C65,FldShOut))</f>
        <v/>
      </c>
      <c r="F65" s="18">
        <f>IF($C65="","",BDP($C65,FldPx))</f>
        <v/>
      </c>
      <c r="G65" s="19">
        <f>IFERROR($E65*$F65,"")</f>
        <v/>
      </c>
      <c r="H65" s="20">
        <f>IFERROR(IF(WgtBasis="SEC_CAP",$G65,$D65),"")</f>
        <v/>
      </c>
      <c r="I65" s="18">
        <f>IF($C65="","",BDP($C65,FldEps,"BEST_FPERIOD_OVERRIDE="&amp;FpOvr))</f>
        <v/>
      </c>
      <c r="J65" s="18">
        <f>IF($C65="","",IFERROR(INDEX(BDH($C65,FldEps,DtRevA,DtRevA,"BEST_FPERIOD_OVERRIDE="&amp;FpOvr,"Days=A","Fill=P"),1,1),""))</f>
        <v/>
      </c>
      <c r="K65" s="18">
        <f>IF($C65="","",IFERROR(INDEX(BDH($C65,FldEps,DtRevB,DtRevB,"BEST_FPERIOD_OVERRIDE="&amp;FpOvr,"Days=A","Fill=P"),1,1),""))</f>
        <v/>
      </c>
      <c r="L65" s="21">
        <f>IFERROR(IF($J65&lt;=0,"",$I65/$J65-1),"")</f>
        <v/>
      </c>
      <c r="M65" s="21">
        <f>IFERROR(IF($K65&lt;=0,"",$I65/$K65-1),"")</f>
        <v/>
      </c>
      <c r="N65" s="22">
        <f>IF($C65="","",IFERROR(BDP($C65,FldTRR,"CUST_TRR_START_DT="&amp;TEXT(DtMomA,"yyyymmdd"),"CUST_TRR_END_DT="&amp;TEXT(AsOf,"yyyymmdd"))/100,""))</f>
        <v/>
      </c>
      <c r="O65" s="22">
        <f>IF($C65="","",IFERROR(BDP($C65,FldTRR,"CUST_TRR_START_DT="&amp;TEXT(DtMomB,"yyyymmdd"),"CUST_TRR_END_DT="&amp;TEXT(AsOf,"yyyymmdd"))/100,""))</f>
        <v/>
      </c>
      <c r="P65" s="2">
        <f>IF($A65="","",IF($Q65=0,"sector missing",IF(NOT(ISNUMBER($H65)),"no market cap",IF(COUNT($L65:$O65)=4,"complete","missing "&amp;(4-COUNT($L65:$O65))&amp;" of 4 factors"))))</f>
        <v/>
      </c>
      <c r="Q65" s="23">
        <f>IF(OR($B65="",$B65="NO SECTOR",$B65="NOT IN MAP"),0,1)</f>
        <v/>
      </c>
      <c r="R65" s="24">
        <f>IF(AND($Q65=1,ISNUMBER($L65),ISNUMBER($H65)),$L65*$H65,0)</f>
        <v/>
      </c>
      <c r="S65" s="23">
        <f>IF(AND($Q65=1,ISNUMBER($L65),ISNUMBER($H65)),$H65,0)</f>
        <v/>
      </c>
      <c r="T65" s="24">
        <f>IF(AND($Q65=1,ISNUMBER($M65),ISNUMBER($H65)),$M65*$H65,0)</f>
        <v/>
      </c>
      <c r="U65" s="23">
        <f>IF(AND($Q65=1,ISNUMBER($M65),ISNUMBER($H65)),$H65,0)</f>
        <v/>
      </c>
      <c r="V65" s="24">
        <f>IF(AND($Q65=1,ISNUMBER($N65),ISNUMBER($H65)),$N65*$H65,0)</f>
        <v/>
      </c>
      <c r="W65" s="23">
        <f>IF(AND($Q65=1,ISNUMBER($N65),ISNUMBER($H65)),$H65,0)</f>
        <v/>
      </c>
      <c r="X65" s="24">
        <f>IF(AND($Q65=1,ISNUMBER($O65),ISNUMBER($H65)),$O65*$H65,0)</f>
        <v/>
      </c>
      <c r="Y65" s="23">
        <f>IF(AND($Q65=1,ISNUMBER($O65),ISNUMBER($H65)),$H65,0)</f>
        <v/>
      </c>
      <c r="Z65" s="23">
        <f>IF($Q65=0,"",IF(COUNTIF($B$5:$B65,$B65)&gt;1,"",MAX(0,MAX($Z$5:$Z64))+1))</f>
        <v/>
      </c>
    </row>
    <row r="66">
      <c r="A66" s="14">
        <f>IFERROR(IF(INDEX('Index Members'!$A$4:$A$403,ROW()-4)=0,"",INDEX('Index Members'!$A$4:$A$403,ROW()-4)),"")</f>
        <v/>
      </c>
      <c r="B66" s="14">
        <f>IF($A66="","",IFERROR(IF(VLOOKUP($A66,'Sector Map'!$A$4:$B$123,2,FALSE)=0,"NO SECTOR",VLOOKUP($A66,'Sector Map'!$A$4:$B$123,2,FALSE)),"NOT IN MAP"))</f>
        <v/>
      </c>
      <c r="C66" s="14">
        <f>IF($A66="","",$A66&amp;TkSuffix)</f>
        <v/>
      </c>
      <c r="D66" s="17">
        <f>IF($C66="","",BDP($C66,FldMcap))</f>
        <v/>
      </c>
      <c r="E66" s="17">
        <f>IF($C66="","",BDP($C66,FldShOut))</f>
        <v/>
      </c>
      <c r="F66" s="18">
        <f>IF($C66="","",BDP($C66,FldPx))</f>
        <v/>
      </c>
      <c r="G66" s="19">
        <f>IFERROR($E66*$F66,"")</f>
        <v/>
      </c>
      <c r="H66" s="20">
        <f>IFERROR(IF(WgtBasis="SEC_CAP",$G66,$D66),"")</f>
        <v/>
      </c>
      <c r="I66" s="18">
        <f>IF($C66="","",BDP($C66,FldEps,"BEST_FPERIOD_OVERRIDE="&amp;FpOvr))</f>
        <v/>
      </c>
      <c r="J66" s="18">
        <f>IF($C66="","",IFERROR(INDEX(BDH($C66,FldEps,DtRevA,DtRevA,"BEST_FPERIOD_OVERRIDE="&amp;FpOvr,"Days=A","Fill=P"),1,1),""))</f>
        <v/>
      </c>
      <c r="K66" s="18">
        <f>IF($C66="","",IFERROR(INDEX(BDH($C66,FldEps,DtRevB,DtRevB,"BEST_FPERIOD_OVERRIDE="&amp;FpOvr,"Days=A","Fill=P"),1,1),""))</f>
        <v/>
      </c>
      <c r="L66" s="21">
        <f>IFERROR(IF($J66&lt;=0,"",$I66/$J66-1),"")</f>
        <v/>
      </c>
      <c r="M66" s="21">
        <f>IFERROR(IF($K66&lt;=0,"",$I66/$K66-1),"")</f>
        <v/>
      </c>
      <c r="N66" s="22">
        <f>IF($C66="","",IFERROR(BDP($C66,FldTRR,"CUST_TRR_START_DT="&amp;TEXT(DtMomA,"yyyymmdd"),"CUST_TRR_END_DT="&amp;TEXT(AsOf,"yyyymmdd"))/100,""))</f>
        <v/>
      </c>
      <c r="O66" s="22">
        <f>IF($C66="","",IFERROR(BDP($C66,FldTRR,"CUST_TRR_START_DT="&amp;TEXT(DtMomB,"yyyymmdd"),"CUST_TRR_END_DT="&amp;TEXT(AsOf,"yyyymmdd"))/100,""))</f>
        <v/>
      </c>
      <c r="P66" s="2">
        <f>IF($A66="","",IF($Q66=0,"sector missing",IF(NOT(ISNUMBER($H66)),"no market cap",IF(COUNT($L66:$O66)=4,"complete","missing "&amp;(4-COUNT($L66:$O66))&amp;" of 4 factors"))))</f>
        <v/>
      </c>
      <c r="Q66" s="23">
        <f>IF(OR($B66="",$B66="NO SECTOR",$B66="NOT IN MAP"),0,1)</f>
        <v/>
      </c>
      <c r="R66" s="24">
        <f>IF(AND($Q66=1,ISNUMBER($L66),ISNUMBER($H66)),$L66*$H66,0)</f>
        <v/>
      </c>
      <c r="S66" s="23">
        <f>IF(AND($Q66=1,ISNUMBER($L66),ISNUMBER($H66)),$H66,0)</f>
        <v/>
      </c>
      <c r="T66" s="24">
        <f>IF(AND($Q66=1,ISNUMBER($M66),ISNUMBER($H66)),$M66*$H66,0)</f>
        <v/>
      </c>
      <c r="U66" s="23">
        <f>IF(AND($Q66=1,ISNUMBER($M66),ISNUMBER($H66)),$H66,0)</f>
        <v/>
      </c>
      <c r="V66" s="24">
        <f>IF(AND($Q66=1,ISNUMBER($N66),ISNUMBER($H66)),$N66*$H66,0)</f>
        <v/>
      </c>
      <c r="W66" s="23">
        <f>IF(AND($Q66=1,ISNUMBER($N66),ISNUMBER($H66)),$H66,0)</f>
        <v/>
      </c>
      <c r="X66" s="24">
        <f>IF(AND($Q66=1,ISNUMBER($O66),ISNUMBER($H66)),$O66*$H66,0)</f>
        <v/>
      </c>
      <c r="Y66" s="23">
        <f>IF(AND($Q66=1,ISNUMBER($O66),ISNUMBER($H66)),$H66,0)</f>
        <v/>
      </c>
      <c r="Z66" s="23">
        <f>IF($Q66=0,"",IF(COUNTIF($B$5:$B66,$B66)&gt;1,"",MAX(0,MAX($Z$5:$Z65))+1))</f>
        <v/>
      </c>
    </row>
    <row r="67">
      <c r="A67" s="14">
        <f>IFERROR(IF(INDEX('Index Members'!$A$4:$A$403,ROW()-4)=0,"",INDEX('Index Members'!$A$4:$A$403,ROW()-4)),"")</f>
        <v/>
      </c>
      <c r="B67" s="14">
        <f>IF($A67="","",IFERROR(IF(VLOOKUP($A67,'Sector Map'!$A$4:$B$123,2,FALSE)=0,"NO SECTOR",VLOOKUP($A67,'Sector Map'!$A$4:$B$123,2,FALSE)),"NOT IN MAP"))</f>
        <v/>
      </c>
      <c r="C67" s="14">
        <f>IF($A67="","",$A67&amp;TkSuffix)</f>
        <v/>
      </c>
      <c r="D67" s="17">
        <f>IF($C67="","",BDP($C67,FldMcap))</f>
        <v/>
      </c>
      <c r="E67" s="17">
        <f>IF($C67="","",BDP($C67,FldShOut))</f>
        <v/>
      </c>
      <c r="F67" s="18">
        <f>IF($C67="","",BDP($C67,FldPx))</f>
        <v/>
      </c>
      <c r="G67" s="19">
        <f>IFERROR($E67*$F67,"")</f>
        <v/>
      </c>
      <c r="H67" s="20">
        <f>IFERROR(IF(WgtBasis="SEC_CAP",$G67,$D67),"")</f>
        <v/>
      </c>
      <c r="I67" s="18">
        <f>IF($C67="","",BDP($C67,FldEps,"BEST_FPERIOD_OVERRIDE="&amp;FpOvr))</f>
        <v/>
      </c>
      <c r="J67" s="18">
        <f>IF($C67="","",IFERROR(INDEX(BDH($C67,FldEps,DtRevA,DtRevA,"BEST_FPERIOD_OVERRIDE="&amp;FpOvr,"Days=A","Fill=P"),1,1),""))</f>
        <v/>
      </c>
      <c r="K67" s="18">
        <f>IF($C67="","",IFERROR(INDEX(BDH($C67,FldEps,DtRevB,DtRevB,"BEST_FPERIOD_OVERRIDE="&amp;FpOvr,"Days=A","Fill=P"),1,1),""))</f>
        <v/>
      </c>
      <c r="L67" s="21">
        <f>IFERROR(IF($J67&lt;=0,"",$I67/$J67-1),"")</f>
        <v/>
      </c>
      <c r="M67" s="21">
        <f>IFERROR(IF($K67&lt;=0,"",$I67/$K67-1),"")</f>
        <v/>
      </c>
      <c r="N67" s="22">
        <f>IF($C67="","",IFERROR(BDP($C67,FldTRR,"CUST_TRR_START_DT="&amp;TEXT(DtMomA,"yyyymmdd"),"CUST_TRR_END_DT="&amp;TEXT(AsOf,"yyyymmdd"))/100,""))</f>
        <v/>
      </c>
      <c r="O67" s="22">
        <f>IF($C67="","",IFERROR(BDP($C67,FldTRR,"CUST_TRR_START_DT="&amp;TEXT(DtMomB,"yyyymmdd"),"CUST_TRR_END_DT="&amp;TEXT(AsOf,"yyyymmdd"))/100,""))</f>
        <v/>
      </c>
      <c r="P67" s="2">
        <f>IF($A67="","",IF($Q67=0,"sector missing",IF(NOT(ISNUMBER($H67)),"no market cap",IF(COUNT($L67:$O67)=4,"complete","missing "&amp;(4-COUNT($L67:$O67))&amp;" of 4 factors"))))</f>
        <v/>
      </c>
      <c r="Q67" s="23">
        <f>IF(OR($B67="",$B67="NO SECTOR",$B67="NOT IN MAP"),0,1)</f>
        <v/>
      </c>
      <c r="R67" s="24">
        <f>IF(AND($Q67=1,ISNUMBER($L67),ISNUMBER($H67)),$L67*$H67,0)</f>
        <v/>
      </c>
      <c r="S67" s="23">
        <f>IF(AND($Q67=1,ISNUMBER($L67),ISNUMBER($H67)),$H67,0)</f>
        <v/>
      </c>
      <c r="T67" s="24">
        <f>IF(AND($Q67=1,ISNUMBER($M67),ISNUMBER($H67)),$M67*$H67,0)</f>
        <v/>
      </c>
      <c r="U67" s="23">
        <f>IF(AND($Q67=1,ISNUMBER($M67),ISNUMBER($H67)),$H67,0)</f>
        <v/>
      </c>
      <c r="V67" s="24">
        <f>IF(AND($Q67=1,ISNUMBER($N67),ISNUMBER($H67)),$N67*$H67,0)</f>
        <v/>
      </c>
      <c r="W67" s="23">
        <f>IF(AND($Q67=1,ISNUMBER($N67),ISNUMBER($H67)),$H67,0)</f>
        <v/>
      </c>
      <c r="X67" s="24">
        <f>IF(AND($Q67=1,ISNUMBER($O67),ISNUMBER($H67)),$O67*$H67,0)</f>
        <v/>
      </c>
      <c r="Y67" s="23">
        <f>IF(AND($Q67=1,ISNUMBER($O67),ISNUMBER($H67)),$H67,0)</f>
        <v/>
      </c>
      <c r="Z67" s="23">
        <f>IF($Q67=0,"",IF(COUNTIF($B$5:$B67,$B67)&gt;1,"",MAX(0,MAX($Z$5:$Z66))+1))</f>
        <v/>
      </c>
    </row>
    <row r="68">
      <c r="A68" s="14">
        <f>IFERROR(IF(INDEX('Index Members'!$A$4:$A$403,ROW()-4)=0,"",INDEX('Index Members'!$A$4:$A$403,ROW()-4)),"")</f>
        <v/>
      </c>
      <c r="B68" s="14">
        <f>IF($A68="","",IFERROR(IF(VLOOKUP($A68,'Sector Map'!$A$4:$B$123,2,FALSE)=0,"NO SECTOR",VLOOKUP($A68,'Sector Map'!$A$4:$B$123,2,FALSE)),"NOT IN MAP"))</f>
        <v/>
      </c>
      <c r="C68" s="14">
        <f>IF($A68="","",$A68&amp;TkSuffix)</f>
        <v/>
      </c>
      <c r="D68" s="17">
        <f>IF($C68="","",BDP($C68,FldMcap))</f>
        <v/>
      </c>
      <c r="E68" s="17">
        <f>IF($C68="","",BDP($C68,FldShOut))</f>
        <v/>
      </c>
      <c r="F68" s="18">
        <f>IF($C68="","",BDP($C68,FldPx))</f>
        <v/>
      </c>
      <c r="G68" s="19">
        <f>IFERROR($E68*$F68,"")</f>
        <v/>
      </c>
      <c r="H68" s="20">
        <f>IFERROR(IF(WgtBasis="SEC_CAP",$G68,$D68),"")</f>
        <v/>
      </c>
      <c r="I68" s="18">
        <f>IF($C68="","",BDP($C68,FldEps,"BEST_FPERIOD_OVERRIDE="&amp;FpOvr))</f>
        <v/>
      </c>
      <c r="J68" s="18">
        <f>IF($C68="","",IFERROR(INDEX(BDH($C68,FldEps,DtRevA,DtRevA,"BEST_FPERIOD_OVERRIDE="&amp;FpOvr,"Days=A","Fill=P"),1,1),""))</f>
        <v/>
      </c>
      <c r="K68" s="18">
        <f>IF($C68="","",IFERROR(INDEX(BDH($C68,FldEps,DtRevB,DtRevB,"BEST_FPERIOD_OVERRIDE="&amp;FpOvr,"Days=A","Fill=P"),1,1),""))</f>
        <v/>
      </c>
      <c r="L68" s="21">
        <f>IFERROR(IF($J68&lt;=0,"",$I68/$J68-1),"")</f>
        <v/>
      </c>
      <c r="M68" s="21">
        <f>IFERROR(IF($K68&lt;=0,"",$I68/$K68-1),"")</f>
        <v/>
      </c>
      <c r="N68" s="22">
        <f>IF($C68="","",IFERROR(BDP($C68,FldTRR,"CUST_TRR_START_DT="&amp;TEXT(DtMomA,"yyyymmdd"),"CUST_TRR_END_DT="&amp;TEXT(AsOf,"yyyymmdd"))/100,""))</f>
        <v/>
      </c>
      <c r="O68" s="22">
        <f>IF($C68="","",IFERROR(BDP($C68,FldTRR,"CUST_TRR_START_DT="&amp;TEXT(DtMomB,"yyyymmdd"),"CUST_TRR_END_DT="&amp;TEXT(AsOf,"yyyymmdd"))/100,""))</f>
        <v/>
      </c>
      <c r="P68" s="2">
        <f>IF($A68="","",IF($Q68=0,"sector missing",IF(NOT(ISNUMBER($H68)),"no market cap",IF(COUNT($L68:$O68)=4,"complete","missing "&amp;(4-COUNT($L68:$O68))&amp;" of 4 factors"))))</f>
        <v/>
      </c>
      <c r="Q68" s="23">
        <f>IF(OR($B68="",$B68="NO SECTOR",$B68="NOT IN MAP"),0,1)</f>
        <v/>
      </c>
      <c r="R68" s="24">
        <f>IF(AND($Q68=1,ISNUMBER($L68),ISNUMBER($H68)),$L68*$H68,0)</f>
        <v/>
      </c>
      <c r="S68" s="23">
        <f>IF(AND($Q68=1,ISNUMBER($L68),ISNUMBER($H68)),$H68,0)</f>
        <v/>
      </c>
      <c r="T68" s="24">
        <f>IF(AND($Q68=1,ISNUMBER($M68),ISNUMBER($H68)),$M68*$H68,0)</f>
        <v/>
      </c>
      <c r="U68" s="23">
        <f>IF(AND($Q68=1,ISNUMBER($M68),ISNUMBER($H68)),$H68,0)</f>
        <v/>
      </c>
      <c r="V68" s="24">
        <f>IF(AND($Q68=1,ISNUMBER($N68),ISNUMBER($H68)),$N68*$H68,0)</f>
        <v/>
      </c>
      <c r="W68" s="23">
        <f>IF(AND($Q68=1,ISNUMBER($N68),ISNUMBER($H68)),$H68,0)</f>
        <v/>
      </c>
      <c r="X68" s="24">
        <f>IF(AND($Q68=1,ISNUMBER($O68),ISNUMBER($H68)),$O68*$H68,0)</f>
        <v/>
      </c>
      <c r="Y68" s="23">
        <f>IF(AND($Q68=1,ISNUMBER($O68),ISNUMBER($H68)),$H68,0)</f>
        <v/>
      </c>
      <c r="Z68" s="23">
        <f>IF($Q68=0,"",IF(COUNTIF($B$5:$B68,$B68)&gt;1,"",MAX(0,MAX($Z$5:$Z67))+1))</f>
        <v/>
      </c>
    </row>
    <row r="69">
      <c r="A69" s="14">
        <f>IFERROR(IF(INDEX('Index Members'!$A$4:$A$403,ROW()-4)=0,"",INDEX('Index Members'!$A$4:$A$403,ROW()-4)),"")</f>
        <v/>
      </c>
      <c r="B69" s="14">
        <f>IF($A69="","",IFERROR(IF(VLOOKUP($A69,'Sector Map'!$A$4:$B$123,2,FALSE)=0,"NO SECTOR",VLOOKUP($A69,'Sector Map'!$A$4:$B$123,2,FALSE)),"NOT IN MAP"))</f>
        <v/>
      </c>
      <c r="C69" s="14">
        <f>IF($A69="","",$A69&amp;TkSuffix)</f>
        <v/>
      </c>
      <c r="D69" s="17">
        <f>IF($C69="","",BDP($C69,FldMcap))</f>
        <v/>
      </c>
      <c r="E69" s="17">
        <f>IF($C69="","",BDP($C69,FldShOut))</f>
        <v/>
      </c>
      <c r="F69" s="18">
        <f>IF($C69="","",BDP($C69,FldPx))</f>
        <v/>
      </c>
      <c r="G69" s="19">
        <f>IFERROR($E69*$F69,"")</f>
        <v/>
      </c>
      <c r="H69" s="20">
        <f>IFERROR(IF(WgtBasis="SEC_CAP",$G69,$D69),"")</f>
        <v/>
      </c>
      <c r="I69" s="18">
        <f>IF($C69="","",BDP($C69,FldEps,"BEST_FPERIOD_OVERRIDE="&amp;FpOvr))</f>
        <v/>
      </c>
      <c r="J69" s="18">
        <f>IF($C69="","",IFERROR(INDEX(BDH($C69,FldEps,DtRevA,DtRevA,"BEST_FPERIOD_OVERRIDE="&amp;FpOvr,"Days=A","Fill=P"),1,1),""))</f>
        <v/>
      </c>
      <c r="K69" s="18">
        <f>IF($C69="","",IFERROR(INDEX(BDH($C69,FldEps,DtRevB,DtRevB,"BEST_FPERIOD_OVERRIDE="&amp;FpOvr,"Days=A","Fill=P"),1,1),""))</f>
        <v/>
      </c>
      <c r="L69" s="21">
        <f>IFERROR(IF($J69&lt;=0,"",$I69/$J69-1),"")</f>
        <v/>
      </c>
      <c r="M69" s="21">
        <f>IFERROR(IF($K69&lt;=0,"",$I69/$K69-1),"")</f>
        <v/>
      </c>
      <c r="N69" s="22">
        <f>IF($C69="","",IFERROR(BDP($C69,FldTRR,"CUST_TRR_START_DT="&amp;TEXT(DtMomA,"yyyymmdd"),"CUST_TRR_END_DT="&amp;TEXT(AsOf,"yyyymmdd"))/100,""))</f>
        <v/>
      </c>
      <c r="O69" s="22">
        <f>IF($C69="","",IFERROR(BDP($C69,FldTRR,"CUST_TRR_START_DT="&amp;TEXT(DtMomB,"yyyymmdd"),"CUST_TRR_END_DT="&amp;TEXT(AsOf,"yyyymmdd"))/100,""))</f>
        <v/>
      </c>
      <c r="P69" s="2">
        <f>IF($A69="","",IF($Q69=0,"sector missing",IF(NOT(ISNUMBER($H69)),"no market cap",IF(COUNT($L69:$O69)=4,"complete","missing "&amp;(4-COUNT($L69:$O69))&amp;" of 4 factors"))))</f>
        <v/>
      </c>
      <c r="Q69" s="23">
        <f>IF(OR($B69="",$B69="NO SECTOR",$B69="NOT IN MAP"),0,1)</f>
        <v/>
      </c>
      <c r="R69" s="24">
        <f>IF(AND($Q69=1,ISNUMBER($L69),ISNUMBER($H69)),$L69*$H69,0)</f>
        <v/>
      </c>
      <c r="S69" s="23">
        <f>IF(AND($Q69=1,ISNUMBER($L69),ISNUMBER($H69)),$H69,0)</f>
        <v/>
      </c>
      <c r="T69" s="24">
        <f>IF(AND($Q69=1,ISNUMBER($M69),ISNUMBER($H69)),$M69*$H69,0)</f>
        <v/>
      </c>
      <c r="U69" s="23">
        <f>IF(AND($Q69=1,ISNUMBER($M69),ISNUMBER($H69)),$H69,0)</f>
        <v/>
      </c>
      <c r="V69" s="24">
        <f>IF(AND($Q69=1,ISNUMBER($N69),ISNUMBER($H69)),$N69*$H69,0)</f>
        <v/>
      </c>
      <c r="W69" s="23">
        <f>IF(AND($Q69=1,ISNUMBER($N69),ISNUMBER($H69)),$H69,0)</f>
        <v/>
      </c>
      <c r="X69" s="24">
        <f>IF(AND($Q69=1,ISNUMBER($O69),ISNUMBER($H69)),$O69*$H69,0)</f>
        <v/>
      </c>
      <c r="Y69" s="23">
        <f>IF(AND($Q69=1,ISNUMBER($O69),ISNUMBER($H69)),$H69,0)</f>
        <v/>
      </c>
      <c r="Z69" s="23">
        <f>IF($Q69=0,"",IF(COUNTIF($B$5:$B69,$B69)&gt;1,"",MAX(0,MAX($Z$5:$Z68))+1))</f>
        <v/>
      </c>
    </row>
    <row r="70">
      <c r="A70" s="14">
        <f>IFERROR(IF(INDEX('Index Members'!$A$4:$A$403,ROW()-4)=0,"",INDEX('Index Members'!$A$4:$A$403,ROW()-4)),"")</f>
        <v/>
      </c>
      <c r="B70" s="14">
        <f>IF($A70="","",IFERROR(IF(VLOOKUP($A70,'Sector Map'!$A$4:$B$123,2,FALSE)=0,"NO SECTOR",VLOOKUP($A70,'Sector Map'!$A$4:$B$123,2,FALSE)),"NOT IN MAP"))</f>
        <v/>
      </c>
      <c r="C70" s="14">
        <f>IF($A70="","",$A70&amp;TkSuffix)</f>
        <v/>
      </c>
      <c r="D70" s="17">
        <f>IF($C70="","",BDP($C70,FldMcap))</f>
        <v/>
      </c>
      <c r="E70" s="17">
        <f>IF($C70="","",BDP($C70,FldShOut))</f>
        <v/>
      </c>
      <c r="F70" s="18">
        <f>IF($C70="","",BDP($C70,FldPx))</f>
        <v/>
      </c>
      <c r="G70" s="19">
        <f>IFERROR($E70*$F70,"")</f>
        <v/>
      </c>
      <c r="H70" s="20">
        <f>IFERROR(IF(WgtBasis="SEC_CAP",$G70,$D70),"")</f>
        <v/>
      </c>
      <c r="I70" s="18">
        <f>IF($C70="","",BDP($C70,FldEps,"BEST_FPERIOD_OVERRIDE="&amp;FpOvr))</f>
        <v/>
      </c>
      <c r="J70" s="18">
        <f>IF($C70="","",IFERROR(INDEX(BDH($C70,FldEps,DtRevA,DtRevA,"BEST_FPERIOD_OVERRIDE="&amp;FpOvr,"Days=A","Fill=P"),1,1),""))</f>
        <v/>
      </c>
      <c r="K70" s="18">
        <f>IF($C70="","",IFERROR(INDEX(BDH($C70,FldEps,DtRevB,DtRevB,"BEST_FPERIOD_OVERRIDE="&amp;FpOvr,"Days=A","Fill=P"),1,1),""))</f>
        <v/>
      </c>
      <c r="L70" s="21">
        <f>IFERROR(IF($J70&lt;=0,"",$I70/$J70-1),"")</f>
        <v/>
      </c>
      <c r="M70" s="21">
        <f>IFERROR(IF($K70&lt;=0,"",$I70/$K70-1),"")</f>
        <v/>
      </c>
      <c r="N70" s="22">
        <f>IF($C70="","",IFERROR(BDP($C70,FldTRR,"CUST_TRR_START_DT="&amp;TEXT(DtMomA,"yyyymmdd"),"CUST_TRR_END_DT="&amp;TEXT(AsOf,"yyyymmdd"))/100,""))</f>
        <v/>
      </c>
      <c r="O70" s="22">
        <f>IF($C70="","",IFERROR(BDP($C70,FldTRR,"CUST_TRR_START_DT="&amp;TEXT(DtMomB,"yyyymmdd"),"CUST_TRR_END_DT="&amp;TEXT(AsOf,"yyyymmdd"))/100,""))</f>
        <v/>
      </c>
      <c r="P70" s="2">
        <f>IF($A70="","",IF($Q70=0,"sector missing",IF(NOT(ISNUMBER($H70)),"no market cap",IF(COUNT($L70:$O70)=4,"complete","missing "&amp;(4-COUNT($L70:$O70))&amp;" of 4 factors"))))</f>
        <v/>
      </c>
      <c r="Q70" s="23">
        <f>IF(OR($B70="",$B70="NO SECTOR",$B70="NOT IN MAP"),0,1)</f>
        <v/>
      </c>
      <c r="R70" s="24">
        <f>IF(AND($Q70=1,ISNUMBER($L70),ISNUMBER($H70)),$L70*$H70,0)</f>
        <v/>
      </c>
      <c r="S70" s="23">
        <f>IF(AND($Q70=1,ISNUMBER($L70),ISNUMBER($H70)),$H70,0)</f>
        <v/>
      </c>
      <c r="T70" s="24">
        <f>IF(AND($Q70=1,ISNUMBER($M70),ISNUMBER($H70)),$M70*$H70,0)</f>
        <v/>
      </c>
      <c r="U70" s="23">
        <f>IF(AND($Q70=1,ISNUMBER($M70),ISNUMBER($H70)),$H70,0)</f>
        <v/>
      </c>
      <c r="V70" s="24">
        <f>IF(AND($Q70=1,ISNUMBER($N70),ISNUMBER($H70)),$N70*$H70,0)</f>
        <v/>
      </c>
      <c r="W70" s="23">
        <f>IF(AND($Q70=1,ISNUMBER($N70),ISNUMBER($H70)),$H70,0)</f>
        <v/>
      </c>
      <c r="X70" s="24">
        <f>IF(AND($Q70=1,ISNUMBER($O70),ISNUMBER($H70)),$O70*$H70,0)</f>
        <v/>
      </c>
      <c r="Y70" s="23">
        <f>IF(AND($Q70=1,ISNUMBER($O70),ISNUMBER($H70)),$H70,0)</f>
        <v/>
      </c>
      <c r="Z70" s="23">
        <f>IF($Q70=0,"",IF(COUNTIF($B$5:$B70,$B70)&gt;1,"",MAX(0,MAX($Z$5:$Z69))+1))</f>
        <v/>
      </c>
    </row>
    <row r="71">
      <c r="A71" s="14">
        <f>IFERROR(IF(INDEX('Index Members'!$A$4:$A$403,ROW()-4)=0,"",INDEX('Index Members'!$A$4:$A$403,ROW()-4)),"")</f>
        <v/>
      </c>
      <c r="B71" s="14">
        <f>IF($A71="","",IFERROR(IF(VLOOKUP($A71,'Sector Map'!$A$4:$B$123,2,FALSE)=0,"NO SECTOR",VLOOKUP($A71,'Sector Map'!$A$4:$B$123,2,FALSE)),"NOT IN MAP"))</f>
        <v/>
      </c>
      <c r="C71" s="14">
        <f>IF($A71="","",$A71&amp;TkSuffix)</f>
        <v/>
      </c>
      <c r="D71" s="17">
        <f>IF($C71="","",BDP($C71,FldMcap))</f>
        <v/>
      </c>
      <c r="E71" s="17">
        <f>IF($C71="","",BDP($C71,FldShOut))</f>
        <v/>
      </c>
      <c r="F71" s="18">
        <f>IF($C71="","",BDP($C71,FldPx))</f>
        <v/>
      </c>
      <c r="G71" s="19">
        <f>IFERROR($E71*$F71,"")</f>
        <v/>
      </c>
      <c r="H71" s="20">
        <f>IFERROR(IF(WgtBasis="SEC_CAP",$G71,$D71),"")</f>
        <v/>
      </c>
      <c r="I71" s="18">
        <f>IF($C71="","",BDP($C71,FldEps,"BEST_FPERIOD_OVERRIDE="&amp;FpOvr))</f>
        <v/>
      </c>
      <c r="J71" s="18">
        <f>IF($C71="","",IFERROR(INDEX(BDH($C71,FldEps,DtRevA,DtRevA,"BEST_FPERIOD_OVERRIDE="&amp;FpOvr,"Days=A","Fill=P"),1,1),""))</f>
        <v/>
      </c>
      <c r="K71" s="18">
        <f>IF($C71="","",IFERROR(INDEX(BDH($C71,FldEps,DtRevB,DtRevB,"BEST_FPERIOD_OVERRIDE="&amp;FpOvr,"Days=A","Fill=P"),1,1),""))</f>
        <v/>
      </c>
      <c r="L71" s="21">
        <f>IFERROR(IF($J71&lt;=0,"",$I71/$J71-1),"")</f>
        <v/>
      </c>
      <c r="M71" s="21">
        <f>IFERROR(IF($K71&lt;=0,"",$I71/$K71-1),"")</f>
        <v/>
      </c>
      <c r="N71" s="22">
        <f>IF($C71="","",IFERROR(BDP($C71,FldTRR,"CUST_TRR_START_DT="&amp;TEXT(DtMomA,"yyyymmdd"),"CUST_TRR_END_DT="&amp;TEXT(AsOf,"yyyymmdd"))/100,""))</f>
        <v/>
      </c>
      <c r="O71" s="22">
        <f>IF($C71="","",IFERROR(BDP($C71,FldTRR,"CUST_TRR_START_DT="&amp;TEXT(DtMomB,"yyyymmdd"),"CUST_TRR_END_DT="&amp;TEXT(AsOf,"yyyymmdd"))/100,""))</f>
        <v/>
      </c>
      <c r="P71" s="2">
        <f>IF($A71="","",IF($Q71=0,"sector missing",IF(NOT(ISNUMBER($H71)),"no market cap",IF(COUNT($L71:$O71)=4,"complete","missing "&amp;(4-COUNT($L71:$O71))&amp;" of 4 factors"))))</f>
        <v/>
      </c>
      <c r="Q71" s="23">
        <f>IF(OR($B71="",$B71="NO SECTOR",$B71="NOT IN MAP"),0,1)</f>
        <v/>
      </c>
      <c r="R71" s="24">
        <f>IF(AND($Q71=1,ISNUMBER($L71),ISNUMBER($H71)),$L71*$H71,0)</f>
        <v/>
      </c>
      <c r="S71" s="23">
        <f>IF(AND($Q71=1,ISNUMBER($L71),ISNUMBER($H71)),$H71,0)</f>
        <v/>
      </c>
      <c r="T71" s="24">
        <f>IF(AND($Q71=1,ISNUMBER($M71),ISNUMBER($H71)),$M71*$H71,0)</f>
        <v/>
      </c>
      <c r="U71" s="23">
        <f>IF(AND($Q71=1,ISNUMBER($M71),ISNUMBER($H71)),$H71,0)</f>
        <v/>
      </c>
      <c r="V71" s="24">
        <f>IF(AND($Q71=1,ISNUMBER($N71),ISNUMBER($H71)),$N71*$H71,0)</f>
        <v/>
      </c>
      <c r="W71" s="23">
        <f>IF(AND($Q71=1,ISNUMBER($N71),ISNUMBER($H71)),$H71,0)</f>
        <v/>
      </c>
      <c r="X71" s="24">
        <f>IF(AND($Q71=1,ISNUMBER($O71),ISNUMBER($H71)),$O71*$H71,0)</f>
        <v/>
      </c>
      <c r="Y71" s="23">
        <f>IF(AND($Q71=1,ISNUMBER($O71),ISNUMBER($H71)),$H71,0)</f>
        <v/>
      </c>
      <c r="Z71" s="23">
        <f>IF($Q71=0,"",IF(COUNTIF($B$5:$B71,$B71)&gt;1,"",MAX(0,MAX($Z$5:$Z70))+1))</f>
        <v/>
      </c>
    </row>
    <row r="72">
      <c r="A72" s="14">
        <f>IFERROR(IF(INDEX('Index Members'!$A$4:$A$403,ROW()-4)=0,"",INDEX('Index Members'!$A$4:$A$403,ROW()-4)),"")</f>
        <v/>
      </c>
      <c r="B72" s="14">
        <f>IF($A72="","",IFERROR(IF(VLOOKUP($A72,'Sector Map'!$A$4:$B$123,2,FALSE)=0,"NO SECTOR",VLOOKUP($A72,'Sector Map'!$A$4:$B$123,2,FALSE)),"NOT IN MAP"))</f>
        <v/>
      </c>
      <c r="C72" s="14">
        <f>IF($A72="","",$A72&amp;TkSuffix)</f>
        <v/>
      </c>
      <c r="D72" s="17">
        <f>IF($C72="","",BDP($C72,FldMcap))</f>
        <v/>
      </c>
      <c r="E72" s="17">
        <f>IF($C72="","",BDP($C72,FldShOut))</f>
        <v/>
      </c>
      <c r="F72" s="18">
        <f>IF($C72="","",BDP($C72,FldPx))</f>
        <v/>
      </c>
      <c r="G72" s="19">
        <f>IFERROR($E72*$F72,"")</f>
        <v/>
      </c>
      <c r="H72" s="20">
        <f>IFERROR(IF(WgtBasis="SEC_CAP",$G72,$D72),"")</f>
        <v/>
      </c>
      <c r="I72" s="18">
        <f>IF($C72="","",BDP($C72,FldEps,"BEST_FPERIOD_OVERRIDE="&amp;FpOvr))</f>
        <v/>
      </c>
      <c r="J72" s="18">
        <f>IF($C72="","",IFERROR(INDEX(BDH($C72,FldEps,DtRevA,DtRevA,"BEST_FPERIOD_OVERRIDE="&amp;FpOvr,"Days=A","Fill=P"),1,1),""))</f>
        <v/>
      </c>
      <c r="K72" s="18">
        <f>IF($C72="","",IFERROR(INDEX(BDH($C72,FldEps,DtRevB,DtRevB,"BEST_FPERIOD_OVERRIDE="&amp;FpOvr,"Days=A","Fill=P"),1,1),""))</f>
        <v/>
      </c>
      <c r="L72" s="21">
        <f>IFERROR(IF($J72&lt;=0,"",$I72/$J72-1),"")</f>
        <v/>
      </c>
      <c r="M72" s="21">
        <f>IFERROR(IF($K72&lt;=0,"",$I72/$K72-1),"")</f>
        <v/>
      </c>
      <c r="N72" s="22">
        <f>IF($C72="","",IFERROR(BDP($C72,FldTRR,"CUST_TRR_START_DT="&amp;TEXT(DtMomA,"yyyymmdd"),"CUST_TRR_END_DT="&amp;TEXT(AsOf,"yyyymmdd"))/100,""))</f>
        <v/>
      </c>
      <c r="O72" s="22">
        <f>IF($C72="","",IFERROR(BDP($C72,FldTRR,"CUST_TRR_START_DT="&amp;TEXT(DtMomB,"yyyymmdd"),"CUST_TRR_END_DT="&amp;TEXT(AsOf,"yyyymmdd"))/100,""))</f>
        <v/>
      </c>
      <c r="P72" s="2">
        <f>IF($A72="","",IF($Q72=0,"sector missing",IF(NOT(ISNUMBER($H72)),"no market cap",IF(COUNT($L72:$O72)=4,"complete","missing "&amp;(4-COUNT($L72:$O72))&amp;" of 4 factors"))))</f>
        <v/>
      </c>
      <c r="Q72" s="23">
        <f>IF(OR($B72="",$B72="NO SECTOR",$B72="NOT IN MAP"),0,1)</f>
        <v/>
      </c>
      <c r="R72" s="24">
        <f>IF(AND($Q72=1,ISNUMBER($L72),ISNUMBER($H72)),$L72*$H72,0)</f>
        <v/>
      </c>
      <c r="S72" s="23">
        <f>IF(AND($Q72=1,ISNUMBER($L72),ISNUMBER($H72)),$H72,0)</f>
        <v/>
      </c>
      <c r="T72" s="24">
        <f>IF(AND($Q72=1,ISNUMBER($M72),ISNUMBER($H72)),$M72*$H72,0)</f>
        <v/>
      </c>
      <c r="U72" s="23">
        <f>IF(AND($Q72=1,ISNUMBER($M72),ISNUMBER($H72)),$H72,0)</f>
        <v/>
      </c>
      <c r="V72" s="24">
        <f>IF(AND($Q72=1,ISNUMBER($N72),ISNUMBER($H72)),$N72*$H72,0)</f>
        <v/>
      </c>
      <c r="W72" s="23">
        <f>IF(AND($Q72=1,ISNUMBER($N72),ISNUMBER($H72)),$H72,0)</f>
        <v/>
      </c>
      <c r="X72" s="24">
        <f>IF(AND($Q72=1,ISNUMBER($O72),ISNUMBER($H72)),$O72*$H72,0)</f>
        <v/>
      </c>
      <c r="Y72" s="23">
        <f>IF(AND($Q72=1,ISNUMBER($O72),ISNUMBER($H72)),$H72,0)</f>
        <v/>
      </c>
      <c r="Z72" s="23">
        <f>IF($Q72=0,"",IF(COUNTIF($B$5:$B72,$B72)&gt;1,"",MAX(0,MAX($Z$5:$Z71))+1))</f>
        <v/>
      </c>
    </row>
    <row r="73">
      <c r="A73" s="14">
        <f>IFERROR(IF(INDEX('Index Members'!$A$4:$A$403,ROW()-4)=0,"",INDEX('Index Members'!$A$4:$A$403,ROW()-4)),"")</f>
        <v/>
      </c>
      <c r="B73" s="14">
        <f>IF($A73="","",IFERROR(IF(VLOOKUP($A73,'Sector Map'!$A$4:$B$123,2,FALSE)=0,"NO SECTOR",VLOOKUP($A73,'Sector Map'!$A$4:$B$123,2,FALSE)),"NOT IN MAP"))</f>
        <v/>
      </c>
      <c r="C73" s="14">
        <f>IF($A73="","",$A73&amp;TkSuffix)</f>
        <v/>
      </c>
      <c r="D73" s="17">
        <f>IF($C73="","",BDP($C73,FldMcap))</f>
        <v/>
      </c>
      <c r="E73" s="17">
        <f>IF($C73="","",BDP($C73,FldShOut))</f>
        <v/>
      </c>
      <c r="F73" s="18">
        <f>IF($C73="","",BDP($C73,FldPx))</f>
        <v/>
      </c>
      <c r="G73" s="19">
        <f>IFERROR($E73*$F73,"")</f>
        <v/>
      </c>
      <c r="H73" s="20">
        <f>IFERROR(IF(WgtBasis="SEC_CAP",$G73,$D73),"")</f>
        <v/>
      </c>
      <c r="I73" s="18">
        <f>IF($C73="","",BDP($C73,FldEps,"BEST_FPERIOD_OVERRIDE="&amp;FpOvr))</f>
        <v/>
      </c>
      <c r="J73" s="18">
        <f>IF($C73="","",IFERROR(INDEX(BDH($C73,FldEps,DtRevA,DtRevA,"BEST_FPERIOD_OVERRIDE="&amp;FpOvr,"Days=A","Fill=P"),1,1),""))</f>
        <v/>
      </c>
      <c r="K73" s="18">
        <f>IF($C73="","",IFERROR(INDEX(BDH($C73,FldEps,DtRevB,DtRevB,"BEST_FPERIOD_OVERRIDE="&amp;FpOvr,"Days=A","Fill=P"),1,1),""))</f>
        <v/>
      </c>
      <c r="L73" s="21">
        <f>IFERROR(IF($J73&lt;=0,"",$I73/$J73-1),"")</f>
        <v/>
      </c>
      <c r="M73" s="21">
        <f>IFERROR(IF($K73&lt;=0,"",$I73/$K73-1),"")</f>
        <v/>
      </c>
      <c r="N73" s="22">
        <f>IF($C73="","",IFERROR(BDP($C73,FldTRR,"CUST_TRR_START_DT="&amp;TEXT(DtMomA,"yyyymmdd"),"CUST_TRR_END_DT="&amp;TEXT(AsOf,"yyyymmdd"))/100,""))</f>
        <v/>
      </c>
      <c r="O73" s="22">
        <f>IF($C73="","",IFERROR(BDP($C73,FldTRR,"CUST_TRR_START_DT="&amp;TEXT(DtMomB,"yyyymmdd"),"CUST_TRR_END_DT="&amp;TEXT(AsOf,"yyyymmdd"))/100,""))</f>
        <v/>
      </c>
      <c r="P73" s="2">
        <f>IF($A73="","",IF($Q73=0,"sector missing",IF(NOT(ISNUMBER($H73)),"no market cap",IF(COUNT($L73:$O73)=4,"complete","missing "&amp;(4-COUNT($L73:$O73))&amp;" of 4 factors"))))</f>
        <v/>
      </c>
      <c r="Q73" s="23">
        <f>IF(OR($B73="",$B73="NO SECTOR",$B73="NOT IN MAP"),0,1)</f>
        <v/>
      </c>
      <c r="R73" s="24">
        <f>IF(AND($Q73=1,ISNUMBER($L73),ISNUMBER($H73)),$L73*$H73,0)</f>
        <v/>
      </c>
      <c r="S73" s="23">
        <f>IF(AND($Q73=1,ISNUMBER($L73),ISNUMBER($H73)),$H73,0)</f>
        <v/>
      </c>
      <c r="T73" s="24">
        <f>IF(AND($Q73=1,ISNUMBER($M73),ISNUMBER($H73)),$M73*$H73,0)</f>
        <v/>
      </c>
      <c r="U73" s="23">
        <f>IF(AND($Q73=1,ISNUMBER($M73),ISNUMBER($H73)),$H73,0)</f>
        <v/>
      </c>
      <c r="V73" s="24">
        <f>IF(AND($Q73=1,ISNUMBER($N73),ISNUMBER($H73)),$N73*$H73,0)</f>
        <v/>
      </c>
      <c r="W73" s="23">
        <f>IF(AND($Q73=1,ISNUMBER($N73),ISNUMBER($H73)),$H73,0)</f>
        <v/>
      </c>
      <c r="X73" s="24">
        <f>IF(AND($Q73=1,ISNUMBER($O73),ISNUMBER($H73)),$O73*$H73,0)</f>
        <v/>
      </c>
      <c r="Y73" s="23">
        <f>IF(AND($Q73=1,ISNUMBER($O73),ISNUMBER($H73)),$H73,0)</f>
        <v/>
      </c>
      <c r="Z73" s="23">
        <f>IF($Q73=0,"",IF(COUNTIF($B$5:$B73,$B73)&gt;1,"",MAX(0,MAX($Z$5:$Z72))+1))</f>
        <v/>
      </c>
    </row>
    <row r="74">
      <c r="A74" s="14">
        <f>IFERROR(IF(INDEX('Index Members'!$A$4:$A$403,ROW()-4)=0,"",INDEX('Index Members'!$A$4:$A$403,ROW()-4)),"")</f>
        <v/>
      </c>
      <c r="B74" s="14">
        <f>IF($A74="","",IFERROR(IF(VLOOKUP($A74,'Sector Map'!$A$4:$B$123,2,FALSE)=0,"NO SECTOR",VLOOKUP($A74,'Sector Map'!$A$4:$B$123,2,FALSE)),"NOT IN MAP"))</f>
        <v/>
      </c>
      <c r="C74" s="14">
        <f>IF($A74="","",$A74&amp;TkSuffix)</f>
        <v/>
      </c>
      <c r="D74" s="17">
        <f>IF($C74="","",BDP($C74,FldMcap))</f>
        <v/>
      </c>
      <c r="E74" s="17">
        <f>IF($C74="","",BDP($C74,FldShOut))</f>
        <v/>
      </c>
      <c r="F74" s="18">
        <f>IF($C74="","",BDP($C74,FldPx))</f>
        <v/>
      </c>
      <c r="G74" s="19">
        <f>IFERROR($E74*$F74,"")</f>
        <v/>
      </c>
      <c r="H74" s="20">
        <f>IFERROR(IF(WgtBasis="SEC_CAP",$G74,$D74),"")</f>
        <v/>
      </c>
      <c r="I74" s="18">
        <f>IF($C74="","",BDP($C74,FldEps,"BEST_FPERIOD_OVERRIDE="&amp;FpOvr))</f>
        <v/>
      </c>
      <c r="J74" s="18">
        <f>IF($C74="","",IFERROR(INDEX(BDH($C74,FldEps,DtRevA,DtRevA,"BEST_FPERIOD_OVERRIDE="&amp;FpOvr,"Days=A","Fill=P"),1,1),""))</f>
        <v/>
      </c>
      <c r="K74" s="18">
        <f>IF($C74="","",IFERROR(INDEX(BDH($C74,FldEps,DtRevB,DtRevB,"BEST_FPERIOD_OVERRIDE="&amp;FpOvr,"Days=A","Fill=P"),1,1),""))</f>
        <v/>
      </c>
      <c r="L74" s="21">
        <f>IFERROR(IF($J74&lt;=0,"",$I74/$J74-1),"")</f>
        <v/>
      </c>
      <c r="M74" s="21">
        <f>IFERROR(IF($K74&lt;=0,"",$I74/$K74-1),"")</f>
        <v/>
      </c>
      <c r="N74" s="22">
        <f>IF($C74="","",IFERROR(BDP($C74,FldTRR,"CUST_TRR_START_DT="&amp;TEXT(DtMomA,"yyyymmdd"),"CUST_TRR_END_DT="&amp;TEXT(AsOf,"yyyymmdd"))/100,""))</f>
        <v/>
      </c>
      <c r="O74" s="22">
        <f>IF($C74="","",IFERROR(BDP($C74,FldTRR,"CUST_TRR_START_DT="&amp;TEXT(DtMomB,"yyyymmdd"),"CUST_TRR_END_DT="&amp;TEXT(AsOf,"yyyymmdd"))/100,""))</f>
        <v/>
      </c>
      <c r="P74" s="2">
        <f>IF($A74="","",IF($Q74=0,"sector missing",IF(NOT(ISNUMBER($H74)),"no market cap",IF(COUNT($L74:$O74)=4,"complete","missing "&amp;(4-COUNT($L74:$O74))&amp;" of 4 factors"))))</f>
        <v/>
      </c>
      <c r="Q74" s="23">
        <f>IF(OR($B74="",$B74="NO SECTOR",$B74="NOT IN MAP"),0,1)</f>
        <v/>
      </c>
      <c r="R74" s="24">
        <f>IF(AND($Q74=1,ISNUMBER($L74),ISNUMBER($H74)),$L74*$H74,0)</f>
        <v/>
      </c>
      <c r="S74" s="23">
        <f>IF(AND($Q74=1,ISNUMBER($L74),ISNUMBER($H74)),$H74,0)</f>
        <v/>
      </c>
      <c r="T74" s="24">
        <f>IF(AND($Q74=1,ISNUMBER($M74),ISNUMBER($H74)),$M74*$H74,0)</f>
        <v/>
      </c>
      <c r="U74" s="23">
        <f>IF(AND($Q74=1,ISNUMBER($M74),ISNUMBER($H74)),$H74,0)</f>
        <v/>
      </c>
      <c r="V74" s="24">
        <f>IF(AND($Q74=1,ISNUMBER($N74),ISNUMBER($H74)),$N74*$H74,0)</f>
        <v/>
      </c>
      <c r="W74" s="23">
        <f>IF(AND($Q74=1,ISNUMBER($N74),ISNUMBER($H74)),$H74,0)</f>
        <v/>
      </c>
      <c r="X74" s="24">
        <f>IF(AND($Q74=1,ISNUMBER($O74),ISNUMBER($H74)),$O74*$H74,0)</f>
        <v/>
      </c>
      <c r="Y74" s="23">
        <f>IF(AND($Q74=1,ISNUMBER($O74),ISNUMBER($H74)),$H74,0)</f>
        <v/>
      </c>
      <c r="Z74" s="23">
        <f>IF($Q74=0,"",IF(COUNTIF($B$5:$B74,$B74)&gt;1,"",MAX(0,MAX($Z$5:$Z73))+1))</f>
        <v/>
      </c>
    </row>
    <row r="75">
      <c r="A75" s="14">
        <f>IFERROR(IF(INDEX('Index Members'!$A$4:$A$403,ROW()-4)=0,"",INDEX('Index Members'!$A$4:$A$403,ROW()-4)),"")</f>
        <v/>
      </c>
      <c r="B75" s="14">
        <f>IF($A75="","",IFERROR(IF(VLOOKUP($A75,'Sector Map'!$A$4:$B$123,2,FALSE)=0,"NO SECTOR",VLOOKUP($A75,'Sector Map'!$A$4:$B$123,2,FALSE)),"NOT IN MAP"))</f>
        <v/>
      </c>
      <c r="C75" s="14">
        <f>IF($A75="","",$A75&amp;TkSuffix)</f>
        <v/>
      </c>
      <c r="D75" s="17">
        <f>IF($C75="","",BDP($C75,FldMcap))</f>
        <v/>
      </c>
      <c r="E75" s="17">
        <f>IF($C75="","",BDP($C75,FldShOut))</f>
        <v/>
      </c>
      <c r="F75" s="18">
        <f>IF($C75="","",BDP($C75,FldPx))</f>
        <v/>
      </c>
      <c r="G75" s="19">
        <f>IFERROR($E75*$F75,"")</f>
        <v/>
      </c>
      <c r="H75" s="20">
        <f>IFERROR(IF(WgtBasis="SEC_CAP",$G75,$D75),"")</f>
        <v/>
      </c>
      <c r="I75" s="18">
        <f>IF($C75="","",BDP($C75,FldEps,"BEST_FPERIOD_OVERRIDE="&amp;FpOvr))</f>
        <v/>
      </c>
      <c r="J75" s="18">
        <f>IF($C75="","",IFERROR(INDEX(BDH($C75,FldEps,DtRevA,DtRevA,"BEST_FPERIOD_OVERRIDE="&amp;FpOvr,"Days=A","Fill=P"),1,1),""))</f>
        <v/>
      </c>
      <c r="K75" s="18">
        <f>IF($C75="","",IFERROR(INDEX(BDH($C75,FldEps,DtRevB,DtRevB,"BEST_FPERIOD_OVERRIDE="&amp;FpOvr,"Days=A","Fill=P"),1,1),""))</f>
        <v/>
      </c>
      <c r="L75" s="21">
        <f>IFERROR(IF($J75&lt;=0,"",$I75/$J75-1),"")</f>
        <v/>
      </c>
      <c r="M75" s="21">
        <f>IFERROR(IF($K75&lt;=0,"",$I75/$K75-1),"")</f>
        <v/>
      </c>
      <c r="N75" s="22">
        <f>IF($C75="","",IFERROR(BDP($C75,FldTRR,"CUST_TRR_START_DT="&amp;TEXT(DtMomA,"yyyymmdd"),"CUST_TRR_END_DT="&amp;TEXT(AsOf,"yyyymmdd"))/100,""))</f>
        <v/>
      </c>
      <c r="O75" s="22">
        <f>IF($C75="","",IFERROR(BDP($C75,FldTRR,"CUST_TRR_START_DT="&amp;TEXT(DtMomB,"yyyymmdd"),"CUST_TRR_END_DT="&amp;TEXT(AsOf,"yyyymmdd"))/100,""))</f>
        <v/>
      </c>
      <c r="P75" s="2">
        <f>IF($A75="","",IF($Q75=0,"sector missing",IF(NOT(ISNUMBER($H75)),"no market cap",IF(COUNT($L75:$O75)=4,"complete","missing "&amp;(4-COUNT($L75:$O75))&amp;" of 4 factors"))))</f>
        <v/>
      </c>
      <c r="Q75" s="23">
        <f>IF(OR($B75="",$B75="NO SECTOR",$B75="NOT IN MAP"),0,1)</f>
        <v/>
      </c>
      <c r="R75" s="24">
        <f>IF(AND($Q75=1,ISNUMBER($L75),ISNUMBER($H75)),$L75*$H75,0)</f>
        <v/>
      </c>
      <c r="S75" s="23">
        <f>IF(AND($Q75=1,ISNUMBER($L75),ISNUMBER($H75)),$H75,0)</f>
        <v/>
      </c>
      <c r="T75" s="24">
        <f>IF(AND($Q75=1,ISNUMBER($M75),ISNUMBER($H75)),$M75*$H75,0)</f>
        <v/>
      </c>
      <c r="U75" s="23">
        <f>IF(AND($Q75=1,ISNUMBER($M75),ISNUMBER($H75)),$H75,0)</f>
        <v/>
      </c>
      <c r="V75" s="24">
        <f>IF(AND($Q75=1,ISNUMBER($N75),ISNUMBER($H75)),$N75*$H75,0)</f>
        <v/>
      </c>
      <c r="W75" s="23">
        <f>IF(AND($Q75=1,ISNUMBER($N75),ISNUMBER($H75)),$H75,0)</f>
        <v/>
      </c>
      <c r="X75" s="24">
        <f>IF(AND($Q75=1,ISNUMBER($O75),ISNUMBER($H75)),$O75*$H75,0)</f>
        <v/>
      </c>
      <c r="Y75" s="23">
        <f>IF(AND($Q75=1,ISNUMBER($O75),ISNUMBER($H75)),$H75,0)</f>
        <v/>
      </c>
      <c r="Z75" s="23">
        <f>IF($Q75=0,"",IF(COUNTIF($B$5:$B75,$B75)&gt;1,"",MAX(0,MAX($Z$5:$Z74))+1))</f>
        <v/>
      </c>
    </row>
    <row r="76">
      <c r="A76" s="14">
        <f>IFERROR(IF(INDEX('Index Members'!$A$4:$A$403,ROW()-4)=0,"",INDEX('Index Members'!$A$4:$A$403,ROW()-4)),"")</f>
        <v/>
      </c>
      <c r="B76" s="14">
        <f>IF($A76="","",IFERROR(IF(VLOOKUP($A76,'Sector Map'!$A$4:$B$123,2,FALSE)=0,"NO SECTOR",VLOOKUP($A76,'Sector Map'!$A$4:$B$123,2,FALSE)),"NOT IN MAP"))</f>
        <v/>
      </c>
      <c r="C76" s="14">
        <f>IF($A76="","",$A76&amp;TkSuffix)</f>
        <v/>
      </c>
      <c r="D76" s="17">
        <f>IF($C76="","",BDP($C76,FldMcap))</f>
        <v/>
      </c>
      <c r="E76" s="17">
        <f>IF($C76="","",BDP($C76,FldShOut))</f>
        <v/>
      </c>
      <c r="F76" s="18">
        <f>IF($C76="","",BDP($C76,FldPx))</f>
        <v/>
      </c>
      <c r="G76" s="19">
        <f>IFERROR($E76*$F76,"")</f>
        <v/>
      </c>
      <c r="H76" s="20">
        <f>IFERROR(IF(WgtBasis="SEC_CAP",$G76,$D76),"")</f>
        <v/>
      </c>
      <c r="I76" s="18">
        <f>IF($C76="","",BDP($C76,FldEps,"BEST_FPERIOD_OVERRIDE="&amp;FpOvr))</f>
        <v/>
      </c>
      <c r="J76" s="18">
        <f>IF($C76="","",IFERROR(INDEX(BDH($C76,FldEps,DtRevA,DtRevA,"BEST_FPERIOD_OVERRIDE="&amp;FpOvr,"Days=A","Fill=P"),1,1),""))</f>
        <v/>
      </c>
      <c r="K76" s="18">
        <f>IF($C76="","",IFERROR(INDEX(BDH($C76,FldEps,DtRevB,DtRevB,"BEST_FPERIOD_OVERRIDE="&amp;FpOvr,"Days=A","Fill=P"),1,1),""))</f>
        <v/>
      </c>
      <c r="L76" s="21">
        <f>IFERROR(IF($J76&lt;=0,"",$I76/$J76-1),"")</f>
        <v/>
      </c>
      <c r="M76" s="21">
        <f>IFERROR(IF($K76&lt;=0,"",$I76/$K76-1),"")</f>
        <v/>
      </c>
      <c r="N76" s="22">
        <f>IF($C76="","",IFERROR(BDP($C76,FldTRR,"CUST_TRR_START_DT="&amp;TEXT(DtMomA,"yyyymmdd"),"CUST_TRR_END_DT="&amp;TEXT(AsOf,"yyyymmdd"))/100,""))</f>
        <v/>
      </c>
      <c r="O76" s="22">
        <f>IF($C76="","",IFERROR(BDP($C76,FldTRR,"CUST_TRR_START_DT="&amp;TEXT(DtMomB,"yyyymmdd"),"CUST_TRR_END_DT="&amp;TEXT(AsOf,"yyyymmdd"))/100,""))</f>
        <v/>
      </c>
      <c r="P76" s="2">
        <f>IF($A76="","",IF($Q76=0,"sector missing",IF(NOT(ISNUMBER($H76)),"no market cap",IF(COUNT($L76:$O76)=4,"complete","missing "&amp;(4-COUNT($L76:$O76))&amp;" of 4 factors"))))</f>
        <v/>
      </c>
      <c r="Q76" s="23">
        <f>IF(OR($B76="",$B76="NO SECTOR",$B76="NOT IN MAP"),0,1)</f>
        <v/>
      </c>
      <c r="R76" s="24">
        <f>IF(AND($Q76=1,ISNUMBER($L76),ISNUMBER($H76)),$L76*$H76,0)</f>
        <v/>
      </c>
      <c r="S76" s="23">
        <f>IF(AND($Q76=1,ISNUMBER($L76),ISNUMBER($H76)),$H76,0)</f>
        <v/>
      </c>
      <c r="T76" s="24">
        <f>IF(AND($Q76=1,ISNUMBER($M76),ISNUMBER($H76)),$M76*$H76,0)</f>
        <v/>
      </c>
      <c r="U76" s="23">
        <f>IF(AND($Q76=1,ISNUMBER($M76),ISNUMBER($H76)),$H76,0)</f>
        <v/>
      </c>
      <c r="V76" s="24">
        <f>IF(AND($Q76=1,ISNUMBER($N76),ISNUMBER($H76)),$N76*$H76,0)</f>
        <v/>
      </c>
      <c r="W76" s="23">
        <f>IF(AND($Q76=1,ISNUMBER($N76),ISNUMBER($H76)),$H76,0)</f>
        <v/>
      </c>
      <c r="X76" s="24">
        <f>IF(AND($Q76=1,ISNUMBER($O76),ISNUMBER($H76)),$O76*$H76,0)</f>
        <v/>
      </c>
      <c r="Y76" s="23">
        <f>IF(AND($Q76=1,ISNUMBER($O76),ISNUMBER($H76)),$H76,0)</f>
        <v/>
      </c>
      <c r="Z76" s="23">
        <f>IF($Q76=0,"",IF(COUNTIF($B$5:$B76,$B76)&gt;1,"",MAX(0,MAX($Z$5:$Z75))+1))</f>
        <v/>
      </c>
    </row>
    <row r="77">
      <c r="A77" s="14">
        <f>IFERROR(IF(INDEX('Index Members'!$A$4:$A$403,ROW()-4)=0,"",INDEX('Index Members'!$A$4:$A$403,ROW()-4)),"")</f>
        <v/>
      </c>
      <c r="B77" s="14">
        <f>IF($A77="","",IFERROR(IF(VLOOKUP($A77,'Sector Map'!$A$4:$B$123,2,FALSE)=0,"NO SECTOR",VLOOKUP($A77,'Sector Map'!$A$4:$B$123,2,FALSE)),"NOT IN MAP"))</f>
        <v/>
      </c>
      <c r="C77" s="14">
        <f>IF($A77="","",$A77&amp;TkSuffix)</f>
        <v/>
      </c>
      <c r="D77" s="17">
        <f>IF($C77="","",BDP($C77,FldMcap))</f>
        <v/>
      </c>
      <c r="E77" s="17">
        <f>IF($C77="","",BDP($C77,FldShOut))</f>
        <v/>
      </c>
      <c r="F77" s="18">
        <f>IF($C77="","",BDP($C77,FldPx))</f>
        <v/>
      </c>
      <c r="G77" s="19">
        <f>IFERROR($E77*$F77,"")</f>
        <v/>
      </c>
      <c r="H77" s="20">
        <f>IFERROR(IF(WgtBasis="SEC_CAP",$G77,$D77),"")</f>
        <v/>
      </c>
      <c r="I77" s="18">
        <f>IF($C77="","",BDP($C77,FldEps,"BEST_FPERIOD_OVERRIDE="&amp;FpOvr))</f>
        <v/>
      </c>
      <c r="J77" s="18">
        <f>IF($C77="","",IFERROR(INDEX(BDH($C77,FldEps,DtRevA,DtRevA,"BEST_FPERIOD_OVERRIDE="&amp;FpOvr,"Days=A","Fill=P"),1,1),""))</f>
        <v/>
      </c>
      <c r="K77" s="18">
        <f>IF($C77="","",IFERROR(INDEX(BDH($C77,FldEps,DtRevB,DtRevB,"BEST_FPERIOD_OVERRIDE="&amp;FpOvr,"Days=A","Fill=P"),1,1),""))</f>
        <v/>
      </c>
      <c r="L77" s="21">
        <f>IFERROR(IF($J77&lt;=0,"",$I77/$J77-1),"")</f>
        <v/>
      </c>
      <c r="M77" s="21">
        <f>IFERROR(IF($K77&lt;=0,"",$I77/$K77-1),"")</f>
        <v/>
      </c>
      <c r="N77" s="22">
        <f>IF($C77="","",IFERROR(BDP($C77,FldTRR,"CUST_TRR_START_DT="&amp;TEXT(DtMomA,"yyyymmdd"),"CUST_TRR_END_DT="&amp;TEXT(AsOf,"yyyymmdd"))/100,""))</f>
        <v/>
      </c>
      <c r="O77" s="22">
        <f>IF($C77="","",IFERROR(BDP($C77,FldTRR,"CUST_TRR_START_DT="&amp;TEXT(DtMomB,"yyyymmdd"),"CUST_TRR_END_DT="&amp;TEXT(AsOf,"yyyymmdd"))/100,""))</f>
        <v/>
      </c>
      <c r="P77" s="2">
        <f>IF($A77="","",IF($Q77=0,"sector missing",IF(NOT(ISNUMBER($H77)),"no market cap",IF(COUNT($L77:$O77)=4,"complete","missing "&amp;(4-COUNT($L77:$O77))&amp;" of 4 factors"))))</f>
        <v/>
      </c>
      <c r="Q77" s="23">
        <f>IF(OR($B77="",$B77="NO SECTOR",$B77="NOT IN MAP"),0,1)</f>
        <v/>
      </c>
      <c r="R77" s="24">
        <f>IF(AND($Q77=1,ISNUMBER($L77),ISNUMBER($H77)),$L77*$H77,0)</f>
        <v/>
      </c>
      <c r="S77" s="23">
        <f>IF(AND($Q77=1,ISNUMBER($L77),ISNUMBER($H77)),$H77,0)</f>
        <v/>
      </c>
      <c r="T77" s="24">
        <f>IF(AND($Q77=1,ISNUMBER($M77),ISNUMBER($H77)),$M77*$H77,0)</f>
        <v/>
      </c>
      <c r="U77" s="23">
        <f>IF(AND($Q77=1,ISNUMBER($M77),ISNUMBER($H77)),$H77,0)</f>
        <v/>
      </c>
      <c r="V77" s="24">
        <f>IF(AND($Q77=1,ISNUMBER($N77),ISNUMBER($H77)),$N77*$H77,0)</f>
        <v/>
      </c>
      <c r="W77" s="23">
        <f>IF(AND($Q77=1,ISNUMBER($N77),ISNUMBER($H77)),$H77,0)</f>
        <v/>
      </c>
      <c r="X77" s="24">
        <f>IF(AND($Q77=1,ISNUMBER($O77),ISNUMBER($H77)),$O77*$H77,0)</f>
        <v/>
      </c>
      <c r="Y77" s="23">
        <f>IF(AND($Q77=1,ISNUMBER($O77),ISNUMBER($H77)),$H77,0)</f>
        <v/>
      </c>
      <c r="Z77" s="23">
        <f>IF($Q77=0,"",IF(COUNTIF($B$5:$B77,$B77)&gt;1,"",MAX(0,MAX($Z$5:$Z76))+1))</f>
        <v/>
      </c>
    </row>
    <row r="78">
      <c r="A78" s="14">
        <f>IFERROR(IF(INDEX('Index Members'!$A$4:$A$403,ROW()-4)=0,"",INDEX('Index Members'!$A$4:$A$403,ROW()-4)),"")</f>
        <v/>
      </c>
      <c r="B78" s="14">
        <f>IF($A78="","",IFERROR(IF(VLOOKUP($A78,'Sector Map'!$A$4:$B$123,2,FALSE)=0,"NO SECTOR",VLOOKUP($A78,'Sector Map'!$A$4:$B$123,2,FALSE)),"NOT IN MAP"))</f>
        <v/>
      </c>
      <c r="C78" s="14">
        <f>IF($A78="","",$A78&amp;TkSuffix)</f>
        <v/>
      </c>
      <c r="D78" s="17">
        <f>IF($C78="","",BDP($C78,FldMcap))</f>
        <v/>
      </c>
      <c r="E78" s="17">
        <f>IF($C78="","",BDP($C78,FldShOut))</f>
        <v/>
      </c>
      <c r="F78" s="18">
        <f>IF($C78="","",BDP($C78,FldPx))</f>
        <v/>
      </c>
      <c r="G78" s="19">
        <f>IFERROR($E78*$F78,"")</f>
        <v/>
      </c>
      <c r="H78" s="20">
        <f>IFERROR(IF(WgtBasis="SEC_CAP",$G78,$D78),"")</f>
        <v/>
      </c>
      <c r="I78" s="18">
        <f>IF($C78="","",BDP($C78,FldEps,"BEST_FPERIOD_OVERRIDE="&amp;FpOvr))</f>
        <v/>
      </c>
      <c r="J78" s="18">
        <f>IF($C78="","",IFERROR(INDEX(BDH($C78,FldEps,DtRevA,DtRevA,"BEST_FPERIOD_OVERRIDE="&amp;FpOvr,"Days=A","Fill=P"),1,1),""))</f>
        <v/>
      </c>
      <c r="K78" s="18">
        <f>IF($C78="","",IFERROR(INDEX(BDH($C78,FldEps,DtRevB,DtRevB,"BEST_FPERIOD_OVERRIDE="&amp;FpOvr,"Days=A","Fill=P"),1,1),""))</f>
        <v/>
      </c>
      <c r="L78" s="21">
        <f>IFERROR(IF($J78&lt;=0,"",$I78/$J78-1),"")</f>
        <v/>
      </c>
      <c r="M78" s="21">
        <f>IFERROR(IF($K78&lt;=0,"",$I78/$K78-1),"")</f>
        <v/>
      </c>
      <c r="N78" s="22">
        <f>IF($C78="","",IFERROR(BDP($C78,FldTRR,"CUST_TRR_START_DT="&amp;TEXT(DtMomA,"yyyymmdd"),"CUST_TRR_END_DT="&amp;TEXT(AsOf,"yyyymmdd"))/100,""))</f>
        <v/>
      </c>
      <c r="O78" s="22">
        <f>IF($C78="","",IFERROR(BDP($C78,FldTRR,"CUST_TRR_START_DT="&amp;TEXT(DtMomB,"yyyymmdd"),"CUST_TRR_END_DT="&amp;TEXT(AsOf,"yyyymmdd"))/100,""))</f>
        <v/>
      </c>
      <c r="P78" s="2">
        <f>IF($A78="","",IF($Q78=0,"sector missing",IF(NOT(ISNUMBER($H78)),"no market cap",IF(COUNT($L78:$O78)=4,"complete","missing "&amp;(4-COUNT($L78:$O78))&amp;" of 4 factors"))))</f>
        <v/>
      </c>
      <c r="Q78" s="23">
        <f>IF(OR($B78="",$B78="NO SECTOR",$B78="NOT IN MAP"),0,1)</f>
        <v/>
      </c>
      <c r="R78" s="24">
        <f>IF(AND($Q78=1,ISNUMBER($L78),ISNUMBER($H78)),$L78*$H78,0)</f>
        <v/>
      </c>
      <c r="S78" s="23">
        <f>IF(AND($Q78=1,ISNUMBER($L78),ISNUMBER($H78)),$H78,0)</f>
        <v/>
      </c>
      <c r="T78" s="24">
        <f>IF(AND($Q78=1,ISNUMBER($M78),ISNUMBER($H78)),$M78*$H78,0)</f>
        <v/>
      </c>
      <c r="U78" s="23">
        <f>IF(AND($Q78=1,ISNUMBER($M78),ISNUMBER($H78)),$H78,0)</f>
        <v/>
      </c>
      <c r="V78" s="24">
        <f>IF(AND($Q78=1,ISNUMBER($N78),ISNUMBER($H78)),$N78*$H78,0)</f>
        <v/>
      </c>
      <c r="W78" s="23">
        <f>IF(AND($Q78=1,ISNUMBER($N78),ISNUMBER($H78)),$H78,0)</f>
        <v/>
      </c>
      <c r="X78" s="24">
        <f>IF(AND($Q78=1,ISNUMBER($O78),ISNUMBER($H78)),$O78*$H78,0)</f>
        <v/>
      </c>
      <c r="Y78" s="23">
        <f>IF(AND($Q78=1,ISNUMBER($O78),ISNUMBER($H78)),$H78,0)</f>
        <v/>
      </c>
      <c r="Z78" s="23">
        <f>IF($Q78=0,"",IF(COUNTIF($B$5:$B78,$B78)&gt;1,"",MAX(0,MAX($Z$5:$Z77))+1))</f>
        <v/>
      </c>
    </row>
    <row r="79">
      <c r="A79" s="14">
        <f>IFERROR(IF(INDEX('Index Members'!$A$4:$A$403,ROW()-4)=0,"",INDEX('Index Members'!$A$4:$A$403,ROW()-4)),"")</f>
        <v/>
      </c>
      <c r="B79" s="14">
        <f>IF($A79="","",IFERROR(IF(VLOOKUP($A79,'Sector Map'!$A$4:$B$123,2,FALSE)=0,"NO SECTOR",VLOOKUP($A79,'Sector Map'!$A$4:$B$123,2,FALSE)),"NOT IN MAP"))</f>
        <v/>
      </c>
      <c r="C79" s="14">
        <f>IF($A79="","",$A79&amp;TkSuffix)</f>
        <v/>
      </c>
      <c r="D79" s="17">
        <f>IF($C79="","",BDP($C79,FldMcap))</f>
        <v/>
      </c>
      <c r="E79" s="17">
        <f>IF($C79="","",BDP($C79,FldShOut))</f>
        <v/>
      </c>
      <c r="F79" s="18">
        <f>IF($C79="","",BDP($C79,FldPx))</f>
        <v/>
      </c>
      <c r="G79" s="19">
        <f>IFERROR($E79*$F79,"")</f>
        <v/>
      </c>
      <c r="H79" s="20">
        <f>IFERROR(IF(WgtBasis="SEC_CAP",$G79,$D79),"")</f>
        <v/>
      </c>
      <c r="I79" s="18">
        <f>IF($C79="","",BDP($C79,FldEps,"BEST_FPERIOD_OVERRIDE="&amp;FpOvr))</f>
        <v/>
      </c>
      <c r="J79" s="18">
        <f>IF($C79="","",IFERROR(INDEX(BDH($C79,FldEps,DtRevA,DtRevA,"BEST_FPERIOD_OVERRIDE="&amp;FpOvr,"Days=A","Fill=P"),1,1),""))</f>
        <v/>
      </c>
      <c r="K79" s="18">
        <f>IF($C79="","",IFERROR(INDEX(BDH($C79,FldEps,DtRevB,DtRevB,"BEST_FPERIOD_OVERRIDE="&amp;FpOvr,"Days=A","Fill=P"),1,1),""))</f>
        <v/>
      </c>
      <c r="L79" s="21">
        <f>IFERROR(IF($J79&lt;=0,"",$I79/$J79-1),"")</f>
        <v/>
      </c>
      <c r="M79" s="21">
        <f>IFERROR(IF($K79&lt;=0,"",$I79/$K79-1),"")</f>
        <v/>
      </c>
      <c r="N79" s="22">
        <f>IF($C79="","",IFERROR(BDP($C79,FldTRR,"CUST_TRR_START_DT="&amp;TEXT(DtMomA,"yyyymmdd"),"CUST_TRR_END_DT="&amp;TEXT(AsOf,"yyyymmdd"))/100,""))</f>
        <v/>
      </c>
      <c r="O79" s="22">
        <f>IF($C79="","",IFERROR(BDP($C79,FldTRR,"CUST_TRR_START_DT="&amp;TEXT(DtMomB,"yyyymmdd"),"CUST_TRR_END_DT="&amp;TEXT(AsOf,"yyyymmdd"))/100,""))</f>
        <v/>
      </c>
      <c r="P79" s="2">
        <f>IF($A79="","",IF($Q79=0,"sector missing",IF(NOT(ISNUMBER($H79)),"no market cap",IF(COUNT($L79:$O79)=4,"complete","missing "&amp;(4-COUNT($L79:$O79))&amp;" of 4 factors"))))</f>
        <v/>
      </c>
      <c r="Q79" s="23">
        <f>IF(OR($B79="",$B79="NO SECTOR",$B79="NOT IN MAP"),0,1)</f>
        <v/>
      </c>
      <c r="R79" s="24">
        <f>IF(AND($Q79=1,ISNUMBER($L79),ISNUMBER($H79)),$L79*$H79,0)</f>
        <v/>
      </c>
      <c r="S79" s="23">
        <f>IF(AND($Q79=1,ISNUMBER($L79),ISNUMBER($H79)),$H79,0)</f>
        <v/>
      </c>
      <c r="T79" s="24">
        <f>IF(AND($Q79=1,ISNUMBER($M79),ISNUMBER($H79)),$M79*$H79,0)</f>
        <v/>
      </c>
      <c r="U79" s="23">
        <f>IF(AND($Q79=1,ISNUMBER($M79),ISNUMBER($H79)),$H79,0)</f>
        <v/>
      </c>
      <c r="V79" s="24">
        <f>IF(AND($Q79=1,ISNUMBER($N79),ISNUMBER($H79)),$N79*$H79,0)</f>
        <v/>
      </c>
      <c r="W79" s="23">
        <f>IF(AND($Q79=1,ISNUMBER($N79),ISNUMBER($H79)),$H79,0)</f>
        <v/>
      </c>
      <c r="X79" s="24">
        <f>IF(AND($Q79=1,ISNUMBER($O79),ISNUMBER($H79)),$O79*$H79,0)</f>
        <v/>
      </c>
      <c r="Y79" s="23">
        <f>IF(AND($Q79=1,ISNUMBER($O79),ISNUMBER($H79)),$H79,0)</f>
        <v/>
      </c>
      <c r="Z79" s="23">
        <f>IF($Q79=0,"",IF(COUNTIF($B$5:$B79,$B79)&gt;1,"",MAX(0,MAX($Z$5:$Z78))+1))</f>
        <v/>
      </c>
    </row>
    <row r="80">
      <c r="A80" s="14">
        <f>IFERROR(IF(INDEX('Index Members'!$A$4:$A$403,ROW()-4)=0,"",INDEX('Index Members'!$A$4:$A$403,ROW()-4)),"")</f>
        <v/>
      </c>
      <c r="B80" s="14">
        <f>IF($A80="","",IFERROR(IF(VLOOKUP($A80,'Sector Map'!$A$4:$B$123,2,FALSE)=0,"NO SECTOR",VLOOKUP($A80,'Sector Map'!$A$4:$B$123,2,FALSE)),"NOT IN MAP"))</f>
        <v/>
      </c>
      <c r="C80" s="14">
        <f>IF($A80="","",$A80&amp;TkSuffix)</f>
        <v/>
      </c>
      <c r="D80" s="17">
        <f>IF($C80="","",BDP($C80,FldMcap))</f>
        <v/>
      </c>
      <c r="E80" s="17">
        <f>IF($C80="","",BDP($C80,FldShOut))</f>
        <v/>
      </c>
      <c r="F80" s="18">
        <f>IF($C80="","",BDP($C80,FldPx))</f>
        <v/>
      </c>
      <c r="G80" s="19">
        <f>IFERROR($E80*$F80,"")</f>
        <v/>
      </c>
      <c r="H80" s="20">
        <f>IFERROR(IF(WgtBasis="SEC_CAP",$G80,$D80),"")</f>
        <v/>
      </c>
      <c r="I80" s="18">
        <f>IF($C80="","",BDP($C80,FldEps,"BEST_FPERIOD_OVERRIDE="&amp;FpOvr))</f>
        <v/>
      </c>
      <c r="J80" s="18">
        <f>IF($C80="","",IFERROR(INDEX(BDH($C80,FldEps,DtRevA,DtRevA,"BEST_FPERIOD_OVERRIDE="&amp;FpOvr,"Days=A","Fill=P"),1,1),""))</f>
        <v/>
      </c>
      <c r="K80" s="18">
        <f>IF($C80="","",IFERROR(INDEX(BDH($C80,FldEps,DtRevB,DtRevB,"BEST_FPERIOD_OVERRIDE="&amp;FpOvr,"Days=A","Fill=P"),1,1),""))</f>
        <v/>
      </c>
      <c r="L80" s="21">
        <f>IFERROR(IF($J80&lt;=0,"",$I80/$J80-1),"")</f>
        <v/>
      </c>
      <c r="M80" s="21">
        <f>IFERROR(IF($K80&lt;=0,"",$I80/$K80-1),"")</f>
        <v/>
      </c>
      <c r="N80" s="22">
        <f>IF($C80="","",IFERROR(BDP($C80,FldTRR,"CUST_TRR_START_DT="&amp;TEXT(DtMomA,"yyyymmdd"),"CUST_TRR_END_DT="&amp;TEXT(AsOf,"yyyymmdd"))/100,""))</f>
        <v/>
      </c>
      <c r="O80" s="22">
        <f>IF($C80="","",IFERROR(BDP($C80,FldTRR,"CUST_TRR_START_DT="&amp;TEXT(DtMomB,"yyyymmdd"),"CUST_TRR_END_DT="&amp;TEXT(AsOf,"yyyymmdd"))/100,""))</f>
        <v/>
      </c>
      <c r="P80" s="2">
        <f>IF($A80="","",IF($Q80=0,"sector missing",IF(NOT(ISNUMBER($H80)),"no market cap",IF(COUNT($L80:$O80)=4,"complete","missing "&amp;(4-COUNT($L80:$O80))&amp;" of 4 factors"))))</f>
        <v/>
      </c>
      <c r="Q80" s="23">
        <f>IF(OR($B80="",$B80="NO SECTOR",$B80="NOT IN MAP"),0,1)</f>
        <v/>
      </c>
      <c r="R80" s="24">
        <f>IF(AND($Q80=1,ISNUMBER($L80),ISNUMBER($H80)),$L80*$H80,0)</f>
        <v/>
      </c>
      <c r="S80" s="23">
        <f>IF(AND($Q80=1,ISNUMBER($L80),ISNUMBER($H80)),$H80,0)</f>
        <v/>
      </c>
      <c r="T80" s="24">
        <f>IF(AND($Q80=1,ISNUMBER($M80),ISNUMBER($H80)),$M80*$H80,0)</f>
        <v/>
      </c>
      <c r="U80" s="23">
        <f>IF(AND($Q80=1,ISNUMBER($M80),ISNUMBER($H80)),$H80,0)</f>
        <v/>
      </c>
      <c r="V80" s="24">
        <f>IF(AND($Q80=1,ISNUMBER($N80),ISNUMBER($H80)),$N80*$H80,0)</f>
        <v/>
      </c>
      <c r="W80" s="23">
        <f>IF(AND($Q80=1,ISNUMBER($N80),ISNUMBER($H80)),$H80,0)</f>
        <v/>
      </c>
      <c r="X80" s="24">
        <f>IF(AND($Q80=1,ISNUMBER($O80),ISNUMBER($H80)),$O80*$H80,0)</f>
        <v/>
      </c>
      <c r="Y80" s="23">
        <f>IF(AND($Q80=1,ISNUMBER($O80),ISNUMBER($H80)),$H80,0)</f>
        <v/>
      </c>
      <c r="Z80" s="23">
        <f>IF($Q80=0,"",IF(COUNTIF($B$5:$B80,$B80)&gt;1,"",MAX(0,MAX($Z$5:$Z79))+1))</f>
        <v/>
      </c>
    </row>
    <row r="81">
      <c r="A81" s="14">
        <f>IFERROR(IF(INDEX('Index Members'!$A$4:$A$403,ROW()-4)=0,"",INDEX('Index Members'!$A$4:$A$403,ROW()-4)),"")</f>
        <v/>
      </c>
      <c r="B81" s="14">
        <f>IF($A81="","",IFERROR(IF(VLOOKUP($A81,'Sector Map'!$A$4:$B$123,2,FALSE)=0,"NO SECTOR",VLOOKUP($A81,'Sector Map'!$A$4:$B$123,2,FALSE)),"NOT IN MAP"))</f>
        <v/>
      </c>
      <c r="C81" s="14">
        <f>IF($A81="","",$A81&amp;TkSuffix)</f>
        <v/>
      </c>
      <c r="D81" s="17">
        <f>IF($C81="","",BDP($C81,FldMcap))</f>
        <v/>
      </c>
      <c r="E81" s="17">
        <f>IF($C81="","",BDP($C81,FldShOut))</f>
        <v/>
      </c>
      <c r="F81" s="18">
        <f>IF($C81="","",BDP($C81,FldPx))</f>
        <v/>
      </c>
      <c r="G81" s="19">
        <f>IFERROR($E81*$F81,"")</f>
        <v/>
      </c>
      <c r="H81" s="20">
        <f>IFERROR(IF(WgtBasis="SEC_CAP",$G81,$D81),"")</f>
        <v/>
      </c>
      <c r="I81" s="18">
        <f>IF($C81="","",BDP($C81,FldEps,"BEST_FPERIOD_OVERRIDE="&amp;FpOvr))</f>
        <v/>
      </c>
      <c r="J81" s="18">
        <f>IF($C81="","",IFERROR(INDEX(BDH($C81,FldEps,DtRevA,DtRevA,"BEST_FPERIOD_OVERRIDE="&amp;FpOvr,"Days=A","Fill=P"),1,1),""))</f>
        <v/>
      </c>
      <c r="K81" s="18">
        <f>IF($C81="","",IFERROR(INDEX(BDH($C81,FldEps,DtRevB,DtRevB,"BEST_FPERIOD_OVERRIDE="&amp;FpOvr,"Days=A","Fill=P"),1,1),""))</f>
        <v/>
      </c>
      <c r="L81" s="21">
        <f>IFERROR(IF($J81&lt;=0,"",$I81/$J81-1),"")</f>
        <v/>
      </c>
      <c r="M81" s="21">
        <f>IFERROR(IF($K81&lt;=0,"",$I81/$K81-1),"")</f>
        <v/>
      </c>
      <c r="N81" s="22">
        <f>IF($C81="","",IFERROR(BDP($C81,FldTRR,"CUST_TRR_START_DT="&amp;TEXT(DtMomA,"yyyymmdd"),"CUST_TRR_END_DT="&amp;TEXT(AsOf,"yyyymmdd"))/100,""))</f>
        <v/>
      </c>
      <c r="O81" s="22">
        <f>IF($C81="","",IFERROR(BDP($C81,FldTRR,"CUST_TRR_START_DT="&amp;TEXT(DtMomB,"yyyymmdd"),"CUST_TRR_END_DT="&amp;TEXT(AsOf,"yyyymmdd"))/100,""))</f>
        <v/>
      </c>
      <c r="P81" s="2">
        <f>IF($A81="","",IF($Q81=0,"sector missing",IF(NOT(ISNUMBER($H81)),"no market cap",IF(COUNT($L81:$O81)=4,"complete","missing "&amp;(4-COUNT($L81:$O81))&amp;" of 4 factors"))))</f>
        <v/>
      </c>
      <c r="Q81" s="23">
        <f>IF(OR($B81="",$B81="NO SECTOR",$B81="NOT IN MAP"),0,1)</f>
        <v/>
      </c>
      <c r="R81" s="24">
        <f>IF(AND($Q81=1,ISNUMBER($L81),ISNUMBER($H81)),$L81*$H81,0)</f>
        <v/>
      </c>
      <c r="S81" s="23">
        <f>IF(AND($Q81=1,ISNUMBER($L81),ISNUMBER($H81)),$H81,0)</f>
        <v/>
      </c>
      <c r="T81" s="24">
        <f>IF(AND($Q81=1,ISNUMBER($M81),ISNUMBER($H81)),$M81*$H81,0)</f>
        <v/>
      </c>
      <c r="U81" s="23">
        <f>IF(AND($Q81=1,ISNUMBER($M81),ISNUMBER($H81)),$H81,0)</f>
        <v/>
      </c>
      <c r="V81" s="24">
        <f>IF(AND($Q81=1,ISNUMBER($N81),ISNUMBER($H81)),$N81*$H81,0)</f>
        <v/>
      </c>
      <c r="W81" s="23">
        <f>IF(AND($Q81=1,ISNUMBER($N81),ISNUMBER($H81)),$H81,0)</f>
        <v/>
      </c>
      <c r="X81" s="24">
        <f>IF(AND($Q81=1,ISNUMBER($O81),ISNUMBER($H81)),$O81*$H81,0)</f>
        <v/>
      </c>
      <c r="Y81" s="23">
        <f>IF(AND($Q81=1,ISNUMBER($O81),ISNUMBER($H81)),$H81,0)</f>
        <v/>
      </c>
      <c r="Z81" s="23">
        <f>IF($Q81=0,"",IF(COUNTIF($B$5:$B81,$B81)&gt;1,"",MAX(0,MAX($Z$5:$Z80))+1))</f>
        <v/>
      </c>
    </row>
    <row r="82">
      <c r="A82" s="14">
        <f>IFERROR(IF(INDEX('Index Members'!$A$4:$A$403,ROW()-4)=0,"",INDEX('Index Members'!$A$4:$A$403,ROW()-4)),"")</f>
        <v/>
      </c>
      <c r="B82" s="14">
        <f>IF($A82="","",IFERROR(IF(VLOOKUP($A82,'Sector Map'!$A$4:$B$123,2,FALSE)=0,"NO SECTOR",VLOOKUP($A82,'Sector Map'!$A$4:$B$123,2,FALSE)),"NOT IN MAP"))</f>
        <v/>
      </c>
      <c r="C82" s="14">
        <f>IF($A82="","",$A82&amp;TkSuffix)</f>
        <v/>
      </c>
      <c r="D82" s="17">
        <f>IF($C82="","",BDP($C82,FldMcap))</f>
        <v/>
      </c>
      <c r="E82" s="17">
        <f>IF($C82="","",BDP($C82,FldShOut))</f>
        <v/>
      </c>
      <c r="F82" s="18">
        <f>IF($C82="","",BDP($C82,FldPx))</f>
        <v/>
      </c>
      <c r="G82" s="19">
        <f>IFERROR($E82*$F82,"")</f>
        <v/>
      </c>
      <c r="H82" s="20">
        <f>IFERROR(IF(WgtBasis="SEC_CAP",$G82,$D82),"")</f>
        <v/>
      </c>
      <c r="I82" s="18">
        <f>IF($C82="","",BDP($C82,FldEps,"BEST_FPERIOD_OVERRIDE="&amp;FpOvr))</f>
        <v/>
      </c>
      <c r="J82" s="18">
        <f>IF($C82="","",IFERROR(INDEX(BDH($C82,FldEps,DtRevA,DtRevA,"BEST_FPERIOD_OVERRIDE="&amp;FpOvr,"Days=A","Fill=P"),1,1),""))</f>
        <v/>
      </c>
      <c r="K82" s="18">
        <f>IF($C82="","",IFERROR(INDEX(BDH($C82,FldEps,DtRevB,DtRevB,"BEST_FPERIOD_OVERRIDE="&amp;FpOvr,"Days=A","Fill=P"),1,1),""))</f>
        <v/>
      </c>
      <c r="L82" s="21">
        <f>IFERROR(IF($J82&lt;=0,"",$I82/$J82-1),"")</f>
        <v/>
      </c>
      <c r="M82" s="21">
        <f>IFERROR(IF($K82&lt;=0,"",$I82/$K82-1),"")</f>
        <v/>
      </c>
      <c r="N82" s="22">
        <f>IF($C82="","",IFERROR(BDP($C82,FldTRR,"CUST_TRR_START_DT="&amp;TEXT(DtMomA,"yyyymmdd"),"CUST_TRR_END_DT="&amp;TEXT(AsOf,"yyyymmdd"))/100,""))</f>
        <v/>
      </c>
      <c r="O82" s="22">
        <f>IF($C82="","",IFERROR(BDP($C82,FldTRR,"CUST_TRR_START_DT="&amp;TEXT(DtMomB,"yyyymmdd"),"CUST_TRR_END_DT="&amp;TEXT(AsOf,"yyyymmdd"))/100,""))</f>
        <v/>
      </c>
      <c r="P82" s="2">
        <f>IF($A82="","",IF($Q82=0,"sector missing",IF(NOT(ISNUMBER($H82)),"no market cap",IF(COUNT($L82:$O82)=4,"complete","missing "&amp;(4-COUNT($L82:$O82))&amp;" of 4 factors"))))</f>
        <v/>
      </c>
      <c r="Q82" s="23">
        <f>IF(OR($B82="",$B82="NO SECTOR",$B82="NOT IN MAP"),0,1)</f>
        <v/>
      </c>
      <c r="R82" s="24">
        <f>IF(AND($Q82=1,ISNUMBER($L82),ISNUMBER($H82)),$L82*$H82,0)</f>
        <v/>
      </c>
      <c r="S82" s="23">
        <f>IF(AND($Q82=1,ISNUMBER($L82),ISNUMBER($H82)),$H82,0)</f>
        <v/>
      </c>
      <c r="T82" s="24">
        <f>IF(AND($Q82=1,ISNUMBER($M82),ISNUMBER($H82)),$M82*$H82,0)</f>
        <v/>
      </c>
      <c r="U82" s="23">
        <f>IF(AND($Q82=1,ISNUMBER($M82),ISNUMBER($H82)),$H82,0)</f>
        <v/>
      </c>
      <c r="V82" s="24">
        <f>IF(AND($Q82=1,ISNUMBER($N82),ISNUMBER($H82)),$N82*$H82,0)</f>
        <v/>
      </c>
      <c r="W82" s="23">
        <f>IF(AND($Q82=1,ISNUMBER($N82),ISNUMBER($H82)),$H82,0)</f>
        <v/>
      </c>
      <c r="X82" s="24">
        <f>IF(AND($Q82=1,ISNUMBER($O82),ISNUMBER($H82)),$O82*$H82,0)</f>
        <v/>
      </c>
      <c r="Y82" s="23">
        <f>IF(AND($Q82=1,ISNUMBER($O82),ISNUMBER($H82)),$H82,0)</f>
        <v/>
      </c>
      <c r="Z82" s="23">
        <f>IF($Q82=0,"",IF(COUNTIF($B$5:$B82,$B82)&gt;1,"",MAX(0,MAX($Z$5:$Z81))+1))</f>
        <v/>
      </c>
    </row>
    <row r="83">
      <c r="A83" s="14">
        <f>IFERROR(IF(INDEX('Index Members'!$A$4:$A$403,ROW()-4)=0,"",INDEX('Index Members'!$A$4:$A$403,ROW()-4)),"")</f>
        <v/>
      </c>
      <c r="B83" s="14">
        <f>IF($A83="","",IFERROR(IF(VLOOKUP($A83,'Sector Map'!$A$4:$B$123,2,FALSE)=0,"NO SECTOR",VLOOKUP($A83,'Sector Map'!$A$4:$B$123,2,FALSE)),"NOT IN MAP"))</f>
        <v/>
      </c>
      <c r="C83" s="14">
        <f>IF($A83="","",$A83&amp;TkSuffix)</f>
        <v/>
      </c>
      <c r="D83" s="17">
        <f>IF($C83="","",BDP($C83,FldMcap))</f>
        <v/>
      </c>
      <c r="E83" s="17">
        <f>IF($C83="","",BDP($C83,FldShOut))</f>
        <v/>
      </c>
      <c r="F83" s="18">
        <f>IF($C83="","",BDP($C83,FldPx))</f>
        <v/>
      </c>
      <c r="G83" s="19">
        <f>IFERROR($E83*$F83,"")</f>
        <v/>
      </c>
      <c r="H83" s="20">
        <f>IFERROR(IF(WgtBasis="SEC_CAP",$G83,$D83),"")</f>
        <v/>
      </c>
      <c r="I83" s="18">
        <f>IF($C83="","",BDP($C83,FldEps,"BEST_FPERIOD_OVERRIDE="&amp;FpOvr))</f>
        <v/>
      </c>
      <c r="J83" s="18">
        <f>IF($C83="","",IFERROR(INDEX(BDH($C83,FldEps,DtRevA,DtRevA,"BEST_FPERIOD_OVERRIDE="&amp;FpOvr,"Days=A","Fill=P"),1,1),""))</f>
        <v/>
      </c>
      <c r="K83" s="18">
        <f>IF($C83="","",IFERROR(INDEX(BDH($C83,FldEps,DtRevB,DtRevB,"BEST_FPERIOD_OVERRIDE="&amp;FpOvr,"Days=A","Fill=P"),1,1),""))</f>
        <v/>
      </c>
      <c r="L83" s="21">
        <f>IFERROR(IF($J83&lt;=0,"",$I83/$J83-1),"")</f>
        <v/>
      </c>
      <c r="M83" s="21">
        <f>IFERROR(IF($K83&lt;=0,"",$I83/$K83-1),"")</f>
        <v/>
      </c>
      <c r="N83" s="22">
        <f>IF($C83="","",IFERROR(BDP($C83,FldTRR,"CUST_TRR_START_DT="&amp;TEXT(DtMomA,"yyyymmdd"),"CUST_TRR_END_DT="&amp;TEXT(AsOf,"yyyymmdd"))/100,""))</f>
        <v/>
      </c>
      <c r="O83" s="22">
        <f>IF($C83="","",IFERROR(BDP($C83,FldTRR,"CUST_TRR_START_DT="&amp;TEXT(DtMomB,"yyyymmdd"),"CUST_TRR_END_DT="&amp;TEXT(AsOf,"yyyymmdd"))/100,""))</f>
        <v/>
      </c>
      <c r="P83" s="2">
        <f>IF($A83="","",IF($Q83=0,"sector missing",IF(NOT(ISNUMBER($H83)),"no market cap",IF(COUNT($L83:$O83)=4,"complete","missing "&amp;(4-COUNT($L83:$O83))&amp;" of 4 factors"))))</f>
        <v/>
      </c>
      <c r="Q83" s="23">
        <f>IF(OR($B83="",$B83="NO SECTOR",$B83="NOT IN MAP"),0,1)</f>
        <v/>
      </c>
      <c r="R83" s="24">
        <f>IF(AND($Q83=1,ISNUMBER($L83),ISNUMBER($H83)),$L83*$H83,0)</f>
        <v/>
      </c>
      <c r="S83" s="23">
        <f>IF(AND($Q83=1,ISNUMBER($L83),ISNUMBER($H83)),$H83,0)</f>
        <v/>
      </c>
      <c r="T83" s="24">
        <f>IF(AND($Q83=1,ISNUMBER($M83),ISNUMBER($H83)),$M83*$H83,0)</f>
        <v/>
      </c>
      <c r="U83" s="23">
        <f>IF(AND($Q83=1,ISNUMBER($M83),ISNUMBER($H83)),$H83,0)</f>
        <v/>
      </c>
      <c r="V83" s="24">
        <f>IF(AND($Q83=1,ISNUMBER($N83),ISNUMBER($H83)),$N83*$H83,0)</f>
        <v/>
      </c>
      <c r="W83" s="23">
        <f>IF(AND($Q83=1,ISNUMBER($N83),ISNUMBER($H83)),$H83,0)</f>
        <v/>
      </c>
      <c r="X83" s="24">
        <f>IF(AND($Q83=1,ISNUMBER($O83),ISNUMBER($H83)),$O83*$H83,0)</f>
        <v/>
      </c>
      <c r="Y83" s="23">
        <f>IF(AND($Q83=1,ISNUMBER($O83),ISNUMBER($H83)),$H83,0)</f>
        <v/>
      </c>
      <c r="Z83" s="23">
        <f>IF($Q83=0,"",IF(COUNTIF($B$5:$B83,$B83)&gt;1,"",MAX(0,MAX($Z$5:$Z82))+1))</f>
        <v/>
      </c>
    </row>
    <row r="84">
      <c r="A84" s="14">
        <f>IFERROR(IF(INDEX('Index Members'!$A$4:$A$403,ROW()-4)=0,"",INDEX('Index Members'!$A$4:$A$403,ROW()-4)),"")</f>
        <v/>
      </c>
      <c r="B84" s="14">
        <f>IF($A84="","",IFERROR(IF(VLOOKUP($A84,'Sector Map'!$A$4:$B$123,2,FALSE)=0,"NO SECTOR",VLOOKUP($A84,'Sector Map'!$A$4:$B$123,2,FALSE)),"NOT IN MAP"))</f>
        <v/>
      </c>
      <c r="C84" s="14">
        <f>IF($A84="","",$A84&amp;TkSuffix)</f>
        <v/>
      </c>
      <c r="D84" s="17">
        <f>IF($C84="","",BDP($C84,FldMcap))</f>
        <v/>
      </c>
      <c r="E84" s="17">
        <f>IF($C84="","",BDP($C84,FldShOut))</f>
        <v/>
      </c>
      <c r="F84" s="18">
        <f>IF($C84="","",BDP($C84,FldPx))</f>
        <v/>
      </c>
      <c r="G84" s="19">
        <f>IFERROR($E84*$F84,"")</f>
        <v/>
      </c>
      <c r="H84" s="20">
        <f>IFERROR(IF(WgtBasis="SEC_CAP",$G84,$D84),"")</f>
        <v/>
      </c>
      <c r="I84" s="18">
        <f>IF($C84="","",BDP($C84,FldEps,"BEST_FPERIOD_OVERRIDE="&amp;FpOvr))</f>
        <v/>
      </c>
      <c r="J84" s="18">
        <f>IF($C84="","",IFERROR(INDEX(BDH($C84,FldEps,DtRevA,DtRevA,"BEST_FPERIOD_OVERRIDE="&amp;FpOvr,"Days=A","Fill=P"),1,1),""))</f>
        <v/>
      </c>
      <c r="K84" s="18">
        <f>IF($C84="","",IFERROR(INDEX(BDH($C84,FldEps,DtRevB,DtRevB,"BEST_FPERIOD_OVERRIDE="&amp;FpOvr,"Days=A","Fill=P"),1,1),""))</f>
        <v/>
      </c>
      <c r="L84" s="21">
        <f>IFERROR(IF($J84&lt;=0,"",$I84/$J84-1),"")</f>
        <v/>
      </c>
      <c r="M84" s="21">
        <f>IFERROR(IF($K84&lt;=0,"",$I84/$K84-1),"")</f>
        <v/>
      </c>
      <c r="N84" s="22">
        <f>IF($C84="","",IFERROR(BDP($C84,FldTRR,"CUST_TRR_START_DT="&amp;TEXT(DtMomA,"yyyymmdd"),"CUST_TRR_END_DT="&amp;TEXT(AsOf,"yyyymmdd"))/100,""))</f>
        <v/>
      </c>
      <c r="O84" s="22">
        <f>IF($C84="","",IFERROR(BDP($C84,FldTRR,"CUST_TRR_START_DT="&amp;TEXT(DtMomB,"yyyymmdd"),"CUST_TRR_END_DT="&amp;TEXT(AsOf,"yyyymmdd"))/100,""))</f>
        <v/>
      </c>
      <c r="P84" s="2">
        <f>IF($A84="","",IF($Q84=0,"sector missing",IF(NOT(ISNUMBER($H84)),"no market cap",IF(COUNT($L84:$O84)=4,"complete","missing "&amp;(4-COUNT($L84:$O84))&amp;" of 4 factors"))))</f>
        <v/>
      </c>
      <c r="Q84" s="23">
        <f>IF(OR($B84="",$B84="NO SECTOR",$B84="NOT IN MAP"),0,1)</f>
        <v/>
      </c>
      <c r="R84" s="24">
        <f>IF(AND($Q84=1,ISNUMBER($L84),ISNUMBER($H84)),$L84*$H84,0)</f>
        <v/>
      </c>
      <c r="S84" s="23">
        <f>IF(AND($Q84=1,ISNUMBER($L84),ISNUMBER($H84)),$H84,0)</f>
        <v/>
      </c>
      <c r="T84" s="24">
        <f>IF(AND($Q84=1,ISNUMBER($M84),ISNUMBER($H84)),$M84*$H84,0)</f>
        <v/>
      </c>
      <c r="U84" s="23">
        <f>IF(AND($Q84=1,ISNUMBER($M84),ISNUMBER($H84)),$H84,0)</f>
        <v/>
      </c>
      <c r="V84" s="24">
        <f>IF(AND($Q84=1,ISNUMBER($N84),ISNUMBER($H84)),$N84*$H84,0)</f>
        <v/>
      </c>
      <c r="W84" s="23">
        <f>IF(AND($Q84=1,ISNUMBER($N84),ISNUMBER($H84)),$H84,0)</f>
        <v/>
      </c>
      <c r="X84" s="24">
        <f>IF(AND($Q84=1,ISNUMBER($O84),ISNUMBER($H84)),$O84*$H84,0)</f>
        <v/>
      </c>
      <c r="Y84" s="23">
        <f>IF(AND($Q84=1,ISNUMBER($O84),ISNUMBER($H84)),$H84,0)</f>
        <v/>
      </c>
      <c r="Z84" s="23">
        <f>IF($Q84=0,"",IF(COUNTIF($B$5:$B84,$B84)&gt;1,"",MAX(0,MAX($Z$5:$Z83))+1))</f>
        <v/>
      </c>
    </row>
    <row r="85">
      <c r="A85" s="14">
        <f>IFERROR(IF(INDEX('Index Members'!$A$4:$A$403,ROW()-4)=0,"",INDEX('Index Members'!$A$4:$A$403,ROW()-4)),"")</f>
        <v/>
      </c>
      <c r="B85" s="14">
        <f>IF($A85="","",IFERROR(IF(VLOOKUP($A85,'Sector Map'!$A$4:$B$123,2,FALSE)=0,"NO SECTOR",VLOOKUP($A85,'Sector Map'!$A$4:$B$123,2,FALSE)),"NOT IN MAP"))</f>
        <v/>
      </c>
      <c r="C85" s="14">
        <f>IF($A85="","",$A85&amp;TkSuffix)</f>
        <v/>
      </c>
      <c r="D85" s="17">
        <f>IF($C85="","",BDP($C85,FldMcap))</f>
        <v/>
      </c>
      <c r="E85" s="17">
        <f>IF($C85="","",BDP($C85,FldShOut))</f>
        <v/>
      </c>
      <c r="F85" s="18">
        <f>IF($C85="","",BDP($C85,FldPx))</f>
        <v/>
      </c>
      <c r="G85" s="19">
        <f>IFERROR($E85*$F85,"")</f>
        <v/>
      </c>
      <c r="H85" s="20">
        <f>IFERROR(IF(WgtBasis="SEC_CAP",$G85,$D85),"")</f>
        <v/>
      </c>
      <c r="I85" s="18">
        <f>IF($C85="","",BDP($C85,FldEps,"BEST_FPERIOD_OVERRIDE="&amp;FpOvr))</f>
        <v/>
      </c>
      <c r="J85" s="18">
        <f>IF($C85="","",IFERROR(INDEX(BDH($C85,FldEps,DtRevA,DtRevA,"BEST_FPERIOD_OVERRIDE="&amp;FpOvr,"Days=A","Fill=P"),1,1),""))</f>
        <v/>
      </c>
      <c r="K85" s="18">
        <f>IF($C85="","",IFERROR(INDEX(BDH($C85,FldEps,DtRevB,DtRevB,"BEST_FPERIOD_OVERRIDE="&amp;FpOvr,"Days=A","Fill=P"),1,1),""))</f>
        <v/>
      </c>
      <c r="L85" s="21">
        <f>IFERROR(IF($J85&lt;=0,"",$I85/$J85-1),"")</f>
        <v/>
      </c>
      <c r="M85" s="21">
        <f>IFERROR(IF($K85&lt;=0,"",$I85/$K85-1),"")</f>
        <v/>
      </c>
      <c r="N85" s="22">
        <f>IF($C85="","",IFERROR(BDP($C85,FldTRR,"CUST_TRR_START_DT="&amp;TEXT(DtMomA,"yyyymmdd"),"CUST_TRR_END_DT="&amp;TEXT(AsOf,"yyyymmdd"))/100,""))</f>
        <v/>
      </c>
      <c r="O85" s="22">
        <f>IF($C85="","",IFERROR(BDP($C85,FldTRR,"CUST_TRR_START_DT="&amp;TEXT(DtMomB,"yyyymmdd"),"CUST_TRR_END_DT="&amp;TEXT(AsOf,"yyyymmdd"))/100,""))</f>
        <v/>
      </c>
      <c r="P85" s="2">
        <f>IF($A85="","",IF($Q85=0,"sector missing",IF(NOT(ISNUMBER($H85)),"no market cap",IF(COUNT($L85:$O85)=4,"complete","missing "&amp;(4-COUNT($L85:$O85))&amp;" of 4 factors"))))</f>
        <v/>
      </c>
      <c r="Q85" s="23">
        <f>IF(OR($B85="",$B85="NO SECTOR",$B85="NOT IN MAP"),0,1)</f>
        <v/>
      </c>
      <c r="R85" s="24">
        <f>IF(AND($Q85=1,ISNUMBER($L85),ISNUMBER($H85)),$L85*$H85,0)</f>
        <v/>
      </c>
      <c r="S85" s="23">
        <f>IF(AND($Q85=1,ISNUMBER($L85),ISNUMBER($H85)),$H85,0)</f>
        <v/>
      </c>
      <c r="T85" s="24">
        <f>IF(AND($Q85=1,ISNUMBER($M85),ISNUMBER($H85)),$M85*$H85,0)</f>
        <v/>
      </c>
      <c r="U85" s="23">
        <f>IF(AND($Q85=1,ISNUMBER($M85),ISNUMBER($H85)),$H85,0)</f>
        <v/>
      </c>
      <c r="V85" s="24">
        <f>IF(AND($Q85=1,ISNUMBER($N85),ISNUMBER($H85)),$N85*$H85,0)</f>
        <v/>
      </c>
      <c r="W85" s="23">
        <f>IF(AND($Q85=1,ISNUMBER($N85),ISNUMBER($H85)),$H85,0)</f>
        <v/>
      </c>
      <c r="X85" s="24">
        <f>IF(AND($Q85=1,ISNUMBER($O85),ISNUMBER($H85)),$O85*$H85,0)</f>
        <v/>
      </c>
      <c r="Y85" s="23">
        <f>IF(AND($Q85=1,ISNUMBER($O85),ISNUMBER($H85)),$H85,0)</f>
        <v/>
      </c>
      <c r="Z85" s="23">
        <f>IF($Q85=0,"",IF(COUNTIF($B$5:$B85,$B85)&gt;1,"",MAX(0,MAX($Z$5:$Z84))+1))</f>
        <v/>
      </c>
    </row>
    <row r="86">
      <c r="A86" s="14">
        <f>IFERROR(IF(INDEX('Index Members'!$A$4:$A$403,ROW()-4)=0,"",INDEX('Index Members'!$A$4:$A$403,ROW()-4)),"")</f>
        <v/>
      </c>
      <c r="B86" s="14">
        <f>IF($A86="","",IFERROR(IF(VLOOKUP($A86,'Sector Map'!$A$4:$B$123,2,FALSE)=0,"NO SECTOR",VLOOKUP($A86,'Sector Map'!$A$4:$B$123,2,FALSE)),"NOT IN MAP"))</f>
        <v/>
      </c>
      <c r="C86" s="14">
        <f>IF($A86="","",$A86&amp;TkSuffix)</f>
        <v/>
      </c>
      <c r="D86" s="17">
        <f>IF($C86="","",BDP($C86,FldMcap))</f>
        <v/>
      </c>
      <c r="E86" s="17">
        <f>IF($C86="","",BDP($C86,FldShOut))</f>
        <v/>
      </c>
      <c r="F86" s="18">
        <f>IF($C86="","",BDP($C86,FldPx))</f>
        <v/>
      </c>
      <c r="G86" s="19">
        <f>IFERROR($E86*$F86,"")</f>
        <v/>
      </c>
      <c r="H86" s="20">
        <f>IFERROR(IF(WgtBasis="SEC_CAP",$G86,$D86),"")</f>
        <v/>
      </c>
      <c r="I86" s="18">
        <f>IF($C86="","",BDP($C86,FldEps,"BEST_FPERIOD_OVERRIDE="&amp;FpOvr))</f>
        <v/>
      </c>
      <c r="J86" s="18">
        <f>IF($C86="","",IFERROR(INDEX(BDH($C86,FldEps,DtRevA,DtRevA,"BEST_FPERIOD_OVERRIDE="&amp;FpOvr,"Days=A","Fill=P"),1,1),""))</f>
        <v/>
      </c>
      <c r="K86" s="18">
        <f>IF($C86="","",IFERROR(INDEX(BDH($C86,FldEps,DtRevB,DtRevB,"BEST_FPERIOD_OVERRIDE="&amp;FpOvr,"Days=A","Fill=P"),1,1),""))</f>
        <v/>
      </c>
      <c r="L86" s="21">
        <f>IFERROR(IF($J86&lt;=0,"",$I86/$J86-1),"")</f>
        <v/>
      </c>
      <c r="M86" s="21">
        <f>IFERROR(IF($K86&lt;=0,"",$I86/$K86-1),"")</f>
        <v/>
      </c>
      <c r="N86" s="22">
        <f>IF($C86="","",IFERROR(BDP($C86,FldTRR,"CUST_TRR_START_DT="&amp;TEXT(DtMomA,"yyyymmdd"),"CUST_TRR_END_DT="&amp;TEXT(AsOf,"yyyymmdd"))/100,""))</f>
        <v/>
      </c>
      <c r="O86" s="22">
        <f>IF($C86="","",IFERROR(BDP($C86,FldTRR,"CUST_TRR_START_DT="&amp;TEXT(DtMomB,"yyyymmdd"),"CUST_TRR_END_DT="&amp;TEXT(AsOf,"yyyymmdd"))/100,""))</f>
        <v/>
      </c>
      <c r="P86" s="2">
        <f>IF($A86="","",IF($Q86=0,"sector missing",IF(NOT(ISNUMBER($H86)),"no market cap",IF(COUNT($L86:$O86)=4,"complete","missing "&amp;(4-COUNT($L86:$O86))&amp;" of 4 factors"))))</f>
        <v/>
      </c>
      <c r="Q86" s="23">
        <f>IF(OR($B86="",$B86="NO SECTOR",$B86="NOT IN MAP"),0,1)</f>
        <v/>
      </c>
      <c r="R86" s="24">
        <f>IF(AND($Q86=1,ISNUMBER($L86),ISNUMBER($H86)),$L86*$H86,0)</f>
        <v/>
      </c>
      <c r="S86" s="23">
        <f>IF(AND($Q86=1,ISNUMBER($L86),ISNUMBER($H86)),$H86,0)</f>
        <v/>
      </c>
      <c r="T86" s="24">
        <f>IF(AND($Q86=1,ISNUMBER($M86),ISNUMBER($H86)),$M86*$H86,0)</f>
        <v/>
      </c>
      <c r="U86" s="23">
        <f>IF(AND($Q86=1,ISNUMBER($M86),ISNUMBER($H86)),$H86,0)</f>
        <v/>
      </c>
      <c r="V86" s="24">
        <f>IF(AND($Q86=1,ISNUMBER($N86),ISNUMBER($H86)),$N86*$H86,0)</f>
        <v/>
      </c>
      <c r="W86" s="23">
        <f>IF(AND($Q86=1,ISNUMBER($N86),ISNUMBER($H86)),$H86,0)</f>
        <v/>
      </c>
      <c r="X86" s="24">
        <f>IF(AND($Q86=1,ISNUMBER($O86),ISNUMBER($H86)),$O86*$H86,0)</f>
        <v/>
      </c>
      <c r="Y86" s="23">
        <f>IF(AND($Q86=1,ISNUMBER($O86),ISNUMBER($H86)),$H86,0)</f>
        <v/>
      </c>
      <c r="Z86" s="23">
        <f>IF($Q86=0,"",IF(COUNTIF($B$5:$B86,$B86)&gt;1,"",MAX(0,MAX($Z$5:$Z85))+1))</f>
        <v/>
      </c>
    </row>
    <row r="87">
      <c r="A87" s="14">
        <f>IFERROR(IF(INDEX('Index Members'!$A$4:$A$403,ROW()-4)=0,"",INDEX('Index Members'!$A$4:$A$403,ROW()-4)),"")</f>
        <v/>
      </c>
      <c r="B87" s="14">
        <f>IF($A87="","",IFERROR(IF(VLOOKUP($A87,'Sector Map'!$A$4:$B$123,2,FALSE)=0,"NO SECTOR",VLOOKUP($A87,'Sector Map'!$A$4:$B$123,2,FALSE)),"NOT IN MAP"))</f>
        <v/>
      </c>
      <c r="C87" s="14">
        <f>IF($A87="","",$A87&amp;TkSuffix)</f>
        <v/>
      </c>
      <c r="D87" s="17">
        <f>IF($C87="","",BDP($C87,FldMcap))</f>
        <v/>
      </c>
      <c r="E87" s="17">
        <f>IF($C87="","",BDP($C87,FldShOut))</f>
        <v/>
      </c>
      <c r="F87" s="18">
        <f>IF($C87="","",BDP($C87,FldPx))</f>
        <v/>
      </c>
      <c r="G87" s="19">
        <f>IFERROR($E87*$F87,"")</f>
        <v/>
      </c>
      <c r="H87" s="20">
        <f>IFERROR(IF(WgtBasis="SEC_CAP",$G87,$D87),"")</f>
        <v/>
      </c>
      <c r="I87" s="18">
        <f>IF($C87="","",BDP($C87,FldEps,"BEST_FPERIOD_OVERRIDE="&amp;FpOvr))</f>
        <v/>
      </c>
      <c r="J87" s="18">
        <f>IF($C87="","",IFERROR(INDEX(BDH($C87,FldEps,DtRevA,DtRevA,"BEST_FPERIOD_OVERRIDE="&amp;FpOvr,"Days=A","Fill=P"),1,1),""))</f>
        <v/>
      </c>
      <c r="K87" s="18">
        <f>IF($C87="","",IFERROR(INDEX(BDH($C87,FldEps,DtRevB,DtRevB,"BEST_FPERIOD_OVERRIDE="&amp;FpOvr,"Days=A","Fill=P"),1,1),""))</f>
        <v/>
      </c>
      <c r="L87" s="21">
        <f>IFERROR(IF($J87&lt;=0,"",$I87/$J87-1),"")</f>
        <v/>
      </c>
      <c r="M87" s="21">
        <f>IFERROR(IF($K87&lt;=0,"",$I87/$K87-1),"")</f>
        <v/>
      </c>
      <c r="N87" s="22">
        <f>IF($C87="","",IFERROR(BDP($C87,FldTRR,"CUST_TRR_START_DT="&amp;TEXT(DtMomA,"yyyymmdd"),"CUST_TRR_END_DT="&amp;TEXT(AsOf,"yyyymmdd"))/100,""))</f>
        <v/>
      </c>
      <c r="O87" s="22">
        <f>IF($C87="","",IFERROR(BDP($C87,FldTRR,"CUST_TRR_START_DT="&amp;TEXT(DtMomB,"yyyymmdd"),"CUST_TRR_END_DT="&amp;TEXT(AsOf,"yyyymmdd"))/100,""))</f>
        <v/>
      </c>
      <c r="P87" s="2">
        <f>IF($A87="","",IF($Q87=0,"sector missing",IF(NOT(ISNUMBER($H87)),"no market cap",IF(COUNT($L87:$O87)=4,"complete","missing "&amp;(4-COUNT($L87:$O87))&amp;" of 4 factors"))))</f>
        <v/>
      </c>
      <c r="Q87" s="23">
        <f>IF(OR($B87="",$B87="NO SECTOR",$B87="NOT IN MAP"),0,1)</f>
        <v/>
      </c>
      <c r="R87" s="24">
        <f>IF(AND($Q87=1,ISNUMBER($L87),ISNUMBER($H87)),$L87*$H87,0)</f>
        <v/>
      </c>
      <c r="S87" s="23">
        <f>IF(AND($Q87=1,ISNUMBER($L87),ISNUMBER($H87)),$H87,0)</f>
        <v/>
      </c>
      <c r="T87" s="24">
        <f>IF(AND($Q87=1,ISNUMBER($M87),ISNUMBER($H87)),$M87*$H87,0)</f>
        <v/>
      </c>
      <c r="U87" s="23">
        <f>IF(AND($Q87=1,ISNUMBER($M87),ISNUMBER($H87)),$H87,0)</f>
        <v/>
      </c>
      <c r="V87" s="24">
        <f>IF(AND($Q87=1,ISNUMBER($N87),ISNUMBER($H87)),$N87*$H87,0)</f>
        <v/>
      </c>
      <c r="W87" s="23">
        <f>IF(AND($Q87=1,ISNUMBER($N87),ISNUMBER($H87)),$H87,0)</f>
        <v/>
      </c>
      <c r="X87" s="24">
        <f>IF(AND($Q87=1,ISNUMBER($O87),ISNUMBER($H87)),$O87*$H87,0)</f>
        <v/>
      </c>
      <c r="Y87" s="23">
        <f>IF(AND($Q87=1,ISNUMBER($O87),ISNUMBER($H87)),$H87,0)</f>
        <v/>
      </c>
      <c r="Z87" s="23">
        <f>IF($Q87=0,"",IF(COUNTIF($B$5:$B87,$B87)&gt;1,"",MAX(0,MAX($Z$5:$Z86))+1))</f>
        <v/>
      </c>
    </row>
    <row r="88">
      <c r="A88" s="14">
        <f>IFERROR(IF(INDEX('Index Members'!$A$4:$A$403,ROW()-4)=0,"",INDEX('Index Members'!$A$4:$A$403,ROW()-4)),"")</f>
        <v/>
      </c>
      <c r="B88" s="14">
        <f>IF($A88="","",IFERROR(IF(VLOOKUP($A88,'Sector Map'!$A$4:$B$123,2,FALSE)=0,"NO SECTOR",VLOOKUP($A88,'Sector Map'!$A$4:$B$123,2,FALSE)),"NOT IN MAP"))</f>
        <v/>
      </c>
      <c r="C88" s="14">
        <f>IF($A88="","",$A88&amp;TkSuffix)</f>
        <v/>
      </c>
      <c r="D88" s="17">
        <f>IF($C88="","",BDP($C88,FldMcap))</f>
        <v/>
      </c>
      <c r="E88" s="17">
        <f>IF($C88="","",BDP($C88,FldShOut))</f>
        <v/>
      </c>
      <c r="F88" s="18">
        <f>IF($C88="","",BDP($C88,FldPx))</f>
        <v/>
      </c>
      <c r="G88" s="19">
        <f>IFERROR($E88*$F88,"")</f>
        <v/>
      </c>
      <c r="H88" s="20">
        <f>IFERROR(IF(WgtBasis="SEC_CAP",$G88,$D88),"")</f>
        <v/>
      </c>
      <c r="I88" s="18">
        <f>IF($C88="","",BDP($C88,FldEps,"BEST_FPERIOD_OVERRIDE="&amp;FpOvr))</f>
        <v/>
      </c>
      <c r="J88" s="18">
        <f>IF($C88="","",IFERROR(INDEX(BDH($C88,FldEps,DtRevA,DtRevA,"BEST_FPERIOD_OVERRIDE="&amp;FpOvr,"Days=A","Fill=P"),1,1),""))</f>
        <v/>
      </c>
      <c r="K88" s="18">
        <f>IF($C88="","",IFERROR(INDEX(BDH($C88,FldEps,DtRevB,DtRevB,"BEST_FPERIOD_OVERRIDE="&amp;FpOvr,"Days=A","Fill=P"),1,1),""))</f>
        <v/>
      </c>
      <c r="L88" s="21">
        <f>IFERROR(IF($J88&lt;=0,"",$I88/$J88-1),"")</f>
        <v/>
      </c>
      <c r="M88" s="21">
        <f>IFERROR(IF($K88&lt;=0,"",$I88/$K88-1),"")</f>
        <v/>
      </c>
      <c r="N88" s="22">
        <f>IF($C88="","",IFERROR(BDP($C88,FldTRR,"CUST_TRR_START_DT="&amp;TEXT(DtMomA,"yyyymmdd"),"CUST_TRR_END_DT="&amp;TEXT(AsOf,"yyyymmdd"))/100,""))</f>
        <v/>
      </c>
      <c r="O88" s="22">
        <f>IF($C88="","",IFERROR(BDP($C88,FldTRR,"CUST_TRR_START_DT="&amp;TEXT(DtMomB,"yyyymmdd"),"CUST_TRR_END_DT="&amp;TEXT(AsOf,"yyyymmdd"))/100,""))</f>
        <v/>
      </c>
      <c r="P88" s="2">
        <f>IF($A88="","",IF($Q88=0,"sector missing",IF(NOT(ISNUMBER($H88)),"no market cap",IF(COUNT($L88:$O88)=4,"complete","missing "&amp;(4-COUNT($L88:$O88))&amp;" of 4 factors"))))</f>
        <v/>
      </c>
      <c r="Q88" s="23">
        <f>IF(OR($B88="",$B88="NO SECTOR",$B88="NOT IN MAP"),0,1)</f>
        <v/>
      </c>
      <c r="R88" s="24">
        <f>IF(AND($Q88=1,ISNUMBER($L88),ISNUMBER($H88)),$L88*$H88,0)</f>
        <v/>
      </c>
      <c r="S88" s="23">
        <f>IF(AND($Q88=1,ISNUMBER($L88),ISNUMBER($H88)),$H88,0)</f>
        <v/>
      </c>
      <c r="T88" s="24">
        <f>IF(AND($Q88=1,ISNUMBER($M88),ISNUMBER($H88)),$M88*$H88,0)</f>
        <v/>
      </c>
      <c r="U88" s="23">
        <f>IF(AND($Q88=1,ISNUMBER($M88),ISNUMBER($H88)),$H88,0)</f>
        <v/>
      </c>
      <c r="V88" s="24">
        <f>IF(AND($Q88=1,ISNUMBER($N88),ISNUMBER($H88)),$N88*$H88,0)</f>
        <v/>
      </c>
      <c r="W88" s="23">
        <f>IF(AND($Q88=1,ISNUMBER($N88),ISNUMBER($H88)),$H88,0)</f>
        <v/>
      </c>
      <c r="X88" s="24">
        <f>IF(AND($Q88=1,ISNUMBER($O88),ISNUMBER($H88)),$O88*$H88,0)</f>
        <v/>
      </c>
      <c r="Y88" s="23">
        <f>IF(AND($Q88=1,ISNUMBER($O88),ISNUMBER($H88)),$H88,0)</f>
        <v/>
      </c>
      <c r="Z88" s="23">
        <f>IF($Q88=0,"",IF(COUNTIF($B$5:$B88,$B88)&gt;1,"",MAX(0,MAX($Z$5:$Z87))+1))</f>
        <v/>
      </c>
    </row>
    <row r="89">
      <c r="A89" s="14">
        <f>IFERROR(IF(INDEX('Index Members'!$A$4:$A$403,ROW()-4)=0,"",INDEX('Index Members'!$A$4:$A$403,ROW()-4)),"")</f>
        <v/>
      </c>
      <c r="B89" s="14">
        <f>IF($A89="","",IFERROR(IF(VLOOKUP($A89,'Sector Map'!$A$4:$B$123,2,FALSE)=0,"NO SECTOR",VLOOKUP($A89,'Sector Map'!$A$4:$B$123,2,FALSE)),"NOT IN MAP"))</f>
        <v/>
      </c>
      <c r="C89" s="14">
        <f>IF($A89="","",$A89&amp;TkSuffix)</f>
        <v/>
      </c>
      <c r="D89" s="17">
        <f>IF($C89="","",BDP($C89,FldMcap))</f>
        <v/>
      </c>
      <c r="E89" s="17">
        <f>IF($C89="","",BDP($C89,FldShOut))</f>
        <v/>
      </c>
      <c r="F89" s="18">
        <f>IF($C89="","",BDP($C89,FldPx))</f>
        <v/>
      </c>
      <c r="G89" s="19">
        <f>IFERROR($E89*$F89,"")</f>
        <v/>
      </c>
      <c r="H89" s="20">
        <f>IFERROR(IF(WgtBasis="SEC_CAP",$G89,$D89),"")</f>
        <v/>
      </c>
      <c r="I89" s="18">
        <f>IF($C89="","",BDP($C89,FldEps,"BEST_FPERIOD_OVERRIDE="&amp;FpOvr))</f>
        <v/>
      </c>
      <c r="J89" s="18">
        <f>IF($C89="","",IFERROR(INDEX(BDH($C89,FldEps,DtRevA,DtRevA,"BEST_FPERIOD_OVERRIDE="&amp;FpOvr,"Days=A","Fill=P"),1,1),""))</f>
        <v/>
      </c>
      <c r="K89" s="18">
        <f>IF($C89="","",IFERROR(INDEX(BDH($C89,FldEps,DtRevB,DtRevB,"BEST_FPERIOD_OVERRIDE="&amp;FpOvr,"Days=A","Fill=P"),1,1),""))</f>
        <v/>
      </c>
      <c r="L89" s="21">
        <f>IFERROR(IF($J89&lt;=0,"",$I89/$J89-1),"")</f>
        <v/>
      </c>
      <c r="M89" s="21">
        <f>IFERROR(IF($K89&lt;=0,"",$I89/$K89-1),"")</f>
        <v/>
      </c>
      <c r="N89" s="22">
        <f>IF($C89="","",IFERROR(BDP($C89,FldTRR,"CUST_TRR_START_DT="&amp;TEXT(DtMomA,"yyyymmdd"),"CUST_TRR_END_DT="&amp;TEXT(AsOf,"yyyymmdd"))/100,""))</f>
        <v/>
      </c>
      <c r="O89" s="22">
        <f>IF($C89="","",IFERROR(BDP($C89,FldTRR,"CUST_TRR_START_DT="&amp;TEXT(DtMomB,"yyyymmdd"),"CUST_TRR_END_DT="&amp;TEXT(AsOf,"yyyymmdd"))/100,""))</f>
        <v/>
      </c>
      <c r="P89" s="2">
        <f>IF($A89="","",IF($Q89=0,"sector missing",IF(NOT(ISNUMBER($H89)),"no market cap",IF(COUNT($L89:$O89)=4,"complete","missing "&amp;(4-COUNT($L89:$O89))&amp;" of 4 factors"))))</f>
        <v/>
      </c>
      <c r="Q89" s="23">
        <f>IF(OR($B89="",$B89="NO SECTOR",$B89="NOT IN MAP"),0,1)</f>
        <v/>
      </c>
      <c r="R89" s="24">
        <f>IF(AND($Q89=1,ISNUMBER($L89),ISNUMBER($H89)),$L89*$H89,0)</f>
        <v/>
      </c>
      <c r="S89" s="23">
        <f>IF(AND($Q89=1,ISNUMBER($L89),ISNUMBER($H89)),$H89,0)</f>
        <v/>
      </c>
      <c r="T89" s="24">
        <f>IF(AND($Q89=1,ISNUMBER($M89),ISNUMBER($H89)),$M89*$H89,0)</f>
        <v/>
      </c>
      <c r="U89" s="23">
        <f>IF(AND($Q89=1,ISNUMBER($M89),ISNUMBER($H89)),$H89,0)</f>
        <v/>
      </c>
      <c r="V89" s="24">
        <f>IF(AND($Q89=1,ISNUMBER($N89),ISNUMBER($H89)),$N89*$H89,0)</f>
        <v/>
      </c>
      <c r="W89" s="23">
        <f>IF(AND($Q89=1,ISNUMBER($N89),ISNUMBER($H89)),$H89,0)</f>
        <v/>
      </c>
      <c r="X89" s="24">
        <f>IF(AND($Q89=1,ISNUMBER($O89),ISNUMBER($H89)),$O89*$H89,0)</f>
        <v/>
      </c>
      <c r="Y89" s="23">
        <f>IF(AND($Q89=1,ISNUMBER($O89),ISNUMBER($H89)),$H89,0)</f>
        <v/>
      </c>
      <c r="Z89" s="23">
        <f>IF($Q89=0,"",IF(COUNTIF($B$5:$B89,$B89)&gt;1,"",MAX(0,MAX($Z$5:$Z88))+1))</f>
        <v/>
      </c>
    </row>
    <row r="90">
      <c r="A90" s="14">
        <f>IFERROR(IF(INDEX('Index Members'!$A$4:$A$403,ROW()-4)=0,"",INDEX('Index Members'!$A$4:$A$403,ROW()-4)),"")</f>
        <v/>
      </c>
      <c r="B90" s="14">
        <f>IF($A90="","",IFERROR(IF(VLOOKUP($A90,'Sector Map'!$A$4:$B$123,2,FALSE)=0,"NO SECTOR",VLOOKUP($A90,'Sector Map'!$A$4:$B$123,2,FALSE)),"NOT IN MAP"))</f>
        <v/>
      </c>
      <c r="C90" s="14">
        <f>IF($A90="","",$A90&amp;TkSuffix)</f>
        <v/>
      </c>
      <c r="D90" s="17">
        <f>IF($C90="","",BDP($C90,FldMcap))</f>
        <v/>
      </c>
      <c r="E90" s="17">
        <f>IF($C90="","",BDP($C90,FldShOut))</f>
        <v/>
      </c>
      <c r="F90" s="18">
        <f>IF($C90="","",BDP($C90,FldPx))</f>
        <v/>
      </c>
      <c r="G90" s="19">
        <f>IFERROR($E90*$F90,"")</f>
        <v/>
      </c>
      <c r="H90" s="20">
        <f>IFERROR(IF(WgtBasis="SEC_CAP",$G90,$D90),"")</f>
        <v/>
      </c>
      <c r="I90" s="18">
        <f>IF($C90="","",BDP($C90,FldEps,"BEST_FPERIOD_OVERRIDE="&amp;FpOvr))</f>
        <v/>
      </c>
      <c r="J90" s="18">
        <f>IF($C90="","",IFERROR(INDEX(BDH($C90,FldEps,DtRevA,DtRevA,"BEST_FPERIOD_OVERRIDE="&amp;FpOvr,"Days=A","Fill=P"),1,1),""))</f>
        <v/>
      </c>
      <c r="K90" s="18">
        <f>IF($C90="","",IFERROR(INDEX(BDH($C90,FldEps,DtRevB,DtRevB,"BEST_FPERIOD_OVERRIDE="&amp;FpOvr,"Days=A","Fill=P"),1,1),""))</f>
        <v/>
      </c>
      <c r="L90" s="21">
        <f>IFERROR(IF($J90&lt;=0,"",$I90/$J90-1),"")</f>
        <v/>
      </c>
      <c r="M90" s="21">
        <f>IFERROR(IF($K90&lt;=0,"",$I90/$K90-1),"")</f>
        <v/>
      </c>
      <c r="N90" s="22">
        <f>IF($C90="","",IFERROR(BDP($C90,FldTRR,"CUST_TRR_START_DT="&amp;TEXT(DtMomA,"yyyymmdd"),"CUST_TRR_END_DT="&amp;TEXT(AsOf,"yyyymmdd"))/100,""))</f>
        <v/>
      </c>
      <c r="O90" s="22">
        <f>IF($C90="","",IFERROR(BDP($C90,FldTRR,"CUST_TRR_START_DT="&amp;TEXT(DtMomB,"yyyymmdd"),"CUST_TRR_END_DT="&amp;TEXT(AsOf,"yyyymmdd"))/100,""))</f>
        <v/>
      </c>
      <c r="P90" s="2">
        <f>IF($A90="","",IF($Q90=0,"sector missing",IF(NOT(ISNUMBER($H90)),"no market cap",IF(COUNT($L90:$O90)=4,"complete","missing "&amp;(4-COUNT($L90:$O90))&amp;" of 4 factors"))))</f>
        <v/>
      </c>
      <c r="Q90" s="23">
        <f>IF(OR($B90="",$B90="NO SECTOR",$B90="NOT IN MAP"),0,1)</f>
        <v/>
      </c>
      <c r="R90" s="24">
        <f>IF(AND($Q90=1,ISNUMBER($L90),ISNUMBER($H90)),$L90*$H90,0)</f>
        <v/>
      </c>
      <c r="S90" s="23">
        <f>IF(AND($Q90=1,ISNUMBER($L90),ISNUMBER($H90)),$H90,0)</f>
        <v/>
      </c>
      <c r="T90" s="24">
        <f>IF(AND($Q90=1,ISNUMBER($M90),ISNUMBER($H90)),$M90*$H90,0)</f>
        <v/>
      </c>
      <c r="U90" s="23">
        <f>IF(AND($Q90=1,ISNUMBER($M90),ISNUMBER($H90)),$H90,0)</f>
        <v/>
      </c>
      <c r="V90" s="24">
        <f>IF(AND($Q90=1,ISNUMBER($N90),ISNUMBER($H90)),$N90*$H90,0)</f>
        <v/>
      </c>
      <c r="W90" s="23">
        <f>IF(AND($Q90=1,ISNUMBER($N90),ISNUMBER($H90)),$H90,0)</f>
        <v/>
      </c>
      <c r="X90" s="24">
        <f>IF(AND($Q90=1,ISNUMBER($O90),ISNUMBER($H90)),$O90*$H90,0)</f>
        <v/>
      </c>
      <c r="Y90" s="23">
        <f>IF(AND($Q90=1,ISNUMBER($O90),ISNUMBER($H90)),$H90,0)</f>
        <v/>
      </c>
      <c r="Z90" s="23">
        <f>IF($Q90=0,"",IF(COUNTIF($B$5:$B90,$B90)&gt;1,"",MAX(0,MAX($Z$5:$Z89))+1))</f>
        <v/>
      </c>
    </row>
    <row r="91">
      <c r="A91" s="14">
        <f>IFERROR(IF(INDEX('Index Members'!$A$4:$A$403,ROW()-4)=0,"",INDEX('Index Members'!$A$4:$A$403,ROW()-4)),"")</f>
        <v/>
      </c>
      <c r="B91" s="14">
        <f>IF($A91="","",IFERROR(IF(VLOOKUP($A91,'Sector Map'!$A$4:$B$123,2,FALSE)=0,"NO SECTOR",VLOOKUP($A91,'Sector Map'!$A$4:$B$123,2,FALSE)),"NOT IN MAP"))</f>
        <v/>
      </c>
      <c r="C91" s="14">
        <f>IF($A91="","",$A91&amp;TkSuffix)</f>
        <v/>
      </c>
      <c r="D91" s="17">
        <f>IF($C91="","",BDP($C91,FldMcap))</f>
        <v/>
      </c>
      <c r="E91" s="17">
        <f>IF($C91="","",BDP($C91,FldShOut))</f>
        <v/>
      </c>
      <c r="F91" s="18">
        <f>IF($C91="","",BDP($C91,FldPx))</f>
        <v/>
      </c>
      <c r="G91" s="19">
        <f>IFERROR($E91*$F91,"")</f>
        <v/>
      </c>
      <c r="H91" s="20">
        <f>IFERROR(IF(WgtBasis="SEC_CAP",$G91,$D91),"")</f>
        <v/>
      </c>
      <c r="I91" s="18">
        <f>IF($C91="","",BDP($C91,FldEps,"BEST_FPERIOD_OVERRIDE="&amp;FpOvr))</f>
        <v/>
      </c>
      <c r="J91" s="18">
        <f>IF($C91="","",IFERROR(INDEX(BDH($C91,FldEps,DtRevA,DtRevA,"BEST_FPERIOD_OVERRIDE="&amp;FpOvr,"Days=A","Fill=P"),1,1),""))</f>
        <v/>
      </c>
      <c r="K91" s="18">
        <f>IF($C91="","",IFERROR(INDEX(BDH($C91,FldEps,DtRevB,DtRevB,"BEST_FPERIOD_OVERRIDE="&amp;FpOvr,"Days=A","Fill=P"),1,1),""))</f>
        <v/>
      </c>
      <c r="L91" s="21">
        <f>IFERROR(IF($J91&lt;=0,"",$I91/$J91-1),"")</f>
        <v/>
      </c>
      <c r="M91" s="21">
        <f>IFERROR(IF($K91&lt;=0,"",$I91/$K91-1),"")</f>
        <v/>
      </c>
      <c r="N91" s="22">
        <f>IF($C91="","",IFERROR(BDP($C91,FldTRR,"CUST_TRR_START_DT="&amp;TEXT(DtMomA,"yyyymmdd"),"CUST_TRR_END_DT="&amp;TEXT(AsOf,"yyyymmdd"))/100,""))</f>
        <v/>
      </c>
      <c r="O91" s="22">
        <f>IF($C91="","",IFERROR(BDP($C91,FldTRR,"CUST_TRR_START_DT="&amp;TEXT(DtMomB,"yyyymmdd"),"CUST_TRR_END_DT="&amp;TEXT(AsOf,"yyyymmdd"))/100,""))</f>
        <v/>
      </c>
      <c r="P91" s="2">
        <f>IF($A91="","",IF($Q91=0,"sector missing",IF(NOT(ISNUMBER($H91)),"no market cap",IF(COUNT($L91:$O91)=4,"complete","missing "&amp;(4-COUNT($L91:$O91))&amp;" of 4 factors"))))</f>
        <v/>
      </c>
      <c r="Q91" s="23">
        <f>IF(OR($B91="",$B91="NO SECTOR",$B91="NOT IN MAP"),0,1)</f>
        <v/>
      </c>
      <c r="R91" s="24">
        <f>IF(AND($Q91=1,ISNUMBER($L91),ISNUMBER($H91)),$L91*$H91,0)</f>
        <v/>
      </c>
      <c r="S91" s="23">
        <f>IF(AND($Q91=1,ISNUMBER($L91),ISNUMBER($H91)),$H91,0)</f>
        <v/>
      </c>
      <c r="T91" s="24">
        <f>IF(AND($Q91=1,ISNUMBER($M91),ISNUMBER($H91)),$M91*$H91,0)</f>
        <v/>
      </c>
      <c r="U91" s="23">
        <f>IF(AND($Q91=1,ISNUMBER($M91),ISNUMBER($H91)),$H91,0)</f>
        <v/>
      </c>
      <c r="V91" s="24">
        <f>IF(AND($Q91=1,ISNUMBER($N91),ISNUMBER($H91)),$N91*$H91,0)</f>
        <v/>
      </c>
      <c r="W91" s="23">
        <f>IF(AND($Q91=1,ISNUMBER($N91),ISNUMBER($H91)),$H91,0)</f>
        <v/>
      </c>
      <c r="X91" s="24">
        <f>IF(AND($Q91=1,ISNUMBER($O91),ISNUMBER($H91)),$O91*$H91,0)</f>
        <v/>
      </c>
      <c r="Y91" s="23">
        <f>IF(AND($Q91=1,ISNUMBER($O91),ISNUMBER($H91)),$H91,0)</f>
        <v/>
      </c>
      <c r="Z91" s="23">
        <f>IF($Q91=0,"",IF(COUNTIF($B$5:$B91,$B91)&gt;1,"",MAX(0,MAX($Z$5:$Z90))+1))</f>
        <v/>
      </c>
    </row>
    <row r="92">
      <c r="A92" s="14">
        <f>IFERROR(IF(INDEX('Index Members'!$A$4:$A$403,ROW()-4)=0,"",INDEX('Index Members'!$A$4:$A$403,ROW()-4)),"")</f>
        <v/>
      </c>
      <c r="B92" s="14">
        <f>IF($A92="","",IFERROR(IF(VLOOKUP($A92,'Sector Map'!$A$4:$B$123,2,FALSE)=0,"NO SECTOR",VLOOKUP($A92,'Sector Map'!$A$4:$B$123,2,FALSE)),"NOT IN MAP"))</f>
        <v/>
      </c>
      <c r="C92" s="14">
        <f>IF($A92="","",$A92&amp;TkSuffix)</f>
        <v/>
      </c>
      <c r="D92" s="17">
        <f>IF($C92="","",BDP($C92,FldMcap))</f>
        <v/>
      </c>
      <c r="E92" s="17">
        <f>IF($C92="","",BDP($C92,FldShOut))</f>
        <v/>
      </c>
      <c r="F92" s="18">
        <f>IF($C92="","",BDP($C92,FldPx))</f>
        <v/>
      </c>
      <c r="G92" s="19">
        <f>IFERROR($E92*$F92,"")</f>
        <v/>
      </c>
      <c r="H92" s="20">
        <f>IFERROR(IF(WgtBasis="SEC_CAP",$G92,$D92),"")</f>
        <v/>
      </c>
      <c r="I92" s="18">
        <f>IF($C92="","",BDP($C92,FldEps,"BEST_FPERIOD_OVERRIDE="&amp;FpOvr))</f>
        <v/>
      </c>
      <c r="J92" s="18">
        <f>IF($C92="","",IFERROR(INDEX(BDH($C92,FldEps,DtRevA,DtRevA,"BEST_FPERIOD_OVERRIDE="&amp;FpOvr,"Days=A","Fill=P"),1,1),""))</f>
        <v/>
      </c>
      <c r="K92" s="18">
        <f>IF($C92="","",IFERROR(INDEX(BDH($C92,FldEps,DtRevB,DtRevB,"BEST_FPERIOD_OVERRIDE="&amp;FpOvr,"Days=A","Fill=P"),1,1),""))</f>
        <v/>
      </c>
      <c r="L92" s="21">
        <f>IFERROR(IF($J92&lt;=0,"",$I92/$J92-1),"")</f>
        <v/>
      </c>
      <c r="M92" s="21">
        <f>IFERROR(IF($K92&lt;=0,"",$I92/$K92-1),"")</f>
        <v/>
      </c>
      <c r="N92" s="22">
        <f>IF($C92="","",IFERROR(BDP($C92,FldTRR,"CUST_TRR_START_DT="&amp;TEXT(DtMomA,"yyyymmdd"),"CUST_TRR_END_DT="&amp;TEXT(AsOf,"yyyymmdd"))/100,""))</f>
        <v/>
      </c>
      <c r="O92" s="22">
        <f>IF($C92="","",IFERROR(BDP($C92,FldTRR,"CUST_TRR_START_DT="&amp;TEXT(DtMomB,"yyyymmdd"),"CUST_TRR_END_DT="&amp;TEXT(AsOf,"yyyymmdd"))/100,""))</f>
        <v/>
      </c>
      <c r="P92" s="2">
        <f>IF($A92="","",IF($Q92=0,"sector missing",IF(NOT(ISNUMBER($H92)),"no market cap",IF(COUNT($L92:$O92)=4,"complete","missing "&amp;(4-COUNT($L92:$O92))&amp;" of 4 factors"))))</f>
        <v/>
      </c>
      <c r="Q92" s="23">
        <f>IF(OR($B92="",$B92="NO SECTOR",$B92="NOT IN MAP"),0,1)</f>
        <v/>
      </c>
      <c r="R92" s="24">
        <f>IF(AND($Q92=1,ISNUMBER($L92),ISNUMBER($H92)),$L92*$H92,0)</f>
        <v/>
      </c>
      <c r="S92" s="23">
        <f>IF(AND($Q92=1,ISNUMBER($L92),ISNUMBER($H92)),$H92,0)</f>
        <v/>
      </c>
      <c r="T92" s="24">
        <f>IF(AND($Q92=1,ISNUMBER($M92),ISNUMBER($H92)),$M92*$H92,0)</f>
        <v/>
      </c>
      <c r="U92" s="23">
        <f>IF(AND($Q92=1,ISNUMBER($M92),ISNUMBER($H92)),$H92,0)</f>
        <v/>
      </c>
      <c r="V92" s="24">
        <f>IF(AND($Q92=1,ISNUMBER($N92),ISNUMBER($H92)),$N92*$H92,0)</f>
        <v/>
      </c>
      <c r="W92" s="23">
        <f>IF(AND($Q92=1,ISNUMBER($N92),ISNUMBER($H92)),$H92,0)</f>
        <v/>
      </c>
      <c r="X92" s="24">
        <f>IF(AND($Q92=1,ISNUMBER($O92),ISNUMBER($H92)),$O92*$H92,0)</f>
        <v/>
      </c>
      <c r="Y92" s="23">
        <f>IF(AND($Q92=1,ISNUMBER($O92),ISNUMBER($H92)),$H92,0)</f>
        <v/>
      </c>
      <c r="Z92" s="23">
        <f>IF($Q92=0,"",IF(COUNTIF($B$5:$B92,$B92)&gt;1,"",MAX(0,MAX($Z$5:$Z91))+1))</f>
        <v/>
      </c>
    </row>
    <row r="93">
      <c r="A93" s="14">
        <f>IFERROR(IF(INDEX('Index Members'!$A$4:$A$403,ROW()-4)=0,"",INDEX('Index Members'!$A$4:$A$403,ROW()-4)),"")</f>
        <v/>
      </c>
      <c r="B93" s="14">
        <f>IF($A93="","",IFERROR(IF(VLOOKUP($A93,'Sector Map'!$A$4:$B$123,2,FALSE)=0,"NO SECTOR",VLOOKUP($A93,'Sector Map'!$A$4:$B$123,2,FALSE)),"NOT IN MAP"))</f>
        <v/>
      </c>
      <c r="C93" s="14">
        <f>IF($A93="","",$A93&amp;TkSuffix)</f>
        <v/>
      </c>
      <c r="D93" s="17">
        <f>IF($C93="","",BDP($C93,FldMcap))</f>
        <v/>
      </c>
      <c r="E93" s="17">
        <f>IF($C93="","",BDP($C93,FldShOut))</f>
        <v/>
      </c>
      <c r="F93" s="18">
        <f>IF($C93="","",BDP($C93,FldPx))</f>
        <v/>
      </c>
      <c r="G93" s="19">
        <f>IFERROR($E93*$F93,"")</f>
        <v/>
      </c>
      <c r="H93" s="20">
        <f>IFERROR(IF(WgtBasis="SEC_CAP",$G93,$D93),"")</f>
        <v/>
      </c>
      <c r="I93" s="18">
        <f>IF($C93="","",BDP($C93,FldEps,"BEST_FPERIOD_OVERRIDE="&amp;FpOvr))</f>
        <v/>
      </c>
      <c r="J93" s="18">
        <f>IF($C93="","",IFERROR(INDEX(BDH($C93,FldEps,DtRevA,DtRevA,"BEST_FPERIOD_OVERRIDE="&amp;FpOvr,"Days=A","Fill=P"),1,1),""))</f>
        <v/>
      </c>
      <c r="K93" s="18">
        <f>IF($C93="","",IFERROR(INDEX(BDH($C93,FldEps,DtRevB,DtRevB,"BEST_FPERIOD_OVERRIDE="&amp;FpOvr,"Days=A","Fill=P"),1,1),""))</f>
        <v/>
      </c>
      <c r="L93" s="21">
        <f>IFERROR(IF($J93&lt;=0,"",$I93/$J93-1),"")</f>
        <v/>
      </c>
      <c r="M93" s="21">
        <f>IFERROR(IF($K93&lt;=0,"",$I93/$K93-1),"")</f>
        <v/>
      </c>
      <c r="N93" s="22">
        <f>IF($C93="","",IFERROR(BDP($C93,FldTRR,"CUST_TRR_START_DT="&amp;TEXT(DtMomA,"yyyymmdd"),"CUST_TRR_END_DT="&amp;TEXT(AsOf,"yyyymmdd"))/100,""))</f>
        <v/>
      </c>
      <c r="O93" s="22">
        <f>IF($C93="","",IFERROR(BDP($C93,FldTRR,"CUST_TRR_START_DT="&amp;TEXT(DtMomB,"yyyymmdd"),"CUST_TRR_END_DT="&amp;TEXT(AsOf,"yyyymmdd"))/100,""))</f>
        <v/>
      </c>
      <c r="P93" s="2">
        <f>IF($A93="","",IF($Q93=0,"sector missing",IF(NOT(ISNUMBER($H93)),"no market cap",IF(COUNT($L93:$O93)=4,"complete","missing "&amp;(4-COUNT($L93:$O93))&amp;" of 4 factors"))))</f>
        <v/>
      </c>
      <c r="Q93" s="23">
        <f>IF(OR($B93="",$B93="NO SECTOR",$B93="NOT IN MAP"),0,1)</f>
        <v/>
      </c>
      <c r="R93" s="24">
        <f>IF(AND($Q93=1,ISNUMBER($L93),ISNUMBER($H93)),$L93*$H93,0)</f>
        <v/>
      </c>
      <c r="S93" s="23">
        <f>IF(AND($Q93=1,ISNUMBER($L93),ISNUMBER($H93)),$H93,0)</f>
        <v/>
      </c>
      <c r="T93" s="24">
        <f>IF(AND($Q93=1,ISNUMBER($M93),ISNUMBER($H93)),$M93*$H93,0)</f>
        <v/>
      </c>
      <c r="U93" s="23">
        <f>IF(AND($Q93=1,ISNUMBER($M93),ISNUMBER($H93)),$H93,0)</f>
        <v/>
      </c>
      <c r="V93" s="24">
        <f>IF(AND($Q93=1,ISNUMBER($N93),ISNUMBER($H93)),$N93*$H93,0)</f>
        <v/>
      </c>
      <c r="W93" s="23">
        <f>IF(AND($Q93=1,ISNUMBER($N93),ISNUMBER($H93)),$H93,0)</f>
        <v/>
      </c>
      <c r="X93" s="24">
        <f>IF(AND($Q93=1,ISNUMBER($O93),ISNUMBER($H93)),$O93*$H93,0)</f>
        <v/>
      </c>
      <c r="Y93" s="23">
        <f>IF(AND($Q93=1,ISNUMBER($O93),ISNUMBER($H93)),$H93,0)</f>
        <v/>
      </c>
      <c r="Z93" s="23">
        <f>IF($Q93=0,"",IF(COUNTIF($B$5:$B93,$B93)&gt;1,"",MAX(0,MAX($Z$5:$Z92))+1))</f>
        <v/>
      </c>
    </row>
    <row r="94">
      <c r="A94" s="14">
        <f>IFERROR(IF(INDEX('Index Members'!$A$4:$A$403,ROW()-4)=0,"",INDEX('Index Members'!$A$4:$A$403,ROW()-4)),"")</f>
        <v/>
      </c>
      <c r="B94" s="14">
        <f>IF($A94="","",IFERROR(IF(VLOOKUP($A94,'Sector Map'!$A$4:$B$123,2,FALSE)=0,"NO SECTOR",VLOOKUP($A94,'Sector Map'!$A$4:$B$123,2,FALSE)),"NOT IN MAP"))</f>
        <v/>
      </c>
      <c r="C94" s="14">
        <f>IF($A94="","",$A94&amp;TkSuffix)</f>
        <v/>
      </c>
      <c r="D94" s="17">
        <f>IF($C94="","",BDP($C94,FldMcap))</f>
        <v/>
      </c>
      <c r="E94" s="17">
        <f>IF($C94="","",BDP($C94,FldShOut))</f>
        <v/>
      </c>
      <c r="F94" s="18">
        <f>IF($C94="","",BDP($C94,FldPx))</f>
        <v/>
      </c>
      <c r="G94" s="19">
        <f>IFERROR($E94*$F94,"")</f>
        <v/>
      </c>
      <c r="H94" s="20">
        <f>IFERROR(IF(WgtBasis="SEC_CAP",$G94,$D94),"")</f>
        <v/>
      </c>
      <c r="I94" s="18">
        <f>IF($C94="","",BDP($C94,FldEps,"BEST_FPERIOD_OVERRIDE="&amp;FpOvr))</f>
        <v/>
      </c>
      <c r="J94" s="18">
        <f>IF($C94="","",IFERROR(INDEX(BDH($C94,FldEps,DtRevA,DtRevA,"BEST_FPERIOD_OVERRIDE="&amp;FpOvr,"Days=A","Fill=P"),1,1),""))</f>
        <v/>
      </c>
      <c r="K94" s="18">
        <f>IF($C94="","",IFERROR(INDEX(BDH($C94,FldEps,DtRevB,DtRevB,"BEST_FPERIOD_OVERRIDE="&amp;FpOvr,"Days=A","Fill=P"),1,1),""))</f>
        <v/>
      </c>
      <c r="L94" s="21">
        <f>IFERROR(IF($J94&lt;=0,"",$I94/$J94-1),"")</f>
        <v/>
      </c>
      <c r="M94" s="21">
        <f>IFERROR(IF($K94&lt;=0,"",$I94/$K94-1),"")</f>
        <v/>
      </c>
      <c r="N94" s="22">
        <f>IF($C94="","",IFERROR(BDP($C94,FldTRR,"CUST_TRR_START_DT="&amp;TEXT(DtMomA,"yyyymmdd"),"CUST_TRR_END_DT="&amp;TEXT(AsOf,"yyyymmdd"))/100,""))</f>
        <v/>
      </c>
      <c r="O94" s="22">
        <f>IF($C94="","",IFERROR(BDP($C94,FldTRR,"CUST_TRR_START_DT="&amp;TEXT(DtMomB,"yyyymmdd"),"CUST_TRR_END_DT="&amp;TEXT(AsOf,"yyyymmdd"))/100,""))</f>
        <v/>
      </c>
      <c r="P94" s="2">
        <f>IF($A94="","",IF($Q94=0,"sector missing",IF(NOT(ISNUMBER($H94)),"no market cap",IF(COUNT($L94:$O94)=4,"complete","missing "&amp;(4-COUNT($L94:$O94))&amp;" of 4 factors"))))</f>
        <v/>
      </c>
      <c r="Q94" s="23">
        <f>IF(OR($B94="",$B94="NO SECTOR",$B94="NOT IN MAP"),0,1)</f>
        <v/>
      </c>
      <c r="R94" s="24">
        <f>IF(AND($Q94=1,ISNUMBER($L94),ISNUMBER($H94)),$L94*$H94,0)</f>
        <v/>
      </c>
      <c r="S94" s="23">
        <f>IF(AND($Q94=1,ISNUMBER($L94),ISNUMBER($H94)),$H94,0)</f>
        <v/>
      </c>
      <c r="T94" s="24">
        <f>IF(AND($Q94=1,ISNUMBER($M94),ISNUMBER($H94)),$M94*$H94,0)</f>
        <v/>
      </c>
      <c r="U94" s="23">
        <f>IF(AND($Q94=1,ISNUMBER($M94),ISNUMBER($H94)),$H94,0)</f>
        <v/>
      </c>
      <c r="V94" s="24">
        <f>IF(AND($Q94=1,ISNUMBER($N94),ISNUMBER($H94)),$N94*$H94,0)</f>
        <v/>
      </c>
      <c r="W94" s="23">
        <f>IF(AND($Q94=1,ISNUMBER($N94),ISNUMBER($H94)),$H94,0)</f>
        <v/>
      </c>
      <c r="X94" s="24">
        <f>IF(AND($Q94=1,ISNUMBER($O94),ISNUMBER($H94)),$O94*$H94,0)</f>
        <v/>
      </c>
      <c r="Y94" s="23">
        <f>IF(AND($Q94=1,ISNUMBER($O94),ISNUMBER($H94)),$H94,0)</f>
        <v/>
      </c>
      <c r="Z94" s="23">
        <f>IF($Q94=0,"",IF(COUNTIF($B$5:$B94,$B94)&gt;1,"",MAX(0,MAX($Z$5:$Z93))+1))</f>
        <v/>
      </c>
    </row>
    <row r="95">
      <c r="A95" s="14">
        <f>IFERROR(IF(INDEX('Index Members'!$A$4:$A$403,ROW()-4)=0,"",INDEX('Index Members'!$A$4:$A$403,ROW()-4)),"")</f>
        <v/>
      </c>
      <c r="B95" s="14">
        <f>IF($A95="","",IFERROR(IF(VLOOKUP($A95,'Sector Map'!$A$4:$B$123,2,FALSE)=0,"NO SECTOR",VLOOKUP($A95,'Sector Map'!$A$4:$B$123,2,FALSE)),"NOT IN MAP"))</f>
        <v/>
      </c>
      <c r="C95" s="14">
        <f>IF($A95="","",$A95&amp;TkSuffix)</f>
        <v/>
      </c>
      <c r="D95" s="17">
        <f>IF($C95="","",BDP($C95,FldMcap))</f>
        <v/>
      </c>
      <c r="E95" s="17">
        <f>IF($C95="","",BDP($C95,FldShOut))</f>
        <v/>
      </c>
      <c r="F95" s="18">
        <f>IF($C95="","",BDP($C95,FldPx))</f>
        <v/>
      </c>
      <c r="G95" s="19">
        <f>IFERROR($E95*$F95,"")</f>
        <v/>
      </c>
      <c r="H95" s="20">
        <f>IFERROR(IF(WgtBasis="SEC_CAP",$G95,$D95),"")</f>
        <v/>
      </c>
      <c r="I95" s="18">
        <f>IF($C95="","",BDP($C95,FldEps,"BEST_FPERIOD_OVERRIDE="&amp;FpOvr))</f>
        <v/>
      </c>
      <c r="J95" s="18">
        <f>IF($C95="","",IFERROR(INDEX(BDH($C95,FldEps,DtRevA,DtRevA,"BEST_FPERIOD_OVERRIDE="&amp;FpOvr,"Days=A","Fill=P"),1,1),""))</f>
        <v/>
      </c>
      <c r="K95" s="18">
        <f>IF($C95="","",IFERROR(INDEX(BDH($C95,FldEps,DtRevB,DtRevB,"BEST_FPERIOD_OVERRIDE="&amp;FpOvr,"Days=A","Fill=P"),1,1),""))</f>
        <v/>
      </c>
      <c r="L95" s="21">
        <f>IFERROR(IF($J95&lt;=0,"",$I95/$J95-1),"")</f>
        <v/>
      </c>
      <c r="M95" s="21">
        <f>IFERROR(IF($K95&lt;=0,"",$I95/$K95-1),"")</f>
        <v/>
      </c>
      <c r="N95" s="22">
        <f>IF($C95="","",IFERROR(BDP($C95,FldTRR,"CUST_TRR_START_DT="&amp;TEXT(DtMomA,"yyyymmdd"),"CUST_TRR_END_DT="&amp;TEXT(AsOf,"yyyymmdd"))/100,""))</f>
        <v/>
      </c>
      <c r="O95" s="22">
        <f>IF($C95="","",IFERROR(BDP($C95,FldTRR,"CUST_TRR_START_DT="&amp;TEXT(DtMomB,"yyyymmdd"),"CUST_TRR_END_DT="&amp;TEXT(AsOf,"yyyymmdd"))/100,""))</f>
        <v/>
      </c>
      <c r="P95" s="2">
        <f>IF($A95="","",IF($Q95=0,"sector missing",IF(NOT(ISNUMBER($H95)),"no market cap",IF(COUNT($L95:$O95)=4,"complete","missing "&amp;(4-COUNT($L95:$O95))&amp;" of 4 factors"))))</f>
        <v/>
      </c>
      <c r="Q95" s="23">
        <f>IF(OR($B95="",$B95="NO SECTOR",$B95="NOT IN MAP"),0,1)</f>
        <v/>
      </c>
      <c r="R95" s="24">
        <f>IF(AND($Q95=1,ISNUMBER($L95),ISNUMBER($H95)),$L95*$H95,0)</f>
        <v/>
      </c>
      <c r="S95" s="23">
        <f>IF(AND($Q95=1,ISNUMBER($L95),ISNUMBER($H95)),$H95,0)</f>
        <v/>
      </c>
      <c r="T95" s="24">
        <f>IF(AND($Q95=1,ISNUMBER($M95),ISNUMBER($H95)),$M95*$H95,0)</f>
        <v/>
      </c>
      <c r="U95" s="23">
        <f>IF(AND($Q95=1,ISNUMBER($M95),ISNUMBER($H95)),$H95,0)</f>
        <v/>
      </c>
      <c r="V95" s="24">
        <f>IF(AND($Q95=1,ISNUMBER($N95),ISNUMBER($H95)),$N95*$H95,0)</f>
        <v/>
      </c>
      <c r="W95" s="23">
        <f>IF(AND($Q95=1,ISNUMBER($N95),ISNUMBER($H95)),$H95,0)</f>
        <v/>
      </c>
      <c r="X95" s="24">
        <f>IF(AND($Q95=1,ISNUMBER($O95),ISNUMBER($H95)),$O95*$H95,0)</f>
        <v/>
      </c>
      <c r="Y95" s="23">
        <f>IF(AND($Q95=1,ISNUMBER($O95),ISNUMBER($H95)),$H95,0)</f>
        <v/>
      </c>
      <c r="Z95" s="23">
        <f>IF($Q95=0,"",IF(COUNTIF($B$5:$B95,$B95)&gt;1,"",MAX(0,MAX($Z$5:$Z94))+1))</f>
        <v/>
      </c>
    </row>
    <row r="96">
      <c r="A96" s="14">
        <f>IFERROR(IF(INDEX('Index Members'!$A$4:$A$403,ROW()-4)=0,"",INDEX('Index Members'!$A$4:$A$403,ROW()-4)),"")</f>
        <v/>
      </c>
      <c r="B96" s="14">
        <f>IF($A96="","",IFERROR(IF(VLOOKUP($A96,'Sector Map'!$A$4:$B$123,2,FALSE)=0,"NO SECTOR",VLOOKUP($A96,'Sector Map'!$A$4:$B$123,2,FALSE)),"NOT IN MAP"))</f>
        <v/>
      </c>
      <c r="C96" s="14">
        <f>IF($A96="","",$A96&amp;TkSuffix)</f>
        <v/>
      </c>
      <c r="D96" s="17">
        <f>IF($C96="","",BDP($C96,FldMcap))</f>
        <v/>
      </c>
      <c r="E96" s="17">
        <f>IF($C96="","",BDP($C96,FldShOut))</f>
        <v/>
      </c>
      <c r="F96" s="18">
        <f>IF($C96="","",BDP($C96,FldPx))</f>
        <v/>
      </c>
      <c r="G96" s="19">
        <f>IFERROR($E96*$F96,"")</f>
        <v/>
      </c>
      <c r="H96" s="20">
        <f>IFERROR(IF(WgtBasis="SEC_CAP",$G96,$D96),"")</f>
        <v/>
      </c>
      <c r="I96" s="18">
        <f>IF($C96="","",BDP($C96,FldEps,"BEST_FPERIOD_OVERRIDE="&amp;FpOvr))</f>
        <v/>
      </c>
      <c r="J96" s="18">
        <f>IF($C96="","",IFERROR(INDEX(BDH($C96,FldEps,DtRevA,DtRevA,"BEST_FPERIOD_OVERRIDE="&amp;FpOvr,"Days=A","Fill=P"),1,1),""))</f>
        <v/>
      </c>
      <c r="K96" s="18">
        <f>IF($C96="","",IFERROR(INDEX(BDH($C96,FldEps,DtRevB,DtRevB,"BEST_FPERIOD_OVERRIDE="&amp;FpOvr,"Days=A","Fill=P"),1,1),""))</f>
        <v/>
      </c>
      <c r="L96" s="21">
        <f>IFERROR(IF($J96&lt;=0,"",$I96/$J96-1),"")</f>
        <v/>
      </c>
      <c r="M96" s="21">
        <f>IFERROR(IF($K96&lt;=0,"",$I96/$K96-1),"")</f>
        <v/>
      </c>
      <c r="N96" s="22">
        <f>IF($C96="","",IFERROR(BDP($C96,FldTRR,"CUST_TRR_START_DT="&amp;TEXT(DtMomA,"yyyymmdd"),"CUST_TRR_END_DT="&amp;TEXT(AsOf,"yyyymmdd"))/100,""))</f>
        <v/>
      </c>
      <c r="O96" s="22">
        <f>IF($C96="","",IFERROR(BDP($C96,FldTRR,"CUST_TRR_START_DT="&amp;TEXT(DtMomB,"yyyymmdd"),"CUST_TRR_END_DT="&amp;TEXT(AsOf,"yyyymmdd"))/100,""))</f>
        <v/>
      </c>
      <c r="P96" s="2">
        <f>IF($A96="","",IF($Q96=0,"sector missing",IF(NOT(ISNUMBER($H96)),"no market cap",IF(COUNT($L96:$O96)=4,"complete","missing "&amp;(4-COUNT($L96:$O96))&amp;" of 4 factors"))))</f>
        <v/>
      </c>
      <c r="Q96" s="23">
        <f>IF(OR($B96="",$B96="NO SECTOR",$B96="NOT IN MAP"),0,1)</f>
        <v/>
      </c>
      <c r="R96" s="24">
        <f>IF(AND($Q96=1,ISNUMBER($L96),ISNUMBER($H96)),$L96*$H96,0)</f>
        <v/>
      </c>
      <c r="S96" s="23">
        <f>IF(AND($Q96=1,ISNUMBER($L96),ISNUMBER($H96)),$H96,0)</f>
        <v/>
      </c>
      <c r="T96" s="24">
        <f>IF(AND($Q96=1,ISNUMBER($M96),ISNUMBER($H96)),$M96*$H96,0)</f>
        <v/>
      </c>
      <c r="U96" s="23">
        <f>IF(AND($Q96=1,ISNUMBER($M96),ISNUMBER($H96)),$H96,0)</f>
        <v/>
      </c>
      <c r="V96" s="24">
        <f>IF(AND($Q96=1,ISNUMBER($N96),ISNUMBER($H96)),$N96*$H96,0)</f>
        <v/>
      </c>
      <c r="W96" s="23">
        <f>IF(AND($Q96=1,ISNUMBER($N96),ISNUMBER($H96)),$H96,0)</f>
        <v/>
      </c>
      <c r="X96" s="24">
        <f>IF(AND($Q96=1,ISNUMBER($O96),ISNUMBER($H96)),$O96*$H96,0)</f>
        <v/>
      </c>
      <c r="Y96" s="23">
        <f>IF(AND($Q96=1,ISNUMBER($O96),ISNUMBER($H96)),$H96,0)</f>
        <v/>
      </c>
      <c r="Z96" s="23">
        <f>IF($Q96=0,"",IF(COUNTIF($B$5:$B96,$B96)&gt;1,"",MAX(0,MAX($Z$5:$Z95))+1))</f>
        <v/>
      </c>
    </row>
    <row r="97">
      <c r="A97" s="14">
        <f>IFERROR(IF(INDEX('Index Members'!$A$4:$A$403,ROW()-4)=0,"",INDEX('Index Members'!$A$4:$A$403,ROW()-4)),"")</f>
        <v/>
      </c>
      <c r="B97" s="14">
        <f>IF($A97="","",IFERROR(IF(VLOOKUP($A97,'Sector Map'!$A$4:$B$123,2,FALSE)=0,"NO SECTOR",VLOOKUP($A97,'Sector Map'!$A$4:$B$123,2,FALSE)),"NOT IN MAP"))</f>
        <v/>
      </c>
      <c r="C97" s="14">
        <f>IF($A97="","",$A97&amp;TkSuffix)</f>
        <v/>
      </c>
      <c r="D97" s="17">
        <f>IF($C97="","",BDP($C97,FldMcap))</f>
        <v/>
      </c>
      <c r="E97" s="17">
        <f>IF($C97="","",BDP($C97,FldShOut))</f>
        <v/>
      </c>
      <c r="F97" s="18">
        <f>IF($C97="","",BDP($C97,FldPx))</f>
        <v/>
      </c>
      <c r="G97" s="19">
        <f>IFERROR($E97*$F97,"")</f>
        <v/>
      </c>
      <c r="H97" s="20">
        <f>IFERROR(IF(WgtBasis="SEC_CAP",$G97,$D97),"")</f>
        <v/>
      </c>
      <c r="I97" s="18">
        <f>IF($C97="","",BDP($C97,FldEps,"BEST_FPERIOD_OVERRIDE="&amp;FpOvr))</f>
        <v/>
      </c>
      <c r="J97" s="18">
        <f>IF($C97="","",IFERROR(INDEX(BDH($C97,FldEps,DtRevA,DtRevA,"BEST_FPERIOD_OVERRIDE="&amp;FpOvr,"Days=A","Fill=P"),1,1),""))</f>
        <v/>
      </c>
      <c r="K97" s="18">
        <f>IF($C97="","",IFERROR(INDEX(BDH($C97,FldEps,DtRevB,DtRevB,"BEST_FPERIOD_OVERRIDE="&amp;FpOvr,"Days=A","Fill=P"),1,1),""))</f>
        <v/>
      </c>
      <c r="L97" s="21">
        <f>IFERROR(IF($J97&lt;=0,"",$I97/$J97-1),"")</f>
        <v/>
      </c>
      <c r="M97" s="21">
        <f>IFERROR(IF($K97&lt;=0,"",$I97/$K97-1),"")</f>
        <v/>
      </c>
      <c r="N97" s="22">
        <f>IF($C97="","",IFERROR(BDP($C97,FldTRR,"CUST_TRR_START_DT="&amp;TEXT(DtMomA,"yyyymmdd"),"CUST_TRR_END_DT="&amp;TEXT(AsOf,"yyyymmdd"))/100,""))</f>
        <v/>
      </c>
      <c r="O97" s="22">
        <f>IF($C97="","",IFERROR(BDP($C97,FldTRR,"CUST_TRR_START_DT="&amp;TEXT(DtMomB,"yyyymmdd"),"CUST_TRR_END_DT="&amp;TEXT(AsOf,"yyyymmdd"))/100,""))</f>
        <v/>
      </c>
      <c r="P97" s="2">
        <f>IF($A97="","",IF($Q97=0,"sector missing",IF(NOT(ISNUMBER($H97)),"no market cap",IF(COUNT($L97:$O97)=4,"complete","missing "&amp;(4-COUNT($L97:$O97))&amp;" of 4 factors"))))</f>
        <v/>
      </c>
      <c r="Q97" s="23">
        <f>IF(OR($B97="",$B97="NO SECTOR",$B97="NOT IN MAP"),0,1)</f>
        <v/>
      </c>
      <c r="R97" s="24">
        <f>IF(AND($Q97=1,ISNUMBER($L97),ISNUMBER($H97)),$L97*$H97,0)</f>
        <v/>
      </c>
      <c r="S97" s="23">
        <f>IF(AND($Q97=1,ISNUMBER($L97),ISNUMBER($H97)),$H97,0)</f>
        <v/>
      </c>
      <c r="T97" s="24">
        <f>IF(AND($Q97=1,ISNUMBER($M97),ISNUMBER($H97)),$M97*$H97,0)</f>
        <v/>
      </c>
      <c r="U97" s="23">
        <f>IF(AND($Q97=1,ISNUMBER($M97),ISNUMBER($H97)),$H97,0)</f>
        <v/>
      </c>
      <c r="V97" s="24">
        <f>IF(AND($Q97=1,ISNUMBER($N97),ISNUMBER($H97)),$N97*$H97,0)</f>
        <v/>
      </c>
      <c r="W97" s="23">
        <f>IF(AND($Q97=1,ISNUMBER($N97),ISNUMBER($H97)),$H97,0)</f>
        <v/>
      </c>
      <c r="X97" s="24">
        <f>IF(AND($Q97=1,ISNUMBER($O97),ISNUMBER($H97)),$O97*$H97,0)</f>
        <v/>
      </c>
      <c r="Y97" s="23">
        <f>IF(AND($Q97=1,ISNUMBER($O97),ISNUMBER($H97)),$H97,0)</f>
        <v/>
      </c>
      <c r="Z97" s="23">
        <f>IF($Q97=0,"",IF(COUNTIF($B$5:$B97,$B97)&gt;1,"",MAX(0,MAX($Z$5:$Z96))+1))</f>
        <v/>
      </c>
    </row>
    <row r="98">
      <c r="A98" s="14">
        <f>IFERROR(IF(INDEX('Index Members'!$A$4:$A$403,ROW()-4)=0,"",INDEX('Index Members'!$A$4:$A$403,ROW()-4)),"")</f>
        <v/>
      </c>
      <c r="B98" s="14">
        <f>IF($A98="","",IFERROR(IF(VLOOKUP($A98,'Sector Map'!$A$4:$B$123,2,FALSE)=0,"NO SECTOR",VLOOKUP($A98,'Sector Map'!$A$4:$B$123,2,FALSE)),"NOT IN MAP"))</f>
        <v/>
      </c>
      <c r="C98" s="14">
        <f>IF($A98="","",$A98&amp;TkSuffix)</f>
        <v/>
      </c>
      <c r="D98" s="17">
        <f>IF($C98="","",BDP($C98,FldMcap))</f>
        <v/>
      </c>
      <c r="E98" s="17">
        <f>IF($C98="","",BDP($C98,FldShOut))</f>
        <v/>
      </c>
      <c r="F98" s="18">
        <f>IF($C98="","",BDP($C98,FldPx))</f>
        <v/>
      </c>
      <c r="G98" s="19">
        <f>IFERROR($E98*$F98,"")</f>
        <v/>
      </c>
      <c r="H98" s="20">
        <f>IFERROR(IF(WgtBasis="SEC_CAP",$G98,$D98),"")</f>
        <v/>
      </c>
      <c r="I98" s="18">
        <f>IF($C98="","",BDP($C98,FldEps,"BEST_FPERIOD_OVERRIDE="&amp;FpOvr))</f>
        <v/>
      </c>
      <c r="J98" s="18">
        <f>IF($C98="","",IFERROR(INDEX(BDH($C98,FldEps,DtRevA,DtRevA,"BEST_FPERIOD_OVERRIDE="&amp;FpOvr,"Days=A","Fill=P"),1,1),""))</f>
        <v/>
      </c>
      <c r="K98" s="18">
        <f>IF($C98="","",IFERROR(INDEX(BDH($C98,FldEps,DtRevB,DtRevB,"BEST_FPERIOD_OVERRIDE="&amp;FpOvr,"Days=A","Fill=P"),1,1),""))</f>
        <v/>
      </c>
      <c r="L98" s="21">
        <f>IFERROR(IF($J98&lt;=0,"",$I98/$J98-1),"")</f>
        <v/>
      </c>
      <c r="M98" s="21">
        <f>IFERROR(IF($K98&lt;=0,"",$I98/$K98-1),"")</f>
        <v/>
      </c>
      <c r="N98" s="22">
        <f>IF($C98="","",IFERROR(BDP($C98,FldTRR,"CUST_TRR_START_DT="&amp;TEXT(DtMomA,"yyyymmdd"),"CUST_TRR_END_DT="&amp;TEXT(AsOf,"yyyymmdd"))/100,""))</f>
        <v/>
      </c>
      <c r="O98" s="22">
        <f>IF($C98="","",IFERROR(BDP($C98,FldTRR,"CUST_TRR_START_DT="&amp;TEXT(DtMomB,"yyyymmdd"),"CUST_TRR_END_DT="&amp;TEXT(AsOf,"yyyymmdd"))/100,""))</f>
        <v/>
      </c>
      <c r="P98" s="2">
        <f>IF($A98="","",IF($Q98=0,"sector missing",IF(NOT(ISNUMBER($H98)),"no market cap",IF(COUNT($L98:$O98)=4,"complete","missing "&amp;(4-COUNT($L98:$O98))&amp;" of 4 factors"))))</f>
        <v/>
      </c>
      <c r="Q98" s="23">
        <f>IF(OR($B98="",$B98="NO SECTOR",$B98="NOT IN MAP"),0,1)</f>
        <v/>
      </c>
      <c r="R98" s="24">
        <f>IF(AND($Q98=1,ISNUMBER($L98),ISNUMBER($H98)),$L98*$H98,0)</f>
        <v/>
      </c>
      <c r="S98" s="23">
        <f>IF(AND($Q98=1,ISNUMBER($L98),ISNUMBER($H98)),$H98,0)</f>
        <v/>
      </c>
      <c r="T98" s="24">
        <f>IF(AND($Q98=1,ISNUMBER($M98),ISNUMBER($H98)),$M98*$H98,0)</f>
        <v/>
      </c>
      <c r="U98" s="23">
        <f>IF(AND($Q98=1,ISNUMBER($M98),ISNUMBER($H98)),$H98,0)</f>
        <v/>
      </c>
      <c r="V98" s="24">
        <f>IF(AND($Q98=1,ISNUMBER($N98),ISNUMBER($H98)),$N98*$H98,0)</f>
        <v/>
      </c>
      <c r="W98" s="23">
        <f>IF(AND($Q98=1,ISNUMBER($N98),ISNUMBER($H98)),$H98,0)</f>
        <v/>
      </c>
      <c r="X98" s="24">
        <f>IF(AND($Q98=1,ISNUMBER($O98),ISNUMBER($H98)),$O98*$H98,0)</f>
        <v/>
      </c>
      <c r="Y98" s="23">
        <f>IF(AND($Q98=1,ISNUMBER($O98),ISNUMBER($H98)),$H98,0)</f>
        <v/>
      </c>
      <c r="Z98" s="23">
        <f>IF($Q98=0,"",IF(COUNTIF($B$5:$B98,$B98)&gt;1,"",MAX(0,MAX($Z$5:$Z97))+1))</f>
        <v/>
      </c>
    </row>
    <row r="99">
      <c r="A99" s="14">
        <f>IFERROR(IF(INDEX('Index Members'!$A$4:$A$403,ROW()-4)=0,"",INDEX('Index Members'!$A$4:$A$403,ROW()-4)),"")</f>
        <v/>
      </c>
      <c r="B99" s="14">
        <f>IF($A99="","",IFERROR(IF(VLOOKUP($A99,'Sector Map'!$A$4:$B$123,2,FALSE)=0,"NO SECTOR",VLOOKUP($A99,'Sector Map'!$A$4:$B$123,2,FALSE)),"NOT IN MAP"))</f>
        <v/>
      </c>
      <c r="C99" s="14">
        <f>IF($A99="","",$A99&amp;TkSuffix)</f>
        <v/>
      </c>
      <c r="D99" s="17">
        <f>IF($C99="","",BDP($C99,FldMcap))</f>
        <v/>
      </c>
      <c r="E99" s="17">
        <f>IF($C99="","",BDP($C99,FldShOut))</f>
        <v/>
      </c>
      <c r="F99" s="18">
        <f>IF($C99="","",BDP($C99,FldPx))</f>
        <v/>
      </c>
      <c r="G99" s="19">
        <f>IFERROR($E99*$F99,"")</f>
        <v/>
      </c>
      <c r="H99" s="20">
        <f>IFERROR(IF(WgtBasis="SEC_CAP",$G99,$D99),"")</f>
        <v/>
      </c>
      <c r="I99" s="18">
        <f>IF($C99="","",BDP($C99,FldEps,"BEST_FPERIOD_OVERRIDE="&amp;FpOvr))</f>
        <v/>
      </c>
      <c r="J99" s="18">
        <f>IF($C99="","",IFERROR(INDEX(BDH($C99,FldEps,DtRevA,DtRevA,"BEST_FPERIOD_OVERRIDE="&amp;FpOvr,"Days=A","Fill=P"),1,1),""))</f>
        <v/>
      </c>
      <c r="K99" s="18">
        <f>IF($C99="","",IFERROR(INDEX(BDH($C99,FldEps,DtRevB,DtRevB,"BEST_FPERIOD_OVERRIDE="&amp;FpOvr,"Days=A","Fill=P"),1,1),""))</f>
        <v/>
      </c>
      <c r="L99" s="21">
        <f>IFERROR(IF($J99&lt;=0,"",$I99/$J99-1),"")</f>
        <v/>
      </c>
      <c r="M99" s="21">
        <f>IFERROR(IF($K99&lt;=0,"",$I99/$K99-1),"")</f>
        <v/>
      </c>
      <c r="N99" s="22">
        <f>IF($C99="","",IFERROR(BDP($C99,FldTRR,"CUST_TRR_START_DT="&amp;TEXT(DtMomA,"yyyymmdd"),"CUST_TRR_END_DT="&amp;TEXT(AsOf,"yyyymmdd"))/100,""))</f>
        <v/>
      </c>
      <c r="O99" s="22">
        <f>IF($C99="","",IFERROR(BDP($C99,FldTRR,"CUST_TRR_START_DT="&amp;TEXT(DtMomB,"yyyymmdd"),"CUST_TRR_END_DT="&amp;TEXT(AsOf,"yyyymmdd"))/100,""))</f>
        <v/>
      </c>
      <c r="P99" s="2">
        <f>IF($A99="","",IF($Q99=0,"sector missing",IF(NOT(ISNUMBER($H99)),"no market cap",IF(COUNT($L99:$O99)=4,"complete","missing "&amp;(4-COUNT($L99:$O99))&amp;" of 4 factors"))))</f>
        <v/>
      </c>
      <c r="Q99" s="23">
        <f>IF(OR($B99="",$B99="NO SECTOR",$B99="NOT IN MAP"),0,1)</f>
        <v/>
      </c>
      <c r="R99" s="24">
        <f>IF(AND($Q99=1,ISNUMBER($L99),ISNUMBER($H99)),$L99*$H99,0)</f>
        <v/>
      </c>
      <c r="S99" s="23">
        <f>IF(AND($Q99=1,ISNUMBER($L99),ISNUMBER($H99)),$H99,0)</f>
        <v/>
      </c>
      <c r="T99" s="24">
        <f>IF(AND($Q99=1,ISNUMBER($M99),ISNUMBER($H99)),$M99*$H99,0)</f>
        <v/>
      </c>
      <c r="U99" s="23">
        <f>IF(AND($Q99=1,ISNUMBER($M99),ISNUMBER($H99)),$H99,0)</f>
        <v/>
      </c>
      <c r="V99" s="24">
        <f>IF(AND($Q99=1,ISNUMBER($N99),ISNUMBER($H99)),$N99*$H99,0)</f>
        <v/>
      </c>
      <c r="W99" s="23">
        <f>IF(AND($Q99=1,ISNUMBER($N99),ISNUMBER($H99)),$H99,0)</f>
        <v/>
      </c>
      <c r="X99" s="24">
        <f>IF(AND($Q99=1,ISNUMBER($O99),ISNUMBER($H99)),$O99*$H99,0)</f>
        <v/>
      </c>
      <c r="Y99" s="23">
        <f>IF(AND($Q99=1,ISNUMBER($O99),ISNUMBER($H99)),$H99,0)</f>
        <v/>
      </c>
      <c r="Z99" s="23">
        <f>IF($Q99=0,"",IF(COUNTIF($B$5:$B99,$B99)&gt;1,"",MAX(0,MAX($Z$5:$Z98))+1))</f>
        <v/>
      </c>
    </row>
    <row r="100">
      <c r="A100" s="14">
        <f>IFERROR(IF(INDEX('Index Members'!$A$4:$A$403,ROW()-4)=0,"",INDEX('Index Members'!$A$4:$A$403,ROW()-4)),"")</f>
        <v/>
      </c>
      <c r="B100" s="14">
        <f>IF($A100="","",IFERROR(IF(VLOOKUP($A100,'Sector Map'!$A$4:$B$123,2,FALSE)=0,"NO SECTOR",VLOOKUP($A100,'Sector Map'!$A$4:$B$123,2,FALSE)),"NOT IN MAP"))</f>
        <v/>
      </c>
      <c r="C100" s="14">
        <f>IF($A100="","",$A100&amp;TkSuffix)</f>
        <v/>
      </c>
      <c r="D100" s="17">
        <f>IF($C100="","",BDP($C100,FldMcap))</f>
        <v/>
      </c>
      <c r="E100" s="17">
        <f>IF($C100="","",BDP($C100,FldShOut))</f>
        <v/>
      </c>
      <c r="F100" s="18">
        <f>IF($C100="","",BDP($C100,FldPx))</f>
        <v/>
      </c>
      <c r="G100" s="19">
        <f>IFERROR($E100*$F100,"")</f>
        <v/>
      </c>
      <c r="H100" s="20">
        <f>IFERROR(IF(WgtBasis="SEC_CAP",$G100,$D100),"")</f>
        <v/>
      </c>
      <c r="I100" s="18">
        <f>IF($C100="","",BDP($C100,FldEps,"BEST_FPERIOD_OVERRIDE="&amp;FpOvr))</f>
        <v/>
      </c>
      <c r="J100" s="18">
        <f>IF($C100="","",IFERROR(INDEX(BDH($C100,FldEps,DtRevA,DtRevA,"BEST_FPERIOD_OVERRIDE="&amp;FpOvr,"Days=A","Fill=P"),1,1),""))</f>
        <v/>
      </c>
      <c r="K100" s="18">
        <f>IF($C100="","",IFERROR(INDEX(BDH($C100,FldEps,DtRevB,DtRevB,"BEST_FPERIOD_OVERRIDE="&amp;FpOvr,"Days=A","Fill=P"),1,1),""))</f>
        <v/>
      </c>
      <c r="L100" s="21">
        <f>IFERROR(IF($J100&lt;=0,"",$I100/$J100-1),"")</f>
        <v/>
      </c>
      <c r="M100" s="21">
        <f>IFERROR(IF($K100&lt;=0,"",$I100/$K100-1),"")</f>
        <v/>
      </c>
      <c r="N100" s="22">
        <f>IF($C100="","",IFERROR(BDP($C100,FldTRR,"CUST_TRR_START_DT="&amp;TEXT(DtMomA,"yyyymmdd"),"CUST_TRR_END_DT="&amp;TEXT(AsOf,"yyyymmdd"))/100,""))</f>
        <v/>
      </c>
      <c r="O100" s="22">
        <f>IF($C100="","",IFERROR(BDP($C100,FldTRR,"CUST_TRR_START_DT="&amp;TEXT(DtMomB,"yyyymmdd"),"CUST_TRR_END_DT="&amp;TEXT(AsOf,"yyyymmdd"))/100,""))</f>
        <v/>
      </c>
      <c r="P100" s="2">
        <f>IF($A100="","",IF($Q100=0,"sector missing",IF(NOT(ISNUMBER($H100)),"no market cap",IF(COUNT($L100:$O100)=4,"complete","missing "&amp;(4-COUNT($L100:$O100))&amp;" of 4 factors"))))</f>
        <v/>
      </c>
      <c r="Q100" s="23">
        <f>IF(OR($B100="",$B100="NO SECTOR",$B100="NOT IN MAP"),0,1)</f>
        <v/>
      </c>
      <c r="R100" s="24">
        <f>IF(AND($Q100=1,ISNUMBER($L100),ISNUMBER($H100)),$L100*$H100,0)</f>
        <v/>
      </c>
      <c r="S100" s="23">
        <f>IF(AND($Q100=1,ISNUMBER($L100),ISNUMBER($H100)),$H100,0)</f>
        <v/>
      </c>
      <c r="T100" s="24">
        <f>IF(AND($Q100=1,ISNUMBER($M100),ISNUMBER($H100)),$M100*$H100,0)</f>
        <v/>
      </c>
      <c r="U100" s="23">
        <f>IF(AND($Q100=1,ISNUMBER($M100),ISNUMBER($H100)),$H100,0)</f>
        <v/>
      </c>
      <c r="V100" s="24">
        <f>IF(AND($Q100=1,ISNUMBER($N100),ISNUMBER($H100)),$N100*$H100,0)</f>
        <v/>
      </c>
      <c r="W100" s="23">
        <f>IF(AND($Q100=1,ISNUMBER($N100),ISNUMBER($H100)),$H100,0)</f>
        <v/>
      </c>
      <c r="X100" s="24">
        <f>IF(AND($Q100=1,ISNUMBER($O100),ISNUMBER($H100)),$O100*$H100,0)</f>
        <v/>
      </c>
      <c r="Y100" s="23">
        <f>IF(AND($Q100=1,ISNUMBER($O100),ISNUMBER($H100)),$H100,0)</f>
        <v/>
      </c>
      <c r="Z100" s="23">
        <f>IF($Q100=0,"",IF(COUNTIF($B$5:$B100,$B100)&gt;1,"",MAX(0,MAX($Z$5:$Z99))+1))</f>
        <v/>
      </c>
    </row>
    <row r="101">
      <c r="A101" s="14">
        <f>IFERROR(IF(INDEX('Index Members'!$A$4:$A$403,ROW()-4)=0,"",INDEX('Index Members'!$A$4:$A$403,ROW()-4)),"")</f>
        <v/>
      </c>
      <c r="B101" s="14">
        <f>IF($A101="","",IFERROR(IF(VLOOKUP($A101,'Sector Map'!$A$4:$B$123,2,FALSE)=0,"NO SECTOR",VLOOKUP($A101,'Sector Map'!$A$4:$B$123,2,FALSE)),"NOT IN MAP"))</f>
        <v/>
      </c>
      <c r="C101" s="14">
        <f>IF($A101="","",$A101&amp;TkSuffix)</f>
        <v/>
      </c>
      <c r="D101" s="17">
        <f>IF($C101="","",BDP($C101,FldMcap))</f>
        <v/>
      </c>
      <c r="E101" s="17">
        <f>IF($C101="","",BDP($C101,FldShOut))</f>
        <v/>
      </c>
      <c r="F101" s="18">
        <f>IF($C101="","",BDP($C101,FldPx))</f>
        <v/>
      </c>
      <c r="G101" s="19">
        <f>IFERROR($E101*$F101,"")</f>
        <v/>
      </c>
      <c r="H101" s="20">
        <f>IFERROR(IF(WgtBasis="SEC_CAP",$G101,$D101),"")</f>
        <v/>
      </c>
      <c r="I101" s="18">
        <f>IF($C101="","",BDP($C101,FldEps,"BEST_FPERIOD_OVERRIDE="&amp;FpOvr))</f>
        <v/>
      </c>
      <c r="J101" s="18">
        <f>IF($C101="","",IFERROR(INDEX(BDH($C101,FldEps,DtRevA,DtRevA,"BEST_FPERIOD_OVERRIDE="&amp;FpOvr,"Days=A","Fill=P"),1,1),""))</f>
        <v/>
      </c>
      <c r="K101" s="18">
        <f>IF($C101="","",IFERROR(INDEX(BDH($C101,FldEps,DtRevB,DtRevB,"BEST_FPERIOD_OVERRIDE="&amp;FpOvr,"Days=A","Fill=P"),1,1),""))</f>
        <v/>
      </c>
      <c r="L101" s="21">
        <f>IFERROR(IF($J101&lt;=0,"",$I101/$J101-1),"")</f>
        <v/>
      </c>
      <c r="M101" s="21">
        <f>IFERROR(IF($K101&lt;=0,"",$I101/$K101-1),"")</f>
        <v/>
      </c>
      <c r="N101" s="22">
        <f>IF($C101="","",IFERROR(BDP($C101,FldTRR,"CUST_TRR_START_DT="&amp;TEXT(DtMomA,"yyyymmdd"),"CUST_TRR_END_DT="&amp;TEXT(AsOf,"yyyymmdd"))/100,""))</f>
        <v/>
      </c>
      <c r="O101" s="22">
        <f>IF($C101="","",IFERROR(BDP($C101,FldTRR,"CUST_TRR_START_DT="&amp;TEXT(DtMomB,"yyyymmdd"),"CUST_TRR_END_DT="&amp;TEXT(AsOf,"yyyymmdd"))/100,""))</f>
        <v/>
      </c>
      <c r="P101" s="2">
        <f>IF($A101="","",IF($Q101=0,"sector missing",IF(NOT(ISNUMBER($H101)),"no market cap",IF(COUNT($L101:$O101)=4,"complete","missing "&amp;(4-COUNT($L101:$O101))&amp;" of 4 factors"))))</f>
        <v/>
      </c>
      <c r="Q101" s="23">
        <f>IF(OR($B101="",$B101="NO SECTOR",$B101="NOT IN MAP"),0,1)</f>
        <v/>
      </c>
      <c r="R101" s="24">
        <f>IF(AND($Q101=1,ISNUMBER($L101),ISNUMBER($H101)),$L101*$H101,0)</f>
        <v/>
      </c>
      <c r="S101" s="23">
        <f>IF(AND($Q101=1,ISNUMBER($L101),ISNUMBER($H101)),$H101,0)</f>
        <v/>
      </c>
      <c r="T101" s="24">
        <f>IF(AND($Q101=1,ISNUMBER($M101),ISNUMBER($H101)),$M101*$H101,0)</f>
        <v/>
      </c>
      <c r="U101" s="23">
        <f>IF(AND($Q101=1,ISNUMBER($M101),ISNUMBER($H101)),$H101,0)</f>
        <v/>
      </c>
      <c r="V101" s="24">
        <f>IF(AND($Q101=1,ISNUMBER($N101),ISNUMBER($H101)),$N101*$H101,0)</f>
        <v/>
      </c>
      <c r="W101" s="23">
        <f>IF(AND($Q101=1,ISNUMBER($N101),ISNUMBER($H101)),$H101,0)</f>
        <v/>
      </c>
      <c r="X101" s="24">
        <f>IF(AND($Q101=1,ISNUMBER($O101),ISNUMBER($H101)),$O101*$H101,0)</f>
        <v/>
      </c>
      <c r="Y101" s="23">
        <f>IF(AND($Q101=1,ISNUMBER($O101),ISNUMBER($H101)),$H101,0)</f>
        <v/>
      </c>
      <c r="Z101" s="23">
        <f>IF($Q101=0,"",IF(COUNTIF($B$5:$B101,$B101)&gt;1,"",MAX(0,MAX($Z$5:$Z100))+1))</f>
        <v/>
      </c>
    </row>
    <row r="102">
      <c r="A102" s="14">
        <f>IFERROR(IF(INDEX('Index Members'!$A$4:$A$403,ROW()-4)=0,"",INDEX('Index Members'!$A$4:$A$403,ROW()-4)),"")</f>
        <v/>
      </c>
      <c r="B102" s="14">
        <f>IF($A102="","",IFERROR(IF(VLOOKUP($A102,'Sector Map'!$A$4:$B$123,2,FALSE)=0,"NO SECTOR",VLOOKUP($A102,'Sector Map'!$A$4:$B$123,2,FALSE)),"NOT IN MAP"))</f>
        <v/>
      </c>
      <c r="C102" s="14">
        <f>IF($A102="","",$A102&amp;TkSuffix)</f>
        <v/>
      </c>
      <c r="D102" s="17">
        <f>IF($C102="","",BDP($C102,FldMcap))</f>
        <v/>
      </c>
      <c r="E102" s="17">
        <f>IF($C102="","",BDP($C102,FldShOut))</f>
        <v/>
      </c>
      <c r="F102" s="18">
        <f>IF($C102="","",BDP($C102,FldPx))</f>
        <v/>
      </c>
      <c r="G102" s="19">
        <f>IFERROR($E102*$F102,"")</f>
        <v/>
      </c>
      <c r="H102" s="20">
        <f>IFERROR(IF(WgtBasis="SEC_CAP",$G102,$D102),"")</f>
        <v/>
      </c>
      <c r="I102" s="18">
        <f>IF($C102="","",BDP($C102,FldEps,"BEST_FPERIOD_OVERRIDE="&amp;FpOvr))</f>
        <v/>
      </c>
      <c r="J102" s="18">
        <f>IF($C102="","",IFERROR(INDEX(BDH($C102,FldEps,DtRevA,DtRevA,"BEST_FPERIOD_OVERRIDE="&amp;FpOvr,"Days=A","Fill=P"),1,1),""))</f>
        <v/>
      </c>
      <c r="K102" s="18">
        <f>IF($C102="","",IFERROR(INDEX(BDH($C102,FldEps,DtRevB,DtRevB,"BEST_FPERIOD_OVERRIDE="&amp;FpOvr,"Days=A","Fill=P"),1,1),""))</f>
        <v/>
      </c>
      <c r="L102" s="21">
        <f>IFERROR(IF($J102&lt;=0,"",$I102/$J102-1),"")</f>
        <v/>
      </c>
      <c r="M102" s="21">
        <f>IFERROR(IF($K102&lt;=0,"",$I102/$K102-1),"")</f>
        <v/>
      </c>
      <c r="N102" s="22">
        <f>IF($C102="","",IFERROR(BDP($C102,FldTRR,"CUST_TRR_START_DT="&amp;TEXT(DtMomA,"yyyymmdd"),"CUST_TRR_END_DT="&amp;TEXT(AsOf,"yyyymmdd"))/100,""))</f>
        <v/>
      </c>
      <c r="O102" s="22">
        <f>IF($C102="","",IFERROR(BDP($C102,FldTRR,"CUST_TRR_START_DT="&amp;TEXT(DtMomB,"yyyymmdd"),"CUST_TRR_END_DT="&amp;TEXT(AsOf,"yyyymmdd"))/100,""))</f>
        <v/>
      </c>
      <c r="P102" s="2">
        <f>IF($A102="","",IF($Q102=0,"sector missing",IF(NOT(ISNUMBER($H102)),"no market cap",IF(COUNT($L102:$O102)=4,"complete","missing "&amp;(4-COUNT($L102:$O102))&amp;" of 4 factors"))))</f>
        <v/>
      </c>
      <c r="Q102" s="23">
        <f>IF(OR($B102="",$B102="NO SECTOR",$B102="NOT IN MAP"),0,1)</f>
        <v/>
      </c>
      <c r="R102" s="24">
        <f>IF(AND($Q102=1,ISNUMBER($L102),ISNUMBER($H102)),$L102*$H102,0)</f>
        <v/>
      </c>
      <c r="S102" s="23">
        <f>IF(AND($Q102=1,ISNUMBER($L102),ISNUMBER($H102)),$H102,0)</f>
        <v/>
      </c>
      <c r="T102" s="24">
        <f>IF(AND($Q102=1,ISNUMBER($M102),ISNUMBER($H102)),$M102*$H102,0)</f>
        <v/>
      </c>
      <c r="U102" s="23">
        <f>IF(AND($Q102=1,ISNUMBER($M102),ISNUMBER($H102)),$H102,0)</f>
        <v/>
      </c>
      <c r="V102" s="24">
        <f>IF(AND($Q102=1,ISNUMBER($N102),ISNUMBER($H102)),$N102*$H102,0)</f>
        <v/>
      </c>
      <c r="W102" s="23">
        <f>IF(AND($Q102=1,ISNUMBER($N102),ISNUMBER($H102)),$H102,0)</f>
        <v/>
      </c>
      <c r="X102" s="24">
        <f>IF(AND($Q102=1,ISNUMBER($O102),ISNUMBER($H102)),$O102*$H102,0)</f>
        <v/>
      </c>
      <c r="Y102" s="23">
        <f>IF(AND($Q102=1,ISNUMBER($O102),ISNUMBER($H102)),$H102,0)</f>
        <v/>
      </c>
      <c r="Z102" s="23">
        <f>IF($Q102=0,"",IF(COUNTIF($B$5:$B102,$B102)&gt;1,"",MAX(0,MAX($Z$5:$Z101))+1))</f>
        <v/>
      </c>
    </row>
    <row r="103">
      <c r="A103" s="14">
        <f>IFERROR(IF(INDEX('Index Members'!$A$4:$A$403,ROW()-4)=0,"",INDEX('Index Members'!$A$4:$A$403,ROW()-4)),"")</f>
        <v/>
      </c>
      <c r="B103" s="14">
        <f>IF($A103="","",IFERROR(IF(VLOOKUP($A103,'Sector Map'!$A$4:$B$123,2,FALSE)=0,"NO SECTOR",VLOOKUP($A103,'Sector Map'!$A$4:$B$123,2,FALSE)),"NOT IN MAP"))</f>
        <v/>
      </c>
      <c r="C103" s="14">
        <f>IF($A103="","",$A103&amp;TkSuffix)</f>
        <v/>
      </c>
      <c r="D103" s="17">
        <f>IF($C103="","",BDP($C103,FldMcap))</f>
        <v/>
      </c>
      <c r="E103" s="17">
        <f>IF($C103="","",BDP($C103,FldShOut))</f>
        <v/>
      </c>
      <c r="F103" s="18">
        <f>IF($C103="","",BDP($C103,FldPx))</f>
        <v/>
      </c>
      <c r="G103" s="19">
        <f>IFERROR($E103*$F103,"")</f>
        <v/>
      </c>
      <c r="H103" s="20">
        <f>IFERROR(IF(WgtBasis="SEC_CAP",$G103,$D103),"")</f>
        <v/>
      </c>
      <c r="I103" s="18">
        <f>IF($C103="","",BDP($C103,FldEps,"BEST_FPERIOD_OVERRIDE="&amp;FpOvr))</f>
        <v/>
      </c>
      <c r="J103" s="18">
        <f>IF($C103="","",IFERROR(INDEX(BDH($C103,FldEps,DtRevA,DtRevA,"BEST_FPERIOD_OVERRIDE="&amp;FpOvr,"Days=A","Fill=P"),1,1),""))</f>
        <v/>
      </c>
      <c r="K103" s="18">
        <f>IF($C103="","",IFERROR(INDEX(BDH($C103,FldEps,DtRevB,DtRevB,"BEST_FPERIOD_OVERRIDE="&amp;FpOvr,"Days=A","Fill=P"),1,1),""))</f>
        <v/>
      </c>
      <c r="L103" s="21">
        <f>IFERROR(IF($J103&lt;=0,"",$I103/$J103-1),"")</f>
        <v/>
      </c>
      <c r="M103" s="21">
        <f>IFERROR(IF($K103&lt;=0,"",$I103/$K103-1),"")</f>
        <v/>
      </c>
      <c r="N103" s="22">
        <f>IF($C103="","",IFERROR(BDP($C103,FldTRR,"CUST_TRR_START_DT="&amp;TEXT(DtMomA,"yyyymmdd"),"CUST_TRR_END_DT="&amp;TEXT(AsOf,"yyyymmdd"))/100,""))</f>
        <v/>
      </c>
      <c r="O103" s="22">
        <f>IF($C103="","",IFERROR(BDP($C103,FldTRR,"CUST_TRR_START_DT="&amp;TEXT(DtMomB,"yyyymmdd"),"CUST_TRR_END_DT="&amp;TEXT(AsOf,"yyyymmdd"))/100,""))</f>
        <v/>
      </c>
      <c r="P103" s="2">
        <f>IF($A103="","",IF($Q103=0,"sector missing",IF(NOT(ISNUMBER($H103)),"no market cap",IF(COUNT($L103:$O103)=4,"complete","missing "&amp;(4-COUNT($L103:$O103))&amp;" of 4 factors"))))</f>
        <v/>
      </c>
      <c r="Q103" s="23">
        <f>IF(OR($B103="",$B103="NO SECTOR",$B103="NOT IN MAP"),0,1)</f>
        <v/>
      </c>
      <c r="R103" s="24">
        <f>IF(AND($Q103=1,ISNUMBER($L103),ISNUMBER($H103)),$L103*$H103,0)</f>
        <v/>
      </c>
      <c r="S103" s="23">
        <f>IF(AND($Q103=1,ISNUMBER($L103),ISNUMBER($H103)),$H103,0)</f>
        <v/>
      </c>
      <c r="T103" s="24">
        <f>IF(AND($Q103=1,ISNUMBER($M103),ISNUMBER($H103)),$M103*$H103,0)</f>
        <v/>
      </c>
      <c r="U103" s="23">
        <f>IF(AND($Q103=1,ISNUMBER($M103),ISNUMBER($H103)),$H103,0)</f>
        <v/>
      </c>
      <c r="V103" s="24">
        <f>IF(AND($Q103=1,ISNUMBER($N103),ISNUMBER($H103)),$N103*$H103,0)</f>
        <v/>
      </c>
      <c r="W103" s="23">
        <f>IF(AND($Q103=1,ISNUMBER($N103),ISNUMBER($H103)),$H103,0)</f>
        <v/>
      </c>
      <c r="X103" s="24">
        <f>IF(AND($Q103=1,ISNUMBER($O103),ISNUMBER($H103)),$O103*$H103,0)</f>
        <v/>
      </c>
      <c r="Y103" s="23">
        <f>IF(AND($Q103=1,ISNUMBER($O103),ISNUMBER($H103)),$H103,0)</f>
        <v/>
      </c>
      <c r="Z103" s="23">
        <f>IF($Q103=0,"",IF(COUNTIF($B$5:$B103,$B103)&gt;1,"",MAX(0,MAX($Z$5:$Z102))+1))</f>
        <v/>
      </c>
    </row>
    <row r="104">
      <c r="A104" s="14">
        <f>IFERROR(IF(INDEX('Index Members'!$A$4:$A$403,ROW()-4)=0,"",INDEX('Index Members'!$A$4:$A$403,ROW()-4)),"")</f>
        <v/>
      </c>
      <c r="B104" s="14">
        <f>IF($A104="","",IFERROR(IF(VLOOKUP($A104,'Sector Map'!$A$4:$B$123,2,FALSE)=0,"NO SECTOR",VLOOKUP($A104,'Sector Map'!$A$4:$B$123,2,FALSE)),"NOT IN MAP"))</f>
        <v/>
      </c>
      <c r="C104" s="14">
        <f>IF($A104="","",$A104&amp;TkSuffix)</f>
        <v/>
      </c>
      <c r="D104" s="17">
        <f>IF($C104="","",BDP($C104,FldMcap))</f>
        <v/>
      </c>
      <c r="E104" s="17">
        <f>IF($C104="","",BDP($C104,FldShOut))</f>
        <v/>
      </c>
      <c r="F104" s="18">
        <f>IF($C104="","",BDP($C104,FldPx))</f>
        <v/>
      </c>
      <c r="G104" s="19">
        <f>IFERROR($E104*$F104,"")</f>
        <v/>
      </c>
      <c r="H104" s="20">
        <f>IFERROR(IF(WgtBasis="SEC_CAP",$G104,$D104),"")</f>
        <v/>
      </c>
      <c r="I104" s="18">
        <f>IF($C104="","",BDP($C104,FldEps,"BEST_FPERIOD_OVERRIDE="&amp;FpOvr))</f>
        <v/>
      </c>
      <c r="J104" s="18">
        <f>IF($C104="","",IFERROR(INDEX(BDH($C104,FldEps,DtRevA,DtRevA,"BEST_FPERIOD_OVERRIDE="&amp;FpOvr,"Days=A","Fill=P"),1,1),""))</f>
        <v/>
      </c>
      <c r="K104" s="18">
        <f>IF($C104="","",IFERROR(INDEX(BDH($C104,FldEps,DtRevB,DtRevB,"BEST_FPERIOD_OVERRIDE="&amp;FpOvr,"Days=A","Fill=P"),1,1),""))</f>
        <v/>
      </c>
      <c r="L104" s="21">
        <f>IFERROR(IF($J104&lt;=0,"",$I104/$J104-1),"")</f>
        <v/>
      </c>
      <c r="M104" s="21">
        <f>IFERROR(IF($K104&lt;=0,"",$I104/$K104-1),"")</f>
        <v/>
      </c>
      <c r="N104" s="22">
        <f>IF($C104="","",IFERROR(BDP($C104,FldTRR,"CUST_TRR_START_DT="&amp;TEXT(DtMomA,"yyyymmdd"),"CUST_TRR_END_DT="&amp;TEXT(AsOf,"yyyymmdd"))/100,""))</f>
        <v/>
      </c>
      <c r="O104" s="22">
        <f>IF($C104="","",IFERROR(BDP($C104,FldTRR,"CUST_TRR_START_DT="&amp;TEXT(DtMomB,"yyyymmdd"),"CUST_TRR_END_DT="&amp;TEXT(AsOf,"yyyymmdd"))/100,""))</f>
        <v/>
      </c>
      <c r="P104" s="2">
        <f>IF($A104="","",IF($Q104=0,"sector missing",IF(NOT(ISNUMBER($H104)),"no market cap",IF(COUNT($L104:$O104)=4,"complete","missing "&amp;(4-COUNT($L104:$O104))&amp;" of 4 factors"))))</f>
        <v/>
      </c>
      <c r="Q104" s="23">
        <f>IF(OR($B104="",$B104="NO SECTOR",$B104="NOT IN MAP"),0,1)</f>
        <v/>
      </c>
      <c r="R104" s="24">
        <f>IF(AND($Q104=1,ISNUMBER($L104),ISNUMBER($H104)),$L104*$H104,0)</f>
        <v/>
      </c>
      <c r="S104" s="23">
        <f>IF(AND($Q104=1,ISNUMBER($L104),ISNUMBER($H104)),$H104,0)</f>
        <v/>
      </c>
      <c r="T104" s="24">
        <f>IF(AND($Q104=1,ISNUMBER($M104),ISNUMBER($H104)),$M104*$H104,0)</f>
        <v/>
      </c>
      <c r="U104" s="23">
        <f>IF(AND($Q104=1,ISNUMBER($M104),ISNUMBER($H104)),$H104,0)</f>
        <v/>
      </c>
      <c r="V104" s="24">
        <f>IF(AND($Q104=1,ISNUMBER($N104),ISNUMBER($H104)),$N104*$H104,0)</f>
        <v/>
      </c>
      <c r="W104" s="23">
        <f>IF(AND($Q104=1,ISNUMBER($N104),ISNUMBER($H104)),$H104,0)</f>
        <v/>
      </c>
      <c r="X104" s="24">
        <f>IF(AND($Q104=1,ISNUMBER($O104),ISNUMBER($H104)),$O104*$H104,0)</f>
        <v/>
      </c>
      <c r="Y104" s="23">
        <f>IF(AND($Q104=1,ISNUMBER($O104),ISNUMBER($H104)),$H104,0)</f>
        <v/>
      </c>
      <c r="Z104" s="23">
        <f>IF($Q104=0,"",IF(COUNTIF($B$5:$B104,$B104)&gt;1,"",MAX(0,MAX($Z$5:$Z103))+1))</f>
        <v/>
      </c>
    </row>
    <row r="105">
      <c r="A105" s="14">
        <f>IFERROR(IF(INDEX('Index Members'!$A$4:$A$403,ROW()-4)=0,"",INDEX('Index Members'!$A$4:$A$403,ROW()-4)),"")</f>
        <v/>
      </c>
      <c r="B105" s="14">
        <f>IF($A105="","",IFERROR(IF(VLOOKUP($A105,'Sector Map'!$A$4:$B$123,2,FALSE)=0,"NO SECTOR",VLOOKUP($A105,'Sector Map'!$A$4:$B$123,2,FALSE)),"NOT IN MAP"))</f>
        <v/>
      </c>
      <c r="C105" s="14">
        <f>IF($A105="","",$A105&amp;TkSuffix)</f>
        <v/>
      </c>
      <c r="D105" s="17">
        <f>IF($C105="","",BDP($C105,FldMcap))</f>
        <v/>
      </c>
      <c r="E105" s="17">
        <f>IF($C105="","",BDP($C105,FldShOut))</f>
        <v/>
      </c>
      <c r="F105" s="18">
        <f>IF($C105="","",BDP($C105,FldPx))</f>
        <v/>
      </c>
      <c r="G105" s="19">
        <f>IFERROR($E105*$F105,"")</f>
        <v/>
      </c>
      <c r="H105" s="20">
        <f>IFERROR(IF(WgtBasis="SEC_CAP",$G105,$D105),"")</f>
        <v/>
      </c>
      <c r="I105" s="18">
        <f>IF($C105="","",BDP($C105,FldEps,"BEST_FPERIOD_OVERRIDE="&amp;FpOvr))</f>
        <v/>
      </c>
      <c r="J105" s="18">
        <f>IF($C105="","",IFERROR(INDEX(BDH($C105,FldEps,DtRevA,DtRevA,"BEST_FPERIOD_OVERRIDE="&amp;FpOvr,"Days=A","Fill=P"),1,1),""))</f>
        <v/>
      </c>
      <c r="K105" s="18">
        <f>IF($C105="","",IFERROR(INDEX(BDH($C105,FldEps,DtRevB,DtRevB,"BEST_FPERIOD_OVERRIDE="&amp;FpOvr,"Days=A","Fill=P"),1,1),""))</f>
        <v/>
      </c>
      <c r="L105" s="21">
        <f>IFERROR(IF($J105&lt;=0,"",$I105/$J105-1),"")</f>
        <v/>
      </c>
      <c r="M105" s="21">
        <f>IFERROR(IF($K105&lt;=0,"",$I105/$K105-1),"")</f>
        <v/>
      </c>
      <c r="N105" s="22">
        <f>IF($C105="","",IFERROR(BDP($C105,FldTRR,"CUST_TRR_START_DT="&amp;TEXT(DtMomA,"yyyymmdd"),"CUST_TRR_END_DT="&amp;TEXT(AsOf,"yyyymmdd"))/100,""))</f>
        <v/>
      </c>
      <c r="O105" s="22">
        <f>IF($C105="","",IFERROR(BDP($C105,FldTRR,"CUST_TRR_START_DT="&amp;TEXT(DtMomB,"yyyymmdd"),"CUST_TRR_END_DT="&amp;TEXT(AsOf,"yyyymmdd"))/100,""))</f>
        <v/>
      </c>
      <c r="P105" s="2">
        <f>IF($A105="","",IF($Q105=0,"sector missing",IF(NOT(ISNUMBER($H105)),"no market cap",IF(COUNT($L105:$O105)=4,"complete","missing "&amp;(4-COUNT($L105:$O105))&amp;" of 4 factors"))))</f>
        <v/>
      </c>
      <c r="Q105" s="23">
        <f>IF(OR($B105="",$B105="NO SECTOR",$B105="NOT IN MAP"),0,1)</f>
        <v/>
      </c>
      <c r="R105" s="24">
        <f>IF(AND($Q105=1,ISNUMBER($L105),ISNUMBER($H105)),$L105*$H105,0)</f>
        <v/>
      </c>
      <c r="S105" s="23">
        <f>IF(AND($Q105=1,ISNUMBER($L105),ISNUMBER($H105)),$H105,0)</f>
        <v/>
      </c>
      <c r="T105" s="24">
        <f>IF(AND($Q105=1,ISNUMBER($M105),ISNUMBER($H105)),$M105*$H105,0)</f>
        <v/>
      </c>
      <c r="U105" s="23">
        <f>IF(AND($Q105=1,ISNUMBER($M105),ISNUMBER($H105)),$H105,0)</f>
        <v/>
      </c>
      <c r="V105" s="24">
        <f>IF(AND($Q105=1,ISNUMBER($N105),ISNUMBER($H105)),$N105*$H105,0)</f>
        <v/>
      </c>
      <c r="W105" s="23">
        <f>IF(AND($Q105=1,ISNUMBER($N105),ISNUMBER($H105)),$H105,0)</f>
        <v/>
      </c>
      <c r="X105" s="24">
        <f>IF(AND($Q105=1,ISNUMBER($O105),ISNUMBER($H105)),$O105*$H105,0)</f>
        <v/>
      </c>
      <c r="Y105" s="23">
        <f>IF(AND($Q105=1,ISNUMBER($O105),ISNUMBER($H105)),$H105,0)</f>
        <v/>
      </c>
      <c r="Z105" s="23">
        <f>IF($Q105=0,"",IF(COUNTIF($B$5:$B105,$B105)&gt;1,"",MAX(0,MAX($Z$5:$Z104))+1))</f>
        <v/>
      </c>
    </row>
    <row r="106">
      <c r="A106" s="14">
        <f>IFERROR(IF(INDEX('Index Members'!$A$4:$A$403,ROW()-4)=0,"",INDEX('Index Members'!$A$4:$A$403,ROW()-4)),"")</f>
        <v/>
      </c>
      <c r="B106" s="14">
        <f>IF($A106="","",IFERROR(IF(VLOOKUP($A106,'Sector Map'!$A$4:$B$123,2,FALSE)=0,"NO SECTOR",VLOOKUP($A106,'Sector Map'!$A$4:$B$123,2,FALSE)),"NOT IN MAP"))</f>
        <v/>
      </c>
      <c r="C106" s="14">
        <f>IF($A106="","",$A106&amp;TkSuffix)</f>
        <v/>
      </c>
      <c r="D106" s="17">
        <f>IF($C106="","",BDP($C106,FldMcap))</f>
        <v/>
      </c>
      <c r="E106" s="17">
        <f>IF($C106="","",BDP($C106,FldShOut))</f>
        <v/>
      </c>
      <c r="F106" s="18">
        <f>IF($C106="","",BDP($C106,FldPx))</f>
        <v/>
      </c>
      <c r="G106" s="19">
        <f>IFERROR($E106*$F106,"")</f>
        <v/>
      </c>
      <c r="H106" s="20">
        <f>IFERROR(IF(WgtBasis="SEC_CAP",$G106,$D106),"")</f>
        <v/>
      </c>
      <c r="I106" s="18">
        <f>IF($C106="","",BDP($C106,FldEps,"BEST_FPERIOD_OVERRIDE="&amp;FpOvr))</f>
        <v/>
      </c>
      <c r="J106" s="18">
        <f>IF($C106="","",IFERROR(INDEX(BDH($C106,FldEps,DtRevA,DtRevA,"BEST_FPERIOD_OVERRIDE="&amp;FpOvr,"Days=A","Fill=P"),1,1),""))</f>
        <v/>
      </c>
      <c r="K106" s="18">
        <f>IF($C106="","",IFERROR(INDEX(BDH($C106,FldEps,DtRevB,DtRevB,"BEST_FPERIOD_OVERRIDE="&amp;FpOvr,"Days=A","Fill=P"),1,1),""))</f>
        <v/>
      </c>
      <c r="L106" s="21">
        <f>IFERROR(IF($J106&lt;=0,"",$I106/$J106-1),"")</f>
        <v/>
      </c>
      <c r="M106" s="21">
        <f>IFERROR(IF($K106&lt;=0,"",$I106/$K106-1),"")</f>
        <v/>
      </c>
      <c r="N106" s="22">
        <f>IF($C106="","",IFERROR(BDP($C106,FldTRR,"CUST_TRR_START_DT="&amp;TEXT(DtMomA,"yyyymmdd"),"CUST_TRR_END_DT="&amp;TEXT(AsOf,"yyyymmdd"))/100,""))</f>
        <v/>
      </c>
      <c r="O106" s="22">
        <f>IF($C106="","",IFERROR(BDP($C106,FldTRR,"CUST_TRR_START_DT="&amp;TEXT(DtMomB,"yyyymmdd"),"CUST_TRR_END_DT="&amp;TEXT(AsOf,"yyyymmdd"))/100,""))</f>
        <v/>
      </c>
      <c r="P106" s="2">
        <f>IF($A106="","",IF($Q106=0,"sector missing",IF(NOT(ISNUMBER($H106)),"no market cap",IF(COUNT($L106:$O106)=4,"complete","missing "&amp;(4-COUNT($L106:$O106))&amp;" of 4 factors"))))</f>
        <v/>
      </c>
      <c r="Q106" s="23">
        <f>IF(OR($B106="",$B106="NO SECTOR",$B106="NOT IN MAP"),0,1)</f>
        <v/>
      </c>
      <c r="R106" s="24">
        <f>IF(AND($Q106=1,ISNUMBER($L106),ISNUMBER($H106)),$L106*$H106,0)</f>
        <v/>
      </c>
      <c r="S106" s="23">
        <f>IF(AND($Q106=1,ISNUMBER($L106),ISNUMBER($H106)),$H106,0)</f>
        <v/>
      </c>
      <c r="T106" s="24">
        <f>IF(AND($Q106=1,ISNUMBER($M106),ISNUMBER($H106)),$M106*$H106,0)</f>
        <v/>
      </c>
      <c r="U106" s="23">
        <f>IF(AND($Q106=1,ISNUMBER($M106),ISNUMBER($H106)),$H106,0)</f>
        <v/>
      </c>
      <c r="V106" s="24">
        <f>IF(AND($Q106=1,ISNUMBER($N106),ISNUMBER($H106)),$N106*$H106,0)</f>
        <v/>
      </c>
      <c r="W106" s="23">
        <f>IF(AND($Q106=1,ISNUMBER($N106),ISNUMBER($H106)),$H106,0)</f>
        <v/>
      </c>
      <c r="X106" s="24">
        <f>IF(AND($Q106=1,ISNUMBER($O106),ISNUMBER($H106)),$O106*$H106,0)</f>
        <v/>
      </c>
      <c r="Y106" s="23">
        <f>IF(AND($Q106=1,ISNUMBER($O106),ISNUMBER($H106)),$H106,0)</f>
        <v/>
      </c>
      <c r="Z106" s="23">
        <f>IF($Q106=0,"",IF(COUNTIF($B$5:$B106,$B106)&gt;1,"",MAX(0,MAX($Z$5:$Z105))+1))</f>
        <v/>
      </c>
    </row>
    <row r="107">
      <c r="A107" s="14">
        <f>IFERROR(IF(INDEX('Index Members'!$A$4:$A$403,ROW()-4)=0,"",INDEX('Index Members'!$A$4:$A$403,ROW()-4)),"")</f>
        <v/>
      </c>
      <c r="B107" s="14">
        <f>IF($A107="","",IFERROR(IF(VLOOKUP($A107,'Sector Map'!$A$4:$B$123,2,FALSE)=0,"NO SECTOR",VLOOKUP($A107,'Sector Map'!$A$4:$B$123,2,FALSE)),"NOT IN MAP"))</f>
        <v/>
      </c>
      <c r="C107" s="14">
        <f>IF($A107="","",$A107&amp;TkSuffix)</f>
        <v/>
      </c>
      <c r="D107" s="17">
        <f>IF($C107="","",BDP($C107,FldMcap))</f>
        <v/>
      </c>
      <c r="E107" s="17">
        <f>IF($C107="","",BDP($C107,FldShOut))</f>
        <v/>
      </c>
      <c r="F107" s="18">
        <f>IF($C107="","",BDP($C107,FldPx))</f>
        <v/>
      </c>
      <c r="G107" s="19">
        <f>IFERROR($E107*$F107,"")</f>
        <v/>
      </c>
      <c r="H107" s="20">
        <f>IFERROR(IF(WgtBasis="SEC_CAP",$G107,$D107),"")</f>
        <v/>
      </c>
      <c r="I107" s="18">
        <f>IF($C107="","",BDP($C107,FldEps,"BEST_FPERIOD_OVERRIDE="&amp;FpOvr))</f>
        <v/>
      </c>
      <c r="J107" s="18">
        <f>IF($C107="","",IFERROR(INDEX(BDH($C107,FldEps,DtRevA,DtRevA,"BEST_FPERIOD_OVERRIDE="&amp;FpOvr,"Days=A","Fill=P"),1,1),""))</f>
        <v/>
      </c>
      <c r="K107" s="18">
        <f>IF($C107="","",IFERROR(INDEX(BDH($C107,FldEps,DtRevB,DtRevB,"BEST_FPERIOD_OVERRIDE="&amp;FpOvr,"Days=A","Fill=P"),1,1),""))</f>
        <v/>
      </c>
      <c r="L107" s="21">
        <f>IFERROR(IF($J107&lt;=0,"",$I107/$J107-1),"")</f>
        <v/>
      </c>
      <c r="M107" s="21">
        <f>IFERROR(IF($K107&lt;=0,"",$I107/$K107-1),"")</f>
        <v/>
      </c>
      <c r="N107" s="22">
        <f>IF($C107="","",IFERROR(BDP($C107,FldTRR,"CUST_TRR_START_DT="&amp;TEXT(DtMomA,"yyyymmdd"),"CUST_TRR_END_DT="&amp;TEXT(AsOf,"yyyymmdd"))/100,""))</f>
        <v/>
      </c>
      <c r="O107" s="22">
        <f>IF($C107="","",IFERROR(BDP($C107,FldTRR,"CUST_TRR_START_DT="&amp;TEXT(DtMomB,"yyyymmdd"),"CUST_TRR_END_DT="&amp;TEXT(AsOf,"yyyymmdd"))/100,""))</f>
        <v/>
      </c>
      <c r="P107" s="2">
        <f>IF($A107="","",IF($Q107=0,"sector missing",IF(NOT(ISNUMBER($H107)),"no market cap",IF(COUNT($L107:$O107)=4,"complete","missing "&amp;(4-COUNT($L107:$O107))&amp;" of 4 factors"))))</f>
        <v/>
      </c>
      <c r="Q107" s="23">
        <f>IF(OR($B107="",$B107="NO SECTOR",$B107="NOT IN MAP"),0,1)</f>
        <v/>
      </c>
      <c r="R107" s="24">
        <f>IF(AND($Q107=1,ISNUMBER($L107),ISNUMBER($H107)),$L107*$H107,0)</f>
        <v/>
      </c>
      <c r="S107" s="23">
        <f>IF(AND($Q107=1,ISNUMBER($L107),ISNUMBER($H107)),$H107,0)</f>
        <v/>
      </c>
      <c r="T107" s="24">
        <f>IF(AND($Q107=1,ISNUMBER($M107),ISNUMBER($H107)),$M107*$H107,0)</f>
        <v/>
      </c>
      <c r="U107" s="23">
        <f>IF(AND($Q107=1,ISNUMBER($M107),ISNUMBER($H107)),$H107,0)</f>
        <v/>
      </c>
      <c r="V107" s="24">
        <f>IF(AND($Q107=1,ISNUMBER($N107),ISNUMBER($H107)),$N107*$H107,0)</f>
        <v/>
      </c>
      <c r="W107" s="23">
        <f>IF(AND($Q107=1,ISNUMBER($N107),ISNUMBER($H107)),$H107,0)</f>
        <v/>
      </c>
      <c r="X107" s="24">
        <f>IF(AND($Q107=1,ISNUMBER($O107),ISNUMBER($H107)),$O107*$H107,0)</f>
        <v/>
      </c>
      <c r="Y107" s="23">
        <f>IF(AND($Q107=1,ISNUMBER($O107),ISNUMBER($H107)),$H107,0)</f>
        <v/>
      </c>
      <c r="Z107" s="23">
        <f>IF($Q107=0,"",IF(COUNTIF($B$5:$B107,$B107)&gt;1,"",MAX(0,MAX($Z$5:$Z106))+1))</f>
        <v/>
      </c>
    </row>
    <row r="108">
      <c r="A108" s="14">
        <f>IFERROR(IF(INDEX('Index Members'!$A$4:$A$403,ROW()-4)=0,"",INDEX('Index Members'!$A$4:$A$403,ROW()-4)),"")</f>
        <v/>
      </c>
      <c r="B108" s="14">
        <f>IF($A108="","",IFERROR(IF(VLOOKUP($A108,'Sector Map'!$A$4:$B$123,2,FALSE)=0,"NO SECTOR",VLOOKUP($A108,'Sector Map'!$A$4:$B$123,2,FALSE)),"NOT IN MAP"))</f>
        <v/>
      </c>
      <c r="C108" s="14">
        <f>IF($A108="","",$A108&amp;TkSuffix)</f>
        <v/>
      </c>
      <c r="D108" s="17">
        <f>IF($C108="","",BDP($C108,FldMcap))</f>
        <v/>
      </c>
      <c r="E108" s="17">
        <f>IF($C108="","",BDP($C108,FldShOut))</f>
        <v/>
      </c>
      <c r="F108" s="18">
        <f>IF($C108="","",BDP($C108,FldPx))</f>
        <v/>
      </c>
      <c r="G108" s="19">
        <f>IFERROR($E108*$F108,"")</f>
        <v/>
      </c>
      <c r="H108" s="20">
        <f>IFERROR(IF(WgtBasis="SEC_CAP",$G108,$D108),"")</f>
        <v/>
      </c>
      <c r="I108" s="18">
        <f>IF($C108="","",BDP($C108,FldEps,"BEST_FPERIOD_OVERRIDE="&amp;FpOvr))</f>
        <v/>
      </c>
      <c r="J108" s="18">
        <f>IF($C108="","",IFERROR(INDEX(BDH($C108,FldEps,DtRevA,DtRevA,"BEST_FPERIOD_OVERRIDE="&amp;FpOvr,"Days=A","Fill=P"),1,1),""))</f>
        <v/>
      </c>
      <c r="K108" s="18">
        <f>IF($C108="","",IFERROR(INDEX(BDH($C108,FldEps,DtRevB,DtRevB,"BEST_FPERIOD_OVERRIDE="&amp;FpOvr,"Days=A","Fill=P"),1,1),""))</f>
        <v/>
      </c>
      <c r="L108" s="21">
        <f>IFERROR(IF($J108&lt;=0,"",$I108/$J108-1),"")</f>
        <v/>
      </c>
      <c r="M108" s="21">
        <f>IFERROR(IF($K108&lt;=0,"",$I108/$K108-1),"")</f>
        <v/>
      </c>
      <c r="N108" s="22">
        <f>IF($C108="","",IFERROR(BDP($C108,FldTRR,"CUST_TRR_START_DT="&amp;TEXT(DtMomA,"yyyymmdd"),"CUST_TRR_END_DT="&amp;TEXT(AsOf,"yyyymmdd"))/100,""))</f>
        <v/>
      </c>
      <c r="O108" s="22">
        <f>IF($C108="","",IFERROR(BDP($C108,FldTRR,"CUST_TRR_START_DT="&amp;TEXT(DtMomB,"yyyymmdd"),"CUST_TRR_END_DT="&amp;TEXT(AsOf,"yyyymmdd"))/100,""))</f>
        <v/>
      </c>
      <c r="P108" s="2">
        <f>IF($A108="","",IF($Q108=0,"sector missing",IF(NOT(ISNUMBER($H108)),"no market cap",IF(COUNT($L108:$O108)=4,"complete","missing "&amp;(4-COUNT($L108:$O108))&amp;" of 4 factors"))))</f>
        <v/>
      </c>
      <c r="Q108" s="23">
        <f>IF(OR($B108="",$B108="NO SECTOR",$B108="NOT IN MAP"),0,1)</f>
        <v/>
      </c>
      <c r="R108" s="24">
        <f>IF(AND($Q108=1,ISNUMBER($L108),ISNUMBER($H108)),$L108*$H108,0)</f>
        <v/>
      </c>
      <c r="S108" s="23">
        <f>IF(AND($Q108=1,ISNUMBER($L108),ISNUMBER($H108)),$H108,0)</f>
        <v/>
      </c>
      <c r="T108" s="24">
        <f>IF(AND($Q108=1,ISNUMBER($M108),ISNUMBER($H108)),$M108*$H108,0)</f>
        <v/>
      </c>
      <c r="U108" s="23">
        <f>IF(AND($Q108=1,ISNUMBER($M108),ISNUMBER($H108)),$H108,0)</f>
        <v/>
      </c>
      <c r="V108" s="24">
        <f>IF(AND($Q108=1,ISNUMBER($N108),ISNUMBER($H108)),$N108*$H108,0)</f>
        <v/>
      </c>
      <c r="W108" s="23">
        <f>IF(AND($Q108=1,ISNUMBER($N108),ISNUMBER($H108)),$H108,0)</f>
        <v/>
      </c>
      <c r="X108" s="24">
        <f>IF(AND($Q108=1,ISNUMBER($O108),ISNUMBER($H108)),$O108*$H108,0)</f>
        <v/>
      </c>
      <c r="Y108" s="23">
        <f>IF(AND($Q108=1,ISNUMBER($O108),ISNUMBER($H108)),$H108,0)</f>
        <v/>
      </c>
      <c r="Z108" s="23">
        <f>IF($Q108=0,"",IF(COUNTIF($B$5:$B108,$B108)&gt;1,"",MAX(0,MAX($Z$5:$Z107))+1))</f>
        <v/>
      </c>
    </row>
    <row r="109">
      <c r="A109" s="14">
        <f>IFERROR(IF(INDEX('Index Members'!$A$4:$A$403,ROW()-4)=0,"",INDEX('Index Members'!$A$4:$A$403,ROW()-4)),"")</f>
        <v/>
      </c>
      <c r="B109" s="14">
        <f>IF($A109="","",IFERROR(IF(VLOOKUP($A109,'Sector Map'!$A$4:$B$123,2,FALSE)=0,"NO SECTOR",VLOOKUP($A109,'Sector Map'!$A$4:$B$123,2,FALSE)),"NOT IN MAP"))</f>
        <v/>
      </c>
      <c r="C109" s="14">
        <f>IF($A109="","",$A109&amp;TkSuffix)</f>
        <v/>
      </c>
      <c r="D109" s="17">
        <f>IF($C109="","",BDP($C109,FldMcap))</f>
        <v/>
      </c>
      <c r="E109" s="17">
        <f>IF($C109="","",BDP($C109,FldShOut))</f>
        <v/>
      </c>
      <c r="F109" s="18">
        <f>IF($C109="","",BDP($C109,FldPx))</f>
        <v/>
      </c>
      <c r="G109" s="19">
        <f>IFERROR($E109*$F109,"")</f>
        <v/>
      </c>
      <c r="H109" s="20">
        <f>IFERROR(IF(WgtBasis="SEC_CAP",$G109,$D109),"")</f>
        <v/>
      </c>
      <c r="I109" s="18">
        <f>IF($C109="","",BDP($C109,FldEps,"BEST_FPERIOD_OVERRIDE="&amp;FpOvr))</f>
        <v/>
      </c>
      <c r="J109" s="18">
        <f>IF($C109="","",IFERROR(INDEX(BDH($C109,FldEps,DtRevA,DtRevA,"BEST_FPERIOD_OVERRIDE="&amp;FpOvr,"Days=A","Fill=P"),1,1),""))</f>
        <v/>
      </c>
      <c r="K109" s="18">
        <f>IF($C109="","",IFERROR(INDEX(BDH($C109,FldEps,DtRevB,DtRevB,"BEST_FPERIOD_OVERRIDE="&amp;FpOvr,"Days=A","Fill=P"),1,1),""))</f>
        <v/>
      </c>
      <c r="L109" s="21">
        <f>IFERROR(IF($J109&lt;=0,"",$I109/$J109-1),"")</f>
        <v/>
      </c>
      <c r="M109" s="21">
        <f>IFERROR(IF($K109&lt;=0,"",$I109/$K109-1),"")</f>
        <v/>
      </c>
      <c r="N109" s="22">
        <f>IF($C109="","",IFERROR(BDP($C109,FldTRR,"CUST_TRR_START_DT="&amp;TEXT(DtMomA,"yyyymmdd"),"CUST_TRR_END_DT="&amp;TEXT(AsOf,"yyyymmdd"))/100,""))</f>
        <v/>
      </c>
      <c r="O109" s="22">
        <f>IF($C109="","",IFERROR(BDP($C109,FldTRR,"CUST_TRR_START_DT="&amp;TEXT(DtMomB,"yyyymmdd"),"CUST_TRR_END_DT="&amp;TEXT(AsOf,"yyyymmdd"))/100,""))</f>
        <v/>
      </c>
      <c r="P109" s="2">
        <f>IF($A109="","",IF($Q109=0,"sector missing",IF(NOT(ISNUMBER($H109)),"no market cap",IF(COUNT($L109:$O109)=4,"complete","missing "&amp;(4-COUNT($L109:$O109))&amp;" of 4 factors"))))</f>
        <v/>
      </c>
      <c r="Q109" s="23">
        <f>IF(OR($B109="",$B109="NO SECTOR",$B109="NOT IN MAP"),0,1)</f>
        <v/>
      </c>
      <c r="R109" s="24">
        <f>IF(AND($Q109=1,ISNUMBER($L109),ISNUMBER($H109)),$L109*$H109,0)</f>
        <v/>
      </c>
      <c r="S109" s="23">
        <f>IF(AND($Q109=1,ISNUMBER($L109),ISNUMBER($H109)),$H109,0)</f>
        <v/>
      </c>
      <c r="T109" s="24">
        <f>IF(AND($Q109=1,ISNUMBER($M109),ISNUMBER($H109)),$M109*$H109,0)</f>
        <v/>
      </c>
      <c r="U109" s="23">
        <f>IF(AND($Q109=1,ISNUMBER($M109),ISNUMBER($H109)),$H109,0)</f>
        <v/>
      </c>
      <c r="V109" s="24">
        <f>IF(AND($Q109=1,ISNUMBER($N109),ISNUMBER($H109)),$N109*$H109,0)</f>
        <v/>
      </c>
      <c r="W109" s="23">
        <f>IF(AND($Q109=1,ISNUMBER($N109),ISNUMBER($H109)),$H109,0)</f>
        <v/>
      </c>
      <c r="X109" s="24">
        <f>IF(AND($Q109=1,ISNUMBER($O109),ISNUMBER($H109)),$O109*$H109,0)</f>
        <v/>
      </c>
      <c r="Y109" s="23">
        <f>IF(AND($Q109=1,ISNUMBER($O109),ISNUMBER($H109)),$H109,0)</f>
        <v/>
      </c>
      <c r="Z109" s="23">
        <f>IF($Q109=0,"",IF(COUNTIF($B$5:$B109,$B109)&gt;1,"",MAX(0,MAX($Z$5:$Z108))+1))</f>
        <v/>
      </c>
    </row>
    <row r="110">
      <c r="A110" s="14">
        <f>IFERROR(IF(INDEX('Index Members'!$A$4:$A$403,ROW()-4)=0,"",INDEX('Index Members'!$A$4:$A$403,ROW()-4)),"")</f>
        <v/>
      </c>
      <c r="B110" s="14">
        <f>IF($A110="","",IFERROR(IF(VLOOKUP($A110,'Sector Map'!$A$4:$B$123,2,FALSE)=0,"NO SECTOR",VLOOKUP($A110,'Sector Map'!$A$4:$B$123,2,FALSE)),"NOT IN MAP"))</f>
        <v/>
      </c>
      <c r="C110" s="14">
        <f>IF($A110="","",$A110&amp;TkSuffix)</f>
        <v/>
      </c>
      <c r="D110" s="17">
        <f>IF($C110="","",BDP($C110,FldMcap))</f>
        <v/>
      </c>
      <c r="E110" s="17">
        <f>IF($C110="","",BDP($C110,FldShOut))</f>
        <v/>
      </c>
      <c r="F110" s="18">
        <f>IF($C110="","",BDP($C110,FldPx))</f>
        <v/>
      </c>
      <c r="G110" s="19">
        <f>IFERROR($E110*$F110,"")</f>
        <v/>
      </c>
      <c r="H110" s="20">
        <f>IFERROR(IF(WgtBasis="SEC_CAP",$G110,$D110),"")</f>
        <v/>
      </c>
      <c r="I110" s="18">
        <f>IF($C110="","",BDP($C110,FldEps,"BEST_FPERIOD_OVERRIDE="&amp;FpOvr))</f>
        <v/>
      </c>
      <c r="J110" s="18">
        <f>IF($C110="","",IFERROR(INDEX(BDH($C110,FldEps,DtRevA,DtRevA,"BEST_FPERIOD_OVERRIDE="&amp;FpOvr,"Days=A","Fill=P"),1,1),""))</f>
        <v/>
      </c>
      <c r="K110" s="18">
        <f>IF($C110="","",IFERROR(INDEX(BDH($C110,FldEps,DtRevB,DtRevB,"BEST_FPERIOD_OVERRIDE="&amp;FpOvr,"Days=A","Fill=P"),1,1),""))</f>
        <v/>
      </c>
      <c r="L110" s="21">
        <f>IFERROR(IF($J110&lt;=0,"",$I110/$J110-1),"")</f>
        <v/>
      </c>
      <c r="M110" s="21">
        <f>IFERROR(IF($K110&lt;=0,"",$I110/$K110-1),"")</f>
        <v/>
      </c>
      <c r="N110" s="22">
        <f>IF($C110="","",IFERROR(BDP($C110,FldTRR,"CUST_TRR_START_DT="&amp;TEXT(DtMomA,"yyyymmdd"),"CUST_TRR_END_DT="&amp;TEXT(AsOf,"yyyymmdd"))/100,""))</f>
        <v/>
      </c>
      <c r="O110" s="22">
        <f>IF($C110="","",IFERROR(BDP($C110,FldTRR,"CUST_TRR_START_DT="&amp;TEXT(DtMomB,"yyyymmdd"),"CUST_TRR_END_DT="&amp;TEXT(AsOf,"yyyymmdd"))/100,""))</f>
        <v/>
      </c>
      <c r="P110" s="2">
        <f>IF($A110="","",IF($Q110=0,"sector missing",IF(NOT(ISNUMBER($H110)),"no market cap",IF(COUNT($L110:$O110)=4,"complete","missing "&amp;(4-COUNT($L110:$O110))&amp;" of 4 factors"))))</f>
        <v/>
      </c>
      <c r="Q110" s="23">
        <f>IF(OR($B110="",$B110="NO SECTOR",$B110="NOT IN MAP"),0,1)</f>
        <v/>
      </c>
      <c r="R110" s="24">
        <f>IF(AND($Q110=1,ISNUMBER($L110),ISNUMBER($H110)),$L110*$H110,0)</f>
        <v/>
      </c>
      <c r="S110" s="23">
        <f>IF(AND($Q110=1,ISNUMBER($L110),ISNUMBER($H110)),$H110,0)</f>
        <v/>
      </c>
      <c r="T110" s="24">
        <f>IF(AND($Q110=1,ISNUMBER($M110),ISNUMBER($H110)),$M110*$H110,0)</f>
        <v/>
      </c>
      <c r="U110" s="23">
        <f>IF(AND($Q110=1,ISNUMBER($M110),ISNUMBER($H110)),$H110,0)</f>
        <v/>
      </c>
      <c r="V110" s="24">
        <f>IF(AND($Q110=1,ISNUMBER($N110),ISNUMBER($H110)),$N110*$H110,0)</f>
        <v/>
      </c>
      <c r="W110" s="23">
        <f>IF(AND($Q110=1,ISNUMBER($N110),ISNUMBER($H110)),$H110,0)</f>
        <v/>
      </c>
      <c r="X110" s="24">
        <f>IF(AND($Q110=1,ISNUMBER($O110),ISNUMBER($H110)),$O110*$H110,0)</f>
        <v/>
      </c>
      <c r="Y110" s="23">
        <f>IF(AND($Q110=1,ISNUMBER($O110),ISNUMBER($H110)),$H110,0)</f>
        <v/>
      </c>
      <c r="Z110" s="23">
        <f>IF($Q110=0,"",IF(COUNTIF($B$5:$B110,$B110)&gt;1,"",MAX(0,MAX($Z$5:$Z109))+1))</f>
        <v/>
      </c>
    </row>
    <row r="111">
      <c r="A111" s="14">
        <f>IFERROR(IF(INDEX('Index Members'!$A$4:$A$403,ROW()-4)=0,"",INDEX('Index Members'!$A$4:$A$403,ROW()-4)),"")</f>
        <v/>
      </c>
      <c r="B111" s="14">
        <f>IF($A111="","",IFERROR(IF(VLOOKUP($A111,'Sector Map'!$A$4:$B$123,2,FALSE)=0,"NO SECTOR",VLOOKUP($A111,'Sector Map'!$A$4:$B$123,2,FALSE)),"NOT IN MAP"))</f>
        <v/>
      </c>
      <c r="C111" s="14">
        <f>IF($A111="","",$A111&amp;TkSuffix)</f>
        <v/>
      </c>
      <c r="D111" s="17">
        <f>IF($C111="","",BDP($C111,FldMcap))</f>
        <v/>
      </c>
      <c r="E111" s="17">
        <f>IF($C111="","",BDP($C111,FldShOut))</f>
        <v/>
      </c>
      <c r="F111" s="18">
        <f>IF($C111="","",BDP($C111,FldPx))</f>
        <v/>
      </c>
      <c r="G111" s="19">
        <f>IFERROR($E111*$F111,"")</f>
        <v/>
      </c>
      <c r="H111" s="20">
        <f>IFERROR(IF(WgtBasis="SEC_CAP",$G111,$D111),"")</f>
        <v/>
      </c>
      <c r="I111" s="18">
        <f>IF($C111="","",BDP($C111,FldEps,"BEST_FPERIOD_OVERRIDE="&amp;FpOvr))</f>
        <v/>
      </c>
      <c r="J111" s="18">
        <f>IF($C111="","",IFERROR(INDEX(BDH($C111,FldEps,DtRevA,DtRevA,"BEST_FPERIOD_OVERRIDE="&amp;FpOvr,"Days=A","Fill=P"),1,1),""))</f>
        <v/>
      </c>
      <c r="K111" s="18">
        <f>IF($C111="","",IFERROR(INDEX(BDH($C111,FldEps,DtRevB,DtRevB,"BEST_FPERIOD_OVERRIDE="&amp;FpOvr,"Days=A","Fill=P"),1,1),""))</f>
        <v/>
      </c>
      <c r="L111" s="21">
        <f>IFERROR(IF($J111&lt;=0,"",$I111/$J111-1),"")</f>
        <v/>
      </c>
      <c r="M111" s="21">
        <f>IFERROR(IF($K111&lt;=0,"",$I111/$K111-1),"")</f>
        <v/>
      </c>
      <c r="N111" s="22">
        <f>IF($C111="","",IFERROR(BDP($C111,FldTRR,"CUST_TRR_START_DT="&amp;TEXT(DtMomA,"yyyymmdd"),"CUST_TRR_END_DT="&amp;TEXT(AsOf,"yyyymmdd"))/100,""))</f>
        <v/>
      </c>
      <c r="O111" s="22">
        <f>IF($C111="","",IFERROR(BDP($C111,FldTRR,"CUST_TRR_START_DT="&amp;TEXT(DtMomB,"yyyymmdd"),"CUST_TRR_END_DT="&amp;TEXT(AsOf,"yyyymmdd"))/100,""))</f>
        <v/>
      </c>
      <c r="P111" s="2">
        <f>IF($A111="","",IF($Q111=0,"sector missing",IF(NOT(ISNUMBER($H111)),"no market cap",IF(COUNT($L111:$O111)=4,"complete","missing "&amp;(4-COUNT($L111:$O111))&amp;" of 4 factors"))))</f>
        <v/>
      </c>
      <c r="Q111" s="23">
        <f>IF(OR($B111="",$B111="NO SECTOR",$B111="NOT IN MAP"),0,1)</f>
        <v/>
      </c>
      <c r="R111" s="24">
        <f>IF(AND($Q111=1,ISNUMBER($L111),ISNUMBER($H111)),$L111*$H111,0)</f>
        <v/>
      </c>
      <c r="S111" s="23">
        <f>IF(AND($Q111=1,ISNUMBER($L111),ISNUMBER($H111)),$H111,0)</f>
        <v/>
      </c>
      <c r="T111" s="24">
        <f>IF(AND($Q111=1,ISNUMBER($M111),ISNUMBER($H111)),$M111*$H111,0)</f>
        <v/>
      </c>
      <c r="U111" s="23">
        <f>IF(AND($Q111=1,ISNUMBER($M111),ISNUMBER($H111)),$H111,0)</f>
        <v/>
      </c>
      <c r="V111" s="24">
        <f>IF(AND($Q111=1,ISNUMBER($N111),ISNUMBER($H111)),$N111*$H111,0)</f>
        <v/>
      </c>
      <c r="W111" s="23">
        <f>IF(AND($Q111=1,ISNUMBER($N111),ISNUMBER($H111)),$H111,0)</f>
        <v/>
      </c>
      <c r="X111" s="24">
        <f>IF(AND($Q111=1,ISNUMBER($O111),ISNUMBER($H111)),$O111*$H111,0)</f>
        <v/>
      </c>
      <c r="Y111" s="23">
        <f>IF(AND($Q111=1,ISNUMBER($O111),ISNUMBER($H111)),$H111,0)</f>
        <v/>
      </c>
      <c r="Z111" s="23">
        <f>IF($Q111=0,"",IF(COUNTIF($B$5:$B111,$B111)&gt;1,"",MAX(0,MAX($Z$5:$Z110))+1))</f>
        <v/>
      </c>
    </row>
    <row r="112">
      <c r="A112" s="14">
        <f>IFERROR(IF(INDEX('Index Members'!$A$4:$A$403,ROW()-4)=0,"",INDEX('Index Members'!$A$4:$A$403,ROW()-4)),"")</f>
        <v/>
      </c>
      <c r="B112" s="14">
        <f>IF($A112="","",IFERROR(IF(VLOOKUP($A112,'Sector Map'!$A$4:$B$123,2,FALSE)=0,"NO SECTOR",VLOOKUP($A112,'Sector Map'!$A$4:$B$123,2,FALSE)),"NOT IN MAP"))</f>
        <v/>
      </c>
      <c r="C112" s="14">
        <f>IF($A112="","",$A112&amp;TkSuffix)</f>
        <v/>
      </c>
      <c r="D112" s="17">
        <f>IF($C112="","",BDP($C112,FldMcap))</f>
        <v/>
      </c>
      <c r="E112" s="17">
        <f>IF($C112="","",BDP($C112,FldShOut))</f>
        <v/>
      </c>
      <c r="F112" s="18">
        <f>IF($C112="","",BDP($C112,FldPx))</f>
        <v/>
      </c>
      <c r="G112" s="19">
        <f>IFERROR($E112*$F112,"")</f>
        <v/>
      </c>
      <c r="H112" s="20">
        <f>IFERROR(IF(WgtBasis="SEC_CAP",$G112,$D112),"")</f>
        <v/>
      </c>
      <c r="I112" s="18">
        <f>IF($C112="","",BDP($C112,FldEps,"BEST_FPERIOD_OVERRIDE="&amp;FpOvr))</f>
        <v/>
      </c>
      <c r="J112" s="18">
        <f>IF($C112="","",IFERROR(INDEX(BDH($C112,FldEps,DtRevA,DtRevA,"BEST_FPERIOD_OVERRIDE="&amp;FpOvr,"Days=A","Fill=P"),1,1),""))</f>
        <v/>
      </c>
      <c r="K112" s="18">
        <f>IF($C112="","",IFERROR(INDEX(BDH($C112,FldEps,DtRevB,DtRevB,"BEST_FPERIOD_OVERRIDE="&amp;FpOvr,"Days=A","Fill=P"),1,1),""))</f>
        <v/>
      </c>
      <c r="L112" s="21">
        <f>IFERROR(IF($J112&lt;=0,"",$I112/$J112-1),"")</f>
        <v/>
      </c>
      <c r="M112" s="21">
        <f>IFERROR(IF($K112&lt;=0,"",$I112/$K112-1),"")</f>
        <v/>
      </c>
      <c r="N112" s="22">
        <f>IF($C112="","",IFERROR(BDP($C112,FldTRR,"CUST_TRR_START_DT="&amp;TEXT(DtMomA,"yyyymmdd"),"CUST_TRR_END_DT="&amp;TEXT(AsOf,"yyyymmdd"))/100,""))</f>
        <v/>
      </c>
      <c r="O112" s="22">
        <f>IF($C112="","",IFERROR(BDP($C112,FldTRR,"CUST_TRR_START_DT="&amp;TEXT(DtMomB,"yyyymmdd"),"CUST_TRR_END_DT="&amp;TEXT(AsOf,"yyyymmdd"))/100,""))</f>
        <v/>
      </c>
      <c r="P112" s="2">
        <f>IF($A112="","",IF($Q112=0,"sector missing",IF(NOT(ISNUMBER($H112)),"no market cap",IF(COUNT($L112:$O112)=4,"complete","missing "&amp;(4-COUNT($L112:$O112))&amp;" of 4 factors"))))</f>
        <v/>
      </c>
      <c r="Q112" s="23">
        <f>IF(OR($B112="",$B112="NO SECTOR",$B112="NOT IN MAP"),0,1)</f>
        <v/>
      </c>
      <c r="R112" s="24">
        <f>IF(AND($Q112=1,ISNUMBER($L112),ISNUMBER($H112)),$L112*$H112,0)</f>
        <v/>
      </c>
      <c r="S112" s="23">
        <f>IF(AND($Q112=1,ISNUMBER($L112),ISNUMBER($H112)),$H112,0)</f>
        <v/>
      </c>
      <c r="T112" s="24">
        <f>IF(AND($Q112=1,ISNUMBER($M112),ISNUMBER($H112)),$M112*$H112,0)</f>
        <v/>
      </c>
      <c r="U112" s="23">
        <f>IF(AND($Q112=1,ISNUMBER($M112),ISNUMBER($H112)),$H112,0)</f>
        <v/>
      </c>
      <c r="V112" s="24">
        <f>IF(AND($Q112=1,ISNUMBER($N112),ISNUMBER($H112)),$N112*$H112,0)</f>
        <v/>
      </c>
      <c r="W112" s="23">
        <f>IF(AND($Q112=1,ISNUMBER($N112),ISNUMBER($H112)),$H112,0)</f>
        <v/>
      </c>
      <c r="X112" s="24">
        <f>IF(AND($Q112=1,ISNUMBER($O112),ISNUMBER($H112)),$O112*$H112,0)</f>
        <v/>
      </c>
      <c r="Y112" s="23">
        <f>IF(AND($Q112=1,ISNUMBER($O112),ISNUMBER($H112)),$H112,0)</f>
        <v/>
      </c>
      <c r="Z112" s="23">
        <f>IF($Q112=0,"",IF(COUNTIF($B$5:$B112,$B112)&gt;1,"",MAX(0,MAX($Z$5:$Z111))+1))</f>
        <v/>
      </c>
    </row>
    <row r="113">
      <c r="A113" s="14">
        <f>IFERROR(IF(INDEX('Index Members'!$A$4:$A$403,ROW()-4)=0,"",INDEX('Index Members'!$A$4:$A$403,ROW()-4)),"")</f>
        <v/>
      </c>
      <c r="B113" s="14">
        <f>IF($A113="","",IFERROR(IF(VLOOKUP($A113,'Sector Map'!$A$4:$B$123,2,FALSE)=0,"NO SECTOR",VLOOKUP($A113,'Sector Map'!$A$4:$B$123,2,FALSE)),"NOT IN MAP"))</f>
        <v/>
      </c>
      <c r="C113" s="14">
        <f>IF($A113="","",$A113&amp;TkSuffix)</f>
        <v/>
      </c>
      <c r="D113" s="17">
        <f>IF($C113="","",BDP($C113,FldMcap))</f>
        <v/>
      </c>
      <c r="E113" s="17">
        <f>IF($C113="","",BDP($C113,FldShOut))</f>
        <v/>
      </c>
      <c r="F113" s="18">
        <f>IF($C113="","",BDP($C113,FldPx))</f>
        <v/>
      </c>
      <c r="G113" s="19">
        <f>IFERROR($E113*$F113,"")</f>
        <v/>
      </c>
      <c r="H113" s="20">
        <f>IFERROR(IF(WgtBasis="SEC_CAP",$G113,$D113),"")</f>
        <v/>
      </c>
      <c r="I113" s="18">
        <f>IF($C113="","",BDP($C113,FldEps,"BEST_FPERIOD_OVERRIDE="&amp;FpOvr))</f>
        <v/>
      </c>
      <c r="J113" s="18">
        <f>IF($C113="","",IFERROR(INDEX(BDH($C113,FldEps,DtRevA,DtRevA,"BEST_FPERIOD_OVERRIDE="&amp;FpOvr,"Days=A","Fill=P"),1,1),""))</f>
        <v/>
      </c>
      <c r="K113" s="18">
        <f>IF($C113="","",IFERROR(INDEX(BDH($C113,FldEps,DtRevB,DtRevB,"BEST_FPERIOD_OVERRIDE="&amp;FpOvr,"Days=A","Fill=P"),1,1),""))</f>
        <v/>
      </c>
      <c r="L113" s="21">
        <f>IFERROR(IF($J113&lt;=0,"",$I113/$J113-1),"")</f>
        <v/>
      </c>
      <c r="M113" s="21">
        <f>IFERROR(IF($K113&lt;=0,"",$I113/$K113-1),"")</f>
        <v/>
      </c>
      <c r="N113" s="22">
        <f>IF($C113="","",IFERROR(BDP($C113,FldTRR,"CUST_TRR_START_DT="&amp;TEXT(DtMomA,"yyyymmdd"),"CUST_TRR_END_DT="&amp;TEXT(AsOf,"yyyymmdd"))/100,""))</f>
        <v/>
      </c>
      <c r="O113" s="22">
        <f>IF($C113="","",IFERROR(BDP($C113,FldTRR,"CUST_TRR_START_DT="&amp;TEXT(DtMomB,"yyyymmdd"),"CUST_TRR_END_DT="&amp;TEXT(AsOf,"yyyymmdd"))/100,""))</f>
        <v/>
      </c>
      <c r="P113" s="2">
        <f>IF($A113="","",IF($Q113=0,"sector missing",IF(NOT(ISNUMBER($H113)),"no market cap",IF(COUNT($L113:$O113)=4,"complete","missing "&amp;(4-COUNT($L113:$O113))&amp;" of 4 factors"))))</f>
        <v/>
      </c>
      <c r="Q113" s="23">
        <f>IF(OR($B113="",$B113="NO SECTOR",$B113="NOT IN MAP"),0,1)</f>
        <v/>
      </c>
      <c r="R113" s="24">
        <f>IF(AND($Q113=1,ISNUMBER($L113),ISNUMBER($H113)),$L113*$H113,0)</f>
        <v/>
      </c>
      <c r="S113" s="23">
        <f>IF(AND($Q113=1,ISNUMBER($L113),ISNUMBER($H113)),$H113,0)</f>
        <v/>
      </c>
      <c r="T113" s="24">
        <f>IF(AND($Q113=1,ISNUMBER($M113),ISNUMBER($H113)),$M113*$H113,0)</f>
        <v/>
      </c>
      <c r="U113" s="23">
        <f>IF(AND($Q113=1,ISNUMBER($M113),ISNUMBER($H113)),$H113,0)</f>
        <v/>
      </c>
      <c r="V113" s="24">
        <f>IF(AND($Q113=1,ISNUMBER($N113),ISNUMBER($H113)),$N113*$H113,0)</f>
        <v/>
      </c>
      <c r="W113" s="23">
        <f>IF(AND($Q113=1,ISNUMBER($N113),ISNUMBER($H113)),$H113,0)</f>
        <v/>
      </c>
      <c r="X113" s="24">
        <f>IF(AND($Q113=1,ISNUMBER($O113),ISNUMBER($H113)),$O113*$H113,0)</f>
        <v/>
      </c>
      <c r="Y113" s="23">
        <f>IF(AND($Q113=1,ISNUMBER($O113),ISNUMBER($H113)),$H113,0)</f>
        <v/>
      </c>
      <c r="Z113" s="23">
        <f>IF($Q113=0,"",IF(COUNTIF($B$5:$B113,$B113)&gt;1,"",MAX(0,MAX($Z$5:$Z112))+1))</f>
        <v/>
      </c>
    </row>
    <row r="114">
      <c r="A114" s="14">
        <f>IFERROR(IF(INDEX('Index Members'!$A$4:$A$403,ROW()-4)=0,"",INDEX('Index Members'!$A$4:$A$403,ROW()-4)),"")</f>
        <v/>
      </c>
      <c r="B114" s="14">
        <f>IF($A114="","",IFERROR(IF(VLOOKUP($A114,'Sector Map'!$A$4:$B$123,2,FALSE)=0,"NO SECTOR",VLOOKUP($A114,'Sector Map'!$A$4:$B$123,2,FALSE)),"NOT IN MAP"))</f>
        <v/>
      </c>
      <c r="C114" s="14">
        <f>IF($A114="","",$A114&amp;TkSuffix)</f>
        <v/>
      </c>
      <c r="D114" s="17">
        <f>IF($C114="","",BDP($C114,FldMcap))</f>
        <v/>
      </c>
      <c r="E114" s="17">
        <f>IF($C114="","",BDP($C114,FldShOut))</f>
        <v/>
      </c>
      <c r="F114" s="18">
        <f>IF($C114="","",BDP($C114,FldPx))</f>
        <v/>
      </c>
      <c r="G114" s="19">
        <f>IFERROR($E114*$F114,"")</f>
        <v/>
      </c>
      <c r="H114" s="20">
        <f>IFERROR(IF(WgtBasis="SEC_CAP",$G114,$D114),"")</f>
        <v/>
      </c>
      <c r="I114" s="18">
        <f>IF($C114="","",BDP($C114,FldEps,"BEST_FPERIOD_OVERRIDE="&amp;FpOvr))</f>
        <v/>
      </c>
      <c r="J114" s="18">
        <f>IF($C114="","",IFERROR(INDEX(BDH($C114,FldEps,DtRevA,DtRevA,"BEST_FPERIOD_OVERRIDE="&amp;FpOvr,"Days=A","Fill=P"),1,1),""))</f>
        <v/>
      </c>
      <c r="K114" s="18">
        <f>IF($C114="","",IFERROR(INDEX(BDH($C114,FldEps,DtRevB,DtRevB,"BEST_FPERIOD_OVERRIDE="&amp;FpOvr,"Days=A","Fill=P"),1,1),""))</f>
        <v/>
      </c>
      <c r="L114" s="21">
        <f>IFERROR(IF($J114&lt;=0,"",$I114/$J114-1),"")</f>
        <v/>
      </c>
      <c r="M114" s="21">
        <f>IFERROR(IF($K114&lt;=0,"",$I114/$K114-1),"")</f>
        <v/>
      </c>
      <c r="N114" s="22">
        <f>IF($C114="","",IFERROR(BDP($C114,FldTRR,"CUST_TRR_START_DT="&amp;TEXT(DtMomA,"yyyymmdd"),"CUST_TRR_END_DT="&amp;TEXT(AsOf,"yyyymmdd"))/100,""))</f>
        <v/>
      </c>
      <c r="O114" s="22">
        <f>IF($C114="","",IFERROR(BDP($C114,FldTRR,"CUST_TRR_START_DT="&amp;TEXT(DtMomB,"yyyymmdd"),"CUST_TRR_END_DT="&amp;TEXT(AsOf,"yyyymmdd"))/100,""))</f>
        <v/>
      </c>
      <c r="P114" s="2">
        <f>IF($A114="","",IF($Q114=0,"sector missing",IF(NOT(ISNUMBER($H114)),"no market cap",IF(COUNT($L114:$O114)=4,"complete","missing "&amp;(4-COUNT($L114:$O114))&amp;" of 4 factors"))))</f>
        <v/>
      </c>
      <c r="Q114" s="23">
        <f>IF(OR($B114="",$B114="NO SECTOR",$B114="NOT IN MAP"),0,1)</f>
        <v/>
      </c>
      <c r="R114" s="24">
        <f>IF(AND($Q114=1,ISNUMBER($L114),ISNUMBER($H114)),$L114*$H114,0)</f>
        <v/>
      </c>
      <c r="S114" s="23">
        <f>IF(AND($Q114=1,ISNUMBER($L114),ISNUMBER($H114)),$H114,0)</f>
        <v/>
      </c>
      <c r="T114" s="24">
        <f>IF(AND($Q114=1,ISNUMBER($M114),ISNUMBER($H114)),$M114*$H114,0)</f>
        <v/>
      </c>
      <c r="U114" s="23">
        <f>IF(AND($Q114=1,ISNUMBER($M114),ISNUMBER($H114)),$H114,0)</f>
        <v/>
      </c>
      <c r="V114" s="24">
        <f>IF(AND($Q114=1,ISNUMBER($N114),ISNUMBER($H114)),$N114*$H114,0)</f>
        <v/>
      </c>
      <c r="W114" s="23">
        <f>IF(AND($Q114=1,ISNUMBER($N114),ISNUMBER($H114)),$H114,0)</f>
        <v/>
      </c>
      <c r="X114" s="24">
        <f>IF(AND($Q114=1,ISNUMBER($O114),ISNUMBER($H114)),$O114*$H114,0)</f>
        <v/>
      </c>
      <c r="Y114" s="23">
        <f>IF(AND($Q114=1,ISNUMBER($O114),ISNUMBER($H114)),$H114,0)</f>
        <v/>
      </c>
      <c r="Z114" s="23">
        <f>IF($Q114=0,"",IF(COUNTIF($B$5:$B114,$B114)&gt;1,"",MAX(0,MAX($Z$5:$Z113))+1))</f>
        <v/>
      </c>
    </row>
    <row r="115">
      <c r="A115" s="14">
        <f>IFERROR(IF(INDEX('Index Members'!$A$4:$A$403,ROW()-4)=0,"",INDEX('Index Members'!$A$4:$A$403,ROW()-4)),"")</f>
        <v/>
      </c>
      <c r="B115" s="14">
        <f>IF($A115="","",IFERROR(IF(VLOOKUP($A115,'Sector Map'!$A$4:$B$123,2,FALSE)=0,"NO SECTOR",VLOOKUP($A115,'Sector Map'!$A$4:$B$123,2,FALSE)),"NOT IN MAP"))</f>
        <v/>
      </c>
      <c r="C115" s="14">
        <f>IF($A115="","",$A115&amp;TkSuffix)</f>
        <v/>
      </c>
      <c r="D115" s="17">
        <f>IF($C115="","",BDP($C115,FldMcap))</f>
        <v/>
      </c>
      <c r="E115" s="17">
        <f>IF($C115="","",BDP($C115,FldShOut))</f>
        <v/>
      </c>
      <c r="F115" s="18">
        <f>IF($C115="","",BDP($C115,FldPx))</f>
        <v/>
      </c>
      <c r="G115" s="19">
        <f>IFERROR($E115*$F115,"")</f>
        <v/>
      </c>
      <c r="H115" s="20">
        <f>IFERROR(IF(WgtBasis="SEC_CAP",$G115,$D115),"")</f>
        <v/>
      </c>
      <c r="I115" s="18">
        <f>IF($C115="","",BDP($C115,FldEps,"BEST_FPERIOD_OVERRIDE="&amp;FpOvr))</f>
        <v/>
      </c>
      <c r="J115" s="18">
        <f>IF($C115="","",IFERROR(INDEX(BDH($C115,FldEps,DtRevA,DtRevA,"BEST_FPERIOD_OVERRIDE="&amp;FpOvr,"Days=A","Fill=P"),1,1),""))</f>
        <v/>
      </c>
      <c r="K115" s="18">
        <f>IF($C115="","",IFERROR(INDEX(BDH($C115,FldEps,DtRevB,DtRevB,"BEST_FPERIOD_OVERRIDE="&amp;FpOvr,"Days=A","Fill=P"),1,1),""))</f>
        <v/>
      </c>
      <c r="L115" s="21">
        <f>IFERROR(IF($J115&lt;=0,"",$I115/$J115-1),"")</f>
        <v/>
      </c>
      <c r="M115" s="21">
        <f>IFERROR(IF($K115&lt;=0,"",$I115/$K115-1),"")</f>
        <v/>
      </c>
      <c r="N115" s="22">
        <f>IF($C115="","",IFERROR(BDP($C115,FldTRR,"CUST_TRR_START_DT="&amp;TEXT(DtMomA,"yyyymmdd"),"CUST_TRR_END_DT="&amp;TEXT(AsOf,"yyyymmdd"))/100,""))</f>
        <v/>
      </c>
      <c r="O115" s="22">
        <f>IF($C115="","",IFERROR(BDP($C115,FldTRR,"CUST_TRR_START_DT="&amp;TEXT(DtMomB,"yyyymmdd"),"CUST_TRR_END_DT="&amp;TEXT(AsOf,"yyyymmdd"))/100,""))</f>
        <v/>
      </c>
      <c r="P115" s="2">
        <f>IF($A115="","",IF($Q115=0,"sector missing",IF(NOT(ISNUMBER($H115)),"no market cap",IF(COUNT($L115:$O115)=4,"complete","missing "&amp;(4-COUNT($L115:$O115))&amp;" of 4 factors"))))</f>
        <v/>
      </c>
      <c r="Q115" s="23">
        <f>IF(OR($B115="",$B115="NO SECTOR",$B115="NOT IN MAP"),0,1)</f>
        <v/>
      </c>
      <c r="R115" s="24">
        <f>IF(AND($Q115=1,ISNUMBER($L115),ISNUMBER($H115)),$L115*$H115,0)</f>
        <v/>
      </c>
      <c r="S115" s="23">
        <f>IF(AND($Q115=1,ISNUMBER($L115),ISNUMBER($H115)),$H115,0)</f>
        <v/>
      </c>
      <c r="T115" s="24">
        <f>IF(AND($Q115=1,ISNUMBER($M115),ISNUMBER($H115)),$M115*$H115,0)</f>
        <v/>
      </c>
      <c r="U115" s="23">
        <f>IF(AND($Q115=1,ISNUMBER($M115),ISNUMBER($H115)),$H115,0)</f>
        <v/>
      </c>
      <c r="V115" s="24">
        <f>IF(AND($Q115=1,ISNUMBER($N115),ISNUMBER($H115)),$N115*$H115,0)</f>
        <v/>
      </c>
      <c r="W115" s="23">
        <f>IF(AND($Q115=1,ISNUMBER($N115),ISNUMBER($H115)),$H115,0)</f>
        <v/>
      </c>
      <c r="X115" s="24">
        <f>IF(AND($Q115=1,ISNUMBER($O115),ISNUMBER($H115)),$O115*$H115,0)</f>
        <v/>
      </c>
      <c r="Y115" s="23">
        <f>IF(AND($Q115=1,ISNUMBER($O115),ISNUMBER($H115)),$H115,0)</f>
        <v/>
      </c>
      <c r="Z115" s="23">
        <f>IF($Q115=0,"",IF(COUNTIF($B$5:$B115,$B115)&gt;1,"",MAX(0,MAX($Z$5:$Z114))+1))</f>
        <v/>
      </c>
    </row>
    <row r="116">
      <c r="A116" s="14">
        <f>IFERROR(IF(INDEX('Index Members'!$A$4:$A$403,ROW()-4)=0,"",INDEX('Index Members'!$A$4:$A$403,ROW()-4)),"")</f>
        <v/>
      </c>
      <c r="B116" s="14">
        <f>IF($A116="","",IFERROR(IF(VLOOKUP($A116,'Sector Map'!$A$4:$B$123,2,FALSE)=0,"NO SECTOR",VLOOKUP($A116,'Sector Map'!$A$4:$B$123,2,FALSE)),"NOT IN MAP"))</f>
        <v/>
      </c>
      <c r="C116" s="14">
        <f>IF($A116="","",$A116&amp;TkSuffix)</f>
        <v/>
      </c>
      <c r="D116" s="17">
        <f>IF($C116="","",BDP($C116,FldMcap))</f>
        <v/>
      </c>
      <c r="E116" s="17">
        <f>IF($C116="","",BDP($C116,FldShOut))</f>
        <v/>
      </c>
      <c r="F116" s="18">
        <f>IF($C116="","",BDP($C116,FldPx))</f>
        <v/>
      </c>
      <c r="G116" s="19">
        <f>IFERROR($E116*$F116,"")</f>
        <v/>
      </c>
      <c r="H116" s="20">
        <f>IFERROR(IF(WgtBasis="SEC_CAP",$G116,$D116),"")</f>
        <v/>
      </c>
      <c r="I116" s="18">
        <f>IF($C116="","",BDP($C116,FldEps,"BEST_FPERIOD_OVERRIDE="&amp;FpOvr))</f>
        <v/>
      </c>
      <c r="J116" s="18">
        <f>IF($C116="","",IFERROR(INDEX(BDH($C116,FldEps,DtRevA,DtRevA,"BEST_FPERIOD_OVERRIDE="&amp;FpOvr,"Days=A","Fill=P"),1,1),""))</f>
        <v/>
      </c>
      <c r="K116" s="18">
        <f>IF($C116="","",IFERROR(INDEX(BDH($C116,FldEps,DtRevB,DtRevB,"BEST_FPERIOD_OVERRIDE="&amp;FpOvr,"Days=A","Fill=P"),1,1),""))</f>
        <v/>
      </c>
      <c r="L116" s="21">
        <f>IFERROR(IF($J116&lt;=0,"",$I116/$J116-1),"")</f>
        <v/>
      </c>
      <c r="M116" s="21">
        <f>IFERROR(IF($K116&lt;=0,"",$I116/$K116-1),"")</f>
        <v/>
      </c>
      <c r="N116" s="22">
        <f>IF($C116="","",IFERROR(BDP($C116,FldTRR,"CUST_TRR_START_DT="&amp;TEXT(DtMomA,"yyyymmdd"),"CUST_TRR_END_DT="&amp;TEXT(AsOf,"yyyymmdd"))/100,""))</f>
        <v/>
      </c>
      <c r="O116" s="22">
        <f>IF($C116="","",IFERROR(BDP($C116,FldTRR,"CUST_TRR_START_DT="&amp;TEXT(DtMomB,"yyyymmdd"),"CUST_TRR_END_DT="&amp;TEXT(AsOf,"yyyymmdd"))/100,""))</f>
        <v/>
      </c>
      <c r="P116" s="2">
        <f>IF($A116="","",IF($Q116=0,"sector missing",IF(NOT(ISNUMBER($H116)),"no market cap",IF(COUNT($L116:$O116)=4,"complete","missing "&amp;(4-COUNT($L116:$O116))&amp;" of 4 factors"))))</f>
        <v/>
      </c>
      <c r="Q116" s="23">
        <f>IF(OR($B116="",$B116="NO SECTOR",$B116="NOT IN MAP"),0,1)</f>
        <v/>
      </c>
      <c r="R116" s="24">
        <f>IF(AND($Q116=1,ISNUMBER($L116),ISNUMBER($H116)),$L116*$H116,0)</f>
        <v/>
      </c>
      <c r="S116" s="23">
        <f>IF(AND($Q116=1,ISNUMBER($L116),ISNUMBER($H116)),$H116,0)</f>
        <v/>
      </c>
      <c r="T116" s="24">
        <f>IF(AND($Q116=1,ISNUMBER($M116),ISNUMBER($H116)),$M116*$H116,0)</f>
        <v/>
      </c>
      <c r="U116" s="23">
        <f>IF(AND($Q116=1,ISNUMBER($M116),ISNUMBER($H116)),$H116,0)</f>
        <v/>
      </c>
      <c r="V116" s="24">
        <f>IF(AND($Q116=1,ISNUMBER($N116),ISNUMBER($H116)),$N116*$H116,0)</f>
        <v/>
      </c>
      <c r="W116" s="23">
        <f>IF(AND($Q116=1,ISNUMBER($N116),ISNUMBER($H116)),$H116,0)</f>
        <v/>
      </c>
      <c r="X116" s="24">
        <f>IF(AND($Q116=1,ISNUMBER($O116),ISNUMBER($H116)),$O116*$H116,0)</f>
        <v/>
      </c>
      <c r="Y116" s="23">
        <f>IF(AND($Q116=1,ISNUMBER($O116),ISNUMBER($H116)),$H116,0)</f>
        <v/>
      </c>
      <c r="Z116" s="23">
        <f>IF($Q116=0,"",IF(COUNTIF($B$5:$B116,$B116)&gt;1,"",MAX(0,MAX($Z$5:$Z115))+1))</f>
        <v/>
      </c>
    </row>
    <row r="117">
      <c r="A117" s="14">
        <f>IFERROR(IF(INDEX('Index Members'!$A$4:$A$403,ROW()-4)=0,"",INDEX('Index Members'!$A$4:$A$403,ROW()-4)),"")</f>
        <v/>
      </c>
      <c r="B117" s="14">
        <f>IF($A117="","",IFERROR(IF(VLOOKUP($A117,'Sector Map'!$A$4:$B$123,2,FALSE)=0,"NO SECTOR",VLOOKUP($A117,'Sector Map'!$A$4:$B$123,2,FALSE)),"NOT IN MAP"))</f>
        <v/>
      </c>
      <c r="C117" s="14">
        <f>IF($A117="","",$A117&amp;TkSuffix)</f>
        <v/>
      </c>
      <c r="D117" s="17">
        <f>IF($C117="","",BDP($C117,FldMcap))</f>
        <v/>
      </c>
      <c r="E117" s="17">
        <f>IF($C117="","",BDP($C117,FldShOut))</f>
        <v/>
      </c>
      <c r="F117" s="18">
        <f>IF($C117="","",BDP($C117,FldPx))</f>
        <v/>
      </c>
      <c r="G117" s="19">
        <f>IFERROR($E117*$F117,"")</f>
        <v/>
      </c>
      <c r="H117" s="20">
        <f>IFERROR(IF(WgtBasis="SEC_CAP",$G117,$D117),"")</f>
        <v/>
      </c>
      <c r="I117" s="18">
        <f>IF($C117="","",BDP($C117,FldEps,"BEST_FPERIOD_OVERRIDE="&amp;FpOvr))</f>
        <v/>
      </c>
      <c r="J117" s="18">
        <f>IF($C117="","",IFERROR(INDEX(BDH($C117,FldEps,DtRevA,DtRevA,"BEST_FPERIOD_OVERRIDE="&amp;FpOvr,"Days=A","Fill=P"),1,1),""))</f>
        <v/>
      </c>
      <c r="K117" s="18">
        <f>IF($C117="","",IFERROR(INDEX(BDH($C117,FldEps,DtRevB,DtRevB,"BEST_FPERIOD_OVERRIDE="&amp;FpOvr,"Days=A","Fill=P"),1,1),""))</f>
        <v/>
      </c>
      <c r="L117" s="21">
        <f>IFERROR(IF($J117&lt;=0,"",$I117/$J117-1),"")</f>
        <v/>
      </c>
      <c r="M117" s="21">
        <f>IFERROR(IF($K117&lt;=0,"",$I117/$K117-1),"")</f>
        <v/>
      </c>
      <c r="N117" s="22">
        <f>IF($C117="","",IFERROR(BDP($C117,FldTRR,"CUST_TRR_START_DT="&amp;TEXT(DtMomA,"yyyymmdd"),"CUST_TRR_END_DT="&amp;TEXT(AsOf,"yyyymmdd"))/100,""))</f>
        <v/>
      </c>
      <c r="O117" s="22">
        <f>IF($C117="","",IFERROR(BDP($C117,FldTRR,"CUST_TRR_START_DT="&amp;TEXT(DtMomB,"yyyymmdd"),"CUST_TRR_END_DT="&amp;TEXT(AsOf,"yyyymmdd"))/100,""))</f>
        <v/>
      </c>
      <c r="P117" s="2">
        <f>IF($A117="","",IF($Q117=0,"sector missing",IF(NOT(ISNUMBER($H117)),"no market cap",IF(COUNT($L117:$O117)=4,"complete","missing "&amp;(4-COUNT($L117:$O117))&amp;" of 4 factors"))))</f>
        <v/>
      </c>
      <c r="Q117" s="23">
        <f>IF(OR($B117="",$B117="NO SECTOR",$B117="NOT IN MAP"),0,1)</f>
        <v/>
      </c>
      <c r="R117" s="24">
        <f>IF(AND($Q117=1,ISNUMBER($L117),ISNUMBER($H117)),$L117*$H117,0)</f>
        <v/>
      </c>
      <c r="S117" s="23">
        <f>IF(AND($Q117=1,ISNUMBER($L117),ISNUMBER($H117)),$H117,0)</f>
        <v/>
      </c>
      <c r="T117" s="24">
        <f>IF(AND($Q117=1,ISNUMBER($M117),ISNUMBER($H117)),$M117*$H117,0)</f>
        <v/>
      </c>
      <c r="U117" s="23">
        <f>IF(AND($Q117=1,ISNUMBER($M117),ISNUMBER($H117)),$H117,0)</f>
        <v/>
      </c>
      <c r="V117" s="24">
        <f>IF(AND($Q117=1,ISNUMBER($N117),ISNUMBER($H117)),$N117*$H117,0)</f>
        <v/>
      </c>
      <c r="W117" s="23">
        <f>IF(AND($Q117=1,ISNUMBER($N117),ISNUMBER($H117)),$H117,0)</f>
        <v/>
      </c>
      <c r="X117" s="24">
        <f>IF(AND($Q117=1,ISNUMBER($O117),ISNUMBER($H117)),$O117*$H117,0)</f>
        <v/>
      </c>
      <c r="Y117" s="23">
        <f>IF(AND($Q117=1,ISNUMBER($O117),ISNUMBER($H117)),$H117,0)</f>
        <v/>
      </c>
      <c r="Z117" s="23">
        <f>IF($Q117=0,"",IF(COUNTIF($B$5:$B117,$B117)&gt;1,"",MAX(0,MAX($Z$5:$Z116))+1))</f>
        <v/>
      </c>
    </row>
    <row r="118">
      <c r="A118" s="14">
        <f>IFERROR(IF(INDEX('Index Members'!$A$4:$A$403,ROW()-4)=0,"",INDEX('Index Members'!$A$4:$A$403,ROW()-4)),"")</f>
        <v/>
      </c>
      <c r="B118" s="14">
        <f>IF($A118="","",IFERROR(IF(VLOOKUP($A118,'Sector Map'!$A$4:$B$123,2,FALSE)=0,"NO SECTOR",VLOOKUP($A118,'Sector Map'!$A$4:$B$123,2,FALSE)),"NOT IN MAP"))</f>
        <v/>
      </c>
      <c r="C118" s="14">
        <f>IF($A118="","",$A118&amp;TkSuffix)</f>
        <v/>
      </c>
      <c r="D118" s="17">
        <f>IF($C118="","",BDP($C118,FldMcap))</f>
        <v/>
      </c>
      <c r="E118" s="17">
        <f>IF($C118="","",BDP($C118,FldShOut))</f>
        <v/>
      </c>
      <c r="F118" s="18">
        <f>IF($C118="","",BDP($C118,FldPx))</f>
        <v/>
      </c>
      <c r="G118" s="19">
        <f>IFERROR($E118*$F118,"")</f>
        <v/>
      </c>
      <c r="H118" s="20">
        <f>IFERROR(IF(WgtBasis="SEC_CAP",$G118,$D118),"")</f>
        <v/>
      </c>
      <c r="I118" s="18">
        <f>IF($C118="","",BDP($C118,FldEps,"BEST_FPERIOD_OVERRIDE="&amp;FpOvr))</f>
        <v/>
      </c>
      <c r="J118" s="18">
        <f>IF($C118="","",IFERROR(INDEX(BDH($C118,FldEps,DtRevA,DtRevA,"BEST_FPERIOD_OVERRIDE="&amp;FpOvr,"Days=A","Fill=P"),1,1),""))</f>
        <v/>
      </c>
      <c r="K118" s="18">
        <f>IF($C118="","",IFERROR(INDEX(BDH($C118,FldEps,DtRevB,DtRevB,"BEST_FPERIOD_OVERRIDE="&amp;FpOvr,"Days=A","Fill=P"),1,1),""))</f>
        <v/>
      </c>
      <c r="L118" s="21">
        <f>IFERROR(IF($J118&lt;=0,"",$I118/$J118-1),"")</f>
        <v/>
      </c>
      <c r="M118" s="21">
        <f>IFERROR(IF($K118&lt;=0,"",$I118/$K118-1),"")</f>
        <v/>
      </c>
      <c r="N118" s="22">
        <f>IF($C118="","",IFERROR(BDP($C118,FldTRR,"CUST_TRR_START_DT="&amp;TEXT(DtMomA,"yyyymmdd"),"CUST_TRR_END_DT="&amp;TEXT(AsOf,"yyyymmdd"))/100,""))</f>
        <v/>
      </c>
      <c r="O118" s="22">
        <f>IF($C118="","",IFERROR(BDP($C118,FldTRR,"CUST_TRR_START_DT="&amp;TEXT(DtMomB,"yyyymmdd"),"CUST_TRR_END_DT="&amp;TEXT(AsOf,"yyyymmdd"))/100,""))</f>
        <v/>
      </c>
      <c r="P118" s="2">
        <f>IF($A118="","",IF($Q118=0,"sector missing",IF(NOT(ISNUMBER($H118)),"no market cap",IF(COUNT($L118:$O118)=4,"complete","missing "&amp;(4-COUNT($L118:$O118))&amp;" of 4 factors"))))</f>
        <v/>
      </c>
      <c r="Q118" s="23">
        <f>IF(OR($B118="",$B118="NO SECTOR",$B118="NOT IN MAP"),0,1)</f>
        <v/>
      </c>
      <c r="R118" s="24">
        <f>IF(AND($Q118=1,ISNUMBER($L118),ISNUMBER($H118)),$L118*$H118,0)</f>
        <v/>
      </c>
      <c r="S118" s="23">
        <f>IF(AND($Q118=1,ISNUMBER($L118),ISNUMBER($H118)),$H118,0)</f>
        <v/>
      </c>
      <c r="T118" s="24">
        <f>IF(AND($Q118=1,ISNUMBER($M118),ISNUMBER($H118)),$M118*$H118,0)</f>
        <v/>
      </c>
      <c r="U118" s="23">
        <f>IF(AND($Q118=1,ISNUMBER($M118),ISNUMBER($H118)),$H118,0)</f>
        <v/>
      </c>
      <c r="V118" s="24">
        <f>IF(AND($Q118=1,ISNUMBER($N118),ISNUMBER($H118)),$N118*$H118,0)</f>
        <v/>
      </c>
      <c r="W118" s="23">
        <f>IF(AND($Q118=1,ISNUMBER($N118),ISNUMBER($H118)),$H118,0)</f>
        <v/>
      </c>
      <c r="X118" s="24">
        <f>IF(AND($Q118=1,ISNUMBER($O118),ISNUMBER($H118)),$O118*$H118,0)</f>
        <v/>
      </c>
      <c r="Y118" s="23">
        <f>IF(AND($Q118=1,ISNUMBER($O118),ISNUMBER($H118)),$H118,0)</f>
        <v/>
      </c>
      <c r="Z118" s="23">
        <f>IF($Q118=0,"",IF(COUNTIF($B$5:$B118,$B118)&gt;1,"",MAX(0,MAX($Z$5:$Z117))+1))</f>
        <v/>
      </c>
    </row>
    <row r="119">
      <c r="A119" s="14">
        <f>IFERROR(IF(INDEX('Index Members'!$A$4:$A$403,ROW()-4)=0,"",INDEX('Index Members'!$A$4:$A$403,ROW()-4)),"")</f>
        <v/>
      </c>
      <c r="B119" s="14">
        <f>IF($A119="","",IFERROR(IF(VLOOKUP($A119,'Sector Map'!$A$4:$B$123,2,FALSE)=0,"NO SECTOR",VLOOKUP($A119,'Sector Map'!$A$4:$B$123,2,FALSE)),"NOT IN MAP"))</f>
        <v/>
      </c>
      <c r="C119" s="14">
        <f>IF($A119="","",$A119&amp;TkSuffix)</f>
        <v/>
      </c>
      <c r="D119" s="17">
        <f>IF($C119="","",BDP($C119,FldMcap))</f>
        <v/>
      </c>
      <c r="E119" s="17">
        <f>IF($C119="","",BDP($C119,FldShOut))</f>
        <v/>
      </c>
      <c r="F119" s="18">
        <f>IF($C119="","",BDP($C119,FldPx))</f>
        <v/>
      </c>
      <c r="G119" s="19">
        <f>IFERROR($E119*$F119,"")</f>
        <v/>
      </c>
      <c r="H119" s="20">
        <f>IFERROR(IF(WgtBasis="SEC_CAP",$G119,$D119),"")</f>
        <v/>
      </c>
      <c r="I119" s="18">
        <f>IF($C119="","",BDP($C119,FldEps,"BEST_FPERIOD_OVERRIDE="&amp;FpOvr))</f>
        <v/>
      </c>
      <c r="J119" s="18">
        <f>IF($C119="","",IFERROR(INDEX(BDH($C119,FldEps,DtRevA,DtRevA,"BEST_FPERIOD_OVERRIDE="&amp;FpOvr,"Days=A","Fill=P"),1,1),""))</f>
        <v/>
      </c>
      <c r="K119" s="18">
        <f>IF($C119="","",IFERROR(INDEX(BDH($C119,FldEps,DtRevB,DtRevB,"BEST_FPERIOD_OVERRIDE="&amp;FpOvr,"Days=A","Fill=P"),1,1),""))</f>
        <v/>
      </c>
      <c r="L119" s="21">
        <f>IFERROR(IF($J119&lt;=0,"",$I119/$J119-1),"")</f>
        <v/>
      </c>
      <c r="M119" s="21">
        <f>IFERROR(IF($K119&lt;=0,"",$I119/$K119-1),"")</f>
        <v/>
      </c>
      <c r="N119" s="22">
        <f>IF($C119="","",IFERROR(BDP($C119,FldTRR,"CUST_TRR_START_DT="&amp;TEXT(DtMomA,"yyyymmdd"),"CUST_TRR_END_DT="&amp;TEXT(AsOf,"yyyymmdd"))/100,""))</f>
        <v/>
      </c>
      <c r="O119" s="22">
        <f>IF($C119="","",IFERROR(BDP($C119,FldTRR,"CUST_TRR_START_DT="&amp;TEXT(DtMomB,"yyyymmdd"),"CUST_TRR_END_DT="&amp;TEXT(AsOf,"yyyymmdd"))/100,""))</f>
        <v/>
      </c>
      <c r="P119" s="2">
        <f>IF($A119="","",IF($Q119=0,"sector missing",IF(NOT(ISNUMBER($H119)),"no market cap",IF(COUNT($L119:$O119)=4,"complete","missing "&amp;(4-COUNT($L119:$O119))&amp;" of 4 factors"))))</f>
        <v/>
      </c>
      <c r="Q119" s="23">
        <f>IF(OR($B119="",$B119="NO SECTOR",$B119="NOT IN MAP"),0,1)</f>
        <v/>
      </c>
      <c r="R119" s="24">
        <f>IF(AND($Q119=1,ISNUMBER($L119),ISNUMBER($H119)),$L119*$H119,0)</f>
        <v/>
      </c>
      <c r="S119" s="23">
        <f>IF(AND($Q119=1,ISNUMBER($L119),ISNUMBER($H119)),$H119,0)</f>
        <v/>
      </c>
      <c r="T119" s="24">
        <f>IF(AND($Q119=1,ISNUMBER($M119),ISNUMBER($H119)),$M119*$H119,0)</f>
        <v/>
      </c>
      <c r="U119" s="23">
        <f>IF(AND($Q119=1,ISNUMBER($M119),ISNUMBER($H119)),$H119,0)</f>
        <v/>
      </c>
      <c r="V119" s="24">
        <f>IF(AND($Q119=1,ISNUMBER($N119),ISNUMBER($H119)),$N119*$H119,0)</f>
        <v/>
      </c>
      <c r="W119" s="23">
        <f>IF(AND($Q119=1,ISNUMBER($N119),ISNUMBER($H119)),$H119,0)</f>
        <v/>
      </c>
      <c r="X119" s="24">
        <f>IF(AND($Q119=1,ISNUMBER($O119),ISNUMBER($H119)),$O119*$H119,0)</f>
        <v/>
      </c>
      <c r="Y119" s="23">
        <f>IF(AND($Q119=1,ISNUMBER($O119),ISNUMBER($H119)),$H119,0)</f>
        <v/>
      </c>
      <c r="Z119" s="23">
        <f>IF($Q119=0,"",IF(COUNTIF($B$5:$B119,$B119)&gt;1,"",MAX(0,MAX($Z$5:$Z118))+1))</f>
        <v/>
      </c>
    </row>
    <row r="120">
      <c r="A120" s="14">
        <f>IFERROR(IF(INDEX('Index Members'!$A$4:$A$403,ROW()-4)=0,"",INDEX('Index Members'!$A$4:$A$403,ROW()-4)),"")</f>
        <v/>
      </c>
      <c r="B120" s="14">
        <f>IF($A120="","",IFERROR(IF(VLOOKUP($A120,'Sector Map'!$A$4:$B$123,2,FALSE)=0,"NO SECTOR",VLOOKUP($A120,'Sector Map'!$A$4:$B$123,2,FALSE)),"NOT IN MAP"))</f>
        <v/>
      </c>
      <c r="C120" s="14">
        <f>IF($A120="","",$A120&amp;TkSuffix)</f>
        <v/>
      </c>
      <c r="D120" s="17">
        <f>IF($C120="","",BDP($C120,FldMcap))</f>
        <v/>
      </c>
      <c r="E120" s="17">
        <f>IF($C120="","",BDP($C120,FldShOut))</f>
        <v/>
      </c>
      <c r="F120" s="18">
        <f>IF($C120="","",BDP($C120,FldPx))</f>
        <v/>
      </c>
      <c r="G120" s="19">
        <f>IFERROR($E120*$F120,"")</f>
        <v/>
      </c>
      <c r="H120" s="20">
        <f>IFERROR(IF(WgtBasis="SEC_CAP",$G120,$D120),"")</f>
        <v/>
      </c>
      <c r="I120" s="18">
        <f>IF($C120="","",BDP($C120,FldEps,"BEST_FPERIOD_OVERRIDE="&amp;FpOvr))</f>
        <v/>
      </c>
      <c r="J120" s="18">
        <f>IF($C120="","",IFERROR(INDEX(BDH($C120,FldEps,DtRevA,DtRevA,"BEST_FPERIOD_OVERRIDE="&amp;FpOvr,"Days=A","Fill=P"),1,1),""))</f>
        <v/>
      </c>
      <c r="K120" s="18">
        <f>IF($C120="","",IFERROR(INDEX(BDH($C120,FldEps,DtRevB,DtRevB,"BEST_FPERIOD_OVERRIDE="&amp;FpOvr,"Days=A","Fill=P"),1,1),""))</f>
        <v/>
      </c>
      <c r="L120" s="21">
        <f>IFERROR(IF($J120&lt;=0,"",$I120/$J120-1),"")</f>
        <v/>
      </c>
      <c r="M120" s="21">
        <f>IFERROR(IF($K120&lt;=0,"",$I120/$K120-1),"")</f>
        <v/>
      </c>
      <c r="N120" s="22">
        <f>IF($C120="","",IFERROR(BDP($C120,FldTRR,"CUST_TRR_START_DT="&amp;TEXT(DtMomA,"yyyymmdd"),"CUST_TRR_END_DT="&amp;TEXT(AsOf,"yyyymmdd"))/100,""))</f>
        <v/>
      </c>
      <c r="O120" s="22">
        <f>IF($C120="","",IFERROR(BDP($C120,FldTRR,"CUST_TRR_START_DT="&amp;TEXT(DtMomB,"yyyymmdd"),"CUST_TRR_END_DT="&amp;TEXT(AsOf,"yyyymmdd"))/100,""))</f>
        <v/>
      </c>
      <c r="P120" s="2">
        <f>IF($A120="","",IF($Q120=0,"sector missing",IF(NOT(ISNUMBER($H120)),"no market cap",IF(COUNT($L120:$O120)=4,"complete","missing "&amp;(4-COUNT($L120:$O120))&amp;" of 4 factors"))))</f>
        <v/>
      </c>
      <c r="Q120" s="23">
        <f>IF(OR($B120="",$B120="NO SECTOR",$B120="NOT IN MAP"),0,1)</f>
        <v/>
      </c>
      <c r="R120" s="24">
        <f>IF(AND($Q120=1,ISNUMBER($L120),ISNUMBER($H120)),$L120*$H120,0)</f>
        <v/>
      </c>
      <c r="S120" s="23">
        <f>IF(AND($Q120=1,ISNUMBER($L120),ISNUMBER($H120)),$H120,0)</f>
        <v/>
      </c>
      <c r="T120" s="24">
        <f>IF(AND($Q120=1,ISNUMBER($M120),ISNUMBER($H120)),$M120*$H120,0)</f>
        <v/>
      </c>
      <c r="U120" s="23">
        <f>IF(AND($Q120=1,ISNUMBER($M120),ISNUMBER($H120)),$H120,0)</f>
        <v/>
      </c>
      <c r="V120" s="24">
        <f>IF(AND($Q120=1,ISNUMBER($N120),ISNUMBER($H120)),$N120*$H120,0)</f>
        <v/>
      </c>
      <c r="W120" s="23">
        <f>IF(AND($Q120=1,ISNUMBER($N120),ISNUMBER($H120)),$H120,0)</f>
        <v/>
      </c>
      <c r="X120" s="24">
        <f>IF(AND($Q120=1,ISNUMBER($O120),ISNUMBER($H120)),$O120*$H120,0)</f>
        <v/>
      </c>
      <c r="Y120" s="23">
        <f>IF(AND($Q120=1,ISNUMBER($O120),ISNUMBER($H120)),$H120,0)</f>
        <v/>
      </c>
      <c r="Z120" s="23">
        <f>IF($Q120=0,"",IF(COUNTIF($B$5:$B120,$B120)&gt;1,"",MAX(0,MAX($Z$5:$Z119))+1))</f>
        <v/>
      </c>
    </row>
    <row r="121">
      <c r="A121" s="14">
        <f>IFERROR(IF(INDEX('Index Members'!$A$4:$A$403,ROW()-4)=0,"",INDEX('Index Members'!$A$4:$A$403,ROW()-4)),"")</f>
        <v/>
      </c>
      <c r="B121" s="14">
        <f>IF($A121="","",IFERROR(IF(VLOOKUP($A121,'Sector Map'!$A$4:$B$123,2,FALSE)=0,"NO SECTOR",VLOOKUP($A121,'Sector Map'!$A$4:$B$123,2,FALSE)),"NOT IN MAP"))</f>
        <v/>
      </c>
      <c r="C121" s="14">
        <f>IF($A121="","",$A121&amp;TkSuffix)</f>
        <v/>
      </c>
      <c r="D121" s="17">
        <f>IF($C121="","",BDP($C121,FldMcap))</f>
        <v/>
      </c>
      <c r="E121" s="17">
        <f>IF($C121="","",BDP($C121,FldShOut))</f>
        <v/>
      </c>
      <c r="F121" s="18">
        <f>IF($C121="","",BDP($C121,FldPx))</f>
        <v/>
      </c>
      <c r="G121" s="19">
        <f>IFERROR($E121*$F121,"")</f>
        <v/>
      </c>
      <c r="H121" s="20">
        <f>IFERROR(IF(WgtBasis="SEC_CAP",$G121,$D121),"")</f>
        <v/>
      </c>
      <c r="I121" s="18">
        <f>IF($C121="","",BDP($C121,FldEps,"BEST_FPERIOD_OVERRIDE="&amp;FpOvr))</f>
        <v/>
      </c>
      <c r="J121" s="18">
        <f>IF($C121="","",IFERROR(INDEX(BDH($C121,FldEps,DtRevA,DtRevA,"BEST_FPERIOD_OVERRIDE="&amp;FpOvr,"Days=A","Fill=P"),1,1),""))</f>
        <v/>
      </c>
      <c r="K121" s="18">
        <f>IF($C121="","",IFERROR(INDEX(BDH($C121,FldEps,DtRevB,DtRevB,"BEST_FPERIOD_OVERRIDE="&amp;FpOvr,"Days=A","Fill=P"),1,1),""))</f>
        <v/>
      </c>
      <c r="L121" s="21">
        <f>IFERROR(IF($J121&lt;=0,"",$I121/$J121-1),"")</f>
        <v/>
      </c>
      <c r="M121" s="21">
        <f>IFERROR(IF($K121&lt;=0,"",$I121/$K121-1),"")</f>
        <v/>
      </c>
      <c r="N121" s="22">
        <f>IF($C121="","",IFERROR(BDP($C121,FldTRR,"CUST_TRR_START_DT="&amp;TEXT(DtMomA,"yyyymmdd"),"CUST_TRR_END_DT="&amp;TEXT(AsOf,"yyyymmdd"))/100,""))</f>
        <v/>
      </c>
      <c r="O121" s="22">
        <f>IF($C121="","",IFERROR(BDP($C121,FldTRR,"CUST_TRR_START_DT="&amp;TEXT(DtMomB,"yyyymmdd"),"CUST_TRR_END_DT="&amp;TEXT(AsOf,"yyyymmdd"))/100,""))</f>
        <v/>
      </c>
      <c r="P121" s="2">
        <f>IF($A121="","",IF($Q121=0,"sector missing",IF(NOT(ISNUMBER($H121)),"no market cap",IF(COUNT($L121:$O121)=4,"complete","missing "&amp;(4-COUNT($L121:$O121))&amp;" of 4 factors"))))</f>
        <v/>
      </c>
      <c r="Q121" s="23">
        <f>IF(OR($B121="",$B121="NO SECTOR",$B121="NOT IN MAP"),0,1)</f>
        <v/>
      </c>
      <c r="R121" s="24">
        <f>IF(AND($Q121=1,ISNUMBER($L121),ISNUMBER($H121)),$L121*$H121,0)</f>
        <v/>
      </c>
      <c r="S121" s="23">
        <f>IF(AND($Q121=1,ISNUMBER($L121),ISNUMBER($H121)),$H121,0)</f>
        <v/>
      </c>
      <c r="T121" s="24">
        <f>IF(AND($Q121=1,ISNUMBER($M121),ISNUMBER($H121)),$M121*$H121,0)</f>
        <v/>
      </c>
      <c r="U121" s="23">
        <f>IF(AND($Q121=1,ISNUMBER($M121),ISNUMBER($H121)),$H121,0)</f>
        <v/>
      </c>
      <c r="V121" s="24">
        <f>IF(AND($Q121=1,ISNUMBER($N121),ISNUMBER($H121)),$N121*$H121,0)</f>
        <v/>
      </c>
      <c r="W121" s="23">
        <f>IF(AND($Q121=1,ISNUMBER($N121),ISNUMBER($H121)),$H121,0)</f>
        <v/>
      </c>
      <c r="X121" s="24">
        <f>IF(AND($Q121=1,ISNUMBER($O121),ISNUMBER($H121)),$O121*$H121,0)</f>
        <v/>
      </c>
      <c r="Y121" s="23">
        <f>IF(AND($Q121=1,ISNUMBER($O121),ISNUMBER($H121)),$H121,0)</f>
        <v/>
      </c>
      <c r="Z121" s="23">
        <f>IF($Q121=0,"",IF(COUNTIF($B$5:$B121,$B121)&gt;1,"",MAX(0,MAX($Z$5:$Z120))+1))</f>
        <v/>
      </c>
    </row>
    <row r="122">
      <c r="A122" s="14">
        <f>IFERROR(IF(INDEX('Index Members'!$A$4:$A$403,ROW()-4)=0,"",INDEX('Index Members'!$A$4:$A$403,ROW()-4)),"")</f>
        <v/>
      </c>
      <c r="B122" s="14">
        <f>IF($A122="","",IFERROR(IF(VLOOKUP($A122,'Sector Map'!$A$4:$B$123,2,FALSE)=0,"NO SECTOR",VLOOKUP($A122,'Sector Map'!$A$4:$B$123,2,FALSE)),"NOT IN MAP"))</f>
        <v/>
      </c>
      <c r="C122" s="14">
        <f>IF($A122="","",$A122&amp;TkSuffix)</f>
        <v/>
      </c>
      <c r="D122" s="17">
        <f>IF($C122="","",BDP($C122,FldMcap))</f>
        <v/>
      </c>
      <c r="E122" s="17">
        <f>IF($C122="","",BDP($C122,FldShOut))</f>
        <v/>
      </c>
      <c r="F122" s="18">
        <f>IF($C122="","",BDP($C122,FldPx))</f>
        <v/>
      </c>
      <c r="G122" s="19">
        <f>IFERROR($E122*$F122,"")</f>
        <v/>
      </c>
      <c r="H122" s="20">
        <f>IFERROR(IF(WgtBasis="SEC_CAP",$G122,$D122),"")</f>
        <v/>
      </c>
      <c r="I122" s="18">
        <f>IF($C122="","",BDP($C122,FldEps,"BEST_FPERIOD_OVERRIDE="&amp;FpOvr))</f>
        <v/>
      </c>
      <c r="J122" s="18">
        <f>IF($C122="","",IFERROR(INDEX(BDH($C122,FldEps,DtRevA,DtRevA,"BEST_FPERIOD_OVERRIDE="&amp;FpOvr,"Days=A","Fill=P"),1,1),""))</f>
        <v/>
      </c>
      <c r="K122" s="18">
        <f>IF($C122="","",IFERROR(INDEX(BDH($C122,FldEps,DtRevB,DtRevB,"BEST_FPERIOD_OVERRIDE="&amp;FpOvr,"Days=A","Fill=P"),1,1),""))</f>
        <v/>
      </c>
      <c r="L122" s="21">
        <f>IFERROR(IF($J122&lt;=0,"",$I122/$J122-1),"")</f>
        <v/>
      </c>
      <c r="M122" s="21">
        <f>IFERROR(IF($K122&lt;=0,"",$I122/$K122-1),"")</f>
        <v/>
      </c>
      <c r="N122" s="22">
        <f>IF($C122="","",IFERROR(BDP($C122,FldTRR,"CUST_TRR_START_DT="&amp;TEXT(DtMomA,"yyyymmdd"),"CUST_TRR_END_DT="&amp;TEXT(AsOf,"yyyymmdd"))/100,""))</f>
        <v/>
      </c>
      <c r="O122" s="22">
        <f>IF($C122="","",IFERROR(BDP($C122,FldTRR,"CUST_TRR_START_DT="&amp;TEXT(DtMomB,"yyyymmdd"),"CUST_TRR_END_DT="&amp;TEXT(AsOf,"yyyymmdd"))/100,""))</f>
        <v/>
      </c>
      <c r="P122" s="2">
        <f>IF($A122="","",IF($Q122=0,"sector missing",IF(NOT(ISNUMBER($H122)),"no market cap",IF(COUNT($L122:$O122)=4,"complete","missing "&amp;(4-COUNT($L122:$O122))&amp;" of 4 factors"))))</f>
        <v/>
      </c>
      <c r="Q122" s="23">
        <f>IF(OR($B122="",$B122="NO SECTOR",$B122="NOT IN MAP"),0,1)</f>
        <v/>
      </c>
      <c r="R122" s="24">
        <f>IF(AND($Q122=1,ISNUMBER($L122),ISNUMBER($H122)),$L122*$H122,0)</f>
        <v/>
      </c>
      <c r="S122" s="23">
        <f>IF(AND($Q122=1,ISNUMBER($L122),ISNUMBER($H122)),$H122,0)</f>
        <v/>
      </c>
      <c r="T122" s="24">
        <f>IF(AND($Q122=1,ISNUMBER($M122),ISNUMBER($H122)),$M122*$H122,0)</f>
        <v/>
      </c>
      <c r="U122" s="23">
        <f>IF(AND($Q122=1,ISNUMBER($M122),ISNUMBER($H122)),$H122,0)</f>
        <v/>
      </c>
      <c r="V122" s="24">
        <f>IF(AND($Q122=1,ISNUMBER($N122),ISNUMBER($H122)),$N122*$H122,0)</f>
        <v/>
      </c>
      <c r="W122" s="23">
        <f>IF(AND($Q122=1,ISNUMBER($N122),ISNUMBER($H122)),$H122,0)</f>
        <v/>
      </c>
      <c r="X122" s="24">
        <f>IF(AND($Q122=1,ISNUMBER($O122),ISNUMBER($H122)),$O122*$H122,0)</f>
        <v/>
      </c>
      <c r="Y122" s="23">
        <f>IF(AND($Q122=1,ISNUMBER($O122),ISNUMBER($H122)),$H122,0)</f>
        <v/>
      </c>
      <c r="Z122" s="23">
        <f>IF($Q122=0,"",IF(COUNTIF($B$5:$B122,$B122)&gt;1,"",MAX(0,MAX($Z$5:$Z121))+1))</f>
        <v/>
      </c>
    </row>
    <row r="123">
      <c r="A123" s="14">
        <f>IFERROR(IF(INDEX('Index Members'!$A$4:$A$403,ROW()-4)=0,"",INDEX('Index Members'!$A$4:$A$403,ROW()-4)),"")</f>
        <v/>
      </c>
      <c r="B123" s="14">
        <f>IF($A123="","",IFERROR(IF(VLOOKUP($A123,'Sector Map'!$A$4:$B$123,2,FALSE)=0,"NO SECTOR",VLOOKUP($A123,'Sector Map'!$A$4:$B$123,2,FALSE)),"NOT IN MAP"))</f>
        <v/>
      </c>
      <c r="C123" s="14">
        <f>IF($A123="","",$A123&amp;TkSuffix)</f>
        <v/>
      </c>
      <c r="D123" s="17">
        <f>IF($C123="","",BDP($C123,FldMcap))</f>
        <v/>
      </c>
      <c r="E123" s="17">
        <f>IF($C123="","",BDP($C123,FldShOut))</f>
        <v/>
      </c>
      <c r="F123" s="18">
        <f>IF($C123="","",BDP($C123,FldPx))</f>
        <v/>
      </c>
      <c r="G123" s="19">
        <f>IFERROR($E123*$F123,"")</f>
        <v/>
      </c>
      <c r="H123" s="20">
        <f>IFERROR(IF(WgtBasis="SEC_CAP",$G123,$D123),"")</f>
        <v/>
      </c>
      <c r="I123" s="18">
        <f>IF($C123="","",BDP($C123,FldEps,"BEST_FPERIOD_OVERRIDE="&amp;FpOvr))</f>
        <v/>
      </c>
      <c r="J123" s="18">
        <f>IF($C123="","",IFERROR(INDEX(BDH($C123,FldEps,DtRevA,DtRevA,"BEST_FPERIOD_OVERRIDE="&amp;FpOvr,"Days=A","Fill=P"),1,1),""))</f>
        <v/>
      </c>
      <c r="K123" s="18">
        <f>IF($C123="","",IFERROR(INDEX(BDH($C123,FldEps,DtRevB,DtRevB,"BEST_FPERIOD_OVERRIDE="&amp;FpOvr,"Days=A","Fill=P"),1,1),""))</f>
        <v/>
      </c>
      <c r="L123" s="21">
        <f>IFERROR(IF($J123&lt;=0,"",$I123/$J123-1),"")</f>
        <v/>
      </c>
      <c r="M123" s="21">
        <f>IFERROR(IF($K123&lt;=0,"",$I123/$K123-1),"")</f>
        <v/>
      </c>
      <c r="N123" s="22">
        <f>IF($C123="","",IFERROR(BDP($C123,FldTRR,"CUST_TRR_START_DT="&amp;TEXT(DtMomA,"yyyymmdd"),"CUST_TRR_END_DT="&amp;TEXT(AsOf,"yyyymmdd"))/100,""))</f>
        <v/>
      </c>
      <c r="O123" s="22">
        <f>IF($C123="","",IFERROR(BDP($C123,FldTRR,"CUST_TRR_START_DT="&amp;TEXT(DtMomB,"yyyymmdd"),"CUST_TRR_END_DT="&amp;TEXT(AsOf,"yyyymmdd"))/100,""))</f>
        <v/>
      </c>
      <c r="P123" s="2">
        <f>IF($A123="","",IF($Q123=0,"sector missing",IF(NOT(ISNUMBER($H123)),"no market cap",IF(COUNT($L123:$O123)=4,"complete","missing "&amp;(4-COUNT($L123:$O123))&amp;" of 4 factors"))))</f>
        <v/>
      </c>
      <c r="Q123" s="23">
        <f>IF(OR($B123="",$B123="NO SECTOR",$B123="NOT IN MAP"),0,1)</f>
        <v/>
      </c>
      <c r="R123" s="24">
        <f>IF(AND($Q123=1,ISNUMBER($L123),ISNUMBER($H123)),$L123*$H123,0)</f>
        <v/>
      </c>
      <c r="S123" s="23">
        <f>IF(AND($Q123=1,ISNUMBER($L123),ISNUMBER($H123)),$H123,0)</f>
        <v/>
      </c>
      <c r="T123" s="24">
        <f>IF(AND($Q123=1,ISNUMBER($M123),ISNUMBER($H123)),$M123*$H123,0)</f>
        <v/>
      </c>
      <c r="U123" s="23">
        <f>IF(AND($Q123=1,ISNUMBER($M123),ISNUMBER($H123)),$H123,0)</f>
        <v/>
      </c>
      <c r="V123" s="24">
        <f>IF(AND($Q123=1,ISNUMBER($N123),ISNUMBER($H123)),$N123*$H123,0)</f>
        <v/>
      </c>
      <c r="W123" s="23">
        <f>IF(AND($Q123=1,ISNUMBER($N123),ISNUMBER($H123)),$H123,0)</f>
        <v/>
      </c>
      <c r="X123" s="24">
        <f>IF(AND($Q123=1,ISNUMBER($O123),ISNUMBER($H123)),$O123*$H123,0)</f>
        <v/>
      </c>
      <c r="Y123" s="23">
        <f>IF(AND($Q123=1,ISNUMBER($O123),ISNUMBER($H123)),$H123,0)</f>
        <v/>
      </c>
      <c r="Z123" s="23">
        <f>IF($Q123=0,"",IF(COUNTIF($B$5:$B123,$B123)&gt;1,"",MAX(0,MAX($Z$5:$Z122))+1))</f>
        <v/>
      </c>
    </row>
    <row r="124">
      <c r="A124" s="14">
        <f>IFERROR(IF(INDEX('Index Members'!$A$4:$A$403,ROW()-4)=0,"",INDEX('Index Members'!$A$4:$A$403,ROW()-4)),"")</f>
        <v/>
      </c>
      <c r="B124" s="14">
        <f>IF($A124="","",IFERROR(IF(VLOOKUP($A124,'Sector Map'!$A$4:$B$123,2,FALSE)=0,"NO SECTOR",VLOOKUP($A124,'Sector Map'!$A$4:$B$123,2,FALSE)),"NOT IN MAP"))</f>
        <v/>
      </c>
      <c r="C124" s="14">
        <f>IF($A124="","",$A124&amp;TkSuffix)</f>
        <v/>
      </c>
      <c r="D124" s="17">
        <f>IF($C124="","",BDP($C124,FldMcap))</f>
        <v/>
      </c>
      <c r="E124" s="17">
        <f>IF($C124="","",BDP($C124,FldShOut))</f>
        <v/>
      </c>
      <c r="F124" s="18">
        <f>IF($C124="","",BDP($C124,FldPx))</f>
        <v/>
      </c>
      <c r="G124" s="19">
        <f>IFERROR($E124*$F124,"")</f>
        <v/>
      </c>
      <c r="H124" s="20">
        <f>IFERROR(IF(WgtBasis="SEC_CAP",$G124,$D124),"")</f>
        <v/>
      </c>
      <c r="I124" s="18">
        <f>IF($C124="","",BDP($C124,FldEps,"BEST_FPERIOD_OVERRIDE="&amp;FpOvr))</f>
        <v/>
      </c>
      <c r="J124" s="18">
        <f>IF($C124="","",IFERROR(INDEX(BDH($C124,FldEps,DtRevA,DtRevA,"BEST_FPERIOD_OVERRIDE="&amp;FpOvr,"Days=A","Fill=P"),1,1),""))</f>
        <v/>
      </c>
      <c r="K124" s="18">
        <f>IF($C124="","",IFERROR(INDEX(BDH($C124,FldEps,DtRevB,DtRevB,"BEST_FPERIOD_OVERRIDE="&amp;FpOvr,"Days=A","Fill=P"),1,1),""))</f>
        <v/>
      </c>
      <c r="L124" s="21">
        <f>IFERROR(IF($J124&lt;=0,"",$I124/$J124-1),"")</f>
        <v/>
      </c>
      <c r="M124" s="21">
        <f>IFERROR(IF($K124&lt;=0,"",$I124/$K124-1),"")</f>
        <v/>
      </c>
      <c r="N124" s="22">
        <f>IF($C124="","",IFERROR(BDP($C124,FldTRR,"CUST_TRR_START_DT="&amp;TEXT(DtMomA,"yyyymmdd"),"CUST_TRR_END_DT="&amp;TEXT(AsOf,"yyyymmdd"))/100,""))</f>
        <v/>
      </c>
      <c r="O124" s="22">
        <f>IF($C124="","",IFERROR(BDP($C124,FldTRR,"CUST_TRR_START_DT="&amp;TEXT(DtMomB,"yyyymmdd"),"CUST_TRR_END_DT="&amp;TEXT(AsOf,"yyyymmdd"))/100,""))</f>
        <v/>
      </c>
      <c r="P124" s="2">
        <f>IF($A124="","",IF($Q124=0,"sector missing",IF(NOT(ISNUMBER($H124)),"no market cap",IF(COUNT($L124:$O124)=4,"complete","missing "&amp;(4-COUNT($L124:$O124))&amp;" of 4 factors"))))</f>
        <v/>
      </c>
      <c r="Q124" s="23">
        <f>IF(OR($B124="",$B124="NO SECTOR",$B124="NOT IN MAP"),0,1)</f>
        <v/>
      </c>
      <c r="R124" s="24">
        <f>IF(AND($Q124=1,ISNUMBER($L124),ISNUMBER($H124)),$L124*$H124,0)</f>
        <v/>
      </c>
      <c r="S124" s="23">
        <f>IF(AND($Q124=1,ISNUMBER($L124),ISNUMBER($H124)),$H124,0)</f>
        <v/>
      </c>
      <c r="T124" s="24">
        <f>IF(AND($Q124=1,ISNUMBER($M124),ISNUMBER($H124)),$M124*$H124,0)</f>
        <v/>
      </c>
      <c r="U124" s="23">
        <f>IF(AND($Q124=1,ISNUMBER($M124),ISNUMBER($H124)),$H124,0)</f>
        <v/>
      </c>
      <c r="V124" s="24">
        <f>IF(AND($Q124=1,ISNUMBER($N124),ISNUMBER($H124)),$N124*$H124,0)</f>
        <v/>
      </c>
      <c r="W124" s="23">
        <f>IF(AND($Q124=1,ISNUMBER($N124),ISNUMBER($H124)),$H124,0)</f>
        <v/>
      </c>
      <c r="X124" s="24">
        <f>IF(AND($Q124=1,ISNUMBER($O124),ISNUMBER($H124)),$O124*$H124,0)</f>
        <v/>
      </c>
      <c r="Y124" s="23">
        <f>IF(AND($Q124=1,ISNUMBER($O124),ISNUMBER($H124)),$H124,0)</f>
        <v/>
      </c>
      <c r="Z124" s="23">
        <f>IF($Q124=0,"",IF(COUNTIF($B$5:$B124,$B124)&gt;1,"",MAX(0,MAX($Z$5:$Z123))+1))</f>
        <v/>
      </c>
    </row>
  </sheetData>
  <mergeCells count="5">
    <mergeCell ref="I3:M3"/>
    <mergeCell ref="N3:O3"/>
    <mergeCell ref="A3:C3"/>
    <mergeCell ref="Q3:Z3"/>
    <mergeCell ref="D3:H3"/>
  </mergeCells>
  <conditionalFormatting sqref="P5:P124">
    <cfRule type="cellIs" priority="1" operator="equal" dxfId="0">
      <formula>"complete"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17" customWidth="1" min="3" max="3"/>
    <col width="13" customWidth="1" min="4" max="4"/>
    <col width="14" customWidth="1" min="5" max="5"/>
    <col width="14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Sector aggregation — market-cap weighted</t>
        </is>
      </c>
    </row>
    <row r="2">
      <c r="A2" s="2" t="inlineStr">
        <is>
          <t>Sectors are discovered from what you typed on Sector Map; no list to maintain here. A security is only weighted into a factor where BOTH that factor and its market cap came back as numbers, so a single missing datapoint cannot poison a sector.</t>
        </is>
      </c>
    </row>
    <row r="3" ht="40" customHeight="1">
      <c r="A3" s="13" t="inlineStr">
        <is>
          <t>Sector</t>
        </is>
      </c>
      <c r="B3" s="13" t="inlineStr">
        <is>
          <t>Names</t>
        </is>
      </c>
      <c r="C3" s="13" t="inlineStr">
        <is>
          <t>Total mkt cap</t>
        </is>
      </c>
      <c r="D3" s="13" t="inlineStr">
        <is>
          <t>Share of index</t>
        </is>
      </c>
      <c r="E3" s="13" t="inlineStr">
        <is>
          <t>Earnings rev. A</t>
        </is>
      </c>
      <c r="F3" s="13" t="inlineStr">
        <is>
          <t>Earnings rev. B</t>
        </is>
      </c>
      <c r="G3" s="13" t="inlineStr">
        <is>
          <t>Momentum A</t>
        </is>
      </c>
      <c r="H3" s="13" t="inlineStr">
        <is>
          <t>Momentum B</t>
        </is>
      </c>
      <c r="I3" s="13" t="inlineStr">
        <is>
          <t>n (rev A)</t>
        </is>
      </c>
      <c r="J3" s="13" t="inlineStr">
        <is>
          <t>n (rev B)</t>
        </is>
      </c>
      <c r="K3" s="13" t="inlineStr">
        <is>
          <t>n (mom A)</t>
        </is>
      </c>
      <c r="L3" s="13" t="inlineStr">
        <is>
          <t>n (mom B)</t>
        </is>
      </c>
    </row>
    <row r="4">
      <c r="A4" s="3">
        <f>IFERROR(INDEX('Data'!$B$5:$B$124,MATCH(1,'Data'!$Z$5:$Z$124,0)),"")</f>
        <v/>
      </c>
      <c r="B4" s="19">
        <f>IF($A4="","",COUNTIF('Data'!$B$5:$B$124,$A4))</f>
        <v/>
      </c>
      <c r="C4" s="19">
        <f>IF($A4="","",SUMIF('Data'!$B$5:$B$124,$A4,'Data'!$H$5:$H$124))</f>
        <v/>
      </c>
      <c r="D4" s="25">
        <f>IF(OR($A4="",$C$35=0),"",$C4/$C$35)</f>
        <v/>
      </c>
      <c r="E4" s="21">
        <f>IF($A4="","",IF(SUMIF('Data'!$B$5:$B$124,$A4,'Data'!$S$5:$S$124)=0,"",SUMIF('Data'!$B$5:$B$124,$A4,'Data'!$R$5:$R$124)/SUMIF('Data'!$B$5:$B$124,$A4,'Data'!$S$5:$S$124)))</f>
        <v/>
      </c>
      <c r="F4" s="21">
        <f>IF($A4="","",IF(SUMIF('Data'!$B$5:$B$124,$A4,'Data'!$U$5:$U$124)=0,"",SUMIF('Data'!$B$5:$B$124,$A4,'Data'!$T$5:$T$124)/SUMIF('Data'!$B$5:$B$124,$A4,'Data'!$U$5:$U$124)))</f>
        <v/>
      </c>
      <c r="G4" s="21">
        <f>IF($A4="","",IF(SUMIF('Data'!$B$5:$B$124,$A4,'Data'!$W$5:$W$124)=0,"",SUMIF('Data'!$B$5:$B$124,$A4,'Data'!$V$5:$V$124)/SUMIF('Data'!$B$5:$B$124,$A4,'Data'!$W$5:$W$124)))</f>
        <v/>
      </c>
      <c r="H4" s="21">
        <f>IF($A4="","",IF(SUMIF('Data'!$B$5:$B$124,$A4,'Data'!$Y$5:$Y$124)=0,"",SUMIF('Data'!$B$5:$B$124,$A4,'Data'!$X$5:$X$124)/SUMIF('Data'!$B$5:$B$124,$A4,'Data'!$Y$5:$Y$124)))</f>
        <v/>
      </c>
      <c r="I4" s="26">
        <f>IF($A4="","",COUNTIF('Data'!$B$5:$B$124,$A4)-COUNTIFS('Data'!$B$5:$B$124,$A4,'Data'!$S$5:$S$124,0))</f>
        <v/>
      </c>
      <c r="J4" s="26">
        <f>IF($A4="","",COUNTIF('Data'!$B$5:$B$124,$A4)-COUNTIFS('Data'!$B$5:$B$124,$A4,'Data'!$U$5:$U$124,0))</f>
        <v/>
      </c>
      <c r="K4" s="26">
        <f>IF($A4="","",COUNTIF('Data'!$B$5:$B$124,$A4)-COUNTIFS('Data'!$B$5:$B$124,$A4,'Data'!$W$5:$W$124,0))</f>
        <v/>
      </c>
      <c r="L4" s="26">
        <f>IF($A4="","",COUNTIF('Data'!$B$5:$B$124,$A4)-COUNTIFS('Data'!$B$5:$B$124,$A4,'Data'!$Y$5:$Y$124,0))</f>
        <v/>
      </c>
    </row>
    <row r="5">
      <c r="A5" s="3">
        <f>IFERROR(INDEX('Data'!$B$5:$B$124,MATCH(2,'Data'!$Z$5:$Z$124,0)),"")</f>
        <v/>
      </c>
      <c r="B5" s="19">
        <f>IF($A5="","",COUNTIF('Data'!$B$5:$B$124,$A5))</f>
        <v/>
      </c>
      <c r="C5" s="19">
        <f>IF($A5="","",SUMIF('Data'!$B$5:$B$124,$A5,'Data'!$H$5:$H$124))</f>
        <v/>
      </c>
      <c r="D5" s="25">
        <f>IF(OR($A5="",$C$35=0),"",$C5/$C$35)</f>
        <v/>
      </c>
      <c r="E5" s="21">
        <f>IF($A5="","",IF(SUMIF('Data'!$B$5:$B$124,$A5,'Data'!$S$5:$S$124)=0,"",SUMIF('Data'!$B$5:$B$124,$A5,'Data'!$R$5:$R$124)/SUMIF('Data'!$B$5:$B$124,$A5,'Data'!$S$5:$S$124)))</f>
        <v/>
      </c>
      <c r="F5" s="21">
        <f>IF($A5="","",IF(SUMIF('Data'!$B$5:$B$124,$A5,'Data'!$U$5:$U$124)=0,"",SUMIF('Data'!$B$5:$B$124,$A5,'Data'!$T$5:$T$124)/SUMIF('Data'!$B$5:$B$124,$A5,'Data'!$U$5:$U$124)))</f>
        <v/>
      </c>
      <c r="G5" s="21">
        <f>IF($A5="","",IF(SUMIF('Data'!$B$5:$B$124,$A5,'Data'!$W$5:$W$124)=0,"",SUMIF('Data'!$B$5:$B$124,$A5,'Data'!$V$5:$V$124)/SUMIF('Data'!$B$5:$B$124,$A5,'Data'!$W$5:$W$124)))</f>
        <v/>
      </c>
      <c r="H5" s="21">
        <f>IF($A5="","",IF(SUMIF('Data'!$B$5:$B$124,$A5,'Data'!$Y$5:$Y$124)=0,"",SUMIF('Data'!$B$5:$B$124,$A5,'Data'!$X$5:$X$124)/SUMIF('Data'!$B$5:$B$124,$A5,'Data'!$Y$5:$Y$124)))</f>
        <v/>
      </c>
      <c r="I5" s="26">
        <f>IF($A5="","",COUNTIF('Data'!$B$5:$B$124,$A5)-COUNTIFS('Data'!$B$5:$B$124,$A5,'Data'!$S$5:$S$124,0))</f>
        <v/>
      </c>
      <c r="J5" s="26">
        <f>IF($A5="","",COUNTIF('Data'!$B$5:$B$124,$A5)-COUNTIFS('Data'!$B$5:$B$124,$A5,'Data'!$U$5:$U$124,0))</f>
        <v/>
      </c>
      <c r="K5" s="26">
        <f>IF($A5="","",COUNTIF('Data'!$B$5:$B$124,$A5)-COUNTIFS('Data'!$B$5:$B$124,$A5,'Data'!$W$5:$W$124,0))</f>
        <v/>
      </c>
      <c r="L5" s="26">
        <f>IF($A5="","",COUNTIF('Data'!$B$5:$B$124,$A5)-COUNTIFS('Data'!$B$5:$B$124,$A5,'Data'!$Y$5:$Y$124,0))</f>
        <v/>
      </c>
    </row>
    <row r="6">
      <c r="A6" s="3">
        <f>IFERROR(INDEX('Data'!$B$5:$B$124,MATCH(3,'Data'!$Z$5:$Z$124,0)),"")</f>
        <v/>
      </c>
      <c r="B6" s="19">
        <f>IF($A6="","",COUNTIF('Data'!$B$5:$B$124,$A6))</f>
        <v/>
      </c>
      <c r="C6" s="19">
        <f>IF($A6="","",SUMIF('Data'!$B$5:$B$124,$A6,'Data'!$H$5:$H$124))</f>
        <v/>
      </c>
      <c r="D6" s="25">
        <f>IF(OR($A6="",$C$35=0),"",$C6/$C$35)</f>
        <v/>
      </c>
      <c r="E6" s="21">
        <f>IF($A6="","",IF(SUMIF('Data'!$B$5:$B$124,$A6,'Data'!$S$5:$S$124)=0,"",SUMIF('Data'!$B$5:$B$124,$A6,'Data'!$R$5:$R$124)/SUMIF('Data'!$B$5:$B$124,$A6,'Data'!$S$5:$S$124)))</f>
        <v/>
      </c>
      <c r="F6" s="21">
        <f>IF($A6="","",IF(SUMIF('Data'!$B$5:$B$124,$A6,'Data'!$U$5:$U$124)=0,"",SUMIF('Data'!$B$5:$B$124,$A6,'Data'!$T$5:$T$124)/SUMIF('Data'!$B$5:$B$124,$A6,'Data'!$U$5:$U$124)))</f>
        <v/>
      </c>
      <c r="G6" s="21">
        <f>IF($A6="","",IF(SUMIF('Data'!$B$5:$B$124,$A6,'Data'!$W$5:$W$124)=0,"",SUMIF('Data'!$B$5:$B$124,$A6,'Data'!$V$5:$V$124)/SUMIF('Data'!$B$5:$B$124,$A6,'Data'!$W$5:$W$124)))</f>
        <v/>
      </c>
      <c r="H6" s="21">
        <f>IF($A6="","",IF(SUMIF('Data'!$B$5:$B$124,$A6,'Data'!$Y$5:$Y$124)=0,"",SUMIF('Data'!$B$5:$B$124,$A6,'Data'!$X$5:$X$124)/SUMIF('Data'!$B$5:$B$124,$A6,'Data'!$Y$5:$Y$124)))</f>
        <v/>
      </c>
      <c r="I6" s="26">
        <f>IF($A6="","",COUNTIF('Data'!$B$5:$B$124,$A6)-COUNTIFS('Data'!$B$5:$B$124,$A6,'Data'!$S$5:$S$124,0))</f>
        <v/>
      </c>
      <c r="J6" s="26">
        <f>IF($A6="","",COUNTIF('Data'!$B$5:$B$124,$A6)-COUNTIFS('Data'!$B$5:$B$124,$A6,'Data'!$U$5:$U$124,0))</f>
        <v/>
      </c>
      <c r="K6" s="26">
        <f>IF($A6="","",COUNTIF('Data'!$B$5:$B$124,$A6)-COUNTIFS('Data'!$B$5:$B$124,$A6,'Data'!$W$5:$W$124,0))</f>
        <v/>
      </c>
      <c r="L6" s="26">
        <f>IF($A6="","",COUNTIF('Data'!$B$5:$B$124,$A6)-COUNTIFS('Data'!$B$5:$B$124,$A6,'Data'!$Y$5:$Y$124,0))</f>
        <v/>
      </c>
    </row>
    <row r="7">
      <c r="A7" s="3">
        <f>IFERROR(INDEX('Data'!$B$5:$B$124,MATCH(4,'Data'!$Z$5:$Z$124,0)),"")</f>
        <v/>
      </c>
      <c r="B7" s="19">
        <f>IF($A7="","",COUNTIF('Data'!$B$5:$B$124,$A7))</f>
        <v/>
      </c>
      <c r="C7" s="19">
        <f>IF($A7="","",SUMIF('Data'!$B$5:$B$124,$A7,'Data'!$H$5:$H$124))</f>
        <v/>
      </c>
      <c r="D7" s="25">
        <f>IF(OR($A7="",$C$35=0),"",$C7/$C$35)</f>
        <v/>
      </c>
      <c r="E7" s="21">
        <f>IF($A7="","",IF(SUMIF('Data'!$B$5:$B$124,$A7,'Data'!$S$5:$S$124)=0,"",SUMIF('Data'!$B$5:$B$124,$A7,'Data'!$R$5:$R$124)/SUMIF('Data'!$B$5:$B$124,$A7,'Data'!$S$5:$S$124)))</f>
        <v/>
      </c>
      <c r="F7" s="21">
        <f>IF($A7="","",IF(SUMIF('Data'!$B$5:$B$124,$A7,'Data'!$U$5:$U$124)=0,"",SUMIF('Data'!$B$5:$B$124,$A7,'Data'!$T$5:$T$124)/SUMIF('Data'!$B$5:$B$124,$A7,'Data'!$U$5:$U$124)))</f>
        <v/>
      </c>
      <c r="G7" s="21">
        <f>IF($A7="","",IF(SUMIF('Data'!$B$5:$B$124,$A7,'Data'!$W$5:$W$124)=0,"",SUMIF('Data'!$B$5:$B$124,$A7,'Data'!$V$5:$V$124)/SUMIF('Data'!$B$5:$B$124,$A7,'Data'!$W$5:$W$124)))</f>
        <v/>
      </c>
      <c r="H7" s="21">
        <f>IF($A7="","",IF(SUMIF('Data'!$B$5:$B$124,$A7,'Data'!$Y$5:$Y$124)=0,"",SUMIF('Data'!$B$5:$B$124,$A7,'Data'!$X$5:$X$124)/SUMIF('Data'!$B$5:$B$124,$A7,'Data'!$Y$5:$Y$124)))</f>
        <v/>
      </c>
      <c r="I7" s="26">
        <f>IF($A7="","",COUNTIF('Data'!$B$5:$B$124,$A7)-COUNTIFS('Data'!$B$5:$B$124,$A7,'Data'!$S$5:$S$124,0))</f>
        <v/>
      </c>
      <c r="J7" s="26">
        <f>IF($A7="","",COUNTIF('Data'!$B$5:$B$124,$A7)-COUNTIFS('Data'!$B$5:$B$124,$A7,'Data'!$U$5:$U$124,0))</f>
        <v/>
      </c>
      <c r="K7" s="26">
        <f>IF($A7="","",COUNTIF('Data'!$B$5:$B$124,$A7)-COUNTIFS('Data'!$B$5:$B$124,$A7,'Data'!$W$5:$W$124,0))</f>
        <v/>
      </c>
      <c r="L7" s="26">
        <f>IF($A7="","",COUNTIF('Data'!$B$5:$B$124,$A7)-COUNTIFS('Data'!$B$5:$B$124,$A7,'Data'!$Y$5:$Y$124,0))</f>
        <v/>
      </c>
    </row>
    <row r="8">
      <c r="A8" s="3">
        <f>IFERROR(INDEX('Data'!$B$5:$B$124,MATCH(5,'Data'!$Z$5:$Z$124,0)),"")</f>
        <v/>
      </c>
      <c r="B8" s="19">
        <f>IF($A8="","",COUNTIF('Data'!$B$5:$B$124,$A8))</f>
        <v/>
      </c>
      <c r="C8" s="19">
        <f>IF($A8="","",SUMIF('Data'!$B$5:$B$124,$A8,'Data'!$H$5:$H$124))</f>
        <v/>
      </c>
      <c r="D8" s="25">
        <f>IF(OR($A8="",$C$35=0),"",$C8/$C$35)</f>
        <v/>
      </c>
      <c r="E8" s="21">
        <f>IF($A8="","",IF(SUMIF('Data'!$B$5:$B$124,$A8,'Data'!$S$5:$S$124)=0,"",SUMIF('Data'!$B$5:$B$124,$A8,'Data'!$R$5:$R$124)/SUMIF('Data'!$B$5:$B$124,$A8,'Data'!$S$5:$S$124)))</f>
        <v/>
      </c>
      <c r="F8" s="21">
        <f>IF($A8="","",IF(SUMIF('Data'!$B$5:$B$124,$A8,'Data'!$U$5:$U$124)=0,"",SUMIF('Data'!$B$5:$B$124,$A8,'Data'!$T$5:$T$124)/SUMIF('Data'!$B$5:$B$124,$A8,'Data'!$U$5:$U$124)))</f>
        <v/>
      </c>
      <c r="G8" s="21">
        <f>IF($A8="","",IF(SUMIF('Data'!$B$5:$B$124,$A8,'Data'!$W$5:$W$124)=0,"",SUMIF('Data'!$B$5:$B$124,$A8,'Data'!$V$5:$V$124)/SUMIF('Data'!$B$5:$B$124,$A8,'Data'!$W$5:$W$124)))</f>
        <v/>
      </c>
      <c r="H8" s="21">
        <f>IF($A8="","",IF(SUMIF('Data'!$B$5:$B$124,$A8,'Data'!$Y$5:$Y$124)=0,"",SUMIF('Data'!$B$5:$B$124,$A8,'Data'!$X$5:$X$124)/SUMIF('Data'!$B$5:$B$124,$A8,'Data'!$Y$5:$Y$124)))</f>
        <v/>
      </c>
      <c r="I8" s="26">
        <f>IF($A8="","",COUNTIF('Data'!$B$5:$B$124,$A8)-COUNTIFS('Data'!$B$5:$B$124,$A8,'Data'!$S$5:$S$124,0))</f>
        <v/>
      </c>
      <c r="J8" s="26">
        <f>IF($A8="","",COUNTIF('Data'!$B$5:$B$124,$A8)-COUNTIFS('Data'!$B$5:$B$124,$A8,'Data'!$U$5:$U$124,0))</f>
        <v/>
      </c>
      <c r="K8" s="26">
        <f>IF($A8="","",COUNTIF('Data'!$B$5:$B$124,$A8)-COUNTIFS('Data'!$B$5:$B$124,$A8,'Data'!$W$5:$W$124,0))</f>
        <v/>
      </c>
      <c r="L8" s="26">
        <f>IF($A8="","",COUNTIF('Data'!$B$5:$B$124,$A8)-COUNTIFS('Data'!$B$5:$B$124,$A8,'Data'!$Y$5:$Y$124,0))</f>
        <v/>
      </c>
    </row>
    <row r="9">
      <c r="A9" s="3">
        <f>IFERROR(INDEX('Data'!$B$5:$B$124,MATCH(6,'Data'!$Z$5:$Z$124,0)),"")</f>
        <v/>
      </c>
      <c r="B9" s="19">
        <f>IF($A9="","",COUNTIF('Data'!$B$5:$B$124,$A9))</f>
        <v/>
      </c>
      <c r="C9" s="19">
        <f>IF($A9="","",SUMIF('Data'!$B$5:$B$124,$A9,'Data'!$H$5:$H$124))</f>
        <v/>
      </c>
      <c r="D9" s="25">
        <f>IF(OR($A9="",$C$35=0),"",$C9/$C$35)</f>
        <v/>
      </c>
      <c r="E9" s="21">
        <f>IF($A9="","",IF(SUMIF('Data'!$B$5:$B$124,$A9,'Data'!$S$5:$S$124)=0,"",SUMIF('Data'!$B$5:$B$124,$A9,'Data'!$R$5:$R$124)/SUMIF('Data'!$B$5:$B$124,$A9,'Data'!$S$5:$S$124)))</f>
        <v/>
      </c>
      <c r="F9" s="21">
        <f>IF($A9="","",IF(SUMIF('Data'!$B$5:$B$124,$A9,'Data'!$U$5:$U$124)=0,"",SUMIF('Data'!$B$5:$B$124,$A9,'Data'!$T$5:$T$124)/SUMIF('Data'!$B$5:$B$124,$A9,'Data'!$U$5:$U$124)))</f>
        <v/>
      </c>
      <c r="G9" s="21">
        <f>IF($A9="","",IF(SUMIF('Data'!$B$5:$B$124,$A9,'Data'!$W$5:$W$124)=0,"",SUMIF('Data'!$B$5:$B$124,$A9,'Data'!$V$5:$V$124)/SUMIF('Data'!$B$5:$B$124,$A9,'Data'!$W$5:$W$124)))</f>
        <v/>
      </c>
      <c r="H9" s="21">
        <f>IF($A9="","",IF(SUMIF('Data'!$B$5:$B$124,$A9,'Data'!$Y$5:$Y$124)=0,"",SUMIF('Data'!$B$5:$B$124,$A9,'Data'!$X$5:$X$124)/SUMIF('Data'!$B$5:$B$124,$A9,'Data'!$Y$5:$Y$124)))</f>
        <v/>
      </c>
      <c r="I9" s="26">
        <f>IF($A9="","",COUNTIF('Data'!$B$5:$B$124,$A9)-COUNTIFS('Data'!$B$5:$B$124,$A9,'Data'!$S$5:$S$124,0))</f>
        <v/>
      </c>
      <c r="J9" s="26">
        <f>IF($A9="","",COUNTIF('Data'!$B$5:$B$124,$A9)-COUNTIFS('Data'!$B$5:$B$124,$A9,'Data'!$U$5:$U$124,0))</f>
        <v/>
      </c>
      <c r="K9" s="26">
        <f>IF($A9="","",COUNTIF('Data'!$B$5:$B$124,$A9)-COUNTIFS('Data'!$B$5:$B$124,$A9,'Data'!$W$5:$W$124,0))</f>
        <v/>
      </c>
      <c r="L9" s="26">
        <f>IF($A9="","",COUNTIF('Data'!$B$5:$B$124,$A9)-COUNTIFS('Data'!$B$5:$B$124,$A9,'Data'!$Y$5:$Y$124,0))</f>
        <v/>
      </c>
    </row>
    <row r="10">
      <c r="A10" s="3">
        <f>IFERROR(INDEX('Data'!$B$5:$B$124,MATCH(7,'Data'!$Z$5:$Z$124,0)),"")</f>
        <v/>
      </c>
      <c r="B10" s="19">
        <f>IF($A10="","",COUNTIF('Data'!$B$5:$B$124,$A10))</f>
        <v/>
      </c>
      <c r="C10" s="19">
        <f>IF($A10="","",SUMIF('Data'!$B$5:$B$124,$A10,'Data'!$H$5:$H$124))</f>
        <v/>
      </c>
      <c r="D10" s="25">
        <f>IF(OR($A10="",$C$35=0),"",$C10/$C$35)</f>
        <v/>
      </c>
      <c r="E10" s="21">
        <f>IF($A10="","",IF(SUMIF('Data'!$B$5:$B$124,$A10,'Data'!$S$5:$S$124)=0,"",SUMIF('Data'!$B$5:$B$124,$A10,'Data'!$R$5:$R$124)/SUMIF('Data'!$B$5:$B$124,$A10,'Data'!$S$5:$S$124)))</f>
        <v/>
      </c>
      <c r="F10" s="21">
        <f>IF($A10="","",IF(SUMIF('Data'!$B$5:$B$124,$A10,'Data'!$U$5:$U$124)=0,"",SUMIF('Data'!$B$5:$B$124,$A10,'Data'!$T$5:$T$124)/SUMIF('Data'!$B$5:$B$124,$A10,'Data'!$U$5:$U$124)))</f>
        <v/>
      </c>
      <c r="G10" s="21">
        <f>IF($A10="","",IF(SUMIF('Data'!$B$5:$B$124,$A10,'Data'!$W$5:$W$124)=0,"",SUMIF('Data'!$B$5:$B$124,$A10,'Data'!$V$5:$V$124)/SUMIF('Data'!$B$5:$B$124,$A10,'Data'!$W$5:$W$124)))</f>
        <v/>
      </c>
      <c r="H10" s="21">
        <f>IF($A10="","",IF(SUMIF('Data'!$B$5:$B$124,$A10,'Data'!$Y$5:$Y$124)=0,"",SUMIF('Data'!$B$5:$B$124,$A10,'Data'!$X$5:$X$124)/SUMIF('Data'!$B$5:$B$124,$A10,'Data'!$Y$5:$Y$124)))</f>
        <v/>
      </c>
      <c r="I10" s="26">
        <f>IF($A10="","",COUNTIF('Data'!$B$5:$B$124,$A10)-COUNTIFS('Data'!$B$5:$B$124,$A10,'Data'!$S$5:$S$124,0))</f>
        <v/>
      </c>
      <c r="J10" s="26">
        <f>IF($A10="","",COUNTIF('Data'!$B$5:$B$124,$A10)-COUNTIFS('Data'!$B$5:$B$124,$A10,'Data'!$U$5:$U$124,0))</f>
        <v/>
      </c>
      <c r="K10" s="26">
        <f>IF($A10="","",COUNTIF('Data'!$B$5:$B$124,$A10)-COUNTIFS('Data'!$B$5:$B$124,$A10,'Data'!$W$5:$W$124,0))</f>
        <v/>
      </c>
      <c r="L10" s="26">
        <f>IF($A10="","",COUNTIF('Data'!$B$5:$B$124,$A10)-COUNTIFS('Data'!$B$5:$B$124,$A10,'Data'!$Y$5:$Y$124,0))</f>
        <v/>
      </c>
    </row>
    <row r="11">
      <c r="A11" s="3">
        <f>IFERROR(INDEX('Data'!$B$5:$B$124,MATCH(8,'Data'!$Z$5:$Z$124,0)),"")</f>
        <v/>
      </c>
      <c r="B11" s="19">
        <f>IF($A11="","",COUNTIF('Data'!$B$5:$B$124,$A11))</f>
        <v/>
      </c>
      <c r="C11" s="19">
        <f>IF($A11="","",SUMIF('Data'!$B$5:$B$124,$A11,'Data'!$H$5:$H$124))</f>
        <v/>
      </c>
      <c r="D11" s="25">
        <f>IF(OR($A11="",$C$35=0),"",$C11/$C$35)</f>
        <v/>
      </c>
      <c r="E11" s="21">
        <f>IF($A11="","",IF(SUMIF('Data'!$B$5:$B$124,$A11,'Data'!$S$5:$S$124)=0,"",SUMIF('Data'!$B$5:$B$124,$A11,'Data'!$R$5:$R$124)/SUMIF('Data'!$B$5:$B$124,$A11,'Data'!$S$5:$S$124)))</f>
        <v/>
      </c>
      <c r="F11" s="21">
        <f>IF($A11="","",IF(SUMIF('Data'!$B$5:$B$124,$A11,'Data'!$U$5:$U$124)=0,"",SUMIF('Data'!$B$5:$B$124,$A11,'Data'!$T$5:$T$124)/SUMIF('Data'!$B$5:$B$124,$A11,'Data'!$U$5:$U$124)))</f>
        <v/>
      </c>
      <c r="G11" s="21">
        <f>IF($A11="","",IF(SUMIF('Data'!$B$5:$B$124,$A11,'Data'!$W$5:$W$124)=0,"",SUMIF('Data'!$B$5:$B$124,$A11,'Data'!$V$5:$V$124)/SUMIF('Data'!$B$5:$B$124,$A11,'Data'!$W$5:$W$124)))</f>
        <v/>
      </c>
      <c r="H11" s="21">
        <f>IF($A11="","",IF(SUMIF('Data'!$B$5:$B$124,$A11,'Data'!$Y$5:$Y$124)=0,"",SUMIF('Data'!$B$5:$B$124,$A11,'Data'!$X$5:$X$124)/SUMIF('Data'!$B$5:$B$124,$A11,'Data'!$Y$5:$Y$124)))</f>
        <v/>
      </c>
      <c r="I11" s="26">
        <f>IF($A11="","",COUNTIF('Data'!$B$5:$B$124,$A11)-COUNTIFS('Data'!$B$5:$B$124,$A11,'Data'!$S$5:$S$124,0))</f>
        <v/>
      </c>
      <c r="J11" s="26">
        <f>IF($A11="","",COUNTIF('Data'!$B$5:$B$124,$A11)-COUNTIFS('Data'!$B$5:$B$124,$A11,'Data'!$U$5:$U$124,0))</f>
        <v/>
      </c>
      <c r="K11" s="26">
        <f>IF($A11="","",COUNTIF('Data'!$B$5:$B$124,$A11)-COUNTIFS('Data'!$B$5:$B$124,$A11,'Data'!$W$5:$W$124,0))</f>
        <v/>
      </c>
      <c r="L11" s="26">
        <f>IF($A11="","",COUNTIF('Data'!$B$5:$B$124,$A11)-COUNTIFS('Data'!$B$5:$B$124,$A11,'Data'!$Y$5:$Y$124,0))</f>
        <v/>
      </c>
    </row>
    <row r="12">
      <c r="A12" s="3">
        <f>IFERROR(INDEX('Data'!$B$5:$B$124,MATCH(9,'Data'!$Z$5:$Z$124,0)),"")</f>
        <v/>
      </c>
      <c r="B12" s="19">
        <f>IF($A12="","",COUNTIF('Data'!$B$5:$B$124,$A12))</f>
        <v/>
      </c>
      <c r="C12" s="19">
        <f>IF($A12="","",SUMIF('Data'!$B$5:$B$124,$A12,'Data'!$H$5:$H$124))</f>
        <v/>
      </c>
      <c r="D12" s="25">
        <f>IF(OR($A12="",$C$35=0),"",$C12/$C$35)</f>
        <v/>
      </c>
      <c r="E12" s="21">
        <f>IF($A12="","",IF(SUMIF('Data'!$B$5:$B$124,$A12,'Data'!$S$5:$S$124)=0,"",SUMIF('Data'!$B$5:$B$124,$A12,'Data'!$R$5:$R$124)/SUMIF('Data'!$B$5:$B$124,$A12,'Data'!$S$5:$S$124)))</f>
        <v/>
      </c>
      <c r="F12" s="21">
        <f>IF($A12="","",IF(SUMIF('Data'!$B$5:$B$124,$A12,'Data'!$U$5:$U$124)=0,"",SUMIF('Data'!$B$5:$B$124,$A12,'Data'!$T$5:$T$124)/SUMIF('Data'!$B$5:$B$124,$A12,'Data'!$U$5:$U$124)))</f>
        <v/>
      </c>
      <c r="G12" s="21">
        <f>IF($A12="","",IF(SUMIF('Data'!$B$5:$B$124,$A12,'Data'!$W$5:$W$124)=0,"",SUMIF('Data'!$B$5:$B$124,$A12,'Data'!$V$5:$V$124)/SUMIF('Data'!$B$5:$B$124,$A12,'Data'!$W$5:$W$124)))</f>
        <v/>
      </c>
      <c r="H12" s="21">
        <f>IF($A12="","",IF(SUMIF('Data'!$B$5:$B$124,$A12,'Data'!$Y$5:$Y$124)=0,"",SUMIF('Data'!$B$5:$B$124,$A12,'Data'!$X$5:$X$124)/SUMIF('Data'!$B$5:$B$124,$A12,'Data'!$Y$5:$Y$124)))</f>
        <v/>
      </c>
      <c r="I12" s="26">
        <f>IF($A12="","",COUNTIF('Data'!$B$5:$B$124,$A12)-COUNTIFS('Data'!$B$5:$B$124,$A12,'Data'!$S$5:$S$124,0))</f>
        <v/>
      </c>
      <c r="J12" s="26">
        <f>IF($A12="","",COUNTIF('Data'!$B$5:$B$124,$A12)-COUNTIFS('Data'!$B$5:$B$124,$A12,'Data'!$U$5:$U$124,0))</f>
        <v/>
      </c>
      <c r="K12" s="26">
        <f>IF($A12="","",COUNTIF('Data'!$B$5:$B$124,$A12)-COUNTIFS('Data'!$B$5:$B$124,$A12,'Data'!$W$5:$W$124,0))</f>
        <v/>
      </c>
      <c r="L12" s="26">
        <f>IF($A12="","",COUNTIF('Data'!$B$5:$B$124,$A12)-COUNTIFS('Data'!$B$5:$B$124,$A12,'Data'!$Y$5:$Y$124,0))</f>
        <v/>
      </c>
    </row>
    <row r="13">
      <c r="A13" s="3">
        <f>IFERROR(INDEX('Data'!$B$5:$B$124,MATCH(10,'Data'!$Z$5:$Z$124,0)),"")</f>
        <v/>
      </c>
      <c r="B13" s="19">
        <f>IF($A13="","",COUNTIF('Data'!$B$5:$B$124,$A13))</f>
        <v/>
      </c>
      <c r="C13" s="19">
        <f>IF($A13="","",SUMIF('Data'!$B$5:$B$124,$A13,'Data'!$H$5:$H$124))</f>
        <v/>
      </c>
      <c r="D13" s="25">
        <f>IF(OR($A13="",$C$35=0),"",$C13/$C$35)</f>
        <v/>
      </c>
      <c r="E13" s="21">
        <f>IF($A13="","",IF(SUMIF('Data'!$B$5:$B$124,$A13,'Data'!$S$5:$S$124)=0,"",SUMIF('Data'!$B$5:$B$124,$A13,'Data'!$R$5:$R$124)/SUMIF('Data'!$B$5:$B$124,$A13,'Data'!$S$5:$S$124)))</f>
        <v/>
      </c>
      <c r="F13" s="21">
        <f>IF($A13="","",IF(SUMIF('Data'!$B$5:$B$124,$A13,'Data'!$U$5:$U$124)=0,"",SUMIF('Data'!$B$5:$B$124,$A13,'Data'!$T$5:$T$124)/SUMIF('Data'!$B$5:$B$124,$A13,'Data'!$U$5:$U$124)))</f>
        <v/>
      </c>
      <c r="G13" s="21">
        <f>IF($A13="","",IF(SUMIF('Data'!$B$5:$B$124,$A13,'Data'!$W$5:$W$124)=0,"",SUMIF('Data'!$B$5:$B$124,$A13,'Data'!$V$5:$V$124)/SUMIF('Data'!$B$5:$B$124,$A13,'Data'!$W$5:$W$124)))</f>
        <v/>
      </c>
      <c r="H13" s="21">
        <f>IF($A13="","",IF(SUMIF('Data'!$B$5:$B$124,$A13,'Data'!$Y$5:$Y$124)=0,"",SUMIF('Data'!$B$5:$B$124,$A13,'Data'!$X$5:$X$124)/SUMIF('Data'!$B$5:$B$124,$A13,'Data'!$Y$5:$Y$124)))</f>
        <v/>
      </c>
      <c r="I13" s="26">
        <f>IF($A13="","",COUNTIF('Data'!$B$5:$B$124,$A13)-COUNTIFS('Data'!$B$5:$B$124,$A13,'Data'!$S$5:$S$124,0))</f>
        <v/>
      </c>
      <c r="J13" s="26">
        <f>IF($A13="","",COUNTIF('Data'!$B$5:$B$124,$A13)-COUNTIFS('Data'!$B$5:$B$124,$A13,'Data'!$U$5:$U$124,0))</f>
        <v/>
      </c>
      <c r="K13" s="26">
        <f>IF($A13="","",COUNTIF('Data'!$B$5:$B$124,$A13)-COUNTIFS('Data'!$B$5:$B$124,$A13,'Data'!$W$5:$W$124,0))</f>
        <v/>
      </c>
      <c r="L13" s="26">
        <f>IF($A13="","",COUNTIF('Data'!$B$5:$B$124,$A13)-COUNTIFS('Data'!$B$5:$B$124,$A13,'Data'!$Y$5:$Y$124,0))</f>
        <v/>
      </c>
    </row>
    <row r="14">
      <c r="A14" s="3">
        <f>IFERROR(INDEX('Data'!$B$5:$B$124,MATCH(11,'Data'!$Z$5:$Z$124,0)),"")</f>
        <v/>
      </c>
      <c r="B14" s="19">
        <f>IF($A14="","",COUNTIF('Data'!$B$5:$B$124,$A14))</f>
        <v/>
      </c>
      <c r="C14" s="19">
        <f>IF($A14="","",SUMIF('Data'!$B$5:$B$124,$A14,'Data'!$H$5:$H$124))</f>
        <v/>
      </c>
      <c r="D14" s="25">
        <f>IF(OR($A14="",$C$35=0),"",$C14/$C$35)</f>
        <v/>
      </c>
      <c r="E14" s="21">
        <f>IF($A14="","",IF(SUMIF('Data'!$B$5:$B$124,$A14,'Data'!$S$5:$S$124)=0,"",SUMIF('Data'!$B$5:$B$124,$A14,'Data'!$R$5:$R$124)/SUMIF('Data'!$B$5:$B$124,$A14,'Data'!$S$5:$S$124)))</f>
        <v/>
      </c>
      <c r="F14" s="21">
        <f>IF($A14="","",IF(SUMIF('Data'!$B$5:$B$124,$A14,'Data'!$U$5:$U$124)=0,"",SUMIF('Data'!$B$5:$B$124,$A14,'Data'!$T$5:$T$124)/SUMIF('Data'!$B$5:$B$124,$A14,'Data'!$U$5:$U$124)))</f>
        <v/>
      </c>
      <c r="G14" s="21">
        <f>IF($A14="","",IF(SUMIF('Data'!$B$5:$B$124,$A14,'Data'!$W$5:$W$124)=0,"",SUMIF('Data'!$B$5:$B$124,$A14,'Data'!$V$5:$V$124)/SUMIF('Data'!$B$5:$B$124,$A14,'Data'!$W$5:$W$124)))</f>
        <v/>
      </c>
      <c r="H14" s="21">
        <f>IF($A14="","",IF(SUMIF('Data'!$B$5:$B$124,$A14,'Data'!$Y$5:$Y$124)=0,"",SUMIF('Data'!$B$5:$B$124,$A14,'Data'!$X$5:$X$124)/SUMIF('Data'!$B$5:$B$124,$A14,'Data'!$Y$5:$Y$124)))</f>
        <v/>
      </c>
      <c r="I14" s="26">
        <f>IF($A14="","",COUNTIF('Data'!$B$5:$B$124,$A14)-COUNTIFS('Data'!$B$5:$B$124,$A14,'Data'!$S$5:$S$124,0))</f>
        <v/>
      </c>
      <c r="J14" s="26">
        <f>IF($A14="","",COUNTIF('Data'!$B$5:$B$124,$A14)-COUNTIFS('Data'!$B$5:$B$124,$A14,'Data'!$U$5:$U$124,0))</f>
        <v/>
      </c>
      <c r="K14" s="26">
        <f>IF($A14="","",COUNTIF('Data'!$B$5:$B$124,$A14)-COUNTIFS('Data'!$B$5:$B$124,$A14,'Data'!$W$5:$W$124,0))</f>
        <v/>
      </c>
      <c r="L14" s="26">
        <f>IF($A14="","",COUNTIF('Data'!$B$5:$B$124,$A14)-COUNTIFS('Data'!$B$5:$B$124,$A14,'Data'!$Y$5:$Y$124,0))</f>
        <v/>
      </c>
    </row>
    <row r="15">
      <c r="A15" s="3">
        <f>IFERROR(INDEX('Data'!$B$5:$B$124,MATCH(12,'Data'!$Z$5:$Z$124,0)),"")</f>
        <v/>
      </c>
      <c r="B15" s="19">
        <f>IF($A15="","",COUNTIF('Data'!$B$5:$B$124,$A15))</f>
        <v/>
      </c>
      <c r="C15" s="19">
        <f>IF($A15="","",SUMIF('Data'!$B$5:$B$124,$A15,'Data'!$H$5:$H$124))</f>
        <v/>
      </c>
      <c r="D15" s="25">
        <f>IF(OR($A15="",$C$35=0),"",$C15/$C$35)</f>
        <v/>
      </c>
      <c r="E15" s="21">
        <f>IF($A15="","",IF(SUMIF('Data'!$B$5:$B$124,$A15,'Data'!$S$5:$S$124)=0,"",SUMIF('Data'!$B$5:$B$124,$A15,'Data'!$R$5:$R$124)/SUMIF('Data'!$B$5:$B$124,$A15,'Data'!$S$5:$S$124)))</f>
        <v/>
      </c>
      <c r="F15" s="21">
        <f>IF($A15="","",IF(SUMIF('Data'!$B$5:$B$124,$A15,'Data'!$U$5:$U$124)=0,"",SUMIF('Data'!$B$5:$B$124,$A15,'Data'!$T$5:$T$124)/SUMIF('Data'!$B$5:$B$124,$A15,'Data'!$U$5:$U$124)))</f>
        <v/>
      </c>
      <c r="G15" s="21">
        <f>IF($A15="","",IF(SUMIF('Data'!$B$5:$B$124,$A15,'Data'!$W$5:$W$124)=0,"",SUMIF('Data'!$B$5:$B$124,$A15,'Data'!$V$5:$V$124)/SUMIF('Data'!$B$5:$B$124,$A15,'Data'!$W$5:$W$124)))</f>
        <v/>
      </c>
      <c r="H15" s="21">
        <f>IF($A15="","",IF(SUMIF('Data'!$B$5:$B$124,$A15,'Data'!$Y$5:$Y$124)=0,"",SUMIF('Data'!$B$5:$B$124,$A15,'Data'!$X$5:$X$124)/SUMIF('Data'!$B$5:$B$124,$A15,'Data'!$Y$5:$Y$124)))</f>
        <v/>
      </c>
      <c r="I15" s="26">
        <f>IF($A15="","",COUNTIF('Data'!$B$5:$B$124,$A15)-COUNTIFS('Data'!$B$5:$B$124,$A15,'Data'!$S$5:$S$124,0))</f>
        <v/>
      </c>
      <c r="J15" s="26">
        <f>IF($A15="","",COUNTIF('Data'!$B$5:$B$124,$A15)-COUNTIFS('Data'!$B$5:$B$124,$A15,'Data'!$U$5:$U$124,0))</f>
        <v/>
      </c>
      <c r="K15" s="26">
        <f>IF($A15="","",COUNTIF('Data'!$B$5:$B$124,$A15)-COUNTIFS('Data'!$B$5:$B$124,$A15,'Data'!$W$5:$W$124,0))</f>
        <v/>
      </c>
      <c r="L15" s="26">
        <f>IF($A15="","",COUNTIF('Data'!$B$5:$B$124,$A15)-COUNTIFS('Data'!$B$5:$B$124,$A15,'Data'!$Y$5:$Y$124,0))</f>
        <v/>
      </c>
    </row>
    <row r="16">
      <c r="A16" s="3">
        <f>IFERROR(INDEX('Data'!$B$5:$B$124,MATCH(13,'Data'!$Z$5:$Z$124,0)),"")</f>
        <v/>
      </c>
      <c r="B16" s="19">
        <f>IF($A16="","",COUNTIF('Data'!$B$5:$B$124,$A16))</f>
        <v/>
      </c>
      <c r="C16" s="19">
        <f>IF($A16="","",SUMIF('Data'!$B$5:$B$124,$A16,'Data'!$H$5:$H$124))</f>
        <v/>
      </c>
      <c r="D16" s="25">
        <f>IF(OR($A16="",$C$35=0),"",$C16/$C$35)</f>
        <v/>
      </c>
      <c r="E16" s="21">
        <f>IF($A16="","",IF(SUMIF('Data'!$B$5:$B$124,$A16,'Data'!$S$5:$S$124)=0,"",SUMIF('Data'!$B$5:$B$124,$A16,'Data'!$R$5:$R$124)/SUMIF('Data'!$B$5:$B$124,$A16,'Data'!$S$5:$S$124)))</f>
        <v/>
      </c>
      <c r="F16" s="21">
        <f>IF($A16="","",IF(SUMIF('Data'!$B$5:$B$124,$A16,'Data'!$U$5:$U$124)=0,"",SUMIF('Data'!$B$5:$B$124,$A16,'Data'!$T$5:$T$124)/SUMIF('Data'!$B$5:$B$124,$A16,'Data'!$U$5:$U$124)))</f>
        <v/>
      </c>
      <c r="G16" s="21">
        <f>IF($A16="","",IF(SUMIF('Data'!$B$5:$B$124,$A16,'Data'!$W$5:$W$124)=0,"",SUMIF('Data'!$B$5:$B$124,$A16,'Data'!$V$5:$V$124)/SUMIF('Data'!$B$5:$B$124,$A16,'Data'!$W$5:$W$124)))</f>
        <v/>
      </c>
      <c r="H16" s="21">
        <f>IF($A16="","",IF(SUMIF('Data'!$B$5:$B$124,$A16,'Data'!$Y$5:$Y$124)=0,"",SUMIF('Data'!$B$5:$B$124,$A16,'Data'!$X$5:$X$124)/SUMIF('Data'!$B$5:$B$124,$A16,'Data'!$Y$5:$Y$124)))</f>
        <v/>
      </c>
      <c r="I16" s="26">
        <f>IF($A16="","",COUNTIF('Data'!$B$5:$B$124,$A16)-COUNTIFS('Data'!$B$5:$B$124,$A16,'Data'!$S$5:$S$124,0))</f>
        <v/>
      </c>
      <c r="J16" s="26">
        <f>IF($A16="","",COUNTIF('Data'!$B$5:$B$124,$A16)-COUNTIFS('Data'!$B$5:$B$124,$A16,'Data'!$U$5:$U$124,0))</f>
        <v/>
      </c>
      <c r="K16" s="26">
        <f>IF($A16="","",COUNTIF('Data'!$B$5:$B$124,$A16)-COUNTIFS('Data'!$B$5:$B$124,$A16,'Data'!$W$5:$W$124,0))</f>
        <v/>
      </c>
      <c r="L16" s="26">
        <f>IF($A16="","",COUNTIF('Data'!$B$5:$B$124,$A16)-COUNTIFS('Data'!$B$5:$B$124,$A16,'Data'!$Y$5:$Y$124,0))</f>
        <v/>
      </c>
    </row>
    <row r="17">
      <c r="A17" s="3">
        <f>IFERROR(INDEX('Data'!$B$5:$B$124,MATCH(14,'Data'!$Z$5:$Z$124,0)),"")</f>
        <v/>
      </c>
      <c r="B17" s="19">
        <f>IF($A17="","",COUNTIF('Data'!$B$5:$B$124,$A17))</f>
        <v/>
      </c>
      <c r="C17" s="19">
        <f>IF($A17="","",SUMIF('Data'!$B$5:$B$124,$A17,'Data'!$H$5:$H$124))</f>
        <v/>
      </c>
      <c r="D17" s="25">
        <f>IF(OR($A17="",$C$35=0),"",$C17/$C$35)</f>
        <v/>
      </c>
      <c r="E17" s="21">
        <f>IF($A17="","",IF(SUMIF('Data'!$B$5:$B$124,$A17,'Data'!$S$5:$S$124)=0,"",SUMIF('Data'!$B$5:$B$124,$A17,'Data'!$R$5:$R$124)/SUMIF('Data'!$B$5:$B$124,$A17,'Data'!$S$5:$S$124)))</f>
        <v/>
      </c>
      <c r="F17" s="21">
        <f>IF($A17="","",IF(SUMIF('Data'!$B$5:$B$124,$A17,'Data'!$U$5:$U$124)=0,"",SUMIF('Data'!$B$5:$B$124,$A17,'Data'!$T$5:$T$124)/SUMIF('Data'!$B$5:$B$124,$A17,'Data'!$U$5:$U$124)))</f>
        <v/>
      </c>
      <c r="G17" s="21">
        <f>IF($A17="","",IF(SUMIF('Data'!$B$5:$B$124,$A17,'Data'!$W$5:$W$124)=0,"",SUMIF('Data'!$B$5:$B$124,$A17,'Data'!$V$5:$V$124)/SUMIF('Data'!$B$5:$B$124,$A17,'Data'!$W$5:$W$124)))</f>
        <v/>
      </c>
      <c r="H17" s="21">
        <f>IF($A17="","",IF(SUMIF('Data'!$B$5:$B$124,$A17,'Data'!$Y$5:$Y$124)=0,"",SUMIF('Data'!$B$5:$B$124,$A17,'Data'!$X$5:$X$124)/SUMIF('Data'!$B$5:$B$124,$A17,'Data'!$Y$5:$Y$124)))</f>
        <v/>
      </c>
      <c r="I17" s="26">
        <f>IF($A17="","",COUNTIF('Data'!$B$5:$B$124,$A17)-COUNTIFS('Data'!$B$5:$B$124,$A17,'Data'!$S$5:$S$124,0))</f>
        <v/>
      </c>
      <c r="J17" s="26">
        <f>IF($A17="","",COUNTIF('Data'!$B$5:$B$124,$A17)-COUNTIFS('Data'!$B$5:$B$124,$A17,'Data'!$U$5:$U$124,0))</f>
        <v/>
      </c>
      <c r="K17" s="26">
        <f>IF($A17="","",COUNTIF('Data'!$B$5:$B$124,$A17)-COUNTIFS('Data'!$B$5:$B$124,$A17,'Data'!$W$5:$W$124,0))</f>
        <v/>
      </c>
      <c r="L17" s="26">
        <f>IF($A17="","",COUNTIF('Data'!$B$5:$B$124,$A17)-COUNTIFS('Data'!$B$5:$B$124,$A17,'Data'!$Y$5:$Y$124,0))</f>
        <v/>
      </c>
    </row>
    <row r="18">
      <c r="A18" s="3">
        <f>IFERROR(INDEX('Data'!$B$5:$B$124,MATCH(15,'Data'!$Z$5:$Z$124,0)),"")</f>
        <v/>
      </c>
      <c r="B18" s="19">
        <f>IF($A18="","",COUNTIF('Data'!$B$5:$B$124,$A18))</f>
        <v/>
      </c>
      <c r="C18" s="19">
        <f>IF($A18="","",SUMIF('Data'!$B$5:$B$124,$A18,'Data'!$H$5:$H$124))</f>
        <v/>
      </c>
      <c r="D18" s="25">
        <f>IF(OR($A18="",$C$35=0),"",$C18/$C$35)</f>
        <v/>
      </c>
      <c r="E18" s="21">
        <f>IF($A18="","",IF(SUMIF('Data'!$B$5:$B$124,$A18,'Data'!$S$5:$S$124)=0,"",SUMIF('Data'!$B$5:$B$124,$A18,'Data'!$R$5:$R$124)/SUMIF('Data'!$B$5:$B$124,$A18,'Data'!$S$5:$S$124)))</f>
        <v/>
      </c>
      <c r="F18" s="21">
        <f>IF($A18="","",IF(SUMIF('Data'!$B$5:$B$124,$A18,'Data'!$U$5:$U$124)=0,"",SUMIF('Data'!$B$5:$B$124,$A18,'Data'!$T$5:$T$124)/SUMIF('Data'!$B$5:$B$124,$A18,'Data'!$U$5:$U$124)))</f>
        <v/>
      </c>
      <c r="G18" s="21">
        <f>IF($A18="","",IF(SUMIF('Data'!$B$5:$B$124,$A18,'Data'!$W$5:$W$124)=0,"",SUMIF('Data'!$B$5:$B$124,$A18,'Data'!$V$5:$V$124)/SUMIF('Data'!$B$5:$B$124,$A18,'Data'!$W$5:$W$124)))</f>
        <v/>
      </c>
      <c r="H18" s="21">
        <f>IF($A18="","",IF(SUMIF('Data'!$B$5:$B$124,$A18,'Data'!$Y$5:$Y$124)=0,"",SUMIF('Data'!$B$5:$B$124,$A18,'Data'!$X$5:$X$124)/SUMIF('Data'!$B$5:$B$124,$A18,'Data'!$Y$5:$Y$124)))</f>
        <v/>
      </c>
      <c r="I18" s="26">
        <f>IF($A18="","",COUNTIF('Data'!$B$5:$B$124,$A18)-COUNTIFS('Data'!$B$5:$B$124,$A18,'Data'!$S$5:$S$124,0))</f>
        <v/>
      </c>
      <c r="J18" s="26">
        <f>IF($A18="","",COUNTIF('Data'!$B$5:$B$124,$A18)-COUNTIFS('Data'!$B$5:$B$124,$A18,'Data'!$U$5:$U$124,0))</f>
        <v/>
      </c>
      <c r="K18" s="26">
        <f>IF($A18="","",COUNTIF('Data'!$B$5:$B$124,$A18)-COUNTIFS('Data'!$B$5:$B$124,$A18,'Data'!$W$5:$W$124,0))</f>
        <v/>
      </c>
      <c r="L18" s="26">
        <f>IF($A18="","",COUNTIF('Data'!$B$5:$B$124,$A18)-COUNTIFS('Data'!$B$5:$B$124,$A18,'Data'!$Y$5:$Y$124,0))</f>
        <v/>
      </c>
    </row>
    <row r="19">
      <c r="A19" s="3">
        <f>IFERROR(INDEX('Data'!$B$5:$B$124,MATCH(16,'Data'!$Z$5:$Z$124,0)),"")</f>
        <v/>
      </c>
      <c r="B19" s="19">
        <f>IF($A19="","",COUNTIF('Data'!$B$5:$B$124,$A19))</f>
        <v/>
      </c>
      <c r="C19" s="19">
        <f>IF($A19="","",SUMIF('Data'!$B$5:$B$124,$A19,'Data'!$H$5:$H$124))</f>
        <v/>
      </c>
      <c r="D19" s="25">
        <f>IF(OR($A19="",$C$35=0),"",$C19/$C$35)</f>
        <v/>
      </c>
      <c r="E19" s="21">
        <f>IF($A19="","",IF(SUMIF('Data'!$B$5:$B$124,$A19,'Data'!$S$5:$S$124)=0,"",SUMIF('Data'!$B$5:$B$124,$A19,'Data'!$R$5:$R$124)/SUMIF('Data'!$B$5:$B$124,$A19,'Data'!$S$5:$S$124)))</f>
        <v/>
      </c>
      <c r="F19" s="21">
        <f>IF($A19="","",IF(SUMIF('Data'!$B$5:$B$124,$A19,'Data'!$U$5:$U$124)=0,"",SUMIF('Data'!$B$5:$B$124,$A19,'Data'!$T$5:$T$124)/SUMIF('Data'!$B$5:$B$124,$A19,'Data'!$U$5:$U$124)))</f>
        <v/>
      </c>
      <c r="G19" s="21">
        <f>IF($A19="","",IF(SUMIF('Data'!$B$5:$B$124,$A19,'Data'!$W$5:$W$124)=0,"",SUMIF('Data'!$B$5:$B$124,$A19,'Data'!$V$5:$V$124)/SUMIF('Data'!$B$5:$B$124,$A19,'Data'!$W$5:$W$124)))</f>
        <v/>
      </c>
      <c r="H19" s="21">
        <f>IF($A19="","",IF(SUMIF('Data'!$B$5:$B$124,$A19,'Data'!$Y$5:$Y$124)=0,"",SUMIF('Data'!$B$5:$B$124,$A19,'Data'!$X$5:$X$124)/SUMIF('Data'!$B$5:$B$124,$A19,'Data'!$Y$5:$Y$124)))</f>
        <v/>
      </c>
      <c r="I19" s="26">
        <f>IF($A19="","",COUNTIF('Data'!$B$5:$B$124,$A19)-COUNTIFS('Data'!$B$5:$B$124,$A19,'Data'!$S$5:$S$124,0))</f>
        <v/>
      </c>
      <c r="J19" s="26">
        <f>IF($A19="","",COUNTIF('Data'!$B$5:$B$124,$A19)-COUNTIFS('Data'!$B$5:$B$124,$A19,'Data'!$U$5:$U$124,0))</f>
        <v/>
      </c>
      <c r="K19" s="26">
        <f>IF($A19="","",COUNTIF('Data'!$B$5:$B$124,$A19)-COUNTIFS('Data'!$B$5:$B$124,$A19,'Data'!$W$5:$W$124,0))</f>
        <v/>
      </c>
      <c r="L19" s="26">
        <f>IF($A19="","",COUNTIF('Data'!$B$5:$B$124,$A19)-COUNTIFS('Data'!$B$5:$B$124,$A19,'Data'!$Y$5:$Y$124,0))</f>
        <v/>
      </c>
    </row>
    <row r="20">
      <c r="A20" s="3">
        <f>IFERROR(INDEX('Data'!$B$5:$B$124,MATCH(17,'Data'!$Z$5:$Z$124,0)),"")</f>
        <v/>
      </c>
      <c r="B20" s="19">
        <f>IF($A20="","",COUNTIF('Data'!$B$5:$B$124,$A20))</f>
        <v/>
      </c>
      <c r="C20" s="19">
        <f>IF($A20="","",SUMIF('Data'!$B$5:$B$124,$A20,'Data'!$H$5:$H$124))</f>
        <v/>
      </c>
      <c r="D20" s="25">
        <f>IF(OR($A20="",$C$35=0),"",$C20/$C$35)</f>
        <v/>
      </c>
      <c r="E20" s="21">
        <f>IF($A20="","",IF(SUMIF('Data'!$B$5:$B$124,$A20,'Data'!$S$5:$S$124)=0,"",SUMIF('Data'!$B$5:$B$124,$A20,'Data'!$R$5:$R$124)/SUMIF('Data'!$B$5:$B$124,$A20,'Data'!$S$5:$S$124)))</f>
        <v/>
      </c>
      <c r="F20" s="21">
        <f>IF($A20="","",IF(SUMIF('Data'!$B$5:$B$124,$A20,'Data'!$U$5:$U$124)=0,"",SUMIF('Data'!$B$5:$B$124,$A20,'Data'!$T$5:$T$124)/SUMIF('Data'!$B$5:$B$124,$A20,'Data'!$U$5:$U$124)))</f>
        <v/>
      </c>
      <c r="G20" s="21">
        <f>IF($A20="","",IF(SUMIF('Data'!$B$5:$B$124,$A20,'Data'!$W$5:$W$124)=0,"",SUMIF('Data'!$B$5:$B$124,$A20,'Data'!$V$5:$V$124)/SUMIF('Data'!$B$5:$B$124,$A20,'Data'!$W$5:$W$124)))</f>
        <v/>
      </c>
      <c r="H20" s="21">
        <f>IF($A20="","",IF(SUMIF('Data'!$B$5:$B$124,$A20,'Data'!$Y$5:$Y$124)=0,"",SUMIF('Data'!$B$5:$B$124,$A20,'Data'!$X$5:$X$124)/SUMIF('Data'!$B$5:$B$124,$A20,'Data'!$Y$5:$Y$124)))</f>
        <v/>
      </c>
      <c r="I20" s="26">
        <f>IF($A20="","",COUNTIF('Data'!$B$5:$B$124,$A20)-COUNTIFS('Data'!$B$5:$B$124,$A20,'Data'!$S$5:$S$124,0))</f>
        <v/>
      </c>
      <c r="J20" s="26">
        <f>IF($A20="","",COUNTIF('Data'!$B$5:$B$124,$A20)-COUNTIFS('Data'!$B$5:$B$124,$A20,'Data'!$U$5:$U$124,0))</f>
        <v/>
      </c>
      <c r="K20" s="26">
        <f>IF($A20="","",COUNTIF('Data'!$B$5:$B$124,$A20)-COUNTIFS('Data'!$B$5:$B$124,$A20,'Data'!$W$5:$W$124,0))</f>
        <v/>
      </c>
      <c r="L20" s="26">
        <f>IF($A20="","",COUNTIF('Data'!$B$5:$B$124,$A20)-COUNTIFS('Data'!$B$5:$B$124,$A20,'Data'!$Y$5:$Y$124,0))</f>
        <v/>
      </c>
    </row>
    <row r="21">
      <c r="A21" s="3">
        <f>IFERROR(INDEX('Data'!$B$5:$B$124,MATCH(18,'Data'!$Z$5:$Z$124,0)),"")</f>
        <v/>
      </c>
      <c r="B21" s="19">
        <f>IF($A21="","",COUNTIF('Data'!$B$5:$B$124,$A21))</f>
        <v/>
      </c>
      <c r="C21" s="19">
        <f>IF($A21="","",SUMIF('Data'!$B$5:$B$124,$A21,'Data'!$H$5:$H$124))</f>
        <v/>
      </c>
      <c r="D21" s="25">
        <f>IF(OR($A21="",$C$35=0),"",$C21/$C$35)</f>
        <v/>
      </c>
      <c r="E21" s="21">
        <f>IF($A21="","",IF(SUMIF('Data'!$B$5:$B$124,$A21,'Data'!$S$5:$S$124)=0,"",SUMIF('Data'!$B$5:$B$124,$A21,'Data'!$R$5:$R$124)/SUMIF('Data'!$B$5:$B$124,$A21,'Data'!$S$5:$S$124)))</f>
        <v/>
      </c>
      <c r="F21" s="21">
        <f>IF($A21="","",IF(SUMIF('Data'!$B$5:$B$124,$A21,'Data'!$U$5:$U$124)=0,"",SUMIF('Data'!$B$5:$B$124,$A21,'Data'!$T$5:$T$124)/SUMIF('Data'!$B$5:$B$124,$A21,'Data'!$U$5:$U$124)))</f>
        <v/>
      </c>
      <c r="G21" s="21">
        <f>IF($A21="","",IF(SUMIF('Data'!$B$5:$B$124,$A21,'Data'!$W$5:$W$124)=0,"",SUMIF('Data'!$B$5:$B$124,$A21,'Data'!$V$5:$V$124)/SUMIF('Data'!$B$5:$B$124,$A21,'Data'!$W$5:$W$124)))</f>
        <v/>
      </c>
      <c r="H21" s="21">
        <f>IF($A21="","",IF(SUMIF('Data'!$B$5:$B$124,$A21,'Data'!$Y$5:$Y$124)=0,"",SUMIF('Data'!$B$5:$B$124,$A21,'Data'!$X$5:$X$124)/SUMIF('Data'!$B$5:$B$124,$A21,'Data'!$Y$5:$Y$124)))</f>
        <v/>
      </c>
      <c r="I21" s="26">
        <f>IF($A21="","",COUNTIF('Data'!$B$5:$B$124,$A21)-COUNTIFS('Data'!$B$5:$B$124,$A21,'Data'!$S$5:$S$124,0))</f>
        <v/>
      </c>
      <c r="J21" s="26">
        <f>IF($A21="","",COUNTIF('Data'!$B$5:$B$124,$A21)-COUNTIFS('Data'!$B$5:$B$124,$A21,'Data'!$U$5:$U$124,0))</f>
        <v/>
      </c>
      <c r="K21" s="26">
        <f>IF($A21="","",COUNTIF('Data'!$B$5:$B$124,$A21)-COUNTIFS('Data'!$B$5:$B$124,$A21,'Data'!$W$5:$W$124,0))</f>
        <v/>
      </c>
      <c r="L21" s="26">
        <f>IF($A21="","",COUNTIF('Data'!$B$5:$B$124,$A21)-COUNTIFS('Data'!$B$5:$B$124,$A21,'Data'!$Y$5:$Y$124,0))</f>
        <v/>
      </c>
    </row>
    <row r="22">
      <c r="A22" s="3">
        <f>IFERROR(INDEX('Data'!$B$5:$B$124,MATCH(19,'Data'!$Z$5:$Z$124,0)),"")</f>
        <v/>
      </c>
      <c r="B22" s="19">
        <f>IF($A22="","",COUNTIF('Data'!$B$5:$B$124,$A22))</f>
        <v/>
      </c>
      <c r="C22" s="19">
        <f>IF($A22="","",SUMIF('Data'!$B$5:$B$124,$A22,'Data'!$H$5:$H$124))</f>
        <v/>
      </c>
      <c r="D22" s="25">
        <f>IF(OR($A22="",$C$35=0),"",$C22/$C$35)</f>
        <v/>
      </c>
      <c r="E22" s="21">
        <f>IF($A22="","",IF(SUMIF('Data'!$B$5:$B$124,$A22,'Data'!$S$5:$S$124)=0,"",SUMIF('Data'!$B$5:$B$124,$A22,'Data'!$R$5:$R$124)/SUMIF('Data'!$B$5:$B$124,$A22,'Data'!$S$5:$S$124)))</f>
        <v/>
      </c>
      <c r="F22" s="21">
        <f>IF($A22="","",IF(SUMIF('Data'!$B$5:$B$124,$A22,'Data'!$U$5:$U$124)=0,"",SUMIF('Data'!$B$5:$B$124,$A22,'Data'!$T$5:$T$124)/SUMIF('Data'!$B$5:$B$124,$A22,'Data'!$U$5:$U$124)))</f>
        <v/>
      </c>
      <c r="G22" s="21">
        <f>IF($A22="","",IF(SUMIF('Data'!$B$5:$B$124,$A22,'Data'!$W$5:$W$124)=0,"",SUMIF('Data'!$B$5:$B$124,$A22,'Data'!$V$5:$V$124)/SUMIF('Data'!$B$5:$B$124,$A22,'Data'!$W$5:$W$124)))</f>
        <v/>
      </c>
      <c r="H22" s="21">
        <f>IF($A22="","",IF(SUMIF('Data'!$B$5:$B$124,$A22,'Data'!$Y$5:$Y$124)=0,"",SUMIF('Data'!$B$5:$B$124,$A22,'Data'!$X$5:$X$124)/SUMIF('Data'!$B$5:$B$124,$A22,'Data'!$Y$5:$Y$124)))</f>
        <v/>
      </c>
      <c r="I22" s="26">
        <f>IF($A22="","",COUNTIF('Data'!$B$5:$B$124,$A22)-COUNTIFS('Data'!$B$5:$B$124,$A22,'Data'!$S$5:$S$124,0))</f>
        <v/>
      </c>
      <c r="J22" s="26">
        <f>IF($A22="","",COUNTIF('Data'!$B$5:$B$124,$A22)-COUNTIFS('Data'!$B$5:$B$124,$A22,'Data'!$U$5:$U$124,0))</f>
        <v/>
      </c>
      <c r="K22" s="26">
        <f>IF($A22="","",COUNTIF('Data'!$B$5:$B$124,$A22)-COUNTIFS('Data'!$B$5:$B$124,$A22,'Data'!$W$5:$W$124,0))</f>
        <v/>
      </c>
      <c r="L22" s="26">
        <f>IF($A22="","",COUNTIF('Data'!$B$5:$B$124,$A22)-COUNTIFS('Data'!$B$5:$B$124,$A22,'Data'!$Y$5:$Y$124,0))</f>
        <v/>
      </c>
    </row>
    <row r="23">
      <c r="A23" s="3">
        <f>IFERROR(INDEX('Data'!$B$5:$B$124,MATCH(20,'Data'!$Z$5:$Z$124,0)),"")</f>
        <v/>
      </c>
      <c r="B23" s="19">
        <f>IF($A23="","",COUNTIF('Data'!$B$5:$B$124,$A23))</f>
        <v/>
      </c>
      <c r="C23" s="19">
        <f>IF($A23="","",SUMIF('Data'!$B$5:$B$124,$A23,'Data'!$H$5:$H$124))</f>
        <v/>
      </c>
      <c r="D23" s="25">
        <f>IF(OR($A23="",$C$35=0),"",$C23/$C$35)</f>
        <v/>
      </c>
      <c r="E23" s="21">
        <f>IF($A23="","",IF(SUMIF('Data'!$B$5:$B$124,$A23,'Data'!$S$5:$S$124)=0,"",SUMIF('Data'!$B$5:$B$124,$A23,'Data'!$R$5:$R$124)/SUMIF('Data'!$B$5:$B$124,$A23,'Data'!$S$5:$S$124)))</f>
        <v/>
      </c>
      <c r="F23" s="21">
        <f>IF($A23="","",IF(SUMIF('Data'!$B$5:$B$124,$A23,'Data'!$U$5:$U$124)=0,"",SUMIF('Data'!$B$5:$B$124,$A23,'Data'!$T$5:$T$124)/SUMIF('Data'!$B$5:$B$124,$A23,'Data'!$U$5:$U$124)))</f>
        <v/>
      </c>
      <c r="G23" s="21">
        <f>IF($A23="","",IF(SUMIF('Data'!$B$5:$B$124,$A23,'Data'!$W$5:$W$124)=0,"",SUMIF('Data'!$B$5:$B$124,$A23,'Data'!$V$5:$V$124)/SUMIF('Data'!$B$5:$B$124,$A23,'Data'!$W$5:$W$124)))</f>
        <v/>
      </c>
      <c r="H23" s="21">
        <f>IF($A23="","",IF(SUMIF('Data'!$B$5:$B$124,$A23,'Data'!$Y$5:$Y$124)=0,"",SUMIF('Data'!$B$5:$B$124,$A23,'Data'!$X$5:$X$124)/SUMIF('Data'!$B$5:$B$124,$A23,'Data'!$Y$5:$Y$124)))</f>
        <v/>
      </c>
      <c r="I23" s="26">
        <f>IF($A23="","",COUNTIF('Data'!$B$5:$B$124,$A23)-COUNTIFS('Data'!$B$5:$B$124,$A23,'Data'!$S$5:$S$124,0))</f>
        <v/>
      </c>
      <c r="J23" s="26">
        <f>IF($A23="","",COUNTIF('Data'!$B$5:$B$124,$A23)-COUNTIFS('Data'!$B$5:$B$124,$A23,'Data'!$U$5:$U$124,0))</f>
        <v/>
      </c>
      <c r="K23" s="26">
        <f>IF($A23="","",COUNTIF('Data'!$B$5:$B$124,$A23)-COUNTIFS('Data'!$B$5:$B$124,$A23,'Data'!$W$5:$W$124,0))</f>
        <v/>
      </c>
      <c r="L23" s="26">
        <f>IF($A23="","",COUNTIF('Data'!$B$5:$B$124,$A23)-COUNTIFS('Data'!$B$5:$B$124,$A23,'Data'!$Y$5:$Y$124,0))</f>
        <v/>
      </c>
    </row>
    <row r="24">
      <c r="A24" s="3">
        <f>IFERROR(INDEX('Data'!$B$5:$B$124,MATCH(21,'Data'!$Z$5:$Z$124,0)),"")</f>
        <v/>
      </c>
      <c r="B24" s="19">
        <f>IF($A24="","",COUNTIF('Data'!$B$5:$B$124,$A24))</f>
        <v/>
      </c>
      <c r="C24" s="19">
        <f>IF($A24="","",SUMIF('Data'!$B$5:$B$124,$A24,'Data'!$H$5:$H$124))</f>
        <v/>
      </c>
      <c r="D24" s="25">
        <f>IF(OR($A24="",$C$35=0),"",$C24/$C$35)</f>
        <v/>
      </c>
      <c r="E24" s="21">
        <f>IF($A24="","",IF(SUMIF('Data'!$B$5:$B$124,$A24,'Data'!$S$5:$S$124)=0,"",SUMIF('Data'!$B$5:$B$124,$A24,'Data'!$R$5:$R$124)/SUMIF('Data'!$B$5:$B$124,$A24,'Data'!$S$5:$S$124)))</f>
        <v/>
      </c>
      <c r="F24" s="21">
        <f>IF($A24="","",IF(SUMIF('Data'!$B$5:$B$124,$A24,'Data'!$U$5:$U$124)=0,"",SUMIF('Data'!$B$5:$B$124,$A24,'Data'!$T$5:$T$124)/SUMIF('Data'!$B$5:$B$124,$A24,'Data'!$U$5:$U$124)))</f>
        <v/>
      </c>
      <c r="G24" s="21">
        <f>IF($A24="","",IF(SUMIF('Data'!$B$5:$B$124,$A24,'Data'!$W$5:$W$124)=0,"",SUMIF('Data'!$B$5:$B$124,$A24,'Data'!$V$5:$V$124)/SUMIF('Data'!$B$5:$B$124,$A24,'Data'!$W$5:$W$124)))</f>
        <v/>
      </c>
      <c r="H24" s="21">
        <f>IF($A24="","",IF(SUMIF('Data'!$B$5:$B$124,$A24,'Data'!$Y$5:$Y$124)=0,"",SUMIF('Data'!$B$5:$B$124,$A24,'Data'!$X$5:$X$124)/SUMIF('Data'!$B$5:$B$124,$A24,'Data'!$Y$5:$Y$124)))</f>
        <v/>
      </c>
      <c r="I24" s="26">
        <f>IF($A24="","",COUNTIF('Data'!$B$5:$B$124,$A24)-COUNTIFS('Data'!$B$5:$B$124,$A24,'Data'!$S$5:$S$124,0))</f>
        <v/>
      </c>
      <c r="J24" s="26">
        <f>IF($A24="","",COUNTIF('Data'!$B$5:$B$124,$A24)-COUNTIFS('Data'!$B$5:$B$124,$A24,'Data'!$U$5:$U$124,0))</f>
        <v/>
      </c>
      <c r="K24" s="26">
        <f>IF($A24="","",COUNTIF('Data'!$B$5:$B$124,$A24)-COUNTIFS('Data'!$B$5:$B$124,$A24,'Data'!$W$5:$W$124,0))</f>
        <v/>
      </c>
      <c r="L24" s="26">
        <f>IF($A24="","",COUNTIF('Data'!$B$5:$B$124,$A24)-COUNTIFS('Data'!$B$5:$B$124,$A24,'Data'!$Y$5:$Y$124,0))</f>
        <v/>
      </c>
    </row>
    <row r="25">
      <c r="A25" s="3">
        <f>IFERROR(INDEX('Data'!$B$5:$B$124,MATCH(22,'Data'!$Z$5:$Z$124,0)),"")</f>
        <v/>
      </c>
      <c r="B25" s="19">
        <f>IF($A25="","",COUNTIF('Data'!$B$5:$B$124,$A25))</f>
        <v/>
      </c>
      <c r="C25" s="19">
        <f>IF($A25="","",SUMIF('Data'!$B$5:$B$124,$A25,'Data'!$H$5:$H$124))</f>
        <v/>
      </c>
      <c r="D25" s="25">
        <f>IF(OR($A25="",$C$35=0),"",$C25/$C$35)</f>
        <v/>
      </c>
      <c r="E25" s="21">
        <f>IF($A25="","",IF(SUMIF('Data'!$B$5:$B$124,$A25,'Data'!$S$5:$S$124)=0,"",SUMIF('Data'!$B$5:$B$124,$A25,'Data'!$R$5:$R$124)/SUMIF('Data'!$B$5:$B$124,$A25,'Data'!$S$5:$S$124)))</f>
        <v/>
      </c>
      <c r="F25" s="21">
        <f>IF($A25="","",IF(SUMIF('Data'!$B$5:$B$124,$A25,'Data'!$U$5:$U$124)=0,"",SUMIF('Data'!$B$5:$B$124,$A25,'Data'!$T$5:$T$124)/SUMIF('Data'!$B$5:$B$124,$A25,'Data'!$U$5:$U$124)))</f>
        <v/>
      </c>
      <c r="G25" s="21">
        <f>IF($A25="","",IF(SUMIF('Data'!$B$5:$B$124,$A25,'Data'!$W$5:$W$124)=0,"",SUMIF('Data'!$B$5:$B$124,$A25,'Data'!$V$5:$V$124)/SUMIF('Data'!$B$5:$B$124,$A25,'Data'!$W$5:$W$124)))</f>
        <v/>
      </c>
      <c r="H25" s="21">
        <f>IF($A25="","",IF(SUMIF('Data'!$B$5:$B$124,$A25,'Data'!$Y$5:$Y$124)=0,"",SUMIF('Data'!$B$5:$B$124,$A25,'Data'!$X$5:$X$124)/SUMIF('Data'!$B$5:$B$124,$A25,'Data'!$Y$5:$Y$124)))</f>
        <v/>
      </c>
      <c r="I25" s="26">
        <f>IF($A25="","",COUNTIF('Data'!$B$5:$B$124,$A25)-COUNTIFS('Data'!$B$5:$B$124,$A25,'Data'!$S$5:$S$124,0))</f>
        <v/>
      </c>
      <c r="J25" s="26">
        <f>IF($A25="","",COUNTIF('Data'!$B$5:$B$124,$A25)-COUNTIFS('Data'!$B$5:$B$124,$A25,'Data'!$U$5:$U$124,0))</f>
        <v/>
      </c>
      <c r="K25" s="26">
        <f>IF($A25="","",COUNTIF('Data'!$B$5:$B$124,$A25)-COUNTIFS('Data'!$B$5:$B$124,$A25,'Data'!$W$5:$W$124,0))</f>
        <v/>
      </c>
      <c r="L25" s="26">
        <f>IF($A25="","",COUNTIF('Data'!$B$5:$B$124,$A25)-COUNTIFS('Data'!$B$5:$B$124,$A25,'Data'!$Y$5:$Y$124,0))</f>
        <v/>
      </c>
    </row>
    <row r="26">
      <c r="A26" s="3">
        <f>IFERROR(INDEX('Data'!$B$5:$B$124,MATCH(23,'Data'!$Z$5:$Z$124,0)),"")</f>
        <v/>
      </c>
      <c r="B26" s="19">
        <f>IF($A26="","",COUNTIF('Data'!$B$5:$B$124,$A26))</f>
        <v/>
      </c>
      <c r="C26" s="19">
        <f>IF($A26="","",SUMIF('Data'!$B$5:$B$124,$A26,'Data'!$H$5:$H$124))</f>
        <v/>
      </c>
      <c r="D26" s="25">
        <f>IF(OR($A26="",$C$35=0),"",$C26/$C$35)</f>
        <v/>
      </c>
      <c r="E26" s="21">
        <f>IF($A26="","",IF(SUMIF('Data'!$B$5:$B$124,$A26,'Data'!$S$5:$S$124)=0,"",SUMIF('Data'!$B$5:$B$124,$A26,'Data'!$R$5:$R$124)/SUMIF('Data'!$B$5:$B$124,$A26,'Data'!$S$5:$S$124)))</f>
        <v/>
      </c>
      <c r="F26" s="21">
        <f>IF($A26="","",IF(SUMIF('Data'!$B$5:$B$124,$A26,'Data'!$U$5:$U$124)=0,"",SUMIF('Data'!$B$5:$B$124,$A26,'Data'!$T$5:$T$124)/SUMIF('Data'!$B$5:$B$124,$A26,'Data'!$U$5:$U$124)))</f>
        <v/>
      </c>
      <c r="G26" s="21">
        <f>IF($A26="","",IF(SUMIF('Data'!$B$5:$B$124,$A26,'Data'!$W$5:$W$124)=0,"",SUMIF('Data'!$B$5:$B$124,$A26,'Data'!$V$5:$V$124)/SUMIF('Data'!$B$5:$B$124,$A26,'Data'!$W$5:$W$124)))</f>
        <v/>
      </c>
      <c r="H26" s="21">
        <f>IF($A26="","",IF(SUMIF('Data'!$B$5:$B$124,$A26,'Data'!$Y$5:$Y$124)=0,"",SUMIF('Data'!$B$5:$B$124,$A26,'Data'!$X$5:$X$124)/SUMIF('Data'!$B$5:$B$124,$A26,'Data'!$Y$5:$Y$124)))</f>
        <v/>
      </c>
      <c r="I26" s="26">
        <f>IF($A26="","",COUNTIF('Data'!$B$5:$B$124,$A26)-COUNTIFS('Data'!$B$5:$B$124,$A26,'Data'!$S$5:$S$124,0))</f>
        <v/>
      </c>
      <c r="J26" s="26">
        <f>IF($A26="","",COUNTIF('Data'!$B$5:$B$124,$A26)-COUNTIFS('Data'!$B$5:$B$124,$A26,'Data'!$U$5:$U$124,0))</f>
        <v/>
      </c>
      <c r="K26" s="26">
        <f>IF($A26="","",COUNTIF('Data'!$B$5:$B$124,$A26)-COUNTIFS('Data'!$B$5:$B$124,$A26,'Data'!$W$5:$W$124,0))</f>
        <v/>
      </c>
      <c r="L26" s="26">
        <f>IF($A26="","",COUNTIF('Data'!$B$5:$B$124,$A26)-COUNTIFS('Data'!$B$5:$B$124,$A26,'Data'!$Y$5:$Y$124,0))</f>
        <v/>
      </c>
    </row>
    <row r="27">
      <c r="A27" s="3">
        <f>IFERROR(INDEX('Data'!$B$5:$B$124,MATCH(24,'Data'!$Z$5:$Z$124,0)),"")</f>
        <v/>
      </c>
      <c r="B27" s="19">
        <f>IF($A27="","",COUNTIF('Data'!$B$5:$B$124,$A27))</f>
        <v/>
      </c>
      <c r="C27" s="19">
        <f>IF($A27="","",SUMIF('Data'!$B$5:$B$124,$A27,'Data'!$H$5:$H$124))</f>
        <v/>
      </c>
      <c r="D27" s="25">
        <f>IF(OR($A27="",$C$35=0),"",$C27/$C$35)</f>
        <v/>
      </c>
      <c r="E27" s="21">
        <f>IF($A27="","",IF(SUMIF('Data'!$B$5:$B$124,$A27,'Data'!$S$5:$S$124)=0,"",SUMIF('Data'!$B$5:$B$124,$A27,'Data'!$R$5:$R$124)/SUMIF('Data'!$B$5:$B$124,$A27,'Data'!$S$5:$S$124)))</f>
        <v/>
      </c>
      <c r="F27" s="21">
        <f>IF($A27="","",IF(SUMIF('Data'!$B$5:$B$124,$A27,'Data'!$U$5:$U$124)=0,"",SUMIF('Data'!$B$5:$B$124,$A27,'Data'!$T$5:$T$124)/SUMIF('Data'!$B$5:$B$124,$A27,'Data'!$U$5:$U$124)))</f>
        <v/>
      </c>
      <c r="G27" s="21">
        <f>IF($A27="","",IF(SUMIF('Data'!$B$5:$B$124,$A27,'Data'!$W$5:$W$124)=0,"",SUMIF('Data'!$B$5:$B$124,$A27,'Data'!$V$5:$V$124)/SUMIF('Data'!$B$5:$B$124,$A27,'Data'!$W$5:$W$124)))</f>
        <v/>
      </c>
      <c r="H27" s="21">
        <f>IF($A27="","",IF(SUMIF('Data'!$B$5:$B$124,$A27,'Data'!$Y$5:$Y$124)=0,"",SUMIF('Data'!$B$5:$B$124,$A27,'Data'!$X$5:$X$124)/SUMIF('Data'!$B$5:$B$124,$A27,'Data'!$Y$5:$Y$124)))</f>
        <v/>
      </c>
      <c r="I27" s="26">
        <f>IF($A27="","",COUNTIF('Data'!$B$5:$B$124,$A27)-COUNTIFS('Data'!$B$5:$B$124,$A27,'Data'!$S$5:$S$124,0))</f>
        <v/>
      </c>
      <c r="J27" s="26">
        <f>IF($A27="","",COUNTIF('Data'!$B$5:$B$124,$A27)-COUNTIFS('Data'!$B$5:$B$124,$A27,'Data'!$U$5:$U$124,0))</f>
        <v/>
      </c>
      <c r="K27" s="26">
        <f>IF($A27="","",COUNTIF('Data'!$B$5:$B$124,$A27)-COUNTIFS('Data'!$B$5:$B$124,$A27,'Data'!$W$5:$W$124,0))</f>
        <v/>
      </c>
      <c r="L27" s="26">
        <f>IF($A27="","",COUNTIF('Data'!$B$5:$B$124,$A27)-COUNTIFS('Data'!$B$5:$B$124,$A27,'Data'!$Y$5:$Y$124,0))</f>
        <v/>
      </c>
    </row>
    <row r="28">
      <c r="A28" s="3">
        <f>IFERROR(INDEX('Data'!$B$5:$B$124,MATCH(25,'Data'!$Z$5:$Z$124,0)),"")</f>
        <v/>
      </c>
      <c r="B28" s="19">
        <f>IF($A28="","",COUNTIF('Data'!$B$5:$B$124,$A28))</f>
        <v/>
      </c>
      <c r="C28" s="19">
        <f>IF($A28="","",SUMIF('Data'!$B$5:$B$124,$A28,'Data'!$H$5:$H$124))</f>
        <v/>
      </c>
      <c r="D28" s="25">
        <f>IF(OR($A28="",$C$35=0),"",$C28/$C$35)</f>
        <v/>
      </c>
      <c r="E28" s="21">
        <f>IF($A28="","",IF(SUMIF('Data'!$B$5:$B$124,$A28,'Data'!$S$5:$S$124)=0,"",SUMIF('Data'!$B$5:$B$124,$A28,'Data'!$R$5:$R$124)/SUMIF('Data'!$B$5:$B$124,$A28,'Data'!$S$5:$S$124)))</f>
        <v/>
      </c>
      <c r="F28" s="21">
        <f>IF($A28="","",IF(SUMIF('Data'!$B$5:$B$124,$A28,'Data'!$U$5:$U$124)=0,"",SUMIF('Data'!$B$5:$B$124,$A28,'Data'!$T$5:$T$124)/SUMIF('Data'!$B$5:$B$124,$A28,'Data'!$U$5:$U$124)))</f>
        <v/>
      </c>
      <c r="G28" s="21">
        <f>IF($A28="","",IF(SUMIF('Data'!$B$5:$B$124,$A28,'Data'!$W$5:$W$124)=0,"",SUMIF('Data'!$B$5:$B$124,$A28,'Data'!$V$5:$V$124)/SUMIF('Data'!$B$5:$B$124,$A28,'Data'!$W$5:$W$124)))</f>
        <v/>
      </c>
      <c r="H28" s="21">
        <f>IF($A28="","",IF(SUMIF('Data'!$B$5:$B$124,$A28,'Data'!$Y$5:$Y$124)=0,"",SUMIF('Data'!$B$5:$B$124,$A28,'Data'!$X$5:$X$124)/SUMIF('Data'!$B$5:$B$124,$A28,'Data'!$Y$5:$Y$124)))</f>
        <v/>
      </c>
      <c r="I28" s="26">
        <f>IF($A28="","",COUNTIF('Data'!$B$5:$B$124,$A28)-COUNTIFS('Data'!$B$5:$B$124,$A28,'Data'!$S$5:$S$124,0))</f>
        <v/>
      </c>
      <c r="J28" s="26">
        <f>IF($A28="","",COUNTIF('Data'!$B$5:$B$124,$A28)-COUNTIFS('Data'!$B$5:$B$124,$A28,'Data'!$U$5:$U$124,0))</f>
        <v/>
      </c>
      <c r="K28" s="26">
        <f>IF($A28="","",COUNTIF('Data'!$B$5:$B$124,$A28)-COUNTIFS('Data'!$B$5:$B$124,$A28,'Data'!$W$5:$W$124,0))</f>
        <v/>
      </c>
      <c r="L28" s="26">
        <f>IF($A28="","",COUNTIF('Data'!$B$5:$B$124,$A28)-COUNTIFS('Data'!$B$5:$B$124,$A28,'Data'!$Y$5:$Y$124,0))</f>
        <v/>
      </c>
    </row>
    <row r="29">
      <c r="A29" s="3">
        <f>IFERROR(INDEX('Data'!$B$5:$B$124,MATCH(26,'Data'!$Z$5:$Z$124,0)),"")</f>
        <v/>
      </c>
      <c r="B29" s="19">
        <f>IF($A29="","",COUNTIF('Data'!$B$5:$B$124,$A29))</f>
        <v/>
      </c>
      <c r="C29" s="19">
        <f>IF($A29="","",SUMIF('Data'!$B$5:$B$124,$A29,'Data'!$H$5:$H$124))</f>
        <v/>
      </c>
      <c r="D29" s="25">
        <f>IF(OR($A29="",$C$35=0),"",$C29/$C$35)</f>
        <v/>
      </c>
      <c r="E29" s="21">
        <f>IF($A29="","",IF(SUMIF('Data'!$B$5:$B$124,$A29,'Data'!$S$5:$S$124)=0,"",SUMIF('Data'!$B$5:$B$124,$A29,'Data'!$R$5:$R$124)/SUMIF('Data'!$B$5:$B$124,$A29,'Data'!$S$5:$S$124)))</f>
        <v/>
      </c>
      <c r="F29" s="21">
        <f>IF($A29="","",IF(SUMIF('Data'!$B$5:$B$124,$A29,'Data'!$U$5:$U$124)=0,"",SUMIF('Data'!$B$5:$B$124,$A29,'Data'!$T$5:$T$124)/SUMIF('Data'!$B$5:$B$124,$A29,'Data'!$U$5:$U$124)))</f>
        <v/>
      </c>
      <c r="G29" s="21">
        <f>IF($A29="","",IF(SUMIF('Data'!$B$5:$B$124,$A29,'Data'!$W$5:$W$124)=0,"",SUMIF('Data'!$B$5:$B$124,$A29,'Data'!$V$5:$V$124)/SUMIF('Data'!$B$5:$B$124,$A29,'Data'!$W$5:$W$124)))</f>
        <v/>
      </c>
      <c r="H29" s="21">
        <f>IF($A29="","",IF(SUMIF('Data'!$B$5:$B$124,$A29,'Data'!$Y$5:$Y$124)=0,"",SUMIF('Data'!$B$5:$B$124,$A29,'Data'!$X$5:$X$124)/SUMIF('Data'!$B$5:$B$124,$A29,'Data'!$Y$5:$Y$124)))</f>
        <v/>
      </c>
      <c r="I29" s="26">
        <f>IF($A29="","",COUNTIF('Data'!$B$5:$B$124,$A29)-COUNTIFS('Data'!$B$5:$B$124,$A29,'Data'!$S$5:$S$124,0))</f>
        <v/>
      </c>
      <c r="J29" s="26">
        <f>IF($A29="","",COUNTIF('Data'!$B$5:$B$124,$A29)-COUNTIFS('Data'!$B$5:$B$124,$A29,'Data'!$U$5:$U$124,0))</f>
        <v/>
      </c>
      <c r="K29" s="26">
        <f>IF($A29="","",COUNTIF('Data'!$B$5:$B$124,$A29)-COUNTIFS('Data'!$B$5:$B$124,$A29,'Data'!$W$5:$W$124,0))</f>
        <v/>
      </c>
      <c r="L29" s="26">
        <f>IF($A29="","",COUNTIF('Data'!$B$5:$B$124,$A29)-COUNTIFS('Data'!$B$5:$B$124,$A29,'Data'!$Y$5:$Y$124,0))</f>
        <v/>
      </c>
    </row>
    <row r="30">
      <c r="A30" s="3">
        <f>IFERROR(INDEX('Data'!$B$5:$B$124,MATCH(27,'Data'!$Z$5:$Z$124,0)),"")</f>
        <v/>
      </c>
      <c r="B30" s="19">
        <f>IF($A30="","",COUNTIF('Data'!$B$5:$B$124,$A30))</f>
        <v/>
      </c>
      <c r="C30" s="19">
        <f>IF($A30="","",SUMIF('Data'!$B$5:$B$124,$A30,'Data'!$H$5:$H$124))</f>
        <v/>
      </c>
      <c r="D30" s="25">
        <f>IF(OR($A30="",$C$35=0),"",$C30/$C$35)</f>
        <v/>
      </c>
      <c r="E30" s="21">
        <f>IF($A30="","",IF(SUMIF('Data'!$B$5:$B$124,$A30,'Data'!$S$5:$S$124)=0,"",SUMIF('Data'!$B$5:$B$124,$A30,'Data'!$R$5:$R$124)/SUMIF('Data'!$B$5:$B$124,$A30,'Data'!$S$5:$S$124)))</f>
        <v/>
      </c>
      <c r="F30" s="21">
        <f>IF($A30="","",IF(SUMIF('Data'!$B$5:$B$124,$A30,'Data'!$U$5:$U$124)=0,"",SUMIF('Data'!$B$5:$B$124,$A30,'Data'!$T$5:$T$124)/SUMIF('Data'!$B$5:$B$124,$A30,'Data'!$U$5:$U$124)))</f>
        <v/>
      </c>
      <c r="G30" s="21">
        <f>IF($A30="","",IF(SUMIF('Data'!$B$5:$B$124,$A30,'Data'!$W$5:$W$124)=0,"",SUMIF('Data'!$B$5:$B$124,$A30,'Data'!$V$5:$V$124)/SUMIF('Data'!$B$5:$B$124,$A30,'Data'!$W$5:$W$124)))</f>
        <v/>
      </c>
      <c r="H30" s="21">
        <f>IF($A30="","",IF(SUMIF('Data'!$B$5:$B$124,$A30,'Data'!$Y$5:$Y$124)=0,"",SUMIF('Data'!$B$5:$B$124,$A30,'Data'!$X$5:$X$124)/SUMIF('Data'!$B$5:$B$124,$A30,'Data'!$Y$5:$Y$124)))</f>
        <v/>
      </c>
      <c r="I30" s="26">
        <f>IF($A30="","",COUNTIF('Data'!$B$5:$B$124,$A30)-COUNTIFS('Data'!$B$5:$B$124,$A30,'Data'!$S$5:$S$124,0))</f>
        <v/>
      </c>
      <c r="J30" s="26">
        <f>IF($A30="","",COUNTIF('Data'!$B$5:$B$124,$A30)-COUNTIFS('Data'!$B$5:$B$124,$A30,'Data'!$U$5:$U$124,0))</f>
        <v/>
      </c>
      <c r="K30" s="26">
        <f>IF($A30="","",COUNTIF('Data'!$B$5:$B$124,$A30)-COUNTIFS('Data'!$B$5:$B$124,$A30,'Data'!$W$5:$W$124,0))</f>
        <v/>
      </c>
      <c r="L30" s="26">
        <f>IF($A30="","",COUNTIF('Data'!$B$5:$B$124,$A30)-COUNTIFS('Data'!$B$5:$B$124,$A30,'Data'!$Y$5:$Y$124,0))</f>
        <v/>
      </c>
    </row>
    <row r="31">
      <c r="A31" s="3">
        <f>IFERROR(INDEX('Data'!$B$5:$B$124,MATCH(28,'Data'!$Z$5:$Z$124,0)),"")</f>
        <v/>
      </c>
      <c r="B31" s="19">
        <f>IF($A31="","",COUNTIF('Data'!$B$5:$B$124,$A31))</f>
        <v/>
      </c>
      <c r="C31" s="19">
        <f>IF($A31="","",SUMIF('Data'!$B$5:$B$124,$A31,'Data'!$H$5:$H$124))</f>
        <v/>
      </c>
      <c r="D31" s="25">
        <f>IF(OR($A31="",$C$35=0),"",$C31/$C$35)</f>
        <v/>
      </c>
      <c r="E31" s="21">
        <f>IF($A31="","",IF(SUMIF('Data'!$B$5:$B$124,$A31,'Data'!$S$5:$S$124)=0,"",SUMIF('Data'!$B$5:$B$124,$A31,'Data'!$R$5:$R$124)/SUMIF('Data'!$B$5:$B$124,$A31,'Data'!$S$5:$S$124)))</f>
        <v/>
      </c>
      <c r="F31" s="21">
        <f>IF($A31="","",IF(SUMIF('Data'!$B$5:$B$124,$A31,'Data'!$U$5:$U$124)=0,"",SUMIF('Data'!$B$5:$B$124,$A31,'Data'!$T$5:$T$124)/SUMIF('Data'!$B$5:$B$124,$A31,'Data'!$U$5:$U$124)))</f>
        <v/>
      </c>
      <c r="G31" s="21">
        <f>IF($A31="","",IF(SUMIF('Data'!$B$5:$B$124,$A31,'Data'!$W$5:$W$124)=0,"",SUMIF('Data'!$B$5:$B$124,$A31,'Data'!$V$5:$V$124)/SUMIF('Data'!$B$5:$B$124,$A31,'Data'!$W$5:$W$124)))</f>
        <v/>
      </c>
      <c r="H31" s="21">
        <f>IF($A31="","",IF(SUMIF('Data'!$B$5:$B$124,$A31,'Data'!$Y$5:$Y$124)=0,"",SUMIF('Data'!$B$5:$B$124,$A31,'Data'!$X$5:$X$124)/SUMIF('Data'!$B$5:$B$124,$A31,'Data'!$Y$5:$Y$124)))</f>
        <v/>
      </c>
      <c r="I31" s="26">
        <f>IF($A31="","",COUNTIF('Data'!$B$5:$B$124,$A31)-COUNTIFS('Data'!$B$5:$B$124,$A31,'Data'!$S$5:$S$124,0))</f>
        <v/>
      </c>
      <c r="J31" s="26">
        <f>IF($A31="","",COUNTIF('Data'!$B$5:$B$124,$A31)-COUNTIFS('Data'!$B$5:$B$124,$A31,'Data'!$U$5:$U$124,0))</f>
        <v/>
      </c>
      <c r="K31" s="26">
        <f>IF($A31="","",COUNTIF('Data'!$B$5:$B$124,$A31)-COUNTIFS('Data'!$B$5:$B$124,$A31,'Data'!$W$5:$W$124,0))</f>
        <v/>
      </c>
      <c r="L31" s="26">
        <f>IF($A31="","",COUNTIF('Data'!$B$5:$B$124,$A31)-COUNTIFS('Data'!$B$5:$B$124,$A31,'Data'!$Y$5:$Y$124,0))</f>
        <v/>
      </c>
    </row>
    <row r="32">
      <c r="A32" s="3">
        <f>IFERROR(INDEX('Data'!$B$5:$B$124,MATCH(29,'Data'!$Z$5:$Z$124,0)),"")</f>
        <v/>
      </c>
      <c r="B32" s="19">
        <f>IF($A32="","",COUNTIF('Data'!$B$5:$B$124,$A32))</f>
        <v/>
      </c>
      <c r="C32" s="19">
        <f>IF($A32="","",SUMIF('Data'!$B$5:$B$124,$A32,'Data'!$H$5:$H$124))</f>
        <v/>
      </c>
      <c r="D32" s="25">
        <f>IF(OR($A32="",$C$35=0),"",$C32/$C$35)</f>
        <v/>
      </c>
      <c r="E32" s="21">
        <f>IF($A32="","",IF(SUMIF('Data'!$B$5:$B$124,$A32,'Data'!$S$5:$S$124)=0,"",SUMIF('Data'!$B$5:$B$124,$A32,'Data'!$R$5:$R$124)/SUMIF('Data'!$B$5:$B$124,$A32,'Data'!$S$5:$S$124)))</f>
        <v/>
      </c>
      <c r="F32" s="21">
        <f>IF($A32="","",IF(SUMIF('Data'!$B$5:$B$124,$A32,'Data'!$U$5:$U$124)=0,"",SUMIF('Data'!$B$5:$B$124,$A32,'Data'!$T$5:$T$124)/SUMIF('Data'!$B$5:$B$124,$A32,'Data'!$U$5:$U$124)))</f>
        <v/>
      </c>
      <c r="G32" s="21">
        <f>IF($A32="","",IF(SUMIF('Data'!$B$5:$B$124,$A32,'Data'!$W$5:$W$124)=0,"",SUMIF('Data'!$B$5:$B$124,$A32,'Data'!$V$5:$V$124)/SUMIF('Data'!$B$5:$B$124,$A32,'Data'!$W$5:$W$124)))</f>
        <v/>
      </c>
      <c r="H32" s="21">
        <f>IF($A32="","",IF(SUMIF('Data'!$B$5:$B$124,$A32,'Data'!$Y$5:$Y$124)=0,"",SUMIF('Data'!$B$5:$B$124,$A32,'Data'!$X$5:$X$124)/SUMIF('Data'!$B$5:$B$124,$A32,'Data'!$Y$5:$Y$124)))</f>
        <v/>
      </c>
      <c r="I32" s="26">
        <f>IF($A32="","",COUNTIF('Data'!$B$5:$B$124,$A32)-COUNTIFS('Data'!$B$5:$B$124,$A32,'Data'!$S$5:$S$124,0))</f>
        <v/>
      </c>
      <c r="J32" s="26">
        <f>IF($A32="","",COUNTIF('Data'!$B$5:$B$124,$A32)-COUNTIFS('Data'!$B$5:$B$124,$A32,'Data'!$U$5:$U$124,0))</f>
        <v/>
      </c>
      <c r="K32" s="26">
        <f>IF($A32="","",COUNTIF('Data'!$B$5:$B$124,$A32)-COUNTIFS('Data'!$B$5:$B$124,$A32,'Data'!$W$5:$W$124,0))</f>
        <v/>
      </c>
      <c r="L32" s="26">
        <f>IF($A32="","",COUNTIF('Data'!$B$5:$B$124,$A32)-COUNTIFS('Data'!$B$5:$B$124,$A32,'Data'!$Y$5:$Y$124,0))</f>
        <v/>
      </c>
    </row>
    <row r="33">
      <c r="A33" s="3">
        <f>IFERROR(INDEX('Data'!$B$5:$B$124,MATCH(30,'Data'!$Z$5:$Z$124,0)),"")</f>
        <v/>
      </c>
      <c r="B33" s="19">
        <f>IF($A33="","",COUNTIF('Data'!$B$5:$B$124,$A33))</f>
        <v/>
      </c>
      <c r="C33" s="19">
        <f>IF($A33="","",SUMIF('Data'!$B$5:$B$124,$A33,'Data'!$H$5:$H$124))</f>
        <v/>
      </c>
      <c r="D33" s="25">
        <f>IF(OR($A33="",$C$35=0),"",$C33/$C$35)</f>
        <v/>
      </c>
      <c r="E33" s="21">
        <f>IF($A33="","",IF(SUMIF('Data'!$B$5:$B$124,$A33,'Data'!$S$5:$S$124)=0,"",SUMIF('Data'!$B$5:$B$124,$A33,'Data'!$R$5:$R$124)/SUMIF('Data'!$B$5:$B$124,$A33,'Data'!$S$5:$S$124)))</f>
        <v/>
      </c>
      <c r="F33" s="21">
        <f>IF($A33="","",IF(SUMIF('Data'!$B$5:$B$124,$A33,'Data'!$U$5:$U$124)=0,"",SUMIF('Data'!$B$5:$B$124,$A33,'Data'!$T$5:$T$124)/SUMIF('Data'!$B$5:$B$124,$A33,'Data'!$U$5:$U$124)))</f>
        <v/>
      </c>
      <c r="G33" s="21">
        <f>IF($A33="","",IF(SUMIF('Data'!$B$5:$B$124,$A33,'Data'!$W$5:$W$124)=0,"",SUMIF('Data'!$B$5:$B$124,$A33,'Data'!$V$5:$V$124)/SUMIF('Data'!$B$5:$B$124,$A33,'Data'!$W$5:$W$124)))</f>
        <v/>
      </c>
      <c r="H33" s="21">
        <f>IF($A33="","",IF(SUMIF('Data'!$B$5:$B$124,$A33,'Data'!$Y$5:$Y$124)=0,"",SUMIF('Data'!$B$5:$B$124,$A33,'Data'!$X$5:$X$124)/SUMIF('Data'!$B$5:$B$124,$A33,'Data'!$Y$5:$Y$124)))</f>
        <v/>
      </c>
      <c r="I33" s="26">
        <f>IF($A33="","",COUNTIF('Data'!$B$5:$B$124,$A33)-COUNTIFS('Data'!$B$5:$B$124,$A33,'Data'!$S$5:$S$124,0))</f>
        <v/>
      </c>
      <c r="J33" s="26">
        <f>IF($A33="","",COUNTIF('Data'!$B$5:$B$124,$A33)-COUNTIFS('Data'!$B$5:$B$124,$A33,'Data'!$U$5:$U$124,0))</f>
        <v/>
      </c>
      <c r="K33" s="26">
        <f>IF($A33="","",COUNTIF('Data'!$B$5:$B$124,$A33)-COUNTIFS('Data'!$B$5:$B$124,$A33,'Data'!$W$5:$W$124,0))</f>
        <v/>
      </c>
      <c r="L33" s="26">
        <f>IF($A33="","",COUNTIF('Data'!$B$5:$B$124,$A33)-COUNTIFS('Data'!$B$5:$B$124,$A33,'Data'!$Y$5:$Y$124,0))</f>
        <v/>
      </c>
    </row>
    <row r="35">
      <c r="A35" s="15" t="inlineStr">
        <is>
          <t>INDEX TOTAL</t>
        </is>
      </c>
      <c r="B35" s="27">
        <f>SUM($B$4:$B$33)</f>
        <v/>
      </c>
      <c r="C35" s="27">
        <f>SUM($C$4:$C$33)</f>
        <v/>
      </c>
      <c r="D35" s="28">
        <f>IF($C35=0,"",1)</f>
        <v/>
      </c>
      <c r="E35" s="29">
        <f>IF(SUM('Data'!$S$5:$S$124)=0,"",SUM('Data'!$R$5:$R$124)/SUM('Data'!$S$5:$S$124))</f>
        <v/>
      </c>
      <c r="F35" s="29">
        <f>IF(SUM('Data'!$U$5:$U$124)=0,"",SUM('Data'!$T$5:$T$124)/SUM('Data'!$U$5:$U$124))</f>
        <v/>
      </c>
      <c r="G35" s="29">
        <f>IF(SUM('Data'!$W$5:$W$124)=0,"",SUM('Data'!$V$5:$V$124)/SUM('Data'!$W$5:$W$124))</f>
        <v/>
      </c>
      <c r="H35" s="29">
        <f>IF(SUM('Data'!$Y$5:$Y$124)=0,"",SUM('Data'!$X$5:$X$124)/SUM('Data'!$Y$5:$Y$124))</f>
        <v/>
      </c>
      <c r="I35" s="30">
        <f>SUM(I4:I33)</f>
        <v/>
      </c>
      <c r="J35" s="30">
        <f>SUM(J4:J33)</f>
        <v/>
      </c>
      <c r="K35" s="30">
        <f>SUM(K4:K33)</f>
        <v/>
      </c>
      <c r="L35" s="30">
        <f>SUM(L4:L33)</f>
        <v/>
      </c>
    </row>
    <row r="37">
      <c r="A37" s="3" t="inlineStr">
        <is>
          <t>Coverage check</t>
        </is>
      </c>
      <c r="B37" s="15">
        <f>IF((COUNTIF('Data'!$B$5:$B$124,"NO SECTOR")+COUNTIF('Data'!$B$5:$B$124,"NOT IN MAP"))&gt;0,(COUNTIF('Data'!$B$5:$B$124,"NO SECTOR")+COUNTIF('Data'!$B$5:$B$124,"NOT IN MAP"))&amp;" ticker(s) still have no sector — they are excluded from every sector row AND from the index total above.","All "&amp;COUNTIF('Data'!$Q$5:$Q$124,1)&amp;" tickers are mapped to a sector.")</f>
        <v/>
      </c>
    </row>
  </sheetData>
  <mergeCells count="1">
    <mergeCell ref="B37:H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3" max="3"/>
  </cols>
  <sheetData>
    <row r="1">
      <c r="A1" s="1" t="inlineStr">
        <is>
          <t>Index members — live from Bloomberg</t>
        </is>
      </c>
    </row>
    <row r="2">
      <c r="A2" s="2" t="inlineStr">
        <is>
          <t>One BDS call. It spills down column A when the add-in resolves it. Everything else in the workbook reads this list, so nothing needs to be pasted by hand.</t>
        </is>
      </c>
    </row>
    <row r="3">
      <c r="A3" s="31" t="inlineStr">
        <is>
          <t>Member</t>
        </is>
      </c>
    </row>
    <row r="4">
      <c r="A4" s="32">
        <f>BDS(IdxTicker,"INDX_MEMBERS")</f>
        <v/>
      </c>
      <c r="C4" s="9" t="inlineStr">
        <is>
          <t>↑ This single cell spills the full member list. If you see #NAME? the Bloomberg add-in is not loaded; if you see one ticker only, your Excel is not spilling — copy the cell down instead.</t>
        </is>
      </c>
    </row>
    <row r="6">
      <c r="C6" s="3">
        <f>IF(COUNTA($A$4:$A$400)=0,"No members returned — check the add-in and the index ticker.","Members returned: "&amp;COUNTA($A$4:$A$400))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2026-07-29T22:58:24Z</dcterms:created>
  <dcterms:modified xmlns:dcterms="http://purl.org/dc/terms/" xmlns:xsi="http://www.w3.org/2001/XMLSchema-instance" xsi:type="dcterms:W3CDTF">2026-07-29T22:58:24Z</dcterms:modified>
</cp:coreProperties>
</file>