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\AppData\Local\Temp\claude\C--Users-Caio-Documents-Documentos-XP\100550cb-9518-4642-bd51-448805b7e8a2\scratchpad\"/>
    </mc:Choice>
  </mc:AlternateContent>
  <xr:revisionPtr revIDLastSave="0" documentId="8_{3522C126-B225-4A3A-9346-505FA809073A}" xr6:coauthVersionLast="47" xr6:coauthVersionMax="47" xr10:uidLastSave="{00000000-0000-0000-0000-000000000000}"/>
  <bookViews>
    <workbookView xWindow="-108" yWindow="-108" windowWidth="23256" windowHeight="12456" activeTab="1" xr2:uid="{660B596F-B1DC-47A2-B149-485AF6C7E9D3}"/>
  </bookViews>
  <sheets>
    <sheet name="Coverage" sheetId="2" r:id="rId1"/>
    <sheet name="Implied Ibovespa" sheetId="1" r:id="rId2"/>
  </sheets>
  <definedNames>
    <definedName name="AgeFilterOn">'Implied Ibovespa'!$H$5</definedName>
    <definedName name="ExternalData_1" localSheetId="0" hidden="1">Coverage!$B$4:$Q$5</definedName>
    <definedName name="ExternalData_1" localSheetId="1" hidden="1">'Implied Ibovespa'!$B$22:$P$23</definedName>
    <definedName name="MaxAgeMonths">'Implied Ibovespa'!$H$6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C12" i="1"/>
  <c r="C11" i="1"/>
  <c r="C5" i="1"/>
  <c r="V23" i="1"/>
  <c r="S23" i="1"/>
  <c r="T23" i="1" s="1"/>
  <c r="U23" i="1" s="1"/>
  <c r="W23" i="1" s="1"/>
  <c r="Q23" i="1"/>
  <c r="R23" i="1" s="1"/>
  <c r="Y23" i="1" l="1"/>
  <c r="AB23" i="1" s="1"/>
  <c r="Z23" i="1"/>
  <c r="AA23" i="1"/>
  <c r="X23" i="1"/>
  <c r="E18" i="1" l="1"/>
  <c r="C18" i="1"/>
  <c r="D18" i="1"/>
  <c r="E17" i="1"/>
  <c r="C17" i="1"/>
  <c r="D17" i="1"/>
  <c r="E16" i="1"/>
  <c r="C16" i="1"/>
  <c r="D16" i="1"/>
  <c r="D15" i="1"/>
  <c r="C10" i="1"/>
  <c r="C15" i="1"/>
  <c r="AC23" i="1"/>
  <c r="F16" i="1" s="1"/>
  <c r="AD23" i="1"/>
  <c r="AE23" i="1"/>
  <c r="AF23" i="1"/>
  <c r="D19" i="1" l="1"/>
  <c r="C19" i="1"/>
  <c r="F18" i="1"/>
  <c r="F17" i="1"/>
  <c r="E15" i="1"/>
  <c r="F15" i="1"/>
  <c r="C7" i="1"/>
  <c r="C9" i="1"/>
  <c r="C8" i="1" s="1"/>
  <c r="F19" i="1" l="1"/>
  <c r="C6" i="1"/>
  <c r="E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39AB2F-4478-444D-A66B-D239DDB5B7E8}" keepAlive="1" name="Connection" type="5" refreshedVersion="8" saveData="1">
    <dbPr connection="Provider=Microsoft.Mashup.OleDb.1;Data Source=$Workbook$;Location=ibov_raw;Extended Properties=&quot;&quot;" command="SELECT * FROM [ibov_raw]"/>
  </connection>
  <connection id="2" xr16:uid="{1C280453-94A0-4C27-9F1C-6A1EE6A0FC47}" keepAlive="1" name="Connection1" type="5" refreshedVersion="8" saveData="1">
    <dbPr connection="Provider=Microsoft.Mashup.OleDb.1;Data Source=$Workbook$;Location=coverage_raw;Extended Properties=&quot;&quot;" command="SELECT * FROM [coverage_raw]"/>
  </connection>
</connections>
</file>

<file path=xl/sharedStrings.xml><?xml version="1.0" encoding="utf-8"?>
<sst xmlns="http://schemas.openxmlformats.org/spreadsheetml/2006/main" count="88" uniqueCount="76">
  <si>
    <t>Ticker</t>
  </si>
  <si>
    <t>Weight</t>
  </si>
  <si>
    <t>Coverage</t>
  </si>
  <si>
    <t>XP Ticker</t>
  </si>
  <si>
    <t>Name</t>
  </si>
  <si>
    <t>Sector</t>
  </si>
  <si>
    <t>Analyst</t>
  </si>
  <si>
    <t>Recommendation</t>
  </si>
  <si>
    <t>Restricted</t>
  </si>
  <si>
    <t>Model Date</t>
  </si>
  <si>
    <t>XP Target</t>
  </si>
  <si>
    <t>BBG Ticker</t>
  </si>
  <si>
    <t>XP BBG Ticker</t>
  </si>
  <si>
    <t>Composition Date</t>
  </si>
  <si>
    <t>Run At</t>
  </si>
  <si>
    <t>XXXX3</t>
  </si>
  <si>
    <t>Direct</t>
  </si>
  <si>
    <t>Placeholder</t>
  </si>
  <si>
    <t>-</t>
  </si>
  <si>
    <t>Buy</t>
  </si>
  <si>
    <t>XXXX3 BZ Equity</t>
  </si>
  <si>
    <t>Price</t>
  </si>
  <si>
    <t>XP Ticker Price</t>
  </si>
  <si>
    <t>Model Age (m)</t>
  </si>
  <si>
    <t>XP Valid</t>
  </si>
  <si>
    <t>XP TP</t>
  </si>
  <si>
    <t>Consensus TP</t>
  </si>
  <si>
    <t>TP Used</t>
  </si>
  <si>
    <t>Source</t>
  </si>
  <si>
    <t>Upside</t>
  </si>
  <si>
    <t>Consensus Upside</t>
  </si>
  <si>
    <t>XP vs Consensus</t>
  </si>
  <si>
    <t>Contribution (p.p.)</t>
  </si>
  <si>
    <t>W Covered</t>
  </si>
  <si>
    <t>W x Upside</t>
  </si>
  <si>
    <t>W Cons Covered</t>
  </si>
  <si>
    <t>W x Cons Upside</t>
  </si>
  <si>
    <t>Ibovespa — Bottom-up Implied Target Price</t>
  </si>
  <si>
    <t>XP coverage target prices; Bloomberg consensus (BEST_TARGET_PRICE) where XP has no valid target.</t>
  </si>
  <si>
    <t>Ibovespa</t>
  </si>
  <si>
    <t>Implied target</t>
  </si>
  <si>
    <t>Implied target — consensus only</t>
  </si>
  <si>
    <t>Upside — consensus only</t>
  </si>
  <si>
    <t>Index weight without TP</t>
  </si>
  <si>
    <t>Composition date</t>
  </si>
  <si>
    <t>Raw data run</t>
  </si>
  <si>
    <t>Model age filter</t>
  </si>
  <si>
    <t>Under Review, restricted and n.a. recommendations always go to consensus.</t>
  </si>
  <si>
    <t>Workflow: run bottom_up_raw.py → Data › Refresh All → Bloomberg › Refresh Workbook.</t>
  </si>
  <si>
    <t># Stocks</t>
  </si>
  <si>
    <t>Avg Upside</t>
  </si>
  <si>
    <t>Contrib. (p.p.)</t>
  </si>
  <si>
    <t>XP</t>
  </si>
  <si>
    <t>XP (other class)</t>
  </si>
  <si>
    <t>Consensus</t>
  </si>
  <si>
    <t>No TP</t>
  </si>
  <si>
    <t>Total</t>
  </si>
  <si>
    <t>XP Coverage — raw target prices</t>
  </si>
  <si>
    <t>TICKER</t>
  </si>
  <si>
    <t>NAME</t>
  </si>
  <si>
    <t>SECTOR_XP</t>
  </si>
  <si>
    <t>LEAD_ANALYST</t>
  </si>
  <si>
    <t>PDATE</t>
  </si>
  <si>
    <t>RECOMMENDATION</t>
  </si>
  <si>
    <t>RESTRICTED</t>
  </si>
  <si>
    <t>MODEL_CURRENCY</t>
  </si>
  <si>
    <t>PRICE_CURRENCY</t>
  </si>
  <si>
    <t>TARGET</t>
  </si>
  <si>
    <t>KE</t>
  </si>
  <si>
    <t>WACC</t>
  </si>
  <si>
    <t>Listing</t>
  </si>
  <si>
    <t>In Ibov</t>
  </si>
  <si>
    <t>Ibov Weight</t>
  </si>
  <si>
    <t>Model Age (months)</t>
  </si>
  <si>
    <t>BRL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</si>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</sst>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#,##0.00"/>
    <numFmt numFmtId="165" formatCode="0.0"/>
    <numFmt numFmtId="166" formatCode="0.0%"/>
    <numFmt numFmtId="167" formatCode="0.00"/>
    <numFmt numFmtId="168" formatCode="0.00%"/>
    <numFmt numFmtId="169" formatCode="dd/mm/yyyy"/>
    <numFmt numFmtId="170" formatCode="dd/mm/yyyy hh:mm"/>
    <numFmt numFmtId="171" formatCode="#,##0"/>
    <numFmt numFmtId="172" formatCode=";;;"/>
    <numFmt numFmtId="173" formatCode="0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Roboto Light"/>
    </font>
    <font>
      <sz val="8"/>
      <name val="Calibri"/>
      <family val="2"/>
      <scheme val="minor"/>
    </font>
    <font>
      <b/>
      <sz val="9"/>
      <color rgb="FFFFFFFF"/>
      <name val="Roboto Light"/>
    </font>
    <font>
      <b/>
      <sz val="9"/>
      <color theme="1"/>
      <name val="Roboto Light"/>
    </font>
    <font>
      <b/>
      <sz val="13"/>
      <color rgb="FF1F2F44"/>
      <name val="Roboto Light"/>
    </font>
    <font>
      <sz val="9"/>
      <color rgb="FF7E7E7E"/>
      <name val="Roboto Light"/>
    </font>
    <font>
      <b/>
      <sz val="11"/>
      <color rgb="FF1F2F44"/>
      <name val="Roboto Light"/>
    </font>
    <font>
      <b/>
      <sz val="9"/>
      <color rgb="FF1F2F44"/>
      <name val="Roboto Light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2F4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1F2F4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NumberFormat="1" applyFont="1"/>
    <xf numFmtId="2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0" fontId="1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71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7" fillId="0" borderId="1" xfId="0" applyFont="1" applyBorder="1"/>
    <xf numFmtId="171" fontId="7" fillId="0" borderId="1" xfId="0" applyNumberFormat="1" applyFont="1" applyBorder="1" applyAlignment="1">
      <alignment horizontal="right"/>
    </xf>
    <xf numFmtId="169" fontId="6" fillId="0" borderId="0" xfId="0" applyNumberFormat="1" applyFont="1" applyAlignment="1">
      <alignment horizontal="right"/>
    </xf>
    <xf numFmtId="170" fontId="6" fillId="0" borderId="0" xfId="0" applyNumberFormat="1" applyFont="1" applyAlignment="1">
      <alignment horizontal="right"/>
    </xf>
    <xf numFmtId="0" fontId="8" fillId="0" borderId="0" xfId="0" applyFont="1"/>
    <xf numFmtId="172" fontId="1" fillId="0" borderId="0" xfId="0" applyNumberFormat="1" applyFont="1"/>
    <xf numFmtId="0" fontId="4" fillId="2" borderId="0" xfId="0" applyFont="1" applyFill="1" applyAlignment="1">
      <alignment horizontal="center"/>
    </xf>
    <xf numFmtId="0" fontId="3" fillId="3" borderId="0" xfId="0" applyFont="1" applyFill="1"/>
    <xf numFmtId="0" fontId="1" fillId="4" borderId="0" xfId="0" applyFont="1" applyFill="1"/>
    <xf numFmtId="0" fontId="4" fillId="0" borderId="2" xfId="0" applyFont="1" applyBorder="1"/>
    <xf numFmtId="0" fontId="3" fillId="3" borderId="0" xfId="0" applyFont="1" applyFill="1" applyAlignment="1">
      <alignment horizontal="right"/>
    </xf>
    <xf numFmtId="173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73" fontId="1" fillId="4" borderId="0" xfId="0" applyNumberFormat="1" applyFont="1" applyFill="1" applyAlignment="1">
      <alignment horizontal="right"/>
    </xf>
    <xf numFmtId="166" fontId="1" fillId="4" borderId="0" xfId="0" applyNumberFormat="1" applyFont="1" applyFill="1" applyAlignment="1">
      <alignment horizontal="right"/>
    </xf>
    <xf numFmtId="167" fontId="1" fillId="4" borderId="0" xfId="0" applyNumberFormat="1" applyFont="1" applyFill="1" applyAlignment="1">
      <alignment horizontal="right"/>
    </xf>
    <xf numFmtId="173" fontId="4" fillId="0" borderId="2" xfId="0" applyNumberFormat="1" applyFont="1" applyBorder="1" applyAlignment="1">
      <alignment horizontal="right"/>
    </xf>
    <xf numFmtId="166" fontId="4" fillId="0" borderId="2" xfId="0" applyNumberFormat="1" applyFont="1" applyBorder="1" applyAlignment="1">
      <alignment horizontal="right"/>
    </xf>
    <xf numFmtId="167" fontId="4" fillId="0" borderId="2" xfId="0" applyNumberFormat="1" applyFont="1" applyBorder="1" applyAlignment="1">
      <alignment horizontal="right"/>
    </xf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8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70" formatCode="dd/mm/yyyy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8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7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16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 Light"/>
        <scheme val="none"/>
      </font>
    </dxf>
    <dxf>
      <fill>
        <patternFill>
          <bgColor rgb="FFF2F2F2"/>
        </patternFill>
      </fill>
    </dxf>
    <dxf>
      <font>
        <b/>
        <i val="0"/>
        <color rgb="FFFFFFFF"/>
      </font>
      <fill>
        <patternFill>
          <bgColor rgb="FF1F2F44"/>
        </patternFill>
      </fill>
    </dxf>
  </dxfs>
  <tableStyles count="1" defaultTableStyle="TableStyleMedium2" defaultPivotStyle="PivotStyleLight16">
    <tableStyle name="XP Table" pivot="0" count="2" xr9:uid="{9705588C-78A0-4086-BC3F-89B1B51CB919}">
      <tableStyleElement type="headerRow" dxfId="52"/>
      <tableStyleElement type="firstRowStripe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trlProps/ctrlProp1.xml><?xml version="1.0" encoding="utf-8"?>
<formControlPr xmlns="http://schemas.microsoft.com/office/spreadsheetml/2009/9/main" objectType="CheckBox" fmlaLink="'Implied Ibovespa'!$H$5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</xdr:row>
          <xdr:rowOff>137160</xdr:rowOff>
        </xdr:from>
        <xdr:to>
          <xdr:col>6</xdr:col>
          <xdr:colOff>53340</xdr:colOff>
          <xdr:row>6</xdr:row>
          <xdr:rowOff>15240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F8F3227-8239-5CA9-44E2-1E8C9C0303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Exclude XP models older than (months):</a:t>
              </a:r>
            </a:p>
          </xdr:txBody>
        </xdr:sp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2" xr16:uid="{0480DDF2-1BF5-463A-A867-67EC44343AE1}" autoFormatId="16" applyNumberFormats="0" applyBorderFormats="0" applyFontFormats="1" applyPatternFormats="1" applyAlignmentFormats="0" applyWidthHeightFormats="0">
  <queryTableRefresh nextId="17">
    <queryTableFields count="16">
      <queryTableField id="1" name="TICKER" tableColumnId="17"/>
      <queryTableField id="2" name="NAME" tableColumnId="18"/>
      <queryTableField id="3" name="SECTOR_XP" tableColumnId="19"/>
      <queryTableField id="4" name="LEAD_ANALYST" tableColumnId="20"/>
      <queryTableField id="5" name="PDATE" tableColumnId="21"/>
      <queryTableField id="6" name="RECOMMENDATION" tableColumnId="22"/>
      <queryTableField id="7" name="RESTRICTED" tableColumnId="23"/>
      <queryTableField id="8" name="MODEL_CURRENCY" tableColumnId="24"/>
      <queryTableField id="9" name="PRICE_CURRENCY" tableColumnId="25"/>
      <queryTableField id="10" name="TARGET" tableColumnId="26"/>
      <queryTableField id="11" name="KE" tableColumnId="27"/>
      <queryTableField id="12" name="WACC" tableColumnId="28"/>
      <queryTableField id="13" name="Listing" tableColumnId="29"/>
      <queryTableField id="14" name="In Ibov" tableColumnId="30"/>
      <queryTableField id="15" name="Ibov Weight" tableColumnId="31"/>
      <queryTableField id="16" name="Model Age (months)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92010CD3-DD30-411A-8E04-AA62F92622BF}" autoFormatId="16" applyNumberFormats="0" applyBorderFormats="0" applyFontFormats="1" applyPatternFormats="1" applyAlignmentFormats="0" applyWidthHeightFormats="0">
  <queryTableRefresh nextId="32" unboundColumnsRight="16">
    <queryTableFields count="31">
      <queryTableField id="1" name="Ticker" tableColumnId="16"/>
      <queryTableField id="2" name="Weight" tableColumnId="17"/>
      <queryTableField id="3" name="Coverage" tableColumnId="18"/>
      <queryTableField id="4" name="XP Ticker" tableColumnId="19"/>
      <queryTableField id="5" name="Name" tableColumnId="20"/>
      <queryTableField id="6" name="Sector" tableColumnId="21"/>
      <queryTableField id="7" name="Analyst" tableColumnId="22"/>
      <queryTableField id="8" name="Recommendation" tableColumnId="23"/>
      <queryTableField id="9" name="Restricted" tableColumnId="24"/>
      <queryTableField id="10" name="Model Date" tableColumnId="25"/>
      <queryTableField id="11" name="XP Target" tableColumnId="26"/>
      <queryTableField id="12" name="BBG Ticker" tableColumnId="27"/>
      <queryTableField id="13" name="XP BBG Ticker" tableColumnId="28"/>
      <queryTableField id="14" name="Composition Date" tableColumnId="29"/>
      <queryTableField id="15" name="Run At" tableColumnId="30"/>
      <queryTableField id="16" dataBound="0" tableColumnId="31"/>
      <queryTableField id="17" dataBound="0" tableColumnId="32"/>
      <queryTableField id="18" dataBound="0" tableColumnId="33"/>
      <queryTableField id="19" dataBound="0" tableColumnId="34"/>
      <queryTableField id="20" dataBound="0" tableColumnId="35"/>
      <queryTableField id="21" dataBound="0" tableColumnId="36"/>
      <queryTableField id="22" dataBound="0" tableColumnId="37"/>
      <queryTableField id="23" dataBound="0" tableColumnId="38"/>
      <queryTableField id="24" dataBound="0" tableColumnId="39"/>
      <queryTableField id="25" dataBound="0" tableColumnId="40"/>
      <queryTableField id="26" dataBound="0" tableColumnId="41"/>
      <queryTableField id="27" dataBound="0" tableColumnId="42"/>
      <queryTableField id="28" dataBound="0" tableColumnId="43"/>
      <queryTableField id="29" dataBound="0" tableColumnId="44"/>
      <queryTableField id="30" dataBound="0" tableColumnId="45"/>
      <queryTableField id="31" dataBound="0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B8EEC2-8BB1-4A73-9736-88EC7A0EE763}" name="tbl_coverage" displayName="tbl_coverage" ref="B4:Q5" tableType="queryTable" totalsRowShown="0" headerRowDxfId="16" dataDxfId="17">
  <autoFilter ref="B4:Q5" xr:uid="{98B8EEC2-8BB1-4A73-9736-88EC7A0EE763}"/>
  <tableColumns count="16">
    <tableColumn id="17" xr3:uid="{C171F419-445D-4574-92CB-C46841BEB51A}" uniqueName="17" name="TICKER" queryTableFieldId="1" dataDxfId="15"/>
    <tableColumn id="18" xr3:uid="{4296696B-B527-4DC5-8BA3-7384E21715A5}" uniqueName="18" name="NAME" queryTableFieldId="2" dataDxfId="14"/>
    <tableColumn id="19" xr3:uid="{405DEF35-6705-4580-B8E9-770D546D50DA}" uniqueName="19" name="SECTOR_XP" queryTableFieldId="3" dataDxfId="13"/>
    <tableColumn id="20" xr3:uid="{7A6FD6F2-9507-41B6-92C1-5DC8BE678092}" uniqueName="20" name="LEAD_ANALYST" queryTableFieldId="4" dataDxfId="10"/>
    <tableColumn id="21" xr3:uid="{63311F1B-FA17-46CD-8AD9-3A9474EDA772}" uniqueName="21" name="PDATE" queryTableFieldId="5" dataDxfId="8"/>
    <tableColumn id="22" xr3:uid="{B9DE8A77-4F0D-48C1-B5F5-38C2E44468F4}" uniqueName="22" name="RECOMMENDATION" queryTableFieldId="6" dataDxfId="9"/>
    <tableColumn id="23" xr3:uid="{FF0A1E62-5F48-47DF-A480-46A253104DC3}" uniqueName="23" name="RESTRICTED" queryTableFieldId="7" dataDxfId="12"/>
    <tableColumn id="24" xr3:uid="{717E4CE5-285E-41B0-936F-2E5AE7F886A3}" uniqueName="24" name="MODEL_CURRENCY" queryTableFieldId="8" dataDxfId="11"/>
    <tableColumn id="25" xr3:uid="{992E9BA7-5B71-4E4D-B325-0085E7D17E27}" uniqueName="25" name="PRICE_CURRENCY" queryTableFieldId="9" dataDxfId="7"/>
    <tableColumn id="26" xr3:uid="{79D7BD6F-B7FE-4AAB-B0D0-6B6E74A14E0C}" uniqueName="26" name="TARGET" queryTableFieldId="10" dataDxfId="6"/>
    <tableColumn id="27" xr3:uid="{9481BBC4-9BA7-42E2-84B6-220EEEB8D6C5}" uniqueName="27" name="KE" queryTableFieldId="11" dataDxfId="5"/>
    <tableColumn id="28" xr3:uid="{0818B005-E4F2-45B2-96DF-DE5E3E8431E7}" uniqueName="28" name="WACC" queryTableFieldId="12" dataDxfId="3"/>
    <tableColumn id="29" xr3:uid="{87E4F1C4-AA64-4E60-A7C7-2A20E06129D8}" uniqueName="29" name="Listing" queryTableFieldId="13" dataDxfId="4"/>
    <tableColumn id="30" xr3:uid="{DD5BB118-1EE3-4F59-87DD-9B85E6313A70}" uniqueName="30" name="In Ibov" queryTableFieldId="14" dataDxfId="2"/>
    <tableColumn id="31" xr3:uid="{625CD069-4FEF-49F7-9391-F904C189E517}" uniqueName="31" name="Ibov Weight" queryTableFieldId="15" dataDxfId="1"/>
    <tableColumn id="32" xr3:uid="{F8F8EB5A-8F7F-4D8E-9920-A98E094DCB21}" uniqueName="32" name="Model Age (months)" queryTableFieldId="16" dataDxfId="0"/>
  </tableColumns>
  <tableStyleInfo name="XP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E2586-7B54-4144-AAF5-C063DA21BDEC}" name="tbl_ibov" displayName="tbl_ibov" ref="B22:AF23" tableType="queryTable" totalsRowShown="0" headerRowDxfId="18" dataDxfId="50">
  <autoFilter ref="B22:AF23" xr:uid="{55AE2586-7B54-4144-AAF5-C063DA21BDEC}"/>
  <tableColumns count="31">
    <tableColumn id="16" xr3:uid="{8DD6DC4C-45EE-4887-8693-B5F567ECB43A}" uniqueName="16" name="Ticker" queryTableFieldId="1" dataDxfId="29"/>
    <tableColumn id="17" xr3:uid="{99A82CFF-8F23-4C67-A9E9-5D2D4D1EE260}" uniqueName="17" name="Weight" queryTableFieldId="2" dataDxfId="27"/>
    <tableColumn id="18" xr3:uid="{FF26CC0E-DAB7-4F27-BA43-6A382C20DCF8}" uniqueName="18" name="Coverage" queryTableFieldId="3" dataDxfId="28"/>
    <tableColumn id="19" xr3:uid="{E66673E6-DAA5-4140-B1E8-C1A8B799E068}" uniqueName="19" name="XP Ticker" queryTableFieldId="4" dataDxfId="49"/>
    <tableColumn id="20" xr3:uid="{FD8E3791-40A2-4184-9E0F-ED9DD1D7F8A0}" uniqueName="20" name="Name" queryTableFieldId="5" dataDxfId="48"/>
    <tableColumn id="21" xr3:uid="{1B2FBF46-A8C5-4C63-8B0B-20B86052A17E}" uniqueName="21" name="Sector" queryTableFieldId="6" dataDxfId="47"/>
    <tableColumn id="22" xr3:uid="{1984769F-CCFE-44F3-9A27-A2FA2B03C55A}" uniqueName="22" name="Analyst" queryTableFieldId="7" dataDxfId="46"/>
    <tableColumn id="23" xr3:uid="{BB3E1E9E-764F-4C6D-BE14-18A4488FDBF5}" uniqueName="23" name="Recommendation" queryTableFieldId="8" dataDxfId="45"/>
    <tableColumn id="24" xr3:uid="{F02702D8-9515-4179-9EAC-A9D5015730CC}" uniqueName="24" name="Restricted" queryTableFieldId="9" dataDxfId="25"/>
    <tableColumn id="25" xr3:uid="{028C099F-1CE5-4E49-8C50-89067E35F1C9}" uniqueName="25" name="Model Date" queryTableFieldId="10" dataDxfId="23"/>
    <tableColumn id="26" xr3:uid="{D77FD28B-6A27-486E-A3C6-20270267D15C}" uniqueName="26" name="XP Target" queryTableFieldId="11" dataDxfId="24"/>
    <tableColumn id="27" xr3:uid="{C8F1D1FC-7C13-4107-B06D-FDF213900912}" uniqueName="27" name="BBG Ticker" queryTableFieldId="12" dataDxfId="26"/>
    <tableColumn id="28" xr3:uid="{10699CE8-0FCC-44E2-B2CD-DE2021BFD818}" uniqueName="28" name="XP BBG Ticker" queryTableFieldId="13" dataDxfId="22"/>
    <tableColumn id="29" xr3:uid="{7C6DBEA3-BF62-4935-A6D8-8748B860FF66}" uniqueName="29" name="Composition Date" queryTableFieldId="14" dataDxfId="21"/>
    <tableColumn id="30" xr3:uid="{820C7FA2-8133-4C2A-AB96-78816055D400}" uniqueName="30" name="Run At" queryTableFieldId="15" dataDxfId="19"/>
    <tableColumn id="31" xr3:uid="{E9B400D8-2F3D-4F3A-AA7E-D3D97B5346B5}" uniqueName="31" name="Price" queryTableFieldId="16" dataDxfId="20">
      <calculatedColumnFormula>BDP(tbl_ibov[[#This Row],[BBG Ticker]],"PX_LAST")</calculatedColumnFormula>
    </tableColumn>
    <tableColumn id="32" xr3:uid="{DC0E316D-1460-4A13-ADA0-67E685E1572E}" uniqueName="32" name="XP Ticker Price" queryTableFieldId="17" dataDxfId="41">
      <calculatedColumnFormula>IF(tbl_ibov[[#This Row],[Coverage]]="Other class",BDP(tbl_ibov[[#This Row],[XP BBG Ticker]],"PX_LAST"),tbl_ibov[[#This Row],[Price]])</calculatedColumnFormula>
    </tableColumn>
    <tableColumn id="33" xr3:uid="{578F3016-2FB5-48CD-8F15-25B2F2897C86}" uniqueName="33" name="Model Age (m)" queryTableFieldId="18" dataDxfId="40">
      <calculatedColumnFormula>IF(ISNUMBER(tbl_ibov[[#This Row],[Model Date]]),(TODAY()-tbl_ibov[[#This Row],[Model Date]])/30.4375,"")</calculatedColumnFormula>
    </tableColumn>
    <tableColumn id="34" xr3:uid="{BE56863E-DBE2-4658-81A1-C92AE958BC49}" uniqueName="34" name="XP Valid" queryTableFieldId="19" dataDxfId="39">
      <calculatedColumnFormula>AND(ISNUMBER(tbl_ibov[[#This Row],[XP Target]]),OR(tbl_ibov[[#This Row],[Recommendation]]="Buy",tbl_ibov[[#This Row],[Recommendation]]="Neutral",tbl_ibov[[#This Row],[Recommendation]]="Sell"),tbl_ibov[[#This Row],[Restricted]]&lt;&gt;TRUE,OR(NOT(AgeFilterOn),N(tbl_ibov[[#This Row],[Model Age (m)]])&lt;=MaxAgeMonths))</calculatedColumnFormula>
    </tableColumn>
    <tableColumn id="35" xr3:uid="{BCE6C6BF-0DC2-46D4-BD62-9EB963679188}" uniqueName="35" name="XP TP" queryTableFieldId="20" dataDxfId="38">
      <calculatedColumnFormula>IF(tbl_ibov[[#This Row],[XP Valid]],IF(tbl_ibov[[#This Row],[Coverage]]="Direct",tbl_ibov[[#This Row],[XP Target]],IFERROR(tbl_ibov[[#This Row],[Price]]*tbl_ibov[[#This Row],[XP Target]]/tbl_ibov[[#This Row],[XP Ticker Price]],"")),"")</calculatedColumnFormula>
    </tableColumn>
    <tableColumn id="36" xr3:uid="{C7B97AD8-47B2-4B17-BA0B-CC0695291051}" uniqueName="36" name="Consensus TP" queryTableFieldId="21" dataDxfId="37">
      <calculatedColumnFormula>BDP(tbl_ibov[[#This Row],[BBG Ticker]],"BEST_TARGET_PRICE")</calculatedColumnFormula>
    </tableColumn>
    <tableColumn id="37" xr3:uid="{39D8BCA5-93D4-421B-987C-F847B26D6A86}" uniqueName="37" name="TP Used" queryTableFieldId="22" dataDxfId="36">
      <calculatedColumnFormula>IF(ISNUMBER(tbl_ibov[[#This Row],[XP TP]]),tbl_ibov[[#This Row],[XP TP]],IF(ISNUMBER(tbl_ibov[[#This Row],[Consensus TP]]),tbl_ibov[[#This Row],[Consensus TP]],""))</calculatedColumnFormula>
    </tableColumn>
    <tableColumn id="38" xr3:uid="{4E641BAE-F183-4063-8A3C-F2B7317E3735}" uniqueName="38" name="Source" queryTableFieldId="23" dataDxfId="35">
      <calculatedColumnFormula>IF(ISNUMBER(tbl_ibov[[#This Row],[XP TP]]),IF(tbl_ibov[[#This Row],[Coverage]]="Direct","XP","XP (other class)"),IF(ISNUMBER(tbl_ibov[[#This Row],[Consensus TP]]),"Consensus","No TP"))</calculatedColumnFormula>
    </tableColumn>
    <tableColumn id="39" xr3:uid="{61D45863-3E1F-435D-A9D1-3D9057428B99}" uniqueName="39" name="Upside" queryTableFieldId="24" dataDxfId="34">
      <calculatedColumnFormula>IF(AND(ISNUMBER(tbl_ibov[[#This Row],[TP Used]]),ISNUMBER(tbl_ibov[[#This Row],[Price]])),tbl_ibov[[#This Row],[TP Used]]/tbl_ibov[[#This Row],[Price]]-1,"")</calculatedColumnFormula>
    </tableColumn>
    <tableColumn id="40" xr3:uid="{0512FDB7-1184-4149-B0FB-9C64C8E431A0}" uniqueName="40" name="Consensus Upside" queryTableFieldId="25" dataDxfId="33">
      <calculatedColumnFormula>IF(AND(ISNUMBER(tbl_ibov[[#This Row],[Consensus TP]]),ISNUMBER(tbl_ibov[[#This Row],[Price]])),tbl_ibov[[#This Row],[Consensus TP]]/tbl_ibov[[#This Row],[Price]]-1,"")</calculatedColumnFormula>
    </tableColumn>
    <tableColumn id="41" xr3:uid="{1A237C66-B6FB-4DD2-AFF3-403B34EB8945}" uniqueName="41" name="XP vs Consensus" queryTableFieldId="26" dataDxfId="32">
      <calculatedColumnFormula>IF(AND(ISNUMBER(tbl_ibov[[#This Row],[XP TP]]),ISNUMBER(tbl_ibov[[#This Row],[Consensus TP]])),tbl_ibov[[#This Row],[XP TP]]/tbl_ibov[[#This Row],[Consensus TP]]-1,"")</calculatedColumnFormula>
    </tableColumn>
    <tableColumn id="42" xr3:uid="{D14D27CD-2898-4B7A-9324-F3A1DD18FC99}" uniqueName="42" name="Contribution (p.p.)" queryTableFieldId="27" dataDxfId="30">
      <calculatedColumnFormula>IF(ISNUMBER(tbl_ibov[[#This Row],[Upside]]),tbl_ibov[[#This Row],[Weight]]*tbl_ibov[[#This Row],[Upside]]/SUM(tbl_ibov[W Covered])*100,"")</calculatedColumnFormula>
    </tableColumn>
    <tableColumn id="43" xr3:uid="{47CCD310-4EBF-4DBB-BF4B-2B7888EE2106}" uniqueName="43" name="W Covered" queryTableFieldId="28" dataDxfId="31">
      <calculatedColumnFormula>IF(ISNUMBER(tbl_ibov[[#This Row],[Upside]]),tbl_ibov[[#This Row],[Weight]],0)</calculatedColumnFormula>
    </tableColumn>
    <tableColumn id="44" xr3:uid="{F2141229-359C-407F-B999-AF928F302126}" uniqueName="44" name="W x Upside" queryTableFieldId="29" dataDxfId="44">
      <calculatedColumnFormula>IF(ISNUMBER(tbl_ibov[[#This Row],[Upside]]),tbl_ibov[[#This Row],[Weight]]*tbl_ibov[[#This Row],[Upside]],0)</calculatedColumnFormula>
    </tableColumn>
    <tableColumn id="45" xr3:uid="{3F5F625E-424D-4867-AC4E-62E2A34F3672}" uniqueName="45" name="W Cons Covered" queryTableFieldId="30" dataDxfId="43">
      <calculatedColumnFormula>IF(ISNUMBER(tbl_ibov[[#This Row],[Consensus Upside]]),tbl_ibov[[#This Row],[Weight]],0)</calculatedColumnFormula>
    </tableColumn>
    <tableColumn id="46" xr3:uid="{6DBC44D4-372A-4577-983F-2BBD36DDCCE7}" uniqueName="46" name="W x Cons Upside" queryTableFieldId="31" dataDxfId="42">
      <calculatedColumnFormula>IF(ISNUMBER(tbl_ibov[[#This Row],[Consensus Upside]]),tbl_ibov[[#This Row],[Weight]]*tbl_ibov[[#This Row],[Consensus Upside]],0)</calculatedColumnFormula>
    </tableColumn>
  </tableColumns>
  <tableStyleInfo name="XP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5009-9854-42AE-A502-FDA8A2E7C3DB}">
  <dimension ref="B2:Q5"/>
  <sheetViews>
    <sheetView showGridLines="0" zoomScaleNormal="100" workbookViewId="0"/>
  </sheetViews>
  <sheetFormatPr defaultRowHeight="12" x14ac:dyDescent="0.25"/>
  <cols>
    <col min="1" max="1" width="2.77734375" style="1" customWidth="1"/>
    <col min="2" max="3" width="9.77734375" style="1" customWidth="1"/>
    <col min="4" max="4" width="12.77734375" style="1" customWidth="1"/>
    <col min="5" max="5" width="15.77734375" style="1" customWidth="1"/>
    <col min="6" max="6" width="9.77734375" style="1" customWidth="1"/>
    <col min="7" max="7" width="17.77734375" style="1" customWidth="1"/>
    <col min="8" max="8" width="13.77734375" style="1" customWidth="1"/>
    <col min="9" max="10" width="17.77734375" style="1" customWidth="1"/>
    <col min="11" max="13" width="9.77734375" style="1" customWidth="1"/>
    <col min="14" max="15" width="10.77734375" style="1" customWidth="1"/>
    <col min="16" max="16" width="14.77734375" style="1" customWidth="1"/>
    <col min="17" max="17" width="21.77734375" style="1" customWidth="1"/>
    <col min="18" max="16384" width="8.88671875" style="1"/>
  </cols>
  <sheetData>
    <row r="2" spans="2:17" ht="17.399999999999999" x14ac:dyDescent="0.35">
      <c r="B2" s="13" t="s">
        <v>57</v>
      </c>
    </row>
    <row r="4" spans="2:17" x14ac:dyDescent="0.25"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73</v>
      </c>
    </row>
    <row r="5" spans="2:17" x14ac:dyDescent="0.25">
      <c r="B5" s="1" t="s">
        <v>15</v>
      </c>
      <c r="C5" s="1" t="s">
        <v>17</v>
      </c>
      <c r="D5" s="1" t="s">
        <v>18</v>
      </c>
      <c r="E5" s="1" t="s">
        <v>18</v>
      </c>
      <c r="F5" s="9">
        <v>46283</v>
      </c>
      <c r="G5" s="1" t="s">
        <v>19</v>
      </c>
      <c r="H5" s="1" t="b">
        <v>0</v>
      </c>
      <c r="I5" s="1" t="s">
        <v>74</v>
      </c>
      <c r="J5" s="1" t="s">
        <v>74</v>
      </c>
      <c r="K5" s="4">
        <v>1</v>
      </c>
      <c r="L5" s="6">
        <v>0.1</v>
      </c>
      <c r="M5" s="6">
        <v>0.1</v>
      </c>
      <c r="N5" s="1" t="s">
        <v>75</v>
      </c>
      <c r="O5" s="1" t="b">
        <v>1</v>
      </c>
      <c r="P5" s="8">
        <v>1</v>
      </c>
      <c r="Q5" s="5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70AE-6B8B-4707-B1AE-2943132AB791}">
  <dimension ref="B2:AF23"/>
  <sheetViews>
    <sheetView showGridLines="0" tabSelected="1" zoomScaleNormal="100" workbookViewId="0">
      <pane xSplit="2" topLeftCell="C1" activePane="topRight" state="frozen"/>
      <selection pane="topRight"/>
    </sheetView>
  </sheetViews>
  <sheetFormatPr defaultRowHeight="12" x14ac:dyDescent="0.25"/>
  <cols>
    <col min="1" max="1" width="2.77734375" style="1" customWidth="1"/>
    <col min="2" max="2" width="28.77734375" style="1" customWidth="1"/>
    <col min="3" max="3" width="15.77734375" style="1" customWidth="1"/>
    <col min="4" max="4" width="11.77734375" style="1" customWidth="1"/>
    <col min="5" max="5" width="12.77734375" style="1" customWidth="1"/>
    <col min="6" max="6" width="18.77734375" style="1" customWidth="1"/>
    <col min="7" max="7" width="20.77734375" style="1" customWidth="1"/>
    <col min="8" max="8" width="18.77734375" style="1" customWidth="1"/>
    <col min="9" max="9" width="17.77734375" style="1" customWidth="1"/>
    <col min="10" max="11" width="13.77734375" style="1" customWidth="1"/>
    <col min="12" max="12" width="12.77734375" style="1" customWidth="1"/>
    <col min="13" max="16" width="0" style="1" hidden="1" customWidth="1"/>
    <col min="17" max="17" width="9.77734375" style="1" customWidth="1"/>
    <col min="18" max="18" width="0" style="1" hidden="1" customWidth="1"/>
    <col min="19" max="19" width="16.77734375" style="1" customWidth="1"/>
    <col min="20" max="20" width="11.77734375" style="1" customWidth="1"/>
    <col min="21" max="21" width="9.77734375" style="1" customWidth="1"/>
    <col min="22" max="22" width="15.77734375" style="1" customWidth="1"/>
    <col min="23" max="23" width="10.77734375" style="1" customWidth="1"/>
    <col min="24" max="25" width="9.77734375" style="1" customWidth="1"/>
    <col min="26" max="26" width="19.77734375" style="1" customWidth="1"/>
    <col min="27" max="27" width="18.77734375" style="1" customWidth="1"/>
    <col min="28" max="28" width="22.77734375" style="1" customWidth="1"/>
    <col min="29" max="32" width="0" style="1" hidden="1" customWidth="1"/>
    <col min="33" max="16384" width="8.88671875" style="1"/>
  </cols>
  <sheetData>
    <row r="2" spans="2:8" ht="17.399999999999999" x14ac:dyDescent="0.35">
      <c r="B2" s="13" t="s">
        <v>37</v>
      </c>
    </row>
    <row r="3" spans="2:8" x14ac:dyDescent="0.25">
      <c r="B3" s="14" t="s">
        <v>38</v>
      </c>
    </row>
    <row r="5" spans="2:8" x14ac:dyDescent="0.25">
      <c r="B5" s="1" t="s">
        <v>39</v>
      </c>
      <c r="C5" s="15" t="e">
        <f ca="1">BDP("IBOV Index","PX_LAST")</f>
        <v>#NAME?</v>
      </c>
      <c r="E5" s="22" t="s">
        <v>46</v>
      </c>
      <c r="H5" s="23" t="b">
        <v>0</v>
      </c>
    </row>
    <row r="6" spans="2:8" ht="14.4" x14ac:dyDescent="0.3">
      <c r="B6" s="18" t="s">
        <v>40</v>
      </c>
      <c r="C6" s="19" t="str">
        <f ca="1">IFERROR(C5*(1+C7),"")</f>
        <v/>
      </c>
      <c r="H6" s="24">
        <v>12</v>
      </c>
    </row>
    <row r="7" spans="2:8" x14ac:dyDescent="0.25">
      <c r="B7" s="12" t="s">
        <v>29</v>
      </c>
      <c r="C7" s="17" t="str">
        <f ca="1">IFERROR(SUM(tbl_ibov[W x Upside])/SUM(tbl_ibov[W Covered]),"")</f>
        <v/>
      </c>
      <c r="E7" s="14" t="str">
        <f>IF(AgeFilterOn,"ON — models older than "&amp;MaxAgeMonths&amp;" months go to consensus ("&amp;COUNTIFS(tbl_ibov[Model Age (m)],"&gt;"&amp;MaxAgeMonths,tbl_ibov[Coverage],"&lt;&gt;None")&amp;" models)","OFF — all XP models used")</f>
        <v>OFF — all XP models used</v>
      </c>
    </row>
    <row r="8" spans="2:8" x14ac:dyDescent="0.25">
      <c r="B8" s="1" t="s">
        <v>41</v>
      </c>
      <c r="C8" s="15" t="str">
        <f ca="1">IFERROR(C5*(1+C9),"")</f>
        <v/>
      </c>
      <c r="E8" s="14" t="s">
        <v>47</v>
      </c>
    </row>
    <row r="9" spans="2:8" x14ac:dyDescent="0.25">
      <c r="B9" s="1" t="s">
        <v>42</v>
      </c>
      <c r="C9" s="16" t="str">
        <f ca="1">IFERROR(SUM(tbl_ibov[W x Cons Upside])/SUM(tbl_ibov[W Cons Covered]),"")</f>
        <v/>
      </c>
      <c r="E9" s="14" t="s">
        <v>48</v>
      </c>
    </row>
    <row r="10" spans="2:8" x14ac:dyDescent="0.25">
      <c r="B10" s="1" t="s">
        <v>43</v>
      </c>
      <c r="C10" s="16">
        <f ca="1">SUMIFS(tbl_ibov[Weight],tbl_ibov[Source],"No TP")</f>
        <v>0</v>
      </c>
    </row>
    <row r="11" spans="2:8" x14ac:dyDescent="0.25">
      <c r="B11" s="14" t="s">
        <v>44</v>
      </c>
      <c r="C11" s="20">
        <f>MAX(tbl_ibov[Composition Date])</f>
        <v>46283</v>
      </c>
    </row>
    <row r="12" spans="2:8" x14ac:dyDescent="0.25">
      <c r="B12" s="14" t="s">
        <v>45</v>
      </c>
      <c r="C12" s="21">
        <f>MAX(tbl_ibov[Run At])</f>
        <v>46283.634328622684</v>
      </c>
    </row>
    <row r="14" spans="2:8" x14ac:dyDescent="0.25">
      <c r="B14" s="25" t="s">
        <v>28</v>
      </c>
      <c r="C14" s="28" t="s">
        <v>49</v>
      </c>
      <c r="D14" s="28" t="s">
        <v>1</v>
      </c>
      <c r="E14" s="28" t="s">
        <v>50</v>
      </c>
      <c r="F14" s="28" t="s">
        <v>51</v>
      </c>
    </row>
    <row r="15" spans="2:8" x14ac:dyDescent="0.25">
      <c r="B15" s="1" t="s">
        <v>52</v>
      </c>
      <c r="C15" s="29">
        <f ca="1">COUNTIFS(tbl_ibov[Source],B15)</f>
        <v>1</v>
      </c>
      <c r="D15" s="16">
        <f ca="1">SUMIFS(tbl_ibov[Weight],tbl_ibov[Source],B15)</f>
        <v>1</v>
      </c>
      <c r="E15" s="16" t="str">
        <f ca="1">IFERROR(SUMIFS(tbl_ibov[W x Upside],tbl_ibov[Source],B15)/SUMIFS(tbl_ibov[W Covered],tbl_ibov[Source],B15),"")</f>
        <v/>
      </c>
      <c r="F15" s="30" t="str">
        <f ca="1">IFERROR(SUMIFS(tbl_ibov[W x Upside],tbl_ibov[Source],B15)/SUM(tbl_ibov[W Covered])*100,"")</f>
        <v/>
      </c>
    </row>
    <row r="16" spans="2:8" x14ac:dyDescent="0.25">
      <c r="B16" s="26" t="s">
        <v>53</v>
      </c>
      <c r="C16" s="31">
        <f ca="1">COUNTIFS(tbl_ibov[Source],B16)</f>
        <v>0</v>
      </c>
      <c r="D16" s="32">
        <f ca="1">SUMIFS(tbl_ibov[Weight],tbl_ibov[Source],B16)</f>
        <v>0</v>
      </c>
      <c r="E16" s="32" t="str">
        <f ca="1">IFERROR(SUMIFS(tbl_ibov[W x Upside],tbl_ibov[Source],B16)/SUMIFS(tbl_ibov[W Covered],tbl_ibov[Source],B16),"")</f>
        <v/>
      </c>
      <c r="F16" s="33" t="str">
        <f ca="1">IFERROR(SUMIFS(tbl_ibov[W x Upside],tbl_ibov[Source],B16)/SUM(tbl_ibov[W Covered])*100,"")</f>
        <v/>
      </c>
    </row>
    <row r="17" spans="2:32" x14ac:dyDescent="0.25">
      <c r="B17" s="1" t="s">
        <v>54</v>
      </c>
      <c r="C17" s="29">
        <f ca="1">COUNTIFS(tbl_ibov[Source],B17)</f>
        <v>0</v>
      </c>
      <c r="D17" s="16">
        <f ca="1">SUMIFS(tbl_ibov[Weight],tbl_ibov[Source],B17)</f>
        <v>0</v>
      </c>
      <c r="E17" s="16" t="str">
        <f ca="1">IFERROR(SUMIFS(tbl_ibov[W x Upside],tbl_ibov[Source],B17)/SUMIFS(tbl_ibov[W Covered],tbl_ibov[Source],B17),"")</f>
        <v/>
      </c>
      <c r="F17" s="30" t="str">
        <f ca="1">IFERROR(SUMIFS(tbl_ibov[W x Upside],tbl_ibov[Source],B17)/SUM(tbl_ibov[W Covered])*100,"")</f>
        <v/>
      </c>
    </row>
    <row r="18" spans="2:32" x14ac:dyDescent="0.25">
      <c r="B18" s="26" t="s">
        <v>55</v>
      </c>
      <c r="C18" s="31">
        <f ca="1">COUNTIFS(tbl_ibov[Source],B18)</f>
        <v>0</v>
      </c>
      <c r="D18" s="32">
        <f ca="1">SUMIFS(tbl_ibov[Weight],tbl_ibov[Source],B18)</f>
        <v>0</v>
      </c>
      <c r="E18" s="32" t="str">
        <f ca="1">IFERROR(SUMIFS(tbl_ibov[W x Upside],tbl_ibov[Source],B18)/SUMIFS(tbl_ibov[W Covered],tbl_ibov[Source],B18),"")</f>
        <v/>
      </c>
      <c r="F18" s="33" t="str">
        <f ca="1">IFERROR(SUMIFS(tbl_ibov[W x Upside],tbl_ibov[Source],B18)/SUM(tbl_ibov[W Covered])*100,"")</f>
        <v/>
      </c>
    </row>
    <row r="19" spans="2:32" x14ac:dyDescent="0.25">
      <c r="B19" s="27" t="s">
        <v>56</v>
      </c>
      <c r="C19" s="34">
        <f ca="1">SUM(C15:C18)</f>
        <v>1</v>
      </c>
      <c r="D19" s="35">
        <f ca="1">SUM(D15:D18)</f>
        <v>1</v>
      </c>
      <c r="E19" s="35" t="str">
        <f ca="1">C7</f>
        <v/>
      </c>
      <c r="F19" s="36">
        <f ca="1">SUM(F15:F18)</f>
        <v>0</v>
      </c>
    </row>
    <row r="22" spans="2:32" ht="24" customHeight="1" x14ac:dyDescent="0.25">
      <c r="B22" s="11" t="s">
        <v>0</v>
      </c>
      <c r="C22" s="11" t="s">
        <v>1</v>
      </c>
      <c r="D22" s="11" t="s">
        <v>2</v>
      </c>
      <c r="E22" s="11" t="s">
        <v>3</v>
      </c>
      <c r="F22" s="11" t="s">
        <v>4</v>
      </c>
      <c r="G22" s="11" t="s">
        <v>5</v>
      </c>
      <c r="H22" s="11" t="s">
        <v>6</v>
      </c>
      <c r="I22" s="11" t="s">
        <v>7</v>
      </c>
      <c r="J22" s="11" t="s">
        <v>8</v>
      </c>
      <c r="K22" s="11" t="s">
        <v>9</v>
      </c>
      <c r="L22" s="11" t="s">
        <v>10</v>
      </c>
      <c r="M22" s="11" t="s">
        <v>11</v>
      </c>
      <c r="N22" s="11" t="s">
        <v>12</v>
      </c>
      <c r="O22" s="11" t="s">
        <v>13</v>
      </c>
      <c r="P22" s="11" t="s">
        <v>14</v>
      </c>
      <c r="Q22" s="11" t="s">
        <v>21</v>
      </c>
      <c r="R22" s="11" t="s">
        <v>22</v>
      </c>
      <c r="S22" s="11" t="s">
        <v>23</v>
      </c>
      <c r="T22" s="11" t="s">
        <v>24</v>
      </c>
      <c r="U22" s="11" t="s">
        <v>25</v>
      </c>
      <c r="V22" s="11" t="s">
        <v>26</v>
      </c>
      <c r="W22" s="11" t="s">
        <v>27</v>
      </c>
      <c r="X22" s="11" t="s">
        <v>28</v>
      </c>
      <c r="Y22" s="11" t="s">
        <v>29</v>
      </c>
      <c r="Z22" s="11" t="s">
        <v>30</v>
      </c>
      <c r="AA22" s="11" t="s">
        <v>31</v>
      </c>
      <c r="AB22" s="11" t="s">
        <v>32</v>
      </c>
      <c r="AC22" s="11" t="s">
        <v>33</v>
      </c>
      <c r="AD22" s="11" t="s">
        <v>34</v>
      </c>
      <c r="AE22" s="11" t="s">
        <v>35</v>
      </c>
      <c r="AF22" s="11" t="s">
        <v>36</v>
      </c>
    </row>
    <row r="23" spans="2:32" x14ac:dyDescent="0.25">
      <c r="B23" s="2" t="s">
        <v>15</v>
      </c>
      <c r="C23" s="8">
        <v>1</v>
      </c>
      <c r="D23" s="2" t="s">
        <v>16</v>
      </c>
      <c r="E23" s="2" t="s">
        <v>15</v>
      </c>
      <c r="F23" s="2" t="s">
        <v>17</v>
      </c>
      <c r="G23" s="2" t="s">
        <v>18</v>
      </c>
      <c r="H23" s="2" t="s">
        <v>18</v>
      </c>
      <c r="I23" s="2" t="s">
        <v>19</v>
      </c>
      <c r="J23" s="1" t="b">
        <v>0</v>
      </c>
      <c r="K23" s="9">
        <v>46283</v>
      </c>
      <c r="L23" s="4">
        <v>1</v>
      </c>
      <c r="M23" s="2" t="s">
        <v>20</v>
      </c>
      <c r="N23" s="2" t="s">
        <v>20</v>
      </c>
      <c r="O23" s="9">
        <v>46283</v>
      </c>
      <c r="P23" s="10">
        <v>46283.634328622684</v>
      </c>
      <c r="Q23" s="4" t="e">
        <f ca="1">BDP(tbl_ibov[[#This Row],[BBG Ticker]],"PX_LAST")</f>
        <v>#NAME?</v>
      </c>
      <c r="R23" s="4" t="e">
        <f ca="1">IF(tbl_ibov[[#This Row],[Coverage]]="Other class",BDP(tbl_ibov[[#This Row],[XP BBG Ticker]],"PX_LAST"),tbl_ibov[[#This Row],[Price]])</f>
        <v>#NAME?</v>
      </c>
      <c r="S23" s="5">
        <f ca="1">IF(ISNUMBER(tbl_ibov[[#This Row],[Model Date]]),(TODAY()-tbl_ibov[[#This Row],[Model Date]])/30.4375,"")</f>
        <v>0</v>
      </c>
      <c r="T23" s="3" t="b">
        <f ca="1">AND(ISNUMBER(tbl_ibov[[#This Row],[XP Target]]),OR(tbl_ibov[[#This Row],[Recommendation]]="Buy",tbl_ibov[[#This Row],[Recommendation]]="Neutral",tbl_ibov[[#This Row],[Recommendation]]="Sell"),tbl_ibov[[#This Row],[Restricted]]&lt;&gt;TRUE,OR(NOT(AgeFilterOn),N(tbl_ibov[[#This Row],[Model Age (m)]])&lt;=MaxAgeMonths))</f>
        <v>1</v>
      </c>
      <c r="U23" s="4">
        <f ca="1">IF(tbl_ibov[[#This Row],[XP Valid]],IF(tbl_ibov[[#This Row],[Coverage]]="Direct",tbl_ibov[[#This Row],[XP Target]],IFERROR(tbl_ibov[[#This Row],[Price]]*tbl_ibov[[#This Row],[XP Target]]/tbl_ibov[[#This Row],[XP Ticker Price]],"")),"")</f>
        <v>1</v>
      </c>
      <c r="V23" s="4" t="e">
        <f ca="1">BDP(tbl_ibov[[#This Row],[BBG Ticker]],"BEST_TARGET_PRICE")</f>
        <v>#NAME?</v>
      </c>
      <c r="W23" s="4">
        <f ca="1">IF(ISNUMBER(tbl_ibov[[#This Row],[XP TP]]),tbl_ibov[[#This Row],[XP TP]],IF(ISNUMBER(tbl_ibov[[#This Row],[Consensus TP]]),tbl_ibov[[#This Row],[Consensus TP]],""))</f>
        <v>1</v>
      </c>
      <c r="X23" s="3" t="str">
        <f ca="1">IF(ISNUMBER(tbl_ibov[[#This Row],[XP TP]]),IF(tbl_ibov[[#This Row],[Coverage]]="Direct","XP","XP (other class)"),IF(ISNUMBER(tbl_ibov[[#This Row],[Consensus TP]]),"Consensus","No TP"))</f>
        <v>XP</v>
      </c>
      <c r="Y23" s="6" t="str">
        <f ca="1">IF(AND(ISNUMBER(tbl_ibov[[#This Row],[TP Used]]),ISNUMBER(tbl_ibov[[#This Row],[Price]])),tbl_ibov[[#This Row],[TP Used]]/tbl_ibov[[#This Row],[Price]]-1,"")</f>
        <v/>
      </c>
      <c r="Z23" s="6" t="str">
        <f ca="1">IF(AND(ISNUMBER(tbl_ibov[[#This Row],[Consensus TP]]),ISNUMBER(tbl_ibov[[#This Row],[Price]])),tbl_ibov[[#This Row],[Consensus TP]]/tbl_ibov[[#This Row],[Price]]-1,"")</f>
        <v/>
      </c>
      <c r="AA23" s="6" t="str">
        <f ca="1">IF(AND(ISNUMBER(tbl_ibov[[#This Row],[XP TP]]),ISNUMBER(tbl_ibov[[#This Row],[Consensus TP]])),tbl_ibov[[#This Row],[XP TP]]/tbl_ibov[[#This Row],[Consensus TP]]-1,"")</f>
        <v/>
      </c>
      <c r="AB23" s="7" t="str">
        <f ca="1">IF(ISNUMBER(tbl_ibov[[#This Row],[Upside]]),tbl_ibov[[#This Row],[Weight]]*tbl_ibov[[#This Row],[Upside]]/SUM(tbl_ibov[W Covered])*100,"")</f>
        <v/>
      </c>
      <c r="AC23" s="3">
        <f ca="1">IF(ISNUMBER(tbl_ibov[[#This Row],[Upside]]),tbl_ibov[[#This Row],[Weight]],0)</f>
        <v>0</v>
      </c>
      <c r="AD23" s="3">
        <f ca="1">IF(ISNUMBER(tbl_ibov[[#This Row],[Upside]]),tbl_ibov[[#This Row],[Weight]]*tbl_ibov[[#This Row],[Upside]],0)</f>
        <v>0</v>
      </c>
      <c r="AE23" s="3">
        <f ca="1">IF(ISNUMBER(tbl_ibov[[#This Row],[Consensus Upside]]),tbl_ibov[[#This Row],[Weight]],0)</f>
        <v>0</v>
      </c>
      <c r="AF23" s="3">
        <f ca="1">IF(ISNUMBER(tbl_ibov[[#This Row],[Consensus Upside]]),tbl_ibov[[#This Row],[Weight]]*tbl_ibov[[#This Row],[Consensus Upside]],0)</f>
        <v>0</v>
      </c>
    </row>
  </sheetData>
  <phoneticPr fontId="2" type="noConversion"/>
  <dataValidations count="1">
    <dataValidation type="decimal" operator="greaterThanOrEqual" allowBlank="1" showInputMessage="1" showErrorMessage="1" sqref="H6" xr:uid="{37D7995C-E6B3-4142-8FBE-25B1D2D0690A}">
      <formula1>0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4</xdr:col>
                    <xdr:colOff>0</xdr:colOff>
                    <xdr:row>4</xdr:row>
                    <xdr:rowOff>137160</xdr:rowOff>
                  </from>
                  <to>
                    <xdr:col>6</xdr:col>
                    <xdr:colOff>53340</xdr:colOff>
                    <xdr:row>6</xdr:row>
                    <xdr:rowOff>15240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C5E34A-D27E-4993-B9FD-26B3E76BCE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</vt:lpstr>
      <vt:lpstr>Implied Ibovespa</vt:lpstr>
      <vt:lpstr>AgeFilterOn</vt:lpstr>
      <vt:lpstr>MaxAgeMonths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  Alzeri</dc:creator>
  <cp:lastModifiedBy>Lana  Alzeri</cp:lastModifiedBy>
  <dcterms:created xsi:type="dcterms:W3CDTF">2026-09-18T18:13:28Z</dcterms:created>
  <dcterms:modified xsi:type="dcterms:W3CDTF">2026-09-18T18:13:43Z</dcterms:modified>
</cp:coreProperties>
</file>