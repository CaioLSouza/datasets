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5500" windowHeight="15750"/>
  </bookViews>
  <sheets>
    <sheet name="DDM Financials" sheetId="1" r:id="rId1"/>
    <sheet name="Box Consensus" sheetId="2" r:id="rId2"/>
    <sheet name="Analyst Models" sheetId="3" r:id="rId3"/>
    <sheet name="Model Parameters" sheetId="4" r:id="rId4"/>
  </sheets>
  <definedNames>
    <definedName name="BetaAn">'Model Parameters'!$H$13</definedName>
    <definedName name="ERPAn">'Model Parameters'!$G$13</definedName>
    <definedName name="g_">'DDM Financials'!$F$20</definedName>
    <definedName name="gAn">'DDM Financials'!$D$20</definedName>
    <definedName name="NExp">'DDM Financials'!$F$21</definedName>
    <definedName name="TVx">'DDM Financials'!$F$22</definedName>
  </definedNames>
  <calcPr calcId="124519" fullCalcOnLoad="1"/>
</workbook>
</file>

<file path=xl/sharedStrings.xml><?xml version="1.0" encoding="utf-8"?>
<sst xmlns="http://schemas.openxmlformats.org/spreadsheetml/2006/main" count="428" uniqueCount="219">
  <si>
    <t>Financials - analysts' projections, aggregated (index points)</t>
  </si>
  <si>
    <t>Net income and dividends of the XP Financials models (R$ mn, files in inputs/analyst_models/Financials/). After a model's last year: net income grows at g and the payout stays at its last value, as the model's own perpetuity. Index points = R$ x the member's index points / market cap (Members sheet of the main model, Oct-5-2026).</t>
  </si>
  <si>
    <t>Legend:</t>
  </si>
  <si>
    <t>input</t>
  </si>
  <si>
    <t>assumption</t>
  </si>
  <si>
    <t>formula</t>
  </si>
  <si>
    <t>Itaú Unibanco (ITUB4)  |  ITUB Model Official 2Q26_vCSStrategy.xlsx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</si>
  <si>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</si>
  <si>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</si>
  <si>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</si>
  <si>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</si>
  <si>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</si>
  <si>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</si>
  <si>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</si>
  <si>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</si>
  <si>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</si>
  <si>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</si>
  <si>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</si>
  <si>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</si>
  <si>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</si>
  <si>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How it is calculated / source</t>
  </si>
  <si>
    <t>Net income (R$ mn)</t>
  </si>
  <si>
    <t xml:space="preserve">Model: Income Statement r61 Recurring Net Income. </t>
  </si>
  <si>
    <t>Dividends + IoC (R$ mn)</t>
  </si>
  <si>
    <t xml:space="preserve">Model: Income Statement r66 Dividends/IoC Provisioned. </t>
  </si>
  <si>
    <t>Payout</t>
  </si>
  <si>
    <t>Dividends / net income.</t>
  </si>
  <si>
    <t>Index points / market cap (R$ mn)</t>
  </si>
  <si>
    <t>C: index points (Members); D: market cap (Members); E: factor that turns R$ mn into index points.</t>
  </si>
  <si>
    <t>Net income (index pts)</t>
  </si>
  <si>
    <t>Dividends (index pts)</t>
  </si>
  <si>
    <t>Bradesco (BBDC4 + BBDC3)  |  BBDC Model Official 2Q26_vCSStrategy.xlsx</t>
  </si>
  <si>
    <t xml:space="preserve">Model: Income Statement r73 Recurring Net Income. </t>
  </si>
  <si>
    <t xml:space="preserve">Model: Income Statement r78 Dividends/IoC Provisioned - Net. </t>
  </si>
  <si>
    <t>B3 (B3SA3)  |  B3SA3 Model Official 3Q25_vCSStrategy.xlsx</t>
  </si>
  <si>
    <t>Model: Income Statement r52 Recurring Net Income. After 2033: x (1 + g).</t>
  </si>
  <si>
    <t>Model: Income Statement r58 Dividends/IoC. After 2033: net income x the 2033 payout.</t>
  </si>
  <si>
    <t>BTG Pactual (BPAC11)  |  BPAC Model Official 3Q25_vCSStrategy.xlsx</t>
  </si>
  <si>
    <t>Model: Income Statement r50 Net Income. After 2036: x (1 + g).</t>
  </si>
  <si>
    <t>Model: Income Statement r56 Dividends/IoC. After 2036: net income x the 2036 payout.</t>
  </si>
  <si>
    <t>Banco do Brasil (BBAS3)  |  BBAS Model Official 2Q26_vCSStrategy.xlsx</t>
  </si>
  <si>
    <t xml:space="preserve">Model: = dividends / payout. </t>
  </si>
  <si>
    <t xml:space="preserve">Model: Valuation r5 Total Return; payout: Model r26. </t>
  </si>
  <si>
    <t>Model: Model r26 (input).</t>
  </si>
  <si>
    <t>Caixa Seguridade (CXSE3)  |  CXSE3 Model Official 3Q25_vCSStrategy.xlsx</t>
  </si>
  <si>
    <t>Model: Income Statement r54 Managerial Net Income (R$ thousand / 1,000). After 2036: x (1 + g).</t>
  </si>
  <si>
    <t>Model: Valuation r2 Dividend. After 2036: net income x the 2036 payout.</t>
  </si>
  <si>
    <t>Santander (SANB11)  |  SANB Model Official 4Q25_vCSStrategy.xlsx</t>
  </si>
  <si>
    <t>Model: IS r95 Recurring Net Income. After 2036: x (1 + g).</t>
  </si>
  <si>
    <t>Model: IS r103 Dividends/IoC Provisioned. After 2036: net income x the 2036 payout.</t>
  </si>
  <si>
    <t>Itaúsa (ITSA4)  |  no model: Itaú's net income path and payout (holding of Itaú)</t>
  </si>
  <si>
    <t>Net income (R$ mn) = consensus FY28 x Itaú's net income / Itaú's 2028</t>
  </si>
  <si>
    <t>Itaú's path scaled to Itaúsa's FY28 consensus (Members).</t>
  </si>
  <si>
    <t>Dividends (R$ mn) = net income x Itaú's payout</t>
  </si>
  <si>
    <t>Itaúsa net income FY28, Bloomberg consensus (R$ mn)</t>
  </si>
  <si>
    <t>Aggregate of the modeled members (index points): what the box takes from the analysts</t>
  </si>
  <si>
    <t>Net income growth</t>
  </si>
  <si>
    <t>Used for the box from 2029.</t>
  </si>
  <si>
    <t>Payout = dividends / net income</t>
  </si>
  <si>
    <t>Used for the box in every year.</t>
  </si>
  <si>
    <t>Coverage: index points of the modeled members / Financials box</t>
  </si>
  <si>
    <t>BB Seguridade and Porto Seguro have no model: they take the aggregate path.</t>
  </si>
  <si>
    <t>Financials - valuation parameters of the analysts' models</t>
  </si>
  <si>
    <t>Valuation sheet of each model. Ke = (NTN-B + long-term IPCA) x 0.85 + beta x ERP; g = long-term IPCA + real GDP (Macro sheet).</t>
  </si>
  <si>
    <t>Member</t>
  </si>
  <si>
    <t>Ke</t>
  </si>
  <si>
    <t>NTN-B</t>
  </si>
  <si>
    <t>IPCA LT</t>
  </si>
  <si>
    <t>Risk free = (NTN-B + IPCA) x 0.85</t>
  </si>
  <si>
    <t>ERP</t>
  </si>
  <si>
    <t>Beta</t>
  </si>
  <si>
    <t>g</t>
  </si>
  <si>
    <t>Perpetuity share of value</t>
  </si>
  <si>
    <t>Last explicit year</t>
  </si>
  <si>
    <t>Value date</t>
  </si>
  <si>
    <t>Index points</t>
  </si>
  <si>
    <t>ITUB4 + ITSA4</t>
  </si>
  <si>
    <t>End-2027</t>
  </si>
  <si>
    <t>BBDC4 + BBDC3</t>
  </si>
  <si>
    <t>B3SA3</t>
  </si>
  <si>
    <t>n/a</t>
  </si>
  <si>
    <t>BPAC11</t>
  </si>
  <si>
    <t>End-2026</t>
  </si>
  <si>
    <t>BBAS3</t>
  </si>
  <si>
    <t>CXSE3</t>
  </si>
  <si>
    <t>SANB11</t>
  </si>
  <si>
    <t>Weighted by index points</t>
  </si>
  <si>
    <t>Itaúsa takes Itaú's parameters; Bradesco's two share classes are added. Source: Valuation sheet of each file (Ke, NTN-B, risk free, ERP, beta, g, 'Perpetuity' = PV of the terminal value / fair equity value).</t>
  </si>
  <si>
    <t>Financials - consensus 2026-28 of the members, summed into the box (index points)</t>
  </si>
  <si>
    <t>Bloomberg BEST consensus (Oct-7-2026): net income (BEST_NET_INCOME, Members sheet of the main model) and ROE (BEST_ROE, dcf_members.parquet). Book value = net income / ROE. Index points = R$ mn x points / market cap. Only the actuals and consensus years are built from the members; the projection is done for the box.</t>
  </si>
  <si>
    <t>Market cap (R$ mn)</t>
  </si>
  <si>
    <t>Points / market cap</t>
  </si>
  <si>
    <t>Net income 2026 (R$ mn)</t>
  </si>
  <si>
    <t>Net income 2027 (R$ mn)</t>
  </si>
  <si>
    <t>Net income 2028 (R$ mn)</t>
  </si>
  <si>
    <t>ROE 2026</t>
  </si>
  <si>
    <t>ROE 2027</t>
  </si>
  <si>
    <t>ROE 2028</t>
  </si>
  <si>
    <t>Net income 2026 (pts)</t>
  </si>
  <si>
    <t>Net income 2027 (pts)</t>
  </si>
  <si>
    <t>Net income 2028 (pts)</t>
  </si>
  <si>
    <t>Book value 2026 (pts)</t>
  </si>
  <si>
    <t>Book value 2027 (pts)</t>
  </si>
  <si>
    <t>Book value 2028 (pts)</t>
  </si>
  <si>
    <t>Itaú Unibanco (ITUB4)</t>
  </si>
  <si>
    <t>Bradesco (BBDC4 + BBDC3)</t>
  </si>
  <si>
    <t>B3 (B3SA3)</t>
  </si>
  <si>
    <t>Itausa (ITSA4)</t>
  </si>
  <si>
    <t>BTG Pactual (BPAC11)</t>
  </si>
  <si>
    <t>Banco do Brasil (BBAS3)</t>
  </si>
  <si>
    <t>BBSeguridade (BBSE3)</t>
  </si>
  <si>
    <t>Caixa Seguridade (CXSE3)</t>
  </si>
  <si>
    <t>Santander (SANB11)</t>
  </si>
  <si>
    <t>Porto Seguro (PSSA3)</t>
  </si>
  <si>
    <t>Financials box</t>
  </si>
  <si>
    <t>Check: net income vs. Box Shares!M7:O7 of the main model</t>
  </si>
  <si>
    <t>Box ROE = sum of net income / sum of book value (row total).</t>
  </si>
  <si>
    <t>Itaúsa: no BEST_ROE for the holding; Itaú's consensus ROE as a proxy (pink, editable).</t>
  </si>
  <si>
    <t>Bradesco: BBDC4 and BBDC3 points added (same company figures).</t>
  </si>
  <si>
    <t>Financials - FCFE / bank DDM, the analysts' logic on the box consensus (end-2027)</t>
  </si>
  <si>
    <t>Consensus 2026-28 summed from the members (Box Consensus); the projection is done for the box: ROE held, growth fading to g, cash to shareholders = net income - the increase in book value; Gordon perpetuity on the last explicit year.</t>
  </si>
  <si>
    <t>1. Inputs</t>
  </si>
  <si>
    <t>Item</t>
  </si>
  <si>
    <t>Value</t>
  </si>
  <si>
    <t>Source / note</t>
  </si>
  <si>
    <t>Financials, index points today</t>
  </si>
  <si>
    <t>Members' weight x Ibovespa close of Oct-5-2026 (Box Consensus; Box Shares!C7 of the main model).</t>
  </si>
  <si>
    <t>Long-term IPCA</t>
  </si>
  <si>
    <t>Analysts' Macro sheet and the house (Target!B63).</t>
  </si>
  <si>
    <t>Long-term real GDP growth</t>
  </si>
  <si>
    <t>Analysts' Macro sheet.</t>
  </si>
  <si>
    <t>Share of the risk free kept after tax (analysts' formula)</t>
  </si>
  <si>
    <t>Analysts: (NTN-B + IPCA) x 0.85.</t>
  </si>
  <si>
    <t>Earnings beta x normalization (domestic cycle)</t>
  </si>
  <si>
    <t>Box Earnings!I7 and I16 of the main model: shock of Financials = C x D x the Ibovespa ex-Commodities shock.</t>
  </si>
  <si>
    <t>Projection: 1 = box consensus with the analysts' logic; 2 = the analysts' own growth and payout (memo)</t>
  </si>
  <si>
    <t>2 applies the analysts' aggregate growth and payout (Analyst Models) to the box consensus of 2026-28.</t>
  </si>
  <si>
    <t>Box ROE from 2029 (blank = consensus FY28 of the box)</t>
  </si>
  <si>
    <t>Typed value replaces the FY28 box ROE after 2028.</t>
  </si>
  <si>
    <t>2. House vs. analysts, variable by variable (choice: 1 = house, 2 = analysts)</t>
  </si>
  <si>
    <t>Variable</t>
  </si>
  <si>
    <t>House</t>
  </si>
  <si>
    <t>Analysts</t>
  </si>
  <si>
    <t>Choice</t>
  </si>
  <si>
    <t>Used</t>
  </si>
  <si>
    <t>House / analysts</t>
  </si>
  <si>
    <t>Risk free in Ke (base scenario)</t>
  </si>
  <si>
    <t>House: 5y NTN-B real rate, discounting nominal flows (Target!B55). Analysts: (NTN-B + long-term IPCA) x 0.85, nominal after tax.</t>
  </si>
  <si>
    <t>Equity risk premium</t>
  </si>
  <si>
    <t>House: 6.0% (Target!B57). Analysts: 5.0-6.0%, 5.5% in most (Model Parameters).</t>
  </si>
  <si>
    <t>House: the box beta, weekly 5 years vs. the Ibovespa from the local box index (Box Betas). Analysts: each model's beta, weighted.</t>
  </si>
  <si>
    <t>Perpetuity growth (g)</t>
  </si>
  <si>
    <t>House: 4.7% (Target!B54). Analysts: long-term IPCA + real GDP.</t>
  </si>
  <si>
    <t>Explicit years after the value date</t>
  </si>
  <si>
    <t>House: 2028-31 (4 years after end-2027). Analysts: 10-11 years (to 2036-37). Growth fades to g by the last explicit year.</t>
  </si>
  <si>
    <t>Extra periods in the discount of the terminal value</t>
  </si>
  <si>
    <t>House: the TV is discounted one period more than the last flow (Target sheet, NPV layout). Analysts: the last year's factor.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</si>
  <si>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</si>
  <si>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</si>
  <si>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</si>
  <si>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</si>
  <si>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</si>
  <si>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</si>
  <si>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</si>
  <si>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 (choice in row 17)</t>
  </si>
  <si>
    <t>Ke = risk free + beta x ERP</t>
  </si>
  <si>
    <t>Ke - g</t>
  </si>
  <si>
    <t>4. Box projection (index points): consensus 2026-28, box-level projection after 2028</t>
  </si>
  <si>
    <t>Years after end-2027 (1 = explicit, grey = after the explicit years)</t>
  </si>
  <si>
    <t>Flows after the last explicit year are not used.</t>
  </si>
  <si>
    <t>Net income: 2026-28 consensus (sum of the members); then previous x (1 + growth)</t>
  </si>
  <si>
    <t>Box Consensus.</t>
  </si>
  <si>
    <t>Net income growth: 2027-28 consensus; then linear from the 2028 growth to g in the last explicit year</t>
  </si>
  <si>
    <t>As the analysts: growth slows to about the perpetuity growth by the last explicit year.</t>
  </si>
  <si>
    <t>ROE: 2026-28 consensus of the box; then held at FY28</t>
  </si>
  <si>
    <t>Box ROE = sum of net income / sum of book value. The analysts keep ROE about flat (ITUB 25%, BBDC 17%).</t>
  </si>
  <si>
    <t>Book value: 2026-28 consensus (net income / ROE, summed); then net income / ROE</t>
  </si>
  <si>
    <t>Cash to shareholders = net income - increase in book value (dividends + buybacks)</t>
  </si>
  <si>
    <t>FCFE of a bank; as the analysts' equity roll-forward (equity = previous + net income - dividends).</t>
  </si>
  <si>
    <t>Converges to about 1 - g / ROE as growth reaches g.</t>
  </si>
  <si>
    <t>Memo: analysts' aggregate net income growth</t>
  </si>
  <si>
    <t>Analyst Models.</t>
  </si>
  <si>
    <t>Memo: analysts' aggregate payout</t>
  </si>
  <si>
    <t>Memo: net income on the analysts' path (consensus 2026-28, then their growth)</t>
  </si>
  <si>
    <t>Memo: dividends on the analysts' path</t>
  </si>
  <si>
    <t>Cash to shareholders used (switch in row 12)</t>
  </si>
  <si>
    <t>5. Valuation at the end of 2027</t>
  </si>
  <si>
    <t>Earnings shock of the Ibovespa ex-Commodities</t>
  </si>
  <si>
    <t>Symmetric +/-20%, as the other boxes.</t>
  </si>
  <si>
    <t>Earnings shock of Financials = beta x normalization x shock</t>
  </si>
  <si>
    <t>Moves the cash to shareholders of every year.</t>
  </si>
  <si>
    <t>PV of the explicit flows = (1 + shock) x sum of flow / (1 + Ke) ^ t</t>
  </si>
  <si>
    <t>t = 1 for 2028 (value at end-2027); only the explicit years.</t>
  </si>
  <si>
    <t>Terminal value = last explicit flow x (1 + shock) x (1 + g) / (Ke - g)</t>
  </si>
  <si>
    <t>Gordon on the last explicit flow.</t>
  </si>
  <si>
    <t>PV of the terminal value = TV / (1 + Ke) ^ (explicit years + extra periods)</t>
  </si>
  <si>
    <t>Fair value of Financials at the end of 2027 (index pts)</t>
  </si>
  <si>
    <t>Upside vs. today</t>
  </si>
  <si>
    <t>Perpetuity share of the value</t>
  </si>
  <si>
    <t>Analysts' models: 42-52% (Model Parameters).</t>
  </si>
  <si>
    <t>Memo: upside with the analysts' own growth and payout (row 48), same choices</t>
  </si>
  <si>
    <t>Memo: upside in the unified DCF by box (main model, v7b)</t>
  </si>
  <si>
    <t>Ibov_house_2027_by_box_XP.xlsx, DCF by Box row 63 (FCFE, 4 explicit years, house g and rate).</t>
  </si>
  <si>
    <t>6. Base upside (no earnings shock): Ke (rows) x perpetuity g (columns); flows as projected</t>
  </si>
  <si>
    <t>Ke \ g</t>
  </si>
  <si>
    <t>13.65% = house Ke in the base; ~15.1% = analysts' Ke in the base. 4.7% = house g; 6.0% = analysts' g.</t>
  </si>
  <si>
    <t>7. What is fixed (not switchable) and where it comes from</t>
  </si>
  <si>
    <t>Content of 2026-28: Bloomberg consensus of the members, summed</t>
  </si>
  <si>
    <t>Strategy (unified with the other boxes)</t>
  </si>
  <si>
    <t>Projection for the box only: ROE held at FY28, growth fading to g</t>
  </si>
  <si>
    <t>Analysts' logic</t>
  </si>
  <si>
    <t>Cash to shareholders = net income - increase in book value</t>
  </si>
  <si>
    <t>Analysts' equity roll-forward (= house FCFE)</t>
  </si>
  <si>
    <t>Gordon perpetuity on the last explicit flow</t>
  </si>
  <si>
    <t>Both</t>
  </si>
  <si>
    <t>Scenario real rates 8.5% / today / 5.5%</t>
  </si>
  <si>
    <t>House (unified with the other boxes)</t>
  </si>
  <si>
    <t>Earnings shock +/-20% x earnings beta</t>
  </si>
  <si>
    <t>Value at end-2027, compared with today's points</t>
  </si>
</sst>
</file>

<file path=xl/styles.xml><?xml version="1.0" encoding="utf-8"?>
<styleSheet xmlns="http://schemas.openxmlformats.org/spreadsheetml/2006/main">
  <numFmts count="9">
    <numFmt numFmtId="164" formatCode="#,##0.0"/>
    <numFmt numFmtId="165" formatCode="0.0%"/>
    <numFmt numFmtId="166" formatCode="0.00"/>
    <numFmt numFmtId="167" formatCode="0.000"/>
    <numFmt numFmtId="168" formatCode="0.00%"/>
    <numFmt numFmtId="169" formatCode="0.0&quot; pp&quot;"/>
    <numFmt numFmtId="170" formatCode="+0.0%;-0.0%;0.0%"/>
    <numFmt numFmtId="171" formatCode="#,##0"/>
    <numFmt numFmtId="172" formatCode="0.000000"/>
  </numFmts>
  <fonts count="13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67" fontId="9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68" fontId="7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8" fontId="10" fillId="0" borderId="0" xfId="0" applyNumberFormat="1" applyFont="1" applyAlignment="1">
      <alignment vertical="center"/>
    </xf>
    <xf numFmtId="168" fontId="8" fillId="2" borderId="1" xfId="0" applyNumberFormat="1" applyFont="1" applyFill="1" applyBorder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9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70" fontId="8" fillId="2" borderId="1" xfId="0" applyNumberFormat="1" applyFont="1" applyFill="1" applyBorder="1" applyAlignment="1">
      <alignment vertical="center"/>
    </xf>
    <xf numFmtId="170" fontId="7" fillId="0" borderId="0" xfId="0" applyNumberFormat="1" applyFont="1" applyAlignment="1">
      <alignment vertical="center"/>
    </xf>
    <xf numFmtId="170" fontId="10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168" fontId="10" fillId="0" borderId="0" xfId="0" applyNumberFormat="1" applyFont="1" applyAlignment="1">
      <alignment horizontal="left" vertical="center"/>
    </xf>
    <xf numFmtId="170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171" fontId="12" fillId="0" borderId="0" xfId="0" applyNumberFormat="1" applyFont="1" applyAlignment="1">
      <alignment vertical="center"/>
    </xf>
    <xf numFmtId="172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10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171" fontId="9" fillId="0" borderId="0" xfId="0" applyNumberFormat="1" applyFont="1" applyAlignment="1">
      <alignment vertical="center"/>
    </xf>
    <xf numFmtId="171" fontId="7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167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68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</cellXfs>
  <cellStyles count="1">
    <cellStyle name="Normal" xfId="0" builtinId="0"/>
  </cellStyles>
  <dxfs count="1">
    <dxf>
      <font>
        <color rgb="FFA6A6A6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85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" customHeight="1"/>
  <cols>
    <col min="1" max="1" width="2.7109375" customWidth="1"/>
    <col min="2" max="2" width="64.7109375" customWidth="1"/>
    <col min="3" max="6" width="13.7109375" customWidth="1"/>
    <col min="7" max="14" width="11.28515625" customWidth="1"/>
    <col min="15" max="15" width="2.7109375" customWidth="1"/>
    <col min="16" max="16" width="90.7109375" customWidth="1"/>
  </cols>
  <sheetData>
    <row r="1" spans="2:16" ht="30" customHeight="1">
      <c r="B1" s="1" t="s">
        <v>119</v>
      </c>
    </row>
    <row r="2" spans="2:16" ht="14" customHeight="1">
      <c r="B2" s="2" t="s">
        <v>120</v>
      </c>
    </row>
    <row r="3" spans="2:16" ht="14" customHeight="1">
      <c r="B3" s="2" t="s">
        <v>2</v>
      </c>
      <c r="C3" s="3" t="s">
        <v>3</v>
      </c>
      <c r="D3" s="4" t="s">
        <v>4</v>
      </c>
      <c r="E3" s="5" t="s">
        <v>5</v>
      </c>
    </row>
    <row r="5" spans="2:16" ht="14" customHeight="1">
      <c r="B5" s="6" t="s">
        <v>121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ht="14" customHeight="1">
      <c r="B6" s="7" t="s">
        <v>122</v>
      </c>
      <c r="C6" s="8" t="s">
        <v>123</v>
      </c>
      <c r="D6" s="8"/>
      <c r="P6" s="8" t="s">
        <v>124</v>
      </c>
    </row>
    <row r="7" spans="2:16" ht="14" customHeight="1">
      <c r="B7" s="9" t="s">
        <v>125</v>
      </c>
      <c r="C7" s="10">
        <f>'Box Consensus'!C17</f>
        <v>0</v>
      </c>
      <c r="P7" s="2" t="s">
        <v>126</v>
      </c>
    </row>
    <row r="8" spans="2:16" ht="14" customHeight="1">
      <c r="B8" s="9" t="s">
        <v>127</v>
      </c>
      <c r="C8" s="11">
        <v>0.04</v>
      </c>
      <c r="P8" s="2" t="s">
        <v>128</v>
      </c>
    </row>
    <row r="9" spans="2:16" ht="14" customHeight="1">
      <c r="B9" s="9" t="s">
        <v>129</v>
      </c>
      <c r="C9" s="11">
        <v>0.02</v>
      </c>
      <c r="P9" s="2" t="s">
        <v>130</v>
      </c>
    </row>
    <row r="10" spans="2:16" ht="14" customHeight="1">
      <c r="B10" s="9" t="s">
        <v>131</v>
      </c>
      <c r="C10" s="12">
        <v>0.85</v>
      </c>
      <c r="P10" s="2" t="s">
        <v>132</v>
      </c>
    </row>
    <row r="11" spans="2:16" ht="14" customHeight="1">
      <c r="B11" s="9" t="s">
        <v>133</v>
      </c>
      <c r="C11" s="13">
        <v>0.732791</v>
      </c>
      <c r="D11" s="13">
        <v>1.186858777515015</v>
      </c>
      <c r="P11" s="2" t="s">
        <v>134</v>
      </c>
    </row>
    <row r="12" spans="2:16" ht="14" customHeight="1">
      <c r="B12" s="9" t="s">
        <v>135</v>
      </c>
      <c r="C12" s="14">
        <v>1</v>
      </c>
      <c r="P12" s="2" t="s">
        <v>136</v>
      </c>
    </row>
    <row r="13" spans="2:16" ht="14" customHeight="1">
      <c r="B13" s="9" t="s">
        <v>137</v>
      </c>
      <c r="C13" s="11"/>
      <c r="P13" s="2" t="s">
        <v>138</v>
      </c>
    </row>
    <row r="15" spans="2:16" ht="14" customHeight="1">
      <c r="B15" s="6" t="s">
        <v>139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ht="30" customHeight="1">
      <c r="B16" s="7" t="s">
        <v>140</v>
      </c>
      <c r="C16" s="8" t="s">
        <v>141</v>
      </c>
      <c r="D16" s="8" t="s">
        <v>142</v>
      </c>
      <c r="E16" s="8" t="s">
        <v>143</v>
      </c>
      <c r="F16" s="8" t="s">
        <v>144</v>
      </c>
      <c r="P16" s="8" t="s">
        <v>145</v>
      </c>
    </row>
    <row r="17" spans="2:16" ht="14" customHeight="1">
      <c r="B17" s="9" t="s">
        <v>146</v>
      </c>
      <c r="C17" s="15">
        <f>$D$31</f>
        <v>0</v>
      </c>
      <c r="D17" s="15">
        <f>($D$31+$C$8)*$C$10</f>
        <v>0</v>
      </c>
      <c r="E17" s="16">
        <v>1</v>
      </c>
      <c r="F17" s="17">
        <f>IF(E17=1,C17,D17)</f>
        <v>0</v>
      </c>
      <c r="P17" s="2" t="s">
        <v>147</v>
      </c>
    </row>
    <row r="18" spans="2:16" ht="14" customHeight="1">
      <c r="B18" s="9" t="s">
        <v>148</v>
      </c>
      <c r="C18" s="18">
        <v>0.06</v>
      </c>
      <c r="D18" s="15">
        <f>ERPAn</f>
        <v>0</v>
      </c>
      <c r="E18" s="16">
        <v>1</v>
      </c>
      <c r="F18" s="17">
        <f>IF(E18=1,C18,D18)</f>
        <v>0</v>
      </c>
      <c r="P18" s="2" t="s">
        <v>149</v>
      </c>
    </row>
    <row r="19" spans="2:16" ht="14" customHeight="1">
      <c r="B19" s="9" t="s">
        <v>70</v>
      </c>
      <c r="C19" s="19">
        <v>1.149063658384</v>
      </c>
      <c r="D19" s="20">
        <f>BetaAn</f>
        <v>0</v>
      </c>
      <c r="E19" s="16">
        <v>1</v>
      </c>
      <c r="F19" s="21">
        <f>IF(E19=1,C19,D19)</f>
        <v>0</v>
      </c>
      <c r="P19" s="2" t="s">
        <v>150</v>
      </c>
    </row>
    <row r="20" spans="2:16" ht="14" customHeight="1">
      <c r="B20" s="9" t="s">
        <v>151</v>
      </c>
      <c r="C20" s="11">
        <v>0.047</v>
      </c>
      <c r="D20" s="22">
        <f>C8+C9</f>
        <v>0</v>
      </c>
      <c r="E20" s="16">
        <v>2</v>
      </c>
      <c r="F20" s="23">
        <f>IF(E20=1,C20,D20)</f>
        <v>0</v>
      </c>
      <c r="P20" s="2" t="s">
        <v>152</v>
      </c>
    </row>
    <row r="21" spans="2:16" ht="14" customHeight="1">
      <c r="B21" s="9" t="s">
        <v>153</v>
      </c>
      <c r="C21" s="14">
        <v>4</v>
      </c>
      <c r="D21" s="14">
        <v>10</v>
      </c>
      <c r="E21" s="16">
        <v>1</v>
      </c>
      <c r="F21" s="24">
        <f>IF(E21=1,C21,D21)</f>
        <v>0</v>
      </c>
      <c r="P21" s="2" t="s">
        <v>154</v>
      </c>
    </row>
    <row r="22" spans="2:16" ht="14" customHeight="1">
      <c r="B22" s="9" t="s">
        <v>155</v>
      </c>
      <c r="C22" s="14">
        <v>1</v>
      </c>
      <c r="D22" s="14">
        <v>0</v>
      </c>
      <c r="E22" s="16">
        <v>2</v>
      </c>
      <c r="F22" s="24">
        <f>IF(E22=1,C22,D22)</f>
        <v>0</v>
      </c>
      <c r="P22" s="2" t="s">
        <v>156</v>
      </c>
    </row>
    <row r="29" spans="2:16" ht="14" customHeight="1">
      <c r="B29" s="6" t="s">
        <v>157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2:16" ht="14" customHeight="1">
      <c r="B30" s="7" t="s">
        <v>122</v>
      </c>
      <c r="C30" s="8" t="s">
        <v>158</v>
      </c>
      <c r="D30" s="8" t="s">
        <v>159</v>
      </c>
      <c r="E30" s="8" t="s">
        <v>160</v>
      </c>
      <c r="P30" s="8" t="s">
        <v>161</v>
      </c>
    </row>
    <row r="31" spans="2:16" ht="14" customHeight="1">
      <c r="B31" s="9" t="s">
        <v>162</v>
      </c>
      <c r="C31" s="18">
        <v>0.08500000000000001</v>
      </c>
      <c r="D31" s="18">
        <v>0.06759999999999999</v>
      </c>
      <c r="E31" s="18">
        <v>0.055</v>
      </c>
      <c r="P31" s="2" t="s">
        <v>163</v>
      </c>
    </row>
    <row r="32" spans="2:16" ht="14" customHeight="1">
      <c r="B32" s="9" t="s">
        <v>164</v>
      </c>
      <c r="C32" s="15">
        <f>IF($E$17=1,C31,(C31+$C$8)*$C$10)</f>
        <v>0</v>
      </c>
      <c r="D32" s="15">
        <f>IF($E$17=1,D31,(D31+$C$8)*$C$10)</f>
        <v>0</v>
      </c>
      <c r="E32" s="15">
        <f>IF($E$17=1,E31,(E31+$C$8)*$C$10)</f>
        <v>0</v>
      </c>
    </row>
    <row r="33" spans="2:16" ht="14" customHeight="1">
      <c r="B33" s="25" t="s">
        <v>165</v>
      </c>
      <c r="C33" s="17">
        <f>C32+$F$19*$F$18</f>
        <v>0</v>
      </c>
      <c r="D33" s="17">
        <f>D32+$F$19*$F$18</f>
        <v>0</v>
      </c>
      <c r="E33" s="17">
        <f>E32+$F$19*$F$18</f>
        <v>0</v>
      </c>
    </row>
    <row r="34" spans="2:16" ht="14" customHeight="1">
      <c r="B34" s="9" t="s">
        <v>166</v>
      </c>
      <c r="C34" s="26">
        <f>(C33-g_)*100</f>
        <v>0</v>
      </c>
      <c r="D34" s="26">
        <f>(D33-g_)*100</f>
        <v>0</v>
      </c>
      <c r="E34" s="26">
        <f>(E33-g_)*100</f>
        <v>0</v>
      </c>
    </row>
    <row r="36" spans="2:16" ht="14" customHeight="1">
      <c r="B36" s="6" t="s">
        <v>167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2:16" ht="14" customHeight="1">
      <c r="B37" s="7" t="s">
        <v>7</v>
      </c>
      <c r="C37" s="8" t="s">
        <v>8</v>
      </c>
      <c r="D37" s="8" t="s">
        <v>9</v>
      </c>
      <c r="E37" s="8" t="s">
        <v>10</v>
      </c>
      <c r="F37" s="8" t="s">
        <v>11</v>
      </c>
      <c r="G37" s="8" t="s">
        <v>12</v>
      </c>
      <c r="H37" s="8" t="s">
        <v>13</v>
      </c>
      <c r="I37" s="8" t="s">
        <v>14</v>
      </c>
      <c r="J37" s="8" t="s">
        <v>15</v>
      </c>
      <c r="K37" s="8" t="s">
        <v>16</v>
      </c>
      <c r="L37" s="8" t="s">
        <v>17</v>
      </c>
      <c r="M37" s="8" t="s">
        <v>18</v>
      </c>
      <c r="N37" s="8" t="s">
        <v>19</v>
      </c>
      <c r="P37" s="8" t="s">
        <v>20</v>
      </c>
    </row>
    <row r="38" spans="2:16" ht="14" customHeight="1">
      <c r="B38" s="9" t="s">
        <v>168</v>
      </c>
      <c r="E38" s="27">
        <f>2028-2027</f>
        <v>0</v>
      </c>
      <c r="F38" s="27">
        <f>2029-2027</f>
        <v>0</v>
      </c>
      <c r="G38" s="27">
        <f>2030-2027</f>
        <v>0</v>
      </c>
      <c r="H38" s="27">
        <f>2031-2027</f>
        <v>0</v>
      </c>
      <c r="I38" s="27">
        <f>2032-2027</f>
        <v>0</v>
      </c>
      <c r="J38" s="27">
        <f>2033-2027</f>
        <v>0</v>
      </c>
      <c r="K38" s="27">
        <f>2034-2027</f>
        <v>0</v>
      </c>
      <c r="L38" s="27">
        <f>2035-2027</f>
        <v>0</v>
      </c>
      <c r="M38" s="27">
        <f>2036-2027</f>
        <v>0</v>
      </c>
      <c r="N38" s="27">
        <f>2037-2027</f>
        <v>0</v>
      </c>
      <c r="P38" s="2" t="s">
        <v>169</v>
      </c>
    </row>
    <row r="39" spans="2:16" ht="14" customHeight="1">
      <c r="B39" s="25" t="s">
        <v>170</v>
      </c>
      <c r="C39" s="28">
        <f>'Box Consensus'!L17</f>
        <v>0</v>
      </c>
      <c r="D39" s="28">
        <f>'Box Consensus'!M17</f>
        <v>0</v>
      </c>
      <c r="E39" s="28">
        <f>'Box Consensus'!N17</f>
        <v>0</v>
      </c>
      <c r="F39" s="28">
        <f>E39*(1+F40)</f>
        <v>0</v>
      </c>
      <c r="G39" s="28">
        <f>F39*(1+G40)</f>
        <v>0</v>
      </c>
      <c r="H39" s="28">
        <f>G39*(1+H40)</f>
        <v>0</v>
      </c>
      <c r="I39" s="28">
        <f>H39*(1+I40)</f>
        <v>0</v>
      </c>
      <c r="J39" s="28">
        <f>I39*(1+J40)</f>
        <v>0</v>
      </c>
      <c r="K39" s="28">
        <f>J39*(1+K40)</f>
        <v>0</v>
      </c>
      <c r="L39" s="28">
        <f>K39*(1+L40)</f>
        <v>0</v>
      </c>
      <c r="M39" s="28">
        <f>L39*(1+M40)</f>
        <v>0</v>
      </c>
      <c r="N39" s="28">
        <f>M39*(1+N40)</f>
        <v>0</v>
      </c>
      <c r="P39" s="2" t="s">
        <v>171</v>
      </c>
    </row>
    <row r="40" spans="2:16" ht="14" customHeight="1">
      <c r="B40" s="9" t="s">
        <v>172</v>
      </c>
      <c r="D40" s="22">
        <f>D39/C39-1</f>
        <v>0</v>
      </c>
      <c r="E40" s="22">
        <f>E39/D39-1</f>
        <v>0</v>
      </c>
      <c r="F40" s="22">
        <f>IF(F38&gt;=NExp,g_,$E$40+(g_-$E$40)*(F38-1)/(NExp-1))</f>
        <v>0</v>
      </c>
      <c r="G40" s="22">
        <f>IF(G38&gt;=NExp,g_,$E$40+(g_-$E$40)*(G38-1)/(NExp-1))</f>
        <v>0</v>
      </c>
      <c r="H40" s="22">
        <f>IF(H38&gt;=NExp,g_,$E$40+(g_-$E$40)*(H38-1)/(NExp-1))</f>
        <v>0</v>
      </c>
      <c r="I40" s="22">
        <f>IF(I38&gt;=NExp,g_,$E$40+(g_-$E$40)*(I38-1)/(NExp-1))</f>
        <v>0</v>
      </c>
      <c r="J40" s="22">
        <f>IF(J38&gt;=NExp,g_,$E$40+(g_-$E$40)*(J38-1)/(NExp-1))</f>
        <v>0</v>
      </c>
      <c r="K40" s="22">
        <f>IF(K38&gt;=NExp,g_,$E$40+(g_-$E$40)*(K38-1)/(NExp-1))</f>
        <v>0</v>
      </c>
      <c r="L40" s="22">
        <f>IF(L38&gt;=NExp,g_,$E$40+(g_-$E$40)*(L38-1)/(NExp-1))</f>
        <v>0</v>
      </c>
      <c r="M40" s="22">
        <f>IF(M38&gt;=NExp,g_,$E$40+(g_-$E$40)*(M38-1)/(NExp-1))</f>
        <v>0</v>
      </c>
      <c r="N40" s="22">
        <f>IF(N38&gt;=NExp,g_,$E$40+(g_-$E$40)*(N38-1)/(NExp-1))</f>
        <v>0</v>
      </c>
      <c r="P40" s="2" t="s">
        <v>173</v>
      </c>
    </row>
    <row r="41" spans="2:16" ht="14" customHeight="1">
      <c r="B41" s="9" t="s">
        <v>174</v>
      </c>
      <c r="C41" s="22">
        <f>'Box Consensus'!I17</f>
        <v>0</v>
      </c>
      <c r="D41" s="22">
        <f>'Box Consensus'!J17</f>
        <v>0</v>
      </c>
      <c r="E41" s="22">
        <f>'Box Consensus'!K17</f>
        <v>0</v>
      </c>
      <c r="F41" s="22">
        <f>IF(ISNUMBER($C$13),$C$13,$E$41)</f>
        <v>0</v>
      </c>
      <c r="G41" s="22">
        <f>IF(ISNUMBER($C$13),$C$13,$E$41)</f>
        <v>0</v>
      </c>
      <c r="H41" s="22">
        <f>IF(ISNUMBER($C$13),$C$13,$E$41)</f>
        <v>0</v>
      </c>
      <c r="I41" s="22">
        <f>IF(ISNUMBER($C$13),$C$13,$E$41)</f>
        <v>0</v>
      </c>
      <c r="J41" s="22">
        <f>IF(ISNUMBER($C$13),$C$13,$E$41)</f>
        <v>0</v>
      </c>
      <c r="K41" s="22">
        <f>IF(ISNUMBER($C$13),$C$13,$E$41)</f>
        <v>0</v>
      </c>
      <c r="L41" s="22">
        <f>IF(ISNUMBER($C$13),$C$13,$E$41)</f>
        <v>0</v>
      </c>
      <c r="M41" s="22">
        <f>IF(ISNUMBER($C$13),$C$13,$E$41)</f>
        <v>0</v>
      </c>
      <c r="N41" s="22">
        <f>IF(ISNUMBER($C$13),$C$13,$E$41)</f>
        <v>0</v>
      </c>
      <c r="P41" s="2" t="s">
        <v>175</v>
      </c>
    </row>
    <row r="42" spans="2:16" ht="14" customHeight="1">
      <c r="B42" s="9" t="s">
        <v>176</v>
      </c>
      <c r="C42" s="10">
        <f>'Box Consensus'!O17</f>
        <v>0</v>
      </c>
      <c r="D42" s="10">
        <f>'Box Consensus'!P17</f>
        <v>0</v>
      </c>
      <c r="E42" s="10">
        <f>'Box Consensus'!Q17</f>
        <v>0</v>
      </c>
      <c r="F42" s="10">
        <f>F39/F41</f>
        <v>0</v>
      </c>
      <c r="G42" s="10">
        <f>G39/G41</f>
        <v>0</v>
      </c>
      <c r="H42" s="10">
        <f>H39/H41</f>
        <v>0</v>
      </c>
      <c r="I42" s="10">
        <f>I39/I41</f>
        <v>0</v>
      </c>
      <c r="J42" s="10">
        <f>J39/J41</f>
        <v>0</v>
      </c>
      <c r="K42" s="10">
        <f>K39/K41</f>
        <v>0</v>
      </c>
      <c r="L42" s="10">
        <f>L39/L41</f>
        <v>0</v>
      </c>
      <c r="M42" s="10">
        <f>M39/M41</f>
        <v>0</v>
      </c>
      <c r="N42" s="10">
        <f>N39/N41</f>
        <v>0</v>
      </c>
    </row>
    <row r="43" spans="2:16" ht="14" customHeight="1">
      <c r="B43" s="25" t="s">
        <v>177</v>
      </c>
      <c r="D43" s="28">
        <f>D39-(D42-C42)</f>
        <v>0</v>
      </c>
      <c r="E43" s="28">
        <f>E39-(E42-D42)</f>
        <v>0</v>
      </c>
      <c r="F43" s="28">
        <f>F39-(F42-E42)</f>
        <v>0</v>
      </c>
      <c r="G43" s="28">
        <f>G39-(G42-F42)</f>
        <v>0</v>
      </c>
      <c r="H43" s="28">
        <f>H39-(H42-G42)</f>
        <v>0</v>
      </c>
      <c r="I43" s="28">
        <f>I39-(I42-H42)</f>
        <v>0</v>
      </c>
      <c r="J43" s="28">
        <f>J39-(J42-I42)</f>
        <v>0</v>
      </c>
      <c r="K43" s="28">
        <f>K39-(K42-J42)</f>
        <v>0</v>
      </c>
      <c r="L43" s="28">
        <f>L39-(L42-K42)</f>
        <v>0</v>
      </c>
      <c r="M43" s="28">
        <f>M39-(M42-L42)</f>
        <v>0</v>
      </c>
      <c r="N43" s="28">
        <f>N39-(N42-M42)</f>
        <v>0</v>
      </c>
      <c r="P43" s="2" t="s">
        <v>178</v>
      </c>
    </row>
    <row r="44" spans="2:16" ht="14" customHeight="1">
      <c r="B44" s="9" t="s">
        <v>25</v>
      </c>
      <c r="D44" s="22">
        <f>D43/D39</f>
        <v>0</v>
      </c>
      <c r="E44" s="22">
        <f>E43/E39</f>
        <v>0</v>
      </c>
      <c r="F44" s="22">
        <f>F43/F39</f>
        <v>0</v>
      </c>
      <c r="G44" s="22">
        <f>G43/G39</f>
        <v>0</v>
      </c>
      <c r="H44" s="22">
        <f>H43/H39</f>
        <v>0</v>
      </c>
      <c r="I44" s="22">
        <f>I43/I39</f>
        <v>0</v>
      </c>
      <c r="J44" s="22">
        <f>J43/J39</f>
        <v>0</v>
      </c>
      <c r="K44" s="22">
        <f>K43/K39</f>
        <v>0</v>
      </c>
      <c r="L44" s="22">
        <f>L43/L39</f>
        <v>0</v>
      </c>
      <c r="M44" s="22">
        <f>M43/M39</f>
        <v>0</v>
      </c>
      <c r="N44" s="22">
        <f>N43/N39</f>
        <v>0</v>
      </c>
      <c r="P44" s="2" t="s">
        <v>179</v>
      </c>
    </row>
    <row r="45" spans="2:16" ht="14" customHeight="1">
      <c r="B45" s="9" t="s">
        <v>180</v>
      </c>
      <c r="D45" s="22">
        <f>'Analyst Models'!D90</f>
        <v>0</v>
      </c>
      <c r="E45" s="22">
        <f>'Analyst Models'!E90</f>
        <v>0</v>
      </c>
      <c r="F45" s="22">
        <f>'Analyst Models'!F90</f>
        <v>0</v>
      </c>
      <c r="G45" s="22">
        <f>'Analyst Models'!G90</f>
        <v>0</v>
      </c>
      <c r="H45" s="22">
        <f>'Analyst Models'!H90</f>
        <v>0</v>
      </c>
      <c r="I45" s="22">
        <f>'Analyst Models'!I90</f>
        <v>0</v>
      </c>
      <c r="J45" s="22">
        <f>'Analyst Models'!J90</f>
        <v>0</v>
      </c>
      <c r="K45" s="22">
        <f>'Analyst Models'!K90</f>
        <v>0</v>
      </c>
      <c r="L45" s="22">
        <f>'Analyst Models'!L90</f>
        <v>0</v>
      </c>
      <c r="M45" s="22">
        <f>'Analyst Models'!M90</f>
        <v>0</v>
      </c>
      <c r="N45" s="22">
        <f>'Analyst Models'!N90</f>
        <v>0</v>
      </c>
      <c r="P45" s="2" t="s">
        <v>181</v>
      </c>
    </row>
    <row r="46" spans="2:16" ht="14" customHeight="1">
      <c r="B46" s="9" t="s">
        <v>182</v>
      </c>
      <c r="C46" s="22">
        <f>'Analyst Models'!C91</f>
        <v>0</v>
      </c>
      <c r="D46" s="22">
        <f>'Analyst Models'!D91</f>
        <v>0</v>
      </c>
      <c r="E46" s="22">
        <f>'Analyst Models'!E91</f>
        <v>0</v>
      </c>
      <c r="F46" s="22">
        <f>'Analyst Models'!F91</f>
        <v>0</v>
      </c>
      <c r="G46" s="22">
        <f>'Analyst Models'!G91</f>
        <v>0</v>
      </c>
      <c r="H46" s="22">
        <f>'Analyst Models'!H91</f>
        <v>0</v>
      </c>
      <c r="I46" s="22">
        <f>'Analyst Models'!I91</f>
        <v>0</v>
      </c>
      <c r="J46" s="22">
        <f>'Analyst Models'!J91</f>
        <v>0</v>
      </c>
      <c r="K46" s="22">
        <f>'Analyst Models'!K91</f>
        <v>0</v>
      </c>
      <c r="L46" s="22">
        <f>'Analyst Models'!L91</f>
        <v>0</v>
      </c>
      <c r="M46" s="22">
        <f>'Analyst Models'!M91</f>
        <v>0</v>
      </c>
      <c r="N46" s="22">
        <f>'Analyst Models'!N91</f>
        <v>0</v>
      </c>
      <c r="P46" s="2" t="s">
        <v>181</v>
      </c>
    </row>
    <row r="47" spans="2:16" ht="14" customHeight="1">
      <c r="B47" s="9" t="s">
        <v>183</v>
      </c>
      <c r="C47" s="10">
        <f>C39</f>
        <v>0</v>
      </c>
      <c r="D47" s="10">
        <f>D39</f>
        <v>0</v>
      </c>
      <c r="E47" s="10">
        <f>E39</f>
        <v>0</v>
      </c>
      <c r="F47" s="10">
        <f>E47*(1+F45)</f>
        <v>0</v>
      </c>
      <c r="G47" s="10">
        <f>F47*(1+G45)</f>
        <v>0</v>
      </c>
      <c r="H47" s="10">
        <f>G47*(1+H45)</f>
        <v>0</v>
      </c>
      <c r="I47" s="10">
        <f>H47*(1+I45)</f>
        <v>0</v>
      </c>
      <c r="J47" s="10">
        <f>I47*(1+J45)</f>
        <v>0</v>
      </c>
      <c r="K47" s="10">
        <f>J47*(1+K45)</f>
        <v>0</v>
      </c>
      <c r="L47" s="10">
        <f>K47*(1+L45)</f>
        <v>0</v>
      </c>
      <c r="M47" s="10">
        <f>L47*(1+M45)</f>
        <v>0</v>
      </c>
      <c r="N47" s="10">
        <f>M47*(1+N45)</f>
        <v>0</v>
      </c>
    </row>
    <row r="48" spans="2:16" ht="14" customHeight="1">
      <c r="B48" s="9" t="s">
        <v>184</v>
      </c>
      <c r="C48" s="10">
        <f>C47*C46</f>
        <v>0</v>
      </c>
      <c r="D48" s="10">
        <f>D47*D46</f>
        <v>0</v>
      </c>
      <c r="E48" s="10">
        <f>E47*E46</f>
        <v>0</v>
      </c>
      <c r="F48" s="10">
        <f>F47*F46</f>
        <v>0</v>
      </c>
      <c r="G48" s="10">
        <f>G47*G46</f>
        <v>0</v>
      </c>
      <c r="H48" s="10">
        <f>H47*H46</f>
        <v>0</v>
      </c>
      <c r="I48" s="10">
        <f>I47*I46</f>
        <v>0</v>
      </c>
      <c r="J48" s="10">
        <f>J47*J46</f>
        <v>0</v>
      </c>
      <c r="K48" s="10">
        <f>K47*K46</f>
        <v>0</v>
      </c>
      <c r="L48" s="10">
        <f>L47*L46</f>
        <v>0</v>
      </c>
      <c r="M48" s="10">
        <f>M47*M46</f>
        <v>0</v>
      </c>
      <c r="N48" s="10">
        <f>N47*N46</f>
        <v>0</v>
      </c>
    </row>
    <row r="49" spans="2:16" ht="14" customHeight="1">
      <c r="B49" s="25" t="s">
        <v>185</v>
      </c>
      <c r="D49" s="28">
        <f>IF($C$12=1,D43,D48)</f>
        <v>0</v>
      </c>
      <c r="E49" s="28">
        <f>IF($C$12=1,E43,E48)</f>
        <v>0</v>
      </c>
      <c r="F49" s="28">
        <f>IF($C$12=1,F43,F48)</f>
        <v>0</v>
      </c>
      <c r="G49" s="28">
        <f>IF($C$12=1,G43,G48)</f>
        <v>0</v>
      </c>
      <c r="H49" s="28">
        <f>IF($C$12=1,H43,H48)</f>
        <v>0</v>
      </c>
      <c r="I49" s="28">
        <f>IF($C$12=1,I43,I48)</f>
        <v>0</v>
      </c>
      <c r="J49" s="28">
        <f>IF($C$12=1,J43,J48)</f>
        <v>0</v>
      </c>
      <c r="K49" s="28">
        <f>IF($C$12=1,K43,K48)</f>
        <v>0</v>
      </c>
      <c r="L49" s="28">
        <f>IF($C$12=1,L43,L48)</f>
        <v>0</v>
      </c>
      <c r="M49" s="28">
        <f>IF($C$12=1,M43,M48)</f>
        <v>0</v>
      </c>
      <c r="N49" s="28">
        <f>IF($C$12=1,N43,N48)</f>
        <v>0</v>
      </c>
    </row>
    <row r="51" spans="2:16" ht="14" customHeight="1">
      <c r="B51" s="6" t="s">
        <v>186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ht="14" customHeight="1">
      <c r="B52" s="7" t="s">
        <v>122</v>
      </c>
      <c r="C52" s="8" t="s">
        <v>158</v>
      </c>
      <c r="D52" s="8" t="s">
        <v>159</v>
      </c>
      <c r="E52" s="8" t="s">
        <v>160</v>
      </c>
      <c r="P52" s="8" t="s">
        <v>161</v>
      </c>
    </row>
    <row r="53" spans="2:16" ht="14" customHeight="1">
      <c r="B53" s="9" t="s">
        <v>65</v>
      </c>
      <c r="C53" s="15">
        <f>C33</f>
        <v>0</v>
      </c>
      <c r="D53" s="15">
        <f>D33</f>
        <v>0</v>
      </c>
      <c r="E53" s="15">
        <f>E33</f>
        <v>0</v>
      </c>
    </row>
    <row r="54" spans="2:16" ht="14" customHeight="1">
      <c r="B54" s="9" t="s">
        <v>187</v>
      </c>
      <c r="C54" s="29">
        <v>-0.2</v>
      </c>
      <c r="D54" s="29">
        <v>0</v>
      </c>
      <c r="E54" s="29">
        <v>0.2</v>
      </c>
      <c r="P54" s="2" t="s">
        <v>188</v>
      </c>
    </row>
    <row r="55" spans="2:16" ht="14" customHeight="1">
      <c r="B55" s="9" t="s">
        <v>189</v>
      </c>
      <c r="C55" s="30">
        <f>$C$11*$D$11*C54</f>
        <v>0</v>
      </c>
      <c r="D55" s="30">
        <f>$C$11*$D$11*D54</f>
        <v>0</v>
      </c>
      <c r="E55" s="30">
        <f>$C$11*$D$11*E54</f>
        <v>0</v>
      </c>
      <c r="P55" s="2" t="s">
        <v>190</v>
      </c>
    </row>
    <row r="56" spans="2:16" ht="14" customHeight="1">
      <c r="B56" s="9" t="s">
        <v>191</v>
      </c>
      <c r="C56" s="10">
        <f>(1+C55)*SUMPRODUCT($E$49:$N$49,--($E$38:$N$38&lt;=NExp),1/(1+C53)^$E$38:$N$38)</f>
        <v>0</v>
      </c>
      <c r="D56" s="10">
        <f>(1+D55)*SUMPRODUCT($E$49:$N$49,--($E$38:$N$38&lt;=NExp),1/(1+D53)^$E$38:$N$38)</f>
        <v>0</v>
      </c>
      <c r="E56" s="10">
        <f>(1+E55)*SUMPRODUCT($E$49:$N$49,--($E$38:$N$38&lt;=NExp),1/(1+E53)^$E$38:$N$38)</f>
        <v>0</v>
      </c>
      <c r="P56" s="2" t="s">
        <v>192</v>
      </c>
    </row>
    <row r="57" spans="2:16" ht="14" customHeight="1">
      <c r="B57" s="9" t="s">
        <v>193</v>
      </c>
      <c r="C57" s="10">
        <f>INDEX($E$49:$N$49,NExp)*(1+C55)*(1+g_)/(C53-g_)</f>
        <v>0</v>
      </c>
      <c r="D57" s="10">
        <f>INDEX($E$49:$N$49,NExp)*(1+D55)*(1+g_)/(D53-g_)</f>
        <v>0</v>
      </c>
      <c r="E57" s="10">
        <f>INDEX($E$49:$N$49,NExp)*(1+E55)*(1+g_)/(E53-g_)</f>
        <v>0</v>
      </c>
      <c r="P57" s="2" t="s">
        <v>194</v>
      </c>
    </row>
    <row r="58" spans="2:16" ht="14" customHeight="1">
      <c r="B58" s="9" t="s">
        <v>195</v>
      </c>
      <c r="C58" s="10">
        <f>C57/(1+C53)^(NExp+TVx)</f>
        <v>0</v>
      </c>
      <c r="D58" s="10">
        <f>D57/(1+D53)^(NExp+TVx)</f>
        <v>0</v>
      </c>
      <c r="E58" s="10">
        <f>E57/(1+E53)^(NExp+TVx)</f>
        <v>0</v>
      </c>
    </row>
    <row r="59" spans="2:16" ht="14" customHeight="1">
      <c r="B59" s="25" t="s">
        <v>196</v>
      </c>
      <c r="C59" s="28">
        <f>C56+C58</f>
        <v>0</v>
      </c>
      <c r="D59" s="28">
        <f>D56+D58</f>
        <v>0</v>
      </c>
      <c r="E59" s="28">
        <f>E56+E58</f>
        <v>0</v>
      </c>
    </row>
    <row r="60" spans="2:16" ht="14" customHeight="1">
      <c r="B60" s="25" t="s">
        <v>197</v>
      </c>
      <c r="C60" s="31">
        <f>C59/$C$7-1</f>
        <v>0</v>
      </c>
      <c r="D60" s="31">
        <f>D59/$C$7-1</f>
        <v>0</v>
      </c>
      <c r="E60" s="31">
        <f>E59/$C$7-1</f>
        <v>0</v>
      </c>
    </row>
    <row r="61" spans="2:16" ht="14" customHeight="1">
      <c r="B61" s="9" t="s">
        <v>198</v>
      </c>
      <c r="C61" s="22">
        <f>C58/C59</f>
        <v>0</v>
      </c>
      <c r="D61" s="22">
        <f>D58/D59</f>
        <v>0</v>
      </c>
      <c r="E61" s="22">
        <f>E58/E59</f>
        <v>0</v>
      </c>
      <c r="P61" s="2" t="s">
        <v>199</v>
      </c>
    </row>
    <row r="62" spans="2:16" ht="14" customHeight="1">
      <c r="B62" s="9" t="s">
        <v>200</v>
      </c>
      <c r="C62" s="30">
        <f>((1+C55)*SUMPRODUCT($E$48:$N$48,--($E$38:$N$38&lt;=NExp),1/(1+C53)^$E$38:$N$38)+INDEX($E$48:$N$48,NExp)*(1+C55)*(1+g_)/(C53-g_)/(1+C53)^(NExp+TVx))/$C$7-1</f>
        <v>0</v>
      </c>
      <c r="D62" s="30">
        <f>((1+D55)*SUMPRODUCT($E$48:$N$48,--($E$38:$N$38&lt;=NExp),1/(1+D53)^$E$38:$N$38)+INDEX($E$48:$N$48,NExp)*(1+D55)*(1+g_)/(D53-g_)/(1+D53)^(NExp+TVx))/$C$7-1</f>
        <v>0</v>
      </c>
      <c r="E62" s="30">
        <f>((1+E55)*SUMPRODUCT($E$48:$N$48,--($E$38:$N$38&lt;=NExp),1/(1+E53)^$E$38:$N$38)+INDEX($E$48:$N$48,NExp)*(1+E55)*(1+g_)/(E53-g_)/(1+E53)^(NExp+TVx))/$C$7-1</f>
        <v>0</v>
      </c>
    </row>
    <row r="63" spans="2:16" ht="14" customHeight="1">
      <c r="B63" s="9" t="s">
        <v>201</v>
      </c>
      <c r="C63" s="32">
        <v>-0.3543475494311503</v>
      </c>
      <c r="D63" s="32">
        <v>-0.061</v>
      </c>
      <c r="E63" s="32">
        <v>0.2880808349631869</v>
      </c>
      <c r="P63" s="2" t="s">
        <v>202</v>
      </c>
    </row>
    <row r="65" spans="2:16" ht="14" customHeight="1">
      <c r="B65" s="6" t="s">
        <v>203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 ht="14" customHeight="1">
      <c r="B66" s="7" t="s">
        <v>204</v>
      </c>
      <c r="C66" s="33">
        <v>0.04</v>
      </c>
      <c r="D66" s="33">
        <v>0.047</v>
      </c>
      <c r="E66" s="33">
        <v>0.05</v>
      </c>
      <c r="F66" s="33">
        <v>0.055</v>
      </c>
      <c r="G66" s="33">
        <v>0.06</v>
      </c>
    </row>
    <row r="67" spans="2:16" ht="14" customHeight="1">
      <c r="B67" s="34">
        <v>0.12</v>
      </c>
      <c r="C67" s="35">
        <f>(SUMPRODUCT($E$49:$N$49,--($E$38:$N$38&lt;=NExp),1/(1+$B67)^$E$38:$N$38)+INDEX($E$49:$N$49,NExp)*(1+C$66)/($B67-C$66)/(1+$B67)^(NExp+TVx))/$C$7-1</f>
        <v>0</v>
      </c>
      <c r="D67" s="35">
        <f>(SUMPRODUCT($E$49:$N$49,--($E$38:$N$38&lt;=NExp),1/(1+$B67)^$E$38:$N$38)+INDEX($E$49:$N$49,NExp)*(1+D$66)/($B67-D$66)/(1+$B67)^(NExp+TVx))/$C$7-1</f>
        <v>0</v>
      </c>
      <c r="E67" s="35">
        <f>(SUMPRODUCT($E$49:$N$49,--($E$38:$N$38&lt;=NExp),1/(1+$B67)^$E$38:$N$38)+INDEX($E$49:$N$49,NExp)*(1+E$66)/($B67-E$66)/(1+$B67)^(NExp+TVx))/$C$7-1</f>
        <v>0</v>
      </c>
      <c r="F67" s="35">
        <f>(SUMPRODUCT($E$49:$N$49,--($E$38:$N$38&lt;=NExp),1/(1+$B67)^$E$38:$N$38)+INDEX($E$49:$N$49,NExp)*(1+F$66)/($B67-F$66)/(1+$B67)^(NExp+TVx))/$C$7-1</f>
        <v>0</v>
      </c>
      <c r="G67" s="35">
        <f>(SUMPRODUCT($E$49:$N$49,--($E$38:$N$38&lt;=NExp),1/(1+$B67)^$E$38:$N$38)+INDEX($E$49:$N$49,NExp)*(1+G$66)/($B67-G$66)/(1+$B67)^(NExp+TVx))/$C$7-1</f>
        <v>0</v>
      </c>
    </row>
    <row r="68" spans="2:16" ht="14" customHeight="1">
      <c r="B68" s="34">
        <v>0.13</v>
      </c>
      <c r="C68" s="35">
        <f>(SUMPRODUCT($E$49:$N$49,--($E$38:$N$38&lt;=NExp),1/(1+$B68)^$E$38:$N$38)+INDEX($E$49:$N$49,NExp)*(1+C$66)/($B68-C$66)/(1+$B68)^(NExp+TVx))/$C$7-1</f>
        <v>0</v>
      </c>
      <c r="D68" s="35">
        <f>(SUMPRODUCT($E$49:$N$49,--($E$38:$N$38&lt;=NExp),1/(1+$B68)^$E$38:$N$38)+INDEX($E$49:$N$49,NExp)*(1+D$66)/($B68-D$66)/(1+$B68)^(NExp+TVx))/$C$7-1</f>
        <v>0</v>
      </c>
      <c r="E68" s="35">
        <f>(SUMPRODUCT($E$49:$N$49,--($E$38:$N$38&lt;=NExp),1/(1+$B68)^$E$38:$N$38)+INDEX($E$49:$N$49,NExp)*(1+E$66)/($B68-E$66)/(1+$B68)^(NExp+TVx))/$C$7-1</f>
        <v>0</v>
      </c>
      <c r="F68" s="35">
        <f>(SUMPRODUCT($E$49:$N$49,--($E$38:$N$38&lt;=NExp),1/(1+$B68)^$E$38:$N$38)+INDEX($E$49:$N$49,NExp)*(1+F$66)/($B68-F$66)/(1+$B68)^(NExp+TVx))/$C$7-1</f>
        <v>0</v>
      </c>
      <c r="G68" s="35">
        <f>(SUMPRODUCT($E$49:$N$49,--($E$38:$N$38&lt;=NExp),1/(1+$B68)^$E$38:$N$38)+INDEX($E$49:$N$49,NExp)*(1+G$66)/($B68-G$66)/(1+$B68)^(NExp+TVx))/$C$7-1</f>
        <v>0</v>
      </c>
    </row>
    <row r="69" spans="2:16" ht="14" customHeight="1">
      <c r="B69" s="34">
        <v>0.1365</v>
      </c>
      <c r="C69" s="35">
        <f>(SUMPRODUCT($E$49:$N$49,--($E$38:$N$38&lt;=NExp),1/(1+$B69)^$E$38:$N$38)+INDEX($E$49:$N$49,NExp)*(1+C$66)/($B69-C$66)/(1+$B69)^(NExp+TVx))/$C$7-1</f>
        <v>0</v>
      </c>
      <c r="D69" s="35">
        <f>(SUMPRODUCT($E$49:$N$49,--($E$38:$N$38&lt;=NExp),1/(1+$B69)^$E$38:$N$38)+INDEX($E$49:$N$49,NExp)*(1+D$66)/($B69-D$66)/(1+$B69)^(NExp+TVx))/$C$7-1</f>
        <v>0</v>
      </c>
      <c r="E69" s="35">
        <f>(SUMPRODUCT($E$49:$N$49,--($E$38:$N$38&lt;=NExp),1/(1+$B69)^$E$38:$N$38)+INDEX($E$49:$N$49,NExp)*(1+E$66)/($B69-E$66)/(1+$B69)^(NExp+TVx))/$C$7-1</f>
        <v>0</v>
      </c>
      <c r="F69" s="35">
        <f>(SUMPRODUCT($E$49:$N$49,--($E$38:$N$38&lt;=NExp),1/(1+$B69)^$E$38:$N$38)+INDEX($E$49:$N$49,NExp)*(1+F$66)/($B69-F$66)/(1+$B69)^(NExp+TVx))/$C$7-1</f>
        <v>0</v>
      </c>
      <c r="G69" s="35">
        <f>(SUMPRODUCT($E$49:$N$49,--($E$38:$N$38&lt;=NExp),1/(1+$B69)^$E$38:$N$38)+INDEX($E$49:$N$49,NExp)*(1+G$66)/($B69-G$66)/(1+$B69)^(NExp+TVx))/$C$7-1</f>
        <v>0</v>
      </c>
    </row>
    <row r="70" spans="2:16" ht="14" customHeight="1">
      <c r="B70" s="34">
        <v>0.14</v>
      </c>
      <c r="C70" s="35">
        <f>(SUMPRODUCT($E$49:$N$49,--($E$38:$N$38&lt;=NExp),1/(1+$B70)^$E$38:$N$38)+INDEX($E$49:$N$49,NExp)*(1+C$66)/($B70-C$66)/(1+$B70)^(NExp+TVx))/$C$7-1</f>
        <v>0</v>
      </c>
      <c r="D70" s="35">
        <f>(SUMPRODUCT($E$49:$N$49,--($E$38:$N$38&lt;=NExp),1/(1+$B70)^$E$38:$N$38)+INDEX($E$49:$N$49,NExp)*(1+D$66)/($B70-D$66)/(1+$B70)^(NExp+TVx))/$C$7-1</f>
        <v>0</v>
      </c>
      <c r="E70" s="35">
        <f>(SUMPRODUCT($E$49:$N$49,--($E$38:$N$38&lt;=NExp),1/(1+$B70)^$E$38:$N$38)+INDEX($E$49:$N$49,NExp)*(1+E$66)/($B70-E$66)/(1+$B70)^(NExp+TVx))/$C$7-1</f>
        <v>0</v>
      </c>
      <c r="F70" s="35">
        <f>(SUMPRODUCT($E$49:$N$49,--($E$38:$N$38&lt;=NExp),1/(1+$B70)^$E$38:$N$38)+INDEX($E$49:$N$49,NExp)*(1+F$66)/($B70-F$66)/(1+$B70)^(NExp+TVx))/$C$7-1</f>
        <v>0</v>
      </c>
      <c r="G70" s="35">
        <f>(SUMPRODUCT($E$49:$N$49,--($E$38:$N$38&lt;=NExp),1/(1+$B70)^$E$38:$N$38)+INDEX($E$49:$N$49,NExp)*(1+G$66)/($B70-G$66)/(1+$B70)^(NExp+TVx))/$C$7-1</f>
        <v>0</v>
      </c>
    </row>
    <row r="71" spans="2:16" ht="14" customHeight="1">
      <c r="B71" s="34">
        <v>0.15</v>
      </c>
      <c r="C71" s="35">
        <f>(SUMPRODUCT($E$49:$N$49,--($E$38:$N$38&lt;=NExp),1/(1+$B71)^$E$38:$N$38)+INDEX($E$49:$N$49,NExp)*(1+C$66)/($B71-C$66)/(1+$B71)^(NExp+TVx))/$C$7-1</f>
        <v>0</v>
      </c>
      <c r="D71" s="35">
        <f>(SUMPRODUCT($E$49:$N$49,--($E$38:$N$38&lt;=NExp),1/(1+$B71)^$E$38:$N$38)+INDEX($E$49:$N$49,NExp)*(1+D$66)/($B71-D$66)/(1+$B71)^(NExp+TVx))/$C$7-1</f>
        <v>0</v>
      </c>
      <c r="E71" s="35">
        <f>(SUMPRODUCT($E$49:$N$49,--($E$38:$N$38&lt;=NExp),1/(1+$B71)^$E$38:$N$38)+INDEX($E$49:$N$49,NExp)*(1+E$66)/($B71-E$66)/(1+$B71)^(NExp+TVx))/$C$7-1</f>
        <v>0</v>
      </c>
      <c r="F71" s="35">
        <f>(SUMPRODUCT($E$49:$N$49,--($E$38:$N$38&lt;=NExp),1/(1+$B71)^$E$38:$N$38)+INDEX($E$49:$N$49,NExp)*(1+F$66)/($B71-F$66)/(1+$B71)^(NExp+TVx))/$C$7-1</f>
        <v>0</v>
      </c>
      <c r="G71" s="35">
        <f>(SUMPRODUCT($E$49:$N$49,--($E$38:$N$38&lt;=NExp),1/(1+$B71)^$E$38:$N$38)+INDEX($E$49:$N$49,NExp)*(1+G$66)/($B71-G$66)/(1+$B71)^(NExp+TVx))/$C$7-1</f>
        <v>0</v>
      </c>
    </row>
    <row r="72" spans="2:16" ht="14" customHeight="1">
      <c r="B72" s="34">
        <v>0.16</v>
      </c>
      <c r="C72" s="35">
        <f>(SUMPRODUCT($E$49:$N$49,--($E$38:$N$38&lt;=NExp),1/(1+$B72)^$E$38:$N$38)+INDEX($E$49:$N$49,NExp)*(1+C$66)/($B72-C$66)/(1+$B72)^(NExp+TVx))/$C$7-1</f>
        <v>0</v>
      </c>
      <c r="D72" s="35">
        <f>(SUMPRODUCT($E$49:$N$49,--($E$38:$N$38&lt;=NExp),1/(1+$B72)^$E$38:$N$38)+INDEX($E$49:$N$49,NExp)*(1+D$66)/($B72-D$66)/(1+$B72)^(NExp+TVx))/$C$7-1</f>
        <v>0</v>
      </c>
      <c r="E72" s="35">
        <f>(SUMPRODUCT($E$49:$N$49,--($E$38:$N$38&lt;=NExp),1/(1+$B72)^$E$38:$N$38)+INDEX($E$49:$N$49,NExp)*(1+E$66)/($B72-E$66)/(1+$B72)^(NExp+TVx))/$C$7-1</f>
        <v>0</v>
      </c>
      <c r="F72" s="35">
        <f>(SUMPRODUCT($E$49:$N$49,--($E$38:$N$38&lt;=NExp),1/(1+$B72)^$E$38:$N$38)+INDEX($E$49:$N$49,NExp)*(1+F$66)/($B72-F$66)/(1+$B72)^(NExp+TVx))/$C$7-1</f>
        <v>0</v>
      </c>
      <c r="G72" s="35">
        <f>(SUMPRODUCT($E$49:$N$49,--($E$38:$N$38&lt;=NExp),1/(1+$B72)^$E$38:$N$38)+INDEX($E$49:$N$49,NExp)*(1+G$66)/($B72-G$66)/(1+$B72)^(NExp+TVx))/$C$7-1</f>
        <v>0</v>
      </c>
    </row>
    <row r="74" spans="2:16" ht="14" customHeight="1">
      <c r="B74" s="2" t="s">
        <v>205</v>
      </c>
    </row>
    <row r="78" spans="2:16" ht="14" customHeight="1">
      <c r="B78" s="6" t="s">
        <v>206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2:16" ht="14" customHeight="1">
      <c r="B79" s="36" t="s">
        <v>207</v>
      </c>
      <c r="P79" s="2" t="s">
        <v>208</v>
      </c>
    </row>
    <row r="80" spans="2:16" ht="14" customHeight="1">
      <c r="B80" s="36" t="s">
        <v>209</v>
      </c>
      <c r="P80" s="2" t="s">
        <v>210</v>
      </c>
    </row>
    <row r="81" spans="2:16" ht="14" customHeight="1">
      <c r="B81" s="36" t="s">
        <v>211</v>
      </c>
      <c r="P81" s="2" t="s">
        <v>212</v>
      </c>
    </row>
    <row r="82" spans="2:16" ht="14" customHeight="1">
      <c r="B82" s="36" t="s">
        <v>213</v>
      </c>
      <c r="P82" s="2" t="s">
        <v>214</v>
      </c>
    </row>
    <row r="83" spans="2:16" ht="14" customHeight="1">
      <c r="B83" s="36" t="s">
        <v>215</v>
      </c>
      <c r="P83" s="2" t="s">
        <v>216</v>
      </c>
    </row>
    <row r="84" spans="2:16" ht="14" customHeight="1">
      <c r="B84" s="36" t="s">
        <v>217</v>
      </c>
      <c r="P84" s="2" t="s">
        <v>208</v>
      </c>
    </row>
    <row r="85" spans="2:16" ht="14" customHeight="1">
      <c r="B85" s="36" t="s">
        <v>218</v>
      </c>
      <c r="P85" s="2" t="s">
        <v>141</v>
      </c>
    </row>
  </sheetData>
  <mergeCells count="7">
    <mergeCell ref="B5:P5"/>
    <mergeCell ref="B15:P15"/>
    <mergeCell ref="B29:P29"/>
    <mergeCell ref="B36:P36"/>
    <mergeCell ref="B51:P51"/>
    <mergeCell ref="B65:P65"/>
    <mergeCell ref="B78:P78"/>
  </mergeCells>
  <conditionalFormatting sqref="C67:G72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conditionalFormatting sqref="E38:N38">
    <cfRule type="expression" dxfId="0" priority="1">
      <formula>E$38&gt;NExp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2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" customHeight="1"/>
  <cols>
    <col min="1" max="1" width="2.7109375" customWidth="1"/>
    <col min="2" max="2" width="34.7109375" customWidth="1"/>
    <col min="3" max="21" width="11.28515625" customWidth="1"/>
  </cols>
  <sheetData>
    <row r="1" spans="2:17" ht="30" customHeight="1">
      <c r="B1" s="1" t="s">
        <v>88</v>
      </c>
    </row>
    <row r="2" spans="2:17" ht="14" customHeight="1">
      <c r="B2" s="2" t="s">
        <v>89</v>
      </c>
    </row>
    <row r="3" spans="2:17" ht="14" customHeight="1">
      <c r="B3" s="2" t="s">
        <v>2</v>
      </c>
      <c r="C3" s="3" t="s">
        <v>3</v>
      </c>
      <c r="D3" s="4" t="s">
        <v>4</v>
      </c>
      <c r="E3" s="5" t="s">
        <v>5</v>
      </c>
    </row>
    <row r="6" spans="2:17" ht="44" customHeight="1">
      <c r="B6" s="7" t="s">
        <v>64</v>
      </c>
      <c r="C6" s="8" t="s">
        <v>75</v>
      </c>
      <c r="D6" s="8" t="s">
        <v>90</v>
      </c>
      <c r="E6" s="8" t="s">
        <v>91</v>
      </c>
      <c r="F6" s="8" t="s">
        <v>92</v>
      </c>
      <c r="G6" s="8" t="s">
        <v>93</v>
      </c>
      <c r="H6" s="8" t="s">
        <v>94</v>
      </c>
      <c r="I6" s="8" t="s">
        <v>95</v>
      </c>
      <c r="J6" s="8" t="s">
        <v>96</v>
      </c>
      <c r="K6" s="8" t="s">
        <v>97</v>
      </c>
      <c r="L6" s="8" t="s">
        <v>98</v>
      </c>
      <c r="M6" s="8" t="s">
        <v>99</v>
      </c>
      <c r="N6" s="8" t="s">
        <v>100</v>
      </c>
      <c r="O6" s="8" t="s">
        <v>101</v>
      </c>
      <c r="P6" s="8" t="s">
        <v>102</v>
      </c>
      <c r="Q6" s="8" t="s">
        <v>103</v>
      </c>
    </row>
    <row r="7" spans="2:17" ht="14" customHeight="1">
      <c r="B7" s="36" t="s">
        <v>104</v>
      </c>
      <c r="C7" s="37">
        <v>19089.26509062937</v>
      </c>
      <c r="D7" s="38">
        <v>564225.2276462</v>
      </c>
      <c r="E7" s="39">
        <f>C7/D7</f>
        <v>0</v>
      </c>
      <c r="F7" s="38">
        <v>50677.333</v>
      </c>
      <c r="G7" s="38">
        <v>55448.917</v>
      </c>
      <c r="H7" s="38">
        <v>60687.636</v>
      </c>
      <c r="I7" s="40">
        <v>0.24574</v>
      </c>
      <c r="J7" s="40">
        <v>0.24478</v>
      </c>
      <c r="K7" s="40">
        <v>0.24343</v>
      </c>
      <c r="L7" s="41">
        <f>F7*$E7</f>
        <v>0</v>
      </c>
      <c r="M7" s="41">
        <f>G7*$E7</f>
        <v>0</v>
      </c>
      <c r="N7" s="41">
        <f>H7*$E7</f>
        <v>0</v>
      </c>
      <c r="O7" s="41">
        <f>L7/I7</f>
        <v>0</v>
      </c>
      <c r="P7" s="41">
        <f>M7/J7</f>
        <v>0</v>
      </c>
      <c r="Q7" s="41">
        <f>N7/K7</f>
        <v>0</v>
      </c>
    </row>
    <row r="8" spans="2:17" ht="14" customHeight="1">
      <c r="B8" s="36" t="s">
        <v>105</v>
      </c>
      <c r="C8" s="37">
        <v>10039.70324411161</v>
      </c>
      <c r="D8" s="38">
        <v>226447.75534607</v>
      </c>
      <c r="E8" s="39">
        <f>C8/D8</f>
        <v>0</v>
      </c>
      <c r="F8" s="38">
        <v>27739.923</v>
      </c>
      <c r="G8" s="38">
        <v>30648.077</v>
      </c>
      <c r="H8" s="38">
        <v>33619.083</v>
      </c>
      <c r="I8" s="40">
        <v>0.15379</v>
      </c>
      <c r="J8" s="40">
        <v>0.15855</v>
      </c>
      <c r="K8" s="40">
        <v>0.1615</v>
      </c>
      <c r="L8" s="41">
        <f>F8*$E8</f>
        <v>0</v>
      </c>
      <c r="M8" s="41">
        <f>G8*$E8</f>
        <v>0</v>
      </c>
      <c r="N8" s="41">
        <f>H8*$E8</f>
        <v>0</v>
      </c>
      <c r="O8" s="41">
        <f>L8/I8</f>
        <v>0</v>
      </c>
      <c r="P8" s="41">
        <f>M8/J8</f>
        <v>0</v>
      </c>
      <c r="Q8" s="41">
        <f>N8/K8</f>
        <v>0</v>
      </c>
    </row>
    <row r="9" spans="2:17" ht="14" customHeight="1">
      <c r="B9" s="36" t="s">
        <v>106</v>
      </c>
      <c r="C9" s="37">
        <v>8337.403451434404</v>
      </c>
      <c r="D9" s="38">
        <v>112688.345</v>
      </c>
      <c r="E9" s="39">
        <f>C9/D9</f>
        <v>0</v>
      </c>
      <c r="F9" s="38">
        <v>5982</v>
      </c>
      <c r="G9" s="38">
        <v>6425.400000000001</v>
      </c>
      <c r="H9" s="38">
        <v>6561.222</v>
      </c>
      <c r="I9" s="40">
        <v>0.3363</v>
      </c>
      <c r="J9" s="40">
        <v>0.34744</v>
      </c>
      <c r="K9" s="40">
        <v>0.37809</v>
      </c>
      <c r="L9" s="41">
        <f>F9*$E9</f>
        <v>0</v>
      </c>
      <c r="M9" s="41">
        <f>G9*$E9</f>
        <v>0</v>
      </c>
      <c r="N9" s="41">
        <f>H9*$E9</f>
        <v>0</v>
      </c>
      <c r="O9" s="41">
        <f>L9/I9</f>
        <v>0</v>
      </c>
      <c r="P9" s="41">
        <f>M9/J9</f>
        <v>0</v>
      </c>
      <c r="Q9" s="41">
        <f>N9/K9</f>
        <v>0</v>
      </c>
    </row>
    <row r="10" spans="2:17" ht="14" customHeight="1">
      <c r="B10" s="36" t="s">
        <v>107</v>
      </c>
      <c r="C10" s="37">
        <v>7020.62358634801</v>
      </c>
      <c r="D10" s="38">
        <v>179573.1348910488</v>
      </c>
      <c r="E10" s="39">
        <f>C10/D10</f>
        <v>0</v>
      </c>
      <c r="F10" s="38">
        <v>19414</v>
      </c>
      <c r="G10" s="38">
        <v>20412</v>
      </c>
      <c r="H10" s="38">
        <v>23060</v>
      </c>
      <c r="I10" s="11">
        <v>0.24574</v>
      </c>
      <c r="J10" s="11">
        <v>0.24478</v>
      </c>
      <c r="K10" s="11">
        <v>0.24343</v>
      </c>
      <c r="L10" s="41">
        <f>F10*$E10</f>
        <v>0</v>
      </c>
      <c r="M10" s="41">
        <f>G10*$E10</f>
        <v>0</v>
      </c>
      <c r="N10" s="41">
        <f>H10*$E10</f>
        <v>0</v>
      </c>
      <c r="O10" s="41">
        <f>L10/I10</f>
        <v>0</v>
      </c>
      <c r="P10" s="41">
        <f>M10/J10</f>
        <v>0</v>
      </c>
      <c r="Q10" s="41">
        <f>N10/K10</f>
        <v>0</v>
      </c>
    </row>
    <row r="11" spans="2:17" ht="14" customHeight="1">
      <c r="B11" s="36" t="s">
        <v>108</v>
      </c>
      <c r="C11" s="37">
        <v>6925.218886140881</v>
      </c>
      <c r="D11" s="38">
        <v>305584.144477</v>
      </c>
      <c r="E11" s="39">
        <f>C11/D11</f>
        <v>0</v>
      </c>
      <c r="F11" s="38">
        <v>20474.182</v>
      </c>
      <c r="G11" s="38">
        <v>23359.364</v>
      </c>
      <c r="H11" s="38">
        <v>26673.6</v>
      </c>
      <c r="I11" s="40">
        <v>0.2655</v>
      </c>
      <c r="J11" s="40">
        <v>0.2553</v>
      </c>
      <c r="K11" s="40">
        <v>0.2486</v>
      </c>
      <c r="L11" s="41">
        <f>F11*$E11</f>
        <v>0</v>
      </c>
      <c r="M11" s="41">
        <f>G11*$E11</f>
        <v>0</v>
      </c>
      <c r="N11" s="41">
        <f>H11*$E11</f>
        <v>0</v>
      </c>
      <c r="O11" s="41">
        <f>L11/I11</f>
        <v>0</v>
      </c>
      <c r="P11" s="41">
        <f>M11/J11</f>
        <v>0</v>
      </c>
      <c r="Q11" s="41">
        <f>N11/K11</f>
        <v>0</v>
      </c>
    </row>
    <row r="12" spans="2:17" ht="14" customHeight="1">
      <c r="B12" s="36" t="s">
        <v>109</v>
      </c>
      <c r="C12" s="37">
        <v>5397.318043638426</v>
      </c>
      <c r="D12" s="38">
        <v>138571.5670872</v>
      </c>
      <c r="E12" s="39">
        <f>C12/D12</f>
        <v>0</v>
      </c>
      <c r="F12" s="38">
        <v>17093.5</v>
      </c>
      <c r="G12" s="38">
        <v>24478.75</v>
      </c>
      <c r="H12" s="38">
        <v>29169</v>
      </c>
      <c r="I12" s="40">
        <v>0.08590999999999999</v>
      </c>
      <c r="J12" s="40">
        <v>0.11989</v>
      </c>
      <c r="K12" s="40">
        <v>0.13251</v>
      </c>
      <c r="L12" s="41">
        <f>F12*$E12</f>
        <v>0</v>
      </c>
      <c r="M12" s="41">
        <f>G12*$E12</f>
        <v>0</v>
      </c>
      <c r="N12" s="41">
        <f>H12*$E12</f>
        <v>0</v>
      </c>
      <c r="O12" s="41">
        <f>L12/I12</f>
        <v>0</v>
      </c>
      <c r="P12" s="41">
        <f>M12/J12</f>
        <v>0</v>
      </c>
      <c r="Q12" s="41">
        <f>N12/K12</f>
        <v>0</v>
      </c>
    </row>
    <row r="13" spans="2:17" ht="14" customHeight="1">
      <c r="B13" s="36" t="s">
        <v>110</v>
      </c>
      <c r="C13" s="37">
        <v>1823.555711161205</v>
      </c>
      <c r="D13" s="38">
        <v>78199.592</v>
      </c>
      <c r="E13" s="39">
        <f>C13/D13</f>
        <v>0</v>
      </c>
      <c r="F13" s="38">
        <v>8662.5</v>
      </c>
      <c r="G13" s="38">
        <v>8582.6</v>
      </c>
      <c r="H13" s="38">
        <v>8977.125</v>
      </c>
      <c r="I13" s="40">
        <v>0.9129900000000001</v>
      </c>
      <c r="J13" s="40">
        <v>0.8507600000000001</v>
      </c>
      <c r="K13" s="40">
        <v>0.81663</v>
      </c>
      <c r="L13" s="41">
        <f>F13*$E13</f>
        <v>0</v>
      </c>
      <c r="M13" s="41">
        <f>G13*$E13</f>
        <v>0</v>
      </c>
      <c r="N13" s="41">
        <f>H13*$E13</f>
        <v>0</v>
      </c>
      <c r="O13" s="41">
        <f>L13/I13</f>
        <v>0</v>
      </c>
      <c r="P13" s="41">
        <f>M13/J13</f>
        <v>0</v>
      </c>
      <c r="Q13" s="41">
        <f>N13/K13</f>
        <v>0</v>
      </c>
    </row>
    <row r="14" spans="2:17" ht="14" customHeight="1">
      <c r="B14" s="36" t="s">
        <v>111</v>
      </c>
      <c r="C14" s="37">
        <v>895.1191230151861</v>
      </c>
      <c r="D14" s="38">
        <v>63090</v>
      </c>
      <c r="E14" s="39">
        <f>C14/D14</f>
        <v>0</v>
      </c>
      <c r="F14" s="38">
        <v>4676.444</v>
      </c>
      <c r="G14" s="38">
        <v>5099.889</v>
      </c>
      <c r="H14" s="38">
        <v>5562.143</v>
      </c>
      <c r="I14" s="40">
        <v>0.3916000000000001</v>
      </c>
      <c r="J14" s="40">
        <v>0.4101</v>
      </c>
      <c r="K14" s="40">
        <v>0.4234000000000001</v>
      </c>
      <c r="L14" s="41">
        <f>F14*$E14</f>
        <v>0</v>
      </c>
      <c r="M14" s="41">
        <f>G14*$E14</f>
        <v>0</v>
      </c>
      <c r="N14" s="41">
        <f>H14*$E14</f>
        <v>0</v>
      </c>
      <c r="O14" s="41">
        <f>L14/I14</f>
        <v>0</v>
      </c>
      <c r="P14" s="41">
        <f>M14/J14</f>
        <v>0</v>
      </c>
      <c r="Q14" s="41">
        <f>N14/K14</f>
        <v>0</v>
      </c>
    </row>
    <row r="15" spans="2:17" ht="14" customHeight="1">
      <c r="B15" s="36" t="s">
        <v>112</v>
      </c>
      <c r="C15" s="37">
        <v>735.1595758186286</v>
      </c>
      <c r="D15" s="38">
        <v>109308.4474447</v>
      </c>
      <c r="E15" s="39">
        <f>C15/D15</f>
        <v>0</v>
      </c>
      <c r="F15" s="38">
        <v>13604.778</v>
      </c>
      <c r="G15" s="38">
        <v>15814.1</v>
      </c>
      <c r="H15" s="38">
        <v>18082.9</v>
      </c>
      <c r="I15" s="40">
        <v>0.13896</v>
      </c>
      <c r="J15" s="40">
        <v>0.15058</v>
      </c>
      <c r="K15" s="40">
        <v>0.15957</v>
      </c>
      <c r="L15" s="41">
        <f>F15*$E15</f>
        <v>0</v>
      </c>
      <c r="M15" s="41">
        <f>G15*$E15</f>
        <v>0</v>
      </c>
      <c r="N15" s="41">
        <f>H15*$E15</f>
        <v>0</v>
      </c>
      <c r="O15" s="41">
        <f>L15/I15</f>
        <v>0</v>
      </c>
      <c r="P15" s="41">
        <f>M15/J15</f>
        <v>0</v>
      </c>
      <c r="Q15" s="41">
        <f>N15/K15</f>
        <v>0</v>
      </c>
    </row>
    <row r="16" spans="2:17" ht="14" customHeight="1">
      <c r="B16" s="36" t="s">
        <v>113</v>
      </c>
      <c r="C16" s="37">
        <v>663.936809511673</v>
      </c>
      <c r="D16" s="38">
        <v>34042.75605900001</v>
      </c>
      <c r="E16" s="39">
        <f>C16/D16</f>
        <v>0</v>
      </c>
      <c r="F16" s="38">
        <v>3715.9</v>
      </c>
      <c r="G16" s="38">
        <v>3997.4</v>
      </c>
      <c r="H16" s="38">
        <v>4403.375</v>
      </c>
      <c r="I16" s="40">
        <v>0.23357</v>
      </c>
      <c r="J16" s="40">
        <v>0.22948</v>
      </c>
      <c r="K16" s="40">
        <v>0.22982</v>
      </c>
      <c r="L16" s="41">
        <f>F16*$E16</f>
        <v>0</v>
      </c>
      <c r="M16" s="41">
        <f>G16*$E16</f>
        <v>0</v>
      </c>
      <c r="N16" s="41">
        <f>H16*$E16</f>
        <v>0</v>
      </c>
      <c r="O16" s="41">
        <f>L16/I16</f>
        <v>0</v>
      </c>
      <c r="P16" s="41">
        <f>M16/J16</f>
        <v>0</v>
      </c>
      <c r="Q16" s="41">
        <f>N16/K16</f>
        <v>0</v>
      </c>
    </row>
    <row r="17" spans="2:17" ht="14" customHeight="1">
      <c r="B17" s="42" t="s">
        <v>114</v>
      </c>
      <c r="C17" s="43">
        <f>SUM(C7:C16)</f>
        <v>0</v>
      </c>
      <c r="D17" s="44"/>
      <c r="E17" s="44"/>
      <c r="F17" s="44"/>
      <c r="G17" s="44"/>
      <c r="H17" s="44"/>
      <c r="I17" s="45">
        <f>L17/O17</f>
        <v>0</v>
      </c>
      <c r="J17" s="45">
        <f>M17/P17</f>
        <v>0</v>
      </c>
      <c r="K17" s="45">
        <f>N17/Q17</f>
        <v>0</v>
      </c>
      <c r="L17" s="43">
        <f>SUM(L7:L16)</f>
        <v>0</v>
      </c>
      <c r="M17" s="43">
        <f>SUM(M7:M16)</f>
        <v>0</v>
      </c>
      <c r="N17" s="43">
        <f>SUM(N7:N16)</f>
        <v>0</v>
      </c>
      <c r="O17" s="43">
        <f>SUM(O7:O16)</f>
        <v>0</v>
      </c>
      <c r="P17" s="43">
        <f>SUM(P7:P16)</f>
        <v>0</v>
      </c>
      <c r="Q17" s="43">
        <f>SUM(Q7:Q16)</f>
        <v>0</v>
      </c>
    </row>
    <row r="18" spans="2:17" ht="14" customHeight="1">
      <c r="B18" s="36" t="s">
        <v>115</v>
      </c>
      <c r="L18" s="41">
        <f>L17-5708.118100817073</f>
        <v>0</v>
      </c>
      <c r="M18" s="41">
        <f>M17-6447.843510049624</f>
        <v>0</v>
      </c>
      <c r="N18" s="41">
        <f>N17-7167.107435011599</f>
        <v>0</v>
      </c>
    </row>
    <row r="20" spans="2:17" ht="14" customHeight="1">
      <c r="B20" s="2" t="s">
        <v>116</v>
      </c>
    </row>
    <row r="21" spans="2:17" ht="14" customHeight="1">
      <c r="B21" s="2" t="s">
        <v>117</v>
      </c>
    </row>
    <row r="22" spans="2:17" ht="14" customHeight="1">
      <c r="B22" s="2" t="s">
        <v>118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9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" customHeight="1"/>
  <cols>
    <col min="1" max="1" width="2.7109375" customWidth="1"/>
    <col min="2" max="2" width="64.7109375" customWidth="1"/>
    <col min="3" max="14" width="11.28515625" customWidth="1"/>
    <col min="15" max="15" width="2.7109375" customWidth="1"/>
    <col min="16" max="16" width="90.7109375" customWidth="1"/>
  </cols>
  <sheetData>
    <row r="1" spans="2:16" ht="30" customHeight="1">
      <c r="B1" s="1" t="s">
        <v>0</v>
      </c>
    </row>
    <row r="2" spans="2:16" ht="14" customHeight="1">
      <c r="B2" s="2" t="s">
        <v>1</v>
      </c>
    </row>
    <row r="3" spans="2:16" ht="14" customHeight="1">
      <c r="B3" s="2" t="s">
        <v>2</v>
      </c>
      <c r="C3" s="3" t="s">
        <v>3</v>
      </c>
      <c r="D3" s="4" t="s">
        <v>4</v>
      </c>
      <c r="E3" s="5" t="s">
        <v>5</v>
      </c>
    </row>
    <row r="5" spans="2:16" ht="14" customHeight="1">
      <c r="B5" s="6" t="s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ht="14" customHeight="1"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15</v>
      </c>
      <c r="K6" s="8" t="s">
        <v>16</v>
      </c>
      <c r="L6" s="8" t="s">
        <v>17</v>
      </c>
      <c r="M6" s="8" t="s">
        <v>18</v>
      </c>
      <c r="N6" s="8" t="s">
        <v>19</v>
      </c>
      <c r="P6" s="8" t="s">
        <v>20</v>
      </c>
    </row>
    <row r="7" spans="2:16" ht="14" customHeight="1">
      <c r="B7" s="9" t="s">
        <v>21</v>
      </c>
      <c r="C7" s="46">
        <v>50922</v>
      </c>
      <c r="D7" s="46">
        <v>56028</v>
      </c>
      <c r="E7" s="46">
        <v>61318</v>
      </c>
      <c r="F7" s="46">
        <v>66407</v>
      </c>
      <c r="G7" s="46">
        <v>71853</v>
      </c>
      <c r="H7" s="46">
        <v>76890</v>
      </c>
      <c r="I7" s="46">
        <v>81937</v>
      </c>
      <c r="J7" s="46">
        <v>87124</v>
      </c>
      <c r="K7" s="46">
        <v>92891</v>
      </c>
      <c r="L7" s="46">
        <v>99086</v>
      </c>
      <c r="M7" s="46">
        <v>105569</v>
      </c>
      <c r="N7" s="46">
        <v>112362</v>
      </c>
      <c r="P7" s="2" t="s">
        <v>22</v>
      </c>
    </row>
    <row r="8" spans="2:16" ht="14" customHeight="1">
      <c r="B8" s="9" t="s">
        <v>23</v>
      </c>
      <c r="C8" s="46">
        <v>29433</v>
      </c>
      <c r="D8" s="46">
        <v>36310</v>
      </c>
      <c r="E8" s="46">
        <v>42954</v>
      </c>
      <c r="F8" s="46">
        <v>47031</v>
      </c>
      <c r="G8" s="46">
        <v>52633</v>
      </c>
      <c r="H8" s="46">
        <v>58205</v>
      </c>
      <c r="I8" s="46">
        <v>62018</v>
      </c>
      <c r="J8" s="46">
        <v>65938</v>
      </c>
      <c r="K8" s="46">
        <v>72614</v>
      </c>
      <c r="L8" s="46">
        <v>77433</v>
      </c>
      <c r="M8" s="46">
        <v>83534</v>
      </c>
      <c r="N8" s="46">
        <v>90010</v>
      </c>
      <c r="P8" s="2" t="s">
        <v>24</v>
      </c>
    </row>
    <row r="9" spans="2:16" ht="14" customHeight="1">
      <c r="B9" s="9" t="s">
        <v>25</v>
      </c>
      <c r="C9" s="22">
        <f>C8/C7</f>
        <v>0</v>
      </c>
      <c r="D9" s="22">
        <f>D8/D7</f>
        <v>0</v>
      </c>
      <c r="E9" s="22">
        <f>E8/E7</f>
        <v>0</v>
      </c>
      <c r="F9" s="22">
        <f>F8/F7</f>
        <v>0</v>
      </c>
      <c r="G9" s="22">
        <f>G8/G7</f>
        <v>0</v>
      </c>
      <c r="H9" s="22">
        <f>H8/H7</f>
        <v>0</v>
      </c>
      <c r="I9" s="22">
        <f>I8/I7</f>
        <v>0</v>
      </c>
      <c r="J9" s="22">
        <f>J8/J7</f>
        <v>0</v>
      </c>
      <c r="K9" s="22">
        <f>K8/K7</f>
        <v>0</v>
      </c>
      <c r="L9" s="22">
        <f>L8/L7</f>
        <v>0</v>
      </c>
      <c r="M9" s="22">
        <f>M8/M7</f>
        <v>0</v>
      </c>
      <c r="N9" s="22">
        <f>N8/N7</f>
        <v>0</v>
      </c>
      <c r="P9" s="2" t="s">
        <v>26</v>
      </c>
    </row>
    <row r="10" spans="2:16" ht="14" customHeight="1">
      <c r="B10" s="36" t="s">
        <v>27</v>
      </c>
      <c r="C10" s="37">
        <v>19089.26509062937</v>
      </c>
      <c r="D10" s="38">
        <v>564225.2276462</v>
      </c>
      <c r="E10" s="39">
        <f>C10/D10</f>
        <v>0</v>
      </c>
      <c r="P10" s="2" t="s">
        <v>28</v>
      </c>
    </row>
    <row r="11" spans="2:16" ht="14" customHeight="1">
      <c r="B11" s="9" t="s">
        <v>29</v>
      </c>
      <c r="C11" s="10">
        <f>C7*$E$10</f>
        <v>0</v>
      </c>
      <c r="D11" s="10">
        <f>D7*$E$10</f>
        <v>0</v>
      </c>
      <c r="E11" s="10">
        <f>E7*$E$10</f>
        <v>0</v>
      </c>
      <c r="F11" s="10">
        <f>F7*$E$10</f>
        <v>0</v>
      </c>
      <c r="G11" s="10">
        <f>G7*$E$10</f>
        <v>0</v>
      </c>
      <c r="H11" s="10">
        <f>H7*$E$10</f>
        <v>0</v>
      </c>
      <c r="I11" s="10">
        <f>I7*$E$10</f>
        <v>0</v>
      </c>
      <c r="J11" s="10">
        <f>J7*$E$10</f>
        <v>0</v>
      </c>
      <c r="K11" s="10">
        <f>K7*$E$10</f>
        <v>0</v>
      </c>
      <c r="L11" s="10">
        <f>L7*$E$10</f>
        <v>0</v>
      </c>
      <c r="M11" s="10">
        <f>M7*$E$10</f>
        <v>0</v>
      </c>
      <c r="N11" s="10">
        <f>N7*$E$10</f>
        <v>0</v>
      </c>
    </row>
    <row r="12" spans="2:16" ht="14" customHeight="1">
      <c r="B12" s="9" t="s">
        <v>30</v>
      </c>
      <c r="C12" s="10">
        <f>C8*$E$10</f>
        <v>0</v>
      </c>
      <c r="D12" s="10">
        <f>D8*$E$10</f>
        <v>0</v>
      </c>
      <c r="E12" s="10">
        <f>E8*$E$10</f>
        <v>0</v>
      </c>
      <c r="F12" s="10">
        <f>F8*$E$10</f>
        <v>0</v>
      </c>
      <c r="G12" s="10">
        <f>G8*$E$10</f>
        <v>0</v>
      </c>
      <c r="H12" s="10">
        <f>H8*$E$10</f>
        <v>0</v>
      </c>
      <c r="I12" s="10">
        <f>I8*$E$10</f>
        <v>0</v>
      </c>
      <c r="J12" s="10">
        <f>J8*$E$10</f>
        <v>0</v>
      </c>
      <c r="K12" s="10">
        <f>K8*$E$10</f>
        <v>0</v>
      </c>
      <c r="L12" s="10">
        <f>L8*$E$10</f>
        <v>0</v>
      </c>
      <c r="M12" s="10">
        <f>M8*$E$10</f>
        <v>0</v>
      </c>
      <c r="N12" s="10">
        <f>N8*$E$10</f>
        <v>0</v>
      </c>
    </row>
    <row r="15" spans="2:16" ht="14" customHeight="1">
      <c r="B15" s="6" t="s">
        <v>31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ht="14" customHeight="1">
      <c r="B16" s="7" t="s">
        <v>7</v>
      </c>
      <c r="C16" s="8" t="s">
        <v>8</v>
      </c>
      <c r="D16" s="8" t="s">
        <v>9</v>
      </c>
      <c r="E16" s="8" t="s">
        <v>10</v>
      </c>
      <c r="F16" s="8" t="s">
        <v>11</v>
      </c>
      <c r="G16" s="8" t="s">
        <v>12</v>
      </c>
      <c r="H16" s="8" t="s">
        <v>13</v>
      </c>
      <c r="I16" s="8" t="s">
        <v>14</v>
      </c>
      <c r="J16" s="8" t="s">
        <v>15</v>
      </c>
      <c r="K16" s="8" t="s">
        <v>16</v>
      </c>
      <c r="L16" s="8" t="s">
        <v>17</v>
      </c>
      <c r="M16" s="8" t="s">
        <v>18</v>
      </c>
      <c r="N16" s="8" t="s">
        <v>19</v>
      </c>
      <c r="P16" s="8" t="s">
        <v>20</v>
      </c>
    </row>
    <row r="17" spans="2:16" ht="14" customHeight="1">
      <c r="B17" s="9" t="s">
        <v>21</v>
      </c>
      <c r="C17" s="46">
        <v>28221</v>
      </c>
      <c r="D17" s="46">
        <v>31178</v>
      </c>
      <c r="E17" s="46">
        <v>34548</v>
      </c>
      <c r="F17" s="46">
        <v>37971</v>
      </c>
      <c r="G17" s="46">
        <v>41533</v>
      </c>
      <c r="H17" s="46">
        <v>44699</v>
      </c>
      <c r="I17" s="46">
        <v>47964</v>
      </c>
      <c r="J17" s="46">
        <v>51319</v>
      </c>
      <c r="K17" s="46">
        <v>54749</v>
      </c>
      <c r="L17" s="46">
        <v>58243</v>
      </c>
      <c r="M17" s="46">
        <v>61788</v>
      </c>
      <c r="N17" s="46">
        <v>65372</v>
      </c>
      <c r="P17" s="2" t="s">
        <v>32</v>
      </c>
    </row>
    <row r="18" spans="2:16" ht="14" customHeight="1">
      <c r="B18" s="9" t="s">
        <v>23</v>
      </c>
      <c r="C18" s="46">
        <v>13727</v>
      </c>
      <c r="D18" s="46">
        <v>15095</v>
      </c>
      <c r="E18" s="46">
        <v>16726</v>
      </c>
      <c r="F18" s="46">
        <v>19903</v>
      </c>
      <c r="G18" s="46">
        <v>23431</v>
      </c>
      <c r="H18" s="46">
        <v>26111</v>
      </c>
      <c r="I18" s="46">
        <v>28978</v>
      </c>
      <c r="J18" s="46">
        <v>31517</v>
      </c>
      <c r="K18" s="46">
        <v>34171</v>
      </c>
      <c r="L18" s="46">
        <v>36934</v>
      </c>
      <c r="M18" s="46">
        <v>39801</v>
      </c>
      <c r="N18" s="46">
        <v>42763</v>
      </c>
      <c r="P18" s="2" t="s">
        <v>33</v>
      </c>
    </row>
    <row r="19" spans="2:16" ht="14" customHeight="1">
      <c r="B19" s="9" t="s">
        <v>25</v>
      </c>
      <c r="C19" s="22">
        <f>C18/C17</f>
        <v>0</v>
      </c>
      <c r="D19" s="22">
        <f>D18/D17</f>
        <v>0</v>
      </c>
      <c r="E19" s="22">
        <f>E18/E17</f>
        <v>0</v>
      </c>
      <c r="F19" s="22">
        <f>F18/F17</f>
        <v>0</v>
      </c>
      <c r="G19" s="22">
        <f>G18/G17</f>
        <v>0</v>
      </c>
      <c r="H19" s="22">
        <f>H18/H17</f>
        <v>0</v>
      </c>
      <c r="I19" s="22">
        <f>I18/I17</f>
        <v>0</v>
      </c>
      <c r="J19" s="22">
        <f>J18/J17</f>
        <v>0</v>
      </c>
      <c r="K19" s="22">
        <f>K18/K17</f>
        <v>0</v>
      </c>
      <c r="L19" s="22">
        <f>L18/L17</f>
        <v>0</v>
      </c>
      <c r="M19" s="22">
        <f>M18/M17</f>
        <v>0</v>
      </c>
      <c r="N19" s="22">
        <f>N18/N17</f>
        <v>0</v>
      </c>
      <c r="P19" s="2" t="s">
        <v>26</v>
      </c>
    </row>
    <row r="20" spans="2:16" ht="14" customHeight="1">
      <c r="B20" s="36" t="s">
        <v>27</v>
      </c>
      <c r="C20" s="37">
        <v>10039.70324411161</v>
      </c>
      <c r="D20" s="38">
        <v>226447.75534607</v>
      </c>
      <c r="E20" s="39">
        <f>C20/D20</f>
        <v>0</v>
      </c>
      <c r="P20" s="2" t="s">
        <v>28</v>
      </c>
    </row>
    <row r="21" spans="2:16" ht="14" customHeight="1">
      <c r="B21" s="9" t="s">
        <v>29</v>
      </c>
      <c r="C21" s="10">
        <f>C17*$E$20</f>
        <v>0</v>
      </c>
      <c r="D21" s="10">
        <f>D17*$E$20</f>
        <v>0</v>
      </c>
      <c r="E21" s="10">
        <f>E17*$E$20</f>
        <v>0</v>
      </c>
      <c r="F21" s="10">
        <f>F17*$E$20</f>
        <v>0</v>
      </c>
      <c r="G21" s="10">
        <f>G17*$E$20</f>
        <v>0</v>
      </c>
      <c r="H21" s="10">
        <f>H17*$E$20</f>
        <v>0</v>
      </c>
      <c r="I21" s="10">
        <f>I17*$E$20</f>
        <v>0</v>
      </c>
      <c r="J21" s="10">
        <f>J17*$E$20</f>
        <v>0</v>
      </c>
      <c r="K21" s="10">
        <f>K17*$E$20</f>
        <v>0</v>
      </c>
      <c r="L21" s="10">
        <f>L17*$E$20</f>
        <v>0</v>
      </c>
      <c r="M21" s="10">
        <f>M17*$E$20</f>
        <v>0</v>
      </c>
      <c r="N21" s="10">
        <f>N17*$E$20</f>
        <v>0</v>
      </c>
    </row>
    <row r="22" spans="2:16" ht="14" customHeight="1">
      <c r="B22" s="9" t="s">
        <v>30</v>
      </c>
      <c r="C22" s="10">
        <f>C18*$E$20</f>
        <v>0</v>
      </c>
      <c r="D22" s="10">
        <f>D18*$E$20</f>
        <v>0</v>
      </c>
      <c r="E22" s="10">
        <f>E18*$E$20</f>
        <v>0</v>
      </c>
      <c r="F22" s="10">
        <f>F18*$E$20</f>
        <v>0</v>
      </c>
      <c r="G22" s="10">
        <f>G18*$E$20</f>
        <v>0</v>
      </c>
      <c r="H22" s="10">
        <f>H18*$E$20</f>
        <v>0</v>
      </c>
      <c r="I22" s="10">
        <f>I18*$E$20</f>
        <v>0</v>
      </c>
      <c r="J22" s="10">
        <f>J18*$E$20</f>
        <v>0</v>
      </c>
      <c r="K22" s="10">
        <f>K18*$E$20</f>
        <v>0</v>
      </c>
      <c r="L22" s="10">
        <f>L18*$E$20</f>
        <v>0</v>
      </c>
      <c r="M22" s="10">
        <f>M18*$E$20</f>
        <v>0</v>
      </c>
      <c r="N22" s="10">
        <f>N18*$E$20</f>
        <v>0</v>
      </c>
    </row>
    <row r="25" spans="2:16" ht="14" customHeight="1">
      <c r="B25" s="6" t="s">
        <v>34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2:16" ht="14" customHeight="1">
      <c r="B26" s="7" t="s">
        <v>7</v>
      </c>
      <c r="C26" s="8" t="s">
        <v>8</v>
      </c>
      <c r="D26" s="8" t="s">
        <v>9</v>
      </c>
      <c r="E26" s="8" t="s">
        <v>10</v>
      </c>
      <c r="F26" s="8" t="s">
        <v>11</v>
      </c>
      <c r="G26" s="8" t="s">
        <v>12</v>
      </c>
      <c r="H26" s="8" t="s">
        <v>13</v>
      </c>
      <c r="I26" s="8" t="s">
        <v>14</v>
      </c>
      <c r="J26" s="8" t="s">
        <v>15</v>
      </c>
      <c r="K26" s="8" t="s">
        <v>16</v>
      </c>
      <c r="L26" s="8" t="s">
        <v>17</v>
      </c>
      <c r="M26" s="8" t="s">
        <v>18</v>
      </c>
      <c r="N26" s="8" t="s">
        <v>19</v>
      </c>
      <c r="P26" s="8" t="s">
        <v>20</v>
      </c>
    </row>
    <row r="27" spans="2:16" ht="14" customHeight="1">
      <c r="B27" s="9" t="s">
        <v>21</v>
      </c>
      <c r="C27" s="46">
        <v>6537</v>
      </c>
      <c r="D27" s="46">
        <v>7215</v>
      </c>
      <c r="E27" s="46">
        <v>7971</v>
      </c>
      <c r="F27" s="46">
        <v>8876</v>
      </c>
      <c r="G27" s="46">
        <v>9881</v>
      </c>
      <c r="H27" s="46">
        <v>10905</v>
      </c>
      <c r="I27" s="46">
        <v>11848</v>
      </c>
      <c r="J27" s="46">
        <v>13062</v>
      </c>
      <c r="K27" s="47">
        <f>J27*(1+gAn)</f>
        <v>0</v>
      </c>
      <c r="L27" s="47">
        <f>K27*(1+gAn)</f>
        <v>0</v>
      </c>
      <c r="M27" s="47">
        <f>L27*(1+gAn)</f>
        <v>0</v>
      </c>
      <c r="N27" s="47">
        <f>M27*(1+gAn)</f>
        <v>0</v>
      </c>
      <c r="P27" s="2" t="s">
        <v>35</v>
      </c>
    </row>
    <row r="28" spans="2:16" ht="14" customHeight="1">
      <c r="B28" s="9" t="s">
        <v>23</v>
      </c>
      <c r="C28" s="46">
        <v>6203</v>
      </c>
      <c r="D28" s="46">
        <v>6859</v>
      </c>
      <c r="E28" s="46">
        <v>7612</v>
      </c>
      <c r="F28" s="46">
        <v>8513</v>
      </c>
      <c r="G28" s="46">
        <v>9413</v>
      </c>
      <c r="H28" s="46">
        <v>10358</v>
      </c>
      <c r="I28" s="46">
        <v>11364</v>
      </c>
      <c r="J28" s="46">
        <v>12526</v>
      </c>
      <c r="K28" s="47">
        <f>K27*J29</f>
        <v>0</v>
      </c>
      <c r="L28" s="47">
        <f>L27*J29</f>
        <v>0</v>
      </c>
      <c r="M28" s="47">
        <f>M27*J29</f>
        <v>0</v>
      </c>
      <c r="N28" s="47">
        <f>N27*J29</f>
        <v>0</v>
      </c>
      <c r="P28" s="2" t="s">
        <v>36</v>
      </c>
    </row>
    <row r="29" spans="2:16" ht="14" customHeight="1">
      <c r="B29" s="9" t="s">
        <v>25</v>
      </c>
      <c r="C29" s="22">
        <f>C28/C27</f>
        <v>0</v>
      </c>
      <c r="D29" s="22">
        <f>D28/D27</f>
        <v>0</v>
      </c>
      <c r="E29" s="22">
        <f>E28/E27</f>
        <v>0</v>
      </c>
      <c r="F29" s="22">
        <f>F28/F27</f>
        <v>0</v>
      </c>
      <c r="G29" s="22">
        <f>G28/G27</f>
        <v>0</v>
      </c>
      <c r="H29" s="22">
        <f>H28/H27</f>
        <v>0</v>
      </c>
      <c r="I29" s="22">
        <f>I28/I27</f>
        <v>0</v>
      </c>
      <c r="J29" s="22">
        <f>J28/J27</f>
        <v>0</v>
      </c>
      <c r="K29" s="22">
        <f>K28/K27</f>
        <v>0</v>
      </c>
      <c r="L29" s="22">
        <f>L28/L27</f>
        <v>0</v>
      </c>
      <c r="M29" s="22">
        <f>M28/M27</f>
        <v>0</v>
      </c>
      <c r="N29" s="22">
        <f>N28/N27</f>
        <v>0</v>
      </c>
      <c r="P29" s="2" t="s">
        <v>26</v>
      </c>
    </row>
    <row r="30" spans="2:16" ht="14" customHeight="1">
      <c r="B30" s="36" t="s">
        <v>27</v>
      </c>
      <c r="C30" s="37">
        <v>8337.403451434404</v>
      </c>
      <c r="D30" s="38">
        <v>112688.345</v>
      </c>
      <c r="E30" s="39">
        <f>C30/D30</f>
        <v>0</v>
      </c>
      <c r="P30" s="2" t="s">
        <v>28</v>
      </c>
    </row>
    <row r="31" spans="2:16" ht="14" customHeight="1">
      <c r="B31" s="9" t="s">
        <v>29</v>
      </c>
      <c r="C31" s="10">
        <f>C27*$E$30</f>
        <v>0</v>
      </c>
      <c r="D31" s="10">
        <f>D27*$E$30</f>
        <v>0</v>
      </c>
      <c r="E31" s="10">
        <f>E27*$E$30</f>
        <v>0</v>
      </c>
      <c r="F31" s="10">
        <f>F27*$E$30</f>
        <v>0</v>
      </c>
      <c r="G31" s="10">
        <f>G27*$E$30</f>
        <v>0</v>
      </c>
      <c r="H31" s="10">
        <f>H27*$E$30</f>
        <v>0</v>
      </c>
      <c r="I31" s="10">
        <f>I27*$E$30</f>
        <v>0</v>
      </c>
      <c r="J31" s="10">
        <f>J27*$E$30</f>
        <v>0</v>
      </c>
      <c r="K31" s="10">
        <f>K27*$E$30</f>
        <v>0</v>
      </c>
      <c r="L31" s="10">
        <f>L27*$E$30</f>
        <v>0</v>
      </c>
      <c r="M31" s="10">
        <f>M27*$E$30</f>
        <v>0</v>
      </c>
      <c r="N31" s="10">
        <f>N27*$E$30</f>
        <v>0</v>
      </c>
    </row>
    <row r="32" spans="2:16" ht="14" customHeight="1">
      <c r="B32" s="9" t="s">
        <v>30</v>
      </c>
      <c r="C32" s="10">
        <f>C28*$E$30</f>
        <v>0</v>
      </c>
      <c r="D32" s="10">
        <f>D28*$E$30</f>
        <v>0</v>
      </c>
      <c r="E32" s="10">
        <f>E28*$E$30</f>
        <v>0</v>
      </c>
      <c r="F32" s="10">
        <f>F28*$E$30</f>
        <v>0</v>
      </c>
      <c r="G32" s="10">
        <f>G28*$E$30</f>
        <v>0</v>
      </c>
      <c r="H32" s="10">
        <f>H28*$E$30</f>
        <v>0</v>
      </c>
      <c r="I32" s="10">
        <f>I28*$E$30</f>
        <v>0</v>
      </c>
      <c r="J32" s="10">
        <f>J28*$E$30</f>
        <v>0</v>
      </c>
      <c r="K32" s="10">
        <f>K28*$E$30</f>
        <v>0</v>
      </c>
      <c r="L32" s="10">
        <f>L28*$E$30</f>
        <v>0</v>
      </c>
      <c r="M32" s="10">
        <f>M28*$E$30</f>
        <v>0</v>
      </c>
      <c r="N32" s="10">
        <f>N28*$E$30</f>
        <v>0</v>
      </c>
    </row>
    <row r="35" spans="2:16" ht="14" customHeight="1">
      <c r="B35" s="6" t="s">
        <v>37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2:16" ht="14" customHeight="1">
      <c r="B36" s="7" t="s">
        <v>7</v>
      </c>
      <c r="C36" s="8" t="s">
        <v>8</v>
      </c>
      <c r="D36" s="8" t="s">
        <v>9</v>
      </c>
      <c r="E36" s="8" t="s">
        <v>10</v>
      </c>
      <c r="F36" s="8" t="s">
        <v>11</v>
      </c>
      <c r="G36" s="8" t="s">
        <v>12</v>
      </c>
      <c r="H36" s="8" t="s">
        <v>13</v>
      </c>
      <c r="I36" s="8" t="s">
        <v>14</v>
      </c>
      <c r="J36" s="8" t="s">
        <v>15</v>
      </c>
      <c r="K36" s="8" t="s">
        <v>16</v>
      </c>
      <c r="L36" s="8" t="s">
        <v>17</v>
      </c>
      <c r="M36" s="8" t="s">
        <v>18</v>
      </c>
      <c r="N36" s="8" t="s">
        <v>19</v>
      </c>
      <c r="P36" s="8" t="s">
        <v>20</v>
      </c>
    </row>
    <row r="37" spans="2:16" ht="14" customHeight="1">
      <c r="B37" s="9" t="s">
        <v>21</v>
      </c>
      <c r="C37" s="46">
        <v>19103</v>
      </c>
      <c r="D37" s="46">
        <v>21961</v>
      </c>
      <c r="E37" s="46">
        <v>25043</v>
      </c>
      <c r="F37" s="46">
        <v>28704</v>
      </c>
      <c r="G37" s="46">
        <v>32446</v>
      </c>
      <c r="H37" s="46">
        <v>36374</v>
      </c>
      <c r="I37" s="46">
        <v>40448</v>
      </c>
      <c r="J37" s="46">
        <v>44253</v>
      </c>
      <c r="K37" s="46">
        <v>48504</v>
      </c>
      <c r="L37" s="46">
        <v>52818</v>
      </c>
      <c r="M37" s="46">
        <v>57507</v>
      </c>
      <c r="N37" s="47">
        <f>M37*(1+gAn)</f>
        <v>0</v>
      </c>
      <c r="P37" s="2" t="s">
        <v>38</v>
      </c>
    </row>
    <row r="38" spans="2:16" ht="14" customHeight="1">
      <c r="B38" s="9" t="s">
        <v>23</v>
      </c>
      <c r="C38" s="46">
        <v>6686</v>
      </c>
      <c r="D38" s="46">
        <v>9882</v>
      </c>
      <c r="E38" s="46">
        <v>13774</v>
      </c>
      <c r="F38" s="46">
        <v>17222</v>
      </c>
      <c r="G38" s="46">
        <v>21090</v>
      </c>
      <c r="H38" s="46">
        <v>25462</v>
      </c>
      <c r="I38" s="46">
        <v>30336</v>
      </c>
      <c r="J38" s="46">
        <v>35403</v>
      </c>
      <c r="K38" s="46">
        <v>41228</v>
      </c>
      <c r="L38" s="46">
        <v>47536</v>
      </c>
      <c r="M38" s="46">
        <v>54632</v>
      </c>
      <c r="N38" s="47">
        <f>N37*M39</f>
        <v>0</v>
      </c>
      <c r="P38" s="2" t="s">
        <v>39</v>
      </c>
    </row>
    <row r="39" spans="2:16" ht="14" customHeight="1">
      <c r="B39" s="9" t="s">
        <v>25</v>
      </c>
      <c r="C39" s="22">
        <f>C38/C37</f>
        <v>0</v>
      </c>
      <c r="D39" s="22">
        <f>D38/D37</f>
        <v>0</v>
      </c>
      <c r="E39" s="22">
        <f>E38/E37</f>
        <v>0</v>
      </c>
      <c r="F39" s="22">
        <f>F38/F37</f>
        <v>0</v>
      </c>
      <c r="G39" s="22">
        <f>G38/G37</f>
        <v>0</v>
      </c>
      <c r="H39" s="22">
        <f>H38/H37</f>
        <v>0</v>
      </c>
      <c r="I39" s="22">
        <f>I38/I37</f>
        <v>0</v>
      </c>
      <c r="J39" s="22">
        <f>J38/J37</f>
        <v>0</v>
      </c>
      <c r="K39" s="22">
        <f>K38/K37</f>
        <v>0</v>
      </c>
      <c r="L39" s="22">
        <f>L38/L37</f>
        <v>0</v>
      </c>
      <c r="M39" s="22">
        <f>M38/M37</f>
        <v>0</v>
      </c>
      <c r="N39" s="22">
        <f>N38/N37</f>
        <v>0</v>
      </c>
      <c r="P39" s="2" t="s">
        <v>26</v>
      </c>
    </row>
    <row r="40" spans="2:16" ht="14" customHeight="1">
      <c r="B40" s="36" t="s">
        <v>27</v>
      </c>
      <c r="C40" s="37">
        <v>6925.218886140881</v>
      </c>
      <c r="D40" s="38">
        <v>305584.144477</v>
      </c>
      <c r="E40" s="39">
        <f>C40/D40</f>
        <v>0</v>
      </c>
      <c r="P40" s="2" t="s">
        <v>28</v>
      </c>
    </row>
    <row r="41" spans="2:16" ht="14" customHeight="1">
      <c r="B41" s="9" t="s">
        <v>29</v>
      </c>
      <c r="C41" s="10">
        <f>C37*$E$40</f>
        <v>0</v>
      </c>
      <c r="D41" s="10">
        <f>D37*$E$40</f>
        <v>0</v>
      </c>
      <c r="E41" s="10">
        <f>E37*$E$40</f>
        <v>0</v>
      </c>
      <c r="F41" s="10">
        <f>F37*$E$40</f>
        <v>0</v>
      </c>
      <c r="G41" s="10">
        <f>G37*$E$40</f>
        <v>0</v>
      </c>
      <c r="H41" s="10">
        <f>H37*$E$40</f>
        <v>0</v>
      </c>
      <c r="I41" s="10">
        <f>I37*$E$40</f>
        <v>0</v>
      </c>
      <c r="J41" s="10">
        <f>J37*$E$40</f>
        <v>0</v>
      </c>
      <c r="K41" s="10">
        <f>K37*$E$40</f>
        <v>0</v>
      </c>
      <c r="L41" s="10">
        <f>L37*$E$40</f>
        <v>0</v>
      </c>
      <c r="M41" s="10">
        <f>M37*$E$40</f>
        <v>0</v>
      </c>
      <c r="N41" s="10">
        <f>N37*$E$40</f>
        <v>0</v>
      </c>
    </row>
    <row r="42" spans="2:16" ht="14" customHeight="1">
      <c r="B42" s="9" t="s">
        <v>30</v>
      </c>
      <c r="C42" s="10">
        <f>C38*$E$40</f>
        <v>0</v>
      </c>
      <c r="D42" s="10">
        <f>D38*$E$40</f>
        <v>0</v>
      </c>
      <c r="E42" s="10">
        <f>E38*$E$40</f>
        <v>0</v>
      </c>
      <c r="F42" s="10">
        <f>F38*$E$40</f>
        <v>0</v>
      </c>
      <c r="G42" s="10">
        <f>G38*$E$40</f>
        <v>0</v>
      </c>
      <c r="H42" s="10">
        <f>H38*$E$40</f>
        <v>0</v>
      </c>
      <c r="I42" s="10">
        <f>I38*$E$40</f>
        <v>0</v>
      </c>
      <c r="J42" s="10">
        <f>J38*$E$40</f>
        <v>0</v>
      </c>
      <c r="K42" s="10">
        <f>K38*$E$40</f>
        <v>0</v>
      </c>
      <c r="L42" s="10">
        <f>L38*$E$40</f>
        <v>0</v>
      </c>
      <c r="M42" s="10">
        <f>M38*$E$40</f>
        <v>0</v>
      </c>
      <c r="N42" s="10">
        <f>N38*$E$40</f>
        <v>0</v>
      </c>
    </row>
    <row r="45" spans="2:16" ht="14" customHeight="1">
      <c r="B45" s="6" t="s">
        <v>40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2:16" ht="14" customHeight="1">
      <c r="B46" s="7" t="s">
        <v>7</v>
      </c>
      <c r="C46" s="8" t="s">
        <v>8</v>
      </c>
      <c r="D46" s="8" t="s">
        <v>9</v>
      </c>
      <c r="E46" s="8" t="s">
        <v>10</v>
      </c>
      <c r="F46" s="8" t="s">
        <v>11</v>
      </c>
      <c r="G46" s="8" t="s">
        <v>12</v>
      </c>
      <c r="H46" s="8" t="s">
        <v>13</v>
      </c>
      <c r="I46" s="8" t="s">
        <v>14</v>
      </c>
      <c r="J46" s="8" t="s">
        <v>15</v>
      </c>
      <c r="K46" s="8" t="s">
        <v>16</v>
      </c>
      <c r="L46" s="8" t="s">
        <v>17</v>
      </c>
      <c r="M46" s="8" t="s">
        <v>18</v>
      </c>
      <c r="N46" s="8" t="s">
        <v>19</v>
      </c>
      <c r="P46" s="8" t="s">
        <v>20</v>
      </c>
    </row>
    <row r="47" spans="2:16" ht="14" customHeight="1">
      <c r="B47" s="9" t="s">
        <v>21</v>
      </c>
      <c r="C47" s="47">
        <f>C48/C49</f>
        <v>0</v>
      </c>
      <c r="D47" s="47">
        <f>D48/D49</f>
        <v>0</v>
      </c>
      <c r="E47" s="47">
        <f>E48/E49</f>
        <v>0</v>
      </c>
      <c r="F47" s="47">
        <f>F48/F49</f>
        <v>0</v>
      </c>
      <c r="G47" s="47">
        <f>G48/G49</f>
        <v>0</v>
      </c>
      <c r="H47" s="47">
        <f>H48/H49</f>
        <v>0</v>
      </c>
      <c r="I47" s="47">
        <f>I48/I49</f>
        <v>0</v>
      </c>
      <c r="J47" s="47">
        <f>J48/J49</f>
        <v>0</v>
      </c>
      <c r="K47" s="47">
        <f>K48/K49</f>
        <v>0</v>
      </c>
      <c r="L47" s="47">
        <f>L48/L49</f>
        <v>0</v>
      </c>
      <c r="M47" s="47">
        <f>M48/M49</f>
        <v>0</v>
      </c>
      <c r="N47" s="47">
        <f>N48/N49</f>
        <v>0</v>
      </c>
      <c r="P47" s="2" t="s">
        <v>41</v>
      </c>
    </row>
    <row r="48" spans="2:16" ht="14" customHeight="1">
      <c r="B48" s="9" t="s">
        <v>23</v>
      </c>
      <c r="C48" s="46">
        <v>4060</v>
      </c>
      <c r="D48" s="46">
        <v>7114</v>
      </c>
      <c r="E48" s="46">
        <v>8935</v>
      </c>
      <c r="F48" s="46">
        <v>9990</v>
      </c>
      <c r="G48" s="46">
        <v>10846</v>
      </c>
      <c r="H48" s="46">
        <v>13882</v>
      </c>
      <c r="I48" s="46">
        <v>17093</v>
      </c>
      <c r="J48" s="46">
        <v>20522</v>
      </c>
      <c r="K48" s="46">
        <v>24056</v>
      </c>
      <c r="L48" s="46">
        <v>27771</v>
      </c>
      <c r="M48" s="46">
        <v>29140</v>
      </c>
      <c r="N48" s="46">
        <v>30564</v>
      </c>
      <c r="P48" s="2" t="s">
        <v>42</v>
      </c>
    </row>
    <row r="49" spans="2:16" ht="14" customHeight="1">
      <c r="B49" s="9" t="s">
        <v>25</v>
      </c>
      <c r="C49" s="48">
        <v>0.24</v>
      </c>
      <c r="D49" s="48">
        <v>0.3</v>
      </c>
      <c r="E49" s="48">
        <v>0.3</v>
      </c>
      <c r="F49" s="48">
        <v>0.3</v>
      </c>
      <c r="G49" s="48">
        <v>0.3</v>
      </c>
      <c r="H49" s="48">
        <v>0.35</v>
      </c>
      <c r="I49" s="48">
        <v>0.4</v>
      </c>
      <c r="J49" s="48">
        <v>0.45</v>
      </c>
      <c r="K49" s="48">
        <v>0.5</v>
      </c>
      <c r="L49" s="48">
        <v>0.55</v>
      </c>
      <c r="M49" s="48">
        <v>0.55</v>
      </c>
      <c r="N49" s="48">
        <v>0.55</v>
      </c>
      <c r="P49" s="2" t="s">
        <v>43</v>
      </c>
    </row>
    <row r="50" spans="2:16" ht="14" customHeight="1">
      <c r="B50" s="36" t="s">
        <v>27</v>
      </c>
      <c r="C50" s="37">
        <v>5397.318043638426</v>
      </c>
      <c r="D50" s="38">
        <v>138571.5670872</v>
      </c>
      <c r="E50" s="39">
        <f>C50/D50</f>
        <v>0</v>
      </c>
      <c r="P50" s="2" t="s">
        <v>28</v>
      </c>
    </row>
    <row r="51" spans="2:16" ht="14" customHeight="1">
      <c r="B51" s="9" t="s">
        <v>29</v>
      </c>
      <c r="C51" s="10">
        <f>C47*$E$50</f>
        <v>0</v>
      </c>
      <c r="D51" s="10">
        <f>D47*$E$50</f>
        <v>0</v>
      </c>
      <c r="E51" s="10">
        <f>E47*$E$50</f>
        <v>0</v>
      </c>
      <c r="F51" s="10">
        <f>F47*$E$50</f>
        <v>0</v>
      </c>
      <c r="G51" s="10">
        <f>G47*$E$50</f>
        <v>0</v>
      </c>
      <c r="H51" s="10">
        <f>H47*$E$50</f>
        <v>0</v>
      </c>
      <c r="I51" s="10">
        <f>I47*$E$50</f>
        <v>0</v>
      </c>
      <c r="J51" s="10">
        <f>J47*$E$50</f>
        <v>0</v>
      </c>
      <c r="K51" s="10">
        <f>K47*$E$50</f>
        <v>0</v>
      </c>
      <c r="L51" s="10">
        <f>L47*$E$50</f>
        <v>0</v>
      </c>
      <c r="M51" s="10">
        <f>M47*$E$50</f>
        <v>0</v>
      </c>
      <c r="N51" s="10">
        <f>N47*$E$50</f>
        <v>0</v>
      </c>
    </row>
    <row r="52" spans="2:16" ht="14" customHeight="1">
      <c r="B52" s="9" t="s">
        <v>30</v>
      </c>
      <c r="C52" s="10">
        <f>C48*$E$50</f>
        <v>0</v>
      </c>
      <c r="D52" s="10">
        <f>D48*$E$50</f>
        <v>0</v>
      </c>
      <c r="E52" s="10">
        <f>E48*$E$50</f>
        <v>0</v>
      </c>
      <c r="F52" s="10">
        <f>F48*$E$50</f>
        <v>0</v>
      </c>
      <c r="G52" s="10">
        <f>G48*$E$50</f>
        <v>0</v>
      </c>
      <c r="H52" s="10">
        <f>H48*$E$50</f>
        <v>0</v>
      </c>
      <c r="I52" s="10">
        <f>I48*$E$50</f>
        <v>0</v>
      </c>
      <c r="J52" s="10">
        <f>J48*$E$50</f>
        <v>0</v>
      </c>
      <c r="K52" s="10">
        <f>K48*$E$50</f>
        <v>0</v>
      </c>
      <c r="L52" s="10">
        <f>L48*$E$50</f>
        <v>0</v>
      </c>
      <c r="M52" s="10">
        <f>M48*$E$50</f>
        <v>0</v>
      </c>
      <c r="N52" s="10">
        <f>N48*$E$50</f>
        <v>0</v>
      </c>
    </row>
    <row r="55" spans="2:16" ht="14" customHeight="1">
      <c r="B55" s="6" t="s">
        <v>44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ht="14" customHeight="1">
      <c r="B56" s="7" t="s">
        <v>7</v>
      </c>
      <c r="C56" s="8" t="s">
        <v>8</v>
      </c>
      <c r="D56" s="8" t="s">
        <v>9</v>
      </c>
      <c r="E56" s="8" t="s">
        <v>10</v>
      </c>
      <c r="F56" s="8" t="s">
        <v>11</v>
      </c>
      <c r="G56" s="8" t="s">
        <v>12</v>
      </c>
      <c r="H56" s="8" t="s">
        <v>13</v>
      </c>
      <c r="I56" s="8" t="s">
        <v>14</v>
      </c>
      <c r="J56" s="8" t="s">
        <v>15</v>
      </c>
      <c r="K56" s="8" t="s">
        <v>16</v>
      </c>
      <c r="L56" s="8" t="s">
        <v>17</v>
      </c>
      <c r="M56" s="8" t="s">
        <v>18</v>
      </c>
      <c r="N56" s="8" t="s">
        <v>19</v>
      </c>
      <c r="P56" s="8" t="s">
        <v>20</v>
      </c>
    </row>
    <row r="57" spans="2:16" ht="14" customHeight="1">
      <c r="B57" s="9" t="s">
        <v>21</v>
      </c>
      <c r="C57" s="46">
        <v>4565.538</v>
      </c>
      <c r="D57" s="46">
        <v>4903.673</v>
      </c>
      <c r="E57" s="46">
        <v>5256.803</v>
      </c>
      <c r="F57" s="46">
        <v>5652.253</v>
      </c>
      <c r="G57" s="46">
        <v>6018.714</v>
      </c>
      <c r="H57" s="46">
        <v>6421.658</v>
      </c>
      <c r="I57" s="46">
        <v>6858</v>
      </c>
      <c r="J57" s="46">
        <v>7330.546</v>
      </c>
      <c r="K57" s="46">
        <v>7842.343</v>
      </c>
      <c r="L57" s="46">
        <v>8396.709000000001</v>
      </c>
      <c r="M57" s="46">
        <v>8997.253000000001</v>
      </c>
      <c r="N57" s="47">
        <f>M57*(1+gAn)</f>
        <v>0</v>
      </c>
      <c r="P57" s="2" t="s">
        <v>45</v>
      </c>
    </row>
    <row r="58" spans="2:16" ht="14" customHeight="1">
      <c r="B58" s="9" t="s">
        <v>23</v>
      </c>
      <c r="C58" s="46">
        <v>4208</v>
      </c>
      <c r="D58" s="46">
        <v>4520</v>
      </c>
      <c r="E58" s="46">
        <v>4845</v>
      </c>
      <c r="F58" s="46">
        <v>5210</v>
      </c>
      <c r="G58" s="46">
        <v>5547</v>
      </c>
      <c r="H58" s="46">
        <v>5919</v>
      </c>
      <c r="I58" s="46">
        <v>6321</v>
      </c>
      <c r="J58" s="46">
        <v>6756</v>
      </c>
      <c r="K58" s="46">
        <v>7228</v>
      </c>
      <c r="L58" s="46">
        <v>7739</v>
      </c>
      <c r="M58" s="46">
        <v>8293</v>
      </c>
      <c r="N58" s="47">
        <f>N57*M59</f>
        <v>0</v>
      </c>
      <c r="P58" s="2" t="s">
        <v>46</v>
      </c>
    </row>
    <row r="59" spans="2:16" ht="14" customHeight="1">
      <c r="B59" s="9" t="s">
        <v>25</v>
      </c>
      <c r="C59" s="22">
        <f>C58/C57</f>
        <v>0</v>
      </c>
      <c r="D59" s="22">
        <f>D58/D57</f>
        <v>0</v>
      </c>
      <c r="E59" s="22">
        <f>E58/E57</f>
        <v>0</v>
      </c>
      <c r="F59" s="22">
        <f>F58/F57</f>
        <v>0</v>
      </c>
      <c r="G59" s="22">
        <f>G58/G57</f>
        <v>0</v>
      </c>
      <c r="H59" s="22">
        <f>H58/H57</f>
        <v>0</v>
      </c>
      <c r="I59" s="22">
        <f>I58/I57</f>
        <v>0</v>
      </c>
      <c r="J59" s="22">
        <f>J58/J57</f>
        <v>0</v>
      </c>
      <c r="K59" s="22">
        <f>K58/K57</f>
        <v>0</v>
      </c>
      <c r="L59" s="22">
        <f>L58/L57</f>
        <v>0</v>
      </c>
      <c r="M59" s="22">
        <f>M58/M57</f>
        <v>0</v>
      </c>
      <c r="N59" s="22">
        <f>N58/N57</f>
        <v>0</v>
      </c>
      <c r="P59" s="2" t="s">
        <v>26</v>
      </c>
    </row>
    <row r="60" spans="2:16" ht="14" customHeight="1">
      <c r="B60" s="36" t="s">
        <v>27</v>
      </c>
      <c r="C60" s="37">
        <v>895.1191230151861</v>
      </c>
      <c r="D60" s="38">
        <v>63090</v>
      </c>
      <c r="E60" s="39">
        <f>C60/D60</f>
        <v>0</v>
      </c>
      <c r="P60" s="2" t="s">
        <v>28</v>
      </c>
    </row>
    <row r="61" spans="2:16" ht="14" customHeight="1">
      <c r="B61" s="9" t="s">
        <v>29</v>
      </c>
      <c r="C61" s="10">
        <f>C57*$E$60</f>
        <v>0</v>
      </c>
      <c r="D61" s="10">
        <f>D57*$E$60</f>
        <v>0</v>
      </c>
      <c r="E61" s="10">
        <f>E57*$E$60</f>
        <v>0</v>
      </c>
      <c r="F61" s="10">
        <f>F57*$E$60</f>
        <v>0</v>
      </c>
      <c r="G61" s="10">
        <f>G57*$E$60</f>
        <v>0</v>
      </c>
      <c r="H61" s="10">
        <f>H57*$E$60</f>
        <v>0</v>
      </c>
      <c r="I61" s="10">
        <f>I57*$E$60</f>
        <v>0</v>
      </c>
      <c r="J61" s="10">
        <f>J57*$E$60</f>
        <v>0</v>
      </c>
      <c r="K61" s="10">
        <f>K57*$E$60</f>
        <v>0</v>
      </c>
      <c r="L61" s="10">
        <f>L57*$E$60</f>
        <v>0</v>
      </c>
      <c r="M61" s="10">
        <f>M57*$E$60</f>
        <v>0</v>
      </c>
      <c r="N61" s="10">
        <f>N57*$E$60</f>
        <v>0</v>
      </c>
    </row>
    <row r="62" spans="2:16" ht="14" customHeight="1">
      <c r="B62" s="9" t="s">
        <v>30</v>
      </c>
      <c r="C62" s="10">
        <f>C58*$E$60</f>
        <v>0</v>
      </c>
      <c r="D62" s="10">
        <f>D58*$E$60</f>
        <v>0</v>
      </c>
      <c r="E62" s="10">
        <f>E58*$E$60</f>
        <v>0</v>
      </c>
      <c r="F62" s="10">
        <f>F58*$E$60</f>
        <v>0</v>
      </c>
      <c r="G62" s="10">
        <f>G58*$E$60</f>
        <v>0</v>
      </c>
      <c r="H62" s="10">
        <f>H58*$E$60</f>
        <v>0</v>
      </c>
      <c r="I62" s="10">
        <f>I58*$E$60</f>
        <v>0</v>
      </c>
      <c r="J62" s="10">
        <f>J58*$E$60</f>
        <v>0</v>
      </c>
      <c r="K62" s="10">
        <f>K58*$E$60</f>
        <v>0</v>
      </c>
      <c r="L62" s="10">
        <f>L58*$E$60</f>
        <v>0</v>
      </c>
      <c r="M62" s="10">
        <f>M58*$E$60</f>
        <v>0</v>
      </c>
      <c r="N62" s="10">
        <f>N58*$E$60</f>
        <v>0</v>
      </c>
    </row>
    <row r="65" spans="2:16" ht="14" customHeight="1">
      <c r="B65" s="6" t="s">
        <v>47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 ht="14" customHeight="1">
      <c r="B66" s="7" t="s">
        <v>7</v>
      </c>
      <c r="C66" s="8" t="s">
        <v>8</v>
      </c>
      <c r="D66" s="8" t="s">
        <v>9</v>
      </c>
      <c r="E66" s="8" t="s">
        <v>10</v>
      </c>
      <c r="F66" s="8" t="s">
        <v>11</v>
      </c>
      <c r="G66" s="8" t="s">
        <v>12</v>
      </c>
      <c r="H66" s="8" t="s">
        <v>13</v>
      </c>
      <c r="I66" s="8" t="s">
        <v>14</v>
      </c>
      <c r="J66" s="8" t="s">
        <v>15</v>
      </c>
      <c r="K66" s="8" t="s">
        <v>16</v>
      </c>
      <c r="L66" s="8" t="s">
        <v>17</v>
      </c>
      <c r="M66" s="8" t="s">
        <v>18</v>
      </c>
      <c r="N66" s="8" t="s">
        <v>19</v>
      </c>
      <c r="P66" s="8" t="s">
        <v>20</v>
      </c>
    </row>
    <row r="67" spans="2:16" ht="14" customHeight="1">
      <c r="B67" s="9" t="s">
        <v>21</v>
      </c>
      <c r="C67" s="46">
        <v>17399</v>
      </c>
      <c r="D67" s="46">
        <v>19672</v>
      </c>
      <c r="E67" s="46">
        <v>20985</v>
      </c>
      <c r="F67" s="46">
        <v>22473</v>
      </c>
      <c r="G67" s="46">
        <v>23918</v>
      </c>
      <c r="H67" s="46">
        <v>25510</v>
      </c>
      <c r="I67" s="46">
        <v>27201</v>
      </c>
      <c r="J67" s="46">
        <v>28935</v>
      </c>
      <c r="K67" s="46">
        <v>30589</v>
      </c>
      <c r="L67" s="46">
        <v>32224</v>
      </c>
      <c r="M67" s="46">
        <v>33739</v>
      </c>
      <c r="N67" s="47">
        <f>M67*(1+gAn)</f>
        <v>0</v>
      </c>
      <c r="P67" s="2" t="s">
        <v>48</v>
      </c>
    </row>
    <row r="68" spans="2:16" ht="14" customHeight="1">
      <c r="B68" s="9" t="s">
        <v>23</v>
      </c>
      <c r="C68" s="46">
        <v>11309</v>
      </c>
      <c r="D68" s="46">
        <v>12787</v>
      </c>
      <c r="E68" s="46">
        <v>14689</v>
      </c>
      <c r="F68" s="46">
        <v>15731</v>
      </c>
      <c r="G68" s="46">
        <v>17939</v>
      </c>
      <c r="H68" s="46">
        <v>19132</v>
      </c>
      <c r="I68" s="46">
        <v>20400</v>
      </c>
      <c r="J68" s="46">
        <v>21702</v>
      </c>
      <c r="K68" s="46">
        <v>22942</v>
      </c>
      <c r="L68" s="46">
        <v>24168</v>
      </c>
      <c r="M68" s="46">
        <v>25304</v>
      </c>
      <c r="N68" s="47">
        <f>N67*M69</f>
        <v>0</v>
      </c>
      <c r="P68" s="2" t="s">
        <v>49</v>
      </c>
    </row>
    <row r="69" spans="2:16" ht="14" customHeight="1">
      <c r="B69" s="9" t="s">
        <v>25</v>
      </c>
      <c r="C69" s="22">
        <f>C68/C67</f>
        <v>0</v>
      </c>
      <c r="D69" s="22">
        <f>D68/D67</f>
        <v>0</v>
      </c>
      <c r="E69" s="22">
        <f>E68/E67</f>
        <v>0</v>
      </c>
      <c r="F69" s="22">
        <f>F68/F67</f>
        <v>0</v>
      </c>
      <c r="G69" s="22">
        <f>G68/G67</f>
        <v>0</v>
      </c>
      <c r="H69" s="22">
        <f>H68/H67</f>
        <v>0</v>
      </c>
      <c r="I69" s="22">
        <f>I68/I67</f>
        <v>0</v>
      </c>
      <c r="J69" s="22">
        <f>J68/J67</f>
        <v>0</v>
      </c>
      <c r="K69" s="22">
        <f>K68/K67</f>
        <v>0</v>
      </c>
      <c r="L69" s="22">
        <f>L68/L67</f>
        <v>0</v>
      </c>
      <c r="M69" s="22">
        <f>M68/M67</f>
        <v>0</v>
      </c>
      <c r="N69" s="22">
        <f>N68/N67</f>
        <v>0</v>
      </c>
      <c r="P69" s="2" t="s">
        <v>26</v>
      </c>
    </row>
    <row r="70" spans="2:16" ht="14" customHeight="1">
      <c r="B70" s="36" t="s">
        <v>27</v>
      </c>
      <c r="C70" s="37">
        <v>735.1595758186286</v>
      </c>
      <c r="D70" s="38">
        <v>109308.4474447</v>
      </c>
      <c r="E70" s="39">
        <f>C70/D70</f>
        <v>0</v>
      </c>
      <c r="P70" s="2" t="s">
        <v>28</v>
      </c>
    </row>
    <row r="71" spans="2:16" ht="14" customHeight="1">
      <c r="B71" s="9" t="s">
        <v>29</v>
      </c>
      <c r="C71" s="10">
        <f>C67*$E$70</f>
        <v>0</v>
      </c>
      <c r="D71" s="10">
        <f>D67*$E$70</f>
        <v>0</v>
      </c>
      <c r="E71" s="10">
        <f>E67*$E$70</f>
        <v>0</v>
      </c>
      <c r="F71" s="10">
        <f>F67*$E$70</f>
        <v>0</v>
      </c>
      <c r="G71" s="10">
        <f>G67*$E$70</f>
        <v>0</v>
      </c>
      <c r="H71" s="10">
        <f>H67*$E$70</f>
        <v>0</v>
      </c>
      <c r="I71" s="10">
        <f>I67*$E$70</f>
        <v>0</v>
      </c>
      <c r="J71" s="10">
        <f>J67*$E$70</f>
        <v>0</v>
      </c>
      <c r="K71" s="10">
        <f>K67*$E$70</f>
        <v>0</v>
      </c>
      <c r="L71" s="10">
        <f>L67*$E$70</f>
        <v>0</v>
      </c>
      <c r="M71" s="10">
        <f>M67*$E$70</f>
        <v>0</v>
      </c>
      <c r="N71" s="10">
        <f>N67*$E$70</f>
        <v>0</v>
      </c>
    </row>
    <row r="72" spans="2:16" ht="14" customHeight="1">
      <c r="B72" s="9" t="s">
        <v>30</v>
      </c>
      <c r="C72" s="10">
        <f>C68*$E$70</f>
        <v>0</v>
      </c>
      <c r="D72" s="10">
        <f>D68*$E$70</f>
        <v>0</v>
      </c>
      <c r="E72" s="10">
        <f>E68*$E$70</f>
        <v>0</v>
      </c>
      <c r="F72" s="10">
        <f>F68*$E$70</f>
        <v>0</v>
      </c>
      <c r="G72" s="10">
        <f>G68*$E$70</f>
        <v>0</v>
      </c>
      <c r="H72" s="10">
        <f>H68*$E$70</f>
        <v>0</v>
      </c>
      <c r="I72" s="10">
        <f>I68*$E$70</f>
        <v>0</v>
      </c>
      <c r="J72" s="10">
        <f>J68*$E$70</f>
        <v>0</v>
      </c>
      <c r="K72" s="10">
        <f>K68*$E$70</f>
        <v>0</v>
      </c>
      <c r="L72" s="10">
        <f>L68*$E$70</f>
        <v>0</v>
      </c>
      <c r="M72" s="10">
        <f>M68*$E$70</f>
        <v>0</v>
      </c>
      <c r="N72" s="10">
        <f>N68*$E$70</f>
        <v>0</v>
      </c>
    </row>
    <row r="75" spans="2:16" ht="14" customHeight="1">
      <c r="B75" s="6" t="s">
        <v>50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2:16" ht="14" customHeight="1">
      <c r="B76" s="7" t="s">
        <v>7</v>
      </c>
      <c r="C76" s="8" t="s">
        <v>8</v>
      </c>
      <c r="D76" s="8" t="s">
        <v>9</v>
      </c>
      <c r="E76" s="8" t="s">
        <v>10</v>
      </c>
      <c r="F76" s="8" t="s">
        <v>11</v>
      </c>
      <c r="G76" s="8" t="s">
        <v>12</v>
      </c>
      <c r="H76" s="8" t="s">
        <v>13</v>
      </c>
      <c r="I76" s="8" t="s">
        <v>14</v>
      </c>
      <c r="J76" s="8" t="s">
        <v>15</v>
      </c>
      <c r="K76" s="8" t="s">
        <v>16</v>
      </c>
      <c r="L76" s="8" t="s">
        <v>17</v>
      </c>
      <c r="M76" s="8" t="s">
        <v>18</v>
      </c>
      <c r="N76" s="8" t="s">
        <v>19</v>
      </c>
      <c r="P76" s="8" t="s">
        <v>20</v>
      </c>
    </row>
    <row r="77" spans="2:16" ht="14" customHeight="1">
      <c r="B77" s="9" t="s">
        <v>51</v>
      </c>
      <c r="C77" s="47">
        <f>$C$81*C7/$E$7</f>
        <v>0</v>
      </c>
      <c r="D77" s="47">
        <f>$C$81*D7/$E$7</f>
        <v>0</v>
      </c>
      <c r="E77" s="47">
        <f>$C$81*E7/$E$7</f>
        <v>0</v>
      </c>
      <c r="F77" s="47">
        <f>$C$81*F7/$E$7</f>
        <v>0</v>
      </c>
      <c r="G77" s="47">
        <f>$C$81*G7/$E$7</f>
        <v>0</v>
      </c>
      <c r="H77" s="47">
        <f>$C$81*H7/$E$7</f>
        <v>0</v>
      </c>
      <c r="I77" s="47">
        <f>$C$81*I7/$E$7</f>
        <v>0</v>
      </c>
      <c r="J77" s="47">
        <f>$C$81*J7/$E$7</f>
        <v>0</v>
      </c>
      <c r="K77" s="47">
        <f>$C$81*K7/$E$7</f>
        <v>0</v>
      </c>
      <c r="L77" s="47">
        <f>$C$81*L7/$E$7</f>
        <v>0</v>
      </c>
      <c r="M77" s="47">
        <f>$C$81*M7/$E$7</f>
        <v>0</v>
      </c>
      <c r="N77" s="47">
        <f>$C$81*N7/$E$7</f>
        <v>0</v>
      </c>
      <c r="P77" s="2" t="s">
        <v>52</v>
      </c>
    </row>
    <row r="78" spans="2:16" ht="14" customHeight="1">
      <c r="B78" s="9" t="s">
        <v>53</v>
      </c>
      <c r="C78" s="47">
        <f>C77*C9</f>
        <v>0</v>
      </c>
      <c r="D78" s="47">
        <f>D77*D9</f>
        <v>0</v>
      </c>
      <c r="E78" s="47">
        <f>E77*E9</f>
        <v>0</v>
      </c>
      <c r="F78" s="47">
        <f>F77*F9</f>
        <v>0</v>
      </c>
      <c r="G78" s="47">
        <f>G77*G9</f>
        <v>0</v>
      </c>
      <c r="H78" s="47">
        <f>H77*H9</f>
        <v>0</v>
      </c>
      <c r="I78" s="47">
        <f>I77*I9</f>
        <v>0</v>
      </c>
      <c r="J78" s="47">
        <f>J77*J9</f>
        <v>0</v>
      </c>
      <c r="K78" s="47">
        <f>K77*K9</f>
        <v>0</v>
      </c>
      <c r="L78" s="47">
        <f>L77*L9</f>
        <v>0</v>
      </c>
      <c r="M78" s="47">
        <f>M77*M9</f>
        <v>0</v>
      </c>
      <c r="N78" s="47">
        <f>N77*N9</f>
        <v>0</v>
      </c>
    </row>
    <row r="79" spans="2:16" ht="14" customHeight="1">
      <c r="B79" s="9" t="s">
        <v>25</v>
      </c>
      <c r="C79" s="22">
        <f>C78/C77</f>
        <v>0</v>
      </c>
      <c r="D79" s="22">
        <f>D78/D77</f>
        <v>0</v>
      </c>
      <c r="E79" s="22">
        <f>E78/E77</f>
        <v>0</v>
      </c>
      <c r="F79" s="22">
        <f>F78/F77</f>
        <v>0</v>
      </c>
      <c r="G79" s="22">
        <f>G78/G77</f>
        <v>0</v>
      </c>
      <c r="H79" s="22">
        <f>H78/H77</f>
        <v>0</v>
      </c>
      <c r="I79" s="22">
        <f>I78/I77</f>
        <v>0</v>
      </c>
      <c r="J79" s="22">
        <f>J78/J77</f>
        <v>0</v>
      </c>
      <c r="K79" s="22">
        <f>K78/K77</f>
        <v>0</v>
      </c>
      <c r="L79" s="22">
        <f>L78/L77</f>
        <v>0</v>
      </c>
      <c r="M79" s="22">
        <f>M78/M77</f>
        <v>0</v>
      </c>
      <c r="N79" s="22">
        <f>N78/N77</f>
        <v>0</v>
      </c>
    </row>
    <row r="80" spans="2:16" ht="14" customHeight="1">
      <c r="B80" s="36" t="s">
        <v>27</v>
      </c>
      <c r="C80" s="37">
        <v>7020.62358634801</v>
      </c>
      <c r="D80" s="38">
        <v>179573.1348910488</v>
      </c>
      <c r="E80" s="39">
        <f>C80/D80</f>
        <v>0</v>
      </c>
    </row>
    <row r="81" spans="2:16" ht="14" customHeight="1">
      <c r="B81" s="36" t="s">
        <v>54</v>
      </c>
      <c r="C81" s="38">
        <v>23060</v>
      </c>
    </row>
    <row r="82" spans="2:16" ht="14" customHeight="1">
      <c r="B82" s="9" t="s">
        <v>29</v>
      </c>
      <c r="C82" s="10">
        <f>C77*$E$80</f>
        <v>0</v>
      </c>
      <c r="D82" s="10">
        <f>D77*$E$80</f>
        <v>0</v>
      </c>
      <c r="E82" s="10">
        <f>E77*$E$80</f>
        <v>0</v>
      </c>
      <c r="F82" s="10">
        <f>F77*$E$80</f>
        <v>0</v>
      </c>
      <c r="G82" s="10">
        <f>G77*$E$80</f>
        <v>0</v>
      </c>
      <c r="H82" s="10">
        <f>H77*$E$80</f>
        <v>0</v>
      </c>
      <c r="I82" s="10">
        <f>I77*$E$80</f>
        <v>0</v>
      </c>
      <c r="J82" s="10">
        <f>J77*$E$80</f>
        <v>0</v>
      </c>
      <c r="K82" s="10">
        <f>K77*$E$80</f>
        <v>0</v>
      </c>
      <c r="L82" s="10">
        <f>L77*$E$80</f>
        <v>0</v>
      </c>
      <c r="M82" s="10">
        <f>M77*$E$80</f>
        <v>0</v>
      </c>
      <c r="N82" s="10">
        <f>N77*$E$80</f>
        <v>0</v>
      </c>
    </row>
    <row r="83" spans="2:16" ht="14" customHeight="1">
      <c r="B83" s="9" t="s">
        <v>30</v>
      </c>
      <c r="C83" s="10">
        <f>C78*$E$80</f>
        <v>0</v>
      </c>
      <c r="D83" s="10">
        <f>D78*$E$80</f>
        <v>0</v>
      </c>
      <c r="E83" s="10">
        <f>E78*$E$80</f>
        <v>0</v>
      </c>
      <c r="F83" s="10">
        <f>F78*$E$80</f>
        <v>0</v>
      </c>
      <c r="G83" s="10">
        <f>G78*$E$80</f>
        <v>0</v>
      </c>
      <c r="H83" s="10">
        <f>H78*$E$80</f>
        <v>0</v>
      </c>
      <c r="I83" s="10">
        <f>I78*$E$80</f>
        <v>0</v>
      </c>
      <c r="J83" s="10">
        <f>J78*$E$80</f>
        <v>0</v>
      </c>
      <c r="K83" s="10">
        <f>K78*$E$80</f>
        <v>0</v>
      </c>
      <c r="L83" s="10">
        <f>L78*$E$80</f>
        <v>0</v>
      </c>
      <c r="M83" s="10">
        <f>M78*$E$80</f>
        <v>0</v>
      </c>
      <c r="N83" s="10">
        <f>N78*$E$80</f>
        <v>0</v>
      </c>
    </row>
    <row r="86" spans="2:16" ht="14" customHeight="1">
      <c r="B86" s="6" t="s">
        <v>55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2:16" ht="14" customHeight="1">
      <c r="B87" s="7" t="s">
        <v>7</v>
      </c>
      <c r="C87" s="8" t="s">
        <v>8</v>
      </c>
      <c r="D87" s="8" t="s">
        <v>9</v>
      </c>
      <c r="E87" s="8" t="s">
        <v>10</v>
      </c>
      <c r="F87" s="8" t="s">
        <v>11</v>
      </c>
      <c r="G87" s="8" t="s">
        <v>12</v>
      </c>
      <c r="H87" s="8" t="s">
        <v>13</v>
      </c>
      <c r="I87" s="8" t="s">
        <v>14</v>
      </c>
      <c r="J87" s="8" t="s">
        <v>15</v>
      </c>
      <c r="K87" s="8" t="s">
        <v>16</v>
      </c>
      <c r="L87" s="8" t="s">
        <v>17</v>
      </c>
      <c r="M87" s="8" t="s">
        <v>18</v>
      </c>
      <c r="N87" s="8" t="s">
        <v>19</v>
      </c>
      <c r="P87" s="8" t="s">
        <v>20</v>
      </c>
    </row>
    <row r="88" spans="2:16" ht="14" customHeight="1">
      <c r="B88" s="9" t="s">
        <v>29</v>
      </c>
      <c r="C88" s="10">
        <f>C11+C21+C31+C41+C51+C61+C71+C82</f>
        <v>0</v>
      </c>
      <c r="D88" s="10">
        <f>D11+D21+D31+D41+D51+D61+D71+D82</f>
        <v>0</v>
      </c>
      <c r="E88" s="10">
        <f>E11+E21+E31+E41+E51+E61+E71+E82</f>
        <v>0</v>
      </c>
      <c r="F88" s="10">
        <f>F11+F21+F31+F41+F51+F61+F71+F82</f>
        <v>0</v>
      </c>
      <c r="G88" s="10">
        <f>G11+G21+G31+G41+G51+G61+G71+G82</f>
        <v>0</v>
      </c>
      <c r="H88" s="10">
        <f>H11+H21+H31+H41+H51+H61+H71+H82</f>
        <v>0</v>
      </c>
      <c r="I88" s="10">
        <f>I11+I21+I31+I41+I51+I61+I71+I82</f>
        <v>0</v>
      </c>
      <c r="J88" s="10">
        <f>J11+J21+J31+J41+J51+J61+J71+J82</f>
        <v>0</v>
      </c>
      <c r="K88" s="10">
        <f>K11+K21+K31+K41+K51+K61+K71+K82</f>
        <v>0</v>
      </c>
      <c r="L88" s="10">
        <f>L11+L21+L31+L41+L51+L61+L71+L82</f>
        <v>0</v>
      </c>
      <c r="M88" s="10">
        <f>M11+M21+M31+M41+M51+M61+M71+M82</f>
        <v>0</v>
      </c>
      <c r="N88" s="10">
        <f>N11+N21+N31+N41+N51+N61+N71+N82</f>
        <v>0</v>
      </c>
    </row>
    <row r="89" spans="2:16" ht="14" customHeight="1">
      <c r="B89" s="9" t="s">
        <v>30</v>
      </c>
      <c r="C89" s="10">
        <f>C12+C22+C32+C42+C52+C62+C72+C83</f>
        <v>0</v>
      </c>
      <c r="D89" s="10">
        <f>D12+D22+D32+D42+D52+D62+D72+D83</f>
        <v>0</v>
      </c>
      <c r="E89" s="10">
        <f>E12+E22+E32+E42+E52+E62+E72+E83</f>
        <v>0</v>
      </c>
      <c r="F89" s="10">
        <f>F12+F22+F32+F42+F52+F62+F72+F83</f>
        <v>0</v>
      </c>
      <c r="G89" s="10">
        <f>G12+G22+G32+G42+G52+G62+G72+G83</f>
        <v>0</v>
      </c>
      <c r="H89" s="10">
        <f>H12+H22+H32+H42+H52+H62+H72+H83</f>
        <v>0</v>
      </c>
      <c r="I89" s="10">
        <f>I12+I22+I32+I42+I52+I62+I72+I83</f>
        <v>0</v>
      </c>
      <c r="J89" s="10">
        <f>J12+J22+J32+J42+J52+J62+J72+J83</f>
        <v>0</v>
      </c>
      <c r="K89" s="10">
        <f>K12+K22+K32+K42+K52+K62+K72+K83</f>
        <v>0</v>
      </c>
      <c r="L89" s="10">
        <f>L12+L22+L32+L42+L52+L62+L72+L83</f>
        <v>0</v>
      </c>
      <c r="M89" s="10">
        <f>M12+M22+M32+M42+M52+M62+M72+M83</f>
        <v>0</v>
      </c>
      <c r="N89" s="10">
        <f>N12+N22+N32+N42+N52+N62+N72+N83</f>
        <v>0</v>
      </c>
    </row>
    <row r="90" spans="2:16" ht="14" customHeight="1">
      <c r="B90" s="25" t="s">
        <v>56</v>
      </c>
      <c r="D90" s="23">
        <f>D88/C88-1</f>
        <v>0</v>
      </c>
      <c r="E90" s="23">
        <f>E88/D88-1</f>
        <v>0</v>
      </c>
      <c r="F90" s="23">
        <f>F88/E88-1</f>
        <v>0</v>
      </c>
      <c r="G90" s="23">
        <f>G88/F88-1</f>
        <v>0</v>
      </c>
      <c r="H90" s="23">
        <f>H88/G88-1</f>
        <v>0</v>
      </c>
      <c r="I90" s="23">
        <f>I88/H88-1</f>
        <v>0</v>
      </c>
      <c r="J90" s="23">
        <f>J88/I88-1</f>
        <v>0</v>
      </c>
      <c r="K90" s="23">
        <f>K88/J88-1</f>
        <v>0</v>
      </c>
      <c r="L90" s="23">
        <f>L88/K88-1</f>
        <v>0</v>
      </c>
      <c r="M90" s="23">
        <f>M88/L88-1</f>
        <v>0</v>
      </c>
      <c r="N90" s="23">
        <f>N88/M88-1</f>
        <v>0</v>
      </c>
      <c r="P90" s="2" t="s">
        <v>57</v>
      </c>
    </row>
    <row r="91" spans="2:16" ht="14" customHeight="1">
      <c r="B91" s="25" t="s">
        <v>58</v>
      </c>
      <c r="C91" s="23">
        <f>C89/C88</f>
        <v>0</v>
      </c>
      <c r="D91" s="23">
        <f>D89/D88</f>
        <v>0</v>
      </c>
      <c r="E91" s="23">
        <f>E89/E88</f>
        <v>0</v>
      </c>
      <c r="F91" s="23">
        <f>F89/F88</f>
        <v>0</v>
      </c>
      <c r="G91" s="23">
        <f>G89/G88</f>
        <v>0</v>
      </c>
      <c r="H91" s="23">
        <f>H89/H88</f>
        <v>0</v>
      </c>
      <c r="I91" s="23">
        <f>I89/I88</f>
        <v>0</v>
      </c>
      <c r="J91" s="23">
        <f>J89/J88</f>
        <v>0</v>
      </c>
      <c r="K91" s="23">
        <f>K89/K88</f>
        <v>0</v>
      </c>
      <c r="L91" s="23">
        <f>L89/L88</f>
        <v>0</v>
      </c>
      <c r="M91" s="23">
        <f>M89/M88</f>
        <v>0</v>
      </c>
      <c r="N91" s="23">
        <f>N89/N88</f>
        <v>0</v>
      </c>
      <c r="P91" s="2" t="s">
        <v>59</v>
      </c>
    </row>
    <row r="92" spans="2:16" ht="14" customHeight="1">
      <c r="B92" s="36" t="s">
        <v>60</v>
      </c>
      <c r="C92" s="49">
        <f>(C10+C20+C30+C40+C50+C60+C70+C80)/'DDM Financials'!$C$7</f>
        <v>0</v>
      </c>
      <c r="P92" s="2" t="s">
        <v>61</v>
      </c>
    </row>
  </sheetData>
  <mergeCells count="9">
    <mergeCell ref="B5:P5"/>
    <mergeCell ref="B15:P15"/>
    <mergeCell ref="B25:P25"/>
    <mergeCell ref="B35:P35"/>
    <mergeCell ref="B45:P45"/>
    <mergeCell ref="B55:P55"/>
    <mergeCell ref="B65:P65"/>
    <mergeCell ref="B75:P75"/>
    <mergeCell ref="B86:P86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5"/>
  <sheetViews>
    <sheetView showGridLines="0" zoomScale="85" zoomScaleNormal="85" workbookViewId="0"/>
  </sheetViews>
  <sheetFormatPr defaultRowHeight="14" customHeight="1"/>
  <cols>
    <col min="1" max="1" width="2.7109375" customWidth="1"/>
    <col min="2" max="2" width="18.7109375" customWidth="1"/>
    <col min="3" max="14" width="11.7109375" customWidth="1"/>
  </cols>
  <sheetData>
    <row r="1" spans="2:13" ht="30" customHeight="1">
      <c r="B1" s="1" t="s">
        <v>62</v>
      </c>
    </row>
    <row r="2" spans="2:13" ht="14" customHeight="1">
      <c r="B2" s="2" t="s">
        <v>63</v>
      </c>
    </row>
    <row r="3" spans="2:13" ht="14" customHeight="1">
      <c r="B3" s="2" t="s">
        <v>2</v>
      </c>
      <c r="C3" s="3" t="s">
        <v>3</v>
      </c>
      <c r="D3" s="4" t="s">
        <v>4</v>
      </c>
      <c r="E3" s="5" t="s">
        <v>5</v>
      </c>
    </row>
    <row r="5" spans="2:13" ht="44" customHeight="1">
      <c r="B5" s="7" t="s">
        <v>64</v>
      </c>
      <c r="C5" s="8" t="s">
        <v>65</v>
      </c>
      <c r="D5" s="8" t="s">
        <v>66</v>
      </c>
      <c r="E5" s="8" t="s">
        <v>67</v>
      </c>
      <c r="F5" s="8" t="s">
        <v>68</v>
      </c>
      <c r="G5" s="8" t="s">
        <v>69</v>
      </c>
      <c r="H5" s="8" t="s">
        <v>70</v>
      </c>
      <c r="I5" s="8" t="s">
        <v>71</v>
      </c>
      <c r="J5" s="8" t="s">
        <v>72</v>
      </c>
      <c r="K5" s="8" t="s">
        <v>73</v>
      </c>
      <c r="L5" s="8" t="s">
        <v>74</v>
      </c>
      <c r="M5" s="8" t="s">
        <v>75</v>
      </c>
    </row>
    <row r="6" spans="2:13" ht="14" customHeight="1">
      <c r="B6" s="36" t="s">
        <v>76</v>
      </c>
      <c r="C6" s="50">
        <v>0.1513</v>
      </c>
      <c r="D6" s="50">
        <v>0.076</v>
      </c>
      <c r="E6" s="40">
        <v>0.04</v>
      </c>
      <c r="F6" s="50">
        <v>0.09859999999999999</v>
      </c>
      <c r="G6" s="40">
        <v>0.055</v>
      </c>
      <c r="H6" s="51">
        <v>0.958</v>
      </c>
      <c r="I6" s="40">
        <v>0.06</v>
      </c>
      <c r="J6" s="40">
        <v>0.4623</v>
      </c>
      <c r="K6" s="52">
        <v>2037</v>
      </c>
      <c r="L6" s="53" t="s">
        <v>77</v>
      </c>
      <c r="M6" s="37">
        <v>26109.889</v>
      </c>
    </row>
    <row r="7" spans="2:13" ht="14" customHeight="1">
      <c r="B7" s="36" t="s">
        <v>78</v>
      </c>
      <c r="C7" s="50">
        <v>0.1619</v>
      </c>
      <c r="D7" s="50">
        <v>0.076</v>
      </c>
      <c r="E7" s="40">
        <v>0.04</v>
      </c>
      <c r="F7" s="50">
        <v>0.09859999999999999</v>
      </c>
      <c r="G7" s="40">
        <v>0.055</v>
      </c>
      <c r="H7" s="51">
        <v>1.15</v>
      </c>
      <c r="I7" s="40">
        <v>0.06</v>
      </c>
      <c r="J7" s="40">
        <v>0.4371</v>
      </c>
      <c r="K7" s="52">
        <v>2037</v>
      </c>
      <c r="L7" s="53" t="s">
        <v>77</v>
      </c>
      <c r="M7" s="37">
        <v>10039.703</v>
      </c>
    </row>
    <row r="8" spans="2:13" ht="14" customHeight="1">
      <c r="B8" s="36" t="s">
        <v>79</v>
      </c>
      <c r="C8" s="50">
        <v>0.1583</v>
      </c>
      <c r="D8" s="50">
        <v>0.0732</v>
      </c>
      <c r="E8" s="40">
        <v>0.04</v>
      </c>
      <c r="F8" s="50">
        <v>0.09619999999999999</v>
      </c>
      <c r="G8" s="40">
        <v>0.055</v>
      </c>
      <c r="H8" s="51">
        <v>1.129</v>
      </c>
      <c r="I8" s="40">
        <v>0.06</v>
      </c>
      <c r="J8" s="40">
        <v>0.4358</v>
      </c>
      <c r="K8" s="52">
        <v>2033</v>
      </c>
      <c r="L8" s="53" t="s">
        <v>80</v>
      </c>
      <c r="M8" s="37">
        <v>8337.403</v>
      </c>
    </row>
    <row r="9" spans="2:13" ht="14" customHeight="1">
      <c r="B9" s="36" t="s">
        <v>81</v>
      </c>
      <c r="C9" s="50">
        <v>0.1637</v>
      </c>
      <c r="D9" s="50">
        <v>0.0741</v>
      </c>
      <c r="E9" s="40">
        <v>0.04</v>
      </c>
      <c r="F9" s="50">
        <v>0.097</v>
      </c>
      <c r="G9" s="40">
        <v>0.055</v>
      </c>
      <c r="H9" s="51">
        <v>1.213</v>
      </c>
      <c r="I9" s="40">
        <v>0.06</v>
      </c>
      <c r="J9" s="40">
        <v>0.5183</v>
      </c>
      <c r="K9" s="52">
        <v>2036</v>
      </c>
      <c r="L9" s="53" t="s">
        <v>82</v>
      </c>
      <c r="M9" s="37">
        <v>6925.219</v>
      </c>
    </row>
    <row r="10" spans="2:13" ht="14" customHeight="1">
      <c r="B10" s="36" t="s">
        <v>83</v>
      </c>
      <c r="C10" s="50">
        <v>0.1809</v>
      </c>
      <c r="D10" s="50">
        <v>0.081</v>
      </c>
      <c r="E10" s="40">
        <v>0.04</v>
      </c>
      <c r="F10" s="50">
        <v>0.1029</v>
      </c>
      <c r="G10" s="40">
        <v>0.06</v>
      </c>
      <c r="H10" s="51">
        <v>1.3</v>
      </c>
      <c r="I10" s="40">
        <v>0.06</v>
      </c>
      <c r="J10" s="40">
        <v>0.4185</v>
      </c>
      <c r="K10" s="52">
        <v>2037</v>
      </c>
      <c r="L10" s="53" t="s">
        <v>77</v>
      </c>
      <c r="M10" s="37">
        <v>5397.318</v>
      </c>
    </row>
    <row r="11" spans="2:13" ht="14" customHeight="1">
      <c r="B11" s="36" t="s">
        <v>84</v>
      </c>
      <c r="C11" s="50">
        <v>0.1386</v>
      </c>
      <c r="D11" s="50">
        <v>0.0751</v>
      </c>
      <c r="E11" s="40">
        <v>0.04</v>
      </c>
      <c r="F11" s="50">
        <v>0.0978</v>
      </c>
      <c r="G11" s="40">
        <v>0.055</v>
      </c>
      <c r="H11" s="51">
        <v>0.742</v>
      </c>
      <c r="I11" s="40">
        <v>0.06</v>
      </c>
      <c r="J11" s="40">
        <v>0.5003</v>
      </c>
      <c r="K11" s="52">
        <v>2036</v>
      </c>
      <c r="L11" s="53" t="s">
        <v>82</v>
      </c>
      <c r="M11" s="37">
        <v>895.119</v>
      </c>
    </row>
    <row r="12" spans="2:13" ht="14" customHeight="1">
      <c r="B12" s="36" t="s">
        <v>85</v>
      </c>
      <c r="C12" s="50">
        <v>0.149</v>
      </c>
      <c r="D12" s="50">
        <v>0.07489999999999999</v>
      </c>
      <c r="E12" s="40">
        <v>0.04</v>
      </c>
      <c r="F12" s="50">
        <v>0.0977</v>
      </c>
      <c r="G12" s="40">
        <v>0.05</v>
      </c>
      <c r="H12" s="51">
        <v>1.027</v>
      </c>
      <c r="I12" s="40">
        <v>0.06</v>
      </c>
      <c r="J12" s="40">
        <v>0.4541</v>
      </c>
      <c r="K12" s="52">
        <v>2036</v>
      </c>
      <c r="L12" s="53" t="s">
        <v>82</v>
      </c>
      <c r="M12" s="37">
        <v>735.16</v>
      </c>
    </row>
    <row r="13" spans="2:13" ht="14" customHeight="1">
      <c r="B13" s="42" t="s">
        <v>86</v>
      </c>
      <c r="C13" s="54">
        <f>SUMPRODUCT(C6:C12,$M$6:$M$12)/SUM($M$6:$M$12)</f>
        <v>0</v>
      </c>
      <c r="D13" s="54">
        <f>SUMPRODUCT(D6:D12,$M$6:$M$12)/SUM($M$6:$M$12)</f>
        <v>0</v>
      </c>
      <c r="E13" s="44"/>
      <c r="F13" s="54">
        <f>SUMPRODUCT(F6:F12,$M$6:$M$12)/SUM($M$6:$M$12)</f>
        <v>0</v>
      </c>
      <c r="G13" s="54">
        <f>SUMPRODUCT(G6:G12,$M$6:$M$12)/SUM($M$6:$M$12)</f>
        <v>0</v>
      </c>
      <c r="H13" s="55">
        <f>SUMPRODUCT(H6:H12,$M$6:$M$12)/SUM($M$6:$M$12)</f>
        <v>0</v>
      </c>
      <c r="I13" s="45">
        <f>SUMPRODUCT(I6:I12,$M$6:$M$12)/SUM($M$6:$M$12)</f>
        <v>0</v>
      </c>
      <c r="J13" s="45">
        <f>SUMPRODUCT(J6:J12,$M$6:$M$12)/SUM($M$6:$M$12)</f>
        <v>0</v>
      </c>
      <c r="K13" s="44"/>
      <c r="L13" s="44"/>
      <c r="M13" s="44"/>
    </row>
    <row r="15" spans="2:13" ht="14" customHeight="1">
      <c r="B15" s="2" t="s">
        <v>87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DDM Financials</vt:lpstr>
      <vt:lpstr>Box Consensus</vt:lpstr>
      <vt:lpstr>Analyst Models</vt:lpstr>
      <vt:lpstr>Model Parameters</vt:lpstr>
      <vt:lpstr>BetaAn</vt:lpstr>
      <vt:lpstr>ERPAn</vt:lpstr>
      <vt:lpstr>g_</vt:lpstr>
      <vt:lpstr>gAn</vt:lpstr>
      <vt:lpstr>NExp</vt:lpstr>
      <vt:lpstr>TVx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2026-10-08T17:29:46Z</dcterms:created>
  <dcterms:modified xsi:type="dcterms:W3CDTF">2026-10-08T17:29:46Z</dcterms:modified>
</cp:coreProperties>
</file>