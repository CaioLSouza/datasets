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io\Documents\Documentos\XP\Brazil Bull Case\"/>
    </mc:Choice>
  </mc:AlternateContent>
  <xr:revisionPtr revIDLastSave="0" documentId="13_ncr:1_{CF232BC9-C624-463F-AB13-6AD227BAD2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" sheetId="1" r:id="rId1"/>
    <sheet name="Summary" sheetId="2" r:id="rId2"/>
    <sheet name="Assumptions" sheetId="3" r:id="rId3"/>
    <sheet name="DCF" sheetId="4" r:id="rId4"/>
    <sheet name="Sensitivity" sheetId="5" r:id="rId5"/>
    <sheet name="Checks" sheetId="6" r:id="rId6"/>
    <sheet name="Read Me" sheetId="7" r:id="rId7"/>
  </sheets>
  <definedNames>
    <definedName name="FixInfl">Assumptions!$C$29</definedName>
    <definedName name="FixND">Assumptions!$C$27</definedName>
    <definedName name="FixNWC">Assumptions!$C$26</definedName>
    <definedName name="FixTV">Assumptions!$C$28</definedName>
    <definedName name="FV27Base">DCF!$D$57</definedName>
    <definedName name="FV27Bear">DCF!$C$57</definedName>
    <definedName name="FV27Bull">DCF!$E$57</definedName>
    <definedName name="gLT">Assumptions!$C$13</definedName>
    <definedName name="IbovUsed">Assumptions!$E$7</definedName>
    <definedName name="InflLT">Assumptions!$C$14</definedName>
    <definedName name="NDmult">Assumptions!$C$16</definedName>
    <definedName name="NWCpct">Assumptions!$C$15</definedName>
    <definedName name="RRUsed">Assumptions!$E$8</definedName>
    <definedName name="Vintage">Assumptions!$C$9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6" l="1"/>
  <c r="D22" i="6"/>
  <c r="F21" i="6"/>
  <c r="D21" i="6"/>
  <c r="C21" i="6"/>
  <c r="E21" i="6" s="1"/>
  <c r="F20" i="6"/>
  <c r="D20" i="6"/>
  <c r="C20" i="6"/>
  <c r="E20" i="6" s="1"/>
  <c r="D19" i="6"/>
  <c r="D18" i="6"/>
  <c r="D17" i="6"/>
  <c r="D16" i="6"/>
  <c r="D15" i="6"/>
  <c r="D14" i="6"/>
  <c r="D13" i="6"/>
  <c r="D12" i="6"/>
  <c r="D11" i="6"/>
  <c r="D10" i="6"/>
  <c r="D9" i="6"/>
  <c r="D8" i="6"/>
  <c r="B46" i="5"/>
  <c r="B45" i="5"/>
  <c r="B44" i="5"/>
  <c r="B43" i="5"/>
  <c r="B42" i="5"/>
  <c r="B41" i="5"/>
  <c r="B40" i="5"/>
  <c r="B39" i="5"/>
  <c r="B38" i="5"/>
  <c r="B37" i="5"/>
  <c r="B36" i="5"/>
  <c r="G35" i="5"/>
  <c r="F35" i="5"/>
  <c r="E35" i="5"/>
  <c r="D35" i="5"/>
  <c r="C35" i="5"/>
  <c r="C67" i="4"/>
  <c r="G56" i="4"/>
  <c r="E56" i="4"/>
  <c r="D56" i="4"/>
  <c r="C56" i="4"/>
  <c r="G52" i="4"/>
  <c r="E52" i="4"/>
  <c r="D52" i="4"/>
  <c r="C52" i="4"/>
  <c r="G49" i="4"/>
  <c r="E49" i="4"/>
  <c r="D49" i="4"/>
  <c r="C49" i="4"/>
  <c r="G47" i="4"/>
  <c r="G8" i="2" s="1"/>
  <c r="E47" i="4"/>
  <c r="E48" i="4" s="1"/>
  <c r="D47" i="4"/>
  <c r="C47" i="4"/>
  <c r="C8" i="2" s="1"/>
  <c r="E46" i="4"/>
  <c r="C46" i="4"/>
  <c r="C48" i="4" s="1"/>
  <c r="H40" i="4"/>
  <c r="G40" i="4"/>
  <c r="F40" i="4"/>
  <c r="E40" i="4"/>
  <c r="D40" i="4"/>
  <c r="C40" i="4"/>
  <c r="S34" i="4"/>
  <c r="Q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J32" i="4"/>
  <c r="I32" i="4"/>
  <c r="G32" i="4"/>
  <c r="O31" i="4"/>
  <c r="O32" i="4" s="1"/>
  <c r="N31" i="4"/>
  <c r="N32" i="4" s="1"/>
  <c r="M31" i="4"/>
  <c r="L31" i="4"/>
  <c r="K31" i="4"/>
  <c r="L32" i="4" s="1"/>
  <c r="J31" i="4"/>
  <c r="I31" i="4"/>
  <c r="H31" i="4"/>
  <c r="G31" i="4"/>
  <c r="H32" i="4" s="1"/>
  <c r="F31" i="4"/>
  <c r="E31" i="4"/>
  <c r="D31" i="4"/>
  <c r="C31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L27" i="4"/>
  <c r="L28" i="4" s="1"/>
  <c r="L26" i="4"/>
  <c r="C26" i="4"/>
  <c r="C27" i="4" s="1"/>
  <c r="C28" i="4" s="1"/>
  <c r="M25" i="4"/>
  <c r="N25" i="4" s="1"/>
  <c r="D25" i="4"/>
  <c r="D26" i="4" s="1"/>
  <c r="D27" i="4" s="1"/>
  <c r="D28" i="4" s="1"/>
  <c r="N24" i="4"/>
  <c r="M24" i="4"/>
  <c r="I24" i="4"/>
  <c r="H24" i="4"/>
  <c r="P23" i="4"/>
  <c r="O23" i="4"/>
  <c r="O24" i="4" s="1"/>
  <c r="N23" i="4"/>
  <c r="M23" i="4"/>
  <c r="L23" i="4"/>
  <c r="L36" i="4" s="1"/>
  <c r="K23" i="4"/>
  <c r="K24" i="4" s="1"/>
  <c r="J23" i="4"/>
  <c r="J24" i="4" s="1"/>
  <c r="I23" i="4"/>
  <c r="H23" i="4"/>
  <c r="G23" i="4"/>
  <c r="F23" i="4"/>
  <c r="F24" i="4" s="1"/>
  <c r="E23" i="4"/>
  <c r="E24" i="4" s="1"/>
  <c r="D23" i="4"/>
  <c r="C23" i="4"/>
  <c r="C24" i="4" s="1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K16" i="4"/>
  <c r="K17" i="4" s="1"/>
  <c r="K18" i="4" s="1"/>
  <c r="H16" i="4"/>
  <c r="H17" i="4" s="1"/>
  <c r="H18" i="4" s="1"/>
  <c r="Q15" i="4"/>
  <c r="R15" i="4" s="1"/>
  <c r="S15" i="4" s="1"/>
  <c r="O14" i="4"/>
  <c r="O16" i="4" s="1"/>
  <c r="O17" i="4" s="1"/>
  <c r="O18" i="4" s="1"/>
  <c r="N14" i="4"/>
  <c r="N16" i="4" s="1"/>
  <c r="N17" i="4" s="1"/>
  <c r="N18" i="4" s="1"/>
  <c r="M14" i="4"/>
  <c r="M16" i="4" s="1"/>
  <c r="M17" i="4" s="1"/>
  <c r="M18" i="4" s="1"/>
  <c r="L14" i="4"/>
  <c r="L16" i="4" s="1"/>
  <c r="L17" i="4" s="1"/>
  <c r="L18" i="4" s="1"/>
  <c r="K14" i="4"/>
  <c r="J14" i="4"/>
  <c r="J16" i="4" s="1"/>
  <c r="J17" i="4" s="1"/>
  <c r="J18" i="4" s="1"/>
  <c r="I14" i="4"/>
  <c r="I16" i="4" s="1"/>
  <c r="I17" i="4" s="1"/>
  <c r="I18" i="4" s="1"/>
  <c r="H14" i="4"/>
  <c r="G14" i="4"/>
  <c r="G16" i="4" s="1"/>
  <c r="G17" i="4" s="1"/>
  <c r="G18" i="4" s="1"/>
  <c r="F14" i="4"/>
  <c r="F16" i="4" s="1"/>
  <c r="F17" i="4" s="1"/>
  <c r="F18" i="4" s="1"/>
  <c r="E14" i="4"/>
  <c r="E16" i="4" s="1"/>
  <c r="E17" i="4" s="1"/>
  <c r="E18" i="4" s="1"/>
  <c r="D14" i="4"/>
  <c r="D16" i="4" s="1"/>
  <c r="D17" i="4" s="1"/>
  <c r="D18" i="4" s="1"/>
  <c r="C14" i="4"/>
  <c r="C16" i="4" s="1"/>
  <c r="C17" i="4" s="1"/>
  <c r="C18" i="4" s="1"/>
  <c r="F12" i="4"/>
  <c r="O11" i="4"/>
  <c r="N11" i="4"/>
  <c r="M11" i="4"/>
  <c r="L11" i="4"/>
  <c r="K11" i="4"/>
  <c r="J11" i="4"/>
  <c r="J12" i="4" s="1"/>
  <c r="I11" i="4"/>
  <c r="I12" i="4" s="1"/>
  <c r="H11" i="4"/>
  <c r="H12" i="4" s="1"/>
  <c r="G11" i="4"/>
  <c r="F11" i="4"/>
  <c r="E11" i="4"/>
  <c r="D11" i="4"/>
  <c r="S10" i="4"/>
  <c r="S11" i="4" s="1"/>
  <c r="R10" i="4"/>
  <c r="R11" i="4" s="1"/>
  <c r="Q10" i="4"/>
  <c r="Q11" i="4" s="1"/>
  <c r="P10" i="4"/>
  <c r="P11" i="4" s="1"/>
  <c r="P13" i="4" s="1"/>
  <c r="O10" i="4"/>
  <c r="N10" i="4"/>
  <c r="M10" i="4"/>
  <c r="L10" i="4"/>
  <c r="L12" i="4" s="1"/>
  <c r="K10" i="4"/>
  <c r="K12" i="4" s="1"/>
  <c r="J10" i="4"/>
  <c r="I10" i="4"/>
  <c r="H10" i="4"/>
  <c r="G10" i="4"/>
  <c r="F10" i="4"/>
  <c r="E10" i="4"/>
  <c r="E12" i="4" s="1"/>
  <c r="D10" i="4"/>
  <c r="C10" i="4"/>
  <c r="E22" i="3"/>
  <c r="C22" i="3"/>
  <c r="E8" i="3"/>
  <c r="D20" i="3" s="1"/>
  <c r="E7" i="3"/>
  <c r="L39" i="4" s="1"/>
  <c r="L40" i="4" s="1"/>
  <c r="C14" i="2"/>
  <c r="D8" i="2"/>
  <c r="E7" i="2"/>
  <c r="E3" i="2"/>
  <c r="N26" i="4" l="1"/>
  <c r="O25" i="4"/>
  <c r="O26" i="4" s="1"/>
  <c r="N12" i="4"/>
  <c r="L35" i="4"/>
  <c r="L37" i="4" s="1"/>
  <c r="E32" i="4"/>
  <c r="F32" i="4"/>
  <c r="M12" i="4"/>
  <c r="G12" i="4"/>
  <c r="O12" i="4"/>
  <c r="M26" i="4"/>
  <c r="M27" i="4" s="1"/>
  <c r="M28" i="4" s="1"/>
  <c r="D32" i="4"/>
  <c r="D36" i="4" s="1"/>
  <c r="C35" i="4"/>
  <c r="C37" i="4" s="1"/>
  <c r="D12" i="4"/>
  <c r="L24" i="4"/>
  <c r="M32" i="4"/>
  <c r="D22" i="3"/>
  <c r="G46" i="4"/>
  <c r="D46" i="4"/>
  <c r="N36" i="4"/>
  <c r="P20" i="4"/>
  <c r="P31" i="4"/>
  <c r="P32" i="4" s="1"/>
  <c r="P14" i="4"/>
  <c r="P22" i="4"/>
  <c r="P30" i="4"/>
  <c r="P33" i="4"/>
  <c r="P16" i="4"/>
  <c r="P17" i="4" s="1"/>
  <c r="P18" i="4" s="1"/>
  <c r="Q18" i="4" s="1"/>
  <c r="R18" i="4" s="1"/>
  <c r="S18" i="4" s="1"/>
  <c r="Q13" i="4"/>
  <c r="G24" i="4"/>
  <c r="E9" i="2"/>
  <c r="N35" i="4"/>
  <c r="N27" i="4"/>
  <c r="N28" i="4" s="1"/>
  <c r="O36" i="4"/>
  <c r="O35" i="4"/>
  <c r="O27" i="4"/>
  <c r="O28" i="4" s="1"/>
  <c r="C9" i="2"/>
  <c r="D35" i="4"/>
  <c r="D37" i="4" s="1"/>
  <c r="N39" i="4"/>
  <c r="D58" i="4"/>
  <c r="D24" i="4"/>
  <c r="P24" i="4"/>
  <c r="N38" i="4"/>
  <c r="N40" i="4" s="1"/>
  <c r="O39" i="4"/>
  <c r="E58" i="4"/>
  <c r="M39" i="4"/>
  <c r="M40" i="4" s="1"/>
  <c r="C58" i="4"/>
  <c r="C7" i="2"/>
  <c r="O38" i="4"/>
  <c r="P39" i="4"/>
  <c r="G58" i="4"/>
  <c r="M8" i="1"/>
  <c r="P25" i="4"/>
  <c r="R39" i="4"/>
  <c r="Q39" i="4"/>
  <c r="C65" i="4"/>
  <c r="S39" i="4"/>
  <c r="E25" i="4"/>
  <c r="E8" i="2"/>
  <c r="K32" i="4"/>
  <c r="I39" i="4"/>
  <c r="I40" i="4" s="1"/>
  <c r="J39" i="4"/>
  <c r="J40" i="4" s="1"/>
  <c r="K39" i="4"/>
  <c r="K40" i="4" s="1"/>
  <c r="C3" i="2"/>
  <c r="M36" i="4" l="1"/>
  <c r="M35" i="4"/>
  <c r="D48" i="4"/>
  <c r="D7" i="2"/>
  <c r="D35" i="6"/>
  <c r="N37" i="4"/>
  <c r="C9" i="6"/>
  <c r="E26" i="4"/>
  <c r="F25" i="4"/>
  <c r="Q17" i="4"/>
  <c r="Q31" i="4"/>
  <c r="Q32" i="4" s="1"/>
  <c r="Q14" i="4"/>
  <c r="Q16" i="4" s="1"/>
  <c r="R13" i="4"/>
  <c r="Q33" i="4"/>
  <c r="Q21" i="4"/>
  <c r="P26" i="4"/>
  <c r="Q25" i="4"/>
  <c r="R25" i="4" s="1"/>
  <c r="S25" i="4" s="1"/>
  <c r="P38" i="4"/>
  <c r="P40" i="4" s="1"/>
  <c r="G48" i="4"/>
  <c r="G7" i="2"/>
  <c r="E35" i="6"/>
  <c r="O37" i="4"/>
  <c r="D65" i="4" s="1"/>
  <c r="C10" i="6"/>
  <c r="O40" i="4"/>
  <c r="Q19" i="4" l="1"/>
  <c r="Q20" i="4" s="1"/>
  <c r="M37" i="4"/>
  <c r="C8" i="6"/>
  <c r="Q26" i="4"/>
  <c r="G25" i="4"/>
  <c r="F26" i="4"/>
  <c r="E36" i="4"/>
  <c r="E27" i="4"/>
  <c r="E28" i="4" s="1"/>
  <c r="E35" i="4"/>
  <c r="E37" i="4" s="1"/>
  <c r="F9" i="6"/>
  <c r="E9" i="6"/>
  <c r="Q23" i="4"/>
  <c r="Q38" i="4"/>
  <c r="Q40" i="4" s="1"/>
  <c r="D9" i="2"/>
  <c r="G9" i="2"/>
  <c r="P27" i="4"/>
  <c r="P28" i="4" s="1"/>
  <c r="Q28" i="4" s="1"/>
  <c r="P36" i="4"/>
  <c r="P35" i="4"/>
  <c r="F10" i="6"/>
  <c r="E10" i="6"/>
  <c r="R31" i="4"/>
  <c r="R32" i="4" s="1"/>
  <c r="R14" i="4"/>
  <c r="R16" i="4" s="1"/>
  <c r="R19" i="4" s="1"/>
  <c r="R33" i="4"/>
  <c r="S13" i="4"/>
  <c r="R21" i="4"/>
  <c r="R17" i="4"/>
  <c r="F8" i="6" l="1"/>
  <c r="E8" i="6"/>
  <c r="R26" i="4"/>
  <c r="R20" i="4"/>
  <c r="R28" i="4"/>
  <c r="Q27" i="4"/>
  <c r="Q29" i="4" s="1"/>
  <c r="Q30" i="4" s="1"/>
  <c r="F27" i="4"/>
  <c r="F28" i="4" s="1"/>
  <c r="F35" i="4"/>
  <c r="F37" i="4" s="1"/>
  <c r="F36" i="4"/>
  <c r="R23" i="4"/>
  <c r="R38" i="4"/>
  <c r="R40" i="4" s="1"/>
  <c r="H25" i="4"/>
  <c r="G26" i="4"/>
  <c r="Q36" i="4"/>
  <c r="Q24" i="4"/>
  <c r="Q35" i="4"/>
  <c r="F35" i="6"/>
  <c r="P37" i="4"/>
  <c r="C11" i="6"/>
  <c r="S33" i="4"/>
  <c r="S14" i="4"/>
  <c r="S16" i="4" s="1"/>
  <c r="S21" i="4"/>
  <c r="S31" i="4"/>
  <c r="S32" i="4" s="1"/>
  <c r="S17" i="4"/>
  <c r="S19" i="4" l="1"/>
  <c r="G27" i="4"/>
  <c r="G28" i="4" s="1"/>
  <c r="G36" i="4"/>
  <c r="G35" i="4"/>
  <c r="G37" i="4" s="1"/>
  <c r="I25" i="4"/>
  <c r="H26" i="4"/>
  <c r="S38" i="4"/>
  <c r="S40" i="4" s="1"/>
  <c r="S23" i="4"/>
  <c r="F11" i="6"/>
  <c r="E11" i="6"/>
  <c r="E65" i="4"/>
  <c r="R36" i="4"/>
  <c r="R24" i="4"/>
  <c r="R35" i="4"/>
  <c r="S28" i="4"/>
  <c r="S27" i="4" s="1"/>
  <c r="R27" i="4"/>
  <c r="R29" i="4" s="1"/>
  <c r="R30" i="4" s="1"/>
  <c r="Q37" i="4"/>
  <c r="F65" i="4" s="1"/>
  <c r="C12" i="6"/>
  <c r="F12" i="6" l="1"/>
  <c r="E12" i="6"/>
  <c r="S24" i="4"/>
  <c r="G35" i="6"/>
  <c r="C19" i="6" s="1"/>
  <c r="D29" i="2"/>
  <c r="D12" i="5"/>
  <c r="E12" i="5" s="1"/>
  <c r="D14" i="5"/>
  <c r="E14" i="5" s="1"/>
  <c r="D10" i="5"/>
  <c r="E10" i="5" s="1"/>
  <c r="D28" i="2"/>
  <c r="C14" i="6"/>
  <c r="D13" i="5"/>
  <c r="E13" i="5" s="1"/>
  <c r="D9" i="5"/>
  <c r="E9" i="5" s="1"/>
  <c r="C13" i="6"/>
  <c r="D8" i="5"/>
  <c r="E8" i="5" s="1"/>
  <c r="C15" i="6"/>
  <c r="R37" i="4"/>
  <c r="G50" i="4" s="1"/>
  <c r="G51" i="4" s="1"/>
  <c r="G54" i="4" s="1"/>
  <c r="D11" i="5"/>
  <c r="E11" i="5" s="1"/>
  <c r="D7" i="5"/>
  <c r="E7" i="5" s="1"/>
  <c r="C18" i="6" s="1"/>
  <c r="H36" i="4"/>
  <c r="H27" i="4"/>
  <c r="H28" i="4" s="1"/>
  <c r="H35" i="4"/>
  <c r="H37" i="4" s="1"/>
  <c r="I26" i="4"/>
  <c r="J25" i="4"/>
  <c r="S20" i="4"/>
  <c r="S26" i="4"/>
  <c r="S29" i="4" s="1"/>
  <c r="S30" i="4" s="1"/>
  <c r="C17" i="6" l="1"/>
  <c r="E29" i="2"/>
  <c r="F19" i="6"/>
  <c r="E19" i="6"/>
  <c r="S35" i="4"/>
  <c r="F15" i="6"/>
  <c r="E15" i="6"/>
  <c r="G53" i="4"/>
  <c r="G55" i="4" s="1"/>
  <c r="G57" i="4" s="1"/>
  <c r="F13" i="6"/>
  <c r="E13" i="6"/>
  <c r="S36" i="4"/>
  <c r="F18" i="6"/>
  <c r="E18" i="6"/>
  <c r="J26" i="4"/>
  <c r="K25" i="4"/>
  <c r="K26" i="4" s="1"/>
  <c r="I36" i="4"/>
  <c r="I27" i="4"/>
  <c r="I28" i="4" s="1"/>
  <c r="I35" i="4"/>
  <c r="I37" i="4" s="1"/>
  <c r="F14" i="6"/>
  <c r="E14" i="6"/>
  <c r="E28" i="2"/>
  <c r="C16" i="6"/>
  <c r="K27" i="4" l="1"/>
  <c r="K28" i="4" s="1"/>
  <c r="K36" i="4"/>
  <c r="K35" i="4"/>
  <c r="K37" i="4" s="1"/>
  <c r="J36" i="4"/>
  <c r="J27" i="4"/>
  <c r="J28" i="4" s="1"/>
  <c r="J35" i="4"/>
  <c r="J37" i="4" s="1"/>
  <c r="G59" i="4"/>
  <c r="G11" i="2" s="1"/>
  <c r="G10" i="2"/>
  <c r="G61" i="4"/>
  <c r="G13" i="2" s="1"/>
  <c r="S37" i="4"/>
  <c r="C19" i="2"/>
  <c r="C18" i="2"/>
  <c r="E18" i="2" s="1"/>
  <c r="G60" i="4"/>
  <c r="G12" i="2" s="1"/>
  <c r="C20" i="2"/>
  <c r="C22" i="2"/>
  <c r="C21" i="2"/>
  <c r="F16" i="6"/>
  <c r="E16" i="6"/>
  <c r="F17" i="6"/>
  <c r="E17" i="6"/>
  <c r="D21" i="2" l="1"/>
  <c r="E21" i="2"/>
  <c r="D29" i="5"/>
  <c r="D45" i="5" s="1"/>
  <c r="G26" i="5"/>
  <c r="G42" i="5" s="1"/>
  <c r="E24" i="5"/>
  <c r="E40" i="5" s="1"/>
  <c r="C22" i="5"/>
  <c r="C38" i="5" s="1"/>
  <c r="D30" i="5"/>
  <c r="D46" i="5" s="1"/>
  <c r="G27" i="5"/>
  <c r="G43" i="5" s="1"/>
  <c r="E25" i="5"/>
  <c r="E41" i="5" s="1"/>
  <c r="C23" i="5"/>
  <c r="C39" i="5" s="1"/>
  <c r="F20" i="5"/>
  <c r="F36" i="5" s="1"/>
  <c r="C29" i="5"/>
  <c r="C45" i="5" s="1"/>
  <c r="F26" i="5"/>
  <c r="F42" i="5" s="1"/>
  <c r="D24" i="5"/>
  <c r="D40" i="5" s="1"/>
  <c r="G21" i="5"/>
  <c r="G37" i="5" s="1"/>
  <c r="G28" i="5"/>
  <c r="G44" i="5" s="1"/>
  <c r="E26" i="5"/>
  <c r="E42" i="5" s="1"/>
  <c r="C24" i="5"/>
  <c r="C40" i="5" s="1"/>
  <c r="F21" i="5"/>
  <c r="F37" i="5" s="1"/>
  <c r="G13" i="5"/>
  <c r="G9" i="5"/>
  <c r="F28" i="5"/>
  <c r="F44" i="5" s="1"/>
  <c r="D26" i="5"/>
  <c r="D42" i="5" s="1"/>
  <c r="G23" i="5"/>
  <c r="G39" i="5" s="1"/>
  <c r="E21" i="5"/>
  <c r="E37" i="5" s="1"/>
  <c r="G30" i="5"/>
  <c r="G46" i="5" s="1"/>
  <c r="E28" i="5"/>
  <c r="E44" i="5" s="1"/>
  <c r="C26" i="5"/>
  <c r="C42" i="5" s="1"/>
  <c r="F23" i="5"/>
  <c r="F39" i="5" s="1"/>
  <c r="D21" i="5"/>
  <c r="D37" i="5" s="1"/>
  <c r="F30" i="5"/>
  <c r="F46" i="5" s="1"/>
  <c r="D28" i="5"/>
  <c r="D44" i="5" s="1"/>
  <c r="G25" i="5"/>
  <c r="G41" i="5" s="1"/>
  <c r="E23" i="5"/>
  <c r="E39" i="5" s="1"/>
  <c r="C21" i="5"/>
  <c r="C37" i="5" s="1"/>
  <c r="G12" i="5"/>
  <c r="G8" i="5"/>
  <c r="E50" i="4"/>
  <c r="E51" i="4" s="1"/>
  <c r="E54" i="4" s="1"/>
  <c r="C50" i="4"/>
  <c r="C51" i="4" s="1"/>
  <c r="C54" i="4" s="1"/>
  <c r="E30" i="5"/>
  <c r="E46" i="5" s="1"/>
  <c r="C28" i="5"/>
  <c r="C44" i="5" s="1"/>
  <c r="F25" i="5"/>
  <c r="F41" i="5" s="1"/>
  <c r="D23" i="5"/>
  <c r="D39" i="5" s="1"/>
  <c r="G20" i="5"/>
  <c r="G36" i="5" s="1"/>
  <c r="D50" i="4"/>
  <c r="D51" i="4" s="1"/>
  <c r="C30" i="5"/>
  <c r="C46" i="5" s="1"/>
  <c r="F27" i="5"/>
  <c r="F43" i="5" s="1"/>
  <c r="D25" i="5"/>
  <c r="D41" i="5" s="1"/>
  <c r="G22" i="5"/>
  <c r="G38" i="5" s="1"/>
  <c r="E20" i="5"/>
  <c r="E36" i="5" s="1"/>
  <c r="G11" i="5"/>
  <c r="G7" i="5"/>
  <c r="E29" i="5"/>
  <c r="E45" i="5" s="1"/>
  <c r="C27" i="5"/>
  <c r="C43" i="5" s="1"/>
  <c r="F24" i="5"/>
  <c r="F40" i="5" s="1"/>
  <c r="D22" i="5"/>
  <c r="D38" i="5" s="1"/>
  <c r="G14" i="5"/>
  <c r="G10" i="5"/>
  <c r="G29" i="5"/>
  <c r="G45" i="5" s="1"/>
  <c r="E27" i="5"/>
  <c r="E43" i="5" s="1"/>
  <c r="C25" i="5"/>
  <c r="C41" i="5" s="1"/>
  <c r="F22" i="5"/>
  <c r="F38" i="5" s="1"/>
  <c r="D20" i="5"/>
  <c r="D36" i="5" s="1"/>
  <c r="F29" i="5"/>
  <c r="F45" i="5" s="1"/>
  <c r="D27" i="5"/>
  <c r="D43" i="5" s="1"/>
  <c r="G24" i="5"/>
  <c r="G40" i="5" s="1"/>
  <c r="E22" i="5"/>
  <c r="E38" i="5" s="1"/>
  <c r="C20" i="5"/>
  <c r="C36" i="5" s="1"/>
  <c r="D53" i="4"/>
  <c r="C53" i="4"/>
  <c r="C55" i="4" s="1"/>
  <c r="C57" i="4" s="1"/>
  <c r="E53" i="4"/>
  <c r="E20" i="2"/>
  <c r="D20" i="2"/>
  <c r="E19" i="2"/>
  <c r="D19" i="2"/>
  <c r="E22" i="2"/>
  <c r="D22" i="2"/>
  <c r="E55" i="4" l="1"/>
  <c r="E57" i="4" s="1"/>
  <c r="M11" i="1"/>
  <c r="C59" i="4"/>
  <c r="C11" i="2" s="1"/>
  <c r="C10" i="2"/>
  <c r="C61" i="4"/>
  <c r="C13" i="2" s="1"/>
  <c r="M12" i="1"/>
  <c r="E59" i="4"/>
  <c r="E11" i="2" s="1"/>
  <c r="E10" i="2"/>
  <c r="E61" i="4"/>
  <c r="E13" i="2" s="1"/>
  <c r="D54" i="4"/>
  <c r="G65" i="4"/>
  <c r="C66" i="4" s="1"/>
  <c r="C68" i="4" s="1"/>
  <c r="C69" i="4" s="1"/>
  <c r="C60" i="4"/>
  <c r="C12" i="2" s="1"/>
  <c r="E60" i="4"/>
  <c r="E12" i="2" s="1"/>
  <c r="D55" i="4" l="1"/>
  <c r="D57" i="4" s="1"/>
  <c r="M10" i="1" l="1"/>
  <c r="M9" i="1"/>
  <c r="D59" i="4"/>
  <c r="D10" i="2"/>
  <c r="D61" i="4"/>
  <c r="D13" i="2" s="1"/>
  <c r="D60" i="4"/>
  <c r="D12" i="2" s="1"/>
  <c r="D11" i="2" l="1"/>
  <c r="C22" i="6"/>
  <c r="F22" i="6" l="1"/>
  <c r="C5" i="6" s="1"/>
  <c r="E22" i="6"/>
  <c r="M13" i="1" l="1"/>
  <c r="G3" i="2"/>
</calcChain>
</file>

<file path=xl/sharedStrings.xml><?xml version="1.0" encoding="utf-8"?>
<sst xmlns="http://schemas.openxmlformats.org/spreadsheetml/2006/main" count="355" uniqueCount="294">
  <si>
    <t>Ibovespa - DCF assumptions (house model, end-2027)</t>
  </si>
  <si>
    <t>Change the pink cells; the DCF sheet recalculates. Projection rules for 2028-2031 are pink cells in the DCF sheet.</t>
  </si>
  <si>
    <t>Legend:</t>
  </si>
  <si>
    <t>input</t>
  </si>
  <si>
    <t>assumption</t>
  </si>
  <si>
    <t>formula</t>
  </si>
  <si>
    <t>1. Market data</t>
  </si>
  <si>
    <t>Item</t>
  </si>
  <si>
    <t>House file</t>
  </si>
  <si>
    <t>Oct-5-2026</t>
  </si>
  <si>
    <t>Used</t>
  </si>
  <si>
    <t>Source</t>
  </si>
  <si>
    <t>Ibovespa (index pts)</t>
  </si>
  <si>
    <t>House file: Target!B61 (BDP IBOV Index, as saved). Oct-5: Bloomberg IBOV Index PX_LAST.</t>
  </si>
  <si>
    <t>5-year real rate (NTN-B)</t>
  </si>
  <si>
    <t>House file: Target!C56 (BZRFB5PY Index, 7.42%). Oct-5: ANBIMA 5-year NTN-B (Bloomberg was down; check BZRFB5PY before publishing).</t>
  </si>
  <si>
    <t>Market data used: 1 = house file, 2 = Oct-5-2026</t>
  </si>
  <si>
    <t>Consensus and history are the house file's in both cases (not refreshed: the consensus moved little).</t>
  </si>
  <si>
    <t>2. Valuation parameters (house Target sheet)</t>
  </si>
  <si>
    <t>Parameter</t>
  </si>
  <si>
    <t>Value</t>
  </si>
  <si>
    <t>Long-term growth of the FCFF (g)</t>
  </si>
  <si>
    <t>Target!B54 (4.7%).</t>
  </si>
  <si>
    <t>Long-term inflation (Fisher switch and the implied-return block)</t>
  </si>
  <si>
    <t>Target!B63 (4.0%).</t>
  </si>
  <si>
    <t>Working capital, % of sales</t>
  </si>
  <si>
    <t>Target row 43: NWC = -4% of sales.</t>
  </si>
  <si>
    <t>Net debt / EBITDA of two years before (net debt switch)</t>
  </si>
  <si>
    <t>Target rows 70-71 (EV/EBITDA method): net debt = 1.6x the EBITDA of two years before the value date.</t>
  </si>
  <si>
    <t>3. Scenarios (fair value at the end of 2027)</t>
  </si>
  <si>
    <t>Lever</t>
  </si>
  <si>
    <t>Bear</t>
  </si>
  <si>
    <t>Base</t>
  </si>
  <si>
    <t>Bull</t>
  </si>
  <si>
    <t>As the house (Target rows 131-151): bear 8.5%, base = the market rate, bull 6.0%.</t>
  </si>
  <si>
    <t>ERP</t>
  </si>
  <si>
    <t>Target!B57 (6.0%), the same in every scenario.</t>
  </si>
  <si>
    <t>Discount rate (house: real rate + ERP)</t>
  </si>
  <si>
    <t>Target!B55 = BZRFB5PY + ERP. With the inflation switch on: (1 + real rate + ERP) x (1 + inflation) - 1.</t>
  </si>
  <si>
    <t>4. Corrections to the house mechanics (0 = as the house, 1 = corrected)</t>
  </si>
  <si>
    <t>Switch</t>
  </si>
  <si>
    <t>What it changes</t>
  </si>
  <si>
    <t>Working capital: 0 = level (house), 1 = change</t>
  </si>
  <si>
    <t>House row 44 adds the whole NWC level (-4% of sales) every year; the cash flow is the change in NWC.</t>
  </si>
  <si>
    <t>Net debt: 0 = not subtracted (house), 1 = subtracted</t>
  </si>
  <si>
    <t>FCFF values the firm; equity = firm value - net debt (1.6x EBITDA two years before, as the house's EV/EBITDA method).</t>
  </si>
  <si>
    <t>Terminal value: 0 = one period after the last flow (house), 1 = with the last flow</t>
  </si>
  <si>
    <t>NPV(rate, flows, TV) puts the TV one year after the last explicit year; it is a value at the end of that year.</t>
  </si>
  <si>
    <t>Inflation in the rate: 0 = real rate + ERP (house), 1 = Fisher</t>
  </si>
  <si>
    <t>The flows are nominal (sales grow with nominal GDP); real rate + ERP is a real rate.</t>
  </si>
  <si>
    <t>5. Projection rules (pink cells in the DCF sheet, 2028-2031 columns)</t>
  </si>
  <si>
    <t>Real GDP and inflation 2028-2031: 2.0% and 4.0% (house); sales grow with nominal GDP x ratio (1.0).</t>
  </si>
  <si>
    <t>EBITDA margin 2029-2031: 30% (house). EBIT margin, interest and gross margin: held at the 2028 level (house: same % as the year before).</t>
  </si>
  <si>
    <t>Capex % of sales: 11% in 2028-2029, 9% from 2030 (house); 2031, the year added here, keeps 2030's 9%.</t>
  </si>
  <si>
    <t>Consensus: sales and capex to 2027, EBIT, EBITDA and EPS to 2028 (IBOV Index, as in the house file).</t>
  </si>
  <si>
    <t>Ibovespa - DCF (house model rolled to end-2027)</t>
  </si>
  <si>
    <t>Replica of Target rows 17-65 of DCF Ibov 2026_Out.xlsx, in Ibovespa points, extended to 2031. Blue = house file input; pink = projection rule.</t>
  </si>
  <si>
    <t>Projections (index points)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</si>
  <si>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</si>
  <si>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</si>
  <si>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</si>
  <si>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</si>
  <si>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</si>
  <si>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</si>
  <si>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</si>
  <si>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</si>
  <si>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</si>
  <si>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</si>
  <si>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</si>
  <si>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</si>
  <si>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</si>
  <si>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</si>
  <si>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</si>
  <si>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</si>
  <si>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</si>
  <si>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How it is calculated (house Target row)</t>
  </si>
  <si>
    <t>Actual</t>
  </si>
  <si>
    <t>Consensus</t>
  </si>
  <si>
    <t>Projection</t>
  </si>
  <si>
    <t>Real GDP</t>
  </si>
  <si>
    <t>Inflation</t>
  </si>
  <si>
    <t>Nominal GDP</t>
  </si>
  <si>
    <t>(1 + real GDP) x (1 + inflation) - 1 (row 20).</t>
  </si>
  <si>
    <t>Sales growth</t>
  </si>
  <si>
    <t>Actual/consensus: sales / previous - 1. Projection: nominal GDP x ratio (row 21).</t>
  </si>
  <si>
    <t>Ratio (sales growth / nominal GDP)</t>
  </si>
  <si>
    <t>Sales</t>
  </si>
  <si>
    <t>To 2027: house file (consensus 2026-27). 2028+: previous x (1 + growth) (row 25).</t>
  </si>
  <si>
    <t>COGS</t>
  </si>
  <si>
    <t>Sales x (gross margin - 1) (row 26).</t>
  </si>
  <si>
    <t>Gross margin %</t>
  </si>
  <si>
    <t>To 2028: house file. 2029+: previous year (row 27).</t>
  </si>
  <si>
    <t>Gross profit</t>
  </si>
  <si>
    <t>SG&amp;A</t>
  </si>
  <si>
    <t>To 2028: EBIT - gross profit. 2029+: sales x SG&amp;A % (row 29).</t>
  </si>
  <si>
    <t>SG&amp;A % of sales</t>
  </si>
  <si>
    <t>2029+: previous year's % (row 30).</t>
  </si>
  <si>
    <t>EBIT</t>
  </si>
  <si>
    <t>To 2028: house file (consensus). 2029+: gross profit + SG&amp;A (row 31).</t>
  </si>
  <si>
    <t>EBIT margin %</t>
  </si>
  <si>
    <t>EBITDA</t>
  </si>
  <si>
    <t>To 2028: house file (consensus). 2029+: sales x EBITDA margin (row 33).</t>
  </si>
  <si>
    <t>EBITDA margin %</t>
  </si>
  <si>
    <t>2029+: 30% (house, row 34).</t>
  </si>
  <si>
    <t>D&amp;A</t>
  </si>
  <si>
    <t>EBITDA - EBIT (row 35).</t>
  </si>
  <si>
    <t>D&amp;A % of sales</t>
  </si>
  <si>
    <t>Tax rate</t>
  </si>
  <si>
    <t>-25% to 2023, -24% from 2024 (row 37).</t>
  </si>
  <si>
    <t>NOPAT</t>
  </si>
  <si>
    <t>EBIT x (1 + tax rate) (row 38).</t>
  </si>
  <si>
    <t>Net interest expense</t>
  </si>
  <si>
    <t>To 2028: net income - NOPAT. 2029+: sales x interest % (row 39).</t>
  </si>
  <si>
    <t>Interest % of sales</t>
  </si>
  <si>
    <t>2029+: previous year's % (row 40).</t>
  </si>
  <si>
    <t>Net income (EPS, index pts)</t>
  </si>
  <si>
    <t>To 2028: house file (consensus EPS). 2029+: NOPAT + net interest (row 41).</t>
  </si>
  <si>
    <t>Net margin %</t>
  </si>
  <si>
    <t>Working capital (NWC)</t>
  </si>
  <si>
    <t>-NWC % x sales (Assumptions; row 43).</t>
  </si>
  <si>
    <t>Change in NWC</t>
  </si>
  <si>
    <t>Capex</t>
  </si>
  <si>
    <t>To 2027: house file. 2028+: sales x capex % (row 46).</t>
  </si>
  <si>
    <t>Capex % of sales</t>
  </si>
  <si>
    <t>2028-29: -11%; 2030: -9% (house); 2031: as 2030 (row 47).</t>
  </si>
  <si>
    <t>FCFF, house = D&amp;A + NOPAT + capex + NWC (level)</t>
  </si>
  <si>
    <t>D&amp;A + NOPAT + capex + NWC level (row 44): what the house discounts.</t>
  </si>
  <si>
    <t>FCFF with the change in NWC</t>
  </si>
  <si>
    <t>D&amp;A + NOPAT + capex + change in NWC.</t>
  </si>
  <si>
    <t>FCFF used in the valuation (switch FixNWC)</t>
  </si>
  <si>
    <t>FixNWC = 0: the house row; 1: the corrected row.</t>
  </si>
  <si>
    <t>memo: FCFF = EBITDA x (1 - tax) + capex</t>
  </si>
  <si>
    <t>To 2025: house file. 2026+: EBITDA x (1 + tax) + capex (row 49).</t>
  </si>
  <si>
    <t>memo: Ibovespa (average to 2020, then the price used)</t>
  </si>
  <si>
    <t>Row 50: average to 2020 (house file), then the Ibovespa price used.</t>
  </si>
  <si>
    <t>memo: FCF yield</t>
  </si>
  <si>
    <t>Simple FCFF / Ibovespa (row 51).</t>
  </si>
  <si>
    <t>Valuation: fair value at the end of the year (house Target rows 53-59)</t>
  </si>
  <si>
    <t>Base 2026</t>
  </si>
  <si>
    <t>How it is calculated</t>
  </si>
  <si>
    <t>Value date (end of year)</t>
  </si>
  <si>
    <t>Explicit FCFF years</t>
  </si>
  <si>
    <t>Discount rate (house 'WACC')</t>
  </si>
  <si>
    <t>Real rate + ERP (Target!B55); Fisher with FixInfl = 1.</t>
  </si>
  <si>
    <t>Long-term growth (g)</t>
  </si>
  <si>
    <t>FCFF of the last explicit year</t>
  </si>
  <si>
    <t>Terminal value = last FCFF x (1 + g) / (rate - g)</t>
  </si>
  <si>
    <t>Target!R44.</t>
  </si>
  <si>
    <t>Periods the terminal value is discounted</t>
  </si>
  <si>
    <t>4 explicit years + 1 (house NPV puts the TV one period later); 4 with FixTV = 1.</t>
  </si>
  <si>
    <t>Present value of the explicit FCFF</t>
  </si>
  <si>
    <t>Excel NPV of the explicit FCFF (Target row 59).</t>
  </si>
  <si>
    <t>Present value of the terminal value</t>
  </si>
  <si>
    <t>Value of the cash flows</t>
  </si>
  <si>
    <t>Net debt subtracted (switch FixND)</t>
  </si>
  <si>
    <t>1.6x the EBITDA two years before the value date (Target rows 70-71), only with FixND = 1.</t>
  </si>
  <si>
    <t>Fair value (index pts)</t>
  </si>
  <si>
    <t>Value of the cash flows - net debt subtracted.</t>
  </si>
  <si>
    <t>Ibovespa used</t>
  </si>
  <si>
    <t>Upside</t>
  </si>
  <si>
    <t>Terminal value / value of the cash flows</t>
  </si>
  <si>
    <t>Implied P/E on next year's EPS</t>
  </si>
  <si>
    <t>Fair value / net income of the year after the value date.</t>
  </si>
  <si>
    <t>2028-2031</t>
  </si>
  <si>
    <t>2027-2030</t>
  </si>
  <si>
    <t>Implied return at the Ibovespa price used (house Target rows 61-65, rolled one year)</t>
  </si>
  <si>
    <t>Today</t>
  </si>
  <si>
    <t>Terminal</t>
  </si>
  <si>
    <t>Cash flows</t>
  </si>
  <si>
    <t>IRR</t>
  </si>
  <si>
    <t>Real IRR = IRR - inflation</t>
  </si>
  <si>
    <t>Implied ERP = real IRR - 5-year real rate (base)</t>
  </si>
  <si>
    <t>As the house: price today, three yearly FCFF and the base terminal value as the fourth flow. An indicator, not a full DCF return.</t>
  </si>
  <si>
    <t>Ibovespa - Sensitivity: real rate and ERP</t>
  </si>
  <si>
    <t>The house's real-rate table (tie-out) and a real rate x ERP grid for the end-2027 fair value with the current settings.</t>
  </si>
  <si>
    <t>House table: 5-year real rate vs DCF value (Target rows 120-129)</t>
  </si>
  <si>
    <t>5-year real rate</t>
  </si>
  <si>
    <t>House file, end-2026</t>
  </si>
  <si>
    <t>Replica, end-2026 (house settings)</t>
  </si>
  <si>
    <t>Difference</t>
  </si>
  <si>
    <t>End-2027, current settings</t>
  </si>
  <si>
    <t>House settings: ERP 6.0%, g 4.7%, no corrections, house FCFF. The house table is an Excel data table on Target!C56.</t>
  </si>
  <si>
    <t>End-2027 fair value (index pts), current settings</t>
  </si>
  <si>
    <t>Real rate \ ERP</t>
  </si>
  <si>
    <t>Upside vs the Ibovespa used</t>
  </si>
  <si>
    <t>Framed cell = base real rate and base ERP. The grid uses the switches in Assumptions section 4.</t>
  </si>
  <si>
    <t>Ibovespa - DCF (house model): fair value at the end of 2027</t>
  </si>
  <si>
    <t>Replica of the house DCF (DCF Ibov 2026_Out.xlsx), rolled forward one year. Construction: DCF sheet.</t>
  </si>
  <si>
    <t>Market data</t>
  </si>
  <si>
    <t>Checks</t>
  </si>
  <si>
    <t>Fair value at the end of 2027 (index pts)</t>
  </si>
  <si>
    <t>Base, end-2026</t>
  </si>
  <si>
    <t>Discount rate</t>
  </si>
  <si>
    <t>Terminal value / value</t>
  </si>
  <si>
    <t>Corrections in use (Assumptions section 4)</t>
  </si>
  <si>
    <t>Correcting the house mechanics one step at a time (base, end-2027)</t>
  </si>
  <si>
    <t>Step</t>
  </si>
  <si>
    <t>Fair value</t>
  </si>
  <si>
    <t>Change</t>
  </si>
  <si>
    <t>House mechanics</t>
  </si>
  <si>
    <t>+ terminal value discounted with the last flow</t>
  </si>
  <si>
    <t>+ working capital by change, not level</t>
  </si>
  <si>
    <t>+ net debt subtracted</t>
  </si>
  <si>
    <t>+ inflation in the rate (Fisher) = fully corrected</t>
  </si>
  <si>
    <t>Each step keeps the previous ones. Base real rate and ERP; projection rules as in the DCF sheet.</t>
  </si>
  <si>
    <t>Tie-out with the house file and reference values (not linked)</t>
  </si>
  <si>
    <t>Ibovespa fair value (index pts)</t>
  </si>
  <si>
    <t>Replica</t>
  </si>
  <si>
    <t>End-2026, house data and settings (Target!F59)</t>
  </si>
  <si>
    <t>End-2027 column of the house file, to 2030 (Target!G59)</t>
  </si>
  <si>
    <t>DCF by box (Ibov_DCF_by_box_XP.xlsx, 12 months)</t>
  </si>
  <si>
    <t>Multiples model, average of methods (Oct-6 table)</t>
  </si>
  <si>
    <t>Other models, bear / base / bull:</t>
  </si>
  <si>
    <t>Ibovespa - Checks</t>
  </si>
  <si>
    <t>'OK' / 'CHECK' drive the status in C5; 'Info' does not. Tie-outs hold while the projection rules are the house's.</t>
  </si>
  <si>
    <t>Overall status</t>
  </si>
  <si>
    <t>Check</t>
  </si>
  <si>
    <t>Target</t>
  </si>
  <si>
    <t>Status</t>
  </si>
  <si>
    <t>Note</t>
  </si>
  <si>
    <t>FCFF 2025, house row = Target row 44</t>
  </si>
  <si>
    <t>House file value.</t>
  </si>
  <si>
    <t>FCFF 2026, house row = Target row 44</t>
  </si>
  <si>
    <t>FCFF 2027, house row = Target row 44</t>
  </si>
  <si>
    <t>FCFF 2028, house row = Target row 44</t>
  </si>
  <si>
    <t>FCFF 2029, house row = Target row 44</t>
  </si>
  <si>
    <t>FCFF 2030, house row = Target row 44</t>
  </si>
  <si>
    <t>Terminal value on 2030, house rate (Target!R44)</t>
  </si>
  <si>
    <t>Fair value end-2025, house settings (Target!D59)</t>
  </si>
  <si>
    <t>Flows 2025-2030 + TV.</t>
  </si>
  <si>
    <t>Fair value end-2026, house settings (Target!F59)</t>
  </si>
  <si>
    <t>Fair value end-2027, house file column (Target!G59)</t>
  </si>
  <si>
    <t>Real-rate table, largest gap to the house (Sensitivity)</t>
  </si>
  <si>
    <t>House implied return at the house price (Target!B62)</t>
  </si>
  <si>
    <t>Helper row 35.</t>
  </si>
  <si>
    <t>Corrections switched on (Assumptions section 4)</t>
  </si>
  <si>
    <t>Info: 0 = the house mechanics.</t>
  </si>
  <si>
    <t>Market data used (1 = house file, 2 = Oct-5)</t>
  </si>
  <si>
    <t>Info.</t>
  </si>
  <si>
    <t>Formula errors (DCF, Summary, Sensitivity)</t>
  </si>
  <si>
    <t>House file settings used by the tie-outs (Target sheet)</t>
  </si>
  <si>
    <t>5-year real rate (Target!C56)</t>
  </si>
  <si>
    <t>ERP (Target!B57)</t>
  </si>
  <si>
    <t>g (Target!B54)</t>
  </si>
  <si>
    <t>Ibovespa (Target!B61)</t>
  </si>
  <si>
    <t>Helper: house implied-return flows (Target row 61)</t>
  </si>
  <si>
    <t>Ibovespa DCF, house model rolled to end-2027</t>
  </si>
  <si>
    <t>XP Research · Equity Strategy · built Oct-7-2026 · inputs from DCF Ibov 2026_Out.xlsx (Sep-26); market data Oct-5-2026</t>
  </si>
  <si>
    <t>What it is</t>
  </si>
  <si>
    <t>The DCF block of the house Ibovespa model (DCF Ibov 2026_Out.xlsx, Target sheet rows 17-65 and 120-151), with the same inputs, rules and mechanics.</t>
  </si>
  <si>
    <t>Rolled forward one year: fair value at the end of 2027 from the FCFF of 2028-2031 + terminal value, as the house's end-2026 value uses 2027-2030. 2031 is projected with the house's 2029-2030 rules (nominal GDP growth, 30% EBITDA margin, 9% capex).</t>
  </si>
  <si>
    <t>How to use it</t>
  </si>
  <si>
    <t>1. Change</t>
  </si>
  <si>
    <t>Assumptions: market data (house file or Oct-5), g, NWC %, scenarios (real rate, ERP), the four correction switches. DCF sheet: pink projection rules.</t>
  </si>
  <si>
    <t>2. Read</t>
  </si>
  <si>
    <t>Summary: bear / base / bull, the correction steps and the tie-out with the house file. Sensitivity: real rate x ERP.</t>
  </si>
  <si>
    <t>3. Trace</t>
  </si>
  <si>
    <t>Summary -&gt; DCF (valuation block -&gt; FCFF rows -&gt; house inputs). Checks ties every key number to the house file.</t>
  </si>
  <si>
    <t>Mechanics (house)</t>
  </si>
  <si>
    <t>Cash flow</t>
  </si>
  <si>
    <t>FCFF = D&amp;A + NOPAT + capex + NWC, where NWC is the level (-4% of sales), not the change.</t>
  </si>
  <si>
    <t>5-year real rate (BZRFB5PY) + ERP 6.0%, applied to nominal cash flows.</t>
  </si>
  <si>
    <t>Terminal value</t>
  </si>
  <si>
    <t>Last FCFF x (1 + g) / (rate - g), g = 4.7%, put one period after the last flow by Excel NPV.</t>
  </si>
  <si>
    <t>Equity</t>
  </si>
  <si>
    <t>The value of the FCFF is read as the index value; net debt is not subtracted.</t>
  </si>
  <si>
    <t>Corrections</t>
  </si>
  <si>
    <t>Switches</t>
  </si>
  <si>
    <t>Assumptions section 4, all off by default (= the house): NWC by change, net debt subtracted (1.6x EBITDA two years before), terminal value discounted with the last flow, inflation in the rate (Fisher). Summary shows the effect step by step.</t>
  </si>
  <si>
    <t>Sources</t>
  </si>
  <si>
    <t>Inputs</t>
  </si>
  <si>
    <t>History 2015-2025 and IBOV Index consensus 2026-2028 (sales and capex to 2027; EBIT, EBITDA and EPS to 2028) as saved in the house file; not refreshed.</t>
  </si>
  <si>
    <t>Market</t>
  </si>
  <si>
    <t>Ibovespa 208,431.92 (Oct-5 close); 5-year NTN-B 6.76% (ANBIMA, Oct-5). House file: 182,419.73 and 7.42%.</t>
  </si>
  <si>
    <t>Code</t>
  </si>
  <si>
    <t>Brazil Bull Case/scripts/build_house2027.py.</t>
  </si>
  <si>
    <r>
      <rPr>
        <b/>
        <sz val="18"/>
        <color rgb="FFFFFFFF"/>
        <rFont val="Roboto"/>
        <family val="2"/>
      </rPr>
      <t>Ibovespa</t>
    </r>
    <r>
      <rPr>
        <sz val="18"/>
        <color rgb="FFFFFFFF"/>
        <rFont val="Roboto Light"/>
        <family val="2"/>
      </rPr>
      <t xml:space="preserve"> | DCF (house model), end-2027</t>
    </r>
  </si>
  <si>
    <t>VALUATION MODEL  ·  EQUITY STRATEGY</t>
  </si>
  <si>
    <t>Main tabs &gt;&gt;</t>
  </si>
  <si>
    <t>Auxiliary tabs &gt;&gt;</t>
  </si>
  <si>
    <t>Summary</t>
  </si>
  <si>
    <t>Assumptions</t>
  </si>
  <si>
    <t>DCF</t>
  </si>
  <si>
    <t>Sensitivity</t>
  </si>
  <si>
    <t>Checks
(tie-out with the house)</t>
  </si>
  <si>
    <t>Read Me</t>
  </si>
  <si>
    <t>How this model works &gt;&gt;</t>
  </si>
  <si>
    <t>Fair value end-2027, base</t>
  </si>
  <si>
    <t>Upside, base</t>
  </si>
  <si>
    <t>Fair value end-2027, bear</t>
  </si>
  <si>
    <t>Fair value end-2027, bull</t>
  </si>
  <si>
    <t>Model checks</t>
  </si>
  <si>
    <t>Equity Strategy | XP Research</t>
  </si>
  <si>
    <t>Replica of the house DCF (DCF Ibov 2026_Out.xlsx) rolled to end-2027: FCFF 2028-2031 + terminal value at 5y NTN-B + 6.0% ERP, g 4.7%.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</si>
</sst>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+0.0%;\-0.0%;0.0%"/>
    <numFmt numFmtId="165" formatCode="0.0%"/>
    <numFmt numFmtId="166" formatCode="0.0&quot;x&quot;"/>
    <numFmt numFmtId="167" formatCode="\+#,##0;\-#,##0;0"/>
  </numFmts>
  <fonts count="28" x14ac:knownFonts="1">
    <font>
      <sz val="11"/>
      <color theme="1"/>
      <name val="Calibri"/>
      <family val="2"/>
      <scheme val="minor"/>
    </font>
    <font>
      <sz val="10"/>
      <color rgb="FF18191A"/>
      <name val="Roboto"/>
      <family val="2"/>
    </font>
    <font>
      <sz val="10"/>
      <color rgb="FFFFFFFF"/>
      <name val="Roboto Light"/>
      <family val="2"/>
    </font>
    <font>
      <b/>
      <i/>
      <sz val="9"/>
      <color rgb="FF1F2F44"/>
      <name val="Roboto"/>
      <family val="2"/>
    </font>
    <font>
      <b/>
      <sz val="11"/>
      <color rgb="FFFFFFFF"/>
      <name val="Roboto"/>
      <family val="2"/>
    </font>
    <font>
      <sz val="10"/>
      <color rgb="FF18191A"/>
      <name val="Roboto Light"/>
      <family val="2"/>
    </font>
    <font>
      <sz val="10"/>
      <color rgb="FF18191A"/>
      <name val="Roboto"/>
      <family val="2"/>
    </font>
    <font>
      <b/>
      <sz val="10"/>
      <color rgb="FF18191A"/>
      <name val="Roboto Light"/>
      <family val="2"/>
    </font>
    <font>
      <b/>
      <sz val="10"/>
      <color rgb="FF18191A"/>
      <name val="Roboto"/>
      <family val="2"/>
    </font>
    <font>
      <b/>
      <sz val="11"/>
      <color rgb="FF18191A"/>
      <name val="Roboto"/>
      <family val="2"/>
    </font>
    <font>
      <b/>
      <sz val="10"/>
      <color rgb="FF008000"/>
      <name val="Roboto"/>
      <family val="2"/>
    </font>
    <font>
      <i/>
      <u/>
      <sz val="10"/>
      <color rgb="FF0070C0"/>
      <name val="Roboto"/>
      <family val="2"/>
    </font>
    <font>
      <i/>
      <sz val="10"/>
      <color rgb="FF74797C"/>
      <name val="Roboto"/>
      <family val="2"/>
    </font>
    <font>
      <b/>
      <sz val="18"/>
      <color rgb="FF1D1E1F"/>
      <name val="Roboto"/>
      <family val="2"/>
    </font>
    <font>
      <b/>
      <sz val="10"/>
      <color rgb="FFFFFFFF"/>
      <name val="Roboto"/>
      <family val="2"/>
    </font>
    <font>
      <sz val="10"/>
      <color rgb="FF0070C0"/>
      <name val="Roboto"/>
      <family val="2"/>
    </font>
    <font>
      <i/>
      <sz val="10"/>
      <color rgb="FF0070C0"/>
      <name val="Roboto"/>
      <family val="2"/>
    </font>
    <font>
      <b/>
      <i/>
      <sz val="10"/>
      <color rgb="FF0070C0"/>
      <name val="Roboto"/>
      <family val="2"/>
    </font>
    <font>
      <i/>
      <sz val="10"/>
      <color rgb="FF18191A"/>
      <name val="Roboto"/>
      <family val="2"/>
    </font>
    <font>
      <b/>
      <sz val="10"/>
      <color rgb="FF0070C0"/>
      <name val="Roboto"/>
      <family val="2"/>
    </font>
    <font>
      <i/>
      <sz val="8"/>
      <color rgb="FF74797C"/>
      <name val="Roboto"/>
      <family val="2"/>
    </font>
    <font>
      <i/>
      <sz val="8"/>
      <color rgb="FF18191A"/>
      <name val="Roboto"/>
      <family val="2"/>
    </font>
    <font>
      <i/>
      <sz val="8"/>
      <color rgb="FF1F2F44"/>
      <name val="Roboto"/>
      <family val="2"/>
    </font>
    <font>
      <sz val="10"/>
      <color rgb="FF74797C"/>
      <name val="Roboto"/>
      <family val="2"/>
    </font>
    <font>
      <sz val="10"/>
      <color rgb="FF74797C"/>
      <name val="Roboto"/>
      <family val="2"/>
    </font>
    <font>
      <b/>
      <sz val="16"/>
      <color rgb="FF1F2F44"/>
      <name val="Roboto"/>
      <family val="2"/>
    </font>
    <font>
      <b/>
      <sz val="18"/>
      <color rgb="FFFFFFFF"/>
      <name val="Roboto"/>
      <family val="2"/>
    </font>
    <font>
      <sz val="18"/>
      <color rgb="FFFFFFFF"/>
      <name val="Roboto Light"/>
      <family val="2"/>
    </font>
  </fonts>
  <fills count="7">
    <fill>
      <patternFill patternType="none"/>
    </fill>
    <fill>
      <patternFill patternType="gray125"/>
    </fill>
    <fill>
      <patternFill patternType="solid">
        <fgColor rgb="FF1F2F44"/>
        <bgColor indexed="64"/>
      </patternFill>
    </fill>
    <fill>
      <patternFill patternType="solid">
        <fgColor rgb="FFF9C11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9EAEC"/>
        <bgColor indexed="64"/>
      </patternFill>
    </fill>
    <fill>
      <patternFill patternType="solid">
        <fgColor rgb="FFFFE7E7"/>
        <bgColor indexed="64"/>
      </patternFill>
    </fill>
  </fills>
  <borders count="4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3" fontId="8" fillId="0" borderId="0" xfId="0" applyNumberFormat="1" applyFont="1" applyAlignment="1">
      <alignment vertical="center"/>
    </xf>
    <xf numFmtId="0" fontId="14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/>
    </xf>
    <xf numFmtId="10" fontId="6" fillId="4" borderId="0" xfId="0" applyNumberFormat="1" applyFont="1" applyFill="1" applyAlignment="1">
      <alignment vertical="center"/>
    </xf>
    <xf numFmtId="3" fontId="8" fillId="5" borderId="0" xfId="0" applyNumberFormat="1" applyFont="1" applyFill="1" applyAlignment="1">
      <alignment vertical="center"/>
    </xf>
    <xf numFmtId="164" fontId="8" fillId="5" borderId="0" xfId="0" applyNumberFormat="1" applyFont="1" applyFill="1" applyAlignment="1">
      <alignment vertical="center"/>
    </xf>
    <xf numFmtId="165" fontId="6" fillId="4" borderId="0" xfId="0" applyNumberFormat="1" applyFont="1" applyFill="1" applyAlignment="1">
      <alignment vertical="center"/>
    </xf>
    <xf numFmtId="166" fontId="6" fillId="4" borderId="0" xfId="0" applyNumberFormat="1" applyFont="1" applyFill="1" applyAlignment="1">
      <alignment vertical="center"/>
    </xf>
    <xf numFmtId="164" fontId="1" fillId="0" borderId="0" xfId="0" applyNumberFormat="1" applyFont="1" applyAlignment="1">
      <alignment vertical="center"/>
    </xf>
    <xf numFmtId="3" fontId="6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3" fontId="15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4" fontId="1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17" fillId="6" borderId="3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4" fontId="15" fillId="0" borderId="0" xfId="0" applyNumberFormat="1" applyFont="1" applyAlignment="1">
      <alignment vertical="center"/>
    </xf>
    <xf numFmtId="4" fontId="8" fillId="0" borderId="0" xfId="0" applyNumberFormat="1" applyFont="1" applyAlignment="1">
      <alignment vertical="center"/>
    </xf>
    <xf numFmtId="10" fontId="15" fillId="0" borderId="0" xfId="0" applyNumberFormat="1" applyFont="1" applyAlignment="1">
      <alignment vertical="center"/>
    </xf>
    <xf numFmtId="10" fontId="8" fillId="0" borderId="0" xfId="0" applyNumberFormat="1" applyFont="1" applyAlignment="1">
      <alignment vertical="center"/>
    </xf>
    <xf numFmtId="1" fontId="19" fillId="6" borderId="3" xfId="0" applyNumberFormat="1" applyFont="1" applyFill="1" applyBorder="1" applyAlignment="1">
      <alignment vertical="center"/>
    </xf>
    <xf numFmtId="10" fontId="19" fillId="6" borderId="3" xfId="0" applyNumberFormat="1" applyFont="1" applyFill="1" applyBorder="1" applyAlignment="1">
      <alignment vertical="center"/>
    </xf>
    <xf numFmtId="165" fontId="19" fillId="6" borderId="3" xfId="0" applyNumberFormat="1" applyFont="1" applyFill="1" applyBorder="1" applyAlignment="1">
      <alignment vertical="center"/>
    </xf>
    <xf numFmtId="166" fontId="19" fillId="6" borderId="3" xfId="0" applyNumberFormat="1" applyFont="1" applyFill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65" fontId="15" fillId="0" borderId="0" xfId="0" applyNumberFormat="1" applyFont="1" applyAlignment="1">
      <alignment vertical="center"/>
    </xf>
    <xf numFmtId="2" fontId="6" fillId="4" borderId="0" xfId="0" applyNumberFormat="1" applyFont="1" applyFill="1" applyAlignment="1">
      <alignment vertical="center"/>
    </xf>
    <xf numFmtId="2" fontId="19" fillId="6" borderId="3" xfId="0" applyNumberFormat="1" applyFont="1" applyFill="1" applyBorder="1" applyAlignment="1">
      <alignment vertical="center"/>
    </xf>
    <xf numFmtId="3" fontId="8" fillId="4" borderId="0" xfId="0" applyNumberFormat="1" applyFont="1" applyFill="1" applyAlignment="1">
      <alignment vertical="center"/>
    </xf>
    <xf numFmtId="3" fontId="6" fillId="4" borderId="0" xfId="0" applyNumberFormat="1" applyFont="1" applyFill="1" applyAlignment="1">
      <alignment vertical="center"/>
    </xf>
    <xf numFmtId="0" fontId="23" fillId="0" borderId="0" xfId="0" applyFont="1" applyAlignment="1">
      <alignment vertical="center"/>
    </xf>
    <xf numFmtId="1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10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10" fontId="6" fillId="0" borderId="0" xfId="0" applyNumberFormat="1" applyFont="1" applyAlignment="1">
      <alignment vertical="center"/>
    </xf>
    <xf numFmtId="10" fontId="15" fillId="0" borderId="0" xfId="0" applyNumberFormat="1" applyFont="1" applyAlignment="1">
      <alignment horizontal="center" vertical="center"/>
    </xf>
    <xf numFmtId="165" fontId="19" fillId="6" borderId="3" xfId="0" applyNumberFormat="1" applyFont="1" applyFill="1" applyBorder="1" applyAlignment="1">
      <alignment horizontal="center" vertical="center"/>
    </xf>
    <xf numFmtId="10" fontId="19" fillId="6" borderId="3" xfId="0" applyNumberFormat="1" applyFont="1" applyFill="1" applyBorder="1" applyAlignment="1">
      <alignment horizontal="center" vertical="center"/>
    </xf>
    <xf numFmtId="165" fontId="14" fillId="2" borderId="0" xfId="0" applyNumberFormat="1" applyFont="1" applyFill="1" applyAlignment="1">
      <alignment horizontal="center" vertical="center"/>
    </xf>
    <xf numFmtId="10" fontId="8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8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3" fontId="6" fillId="0" borderId="2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vertical="center"/>
    </xf>
    <xf numFmtId="3" fontId="8" fillId="0" borderId="2" xfId="0" applyNumberFormat="1" applyFont="1" applyBorder="1" applyAlignment="1">
      <alignment horizontal="right" vertical="center"/>
    </xf>
    <xf numFmtId="164" fontId="6" fillId="0" borderId="2" xfId="0" applyNumberFormat="1" applyFont="1" applyBorder="1" applyAlignment="1">
      <alignment horizontal="right" vertical="center"/>
    </xf>
    <xf numFmtId="0" fontId="10" fillId="0" borderId="2" xfId="0" applyFont="1" applyBorder="1" applyAlignment="1">
      <alignment horizontal="right" vertical="center"/>
    </xf>
    <xf numFmtId="0" fontId="14" fillId="2" borderId="0" xfId="0" applyFont="1" applyFill="1" applyAlignment="1">
      <alignment vertical="center"/>
    </xf>
  </cellXfs>
  <cellStyles count="1">
    <cellStyle name="Normal" xfId="0" builtinId="0"/>
  </cellStyles>
  <dxfs count="3">
    <dxf>
      <font>
        <b/>
        <color rgb="FFC00000"/>
      </font>
    </dxf>
    <dxf>
      <font>
        <b/>
        <color rgb="FF18191A"/>
      </font>
      <border>
        <left style="medium">
          <color rgb="FF1F2F44"/>
        </left>
        <right style="medium">
          <color rgb="FF1F2F44"/>
        </right>
        <top style="medium">
          <color rgb="FF1F2F44"/>
        </top>
        <bottom style="medium">
          <color rgb="FF1F2F44"/>
        </bottom>
        <vertical/>
        <horizontal/>
      </border>
    </dxf>
    <dxf>
      <font>
        <b/>
        <color rgb="FF18191A"/>
      </font>
      <border>
        <left style="medium">
          <color rgb="FF1F2F44"/>
        </left>
        <right style="medium">
          <color rgb="FF1F2F44"/>
        </right>
        <top style="medium">
          <color rgb="FF1F2F44"/>
        </top>
        <bottom style="medium">
          <color rgb="FF1F2F44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381000</xdr:colOff>
      <xdr:row>1</xdr:row>
      <xdr:rowOff>57150</xdr:rowOff>
    </xdr:from>
    <xdr:to>
      <xdr:col>12</xdr:col>
      <xdr:colOff>337548</xdr:colOff>
      <xdr:row>2</xdr:row>
      <xdr:rowOff>188682</xdr:rowOff>
    </xdr:to>
    <xdr:pic>
      <xdr:nvPicPr>
        <xdr:cNvPr id="2" name="Picture 1" descr="xp_research_whit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86725" y="228600"/>
          <a:ext cx="775698" cy="2267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O19"/>
  <sheetViews>
    <sheetView showGridLines="0" tabSelected="1" zoomScale="85" zoomScaleNormal="85" workbookViewId="0"/>
  </sheetViews>
  <sheetFormatPr defaultRowHeight="13.95" customHeight="1" x14ac:dyDescent="0.3"/>
  <cols>
    <col min="1" max="1" width="2.88671875" customWidth="1"/>
    <col min="2" max="2" width="2.109375" customWidth="1"/>
    <col min="3" max="14" width="12.33203125" customWidth="1"/>
    <col min="15" max="15" width="2.109375" customWidth="1"/>
  </cols>
  <sheetData>
    <row r="2" spans="2:15" ht="7.95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15" ht="34.049999999999997" customHeight="1" x14ac:dyDescent="0.3">
      <c r="B3" s="1"/>
      <c r="C3" s="1" t="s">
        <v>276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2:15" ht="18" customHeight="1" x14ac:dyDescent="0.3">
      <c r="B4" s="1"/>
      <c r="C4" s="2" t="s">
        <v>277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2:15" ht="7.95" customHeight="1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7" spans="2:15" ht="13.95" customHeight="1" x14ac:dyDescent="0.3">
      <c r="C7" s="3" t="s">
        <v>278</v>
      </c>
    </row>
    <row r="8" spans="2:15" ht="19.05" customHeight="1" x14ac:dyDescent="0.3">
      <c r="C8" s="62" t="s">
        <v>280</v>
      </c>
      <c r="D8" s="62"/>
      <c r="E8" s="62" t="s">
        <v>281</v>
      </c>
      <c r="F8" s="62"/>
      <c r="G8" s="62" t="s">
        <v>282</v>
      </c>
      <c r="H8" s="62"/>
      <c r="I8" s="62" t="s">
        <v>283</v>
      </c>
      <c r="J8" s="62"/>
      <c r="K8" s="64" t="s">
        <v>158</v>
      </c>
      <c r="L8" s="64"/>
      <c r="M8" s="65">
        <f>IbovUsed</f>
        <v>208431.92</v>
      </c>
      <c r="N8" s="65"/>
    </row>
    <row r="9" spans="2:15" ht="19.05" customHeight="1" x14ac:dyDescent="0.3">
      <c r="C9" s="62"/>
      <c r="D9" s="62"/>
      <c r="E9" s="62"/>
      <c r="F9" s="62"/>
      <c r="G9" s="62"/>
      <c r="H9" s="62"/>
      <c r="I9" s="62"/>
      <c r="J9" s="62"/>
      <c r="K9" s="66" t="s">
        <v>287</v>
      </c>
      <c r="L9" s="66"/>
      <c r="M9" s="67">
        <f>FV27Base</f>
        <v>235695.43773555552</v>
      </c>
      <c r="N9" s="67"/>
    </row>
    <row r="10" spans="2:15" ht="13.95" customHeight="1" x14ac:dyDescent="0.3">
      <c r="K10" s="64" t="s">
        <v>288</v>
      </c>
      <c r="L10" s="64"/>
      <c r="M10" s="68">
        <f>FV27Base/IbovUsed-1</f>
        <v>0.13080298706433968</v>
      </c>
      <c r="N10" s="68"/>
    </row>
    <row r="11" spans="2:15" ht="13.95" customHeight="1" x14ac:dyDescent="0.3">
      <c r="C11" s="3" t="s">
        <v>279</v>
      </c>
      <c r="K11" s="64" t="s">
        <v>289</v>
      </c>
      <c r="L11" s="64"/>
      <c r="M11" s="65">
        <f>FV27Bear</f>
        <v>191722.24091712022</v>
      </c>
      <c r="N11" s="65"/>
    </row>
    <row r="12" spans="2:15" ht="19.05" customHeight="1" x14ac:dyDescent="0.3">
      <c r="C12" s="63" t="s">
        <v>284</v>
      </c>
      <c r="D12" s="63"/>
      <c r="E12" s="63" t="s">
        <v>285</v>
      </c>
      <c r="F12" s="63"/>
      <c r="K12" s="64" t="s">
        <v>290</v>
      </c>
      <c r="L12" s="64"/>
      <c r="M12" s="65">
        <f>FV27Bull</f>
        <v>261607.53937690461</v>
      </c>
      <c r="N12" s="65"/>
    </row>
    <row r="13" spans="2:15" ht="19.05" customHeight="1" x14ac:dyDescent="0.3">
      <c r="C13" s="63"/>
      <c r="D13" s="63"/>
      <c r="E13" s="63"/>
      <c r="F13" s="63"/>
      <c r="K13" s="64" t="s">
        <v>291</v>
      </c>
      <c r="L13" s="64"/>
      <c r="M13" s="69" t="str">
        <f>Checks!C5</f>
        <v>All checks OK</v>
      </c>
      <c r="N13" s="69"/>
    </row>
    <row r="15" spans="2:15" ht="13.95" customHeight="1" x14ac:dyDescent="0.3">
      <c r="K15" s="4" t="s">
        <v>286</v>
      </c>
    </row>
    <row r="16" spans="2:15" ht="13.95" customHeight="1" x14ac:dyDescent="0.3">
      <c r="K16" s="5" t="s">
        <v>292</v>
      </c>
    </row>
    <row r="19" spans="3:3" ht="13.95" customHeight="1" x14ac:dyDescent="0.3">
      <c r="C19" s="6" t="s">
        <v>293</v>
      </c>
    </row>
  </sheetData>
  <mergeCells count="18">
    <mergeCell ref="K11:L11"/>
    <mergeCell ref="M11:N11"/>
    <mergeCell ref="K12:L12"/>
    <mergeCell ref="M12:N12"/>
    <mergeCell ref="K13:L13"/>
    <mergeCell ref="M13:N13"/>
    <mergeCell ref="K8:L8"/>
    <mergeCell ref="M8:N8"/>
    <mergeCell ref="K9:L9"/>
    <mergeCell ref="M9:N9"/>
    <mergeCell ref="K10:L10"/>
    <mergeCell ref="M10:N10"/>
    <mergeCell ref="C8:D9"/>
    <mergeCell ref="E8:F9"/>
    <mergeCell ref="G8:H9"/>
    <mergeCell ref="I8:J9"/>
    <mergeCell ref="C12:D13"/>
    <mergeCell ref="E12:F13"/>
  </mergeCells>
  <hyperlinks>
    <hyperlink ref="C8" location="'Summary'!A1" tooltip="Go to Summary" display="Summary" xr:uid="{00000000-0004-0000-0000-000000000000}"/>
    <hyperlink ref="E8" location="'Assumptions'!A1" tooltip="Go to Assumptions" display="Assumptions" xr:uid="{00000000-0004-0000-0000-000001000000}"/>
    <hyperlink ref="G8" location="'DCF'!A1" tooltip="Go to DCF" display="DCF" xr:uid="{00000000-0004-0000-0000-000002000000}"/>
    <hyperlink ref="I8" location="'Sensitivity'!A1" tooltip="Go to Sensitivity" display="Sensitivity" xr:uid="{00000000-0004-0000-0000-000003000000}"/>
    <hyperlink ref="C12" location="'Checks'!A1" tooltip="Go to Checks" display="Checks_x000a_(tie-out with the house)" xr:uid="{00000000-0004-0000-0000-000004000000}"/>
    <hyperlink ref="E12" location="'Read Me'!A1" tooltip="Go to Read Me" display="Read Me" xr:uid="{00000000-0004-0000-0000-000005000000}"/>
    <hyperlink ref="K15" location="'Read Me'!A1" display="How this model works &gt;&gt;" xr:uid="{00000000-0004-0000-0000-000006000000}"/>
  </hyperlinks>
  <pageMargins left="0.7" right="0.7" top="0.75" bottom="0.75" header="0.3" footer="0.3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G32"/>
  <sheetViews>
    <sheetView showGridLines="0" zoomScale="85" zoomScaleNormal="85" workbookViewId="0">
      <pane ySplit="4" topLeftCell="A5" activePane="bottomLeft" state="frozen"/>
      <selection pane="bottomLeft"/>
    </sheetView>
  </sheetViews>
  <sheetFormatPr defaultRowHeight="13.95" customHeight="1" x14ac:dyDescent="0.3"/>
  <cols>
    <col min="1" max="1" width="2.6640625" customWidth="1"/>
    <col min="2" max="2" width="52.6640625" customWidth="1"/>
    <col min="3" max="8" width="14.6640625" customWidth="1"/>
  </cols>
  <sheetData>
    <row r="1" spans="2:7" ht="30" customHeight="1" x14ac:dyDescent="0.3">
      <c r="B1" s="7" t="s">
        <v>186</v>
      </c>
    </row>
    <row r="2" spans="2:7" ht="13.95" customHeight="1" x14ac:dyDescent="0.3">
      <c r="B2" s="6" t="s">
        <v>187</v>
      </c>
    </row>
    <row r="3" spans="2:7" ht="13.95" customHeight="1" x14ac:dyDescent="0.3">
      <c r="B3" s="6" t="s">
        <v>158</v>
      </c>
      <c r="C3" s="8">
        <f>IbovUsed</f>
        <v>208431.92</v>
      </c>
      <c r="D3" s="6" t="s">
        <v>188</v>
      </c>
      <c r="E3" s="5" t="str">
        <f>CHOOSE(Vintage,"house file","Oct-5-2026")</f>
        <v>Oct-5-2026</v>
      </c>
      <c r="F3" s="6" t="s">
        <v>189</v>
      </c>
      <c r="G3" s="5" t="str">
        <f>Checks!C5</f>
        <v>All checks OK</v>
      </c>
    </row>
    <row r="5" spans="2:7" ht="13.95" customHeight="1" x14ac:dyDescent="0.3">
      <c r="B5" s="70" t="s">
        <v>190</v>
      </c>
      <c r="C5" s="70"/>
      <c r="D5" s="70"/>
      <c r="E5" s="70"/>
      <c r="F5" s="70"/>
      <c r="G5" s="70"/>
    </row>
    <row r="6" spans="2:7" ht="13.95" customHeight="1" x14ac:dyDescent="0.3">
      <c r="B6" s="9"/>
      <c r="C6" s="10" t="s">
        <v>31</v>
      </c>
      <c r="D6" s="10" t="s">
        <v>32</v>
      </c>
      <c r="E6" s="10" t="s">
        <v>33</v>
      </c>
      <c r="F6" s="10"/>
      <c r="G6" s="10" t="s">
        <v>191</v>
      </c>
    </row>
    <row r="7" spans="2:7" ht="13.95" customHeight="1" x14ac:dyDescent="0.3">
      <c r="B7" s="11" t="s">
        <v>14</v>
      </c>
      <c r="C7" s="12">
        <f>DCF!C46</f>
        <v>8.5000000000000006E-2</v>
      </c>
      <c r="D7" s="12">
        <f>DCF!D46</f>
        <v>6.7599999999999993E-2</v>
      </c>
      <c r="E7" s="12">
        <f>DCF!E46</f>
        <v>0.06</v>
      </c>
      <c r="G7" s="12">
        <f>DCF!G46</f>
        <v>6.7599999999999993E-2</v>
      </c>
    </row>
    <row r="8" spans="2:7" ht="13.95" customHeight="1" x14ac:dyDescent="0.3">
      <c r="B8" s="11" t="s">
        <v>35</v>
      </c>
      <c r="C8" s="12">
        <f>DCF!C47</f>
        <v>0.06</v>
      </c>
      <c r="D8" s="12">
        <f>DCF!D47</f>
        <v>0.06</v>
      </c>
      <c r="E8" s="12">
        <f>DCF!E47</f>
        <v>0.06</v>
      </c>
      <c r="G8" s="12">
        <f>DCF!G47</f>
        <v>0.06</v>
      </c>
    </row>
    <row r="9" spans="2:7" ht="13.95" customHeight="1" x14ac:dyDescent="0.3">
      <c r="B9" s="11" t="s">
        <v>192</v>
      </c>
      <c r="C9" s="12">
        <f>DCF!C48</f>
        <v>0.14500000000000002</v>
      </c>
      <c r="D9" s="12">
        <f>DCF!D48</f>
        <v>0.12759999999999999</v>
      </c>
      <c r="E9" s="12">
        <f>DCF!E48</f>
        <v>0.12</v>
      </c>
      <c r="G9" s="12">
        <f>DCF!G48</f>
        <v>0.12759999999999999</v>
      </c>
    </row>
    <row r="10" spans="2:7" ht="13.95" customHeight="1" x14ac:dyDescent="0.3">
      <c r="B10" s="5" t="s">
        <v>156</v>
      </c>
      <c r="C10" s="13">
        <f>DCF!C57</f>
        <v>191722.24091712022</v>
      </c>
      <c r="D10" s="13">
        <f>DCF!D57</f>
        <v>235695.43773555552</v>
      </c>
      <c r="E10" s="13">
        <f>DCF!E57</f>
        <v>261607.53937690461</v>
      </c>
      <c r="G10" s="13">
        <f>DCF!G57</f>
        <v>219923.11689447385</v>
      </c>
    </row>
    <row r="11" spans="2:7" ht="13.95" customHeight="1" x14ac:dyDescent="0.3">
      <c r="B11" s="5" t="s">
        <v>184</v>
      </c>
      <c r="C11" s="14">
        <f>DCF!C59</f>
        <v>-8.0168522570246425E-2</v>
      </c>
      <c r="D11" s="14">
        <f>DCF!D59</f>
        <v>0.13080298706433968</v>
      </c>
      <c r="E11" s="14">
        <f>DCF!E59</f>
        <v>0.25512224508081394</v>
      </c>
      <c r="G11" s="14">
        <f>DCF!G59</f>
        <v>5.5131655911790478E-2</v>
      </c>
    </row>
    <row r="12" spans="2:7" ht="13.95" customHeight="1" x14ac:dyDescent="0.3">
      <c r="B12" s="11" t="s">
        <v>193</v>
      </c>
      <c r="C12" s="15">
        <f>DCF!C60</f>
        <v>0.69548156331878863</v>
      </c>
      <c r="D12" s="15">
        <f>DCF!D60</f>
        <v>0.74259167017841754</v>
      </c>
      <c r="E12" s="15">
        <f>DCF!E60</f>
        <v>0.76409682986657068</v>
      </c>
      <c r="G12" s="15">
        <f>DCF!G60</f>
        <v>0.75023419743596798</v>
      </c>
    </row>
    <row r="13" spans="2:7" ht="13.95" customHeight="1" x14ac:dyDescent="0.3">
      <c r="B13" s="11" t="s">
        <v>161</v>
      </c>
      <c r="C13" s="16">
        <f>DCF!C61</f>
        <v>8.2720904740527335</v>
      </c>
      <c r="D13" s="16">
        <f>DCF!D61</f>
        <v>10.169367810137443</v>
      </c>
      <c r="E13" s="16">
        <f>DCF!E61</f>
        <v>11.287377114247082</v>
      </c>
      <c r="G13" s="16">
        <f>DCF!G61</f>
        <v>10.150610029284309</v>
      </c>
    </row>
    <row r="14" spans="2:7" ht="13.95" customHeight="1" x14ac:dyDescent="0.3">
      <c r="B14" s="6" t="s">
        <v>194</v>
      </c>
      <c r="C14" s="6" t="str">
        <f>IF(FixNWC+FixND+FixTV+FixInfl=0,"none: as the house","on: "&amp;IF(FixNWC=1,"NWC change ","")&amp;IF(FixND=1,"net debt ","")&amp;IF(FixTV=1,"TV timing ","")&amp;IF(FixInfl=1,"inflation",""))</f>
        <v>none: as the house</v>
      </c>
    </row>
    <row r="16" spans="2:7" ht="13.95" customHeight="1" x14ac:dyDescent="0.3">
      <c r="B16" s="70" t="s">
        <v>195</v>
      </c>
      <c r="C16" s="70"/>
      <c r="D16" s="70"/>
      <c r="E16" s="70"/>
      <c r="F16" s="70"/>
      <c r="G16" s="70"/>
    </row>
    <row r="17" spans="2:7" ht="13.95" customHeight="1" x14ac:dyDescent="0.3">
      <c r="B17" s="9" t="s">
        <v>196</v>
      </c>
      <c r="C17" s="10" t="s">
        <v>197</v>
      </c>
      <c r="D17" s="10" t="s">
        <v>198</v>
      </c>
      <c r="E17" s="10" t="s">
        <v>159</v>
      </c>
      <c r="F17" s="10"/>
      <c r="G17" s="10"/>
    </row>
    <row r="18" spans="2:7" ht="13.95" customHeight="1" x14ac:dyDescent="0.3">
      <c r="B18" s="5" t="s">
        <v>199</v>
      </c>
      <c r="C18" s="8">
        <f>NPV((Assumptions!$D$20+Assumptions!$D$21),DCF!$P$35:$S$35)+DCF!$S$35*(1+gLT)/((Assumptions!$D$20+Assumptions!$D$21)-gLT)/(1+(Assumptions!$D$20+Assumptions!$D$21))^5-0</f>
        <v>235695.43773555552</v>
      </c>
      <c r="E18" s="17">
        <f>C18/IbovUsed-1</f>
        <v>0.13080298706433968</v>
      </c>
    </row>
    <row r="19" spans="2:7" ht="13.95" customHeight="1" x14ac:dyDescent="0.3">
      <c r="B19" s="11" t="s">
        <v>200</v>
      </c>
      <c r="C19" s="18">
        <f>NPV((Assumptions!$D$20+Assumptions!$D$21),DCF!$P$35:$S$35)+DCF!$S$35*(1+gLT)/((Assumptions!$D$20+Assumptions!$D$21)-gLT)/(1+(Assumptions!$D$20+Assumptions!$D$21))^4-0</f>
        <v>258028.68754952028</v>
      </c>
      <c r="D19" s="19">
        <f>C19-C18</f>
        <v>22333.249813964765</v>
      </c>
      <c r="E19" s="17">
        <f>C19/IbovUsed-1</f>
        <v>0.23795188160009406</v>
      </c>
    </row>
    <row r="20" spans="2:7" ht="13.95" customHeight="1" x14ac:dyDescent="0.3">
      <c r="B20" s="11" t="s">
        <v>201</v>
      </c>
      <c r="C20" s="18">
        <f>NPV((Assumptions!$D$20+Assumptions!$D$21),DCF!$P$36:$S$36)+DCF!$S$36*(1+gLT)/((Assumptions!$D$20+Assumptions!$D$21)-gLT)/(1+(Assumptions!$D$20+Assumptions!$D$21))^4-0</f>
        <v>342114.36160957144</v>
      </c>
      <c r="D20" s="19">
        <f>C20-C19</f>
        <v>84085.674060051155</v>
      </c>
      <c r="E20" s="17">
        <f>C20/IbovUsed-1</f>
        <v>0.64137221213320594</v>
      </c>
    </row>
    <row r="21" spans="2:7" ht="13.95" customHeight="1" x14ac:dyDescent="0.3">
      <c r="B21" s="11" t="s">
        <v>202</v>
      </c>
      <c r="C21" s="18">
        <f>NPV((Assumptions!$D$20+Assumptions!$D$21),DCF!$P$36:$S$36)+DCF!$S$36*(1+gLT)/((Assumptions!$D$20+Assumptions!$D$21)-gLT)/(1+(Assumptions!$D$20+Assumptions!$D$21))^4-NDmult*DCF!$M$21</f>
        <v>288032.7616095714</v>
      </c>
      <c r="D21" s="19">
        <f>C21-C20</f>
        <v>-54081.600000000035</v>
      </c>
      <c r="E21" s="17">
        <f>C21/IbovUsed-1</f>
        <v>0.38190331696590141</v>
      </c>
    </row>
    <row r="22" spans="2:7" ht="13.95" customHeight="1" x14ac:dyDescent="0.3">
      <c r="B22" s="5" t="s">
        <v>203</v>
      </c>
      <c r="C22" s="8">
        <f>NPV(((1+Assumptions!$D$20+Assumptions!$D$21)*(1+InflLT)-1),DCF!$P$36:$S$36)+DCF!$S$36*(1+gLT)/(((1+Assumptions!$D$20+Assumptions!$D$21)*(1+InflLT)-1)-gLT)/(1+((1+Assumptions!$D$20+Assumptions!$D$21)*(1+InflLT)-1))^4-NDmult*DCF!$M$21</f>
        <v>162886.95225838889</v>
      </c>
      <c r="D22" s="19">
        <f>C22-C21</f>
        <v>-125145.80935118251</v>
      </c>
      <c r="E22" s="17">
        <f>C22/IbovUsed-1</f>
        <v>-0.21851244157618044</v>
      </c>
    </row>
    <row r="24" spans="2:7" ht="13.95" customHeight="1" x14ac:dyDescent="0.3">
      <c r="B24" s="6" t="s">
        <v>204</v>
      </c>
    </row>
    <row r="26" spans="2:7" ht="13.95" customHeight="1" x14ac:dyDescent="0.3">
      <c r="B26" s="70" t="s">
        <v>205</v>
      </c>
      <c r="C26" s="70"/>
      <c r="D26" s="70"/>
      <c r="E26" s="70"/>
      <c r="F26" s="70"/>
      <c r="G26" s="70"/>
    </row>
    <row r="27" spans="2:7" ht="13.95" customHeight="1" x14ac:dyDescent="0.3">
      <c r="B27" s="9" t="s">
        <v>206</v>
      </c>
      <c r="C27" s="10" t="s">
        <v>8</v>
      </c>
      <c r="D27" s="10" t="s">
        <v>207</v>
      </c>
      <c r="E27" s="10" t="s">
        <v>179</v>
      </c>
      <c r="F27" s="10"/>
      <c r="G27" s="10"/>
    </row>
    <row r="28" spans="2:7" ht="13.95" customHeight="1" x14ac:dyDescent="0.3">
      <c r="B28" s="20" t="s">
        <v>208</v>
      </c>
      <c r="C28" s="21">
        <v>202259.16860466631</v>
      </c>
      <c r="D28" s="22">
        <f>NPV((Checks!$C$31+Checks!$C$32),DCF!$O$35:$R$35)+DCF!$R$35*(1+Checks!$C$33)/((Checks!$C$31+Checks!$C$32)-Checks!$C$33)/(1+(Checks!$C$31+Checks!$C$32))^5-0</f>
        <v>202259.16860466625</v>
      </c>
      <c r="E28" s="23">
        <f>D28-C28</f>
        <v>0</v>
      </c>
    </row>
    <row r="29" spans="2:7" ht="13.95" customHeight="1" x14ac:dyDescent="0.3">
      <c r="B29" s="20" t="s">
        <v>209</v>
      </c>
      <c r="C29" s="21">
        <v>212941.02903141241</v>
      </c>
      <c r="D29" s="22">
        <f>NPV((Checks!$C$31+Checks!$C$32),DCF!$P$35:$R$35)+DCF!$R$35*(1+Checks!$C$33)/((Checks!$C$31+Checks!$C$32)-Checks!$C$33)/(1+(Checks!$C$31+Checks!$C$32))^4-0</f>
        <v>212941.02903141244</v>
      </c>
      <c r="E29" s="23">
        <f>D29-C29</f>
        <v>0</v>
      </c>
    </row>
    <row r="30" spans="2:7" ht="13.95" customHeight="1" x14ac:dyDescent="0.3">
      <c r="B30" s="6" t="s">
        <v>212</v>
      </c>
    </row>
    <row r="31" spans="2:7" ht="13.95" customHeight="1" x14ac:dyDescent="0.3">
      <c r="B31" s="20" t="s">
        <v>210</v>
      </c>
      <c r="C31" s="21">
        <v>169580</v>
      </c>
      <c r="D31" s="21">
        <v>223718</v>
      </c>
      <c r="E31" s="21">
        <v>276936</v>
      </c>
    </row>
    <row r="32" spans="2:7" ht="13.95" customHeight="1" x14ac:dyDescent="0.3">
      <c r="B32" s="20" t="s">
        <v>211</v>
      </c>
      <c r="C32" s="21">
        <v>174414</v>
      </c>
      <c r="D32" s="21">
        <v>229232</v>
      </c>
      <c r="E32" s="21">
        <v>294832</v>
      </c>
    </row>
  </sheetData>
  <mergeCells count="3">
    <mergeCell ref="B5:G5"/>
    <mergeCell ref="B16:G16"/>
    <mergeCell ref="B26:G26"/>
  </mergeCells>
  <conditionalFormatting sqref="C11:E11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9C113"/>
    <pageSetUpPr fitToPage="1"/>
  </sheetPr>
  <dimension ref="B1:G35"/>
  <sheetViews>
    <sheetView showGridLines="0" zoomScale="85" zoomScaleNormal="85" workbookViewId="0">
      <pane ySplit="4" topLeftCell="A5" activePane="bottomLeft" state="frozen"/>
      <selection pane="bottomLeft"/>
    </sheetView>
  </sheetViews>
  <sheetFormatPr defaultRowHeight="13.95" customHeight="1" x14ac:dyDescent="0.3"/>
  <cols>
    <col min="1" max="1" width="2.6640625" customWidth="1"/>
    <col min="2" max="2" width="62.6640625" customWidth="1"/>
    <col min="3" max="6" width="15.6640625" customWidth="1"/>
    <col min="7" max="7" width="110.6640625" customWidth="1"/>
  </cols>
  <sheetData>
    <row r="1" spans="2:7" ht="30" customHeight="1" x14ac:dyDescent="0.3">
      <c r="B1" s="7" t="s">
        <v>0</v>
      </c>
    </row>
    <row r="2" spans="2:7" ht="13.95" customHeight="1" x14ac:dyDescent="0.3">
      <c r="B2" s="6" t="s">
        <v>1</v>
      </c>
    </row>
    <row r="3" spans="2:7" ht="13.95" customHeight="1" x14ac:dyDescent="0.3">
      <c r="B3" s="6" t="s">
        <v>2</v>
      </c>
      <c r="C3" s="24" t="s">
        <v>3</v>
      </c>
      <c r="D3" s="25" t="s">
        <v>4</v>
      </c>
      <c r="E3" s="26" t="s">
        <v>5</v>
      </c>
    </row>
    <row r="5" spans="2:7" ht="13.95" customHeight="1" x14ac:dyDescent="0.3">
      <c r="B5" s="70" t="s">
        <v>6</v>
      </c>
      <c r="C5" s="70"/>
      <c r="D5" s="70"/>
      <c r="E5" s="70"/>
      <c r="F5" s="70"/>
      <c r="G5" s="70"/>
    </row>
    <row r="6" spans="2:7" ht="13.95" customHeight="1" x14ac:dyDescent="0.3">
      <c r="B6" s="9" t="s">
        <v>7</v>
      </c>
      <c r="C6" s="10" t="s">
        <v>8</v>
      </c>
      <c r="D6" s="10" t="s">
        <v>9</v>
      </c>
      <c r="E6" s="10" t="s">
        <v>10</v>
      </c>
      <c r="F6" s="10"/>
      <c r="G6" s="10" t="s">
        <v>11</v>
      </c>
    </row>
    <row r="7" spans="2:7" ht="13.95" customHeight="1" x14ac:dyDescent="0.3">
      <c r="B7" s="20" t="s">
        <v>12</v>
      </c>
      <c r="C7" s="27">
        <v>182419.73</v>
      </c>
      <c r="D7" s="27">
        <v>208431.92</v>
      </c>
      <c r="E7" s="28">
        <f>CHOOSE(Vintage,C7,D7)</f>
        <v>208431.92</v>
      </c>
      <c r="G7" s="6" t="s">
        <v>13</v>
      </c>
    </row>
    <row r="8" spans="2:7" ht="13.95" customHeight="1" x14ac:dyDescent="0.3">
      <c r="B8" s="20" t="s">
        <v>14</v>
      </c>
      <c r="C8" s="29">
        <v>7.4200000000000002E-2</v>
      </c>
      <c r="D8" s="29">
        <v>6.7599999999999993E-2</v>
      </c>
      <c r="E8" s="30">
        <f>CHOOSE(Vintage,C8,D8)</f>
        <v>6.7599999999999993E-2</v>
      </c>
      <c r="G8" s="6" t="s">
        <v>15</v>
      </c>
    </row>
    <row r="9" spans="2:7" ht="13.95" customHeight="1" x14ac:dyDescent="0.3">
      <c r="B9" s="20" t="s">
        <v>16</v>
      </c>
      <c r="C9" s="31">
        <v>2</v>
      </c>
      <c r="G9" s="6" t="s">
        <v>17</v>
      </c>
    </row>
    <row r="11" spans="2:7" ht="13.95" customHeight="1" x14ac:dyDescent="0.3">
      <c r="B11" s="70" t="s">
        <v>18</v>
      </c>
      <c r="C11" s="70"/>
      <c r="D11" s="70"/>
      <c r="E11" s="70"/>
      <c r="F11" s="70"/>
      <c r="G11" s="70"/>
    </row>
    <row r="12" spans="2:7" ht="13.95" customHeight="1" x14ac:dyDescent="0.3">
      <c r="B12" s="9" t="s">
        <v>19</v>
      </c>
      <c r="C12" s="10" t="s">
        <v>20</v>
      </c>
      <c r="D12" s="10"/>
      <c r="E12" s="10"/>
      <c r="F12" s="10"/>
      <c r="G12" s="10" t="s">
        <v>11</v>
      </c>
    </row>
    <row r="13" spans="2:7" ht="13.95" customHeight="1" x14ac:dyDescent="0.3">
      <c r="B13" s="20" t="s">
        <v>21</v>
      </c>
      <c r="C13" s="32">
        <v>4.7E-2</v>
      </c>
      <c r="G13" s="6" t="s">
        <v>22</v>
      </c>
    </row>
    <row r="14" spans="2:7" ht="13.95" customHeight="1" x14ac:dyDescent="0.3">
      <c r="B14" s="20" t="s">
        <v>23</v>
      </c>
      <c r="C14" s="32">
        <v>0.04</v>
      </c>
      <c r="G14" s="6" t="s">
        <v>24</v>
      </c>
    </row>
    <row r="15" spans="2:7" ht="13.95" customHeight="1" x14ac:dyDescent="0.3">
      <c r="B15" s="20" t="s">
        <v>25</v>
      </c>
      <c r="C15" s="33">
        <v>0.04</v>
      </c>
      <c r="G15" s="6" t="s">
        <v>26</v>
      </c>
    </row>
    <row r="16" spans="2:7" ht="13.95" customHeight="1" x14ac:dyDescent="0.3">
      <c r="B16" s="20" t="s">
        <v>27</v>
      </c>
      <c r="C16" s="34">
        <v>1.6</v>
      </c>
      <c r="G16" s="6" t="s">
        <v>28</v>
      </c>
    </row>
    <row r="18" spans="2:7" ht="13.95" customHeight="1" x14ac:dyDescent="0.3">
      <c r="B18" s="70" t="s">
        <v>29</v>
      </c>
      <c r="C18" s="70"/>
      <c r="D18" s="70"/>
      <c r="E18" s="70"/>
      <c r="F18" s="70"/>
      <c r="G18" s="70"/>
    </row>
    <row r="19" spans="2:7" ht="13.95" customHeight="1" x14ac:dyDescent="0.3">
      <c r="B19" s="9" t="s">
        <v>30</v>
      </c>
      <c r="C19" s="10" t="s">
        <v>31</v>
      </c>
      <c r="D19" s="10" t="s">
        <v>32</v>
      </c>
      <c r="E19" s="10" t="s">
        <v>33</v>
      </c>
      <c r="F19" s="10"/>
      <c r="G19" s="10" t="s">
        <v>11</v>
      </c>
    </row>
    <row r="20" spans="2:7" ht="13.95" customHeight="1" x14ac:dyDescent="0.3">
      <c r="B20" s="20" t="s">
        <v>14</v>
      </c>
      <c r="C20" s="32">
        <v>8.5000000000000006E-2</v>
      </c>
      <c r="D20" s="32">
        <f>RRUsed</f>
        <v>6.7599999999999993E-2</v>
      </c>
      <c r="E20" s="32">
        <v>0.06</v>
      </c>
      <c r="G20" s="6" t="s">
        <v>34</v>
      </c>
    </row>
    <row r="21" spans="2:7" ht="13.95" customHeight="1" x14ac:dyDescent="0.3">
      <c r="B21" s="20" t="s">
        <v>35</v>
      </c>
      <c r="C21" s="32">
        <v>0.06</v>
      </c>
      <c r="D21" s="32">
        <v>0.06</v>
      </c>
      <c r="E21" s="32">
        <v>0.06</v>
      </c>
      <c r="G21" s="6" t="s">
        <v>36</v>
      </c>
    </row>
    <row r="22" spans="2:7" ht="13.95" customHeight="1" x14ac:dyDescent="0.3">
      <c r="B22" s="5" t="s">
        <v>37</v>
      </c>
      <c r="C22" s="30">
        <f>IF(FixInfl=1,(1+C20+C21)*(1+InflLT)-1,C20+C21)</f>
        <v>0.14500000000000002</v>
      </c>
      <c r="D22" s="30">
        <f>IF(FixInfl=1,(1+D20+D21)*(1+InflLT)-1,D20+D21)</f>
        <v>0.12759999999999999</v>
      </c>
      <c r="E22" s="30">
        <f>IF(FixInfl=1,(1+E20+E21)*(1+InflLT)-1,E20+E21)</f>
        <v>0.12</v>
      </c>
      <c r="G22" s="6" t="s">
        <v>38</v>
      </c>
    </row>
    <row r="24" spans="2:7" ht="13.95" customHeight="1" x14ac:dyDescent="0.3">
      <c r="B24" s="70" t="s">
        <v>39</v>
      </c>
      <c r="C24" s="70"/>
      <c r="D24" s="70"/>
      <c r="E24" s="70"/>
      <c r="F24" s="70"/>
      <c r="G24" s="70"/>
    </row>
    <row r="25" spans="2:7" ht="13.95" customHeight="1" x14ac:dyDescent="0.3">
      <c r="B25" s="9" t="s">
        <v>40</v>
      </c>
      <c r="C25" s="10" t="s">
        <v>20</v>
      </c>
      <c r="D25" s="10"/>
      <c r="E25" s="10"/>
      <c r="F25" s="10"/>
      <c r="G25" s="10" t="s">
        <v>41</v>
      </c>
    </row>
    <row r="26" spans="2:7" ht="13.95" customHeight="1" x14ac:dyDescent="0.3">
      <c r="B26" s="20" t="s">
        <v>42</v>
      </c>
      <c r="C26" s="31">
        <v>0</v>
      </c>
      <c r="G26" s="6" t="s">
        <v>43</v>
      </c>
    </row>
    <row r="27" spans="2:7" ht="13.95" customHeight="1" x14ac:dyDescent="0.3">
      <c r="B27" s="20" t="s">
        <v>44</v>
      </c>
      <c r="C27" s="31">
        <v>0</v>
      </c>
      <c r="G27" s="6" t="s">
        <v>45</v>
      </c>
    </row>
    <row r="28" spans="2:7" ht="13.95" customHeight="1" x14ac:dyDescent="0.3">
      <c r="B28" s="20" t="s">
        <v>46</v>
      </c>
      <c r="C28" s="31">
        <v>0</v>
      </c>
      <c r="G28" s="6" t="s">
        <v>47</v>
      </c>
    </row>
    <row r="29" spans="2:7" ht="13.95" customHeight="1" x14ac:dyDescent="0.3">
      <c r="B29" s="20" t="s">
        <v>48</v>
      </c>
      <c r="C29" s="31">
        <v>0</v>
      </c>
      <c r="G29" s="6" t="s">
        <v>49</v>
      </c>
    </row>
    <row r="31" spans="2:7" ht="13.95" customHeight="1" x14ac:dyDescent="0.3">
      <c r="B31" s="70" t="s">
        <v>50</v>
      </c>
      <c r="C31" s="70"/>
      <c r="D31" s="70"/>
      <c r="E31" s="70"/>
      <c r="F31" s="70"/>
      <c r="G31" s="70"/>
    </row>
    <row r="32" spans="2:7" ht="13.95" customHeight="1" x14ac:dyDescent="0.3">
      <c r="B32" s="6" t="s">
        <v>51</v>
      </c>
    </row>
    <row r="33" spans="2:2" ht="13.95" customHeight="1" x14ac:dyDescent="0.3">
      <c r="B33" s="6" t="s">
        <v>52</v>
      </c>
    </row>
    <row r="34" spans="2:2" ht="13.95" customHeight="1" x14ac:dyDescent="0.3">
      <c r="B34" s="6" t="s">
        <v>53</v>
      </c>
    </row>
    <row r="35" spans="2:2" ht="13.95" customHeight="1" x14ac:dyDescent="0.3">
      <c r="B35" s="6" t="s">
        <v>54</v>
      </c>
    </row>
  </sheetData>
  <mergeCells count="5">
    <mergeCell ref="B5:G5"/>
    <mergeCell ref="B11:G11"/>
    <mergeCell ref="B18:G18"/>
    <mergeCell ref="B24:G24"/>
    <mergeCell ref="B31:G31"/>
  </mergeCells>
  <dataValidations count="2">
    <dataValidation type="list" allowBlank="1" showInputMessage="1" showErrorMessage="1" sqref="C9" xr:uid="{00000000-0002-0000-0200-000000000000}">
      <formula1>"1,2"</formula1>
    </dataValidation>
    <dataValidation type="list" allowBlank="1" showInputMessage="1" showErrorMessage="1" sqref="C26:C29" xr:uid="{00000000-0002-0000-0200-000001000000}">
      <formula1>"0,1"</formula1>
    </dataValidation>
  </dataValidations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U69"/>
  <sheetViews>
    <sheetView showGridLines="0" zoomScale="85" zoomScaleNormal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3.95" customHeight="1" x14ac:dyDescent="0.3"/>
  <cols>
    <col min="1" max="1" width="2.6640625" customWidth="1"/>
    <col min="2" max="2" width="44.6640625" customWidth="1"/>
    <col min="3" max="19" width="10.33203125" customWidth="1"/>
    <col min="20" max="20" width="2.6640625" customWidth="1"/>
    <col min="21" max="21" width="90.6640625" customWidth="1"/>
  </cols>
  <sheetData>
    <row r="1" spans="2:21" ht="30" customHeight="1" x14ac:dyDescent="0.3">
      <c r="B1" s="7" t="s">
        <v>55</v>
      </c>
    </row>
    <row r="2" spans="2:21" ht="13.95" customHeight="1" x14ac:dyDescent="0.3">
      <c r="B2" s="6" t="s">
        <v>56</v>
      </c>
    </row>
    <row r="3" spans="2:21" ht="13.95" customHeight="1" x14ac:dyDescent="0.3">
      <c r="B3" s="6" t="s">
        <v>2</v>
      </c>
      <c r="C3" s="24" t="s">
        <v>3</v>
      </c>
      <c r="D3" s="25" t="s">
        <v>4</v>
      </c>
      <c r="E3" s="26" t="s">
        <v>5</v>
      </c>
    </row>
    <row r="5" spans="2:21" ht="13.95" customHeight="1" x14ac:dyDescent="0.3">
      <c r="B5" s="70" t="s">
        <v>57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</row>
    <row r="6" spans="2:21" ht="13.95" customHeight="1" x14ac:dyDescent="0.3">
      <c r="B6" s="9"/>
      <c r="C6" s="10" t="s">
        <v>58</v>
      </c>
      <c r="D6" s="10" t="s">
        <v>59</v>
      </c>
      <c r="E6" s="10" t="s">
        <v>60</v>
      </c>
      <c r="F6" s="10" t="s">
        <v>61</v>
      </c>
      <c r="G6" s="10" t="s">
        <v>62</v>
      </c>
      <c r="H6" s="10" t="s">
        <v>63</v>
      </c>
      <c r="I6" s="10" t="s">
        <v>64</v>
      </c>
      <c r="J6" s="10" t="s">
        <v>65</v>
      </c>
      <c r="K6" s="10" t="s">
        <v>66</v>
      </c>
      <c r="L6" s="10" t="s">
        <v>67</v>
      </c>
      <c r="M6" s="10" t="s">
        <v>68</v>
      </c>
      <c r="N6" s="10" t="s">
        <v>69</v>
      </c>
      <c r="O6" s="10" t="s">
        <v>70</v>
      </c>
      <c r="P6" s="10" t="s">
        <v>71</v>
      </c>
      <c r="Q6" s="10" t="s">
        <v>72</v>
      </c>
      <c r="R6" s="10" t="s">
        <v>73</v>
      </c>
      <c r="S6" s="10" t="s">
        <v>74</v>
      </c>
      <c r="U6" s="10" t="s">
        <v>75</v>
      </c>
    </row>
    <row r="7" spans="2:21" ht="13.95" customHeight="1" x14ac:dyDescent="0.3">
      <c r="C7" s="35" t="s">
        <v>76</v>
      </c>
      <c r="D7" s="35" t="s">
        <v>76</v>
      </c>
      <c r="E7" s="35" t="s">
        <v>76</v>
      </c>
      <c r="F7" s="35" t="s">
        <v>76</v>
      </c>
      <c r="G7" s="35" t="s">
        <v>76</v>
      </c>
      <c r="H7" s="35" t="s">
        <v>76</v>
      </c>
      <c r="I7" s="35" t="s">
        <v>76</v>
      </c>
      <c r="J7" s="35" t="s">
        <v>76</v>
      </c>
      <c r="K7" s="35" t="s">
        <v>76</v>
      </c>
      <c r="L7" s="35" t="s">
        <v>76</v>
      </c>
      <c r="M7" s="35" t="s">
        <v>76</v>
      </c>
      <c r="N7" s="36" t="s">
        <v>77</v>
      </c>
      <c r="O7" s="36" t="s">
        <v>77</v>
      </c>
      <c r="P7" s="36" t="s">
        <v>77</v>
      </c>
      <c r="Q7" s="37" t="s">
        <v>78</v>
      </c>
      <c r="R7" s="37" t="s">
        <v>78</v>
      </c>
      <c r="S7" s="37" t="s">
        <v>78</v>
      </c>
    </row>
    <row r="8" spans="2:21" ht="13.95" customHeight="1" x14ac:dyDescent="0.3">
      <c r="B8" s="11" t="s">
        <v>79</v>
      </c>
      <c r="J8" s="38">
        <v>2.9000000000000001E-2</v>
      </c>
      <c r="K8" s="38">
        <v>2.9000000000000001E-2</v>
      </c>
      <c r="L8" s="38">
        <v>3.1E-2</v>
      </c>
      <c r="M8" s="38">
        <v>2.1000000000000001E-2</v>
      </c>
      <c r="N8" s="38">
        <v>1.7999999999999999E-2</v>
      </c>
      <c r="O8" s="38">
        <v>0.01</v>
      </c>
      <c r="P8" s="33">
        <v>0.02</v>
      </c>
      <c r="Q8" s="33">
        <v>0.02</v>
      </c>
      <c r="R8" s="33">
        <v>0.02</v>
      </c>
      <c r="S8" s="33">
        <v>0.02</v>
      </c>
    </row>
    <row r="9" spans="2:21" ht="13.95" customHeight="1" x14ac:dyDescent="0.3">
      <c r="B9" s="11" t="s">
        <v>80</v>
      </c>
      <c r="C9" s="38">
        <v>0.1067</v>
      </c>
      <c r="D9" s="38">
        <v>6.2899999999999998E-2</v>
      </c>
      <c r="E9" s="38">
        <v>2.9499999999999998E-2</v>
      </c>
      <c r="F9" s="38">
        <v>3.7499999999999999E-2</v>
      </c>
      <c r="G9" s="38">
        <v>4.3099999999999999E-2</v>
      </c>
      <c r="H9" s="38">
        <v>4.4999999999999998E-2</v>
      </c>
      <c r="I9" s="38">
        <v>0.10100000000000001</v>
      </c>
      <c r="J9" s="38">
        <v>5.8000000000000003E-2</v>
      </c>
      <c r="K9" s="38">
        <v>4.5999999999999999E-2</v>
      </c>
      <c r="L9" s="38">
        <v>4.5999999999999999E-2</v>
      </c>
      <c r="M9" s="38">
        <v>4.4999999999999998E-2</v>
      </c>
      <c r="N9" s="38">
        <v>3.7999999999999999E-2</v>
      </c>
      <c r="O9" s="38">
        <v>0.04</v>
      </c>
      <c r="P9" s="33">
        <v>0.04</v>
      </c>
      <c r="Q9" s="33">
        <v>0.04</v>
      </c>
      <c r="R9" s="33">
        <v>0.04</v>
      </c>
      <c r="S9" s="33">
        <v>0.04</v>
      </c>
    </row>
    <row r="10" spans="2:21" ht="13.95" customHeight="1" x14ac:dyDescent="0.3">
      <c r="B10" s="11" t="s">
        <v>81</v>
      </c>
      <c r="C10" s="15">
        <f t="shared" ref="C10:S10" si="0">(1+C8)*(1+C9)-1</f>
        <v>0.10670000000000002</v>
      </c>
      <c r="D10" s="15">
        <f t="shared" si="0"/>
        <v>6.2899999999999956E-2</v>
      </c>
      <c r="E10" s="15">
        <f t="shared" si="0"/>
        <v>2.9500000000000082E-2</v>
      </c>
      <c r="F10" s="15">
        <f t="shared" si="0"/>
        <v>3.7500000000000089E-2</v>
      </c>
      <c r="G10" s="15">
        <f t="shared" si="0"/>
        <v>4.3099999999999916E-2</v>
      </c>
      <c r="H10" s="15">
        <f t="shared" si="0"/>
        <v>4.4999999999999929E-2</v>
      </c>
      <c r="I10" s="15">
        <f t="shared" si="0"/>
        <v>0.10099999999999998</v>
      </c>
      <c r="J10" s="15">
        <f t="shared" si="0"/>
        <v>8.8681999999999928E-2</v>
      </c>
      <c r="K10" s="15">
        <f t="shared" si="0"/>
        <v>7.6333999999999902E-2</v>
      </c>
      <c r="L10" s="15">
        <f t="shared" si="0"/>
        <v>7.8425999999999885E-2</v>
      </c>
      <c r="M10" s="15">
        <f t="shared" si="0"/>
        <v>6.694499999999981E-2</v>
      </c>
      <c r="N10" s="15">
        <f t="shared" si="0"/>
        <v>5.6683999999999957E-2</v>
      </c>
      <c r="O10" s="15">
        <f t="shared" si="0"/>
        <v>5.04E-2</v>
      </c>
      <c r="P10" s="15">
        <f t="shared" si="0"/>
        <v>6.0799999999999965E-2</v>
      </c>
      <c r="Q10" s="15">
        <f t="shared" si="0"/>
        <v>6.0799999999999965E-2</v>
      </c>
      <c r="R10" s="15">
        <f t="shared" si="0"/>
        <v>6.0799999999999965E-2</v>
      </c>
      <c r="S10" s="15">
        <f t="shared" si="0"/>
        <v>6.0799999999999965E-2</v>
      </c>
      <c r="U10" s="6" t="s">
        <v>82</v>
      </c>
    </row>
    <row r="11" spans="2:21" ht="13.95" customHeight="1" x14ac:dyDescent="0.3">
      <c r="B11" s="11" t="s">
        <v>83</v>
      </c>
      <c r="D11" s="15">
        <f t="shared" ref="D11:O11" si="1">D13/C13-1</f>
        <v>3.1809353389988138E-2</v>
      </c>
      <c r="E11" s="15">
        <f t="shared" si="1"/>
        <v>1.4830488883974091E-2</v>
      </c>
      <c r="F11" s="15">
        <f t="shared" si="1"/>
        <v>0.16663412511575504</v>
      </c>
      <c r="G11" s="15">
        <f t="shared" si="1"/>
        <v>0.12933977594318002</v>
      </c>
      <c r="H11" s="15">
        <f t="shared" si="1"/>
        <v>8.1369435426573933E-2</v>
      </c>
      <c r="I11" s="15">
        <f t="shared" si="1"/>
        <v>0.33636271799914441</v>
      </c>
      <c r="J11" s="15">
        <f t="shared" si="1"/>
        <v>0.20564508252759062</v>
      </c>
      <c r="K11" s="15">
        <f t="shared" si="1"/>
        <v>5.8209824538664634E-2</v>
      </c>
      <c r="L11" s="15">
        <f t="shared" si="1"/>
        <v>5.7675326606996036E-2</v>
      </c>
      <c r="M11" s="15">
        <f t="shared" si="1"/>
        <v>8.6663868100690378E-2</v>
      </c>
      <c r="N11" s="15">
        <f t="shared" si="1"/>
        <v>5.8485413613960313E-2</v>
      </c>
      <c r="O11" s="15">
        <f t="shared" si="1"/>
        <v>3.0505722969274007E-2</v>
      </c>
      <c r="P11" s="15">
        <f>P10*P12</f>
        <v>6.0799999999999965E-2</v>
      </c>
      <c r="Q11" s="15">
        <f>Q10*Q12</f>
        <v>6.0799999999999965E-2</v>
      </c>
      <c r="R11" s="15">
        <f>R10*R12</f>
        <v>6.0799999999999965E-2</v>
      </c>
      <c r="S11" s="15">
        <f>S10*S12</f>
        <v>6.0799999999999965E-2</v>
      </c>
      <c r="U11" s="6" t="s">
        <v>84</v>
      </c>
    </row>
    <row r="12" spans="2:21" ht="13.95" customHeight="1" x14ac:dyDescent="0.3">
      <c r="B12" s="11" t="s">
        <v>85</v>
      </c>
      <c r="D12" s="39">
        <f t="shared" ref="D12:O12" si="2">D11/D10</f>
        <v>0.50571309046086099</v>
      </c>
      <c r="E12" s="39">
        <f t="shared" si="2"/>
        <v>0.5027284367448831</v>
      </c>
      <c r="F12" s="39">
        <f t="shared" si="2"/>
        <v>4.4435766697534573</v>
      </c>
      <c r="G12" s="39">
        <f t="shared" si="2"/>
        <v>3.0009228757118391</v>
      </c>
      <c r="H12" s="39">
        <f t="shared" si="2"/>
        <v>1.8082096761460902</v>
      </c>
      <c r="I12" s="39">
        <f t="shared" si="2"/>
        <v>3.3303239405855889</v>
      </c>
      <c r="J12" s="39">
        <f t="shared" si="2"/>
        <v>2.3189044284927132</v>
      </c>
      <c r="K12" s="39">
        <f t="shared" si="2"/>
        <v>0.76256746061603886</v>
      </c>
      <c r="L12" s="39">
        <f t="shared" si="2"/>
        <v>0.73541078987830721</v>
      </c>
      <c r="M12" s="39">
        <f t="shared" si="2"/>
        <v>1.2945532616429998</v>
      </c>
      <c r="N12" s="39">
        <f t="shared" si="2"/>
        <v>1.0317799310909668</v>
      </c>
      <c r="O12" s="39">
        <f t="shared" si="2"/>
        <v>0.60527228113638898</v>
      </c>
      <c r="P12" s="40">
        <v>1</v>
      </c>
      <c r="Q12" s="40">
        <v>1</v>
      </c>
      <c r="R12" s="40">
        <v>1</v>
      </c>
      <c r="S12" s="40">
        <v>1</v>
      </c>
    </row>
    <row r="13" spans="2:21" ht="13.95" customHeight="1" x14ac:dyDescent="0.3">
      <c r="B13" s="5" t="s">
        <v>86</v>
      </c>
      <c r="C13" s="21">
        <v>51357.85</v>
      </c>
      <c r="D13" s="21">
        <v>52991.51</v>
      </c>
      <c r="E13" s="21">
        <v>53777.4</v>
      </c>
      <c r="F13" s="21">
        <v>62738.55</v>
      </c>
      <c r="G13" s="21">
        <v>70853.14</v>
      </c>
      <c r="H13" s="21">
        <v>76618.42</v>
      </c>
      <c r="I13" s="21">
        <v>102390</v>
      </c>
      <c r="J13" s="21">
        <v>123446</v>
      </c>
      <c r="K13" s="21">
        <v>130631.77</v>
      </c>
      <c r="L13" s="21">
        <v>138166</v>
      </c>
      <c r="M13" s="21">
        <v>150140</v>
      </c>
      <c r="N13" s="21">
        <v>158921</v>
      </c>
      <c r="O13" s="21">
        <v>163769</v>
      </c>
      <c r="P13" s="41">
        <f>O13*(1+P11)</f>
        <v>173726.15520000001</v>
      </c>
      <c r="Q13" s="41">
        <f>P13*(1+Q11)</f>
        <v>184288.70543616</v>
      </c>
      <c r="R13" s="41">
        <f>Q13*(1+R11)</f>
        <v>195493.45872667854</v>
      </c>
      <c r="S13" s="41">
        <f>R13*(1+S11)</f>
        <v>207379.46101726059</v>
      </c>
      <c r="U13" s="6" t="s">
        <v>87</v>
      </c>
    </row>
    <row r="14" spans="2:21" ht="13.95" customHeight="1" x14ac:dyDescent="0.3">
      <c r="B14" s="11" t="s">
        <v>88</v>
      </c>
      <c r="C14" s="42">
        <f t="shared" ref="C14:S14" si="3">C13*(C15-1)</f>
        <v>-38374.585520000001</v>
      </c>
      <c r="D14" s="42">
        <f t="shared" si="3"/>
        <v>-39865.512972999997</v>
      </c>
      <c r="E14" s="42">
        <f t="shared" si="3"/>
        <v>-38940.215340000002</v>
      </c>
      <c r="F14" s="42">
        <f t="shared" si="3"/>
        <v>-44801.598554999997</v>
      </c>
      <c r="G14" s="42">
        <f t="shared" si="3"/>
        <v>-50192.36437599999</v>
      </c>
      <c r="H14" s="42">
        <f t="shared" si="3"/>
        <v>-53939.367679999996</v>
      </c>
      <c r="I14" s="42">
        <f t="shared" si="3"/>
        <v>-65529.599999999999</v>
      </c>
      <c r="J14" s="42">
        <f t="shared" si="3"/>
        <v>-82708.819999999992</v>
      </c>
      <c r="K14" s="42">
        <f t="shared" si="3"/>
        <v>-94616.591010999997</v>
      </c>
      <c r="L14" s="42">
        <f t="shared" si="3"/>
        <v>-103431.06759999999</v>
      </c>
      <c r="M14" s="42">
        <f t="shared" si="3"/>
        <v>-109046.68199999999</v>
      </c>
      <c r="N14" s="42">
        <f t="shared" si="3"/>
        <v>-97259.652000000002</v>
      </c>
      <c r="O14" s="42">
        <f t="shared" si="3"/>
        <v>-101094.60369999999</v>
      </c>
      <c r="P14" s="42">
        <f t="shared" si="3"/>
        <v>-111584.30948496</v>
      </c>
      <c r="Q14" s="42">
        <f t="shared" si="3"/>
        <v>-118368.63550164556</v>
      </c>
      <c r="R14" s="42">
        <f t="shared" si="3"/>
        <v>-125565.44854014562</v>
      </c>
      <c r="S14" s="42">
        <f t="shared" si="3"/>
        <v>-133199.82781138647</v>
      </c>
      <c r="U14" s="6" t="s">
        <v>89</v>
      </c>
    </row>
    <row r="15" spans="2:21" ht="13.95" customHeight="1" x14ac:dyDescent="0.3">
      <c r="B15" s="11" t="s">
        <v>90</v>
      </c>
      <c r="C15" s="38">
        <v>0.25280000000000002</v>
      </c>
      <c r="D15" s="38">
        <v>0.2477</v>
      </c>
      <c r="E15" s="38">
        <v>0.27589999999999998</v>
      </c>
      <c r="F15" s="38">
        <v>0.28589999999999999</v>
      </c>
      <c r="G15" s="38">
        <v>0.29160000000000003</v>
      </c>
      <c r="H15" s="38">
        <v>0.29599999999999999</v>
      </c>
      <c r="I15" s="38">
        <v>0.36</v>
      </c>
      <c r="J15" s="38">
        <v>0.33</v>
      </c>
      <c r="K15" s="38">
        <v>0.2757</v>
      </c>
      <c r="L15" s="38">
        <v>0.25140000000000001</v>
      </c>
      <c r="M15" s="38">
        <v>0.2737</v>
      </c>
      <c r="N15" s="38">
        <v>0.38800000000000001</v>
      </c>
      <c r="O15" s="38">
        <v>0.38269999999999998</v>
      </c>
      <c r="P15" s="38">
        <v>0.35770000000000002</v>
      </c>
      <c r="Q15" s="15">
        <f>P15</f>
        <v>0.35770000000000002</v>
      </c>
      <c r="R15" s="15">
        <f>Q15</f>
        <v>0.35770000000000002</v>
      </c>
      <c r="S15" s="15">
        <f>R15</f>
        <v>0.35770000000000002</v>
      </c>
      <c r="U15" s="6" t="s">
        <v>91</v>
      </c>
    </row>
    <row r="16" spans="2:21" ht="13.95" customHeight="1" x14ac:dyDescent="0.3">
      <c r="B16" s="11" t="s">
        <v>92</v>
      </c>
      <c r="C16" s="42">
        <f t="shared" ref="C16:S16" si="4">C13+C14</f>
        <v>12983.264479999998</v>
      </c>
      <c r="D16" s="42">
        <f t="shared" si="4"/>
        <v>13125.997027000005</v>
      </c>
      <c r="E16" s="42">
        <f t="shared" si="4"/>
        <v>14837.184659999999</v>
      </c>
      <c r="F16" s="42">
        <f t="shared" si="4"/>
        <v>17936.951445000006</v>
      </c>
      <c r="G16" s="42">
        <f t="shared" si="4"/>
        <v>20660.775624000009</v>
      </c>
      <c r="H16" s="42">
        <f t="shared" si="4"/>
        <v>22679.052320000003</v>
      </c>
      <c r="I16" s="42">
        <f t="shared" si="4"/>
        <v>36860.400000000001</v>
      </c>
      <c r="J16" s="42">
        <f t="shared" si="4"/>
        <v>40737.180000000008</v>
      </c>
      <c r="K16" s="42">
        <f t="shared" si="4"/>
        <v>36015.178989000007</v>
      </c>
      <c r="L16" s="42">
        <f t="shared" si="4"/>
        <v>34734.932400000005</v>
      </c>
      <c r="M16" s="42">
        <f t="shared" si="4"/>
        <v>41093.318000000014</v>
      </c>
      <c r="N16" s="42">
        <f t="shared" si="4"/>
        <v>61661.347999999998</v>
      </c>
      <c r="O16" s="42">
        <f t="shared" si="4"/>
        <v>62674.396300000008</v>
      </c>
      <c r="P16" s="42">
        <f t="shared" si="4"/>
        <v>62141.845715040006</v>
      </c>
      <c r="Q16" s="42">
        <f t="shared" si="4"/>
        <v>65920.069934514439</v>
      </c>
      <c r="R16" s="42">
        <f t="shared" si="4"/>
        <v>69928.01018653292</v>
      </c>
      <c r="S16" s="42">
        <f t="shared" si="4"/>
        <v>74179.633205874125</v>
      </c>
    </row>
    <row r="17" spans="2:21" ht="13.95" customHeight="1" x14ac:dyDescent="0.3">
      <c r="B17" s="11" t="s">
        <v>93</v>
      </c>
      <c r="C17" s="42">
        <f t="shared" ref="C17:P17" si="5">C19-C16</f>
        <v>-11461.954479999999</v>
      </c>
      <c r="D17" s="42">
        <f t="shared" si="5"/>
        <v>-6806.4370270000045</v>
      </c>
      <c r="E17" s="42">
        <f t="shared" si="5"/>
        <v>-7556.5446599999987</v>
      </c>
      <c r="F17" s="42">
        <f t="shared" si="5"/>
        <v>-8126.6114450000059</v>
      </c>
      <c r="G17" s="42">
        <f t="shared" si="5"/>
        <v>-11860.075624000008</v>
      </c>
      <c r="H17" s="42">
        <f t="shared" si="5"/>
        <v>-11988.992320000003</v>
      </c>
      <c r="I17" s="42">
        <f t="shared" si="5"/>
        <v>-13266.400000000001</v>
      </c>
      <c r="J17" s="42">
        <f t="shared" si="5"/>
        <v>-14963.670000000009</v>
      </c>
      <c r="K17" s="42">
        <f t="shared" si="5"/>
        <v>-14690.838989000007</v>
      </c>
      <c r="L17" s="42">
        <f t="shared" si="5"/>
        <v>-9443.6324000000059</v>
      </c>
      <c r="M17" s="42">
        <f t="shared" si="5"/>
        <v>-20247.318000000014</v>
      </c>
      <c r="N17" s="42">
        <f t="shared" si="5"/>
        <v>-28581.347999999998</v>
      </c>
      <c r="O17" s="42">
        <f t="shared" si="5"/>
        <v>-27791.396300000008</v>
      </c>
      <c r="P17" s="42">
        <f t="shared" si="5"/>
        <v>-24819.835715040004</v>
      </c>
      <c r="Q17" s="42">
        <f>Q13*Q18</f>
        <v>-26328.881726514435</v>
      </c>
      <c r="R17" s="42">
        <f>R13*R18</f>
        <v>-27929.677735486515</v>
      </c>
      <c r="S17" s="42">
        <f>S13*S18</f>
        <v>-29627.802141804095</v>
      </c>
      <c r="U17" s="6" t="s">
        <v>94</v>
      </c>
    </row>
    <row r="18" spans="2:21" ht="13.95" customHeight="1" x14ac:dyDescent="0.3">
      <c r="B18" s="11" t="s">
        <v>95</v>
      </c>
      <c r="C18" s="15">
        <f t="shared" ref="C18:P18" si="6">C17/C13</f>
        <v>-0.22317823818559382</v>
      </c>
      <c r="D18" s="15">
        <f t="shared" si="6"/>
        <v>-0.12844391539323949</v>
      </c>
      <c r="E18" s="15">
        <f t="shared" si="6"/>
        <v>-0.14051524729719173</v>
      </c>
      <c r="F18" s="15">
        <f t="shared" si="6"/>
        <v>-0.12953138771935285</v>
      </c>
      <c r="G18" s="15">
        <f t="shared" si="6"/>
        <v>-0.16738955569223901</v>
      </c>
      <c r="H18" s="15">
        <f t="shared" si="6"/>
        <v>-0.15647663212057888</v>
      </c>
      <c r="I18" s="15">
        <f t="shared" si="6"/>
        <v>-0.12956734056060162</v>
      </c>
      <c r="J18" s="15">
        <f t="shared" si="6"/>
        <v>-0.12121632130648226</v>
      </c>
      <c r="K18" s="15">
        <f t="shared" si="6"/>
        <v>-0.11245992448085183</v>
      </c>
      <c r="L18" s="15">
        <f t="shared" si="6"/>
        <v>-6.8349900843912431E-2</v>
      </c>
      <c r="M18" s="15">
        <f t="shared" si="6"/>
        <v>-0.13485625416278149</v>
      </c>
      <c r="N18" s="15">
        <f t="shared" si="6"/>
        <v>-0.1798462632377093</v>
      </c>
      <c r="O18" s="15">
        <f t="shared" si="6"/>
        <v>-0.16969876044916932</v>
      </c>
      <c r="P18" s="15">
        <f t="shared" si="6"/>
        <v>-0.14286758195083801</v>
      </c>
      <c r="Q18" s="15">
        <f>P18</f>
        <v>-0.14286758195083801</v>
      </c>
      <c r="R18" s="15">
        <f>Q18</f>
        <v>-0.14286758195083801</v>
      </c>
      <c r="S18" s="15">
        <f>R18</f>
        <v>-0.14286758195083801</v>
      </c>
      <c r="U18" s="6" t="s">
        <v>96</v>
      </c>
    </row>
    <row r="19" spans="2:21" ht="13.95" customHeight="1" x14ac:dyDescent="0.3">
      <c r="B19" s="5" t="s">
        <v>97</v>
      </c>
      <c r="C19" s="21">
        <v>1521.31</v>
      </c>
      <c r="D19" s="21">
        <v>6319.56</v>
      </c>
      <c r="E19" s="21">
        <v>7280.64</v>
      </c>
      <c r="F19" s="21">
        <v>9810.34</v>
      </c>
      <c r="G19" s="21">
        <v>8800.7000000000007</v>
      </c>
      <c r="H19" s="21">
        <v>10690.06</v>
      </c>
      <c r="I19" s="21">
        <v>23594</v>
      </c>
      <c r="J19" s="21">
        <v>25773.51</v>
      </c>
      <c r="K19" s="21">
        <v>21324.34</v>
      </c>
      <c r="L19" s="21">
        <v>25291.3</v>
      </c>
      <c r="M19" s="21">
        <v>20846</v>
      </c>
      <c r="N19" s="21">
        <v>33080</v>
      </c>
      <c r="O19" s="21">
        <v>34883</v>
      </c>
      <c r="P19" s="21">
        <v>37322.01</v>
      </c>
      <c r="Q19" s="41">
        <f>Q16+Q17</f>
        <v>39591.188208000007</v>
      </c>
      <c r="R19" s="41">
        <f>R16+R17</f>
        <v>41998.332451046401</v>
      </c>
      <c r="S19" s="41">
        <f>S16+S17</f>
        <v>44551.831064070029</v>
      </c>
      <c r="U19" s="6" t="s">
        <v>98</v>
      </c>
    </row>
    <row r="20" spans="2:21" ht="13.95" customHeight="1" x14ac:dyDescent="0.3">
      <c r="B20" s="11" t="s">
        <v>99</v>
      </c>
      <c r="C20" s="15">
        <f t="shared" ref="C20:S20" si="7">C19/C13</f>
        <v>2.9621761814406171E-2</v>
      </c>
      <c r="D20" s="15">
        <f t="shared" si="7"/>
        <v>0.1192560846067606</v>
      </c>
      <c r="E20" s="15">
        <f t="shared" si="7"/>
        <v>0.13538475270280825</v>
      </c>
      <c r="F20" s="15">
        <f t="shared" si="7"/>
        <v>0.15636861228064722</v>
      </c>
      <c r="G20" s="15">
        <f t="shared" si="7"/>
        <v>0.12421044430776111</v>
      </c>
      <c r="H20" s="15">
        <f t="shared" si="7"/>
        <v>0.13952336787942116</v>
      </c>
      <c r="I20" s="15">
        <f t="shared" si="7"/>
        <v>0.23043265943939839</v>
      </c>
      <c r="J20" s="15">
        <f t="shared" si="7"/>
        <v>0.2087836786935178</v>
      </c>
      <c r="K20" s="15">
        <f t="shared" si="7"/>
        <v>0.16324007551914821</v>
      </c>
      <c r="L20" s="15">
        <f t="shared" si="7"/>
        <v>0.18305009915608761</v>
      </c>
      <c r="M20" s="15">
        <f t="shared" si="7"/>
        <v>0.13884374583721859</v>
      </c>
      <c r="N20" s="15">
        <f t="shared" si="7"/>
        <v>0.20815373676229071</v>
      </c>
      <c r="O20" s="15">
        <f t="shared" si="7"/>
        <v>0.21300123955083075</v>
      </c>
      <c r="P20" s="15">
        <f t="shared" si="7"/>
        <v>0.21483241804916201</v>
      </c>
      <c r="Q20" s="15">
        <f t="shared" si="7"/>
        <v>0.21483241804916203</v>
      </c>
      <c r="R20" s="15">
        <f t="shared" si="7"/>
        <v>0.21483241804916201</v>
      </c>
      <c r="S20" s="15">
        <f t="shared" si="7"/>
        <v>0.21483241804916203</v>
      </c>
    </row>
    <row r="21" spans="2:21" ht="13.95" customHeight="1" x14ac:dyDescent="0.3">
      <c r="B21" s="5" t="s">
        <v>100</v>
      </c>
      <c r="C21" s="21">
        <v>11322.26</v>
      </c>
      <c r="D21" s="21">
        <v>11803.92</v>
      </c>
      <c r="E21" s="21">
        <v>13642.8</v>
      </c>
      <c r="F21" s="21">
        <v>17850.25</v>
      </c>
      <c r="G21" s="21">
        <v>18979.349999999999</v>
      </c>
      <c r="H21" s="21">
        <v>19022.66</v>
      </c>
      <c r="I21" s="21">
        <v>31545</v>
      </c>
      <c r="J21" s="21">
        <v>36387.17</v>
      </c>
      <c r="K21" s="21">
        <v>32032.37</v>
      </c>
      <c r="L21" s="21">
        <v>37339</v>
      </c>
      <c r="M21" s="21">
        <v>33801</v>
      </c>
      <c r="N21" s="21">
        <v>49324</v>
      </c>
      <c r="O21" s="21">
        <v>50717</v>
      </c>
      <c r="P21" s="21">
        <v>51996.99</v>
      </c>
      <c r="Q21" s="41">
        <f>Q13*Q22</f>
        <v>55286.611630847998</v>
      </c>
      <c r="R21" s="41">
        <f>R13*R22</f>
        <v>58648.03761800356</v>
      </c>
      <c r="S21" s="41">
        <f>S13*S22</f>
        <v>62213.838305178171</v>
      </c>
      <c r="U21" s="6" t="s">
        <v>101</v>
      </c>
    </row>
    <row r="22" spans="2:21" ht="13.95" customHeight="1" x14ac:dyDescent="0.3">
      <c r="B22" s="11" t="s">
        <v>102</v>
      </c>
      <c r="C22" s="15">
        <f t="shared" ref="C22:P22" si="8">C21/C13</f>
        <v>0.22045821622205758</v>
      </c>
      <c r="D22" s="15">
        <f t="shared" si="8"/>
        <v>0.2227511539112586</v>
      </c>
      <c r="E22" s="15">
        <f t="shared" si="8"/>
        <v>0.25369021187338919</v>
      </c>
      <c r="F22" s="15">
        <f t="shared" si="8"/>
        <v>0.28451805150103088</v>
      </c>
      <c r="G22" s="15">
        <f t="shared" si="8"/>
        <v>0.2678688622691951</v>
      </c>
      <c r="H22" s="15">
        <f t="shared" si="8"/>
        <v>0.24827789453241139</v>
      </c>
      <c r="I22" s="15">
        <f t="shared" si="8"/>
        <v>0.30808672721945501</v>
      </c>
      <c r="J22" s="15">
        <f t="shared" si="8"/>
        <v>0.29476183918474474</v>
      </c>
      <c r="K22" s="15">
        <f t="shared" si="8"/>
        <v>0.24521117642362189</v>
      </c>
      <c r="L22" s="15">
        <f t="shared" si="8"/>
        <v>0.27024738358206796</v>
      </c>
      <c r="M22" s="15">
        <f t="shared" si="8"/>
        <v>0.2251298787798055</v>
      </c>
      <c r="N22" s="15">
        <f t="shared" si="8"/>
        <v>0.31036804450009753</v>
      </c>
      <c r="O22" s="15">
        <f t="shared" si="8"/>
        <v>0.30968620434880839</v>
      </c>
      <c r="P22" s="15">
        <f t="shared" si="8"/>
        <v>0.29930432720472705</v>
      </c>
      <c r="Q22" s="33">
        <v>0.3</v>
      </c>
      <c r="R22" s="33">
        <v>0.3</v>
      </c>
      <c r="S22" s="33">
        <v>0.3</v>
      </c>
      <c r="U22" s="6" t="s">
        <v>103</v>
      </c>
    </row>
    <row r="23" spans="2:21" ht="13.95" customHeight="1" x14ac:dyDescent="0.3">
      <c r="B23" s="11" t="s">
        <v>104</v>
      </c>
      <c r="C23" s="42">
        <f t="shared" ref="C23:S23" si="9">C21-C19</f>
        <v>9800.9500000000007</v>
      </c>
      <c r="D23" s="42">
        <f t="shared" si="9"/>
        <v>5484.36</v>
      </c>
      <c r="E23" s="42">
        <f t="shared" si="9"/>
        <v>6362.1599999999989</v>
      </c>
      <c r="F23" s="42">
        <f t="shared" si="9"/>
        <v>8039.91</v>
      </c>
      <c r="G23" s="42">
        <f t="shared" si="9"/>
        <v>10178.649999999998</v>
      </c>
      <c r="H23" s="42">
        <f t="shared" si="9"/>
        <v>8332.6</v>
      </c>
      <c r="I23" s="42">
        <f t="shared" si="9"/>
        <v>7951</v>
      </c>
      <c r="J23" s="42">
        <f t="shared" si="9"/>
        <v>10613.66</v>
      </c>
      <c r="K23" s="42">
        <f t="shared" si="9"/>
        <v>10708.029999999999</v>
      </c>
      <c r="L23" s="42">
        <f t="shared" si="9"/>
        <v>12047.7</v>
      </c>
      <c r="M23" s="42">
        <f t="shared" si="9"/>
        <v>12955</v>
      </c>
      <c r="N23" s="42">
        <f t="shared" si="9"/>
        <v>16244</v>
      </c>
      <c r="O23" s="42">
        <f t="shared" si="9"/>
        <v>15834</v>
      </c>
      <c r="P23" s="42">
        <f t="shared" si="9"/>
        <v>14674.979999999996</v>
      </c>
      <c r="Q23" s="42">
        <f t="shared" si="9"/>
        <v>15695.423422847991</v>
      </c>
      <c r="R23" s="42">
        <f t="shared" si="9"/>
        <v>16649.705166957159</v>
      </c>
      <c r="S23" s="42">
        <f t="shared" si="9"/>
        <v>17662.007241108142</v>
      </c>
      <c r="U23" s="6" t="s">
        <v>105</v>
      </c>
    </row>
    <row r="24" spans="2:21" ht="13.95" customHeight="1" x14ac:dyDescent="0.3">
      <c r="B24" s="11" t="s">
        <v>106</v>
      </c>
      <c r="C24" s="15">
        <f t="shared" ref="C24:S24" si="10">C23/C13</f>
        <v>0.19083645440765143</v>
      </c>
      <c r="D24" s="15">
        <f t="shared" si="10"/>
        <v>0.10349506930449802</v>
      </c>
      <c r="E24" s="15">
        <f t="shared" si="10"/>
        <v>0.11830545917058093</v>
      </c>
      <c r="F24" s="15">
        <f t="shared" si="10"/>
        <v>0.12814943922038363</v>
      </c>
      <c r="G24" s="15">
        <f t="shared" si="10"/>
        <v>0.143658417961434</v>
      </c>
      <c r="H24" s="15">
        <f t="shared" si="10"/>
        <v>0.10875452665299024</v>
      </c>
      <c r="I24" s="15">
        <f t="shared" si="10"/>
        <v>7.7654067780056651E-2</v>
      </c>
      <c r="J24" s="15">
        <f t="shared" si="10"/>
        <v>8.5978160491226932E-2</v>
      </c>
      <c r="K24" s="15">
        <f t="shared" si="10"/>
        <v>8.1971100904473682E-2</v>
      </c>
      <c r="L24" s="15">
        <f t="shared" si="10"/>
        <v>8.7197284425980348E-2</v>
      </c>
      <c r="M24" s="15">
        <f t="shared" si="10"/>
        <v>8.6286132942586913E-2</v>
      </c>
      <c r="N24" s="15">
        <f t="shared" si="10"/>
        <v>0.10221430773780683</v>
      </c>
      <c r="O24" s="15">
        <f t="shared" si="10"/>
        <v>9.6684964797977641E-2</v>
      </c>
      <c r="P24" s="15">
        <f t="shared" si="10"/>
        <v>8.4471909155565059E-2</v>
      </c>
      <c r="Q24" s="15">
        <f t="shared" si="10"/>
        <v>8.5167581950837942E-2</v>
      </c>
      <c r="R24" s="15">
        <f t="shared" si="10"/>
        <v>8.5167581950837998E-2</v>
      </c>
      <c r="S24" s="15">
        <f t="shared" si="10"/>
        <v>8.5167581950837928E-2</v>
      </c>
    </row>
    <row r="25" spans="2:21" ht="13.95" customHeight="1" x14ac:dyDescent="0.3">
      <c r="B25" s="11" t="s">
        <v>107</v>
      </c>
      <c r="C25" s="38">
        <v>-0.25</v>
      </c>
      <c r="D25" s="15">
        <f t="shared" ref="D25:K25" si="11">C25</f>
        <v>-0.25</v>
      </c>
      <c r="E25" s="15">
        <f t="shared" si="11"/>
        <v>-0.25</v>
      </c>
      <c r="F25" s="15">
        <f t="shared" si="11"/>
        <v>-0.25</v>
      </c>
      <c r="G25" s="15">
        <f t="shared" si="11"/>
        <v>-0.25</v>
      </c>
      <c r="H25" s="15">
        <f t="shared" si="11"/>
        <v>-0.25</v>
      </c>
      <c r="I25" s="15">
        <f t="shared" si="11"/>
        <v>-0.25</v>
      </c>
      <c r="J25" s="15">
        <f t="shared" si="11"/>
        <v>-0.25</v>
      </c>
      <c r="K25" s="15">
        <f t="shared" si="11"/>
        <v>-0.25</v>
      </c>
      <c r="L25" s="38">
        <v>-0.24</v>
      </c>
      <c r="M25" s="15">
        <f t="shared" ref="M25:S25" si="12">L25</f>
        <v>-0.24</v>
      </c>
      <c r="N25" s="15">
        <f t="shared" si="12"/>
        <v>-0.24</v>
      </c>
      <c r="O25" s="15">
        <f t="shared" si="12"/>
        <v>-0.24</v>
      </c>
      <c r="P25" s="15">
        <f t="shared" si="12"/>
        <v>-0.24</v>
      </c>
      <c r="Q25" s="15">
        <f t="shared" si="12"/>
        <v>-0.24</v>
      </c>
      <c r="R25" s="15">
        <f t="shared" si="12"/>
        <v>-0.24</v>
      </c>
      <c r="S25" s="15">
        <f t="shared" si="12"/>
        <v>-0.24</v>
      </c>
      <c r="U25" s="6" t="s">
        <v>108</v>
      </c>
    </row>
    <row r="26" spans="2:21" ht="13.95" customHeight="1" x14ac:dyDescent="0.3">
      <c r="B26" s="11" t="s">
        <v>109</v>
      </c>
      <c r="C26" s="42">
        <f t="shared" ref="C26:S26" si="13">C19*(1+C25)</f>
        <v>1140.9825000000001</v>
      </c>
      <c r="D26" s="42">
        <f t="shared" si="13"/>
        <v>4739.67</v>
      </c>
      <c r="E26" s="42">
        <f t="shared" si="13"/>
        <v>5460.4800000000005</v>
      </c>
      <c r="F26" s="42">
        <f t="shared" si="13"/>
        <v>7357.7550000000001</v>
      </c>
      <c r="G26" s="42">
        <f t="shared" si="13"/>
        <v>6600.5250000000005</v>
      </c>
      <c r="H26" s="42">
        <f t="shared" si="13"/>
        <v>8017.5450000000001</v>
      </c>
      <c r="I26" s="42">
        <f t="shared" si="13"/>
        <v>17695.5</v>
      </c>
      <c r="J26" s="42">
        <f t="shared" si="13"/>
        <v>19330.1325</v>
      </c>
      <c r="K26" s="42">
        <f t="shared" si="13"/>
        <v>15993.255000000001</v>
      </c>
      <c r="L26" s="42">
        <f t="shared" si="13"/>
        <v>19221.387999999999</v>
      </c>
      <c r="M26" s="42">
        <f t="shared" si="13"/>
        <v>15842.960000000001</v>
      </c>
      <c r="N26" s="42">
        <f t="shared" si="13"/>
        <v>25140.799999999999</v>
      </c>
      <c r="O26" s="42">
        <f t="shared" si="13"/>
        <v>26511.08</v>
      </c>
      <c r="P26" s="42">
        <f t="shared" si="13"/>
        <v>28364.727600000002</v>
      </c>
      <c r="Q26" s="42">
        <f t="shared" si="13"/>
        <v>30089.303038080005</v>
      </c>
      <c r="R26" s="42">
        <f t="shared" si="13"/>
        <v>31918.732662795264</v>
      </c>
      <c r="S26" s="42">
        <f t="shared" si="13"/>
        <v>33859.391608693222</v>
      </c>
      <c r="U26" s="6" t="s">
        <v>110</v>
      </c>
    </row>
    <row r="27" spans="2:21" ht="13.95" customHeight="1" x14ac:dyDescent="0.3">
      <c r="B27" s="11" t="s">
        <v>111</v>
      </c>
      <c r="C27" s="42">
        <f t="shared" ref="C27:P27" si="14">C29-C26</f>
        <v>-1992.7125000000001</v>
      </c>
      <c r="D27" s="42">
        <f t="shared" si="14"/>
        <v>-1693.5</v>
      </c>
      <c r="E27" s="42">
        <f t="shared" si="14"/>
        <v>-1553.3100000000004</v>
      </c>
      <c r="F27" s="42">
        <f t="shared" si="14"/>
        <v>-1433.3450000000003</v>
      </c>
      <c r="G27" s="42">
        <f t="shared" si="14"/>
        <v>-1239.1050000000005</v>
      </c>
      <c r="H27" s="42">
        <f t="shared" si="14"/>
        <v>-4140.5450000000001</v>
      </c>
      <c r="I27" s="42">
        <f t="shared" si="14"/>
        <v>-2007.5</v>
      </c>
      <c r="J27" s="42">
        <f t="shared" si="14"/>
        <v>-561.05249999999796</v>
      </c>
      <c r="K27" s="42">
        <f t="shared" si="14"/>
        <v>-2263.6850000000013</v>
      </c>
      <c r="L27" s="42">
        <f t="shared" si="14"/>
        <v>-4277.387999999999</v>
      </c>
      <c r="M27" s="42">
        <f t="shared" si="14"/>
        <v>-1953.9600000000009</v>
      </c>
      <c r="N27" s="42">
        <f t="shared" si="14"/>
        <v>-4182.7999999999993</v>
      </c>
      <c r="O27" s="42">
        <f t="shared" si="14"/>
        <v>-4845.0800000000017</v>
      </c>
      <c r="P27" s="42">
        <f t="shared" si="14"/>
        <v>-5187.727600000002</v>
      </c>
      <c r="Q27" s="42">
        <f>Q13*Q28</f>
        <v>-5503.1414380800024</v>
      </c>
      <c r="R27" s="42">
        <f>R13*R28</f>
        <v>-5837.7324375152666</v>
      </c>
      <c r="S27" s="42">
        <f>S13*S28</f>
        <v>-6192.6665697161943</v>
      </c>
      <c r="U27" s="6" t="s">
        <v>112</v>
      </c>
    </row>
    <row r="28" spans="2:21" ht="13.95" customHeight="1" x14ac:dyDescent="0.3">
      <c r="B28" s="11" t="s">
        <v>113</v>
      </c>
      <c r="C28" s="15">
        <f t="shared" ref="C28:P28" si="15">C27/C13</f>
        <v>-3.8800543636464534E-2</v>
      </c>
      <c r="D28" s="15">
        <f t="shared" si="15"/>
        <v>-3.1957949490399498E-2</v>
      </c>
      <c r="E28" s="15">
        <f t="shared" si="15"/>
        <v>-2.8884066540963312E-2</v>
      </c>
      <c r="F28" s="15">
        <f t="shared" si="15"/>
        <v>-2.2846320165193494E-2</v>
      </c>
      <c r="G28" s="15">
        <f t="shared" si="15"/>
        <v>-1.748835690274278E-2</v>
      </c>
      <c r="H28" s="15">
        <f t="shared" si="15"/>
        <v>-5.4041117005545147E-2</v>
      </c>
      <c r="I28" s="15">
        <f t="shared" si="15"/>
        <v>-1.9606406875671452E-2</v>
      </c>
      <c r="J28" s="15">
        <f t="shared" si="15"/>
        <v>-4.5449224762244052E-3</v>
      </c>
      <c r="K28" s="15">
        <f t="shared" si="15"/>
        <v>-1.7328747822983652E-2</v>
      </c>
      <c r="L28" s="15">
        <f t="shared" si="15"/>
        <v>-3.0958325492523479E-2</v>
      </c>
      <c r="M28" s="15">
        <f t="shared" si="15"/>
        <v>-1.301425336352738E-2</v>
      </c>
      <c r="N28" s="15">
        <f t="shared" si="15"/>
        <v>-2.6319995469447081E-2</v>
      </c>
      <c r="O28" s="15">
        <f t="shared" si="15"/>
        <v>-2.9584842064126923E-2</v>
      </c>
      <c r="P28" s="15">
        <f t="shared" si="15"/>
        <v>-2.9861523119692007E-2</v>
      </c>
      <c r="Q28" s="15">
        <f>P28</f>
        <v>-2.9861523119692007E-2</v>
      </c>
      <c r="R28" s="15">
        <f>Q28</f>
        <v>-2.9861523119692007E-2</v>
      </c>
      <c r="S28" s="15">
        <f>R28</f>
        <v>-2.9861523119692007E-2</v>
      </c>
      <c r="U28" s="6" t="s">
        <v>114</v>
      </c>
    </row>
    <row r="29" spans="2:21" ht="13.95" customHeight="1" x14ac:dyDescent="0.3">
      <c r="B29" s="5" t="s">
        <v>115</v>
      </c>
      <c r="C29" s="21">
        <v>-851.73</v>
      </c>
      <c r="D29" s="21">
        <v>3046.17</v>
      </c>
      <c r="E29" s="21">
        <v>3907.17</v>
      </c>
      <c r="F29" s="21">
        <v>5924.41</v>
      </c>
      <c r="G29" s="21">
        <v>5361.42</v>
      </c>
      <c r="H29" s="21">
        <v>3877</v>
      </c>
      <c r="I29" s="21">
        <v>15688</v>
      </c>
      <c r="J29" s="21">
        <v>18769.080000000002</v>
      </c>
      <c r="K29" s="21">
        <v>13729.57</v>
      </c>
      <c r="L29" s="21">
        <v>14944</v>
      </c>
      <c r="M29" s="21">
        <v>13889</v>
      </c>
      <c r="N29" s="21">
        <v>20958</v>
      </c>
      <c r="O29" s="21">
        <v>21666</v>
      </c>
      <c r="P29" s="21">
        <v>23177</v>
      </c>
      <c r="Q29" s="41">
        <f>Q26+Q27</f>
        <v>24586.161600000003</v>
      </c>
      <c r="R29" s="41">
        <f>R26+R27</f>
        <v>26081.000225279997</v>
      </c>
      <c r="S29" s="41">
        <f>S26+S27</f>
        <v>27666.725038977027</v>
      </c>
      <c r="U29" s="6" t="s">
        <v>116</v>
      </c>
    </row>
    <row r="30" spans="2:21" ht="13.95" customHeight="1" x14ac:dyDescent="0.3">
      <c r="B30" s="11" t="s">
        <v>117</v>
      </c>
      <c r="C30" s="15">
        <f t="shared" ref="C30:S30" si="16">C29/C13</f>
        <v>-1.6584222275659904E-2</v>
      </c>
      <c r="D30" s="15">
        <f t="shared" si="16"/>
        <v>5.7484113964670944E-2</v>
      </c>
      <c r="E30" s="15">
        <f t="shared" si="16"/>
        <v>7.2654497986142874E-2</v>
      </c>
      <c r="F30" s="15">
        <f t="shared" si="16"/>
        <v>9.4430139045291919E-2</v>
      </c>
      <c r="G30" s="15">
        <f t="shared" si="16"/>
        <v>7.566947632807805E-2</v>
      </c>
      <c r="H30" s="15">
        <f t="shared" si="16"/>
        <v>5.0601408904020734E-2</v>
      </c>
      <c r="I30" s="15">
        <f t="shared" si="16"/>
        <v>0.15321808770387732</v>
      </c>
      <c r="J30" s="15">
        <f t="shared" si="16"/>
        <v>0.15204283654391396</v>
      </c>
      <c r="K30" s="15">
        <f t="shared" si="16"/>
        <v>0.10510130881637751</v>
      </c>
      <c r="L30" s="15">
        <f t="shared" si="16"/>
        <v>0.10815974986610309</v>
      </c>
      <c r="M30" s="15">
        <f t="shared" si="16"/>
        <v>9.2506993472758758E-2</v>
      </c>
      <c r="N30" s="15">
        <f t="shared" si="16"/>
        <v>0.13187684446989384</v>
      </c>
      <c r="O30" s="15">
        <f t="shared" si="16"/>
        <v>0.13229609999450445</v>
      </c>
      <c r="P30" s="15">
        <f t="shared" si="16"/>
        <v>0.13341111459767113</v>
      </c>
      <c r="Q30" s="15">
        <f t="shared" si="16"/>
        <v>0.13341111459767113</v>
      </c>
      <c r="R30" s="15">
        <f t="shared" si="16"/>
        <v>0.1334111145976711</v>
      </c>
      <c r="S30" s="15">
        <f t="shared" si="16"/>
        <v>0.13341111459767113</v>
      </c>
    </row>
    <row r="31" spans="2:21" ht="13.95" customHeight="1" x14ac:dyDescent="0.3">
      <c r="B31" s="11" t="s">
        <v>118</v>
      </c>
      <c r="C31" s="42">
        <f t="shared" ref="C31:S31" si="17">-NWCpct*C13</f>
        <v>-2054.3139999999999</v>
      </c>
      <c r="D31" s="42">
        <f t="shared" si="17"/>
        <v>-2119.6604000000002</v>
      </c>
      <c r="E31" s="42">
        <f t="shared" si="17"/>
        <v>-2151.096</v>
      </c>
      <c r="F31" s="42">
        <f t="shared" si="17"/>
        <v>-2509.5420000000004</v>
      </c>
      <c r="G31" s="42">
        <f t="shared" si="17"/>
        <v>-2834.1255999999998</v>
      </c>
      <c r="H31" s="42">
        <f t="shared" si="17"/>
        <v>-3064.7368000000001</v>
      </c>
      <c r="I31" s="42">
        <f t="shared" si="17"/>
        <v>-4095.6</v>
      </c>
      <c r="J31" s="42">
        <f t="shared" si="17"/>
        <v>-4937.84</v>
      </c>
      <c r="K31" s="42">
        <f t="shared" si="17"/>
        <v>-5225.2708000000002</v>
      </c>
      <c r="L31" s="42">
        <f t="shared" si="17"/>
        <v>-5526.64</v>
      </c>
      <c r="M31" s="42">
        <f t="shared" si="17"/>
        <v>-6005.6</v>
      </c>
      <c r="N31" s="42">
        <f t="shared" si="17"/>
        <v>-6356.84</v>
      </c>
      <c r="O31" s="42">
        <f t="shared" si="17"/>
        <v>-6550.76</v>
      </c>
      <c r="P31" s="42">
        <f t="shared" si="17"/>
        <v>-6949.0462080000007</v>
      </c>
      <c r="Q31" s="42">
        <f t="shared" si="17"/>
        <v>-7371.5482174464005</v>
      </c>
      <c r="R31" s="42">
        <f t="shared" si="17"/>
        <v>-7819.7383490671418</v>
      </c>
      <c r="S31" s="42">
        <f t="shared" si="17"/>
        <v>-8295.1784406904244</v>
      </c>
      <c r="U31" s="6" t="s">
        <v>119</v>
      </c>
    </row>
    <row r="32" spans="2:21" ht="13.95" customHeight="1" x14ac:dyDescent="0.3">
      <c r="B32" s="11" t="s">
        <v>120</v>
      </c>
      <c r="D32" s="42">
        <f t="shared" ref="D32:S32" si="18">D31-C31</f>
        <v>-65.346400000000358</v>
      </c>
      <c r="E32" s="42">
        <f t="shared" si="18"/>
        <v>-31.435599999999795</v>
      </c>
      <c r="F32" s="42">
        <f t="shared" si="18"/>
        <v>-358.44600000000037</v>
      </c>
      <c r="G32" s="42">
        <f t="shared" si="18"/>
        <v>-324.58359999999948</v>
      </c>
      <c r="H32" s="42">
        <f t="shared" si="18"/>
        <v>-230.61120000000028</v>
      </c>
      <c r="I32" s="42">
        <f t="shared" si="18"/>
        <v>-1030.8631999999998</v>
      </c>
      <c r="J32" s="42">
        <f t="shared" si="18"/>
        <v>-842.24000000000024</v>
      </c>
      <c r="K32" s="42">
        <f t="shared" si="18"/>
        <v>-287.43080000000009</v>
      </c>
      <c r="L32" s="42">
        <f t="shared" si="18"/>
        <v>-301.36920000000009</v>
      </c>
      <c r="M32" s="42">
        <f t="shared" si="18"/>
        <v>-478.96000000000004</v>
      </c>
      <c r="N32" s="42">
        <f t="shared" si="18"/>
        <v>-351.23999999999978</v>
      </c>
      <c r="O32" s="42">
        <f t="shared" si="18"/>
        <v>-193.92000000000007</v>
      </c>
      <c r="P32" s="42">
        <f t="shared" si="18"/>
        <v>-398.28620800000044</v>
      </c>
      <c r="Q32" s="42">
        <f t="shared" si="18"/>
        <v>-422.50200944639982</v>
      </c>
      <c r="R32" s="42">
        <f t="shared" si="18"/>
        <v>-448.19013162074134</v>
      </c>
      <c r="S32" s="42">
        <f t="shared" si="18"/>
        <v>-475.44009162328257</v>
      </c>
    </row>
    <row r="33" spans="2:21" ht="13.95" customHeight="1" x14ac:dyDescent="0.3">
      <c r="B33" s="11" t="s">
        <v>121</v>
      </c>
      <c r="C33" s="21">
        <v>-5294.22</v>
      </c>
      <c r="D33" s="21">
        <v>-3805.46</v>
      </c>
      <c r="E33" s="21">
        <v>-3278.37</v>
      </c>
      <c r="F33" s="21">
        <v>-3699.48</v>
      </c>
      <c r="G33" s="21">
        <v>-3779.44</v>
      </c>
      <c r="H33" s="21">
        <v>-3672</v>
      </c>
      <c r="I33" s="21">
        <v>-4618.18</v>
      </c>
      <c r="J33" s="21">
        <v>-6641.75</v>
      </c>
      <c r="K33" s="21">
        <v>-8753.81</v>
      </c>
      <c r="L33" s="21">
        <v>-10938</v>
      </c>
      <c r="M33" s="21">
        <v>-18822</v>
      </c>
      <c r="N33" s="21">
        <v>-19159</v>
      </c>
      <c r="O33" s="21">
        <v>-19333</v>
      </c>
      <c r="P33" s="42">
        <f>P13*P34</f>
        <v>-19109.877071999999</v>
      </c>
      <c r="Q33" s="42">
        <f>Q13*Q34</f>
        <v>-20271.757597977601</v>
      </c>
      <c r="R33" s="42">
        <f>R13*R34</f>
        <v>-17594.411285401067</v>
      </c>
      <c r="S33" s="42">
        <f>S13*S34</f>
        <v>-18664.151491553454</v>
      </c>
      <c r="U33" s="6" t="s">
        <v>122</v>
      </c>
    </row>
    <row r="34" spans="2:21" ht="13.95" customHeight="1" x14ac:dyDescent="0.3">
      <c r="B34" s="11" t="s">
        <v>123</v>
      </c>
      <c r="C34" s="15">
        <f t="shared" ref="C34:O34" si="19">C33/C13</f>
        <v>-0.10308492275280216</v>
      </c>
      <c r="D34" s="15">
        <f t="shared" si="19"/>
        <v>-7.1812635646729073E-2</v>
      </c>
      <c r="E34" s="15">
        <f t="shared" si="19"/>
        <v>-6.0961853864262679E-2</v>
      </c>
      <c r="F34" s="15">
        <f t="shared" si="19"/>
        <v>-5.89666162192145E-2</v>
      </c>
      <c r="G34" s="15">
        <f t="shared" si="19"/>
        <v>-5.3341884354031456E-2</v>
      </c>
      <c r="H34" s="15">
        <f t="shared" si="19"/>
        <v>-4.7925812095838051E-2</v>
      </c>
      <c r="I34" s="15">
        <f t="shared" si="19"/>
        <v>-4.510381873229808E-2</v>
      </c>
      <c r="J34" s="15">
        <f t="shared" si="19"/>
        <v>-5.3802877371482268E-2</v>
      </c>
      <c r="K34" s="15">
        <f t="shared" si="19"/>
        <v>-6.7011340350054197E-2</v>
      </c>
      <c r="L34" s="15">
        <f t="shared" si="19"/>
        <v>-7.916564132999436E-2</v>
      </c>
      <c r="M34" s="15">
        <f t="shared" si="19"/>
        <v>-0.12536299453843081</v>
      </c>
      <c r="N34" s="15">
        <f t="shared" si="19"/>
        <v>-0.12055675461392767</v>
      </c>
      <c r="O34" s="15">
        <f t="shared" si="19"/>
        <v>-0.11805042468354816</v>
      </c>
      <c r="P34" s="33">
        <v>-0.11</v>
      </c>
      <c r="Q34" s="15">
        <f>P34</f>
        <v>-0.11</v>
      </c>
      <c r="R34" s="33">
        <v>-0.09</v>
      </c>
      <c r="S34" s="15">
        <f>R34</f>
        <v>-0.09</v>
      </c>
      <c r="U34" s="6" t="s">
        <v>124</v>
      </c>
    </row>
    <row r="35" spans="2:21" ht="13.95" customHeight="1" x14ac:dyDescent="0.3">
      <c r="B35" s="11" t="s">
        <v>125</v>
      </c>
      <c r="C35" s="42">
        <f t="shared" ref="C35:S35" si="20">C23+C26+C33+C31</f>
        <v>3593.3985000000007</v>
      </c>
      <c r="D35" s="42">
        <f t="shared" si="20"/>
        <v>4298.909599999999</v>
      </c>
      <c r="E35" s="42">
        <f t="shared" si="20"/>
        <v>6393.1740000000009</v>
      </c>
      <c r="F35" s="42">
        <f t="shared" si="20"/>
        <v>9188.643</v>
      </c>
      <c r="G35" s="42">
        <f t="shared" si="20"/>
        <v>10165.609399999999</v>
      </c>
      <c r="H35" s="42">
        <f t="shared" si="20"/>
        <v>9613.4081999999999</v>
      </c>
      <c r="I35" s="42">
        <f t="shared" si="20"/>
        <v>16932.72</v>
      </c>
      <c r="J35" s="42">
        <f t="shared" si="20"/>
        <v>18364.202499999999</v>
      </c>
      <c r="K35" s="42">
        <f t="shared" si="20"/>
        <v>12722.204199999998</v>
      </c>
      <c r="L35" s="42">
        <f t="shared" si="20"/>
        <v>14804.448</v>
      </c>
      <c r="M35" s="42">
        <f t="shared" si="20"/>
        <v>3970.3599999999988</v>
      </c>
      <c r="N35" s="42">
        <f t="shared" si="20"/>
        <v>15868.960000000003</v>
      </c>
      <c r="O35" s="42">
        <f t="shared" si="20"/>
        <v>16461.32</v>
      </c>
      <c r="P35" s="42">
        <f t="shared" si="20"/>
        <v>16980.784319999995</v>
      </c>
      <c r="Q35" s="42">
        <f t="shared" si="20"/>
        <v>18141.420645503993</v>
      </c>
      <c r="R35" s="42">
        <f t="shared" si="20"/>
        <v>23154.288195284214</v>
      </c>
      <c r="S35" s="42">
        <f t="shared" si="20"/>
        <v>24562.068917557488</v>
      </c>
      <c r="U35" s="6" t="s">
        <v>126</v>
      </c>
    </row>
    <row r="36" spans="2:21" ht="13.95" customHeight="1" x14ac:dyDescent="0.3">
      <c r="B36" s="11" t="s">
        <v>127</v>
      </c>
      <c r="D36" s="42">
        <f t="shared" ref="D36:S36" si="21">D23+D26+D33+D32</f>
        <v>6353.2235999999984</v>
      </c>
      <c r="E36" s="42">
        <f t="shared" si="21"/>
        <v>8512.8343999999997</v>
      </c>
      <c r="F36" s="42">
        <f t="shared" si="21"/>
        <v>11339.739000000001</v>
      </c>
      <c r="G36" s="42">
        <f t="shared" si="21"/>
        <v>12675.151399999999</v>
      </c>
      <c r="H36" s="42">
        <f t="shared" si="21"/>
        <v>12447.533800000001</v>
      </c>
      <c r="I36" s="42">
        <f t="shared" si="21"/>
        <v>19997.4568</v>
      </c>
      <c r="J36" s="42">
        <f t="shared" si="21"/>
        <v>22459.802499999998</v>
      </c>
      <c r="K36" s="42">
        <f t="shared" si="21"/>
        <v>17660.044199999997</v>
      </c>
      <c r="L36" s="42">
        <f t="shared" si="21"/>
        <v>20029.718799999999</v>
      </c>
      <c r="M36" s="42">
        <f t="shared" si="21"/>
        <v>9497</v>
      </c>
      <c r="N36" s="42">
        <f t="shared" si="21"/>
        <v>21874.560000000005</v>
      </c>
      <c r="O36" s="42">
        <f t="shared" si="21"/>
        <v>22818.160000000003</v>
      </c>
      <c r="P36" s="42">
        <f t="shared" si="21"/>
        <v>23531.544319999994</v>
      </c>
      <c r="Q36" s="42">
        <f t="shared" si="21"/>
        <v>25090.466853503996</v>
      </c>
      <c r="R36" s="42">
        <f t="shared" si="21"/>
        <v>30525.836412730616</v>
      </c>
      <c r="S36" s="42">
        <f t="shared" si="21"/>
        <v>32381.80726662463</v>
      </c>
      <c r="U36" s="6" t="s">
        <v>128</v>
      </c>
    </row>
    <row r="37" spans="2:21" ht="13.95" customHeight="1" x14ac:dyDescent="0.3">
      <c r="B37" s="5" t="s">
        <v>129</v>
      </c>
      <c r="C37" s="41">
        <f>C35</f>
        <v>3593.3985000000007</v>
      </c>
      <c r="D37" s="41">
        <f t="shared" ref="D37:S37" si="22">IF(FixNWC=1,D36,D35)</f>
        <v>4298.909599999999</v>
      </c>
      <c r="E37" s="41">
        <f t="shared" si="22"/>
        <v>6393.1740000000009</v>
      </c>
      <c r="F37" s="41">
        <f t="shared" si="22"/>
        <v>9188.643</v>
      </c>
      <c r="G37" s="41">
        <f t="shared" si="22"/>
        <v>10165.609399999999</v>
      </c>
      <c r="H37" s="41">
        <f t="shared" si="22"/>
        <v>9613.4081999999999</v>
      </c>
      <c r="I37" s="41">
        <f t="shared" si="22"/>
        <v>16932.72</v>
      </c>
      <c r="J37" s="41">
        <f t="shared" si="22"/>
        <v>18364.202499999999</v>
      </c>
      <c r="K37" s="41">
        <f t="shared" si="22"/>
        <v>12722.204199999998</v>
      </c>
      <c r="L37" s="41">
        <f t="shared" si="22"/>
        <v>14804.448</v>
      </c>
      <c r="M37" s="41">
        <f t="shared" si="22"/>
        <v>3970.3599999999988</v>
      </c>
      <c r="N37" s="13">
        <f t="shared" si="22"/>
        <v>15868.960000000003</v>
      </c>
      <c r="O37" s="13">
        <f t="shared" si="22"/>
        <v>16461.32</v>
      </c>
      <c r="P37" s="13">
        <f t="shared" si="22"/>
        <v>16980.784319999995</v>
      </c>
      <c r="Q37" s="13">
        <f t="shared" si="22"/>
        <v>18141.420645503993</v>
      </c>
      <c r="R37" s="13">
        <f t="shared" si="22"/>
        <v>23154.288195284214</v>
      </c>
      <c r="S37" s="13">
        <f t="shared" si="22"/>
        <v>24562.068917557488</v>
      </c>
      <c r="U37" s="6" t="s">
        <v>130</v>
      </c>
    </row>
    <row r="38" spans="2:21" ht="13.95" customHeight="1" x14ac:dyDescent="0.3">
      <c r="B38" s="43" t="s">
        <v>131</v>
      </c>
      <c r="C38" s="21">
        <v>3875.1</v>
      </c>
      <c r="D38" s="21">
        <v>3414.98</v>
      </c>
      <c r="E38" s="21">
        <v>3131.8</v>
      </c>
      <c r="F38" s="21">
        <v>5798.58</v>
      </c>
      <c r="G38" s="21">
        <v>7840.38</v>
      </c>
      <c r="H38" s="21">
        <v>10543</v>
      </c>
      <c r="I38" s="21">
        <v>15220</v>
      </c>
      <c r="J38" s="21">
        <v>21728</v>
      </c>
      <c r="K38" s="21">
        <v>10626.16</v>
      </c>
      <c r="L38" s="21">
        <v>12342</v>
      </c>
      <c r="M38" s="21">
        <v>13051</v>
      </c>
      <c r="N38" s="42">
        <f t="shared" ref="N38:S38" si="23">N21*(1+N25)+N33</f>
        <v>18327.239999999998</v>
      </c>
      <c r="O38" s="42">
        <f t="shared" si="23"/>
        <v>19211.919999999998</v>
      </c>
      <c r="P38" s="42">
        <f t="shared" si="23"/>
        <v>20407.835327999997</v>
      </c>
      <c r="Q38" s="42">
        <f t="shared" si="23"/>
        <v>21746.067241466881</v>
      </c>
      <c r="R38" s="42">
        <f t="shared" si="23"/>
        <v>26978.09730428164</v>
      </c>
      <c r="S38" s="42">
        <f t="shared" si="23"/>
        <v>28618.365620381959</v>
      </c>
      <c r="U38" s="6" t="s">
        <v>132</v>
      </c>
    </row>
    <row r="39" spans="2:21" ht="13.95" customHeight="1" x14ac:dyDescent="0.3">
      <c r="B39" s="43" t="s">
        <v>133</v>
      </c>
      <c r="C39" s="21">
        <v>49828</v>
      </c>
      <c r="D39" s="21">
        <v>53350</v>
      </c>
      <c r="E39" s="21">
        <v>67784</v>
      </c>
      <c r="F39" s="21">
        <v>81677</v>
      </c>
      <c r="G39" s="21">
        <v>101000</v>
      </c>
      <c r="H39" s="21">
        <v>99143</v>
      </c>
      <c r="I39" s="42">
        <f t="shared" ref="I39:S39" si="24">IbovUsed</f>
        <v>208431.92</v>
      </c>
      <c r="J39" s="42">
        <f t="shared" si="24"/>
        <v>208431.92</v>
      </c>
      <c r="K39" s="42">
        <f t="shared" si="24"/>
        <v>208431.92</v>
      </c>
      <c r="L39" s="42">
        <f t="shared" si="24"/>
        <v>208431.92</v>
      </c>
      <c r="M39" s="42">
        <f t="shared" si="24"/>
        <v>208431.92</v>
      </c>
      <c r="N39" s="42">
        <f t="shared" si="24"/>
        <v>208431.92</v>
      </c>
      <c r="O39" s="42">
        <f t="shared" si="24"/>
        <v>208431.92</v>
      </c>
      <c r="P39" s="42">
        <f t="shared" si="24"/>
        <v>208431.92</v>
      </c>
      <c r="Q39" s="42">
        <f t="shared" si="24"/>
        <v>208431.92</v>
      </c>
      <c r="R39" s="42">
        <f t="shared" si="24"/>
        <v>208431.92</v>
      </c>
      <c r="S39" s="42">
        <f t="shared" si="24"/>
        <v>208431.92</v>
      </c>
      <c r="U39" s="6" t="s">
        <v>134</v>
      </c>
    </row>
    <row r="40" spans="2:21" ht="13.95" customHeight="1" x14ac:dyDescent="0.3">
      <c r="B40" s="43" t="s">
        <v>135</v>
      </c>
      <c r="C40" s="15">
        <f t="shared" ref="C40:S40" si="25">C38/C39</f>
        <v>7.7769527173476752E-2</v>
      </c>
      <c r="D40" s="15">
        <f t="shared" si="25"/>
        <v>6.4010871602624184E-2</v>
      </c>
      <c r="E40" s="15">
        <f t="shared" si="25"/>
        <v>4.6202643691726664E-2</v>
      </c>
      <c r="F40" s="15">
        <f t="shared" si="25"/>
        <v>7.0994037489134021E-2</v>
      </c>
      <c r="G40" s="15">
        <f t="shared" si="25"/>
        <v>7.7627524752475252E-2</v>
      </c>
      <c r="H40" s="15">
        <f t="shared" si="25"/>
        <v>0.10634134532947359</v>
      </c>
      <c r="I40" s="15">
        <f t="shared" si="25"/>
        <v>7.3021445083843201E-2</v>
      </c>
      <c r="J40" s="15">
        <f t="shared" si="25"/>
        <v>0.10424506956516065</v>
      </c>
      <c r="K40" s="15">
        <f t="shared" si="25"/>
        <v>5.098144276558024E-2</v>
      </c>
      <c r="L40" s="15">
        <f t="shared" si="25"/>
        <v>5.9213579186911482E-2</v>
      </c>
      <c r="M40" s="15">
        <f t="shared" si="25"/>
        <v>6.2615169499949913E-2</v>
      </c>
      <c r="N40" s="15">
        <f t="shared" si="25"/>
        <v>8.792914252289187E-2</v>
      </c>
      <c r="O40" s="15">
        <f t="shared" si="25"/>
        <v>9.2173597978658914E-2</v>
      </c>
      <c r="P40" s="15">
        <f t="shared" si="25"/>
        <v>9.7911276391830948E-2</v>
      </c>
      <c r="Q40" s="15">
        <f t="shared" si="25"/>
        <v>0.10433175130501547</v>
      </c>
      <c r="R40" s="15">
        <f t="shared" si="25"/>
        <v>0.12943361700204861</v>
      </c>
      <c r="S40" s="15">
        <f t="shared" si="25"/>
        <v>0.13730318091577315</v>
      </c>
      <c r="U40" s="6" t="s">
        <v>136</v>
      </c>
    </row>
    <row r="42" spans="2:21" ht="13.95" customHeight="1" x14ac:dyDescent="0.3">
      <c r="B42" s="70" t="s">
        <v>137</v>
      </c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</row>
    <row r="43" spans="2:21" ht="13.95" customHeight="1" x14ac:dyDescent="0.3">
      <c r="B43" s="9"/>
      <c r="C43" s="10" t="s">
        <v>31</v>
      </c>
      <c r="D43" s="10" t="s">
        <v>32</v>
      </c>
      <c r="E43" s="10" t="s">
        <v>33</v>
      </c>
      <c r="F43" s="10"/>
      <c r="G43" s="10" t="s">
        <v>138</v>
      </c>
      <c r="H43" s="70" t="s">
        <v>139</v>
      </c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</row>
    <row r="44" spans="2:21" ht="13.95" customHeight="1" x14ac:dyDescent="0.3">
      <c r="B44" s="11" t="s">
        <v>140</v>
      </c>
      <c r="C44" s="44">
        <v>2027</v>
      </c>
      <c r="D44" s="44">
        <v>2027</v>
      </c>
      <c r="E44" s="44">
        <v>2027</v>
      </c>
      <c r="G44" s="44">
        <v>2026</v>
      </c>
    </row>
    <row r="45" spans="2:21" ht="13.95" customHeight="1" x14ac:dyDescent="0.3">
      <c r="B45" s="11" t="s">
        <v>141</v>
      </c>
      <c r="C45" s="45" t="s">
        <v>163</v>
      </c>
      <c r="D45" s="45" t="s">
        <v>163</v>
      </c>
      <c r="E45" s="45" t="s">
        <v>163</v>
      </c>
      <c r="G45" s="45" t="s">
        <v>164</v>
      </c>
    </row>
    <row r="46" spans="2:21" ht="13.95" customHeight="1" x14ac:dyDescent="0.3">
      <c r="B46" s="11" t="s">
        <v>14</v>
      </c>
      <c r="C46" s="46">
        <f>Assumptions!C20</f>
        <v>8.5000000000000006E-2</v>
      </c>
      <c r="D46" s="46">
        <f>Assumptions!D20</f>
        <v>6.7599999999999993E-2</v>
      </c>
      <c r="E46" s="46">
        <f>Assumptions!E20</f>
        <v>0.06</v>
      </c>
      <c r="G46" s="46">
        <f>Assumptions!D20</f>
        <v>6.7599999999999993E-2</v>
      </c>
    </row>
    <row r="47" spans="2:21" ht="13.95" customHeight="1" x14ac:dyDescent="0.3">
      <c r="B47" s="11" t="s">
        <v>35</v>
      </c>
      <c r="C47" s="46">
        <f>Assumptions!C21</f>
        <v>0.06</v>
      </c>
      <c r="D47" s="46">
        <f>Assumptions!D21</f>
        <v>0.06</v>
      </c>
      <c r="E47" s="46">
        <f>Assumptions!E21</f>
        <v>0.06</v>
      </c>
      <c r="G47" s="46">
        <f>Assumptions!D21</f>
        <v>0.06</v>
      </c>
    </row>
    <row r="48" spans="2:21" ht="13.95" customHeight="1" x14ac:dyDescent="0.3">
      <c r="B48" s="5" t="s">
        <v>142</v>
      </c>
      <c r="C48" s="30">
        <f>IF(FixInfl=1,(1+C46+C47)*(1+InflLT)-1,C46+C47)</f>
        <v>0.14500000000000002</v>
      </c>
      <c r="D48" s="30">
        <f>IF(FixInfl=1,(1+D46+D47)*(1+InflLT)-1,D46+D47)</f>
        <v>0.12759999999999999</v>
      </c>
      <c r="E48" s="30">
        <f>IF(FixInfl=1,(1+E46+E47)*(1+InflLT)-1,E46+E47)</f>
        <v>0.12</v>
      </c>
      <c r="G48" s="30">
        <f>IF(FixInfl=1,(1+G46+G47)*(1+InflLT)-1,G46+G47)</f>
        <v>0.12759999999999999</v>
      </c>
      <c r="H48" s="6" t="s">
        <v>143</v>
      </c>
    </row>
    <row r="49" spans="2:21" ht="13.95" customHeight="1" x14ac:dyDescent="0.3">
      <c r="B49" s="11" t="s">
        <v>144</v>
      </c>
      <c r="C49" s="46">
        <f>gLT</f>
        <v>4.7E-2</v>
      </c>
      <c r="D49" s="46">
        <f>gLT</f>
        <v>4.7E-2</v>
      </c>
      <c r="E49" s="46">
        <f>gLT</f>
        <v>4.7E-2</v>
      </c>
      <c r="G49" s="46">
        <f>gLT</f>
        <v>4.7E-2</v>
      </c>
    </row>
    <row r="50" spans="2:21" ht="13.95" customHeight="1" x14ac:dyDescent="0.3">
      <c r="B50" s="11" t="s">
        <v>145</v>
      </c>
      <c r="C50" s="22">
        <f>S37</f>
        <v>24562.068917557488</v>
      </c>
      <c r="D50" s="22">
        <f>S37</f>
        <v>24562.068917557488</v>
      </c>
      <c r="E50" s="22">
        <f>S37</f>
        <v>24562.068917557488</v>
      </c>
      <c r="G50" s="22">
        <f>R37</f>
        <v>23154.288195284214</v>
      </c>
    </row>
    <row r="51" spans="2:21" ht="13.95" customHeight="1" x14ac:dyDescent="0.3">
      <c r="B51" s="11" t="s">
        <v>146</v>
      </c>
      <c r="C51" s="22">
        <f>C50*(1+C49)/(C48-C49)</f>
        <v>262413.1240477825</v>
      </c>
      <c r="D51" s="22">
        <f>D50*(1+D49)/(D48-D49)</f>
        <v>319063.10368092667</v>
      </c>
      <c r="E51" s="22">
        <f>E50*(1+E49)/(E48-E49)</f>
        <v>352280.63228332449</v>
      </c>
      <c r="G51" s="22">
        <f>G50*(1+G49)/(G48-G49)</f>
        <v>300775.92730102444</v>
      </c>
      <c r="H51" s="6" t="s">
        <v>147</v>
      </c>
    </row>
    <row r="52" spans="2:21" ht="13.95" customHeight="1" x14ac:dyDescent="0.3">
      <c r="B52" s="11" t="s">
        <v>148</v>
      </c>
      <c r="C52" s="47">
        <f>5-FixTV</f>
        <v>5</v>
      </c>
      <c r="D52" s="47">
        <f>5-FixTV</f>
        <v>5</v>
      </c>
      <c r="E52" s="47">
        <f>5-FixTV</f>
        <v>5</v>
      </c>
      <c r="G52" s="47">
        <f>5-FixTV</f>
        <v>5</v>
      </c>
      <c r="H52" s="6" t="s">
        <v>149</v>
      </c>
    </row>
    <row r="53" spans="2:21" ht="13.95" customHeight="1" x14ac:dyDescent="0.3">
      <c r="B53" s="11" t="s">
        <v>150</v>
      </c>
      <c r="C53" s="22">
        <f>NPV(C48,P37:S37)</f>
        <v>58382.957081100023</v>
      </c>
      <c r="D53" s="22">
        <f>NPV(D48,P37:S37)</f>
        <v>60669.968974076117</v>
      </c>
      <c r="E53" s="22">
        <f>NPV(E48,P37:S37)</f>
        <v>61714.047869817718</v>
      </c>
      <c r="G53" s="22">
        <f>NPV(G48,O37:R37)</f>
        <v>54929.273793531691</v>
      </c>
      <c r="H53" s="6" t="s">
        <v>151</v>
      </c>
    </row>
    <row r="54" spans="2:21" ht="13.95" customHeight="1" x14ac:dyDescent="0.3">
      <c r="B54" s="11" t="s">
        <v>152</v>
      </c>
      <c r="C54" s="22">
        <f>C51/(1+C48)^C52</f>
        <v>133339.28383602019</v>
      </c>
      <c r="D54" s="22">
        <f>D51/(1+D48)^D52</f>
        <v>175025.46876147939</v>
      </c>
      <c r="E54" s="22">
        <f>E51/(1+E48)^E52</f>
        <v>199893.49150708687</v>
      </c>
      <c r="G54" s="22">
        <f>G51/(1+G48)^G52</f>
        <v>164993.84310094215</v>
      </c>
    </row>
    <row r="55" spans="2:21" ht="13.95" customHeight="1" x14ac:dyDescent="0.3">
      <c r="B55" s="11" t="s">
        <v>153</v>
      </c>
      <c r="C55" s="22">
        <f>C53+C54</f>
        <v>191722.24091712022</v>
      </c>
      <c r="D55" s="22">
        <f>D53+D54</f>
        <v>235695.43773555552</v>
      </c>
      <c r="E55" s="22">
        <f>E53+E54</f>
        <v>261607.53937690461</v>
      </c>
      <c r="G55" s="22">
        <f>G53+G54</f>
        <v>219923.11689447385</v>
      </c>
    </row>
    <row r="56" spans="2:21" ht="13.95" customHeight="1" x14ac:dyDescent="0.3">
      <c r="B56" s="11" t="s">
        <v>154</v>
      </c>
      <c r="C56" s="22">
        <f>IF(FixND=1,NDmult*M21,0)</f>
        <v>0</v>
      </c>
      <c r="D56" s="22">
        <f>IF(FixND=1,NDmult*M21,0)</f>
        <v>0</v>
      </c>
      <c r="E56" s="22">
        <f>IF(FixND=1,NDmult*M21,0)</f>
        <v>0</v>
      </c>
      <c r="G56" s="22">
        <f>IF(FixND=1,NDmult*L21,0)</f>
        <v>0</v>
      </c>
      <c r="H56" s="6" t="s">
        <v>155</v>
      </c>
    </row>
    <row r="57" spans="2:21" ht="13.95" customHeight="1" x14ac:dyDescent="0.3">
      <c r="B57" s="5" t="s">
        <v>156</v>
      </c>
      <c r="C57" s="13">
        <f>C55-C56</f>
        <v>191722.24091712022</v>
      </c>
      <c r="D57" s="13">
        <f>D55-D56</f>
        <v>235695.43773555552</v>
      </c>
      <c r="E57" s="13">
        <f>E55-E56</f>
        <v>261607.53937690461</v>
      </c>
      <c r="G57" s="13">
        <f>G55-G56</f>
        <v>219923.11689447385</v>
      </c>
      <c r="H57" s="6" t="s">
        <v>157</v>
      </c>
    </row>
    <row r="58" spans="2:21" ht="13.95" customHeight="1" x14ac:dyDescent="0.3">
      <c r="B58" s="11" t="s">
        <v>158</v>
      </c>
      <c r="C58" s="22">
        <f>IbovUsed</f>
        <v>208431.92</v>
      </c>
      <c r="D58" s="22">
        <f>IbovUsed</f>
        <v>208431.92</v>
      </c>
      <c r="E58" s="22">
        <f>IbovUsed</f>
        <v>208431.92</v>
      </c>
      <c r="G58" s="22">
        <f>IbovUsed</f>
        <v>208431.92</v>
      </c>
    </row>
    <row r="59" spans="2:21" ht="13.95" customHeight="1" x14ac:dyDescent="0.3">
      <c r="B59" s="5" t="s">
        <v>159</v>
      </c>
      <c r="C59" s="14">
        <f>C57/C58-1</f>
        <v>-8.0168522570246425E-2</v>
      </c>
      <c r="D59" s="14">
        <f>D57/D58-1</f>
        <v>0.13080298706433968</v>
      </c>
      <c r="E59" s="14">
        <f>E57/E58-1</f>
        <v>0.25512224508081394</v>
      </c>
      <c r="G59" s="14">
        <f>G57/G58-1</f>
        <v>5.5131655911790478E-2</v>
      </c>
    </row>
    <row r="60" spans="2:21" ht="13.95" customHeight="1" x14ac:dyDescent="0.3">
      <c r="B60" s="11" t="s">
        <v>160</v>
      </c>
      <c r="C60" s="48">
        <f>C54/C55</f>
        <v>0.69548156331878863</v>
      </c>
      <c r="D60" s="48">
        <f>D54/D55</f>
        <v>0.74259167017841754</v>
      </c>
      <c r="E60" s="48">
        <f>E54/E55</f>
        <v>0.76409682986657068</v>
      </c>
      <c r="G60" s="48">
        <f>G54/G55</f>
        <v>0.75023419743596798</v>
      </c>
    </row>
    <row r="61" spans="2:21" ht="13.95" customHeight="1" x14ac:dyDescent="0.3">
      <c r="B61" s="11" t="s">
        <v>161</v>
      </c>
      <c r="C61" s="49">
        <f>C57/P29</f>
        <v>8.2720904740527335</v>
      </c>
      <c r="D61" s="49">
        <f>D57/P29</f>
        <v>10.169367810137443</v>
      </c>
      <c r="E61" s="49">
        <f>E57/P29</f>
        <v>11.287377114247082</v>
      </c>
      <c r="G61" s="49">
        <f>G57/O29</f>
        <v>10.150610029284309</v>
      </c>
      <c r="H61" s="6" t="s">
        <v>162</v>
      </c>
    </row>
    <row r="63" spans="2:21" ht="13.95" customHeight="1" x14ac:dyDescent="0.3">
      <c r="B63" s="70" t="s">
        <v>165</v>
      </c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</row>
    <row r="64" spans="2:21" ht="13.95" customHeight="1" x14ac:dyDescent="0.3">
      <c r="B64" s="9"/>
      <c r="C64" s="10" t="s">
        <v>166</v>
      </c>
      <c r="D64" s="10" t="s">
        <v>70</v>
      </c>
      <c r="E64" s="10" t="s">
        <v>71</v>
      </c>
      <c r="F64" s="10" t="s">
        <v>72</v>
      </c>
      <c r="G64" s="10" t="s">
        <v>167</v>
      </c>
    </row>
    <row r="65" spans="2:8" ht="13.95" customHeight="1" x14ac:dyDescent="0.3">
      <c r="B65" s="20" t="s">
        <v>168</v>
      </c>
      <c r="C65" s="22">
        <f>-IbovUsed</f>
        <v>-208431.92</v>
      </c>
      <c r="D65" s="22">
        <f>O37</f>
        <v>16461.32</v>
      </c>
      <c r="E65" s="22">
        <f>P37</f>
        <v>16980.784319999995</v>
      </c>
      <c r="F65" s="22">
        <f>Q37</f>
        <v>18141.420645503993</v>
      </c>
      <c r="G65" s="22">
        <f>D51</f>
        <v>319063.10368092667</v>
      </c>
      <c r="H65" s="6" t="s">
        <v>172</v>
      </c>
    </row>
    <row r="66" spans="2:8" ht="13.95" customHeight="1" x14ac:dyDescent="0.3">
      <c r="B66" s="11" t="s">
        <v>169</v>
      </c>
      <c r="C66" s="50">
        <f>IRR(C65:G65)</f>
        <v>0.1694377720342557</v>
      </c>
    </row>
    <row r="67" spans="2:8" ht="13.95" customHeight="1" x14ac:dyDescent="0.3">
      <c r="B67" s="11" t="s">
        <v>80</v>
      </c>
      <c r="C67" s="50">
        <f>InflLT</f>
        <v>0.04</v>
      </c>
    </row>
    <row r="68" spans="2:8" ht="13.95" customHeight="1" x14ac:dyDescent="0.3">
      <c r="B68" s="11" t="s">
        <v>170</v>
      </c>
      <c r="C68" s="50">
        <f>C66-C67</f>
        <v>0.12943777203425569</v>
      </c>
    </row>
    <row r="69" spans="2:8" ht="13.95" customHeight="1" x14ac:dyDescent="0.3">
      <c r="B69" s="5" t="s">
        <v>171</v>
      </c>
      <c r="C69" s="30">
        <f>C68-D46</f>
        <v>6.1837772034255695E-2</v>
      </c>
    </row>
  </sheetData>
  <mergeCells count="4">
    <mergeCell ref="B5:U5"/>
    <mergeCell ref="B42:U42"/>
    <mergeCell ref="H43:U43"/>
    <mergeCell ref="B63:U63"/>
  </mergeCells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G51"/>
  <sheetViews>
    <sheetView showGridLines="0" zoomScale="85" zoomScaleNormal="85" workbookViewId="0"/>
  </sheetViews>
  <sheetFormatPr defaultRowHeight="13.95" customHeight="1" x14ac:dyDescent="0.3"/>
  <cols>
    <col min="1" max="1" width="2.6640625" customWidth="1"/>
    <col min="2" max="2" width="30.6640625" customWidth="1"/>
    <col min="3" max="8" width="15.6640625" customWidth="1"/>
  </cols>
  <sheetData>
    <row r="1" spans="2:7" ht="30" customHeight="1" x14ac:dyDescent="0.3">
      <c r="B1" s="7" t="s">
        <v>173</v>
      </c>
    </row>
    <row r="2" spans="2:7" ht="13.95" customHeight="1" x14ac:dyDescent="0.3">
      <c r="B2" s="6" t="s">
        <v>174</v>
      </c>
    </row>
    <row r="3" spans="2:7" ht="13.95" customHeight="1" x14ac:dyDescent="0.3">
      <c r="B3" s="6" t="s">
        <v>2</v>
      </c>
      <c r="C3" s="24" t="s">
        <v>3</v>
      </c>
      <c r="D3" s="25" t="s">
        <v>4</v>
      </c>
      <c r="E3" s="26" t="s">
        <v>5</v>
      </c>
    </row>
    <row r="5" spans="2:7" ht="13.95" customHeight="1" x14ac:dyDescent="0.3">
      <c r="B5" s="70" t="s">
        <v>175</v>
      </c>
      <c r="C5" s="70"/>
      <c r="D5" s="70"/>
      <c r="E5" s="70"/>
      <c r="F5" s="70"/>
      <c r="G5" s="70"/>
    </row>
    <row r="6" spans="2:7" ht="30" customHeight="1" x14ac:dyDescent="0.3">
      <c r="B6" s="9" t="s">
        <v>176</v>
      </c>
      <c r="C6" s="10" t="s">
        <v>177</v>
      </c>
      <c r="D6" s="10" t="s">
        <v>178</v>
      </c>
      <c r="E6" s="10" t="s">
        <v>179</v>
      </c>
      <c r="F6" s="10"/>
      <c r="G6" s="10" t="s">
        <v>180</v>
      </c>
    </row>
    <row r="7" spans="2:7" ht="13.95" customHeight="1" x14ac:dyDescent="0.3">
      <c r="B7" s="51">
        <v>5.5E-2</v>
      </c>
      <c r="C7" s="21">
        <v>263358.80545811931</v>
      </c>
      <c r="D7" s="22">
        <f>NPV(($B7+0.06),DCF!$O$35:$R$35)+DCF!$R$35*(1+0.047)/(($B7+0.06)-0.047)/(1+($B7+0.06))^5-0</f>
        <v>263358.80545811931</v>
      </c>
      <c r="E7" s="23">
        <f t="shared" ref="E7:E14" si="0">D7-C7</f>
        <v>0</v>
      </c>
      <c r="G7" s="8">
        <f>NPV(IF(FixInfl=1,(1+$B7+Assumptions!$D$21)*(1+InflLT)-1,$B7+Assumptions!$D$21),DCF!$P$37:$S$37)+DCF!$S$37*(1+gLT)/(IF(FixInfl=1,(1+$B7+Assumptions!$D$21)*(1+InflLT)-1,$B7+Assumptions!$D$21)-gLT)/(1+IF(FixInfl=1,(1+$B7+Assumptions!$D$21)*(1+InflLT)-1,$B7+Assumptions!$D$21))^(4+1-FixTV)-IF(FixND=1,NDmult*DCF!$M$21,0)</f>
        <v>281862.98380960268</v>
      </c>
    </row>
    <row r="8" spans="2:7" ht="13.95" customHeight="1" x14ac:dyDescent="0.3">
      <c r="B8" s="51">
        <v>0.06</v>
      </c>
      <c r="C8" s="21">
        <v>244298.80737131229</v>
      </c>
      <c r="D8" s="22">
        <f>NPV(($B8+0.06),DCF!$O$35:$R$35)+DCF!$R$35*(1+0.047)/(($B8+0.06)-0.047)/(1+($B8+0.06))^5-0</f>
        <v>244298.80737131237</v>
      </c>
      <c r="E8" s="23">
        <f t="shared" si="0"/>
        <v>0</v>
      </c>
      <c r="G8" s="8">
        <f>NPV(IF(FixInfl=1,(1+$B8+Assumptions!$D$21)*(1+InflLT)-1,$B8+Assumptions!$D$21),DCF!$P$37:$S$37)+DCF!$S$37*(1+gLT)/(IF(FixInfl=1,(1+$B8+Assumptions!$D$21)*(1+InflLT)-1,$B8+Assumptions!$D$21)-gLT)/(1+IF(FixInfl=1,(1+$B8+Assumptions!$D$21)*(1+InflLT)-1,$B8+Assumptions!$D$21))^(4+1-FixTV)-IF(FixND=1,NDmult*DCF!$M$21,0)</f>
        <v>261607.53937690461</v>
      </c>
    </row>
    <row r="9" spans="2:7" ht="13.95" customHeight="1" x14ac:dyDescent="0.3">
      <c r="B9" s="51">
        <v>7.0000000000000007E-2</v>
      </c>
      <c r="C9" s="21">
        <v>213168.5243247686</v>
      </c>
      <c r="D9" s="22">
        <f>NPV(($B9+0.06),DCF!$O$35:$R$35)+DCF!$R$35*(1+0.047)/(($B9+0.06)-0.047)/(1+($B9+0.06))^5-0</f>
        <v>213168.52432476863</v>
      </c>
      <c r="E9" s="23">
        <f t="shared" si="0"/>
        <v>0</v>
      </c>
      <c r="G9" s="8">
        <f>NPV(IF(FixInfl=1,(1+$B9+Assumptions!$D$21)*(1+InflLT)-1,$B9+Assumptions!$D$21),DCF!$P$37:$S$37)+DCF!$S$37*(1+gLT)/(IF(FixInfl=1,(1+$B9+Assumptions!$D$21)*(1+InflLT)-1,$B9+Assumptions!$D$21)-gLT)/(1+IF(FixInfl=1,(1+$B9+Assumptions!$D$21)*(1+InflLT)-1,$B9+Assumptions!$D$21))^(4+1-FixTV)-IF(FixND=1,NDmult*DCF!$M$21,0)</f>
        <v>228513.30562413071</v>
      </c>
    </row>
    <row r="10" spans="2:7" ht="13.95" customHeight="1" x14ac:dyDescent="0.3">
      <c r="B10" s="51">
        <v>7.4200000000000002E-2</v>
      </c>
      <c r="C10" s="21">
        <v>202259.16860466631</v>
      </c>
      <c r="D10" s="22">
        <f>NPV(($B10+0.06),DCF!$O$35:$R$35)+DCF!$R$35*(1+0.047)/(($B10+0.06)-0.047)/(1+($B10+0.06))^5-0</f>
        <v>202259.16860466625</v>
      </c>
      <c r="E10" s="23">
        <f t="shared" si="0"/>
        <v>0</v>
      </c>
      <c r="G10" s="8">
        <f>NPV(IF(FixInfl=1,(1+$B10+Assumptions!$D$21)*(1+InflLT)-1,$B10+Assumptions!$D$21),DCF!$P$37:$S$37)+DCF!$S$37*(1+gLT)/(IF(FixInfl=1,(1+$B10+Assumptions!$D$21)*(1+InflLT)-1,$B10+Assumptions!$D$21)-gLT)/(1+IF(FixInfl=1,(1+$B10+Assumptions!$D$21)*(1+InflLT)-1,$B10+Assumptions!$D$21))^(4+1-FixTV)-IF(FixND=1,NDmult*DCF!$M$21,0)</f>
        <v>216911.50484256059</v>
      </c>
    </row>
    <row r="11" spans="2:7" ht="13.95" customHeight="1" x14ac:dyDescent="0.3">
      <c r="B11" s="51">
        <v>7.4999999999999997E-2</v>
      </c>
      <c r="C11" s="21">
        <v>200301.5787500634</v>
      </c>
      <c r="D11" s="22">
        <f>NPV(($B11+0.06),DCF!$O$35:$R$35)+DCF!$R$35*(1+0.047)/(($B11+0.06)-0.047)/(1+($B11+0.06))^5-0</f>
        <v>200301.57875006337</v>
      </c>
      <c r="E11" s="23">
        <f t="shared" si="0"/>
        <v>0</v>
      </c>
      <c r="G11" s="8">
        <f>NPV(IF(FixInfl=1,(1+$B11+Assumptions!$D$21)*(1+InflLT)-1,$B11+Assumptions!$D$21),DCF!$P$37:$S$37)+DCF!$S$37*(1+gLT)/(IF(FixInfl=1,(1+$B11+Assumptions!$D$21)*(1+InflLT)-1,$B11+Assumptions!$D$21)-gLT)/(1+IF(FixInfl=1,(1+$B11+Assumptions!$D$21)*(1+InflLT)-1,$B11+Assumptions!$D$21))^(4+1-FixTV)-IF(FixND=1,NDmult*DCF!$M$21,0)</f>
        <v>214829.38981226983</v>
      </c>
    </row>
    <row r="12" spans="2:7" ht="13.95" customHeight="1" x14ac:dyDescent="0.3">
      <c r="B12" s="51">
        <v>0.08</v>
      </c>
      <c r="C12" s="21">
        <v>188845.16885368561</v>
      </c>
      <c r="D12" s="22">
        <f>NPV(($B12+0.06),DCF!$O$35:$R$35)+DCF!$R$35*(1+0.047)/(($B12+0.06)-0.047)/(1+($B12+0.06))^5-0</f>
        <v>188845.16885368561</v>
      </c>
      <c r="E12" s="23">
        <f t="shared" si="0"/>
        <v>0</v>
      </c>
      <c r="G12" s="8">
        <f>NPV(IF(FixInfl=1,(1+$B12+Assumptions!$D$21)*(1+InflLT)-1,$B12+Assumptions!$D$21),DCF!$P$37:$S$37)+DCF!$S$37*(1+gLT)/(IF(FixInfl=1,(1+$B12+Assumptions!$D$21)*(1+InflLT)-1,$B12+Assumptions!$D$21)-gLT)/(1+IF(FixInfl=1,(1+$B12+Assumptions!$D$21)*(1+InflLT)-1,$B12+Assumptions!$D$21))^(4+1-FixTV)-IF(FixND=1,NDmult*DCF!$M$21,0)</f>
        <v>202642.38814094261</v>
      </c>
    </row>
    <row r="13" spans="2:7" ht="13.95" customHeight="1" x14ac:dyDescent="0.3">
      <c r="B13" s="51">
        <v>8.5000000000000006E-2</v>
      </c>
      <c r="C13" s="21">
        <v>178582.43361699971</v>
      </c>
      <c r="D13" s="22">
        <f>NPV(($B13+0.06),DCF!$O$35:$R$35)+DCF!$R$35*(1+0.047)/(($B13+0.06)-0.047)/(1+($B13+0.06))^5-0</f>
        <v>178582.43361699965</v>
      </c>
      <c r="E13" s="23">
        <f t="shared" si="0"/>
        <v>0</v>
      </c>
      <c r="G13" s="8">
        <f>NPV(IF(FixInfl=1,(1+$B13+Assumptions!$D$21)*(1+InflLT)-1,$B13+Assumptions!$D$21),DCF!$P$37:$S$37)+DCF!$S$37*(1+gLT)/(IF(FixInfl=1,(1+$B13+Assumptions!$D$21)*(1+InflLT)-1,$B13+Assumptions!$D$21)-gLT)/(1+IF(FixInfl=1,(1+$B13+Assumptions!$D$21)*(1+InflLT)-1,$B13+Assumptions!$D$21))^(4+1-FixTV)-IF(FixND=1,NDmult*DCF!$M$21,0)</f>
        <v>191722.24091712022</v>
      </c>
    </row>
    <row r="14" spans="2:7" ht="13.95" customHeight="1" x14ac:dyDescent="0.3">
      <c r="B14" s="51">
        <v>0.09</v>
      </c>
      <c r="C14" s="21">
        <v>169338.65738047709</v>
      </c>
      <c r="D14" s="22">
        <f>NPV(($B14+0.06),DCF!$O$35:$R$35)+DCF!$R$35*(1+0.047)/(($B14+0.06)-0.047)/(1+($B14+0.06))^5-0</f>
        <v>169338.65738047712</v>
      </c>
      <c r="E14" s="23">
        <f t="shared" si="0"/>
        <v>0</v>
      </c>
      <c r="G14" s="8">
        <f>NPV(IF(FixInfl=1,(1+$B14+Assumptions!$D$21)*(1+InflLT)-1,$B14+Assumptions!$D$21),DCF!$P$37:$S$37)+DCF!$S$37*(1+gLT)/(IF(FixInfl=1,(1+$B14+Assumptions!$D$21)*(1+InflLT)-1,$B14+Assumptions!$D$21)-gLT)/(1+IF(FixInfl=1,(1+$B14+Assumptions!$D$21)*(1+InflLT)-1,$B14+Assumptions!$D$21))^(4+1-FixTV)-IF(FixND=1,NDmult*DCF!$M$21,0)</f>
        <v>181883.59659697785</v>
      </c>
    </row>
    <row r="15" spans="2:7" ht="13.95" customHeight="1" x14ac:dyDescent="0.3">
      <c r="B15" s="6" t="s">
        <v>181</v>
      </c>
    </row>
    <row r="18" spans="2:7" ht="13.95" customHeight="1" x14ac:dyDescent="0.3">
      <c r="B18" s="70" t="s">
        <v>182</v>
      </c>
      <c r="C18" s="70"/>
      <c r="D18" s="70"/>
      <c r="E18" s="70"/>
      <c r="F18" s="70"/>
      <c r="G18" s="70"/>
    </row>
    <row r="19" spans="2:7" ht="13.95" customHeight="1" x14ac:dyDescent="0.3">
      <c r="B19" s="9" t="s">
        <v>183</v>
      </c>
      <c r="C19" s="52">
        <v>0.04</v>
      </c>
      <c r="D19" s="52">
        <v>0.05</v>
      </c>
      <c r="E19" s="52">
        <v>0.06</v>
      </c>
      <c r="F19" s="52">
        <v>7.0000000000000007E-2</v>
      </c>
      <c r="G19" s="52">
        <v>0.08</v>
      </c>
    </row>
    <row r="20" spans="2:7" ht="13.95" customHeight="1" x14ac:dyDescent="0.3">
      <c r="B20" s="53">
        <v>0.05</v>
      </c>
      <c r="C20" s="22">
        <f>NPV(IF(FixInfl=1,(1+$B20+C$19)*(1+InflLT)-1,$B20+C$19),DCF!$P$37:$S$37)+DCF!$S$37*(1+gLT)/(IF(FixInfl=1,(1+$B20+C$19)*(1+InflLT)-1,$B20+C$19)-gLT)/(1+IF(FixInfl=1,(1+$B20+C$19)*(1+InflLT)-1,$B20+C$19))^(4+1-FixTV)-IF(FixND=1,NDmult*DCF!$M$21,0)</f>
        <v>454824.26618941053</v>
      </c>
      <c r="D20" s="22">
        <f>NPV(IF(FixInfl=1,(1+$B20+D$19)*(1+InflLT)-1,$B20+D$19),DCF!$P$37:$S$37)+DCF!$S$37*(1+gLT)/(IF(FixInfl=1,(1+$B20+D$19)*(1+InflLT)-1,$B20+D$19)-gLT)/(1+IF(FixInfl=1,(1+$B20+D$19)*(1+InflLT)-1,$B20+D$19))^(4+1-FixTV)-IF(FixND=1,NDmult*DCF!$M$21,0)</f>
        <v>365883.77698064211</v>
      </c>
      <c r="E20" s="22">
        <f>NPV(IF(FixInfl=1,(1+$B20+E$19)*(1+InflLT)-1,$B20+E$19),DCF!$P$37:$S$37)+DCF!$S$37*(1+gLT)/(IF(FixInfl=1,(1+$B20+E$19)*(1+InflLT)-1,$B20+E$19)-gLT)/(1+IF(FixInfl=1,(1+$B20+E$19)*(1+InflLT)-1,$B20+E$19))^(4+1-FixTV)-IF(FixND=1,NDmult*DCF!$M$21,0)</f>
        <v>305377.75913745427</v>
      </c>
      <c r="F20" s="22">
        <f>NPV(IF(FixInfl=1,(1+$B20+F$19)*(1+InflLT)-1,$B20+F$19),DCF!$P$37:$S$37)+DCF!$S$37*(1+gLT)/(IF(FixInfl=1,(1+$B20+F$19)*(1+InflLT)-1,$B20+F$19)-gLT)/(1+IF(FixInfl=1,(1+$B20+F$19)*(1+InflLT)-1,$B20+F$19))^(4+1-FixTV)-IF(FixND=1,NDmult*DCF!$M$21,0)</f>
        <v>261607.53937690455</v>
      </c>
      <c r="G20" s="22">
        <f>NPV(IF(FixInfl=1,(1+$B20+G$19)*(1+InflLT)-1,$B20+G$19),DCF!$P$37:$S$37)+DCF!$S$37*(1+gLT)/(IF(FixInfl=1,(1+$B20+G$19)*(1+InflLT)-1,$B20+G$19)-gLT)/(1+IF(FixInfl=1,(1+$B20+G$19)*(1+InflLT)-1,$B20+G$19))^(4+1-FixTV)-IF(FixND=1,NDmult*DCF!$M$21,0)</f>
        <v>228513.30562413071</v>
      </c>
    </row>
    <row r="21" spans="2:7" ht="13.95" customHeight="1" x14ac:dyDescent="0.3">
      <c r="B21" s="53">
        <v>5.5E-2</v>
      </c>
      <c r="C21" s="22">
        <f>NPV(IF(FixInfl=1,(1+$B21+C$19)*(1+InflLT)-1,$B21+C$19),DCF!$P$37:$S$37)+DCF!$S$37*(1+gLT)/(IF(FixInfl=1,(1+$B21+C$19)*(1+InflLT)-1,$B21+C$19)-gLT)/(1+IF(FixInfl=1,(1+$B21+C$19)*(1+InflLT)-1,$B21+C$19))^(4+1-FixTV)-IF(FixND=1,NDmult*DCF!$M$21,0)</f>
        <v>405687.66131054511</v>
      </c>
      <c r="D21" s="22">
        <f>NPV(IF(FixInfl=1,(1+$B21+D$19)*(1+InflLT)-1,$B21+D$19),DCF!$P$37:$S$37)+DCF!$S$37*(1+gLT)/(IF(FixInfl=1,(1+$B21+D$19)*(1+InflLT)-1,$B21+D$19)-gLT)/(1+IF(FixInfl=1,(1+$B21+D$19)*(1+InflLT)-1,$B21+D$19))^(4+1-FixTV)-IF(FixND=1,NDmult*DCF!$M$21,0)</f>
        <v>332996.75434647029</v>
      </c>
      <c r="E21" s="22">
        <f>NPV(IF(FixInfl=1,(1+$B21+E$19)*(1+InflLT)-1,$B21+E$19),DCF!$P$37:$S$37)+DCF!$S$37*(1+gLT)/(IF(FixInfl=1,(1+$B21+E$19)*(1+InflLT)-1,$B21+E$19)-gLT)/(1+IF(FixInfl=1,(1+$B21+E$19)*(1+InflLT)-1,$B21+E$19))^(4+1-FixTV)-IF(FixND=1,NDmult*DCF!$M$21,0)</f>
        <v>281862.98380960268</v>
      </c>
      <c r="F21" s="22">
        <f>NPV(IF(FixInfl=1,(1+$B21+F$19)*(1+InflLT)-1,$B21+F$19),DCF!$P$37:$S$37)+DCF!$S$37*(1+gLT)/(IF(FixInfl=1,(1+$B21+F$19)*(1+InflLT)-1,$B21+F$19)-gLT)/(1+IF(FixInfl=1,(1+$B21+F$19)*(1+InflLT)-1,$B21+F$19))^(4+1-FixTV)-IF(FixND=1,NDmult*DCF!$M$21,0)</f>
        <v>243983.23513974753</v>
      </c>
      <c r="G21" s="22">
        <f>NPV(IF(FixInfl=1,(1+$B21+G$19)*(1+InflLT)-1,$B21+G$19),DCF!$P$37:$S$37)+DCF!$S$37*(1+gLT)/(IF(FixInfl=1,(1+$B21+G$19)*(1+InflLT)-1,$B21+G$19)-gLT)/(1+IF(FixInfl=1,(1+$B21+G$19)*(1+InflLT)-1,$B21+G$19))^(4+1-FixTV)-IF(FixND=1,NDmult*DCF!$M$21,0)</f>
        <v>214829.38981226983</v>
      </c>
    </row>
    <row r="22" spans="2:7" ht="13.95" customHeight="1" x14ac:dyDescent="0.3">
      <c r="B22" s="53">
        <v>0.06</v>
      </c>
      <c r="C22" s="22">
        <f>NPV(IF(FixInfl=1,(1+$B22+C$19)*(1+InflLT)-1,$B22+C$19),DCF!$P$37:$S$37)+DCF!$S$37*(1+gLT)/(IF(FixInfl=1,(1+$B22+C$19)*(1+InflLT)-1,$B22+C$19)-gLT)/(1+IF(FixInfl=1,(1+$B22+C$19)*(1+InflLT)-1,$B22+C$19))^(4+1-FixTV)-IF(FixND=1,NDmult*DCF!$M$21,0)</f>
        <v>365883.77698064211</v>
      </c>
      <c r="D22" s="22">
        <f>NPV(IF(FixInfl=1,(1+$B22+D$19)*(1+InflLT)-1,$B22+D$19),DCF!$P$37:$S$37)+DCF!$S$37*(1+gLT)/(IF(FixInfl=1,(1+$B22+D$19)*(1+InflLT)-1,$B22+D$19)-gLT)/(1+IF(FixInfl=1,(1+$B22+D$19)*(1+InflLT)-1,$B22+D$19))^(4+1-FixTV)-IF(FixND=1,NDmult*DCF!$M$21,0)</f>
        <v>305377.75913745427</v>
      </c>
      <c r="E22" s="22">
        <f>NPV(IF(FixInfl=1,(1+$B22+E$19)*(1+InflLT)-1,$B22+E$19),DCF!$P$37:$S$37)+DCF!$S$37*(1+gLT)/(IF(FixInfl=1,(1+$B22+E$19)*(1+InflLT)-1,$B22+E$19)-gLT)/(1+IF(FixInfl=1,(1+$B22+E$19)*(1+InflLT)-1,$B22+E$19))^(4+1-FixTV)-IF(FixND=1,NDmult*DCF!$M$21,0)</f>
        <v>261607.53937690461</v>
      </c>
      <c r="F22" s="22">
        <f>NPV(IF(FixInfl=1,(1+$B22+F$19)*(1+InflLT)-1,$B22+F$19),DCF!$P$37:$S$37)+DCF!$S$37*(1+gLT)/(IF(FixInfl=1,(1+$B22+F$19)*(1+InflLT)-1,$B22+F$19)-gLT)/(1+IF(FixInfl=1,(1+$B22+F$19)*(1+InflLT)-1,$B22+F$19))^(4+1-FixTV)-IF(FixND=1,NDmult*DCF!$M$21,0)</f>
        <v>228513.30562413071</v>
      </c>
      <c r="G22" s="22">
        <f>NPV(IF(FixInfl=1,(1+$B22+G$19)*(1+InflLT)-1,$B22+G$19),DCF!$P$37:$S$37)+DCF!$S$37*(1+gLT)/(IF(FixInfl=1,(1+$B22+G$19)*(1+InflLT)-1,$B22+G$19)-gLT)/(1+IF(FixInfl=1,(1+$B22+G$19)*(1+InflLT)-1,$B22+G$19))^(4+1-FixTV)-IF(FixND=1,NDmult*DCF!$M$21,0)</f>
        <v>202642.38814094261</v>
      </c>
    </row>
    <row r="23" spans="2:7" ht="13.95" customHeight="1" x14ac:dyDescent="0.3">
      <c r="B23" s="53">
        <v>6.5000000000000002E-2</v>
      </c>
      <c r="C23" s="22">
        <f>NPV(IF(FixInfl=1,(1+$B23+C$19)*(1+InflLT)-1,$B23+C$19),DCF!$P$37:$S$37)+DCF!$S$37*(1+gLT)/(IF(FixInfl=1,(1+$B23+C$19)*(1+InflLT)-1,$B23+C$19)-gLT)/(1+IF(FixInfl=1,(1+$B23+C$19)*(1+InflLT)-1,$B23+C$19))^(4+1-FixTV)-IF(FixND=1,NDmult*DCF!$M$21,0)</f>
        <v>332996.75434647029</v>
      </c>
      <c r="D23" s="22">
        <f>NPV(IF(FixInfl=1,(1+$B23+D$19)*(1+InflLT)-1,$B23+D$19),DCF!$P$37:$S$37)+DCF!$S$37*(1+gLT)/(IF(FixInfl=1,(1+$B23+D$19)*(1+InflLT)-1,$B23+D$19)-gLT)/(1+IF(FixInfl=1,(1+$B23+D$19)*(1+InflLT)-1,$B23+D$19))^(4+1-FixTV)-IF(FixND=1,NDmult*DCF!$M$21,0)</f>
        <v>281862.98380960262</v>
      </c>
      <c r="E23" s="22">
        <f>NPV(IF(FixInfl=1,(1+$B23+E$19)*(1+InflLT)-1,$B23+E$19),DCF!$P$37:$S$37)+DCF!$S$37*(1+gLT)/(IF(FixInfl=1,(1+$B23+E$19)*(1+InflLT)-1,$B23+E$19)-gLT)/(1+IF(FixInfl=1,(1+$B23+E$19)*(1+InflLT)-1,$B23+E$19))^(4+1-FixTV)-IF(FixND=1,NDmult*DCF!$M$21,0)</f>
        <v>243983.23513974753</v>
      </c>
      <c r="F23" s="22">
        <f>NPV(IF(FixInfl=1,(1+$B23+F$19)*(1+InflLT)-1,$B23+F$19),DCF!$P$37:$S$37)+DCF!$S$37*(1+gLT)/(IF(FixInfl=1,(1+$B23+F$19)*(1+InflLT)-1,$B23+F$19)-gLT)/(1+IF(FixInfl=1,(1+$B23+F$19)*(1+InflLT)-1,$B23+F$19))^(4+1-FixTV)-IF(FixND=1,NDmult*DCF!$M$21,0)</f>
        <v>214829.38981226983</v>
      </c>
      <c r="G23" s="22">
        <f>NPV(IF(FixInfl=1,(1+$B23+G$19)*(1+InflLT)-1,$B23+G$19),DCF!$P$37:$S$37)+DCF!$S$37*(1+gLT)/(IF(FixInfl=1,(1+$B23+G$19)*(1+InflLT)-1,$B23+G$19)-gLT)/(1+IF(FixInfl=1,(1+$B23+G$19)*(1+InflLT)-1,$B23+G$19))^(4+1-FixTV)-IF(FixND=1,NDmult*DCF!$M$21,0)</f>
        <v>191722.24091712022</v>
      </c>
    </row>
    <row r="24" spans="2:7" ht="13.95" customHeight="1" x14ac:dyDescent="0.3">
      <c r="B24" s="53">
        <v>6.7599999999999993E-2</v>
      </c>
      <c r="C24" s="22">
        <f>NPV(IF(FixInfl=1,(1+$B24+C$19)*(1+InflLT)-1,$B24+C$19),DCF!$P$37:$S$37)+DCF!$S$37*(1+gLT)/(IF(FixInfl=1,(1+$B24+C$19)*(1+InflLT)-1,$B24+C$19)-gLT)/(1+IF(FixInfl=1,(1+$B24+C$19)*(1+InflLT)-1,$B24+C$19))^(4+1-FixTV)-IF(FixND=1,NDmult*DCF!$M$21,0)</f>
        <v>318060.00505256344</v>
      </c>
      <c r="D24" s="22">
        <f>NPV(IF(FixInfl=1,(1+$B24+D$19)*(1+InflLT)-1,$B24+D$19),DCF!$P$37:$S$37)+DCF!$S$37*(1+gLT)/(IF(FixInfl=1,(1+$B24+D$19)*(1+InflLT)-1,$B24+D$19)-gLT)/(1+IF(FixInfl=1,(1+$B24+D$19)*(1+InflLT)-1,$B24+D$19))^(4+1-FixTV)-IF(FixND=1,NDmult*DCF!$M$21,0)</f>
        <v>270967.27495103178</v>
      </c>
      <c r="E24" s="22">
        <f>NPV(IF(FixInfl=1,(1+$B24+E$19)*(1+InflLT)-1,$B24+E$19),DCF!$P$37:$S$37)+DCF!$S$37*(1+gLT)/(IF(FixInfl=1,(1+$B24+E$19)*(1+InflLT)-1,$B24+E$19)-gLT)/(1+IF(FixInfl=1,(1+$B24+E$19)*(1+InflLT)-1,$B24+E$19))^(4+1-FixTV)-IF(FixND=1,NDmult*DCF!$M$21,0)</f>
        <v>235695.43773555552</v>
      </c>
      <c r="F24" s="22">
        <f>NPV(IF(FixInfl=1,(1+$B24+F$19)*(1+InflLT)-1,$B24+F$19),DCF!$P$37:$S$37)+DCF!$S$37*(1+gLT)/(IF(FixInfl=1,(1+$B24+F$19)*(1+InflLT)-1,$B24+F$19)-gLT)/(1+IF(FixInfl=1,(1+$B24+F$19)*(1+InflLT)-1,$B24+F$19))^(4+1-FixTV)-IF(FixND=1,NDmult*DCF!$M$21,0)</f>
        <v>208321.07035811001</v>
      </c>
      <c r="G24" s="22">
        <f>NPV(IF(FixInfl=1,(1+$B24+G$19)*(1+InflLT)-1,$B24+G$19),DCF!$P$37:$S$37)+DCF!$S$37*(1+gLT)/(IF(FixInfl=1,(1+$B24+G$19)*(1+InflLT)-1,$B24+G$19)-gLT)/(1+IF(FixInfl=1,(1+$B24+G$19)*(1+InflLT)-1,$B24+G$19))^(4+1-FixTV)-IF(FixND=1,NDmult*DCF!$M$21,0)</f>
        <v>186481.42508859478</v>
      </c>
    </row>
    <row r="25" spans="2:7" ht="13.95" customHeight="1" x14ac:dyDescent="0.3">
      <c r="B25" s="53">
        <v>7.0000000000000007E-2</v>
      </c>
      <c r="C25" s="22">
        <f>NPV(IF(FixInfl=1,(1+$B25+C$19)*(1+InflLT)-1,$B25+C$19),DCF!$P$37:$S$37)+DCF!$S$37*(1+gLT)/(IF(FixInfl=1,(1+$B25+C$19)*(1+InflLT)-1,$B25+C$19)-gLT)/(1+IF(FixInfl=1,(1+$B25+C$19)*(1+InflLT)-1,$B25+C$19))^(4+1-FixTV)-IF(FixND=1,NDmult*DCF!$M$21,0)</f>
        <v>305377.75913745421</v>
      </c>
      <c r="D25" s="22">
        <f>NPV(IF(FixInfl=1,(1+$B25+D$19)*(1+InflLT)-1,$B25+D$19),DCF!$P$37:$S$37)+DCF!$S$37*(1+gLT)/(IF(FixInfl=1,(1+$B25+D$19)*(1+InflLT)-1,$B25+D$19)-gLT)/(1+IF(FixInfl=1,(1+$B25+D$19)*(1+InflLT)-1,$B25+D$19))^(4+1-FixTV)-IF(FixND=1,NDmult*DCF!$M$21,0)</f>
        <v>261607.53937690455</v>
      </c>
      <c r="E25" s="22">
        <f>NPV(IF(FixInfl=1,(1+$B25+E$19)*(1+InflLT)-1,$B25+E$19),DCF!$P$37:$S$37)+DCF!$S$37*(1+gLT)/(IF(FixInfl=1,(1+$B25+E$19)*(1+InflLT)-1,$B25+E$19)-gLT)/(1+IF(FixInfl=1,(1+$B25+E$19)*(1+InflLT)-1,$B25+E$19))^(4+1-FixTV)-IF(FixND=1,NDmult*DCF!$M$21,0)</f>
        <v>228513.30562413071</v>
      </c>
      <c r="F25" s="22">
        <f>NPV(IF(FixInfl=1,(1+$B25+F$19)*(1+InflLT)-1,$B25+F$19),DCF!$P$37:$S$37)+DCF!$S$37*(1+gLT)/(IF(FixInfl=1,(1+$B25+F$19)*(1+InflLT)-1,$B25+F$19)-gLT)/(1+IF(FixInfl=1,(1+$B25+F$19)*(1+InflLT)-1,$B25+F$19))^(4+1-FixTV)-IF(FixND=1,NDmult*DCF!$M$21,0)</f>
        <v>202642.38814094261</v>
      </c>
      <c r="G25" s="22">
        <f>NPV(IF(FixInfl=1,(1+$B25+G$19)*(1+InflLT)-1,$B25+G$19),DCF!$P$37:$S$37)+DCF!$S$37*(1+gLT)/(IF(FixInfl=1,(1+$B25+G$19)*(1+InflLT)-1,$B25+G$19)-gLT)/(1+IF(FixInfl=1,(1+$B25+G$19)*(1+InflLT)-1,$B25+G$19))^(4+1-FixTV)-IF(FixND=1,NDmult*DCF!$M$21,0)</f>
        <v>181883.59659697782</v>
      </c>
    </row>
    <row r="26" spans="2:7" ht="13.95" customHeight="1" x14ac:dyDescent="0.3">
      <c r="B26" s="53">
        <v>7.4999999999999997E-2</v>
      </c>
      <c r="C26" s="22">
        <f>NPV(IF(FixInfl=1,(1+$B26+C$19)*(1+InflLT)-1,$B26+C$19),DCF!$P$37:$S$37)+DCF!$S$37*(1+gLT)/(IF(FixInfl=1,(1+$B26+C$19)*(1+InflLT)-1,$B26+C$19)-gLT)/(1+IF(FixInfl=1,(1+$B26+C$19)*(1+InflLT)-1,$B26+C$19))^(4+1-FixTV)-IF(FixND=1,NDmult*DCF!$M$21,0)</f>
        <v>281862.98380960268</v>
      </c>
      <c r="D26" s="22">
        <f>NPV(IF(FixInfl=1,(1+$B26+D$19)*(1+InflLT)-1,$B26+D$19),DCF!$P$37:$S$37)+DCF!$S$37*(1+gLT)/(IF(FixInfl=1,(1+$B26+D$19)*(1+InflLT)-1,$B26+D$19)-gLT)/(1+IF(FixInfl=1,(1+$B26+D$19)*(1+InflLT)-1,$B26+D$19))^(4+1-FixTV)-IF(FixND=1,NDmult*DCF!$M$21,0)</f>
        <v>243983.23513974753</v>
      </c>
      <c r="E26" s="22">
        <f>NPV(IF(FixInfl=1,(1+$B26+E$19)*(1+InflLT)-1,$B26+E$19),DCF!$P$37:$S$37)+DCF!$S$37*(1+gLT)/(IF(FixInfl=1,(1+$B26+E$19)*(1+InflLT)-1,$B26+E$19)-gLT)/(1+IF(FixInfl=1,(1+$B26+E$19)*(1+InflLT)-1,$B26+E$19))^(4+1-FixTV)-IF(FixND=1,NDmult*DCF!$M$21,0)</f>
        <v>214829.38981226983</v>
      </c>
      <c r="F26" s="22">
        <f>NPV(IF(FixInfl=1,(1+$B26+F$19)*(1+InflLT)-1,$B26+F$19),DCF!$P$37:$S$37)+DCF!$S$37*(1+gLT)/(IF(FixInfl=1,(1+$B26+F$19)*(1+InflLT)-1,$B26+F$19)-gLT)/(1+IF(FixInfl=1,(1+$B26+F$19)*(1+InflLT)-1,$B26+F$19))^(4+1-FixTV)-IF(FixND=1,NDmult*DCF!$M$21,0)</f>
        <v>191722.24091712022</v>
      </c>
      <c r="G26" s="22">
        <f>NPV(IF(FixInfl=1,(1+$B26+G$19)*(1+InflLT)-1,$B26+G$19),DCF!$P$37:$S$37)+DCF!$S$37*(1+gLT)/(IF(FixInfl=1,(1+$B26+G$19)*(1+InflLT)-1,$B26+G$19)-gLT)/(1+IF(FixInfl=1,(1+$B26+G$19)*(1+InflLT)-1,$B26+G$19))^(4+1-FixTV)-IF(FixND=1,NDmult*DCF!$M$21,0)</f>
        <v>172975.46117234265</v>
      </c>
    </row>
    <row r="27" spans="2:7" ht="13.95" customHeight="1" x14ac:dyDescent="0.3">
      <c r="B27" s="53">
        <v>0.08</v>
      </c>
      <c r="C27" s="22">
        <f>NPV(IF(FixInfl=1,(1+$B27+C$19)*(1+InflLT)-1,$B27+C$19),DCF!$P$37:$S$37)+DCF!$S$37*(1+gLT)/(IF(FixInfl=1,(1+$B27+C$19)*(1+InflLT)-1,$B27+C$19)-gLT)/(1+IF(FixInfl=1,(1+$B27+C$19)*(1+InflLT)-1,$B27+C$19))^(4+1-FixTV)-IF(FixND=1,NDmult*DCF!$M$21,0)</f>
        <v>261607.53937690461</v>
      </c>
      <c r="D27" s="22">
        <f>NPV(IF(FixInfl=1,(1+$B27+D$19)*(1+InflLT)-1,$B27+D$19),DCF!$P$37:$S$37)+DCF!$S$37*(1+gLT)/(IF(FixInfl=1,(1+$B27+D$19)*(1+InflLT)-1,$B27+D$19)-gLT)/(1+IF(FixInfl=1,(1+$B27+D$19)*(1+InflLT)-1,$B27+D$19))^(4+1-FixTV)-IF(FixND=1,NDmult*DCF!$M$21,0)</f>
        <v>228513.30562413071</v>
      </c>
      <c r="E27" s="22">
        <f>NPV(IF(FixInfl=1,(1+$B27+E$19)*(1+InflLT)-1,$B27+E$19),DCF!$P$37:$S$37)+DCF!$S$37*(1+gLT)/(IF(FixInfl=1,(1+$B27+E$19)*(1+InflLT)-1,$B27+E$19)-gLT)/(1+IF(FixInfl=1,(1+$B27+E$19)*(1+InflLT)-1,$B27+E$19))^(4+1-FixTV)-IF(FixND=1,NDmult*DCF!$M$21,0)</f>
        <v>202642.38814094261</v>
      </c>
      <c r="F27" s="22">
        <f>NPV(IF(FixInfl=1,(1+$B27+F$19)*(1+InflLT)-1,$B27+F$19),DCF!$P$37:$S$37)+DCF!$S$37*(1+gLT)/(IF(FixInfl=1,(1+$B27+F$19)*(1+InflLT)-1,$B27+F$19)-gLT)/(1+IF(FixInfl=1,(1+$B27+F$19)*(1+InflLT)-1,$B27+F$19))^(4+1-FixTV)-IF(FixND=1,NDmult*DCF!$M$21,0)</f>
        <v>181883.59659697782</v>
      </c>
      <c r="G27" s="22">
        <f>NPV(IF(FixInfl=1,(1+$B27+G$19)*(1+InflLT)-1,$B27+G$19),DCF!$P$37:$S$37)+DCF!$S$37*(1+gLT)/(IF(FixInfl=1,(1+$B27+G$19)*(1+InflLT)-1,$B27+G$19)-gLT)/(1+IF(FixInfl=1,(1+$B27+G$19)*(1+InflLT)-1,$B27+G$19))^(4+1-FixTV)-IF(FixND=1,NDmult*DCF!$M$21,0)</f>
        <v>164873.59557466069</v>
      </c>
    </row>
    <row r="28" spans="2:7" ht="13.95" customHeight="1" x14ac:dyDescent="0.3">
      <c r="B28" s="53">
        <v>8.5000000000000006E-2</v>
      </c>
      <c r="C28" s="22">
        <f>NPV(IF(FixInfl=1,(1+$B28+C$19)*(1+InflLT)-1,$B28+C$19),DCF!$P$37:$S$37)+DCF!$S$37*(1+gLT)/(IF(FixInfl=1,(1+$B28+C$19)*(1+InflLT)-1,$B28+C$19)-gLT)/(1+IF(FixInfl=1,(1+$B28+C$19)*(1+InflLT)-1,$B28+C$19))^(4+1-FixTV)-IF(FixND=1,NDmult*DCF!$M$21,0)</f>
        <v>243983.23513974753</v>
      </c>
      <c r="D28" s="22">
        <f>NPV(IF(FixInfl=1,(1+$B28+D$19)*(1+InflLT)-1,$B28+D$19),DCF!$P$37:$S$37)+DCF!$S$37*(1+gLT)/(IF(FixInfl=1,(1+$B28+D$19)*(1+InflLT)-1,$B28+D$19)-gLT)/(1+IF(FixInfl=1,(1+$B28+D$19)*(1+InflLT)-1,$B28+D$19))^(4+1-FixTV)-IF(FixND=1,NDmult*DCF!$M$21,0)</f>
        <v>214829.38981226983</v>
      </c>
      <c r="E28" s="22">
        <f>NPV(IF(FixInfl=1,(1+$B28+E$19)*(1+InflLT)-1,$B28+E$19),DCF!$P$37:$S$37)+DCF!$S$37*(1+gLT)/(IF(FixInfl=1,(1+$B28+E$19)*(1+InflLT)-1,$B28+E$19)-gLT)/(1+IF(FixInfl=1,(1+$B28+E$19)*(1+InflLT)-1,$B28+E$19))^(4+1-FixTV)-IF(FixND=1,NDmult*DCF!$M$21,0)</f>
        <v>191722.24091712022</v>
      </c>
      <c r="F28" s="22">
        <f>NPV(IF(FixInfl=1,(1+$B28+F$19)*(1+InflLT)-1,$B28+F$19),DCF!$P$37:$S$37)+DCF!$S$37*(1+gLT)/(IF(FixInfl=1,(1+$B28+F$19)*(1+InflLT)-1,$B28+F$19)-gLT)/(1+IF(FixInfl=1,(1+$B28+F$19)*(1+InflLT)-1,$B28+F$19))^(4+1-FixTV)-IF(FixND=1,NDmult*DCF!$M$21,0)</f>
        <v>172975.46117234262</v>
      </c>
      <c r="G28" s="22">
        <f>NPV(IF(FixInfl=1,(1+$B28+G$19)*(1+InflLT)-1,$B28+G$19),DCF!$P$37:$S$37)+DCF!$S$37*(1+gLT)/(IF(FixInfl=1,(1+$B28+G$19)*(1+InflLT)-1,$B28+G$19)-gLT)/(1+IF(FixInfl=1,(1+$B28+G$19)*(1+InflLT)-1,$B28+G$19))^(4+1-FixTV)-IF(FixND=1,NDmult*DCF!$M$21,0)</f>
        <v>157474.84600332839</v>
      </c>
    </row>
    <row r="29" spans="2:7" ht="13.95" customHeight="1" x14ac:dyDescent="0.3">
      <c r="B29" s="53">
        <v>0.09</v>
      </c>
      <c r="C29" s="22">
        <f>NPV(IF(FixInfl=1,(1+$B29+C$19)*(1+InflLT)-1,$B29+C$19),DCF!$P$37:$S$37)+DCF!$S$37*(1+gLT)/(IF(FixInfl=1,(1+$B29+C$19)*(1+InflLT)-1,$B29+C$19)-gLT)/(1+IF(FixInfl=1,(1+$B29+C$19)*(1+InflLT)-1,$B29+C$19))^(4+1-FixTV)-IF(FixND=1,NDmult*DCF!$M$21,0)</f>
        <v>228513.30562413071</v>
      </c>
      <c r="D29" s="22">
        <f>NPV(IF(FixInfl=1,(1+$B29+D$19)*(1+InflLT)-1,$B29+D$19),DCF!$P$37:$S$37)+DCF!$S$37*(1+gLT)/(IF(FixInfl=1,(1+$B29+D$19)*(1+InflLT)-1,$B29+D$19)-gLT)/(1+IF(FixInfl=1,(1+$B29+D$19)*(1+InflLT)-1,$B29+D$19))^(4+1-FixTV)-IF(FixND=1,NDmult*DCF!$M$21,0)</f>
        <v>202642.38814094261</v>
      </c>
      <c r="E29" s="22">
        <f>NPV(IF(FixInfl=1,(1+$B29+E$19)*(1+InflLT)-1,$B29+E$19),DCF!$P$37:$S$37)+DCF!$S$37*(1+gLT)/(IF(FixInfl=1,(1+$B29+E$19)*(1+InflLT)-1,$B29+E$19)-gLT)/(1+IF(FixInfl=1,(1+$B29+E$19)*(1+InflLT)-1,$B29+E$19))^(4+1-FixTV)-IF(FixND=1,NDmult*DCF!$M$21,0)</f>
        <v>181883.59659697785</v>
      </c>
      <c r="F29" s="22">
        <f>NPV(IF(FixInfl=1,(1+$B29+F$19)*(1+InflLT)-1,$B29+F$19),DCF!$P$37:$S$37)+DCF!$S$37*(1+gLT)/(IF(FixInfl=1,(1+$B29+F$19)*(1+InflLT)-1,$B29+F$19)-gLT)/(1+IF(FixInfl=1,(1+$B29+F$19)*(1+InflLT)-1,$B29+F$19))^(4+1-FixTV)-IF(FixND=1,NDmult*DCF!$M$21,0)</f>
        <v>164873.59557466069</v>
      </c>
      <c r="G29" s="22">
        <f>NPV(IF(FixInfl=1,(1+$B29+G$19)*(1+InflLT)-1,$B29+G$19),DCF!$P$37:$S$37)+DCF!$S$37*(1+gLT)/(IF(FixInfl=1,(1+$B29+G$19)*(1+InflLT)-1,$B29+G$19)-gLT)/(1+IF(FixInfl=1,(1+$B29+G$19)*(1+InflLT)-1,$B29+G$19))^(4+1-FixTV)-IF(FixND=1,NDmult*DCF!$M$21,0)</f>
        <v>150692.85715634696</v>
      </c>
    </row>
    <row r="30" spans="2:7" ht="13.95" customHeight="1" x14ac:dyDescent="0.3">
      <c r="B30" s="53">
        <v>9.5000000000000001E-2</v>
      </c>
      <c r="C30" s="22">
        <f>NPV(IF(FixInfl=1,(1+$B30+C$19)*(1+InflLT)-1,$B30+C$19),DCF!$P$37:$S$37)+DCF!$S$37*(1+gLT)/(IF(FixInfl=1,(1+$B30+C$19)*(1+InflLT)-1,$B30+C$19)-gLT)/(1+IF(FixInfl=1,(1+$B30+C$19)*(1+InflLT)-1,$B30+C$19))^(4+1-FixTV)-IF(FixND=1,NDmult*DCF!$M$21,0)</f>
        <v>214829.38981226983</v>
      </c>
      <c r="D30" s="22">
        <f>NPV(IF(FixInfl=1,(1+$B30+D$19)*(1+InflLT)-1,$B30+D$19),DCF!$P$37:$S$37)+DCF!$S$37*(1+gLT)/(IF(FixInfl=1,(1+$B30+D$19)*(1+InflLT)-1,$B30+D$19)-gLT)/(1+IF(FixInfl=1,(1+$B30+D$19)*(1+InflLT)-1,$B30+D$19))^(4+1-FixTV)-IF(FixND=1,NDmult*DCF!$M$21,0)</f>
        <v>191722.24091712022</v>
      </c>
      <c r="E30" s="22">
        <f>NPV(IF(FixInfl=1,(1+$B30+E$19)*(1+InflLT)-1,$B30+E$19),DCF!$P$37:$S$37)+DCF!$S$37*(1+gLT)/(IF(FixInfl=1,(1+$B30+E$19)*(1+InflLT)-1,$B30+E$19)-gLT)/(1+IF(FixInfl=1,(1+$B30+E$19)*(1+InflLT)-1,$B30+E$19))^(4+1-FixTV)-IF(FixND=1,NDmult*DCF!$M$21,0)</f>
        <v>172975.46117234265</v>
      </c>
      <c r="F30" s="22">
        <f>NPV(IF(FixInfl=1,(1+$B30+F$19)*(1+InflLT)-1,$B30+F$19),DCF!$P$37:$S$37)+DCF!$S$37*(1+gLT)/(IF(FixInfl=1,(1+$B30+F$19)*(1+InflLT)-1,$B30+F$19)-gLT)/(1+IF(FixInfl=1,(1+$B30+F$19)*(1+InflLT)-1,$B30+F$19))^(4+1-FixTV)-IF(FixND=1,NDmult*DCF!$M$21,0)</f>
        <v>157474.84600332839</v>
      </c>
      <c r="G30" s="22">
        <f>NPV(IF(FixInfl=1,(1+$B30+G$19)*(1+InflLT)-1,$B30+G$19),DCF!$P$37:$S$37)+DCF!$S$37*(1+gLT)/(IF(FixInfl=1,(1+$B30+G$19)*(1+InflLT)-1,$B30+G$19)-gLT)/(1+IF(FixInfl=1,(1+$B30+G$19)*(1+InflLT)-1,$B30+G$19))^(4+1-FixTV)-IF(FixND=1,NDmult*DCF!$M$21,0)</f>
        <v>144454.79022329138</v>
      </c>
    </row>
    <row r="34" spans="2:7" ht="13.95" customHeight="1" x14ac:dyDescent="0.3">
      <c r="B34" s="70" t="s">
        <v>184</v>
      </c>
      <c r="C34" s="70"/>
      <c r="D34" s="70"/>
      <c r="E34" s="70"/>
      <c r="F34" s="70"/>
      <c r="G34" s="70"/>
    </row>
    <row r="35" spans="2:7" ht="13.95" customHeight="1" x14ac:dyDescent="0.3">
      <c r="B35" s="9" t="s">
        <v>183</v>
      </c>
      <c r="C35" s="54">
        <f>C$19</f>
        <v>0.04</v>
      </c>
      <c r="D35" s="54">
        <f>D$19</f>
        <v>0.05</v>
      </c>
      <c r="E35" s="54">
        <f>E$19</f>
        <v>0.06</v>
      </c>
      <c r="F35" s="54">
        <f>F$19</f>
        <v>7.0000000000000007E-2</v>
      </c>
      <c r="G35" s="54">
        <f>G$19</f>
        <v>0.08</v>
      </c>
    </row>
    <row r="36" spans="2:7" ht="13.95" customHeight="1" x14ac:dyDescent="0.3">
      <c r="B36" s="55">
        <f>$B$20</f>
        <v>0.05</v>
      </c>
      <c r="C36" s="17">
        <f t="shared" ref="C36:G46" si="1">C20/IbovUsed-1</f>
        <v>1.1821238617837926</v>
      </c>
      <c r="D36" s="17">
        <f t="shared" si="1"/>
        <v>0.75541144072674715</v>
      </c>
      <c r="E36" s="17">
        <f t="shared" si="1"/>
        <v>0.46511992566903504</v>
      </c>
      <c r="F36" s="17">
        <f t="shared" si="1"/>
        <v>0.25512224508081349</v>
      </c>
      <c r="G36" s="17">
        <f t="shared" si="1"/>
        <v>9.6345058972400643E-2</v>
      </c>
    </row>
    <row r="37" spans="2:7" ht="13.95" customHeight="1" x14ac:dyDescent="0.3">
      <c r="B37" s="55">
        <f>$B$21</f>
        <v>5.5E-2</v>
      </c>
      <c r="C37" s="17">
        <f t="shared" si="1"/>
        <v>0.94637971626680351</v>
      </c>
      <c r="D37" s="17">
        <f t="shared" si="1"/>
        <v>0.59762839754328545</v>
      </c>
      <c r="E37" s="17">
        <f t="shared" si="1"/>
        <v>0.35230239115775874</v>
      </c>
      <c r="F37" s="17">
        <f t="shared" si="1"/>
        <v>0.17056559830062268</v>
      </c>
      <c r="G37" s="17">
        <f t="shared" si="1"/>
        <v>3.0693330523797968E-2</v>
      </c>
    </row>
    <row r="38" spans="2:7" ht="13.95" customHeight="1" x14ac:dyDescent="0.3">
      <c r="B38" s="55">
        <f>$B$22</f>
        <v>0.06</v>
      </c>
      <c r="C38" s="17">
        <f t="shared" si="1"/>
        <v>0.75541144072674715</v>
      </c>
      <c r="D38" s="17">
        <f t="shared" si="1"/>
        <v>0.46511992566903504</v>
      </c>
      <c r="E38" s="17">
        <f t="shared" si="1"/>
        <v>0.25512224508081394</v>
      </c>
      <c r="F38" s="17">
        <f t="shared" si="1"/>
        <v>9.6345058972400643E-2</v>
      </c>
      <c r="G38" s="17">
        <f t="shared" si="1"/>
        <v>-2.7776608587866014E-2</v>
      </c>
    </row>
    <row r="39" spans="2:7" ht="13.95" customHeight="1" x14ac:dyDescent="0.3">
      <c r="B39" s="55">
        <f>$B$23</f>
        <v>6.5000000000000002E-2</v>
      </c>
      <c r="C39" s="17">
        <f t="shared" si="1"/>
        <v>0.59762839754328545</v>
      </c>
      <c r="D39" s="17">
        <f t="shared" si="1"/>
        <v>0.3523023911577583</v>
      </c>
      <c r="E39" s="17">
        <f t="shared" si="1"/>
        <v>0.17056559830062268</v>
      </c>
      <c r="F39" s="17">
        <f t="shared" si="1"/>
        <v>3.0693330523797968E-2</v>
      </c>
      <c r="G39" s="17">
        <f t="shared" si="1"/>
        <v>-8.0168522570246425E-2</v>
      </c>
    </row>
    <row r="40" spans="2:7" ht="13.95" customHeight="1" x14ac:dyDescent="0.3">
      <c r="B40" s="55">
        <f>$B$24</f>
        <v>6.7599999999999993E-2</v>
      </c>
      <c r="C40" s="17">
        <f t="shared" si="1"/>
        <v>0.5259659127669285</v>
      </c>
      <c r="D40" s="17">
        <f t="shared" si="1"/>
        <v>0.3000277258446391</v>
      </c>
      <c r="E40" s="17">
        <f t="shared" si="1"/>
        <v>0.13080298706433968</v>
      </c>
      <c r="F40" s="17">
        <f t="shared" si="1"/>
        <v>-5.3182661220985139E-4</v>
      </c>
      <c r="G40" s="17">
        <f t="shared" si="1"/>
        <v>-0.10531253999581847</v>
      </c>
    </row>
    <row r="41" spans="2:7" ht="13.95" customHeight="1" x14ac:dyDescent="0.3">
      <c r="B41" s="55">
        <f>$B$25</f>
        <v>7.0000000000000007E-2</v>
      </c>
      <c r="C41" s="17">
        <f t="shared" si="1"/>
        <v>0.46511992566903482</v>
      </c>
      <c r="D41" s="17">
        <f t="shared" si="1"/>
        <v>0.25512224508081349</v>
      </c>
      <c r="E41" s="17">
        <f t="shared" si="1"/>
        <v>9.6345058972400643E-2</v>
      </c>
      <c r="F41" s="17">
        <f t="shared" si="1"/>
        <v>-2.7776608587866014E-2</v>
      </c>
      <c r="G41" s="17">
        <f t="shared" si="1"/>
        <v>-0.12737167801852134</v>
      </c>
    </row>
    <row r="42" spans="2:7" ht="13.95" customHeight="1" x14ac:dyDescent="0.3">
      <c r="B42" s="55">
        <f>$B$26</f>
        <v>7.4999999999999997E-2</v>
      </c>
      <c r="C42" s="17">
        <f t="shared" si="1"/>
        <v>0.35230239115775874</v>
      </c>
      <c r="D42" s="17">
        <f t="shared" si="1"/>
        <v>0.17056559830062268</v>
      </c>
      <c r="E42" s="17">
        <f t="shared" si="1"/>
        <v>3.0693330523797968E-2</v>
      </c>
      <c r="F42" s="17">
        <f t="shared" si="1"/>
        <v>-8.0168522570246425E-2</v>
      </c>
      <c r="G42" s="17">
        <f t="shared" si="1"/>
        <v>-0.17011050336079692</v>
      </c>
    </row>
    <row r="43" spans="2:7" ht="13.95" customHeight="1" x14ac:dyDescent="0.3">
      <c r="B43" s="55">
        <f>$B$27</f>
        <v>0.08</v>
      </c>
      <c r="C43" s="17">
        <f t="shared" si="1"/>
        <v>0.25512224508081394</v>
      </c>
      <c r="D43" s="17">
        <f t="shared" si="1"/>
        <v>9.6345058972400643E-2</v>
      </c>
      <c r="E43" s="17">
        <f t="shared" si="1"/>
        <v>-2.7776608587866014E-2</v>
      </c>
      <c r="F43" s="17">
        <f t="shared" si="1"/>
        <v>-0.12737167801852134</v>
      </c>
      <c r="G43" s="17">
        <f t="shared" si="1"/>
        <v>-0.20898106405841921</v>
      </c>
    </row>
    <row r="44" spans="2:7" ht="13.95" customHeight="1" x14ac:dyDescent="0.3">
      <c r="B44" s="55">
        <f>$B$28</f>
        <v>8.5000000000000006E-2</v>
      </c>
      <c r="C44" s="17">
        <f t="shared" si="1"/>
        <v>0.17056559830062268</v>
      </c>
      <c r="D44" s="17">
        <f t="shared" si="1"/>
        <v>3.0693330523797968E-2</v>
      </c>
      <c r="E44" s="17">
        <f t="shared" si="1"/>
        <v>-8.0168522570246425E-2</v>
      </c>
      <c r="F44" s="17">
        <f t="shared" si="1"/>
        <v>-0.17011050336079714</v>
      </c>
      <c r="G44" s="17">
        <f t="shared" si="1"/>
        <v>-0.24447826415777207</v>
      </c>
    </row>
    <row r="45" spans="2:7" ht="13.95" customHeight="1" x14ac:dyDescent="0.3">
      <c r="B45" s="55">
        <f>$B$29</f>
        <v>0.09</v>
      </c>
      <c r="C45" s="17">
        <f t="shared" si="1"/>
        <v>9.6345058972400643E-2</v>
      </c>
      <c r="D45" s="17">
        <f t="shared" si="1"/>
        <v>-2.7776608587866014E-2</v>
      </c>
      <c r="E45" s="17">
        <f t="shared" si="1"/>
        <v>-0.12737167801852112</v>
      </c>
      <c r="F45" s="17">
        <f t="shared" si="1"/>
        <v>-0.20898106405841921</v>
      </c>
      <c r="G45" s="17">
        <f t="shared" si="1"/>
        <v>-0.27701641305061653</v>
      </c>
    </row>
    <row r="46" spans="2:7" ht="13.95" customHeight="1" x14ac:dyDescent="0.3">
      <c r="B46" s="55">
        <f>$B$30</f>
        <v>9.5000000000000001E-2</v>
      </c>
      <c r="C46" s="17">
        <f t="shared" si="1"/>
        <v>3.0693330523797968E-2</v>
      </c>
      <c r="D46" s="17">
        <f t="shared" si="1"/>
        <v>-8.0168522570246425E-2</v>
      </c>
      <c r="E46" s="17">
        <f t="shared" si="1"/>
        <v>-0.17011050336079692</v>
      </c>
      <c r="F46" s="17">
        <f t="shared" si="1"/>
        <v>-0.24447826415777207</v>
      </c>
      <c r="G46" s="17">
        <f t="shared" si="1"/>
        <v>-0.30694497165649404</v>
      </c>
    </row>
    <row r="51" spans="2:2" ht="13.95" customHeight="1" x14ac:dyDescent="0.3">
      <c r="B51" s="6" t="s">
        <v>185</v>
      </c>
    </row>
  </sheetData>
  <mergeCells count="3">
    <mergeCell ref="B5:G5"/>
    <mergeCell ref="B18:G18"/>
    <mergeCell ref="B34:G34"/>
  </mergeCells>
  <conditionalFormatting sqref="C36:G46">
    <cfRule type="colorScale" priority="2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400-000001000000}">
            <xm:f>AND(ROUND($B20-Assumptions!$D$20,4)=0,ROUND(C$19-Assumptions!$D$21,3)=0)</xm:f>
            <x14:dxf>
              <font>
                <b/>
                <color rgb="FF18191A"/>
              </font>
              <border>
                <left style="medium">
                  <color rgb="FF1F2F44"/>
                </left>
                <right style="medium">
                  <color rgb="FF1F2F44"/>
                </right>
                <top style="medium">
                  <color rgb="FF1F2F44"/>
                </top>
                <bottom style="medium">
                  <color rgb="FF1F2F44"/>
                </bottom>
                <vertical/>
                <horizontal/>
              </border>
            </x14:dxf>
          </x14:cfRule>
          <xm:sqref>C20:G30</xm:sqref>
        </x14:conditionalFormatting>
        <x14:conditionalFormatting xmlns:xm="http://schemas.microsoft.com/office/excel/2006/main">
          <x14:cfRule type="expression" priority="3" id="{00000000-000E-0000-0400-000003000000}">
            <xm:f>AND(ROUND($B36-Assumptions!$D$20,4)=0,ROUND(C$35-Assumptions!$D$21,3)=0)</xm:f>
            <x14:dxf>
              <font>
                <b/>
                <color rgb="FF18191A"/>
              </font>
              <border>
                <left style="medium">
                  <color rgb="FF1F2F44"/>
                </left>
                <right style="medium">
                  <color rgb="FF1F2F44"/>
                </right>
                <top style="medium">
                  <color rgb="FF1F2F44"/>
                </top>
                <bottom style="medium">
                  <color rgb="FF1F2F44"/>
                </bottom>
                <vertical/>
                <horizontal/>
              </border>
            </x14:dxf>
          </x14:cfRule>
          <xm:sqref>C36:G46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G35"/>
  <sheetViews>
    <sheetView showGridLines="0" zoomScale="85" zoomScaleNormal="85" workbookViewId="0">
      <pane ySplit="7" topLeftCell="A8" activePane="bottomLeft" state="frozen"/>
      <selection pane="bottomLeft"/>
    </sheetView>
  </sheetViews>
  <sheetFormatPr defaultRowHeight="13.95" customHeight="1" x14ac:dyDescent="0.3"/>
  <cols>
    <col min="1" max="1" width="2.6640625" customWidth="1"/>
    <col min="2" max="2" width="70.6640625" customWidth="1"/>
    <col min="3" max="6" width="15.6640625" customWidth="1"/>
    <col min="7" max="7" width="80.6640625" customWidth="1"/>
  </cols>
  <sheetData>
    <row r="1" spans="2:7" ht="30" customHeight="1" x14ac:dyDescent="0.3">
      <c r="B1" s="7" t="s">
        <v>213</v>
      </c>
    </row>
    <row r="2" spans="2:7" ht="13.95" customHeight="1" x14ac:dyDescent="0.3">
      <c r="B2" s="6" t="s">
        <v>214</v>
      </c>
    </row>
    <row r="5" spans="2:7" ht="13.95" customHeight="1" x14ac:dyDescent="0.3">
      <c r="B5" s="5" t="s">
        <v>215</v>
      </c>
      <c r="C5" s="56" t="str">
        <f>IF(COUNTIF(F8:F23,"CHECK")=0,"All checks OK","Some checks need attention")</f>
        <v>All checks OK</v>
      </c>
    </row>
    <row r="7" spans="2:7" ht="13.95" customHeight="1" x14ac:dyDescent="0.3">
      <c r="B7" s="9" t="s">
        <v>216</v>
      </c>
      <c r="C7" s="10" t="s">
        <v>20</v>
      </c>
      <c r="D7" s="10" t="s">
        <v>217</v>
      </c>
      <c r="E7" s="10" t="s">
        <v>179</v>
      </c>
      <c r="F7" s="10" t="s">
        <v>218</v>
      </c>
      <c r="G7" s="10" t="s">
        <v>219</v>
      </c>
    </row>
    <row r="8" spans="2:7" ht="13.95" customHeight="1" x14ac:dyDescent="0.3">
      <c r="B8" s="20" t="s">
        <v>220</v>
      </c>
      <c r="C8" s="23">
        <f>DCF!M35</f>
        <v>3970.3599999999988</v>
      </c>
      <c r="D8" s="23">
        <f>3970.35999999999</f>
        <v>3970.3599999999901</v>
      </c>
      <c r="E8" s="23">
        <f t="shared" ref="E8:E22" si="0">IFERROR(C8-D8,"")</f>
        <v>8.6401996668428183E-12</v>
      </c>
      <c r="F8" s="57" t="str">
        <f t="shared" ref="F8:F18" si="1">IF(ABS(C8-D8)&lt;=0.01,"OK","CHECK")</f>
        <v>OK</v>
      </c>
      <c r="G8" s="6" t="s">
        <v>221</v>
      </c>
    </row>
    <row r="9" spans="2:7" ht="13.95" customHeight="1" x14ac:dyDescent="0.3">
      <c r="B9" s="20" t="s">
        <v>222</v>
      </c>
      <c r="C9" s="23">
        <f>DCF!N35</f>
        <v>15868.960000000003</v>
      </c>
      <c r="D9" s="23">
        <f>15868.96</f>
        <v>15868.96</v>
      </c>
      <c r="E9" s="23">
        <f t="shared" si="0"/>
        <v>3.637978807091713E-12</v>
      </c>
      <c r="F9" s="57" t="str">
        <f t="shared" si="1"/>
        <v>OK</v>
      </c>
      <c r="G9" s="6" t="s">
        <v>221</v>
      </c>
    </row>
    <row r="10" spans="2:7" ht="13.95" customHeight="1" x14ac:dyDescent="0.3">
      <c r="B10" s="20" t="s">
        <v>223</v>
      </c>
      <c r="C10" s="23">
        <f>DCF!O35</f>
        <v>16461.32</v>
      </c>
      <c r="D10" s="23">
        <f>16461.32</f>
        <v>16461.32</v>
      </c>
      <c r="E10" s="23">
        <f t="shared" si="0"/>
        <v>0</v>
      </c>
      <c r="F10" s="57" t="str">
        <f t="shared" si="1"/>
        <v>OK</v>
      </c>
      <c r="G10" s="6" t="s">
        <v>221</v>
      </c>
    </row>
    <row r="11" spans="2:7" ht="13.95" customHeight="1" x14ac:dyDescent="0.3">
      <c r="B11" s="20" t="s">
        <v>224</v>
      </c>
      <c r="C11" s="23">
        <f>DCF!P35</f>
        <v>16980.784319999995</v>
      </c>
      <c r="D11" s="23">
        <f>16980.7843199999</f>
        <v>16980.784319999901</v>
      </c>
      <c r="E11" s="23">
        <f t="shared" si="0"/>
        <v>9.4587448984384537E-11</v>
      </c>
      <c r="F11" s="57" t="str">
        <f t="shared" si="1"/>
        <v>OK</v>
      </c>
      <c r="G11" s="6" t="s">
        <v>221</v>
      </c>
    </row>
    <row r="12" spans="2:7" ht="13.95" customHeight="1" x14ac:dyDescent="0.3">
      <c r="B12" s="20" t="s">
        <v>225</v>
      </c>
      <c r="C12" s="23">
        <f>DCF!Q35</f>
        <v>18141.420645503993</v>
      </c>
      <c r="D12" s="23">
        <f>18141.4206455039</f>
        <v>18141.420645503898</v>
      </c>
      <c r="E12" s="23">
        <f t="shared" si="0"/>
        <v>9.4587448984384537E-11</v>
      </c>
      <c r="F12" s="57" t="str">
        <f t="shared" si="1"/>
        <v>OK</v>
      </c>
      <c r="G12" s="6" t="s">
        <v>221</v>
      </c>
    </row>
    <row r="13" spans="2:7" ht="13.95" customHeight="1" x14ac:dyDescent="0.3">
      <c r="B13" s="20" t="s">
        <v>226</v>
      </c>
      <c r="C13" s="23">
        <f>DCF!R35</f>
        <v>23154.288195284214</v>
      </c>
      <c r="D13" s="23">
        <f>23154.2881952842</f>
        <v>23154.2881952842</v>
      </c>
      <c r="E13" s="23">
        <f t="shared" si="0"/>
        <v>1.4551915228366852E-11</v>
      </c>
      <c r="F13" s="57" t="str">
        <f t="shared" si="1"/>
        <v>OK</v>
      </c>
      <c r="G13" s="6" t="s">
        <v>221</v>
      </c>
    </row>
    <row r="14" spans="2:7" ht="13.95" customHeight="1" x14ac:dyDescent="0.3">
      <c r="B14" s="20" t="s">
        <v>227</v>
      </c>
      <c r="C14" s="23">
        <f>DCF!R35*(1+Checks!$C$33)/(Checks!$C$31+Checks!$C$32-Checks!$C$33)</f>
        <v>278010.77684016712</v>
      </c>
      <c r="D14" s="23">
        <f>278010.776840167</f>
        <v>278010.776840167</v>
      </c>
      <c r="E14" s="23">
        <f t="shared" si="0"/>
        <v>1.1641532182693481E-10</v>
      </c>
      <c r="F14" s="57" t="str">
        <f t="shared" si="1"/>
        <v>OK</v>
      </c>
      <c r="G14" s="6"/>
    </row>
    <row r="15" spans="2:7" ht="13.95" customHeight="1" x14ac:dyDescent="0.3">
      <c r="B15" s="20" t="s">
        <v>228</v>
      </c>
      <c r="C15" s="23">
        <f>NPV((Checks!$C$31+Checks!$C$32),DCF!$M$35:$R$35)+DCF!$R$35*(1+Checks!$C$33)/((Checks!$C$31+Checks!$C$32)-Checks!$C$33)/(1+(Checks!$C$31+Checks!$C$32))^7-0</f>
        <v>173064.08782560608</v>
      </c>
      <c r="D15" s="23">
        <f>173064.087825606</f>
        <v>173064.087825606</v>
      </c>
      <c r="E15" s="23">
        <f t="shared" si="0"/>
        <v>8.7311491370201111E-11</v>
      </c>
      <c r="F15" s="57" t="str">
        <f t="shared" si="1"/>
        <v>OK</v>
      </c>
      <c r="G15" s="6" t="s">
        <v>229</v>
      </c>
    </row>
    <row r="16" spans="2:7" ht="13.95" customHeight="1" x14ac:dyDescent="0.3">
      <c r="B16" s="20" t="s">
        <v>230</v>
      </c>
      <c r="C16" s="23">
        <f>Summary!D28</f>
        <v>202259.16860466625</v>
      </c>
      <c r="D16" s="23">
        <f>202259.168604666</f>
        <v>202259.16860466599</v>
      </c>
      <c r="E16" s="23">
        <f t="shared" si="0"/>
        <v>2.6193447411060333E-10</v>
      </c>
      <c r="F16" s="57" t="str">
        <f t="shared" si="1"/>
        <v>OK</v>
      </c>
      <c r="G16" s="6"/>
    </row>
    <row r="17" spans="2:7" ht="13.95" customHeight="1" x14ac:dyDescent="0.3">
      <c r="B17" s="20" t="s">
        <v>231</v>
      </c>
      <c r="C17" s="23">
        <f>Summary!D29</f>
        <v>212941.02903141244</v>
      </c>
      <c r="D17" s="23">
        <f>212941.029031412</f>
        <v>212941.02903141201</v>
      </c>
      <c r="E17" s="23">
        <f t="shared" si="0"/>
        <v>4.3655745685100555E-10</v>
      </c>
      <c r="F17" s="57" t="str">
        <f t="shared" si="1"/>
        <v>OK</v>
      </c>
      <c r="G17" s="6"/>
    </row>
    <row r="18" spans="2:7" ht="13.95" customHeight="1" x14ac:dyDescent="0.3">
      <c r="B18" s="20" t="s">
        <v>232</v>
      </c>
      <c r="C18" s="23">
        <f>MAX(MAX(Sensitivity!E7:E14),-MIN(Sensitivity!E7:E14))</f>
        <v>0</v>
      </c>
      <c r="D18" s="23">
        <f>0</f>
        <v>0</v>
      </c>
      <c r="E18" s="23">
        <f t="shared" si="0"/>
        <v>0</v>
      </c>
      <c r="F18" s="57" t="str">
        <f t="shared" si="1"/>
        <v>OK</v>
      </c>
      <c r="G18" s="6"/>
    </row>
    <row r="19" spans="2:7" ht="13.95" customHeight="1" x14ac:dyDescent="0.3">
      <c r="B19" s="20" t="s">
        <v>233</v>
      </c>
      <c r="C19" s="46">
        <f>IRR(Checks!C35:G35)</f>
        <v>0.1737916070343033</v>
      </c>
      <c r="D19" s="46">
        <f>0.173791607034303</f>
        <v>0.17379160703430299</v>
      </c>
      <c r="E19" s="46">
        <f t="shared" si="0"/>
        <v>3.0531133177191805E-16</v>
      </c>
      <c r="F19" s="57" t="str">
        <f>IF(ABS(C19-D19)&lt;=0.000001,"OK","CHECK")</f>
        <v>OK</v>
      </c>
      <c r="G19" s="6" t="s">
        <v>234</v>
      </c>
    </row>
    <row r="20" spans="2:7" ht="13.95" customHeight="1" x14ac:dyDescent="0.3">
      <c r="B20" s="20" t="s">
        <v>235</v>
      </c>
      <c r="C20" s="47">
        <f>FixNWC+FixND+FixTV+FixInfl</f>
        <v>0</v>
      </c>
      <c r="D20" s="47">
        <f>0</f>
        <v>0</v>
      </c>
      <c r="E20" s="47">
        <f t="shared" si="0"/>
        <v>0</v>
      </c>
      <c r="F20" s="58" t="str">
        <f>"Info"</f>
        <v>Info</v>
      </c>
      <c r="G20" s="6" t="s">
        <v>236</v>
      </c>
    </row>
    <row r="21" spans="2:7" ht="13.95" customHeight="1" x14ac:dyDescent="0.3">
      <c r="B21" s="20" t="s">
        <v>237</v>
      </c>
      <c r="C21" s="47">
        <f>Vintage</f>
        <v>2</v>
      </c>
      <c r="D21" s="47">
        <f>2</f>
        <v>2</v>
      </c>
      <c r="E21" s="47">
        <f t="shared" si="0"/>
        <v>0</v>
      </c>
      <c r="F21" s="58" t="str">
        <f>"Info"</f>
        <v>Info</v>
      </c>
      <c r="G21" s="6" t="s">
        <v>238</v>
      </c>
    </row>
    <row r="22" spans="2:7" ht="13.95" customHeight="1" x14ac:dyDescent="0.3">
      <c r="B22" s="20" t="s">
        <v>239</v>
      </c>
      <c r="C22" s="47">
        <f>SUMPRODUCT(--ISERROR(DCF!C8:S90))+SUMPRODUCT(--ISERROR(Summary!C5:G40))+SUMPRODUCT(--ISERROR(Sensitivity!C7:G60))</f>
        <v>0</v>
      </c>
      <c r="D22" s="47">
        <f>0</f>
        <v>0</v>
      </c>
      <c r="E22" s="47">
        <f t="shared" si="0"/>
        <v>0</v>
      </c>
      <c r="F22" s="57" t="str">
        <f>IF(ABS(C22-D22)&lt;=0,"OK","CHECK")</f>
        <v>OK</v>
      </c>
      <c r="G22" s="6"/>
    </row>
    <row r="30" spans="2:7" ht="13.95" customHeight="1" x14ac:dyDescent="0.3">
      <c r="B30" s="70" t="s">
        <v>240</v>
      </c>
      <c r="C30" s="70"/>
      <c r="D30" s="70"/>
      <c r="E30" s="70"/>
      <c r="F30" s="70"/>
      <c r="G30" s="70"/>
    </row>
    <row r="31" spans="2:7" ht="13.95" customHeight="1" x14ac:dyDescent="0.3">
      <c r="B31" s="20" t="s">
        <v>241</v>
      </c>
      <c r="C31" s="29">
        <v>7.4200000000000002E-2</v>
      </c>
    </row>
    <row r="32" spans="2:7" ht="13.95" customHeight="1" x14ac:dyDescent="0.3">
      <c r="B32" s="20" t="s">
        <v>242</v>
      </c>
      <c r="C32" s="29">
        <v>0.06</v>
      </c>
    </row>
    <row r="33" spans="2:7" ht="13.95" customHeight="1" x14ac:dyDescent="0.3">
      <c r="B33" s="20" t="s">
        <v>243</v>
      </c>
      <c r="C33" s="29">
        <v>4.7E-2</v>
      </c>
    </row>
    <row r="34" spans="2:7" ht="13.95" customHeight="1" x14ac:dyDescent="0.3">
      <c r="B34" s="20" t="s">
        <v>244</v>
      </c>
      <c r="C34" s="27">
        <v>182419.73</v>
      </c>
    </row>
    <row r="35" spans="2:7" ht="13.95" customHeight="1" x14ac:dyDescent="0.3">
      <c r="B35" s="6" t="s">
        <v>245</v>
      </c>
      <c r="C35" s="22">
        <f>-C34</f>
        <v>-182419.73</v>
      </c>
      <c r="D35" s="22">
        <f>DCF!N35</f>
        <v>15868.960000000003</v>
      </c>
      <c r="E35" s="22">
        <f>DCF!O35</f>
        <v>16461.32</v>
      </c>
      <c r="F35" s="22">
        <f>DCF!P35</f>
        <v>16980.784319999995</v>
      </c>
      <c r="G35" s="22">
        <f>DCF!R35*(1+C33)/(C31+C32-C33)</f>
        <v>278010.77684016712</v>
      </c>
    </row>
  </sheetData>
  <mergeCells count="1">
    <mergeCell ref="B30:G30"/>
  </mergeCells>
  <conditionalFormatting sqref="F8:F23">
    <cfRule type="cellIs" dxfId="0" priority="1" operator="equal">
      <formula>"CHECK"</formula>
    </cfRule>
  </conditionalFormatting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C25"/>
  <sheetViews>
    <sheetView showGridLines="0" zoomScale="85" zoomScaleNormal="85" workbookViewId="0"/>
  </sheetViews>
  <sheetFormatPr defaultRowHeight="13.95" customHeight="1" x14ac:dyDescent="0.3"/>
  <cols>
    <col min="1" max="1" width="2.6640625" customWidth="1"/>
    <col min="2" max="2" width="26.6640625" customWidth="1"/>
    <col min="3" max="3" width="130.6640625" customWidth="1"/>
  </cols>
  <sheetData>
    <row r="1" spans="2:3" ht="25.95" customHeight="1" x14ac:dyDescent="0.3">
      <c r="B1" s="59" t="s">
        <v>246</v>
      </c>
    </row>
    <row r="2" spans="2:3" ht="13.95" customHeight="1" x14ac:dyDescent="0.3">
      <c r="B2" s="6" t="s">
        <v>247</v>
      </c>
    </row>
    <row r="4" spans="2:3" ht="13.95" customHeight="1" x14ac:dyDescent="0.3">
      <c r="B4" s="70" t="s">
        <v>248</v>
      </c>
      <c r="C4" s="70"/>
    </row>
    <row r="5" spans="2:3" ht="13.95" customHeight="1" x14ac:dyDescent="0.3">
      <c r="B5" s="60" t="s">
        <v>207</v>
      </c>
      <c r="C5" s="61" t="s">
        <v>249</v>
      </c>
    </row>
    <row r="6" spans="2:3" ht="28.05" customHeight="1" x14ac:dyDescent="0.3">
      <c r="B6" s="60" t="s">
        <v>70</v>
      </c>
      <c r="C6" s="61" t="s">
        <v>250</v>
      </c>
    </row>
    <row r="8" spans="2:3" ht="13.95" customHeight="1" x14ac:dyDescent="0.3">
      <c r="B8" s="70" t="s">
        <v>251</v>
      </c>
      <c r="C8" s="70"/>
    </row>
    <row r="9" spans="2:3" ht="13.95" customHeight="1" x14ac:dyDescent="0.3">
      <c r="B9" s="60" t="s">
        <v>252</v>
      </c>
      <c r="C9" s="61" t="s">
        <v>253</v>
      </c>
    </row>
    <row r="10" spans="2:3" ht="13.95" customHeight="1" x14ac:dyDescent="0.3">
      <c r="B10" s="60" t="s">
        <v>254</v>
      </c>
      <c r="C10" s="61" t="s">
        <v>255</v>
      </c>
    </row>
    <row r="11" spans="2:3" ht="13.95" customHeight="1" x14ac:dyDescent="0.3">
      <c r="B11" s="60" t="s">
        <v>256</v>
      </c>
      <c r="C11" s="61" t="s">
        <v>257</v>
      </c>
    </row>
    <row r="13" spans="2:3" ht="13.95" customHeight="1" x14ac:dyDescent="0.3">
      <c r="B13" s="70" t="s">
        <v>258</v>
      </c>
      <c r="C13" s="70"/>
    </row>
    <row r="14" spans="2:3" ht="13.95" customHeight="1" x14ac:dyDescent="0.3">
      <c r="B14" s="60" t="s">
        <v>259</v>
      </c>
      <c r="C14" s="61" t="s">
        <v>260</v>
      </c>
    </row>
    <row r="15" spans="2:3" ht="13.95" customHeight="1" x14ac:dyDescent="0.3">
      <c r="B15" s="60" t="s">
        <v>192</v>
      </c>
      <c r="C15" s="61" t="s">
        <v>261</v>
      </c>
    </row>
    <row r="16" spans="2:3" ht="13.95" customHeight="1" x14ac:dyDescent="0.3">
      <c r="B16" s="60" t="s">
        <v>262</v>
      </c>
      <c r="C16" s="61" t="s">
        <v>263</v>
      </c>
    </row>
    <row r="17" spans="2:3" ht="13.95" customHeight="1" x14ac:dyDescent="0.3">
      <c r="B17" s="60" t="s">
        <v>264</v>
      </c>
      <c r="C17" s="61" t="s">
        <v>265</v>
      </c>
    </row>
    <row r="19" spans="2:3" ht="13.95" customHeight="1" x14ac:dyDescent="0.3">
      <c r="B19" s="70" t="s">
        <v>266</v>
      </c>
      <c r="C19" s="70"/>
    </row>
    <row r="20" spans="2:3" ht="28.05" customHeight="1" x14ac:dyDescent="0.3">
      <c r="B20" s="60" t="s">
        <v>267</v>
      </c>
      <c r="C20" s="61" t="s">
        <v>268</v>
      </c>
    </row>
    <row r="22" spans="2:3" ht="13.95" customHeight="1" x14ac:dyDescent="0.3">
      <c r="B22" s="70" t="s">
        <v>269</v>
      </c>
      <c r="C22" s="70"/>
    </row>
    <row r="23" spans="2:3" ht="13.95" customHeight="1" x14ac:dyDescent="0.3">
      <c r="B23" s="60" t="s">
        <v>270</v>
      </c>
      <c r="C23" s="61" t="s">
        <v>271</v>
      </c>
    </row>
    <row r="24" spans="2:3" ht="13.95" customHeight="1" x14ac:dyDescent="0.3">
      <c r="B24" s="60" t="s">
        <v>272</v>
      </c>
      <c r="C24" s="61" t="s">
        <v>273</v>
      </c>
    </row>
    <row r="25" spans="2:3" ht="13.95" customHeight="1" x14ac:dyDescent="0.3">
      <c r="B25" s="60" t="s">
        <v>274</v>
      </c>
      <c r="C25" s="61" t="s">
        <v>275</v>
      </c>
    </row>
  </sheetData>
  <mergeCells count="5">
    <mergeCell ref="B4:C4"/>
    <mergeCell ref="B8:C8"/>
    <mergeCell ref="B13:C13"/>
    <mergeCell ref="B19:C19"/>
    <mergeCell ref="B22:C22"/>
  </mergeCells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HeadingPairs>
  <TitlesOfParts>
    <vt:vector size="21" baseType="lpstr">
      <vt:lpstr>Cover</vt:lpstr>
      <vt:lpstr>Summary</vt:lpstr>
      <vt:lpstr>Assumptions</vt:lpstr>
      <vt:lpstr>DCF</vt:lpstr>
      <vt:lpstr>Sensitivity</vt:lpstr>
      <vt:lpstr>Checks</vt:lpstr>
      <vt:lpstr>Read Me</vt:lpstr>
      <vt:lpstr>FixInfl</vt:lpstr>
      <vt:lpstr>FixND</vt:lpstr>
      <vt:lpstr>FixNWC</vt:lpstr>
      <vt:lpstr>FixTV</vt:lpstr>
      <vt:lpstr>FV27Base</vt:lpstr>
      <vt:lpstr>FV27Bear</vt:lpstr>
      <vt:lpstr>FV27Bull</vt:lpstr>
      <vt:lpstr>gLT</vt:lpstr>
      <vt:lpstr>IbovUsed</vt:lpstr>
      <vt:lpstr>InflLT</vt:lpstr>
      <vt:lpstr>NDmult</vt:lpstr>
      <vt:lpstr>NWCpct</vt:lpstr>
      <vt:lpstr>RRUsed</vt:lpstr>
      <vt:lpstr>Vintage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Caio Lopes de Souza</cp:lastModifiedBy>
  <dcterms:created xsi:type="dcterms:W3CDTF">2026-10-07T20:00:42Z</dcterms:created>
  <dcterms:modified xsi:type="dcterms:W3CDTF">2026-10-07T20:00:54Z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