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Caio\Documents\Documentos\XP\Brazil Bull Case\"/>
    </mc:Choice>
  </mc:AlternateContent>
  <xr:revisionPtr revIDLastSave="0" documentId="13_ncr:1_{E4EF8DE2-9E41-47D8-AF33-346A95A9CBA3}" xr6:coauthVersionLast="47" xr6:coauthVersionMax="47" xr10:uidLastSave="{00000000-0000-0000-0000-000000000000}"/>
  <bookViews>
    <workbookView xWindow="-108" yWindow="-108" windowWidth="23256" windowHeight="12456" xr2:uid="{00000000-000D-0000-FFFF-FFFF00000000}"/>
  </bookViews>
  <sheets>
    <sheet name="Cover" sheetId="1" r:id="rId1"/>
    <sheet name="Summary" sheetId="2" r:id="rId2"/>
    <sheet name="Assumptions" sheetId="3" r:id="rId3"/>
    <sheet name="DCF by Box" sheetId="4" r:id="rId4"/>
    <sheet name="DCF" sheetId="5" r:id="rId5"/>
    <sheet name="Sensitivity" sheetId="6" r:id="rId6"/>
    <sheet name="Support &gt;" sheetId="7" r:id="rId7"/>
    <sheet name="Box Rates" sheetId="8" r:id="rId8"/>
    <sheet name="Box Betas" sheetId="9" r:id="rId9"/>
    <sheet name="Box Shares" sheetId="10" r:id="rId10"/>
    <sheet name="Members" sheetId="11" r:id="rId11"/>
    <sheet name="Checks" sheetId="12" r:id="rId12"/>
    <sheet name="Read Me" sheetId="13" r:id="rId13"/>
  </sheets>
  <definedNames>
    <definedName name="_xlnm._FilterDatabase" localSheetId="10" hidden="1">Members!$A$5:$AS$81</definedName>
    <definedName name="BetaAdj">Assumptions!$C$45</definedName>
    <definedName name="BetaYears">Assumptions!$C$44</definedName>
    <definedName name="BoxRate">Assumptions!$C$42</definedName>
    <definedName name="ERPfloor">Assumptions!$C$43</definedName>
    <definedName name="FinROE">'Box Shares'!$C$39</definedName>
    <definedName name="FinROEovr">Assumptions!$C$40</definedName>
    <definedName name="FixInfl">Assumptions!$C$29</definedName>
    <definedName name="FixND">Assumptions!$C$27</definedName>
    <definedName name="FixNWC">Assumptions!$C$26</definedName>
    <definedName name="FixTV">Assumptions!$C$28</definedName>
    <definedName name="FV27Base">DCF!$D$57</definedName>
    <definedName name="FV27Bear">DCF!$C$57</definedName>
    <definedName name="FV27Bull">DCF!$E$57</definedName>
    <definedName name="gLT">Assumptions!$C$13</definedName>
    <definedName name="IbovUsed">Assumptions!$E$7</definedName>
    <definedName name="InflLT">Assumptions!$C$14</definedName>
    <definedName name="NDmult">Assumptions!$C$16</definedName>
    <definedName name="NWCpct">Assumptions!$C$15</definedName>
    <definedName name="RRUsed">Assumptions!$E$8</definedName>
    <definedName name="ScaleBox">Assumptions!$C$39</definedName>
    <definedName name="Vintage">Assumptions!$C$9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6" i="12" l="1"/>
  <c r="D42" i="12"/>
  <c r="F41" i="12"/>
  <c r="D41" i="12"/>
  <c r="C41" i="12"/>
  <c r="E41" i="12" s="1"/>
  <c r="F40" i="12"/>
  <c r="D40" i="12"/>
  <c r="C40" i="12"/>
  <c r="F38" i="12"/>
  <c r="D38" i="12"/>
  <c r="C38" i="12"/>
  <c r="E38" i="12" s="1"/>
  <c r="F37" i="12"/>
  <c r="D37" i="12"/>
  <c r="F36" i="12"/>
  <c r="D36" i="12"/>
  <c r="F35" i="12"/>
  <c r="D35" i="12"/>
  <c r="C35" i="12"/>
  <c r="E35" i="12" s="1"/>
  <c r="D34" i="12"/>
  <c r="C34" i="12"/>
  <c r="F34" i="12" s="1"/>
  <c r="F33" i="12"/>
  <c r="D33" i="12"/>
  <c r="F32" i="12"/>
  <c r="D32" i="12"/>
  <c r="D26" i="12"/>
  <c r="D24" i="12"/>
  <c r="D23" i="12"/>
  <c r="D22" i="12"/>
  <c r="D20" i="12"/>
  <c r="D19" i="12"/>
  <c r="D18" i="12"/>
  <c r="D17" i="12"/>
  <c r="D16" i="12"/>
  <c r="D15" i="12"/>
  <c r="D14" i="12"/>
  <c r="D13" i="12"/>
  <c r="D12" i="12"/>
  <c r="D11" i="12"/>
  <c r="D10" i="12"/>
  <c r="D9" i="12"/>
  <c r="E83" i="11"/>
  <c r="H81" i="11"/>
  <c r="H80" i="11"/>
  <c r="H79" i="11"/>
  <c r="AO78" i="11"/>
  <c r="AN78" i="11"/>
  <c r="AM78" i="11"/>
  <c r="H78" i="11"/>
  <c r="H77" i="11"/>
  <c r="H76" i="11"/>
  <c r="AQ75" i="11"/>
  <c r="AR75" i="11" s="1"/>
  <c r="AO75" i="11"/>
  <c r="AN75" i="11"/>
  <c r="AM75" i="11"/>
  <c r="AL75" i="11"/>
  <c r="AI75" i="11"/>
  <c r="AC75" i="11"/>
  <c r="H75" i="11"/>
  <c r="H74" i="11"/>
  <c r="H73" i="11"/>
  <c r="H72" i="11"/>
  <c r="H71" i="11"/>
  <c r="H70" i="11"/>
  <c r="H69" i="11"/>
  <c r="H68" i="11"/>
  <c r="H67" i="11"/>
  <c r="H66" i="11"/>
  <c r="H65" i="11"/>
  <c r="H64" i="11"/>
  <c r="I64" i="11" s="1"/>
  <c r="J64" i="11" s="1"/>
  <c r="H63" i="11"/>
  <c r="H62" i="11"/>
  <c r="H61" i="11"/>
  <c r="H60" i="11"/>
  <c r="H59" i="11"/>
  <c r="H58" i="11"/>
  <c r="H57" i="11"/>
  <c r="H56" i="11"/>
  <c r="H55" i="11"/>
  <c r="H54" i="11"/>
  <c r="H53" i="11"/>
  <c r="H52" i="11"/>
  <c r="H51" i="11"/>
  <c r="H50" i="11"/>
  <c r="H49" i="11"/>
  <c r="H48" i="11"/>
  <c r="H47" i="11"/>
  <c r="H46" i="11"/>
  <c r="H45" i="11"/>
  <c r="H44" i="11"/>
  <c r="H43" i="11"/>
  <c r="H42" i="11"/>
  <c r="H41" i="11"/>
  <c r="H40" i="11"/>
  <c r="I8" i="11" s="1"/>
  <c r="J8" i="11" s="1"/>
  <c r="H39" i="11"/>
  <c r="H38" i="11"/>
  <c r="H37" i="11"/>
  <c r="H36" i="11"/>
  <c r="H35" i="11"/>
  <c r="I35" i="11" s="1"/>
  <c r="J35" i="11" s="1"/>
  <c r="H34" i="11"/>
  <c r="H33" i="11"/>
  <c r="H32" i="11"/>
  <c r="H31" i="11"/>
  <c r="H30" i="11"/>
  <c r="H29" i="11"/>
  <c r="H28" i="11"/>
  <c r="H27" i="11"/>
  <c r="H26" i="11"/>
  <c r="H25" i="11"/>
  <c r="H24" i="11"/>
  <c r="H23" i="11"/>
  <c r="H22" i="11"/>
  <c r="H21" i="11"/>
  <c r="H20" i="11"/>
  <c r="H19" i="11"/>
  <c r="H18" i="11"/>
  <c r="H17" i="11"/>
  <c r="AI16" i="11"/>
  <c r="AH16" i="11"/>
  <c r="AG16" i="11"/>
  <c r="H16" i="11"/>
  <c r="AO15" i="11"/>
  <c r="AN15" i="11"/>
  <c r="AM15" i="11"/>
  <c r="AH15" i="11"/>
  <c r="AG15" i="11"/>
  <c r="H15" i="11"/>
  <c r="AO14" i="11"/>
  <c r="AN14" i="11"/>
  <c r="AM14" i="11"/>
  <c r="H14" i="11"/>
  <c r="AO13" i="11"/>
  <c r="AN13" i="11"/>
  <c r="AM13" i="11"/>
  <c r="AI13" i="11"/>
  <c r="AH13" i="11"/>
  <c r="AG13" i="11"/>
  <c r="H13" i="11"/>
  <c r="AO12" i="11"/>
  <c r="AN12" i="11"/>
  <c r="AM12" i="11"/>
  <c r="H12" i="11"/>
  <c r="AO11" i="11"/>
  <c r="AN11" i="11"/>
  <c r="AM11" i="11"/>
  <c r="AI11" i="11"/>
  <c r="AH11" i="11"/>
  <c r="AG11" i="11"/>
  <c r="AF11" i="11"/>
  <c r="AE11" i="11"/>
  <c r="AD11" i="11"/>
  <c r="H11" i="11"/>
  <c r="AO10" i="11"/>
  <c r="AN10" i="11"/>
  <c r="AM10" i="11"/>
  <c r="H10" i="11"/>
  <c r="AQ9" i="11"/>
  <c r="AR9" i="11" s="1"/>
  <c r="AO9" i="11"/>
  <c r="AN9" i="11"/>
  <c r="AM9" i="11"/>
  <c r="AI9" i="11"/>
  <c r="AH9" i="11"/>
  <c r="AG9" i="11"/>
  <c r="H9" i="11"/>
  <c r="H8" i="11"/>
  <c r="AO7" i="11"/>
  <c r="AN7" i="11"/>
  <c r="AM7" i="11"/>
  <c r="AI7" i="11"/>
  <c r="AH7" i="11"/>
  <c r="AG7" i="11"/>
  <c r="H7" i="11"/>
  <c r="AO6" i="11"/>
  <c r="AN6" i="11"/>
  <c r="AM6" i="11"/>
  <c r="AG6" i="11"/>
  <c r="H6" i="11"/>
  <c r="C12" i="10"/>
  <c r="Q544" i="9"/>
  <c r="P544" i="9"/>
  <c r="O544" i="9"/>
  <c r="N544" i="9"/>
  <c r="M544" i="9"/>
  <c r="L544" i="9"/>
  <c r="K544" i="9"/>
  <c r="Q543" i="9"/>
  <c r="P543" i="9"/>
  <c r="O543" i="9"/>
  <c r="N543" i="9"/>
  <c r="M543" i="9"/>
  <c r="L543" i="9"/>
  <c r="K543" i="9"/>
  <c r="Q542" i="9"/>
  <c r="P542" i="9"/>
  <c r="O542" i="9"/>
  <c r="N542" i="9"/>
  <c r="M542" i="9"/>
  <c r="L542" i="9"/>
  <c r="K542" i="9"/>
  <c r="Q541" i="9"/>
  <c r="P541" i="9"/>
  <c r="O541" i="9"/>
  <c r="N541" i="9"/>
  <c r="M541" i="9"/>
  <c r="L541" i="9"/>
  <c r="K541" i="9"/>
  <c r="Q540" i="9"/>
  <c r="P540" i="9"/>
  <c r="O540" i="9"/>
  <c r="N540" i="9"/>
  <c r="M540" i="9"/>
  <c r="L540" i="9"/>
  <c r="K540" i="9"/>
  <c r="Q539" i="9"/>
  <c r="P539" i="9"/>
  <c r="O539" i="9"/>
  <c r="N539" i="9"/>
  <c r="M539" i="9"/>
  <c r="L539" i="9"/>
  <c r="K539" i="9"/>
  <c r="Q538" i="9"/>
  <c r="P538" i="9"/>
  <c r="O538" i="9"/>
  <c r="N538" i="9"/>
  <c r="M538" i="9"/>
  <c r="L538" i="9"/>
  <c r="K538" i="9"/>
  <c r="Q537" i="9"/>
  <c r="P537" i="9"/>
  <c r="O537" i="9"/>
  <c r="N537" i="9"/>
  <c r="M537" i="9"/>
  <c r="L537" i="9"/>
  <c r="K537" i="9"/>
  <c r="Q536" i="9"/>
  <c r="P536" i="9"/>
  <c r="O536" i="9"/>
  <c r="N536" i="9"/>
  <c r="M536" i="9"/>
  <c r="L536" i="9"/>
  <c r="K536" i="9"/>
  <c r="Q535" i="9"/>
  <c r="P535" i="9"/>
  <c r="O535" i="9"/>
  <c r="N535" i="9"/>
  <c r="M535" i="9"/>
  <c r="L535" i="9"/>
  <c r="K535" i="9"/>
  <c r="Q534" i="9"/>
  <c r="P534" i="9"/>
  <c r="O534" i="9"/>
  <c r="N534" i="9"/>
  <c r="M534" i="9"/>
  <c r="L534" i="9"/>
  <c r="K534" i="9"/>
  <c r="Q533" i="9"/>
  <c r="P533" i="9"/>
  <c r="O533" i="9"/>
  <c r="N533" i="9"/>
  <c r="M533" i="9"/>
  <c r="L533" i="9"/>
  <c r="K533" i="9"/>
  <c r="Q532" i="9"/>
  <c r="P532" i="9"/>
  <c r="O532" i="9"/>
  <c r="N532" i="9"/>
  <c r="M532" i="9"/>
  <c r="L532" i="9"/>
  <c r="K532" i="9"/>
  <c r="Q531" i="9"/>
  <c r="P531" i="9"/>
  <c r="O531" i="9"/>
  <c r="N531" i="9"/>
  <c r="M531" i="9"/>
  <c r="L531" i="9"/>
  <c r="K531" i="9"/>
  <c r="Q530" i="9"/>
  <c r="P530" i="9"/>
  <c r="O530" i="9"/>
  <c r="N530" i="9"/>
  <c r="M530" i="9"/>
  <c r="L530" i="9"/>
  <c r="K530" i="9"/>
  <c r="Q529" i="9"/>
  <c r="P529" i="9"/>
  <c r="O529" i="9"/>
  <c r="N529" i="9"/>
  <c r="M529" i="9"/>
  <c r="L529" i="9"/>
  <c r="K529" i="9"/>
  <c r="Q528" i="9"/>
  <c r="P528" i="9"/>
  <c r="O528" i="9"/>
  <c r="N528" i="9"/>
  <c r="M528" i="9"/>
  <c r="L528" i="9"/>
  <c r="K528" i="9"/>
  <c r="Q527" i="9"/>
  <c r="P527" i="9"/>
  <c r="O527" i="9"/>
  <c r="N527" i="9"/>
  <c r="M527" i="9"/>
  <c r="L527" i="9"/>
  <c r="K527" i="9"/>
  <c r="Q526" i="9"/>
  <c r="P526" i="9"/>
  <c r="O526" i="9"/>
  <c r="N526" i="9"/>
  <c r="M526" i="9"/>
  <c r="L526" i="9"/>
  <c r="K526" i="9"/>
  <c r="Q525" i="9"/>
  <c r="P525" i="9"/>
  <c r="O525" i="9"/>
  <c r="N525" i="9"/>
  <c r="M525" i="9"/>
  <c r="L525" i="9"/>
  <c r="K525" i="9"/>
  <c r="Q524" i="9"/>
  <c r="P524" i="9"/>
  <c r="O524" i="9"/>
  <c r="N524" i="9"/>
  <c r="M524" i="9"/>
  <c r="L524" i="9"/>
  <c r="K524" i="9"/>
  <c r="Q523" i="9"/>
  <c r="P523" i="9"/>
  <c r="O523" i="9"/>
  <c r="N523" i="9"/>
  <c r="M523" i="9"/>
  <c r="L523" i="9"/>
  <c r="K523" i="9"/>
  <c r="Q522" i="9"/>
  <c r="P522" i="9"/>
  <c r="O522" i="9"/>
  <c r="N522" i="9"/>
  <c r="M522" i="9"/>
  <c r="L522" i="9"/>
  <c r="K522" i="9"/>
  <c r="Q521" i="9"/>
  <c r="P521" i="9"/>
  <c r="O521" i="9"/>
  <c r="N521" i="9"/>
  <c r="M521" i="9"/>
  <c r="L521" i="9"/>
  <c r="K521" i="9"/>
  <c r="Q520" i="9"/>
  <c r="P520" i="9"/>
  <c r="O520" i="9"/>
  <c r="N520" i="9"/>
  <c r="M520" i="9"/>
  <c r="L520" i="9"/>
  <c r="K520" i="9"/>
  <c r="Q519" i="9"/>
  <c r="P519" i="9"/>
  <c r="O519" i="9"/>
  <c r="N519" i="9"/>
  <c r="M519" i="9"/>
  <c r="L519" i="9"/>
  <c r="K519" i="9"/>
  <c r="Q518" i="9"/>
  <c r="P518" i="9"/>
  <c r="O518" i="9"/>
  <c r="N518" i="9"/>
  <c r="M518" i="9"/>
  <c r="L518" i="9"/>
  <c r="K518" i="9"/>
  <c r="Q517" i="9"/>
  <c r="P517" i="9"/>
  <c r="O517" i="9"/>
  <c r="N517" i="9"/>
  <c r="M517" i="9"/>
  <c r="L517" i="9"/>
  <c r="K517" i="9"/>
  <c r="Q516" i="9"/>
  <c r="P516" i="9"/>
  <c r="O516" i="9"/>
  <c r="N516" i="9"/>
  <c r="M516" i="9"/>
  <c r="L516" i="9"/>
  <c r="K516" i="9"/>
  <c r="Q515" i="9"/>
  <c r="P515" i="9"/>
  <c r="O515" i="9"/>
  <c r="N515" i="9"/>
  <c r="M515" i="9"/>
  <c r="L515" i="9"/>
  <c r="K515" i="9"/>
  <c r="Q514" i="9"/>
  <c r="P514" i="9"/>
  <c r="O514" i="9"/>
  <c r="N514" i="9"/>
  <c r="M514" i="9"/>
  <c r="L514" i="9"/>
  <c r="K514" i="9"/>
  <c r="Q513" i="9"/>
  <c r="P513" i="9"/>
  <c r="O513" i="9"/>
  <c r="N513" i="9"/>
  <c r="M513" i="9"/>
  <c r="L513" i="9"/>
  <c r="K513" i="9"/>
  <c r="Q512" i="9"/>
  <c r="P512" i="9"/>
  <c r="O512" i="9"/>
  <c r="N512" i="9"/>
  <c r="M512" i="9"/>
  <c r="L512" i="9"/>
  <c r="K512" i="9"/>
  <c r="Q511" i="9"/>
  <c r="P511" i="9"/>
  <c r="O511" i="9"/>
  <c r="N511" i="9"/>
  <c r="M511" i="9"/>
  <c r="L511" i="9"/>
  <c r="K511" i="9"/>
  <c r="Q510" i="9"/>
  <c r="P510" i="9"/>
  <c r="O510" i="9"/>
  <c r="N510" i="9"/>
  <c r="M510" i="9"/>
  <c r="L510" i="9"/>
  <c r="K510" i="9"/>
  <c r="Q509" i="9"/>
  <c r="P509" i="9"/>
  <c r="O509" i="9"/>
  <c r="N509" i="9"/>
  <c r="M509" i="9"/>
  <c r="L509" i="9"/>
  <c r="K509" i="9"/>
  <c r="Q508" i="9"/>
  <c r="P508" i="9"/>
  <c r="O508" i="9"/>
  <c r="N508" i="9"/>
  <c r="M508" i="9"/>
  <c r="L508" i="9"/>
  <c r="K508" i="9"/>
  <c r="Q507" i="9"/>
  <c r="P507" i="9"/>
  <c r="O507" i="9"/>
  <c r="N507" i="9"/>
  <c r="M507" i="9"/>
  <c r="L507" i="9"/>
  <c r="K507" i="9"/>
  <c r="Q506" i="9"/>
  <c r="P506" i="9"/>
  <c r="O506" i="9"/>
  <c r="N506" i="9"/>
  <c r="M506" i="9"/>
  <c r="L506" i="9"/>
  <c r="K506" i="9"/>
  <c r="Q505" i="9"/>
  <c r="P505" i="9"/>
  <c r="O505" i="9"/>
  <c r="N505" i="9"/>
  <c r="M505" i="9"/>
  <c r="L505" i="9"/>
  <c r="K505" i="9"/>
  <c r="Q504" i="9"/>
  <c r="P504" i="9"/>
  <c r="O504" i="9"/>
  <c r="N504" i="9"/>
  <c r="M504" i="9"/>
  <c r="L504" i="9"/>
  <c r="K504" i="9"/>
  <c r="Q503" i="9"/>
  <c r="P503" i="9"/>
  <c r="O503" i="9"/>
  <c r="N503" i="9"/>
  <c r="M503" i="9"/>
  <c r="L503" i="9"/>
  <c r="K503" i="9"/>
  <c r="Q502" i="9"/>
  <c r="P502" i="9"/>
  <c r="O502" i="9"/>
  <c r="N502" i="9"/>
  <c r="M502" i="9"/>
  <c r="L502" i="9"/>
  <c r="K502" i="9"/>
  <c r="Q501" i="9"/>
  <c r="P501" i="9"/>
  <c r="O501" i="9"/>
  <c r="N501" i="9"/>
  <c r="M501" i="9"/>
  <c r="L501" i="9"/>
  <c r="K501" i="9"/>
  <c r="Q500" i="9"/>
  <c r="P500" i="9"/>
  <c r="O500" i="9"/>
  <c r="N500" i="9"/>
  <c r="M500" i="9"/>
  <c r="L500" i="9"/>
  <c r="K500" i="9"/>
  <c r="Q499" i="9"/>
  <c r="P499" i="9"/>
  <c r="O499" i="9"/>
  <c r="N499" i="9"/>
  <c r="M499" i="9"/>
  <c r="L499" i="9"/>
  <c r="K499" i="9"/>
  <c r="Q498" i="9"/>
  <c r="P498" i="9"/>
  <c r="O498" i="9"/>
  <c r="N498" i="9"/>
  <c r="M498" i="9"/>
  <c r="L498" i="9"/>
  <c r="K498" i="9"/>
  <c r="Q497" i="9"/>
  <c r="P497" i="9"/>
  <c r="O497" i="9"/>
  <c r="N497" i="9"/>
  <c r="M497" i="9"/>
  <c r="L497" i="9"/>
  <c r="K497" i="9"/>
  <c r="Q496" i="9"/>
  <c r="P496" i="9"/>
  <c r="O496" i="9"/>
  <c r="N496" i="9"/>
  <c r="M496" i="9"/>
  <c r="L496" i="9"/>
  <c r="K496" i="9"/>
  <c r="Q495" i="9"/>
  <c r="P495" i="9"/>
  <c r="O495" i="9"/>
  <c r="N495" i="9"/>
  <c r="M495" i="9"/>
  <c r="L495" i="9"/>
  <c r="K495" i="9"/>
  <c r="Q494" i="9"/>
  <c r="P494" i="9"/>
  <c r="O494" i="9"/>
  <c r="N494" i="9"/>
  <c r="M494" i="9"/>
  <c r="L494" i="9"/>
  <c r="K494" i="9"/>
  <c r="Q493" i="9"/>
  <c r="P493" i="9"/>
  <c r="O493" i="9"/>
  <c r="N493" i="9"/>
  <c r="M493" i="9"/>
  <c r="L493" i="9"/>
  <c r="K493" i="9"/>
  <c r="C493" i="9"/>
  <c r="Q492" i="9"/>
  <c r="P492" i="9"/>
  <c r="O492" i="9"/>
  <c r="N492" i="9"/>
  <c r="M492" i="9"/>
  <c r="L492" i="9"/>
  <c r="K492" i="9"/>
  <c r="Q491" i="9"/>
  <c r="P491" i="9"/>
  <c r="O491" i="9"/>
  <c r="N491" i="9"/>
  <c r="M491" i="9"/>
  <c r="L491" i="9"/>
  <c r="K491" i="9"/>
  <c r="Q490" i="9"/>
  <c r="P490" i="9"/>
  <c r="O490" i="9"/>
  <c r="N490" i="9"/>
  <c r="M490" i="9"/>
  <c r="L490" i="9"/>
  <c r="K490" i="9"/>
  <c r="Q489" i="9"/>
  <c r="P489" i="9"/>
  <c r="O489" i="9"/>
  <c r="N489" i="9"/>
  <c r="M489" i="9"/>
  <c r="L489" i="9"/>
  <c r="K489" i="9"/>
  <c r="Q488" i="9"/>
  <c r="P488" i="9"/>
  <c r="O488" i="9"/>
  <c r="N488" i="9"/>
  <c r="M488" i="9"/>
  <c r="L488" i="9"/>
  <c r="K488" i="9"/>
  <c r="Q487" i="9"/>
  <c r="P487" i="9"/>
  <c r="O487" i="9"/>
  <c r="N487" i="9"/>
  <c r="M487" i="9"/>
  <c r="L487" i="9"/>
  <c r="K487" i="9"/>
  <c r="Q486" i="9"/>
  <c r="P486" i="9"/>
  <c r="O486" i="9"/>
  <c r="N486" i="9"/>
  <c r="M486" i="9"/>
  <c r="L486" i="9"/>
  <c r="K486" i="9"/>
  <c r="Q485" i="9"/>
  <c r="P485" i="9"/>
  <c r="O485" i="9"/>
  <c r="N485" i="9"/>
  <c r="M485" i="9"/>
  <c r="L485" i="9"/>
  <c r="K485" i="9"/>
  <c r="Q484" i="9"/>
  <c r="P484" i="9"/>
  <c r="O484" i="9"/>
  <c r="N484" i="9"/>
  <c r="M484" i="9"/>
  <c r="L484" i="9"/>
  <c r="K484" i="9"/>
  <c r="Q483" i="9"/>
  <c r="P483" i="9"/>
  <c r="O483" i="9"/>
  <c r="N483" i="9"/>
  <c r="M483" i="9"/>
  <c r="L483" i="9"/>
  <c r="K483" i="9"/>
  <c r="Q482" i="9"/>
  <c r="P482" i="9"/>
  <c r="O482" i="9"/>
  <c r="N482" i="9"/>
  <c r="M482" i="9"/>
  <c r="L482" i="9"/>
  <c r="K482" i="9"/>
  <c r="Q481" i="9"/>
  <c r="P481" i="9"/>
  <c r="O481" i="9"/>
  <c r="N481" i="9"/>
  <c r="M481" i="9"/>
  <c r="L481" i="9"/>
  <c r="K481" i="9"/>
  <c r="Q480" i="9"/>
  <c r="P480" i="9"/>
  <c r="O480" i="9"/>
  <c r="N480" i="9"/>
  <c r="M480" i="9"/>
  <c r="L480" i="9"/>
  <c r="K480" i="9"/>
  <c r="Q479" i="9"/>
  <c r="P479" i="9"/>
  <c r="O479" i="9"/>
  <c r="N479" i="9"/>
  <c r="M479" i="9"/>
  <c r="L479" i="9"/>
  <c r="K479" i="9"/>
  <c r="Q478" i="9"/>
  <c r="P478" i="9"/>
  <c r="O478" i="9"/>
  <c r="N478" i="9"/>
  <c r="M478" i="9"/>
  <c r="L478" i="9"/>
  <c r="K478" i="9"/>
  <c r="Q477" i="9"/>
  <c r="P477" i="9"/>
  <c r="O477" i="9"/>
  <c r="N477" i="9"/>
  <c r="M477" i="9"/>
  <c r="L477" i="9"/>
  <c r="K477" i="9"/>
  <c r="Q476" i="9"/>
  <c r="P476" i="9"/>
  <c r="O476" i="9"/>
  <c r="N476" i="9"/>
  <c r="M476" i="9"/>
  <c r="L476" i="9"/>
  <c r="K476" i="9"/>
  <c r="Q475" i="9"/>
  <c r="P475" i="9"/>
  <c r="O475" i="9"/>
  <c r="N475" i="9"/>
  <c r="M475" i="9"/>
  <c r="L475" i="9"/>
  <c r="K475" i="9"/>
  <c r="Q474" i="9"/>
  <c r="P474" i="9"/>
  <c r="O474" i="9"/>
  <c r="N474" i="9"/>
  <c r="M474" i="9"/>
  <c r="L474" i="9"/>
  <c r="K474" i="9"/>
  <c r="Q473" i="9"/>
  <c r="P473" i="9"/>
  <c r="O473" i="9"/>
  <c r="N473" i="9"/>
  <c r="M473" i="9"/>
  <c r="L473" i="9"/>
  <c r="K473" i="9"/>
  <c r="Q472" i="9"/>
  <c r="P472" i="9"/>
  <c r="O472" i="9"/>
  <c r="N472" i="9"/>
  <c r="M472" i="9"/>
  <c r="L472" i="9"/>
  <c r="K472" i="9"/>
  <c r="Q471" i="9"/>
  <c r="P471" i="9"/>
  <c r="O471" i="9"/>
  <c r="N471" i="9"/>
  <c r="M471" i="9"/>
  <c r="L471" i="9"/>
  <c r="K471" i="9"/>
  <c r="Q470" i="9"/>
  <c r="P470" i="9"/>
  <c r="O470" i="9"/>
  <c r="N470" i="9"/>
  <c r="M470" i="9"/>
  <c r="L470" i="9"/>
  <c r="K470" i="9"/>
  <c r="Q469" i="9"/>
  <c r="P469" i="9"/>
  <c r="O469" i="9"/>
  <c r="N469" i="9"/>
  <c r="M469" i="9"/>
  <c r="L469" i="9"/>
  <c r="K469" i="9"/>
  <c r="Q468" i="9"/>
  <c r="P468" i="9"/>
  <c r="O468" i="9"/>
  <c r="N468" i="9"/>
  <c r="M468" i="9"/>
  <c r="L468" i="9"/>
  <c r="K468" i="9"/>
  <c r="Q467" i="9"/>
  <c r="P467" i="9"/>
  <c r="O467" i="9"/>
  <c r="N467" i="9"/>
  <c r="M467" i="9"/>
  <c r="L467" i="9"/>
  <c r="K467" i="9"/>
  <c r="Q466" i="9"/>
  <c r="P466" i="9"/>
  <c r="O466" i="9"/>
  <c r="N466" i="9"/>
  <c r="M466" i="9"/>
  <c r="L466" i="9"/>
  <c r="K466" i="9"/>
  <c r="Q465" i="9"/>
  <c r="P465" i="9"/>
  <c r="O465" i="9"/>
  <c r="N465" i="9"/>
  <c r="M465" i="9"/>
  <c r="L465" i="9"/>
  <c r="K465" i="9"/>
  <c r="Q464" i="9"/>
  <c r="P464" i="9"/>
  <c r="O464" i="9"/>
  <c r="N464" i="9"/>
  <c r="M464" i="9"/>
  <c r="L464" i="9"/>
  <c r="K464" i="9"/>
  <c r="Q463" i="9"/>
  <c r="P463" i="9"/>
  <c r="O463" i="9"/>
  <c r="N463" i="9"/>
  <c r="M463" i="9"/>
  <c r="L463" i="9"/>
  <c r="K463" i="9"/>
  <c r="Q462" i="9"/>
  <c r="P462" i="9"/>
  <c r="O462" i="9"/>
  <c r="N462" i="9"/>
  <c r="M462" i="9"/>
  <c r="L462" i="9"/>
  <c r="K462" i="9"/>
  <c r="Q461" i="9"/>
  <c r="P461" i="9"/>
  <c r="O461" i="9"/>
  <c r="N461" i="9"/>
  <c r="M461" i="9"/>
  <c r="L461" i="9"/>
  <c r="K461" i="9"/>
  <c r="Q460" i="9"/>
  <c r="P460" i="9"/>
  <c r="O460" i="9"/>
  <c r="N460" i="9"/>
  <c r="M460" i="9"/>
  <c r="L460" i="9"/>
  <c r="K460" i="9"/>
  <c r="Q459" i="9"/>
  <c r="P459" i="9"/>
  <c r="O459" i="9"/>
  <c r="N459" i="9"/>
  <c r="M459" i="9"/>
  <c r="L459" i="9"/>
  <c r="K459" i="9"/>
  <c r="Q458" i="9"/>
  <c r="P458" i="9"/>
  <c r="O458" i="9"/>
  <c r="N458" i="9"/>
  <c r="M458" i="9"/>
  <c r="L458" i="9"/>
  <c r="K458" i="9"/>
  <c r="Q457" i="9"/>
  <c r="P457" i="9"/>
  <c r="O457" i="9"/>
  <c r="N457" i="9"/>
  <c r="M457" i="9"/>
  <c r="L457" i="9"/>
  <c r="K457" i="9"/>
  <c r="Q456" i="9"/>
  <c r="P456" i="9"/>
  <c r="O456" i="9"/>
  <c r="N456" i="9"/>
  <c r="M456" i="9"/>
  <c r="L456" i="9"/>
  <c r="K456" i="9"/>
  <c r="Q455" i="9"/>
  <c r="P455" i="9"/>
  <c r="O455" i="9"/>
  <c r="N455" i="9"/>
  <c r="M455" i="9"/>
  <c r="L455" i="9"/>
  <c r="K455" i="9"/>
  <c r="Q454" i="9"/>
  <c r="P454" i="9"/>
  <c r="O454" i="9"/>
  <c r="N454" i="9"/>
  <c r="M454" i="9"/>
  <c r="L454" i="9"/>
  <c r="K454" i="9"/>
  <c r="Q453" i="9"/>
  <c r="P453" i="9"/>
  <c r="O453" i="9"/>
  <c r="N453" i="9"/>
  <c r="M453" i="9"/>
  <c r="L453" i="9"/>
  <c r="K453" i="9"/>
  <c r="Q452" i="9"/>
  <c r="P452" i="9"/>
  <c r="O452" i="9"/>
  <c r="N452" i="9"/>
  <c r="M452" i="9"/>
  <c r="L452" i="9"/>
  <c r="K452" i="9"/>
  <c r="Q451" i="9"/>
  <c r="P451" i="9"/>
  <c r="O451" i="9"/>
  <c r="N451" i="9"/>
  <c r="M451" i="9"/>
  <c r="L451" i="9"/>
  <c r="K451" i="9"/>
  <c r="Q450" i="9"/>
  <c r="P450" i="9"/>
  <c r="O450" i="9"/>
  <c r="N450" i="9"/>
  <c r="M450" i="9"/>
  <c r="L450" i="9"/>
  <c r="K450" i="9"/>
  <c r="Q449" i="9"/>
  <c r="P449" i="9"/>
  <c r="O449" i="9"/>
  <c r="N449" i="9"/>
  <c r="M449" i="9"/>
  <c r="L449" i="9"/>
  <c r="K449" i="9"/>
  <c r="Q448" i="9"/>
  <c r="P448" i="9"/>
  <c r="O448" i="9"/>
  <c r="N448" i="9"/>
  <c r="M448" i="9"/>
  <c r="L448" i="9"/>
  <c r="K448" i="9"/>
  <c r="Q447" i="9"/>
  <c r="P447" i="9"/>
  <c r="O447" i="9"/>
  <c r="N447" i="9"/>
  <c r="M447" i="9"/>
  <c r="L447" i="9"/>
  <c r="K447" i="9"/>
  <c r="Q446" i="9"/>
  <c r="P446" i="9"/>
  <c r="O446" i="9"/>
  <c r="N446" i="9"/>
  <c r="M446" i="9"/>
  <c r="L446" i="9"/>
  <c r="K446" i="9"/>
  <c r="Q445" i="9"/>
  <c r="P445" i="9"/>
  <c r="O445" i="9"/>
  <c r="N445" i="9"/>
  <c r="M445" i="9"/>
  <c r="L445" i="9"/>
  <c r="K445" i="9"/>
  <c r="Q444" i="9"/>
  <c r="P444" i="9"/>
  <c r="O444" i="9"/>
  <c r="N444" i="9"/>
  <c r="M444" i="9"/>
  <c r="L444" i="9"/>
  <c r="K444" i="9"/>
  <c r="Q443" i="9"/>
  <c r="P443" i="9"/>
  <c r="O443" i="9"/>
  <c r="N443" i="9"/>
  <c r="M443" i="9"/>
  <c r="L443" i="9"/>
  <c r="K443" i="9"/>
  <c r="Q442" i="9"/>
  <c r="P442" i="9"/>
  <c r="O442" i="9"/>
  <c r="N442" i="9"/>
  <c r="M442" i="9"/>
  <c r="L442" i="9"/>
  <c r="K442" i="9"/>
  <c r="Q441" i="9"/>
  <c r="P441" i="9"/>
  <c r="O441" i="9"/>
  <c r="N441" i="9"/>
  <c r="M441" i="9"/>
  <c r="L441" i="9"/>
  <c r="K441" i="9"/>
  <c r="Q440" i="9"/>
  <c r="P440" i="9"/>
  <c r="O440" i="9"/>
  <c r="N440" i="9"/>
  <c r="M440" i="9"/>
  <c r="L440" i="9"/>
  <c r="K440" i="9"/>
  <c r="Q439" i="9"/>
  <c r="P439" i="9"/>
  <c r="O439" i="9"/>
  <c r="N439" i="9"/>
  <c r="M439" i="9"/>
  <c r="L439" i="9"/>
  <c r="K439" i="9"/>
  <c r="Q438" i="9"/>
  <c r="P438" i="9"/>
  <c r="O438" i="9"/>
  <c r="N438" i="9"/>
  <c r="M438" i="9"/>
  <c r="L438" i="9"/>
  <c r="K438" i="9"/>
  <c r="Q437" i="9"/>
  <c r="P437" i="9"/>
  <c r="O437" i="9"/>
  <c r="N437" i="9"/>
  <c r="M437" i="9"/>
  <c r="L437" i="9"/>
  <c r="K437" i="9"/>
  <c r="Q436" i="9"/>
  <c r="P436" i="9"/>
  <c r="O436" i="9"/>
  <c r="N436" i="9"/>
  <c r="M436" i="9"/>
  <c r="L436" i="9"/>
  <c r="K436" i="9"/>
  <c r="Q435" i="9"/>
  <c r="P435" i="9"/>
  <c r="O435" i="9"/>
  <c r="N435" i="9"/>
  <c r="M435" i="9"/>
  <c r="L435" i="9"/>
  <c r="K435" i="9"/>
  <c r="Q434" i="9"/>
  <c r="P434" i="9"/>
  <c r="O434" i="9"/>
  <c r="N434" i="9"/>
  <c r="M434" i="9"/>
  <c r="L434" i="9"/>
  <c r="K434" i="9"/>
  <c r="Q433" i="9"/>
  <c r="P433" i="9"/>
  <c r="O433" i="9"/>
  <c r="N433" i="9"/>
  <c r="M433" i="9"/>
  <c r="L433" i="9"/>
  <c r="K433" i="9"/>
  <c r="Q432" i="9"/>
  <c r="P432" i="9"/>
  <c r="O432" i="9"/>
  <c r="N432" i="9"/>
  <c r="M432" i="9"/>
  <c r="L432" i="9"/>
  <c r="K432" i="9"/>
  <c r="Q431" i="9"/>
  <c r="P431" i="9"/>
  <c r="O431" i="9"/>
  <c r="N431" i="9"/>
  <c r="M431" i="9"/>
  <c r="L431" i="9"/>
  <c r="K431" i="9"/>
  <c r="Q430" i="9"/>
  <c r="P430" i="9"/>
  <c r="O430" i="9"/>
  <c r="N430" i="9"/>
  <c r="M430" i="9"/>
  <c r="L430" i="9"/>
  <c r="K430" i="9"/>
  <c r="Q429" i="9"/>
  <c r="P429" i="9"/>
  <c r="O429" i="9"/>
  <c r="N429" i="9"/>
  <c r="M429" i="9"/>
  <c r="L429" i="9"/>
  <c r="K429" i="9"/>
  <c r="Q428" i="9"/>
  <c r="P428" i="9"/>
  <c r="O428" i="9"/>
  <c r="N428" i="9"/>
  <c r="M428" i="9"/>
  <c r="L428" i="9"/>
  <c r="K428" i="9"/>
  <c r="Q427" i="9"/>
  <c r="P427" i="9"/>
  <c r="O427" i="9"/>
  <c r="N427" i="9"/>
  <c r="M427" i="9"/>
  <c r="L427" i="9"/>
  <c r="K427" i="9"/>
  <c r="Q426" i="9"/>
  <c r="P426" i="9"/>
  <c r="O426" i="9"/>
  <c r="N426" i="9"/>
  <c r="M426" i="9"/>
  <c r="L426" i="9"/>
  <c r="K426" i="9"/>
  <c r="Q425" i="9"/>
  <c r="P425" i="9"/>
  <c r="O425" i="9"/>
  <c r="N425" i="9"/>
  <c r="M425" i="9"/>
  <c r="L425" i="9"/>
  <c r="K425" i="9"/>
  <c r="Q424" i="9"/>
  <c r="P424" i="9"/>
  <c r="O424" i="9"/>
  <c r="N424" i="9"/>
  <c r="M424" i="9"/>
  <c r="L424" i="9"/>
  <c r="K424" i="9"/>
  <c r="Q423" i="9"/>
  <c r="P423" i="9"/>
  <c r="O423" i="9"/>
  <c r="N423" i="9"/>
  <c r="M423" i="9"/>
  <c r="L423" i="9"/>
  <c r="K423" i="9"/>
  <c r="Q422" i="9"/>
  <c r="P422" i="9"/>
  <c r="O422" i="9"/>
  <c r="N422" i="9"/>
  <c r="M422" i="9"/>
  <c r="L422" i="9"/>
  <c r="K422" i="9"/>
  <c r="Q421" i="9"/>
  <c r="P421" i="9"/>
  <c r="O421" i="9"/>
  <c r="N421" i="9"/>
  <c r="M421" i="9"/>
  <c r="L421" i="9"/>
  <c r="K421" i="9"/>
  <c r="Q420" i="9"/>
  <c r="P420" i="9"/>
  <c r="O420" i="9"/>
  <c r="N420" i="9"/>
  <c r="M420" i="9"/>
  <c r="L420" i="9"/>
  <c r="K420" i="9"/>
  <c r="Q419" i="9"/>
  <c r="P419" i="9"/>
  <c r="O419" i="9"/>
  <c r="N419" i="9"/>
  <c r="M419" i="9"/>
  <c r="L419" i="9"/>
  <c r="K419" i="9"/>
  <c r="Q418" i="9"/>
  <c r="P418" i="9"/>
  <c r="O418" i="9"/>
  <c r="N418" i="9"/>
  <c r="M418" i="9"/>
  <c r="L418" i="9"/>
  <c r="K418" i="9"/>
  <c r="Q417" i="9"/>
  <c r="P417" i="9"/>
  <c r="O417" i="9"/>
  <c r="N417" i="9"/>
  <c r="M417" i="9"/>
  <c r="L417" i="9"/>
  <c r="K417" i="9"/>
  <c r="Q416" i="9"/>
  <c r="P416" i="9"/>
  <c r="O416" i="9"/>
  <c r="N416" i="9"/>
  <c r="M416" i="9"/>
  <c r="L416" i="9"/>
  <c r="K416" i="9"/>
  <c r="Q415" i="9"/>
  <c r="P415" i="9"/>
  <c r="O415" i="9"/>
  <c r="N415" i="9"/>
  <c r="M415" i="9"/>
  <c r="L415" i="9"/>
  <c r="K415" i="9"/>
  <c r="Q414" i="9"/>
  <c r="P414" i="9"/>
  <c r="O414" i="9"/>
  <c r="N414" i="9"/>
  <c r="M414" i="9"/>
  <c r="L414" i="9"/>
  <c r="K414" i="9"/>
  <c r="Q413" i="9"/>
  <c r="P413" i="9"/>
  <c r="O413" i="9"/>
  <c r="N413" i="9"/>
  <c r="M413" i="9"/>
  <c r="L413" i="9"/>
  <c r="K413" i="9"/>
  <c r="Q412" i="9"/>
  <c r="P412" i="9"/>
  <c r="O412" i="9"/>
  <c r="N412" i="9"/>
  <c r="M412" i="9"/>
  <c r="L412" i="9"/>
  <c r="K412" i="9"/>
  <c r="Q411" i="9"/>
  <c r="P411" i="9"/>
  <c r="O411" i="9"/>
  <c r="N411" i="9"/>
  <c r="M411" i="9"/>
  <c r="L411" i="9"/>
  <c r="K411" i="9"/>
  <c r="Q410" i="9"/>
  <c r="P410" i="9"/>
  <c r="O410" i="9"/>
  <c r="N410" i="9"/>
  <c r="M410" i="9"/>
  <c r="L410" i="9"/>
  <c r="K410" i="9"/>
  <c r="Q409" i="9"/>
  <c r="P409" i="9"/>
  <c r="O409" i="9"/>
  <c r="N409" i="9"/>
  <c r="M409" i="9"/>
  <c r="L409" i="9"/>
  <c r="K409" i="9"/>
  <c r="Q408" i="9"/>
  <c r="P408" i="9"/>
  <c r="O408" i="9"/>
  <c r="N408" i="9"/>
  <c r="M408" i="9"/>
  <c r="L408" i="9"/>
  <c r="K408" i="9"/>
  <c r="Q407" i="9"/>
  <c r="P407" i="9"/>
  <c r="O407" i="9"/>
  <c r="N407" i="9"/>
  <c r="M407" i="9"/>
  <c r="L407" i="9"/>
  <c r="K407" i="9"/>
  <c r="Q406" i="9"/>
  <c r="P406" i="9"/>
  <c r="O406" i="9"/>
  <c r="N406" i="9"/>
  <c r="M406" i="9"/>
  <c r="L406" i="9"/>
  <c r="K406" i="9"/>
  <c r="Q405" i="9"/>
  <c r="P405" i="9"/>
  <c r="O405" i="9"/>
  <c r="N405" i="9"/>
  <c r="M405" i="9"/>
  <c r="L405" i="9"/>
  <c r="K405" i="9"/>
  <c r="Q404" i="9"/>
  <c r="P404" i="9"/>
  <c r="O404" i="9"/>
  <c r="N404" i="9"/>
  <c r="M404" i="9"/>
  <c r="L404" i="9"/>
  <c r="K404" i="9"/>
  <c r="Q403" i="9"/>
  <c r="P403" i="9"/>
  <c r="O403" i="9"/>
  <c r="N403" i="9"/>
  <c r="M403" i="9"/>
  <c r="L403" i="9"/>
  <c r="K403" i="9"/>
  <c r="Q402" i="9"/>
  <c r="P402" i="9"/>
  <c r="O402" i="9"/>
  <c r="N402" i="9"/>
  <c r="M402" i="9"/>
  <c r="L402" i="9"/>
  <c r="K402" i="9"/>
  <c r="Q401" i="9"/>
  <c r="P401" i="9"/>
  <c r="O401" i="9"/>
  <c r="N401" i="9"/>
  <c r="M401" i="9"/>
  <c r="L401" i="9"/>
  <c r="K401" i="9"/>
  <c r="Q400" i="9"/>
  <c r="P400" i="9"/>
  <c r="O400" i="9"/>
  <c r="N400" i="9"/>
  <c r="M400" i="9"/>
  <c r="L400" i="9"/>
  <c r="K400" i="9"/>
  <c r="Q399" i="9"/>
  <c r="P399" i="9"/>
  <c r="O399" i="9"/>
  <c r="N399" i="9"/>
  <c r="M399" i="9"/>
  <c r="L399" i="9"/>
  <c r="K399" i="9"/>
  <c r="Q398" i="9"/>
  <c r="P398" i="9"/>
  <c r="O398" i="9"/>
  <c r="N398" i="9"/>
  <c r="M398" i="9"/>
  <c r="L398" i="9"/>
  <c r="K398" i="9"/>
  <c r="Q397" i="9"/>
  <c r="P397" i="9"/>
  <c r="O397" i="9"/>
  <c r="N397" i="9"/>
  <c r="M397" i="9"/>
  <c r="L397" i="9"/>
  <c r="K397" i="9"/>
  <c r="C397" i="9"/>
  <c r="Q396" i="9"/>
  <c r="P396" i="9"/>
  <c r="O396" i="9"/>
  <c r="N396" i="9"/>
  <c r="M396" i="9"/>
  <c r="L396" i="9"/>
  <c r="K396" i="9"/>
  <c r="Q395" i="9"/>
  <c r="P395" i="9"/>
  <c r="O395" i="9"/>
  <c r="N395" i="9"/>
  <c r="M395" i="9"/>
  <c r="L395" i="9"/>
  <c r="K395" i="9"/>
  <c r="Q394" i="9"/>
  <c r="P394" i="9"/>
  <c r="O394" i="9"/>
  <c r="N394" i="9"/>
  <c r="M394" i="9"/>
  <c r="L394" i="9"/>
  <c r="K394" i="9"/>
  <c r="Q393" i="9"/>
  <c r="P393" i="9"/>
  <c r="O393" i="9"/>
  <c r="N393" i="9"/>
  <c r="M393" i="9"/>
  <c r="L393" i="9"/>
  <c r="K393" i="9"/>
  <c r="Q392" i="9"/>
  <c r="P392" i="9"/>
  <c r="O392" i="9"/>
  <c r="N392" i="9"/>
  <c r="M392" i="9"/>
  <c r="L392" i="9"/>
  <c r="K392" i="9"/>
  <c r="Q391" i="9"/>
  <c r="P391" i="9"/>
  <c r="O391" i="9"/>
  <c r="N391" i="9"/>
  <c r="M391" i="9"/>
  <c r="L391" i="9"/>
  <c r="K391" i="9"/>
  <c r="Q390" i="9"/>
  <c r="P390" i="9"/>
  <c r="O390" i="9"/>
  <c r="N390" i="9"/>
  <c r="M390" i="9"/>
  <c r="L390" i="9"/>
  <c r="K390" i="9"/>
  <c r="Q389" i="9"/>
  <c r="P389" i="9"/>
  <c r="O389" i="9"/>
  <c r="N389" i="9"/>
  <c r="M389" i="9"/>
  <c r="L389" i="9"/>
  <c r="K389" i="9"/>
  <c r="Q388" i="9"/>
  <c r="P388" i="9"/>
  <c r="O388" i="9"/>
  <c r="N388" i="9"/>
  <c r="M388" i="9"/>
  <c r="L388" i="9"/>
  <c r="K388" i="9"/>
  <c r="Q387" i="9"/>
  <c r="P387" i="9"/>
  <c r="O387" i="9"/>
  <c r="N387" i="9"/>
  <c r="M387" i="9"/>
  <c r="L387" i="9"/>
  <c r="K387" i="9"/>
  <c r="Q386" i="9"/>
  <c r="P386" i="9"/>
  <c r="O386" i="9"/>
  <c r="N386" i="9"/>
  <c r="M386" i="9"/>
  <c r="L386" i="9"/>
  <c r="K386" i="9"/>
  <c r="Q385" i="9"/>
  <c r="P385" i="9"/>
  <c r="O385" i="9"/>
  <c r="N385" i="9"/>
  <c r="M385" i="9"/>
  <c r="L385" i="9"/>
  <c r="K385" i="9"/>
  <c r="Q384" i="9"/>
  <c r="P384" i="9"/>
  <c r="O384" i="9"/>
  <c r="N384" i="9"/>
  <c r="M384" i="9"/>
  <c r="L384" i="9"/>
  <c r="K384" i="9"/>
  <c r="Q383" i="9"/>
  <c r="P383" i="9"/>
  <c r="O383" i="9"/>
  <c r="N383" i="9"/>
  <c r="M383" i="9"/>
  <c r="L383" i="9"/>
  <c r="K383" i="9"/>
  <c r="Q382" i="9"/>
  <c r="P382" i="9"/>
  <c r="O382" i="9"/>
  <c r="N382" i="9"/>
  <c r="M382" i="9"/>
  <c r="L382" i="9"/>
  <c r="K382" i="9"/>
  <c r="Q381" i="9"/>
  <c r="P381" i="9"/>
  <c r="O381" i="9"/>
  <c r="N381" i="9"/>
  <c r="M381" i="9"/>
  <c r="L381" i="9"/>
  <c r="K381" i="9"/>
  <c r="Q380" i="9"/>
  <c r="P380" i="9"/>
  <c r="O380" i="9"/>
  <c r="N380" i="9"/>
  <c r="M380" i="9"/>
  <c r="L380" i="9"/>
  <c r="K380" i="9"/>
  <c r="Q379" i="9"/>
  <c r="P379" i="9"/>
  <c r="O379" i="9"/>
  <c r="N379" i="9"/>
  <c r="M379" i="9"/>
  <c r="L379" i="9"/>
  <c r="K379" i="9"/>
  <c r="Q378" i="9"/>
  <c r="P378" i="9"/>
  <c r="O378" i="9"/>
  <c r="N378" i="9"/>
  <c r="M378" i="9"/>
  <c r="L378" i="9"/>
  <c r="K378" i="9"/>
  <c r="Q377" i="9"/>
  <c r="P377" i="9"/>
  <c r="O377" i="9"/>
  <c r="N377" i="9"/>
  <c r="M377" i="9"/>
  <c r="L377" i="9"/>
  <c r="K377" i="9"/>
  <c r="Q376" i="9"/>
  <c r="P376" i="9"/>
  <c r="O376" i="9"/>
  <c r="N376" i="9"/>
  <c r="M376" i="9"/>
  <c r="L376" i="9"/>
  <c r="K376" i="9"/>
  <c r="Q375" i="9"/>
  <c r="P375" i="9"/>
  <c r="O375" i="9"/>
  <c r="N375" i="9"/>
  <c r="M375" i="9"/>
  <c r="L375" i="9"/>
  <c r="K375" i="9"/>
  <c r="Q374" i="9"/>
  <c r="P374" i="9"/>
  <c r="O374" i="9"/>
  <c r="N374" i="9"/>
  <c r="M374" i="9"/>
  <c r="L374" i="9"/>
  <c r="K374" i="9"/>
  <c r="Q373" i="9"/>
  <c r="P373" i="9"/>
  <c r="O373" i="9"/>
  <c r="N373" i="9"/>
  <c r="M373" i="9"/>
  <c r="L373" i="9"/>
  <c r="K373" i="9"/>
  <c r="Q372" i="9"/>
  <c r="P372" i="9"/>
  <c r="O372" i="9"/>
  <c r="N372" i="9"/>
  <c r="M372" i="9"/>
  <c r="L372" i="9"/>
  <c r="K372" i="9"/>
  <c r="Q371" i="9"/>
  <c r="P371" i="9"/>
  <c r="O371" i="9"/>
  <c r="N371" i="9"/>
  <c r="M371" i="9"/>
  <c r="L371" i="9"/>
  <c r="K371" i="9"/>
  <c r="Q370" i="9"/>
  <c r="P370" i="9"/>
  <c r="O370" i="9"/>
  <c r="N370" i="9"/>
  <c r="M370" i="9"/>
  <c r="L370" i="9"/>
  <c r="K370" i="9"/>
  <c r="Q369" i="9"/>
  <c r="P369" i="9"/>
  <c r="O369" i="9"/>
  <c r="N369" i="9"/>
  <c r="M369" i="9"/>
  <c r="L369" i="9"/>
  <c r="K369" i="9"/>
  <c r="Q368" i="9"/>
  <c r="P368" i="9"/>
  <c r="O368" i="9"/>
  <c r="N368" i="9"/>
  <c r="M368" i="9"/>
  <c r="L368" i="9"/>
  <c r="K368" i="9"/>
  <c r="Q367" i="9"/>
  <c r="P367" i="9"/>
  <c r="O367" i="9"/>
  <c r="N367" i="9"/>
  <c r="M367" i="9"/>
  <c r="L367" i="9"/>
  <c r="K367" i="9"/>
  <c r="Q366" i="9"/>
  <c r="P366" i="9"/>
  <c r="O366" i="9"/>
  <c r="N366" i="9"/>
  <c r="M366" i="9"/>
  <c r="L366" i="9"/>
  <c r="K366" i="9"/>
  <c r="Q365" i="9"/>
  <c r="P365" i="9"/>
  <c r="O365" i="9"/>
  <c r="N365" i="9"/>
  <c r="M365" i="9"/>
  <c r="L365" i="9"/>
  <c r="K365" i="9"/>
  <c r="Q364" i="9"/>
  <c r="P364" i="9"/>
  <c r="O364" i="9"/>
  <c r="N364" i="9"/>
  <c r="M364" i="9"/>
  <c r="L364" i="9"/>
  <c r="K364" i="9"/>
  <c r="Q363" i="9"/>
  <c r="P363" i="9"/>
  <c r="O363" i="9"/>
  <c r="N363" i="9"/>
  <c r="M363" i="9"/>
  <c r="L363" i="9"/>
  <c r="K363" i="9"/>
  <c r="Q362" i="9"/>
  <c r="P362" i="9"/>
  <c r="O362" i="9"/>
  <c r="N362" i="9"/>
  <c r="M362" i="9"/>
  <c r="L362" i="9"/>
  <c r="K362" i="9"/>
  <c r="Q361" i="9"/>
  <c r="P361" i="9"/>
  <c r="O361" i="9"/>
  <c r="N361" i="9"/>
  <c r="M361" i="9"/>
  <c r="L361" i="9"/>
  <c r="K361" i="9"/>
  <c r="Q360" i="9"/>
  <c r="P360" i="9"/>
  <c r="O360" i="9"/>
  <c r="N360" i="9"/>
  <c r="M360" i="9"/>
  <c r="L360" i="9"/>
  <c r="K360" i="9"/>
  <c r="Q359" i="9"/>
  <c r="P359" i="9"/>
  <c r="O359" i="9"/>
  <c r="N359" i="9"/>
  <c r="M359" i="9"/>
  <c r="L359" i="9"/>
  <c r="K359" i="9"/>
  <c r="Q358" i="9"/>
  <c r="P358" i="9"/>
  <c r="O358" i="9"/>
  <c r="N358" i="9"/>
  <c r="M358" i="9"/>
  <c r="L358" i="9"/>
  <c r="K358" i="9"/>
  <c r="Q357" i="9"/>
  <c r="P357" i="9"/>
  <c r="O357" i="9"/>
  <c r="N357" i="9"/>
  <c r="M357" i="9"/>
  <c r="L357" i="9"/>
  <c r="K357" i="9"/>
  <c r="Q356" i="9"/>
  <c r="P356" i="9"/>
  <c r="O356" i="9"/>
  <c r="N356" i="9"/>
  <c r="M356" i="9"/>
  <c r="L356" i="9"/>
  <c r="K356" i="9"/>
  <c r="Q355" i="9"/>
  <c r="P355" i="9"/>
  <c r="O355" i="9"/>
  <c r="N355" i="9"/>
  <c r="M355" i="9"/>
  <c r="L355" i="9"/>
  <c r="K355" i="9"/>
  <c r="Q354" i="9"/>
  <c r="P354" i="9"/>
  <c r="O354" i="9"/>
  <c r="N354" i="9"/>
  <c r="M354" i="9"/>
  <c r="L354" i="9"/>
  <c r="K354" i="9"/>
  <c r="Q353" i="9"/>
  <c r="P353" i="9"/>
  <c r="O353" i="9"/>
  <c r="N353" i="9"/>
  <c r="M353" i="9"/>
  <c r="L353" i="9"/>
  <c r="K353" i="9"/>
  <c r="Q352" i="9"/>
  <c r="P352" i="9"/>
  <c r="O352" i="9"/>
  <c r="N352" i="9"/>
  <c r="M352" i="9"/>
  <c r="L352" i="9"/>
  <c r="K352" i="9"/>
  <c r="Q351" i="9"/>
  <c r="P351" i="9"/>
  <c r="O351" i="9"/>
  <c r="N351" i="9"/>
  <c r="M351" i="9"/>
  <c r="L351" i="9"/>
  <c r="K351" i="9"/>
  <c r="Q350" i="9"/>
  <c r="P350" i="9"/>
  <c r="O350" i="9"/>
  <c r="N350" i="9"/>
  <c r="M350" i="9"/>
  <c r="L350" i="9"/>
  <c r="K350" i="9"/>
  <c r="Q349" i="9"/>
  <c r="P349" i="9"/>
  <c r="O349" i="9"/>
  <c r="N349" i="9"/>
  <c r="M349" i="9"/>
  <c r="L349" i="9"/>
  <c r="K349" i="9"/>
  <c r="Q348" i="9"/>
  <c r="P348" i="9"/>
  <c r="O348" i="9"/>
  <c r="N348" i="9"/>
  <c r="M348" i="9"/>
  <c r="L348" i="9"/>
  <c r="K348" i="9"/>
  <c r="Q347" i="9"/>
  <c r="P347" i="9"/>
  <c r="O347" i="9"/>
  <c r="N347" i="9"/>
  <c r="M347" i="9"/>
  <c r="L347" i="9"/>
  <c r="K347" i="9"/>
  <c r="Q346" i="9"/>
  <c r="P346" i="9"/>
  <c r="O346" i="9"/>
  <c r="N346" i="9"/>
  <c r="M346" i="9"/>
  <c r="L346" i="9"/>
  <c r="K346" i="9"/>
  <c r="C346" i="9"/>
  <c r="Q345" i="9"/>
  <c r="P345" i="9"/>
  <c r="O345" i="9"/>
  <c r="N345" i="9"/>
  <c r="M345" i="9"/>
  <c r="L345" i="9"/>
  <c r="K345" i="9"/>
  <c r="Q344" i="9"/>
  <c r="P344" i="9"/>
  <c r="O344" i="9"/>
  <c r="N344" i="9"/>
  <c r="M344" i="9"/>
  <c r="L344" i="9"/>
  <c r="K344" i="9"/>
  <c r="Q343" i="9"/>
  <c r="P343" i="9"/>
  <c r="O343" i="9"/>
  <c r="N343" i="9"/>
  <c r="M343" i="9"/>
  <c r="L343" i="9"/>
  <c r="K343" i="9"/>
  <c r="Q342" i="9"/>
  <c r="P342" i="9"/>
  <c r="O342" i="9"/>
  <c r="N342" i="9"/>
  <c r="M342" i="9"/>
  <c r="L342" i="9"/>
  <c r="K342" i="9"/>
  <c r="Q341" i="9"/>
  <c r="P341" i="9"/>
  <c r="O341" i="9"/>
  <c r="N341" i="9"/>
  <c r="M341" i="9"/>
  <c r="L341" i="9"/>
  <c r="K341" i="9"/>
  <c r="C341" i="9"/>
  <c r="Q340" i="9"/>
  <c r="P340" i="9"/>
  <c r="O340" i="9"/>
  <c r="N340" i="9"/>
  <c r="M340" i="9"/>
  <c r="L340" i="9"/>
  <c r="K340" i="9"/>
  <c r="Q339" i="9"/>
  <c r="P339" i="9"/>
  <c r="O339" i="9"/>
  <c r="N339" i="9"/>
  <c r="M339" i="9"/>
  <c r="L339" i="9"/>
  <c r="K339" i="9"/>
  <c r="Q338" i="9"/>
  <c r="P338" i="9"/>
  <c r="O338" i="9"/>
  <c r="N338" i="9"/>
  <c r="M338" i="9"/>
  <c r="L338" i="9"/>
  <c r="K338" i="9"/>
  <c r="Q337" i="9"/>
  <c r="P337" i="9"/>
  <c r="O337" i="9"/>
  <c r="N337" i="9"/>
  <c r="M337" i="9"/>
  <c r="L337" i="9"/>
  <c r="K337" i="9"/>
  <c r="Q336" i="9"/>
  <c r="P336" i="9"/>
  <c r="O336" i="9"/>
  <c r="N336" i="9"/>
  <c r="M336" i="9"/>
  <c r="L336" i="9"/>
  <c r="K336" i="9"/>
  <c r="Q335" i="9"/>
  <c r="P335" i="9"/>
  <c r="O335" i="9"/>
  <c r="N335" i="9"/>
  <c r="M335" i="9"/>
  <c r="L335" i="9"/>
  <c r="K335" i="9"/>
  <c r="Q334" i="9"/>
  <c r="P334" i="9"/>
  <c r="O334" i="9"/>
  <c r="N334" i="9"/>
  <c r="M334" i="9"/>
  <c r="L334" i="9"/>
  <c r="K334" i="9"/>
  <c r="Q333" i="9"/>
  <c r="P333" i="9"/>
  <c r="O333" i="9"/>
  <c r="N333" i="9"/>
  <c r="M333" i="9"/>
  <c r="L333" i="9"/>
  <c r="K333" i="9"/>
  <c r="Q332" i="9"/>
  <c r="P332" i="9"/>
  <c r="O332" i="9"/>
  <c r="N332" i="9"/>
  <c r="M332" i="9"/>
  <c r="L332" i="9"/>
  <c r="K332" i="9"/>
  <c r="Q331" i="9"/>
  <c r="P331" i="9"/>
  <c r="O331" i="9"/>
  <c r="N331" i="9"/>
  <c r="M331" i="9"/>
  <c r="L331" i="9"/>
  <c r="K331" i="9"/>
  <c r="Q330" i="9"/>
  <c r="P330" i="9"/>
  <c r="O330" i="9"/>
  <c r="N330" i="9"/>
  <c r="M330" i="9"/>
  <c r="L330" i="9"/>
  <c r="K330" i="9"/>
  <c r="Q329" i="9"/>
  <c r="P329" i="9"/>
  <c r="O329" i="9"/>
  <c r="N329" i="9"/>
  <c r="M329" i="9"/>
  <c r="L329" i="9"/>
  <c r="K329" i="9"/>
  <c r="Q328" i="9"/>
  <c r="P328" i="9"/>
  <c r="O328" i="9"/>
  <c r="N328" i="9"/>
  <c r="M328" i="9"/>
  <c r="L328" i="9"/>
  <c r="K328" i="9"/>
  <c r="Q327" i="9"/>
  <c r="P327" i="9"/>
  <c r="O327" i="9"/>
  <c r="N327" i="9"/>
  <c r="M327" i="9"/>
  <c r="L327" i="9"/>
  <c r="K327" i="9"/>
  <c r="Q326" i="9"/>
  <c r="P326" i="9"/>
  <c r="O326" i="9"/>
  <c r="N326" i="9"/>
  <c r="M326" i="9"/>
  <c r="L326" i="9"/>
  <c r="K326" i="9"/>
  <c r="Q325" i="9"/>
  <c r="P325" i="9"/>
  <c r="O325" i="9"/>
  <c r="N325" i="9"/>
  <c r="M325" i="9"/>
  <c r="L325" i="9"/>
  <c r="K325" i="9"/>
  <c r="Q324" i="9"/>
  <c r="P324" i="9"/>
  <c r="O324" i="9"/>
  <c r="N324" i="9"/>
  <c r="M324" i="9"/>
  <c r="L324" i="9"/>
  <c r="K324" i="9"/>
  <c r="Q323" i="9"/>
  <c r="P323" i="9"/>
  <c r="O323" i="9"/>
  <c r="N323" i="9"/>
  <c r="M323" i="9"/>
  <c r="L323" i="9"/>
  <c r="K323" i="9"/>
  <c r="Q322" i="9"/>
  <c r="P322" i="9"/>
  <c r="O322" i="9"/>
  <c r="N322" i="9"/>
  <c r="M322" i="9"/>
  <c r="L322" i="9"/>
  <c r="K322" i="9"/>
  <c r="Q321" i="9"/>
  <c r="P321" i="9"/>
  <c r="O321" i="9"/>
  <c r="N321" i="9"/>
  <c r="M321" i="9"/>
  <c r="L321" i="9"/>
  <c r="K321" i="9"/>
  <c r="Q320" i="9"/>
  <c r="P320" i="9"/>
  <c r="O320" i="9"/>
  <c r="N320" i="9"/>
  <c r="M320" i="9"/>
  <c r="L320" i="9"/>
  <c r="K320" i="9"/>
  <c r="Q319" i="9"/>
  <c r="P319" i="9"/>
  <c r="O319" i="9"/>
  <c r="N319" i="9"/>
  <c r="M319" i="9"/>
  <c r="L319" i="9"/>
  <c r="K319" i="9"/>
  <c r="Q318" i="9"/>
  <c r="P318" i="9"/>
  <c r="O318" i="9"/>
  <c r="N318" i="9"/>
  <c r="M318" i="9"/>
  <c r="L318" i="9"/>
  <c r="K318" i="9"/>
  <c r="Q317" i="9"/>
  <c r="P317" i="9"/>
  <c r="O317" i="9"/>
  <c r="N317" i="9"/>
  <c r="M317" i="9"/>
  <c r="L317" i="9"/>
  <c r="K317" i="9"/>
  <c r="Q316" i="9"/>
  <c r="P316" i="9"/>
  <c r="O316" i="9"/>
  <c r="N316" i="9"/>
  <c r="M316" i="9"/>
  <c r="L316" i="9"/>
  <c r="K316" i="9"/>
  <c r="C316" i="9"/>
  <c r="Q315" i="9"/>
  <c r="P315" i="9"/>
  <c r="O315" i="9"/>
  <c r="N315" i="9"/>
  <c r="M315" i="9"/>
  <c r="L315" i="9"/>
  <c r="K315" i="9"/>
  <c r="Q314" i="9"/>
  <c r="P314" i="9"/>
  <c r="O314" i="9"/>
  <c r="N314" i="9"/>
  <c r="M314" i="9"/>
  <c r="L314" i="9"/>
  <c r="K314" i="9"/>
  <c r="Q313" i="9"/>
  <c r="P313" i="9"/>
  <c r="O313" i="9"/>
  <c r="N313" i="9"/>
  <c r="M313" i="9"/>
  <c r="L313" i="9"/>
  <c r="K313" i="9"/>
  <c r="Q312" i="9"/>
  <c r="P312" i="9"/>
  <c r="O312" i="9"/>
  <c r="N312" i="9"/>
  <c r="M312" i="9"/>
  <c r="L312" i="9"/>
  <c r="K312" i="9"/>
  <c r="Q311" i="9"/>
  <c r="P311" i="9"/>
  <c r="O311" i="9"/>
  <c r="N311" i="9"/>
  <c r="M311" i="9"/>
  <c r="L311" i="9"/>
  <c r="K311" i="9"/>
  <c r="Q310" i="9"/>
  <c r="P310" i="9"/>
  <c r="O310" i="9"/>
  <c r="N310" i="9"/>
  <c r="M310" i="9"/>
  <c r="L310" i="9"/>
  <c r="K310" i="9"/>
  <c r="Q309" i="9"/>
  <c r="P309" i="9"/>
  <c r="O309" i="9"/>
  <c r="N309" i="9"/>
  <c r="M309" i="9"/>
  <c r="L309" i="9"/>
  <c r="K309" i="9"/>
  <c r="Q308" i="9"/>
  <c r="P308" i="9"/>
  <c r="O308" i="9"/>
  <c r="N308" i="9"/>
  <c r="M308" i="9"/>
  <c r="L308" i="9"/>
  <c r="K308" i="9"/>
  <c r="Q307" i="9"/>
  <c r="P307" i="9"/>
  <c r="O307" i="9"/>
  <c r="N307" i="9"/>
  <c r="M307" i="9"/>
  <c r="L307" i="9"/>
  <c r="K307" i="9"/>
  <c r="Q306" i="9"/>
  <c r="P306" i="9"/>
  <c r="O306" i="9"/>
  <c r="N306" i="9"/>
  <c r="M306" i="9"/>
  <c r="L306" i="9"/>
  <c r="K306" i="9"/>
  <c r="Q305" i="9"/>
  <c r="P305" i="9"/>
  <c r="O305" i="9"/>
  <c r="N305" i="9"/>
  <c r="M305" i="9"/>
  <c r="L305" i="9"/>
  <c r="K305" i="9"/>
  <c r="Q304" i="9"/>
  <c r="P304" i="9"/>
  <c r="O304" i="9"/>
  <c r="N304" i="9"/>
  <c r="M304" i="9"/>
  <c r="L304" i="9"/>
  <c r="K304" i="9"/>
  <c r="Q303" i="9"/>
  <c r="P303" i="9"/>
  <c r="O303" i="9"/>
  <c r="N303" i="9"/>
  <c r="M303" i="9"/>
  <c r="L303" i="9"/>
  <c r="K303" i="9"/>
  <c r="Q302" i="9"/>
  <c r="P302" i="9"/>
  <c r="O302" i="9"/>
  <c r="N302" i="9"/>
  <c r="M302" i="9"/>
  <c r="L302" i="9"/>
  <c r="K302" i="9"/>
  <c r="Q301" i="9"/>
  <c r="P301" i="9"/>
  <c r="O301" i="9"/>
  <c r="N301" i="9"/>
  <c r="M301" i="9"/>
  <c r="L301" i="9"/>
  <c r="K301" i="9"/>
  <c r="Q300" i="9"/>
  <c r="P300" i="9"/>
  <c r="O300" i="9"/>
  <c r="N300" i="9"/>
  <c r="M300" i="9"/>
  <c r="L300" i="9"/>
  <c r="K300" i="9"/>
  <c r="Q299" i="9"/>
  <c r="P299" i="9"/>
  <c r="O299" i="9"/>
  <c r="N299" i="9"/>
  <c r="M299" i="9"/>
  <c r="L299" i="9"/>
  <c r="K299" i="9"/>
  <c r="Q298" i="9"/>
  <c r="P298" i="9"/>
  <c r="O298" i="9"/>
  <c r="N298" i="9"/>
  <c r="M298" i="9"/>
  <c r="L298" i="9"/>
  <c r="K298" i="9"/>
  <c r="Q297" i="9"/>
  <c r="P297" i="9"/>
  <c r="O297" i="9"/>
  <c r="N297" i="9"/>
  <c r="M297" i="9"/>
  <c r="L297" i="9"/>
  <c r="K297" i="9"/>
  <c r="Q296" i="9"/>
  <c r="P296" i="9"/>
  <c r="O296" i="9"/>
  <c r="N296" i="9"/>
  <c r="M296" i="9"/>
  <c r="L296" i="9"/>
  <c r="K296" i="9"/>
  <c r="Q295" i="9"/>
  <c r="P295" i="9"/>
  <c r="O295" i="9"/>
  <c r="N295" i="9"/>
  <c r="M295" i="9"/>
  <c r="L295" i="9"/>
  <c r="K295" i="9"/>
  <c r="Q294" i="9"/>
  <c r="P294" i="9"/>
  <c r="O294" i="9"/>
  <c r="N294" i="9"/>
  <c r="M294" i="9"/>
  <c r="L294" i="9"/>
  <c r="K294" i="9"/>
  <c r="Q293" i="9"/>
  <c r="P293" i="9"/>
  <c r="O293" i="9"/>
  <c r="N293" i="9"/>
  <c r="M293" i="9"/>
  <c r="L293" i="9"/>
  <c r="K293" i="9"/>
  <c r="Q292" i="9"/>
  <c r="P292" i="9"/>
  <c r="O292" i="9"/>
  <c r="N292" i="9"/>
  <c r="M292" i="9"/>
  <c r="L292" i="9"/>
  <c r="K292" i="9"/>
  <c r="Q291" i="9"/>
  <c r="P291" i="9"/>
  <c r="O291" i="9"/>
  <c r="N291" i="9"/>
  <c r="M291" i="9"/>
  <c r="L291" i="9"/>
  <c r="K291" i="9"/>
  <c r="Q290" i="9"/>
  <c r="P290" i="9"/>
  <c r="O290" i="9"/>
  <c r="N290" i="9"/>
  <c r="M290" i="9"/>
  <c r="L290" i="9"/>
  <c r="K290" i="9"/>
  <c r="C290" i="9"/>
  <c r="Q289" i="9"/>
  <c r="P289" i="9"/>
  <c r="O289" i="9"/>
  <c r="N289" i="9"/>
  <c r="M289" i="9"/>
  <c r="L289" i="9"/>
  <c r="K289" i="9"/>
  <c r="Q288" i="9"/>
  <c r="P288" i="9"/>
  <c r="O288" i="9"/>
  <c r="N288" i="9"/>
  <c r="M288" i="9"/>
  <c r="L288" i="9"/>
  <c r="K288" i="9"/>
  <c r="Q287" i="9"/>
  <c r="P287" i="9"/>
  <c r="O287" i="9"/>
  <c r="N287" i="9"/>
  <c r="M287" i="9"/>
  <c r="L287" i="9"/>
  <c r="K287" i="9"/>
  <c r="Q286" i="9"/>
  <c r="P286" i="9"/>
  <c r="O286" i="9"/>
  <c r="N286" i="9"/>
  <c r="M286" i="9"/>
  <c r="L286" i="9"/>
  <c r="K286" i="9"/>
  <c r="Q285" i="9"/>
  <c r="P285" i="9"/>
  <c r="O285" i="9"/>
  <c r="N285" i="9"/>
  <c r="M285" i="9"/>
  <c r="L285" i="9"/>
  <c r="K285" i="9"/>
  <c r="Q284" i="9"/>
  <c r="P284" i="9"/>
  <c r="O284" i="9"/>
  <c r="N284" i="9"/>
  <c r="M284" i="9"/>
  <c r="L284" i="9"/>
  <c r="K284" i="9"/>
  <c r="Q283" i="9"/>
  <c r="P283" i="9"/>
  <c r="O283" i="9"/>
  <c r="N283" i="9"/>
  <c r="M283" i="9"/>
  <c r="L283" i="9"/>
  <c r="K283" i="9"/>
  <c r="Q282" i="9"/>
  <c r="P282" i="9"/>
  <c r="O282" i="9"/>
  <c r="N282" i="9"/>
  <c r="M282" i="9"/>
  <c r="L282" i="9"/>
  <c r="K282" i="9"/>
  <c r="Q281" i="9"/>
  <c r="P281" i="9"/>
  <c r="O281" i="9"/>
  <c r="N281" i="9"/>
  <c r="M281" i="9"/>
  <c r="L281" i="9"/>
  <c r="K281" i="9"/>
  <c r="Q280" i="9"/>
  <c r="P280" i="9"/>
  <c r="O280" i="9"/>
  <c r="N280" i="9"/>
  <c r="M280" i="9"/>
  <c r="L280" i="9"/>
  <c r="K280" i="9"/>
  <c r="Q279" i="9"/>
  <c r="P279" i="9"/>
  <c r="O279" i="9"/>
  <c r="N279" i="9"/>
  <c r="M279" i="9"/>
  <c r="L279" i="9"/>
  <c r="K279" i="9"/>
  <c r="Q278" i="9"/>
  <c r="P278" i="9"/>
  <c r="O278" i="9"/>
  <c r="N278" i="9"/>
  <c r="M278" i="9"/>
  <c r="L278" i="9"/>
  <c r="K278" i="9"/>
  <c r="Q277" i="9"/>
  <c r="P277" i="9"/>
  <c r="O277" i="9"/>
  <c r="N277" i="9"/>
  <c r="M277" i="9"/>
  <c r="L277" i="9"/>
  <c r="K277" i="9"/>
  <c r="Q276" i="9"/>
  <c r="P276" i="9"/>
  <c r="O276" i="9"/>
  <c r="N276" i="9"/>
  <c r="M276" i="9"/>
  <c r="L276" i="9"/>
  <c r="K276" i="9"/>
  <c r="Q275" i="9"/>
  <c r="P275" i="9"/>
  <c r="O275" i="9"/>
  <c r="N275" i="9"/>
  <c r="M275" i="9"/>
  <c r="L275" i="9"/>
  <c r="K275" i="9"/>
  <c r="C275" i="9"/>
  <c r="Q274" i="9"/>
  <c r="P274" i="9"/>
  <c r="O274" i="9"/>
  <c r="N274" i="9"/>
  <c r="M274" i="9"/>
  <c r="L274" i="9"/>
  <c r="K274" i="9"/>
  <c r="Q273" i="9"/>
  <c r="P273" i="9"/>
  <c r="O273" i="9"/>
  <c r="N273" i="9"/>
  <c r="M273" i="9"/>
  <c r="L273" i="9"/>
  <c r="K273" i="9"/>
  <c r="Q272" i="9"/>
  <c r="P272" i="9"/>
  <c r="O272" i="9"/>
  <c r="N272" i="9"/>
  <c r="M272" i="9"/>
  <c r="L272" i="9"/>
  <c r="K272" i="9"/>
  <c r="Q271" i="9"/>
  <c r="P271" i="9"/>
  <c r="O271" i="9"/>
  <c r="N271" i="9"/>
  <c r="M271" i="9"/>
  <c r="L271" i="9"/>
  <c r="K271" i="9"/>
  <c r="Q270" i="9"/>
  <c r="P270" i="9"/>
  <c r="O270" i="9"/>
  <c r="N270" i="9"/>
  <c r="M270" i="9"/>
  <c r="L270" i="9"/>
  <c r="K270" i="9"/>
  <c r="Q269" i="9"/>
  <c r="P269" i="9"/>
  <c r="O269" i="9"/>
  <c r="N269" i="9"/>
  <c r="M269" i="9"/>
  <c r="L269" i="9"/>
  <c r="K269" i="9"/>
  <c r="Q268" i="9"/>
  <c r="P268" i="9"/>
  <c r="O268" i="9"/>
  <c r="N268" i="9"/>
  <c r="M268" i="9"/>
  <c r="L268" i="9"/>
  <c r="K268" i="9"/>
  <c r="Q267" i="9"/>
  <c r="P267" i="9"/>
  <c r="O267" i="9"/>
  <c r="N267" i="9"/>
  <c r="M267" i="9"/>
  <c r="L267" i="9"/>
  <c r="K267" i="9"/>
  <c r="Q266" i="9"/>
  <c r="P266" i="9"/>
  <c r="O266" i="9"/>
  <c r="N266" i="9"/>
  <c r="M266" i="9"/>
  <c r="L266" i="9"/>
  <c r="K266" i="9"/>
  <c r="Q265" i="9"/>
  <c r="P265" i="9"/>
  <c r="O265" i="9"/>
  <c r="N265" i="9"/>
  <c r="M265" i="9"/>
  <c r="L265" i="9"/>
  <c r="K265" i="9"/>
  <c r="Q264" i="9"/>
  <c r="P264" i="9"/>
  <c r="O264" i="9"/>
  <c r="N264" i="9"/>
  <c r="M264" i="9"/>
  <c r="L264" i="9"/>
  <c r="K264" i="9"/>
  <c r="Q263" i="9"/>
  <c r="P263" i="9"/>
  <c r="O263" i="9"/>
  <c r="N263" i="9"/>
  <c r="M263" i="9"/>
  <c r="L263" i="9"/>
  <c r="K263" i="9"/>
  <c r="Q262" i="9"/>
  <c r="P262" i="9"/>
  <c r="O262" i="9"/>
  <c r="N262" i="9"/>
  <c r="M262" i="9"/>
  <c r="L262" i="9"/>
  <c r="K262" i="9"/>
  <c r="Q261" i="9"/>
  <c r="P261" i="9"/>
  <c r="O261" i="9"/>
  <c r="N261" i="9"/>
  <c r="M261" i="9"/>
  <c r="L261" i="9"/>
  <c r="K261" i="9"/>
  <c r="Q260" i="9"/>
  <c r="P260" i="9"/>
  <c r="O260" i="9"/>
  <c r="N260" i="9"/>
  <c r="M260" i="9"/>
  <c r="L260" i="9"/>
  <c r="K260" i="9"/>
  <c r="Q259" i="9"/>
  <c r="P259" i="9"/>
  <c r="O259" i="9"/>
  <c r="N259" i="9"/>
  <c r="M259" i="9"/>
  <c r="L259" i="9"/>
  <c r="K259" i="9"/>
  <c r="Q258" i="9"/>
  <c r="P258" i="9"/>
  <c r="O258" i="9"/>
  <c r="N258" i="9"/>
  <c r="M258" i="9"/>
  <c r="L258" i="9"/>
  <c r="K258" i="9"/>
  <c r="Q257" i="9"/>
  <c r="P257" i="9"/>
  <c r="O257" i="9"/>
  <c r="N257" i="9"/>
  <c r="M257" i="9"/>
  <c r="L257" i="9"/>
  <c r="K257" i="9"/>
  <c r="Q256" i="9"/>
  <c r="P256" i="9"/>
  <c r="O256" i="9"/>
  <c r="N256" i="9"/>
  <c r="M256" i="9"/>
  <c r="L256" i="9"/>
  <c r="K256" i="9"/>
  <c r="Q255" i="9"/>
  <c r="P255" i="9"/>
  <c r="O255" i="9"/>
  <c r="N255" i="9"/>
  <c r="M255" i="9"/>
  <c r="L255" i="9"/>
  <c r="K255" i="9"/>
  <c r="Q254" i="9"/>
  <c r="P254" i="9"/>
  <c r="O254" i="9"/>
  <c r="N254" i="9"/>
  <c r="M254" i="9"/>
  <c r="L254" i="9"/>
  <c r="K254" i="9"/>
  <c r="Q253" i="9"/>
  <c r="P253" i="9"/>
  <c r="O253" i="9"/>
  <c r="N253" i="9"/>
  <c r="M253" i="9"/>
  <c r="L253" i="9"/>
  <c r="K253" i="9"/>
  <c r="Q252" i="9"/>
  <c r="P252" i="9"/>
  <c r="O252" i="9"/>
  <c r="N252" i="9"/>
  <c r="M252" i="9"/>
  <c r="L252" i="9"/>
  <c r="K252" i="9"/>
  <c r="Q251" i="9"/>
  <c r="P251" i="9"/>
  <c r="O251" i="9"/>
  <c r="N251" i="9"/>
  <c r="M251" i="9"/>
  <c r="L251" i="9"/>
  <c r="K251" i="9"/>
  <c r="Q250" i="9"/>
  <c r="P250" i="9"/>
  <c r="O250" i="9"/>
  <c r="N250" i="9"/>
  <c r="M250" i="9"/>
  <c r="L250" i="9"/>
  <c r="K250" i="9"/>
  <c r="Q249" i="9"/>
  <c r="P249" i="9"/>
  <c r="O249" i="9"/>
  <c r="N249" i="9"/>
  <c r="M249" i="9"/>
  <c r="L249" i="9"/>
  <c r="K249" i="9"/>
  <c r="Q248" i="9"/>
  <c r="P248" i="9"/>
  <c r="O248" i="9"/>
  <c r="N248" i="9"/>
  <c r="M248" i="9"/>
  <c r="L248" i="9"/>
  <c r="K248" i="9"/>
  <c r="Q247" i="9"/>
  <c r="P247" i="9"/>
  <c r="O247" i="9"/>
  <c r="N247" i="9"/>
  <c r="M247" i="9"/>
  <c r="L247" i="9"/>
  <c r="K247" i="9"/>
  <c r="Q246" i="9"/>
  <c r="P246" i="9"/>
  <c r="O246" i="9"/>
  <c r="N246" i="9"/>
  <c r="M246" i="9"/>
  <c r="L246" i="9"/>
  <c r="K246" i="9"/>
  <c r="Q245" i="9"/>
  <c r="P245" i="9"/>
  <c r="O245" i="9"/>
  <c r="N245" i="9"/>
  <c r="M245" i="9"/>
  <c r="L245" i="9"/>
  <c r="K245" i="9"/>
  <c r="Q244" i="9"/>
  <c r="P244" i="9"/>
  <c r="O244" i="9"/>
  <c r="N244" i="9"/>
  <c r="M244" i="9"/>
  <c r="L244" i="9"/>
  <c r="K244" i="9"/>
  <c r="Q243" i="9"/>
  <c r="P243" i="9"/>
  <c r="O243" i="9"/>
  <c r="N243" i="9"/>
  <c r="M243" i="9"/>
  <c r="L243" i="9"/>
  <c r="K243" i="9"/>
  <c r="Q242" i="9"/>
  <c r="P242" i="9"/>
  <c r="O242" i="9"/>
  <c r="N242" i="9"/>
  <c r="M242" i="9"/>
  <c r="L242" i="9"/>
  <c r="K242" i="9"/>
  <c r="Q241" i="9"/>
  <c r="P241" i="9"/>
  <c r="O241" i="9"/>
  <c r="N241" i="9"/>
  <c r="M241" i="9"/>
  <c r="L241" i="9"/>
  <c r="K241" i="9"/>
  <c r="C241" i="9"/>
  <c r="Q240" i="9"/>
  <c r="P240" i="9"/>
  <c r="O240" i="9"/>
  <c r="N240" i="9"/>
  <c r="M240" i="9"/>
  <c r="L240" i="9"/>
  <c r="K240" i="9"/>
  <c r="Q239" i="9"/>
  <c r="P239" i="9"/>
  <c r="O239" i="9"/>
  <c r="N239" i="9"/>
  <c r="M239" i="9"/>
  <c r="L239" i="9"/>
  <c r="K239" i="9"/>
  <c r="Q238" i="9"/>
  <c r="P238" i="9"/>
  <c r="O238" i="9"/>
  <c r="N238" i="9"/>
  <c r="M238" i="9"/>
  <c r="L238" i="9"/>
  <c r="K238" i="9"/>
  <c r="Q237" i="9"/>
  <c r="P237" i="9"/>
  <c r="O237" i="9"/>
  <c r="N237" i="9"/>
  <c r="M237" i="9"/>
  <c r="L237" i="9"/>
  <c r="K237" i="9"/>
  <c r="Q236" i="9"/>
  <c r="P236" i="9"/>
  <c r="O236" i="9"/>
  <c r="N236" i="9"/>
  <c r="M236" i="9"/>
  <c r="L236" i="9"/>
  <c r="K236" i="9"/>
  <c r="Q235" i="9"/>
  <c r="P235" i="9"/>
  <c r="O235" i="9"/>
  <c r="N235" i="9"/>
  <c r="M235" i="9"/>
  <c r="L235" i="9"/>
  <c r="K235" i="9"/>
  <c r="Q234" i="9"/>
  <c r="P234" i="9"/>
  <c r="O234" i="9"/>
  <c r="N234" i="9"/>
  <c r="M234" i="9"/>
  <c r="L234" i="9"/>
  <c r="K234" i="9"/>
  <c r="Q233" i="9"/>
  <c r="P233" i="9"/>
  <c r="O233" i="9"/>
  <c r="N233" i="9"/>
  <c r="M233" i="9"/>
  <c r="L233" i="9"/>
  <c r="K233" i="9"/>
  <c r="Q232" i="9"/>
  <c r="P232" i="9"/>
  <c r="O232" i="9"/>
  <c r="N232" i="9"/>
  <c r="M232" i="9"/>
  <c r="L232" i="9"/>
  <c r="K232" i="9"/>
  <c r="Q231" i="9"/>
  <c r="P231" i="9"/>
  <c r="O231" i="9"/>
  <c r="N231" i="9"/>
  <c r="M231" i="9"/>
  <c r="L231" i="9"/>
  <c r="K231" i="9"/>
  <c r="Q230" i="9"/>
  <c r="P230" i="9"/>
  <c r="O230" i="9"/>
  <c r="N230" i="9"/>
  <c r="M230" i="9"/>
  <c r="L230" i="9"/>
  <c r="K230" i="9"/>
  <c r="Q229" i="9"/>
  <c r="P229" i="9"/>
  <c r="O229" i="9"/>
  <c r="N229" i="9"/>
  <c r="M229" i="9"/>
  <c r="L229" i="9"/>
  <c r="K229" i="9"/>
  <c r="Q228" i="9"/>
  <c r="P228" i="9"/>
  <c r="O228" i="9"/>
  <c r="N228" i="9"/>
  <c r="M228" i="9"/>
  <c r="L228" i="9"/>
  <c r="K228" i="9"/>
  <c r="Q227" i="9"/>
  <c r="P227" i="9"/>
  <c r="O227" i="9"/>
  <c r="N227" i="9"/>
  <c r="M227" i="9"/>
  <c r="L227" i="9"/>
  <c r="K227" i="9"/>
  <c r="Q226" i="9"/>
  <c r="P226" i="9"/>
  <c r="O226" i="9"/>
  <c r="N226" i="9"/>
  <c r="M226" i="9"/>
  <c r="L226" i="9"/>
  <c r="K226" i="9"/>
  <c r="Q225" i="9"/>
  <c r="P225" i="9"/>
  <c r="O225" i="9"/>
  <c r="N225" i="9"/>
  <c r="M225" i="9"/>
  <c r="L225" i="9"/>
  <c r="K225" i="9"/>
  <c r="Q224" i="9"/>
  <c r="P224" i="9"/>
  <c r="O224" i="9"/>
  <c r="N224" i="9"/>
  <c r="M224" i="9"/>
  <c r="L224" i="9"/>
  <c r="K224" i="9"/>
  <c r="Q223" i="9"/>
  <c r="P223" i="9"/>
  <c r="O223" i="9"/>
  <c r="N223" i="9"/>
  <c r="M223" i="9"/>
  <c r="L223" i="9"/>
  <c r="K223" i="9"/>
  <c r="Q222" i="9"/>
  <c r="P222" i="9"/>
  <c r="O222" i="9"/>
  <c r="N222" i="9"/>
  <c r="M222" i="9"/>
  <c r="L222" i="9"/>
  <c r="K222" i="9"/>
  <c r="Q221" i="9"/>
  <c r="P221" i="9"/>
  <c r="O221" i="9"/>
  <c r="N221" i="9"/>
  <c r="M221" i="9"/>
  <c r="L221" i="9"/>
  <c r="K221" i="9"/>
  <c r="Q220" i="9"/>
  <c r="P220" i="9"/>
  <c r="O220" i="9"/>
  <c r="N220" i="9"/>
  <c r="M220" i="9"/>
  <c r="L220" i="9"/>
  <c r="K220" i="9"/>
  <c r="Q219" i="9"/>
  <c r="P219" i="9"/>
  <c r="O219" i="9"/>
  <c r="N219" i="9"/>
  <c r="M219" i="9"/>
  <c r="L219" i="9"/>
  <c r="K219" i="9"/>
  <c r="Q218" i="9"/>
  <c r="P218" i="9"/>
  <c r="O218" i="9"/>
  <c r="N218" i="9"/>
  <c r="M218" i="9"/>
  <c r="L218" i="9"/>
  <c r="K218" i="9"/>
  <c r="Q217" i="9"/>
  <c r="P217" i="9"/>
  <c r="O217" i="9"/>
  <c r="N217" i="9"/>
  <c r="M217" i="9"/>
  <c r="L217" i="9"/>
  <c r="K217" i="9"/>
  <c r="Q216" i="9"/>
  <c r="P216" i="9"/>
  <c r="O216" i="9"/>
  <c r="N216" i="9"/>
  <c r="M216" i="9"/>
  <c r="L216" i="9"/>
  <c r="K216" i="9"/>
  <c r="Q215" i="9"/>
  <c r="P215" i="9"/>
  <c r="O215" i="9"/>
  <c r="N215" i="9"/>
  <c r="M215" i="9"/>
  <c r="L215" i="9"/>
  <c r="K215" i="9"/>
  <c r="Q214" i="9"/>
  <c r="P214" i="9"/>
  <c r="O214" i="9"/>
  <c r="N214" i="9"/>
  <c r="M214" i="9"/>
  <c r="L214" i="9"/>
  <c r="K214" i="9"/>
  <c r="Q213" i="9"/>
  <c r="P213" i="9"/>
  <c r="O213" i="9"/>
  <c r="N213" i="9"/>
  <c r="M213" i="9"/>
  <c r="L213" i="9"/>
  <c r="K213" i="9"/>
  <c r="Q212" i="9"/>
  <c r="P212" i="9"/>
  <c r="O212" i="9"/>
  <c r="N212" i="9"/>
  <c r="M212" i="9"/>
  <c r="L212" i="9"/>
  <c r="K212" i="9"/>
  <c r="Q211" i="9"/>
  <c r="P211" i="9"/>
  <c r="O211" i="9"/>
  <c r="N211" i="9"/>
  <c r="M211" i="9"/>
  <c r="L211" i="9"/>
  <c r="K211" i="9"/>
  <c r="Q210" i="9"/>
  <c r="P210" i="9"/>
  <c r="O210" i="9"/>
  <c r="N210" i="9"/>
  <c r="M210" i="9"/>
  <c r="L210" i="9"/>
  <c r="K210" i="9"/>
  <c r="Q209" i="9"/>
  <c r="P209" i="9"/>
  <c r="O209" i="9"/>
  <c r="N209" i="9"/>
  <c r="M209" i="9"/>
  <c r="L209" i="9"/>
  <c r="K209" i="9"/>
  <c r="Q208" i="9"/>
  <c r="P208" i="9"/>
  <c r="O208" i="9"/>
  <c r="N208" i="9"/>
  <c r="M208" i="9"/>
  <c r="L208" i="9"/>
  <c r="K208" i="9"/>
  <c r="Q207" i="9"/>
  <c r="P207" i="9"/>
  <c r="O207" i="9"/>
  <c r="N207" i="9"/>
  <c r="M207" i="9"/>
  <c r="L207" i="9"/>
  <c r="K207" i="9"/>
  <c r="Q206" i="9"/>
  <c r="P206" i="9"/>
  <c r="O206" i="9"/>
  <c r="N206" i="9"/>
  <c r="M206" i="9"/>
  <c r="L206" i="9"/>
  <c r="K206" i="9"/>
  <c r="Q205" i="9"/>
  <c r="P205" i="9"/>
  <c r="O205" i="9"/>
  <c r="N205" i="9"/>
  <c r="M205" i="9"/>
  <c r="L205" i="9"/>
  <c r="K205" i="9"/>
  <c r="Q204" i="9"/>
  <c r="P204" i="9"/>
  <c r="O204" i="9"/>
  <c r="N204" i="9"/>
  <c r="M204" i="9"/>
  <c r="L204" i="9"/>
  <c r="K204" i="9"/>
  <c r="Q203" i="9"/>
  <c r="P203" i="9"/>
  <c r="O203" i="9"/>
  <c r="N203" i="9"/>
  <c r="M203" i="9"/>
  <c r="L203" i="9"/>
  <c r="K203" i="9"/>
  <c r="Q202" i="9"/>
  <c r="P202" i="9"/>
  <c r="O202" i="9"/>
  <c r="N202" i="9"/>
  <c r="M202" i="9"/>
  <c r="L202" i="9"/>
  <c r="K202" i="9"/>
  <c r="Q201" i="9"/>
  <c r="P201" i="9"/>
  <c r="O201" i="9"/>
  <c r="N201" i="9"/>
  <c r="M201" i="9"/>
  <c r="L201" i="9"/>
  <c r="K201" i="9"/>
  <c r="Q200" i="9"/>
  <c r="P200" i="9"/>
  <c r="O200" i="9"/>
  <c r="N200" i="9"/>
  <c r="M200" i="9"/>
  <c r="L200" i="9"/>
  <c r="K200" i="9"/>
  <c r="Q199" i="9"/>
  <c r="P199" i="9"/>
  <c r="O199" i="9"/>
  <c r="N199" i="9"/>
  <c r="M199" i="9"/>
  <c r="L199" i="9"/>
  <c r="K199" i="9"/>
  <c r="Q198" i="9"/>
  <c r="P198" i="9"/>
  <c r="O198" i="9"/>
  <c r="N198" i="9"/>
  <c r="M198" i="9"/>
  <c r="L198" i="9"/>
  <c r="K198" i="9"/>
  <c r="Q197" i="9"/>
  <c r="P197" i="9"/>
  <c r="O197" i="9"/>
  <c r="N197" i="9"/>
  <c r="M197" i="9"/>
  <c r="L197" i="9"/>
  <c r="K197" i="9"/>
  <c r="Q196" i="9"/>
  <c r="P196" i="9"/>
  <c r="O196" i="9"/>
  <c r="N196" i="9"/>
  <c r="M196" i="9"/>
  <c r="L196" i="9"/>
  <c r="K196" i="9"/>
  <c r="Q195" i="9"/>
  <c r="P195" i="9"/>
  <c r="O195" i="9"/>
  <c r="N195" i="9"/>
  <c r="M195" i="9"/>
  <c r="L195" i="9"/>
  <c r="K195" i="9"/>
  <c r="Q194" i="9"/>
  <c r="P194" i="9"/>
  <c r="O194" i="9"/>
  <c r="N194" i="9"/>
  <c r="M194" i="9"/>
  <c r="L194" i="9"/>
  <c r="K194" i="9"/>
  <c r="C194" i="9"/>
  <c r="Q193" i="9"/>
  <c r="P193" i="9"/>
  <c r="O193" i="9"/>
  <c r="N193" i="9"/>
  <c r="M193" i="9"/>
  <c r="L193" i="9"/>
  <c r="K193" i="9"/>
  <c r="Q192" i="9"/>
  <c r="P192" i="9"/>
  <c r="O192" i="9"/>
  <c r="N192" i="9"/>
  <c r="M192" i="9"/>
  <c r="L192" i="9"/>
  <c r="K192" i="9"/>
  <c r="Q191" i="9"/>
  <c r="P191" i="9"/>
  <c r="O191" i="9"/>
  <c r="N191" i="9"/>
  <c r="M191" i="9"/>
  <c r="L191" i="9"/>
  <c r="K191" i="9"/>
  <c r="Q190" i="9"/>
  <c r="P190" i="9"/>
  <c r="O190" i="9"/>
  <c r="N190" i="9"/>
  <c r="M190" i="9"/>
  <c r="L190" i="9"/>
  <c r="K190" i="9"/>
  <c r="Q189" i="9"/>
  <c r="P189" i="9"/>
  <c r="O189" i="9"/>
  <c r="N189" i="9"/>
  <c r="M189" i="9"/>
  <c r="L189" i="9"/>
  <c r="K189" i="9"/>
  <c r="Q188" i="9"/>
  <c r="P188" i="9"/>
  <c r="O188" i="9"/>
  <c r="N188" i="9"/>
  <c r="M188" i="9"/>
  <c r="L188" i="9"/>
  <c r="K188" i="9"/>
  <c r="Q187" i="9"/>
  <c r="P187" i="9"/>
  <c r="O187" i="9"/>
  <c r="N187" i="9"/>
  <c r="M187" i="9"/>
  <c r="L187" i="9"/>
  <c r="K187" i="9"/>
  <c r="Q186" i="9"/>
  <c r="P186" i="9"/>
  <c r="O186" i="9"/>
  <c r="N186" i="9"/>
  <c r="M186" i="9"/>
  <c r="L186" i="9"/>
  <c r="K186" i="9"/>
  <c r="Q185" i="9"/>
  <c r="P185" i="9"/>
  <c r="O185" i="9"/>
  <c r="N185" i="9"/>
  <c r="M185" i="9"/>
  <c r="L185" i="9"/>
  <c r="K185" i="9"/>
  <c r="Q184" i="9"/>
  <c r="P184" i="9"/>
  <c r="O184" i="9"/>
  <c r="N184" i="9"/>
  <c r="M184" i="9"/>
  <c r="L184" i="9"/>
  <c r="K184" i="9"/>
  <c r="C184" i="9"/>
  <c r="Q183" i="9"/>
  <c r="P183" i="9"/>
  <c r="O183" i="9"/>
  <c r="N183" i="9"/>
  <c r="M183" i="9"/>
  <c r="L183" i="9"/>
  <c r="K183" i="9"/>
  <c r="Q182" i="9"/>
  <c r="P182" i="9"/>
  <c r="O182" i="9"/>
  <c r="N182" i="9"/>
  <c r="M182" i="9"/>
  <c r="L182" i="9"/>
  <c r="K182" i="9"/>
  <c r="Q181" i="9"/>
  <c r="P181" i="9"/>
  <c r="O181" i="9"/>
  <c r="N181" i="9"/>
  <c r="M181" i="9"/>
  <c r="L181" i="9"/>
  <c r="K181" i="9"/>
  <c r="Q180" i="9"/>
  <c r="P180" i="9"/>
  <c r="O180" i="9"/>
  <c r="N180" i="9"/>
  <c r="M180" i="9"/>
  <c r="L180" i="9"/>
  <c r="K180" i="9"/>
  <c r="Q179" i="9"/>
  <c r="P179" i="9"/>
  <c r="O179" i="9"/>
  <c r="N179" i="9"/>
  <c r="M179" i="9"/>
  <c r="L179" i="9"/>
  <c r="K179" i="9"/>
  <c r="Q178" i="9"/>
  <c r="P178" i="9"/>
  <c r="O178" i="9"/>
  <c r="N178" i="9"/>
  <c r="M178" i="9"/>
  <c r="L178" i="9"/>
  <c r="K178" i="9"/>
  <c r="Q177" i="9"/>
  <c r="P177" i="9"/>
  <c r="O177" i="9"/>
  <c r="N177" i="9"/>
  <c r="M177" i="9"/>
  <c r="L177" i="9"/>
  <c r="K177" i="9"/>
  <c r="Q176" i="9"/>
  <c r="P176" i="9"/>
  <c r="O176" i="9"/>
  <c r="N176" i="9"/>
  <c r="M176" i="9"/>
  <c r="L176" i="9"/>
  <c r="K176" i="9"/>
  <c r="Q175" i="9"/>
  <c r="P175" i="9"/>
  <c r="O175" i="9"/>
  <c r="N175" i="9"/>
  <c r="M175" i="9"/>
  <c r="L175" i="9"/>
  <c r="K175" i="9"/>
  <c r="Q174" i="9"/>
  <c r="P174" i="9"/>
  <c r="O174" i="9"/>
  <c r="N174" i="9"/>
  <c r="M174" i="9"/>
  <c r="L174" i="9"/>
  <c r="K174" i="9"/>
  <c r="Q173" i="9"/>
  <c r="P173" i="9"/>
  <c r="O173" i="9"/>
  <c r="N173" i="9"/>
  <c r="M173" i="9"/>
  <c r="L173" i="9"/>
  <c r="K173" i="9"/>
  <c r="Q172" i="9"/>
  <c r="P172" i="9"/>
  <c r="O172" i="9"/>
  <c r="N172" i="9"/>
  <c r="M172" i="9"/>
  <c r="L172" i="9"/>
  <c r="K172" i="9"/>
  <c r="Q171" i="9"/>
  <c r="P171" i="9"/>
  <c r="O171" i="9"/>
  <c r="N171" i="9"/>
  <c r="M171" i="9"/>
  <c r="L171" i="9"/>
  <c r="K171" i="9"/>
  <c r="Q170" i="9"/>
  <c r="P170" i="9"/>
  <c r="O170" i="9"/>
  <c r="N170" i="9"/>
  <c r="M170" i="9"/>
  <c r="L170" i="9"/>
  <c r="K170" i="9"/>
  <c r="Q169" i="9"/>
  <c r="P169" i="9"/>
  <c r="O169" i="9"/>
  <c r="N169" i="9"/>
  <c r="M169" i="9"/>
  <c r="L169" i="9"/>
  <c r="K169" i="9"/>
  <c r="Q168" i="9"/>
  <c r="P168" i="9"/>
  <c r="O168" i="9"/>
  <c r="N168" i="9"/>
  <c r="M168" i="9"/>
  <c r="L168" i="9"/>
  <c r="K168" i="9"/>
  <c r="Q167" i="9"/>
  <c r="P167" i="9"/>
  <c r="O167" i="9"/>
  <c r="N167" i="9"/>
  <c r="M167" i="9"/>
  <c r="L167" i="9"/>
  <c r="K167" i="9"/>
  <c r="Q166" i="9"/>
  <c r="P166" i="9"/>
  <c r="O166" i="9"/>
  <c r="N166" i="9"/>
  <c r="M166" i="9"/>
  <c r="L166" i="9"/>
  <c r="K166" i="9"/>
  <c r="Q165" i="9"/>
  <c r="P165" i="9"/>
  <c r="O165" i="9"/>
  <c r="N165" i="9"/>
  <c r="M165" i="9"/>
  <c r="L165" i="9"/>
  <c r="K165" i="9"/>
  <c r="Q164" i="9"/>
  <c r="P164" i="9"/>
  <c r="O164" i="9"/>
  <c r="N164" i="9"/>
  <c r="M164" i="9"/>
  <c r="L164" i="9"/>
  <c r="K164" i="9"/>
  <c r="Q163" i="9"/>
  <c r="P163" i="9"/>
  <c r="O163" i="9"/>
  <c r="N163" i="9"/>
  <c r="M163" i="9"/>
  <c r="L163" i="9"/>
  <c r="K163" i="9"/>
  <c r="Q162" i="9"/>
  <c r="P162" i="9"/>
  <c r="O162" i="9"/>
  <c r="N162" i="9"/>
  <c r="M162" i="9"/>
  <c r="L162" i="9"/>
  <c r="K162" i="9"/>
  <c r="Q161" i="9"/>
  <c r="P161" i="9"/>
  <c r="O161" i="9"/>
  <c r="N161" i="9"/>
  <c r="M161" i="9"/>
  <c r="L161" i="9"/>
  <c r="K161" i="9"/>
  <c r="Q160" i="9"/>
  <c r="P160" i="9"/>
  <c r="O160" i="9"/>
  <c r="N160" i="9"/>
  <c r="M160" i="9"/>
  <c r="L160" i="9"/>
  <c r="K160" i="9"/>
  <c r="Q159" i="9"/>
  <c r="P159" i="9"/>
  <c r="O159" i="9"/>
  <c r="N159" i="9"/>
  <c r="M159" i="9"/>
  <c r="L159" i="9"/>
  <c r="K159" i="9"/>
  <c r="Q158" i="9"/>
  <c r="P158" i="9"/>
  <c r="O158" i="9"/>
  <c r="N158" i="9"/>
  <c r="M158" i="9"/>
  <c r="L158" i="9"/>
  <c r="K158" i="9"/>
  <c r="C158" i="9"/>
  <c r="Q157" i="9"/>
  <c r="P157" i="9"/>
  <c r="O157" i="9"/>
  <c r="N157" i="9"/>
  <c r="M157" i="9"/>
  <c r="L157" i="9"/>
  <c r="K157" i="9"/>
  <c r="Q156" i="9"/>
  <c r="P156" i="9"/>
  <c r="O156" i="9"/>
  <c r="N156" i="9"/>
  <c r="M156" i="9"/>
  <c r="L156" i="9"/>
  <c r="K156" i="9"/>
  <c r="Q155" i="9"/>
  <c r="P155" i="9"/>
  <c r="O155" i="9"/>
  <c r="N155" i="9"/>
  <c r="M155" i="9"/>
  <c r="L155" i="9"/>
  <c r="K155" i="9"/>
  <c r="Q154" i="9"/>
  <c r="P154" i="9"/>
  <c r="O154" i="9"/>
  <c r="N154" i="9"/>
  <c r="M154" i="9"/>
  <c r="L154" i="9"/>
  <c r="K154" i="9"/>
  <c r="Q153" i="9"/>
  <c r="P153" i="9"/>
  <c r="O153" i="9"/>
  <c r="N153" i="9"/>
  <c r="M153" i="9"/>
  <c r="L153" i="9"/>
  <c r="K153" i="9"/>
  <c r="Q152" i="9"/>
  <c r="P152" i="9"/>
  <c r="O152" i="9"/>
  <c r="N152" i="9"/>
  <c r="M152" i="9"/>
  <c r="L152" i="9"/>
  <c r="K152" i="9"/>
  <c r="C152" i="9"/>
  <c r="Q151" i="9"/>
  <c r="P151" i="9"/>
  <c r="O151" i="9"/>
  <c r="N151" i="9"/>
  <c r="M151" i="9"/>
  <c r="L151" i="9"/>
  <c r="K151" i="9"/>
  <c r="Q150" i="9"/>
  <c r="P150" i="9"/>
  <c r="O150" i="9"/>
  <c r="N150" i="9"/>
  <c r="M150" i="9"/>
  <c r="L150" i="9"/>
  <c r="K150" i="9"/>
  <c r="Q149" i="9"/>
  <c r="P149" i="9"/>
  <c r="O149" i="9"/>
  <c r="N149" i="9"/>
  <c r="M149" i="9"/>
  <c r="L149" i="9"/>
  <c r="K149" i="9"/>
  <c r="Q148" i="9"/>
  <c r="P148" i="9"/>
  <c r="O148" i="9"/>
  <c r="N148" i="9"/>
  <c r="M148" i="9"/>
  <c r="L148" i="9"/>
  <c r="K148" i="9"/>
  <c r="Q147" i="9"/>
  <c r="P147" i="9"/>
  <c r="O147" i="9"/>
  <c r="N147" i="9"/>
  <c r="M147" i="9"/>
  <c r="L147" i="9"/>
  <c r="K147" i="9"/>
  <c r="C147" i="9"/>
  <c r="Q146" i="9"/>
  <c r="P146" i="9"/>
  <c r="O146" i="9"/>
  <c r="N146" i="9"/>
  <c r="M146" i="9"/>
  <c r="L146" i="9"/>
  <c r="K146" i="9"/>
  <c r="Q145" i="9"/>
  <c r="P145" i="9"/>
  <c r="O145" i="9"/>
  <c r="N145" i="9"/>
  <c r="M145" i="9"/>
  <c r="L145" i="9"/>
  <c r="K145" i="9"/>
  <c r="Q144" i="9"/>
  <c r="P144" i="9"/>
  <c r="O144" i="9"/>
  <c r="N144" i="9"/>
  <c r="M144" i="9"/>
  <c r="L144" i="9"/>
  <c r="K144" i="9"/>
  <c r="C144" i="9"/>
  <c r="Q143" i="9"/>
  <c r="P143" i="9"/>
  <c r="O143" i="9"/>
  <c r="N143" i="9"/>
  <c r="M143" i="9"/>
  <c r="L143" i="9"/>
  <c r="K143" i="9"/>
  <c r="Q142" i="9"/>
  <c r="P142" i="9"/>
  <c r="O142" i="9"/>
  <c r="N142" i="9"/>
  <c r="M142" i="9"/>
  <c r="L142" i="9"/>
  <c r="K142" i="9"/>
  <c r="Q141" i="9"/>
  <c r="P141" i="9"/>
  <c r="O141" i="9"/>
  <c r="N141" i="9"/>
  <c r="M141" i="9"/>
  <c r="L141" i="9"/>
  <c r="K141" i="9"/>
  <c r="Q140" i="9"/>
  <c r="P140" i="9"/>
  <c r="O140" i="9"/>
  <c r="N140" i="9"/>
  <c r="M140" i="9"/>
  <c r="L140" i="9"/>
  <c r="K140" i="9"/>
  <c r="Q139" i="9"/>
  <c r="P139" i="9"/>
  <c r="O139" i="9"/>
  <c r="N139" i="9"/>
  <c r="M139" i="9"/>
  <c r="L139" i="9"/>
  <c r="K139" i="9"/>
  <c r="Q138" i="9"/>
  <c r="P138" i="9"/>
  <c r="O138" i="9"/>
  <c r="N138" i="9"/>
  <c r="M138" i="9"/>
  <c r="L138" i="9"/>
  <c r="K138" i="9"/>
  <c r="C138" i="9"/>
  <c r="Q137" i="9"/>
  <c r="P137" i="9"/>
  <c r="O137" i="9"/>
  <c r="N137" i="9"/>
  <c r="M137" i="9"/>
  <c r="L137" i="9"/>
  <c r="K137" i="9"/>
  <c r="Q136" i="9"/>
  <c r="P136" i="9"/>
  <c r="O136" i="9"/>
  <c r="N136" i="9"/>
  <c r="M136" i="9"/>
  <c r="L136" i="9"/>
  <c r="K136" i="9"/>
  <c r="Q135" i="9"/>
  <c r="P135" i="9"/>
  <c r="O135" i="9"/>
  <c r="N135" i="9"/>
  <c r="M135" i="9"/>
  <c r="L135" i="9"/>
  <c r="K135" i="9"/>
  <c r="Q134" i="9"/>
  <c r="P134" i="9"/>
  <c r="O134" i="9"/>
  <c r="N134" i="9"/>
  <c r="M134" i="9"/>
  <c r="L134" i="9"/>
  <c r="K134" i="9"/>
  <c r="Q133" i="9"/>
  <c r="P133" i="9"/>
  <c r="O133" i="9"/>
  <c r="N133" i="9"/>
  <c r="M133" i="9"/>
  <c r="L133" i="9"/>
  <c r="K133" i="9"/>
  <c r="Q132" i="9"/>
  <c r="P132" i="9"/>
  <c r="O132" i="9"/>
  <c r="N132" i="9"/>
  <c r="M132" i="9"/>
  <c r="L132" i="9"/>
  <c r="K132" i="9"/>
  <c r="Q131" i="9"/>
  <c r="P131" i="9"/>
  <c r="O131" i="9"/>
  <c r="N131" i="9"/>
  <c r="M131" i="9"/>
  <c r="L131" i="9"/>
  <c r="K131" i="9"/>
  <c r="Q130" i="9"/>
  <c r="P130" i="9"/>
  <c r="O130" i="9"/>
  <c r="N130" i="9"/>
  <c r="M130" i="9"/>
  <c r="L130" i="9"/>
  <c r="K130" i="9"/>
  <c r="Q129" i="9"/>
  <c r="P129" i="9"/>
  <c r="O129" i="9"/>
  <c r="N129" i="9"/>
  <c r="M129" i="9"/>
  <c r="L129" i="9"/>
  <c r="K129" i="9"/>
  <c r="Q128" i="9"/>
  <c r="P128" i="9"/>
  <c r="O128" i="9"/>
  <c r="N128" i="9"/>
  <c r="M128" i="9"/>
  <c r="L128" i="9"/>
  <c r="K128" i="9"/>
  <c r="Q127" i="9"/>
  <c r="P127" i="9"/>
  <c r="O127" i="9"/>
  <c r="N127" i="9"/>
  <c r="M127" i="9"/>
  <c r="L127" i="9"/>
  <c r="K127" i="9"/>
  <c r="Q126" i="9"/>
  <c r="P126" i="9"/>
  <c r="O126" i="9"/>
  <c r="N126" i="9"/>
  <c r="M126" i="9"/>
  <c r="L126" i="9"/>
  <c r="K126" i="9"/>
  <c r="Q125" i="9"/>
  <c r="P125" i="9"/>
  <c r="O125" i="9"/>
  <c r="N125" i="9"/>
  <c r="M125" i="9"/>
  <c r="L125" i="9"/>
  <c r="K125" i="9"/>
  <c r="Q124" i="9"/>
  <c r="P124" i="9"/>
  <c r="O124" i="9"/>
  <c r="N124" i="9"/>
  <c r="M124" i="9"/>
  <c r="L124" i="9"/>
  <c r="K124" i="9"/>
  <c r="Q123" i="9"/>
  <c r="P123" i="9"/>
  <c r="O123" i="9"/>
  <c r="N123" i="9"/>
  <c r="M123" i="9"/>
  <c r="L123" i="9"/>
  <c r="K123" i="9"/>
  <c r="Q122" i="9"/>
  <c r="P122" i="9"/>
  <c r="O122" i="9"/>
  <c r="N122" i="9"/>
  <c r="M122" i="9"/>
  <c r="L122" i="9"/>
  <c r="K122" i="9"/>
  <c r="C122" i="9"/>
  <c r="Q121" i="9"/>
  <c r="P121" i="9"/>
  <c r="O121" i="9"/>
  <c r="N121" i="9"/>
  <c r="M121" i="9"/>
  <c r="L121" i="9"/>
  <c r="K121" i="9"/>
  <c r="Q120" i="9"/>
  <c r="P120" i="9"/>
  <c r="O120" i="9"/>
  <c r="N120" i="9"/>
  <c r="M120" i="9"/>
  <c r="L120" i="9"/>
  <c r="K120" i="9"/>
  <c r="Q119" i="9"/>
  <c r="P119" i="9"/>
  <c r="O119" i="9"/>
  <c r="N119" i="9"/>
  <c r="M119" i="9"/>
  <c r="L119" i="9"/>
  <c r="K119" i="9"/>
  <c r="Q118" i="9"/>
  <c r="P118" i="9"/>
  <c r="O118" i="9"/>
  <c r="N118" i="9"/>
  <c r="M118" i="9"/>
  <c r="L118" i="9"/>
  <c r="K118" i="9"/>
  <c r="Q117" i="9"/>
  <c r="P117" i="9"/>
  <c r="O117" i="9"/>
  <c r="N117" i="9"/>
  <c r="M117" i="9"/>
  <c r="L117" i="9"/>
  <c r="K117" i="9"/>
  <c r="Q116" i="9"/>
  <c r="P116" i="9"/>
  <c r="O116" i="9"/>
  <c r="N116" i="9"/>
  <c r="M116" i="9"/>
  <c r="L116" i="9"/>
  <c r="K116" i="9"/>
  <c r="Q115" i="9"/>
  <c r="P115" i="9"/>
  <c r="O115" i="9"/>
  <c r="N115" i="9"/>
  <c r="M115" i="9"/>
  <c r="L115" i="9"/>
  <c r="K115" i="9"/>
  <c r="Q114" i="9"/>
  <c r="P114" i="9"/>
  <c r="O114" i="9"/>
  <c r="N114" i="9"/>
  <c r="M114" i="9"/>
  <c r="L114" i="9"/>
  <c r="K114" i="9"/>
  <c r="Q113" i="9"/>
  <c r="P113" i="9"/>
  <c r="O113" i="9"/>
  <c r="N113" i="9"/>
  <c r="M113" i="9"/>
  <c r="L113" i="9"/>
  <c r="K113" i="9"/>
  <c r="C113" i="9"/>
  <c r="Q112" i="9"/>
  <c r="P112" i="9"/>
  <c r="O112" i="9"/>
  <c r="N112" i="9"/>
  <c r="M112" i="9"/>
  <c r="L112" i="9"/>
  <c r="K112" i="9"/>
  <c r="Q111" i="9"/>
  <c r="P111" i="9"/>
  <c r="O111" i="9"/>
  <c r="N111" i="9"/>
  <c r="M111" i="9"/>
  <c r="L111" i="9"/>
  <c r="K111" i="9"/>
  <c r="Q110" i="9"/>
  <c r="P110" i="9"/>
  <c r="O110" i="9"/>
  <c r="N110" i="9"/>
  <c r="M110" i="9"/>
  <c r="L110" i="9"/>
  <c r="K110" i="9"/>
  <c r="Q109" i="9"/>
  <c r="P109" i="9"/>
  <c r="O109" i="9"/>
  <c r="N109" i="9"/>
  <c r="M109" i="9"/>
  <c r="L109" i="9"/>
  <c r="K109" i="9"/>
  <c r="Q108" i="9"/>
  <c r="P108" i="9"/>
  <c r="O108" i="9"/>
  <c r="N108" i="9"/>
  <c r="M108" i="9"/>
  <c r="L108" i="9"/>
  <c r="K108" i="9"/>
  <c r="C108" i="9"/>
  <c r="Q107" i="9"/>
  <c r="P107" i="9"/>
  <c r="O107" i="9"/>
  <c r="N107" i="9"/>
  <c r="M107" i="9"/>
  <c r="L107" i="9"/>
  <c r="K107" i="9"/>
  <c r="Q106" i="9"/>
  <c r="P106" i="9"/>
  <c r="O106" i="9"/>
  <c r="N106" i="9"/>
  <c r="M106" i="9"/>
  <c r="L106" i="9"/>
  <c r="K106" i="9"/>
  <c r="Q105" i="9"/>
  <c r="P105" i="9"/>
  <c r="O105" i="9"/>
  <c r="N105" i="9"/>
  <c r="M105" i="9"/>
  <c r="L105" i="9"/>
  <c r="K105" i="9"/>
  <c r="C105" i="9"/>
  <c r="Q104" i="9"/>
  <c r="P104" i="9"/>
  <c r="O104" i="9"/>
  <c r="N104" i="9"/>
  <c r="M104" i="9"/>
  <c r="L104" i="9"/>
  <c r="K104" i="9"/>
  <c r="Q103" i="9"/>
  <c r="P103" i="9"/>
  <c r="O103" i="9"/>
  <c r="N103" i="9"/>
  <c r="M103" i="9"/>
  <c r="L103" i="9"/>
  <c r="K103" i="9"/>
  <c r="Q102" i="9"/>
  <c r="P102" i="9"/>
  <c r="O102" i="9"/>
  <c r="N102" i="9"/>
  <c r="M102" i="9"/>
  <c r="L102" i="9"/>
  <c r="K102" i="9"/>
  <c r="C102" i="9"/>
  <c r="Q101" i="9"/>
  <c r="P101" i="9"/>
  <c r="O101" i="9"/>
  <c r="N101" i="9"/>
  <c r="M101" i="9"/>
  <c r="L101" i="9"/>
  <c r="K101" i="9"/>
  <c r="Q100" i="9"/>
  <c r="P100" i="9"/>
  <c r="O100" i="9"/>
  <c r="N100" i="9"/>
  <c r="M100" i="9"/>
  <c r="L100" i="9"/>
  <c r="K100" i="9"/>
  <c r="Q99" i="9"/>
  <c r="P99" i="9"/>
  <c r="O99" i="9"/>
  <c r="N99" i="9"/>
  <c r="M99" i="9"/>
  <c r="L99" i="9"/>
  <c r="K99" i="9"/>
  <c r="Q98" i="9"/>
  <c r="P98" i="9"/>
  <c r="O98" i="9"/>
  <c r="N98" i="9"/>
  <c r="M98" i="9"/>
  <c r="L98" i="9"/>
  <c r="K98" i="9"/>
  <c r="Q97" i="9"/>
  <c r="P97" i="9"/>
  <c r="O97" i="9"/>
  <c r="N97" i="9"/>
  <c r="M97" i="9"/>
  <c r="L97" i="9"/>
  <c r="K97" i="9"/>
  <c r="Q96" i="9"/>
  <c r="P96" i="9"/>
  <c r="O96" i="9"/>
  <c r="N96" i="9"/>
  <c r="M96" i="9"/>
  <c r="L96" i="9"/>
  <c r="K96" i="9"/>
  <c r="Q95" i="9"/>
  <c r="P95" i="9"/>
  <c r="O95" i="9"/>
  <c r="N95" i="9"/>
  <c r="M95" i="9"/>
  <c r="L95" i="9"/>
  <c r="K95" i="9"/>
  <c r="Q94" i="9"/>
  <c r="P94" i="9"/>
  <c r="O94" i="9"/>
  <c r="N94" i="9"/>
  <c r="M94" i="9"/>
  <c r="L94" i="9"/>
  <c r="K94" i="9"/>
  <c r="Q93" i="9"/>
  <c r="P93" i="9"/>
  <c r="O93" i="9"/>
  <c r="N93" i="9"/>
  <c r="M93" i="9"/>
  <c r="L93" i="9"/>
  <c r="K93" i="9"/>
  <c r="Q92" i="9"/>
  <c r="P92" i="9"/>
  <c r="O92" i="9"/>
  <c r="N92" i="9"/>
  <c r="M92" i="9"/>
  <c r="L92" i="9"/>
  <c r="K92" i="9"/>
  <c r="Q91" i="9"/>
  <c r="P91" i="9"/>
  <c r="O91" i="9"/>
  <c r="N91" i="9"/>
  <c r="M91" i="9"/>
  <c r="L91" i="9"/>
  <c r="K91" i="9"/>
  <c r="Q90" i="9"/>
  <c r="P90" i="9"/>
  <c r="O90" i="9"/>
  <c r="N90" i="9"/>
  <c r="M90" i="9"/>
  <c r="L90" i="9"/>
  <c r="K90" i="9"/>
  <c r="Q89" i="9"/>
  <c r="P89" i="9"/>
  <c r="O89" i="9"/>
  <c r="N89" i="9"/>
  <c r="M89" i="9"/>
  <c r="L89" i="9"/>
  <c r="K89" i="9"/>
  <c r="Q88" i="9"/>
  <c r="P88" i="9"/>
  <c r="O88" i="9"/>
  <c r="N88" i="9"/>
  <c r="M88" i="9"/>
  <c r="L88" i="9"/>
  <c r="K88" i="9"/>
  <c r="Q87" i="9"/>
  <c r="P87" i="9"/>
  <c r="O87" i="9"/>
  <c r="N87" i="9"/>
  <c r="M87" i="9"/>
  <c r="L87" i="9"/>
  <c r="K87" i="9"/>
  <c r="Q86" i="9"/>
  <c r="P86" i="9"/>
  <c r="O86" i="9"/>
  <c r="N86" i="9"/>
  <c r="M86" i="9"/>
  <c r="L86" i="9"/>
  <c r="K86" i="9"/>
  <c r="Q85" i="9"/>
  <c r="P85" i="9"/>
  <c r="O85" i="9"/>
  <c r="N85" i="9"/>
  <c r="M85" i="9"/>
  <c r="L85" i="9"/>
  <c r="K85" i="9"/>
  <c r="Q84" i="9"/>
  <c r="P84" i="9"/>
  <c r="O84" i="9"/>
  <c r="N84" i="9"/>
  <c r="M84" i="9"/>
  <c r="L84" i="9"/>
  <c r="K84" i="9"/>
  <c r="Q83" i="9"/>
  <c r="P83" i="9"/>
  <c r="O83" i="9"/>
  <c r="N83" i="9"/>
  <c r="M83" i="9"/>
  <c r="L83" i="9"/>
  <c r="K83" i="9"/>
  <c r="C83" i="9"/>
  <c r="Q82" i="9"/>
  <c r="P82" i="9"/>
  <c r="O82" i="9"/>
  <c r="N82" i="9"/>
  <c r="M82" i="9"/>
  <c r="L82" i="9"/>
  <c r="K82" i="9"/>
  <c r="Q81" i="9"/>
  <c r="P81" i="9"/>
  <c r="O81" i="9"/>
  <c r="N81" i="9"/>
  <c r="M81" i="9"/>
  <c r="L81" i="9"/>
  <c r="K81" i="9"/>
  <c r="Q80" i="9"/>
  <c r="P80" i="9"/>
  <c r="O80" i="9"/>
  <c r="N80" i="9"/>
  <c r="M80" i="9"/>
  <c r="L80" i="9"/>
  <c r="K80" i="9"/>
  <c r="C80" i="9"/>
  <c r="Q79" i="9"/>
  <c r="P79" i="9"/>
  <c r="O79" i="9"/>
  <c r="N79" i="9"/>
  <c r="M79" i="9"/>
  <c r="L79" i="9"/>
  <c r="K79" i="9"/>
  <c r="Q78" i="9"/>
  <c r="P78" i="9"/>
  <c r="O78" i="9"/>
  <c r="N78" i="9"/>
  <c r="M78" i="9"/>
  <c r="L78" i="9"/>
  <c r="K78" i="9"/>
  <c r="Q77" i="9"/>
  <c r="P77" i="9"/>
  <c r="O77" i="9"/>
  <c r="N77" i="9"/>
  <c r="M77" i="9"/>
  <c r="L77" i="9"/>
  <c r="K77" i="9"/>
  <c r="C77" i="9"/>
  <c r="Q76" i="9"/>
  <c r="P76" i="9"/>
  <c r="O76" i="9"/>
  <c r="N76" i="9"/>
  <c r="M76" i="9"/>
  <c r="L76" i="9"/>
  <c r="K76" i="9"/>
  <c r="Q75" i="9"/>
  <c r="P75" i="9"/>
  <c r="O75" i="9"/>
  <c r="N75" i="9"/>
  <c r="M75" i="9"/>
  <c r="L75" i="9"/>
  <c r="K75" i="9"/>
  <c r="C75" i="9"/>
  <c r="Q74" i="9"/>
  <c r="P74" i="9"/>
  <c r="O74" i="9"/>
  <c r="N74" i="9"/>
  <c r="M74" i="9"/>
  <c r="L74" i="9"/>
  <c r="K74" i="9"/>
  <c r="Q73" i="9"/>
  <c r="P73" i="9"/>
  <c r="O73" i="9"/>
  <c r="N73" i="9"/>
  <c r="M73" i="9"/>
  <c r="L73" i="9"/>
  <c r="K73" i="9"/>
  <c r="Q72" i="9"/>
  <c r="P72" i="9"/>
  <c r="O72" i="9"/>
  <c r="N72" i="9"/>
  <c r="M72" i="9"/>
  <c r="L72" i="9"/>
  <c r="K72" i="9"/>
  <c r="C72" i="9"/>
  <c r="Q71" i="9"/>
  <c r="P71" i="9"/>
  <c r="O71" i="9"/>
  <c r="N71" i="9"/>
  <c r="M71" i="9"/>
  <c r="L71" i="9"/>
  <c r="K71" i="9"/>
  <c r="Q70" i="9"/>
  <c r="P70" i="9"/>
  <c r="O70" i="9"/>
  <c r="N70" i="9"/>
  <c r="M70" i="9"/>
  <c r="L70" i="9"/>
  <c r="K70" i="9"/>
  <c r="Q69" i="9"/>
  <c r="P69" i="9"/>
  <c r="O69" i="9"/>
  <c r="N69" i="9"/>
  <c r="M69" i="9"/>
  <c r="L69" i="9"/>
  <c r="K69" i="9"/>
  <c r="C69" i="9"/>
  <c r="Q68" i="9"/>
  <c r="P68" i="9"/>
  <c r="O68" i="9"/>
  <c r="N68" i="9"/>
  <c r="M68" i="9"/>
  <c r="L68" i="9"/>
  <c r="K68" i="9"/>
  <c r="Q67" i="9"/>
  <c r="P67" i="9"/>
  <c r="O67" i="9"/>
  <c r="N67" i="9"/>
  <c r="M67" i="9"/>
  <c r="L67" i="9"/>
  <c r="K67" i="9"/>
  <c r="Q66" i="9"/>
  <c r="P66" i="9"/>
  <c r="O66" i="9"/>
  <c r="N66" i="9"/>
  <c r="M66" i="9"/>
  <c r="L66" i="9"/>
  <c r="K66" i="9"/>
  <c r="C66" i="9"/>
  <c r="Q65" i="9"/>
  <c r="P65" i="9"/>
  <c r="O65" i="9"/>
  <c r="N65" i="9"/>
  <c r="M65" i="9"/>
  <c r="L65" i="9"/>
  <c r="K65" i="9"/>
  <c r="Q64" i="9"/>
  <c r="P64" i="9"/>
  <c r="O64" i="9"/>
  <c r="N64" i="9"/>
  <c r="M64" i="9"/>
  <c r="L64" i="9"/>
  <c r="K64" i="9"/>
  <c r="Q63" i="9"/>
  <c r="P63" i="9"/>
  <c r="O63" i="9"/>
  <c r="N63" i="9"/>
  <c r="M63" i="9"/>
  <c r="L63" i="9"/>
  <c r="K63" i="9"/>
  <c r="Q62" i="9"/>
  <c r="P62" i="9"/>
  <c r="O62" i="9"/>
  <c r="N62" i="9"/>
  <c r="M62" i="9"/>
  <c r="L62" i="9"/>
  <c r="K62" i="9"/>
  <c r="Q61" i="9"/>
  <c r="P61" i="9"/>
  <c r="O61" i="9"/>
  <c r="N61" i="9"/>
  <c r="M61" i="9"/>
  <c r="L61" i="9"/>
  <c r="K61" i="9"/>
  <c r="Q60" i="9"/>
  <c r="P60" i="9"/>
  <c r="O60" i="9"/>
  <c r="N60" i="9"/>
  <c r="M60" i="9"/>
  <c r="L60" i="9"/>
  <c r="K60" i="9"/>
  <c r="Q59" i="9"/>
  <c r="P59" i="9"/>
  <c r="O59" i="9"/>
  <c r="N59" i="9"/>
  <c r="M59" i="9"/>
  <c r="L59" i="9"/>
  <c r="K59" i="9"/>
  <c r="Q58" i="9"/>
  <c r="P58" i="9"/>
  <c r="O58" i="9"/>
  <c r="N58" i="9"/>
  <c r="M58" i="9"/>
  <c r="L58" i="9"/>
  <c r="K58" i="9"/>
  <c r="Q57" i="9"/>
  <c r="P57" i="9"/>
  <c r="O57" i="9"/>
  <c r="N57" i="9"/>
  <c r="M57" i="9"/>
  <c r="L57" i="9"/>
  <c r="K57" i="9"/>
  <c r="Q56" i="9"/>
  <c r="P56" i="9"/>
  <c r="O56" i="9"/>
  <c r="N56" i="9"/>
  <c r="M56" i="9"/>
  <c r="L56" i="9"/>
  <c r="K56" i="9"/>
  <c r="Q55" i="9"/>
  <c r="P55" i="9"/>
  <c r="O55" i="9"/>
  <c r="N55" i="9"/>
  <c r="M55" i="9"/>
  <c r="L55" i="9"/>
  <c r="K55" i="9"/>
  <c r="Q54" i="9"/>
  <c r="P54" i="9"/>
  <c r="O54" i="9"/>
  <c r="N54" i="9"/>
  <c r="M54" i="9"/>
  <c r="L54" i="9"/>
  <c r="K54" i="9"/>
  <c r="Q53" i="9"/>
  <c r="P53" i="9"/>
  <c r="O53" i="9"/>
  <c r="N53" i="9"/>
  <c r="M53" i="9"/>
  <c r="L53" i="9"/>
  <c r="K53" i="9"/>
  <c r="Q52" i="9"/>
  <c r="P52" i="9"/>
  <c r="O52" i="9"/>
  <c r="N52" i="9"/>
  <c r="M52" i="9"/>
  <c r="L52" i="9"/>
  <c r="K52" i="9"/>
  <c r="Q51" i="9"/>
  <c r="P51" i="9"/>
  <c r="O51" i="9"/>
  <c r="N51" i="9"/>
  <c r="M51" i="9"/>
  <c r="L51" i="9"/>
  <c r="K51" i="9"/>
  <c r="Q50" i="9"/>
  <c r="P50" i="9"/>
  <c r="O50" i="9"/>
  <c r="N50" i="9"/>
  <c r="M50" i="9"/>
  <c r="L50" i="9"/>
  <c r="K50" i="9"/>
  <c r="C50" i="9"/>
  <c r="Q49" i="9"/>
  <c r="P49" i="9"/>
  <c r="O49" i="9"/>
  <c r="N49" i="9"/>
  <c r="M49" i="9"/>
  <c r="L49" i="9"/>
  <c r="K49" i="9"/>
  <c r="Q48" i="9"/>
  <c r="P48" i="9"/>
  <c r="O48" i="9"/>
  <c r="N48" i="9"/>
  <c r="M48" i="9"/>
  <c r="L48" i="9"/>
  <c r="K48" i="9"/>
  <c r="Q47" i="9"/>
  <c r="P47" i="9"/>
  <c r="O47" i="9"/>
  <c r="N47" i="9"/>
  <c r="M47" i="9"/>
  <c r="L47" i="9"/>
  <c r="K47" i="9"/>
  <c r="C47" i="9"/>
  <c r="Q46" i="9"/>
  <c r="P46" i="9"/>
  <c r="O46" i="9"/>
  <c r="N46" i="9"/>
  <c r="M46" i="9"/>
  <c r="L46" i="9"/>
  <c r="K46" i="9"/>
  <c r="Q45" i="9"/>
  <c r="P45" i="9"/>
  <c r="O45" i="9"/>
  <c r="N45" i="9"/>
  <c r="M45" i="9"/>
  <c r="L45" i="9"/>
  <c r="K45" i="9"/>
  <c r="Q44" i="9"/>
  <c r="P44" i="9"/>
  <c r="O44" i="9"/>
  <c r="N44" i="9"/>
  <c r="M44" i="9"/>
  <c r="L44" i="9"/>
  <c r="K44" i="9"/>
  <c r="C44" i="9"/>
  <c r="Q43" i="9"/>
  <c r="P43" i="9"/>
  <c r="O43" i="9"/>
  <c r="N43" i="9"/>
  <c r="M43" i="9"/>
  <c r="L43" i="9"/>
  <c r="K43" i="9"/>
  <c r="Q42" i="9"/>
  <c r="P42" i="9"/>
  <c r="O42" i="9"/>
  <c r="N42" i="9"/>
  <c r="M42" i="9"/>
  <c r="L42" i="9"/>
  <c r="K42" i="9"/>
  <c r="Q41" i="9"/>
  <c r="P41" i="9"/>
  <c r="O41" i="9"/>
  <c r="N41" i="9"/>
  <c r="M41" i="9"/>
  <c r="L41" i="9"/>
  <c r="K41" i="9"/>
  <c r="Q40" i="9"/>
  <c r="P40" i="9"/>
  <c r="O40" i="9"/>
  <c r="N40" i="9"/>
  <c r="M40" i="9"/>
  <c r="L40" i="9"/>
  <c r="K40" i="9"/>
  <c r="Q39" i="9"/>
  <c r="P39" i="9"/>
  <c r="O39" i="9"/>
  <c r="N39" i="9"/>
  <c r="M39" i="9"/>
  <c r="L39" i="9"/>
  <c r="K39" i="9"/>
  <c r="C39" i="9"/>
  <c r="Q38" i="9"/>
  <c r="P38" i="9"/>
  <c r="O38" i="9"/>
  <c r="N38" i="9"/>
  <c r="M38" i="9"/>
  <c r="L38" i="9"/>
  <c r="K38" i="9"/>
  <c r="Q37" i="9"/>
  <c r="P37" i="9"/>
  <c r="O37" i="9"/>
  <c r="N37" i="9"/>
  <c r="M37" i="9"/>
  <c r="L37" i="9"/>
  <c r="K37" i="9"/>
  <c r="Q36" i="9"/>
  <c r="P36" i="9"/>
  <c r="O36" i="9"/>
  <c r="N36" i="9"/>
  <c r="M36" i="9"/>
  <c r="L36" i="9"/>
  <c r="K36" i="9"/>
  <c r="C36" i="9"/>
  <c r="Q35" i="9"/>
  <c r="P35" i="9"/>
  <c r="O35" i="9"/>
  <c r="N35" i="9"/>
  <c r="M35" i="9"/>
  <c r="L35" i="9"/>
  <c r="K35" i="9"/>
  <c r="Q34" i="9"/>
  <c r="P34" i="9"/>
  <c r="O34" i="9"/>
  <c r="N34" i="9"/>
  <c r="M34" i="9"/>
  <c r="L34" i="9"/>
  <c r="K34" i="9"/>
  <c r="Q33" i="9"/>
  <c r="P33" i="9"/>
  <c r="O33" i="9"/>
  <c r="N33" i="9"/>
  <c r="M33" i="9"/>
  <c r="L33" i="9"/>
  <c r="K33" i="9"/>
  <c r="Q32" i="9"/>
  <c r="P32" i="9"/>
  <c r="O32" i="9"/>
  <c r="N32" i="9"/>
  <c r="M32" i="9"/>
  <c r="L32" i="9"/>
  <c r="K32" i="9"/>
  <c r="Q31" i="9"/>
  <c r="P31" i="9"/>
  <c r="O31" i="9"/>
  <c r="N31" i="9"/>
  <c r="M31" i="9"/>
  <c r="L31" i="9"/>
  <c r="K31" i="9"/>
  <c r="Q30" i="9"/>
  <c r="P30" i="9"/>
  <c r="O30" i="9"/>
  <c r="N30" i="9"/>
  <c r="M30" i="9"/>
  <c r="L30" i="9"/>
  <c r="K30" i="9"/>
  <c r="C30" i="9"/>
  <c r="Q29" i="9"/>
  <c r="P29" i="9"/>
  <c r="O29" i="9"/>
  <c r="N29" i="9"/>
  <c r="M29" i="9"/>
  <c r="L29" i="9"/>
  <c r="K29" i="9"/>
  <c r="Q28" i="9"/>
  <c r="P28" i="9"/>
  <c r="O28" i="9"/>
  <c r="N28" i="9"/>
  <c r="M28" i="9"/>
  <c r="L28" i="9"/>
  <c r="K28" i="9"/>
  <c r="Q27" i="9"/>
  <c r="P27" i="9"/>
  <c r="O27" i="9"/>
  <c r="N27" i="9"/>
  <c r="M27" i="9"/>
  <c r="L27" i="9"/>
  <c r="K27" i="9"/>
  <c r="Q26" i="9"/>
  <c r="P26" i="9"/>
  <c r="O26" i="9"/>
  <c r="N26" i="9"/>
  <c r="M26" i="9"/>
  <c r="L26" i="9"/>
  <c r="K26" i="9"/>
  <c r="Q25" i="9"/>
  <c r="P25" i="9"/>
  <c r="O25" i="9"/>
  <c r="N25" i="9"/>
  <c r="M25" i="9"/>
  <c r="L25" i="9"/>
  <c r="K25" i="9"/>
  <c r="Q24" i="9"/>
  <c r="P24" i="9"/>
  <c r="O24" i="9"/>
  <c r="N24" i="9"/>
  <c r="M24" i="9"/>
  <c r="L24" i="9"/>
  <c r="K24" i="9"/>
  <c r="Q23" i="9"/>
  <c r="P23" i="9"/>
  <c r="O23" i="9"/>
  <c r="N23" i="9"/>
  <c r="M23" i="9"/>
  <c r="L23" i="9"/>
  <c r="K23" i="9"/>
  <c r="C17" i="9"/>
  <c r="C482" i="9" s="1"/>
  <c r="D14" i="8"/>
  <c r="E14" i="8" s="1"/>
  <c r="E13" i="8"/>
  <c r="D13" i="8"/>
  <c r="D11" i="8"/>
  <c r="E11" i="8" s="1"/>
  <c r="D10" i="8"/>
  <c r="E10" i="8" s="1"/>
  <c r="D9" i="8"/>
  <c r="E9" i="8" s="1"/>
  <c r="D8" i="8"/>
  <c r="E8" i="8" s="1"/>
  <c r="D7" i="8"/>
  <c r="E7" i="8" s="1"/>
  <c r="B46" i="6"/>
  <c r="B45" i="6"/>
  <c r="B44" i="6"/>
  <c r="B43" i="6"/>
  <c r="B42" i="6"/>
  <c r="B41" i="6"/>
  <c r="B40" i="6"/>
  <c r="B39" i="6"/>
  <c r="B38" i="6"/>
  <c r="B37" i="6"/>
  <c r="B36" i="6"/>
  <c r="G35" i="6"/>
  <c r="F35" i="6"/>
  <c r="E35" i="6"/>
  <c r="D35" i="6"/>
  <c r="C35" i="6"/>
  <c r="C67" i="5"/>
  <c r="C65" i="5"/>
  <c r="C58" i="5"/>
  <c r="G56" i="5"/>
  <c r="E56" i="5"/>
  <c r="D56" i="5"/>
  <c r="C56" i="5"/>
  <c r="G52" i="5"/>
  <c r="E52" i="5"/>
  <c r="D52" i="5"/>
  <c r="C52" i="5"/>
  <c r="G49" i="5"/>
  <c r="E49" i="5"/>
  <c r="D49" i="5"/>
  <c r="C49" i="5"/>
  <c r="G47" i="5"/>
  <c r="E47" i="5"/>
  <c r="F54" i="2" s="1"/>
  <c r="D47" i="5"/>
  <c r="C47" i="5"/>
  <c r="E46" i="5"/>
  <c r="E20" i="8" s="1"/>
  <c r="C46" i="5"/>
  <c r="D53" i="2" s="1"/>
  <c r="H40" i="5"/>
  <c r="G40" i="5"/>
  <c r="F40" i="5"/>
  <c r="E40" i="5"/>
  <c r="D40" i="5"/>
  <c r="C40" i="5"/>
  <c r="J39" i="5"/>
  <c r="J40" i="5" s="1"/>
  <c r="C35" i="5"/>
  <c r="C37" i="5" s="1"/>
  <c r="S34" i="5"/>
  <c r="Q34" i="5"/>
  <c r="O34" i="5"/>
  <c r="N34" i="5"/>
  <c r="M34" i="5"/>
  <c r="L34" i="5"/>
  <c r="K34" i="5"/>
  <c r="J34" i="5"/>
  <c r="I34" i="5"/>
  <c r="H34" i="5"/>
  <c r="G34" i="5"/>
  <c r="F34" i="5"/>
  <c r="E34" i="5"/>
  <c r="D34" i="5"/>
  <c r="C34" i="5"/>
  <c r="H32" i="5"/>
  <c r="O31" i="5"/>
  <c r="N31" i="5"/>
  <c r="M31" i="5"/>
  <c r="M32" i="5" s="1"/>
  <c r="L31" i="5"/>
  <c r="K31" i="5"/>
  <c r="K32" i="5" s="1"/>
  <c r="J31" i="5"/>
  <c r="J32" i="5" s="1"/>
  <c r="I31" i="5"/>
  <c r="H31" i="5"/>
  <c r="G31" i="5"/>
  <c r="F31" i="5"/>
  <c r="E31" i="5"/>
  <c r="D31" i="5"/>
  <c r="C31" i="5"/>
  <c r="O30" i="5"/>
  <c r="N30" i="5"/>
  <c r="M30" i="5"/>
  <c r="L30" i="5"/>
  <c r="K30" i="5"/>
  <c r="J30" i="5"/>
  <c r="I30" i="5"/>
  <c r="H30" i="5"/>
  <c r="G30" i="5"/>
  <c r="F30" i="5"/>
  <c r="E30" i="5"/>
  <c r="D30" i="5"/>
  <c r="C30" i="5"/>
  <c r="L26" i="5"/>
  <c r="L27" i="5" s="1"/>
  <c r="L28" i="5" s="1"/>
  <c r="D26" i="5"/>
  <c r="D35" i="5" s="1"/>
  <c r="D37" i="5" s="1"/>
  <c r="C26" i="5"/>
  <c r="C27" i="5" s="1"/>
  <c r="C28" i="5" s="1"/>
  <c r="M25" i="5"/>
  <c r="N25" i="5" s="1"/>
  <c r="D25" i="5"/>
  <c r="E25" i="5" s="1"/>
  <c r="M24" i="5"/>
  <c r="F24" i="5"/>
  <c r="P23" i="5"/>
  <c r="O23" i="5"/>
  <c r="N23" i="5"/>
  <c r="N24" i="5" s="1"/>
  <c r="M23" i="5"/>
  <c r="L23" i="5"/>
  <c r="L24" i="5" s="1"/>
  <c r="K23" i="5"/>
  <c r="J23" i="5"/>
  <c r="I23" i="5"/>
  <c r="I24" i="5" s="1"/>
  <c r="H23" i="5"/>
  <c r="G23" i="5"/>
  <c r="F23" i="5"/>
  <c r="E23" i="5"/>
  <c r="D23" i="5"/>
  <c r="D24" i="5" s="1"/>
  <c r="C23" i="5"/>
  <c r="C24" i="5" s="1"/>
  <c r="O22" i="5"/>
  <c r="N22" i="5"/>
  <c r="M22" i="5"/>
  <c r="L22" i="5"/>
  <c r="K22" i="5"/>
  <c r="J22" i="5"/>
  <c r="I22" i="5"/>
  <c r="H22" i="5"/>
  <c r="G22" i="5"/>
  <c r="F22" i="5"/>
  <c r="E22" i="5"/>
  <c r="D22" i="5"/>
  <c r="C22" i="5"/>
  <c r="O20" i="5"/>
  <c r="N20" i="5"/>
  <c r="M20" i="5"/>
  <c r="L20" i="5"/>
  <c r="K20" i="5"/>
  <c r="J20" i="5"/>
  <c r="I20" i="5"/>
  <c r="H20" i="5"/>
  <c r="G20" i="5"/>
  <c r="F20" i="5"/>
  <c r="E20" i="5"/>
  <c r="D20" i="5"/>
  <c r="C20" i="5"/>
  <c r="G17" i="5"/>
  <c r="G18" i="5" s="1"/>
  <c r="M16" i="5"/>
  <c r="M17" i="5" s="1"/>
  <c r="M18" i="5" s="1"/>
  <c r="L16" i="5"/>
  <c r="L17" i="5" s="1"/>
  <c r="L18" i="5" s="1"/>
  <c r="K16" i="5"/>
  <c r="K17" i="5" s="1"/>
  <c r="K18" i="5" s="1"/>
  <c r="Q15" i="5"/>
  <c r="R15" i="5" s="1"/>
  <c r="S15" i="5" s="1"/>
  <c r="O14" i="5"/>
  <c r="O16" i="5" s="1"/>
  <c r="O17" i="5" s="1"/>
  <c r="O18" i="5" s="1"/>
  <c r="N14" i="5"/>
  <c r="N16" i="5" s="1"/>
  <c r="N17" i="5" s="1"/>
  <c r="N18" i="5" s="1"/>
  <c r="M14" i="5"/>
  <c r="L14" i="5"/>
  <c r="K14" i="5"/>
  <c r="J14" i="5"/>
  <c r="J16" i="5" s="1"/>
  <c r="J17" i="5" s="1"/>
  <c r="J18" i="5" s="1"/>
  <c r="I14" i="5"/>
  <c r="I16" i="5" s="1"/>
  <c r="I17" i="5" s="1"/>
  <c r="I18" i="5" s="1"/>
  <c r="H14" i="5"/>
  <c r="H16" i="5" s="1"/>
  <c r="H17" i="5" s="1"/>
  <c r="H18" i="5" s="1"/>
  <c r="G14" i="5"/>
  <c r="G16" i="5" s="1"/>
  <c r="F14" i="5"/>
  <c r="F16" i="5" s="1"/>
  <c r="F17" i="5" s="1"/>
  <c r="F18" i="5" s="1"/>
  <c r="E14" i="5"/>
  <c r="E16" i="5" s="1"/>
  <c r="E17" i="5" s="1"/>
  <c r="E18" i="5" s="1"/>
  <c r="D14" i="5"/>
  <c r="D16" i="5" s="1"/>
  <c r="D17" i="5" s="1"/>
  <c r="D18" i="5" s="1"/>
  <c r="C14" i="5"/>
  <c r="C16" i="5" s="1"/>
  <c r="C17" i="5" s="1"/>
  <c r="C18" i="5" s="1"/>
  <c r="O12" i="5"/>
  <c r="G12" i="5"/>
  <c r="F12" i="5"/>
  <c r="P11" i="5"/>
  <c r="P13" i="5" s="1"/>
  <c r="P14" i="5" s="1"/>
  <c r="O11" i="5"/>
  <c r="N11" i="5"/>
  <c r="M11" i="5"/>
  <c r="M12" i="5" s="1"/>
  <c r="L11" i="5"/>
  <c r="L12" i="5" s="1"/>
  <c r="K11" i="5"/>
  <c r="K12" i="5" s="1"/>
  <c r="J11" i="5"/>
  <c r="I11" i="5"/>
  <c r="I12" i="5" s="1"/>
  <c r="H11" i="5"/>
  <c r="G11" i="5"/>
  <c r="F11" i="5"/>
  <c r="E11" i="5"/>
  <c r="D11" i="5"/>
  <c r="D12" i="5" s="1"/>
  <c r="S10" i="5"/>
  <c r="S11" i="5" s="1"/>
  <c r="R10" i="5"/>
  <c r="R11" i="5" s="1"/>
  <c r="Q10" i="5"/>
  <c r="Q11" i="5" s="1"/>
  <c r="P10" i="5"/>
  <c r="O10" i="5"/>
  <c r="N10" i="5"/>
  <c r="M10" i="5"/>
  <c r="L10" i="5"/>
  <c r="K10" i="5"/>
  <c r="J10" i="5"/>
  <c r="I10" i="5"/>
  <c r="H10" i="5"/>
  <c r="G10" i="5"/>
  <c r="F10" i="5"/>
  <c r="E10" i="5"/>
  <c r="D10" i="5"/>
  <c r="C10" i="5"/>
  <c r="E257" i="4"/>
  <c r="D257" i="4"/>
  <c r="C257" i="4"/>
  <c r="E253" i="4"/>
  <c r="D253" i="4"/>
  <c r="C253" i="4"/>
  <c r="E216" i="4"/>
  <c r="D216" i="4"/>
  <c r="C216" i="4"/>
  <c r="E212" i="4"/>
  <c r="D212" i="4"/>
  <c r="C212" i="4"/>
  <c r="E175" i="4"/>
  <c r="D175" i="4"/>
  <c r="C175" i="4"/>
  <c r="E171" i="4"/>
  <c r="D171" i="4"/>
  <c r="C171" i="4"/>
  <c r="E134" i="4"/>
  <c r="D134" i="4"/>
  <c r="C134" i="4"/>
  <c r="E130" i="4"/>
  <c r="D130" i="4"/>
  <c r="C130" i="4"/>
  <c r="E93" i="4"/>
  <c r="D93" i="4"/>
  <c r="C93" i="4"/>
  <c r="E89" i="4"/>
  <c r="D89" i="4"/>
  <c r="C89" i="4"/>
  <c r="E47" i="4"/>
  <c r="D47" i="4"/>
  <c r="C47" i="4"/>
  <c r="E43" i="4"/>
  <c r="D43" i="4"/>
  <c r="C43" i="4"/>
  <c r="E22" i="3"/>
  <c r="C22" i="3"/>
  <c r="E8" i="3"/>
  <c r="D20" i="3" s="1"/>
  <c r="D46" i="5" s="1"/>
  <c r="E53" i="2" s="1"/>
  <c r="E7" i="3"/>
  <c r="K39" i="5" s="1"/>
  <c r="K40" i="5" s="1"/>
  <c r="D56" i="2"/>
  <c r="E54" i="2"/>
  <c r="D54" i="2"/>
  <c r="F53" i="2"/>
  <c r="C4" i="2"/>
  <c r="I3" i="2"/>
  <c r="E3" i="2"/>
  <c r="M8" i="1"/>
  <c r="O25" i="5" l="1"/>
  <c r="C29" i="4"/>
  <c r="C118" i="4"/>
  <c r="C159" i="4"/>
  <c r="J12" i="5"/>
  <c r="M26" i="5"/>
  <c r="M27" i="5" s="1"/>
  <c r="M28" i="5" s="1"/>
  <c r="L32" i="5"/>
  <c r="L36" i="5" s="1"/>
  <c r="I39" i="5"/>
  <c r="I40" i="5" s="1"/>
  <c r="C41" i="9"/>
  <c r="C119" i="9"/>
  <c r="C149" i="9"/>
  <c r="C181" i="9"/>
  <c r="C191" i="9"/>
  <c r="C233" i="9"/>
  <c r="C238" i="9"/>
  <c r="C280" i="9"/>
  <c r="L35" i="5"/>
  <c r="L37" i="5" s="1"/>
  <c r="C33" i="9"/>
  <c r="C111" i="9"/>
  <c r="C141" i="9"/>
  <c r="C218" i="9"/>
  <c r="C400" i="9"/>
  <c r="C410" i="9"/>
  <c r="C461" i="9"/>
  <c r="I9" i="11"/>
  <c r="J9" i="11" s="1"/>
  <c r="C3" i="2"/>
  <c r="N32" i="5"/>
  <c r="C86" i="9"/>
  <c r="C116" i="9"/>
  <c r="C277" i="9"/>
  <c r="C407" i="9"/>
  <c r="E34" i="12"/>
  <c r="E40" i="12"/>
  <c r="C220" i="9"/>
  <c r="E32" i="5"/>
  <c r="C313" i="9"/>
  <c r="C377" i="9"/>
  <c r="C382" i="9"/>
  <c r="F32" i="5"/>
  <c r="C443" i="9"/>
  <c r="C521" i="9"/>
  <c r="C526" i="9"/>
  <c r="E12" i="5"/>
  <c r="G32" i="5"/>
  <c r="C254" i="9"/>
  <c r="C352" i="9"/>
  <c r="C374" i="9"/>
  <c r="C433" i="9"/>
  <c r="I32" i="5"/>
  <c r="C155" i="9"/>
  <c r="C197" i="9"/>
  <c r="C202" i="9"/>
  <c r="C244" i="9"/>
  <c r="C364" i="9"/>
  <c r="C496" i="9"/>
  <c r="C518" i="9"/>
  <c r="C349" i="9"/>
  <c r="C508" i="9"/>
  <c r="D27" i="5"/>
  <c r="D28" i="5" s="1"/>
  <c r="O32" i="5"/>
  <c r="D48" i="5"/>
  <c r="D20" i="8"/>
  <c r="G24" i="5"/>
  <c r="N38" i="5"/>
  <c r="N26" i="5"/>
  <c r="N36" i="5" s="1"/>
  <c r="C77" i="4"/>
  <c r="C241" i="4"/>
  <c r="C200" i="4"/>
  <c r="H24" i="5"/>
  <c r="E24" i="5"/>
  <c r="O38" i="5"/>
  <c r="O26" i="5"/>
  <c r="O27" i="5" s="1"/>
  <c r="O28" i="5" s="1"/>
  <c r="D77" i="4"/>
  <c r="N12" i="5"/>
  <c r="P25" i="5"/>
  <c r="J24" i="5"/>
  <c r="E48" i="5"/>
  <c r="P20" i="5"/>
  <c r="O24" i="5"/>
  <c r="P33" i="5"/>
  <c r="P16" i="5"/>
  <c r="P17" i="5" s="1"/>
  <c r="P18" i="5" s="1"/>
  <c r="Q18" i="5" s="1"/>
  <c r="R18" i="5" s="1"/>
  <c r="S18" i="5" s="1"/>
  <c r="Q13" i="5"/>
  <c r="P30" i="5"/>
  <c r="P22" i="5"/>
  <c r="P31" i="5"/>
  <c r="P32" i="5" s="1"/>
  <c r="H12" i="5"/>
  <c r="F25" i="5"/>
  <c r="E26" i="5"/>
  <c r="E27" i="5" s="1"/>
  <c r="E28" i="5" s="1"/>
  <c r="AH35" i="11"/>
  <c r="AF35" i="11"/>
  <c r="AD35" i="11"/>
  <c r="AN35" i="11"/>
  <c r="AB35" i="11"/>
  <c r="AL35" i="11"/>
  <c r="AQ35" i="11" s="1"/>
  <c r="AR35" i="11" s="1"/>
  <c r="AO35" i="11"/>
  <c r="AM35" i="11"/>
  <c r="AK35" i="11"/>
  <c r="AJ35" i="11"/>
  <c r="AI35" i="11"/>
  <c r="AG35" i="11"/>
  <c r="AE35" i="11"/>
  <c r="AC35" i="11"/>
  <c r="AA35" i="11"/>
  <c r="AG64" i="11"/>
  <c r="AE64" i="11"/>
  <c r="AD64" i="11"/>
  <c r="AN64" i="11"/>
  <c r="AB64" i="11"/>
  <c r="AM64" i="11"/>
  <c r="AA64" i="11"/>
  <c r="AL64" i="11"/>
  <c r="AJ64" i="11"/>
  <c r="AI64" i="11"/>
  <c r="AH64" i="11"/>
  <c r="AK64" i="11"/>
  <c r="AO64" i="11"/>
  <c r="AF64" i="11"/>
  <c r="G58" i="5"/>
  <c r="P39" i="5"/>
  <c r="E58" i="5"/>
  <c r="O39" i="5"/>
  <c r="S39" i="5"/>
  <c r="R39" i="5"/>
  <c r="Q39" i="5"/>
  <c r="D58" i="5"/>
  <c r="D32" i="5"/>
  <c r="D36" i="5" s="1"/>
  <c r="L39" i="5"/>
  <c r="L40" i="5" s="1"/>
  <c r="AC64" i="11"/>
  <c r="M35" i="5"/>
  <c r="M39" i="5"/>
  <c r="M40" i="5" s="1"/>
  <c r="AJ8" i="11"/>
  <c r="AI8" i="11"/>
  <c r="AH8" i="11"/>
  <c r="AG8" i="11"/>
  <c r="AF8" i="11"/>
  <c r="AE8" i="11"/>
  <c r="AK8" i="11"/>
  <c r="AD8" i="11"/>
  <c r="AC8" i="11"/>
  <c r="AB8" i="11"/>
  <c r="AA8" i="11"/>
  <c r="AO8" i="11"/>
  <c r="AN8" i="11"/>
  <c r="AM8" i="11"/>
  <c r="AL8" i="11"/>
  <c r="AQ8" i="11" s="1"/>
  <c r="AR8" i="11" s="1"/>
  <c r="G46" i="5"/>
  <c r="G48" i="5" s="1"/>
  <c r="D22" i="3"/>
  <c r="K24" i="5"/>
  <c r="N39" i="5"/>
  <c r="C20" i="8"/>
  <c r="C48" i="5"/>
  <c r="AB9" i="11"/>
  <c r="AA9" i="11"/>
  <c r="AL9" i="11"/>
  <c r="AK9" i="11"/>
  <c r="AJ9" i="11"/>
  <c r="AF9" i="11"/>
  <c r="AE9" i="11"/>
  <c r="AD9" i="11"/>
  <c r="AC9" i="11"/>
  <c r="P24" i="5"/>
  <c r="C23" i="9"/>
  <c r="C48" i="9"/>
  <c r="C59" i="9"/>
  <c r="C84" i="9"/>
  <c r="C95" i="9"/>
  <c r="C120" i="9"/>
  <c r="C131" i="9"/>
  <c r="C169" i="9"/>
  <c r="C242" i="9"/>
  <c r="C350" i="9"/>
  <c r="C421" i="9"/>
  <c r="C449" i="9"/>
  <c r="C454" i="9"/>
  <c r="C479" i="9"/>
  <c r="C497" i="9"/>
  <c r="C532" i="9"/>
  <c r="I15" i="11"/>
  <c r="J15" i="11" s="1"/>
  <c r="C45" i="9"/>
  <c r="C56" i="9"/>
  <c r="C81" i="9"/>
  <c r="C92" i="9"/>
  <c r="C117" i="9"/>
  <c r="C128" i="9"/>
  <c r="C153" i="9"/>
  <c r="C161" i="9"/>
  <c r="C166" i="9"/>
  <c r="C182" i="9"/>
  <c r="C208" i="9"/>
  <c r="C239" i="9"/>
  <c r="C265" i="9"/>
  <c r="C281" i="9"/>
  <c r="C317" i="9"/>
  <c r="C388" i="9"/>
  <c r="I66" i="11"/>
  <c r="J66" i="11" s="1"/>
  <c r="C42" i="9"/>
  <c r="C53" i="9"/>
  <c r="C78" i="9"/>
  <c r="C89" i="9"/>
  <c r="C114" i="9"/>
  <c r="C125" i="9"/>
  <c r="C150" i="9"/>
  <c r="C205" i="9"/>
  <c r="C278" i="9"/>
  <c r="C301" i="9"/>
  <c r="C314" i="9"/>
  <c r="C385" i="9"/>
  <c r="C413" i="9"/>
  <c r="C418" i="9"/>
  <c r="C436" i="9"/>
  <c r="C446" i="9"/>
  <c r="C529" i="9"/>
  <c r="I71" i="11"/>
  <c r="J71" i="11" s="1"/>
  <c r="C27" i="9"/>
  <c r="C38" i="9"/>
  <c r="C63" i="9"/>
  <c r="C74" i="9"/>
  <c r="C99" i="9"/>
  <c r="C110" i="9"/>
  <c r="C135" i="9"/>
  <c r="C146" i="9"/>
  <c r="C157" i="9"/>
  <c r="C173" i="9"/>
  <c r="C178" i="9"/>
  <c r="C217" i="9"/>
  <c r="C230" i="9"/>
  <c r="C269" i="9"/>
  <c r="C274" i="9"/>
  <c r="C425" i="9"/>
  <c r="I14" i="11"/>
  <c r="J14" i="11" s="1"/>
  <c r="I7" i="11"/>
  <c r="J7" i="11" s="1"/>
  <c r="I76" i="11"/>
  <c r="J76" i="11" s="1"/>
  <c r="I75" i="11"/>
  <c r="J75" i="11" s="1"/>
  <c r="C24" i="9"/>
  <c r="C35" i="9"/>
  <c r="C60" i="9"/>
  <c r="C71" i="9"/>
  <c r="C96" i="9"/>
  <c r="C107" i="9"/>
  <c r="C132" i="9"/>
  <c r="C143" i="9"/>
  <c r="C170" i="9"/>
  <c r="C227" i="9"/>
  <c r="C256" i="9"/>
  <c r="C305" i="9"/>
  <c r="C310" i="9"/>
  <c r="C328" i="9"/>
  <c r="C338" i="9"/>
  <c r="C361" i="9"/>
  <c r="C371" i="9"/>
  <c r="C422" i="9"/>
  <c r="C460" i="9"/>
  <c r="C485" i="9"/>
  <c r="C490" i="9"/>
  <c r="C515" i="9"/>
  <c r="C533" i="9"/>
  <c r="I16" i="11"/>
  <c r="J16" i="11" s="1"/>
  <c r="M36" i="5"/>
  <c r="C32" i="9"/>
  <c r="C57" i="9"/>
  <c r="C68" i="9"/>
  <c r="C93" i="9"/>
  <c r="C104" i="9"/>
  <c r="C129" i="9"/>
  <c r="C140" i="9"/>
  <c r="C167" i="9"/>
  <c r="C193" i="9"/>
  <c r="C209" i="9"/>
  <c r="C214" i="9"/>
  <c r="C253" i="9"/>
  <c r="C266" i="9"/>
  <c r="C292" i="9"/>
  <c r="C389" i="9"/>
  <c r="C29" i="9"/>
  <c r="C54" i="9"/>
  <c r="C65" i="9"/>
  <c r="C90" i="9"/>
  <c r="C101" i="9"/>
  <c r="C126" i="9"/>
  <c r="C137" i="9"/>
  <c r="C206" i="9"/>
  <c r="C263" i="9"/>
  <c r="C289" i="9"/>
  <c r="C302" i="9"/>
  <c r="C325" i="9"/>
  <c r="C335" i="9"/>
  <c r="C386" i="9"/>
  <c r="C457" i="9"/>
  <c r="C472" i="9"/>
  <c r="I37" i="11"/>
  <c r="J37" i="11" s="1"/>
  <c r="I25" i="11"/>
  <c r="J25" i="11" s="1"/>
  <c r="I58" i="11"/>
  <c r="J58" i="11" s="1"/>
  <c r="C544" i="9"/>
  <c r="C541" i="9"/>
  <c r="C538" i="9"/>
  <c r="C535" i="9"/>
  <c r="C539" i="9"/>
  <c r="C542" i="9"/>
  <c r="C534" i="9"/>
  <c r="C531" i="9"/>
  <c r="C528" i="9"/>
  <c r="C525" i="9"/>
  <c r="C522" i="9"/>
  <c r="C519" i="9"/>
  <c r="C516" i="9"/>
  <c r="C513" i="9"/>
  <c r="C510" i="9"/>
  <c r="C507" i="9"/>
  <c r="C504" i="9"/>
  <c r="C501" i="9"/>
  <c r="C498" i="9"/>
  <c r="C495" i="9"/>
  <c r="C492" i="9"/>
  <c r="C489" i="9"/>
  <c r="C486" i="9"/>
  <c r="C483" i="9"/>
  <c r="C480" i="9"/>
  <c r="C477" i="9"/>
  <c r="C474" i="9"/>
  <c r="C471" i="9"/>
  <c r="C468" i="9"/>
  <c r="C465" i="9"/>
  <c r="C462" i="9"/>
  <c r="C459" i="9"/>
  <c r="C456" i="9"/>
  <c r="C453" i="9"/>
  <c r="C450" i="9"/>
  <c r="C447" i="9"/>
  <c r="C444" i="9"/>
  <c r="C441" i="9"/>
  <c r="C438" i="9"/>
  <c r="C435" i="9"/>
  <c r="C432" i="9"/>
  <c r="C429" i="9"/>
  <c r="C426" i="9"/>
  <c r="C423" i="9"/>
  <c r="C420" i="9"/>
  <c r="C417" i="9"/>
  <c r="C414" i="9"/>
  <c r="C411" i="9"/>
  <c r="C408" i="9"/>
  <c r="C405" i="9"/>
  <c r="C402" i="9"/>
  <c r="C399" i="9"/>
  <c r="C396" i="9"/>
  <c r="C393" i="9"/>
  <c r="C390" i="9"/>
  <c r="C387" i="9"/>
  <c r="C384" i="9"/>
  <c r="C381" i="9"/>
  <c r="C378" i="9"/>
  <c r="C375" i="9"/>
  <c r="C372" i="9"/>
  <c r="C369" i="9"/>
  <c r="C366" i="9"/>
  <c r="C363" i="9"/>
  <c r="C360" i="9"/>
  <c r="C357" i="9"/>
  <c r="C354" i="9"/>
  <c r="C351" i="9"/>
  <c r="C348" i="9"/>
  <c r="C345" i="9"/>
  <c r="C342" i="9"/>
  <c r="C339" i="9"/>
  <c r="C336" i="9"/>
  <c r="C333" i="9"/>
  <c r="C330" i="9"/>
  <c r="C327" i="9"/>
  <c r="C324" i="9"/>
  <c r="C321" i="9"/>
  <c r="C318" i="9"/>
  <c r="C315" i="9"/>
  <c r="C312" i="9"/>
  <c r="C309" i="9"/>
  <c r="C306" i="9"/>
  <c r="C303" i="9"/>
  <c r="C300" i="9"/>
  <c r="C297" i="9"/>
  <c r="C294" i="9"/>
  <c r="C291" i="9"/>
  <c r="C288" i="9"/>
  <c r="C285" i="9"/>
  <c r="C282" i="9"/>
  <c r="C279" i="9"/>
  <c r="C276" i="9"/>
  <c r="C273" i="9"/>
  <c r="C270" i="9"/>
  <c r="C267" i="9"/>
  <c r="C264" i="9"/>
  <c r="C261" i="9"/>
  <c r="C258" i="9"/>
  <c r="C255" i="9"/>
  <c r="C252" i="9"/>
  <c r="C249" i="9"/>
  <c r="C246" i="9"/>
  <c r="C243" i="9"/>
  <c r="C240" i="9"/>
  <c r="C237" i="9"/>
  <c r="C234" i="9"/>
  <c r="C231" i="9"/>
  <c r="C228" i="9"/>
  <c r="C225" i="9"/>
  <c r="C222" i="9"/>
  <c r="C219" i="9"/>
  <c r="C216" i="9"/>
  <c r="C213" i="9"/>
  <c r="C210" i="9"/>
  <c r="C207" i="9"/>
  <c r="C204" i="9"/>
  <c r="C201" i="9"/>
  <c r="C198" i="9"/>
  <c r="C195" i="9"/>
  <c r="C192" i="9"/>
  <c r="C189" i="9"/>
  <c r="C186" i="9"/>
  <c r="C183" i="9"/>
  <c r="C180" i="9"/>
  <c r="C177" i="9"/>
  <c r="C174" i="9"/>
  <c r="C171" i="9"/>
  <c r="C168" i="9"/>
  <c r="C165" i="9"/>
  <c r="C162" i="9"/>
  <c r="C159" i="9"/>
  <c r="C156" i="9"/>
  <c r="C537" i="9"/>
  <c r="C540" i="9"/>
  <c r="C543" i="9"/>
  <c r="C511" i="9"/>
  <c r="C500" i="9"/>
  <c r="C475" i="9"/>
  <c r="C464" i="9"/>
  <c r="C439" i="9"/>
  <c r="C428" i="9"/>
  <c r="C403" i="9"/>
  <c r="C392" i="9"/>
  <c r="C367" i="9"/>
  <c r="C356" i="9"/>
  <c r="C331" i="9"/>
  <c r="C320" i="9"/>
  <c r="C295" i="9"/>
  <c r="C284" i="9"/>
  <c r="C259" i="9"/>
  <c r="C248" i="9"/>
  <c r="C223" i="9"/>
  <c r="C212" i="9"/>
  <c r="C187" i="9"/>
  <c r="C176" i="9"/>
  <c r="C536" i="9"/>
  <c r="C514" i="9"/>
  <c r="C503" i="9"/>
  <c r="C478" i="9"/>
  <c r="C467" i="9"/>
  <c r="C442" i="9"/>
  <c r="C431" i="9"/>
  <c r="C406" i="9"/>
  <c r="C395" i="9"/>
  <c r="C370" i="9"/>
  <c r="C359" i="9"/>
  <c r="C334" i="9"/>
  <c r="C323" i="9"/>
  <c r="C298" i="9"/>
  <c r="C287" i="9"/>
  <c r="C262" i="9"/>
  <c r="C251" i="9"/>
  <c r="C226" i="9"/>
  <c r="C215" i="9"/>
  <c r="C190" i="9"/>
  <c r="C179" i="9"/>
  <c r="C154" i="9"/>
  <c r="C151" i="9"/>
  <c r="C148" i="9"/>
  <c r="C145" i="9"/>
  <c r="C142" i="9"/>
  <c r="C139" i="9"/>
  <c r="C136" i="9"/>
  <c r="C133" i="9"/>
  <c r="C130" i="9"/>
  <c r="C127" i="9"/>
  <c r="C124" i="9"/>
  <c r="C121" i="9"/>
  <c r="C118" i="9"/>
  <c r="C115" i="9"/>
  <c r="C112" i="9"/>
  <c r="C109" i="9"/>
  <c r="C106" i="9"/>
  <c r="C103" i="9"/>
  <c r="C100" i="9"/>
  <c r="C97" i="9"/>
  <c r="C94" i="9"/>
  <c r="C91" i="9"/>
  <c r="C88" i="9"/>
  <c r="C85" i="9"/>
  <c r="C82" i="9"/>
  <c r="C79" i="9"/>
  <c r="C76" i="9"/>
  <c r="C73" i="9"/>
  <c r="C70" i="9"/>
  <c r="C67" i="9"/>
  <c r="C64" i="9"/>
  <c r="C61" i="9"/>
  <c r="C58" i="9"/>
  <c r="C55" i="9"/>
  <c r="C52" i="9"/>
  <c r="C49" i="9"/>
  <c r="C46" i="9"/>
  <c r="C43" i="9"/>
  <c r="C40" i="9"/>
  <c r="C37" i="9"/>
  <c r="C34" i="9"/>
  <c r="C31" i="9"/>
  <c r="C28" i="9"/>
  <c r="C25" i="9"/>
  <c r="C517" i="9"/>
  <c r="C506" i="9"/>
  <c r="C481" i="9"/>
  <c r="C470" i="9"/>
  <c r="C445" i="9"/>
  <c r="C434" i="9"/>
  <c r="C409" i="9"/>
  <c r="C398" i="9"/>
  <c r="C373" i="9"/>
  <c r="C362" i="9"/>
  <c r="C337" i="9"/>
  <c r="C326" i="9"/>
  <c r="C520" i="9"/>
  <c r="C509" i="9"/>
  <c r="C484" i="9"/>
  <c r="C473" i="9"/>
  <c r="C448" i="9"/>
  <c r="C437" i="9"/>
  <c r="C412" i="9"/>
  <c r="C401" i="9"/>
  <c r="C376" i="9"/>
  <c r="C365" i="9"/>
  <c r="C340" i="9"/>
  <c r="C329" i="9"/>
  <c r="C304" i="9"/>
  <c r="C293" i="9"/>
  <c r="C268" i="9"/>
  <c r="C257" i="9"/>
  <c r="C232" i="9"/>
  <c r="C221" i="9"/>
  <c r="C196" i="9"/>
  <c r="C185" i="9"/>
  <c r="C160" i="9"/>
  <c r="C523" i="9"/>
  <c r="C512" i="9"/>
  <c r="C487" i="9"/>
  <c r="C476" i="9"/>
  <c r="C451" i="9"/>
  <c r="C440" i="9"/>
  <c r="C415" i="9"/>
  <c r="C404" i="9"/>
  <c r="C379" i="9"/>
  <c r="C368" i="9"/>
  <c r="C343" i="9"/>
  <c r="C332" i="9"/>
  <c r="C307" i="9"/>
  <c r="C296" i="9"/>
  <c r="C271" i="9"/>
  <c r="C260" i="9"/>
  <c r="C235" i="9"/>
  <c r="C224" i="9"/>
  <c r="C199" i="9"/>
  <c r="C188" i="9"/>
  <c r="C163" i="9"/>
  <c r="C524" i="9"/>
  <c r="C499" i="9"/>
  <c r="C488" i="9"/>
  <c r="C463" i="9"/>
  <c r="C452" i="9"/>
  <c r="C427" i="9"/>
  <c r="C416" i="9"/>
  <c r="C391" i="9"/>
  <c r="C380" i="9"/>
  <c r="C355" i="9"/>
  <c r="C344" i="9"/>
  <c r="C319" i="9"/>
  <c r="C308" i="9"/>
  <c r="C283" i="9"/>
  <c r="C272" i="9"/>
  <c r="C247" i="9"/>
  <c r="C236" i="9"/>
  <c r="C211" i="9"/>
  <c r="C200" i="9"/>
  <c r="C175" i="9"/>
  <c r="C164" i="9"/>
  <c r="C527" i="9"/>
  <c r="C502" i="9"/>
  <c r="C491" i="9"/>
  <c r="C466" i="9"/>
  <c r="C455" i="9"/>
  <c r="C430" i="9"/>
  <c r="C419" i="9"/>
  <c r="C394" i="9"/>
  <c r="C383" i="9"/>
  <c r="C358" i="9"/>
  <c r="C347" i="9"/>
  <c r="C322" i="9"/>
  <c r="C311" i="9"/>
  <c r="C286" i="9"/>
  <c r="C530" i="9"/>
  <c r="C505" i="9"/>
  <c r="C494" i="9"/>
  <c r="C469" i="9"/>
  <c r="C458" i="9"/>
  <c r="C26" i="9"/>
  <c r="C51" i="9"/>
  <c r="C62" i="9"/>
  <c r="C87" i="9"/>
  <c r="C98" i="9"/>
  <c r="C123" i="9"/>
  <c r="C134" i="9"/>
  <c r="C172" i="9"/>
  <c r="C203" i="9"/>
  <c r="C229" i="9"/>
  <c r="C245" i="9"/>
  <c r="C250" i="9"/>
  <c r="C299" i="9"/>
  <c r="C353" i="9"/>
  <c r="C424" i="9"/>
  <c r="I13" i="11"/>
  <c r="J13" i="11" s="1"/>
  <c r="I62" i="11"/>
  <c r="J62" i="11" s="1"/>
  <c r="I12" i="11"/>
  <c r="J12" i="11" s="1"/>
  <c r="I29" i="11"/>
  <c r="J29" i="11" s="1"/>
  <c r="I39" i="11"/>
  <c r="J39" i="11" s="1"/>
  <c r="I60" i="11"/>
  <c r="J60" i="11" s="1"/>
  <c r="I17" i="11"/>
  <c r="J17" i="11" s="1"/>
  <c r="I52" i="11"/>
  <c r="J52" i="11" s="1"/>
  <c r="I36" i="11"/>
  <c r="J36" i="11" s="1"/>
  <c r="I34" i="11"/>
  <c r="J34" i="11" s="1"/>
  <c r="I19" i="11"/>
  <c r="J19" i="11" s="1"/>
  <c r="I48" i="11"/>
  <c r="J48" i="11" s="1"/>
  <c r="I45" i="11"/>
  <c r="J45" i="11" s="1"/>
  <c r="I31" i="11"/>
  <c r="J31" i="11" s="1"/>
  <c r="I27" i="11"/>
  <c r="J27" i="11" s="1"/>
  <c r="I78" i="11"/>
  <c r="J78" i="11" s="1"/>
  <c r="I73" i="11"/>
  <c r="J73" i="11" s="1"/>
  <c r="I20" i="11"/>
  <c r="J20" i="11" s="1"/>
  <c r="I11" i="11"/>
  <c r="J11" i="11" s="1"/>
  <c r="I10" i="11"/>
  <c r="J10" i="11" s="1"/>
  <c r="I69" i="11"/>
  <c r="J69" i="11" s="1"/>
  <c r="I23" i="11"/>
  <c r="J23" i="11" s="1"/>
  <c r="I22" i="11"/>
  <c r="J22" i="11" s="1"/>
  <c r="I65" i="11"/>
  <c r="J65" i="11" s="1"/>
  <c r="C15" i="10" s="1"/>
  <c r="I43" i="11"/>
  <c r="J43" i="11" s="1"/>
  <c r="I54" i="11"/>
  <c r="J54" i="11" s="1"/>
  <c r="I67" i="11"/>
  <c r="J67" i="11" s="1"/>
  <c r="I24" i="11"/>
  <c r="J24" i="11" s="1"/>
  <c r="I50" i="11"/>
  <c r="J50" i="11" s="1"/>
  <c r="I80" i="11"/>
  <c r="J80" i="11" s="1"/>
  <c r="I21" i="11"/>
  <c r="J21" i="11" s="1"/>
  <c r="I32" i="11"/>
  <c r="J32" i="11" s="1"/>
  <c r="I41" i="11"/>
  <c r="J41" i="11" s="1"/>
  <c r="I56" i="11"/>
  <c r="J56" i="11" s="1"/>
  <c r="I18" i="11"/>
  <c r="J18" i="11" s="1"/>
  <c r="I44" i="11"/>
  <c r="J44" i="11" s="1"/>
  <c r="I46" i="11"/>
  <c r="J46" i="11" s="1"/>
  <c r="I63" i="11"/>
  <c r="J63" i="11" s="1"/>
  <c r="I42" i="11"/>
  <c r="J42" i="11" s="1"/>
  <c r="I59" i="11"/>
  <c r="J59" i="11" s="1"/>
  <c r="I61" i="11"/>
  <c r="J61" i="11" s="1"/>
  <c r="I6" i="11"/>
  <c r="I30" i="11"/>
  <c r="J30" i="11" s="1"/>
  <c r="I38" i="11"/>
  <c r="J38" i="11" s="1"/>
  <c r="I40" i="11"/>
  <c r="J40" i="11" s="1"/>
  <c r="I57" i="11"/>
  <c r="J57" i="11" s="1"/>
  <c r="I74" i="11"/>
  <c r="J74" i="11" s="1"/>
  <c r="I77" i="11"/>
  <c r="J77" i="11" s="1"/>
  <c r="I53" i="11"/>
  <c r="J53" i="11" s="1"/>
  <c r="I55" i="11"/>
  <c r="J55" i="11" s="1"/>
  <c r="I72" i="11"/>
  <c r="J72" i="11" s="1"/>
  <c r="I81" i="11"/>
  <c r="J81" i="11" s="1"/>
  <c r="I28" i="11"/>
  <c r="J28" i="11" s="1"/>
  <c r="I51" i="11"/>
  <c r="J51" i="11" s="1"/>
  <c r="I68" i="11"/>
  <c r="J68" i="11" s="1"/>
  <c r="I70" i="11"/>
  <c r="J70" i="11" s="1"/>
  <c r="I79" i="11"/>
  <c r="J79" i="11" s="1"/>
  <c r="I26" i="11"/>
  <c r="J26" i="11" s="1"/>
  <c r="I33" i="11"/>
  <c r="J33" i="11" s="1"/>
  <c r="I47" i="11"/>
  <c r="J47" i="11" s="1"/>
  <c r="I49" i="11"/>
  <c r="J49" i="11" s="1"/>
  <c r="N40" i="5" l="1"/>
  <c r="D118" i="4"/>
  <c r="D241" i="4"/>
  <c r="D29" i="4"/>
  <c r="D159" i="4"/>
  <c r="D200" i="4"/>
  <c r="C260" i="4"/>
  <c r="E260" i="4"/>
  <c r="D260" i="4"/>
  <c r="C14" i="2"/>
  <c r="AK41" i="11"/>
  <c r="AI41" i="11"/>
  <c r="AH41" i="11"/>
  <c r="AF41" i="11"/>
  <c r="AE41" i="11"/>
  <c r="AD41" i="11"/>
  <c r="AN41" i="11"/>
  <c r="AB41" i="11"/>
  <c r="AM41" i="11"/>
  <c r="AA41" i="11"/>
  <c r="AL41" i="11"/>
  <c r="AQ41" i="11" s="1"/>
  <c r="AR41" i="11" s="1"/>
  <c r="AO41" i="11"/>
  <c r="AJ41" i="11"/>
  <c r="AG41" i="11"/>
  <c r="AC41" i="11"/>
  <c r="AO51" i="11"/>
  <c r="AC51" i="11"/>
  <c r="AM51" i="11"/>
  <c r="AA51" i="11"/>
  <c r="AL51" i="11"/>
  <c r="AQ51" i="11" s="1"/>
  <c r="AR51" i="11" s="1"/>
  <c r="AJ51" i="11"/>
  <c r="AI51" i="11"/>
  <c r="AH51" i="11"/>
  <c r="AF51" i="11"/>
  <c r="AE51" i="11"/>
  <c r="AD51" i="11"/>
  <c r="AB51" i="11"/>
  <c r="AN51" i="11"/>
  <c r="AK51" i="11"/>
  <c r="AG51" i="11"/>
  <c r="AJ30" i="11"/>
  <c r="AF30" i="11"/>
  <c r="AB30" i="11"/>
  <c r="AO30" i="11"/>
  <c r="AA30" i="11"/>
  <c r="AN30" i="11"/>
  <c r="AM30" i="11"/>
  <c r="AL30" i="11"/>
  <c r="AQ30" i="11" s="1"/>
  <c r="AR30" i="11" s="1"/>
  <c r="AK30" i="11"/>
  <c r="AI30" i="11"/>
  <c r="AE30" i="11"/>
  <c r="AH30" i="11"/>
  <c r="AG30" i="11"/>
  <c r="AD30" i="11"/>
  <c r="AC30" i="11"/>
  <c r="AF32" i="11"/>
  <c r="AN32" i="11"/>
  <c r="AB32" i="11"/>
  <c r="AD32" i="11"/>
  <c r="AC32" i="11"/>
  <c r="AA32" i="11"/>
  <c r="AO32" i="11"/>
  <c r="AM32" i="11"/>
  <c r="AL32" i="11"/>
  <c r="AQ32" i="11" s="1"/>
  <c r="AR32" i="11" s="1"/>
  <c r="AI32" i="11"/>
  <c r="AH32" i="11"/>
  <c r="AG32" i="11"/>
  <c r="AE32" i="11"/>
  <c r="AK32" i="11"/>
  <c r="AJ32" i="11"/>
  <c r="AF10" i="11"/>
  <c r="AE10" i="11"/>
  <c r="AD10" i="11"/>
  <c r="AC10" i="11"/>
  <c r="AB10" i="11"/>
  <c r="AA10" i="11"/>
  <c r="AI10" i="11"/>
  <c r="AH10" i="11"/>
  <c r="AG10" i="11"/>
  <c r="AK10" i="11"/>
  <c r="AJ10" i="11"/>
  <c r="AL10" i="11"/>
  <c r="AQ10" i="11" s="1"/>
  <c r="AR10" i="11" s="1"/>
  <c r="AG52" i="11"/>
  <c r="AE52" i="11"/>
  <c r="AD52" i="11"/>
  <c r="AN52" i="11"/>
  <c r="AB52" i="11"/>
  <c r="AM52" i="11"/>
  <c r="AA52" i="11"/>
  <c r="AL52" i="11"/>
  <c r="AQ52" i="11" s="1"/>
  <c r="AR52" i="11" s="1"/>
  <c r="AJ52" i="11"/>
  <c r="AI52" i="11"/>
  <c r="AH52" i="11"/>
  <c r="AO52" i="11"/>
  <c r="AK52" i="11"/>
  <c r="AF52" i="11"/>
  <c r="AC52" i="11"/>
  <c r="C59" i="4"/>
  <c r="C182" i="4"/>
  <c r="C100" i="4"/>
  <c r="D55" i="2"/>
  <c r="C141" i="4"/>
  <c r="C19" i="8"/>
  <c r="C223" i="4"/>
  <c r="C264" i="4"/>
  <c r="C9" i="12"/>
  <c r="M37" i="5"/>
  <c r="O40" i="5"/>
  <c r="J6" i="11"/>
  <c r="I83" i="11"/>
  <c r="C22" i="12" s="1"/>
  <c r="AJ11" i="11"/>
  <c r="AC11" i="11"/>
  <c r="AB11" i="11"/>
  <c r="AA11" i="11"/>
  <c r="AL11" i="11"/>
  <c r="AQ11" i="11" s="1"/>
  <c r="AR11" i="11" s="1"/>
  <c r="AK11" i="11"/>
  <c r="AJ17" i="11"/>
  <c r="C8" i="10"/>
  <c r="AI17" i="11"/>
  <c r="AH17" i="11"/>
  <c r="AG17" i="11"/>
  <c r="AF17" i="11"/>
  <c r="AE17" i="11"/>
  <c r="AO17" i="11"/>
  <c r="AN17" i="11"/>
  <c r="AM17" i="11"/>
  <c r="AL17" i="11"/>
  <c r="AC17" i="11"/>
  <c r="AB17" i="11"/>
  <c r="AA17" i="11"/>
  <c r="AD17" i="11"/>
  <c r="AK17" i="11"/>
  <c r="C11" i="9"/>
  <c r="D7" i="9"/>
  <c r="C10" i="9"/>
  <c r="C8" i="9"/>
  <c r="C13" i="9"/>
  <c r="C7" i="9"/>
  <c r="C14" i="9"/>
  <c r="C9" i="9"/>
  <c r="AA75" i="11"/>
  <c r="AJ75" i="11"/>
  <c r="AH75" i="11"/>
  <c r="AF75" i="11"/>
  <c r="AE75" i="11"/>
  <c r="AD75" i="11"/>
  <c r="AK75" i="11"/>
  <c r="AB75" i="11"/>
  <c r="AG75" i="11"/>
  <c r="E19" i="8"/>
  <c r="E100" i="4"/>
  <c r="E141" i="4"/>
  <c r="E182" i="4"/>
  <c r="E59" i="4"/>
  <c r="F55" i="2"/>
  <c r="E223" i="4"/>
  <c r="E264" i="4"/>
  <c r="AJ20" i="11"/>
  <c r="AI20" i="11"/>
  <c r="AH20" i="11"/>
  <c r="AG20" i="11"/>
  <c r="AF20" i="11"/>
  <c r="AE20" i="11"/>
  <c r="AC20" i="11"/>
  <c r="AB20" i="11"/>
  <c r="AA20" i="11"/>
  <c r="AL20" i="11"/>
  <c r="AQ20" i="11" s="1"/>
  <c r="AR20" i="11" s="1"/>
  <c r="AK20" i="11"/>
  <c r="AD20" i="11"/>
  <c r="AO20" i="11"/>
  <c r="AN20" i="11"/>
  <c r="AM20" i="11"/>
  <c r="AK59" i="11"/>
  <c r="AI59" i="11"/>
  <c r="AH59" i="11"/>
  <c r="AF59" i="11"/>
  <c r="AE59" i="11"/>
  <c r="AD59" i="11"/>
  <c r="AN59" i="11"/>
  <c r="AB59" i="11"/>
  <c r="AM59" i="11"/>
  <c r="AA59" i="11"/>
  <c r="AL59" i="11"/>
  <c r="AQ59" i="11" s="1"/>
  <c r="AR59" i="11" s="1"/>
  <c r="AO59" i="11"/>
  <c r="AJ59" i="11"/>
  <c r="AG59" i="11"/>
  <c r="AC59" i="11"/>
  <c r="AO72" i="11"/>
  <c r="AC72" i="11"/>
  <c r="AM72" i="11"/>
  <c r="AA72" i="11"/>
  <c r="AL72" i="11"/>
  <c r="AQ72" i="11" s="1"/>
  <c r="AR72" i="11" s="1"/>
  <c r="AJ72" i="11"/>
  <c r="AI72" i="11"/>
  <c r="AH72" i="11"/>
  <c r="AF72" i="11"/>
  <c r="AE72" i="11"/>
  <c r="AD72" i="11"/>
  <c r="AG72" i="11"/>
  <c r="AB72" i="11"/>
  <c r="AN72" i="11"/>
  <c r="AK72" i="11"/>
  <c r="AN24" i="11"/>
  <c r="AB24" i="11"/>
  <c r="AM24" i="11"/>
  <c r="AA24" i="11"/>
  <c r="AL24" i="11"/>
  <c r="AQ24" i="11" s="1"/>
  <c r="AR24" i="11" s="1"/>
  <c r="AK24" i="11"/>
  <c r="AJ24" i="11"/>
  <c r="AI24" i="11"/>
  <c r="AO24" i="11"/>
  <c r="AH24" i="11"/>
  <c r="AG24" i="11"/>
  <c r="AF24" i="11"/>
  <c r="AE24" i="11"/>
  <c r="AD24" i="11"/>
  <c r="AC24" i="11"/>
  <c r="AC78" i="11"/>
  <c r="AA78" i="11"/>
  <c r="AL78" i="11"/>
  <c r="AQ78" i="11" s="1"/>
  <c r="AR78" i="11" s="1"/>
  <c r="AJ78" i="11"/>
  <c r="AI78" i="11"/>
  <c r="AH78" i="11"/>
  <c r="AF78" i="11"/>
  <c r="AE78" i="11"/>
  <c r="AD78" i="11"/>
  <c r="AK78" i="11"/>
  <c r="AG78" i="11"/>
  <c r="AB78" i="11"/>
  <c r="AF29" i="11"/>
  <c r="AN29" i="11"/>
  <c r="AB29" i="11"/>
  <c r="AI29" i="11"/>
  <c r="AH29" i="11"/>
  <c r="AG29" i="11"/>
  <c r="AE29" i="11"/>
  <c r="AD29" i="11"/>
  <c r="AC29" i="11"/>
  <c r="AO29" i="11"/>
  <c r="AM29" i="11"/>
  <c r="AL29" i="11"/>
  <c r="AQ29" i="11" s="1"/>
  <c r="AR29" i="11" s="1"/>
  <c r="AK29" i="11"/>
  <c r="AJ29" i="11"/>
  <c r="AA29" i="11"/>
  <c r="AN25" i="11"/>
  <c r="AF25" i="11"/>
  <c r="AE25" i="11"/>
  <c r="AD25" i="11"/>
  <c r="AC25" i="11"/>
  <c r="AO25" i="11"/>
  <c r="AB25" i="11"/>
  <c r="AM25" i="11"/>
  <c r="AA25" i="11"/>
  <c r="AL25" i="11"/>
  <c r="AQ25" i="11" s="1"/>
  <c r="AR25" i="11" s="1"/>
  <c r="AK25" i="11"/>
  <c r="AJ25" i="11"/>
  <c r="AI25" i="11"/>
  <c r="AG25" i="11"/>
  <c r="AH25" i="11"/>
  <c r="AF7" i="11"/>
  <c r="AE7" i="11"/>
  <c r="AD7" i="11"/>
  <c r="AC7" i="11"/>
  <c r="AB7" i="11"/>
  <c r="AA7" i="11"/>
  <c r="AK7" i="11"/>
  <c r="AJ7" i="11"/>
  <c r="AL7" i="11"/>
  <c r="AQ7" i="11" s="1"/>
  <c r="AR7" i="11" s="1"/>
  <c r="AO66" i="11"/>
  <c r="AC66" i="11"/>
  <c r="AM66" i="11"/>
  <c r="AA66" i="11"/>
  <c r="AL66" i="11"/>
  <c r="AJ66" i="11"/>
  <c r="AI66" i="11"/>
  <c r="AH66" i="11"/>
  <c r="AF66" i="11"/>
  <c r="AE66" i="11"/>
  <c r="AD66" i="11"/>
  <c r="AN66" i="11"/>
  <c r="AK66" i="11"/>
  <c r="AG66" i="11"/>
  <c r="AB66" i="11"/>
  <c r="C10" i="10"/>
  <c r="AO69" i="11"/>
  <c r="AC69" i="11"/>
  <c r="AM69" i="11"/>
  <c r="AA69" i="11"/>
  <c r="AL69" i="11"/>
  <c r="AQ69" i="11" s="1"/>
  <c r="AR69" i="11" s="1"/>
  <c r="AJ69" i="11"/>
  <c r="AI69" i="11"/>
  <c r="AH69" i="11"/>
  <c r="AF69" i="11"/>
  <c r="AE69" i="11"/>
  <c r="AD69" i="11"/>
  <c r="AN69" i="11"/>
  <c r="AK69" i="11"/>
  <c r="AG69" i="11"/>
  <c r="AB69" i="11"/>
  <c r="AO60" i="11"/>
  <c r="AC60" i="11"/>
  <c r="AM60" i="11"/>
  <c r="AA60" i="11"/>
  <c r="AL60" i="11"/>
  <c r="AQ60" i="11" s="1"/>
  <c r="AR60" i="11" s="1"/>
  <c r="AJ60" i="11"/>
  <c r="AI60" i="11"/>
  <c r="AH60" i="11"/>
  <c r="AF60" i="11"/>
  <c r="AE60" i="11"/>
  <c r="AD60" i="11"/>
  <c r="AN60" i="11"/>
  <c r="AK60" i="11"/>
  <c r="AG60" i="11"/>
  <c r="AB60" i="11"/>
  <c r="AF16" i="11"/>
  <c r="AE16" i="11"/>
  <c r="AD16" i="11"/>
  <c r="AO16" i="11"/>
  <c r="AC16" i="11"/>
  <c r="AN16" i="11"/>
  <c r="AB16" i="11"/>
  <c r="AM16" i="11"/>
  <c r="AA16" i="11"/>
  <c r="AL16" i="11"/>
  <c r="AQ16" i="11" s="1"/>
  <c r="AR16" i="11" s="1"/>
  <c r="AK16" i="11"/>
  <c r="AJ16" i="11"/>
  <c r="AK50" i="11"/>
  <c r="AI50" i="11"/>
  <c r="AH50" i="11"/>
  <c r="AF50" i="11"/>
  <c r="AE50" i="11"/>
  <c r="AD50" i="11"/>
  <c r="AN50" i="11"/>
  <c r="AB50" i="11"/>
  <c r="AM50" i="11"/>
  <c r="AA50" i="11"/>
  <c r="AL50" i="11"/>
  <c r="AQ50" i="11" s="1"/>
  <c r="AR50" i="11" s="1"/>
  <c r="AO50" i="11"/>
  <c r="AJ50" i="11"/>
  <c r="AG50" i="11"/>
  <c r="AC50" i="11"/>
  <c r="AK47" i="11"/>
  <c r="AI47" i="11"/>
  <c r="AH47" i="11"/>
  <c r="AF47" i="11"/>
  <c r="AE47" i="11"/>
  <c r="AD47" i="11"/>
  <c r="AN47" i="11"/>
  <c r="AB47" i="11"/>
  <c r="AM47" i="11"/>
  <c r="AA47" i="11"/>
  <c r="AL47" i="11"/>
  <c r="AQ47" i="11" s="1"/>
  <c r="AR47" i="11" s="1"/>
  <c r="AO47" i="11"/>
  <c r="AJ47" i="11"/>
  <c r="AG47" i="11"/>
  <c r="AC47" i="11"/>
  <c r="AG37" i="11"/>
  <c r="AD37" i="11"/>
  <c r="AN37" i="11"/>
  <c r="AB37" i="11"/>
  <c r="AL37" i="11"/>
  <c r="AQ37" i="11" s="1"/>
  <c r="AR37" i="11" s="1"/>
  <c r="AJ37" i="11"/>
  <c r="AI37" i="11"/>
  <c r="AH37" i="11"/>
  <c r="AO37" i="11"/>
  <c r="AM37" i="11"/>
  <c r="AK37" i="11"/>
  <c r="AF37" i="11"/>
  <c r="AE37" i="11"/>
  <c r="AC37" i="11"/>
  <c r="AA37" i="11"/>
  <c r="AJ14" i="11"/>
  <c r="AI14" i="11"/>
  <c r="AH14" i="11"/>
  <c r="AG14" i="11"/>
  <c r="AF14" i="11"/>
  <c r="AE14" i="11"/>
  <c r="AL14" i="11"/>
  <c r="AQ14" i="11" s="1"/>
  <c r="AR14" i="11" s="1"/>
  <c r="AK14" i="11"/>
  <c r="AD14" i="11"/>
  <c r="AA14" i="11"/>
  <c r="AC14" i="11"/>
  <c r="AB14" i="11"/>
  <c r="Q33" i="5"/>
  <c r="Q17" i="5"/>
  <c r="Q31" i="5"/>
  <c r="Q32" i="5" s="1"/>
  <c r="Q21" i="5"/>
  <c r="R13" i="5"/>
  <c r="Q14" i="5"/>
  <c r="Q16" i="5" s="1"/>
  <c r="Q19" i="5" s="1"/>
  <c r="E36" i="5"/>
  <c r="D19" i="8"/>
  <c r="D141" i="4"/>
  <c r="D182" i="4"/>
  <c r="D223" i="4"/>
  <c r="D264" i="4"/>
  <c r="D59" i="4"/>
  <c r="E55" i="2"/>
  <c r="D100" i="4"/>
  <c r="AK38" i="11"/>
  <c r="AI38" i="11"/>
  <c r="AH38" i="11"/>
  <c r="AF38" i="11"/>
  <c r="AE38" i="11"/>
  <c r="AD38" i="11"/>
  <c r="AN38" i="11"/>
  <c r="AB38" i="11"/>
  <c r="AM38" i="11"/>
  <c r="AA38" i="11"/>
  <c r="AL38" i="11"/>
  <c r="AQ38" i="11" s="1"/>
  <c r="AR38" i="11" s="1"/>
  <c r="AJ38" i="11"/>
  <c r="AG38" i="11"/>
  <c r="AC38" i="11"/>
  <c r="AO38" i="11"/>
  <c r="AN21" i="11"/>
  <c r="AB21" i="11"/>
  <c r="AM21" i="11"/>
  <c r="AA21" i="11"/>
  <c r="AL21" i="11"/>
  <c r="AQ21" i="11" s="1"/>
  <c r="AR21" i="11" s="1"/>
  <c r="AK21" i="11"/>
  <c r="AJ21" i="11"/>
  <c r="AI21" i="11"/>
  <c r="AF21" i="11"/>
  <c r="AE21" i="11"/>
  <c r="AD21" i="11"/>
  <c r="AC21" i="11"/>
  <c r="AH21" i="11"/>
  <c r="AG21" i="11"/>
  <c r="AO21" i="11"/>
  <c r="AG61" i="11"/>
  <c r="AE61" i="11"/>
  <c r="AD61" i="11"/>
  <c r="AN61" i="11"/>
  <c r="AB61" i="11"/>
  <c r="AM61" i="11"/>
  <c r="AA61" i="11"/>
  <c r="AL61" i="11"/>
  <c r="AQ61" i="11" s="1"/>
  <c r="AR61" i="11" s="1"/>
  <c r="AJ61" i="11"/>
  <c r="AI61" i="11"/>
  <c r="AH61" i="11"/>
  <c r="AO61" i="11"/>
  <c r="AK61" i="11"/>
  <c r="AF61" i="11"/>
  <c r="AC61" i="11"/>
  <c r="AG73" i="11"/>
  <c r="AE73" i="11"/>
  <c r="AD73" i="11"/>
  <c r="AN73" i="11"/>
  <c r="AB73" i="11"/>
  <c r="AM73" i="11"/>
  <c r="AA73" i="11"/>
  <c r="AL73" i="11"/>
  <c r="AQ73" i="11" s="1"/>
  <c r="AR73" i="11" s="1"/>
  <c r="AJ73" i="11"/>
  <c r="AI73" i="11"/>
  <c r="AH73" i="11"/>
  <c r="AO73" i="11"/>
  <c r="AK73" i="11"/>
  <c r="AF73" i="11"/>
  <c r="AC73" i="11"/>
  <c r="AG76" i="11"/>
  <c r="AE76" i="11"/>
  <c r="AD76" i="11"/>
  <c r="AN76" i="11"/>
  <c r="AB76" i="11"/>
  <c r="AM76" i="11"/>
  <c r="AA76" i="11"/>
  <c r="AL76" i="11"/>
  <c r="AQ76" i="11" s="1"/>
  <c r="AR76" i="11" s="1"/>
  <c r="AJ76" i="11"/>
  <c r="AI76" i="11"/>
  <c r="AH76" i="11"/>
  <c r="AO76" i="11"/>
  <c r="AK76" i="11"/>
  <c r="AF76" i="11"/>
  <c r="AC76" i="11"/>
  <c r="AG49" i="11"/>
  <c r="AE49" i="11"/>
  <c r="AD49" i="11"/>
  <c r="AN49" i="11"/>
  <c r="AB49" i="11"/>
  <c r="AM49" i="11"/>
  <c r="AA49" i="11"/>
  <c r="AL49" i="11"/>
  <c r="AQ49" i="11" s="1"/>
  <c r="AR49" i="11" s="1"/>
  <c r="AJ49" i="11"/>
  <c r="AI49" i="11"/>
  <c r="AH49" i="11"/>
  <c r="AC49" i="11"/>
  <c r="AF49" i="11"/>
  <c r="AO49" i="11"/>
  <c r="AK49" i="11"/>
  <c r="AO42" i="11"/>
  <c r="AC42" i="11"/>
  <c r="AM42" i="11"/>
  <c r="AA42" i="11"/>
  <c r="AL42" i="11"/>
  <c r="AJ42" i="11"/>
  <c r="AI42" i="11"/>
  <c r="AH42" i="11"/>
  <c r="AF42" i="11"/>
  <c r="AE42" i="11"/>
  <c r="AD42" i="11"/>
  <c r="AN42" i="11"/>
  <c r="AK42" i="11"/>
  <c r="AG42" i="11"/>
  <c r="AB42" i="11"/>
  <c r="C9" i="10"/>
  <c r="C14" i="10"/>
  <c r="AG55" i="11"/>
  <c r="AE55" i="11"/>
  <c r="AD55" i="11"/>
  <c r="AN55" i="11"/>
  <c r="AB55" i="11"/>
  <c r="AM55" i="11"/>
  <c r="AA55" i="11"/>
  <c r="AL55" i="11"/>
  <c r="AQ55" i="11" s="1"/>
  <c r="AR55" i="11" s="1"/>
  <c r="AJ55" i="11"/>
  <c r="AI55" i="11"/>
  <c r="AH55" i="11"/>
  <c r="AF55" i="11"/>
  <c r="AC55" i="11"/>
  <c r="AO55" i="11"/>
  <c r="AK55" i="11"/>
  <c r="AO63" i="11"/>
  <c r="AC63" i="11"/>
  <c r="AM63" i="11"/>
  <c r="AA63" i="11"/>
  <c r="AL63" i="11"/>
  <c r="AQ63" i="11" s="1"/>
  <c r="AR63" i="11" s="1"/>
  <c r="AJ63" i="11"/>
  <c r="AI63" i="11"/>
  <c r="AH63" i="11"/>
  <c r="AF63" i="11"/>
  <c r="AE63" i="11"/>
  <c r="AD63" i="11"/>
  <c r="AN63" i="11"/>
  <c r="AK63" i="11"/>
  <c r="AG63" i="11"/>
  <c r="AB63" i="11"/>
  <c r="AG67" i="11"/>
  <c r="AE67" i="11"/>
  <c r="AD67" i="11"/>
  <c r="AN67" i="11"/>
  <c r="AB67" i="11"/>
  <c r="AM67" i="11"/>
  <c r="AA67" i="11"/>
  <c r="AL67" i="11"/>
  <c r="AQ67" i="11" s="1"/>
  <c r="AR67" i="11" s="1"/>
  <c r="AJ67" i="11"/>
  <c r="AI67" i="11"/>
  <c r="AH67" i="11"/>
  <c r="AO67" i="11"/>
  <c r="AK67" i="11"/>
  <c r="AF67" i="11"/>
  <c r="AC67" i="11"/>
  <c r="AJ27" i="11"/>
  <c r="AF27" i="11"/>
  <c r="AG27" i="11"/>
  <c r="AE27" i="11"/>
  <c r="AD27" i="11"/>
  <c r="AC27" i="11"/>
  <c r="AB27" i="11"/>
  <c r="AO27" i="11"/>
  <c r="AA27" i="11"/>
  <c r="AH27" i="11"/>
  <c r="AM27" i="11"/>
  <c r="AN27" i="11"/>
  <c r="AL27" i="11"/>
  <c r="AQ27" i="11" s="1"/>
  <c r="AR27" i="11" s="1"/>
  <c r="AK27" i="11"/>
  <c r="AI27" i="11"/>
  <c r="AL33" i="11"/>
  <c r="AQ33" i="11" s="1"/>
  <c r="AR33" i="11" s="1"/>
  <c r="AJ33" i="11"/>
  <c r="AH33" i="11"/>
  <c r="AF33" i="11"/>
  <c r="AD33" i="11"/>
  <c r="AO33" i="11"/>
  <c r="AN33" i="11"/>
  <c r="AM33" i="11"/>
  <c r="AK33" i="11"/>
  <c r="AI33" i="11"/>
  <c r="AG33" i="11"/>
  <c r="AE33" i="11"/>
  <c r="AC33" i="11"/>
  <c r="AB33" i="11"/>
  <c r="AA33" i="11"/>
  <c r="AK53" i="11"/>
  <c r="AI53" i="11"/>
  <c r="AH53" i="11"/>
  <c r="AF53" i="11"/>
  <c r="AE53" i="11"/>
  <c r="AD53" i="11"/>
  <c r="AN53" i="11"/>
  <c r="AB53" i="11"/>
  <c r="AM53" i="11"/>
  <c r="AA53" i="11"/>
  <c r="AL53" i="11"/>
  <c r="AQ53" i="11" s="1"/>
  <c r="AR53" i="11" s="1"/>
  <c r="AG53" i="11"/>
  <c r="AC53" i="11"/>
  <c r="AO53" i="11"/>
  <c r="AJ53" i="11"/>
  <c r="AG46" i="11"/>
  <c r="AE46" i="11"/>
  <c r="AD46" i="11"/>
  <c r="AN46" i="11"/>
  <c r="AB46" i="11"/>
  <c r="AM46" i="11"/>
  <c r="AA46" i="11"/>
  <c r="AL46" i="11"/>
  <c r="AQ46" i="11" s="1"/>
  <c r="AR46" i="11" s="1"/>
  <c r="AJ46" i="11"/>
  <c r="AI46" i="11"/>
  <c r="AH46" i="11"/>
  <c r="AO46" i="11"/>
  <c r="AK46" i="11"/>
  <c r="AF46" i="11"/>
  <c r="AC46" i="11"/>
  <c r="AO54" i="11"/>
  <c r="AC54" i="11"/>
  <c r="AM54" i="11"/>
  <c r="AA54" i="11"/>
  <c r="AL54" i="11"/>
  <c r="AQ54" i="11" s="1"/>
  <c r="AR54" i="11" s="1"/>
  <c r="AJ54" i="11"/>
  <c r="AI54" i="11"/>
  <c r="AH54" i="11"/>
  <c r="AF54" i="11"/>
  <c r="AE54" i="11"/>
  <c r="AD54" i="11"/>
  <c r="AN54" i="11"/>
  <c r="AK54" i="11"/>
  <c r="AG54" i="11"/>
  <c r="AB54" i="11"/>
  <c r="AN31" i="11"/>
  <c r="AB31" i="11"/>
  <c r="AJ31" i="11"/>
  <c r="AI31" i="11"/>
  <c r="AH31" i="11"/>
  <c r="AG31" i="11"/>
  <c r="AF31" i="11"/>
  <c r="AE31" i="11"/>
  <c r="AD31" i="11"/>
  <c r="AA31" i="11"/>
  <c r="AM31" i="11"/>
  <c r="AO31" i="11"/>
  <c r="AL31" i="11"/>
  <c r="AQ31" i="11" s="1"/>
  <c r="AR31" i="11" s="1"/>
  <c r="AK31" i="11"/>
  <c r="AC31" i="11"/>
  <c r="AB12" i="11"/>
  <c r="AA12" i="11"/>
  <c r="AL12" i="11"/>
  <c r="AQ12" i="11" s="1"/>
  <c r="AR12" i="11" s="1"/>
  <c r="AK12" i="11"/>
  <c r="AJ12" i="11"/>
  <c r="AI12" i="11"/>
  <c r="AH12" i="11"/>
  <c r="AG12" i="11"/>
  <c r="J7" i="10" s="1"/>
  <c r="AC12" i="11"/>
  <c r="AE12" i="11"/>
  <c r="AD12" i="11"/>
  <c r="AF12" i="11"/>
  <c r="E35" i="5"/>
  <c r="E37" i="5" s="1"/>
  <c r="AK68" i="11"/>
  <c r="AI68" i="11"/>
  <c r="AH68" i="11"/>
  <c r="AF68" i="11"/>
  <c r="AE68" i="11"/>
  <c r="AD68" i="11"/>
  <c r="AN68" i="11"/>
  <c r="AB68" i="11"/>
  <c r="AM68" i="11"/>
  <c r="AA68" i="11"/>
  <c r="AL68" i="11"/>
  <c r="AQ68" i="11" s="1"/>
  <c r="AR68" i="11" s="1"/>
  <c r="AC68" i="11"/>
  <c r="AJ68" i="11"/>
  <c r="AO68" i="11"/>
  <c r="AG68" i="11"/>
  <c r="AN28" i="11"/>
  <c r="AB28" i="11"/>
  <c r="AJ28" i="11"/>
  <c r="AO28" i="11"/>
  <c r="AM28" i="11"/>
  <c r="AL28" i="11"/>
  <c r="AQ28" i="11" s="1"/>
  <c r="AR28" i="11" s="1"/>
  <c r="AK28" i="11"/>
  <c r="AI28" i="11"/>
  <c r="AH28" i="11"/>
  <c r="AG28" i="11"/>
  <c r="AF28" i="11"/>
  <c r="AE28" i="11"/>
  <c r="AD28" i="11"/>
  <c r="AC28" i="11"/>
  <c r="AA28" i="11"/>
  <c r="AK80" i="11"/>
  <c r="AI80" i="11"/>
  <c r="AH80" i="11"/>
  <c r="AF80" i="11"/>
  <c r="AE80" i="11"/>
  <c r="AD80" i="11"/>
  <c r="AN80" i="11"/>
  <c r="AB80" i="11"/>
  <c r="AM80" i="11"/>
  <c r="AA80" i="11"/>
  <c r="AL80" i="11"/>
  <c r="AQ80" i="11" s="1"/>
  <c r="AR80" i="11" s="1"/>
  <c r="AO80" i="11"/>
  <c r="AJ80" i="11"/>
  <c r="AG80" i="11"/>
  <c r="AC80" i="11"/>
  <c r="AO81" i="11"/>
  <c r="AC81" i="11"/>
  <c r="AM81" i="11"/>
  <c r="AA81" i="11"/>
  <c r="AL81" i="11"/>
  <c r="AQ81" i="11" s="1"/>
  <c r="AR81" i="11" s="1"/>
  <c r="AJ81" i="11"/>
  <c r="AI81" i="11"/>
  <c r="AH81" i="11"/>
  <c r="AF81" i="11"/>
  <c r="AE81" i="11"/>
  <c r="AD81" i="11"/>
  <c r="AG81" i="11"/>
  <c r="AB81" i="11"/>
  <c r="AN81" i="11"/>
  <c r="AK81" i="11"/>
  <c r="AO39" i="11"/>
  <c r="AC39" i="11"/>
  <c r="AM39" i="11"/>
  <c r="AA39" i="11"/>
  <c r="AL39" i="11"/>
  <c r="AQ39" i="11" s="1"/>
  <c r="AR39" i="11" s="1"/>
  <c r="AJ39" i="11"/>
  <c r="AI39" i="11"/>
  <c r="AH39" i="11"/>
  <c r="AF39" i="11"/>
  <c r="AE39" i="11"/>
  <c r="AD39" i="11"/>
  <c r="AN39" i="11"/>
  <c r="AG39" i="11"/>
  <c r="AK39" i="11"/>
  <c r="AB39" i="11"/>
  <c r="AG58" i="11"/>
  <c r="AE58" i="11"/>
  <c r="AD58" i="11"/>
  <c r="AN58" i="11"/>
  <c r="AB58" i="11"/>
  <c r="AM58" i="11"/>
  <c r="AA58" i="11"/>
  <c r="AL58" i="11"/>
  <c r="AQ58" i="11" s="1"/>
  <c r="AR58" i="11" s="1"/>
  <c r="AJ58" i="11"/>
  <c r="AI58" i="11"/>
  <c r="AH58" i="11"/>
  <c r="AO58" i="11"/>
  <c r="AK58" i="11"/>
  <c r="AF58" i="11"/>
  <c r="AC58" i="11"/>
  <c r="AF26" i="11"/>
  <c r="AN26" i="11"/>
  <c r="AB26" i="11"/>
  <c r="AM26" i="11"/>
  <c r="AL26" i="11"/>
  <c r="AQ26" i="11" s="1"/>
  <c r="AR26" i="11" s="1"/>
  <c r="AK26" i="11"/>
  <c r="AJ26" i="11"/>
  <c r="AI26" i="11"/>
  <c r="AH26" i="11"/>
  <c r="AE26" i="11"/>
  <c r="AC26" i="11"/>
  <c r="AA26" i="11"/>
  <c r="AG26" i="11"/>
  <c r="AD26" i="11"/>
  <c r="AO26" i="11"/>
  <c r="AK77" i="11"/>
  <c r="AI77" i="11"/>
  <c r="AH77" i="11"/>
  <c r="AF77" i="11"/>
  <c r="AE77" i="11"/>
  <c r="AD77" i="11"/>
  <c r="AN77" i="11"/>
  <c r="AB77" i="11"/>
  <c r="AM77" i="11"/>
  <c r="AA77" i="11"/>
  <c r="AL77" i="11"/>
  <c r="AQ77" i="11" s="1"/>
  <c r="AR77" i="11" s="1"/>
  <c r="AJ77" i="11"/>
  <c r="AG77" i="11"/>
  <c r="AC77" i="11"/>
  <c r="AO77" i="11"/>
  <c r="AK44" i="11"/>
  <c r="AI44" i="11"/>
  <c r="AH44" i="11"/>
  <c r="AF44" i="11"/>
  <c r="AE44" i="11"/>
  <c r="AD44" i="11"/>
  <c r="AN44" i="11"/>
  <c r="AB44" i="11"/>
  <c r="AM44" i="11"/>
  <c r="AA44" i="11"/>
  <c r="AL44" i="11"/>
  <c r="AQ44" i="11" s="1"/>
  <c r="AR44" i="11" s="1"/>
  <c r="AO44" i="11"/>
  <c r="AJ44" i="11"/>
  <c r="AG44" i="11"/>
  <c r="AC44" i="11"/>
  <c r="AG43" i="11"/>
  <c r="AE43" i="11"/>
  <c r="AD43" i="11"/>
  <c r="AN43" i="11"/>
  <c r="AB43" i="11"/>
  <c r="AM43" i="11"/>
  <c r="AA43" i="11"/>
  <c r="AL43" i="11"/>
  <c r="AQ43" i="11" s="1"/>
  <c r="AR43" i="11" s="1"/>
  <c r="AJ43" i="11"/>
  <c r="AI43" i="11"/>
  <c r="AH43" i="11"/>
  <c r="AO43" i="11"/>
  <c r="AC43" i="11"/>
  <c r="AF43" i="11"/>
  <c r="AK43" i="11"/>
  <c r="AO45" i="11"/>
  <c r="AC45" i="11"/>
  <c r="AM45" i="11"/>
  <c r="AA45" i="11"/>
  <c r="AL45" i="11"/>
  <c r="AQ45" i="11" s="1"/>
  <c r="AR45" i="11" s="1"/>
  <c r="AJ45" i="11"/>
  <c r="AI45" i="11"/>
  <c r="AH45" i="11"/>
  <c r="AF45" i="11"/>
  <c r="AE45" i="11"/>
  <c r="AD45" i="11"/>
  <c r="AG45" i="11"/>
  <c r="AB45" i="11"/>
  <c r="AK45" i="11"/>
  <c r="AN45" i="11"/>
  <c r="AK62" i="11"/>
  <c r="AI62" i="11"/>
  <c r="AH62" i="11"/>
  <c r="AF62" i="11"/>
  <c r="AE62" i="11"/>
  <c r="AD62" i="11"/>
  <c r="AN62" i="11"/>
  <c r="AB62" i="11"/>
  <c r="AM62" i="11"/>
  <c r="AA62" i="11"/>
  <c r="AL62" i="11"/>
  <c r="AQ62" i="11" s="1"/>
  <c r="AR62" i="11" s="1"/>
  <c r="AO62" i="11"/>
  <c r="AJ62" i="11"/>
  <c r="AG62" i="11"/>
  <c r="AC62" i="11"/>
  <c r="AQ64" i="11"/>
  <c r="AR64" i="11" s="1"/>
  <c r="P38" i="5"/>
  <c r="P40" i="5" s="1"/>
  <c r="Q25" i="5"/>
  <c r="E118" i="4"/>
  <c r="P26" i="5"/>
  <c r="E200" i="4"/>
  <c r="E77" i="4"/>
  <c r="E241" i="4"/>
  <c r="E159" i="4"/>
  <c r="E29" i="4"/>
  <c r="AO48" i="11"/>
  <c r="AC48" i="11"/>
  <c r="AM48" i="11"/>
  <c r="AA48" i="11"/>
  <c r="AL48" i="11"/>
  <c r="AQ48" i="11" s="1"/>
  <c r="AR48" i="11" s="1"/>
  <c r="AJ48" i="11"/>
  <c r="AI48" i="11"/>
  <c r="AH48" i="11"/>
  <c r="AF48" i="11"/>
  <c r="AE48" i="11"/>
  <c r="AD48" i="11"/>
  <c r="AN48" i="11"/>
  <c r="AK48" i="11"/>
  <c r="AG48" i="11"/>
  <c r="AB48" i="11"/>
  <c r="AO36" i="11"/>
  <c r="AC36" i="11"/>
  <c r="AL36" i="11"/>
  <c r="AQ36" i="11" s="1"/>
  <c r="AR36" i="11" s="1"/>
  <c r="AJ36" i="11"/>
  <c r="AH36" i="11"/>
  <c r="AF36" i="11"/>
  <c r="AD36" i="11"/>
  <c r="AN36" i="11"/>
  <c r="AM36" i="11"/>
  <c r="AK36" i="11"/>
  <c r="AI36" i="11"/>
  <c r="AA36" i="11"/>
  <c r="AG36" i="11"/>
  <c r="AE36" i="11"/>
  <c r="AB36" i="11"/>
  <c r="AK74" i="11"/>
  <c r="AI74" i="11"/>
  <c r="AH74" i="11"/>
  <c r="AF74" i="11"/>
  <c r="AE74" i="11"/>
  <c r="AD74" i="11"/>
  <c r="AN74" i="11"/>
  <c r="AB74" i="11"/>
  <c r="AM74" i="11"/>
  <c r="AA74" i="11"/>
  <c r="AL74" i="11"/>
  <c r="AQ74" i="11" s="1"/>
  <c r="AR74" i="11" s="1"/>
  <c r="AJ74" i="11"/>
  <c r="AG74" i="11"/>
  <c r="AC74" i="11"/>
  <c r="AO74" i="11"/>
  <c r="AN18" i="11"/>
  <c r="AB18" i="11"/>
  <c r="AM18" i="11"/>
  <c r="AA18" i="11"/>
  <c r="AL18" i="11"/>
  <c r="AQ18" i="11" s="1"/>
  <c r="AR18" i="11" s="1"/>
  <c r="AK18" i="11"/>
  <c r="AJ18" i="11"/>
  <c r="AI18" i="11"/>
  <c r="AO18" i="11"/>
  <c r="AG18" i="11"/>
  <c r="AF18" i="11"/>
  <c r="AE18" i="11"/>
  <c r="AD18" i="11"/>
  <c r="AC18" i="11"/>
  <c r="AH18" i="11"/>
  <c r="AK65" i="11"/>
  <c r="N15" i="10" s="1"/>
  <c r="AI65" i="11"/>
  <c r="L15" i="10" s="1"/>
  <c r="L26" i="10" s="1"/>
  <c r="E234" i="4" s="1"/>
  <c r="AH65" i="11"/>
  <c r="K15" i="10" s="1"/>
  <c r="K26" i="10" s="1"/>
  <c r="D234" i="4" s="1"/>
  <c r="D235" i="4" s="1"/>
  <c r="AF65" i="11"/>
  <c r="I15" i="10" s="1"/>
  <c r="I26" i="10" s="1"/>
  <c r="E232" i="4" s="1"/>
  <c r="AE65" i="11"/>
  <c r="H15" i="10" s="1"/>
  <c r="H26" i="10" s="1"/>
  <c r="D232" i="4" s="1"/>
  <c r="D233" i="4" s="1"/>
  <c r="D242" i="4" s="1"/>
  <c r="AD65" i="11"/>
  <c r="G15" i="10" s="1"/>
  <c r="G26" i="10" s="1"/>
  <c r="C232" i="4" s="1"/>
  <c r="C233" i="4" s="1"/>
  <c r="C242" i="4" s="1"/>
  <c r="AN65" i="11"/>
  <c r="Q15" i="10" s="1"/>
  <c r="Q26" i="10" s="1"/>
  <c r="D236" i="4" s="1"/>
  <c r="AB65" i="11"/>
  <c r="E15" i="10" s="1"/>
  <c r="E26" i="10" s="1"/>
  <c r="D230" i="4" s="1"/>
  <c r="AM65" i="11"/>
  <c r="P15" i="10" s="1"/>
  <c r="P26" i="10" s="1"/>
  <c r="C236" i="4" s="1"/>
  <c r="C237" i="4" s="1"/>
  <c r="AA65" i="11"/>
  <c r="D15" i="10" s="1"/>
  <c r="D26" i="10" s="1"/>
  <c r="C230" i="4" s="1"/>
  <c r="C231" i="4" s="1"/>
  <c r="C243" i="4" s="1"/>
  <c r="AL65" i="11"/>
  <c r="AQ65" i="11" s="1"/>
  <c r="AR65" i="11" s="1"/>
  <c r="AO65" i="11"/>
  <c r="R15" i="10" s="1"/>
  <c r="R26" i="10" s="1"/>
  <c r="AJ65" i="11"/>
  <c r="M15" i="10" s="1"/>
  <c r="AG65" i="11"/>
  <c r="J15" i="10" s="1"/>
  <c r="J26" i="10" s="1"/>
  <c r="C234" i="4" s="1"/>
  <c r="C235" i="4" s="1"/>
  <c r="AC65" i="11"/>
  <c r="F15" i="10" s="1"/>
  <c r="F26" i="10" s="1"/>
  <c r="AG79" i="11"/>
  <c r="AE79" i="11"/>
  <c r="AD79" i="11"/>
  <c r="AN79" i="11"/>
  <c r="AB79" i="11"/>
  <c r="AM79" i="11"/>
  <c r="AA79" i="11"/>
  <c r="AL79" i="11"/>
  <c r="AQ79" i="11" s="1"/>
  <c r="AR79" i="11" s="1"/>
  <c r="AJ79" i="11"/>
  <c r="AI79" i="11"/>
  <c r="AH79" i="11"/>
  <c r="AC79" i="11"/>
  <c r="AF79" i="11"/>
  <c r="AK79" i="11"/>
  <c r="AO79" i="11"/>
  <c r="AO57" i="11"/>
  <c r="AC57" i="11"/>
  <c r="AM57" i="11"/>
  <c r="AA57" i="11"/>
  <c r="AL57" i="11"/>
  <c r="AQ57" i="11" s="1"/>
  <c r="AR57" i="11" s="1"/>
  <c r="AJ57" i="11"/>
  <c r="AI57" i="11"/>
  <c r="AH57" i="11"/>
  <c r="AF57" i="11"/>
  <c r="AE57" i="11"/>
  <c r="AD57" i="11"/>
  <c r="AK57" i="11"/>
  <c r="AG57" i="11"/>
  <c r="AB57" i="11"/>
  <c r="AN57" i="11"/>
  <c r="AK56" i="11"/>
  <c r="AI56" i="11"/>
  <c r="AH56" i="11"/>
  <c r="AF56" i="11"/>
  <c r="AE56" i="11"/>
  <c r="AD56" i="11"/>
  <c r="AN56" i="11"/>
  <c r="AB56" i="11"/>
  <c r="AM56" i="11"/>
  <c r="AA56" i="11"/>
  <c r="AL56" i="11"/>
  <c r="AQ56" i="11" s="1"/>
  <c r="AR56" i="11" s="1"/>
  <c r="AO56" i="11"/>
  <c r="AC56" i="11"/>
  <c r="AJ56" i="11"/>
  <c r="AG56" i="11"/>
  <c r="AF22" i="11"/>
  <c r="AE22" i="11"/>
  <c r="AD22" i="11"/>
  <c r="AO22" i="11"/>
  <c r="AC22" i="11"/>
  <c r="AN22" i="11"/>
  <c r="AB22" i="11"/>
  <c r="AM22" i="11"/>
  <c r="AA22" i="11"/>
  <c r="AJ22" i="11"/>
  <c r="AI22" i="11"/>
  <c r="AH22" i="11"/>
  <c r="AG22" i="11"/>
  <c r="AL22" i="11"/>
  <c r="AQ22" i="11" s="1"/>
  <c r="AR22" i="11" s="1"/>
  <c r="AK22" i="11"/>
  <c r="AF19" i="11"/>
  <c r="AE19" i="11"/>
  <c r="AD19" i="11"/>
  <c r="AO19" i="11"/>
  <c r="AC19" i="11"/>
  <c r="AN19" i="11"/>
  <c r="AB19" i="11"/>
  <c r="AM19" i="11"/>
  <c r="AA19" i="11"/>
  <c r="AL19" i="11"/>
  <c r="AQ19" i="11" s="1"/>
  <c r="AR19" i="11" s="1"/>
  <c r="AH19" i="11"/>
  <c r="AG19" i="11"/>
  <c r="AK19" i="11"/>
  <c r="AJ19" i="11"/>
  <c r="AI19" i="11"/>
  <c r="AB15" i="11"/>
  <c r="AA15" i="11"/>
  <c r="AL15" i="11"/>
  <c r="AQ15" i="11" s="1"/>
  <c r="AR15" i="11" s="1"/>
  <c r="AK15" i="11"/>
  <c r="AJ15" i="11"/>
  <c r="AI15" i="11"/>
  <c r="AF15" i="11"/>
  <c r="AE15" i="11"/>
  <c r="AD15" i="11"/>
  <c r="AC15" i="11"/>
  <c r="O36" i="5"/>
  <c r="AF13" i="11"/>
  <c r="AE13" i="11"/>
  <c r="AD13" i="11"/>
  <c r="AC13" i="11"/>
  <c r="AB13" i="11"/>
  <c r="AA13" i="11"/>
  <c r="AL13" i="11"/>
  <c r="AQ13" i="11" s="1"/>
  <c r="AR13" i="11" s="1"/>
  <c r="AK13" i="11"/>
  <c r="AJ13" i="11"/>
  <c r="AG70" i="11"/>
  <c r="AE70" i="11"/>
  <c r="AD70" i="11"/>
  <c r="AN70" i="11"/>
  <c r="AB70" i="11"/>
  <c r="AM70" i="11"/>
  <c r="AA70" i="11"/>
  <c r="AL70" i="11"/>
  <c r="AQ70" i="11" s="1"/>
  <c r="AR70" i="11" s="1"/>
  <c r="AJ70" i="11"/>
  <c r="AI70" i="11"/>
  <c r="AH70" i="11"/>
  <c r="AC70" i="11"/>
  <c r="AO70" i="11"/>
  <c r="AK70" i="11"/>
  <c r="AF70" i="11"/>
  <c r="AG40" i="11"/>
  <c r="AE40" i="11"/>
  <c r="AD40" i="11"/>
  <c r="AN40" i="11"/>
  <c r="AB40" i="11"/>
  <c r="AM40" i="11"/>
  <c r="AA40" i="11"/>
  <c r="AL40" i="11"/>
  <c r="AQ40" i="11" s="1"/>
  <c r="AR40" i="11" s="1"/>
  <c r="AJ40" i="11"/>
  <c r="AI40" i="11"/>
  <c r="AH40" i="11"/>
  <c r="AK40" i="11"/>
  <c r="AF40" i="11"/>
  <c r="AC40" i="11"/>
  <c r="AO40" i="11"/>
  <c r="AJ23" i="11"/>
  <c r="AI23" i="11"/>
  <c r="AH23" i="11"/>
  <c r="AG23" i="11"/>
  <c r="AF23" i="11"/>
  <c r="AE23" i="11"/>
  <c r="AM23" i="11"/>
  <c r="AL23" i="11"/>
  <c r="AQ23" i="11" s="1"/>
  <c r="AR23" i="11" s="1"/>
  <c r="AK23" i="11"/>
  <c r="AD23" i="11"/>
  <c r="AC23" i="11"/>
  <c r="AB23" i="11"/>
  <c r="AO23" i="11"/>
  <c r="AN23" i="11"/>
  <c r="AA23" i="11"/>
  <c r="AD34" i="11"/>
  <c r="AN34" i="11"/>
  <c r="AB34" i="11"/>
  <c r="AL34" i="11"/>
  <c r="AQ34" i="11" s="1"/>
  <c r="AR34" i="11" s="1"/>
  <c r="AJ34" i="11"/>
  <c r="AH34" i="11"/>
  <c r="AO34" i="11"/>
  <c r="AM34" i="11"/>
  <c r="AK34" i="11"/>
  <c r="AI34" i="11"/>
  <c r="AG34" i="11"/>
  <c r="AA34" i="11"/>
  <c r="AF34" i="11"/>
  <c r="AE34" i="11"/>
  <c r="AC34" i="11"/>
  <c r="AK71" i="11"/>
  <c r="AI71" i="11"/>
  <c r="AH71" i="11"/>
  <c r="AF71" i="11"/>
  <c r="AE71" i="11"/>
  <c r="AD71" i="11"/>
  <c r="AN71" i="11"/>
  <c r="AB71" i="11"/>
  <c r="AM71" i="11"/>
  <c r="AA71" i="11"/>
  <c r="AL71" i="11"/>
  <c r="AQ71" i="11" s="1"/>
  <c r="AR71" i="11" s="1"/>
  <c r="AO71" i="11"/>
  <c r="AJ71" i="11"/>
  <c r="AG71" i="11"/>
  <c r="AC71" i="11"/>
  <c r="F26" i="5"/>
  <c r="G25" i="5"/>
  <c r="N27" i="5"/>
  <c r="N28" i="5" s="1"/>
  <c r="N35" i="5"/>
  <c r="O35" i="5"/>
  <c r="C240" i="4" l="1"/>
  <c r="AO83" i="11"/>
  <c r="G10" i="10"/>
  <c r="G22" i="10" s="1"/>
  <c r="C150" i="4" s="1"/>
  <c r="C151" i="4" s="1"/>
  <c r="C160" i="4" s="1"/>
  <c r="R7" i="10"/>
  <c r="J31" i="10"/>
  <c r="D240" i="4"/>
  <c r="Q20" i="5"/>
  <c r="Q26" i="5"/>
  <c r="E235" i="4"/>
  <c r="F234" i="4"/>
  <c r="G234" i="4" s="1"/>
  <c r="H234" i="4" s="1"/>
  <c r="I10" i="10"/>
  <c r="I22" i="10" s="1"/>
  <c r="D9" i="9"/>
  <c r="E9" i="9" s="1"/>
  <c r="E8" i="10"/>
  <c r="E20" i="10" s="1"/>
  <c r="M8" i="10"/>
  <c r="E236" i="4"/>
  <c r="D237" i="4"/>
  <c r="F8" i="10"/>
  <c r="F20" i="10" s="1"/>
  <c r="F9" i="12"/>
  <c r="E9" i="12"/>
  <c r="C245" i="4"/>
  <c r="C247" i="4" s="1"/>
  <c r="AM83" i="11"/>
  <c r="E14" i="10"/>
  <c r="E25" i="10" s="1"/>
  <c r="D189" i="4" s="1"/>
  <c r="E9" i="10"/>
  <c r="E21" i="10" s="1"/>
  <c r="P9" i="10"/>
  <c r="P21" i="10" s="1"/>
  <c r="C113" i="4" s="1"/>
  <c r="C114" i="4" s="1"/>
  <c r="P14" i="10"/>
  <c r="P25" i="10" s="1"/>
  <c r="C195" i="4" s="1"/>
  <c r="C196" i="4" s="1"/>
  <c r="M10" i="10"/>
  <c r="P8" i="10"/>
  <c r="P20" i="10" s="1"/>
  <c r="E25" i="2"/>
  <c r="I25" i="2"/>
  <c r="G25" i="2"/>
  <c r="E56" i="12"/>
  <c r="C11" i="12"/>
  <c r="O37" i="5"/>
  <c r="K9" i="10"/>
  <c r="K21" i="10" s="1"/>
  <c r="D111" i="4" s="1"/>
  <c r="D112" i="4" s="1"/>
  <c r="K14" i="10"/>
  <c r="K25" i="10" s="1"/>
  <c r="D193" i="4" s="1"/>
  <c r="D194" i="4" s="1"/>
  <c r="AQ42" i="11"/>
  <c r="AR42" i="11" s="1"/>
  <c r="O9" i="10"/>
  <c r="O14" i="10"/>
  <c r="L10" i="10"/>
  <c r="L22" i="10" s="1"/>
  <c r="D8" i="10"/>
  <c r="D20" i="10" s="1"/>
  <c r="H25" i="5"/>
  <c r="G26" i="5"/>
  <c r="D25" i="12"/>
  <c r="D137" i="4"/>
  <c r="C137" i="4"/>
  <c r="E137" i="4"/>
  <c r="C9" i="2"/>
  <c r="R8" i="10"/>
  <c r="R20" i="10" s="1"/>
  <c r="G19" i="8"/>
  <c r="H35" i="2" s="1"/>
  <c r="D35" i="2"/>
  <c r="AG83" i="11"/>
  <c r="G8" i="10"/>
  <c r="G20" i="10" s="1"/>
  <c r="L8" i="10"/>
  <c r="L20" i="10" s="1"/>
  <c r="D56" i="12"/>
  <c r="C10" i="12"/>
  <c r="N37" i="5"/>
  <c r="L14" i="10"/>
  <c r="L25" i="10" s="1"/>
  <c r="E193" i="4" s="1"/>
  <c r="L9" i="10"/>
  <c r="L21" i="10" s="1"/>
  <c r="H10" i="10"/>
  <c r="H22" i="10" s="1"/>
  <c r="D150" i="4" s="1"/>
  <c r="D151" i="4" s="1"/>
  <c r="D160" i="4" s="1"/>
  <c r="E96" i="4"/>
  <c r="D96" i="4"/>
  <c r="C96" i="4"/>
  <c r="C8" i="2"/>
  <c r="E233" i="4"/>
  <c r="E242" i="4" s="1"/>
  <c r="F232" i="4"/>
  <c r="G232" i="4" s="1"/>
  <c r="H232" i="4" s="1"/>
  <c r="M14" i="10"/>
  <c r="M9" i="10"/>
  <c r="C25" i="12"/>
  <c r="C13" i="2"/>
  <c r="D219" i="4"/>
  <c r="E219" i="4"/>
  <c r="C219" i="4"/>
  <c r="R31" i="5"/>
  <c r="R32" i="5" s="1"/>
  <c r="R21" i="5"/>
  <c r="R33" i="5"/>
  <c r="R14" i="5"/>
  <c r="R16" i="5" s="1"/>
  <c r="R17" i="5"/>
  <c r="S13" i="5"/>
  <c r="K10" i="10"/>
  <c r="K22" i="10" s="1"/>
  <c r="D152" i="4" s="1"/>
  <c r="D153" i="4" s="1"/>
  <c r="O8" i="10"/>
  <c r="AQ17" i="11"/>
  <c r="AR17" i="11" s="1"/>
  <c r="E230" i="4"/>
  <c r="D231" i="4"/>
  <c r="D243" i="4" s="1"/>
  <c r="D244" i="4" s="1"/>
  <c r="O15" i="10"/>
  <c r="J14" i="10"/>
  <c r="J25" i="10" s="1"/>
  <c r="C193" i="4" s="1"/>
  <c r="C194" i="4" s="1"/>
  <c r="J9" i="10"/>
  <c r="J21" i="10" s="1"/>
  <c r="C111" i="4" s="1"/>
  <c r="C112" i="4" s="1"/>
  <c r="F14" i="10"/>
  <c r="F25" i="10" s="1"/>
  <c r="F9" i="10"/>
  <c r="F21" i="10" s="1"/>
  <c r="AN83" i="11"/>
  <c r="Q7" i="10"/>
  <c r="AQ66" i="11"/>
  <c r="AR66" i="11" s="1"/>
  <c r="O10" i="10"/>
  <c r="F10" i="9"/>
  <c r="Q8" i="10"/>
  <c r="Q20" i="10" s="1"/>
  <c r="N14" i="10"/>
  <c r="N9" i="10"/>
  <c r="R14" i="10"/>
  <c r="R25" i="10" s="1"/>
  <c r="R9" i="10"/>
  <c r="R21" i="10" s="1"/>
  <c r="C178" i="4"/>
  <c r="C10" i="2"/>
  <c r="D178" i="4"/>
  <c r="E178" i="4"/>
  <c r="D10" i="10"/>
  <c r="D22" i="10" s="1"/>
  <c r="C148" i="4" s="1"/>
  <c r="C149" i="4" s="1"/>
  <c r="C161" i="4" s="1"/>
  <c r="D13" i="9"/>
  <c r="E13" i="9" s="1"/>
  <c r="P7" i="10"/>
  <c r="P36" i="5"/>
  <c r="P27" i="5"/>
  <c r="P28" i="5" s="1"/>
  <c r="Q28" i="5" s="1"/>
  <c r="P35" i="5"/>
  <c r="Q14" i="10"/>
  <c r="Q25" i="10" s="1"/>
  <c r="D195" i="4" s="1"/>
  <c r="Q9" i="10"/>
  <c r="Q21" i="10" s="1"/>
  <c r="Q38" i="5"/>
  <c r="Q40" i="5" s="1"/>
  <c r="Q23" i="5"/>
  <c r="E10" i="10"/>
  <c r="E22" i="10" s="1"/>
  <c r="P10" i="10"/>
  <c r="P22" i="10" s="1"/>
  <c r="C154" i="4" s="1"/>
  <c r="C155" i="4" s="1"/>
  <c r="D8" i="9"/>
  <c r="E8" i="9" s="1"/>
  <c r="D11" i="9"/>
  <c r="E11" i="9" s="1"/>
  <c r="H8" i="10"/>
  <c r="H20" i="10" s="1"/>
  <c r="F27" i="5"/>
  <c r="F28" i="5" s="1"/>
  <c r="F35" i="5"/>
  <c r="F37" i="5" s="1"/>
  <c r="F36" i="5"/>
  <c r="D9" i="10"/>
  <c r="D21" i="10" s="1"/>
  <c r="C107" i="4" s="1"/>
  <c r="C108" i="4" s="1"/>
  <c r="C120" i="4" s="1"/>
  <c r="D14" i="10"/>
  <c r="D25" i="10" s="1"/>
  <c r="C189" i="4" s="1"/>
  <c r="C190" i="4" s="1"/>
  <c r="C202" i="4" s="1"/>
  <c r="G14" i="10"/>
  <c r="G25" i="10" s="1"/>
  <c r="C191" i="4" s="1"/>
  <c r="C192" i="4" s="1"/>
  <c r="C201" i="4" s="1"/>
  <c r="G9" i="10"/>
  <c r="G21" i="10" s="1"/>
  <c r="C109" i="4" s="1"/>
  <c r="C110" i="4" s="1"/>
  <c r="C119" i="4" s="1"/>
  <c r="J10" i="10"/>
  <c r="J22" i="10" s="1"/>
  <c r="C152" i="4" s="1"/>
  <c r="C153" i="4" s="1"/>
  <c r="C158" i="4" s="1"/>
  <c r="F10" i="10"/>
  <c r="F22" i="10" s="1"/>
  <c r="D10" i="9"/>
  <c r="E10" i="9" s="1"/>
  <c r="G10" i="9" s="1"/>
  <c r="I8" i="10"/>
  <c r="I20" i="10" s="1"/>
  <c r="F22" i="12"/>
  <c r="E22" i="12"/>
  <c r="R31" i="10"/>
  <c r="R25" i="5"/>
  <c r="F159" i="4"/>
  <c r="F118" i="4"/>
  <c r="F29" i="4"/>
  <c r="F200" i="4"/>
  <c r="F77" i="4"/>
  <c r="F241" i="4"/>
  <c r="H14" i="10"/>
  <c r="H25" i="10" s="1"/>
  <c r="D191" i="4" s="1"/>
  <c r="D192" i="4" s="1"/>
  <c r="D201" i="4" s="1"/>
  <c r="H9" i="10"/>
  <c r="H21" i="10" s="1"/>
  <c r="D109" i="4" s="1"/>
  <c r="D110" i="4" s="1"/>
  <c r="D119" i="4" s="1"/>
  <c r="H19" i="8"/>
  <c r="I35" i="2" s="1"/>
  <c r="E35" i="2"/>
  <c r="N10" i="10"/>
  <c r="R10" i="10"/>
  <c r="R22" i="10" s="1"/>
  <c r="D14" i="9"/>
  <c r="E14" i="9" s="1"/>
  <c r="J8" i="10"/>
  <c r="J20" i="10" s="1"/>
  <c r="J83" i="11"/>
  <c r="C23" i="12" s="1"/>
  <c r="AB6" i="11"/>
  <c r="AA6" i="11"/>
  <c r="AL6" i="11"/>
  <c r="AK6" i="11"/>
  <c r="AJ6" i="11"/>
  <c r="AI6" i="11"/>
  <c r="AH6" i="11"/>
  <c r="C7" i="10"/>
  <c r="AF6" i="11"/>
  <c r="AE6" i="11"/>
  <c r="AD6" i="11"/>
  <c r="AC6" i="11"/>
  <c r="I9" i="10"/>
  <c r="I21" i="10" s="1"/>
  <c r="I14" i="10"/>
  <c r="I25" i="10" s="1"/>
  <c r="E191" i="4" s="1"/>
  <c r="Q10" i="10"/>
  <c r="Q22" i="10" s="1"/>
  <c r="I19" i="8"/>
  <c r="J35" i="2" s="1"/>
  <c r="F35" i="2"/>
  <c r="N8" i="10"/>
  <c r="K8" i="10"/>
  <c r="K20" i="10" s="1"/>
  <c r="F233" i="4" l="1"/>
  <c r="C163" i="4"/>
  <c r="C165" i="4" s="1"/>
  <c r="R19" i="5"/>
  <c r="G233" i="4" s="1"/>
  <c r="I10" i="9"/>
  <c r="H10" i="9"/>
  <c r="R26" i="5"/>
  <c r="R20" i="5"/>
  <c r="C11" i="10"/>
  <c r="C19" i="10" s="1"/>
  <c r="C55" i="4"/>
  <c r="C7" i="2"/>
  <c r="D55" i="4"/>
  <c r="E55" i="4"/>
  <c r="I19" i="10"/>
  <c r="E61" i="2"/>
  <c r="E68" i="4"/>
  <c r="L19" i="10"/>
  <c r="E62" i="2"/>
  <c r="E70" i="4"/>
  <c r="D65" i="5"/>
  <c r="S31" i="5"/>
  <c r="S32" i="5" s="1"/>
  <c r="S21" i="5"/>
  <c r="S33" i="5"/>
  <c r="S16" i="5"/>
  <c r="S19" i="5" s="1"/>
  <c r="S14" i="5"/>
  <c r="S17" i="5"/>
  <c r="E19" i="2"/>
  <c r="I19" i="2"/>
  <c r="F21" i="1"/>
  <c r="G19" i="2"/>
  <c r="F242" i="4"/>
  <c r="Q19" i="10"/>
  <c r="D72" i="4"/>
  <c r="E64" i="2"/>
  <c r="C117" i="4"/>
  <c r="C122" i="4" s="1"/>
  <c r="C124" i="4" s="1"/>
  <c r="D190" i="4"/>
  <c r="D202" i="4" s="1"/>
  <c r="D203" i="4" s="1"/>
  <c r="E189" i="4"/>
  <c r="F14" i="9"/>
  <c r="G14" i="9" s="1"/>
  <c r="AH83" i="11"/>
  <c r="K7" i="10"/>
  <c r="P31" i="10"/>
  <c r="P11" i="10"/>
  <c r="G19" i="10"/>
  <c r="C68" i="4"/>
  <c r="C69" i="4" s="1"/>
  <c r="C78" i="4" s="1"/>
  <c r="G20" i="2"/>
  <c r="E20" i="2"/>
  <c r="F22" i="1"/>
  <c r="I20" i="2"/>
  <c r="F11" i="12"/>
  <c r="E11" i="12"/>
  <c r="F60" i="2"/>
  <c r="D107" i="4"/>
  <c r="AI83" i="11"/>
  <c r="L7" i="10"/>
  <c r="AJ83" i="11"/>
  <c r="M7" i="10"/>
  <c r="C199" i="4"/>
  <c r="C204" i="4" s="1"/>
  <c r="C206" i="4" s="1"/>
  <c r="G61" i="2"/>
  <c r="E150" i="4"/>
  <c r="D154" i="4"/>
  <c r="G64" i="2"/>
  <c r="AK83" i="11"/>
  <c r="N7" i="10"/>
  <c r="F191" i="4"/>
  <c r="E192" i="4"/>
  <c r="E201" i="4" s="1"/>
  <c r="F235" i="4"/>
  <c r="F240" i="4" s="1"/>
  <c r="E21" i="2"/>
  <c r="F23" i="1"/>
  <c r="I21" i="2"/>
  <c r="G21" i="2"/>
  <c r="P19" i="10"/>
  <c r="C72" i="4"/>
  <c r="C73" i="4" s="1"/>
  <c r="F13" i="9"/>
  <c r="G13" i="9" s="1"/>
  <c r="H19" i="10"/>
  <c r="D68" i="4"/>
  <c r="D69" i="4" s="1"/>
  <c r="D78" i="4" s="1"/>
  <c r="G24" i="2"/>
  <c r="I24" i="2"/>
  <c r="E24" i="2"/>
  <c r="E240" i="4"/>
  <c r="F230" i="4"/>
  <c r="E231" i="4"/>
  <c r="E243" i="4" s="1"/>
  <c r="E244" i="4" s="1"/>
  <c r="F25" i="12"/>
  <c r="E25" i="12"/>
  <c r="E111" i="4"/>
  <c r="F62" i="2"/>
  <c r="G35" i="5"/>
  <c r="G37" i="5" s="1"/>
  <c r="G27" i="5"/>
  <c r="G28" i="5" s="1"/>
  <c r="G36" i="5"/>
  <c r="F19" i="10"/>
  <c r="F7" i="9"/>
  <c r="D246" i="4"/>
  <c r="D245" i="4"/>
  <c r="D247" i="4" s="1"/>
  <c r="F7" i="10"/>
  <c r="AC83" i="11"/>
  <c r="F23" i="12"/>
  <c r="E23" i="12"/>
  <c r="R11" i="10"/>
  <c r="F64" i="2"/>
  <c r="D113" i="4"/>
  <c r="F193" i="4"/>
  <c r="E194" i="4"/>
  <c r="E199" i="4" s="1"/>
  <c r="H26" i="5"/>
  <c r="I25" i="5"/>
  <c r="F11" i="9"/>
  <c r="G11" i="9" s="1"/>
  <c r="AL83" i="11"/>
  <c r="O7" i="10"/>
  <c r="AQ6" i="11"/>
  <c r="K19" i="10"/>
  <c r="D70" i="4"/>
  <c r="D71" i="4" s="1"/>
  <c r="E109" i="4"/>
  <c r="F61" i="2"/>
  <c r="AA83" i="11"/>
  <c r="D7" i="10"/>
  <c r="S25" i="5"/>
  <c r="G241" i="4"/>
  <c r="G29" i="4"/>
  <c r="G200" i="4"/>
  <c r="G77" i="4"/>
  <c r="G159" i="4"/>
  <c r="G118" i="4"/>
  <c r="AB83" i="11"/>
  <c r="E7" i="10"/>
  <c r="AD83" i="11"/>
  <c r="G7" i="10"/>
  <c r="J19" i="10"/>
  <c r="C70" i="4"/>
  <c r="C71" i="4" s="1"/>
  <c r="Q31" i="10"/>
  <c r="Q11" i="10"/>
  <c r="G235" i="4"/>
  <c r="R38" i="5"/>
  <c r="R40" i="5" s="1"/>
  <c r="R23" i="5"/>
  <c r="D19" i="10"/>
  <c r="C66" i="4"/>
  <c r="C67" i="4" s="1"/>
  <c r="C79" i="4" s="1"/>
  <c r="F8" i="9"/>
  <c r="G8" i="9" s="1"/>
  <c r="F236" i="4"/>
  <c r="E237" i="4"/>
  <c r="J11" i="10"/>
  <c r="AE83" i="11"/>
  <c r="H7" i="10"/>
  <c r="D148" i="4"/>
  <c r="G60" i="2"/>
  <c r="C12" i="12"/>
  <c r="F56" i="12"/>
  <c r="P37" i="5"/>
  <c r="F10" i="12"/>
  <c r="E10" i="12"/>
  <c r="E152" i="4"/>
  <c r="G62" i="2"/>
  <c r="D199" i="4"/>
  <c r="F9" i="9"/>
  <c r="G9" i="9" s="1"/>
  <c r="E195" i="4"/>
  <c r="D196" i="4"/>
  <c r="I7" i="10"/>
  <c r="AF83" i="11"/>
  <c r="Q35" i="5"/>
  <c r="Q24" i="5"/>
  <c r="Q36" i="5"/>
  <c r="R28" i="5"/>
  <c r="Q27" i="5"/>
  <c r="Q29" i="5" s="1"/>
  <c r="D158" i="4"/>
  <c r="R19" i="10"/>
  <c r="D117" i="4"/>
  <c r="E19" i="10"/>
  <c r="D66" i="4"/>
  <c r="E60" i="2"/>
  <c r="E7" i="9"/>
  <c r="G7" i="9" s="1"/>
  <c r="C76" i="4" l="1"/>
  <c r="Q30" i="5"/>
  <c r="H8" i="9"/>
  <c r="I8" i="9"/>
  <c r="I14" i="9"/>
  <c r="H14" i="9"/>
  <c r="I13" i="9"/>
  <c r="H13" i="9"/>
  <c r="I11" i="9"/>
  <c r="H11" i="9"/>
  <c r="H9" i="9"/>
  <c r="I9" i="9"/>
  <c r="L32" i="10"/>
  <c r="L23" i="10"/>
  <c r="D62" i="2"/>
  <c r="E22" i="4"/>
  <c r="R23" i="10"/>
  <c r="R32" i="10"/>
  <c r="R33" i="10" s="1"/>
  <c r="F195" i="4"/>
  <c r="E196" i="4"/>
  <c r="E205" i="4" s="1"/>
  <c r="J23" i="10"/>
  <c r="J32" i="10"/>
  <c r="J33" i="10" s="1"/>
  <c r="C22" i="4"/>
  <c r="C23" i="4" s="1"/>
  <c r="H241" i="4"/>
  <c r="H118" i="4"/>
  <c r="H29" i="4"/>
  <c r="H200" i="4"/>
  <c r="H77" i="4"/>
  <c r="H159" i="4"/>
  <c r="J25" i="5"/>
  <c r="I26" i="5"/>
  <c r="H23" i="10"/>
  <c r="H32" i="10"/>
  <c r="D20" i="4"/>
  <c r="D21" i="4" s="1"/>
  <c r="D30" i="4" s="1"/>
  <c r="G191" i="4"/>
  <c r="F192" i="4"/>
  <c r="F201" i="4" s="1"/>
  <c r="E107" i="4"/>
  <c r="D108" i="4"/>
  <c r="D120" i="4" s="1"/>
  <c r="D121" i="4" s="1"/>
  <c r="K31" i="10"/>
  <c r="K11" i="10"/>
  <c r="S20" i="5"/>
  <c r="H233" i="4"/>
  <c r="S26" i="5"/>
  <c r="F68" i="4"/>
  <c r="E69" i="4"/>
  <c r="E78" i="4" s="1"/>
  <c r="N11" i="10"/>
  <c r="N19" i="10" s="1"/>
  <c r="H7" i="9"/>
  <c r="I7" i="9"/>
  <c r="E23" i="10"/>
  <c r="E32" i="10"/>
  <c r="E33" i="10" s="1"/>
  <c r="D60" i="2"/>
  <c r="D18" i="4"/>
  <c r="I31" i="10"/>
  <c r="I11" i="10"/>
  <c r="E113" i="4"/>
  <c r="D114" i="4"/>
  <c r="D123" i="4" s="1"/>
  <c r="L31" i="10"/>
  <c r="L11" i="10"/>
  <c r="E65" i="5"/>
  <c r="D23" i="10"/>
  <c r="D32" i="10"/>
  <c r="D33" i="10" s="1"/>
  <c r="C18" i="4"/>
  <c r="C19" i="4" s="1"/>
  <c r="C31" i="4" s="1"/>
  <c r="C81" i="4"/>
  <c r="C83" i="4" s="1"/>
  <c r="F12" i="12"/>
  <c r="E12" i="12"/>
  <c r="D31" i="10"/>
  <c r="D11" i="10"/>
  <c r="H235" i="4"/>
  <c r="S38" i="5"/>
  <c r="S40" i="5" s="1"/>
  <c r="S23" i="5"/>
  <c r="E31" i="10"/>
  <c r="E11" i="10"/>
  <c r="G193" i="4"/>
  <c r="F194" i="4"/>
  <c r="H31" i="10"/>
  <c r="H11" i="10"/>
  <c r="E110" i="4"/>
  <c r="E119" i="4" s="1"/>
  <c r="F109" i="4"/>
  <c r="E154" i="4"/>
  <c r="D155" i="4"/>
  <c r="D164" i="4" s="1"/>
  <c r="F189" i="4"/>
  <c r="E190" i="4"/>
  <c r="E202" i="4" s="1"/>
  <c r="E203" i="4" s="1"/>
  <c r="G242" i="4"/>
  <c r="S28" i="5"/>
  <c r="S27" i="5" s="1"/>
  <c r="R27" i="5"/>
  <c r="D76" i="4"/>
  <c r="G230" i="4"/>
  <c r="F231" i="4"/>
  <c r="F243" i="4" s="1"/>
  <c r="F244" i="4" s="1"/>
  <c r="E151" i="4"/>
  <c r="E160" i="4" s="1"/>
  <c r="F150" i="4"/>
  <c r="G18" i="2"/>
  <c r="E18" i="2"/>
  <c r="I18" i="2"/>
  <c r="C11" i="2"/>
  <c r="F20" i="1"/>
  <c r="E153" i="4"/>
  <c r="F152" i="4"/>
  <c r="K23" i="10"/>
  <c r="K32" i="10"/>
  <c r="D22" i="4"/>
  <c r="D23" i="4" s="1"/>
  <c r="E246" i="4"/>
  <c r="E245" i="4"/>
  <c r="E247" i="4" s="1"/>
  <c r="G31" i="10"/>
  <c r="G11" i="10"/>
  <c r="H27" i="5"/>
  <c r="H28" i="5" s="1"/>
  <c r="H36" i="5"/>
  <c r="H35" i="5"/>
  <c r="H37" i="5" s="1"/>
  <c r="E112" i="4"/>
  <c r="F111" i="4"/>
  <c r="R35" i="5"/>
  <c r="R24" i="5"/>
  <c r="R36" i="5"/>
  <c r="I23" i="10"/>
  <c r="I32" i="10"/>
  <c r="D61" i="2"/>
  <c r="E20" i="4"/>
  <c r="D149" i="4"/>
  <c r="D161" i="4" s="1"/>
  <c r="D162" i="4" s="1"/>
  <c r="E148" i="4"/>
  <c r="R29" i="5"/>
  <c r="D205" i="4"/>
  <c r="D204" i="4"/>
  <c r="D206" i="4" s="1"/>
  <c r="F31" i="10"/>
  <c r="F11" i="10"/>
  <c r="P32" i="10"/>
  <c r="P33" i="10" s="1"/>
  <c r="C24" i="4"/>
  <c r="C25" i="4" s="1"/>
  <c r="P23" i="10"/>
  <c r="AQ83" i="11"/>
  <c r="C36" i="10"/>
  <c r="AR6" i="11"/>
  <c r="E66" i="4"/>
  <c r="D67" i="4"/>
  <c r="D79" i="4" s="1"/>
  <c r="D80" i="4" s="1"/>
  <c r="C13" i="12"/>
  <c r="Q37" i="5"/>
  <c r="F65" i="5" s="1"/>
  <c r="G236" i="4"/>
  <c r="F237" i="4"/>
  <c r="F245" i="4" s="1"/>
  <c r="F247" i="4" s="1"/>
  <c r="G240" i="4"/>
  <c r="O11" i="10"/>
  <c r="O19" i="10" s="1"/>
  <c r="F23" i="10"/>
  <c r="F32" i="10"/>
  <c r="M11" i="10"/>
  <c r="D73" i="4"/>
  <c r="E72" i="4"/>
  <c r="C26" i="10"/>
  <c r="C22" i="10"/>
  <c r="C21" i="10"/>
  <c r="C20" i="10"/>
  <c r="C25" i="10"/>
  <c r="G34" i="2"/>
  <c r="H10" i="8"/>
  <c r="G23" i="10"/>
  <c r="G32" i="10"/>
  <c r="C20" i="4"/>
  <c r="C21" i="4" s="1"/>
  <c r="C30" i="4" s="1"/>
  <c r="Q32" i="10"/>
  <c r="Q33" i="10" s="1"/>
  <c r="Q23" i="10"/>
  <c r="D24" i="4"/>
  <c r="D64" i="2"/>
  <c r="F70" i="4"/>
  <c r="E71" i="4"/>
  <c r="E204" i="4" l="1"/>
  <c r="E206" i="4" s="1"/>
  <c r="D28" i="4"/>
  <c r="H242" i="4"/>
  <c r="F199" i="4"/>
  <c r="D63" i="2"/>
  <c r="E26" i="4"/>
  <c r="D122" i="4"/>
  <c r="D124" i="4" s="1"/>
  <c r="H14" i="8"/>
  <c r="G38" i="2"/>
  <c r="K25" i="5"/>
  <c r="K26" i="5" s="1"/>
  <c r="J26" i="5"/>
  <c r="F154" i="4"/>
  <c r="E155" i="4"/>
  <c r="F72" i="4"/>
  <c r="E73" i="4"/>
  <c r="F13" i="12"/>
  <c r="E13" i="12"/>
  <c r="G56" i="12"/>
  <c r="C20" i="12" s="1"/>
  <c r="C18" i="12"/>
  <c r="C15" i="12"/>
  <c r="C17" i="12"/>
  <c r="C16" i="12"/>
  <c r="C14" i="12"/>
  <c r="D13" i="6"/>
  <c r="E13" i="6" s="1"/>
  <c r="D8" i="6"/>
  <c r="E8" i="6" s="1"/>
  <c r="D7" i="6"/>
  <c r="E7" i="6" s="1"/>
  <c r="R37" i="5"/>
  <c r="G50" i="5" s="1"/>
  <c r="G51" i="5" s="1"/>
  <c r="G54" i="5" s="1"/>
  <c r="D9" i="6"/>
  <c r="E9" i="6" s="1"/>
  <c r="D10" i="6"/>
  <c r="E10" i="6" s="1"/>
  <c r="D14" i="6"/>
  <c r="E14" i="6" s="1"/>
  <c r="D12" i="6"/>
  <c r="E12" i="6" s="1"/>
  <c r="D11" i="6"/>
  <c r="E11" i="6" s="1"/>
  <c r="G150" i="4"/>
  <c r="F151" i="4"/>
  <c r="F160" i="4" s="1"/>
  <c r="G109" i="4"/>
  <c r="F110" i="4"/>
  <c r="F119" i="4" s="1"/>
  <c r="E18" i="4"/>
  <c r="D19" i="4"/>
  <c r="D31" i="4" s="1"/>
  <c r="D32" i="4" s="1"/>
  <c r="N26" i="10"/>
  <c r="D238" i="4" s="1"/>
  <c r="D239" i="4" s="1"/>
  <c r="N21" i="10"/>
  <c r="D115" i="4" s="1"/>
  <c r="D116" i="4" s="1"/>
  <c r="N25" i="10"/>
  <c r="D197" i="4" s="1"/>
  <c r="D198" i="4" s="1"/>
  <c r="N22" i="10"/>
  <c r="D156" i="4" s="1"/>
  <c r="D157" i="4" s="1"/>
  <c r="N20" i="10"/>
  <c r="D74" i="4" s="1"/>
  <c r="D75" i="4" s="1"/>
  <c r="F22" i="4"/>
  <c r="E23" i="4"/>
  <c r="H8" i="8"/>
  <c r="G32" i="2"/>
  <c r="E24" i="4"/>
  <c r="D25" i="4"/>
  <c r="D33" i="4" s="1"/>
  <c r="D35" i="4" s="1"/>
  <c r="G195" i="4"/>
  <c r="F196" i="4"/>
  <c r="F148" i="4"/>
  <c r="E149" i="4"/>
  <c r="E161" i="4" s="1"/>
  <c r="E162" i="4" s="1"/>
  <c r="G111" i="4"/>
  <c r="F112" i="4"/>
  <c r="K33" i="10"/>
  <c r="H230" i="4"/>
  <c r="H231" i="4" s="1"/>
  <c r="H243" i="4" s="1"/>
  <c r="G231" i="4"/>
  <c r="G243" i="4" s="1"/>
  <c r="G244" i="4" s="1"/>
  <c r="H240" i="4"/>
  <c r="G68" i="4"/>
  <c r="F69" i="4"/>
  <c r="F78" i="4" s="1"/>
  <c r="F107" i="4"/>
  <c r="E108" i="4"/>
  <c r="E120" i="4" s="1"/>
  <c r="E121" i="4" s="1"/>
  <c r="L33" i="10"/>
  <c r="G189" i="4"/>
  <c r="F190" i="4"/>
  <c r="F202" i="4" s="1"/>
  <c r="F203" i="4" s="1"/>
  <c r="M26" i="10"/>
  <c r="C238" i="4" s="1"/>
  <c r="C239" i="4" s="1"/>
  <c r="M22" i="10"/>
  <c r="C156" i="4" s="1"/>
  <c r="C157" i="4" s="1"/>
  <c r="M20" i="10"/>
  <c r="C74" i="4" s="1"/>
  <c r="C75" i="4" s="1"/>
  <c r="M25" i="10"/>
  <c r="C197" i="4" s="1"/>
  <c r="C198" i="4" s="1"/>
  <c r="M21" i="10"/>
  <c r="C115" i="4" s="1"/>
  <c r="C116" i="4" s="1"/>
  <c r="F20" i="4"/>
  <c r="E21" i="4"/>
  <c r="E30" i="4" s="1"/>
  <c r="E117" i="4"/>
  <c r="D81" i="4"/>
  <c r="D83" i="4" s="1"/>
  <c r="D82" i="4"/>
  <c r="F205" i="4"/>
  <c r="C16" i="9"/>
  <c r="C36" i="12" s="1"/>
  <c r="E36" i="12" s="1"/>
  <c r="G31" i="2"/>
  <c r="H7" i="8"/>
  <c r="H9" i="8"/>
  <c r="G33" i="2"/>
  <c r="R30" i="5"/>
  <c r="M19" i="10"/>
  <c r="G152" i="4"/>
  <c r="F153" i="4"/>
  <c r="H193" i="4"/>
  <c r="H194" i="4" s="1"/>
  <c r="G194" i="4"/>
  <c r="H191" i="4"/>
  <c r="H192" i="4" s="1"/>
  <c r="H201" i="4" s="1"/>
  <c r="G192" i="4"/>
  <c r="G201" i="4" s="1"/>
  <c r="C28" i="4"/>
  <c r="C33" i="4" s="1"/>
  <c r="C35" i="4" s="1"/>
  <c r="I36" i="5"/>
  <c r="I35" i="5"/>
  <c r="I37" i="5" s="1"/>
  <c r="I27" i="5"/>
  <c r="I28" i="5" s="1"/>
  <c r="H236" i="4"/>
  <c r="H237" i="4" s="1"/>
  <c r="G237" i="4"/>
  <c r="D163" i="4"/>
  <c r="D165" i="4" s="1"/>
  <c r="F246" i="4"/>
  <c r="E76" i="4"/>
  <c r="I33" i="10"/>
  <c r="E158" i="4"/>
  <c r="F66" i="4"/>
  <c r="E67" i="4"/>
  <c r="E79" i="4" s="1"/>
  <c r="E80" i="4" s="1"/>
  <c r="AR83" i="11"/>
  <c r="C37" i="10"/>
  <c r="C38" i="10" s="1"/>
  <c r="C39" i="10" s="1"/>
  <c r="O21" i="10"/>
  <c r="O22" i="10"/>
  <c r="O25" i="10"/>
  <c r="E197" i="4" s="1"/>
  <c r="O26" i="10"/>
  <c r="E238" i="4" s="1"/>
  <c r="O20" i="10"/>
  <c r="F113" i="4"/>
  <c r="E114" i="4"/>
  <c r="H33" i="10"/>
  <c r="H11" i="8"/>
  <c r="G35" i="2"/>
  <c r="H13" i="8"/>
  <c r="G37" i="2"/>
  <c r="G33" i="10"/>
  <c r="N23" i="10"/>
  <c r="D26" i="4"/>
  <c r="D27" i="4" s="1"/>
  <c r="F33" i="10"/>
  <c r="G70" i="4"/>
  <c r="F71" i="4"/>
  <c r="E22" i="2"/>
  <c r="F24" i="1"/>
  <c r="G22" i="2"/>
  <c r="I22" i="2"/>
  <c r="S35" i="5"/>
  <c r="S37" i="5" s="1"/>
  <c r="E53" i="5" s="1"/>
  <c r="S24" i="5"/>
  <c r="S36" i="5"/>
  <c r="S29" i="5"/>
  <c r="E28" i="4" l="1"/>
  <c r="E33" i="4" s="1"/>
  <c r="E35" i="4" s="1"/>
  <c r="F204" i="4"/>
  <c r="F206" i="4" s="1"/>
  <c r="C19" i="12"/>
  <c r="G245" i="4"/>
  <c r="G247" i="4" s="1"/>
  <c r="C36" i="4"/>
  <c r="F36" i="4"/>
  <c r="H36" i="4"/>
  <c r="G36" i="4"/>
  <c r="D36" i="4"/>
  <c r="D37" i="4" s="1"/>
  <c r="E36" i="4"/>
  <c r="H244" i="4"/>
  <c r="H246" i="4" s="1"/>
  <c r="H109" i="4"/>
  <c r="H110" i="4" s="1"/>
  <c r="H119" i="4" s="1"/>
  <c r="G110" i="4"/>
  <c r="G119" i="4" s="1"/>
  <c r="F14" i="12"/>
  <c r="E14" i="12"/>
  <c r="J27" i="5"/>
  <c r="J28" i="5" s="1"/>
  <c r="J36" i="5"/>
  <c r="J35" i="5"/>
  <c r="J37" i="5" s="1"/>
  <c r="H68" i="4"/>
  <c r="H69" i="4" s="1"/>
  <c r="H78" i="4" s="1"/>
  <c r="G69" i="4"/>
  <c r="G78" i="4" s="1"/>
  <c r="G72" i="4"/>
  <c r="F73" i="4"/>
  <c r="C53" i="5"/>
  <c r="C55" i="5" s="1"/>
  <c r="C57" i="5" s="1"/>
  <c r="G53" i="5"/>
  <c r="G55" i="5" s="1"/>
  <c r="G57" i="5" s="1"/>
  <c r="G22" i="4"/>
  <c r="F23" i="4"/>
  <c r="G246" i="4"/>
  <c r="E163" i="4"/>
  <c r="E165" i="4" s="1"/>
  <c r="E164" i="4"/>
  <c r="H189" i="4"/>
  <c r="H190" i="4" s="1"/>
  <c r="H202" i="4" s="1"/>
  <c r="G190" i="4"/>
  <c r="G202" i="4" s="1"/>
  <c r="G203" i="4" s="1"/>
  <c r="F18" i="12"/>
  <c r="E18" i="12"/>
  <c r="H245" i="4"/>
  <c r="H247" i="4" s="1"/>
  <c r="F24" i="4"/>
  <c r="E25" i="4"/>
  <c r="E34" i="4"/>
  <c r="F17" i="12"/>
  <c r="E17" i="12"/>
  <c r="G66" i="4"/>
  <c r="F67" i="4"/>
  <c r="F79" i="4" s="1"/>
  <c r="F80" i="4" s="1"/>
  <c r="G113" i="4"/>
  <c r="F114" i="4"/>
  <c r="G20" i="4"/>
  <c r="F21" i="4"/>
  <c r="F30" i="4" s="1"/>
  <c r="F20" i="12"/>
  <c r="E20" i="12"/>
  <c r="F19" i="12"/>
  <c r="E19" i="12"/>
  <c r="E156" i="4"/>
  <c r="G63" i="2"/>
  <c r="K27" i="5"/>
  <c r="K28" i="5" s="1"/>
  <c r="K36" i="5"/>
  <c r="K35" i="5"/>
  <c r="K37" i="5" s="1"/>
  <c r="F117" i="4"/>
  <c r="F15" i="12"/>
  <c r="E15" i="12"/>
  <c r="F76" i="4"/>
  <c r="G199" i="4"/>
  <c r="G148" i="4"/>
  <c r="F149" i="4"/>
  <c r="F161" i="4" s="1"/>
  <c r="F162" i="4" s="1"/>
  <c r="H70" i="4"/>
  <c r="H71" i="4" s="1"/>
  <c r="G71" i="4"/>
  <c r="E81" i="4"/>
  <c r="E83" i="4" s="1"/>
  <c r="E82" i="4"/>
  <c r="H199" i="4"/>
  <c r="D53" i="5"/>
  <c r="F26" i="4"/>
  <c r="E27" i="4"/>
  <c r="E37" i="4" s="1"/>
  <c r="F197" i="4"/>
  <c r="E198" i="4"/>
  <c r="M23" i="10"/>
  <c r="C24" i="12" s="1"/>
  <c r="C26" i="4"/>
  <c r="C27" i="4" s="1"/>
  <c r="C37" i="4" s="1"/>
  <c r="F18" i="4"/>
  <c r="E19" i="4"/>
  <c r="E31" i="4" s="1"/>
  <c r="E32" i="4" s="1"/>
  <c r="C30" i="6"/>
  <c r="C46" i="6" s="1"/>
  <c r="F27" i="6"/>
  <c r="F43" i="6" s="1"/>
  <c r="D25" i="6"/>
  <c r="D41" i="6" s="1"/>
  <c r="G22" i="6"/>
  <c r="G38" i="6" s="1"/>
  <c r="E20" i="6"/>
  <c r="E36" i="6" s="1"/>
  <c r="G11" i="6"/>
  <c r="G7" i="6"/>
  <c r="G29" i="6"/>
  <c r="G45" i="6" s="1"/>
  <c r="E27" i="6"/>
  <c r="E43" i="6" s="1"/>
  <c r="C25" i="6"/>
  <c r="C41" i="6" s="1"/>
  <c r="F22" i="6"/>
  <c r="F38" i="6" s="1"/>
  <c r="D20" i="6"/>
  <c r="D36" i="6" s="1"/>
  <c r="E30" i="6"/>
  <c r="E46" i="6" s="1"/>
  <c r="D27" i="6"/>
  <c r="D43" i="6" s="1"/>
  <c r="E24" i="6"/>
  <c r="E40" i="6" s="1"/>
  <c r="F21" i="6"/>
  <c r="F37" i="6" s="1"/>
  <c r="D30" i="6"/>
  <c r="D46" i="6" s="1"/>
  <c r="C27" i="6"/>
  <c r="C43" i="6" s="1"/>
  <c r="D24" i="6"/>
  <c r="D40" i="6" s="1"/>
  <c r="E21" i="6"/>
  <c r="E37" i="6" s="1"/>
  <c r="G12" i="6"/>
  <c r="F29" i="6"/>
  <c r="F45" i="6" s="1"/>
  <c r="G26" i="6"/>
  <c r="G42" i="6" s="1"/>
  <c r="C24" i="6"/>
  <c r="C40" i="6" s="1"/>
  <c r="D21" i="6"/>
  <c r="D37" i="6" s="1"/>
  <c r="C11" i="8"/>
  <c r="F11" i="8" s="1"/>
  <c r="G11" i="8" s="1"/>
  <c r="C35" i="2" s="1"/>
  <c r="G30" i="6"/>
  <c r="G46" i="6" s="1"/>
  <c r="C28" i="6"/>
  <c r="C44" i="6" s="1"/>
  <c r="G24" i="6"/>
  <c r="G40" i="6" s="1"/>
  <c r="C22" i="6"/>
  <c r="C38" i="6" s="1"/>
  <c r="G13" i="6"/>
  <c r="C29" i="6"/>
  <c r="C45" i="6" s="1"/>
  <c r="E25" i="6"/>
  <c r="E41" i="6" s="1"/>
  <c r="F20" i="6"/>
  <c r="F36" i="6" s="1"/>
  <c r="C50" i="5"/>
  <c r="C51" i="5" s="1"/>
  <c r="C54" i="5" s="1"/>
  <c r="G28" i="6"/>
  <c r="G44" i="6" s="1"/>
  <c r="F24" i="6"/>
  <c r="F40" i="6" s="1"/>
  <c r="C20" i="6"/>
  <c r="C36" i="6" s="1"/>
  <c r="G8" i="6"/>
  <c r="F28" i="6"/>
  <c r="F44" i="6" s="1"/>
  <c r="G23" i="6"/>
  <c r="G39" i="6" s="1"/>
  <c r="G14" i="6"/>
  <c r="E28" i="6"/>
  <c r="E44" i="6" s="1"/>
  <c r="F23" i="6"/>
  <c r="F39" i="6" s="1"/>
  <c r="G27" i="6"/>
  <c r="G43" i="6" s="1"/>
  <c r="D23" i="6"/>
  <c r="D39" i="6" s="1"/>
  <c r="D26" i="6"/>
  <c r="D42" i="6" s="1"/>
  <c r="D22" i="6"/>
  <c r="D38" i="6" s="1"/>
  <c r="G10" i="6"/>
  <c r="G25" i="6"/>
  <c r="G41" i="6" s="1"/>
  <c r="F25" i="6"/>
  <c r="F41" i="6" s="1"/>
  <c r="G9" i="6"/>
  <c r="C23" i="6"/>
  <c r="C39" i="6" s="1"/>
  <c r="E22" i="6"/>
  <c r="E38" i="6" s="1"/>
  <c r="F30" i="6"/>
  <c r="F46" i="6" s="1"/>
  <c r="G21" i="6"/>
  <c r="G37" i="6" s="1"/>
  <c r="E29" i="6"/>
  <c r="E45" i="6" s="1"/>
  <c r="C21" i="6"/>
  <c r="C37" i="6" s="1"/>
  <c r="D29" i="6"/>
  <c r="D45" i="6" s="1"/>
  <c r="G20" i="6"/>
  <c r="G36" i="6" s="1"/>
  <c r="D28" i="6"/>
  <c r="D44" i="6" s="1"/>
  <c r="D50" i="5"/>
  <c r="D51" i="5" s="1"/>
  <c r="F26" i="6"/>
  <c r="F42" i="6" s="1"/>
  <c r="C26" i="6"/>
  <c r="C42" i="6" s="1"/>
  <c r="E23" i="6"/>
  <c r="E39" i="6" s="1"/>
  <c r="E26" i="6"/>
  <c r="E42" i="6" s="1"/>
  <c r="E50" i="5"/>
  <c r="E51" i="5" s="1"/>
  <c r="E54" i="5" s="1"/>
  <c r="E115" i="4"/>
  <c r="F63" i="2"/>
  <c r="G154" i="4"/>
  <c r="F155" i="4"/>
  <c r="F16" i="12"/>
  <c r="E16" i="12"/>
  <c r="H150" i="4"/>
  <c r="H151" i="4" s="1"/>
  <c r="H160" i="4" s="1"/>
  <c r="G151" i="4"/>
  <c r="G160" i="4" s="1"/>
  <c r="E122" i="4"/>
  <c r="E124" i="4" s="1"/>
  <c r="E123" i="4"/>
  <c r="H111" i="4"/>
  <c r="H112" i="4" s="1"/>
  <c r="G112" i="4"/>
  <c r="S30" i="5"/>
  <c r="E74" i="4"/>
  <c r="E63" i="2"/>
  <c r="F158" i="4"/>
  <c r="D34" i="4"/>
  <c r="G107" i="4"/>
  <c r="F108" i="4"/>
  <c r="F120" i="4" s="1"/>
  <c r="F121" i="4" s="1"/>
  <c r="F238" i="4"/>
  <c r="E239" i="4"/>
  <c r="H152" i="4"/>
  <c r="H153" i="4" s="1"/>
  <c r="G153" i="4"/>
  <c r="G158" i="4" s="1"/>
  <c r="H195" i="4"/>
  <c r="H196" i="4" s="1"/>
  <c r="G196" i="4"/>
  <c r="O23" i="10"/>
  <c r="H117" i="4" l="1"/>
  <c r="H203" i="4"/>
  <c r="H76" i="4"/>
  <c r="G60" i="5"/>
  <c r="F28" i="4"/>
  <c r="F115" i="4"/>
  <c r="E116" i="4"/>
  <c r="G204" i="4"/>
  <c r="G206" i="4" s="1"/>
  <c r="G205" i="4"/>
  <c r="H22" i="4"/>
  <c r="H23" i="4" s="1"/>
  <c r="G23" i="4"/>
  <c r="G28" i="4" s="1"/>
  <c r="H107" i="4"/>
  <c r="H108" i="4" s="1"/>
  <c r="H120" i="4" s="1"/>
  <c r="H122" i="4" s="1"/>
  <c r="H124" i="4" s="1"/>
  <c r="G108" i="4"/>
  <c r="G120" i="4" s="1"/>
  <c r="G121" i="4" s="1"/>
  <c r="G117" i="4"/>
  <c r="G197" i="4"/>
  <c r="F198" i="4"/>
  <c r="F81" i="4"/>
  <c r="F83" i="4" s="1"/>
  <c r="F82" i="4"/>
  <c r="G24" i="4"/>
  <c r="F25" i="4"/>
  <c r="G61" i="5"/>
  <c r="G59" i="5"/>
  <c r="D55" i="5"/>
  <c r="D57" i="5" s="1"/>
  <c r="F122" i="4"/>
  <c r="F124" i="4" s="1"/>
  <c r="F123" i="4"/>
  <c r="H72" i="4"/>
  <c r="H73" i="4" s="1"/>
  <c r="G73" i="4"/>
  <c r="H205" i="4"/>
  <c r="H204" i="4"/>
  <c r="H206" i="4" s="1"/>
  <c r="H113" i="4"/>
  <c r="H114" i="4" s="1"/>
  <c r="G114" i="4"/>
  <c r="G238" i="4"/>
  <c r="F239" i="4"/>
  <c r="H154" i="4"/>
  <c r="H155" i="4" s="1"/>
  <c r="G155" i="4"/>
  <c r="C61" i="5"/>
  <c r="C8" i="4"/>
  <c r="C59" i="5"/>
  <c r="H20" i="4"/>
  <c r="H21" i="4" s="1"/>
  <c r="H30" i="4" s="1"/>
  <c r="G21" i="4"/>
  <c r="G30" i="4" s="1"/>
  <c r="F74" i="4"/>
  <c r="E75" i="4"/>
  <c r="D54" i="5"/>
  <c r="G65" i="5"/>
  <c r="C66" i="5" s="1"/>
  <c r="C68" i="5" s="1"/>
  <c r="C69" i="5" s="1"/>
  <c r="H148" i="4"/>
  <c r="H149" i="4" s="1"/>
  <c r="H161" i="4" s="1"/>
  <c r="G149" i="4"/>
  <c r="G161" i="4" s="1"/>
  <c r="G162" i="4" s="1"/>
  <c r="F164" i="4"/>
  <c r="F163" i="4"/>
  <c r="F165" i="4" s="1"/>
  <c r="G26" i="4"/>
  <c r="F27" i="4"/>
  <c r="F37" i="4" s="1"/>
  <c r="H158" i="4"/>
  <c r="G76" i="4"/>
  <c r="F24" i="12"/>
  <c r="E24" i="12"/>
  <c r="D251" i="4"/>
  <c r="C251" i="4"/>
  <c r="E251" i="4"/>
  <c r="D265" i="4"/>
  <c r="D266" i="4" s="1"/>
  <c r="C265" i="4"/>
  <c r="C266" i="4" s="1"/>
  <c r="E265" i="4"/>
  <c r="E266" i="4" s="1"/>
  <c r="H66" i="4"/>
  <c r="H67" i="4" s="1"/>
  <c r="H79" i="4" s="1"/>
  <c r="H81" i="4" s="1"/>
  <c r="H83" i="4" s="1"/>
  <c r="G67" i="4"/>
  <c r="G79" i="4" s="1"/>
  <c r="G80" i="4" s="1"/>
  <c r="C60" i="5"/>
  <c r="G18" i="4"/>
  <c r="F19" i="4"/>
  <c r="F31" i="4" s="1"/>
  <c r="F32" i="4" s="1"/>
  <c r="E157" i="4"/>
  <c r="F156" i="4"/>
  <c r="E55" i="5"/>
  <c r="E57" i="5" s="1"/>
  <c r="G163" i="4" l="1"/>
  <c r="G165" i="4" s="1"/>
  <c r="F34" i="4"/>
  <c r="E60" i="5"/>
  <c r="E87" i="4"/>
  <c r="C87" i="4"/>
  <c r="D87" i="4"/>
  <c r="H26" i="4"/>
  <c r="H27" i="4" s="1"/>
  <c r="H37" i="4" s="1"/>
  <c r="G27" i="4"/>
  <c r="G37" i="4" s="1"/>
  <c r="H18" i="4"/>
  <c r="H19" i="4" s="1"/>
  <c r="H31" i="4" s="1"/>
  <c r="G19" i="4"/>
  <c r="G31" i="4" s="1"/>
  <c r="G32" i="4" s="1"/>
  <c r="G34" i="4" s="1"/>
  <c r="H121" i="4"/>
  <c r="H123" i="4" s="1"/>
  <c r="H162" i="4"/>
  <c r="H164" i="4" s="1"/>
  <c r="H80" i="4"/>
  <c r="H82" i="4" s="1"/>
  <c r="D27" i="12"/>
  <c r="D48" i="2"/>
  <c r="G123" i="4"/>
  <c r="G122" i="4"/>
  <c r="G124" i="4" s="1"/>
  <c r="E142" i="4" s="1"/>
  <c r="E143" i="4" s="1"/>
  <c r="D61" i="5"/>
  <c r="D59" i="5"/>
  <c r="D8" i="4"/>
  <c r="F33" i="4"/>
  <c r="F35" i="4" s="1"/>
  <c r="H28" i="4"/>
  <c r="H238" i="4"/>
  <c r="H239" i="4" s="1"/>
  <c r="C14" i="8" s="1"/>
  <c r="F14" i="8" s="1"/>
  <c r="G14" i="8" s="1"/>
  <c r="G239" i="4"/>
  <c r="G82" i="4"/>
  <c r="G81" i="4"/>
  <c r="G83" i="4" s="1"/>
  <c r="C101" i="4" s="1"/>
  <c r="C102" i="4" s="1"/>
  <c r="H163" i="4"/>
  <c r="H165" i="4" s="1"/>
  <c r="D60" i="5"/>
  <c r="H24" i="4"/>
  <c r="H25" i="4" s="1"/>
  <c r="G25" i="4"/>
  <c r="E61" i="5"/>
  <c r="E59" i="5"/>
  <c r="E8" i="4"/>
  <c r="G156" i="4"/>
  <c r="F157" i="4"/>
  <c r="G164" i="4"/>
  <c r="G74" i="4"/>
  <c r="F75" i="4"/>
  <c r="E210" i="4"/>
  <c r="D210" i="4"/>
  <c r="C210" i="4"/>
  <c r="D224" i="4"/>
  <c r="D225" i="4" s="1"/>
  <c r="C224" i="4"/>
  <c r="C225" i="4" s="1"/>
  <c r="E224" i="4"/>
  <c r="E225" i="4" s="1"/>
  <c r="G115" i="4"/>
  <c r="F116" i="4"/>
  <c r="H197" i="4"/>
  <c r="H198" i="4" s="1"/>
  <c r="C13" i="8" s="1"/>
  <c r="F13" i="8" s="1"/>
  <c r="G13" i="8" s="1"/>
  <c r="G198" i="4"/>
  <c r="D128" i="4"/>
  <c r="E128" i="4"/>
  <c r="C128" i="4"/>
  <c r="G33" i="4" l="1"/>
  <c r="G35" i="4" s="1"/>
  <c r="C37" i="2"/>
  <c r="E26" i="8"/>
  <c r="C26" i="8"/>
  <c r="D26" i="8"/>
  <c r="H32" i="4"/>
  <c r="C7" i="8"/>
  <c r="F7" i="8" s="1"/>
  <c r="G7" i="8" s="1"/>
  <c r="C49" i="4"/>
  <c r="D49" i="4"/>
  <c r="E49" i="4"/>
  <c r="C61" i="4"/>
  <c r="D61" i="4"/>
  <c r="E61" i="4"/>
  <c r="E101" i="4"/>
  <c r="E102" i="4" s="1"/>
  <c r="D31" i="12"/>
  <c r="D28" i="12"/>
  <c r="E48" i="2"/>
  <c r="D101" i="4"/>
  <c r="D102" i="4" s="1"/>
  <c r="H156" i="4"/>
  <c r="H157" i="4" s="1"/>
  <c r="C10" i="8" s="1"/>
  <c r="F10" i="8" s="1"/>
  <c r="G10" i="8" s="1"/>
  <c r="G157" i="4"/>
  <c r="D142" i="4"/>
  <c r="D143" i="4" s="1"/>
  <c r="C38" i="2"/>
  <c r="C27" i="8"/>
  <c r="D27" i="8"/>
  <c r="E27" i="8"/>
  <c r="H74" i="4"/>
  <c r="H75" i="4" s="1"/>
  <c r="C8" i="8" s="1"/>
  <c r="F8" i="8" s="1"/>
  <c r="G8" i="8" s="1"/>
  <c r="G75" i="4"/>
  <c r="C169" i="4"/>
  <c r="D169" i="4"/>
  <c r="E169" i="4"/>
  <c r="C183" i="4"/>
  <c r="C184" i="4" s="1"/>
  <c r="E183" i="4"/>
  <c r="E184" i="4" s="1"/>
  <c r="D183" i="4"/>
  <c r="D184" i="4" s="1"/>
  <c r="H115" i="4"/>
  <c r="H116" i="4" s="1"/>
  <c r="C9" i="8" s="1"/>
  <c r="F9" i="8" s="1"/>
  <c r="G9" i="8" s="1"/>
  <c r="G116" i="4"/>
  <c r="C142" i="4"/>
  <c r="C143" i="4" s="1"/>
  <c r="D29" i="12"/>
  <c r="F48" i="2"/>
  <c r="C30" i="12"/>
  <c r="H33" i="4"/>
  <c r="H35" i="4" s="1"/>
  <c r="H34" i="4"/>
  <c r="D30" i="12" l="1"/>
  <c r="F30" i="12" s="1"/>
  <c r="E13" i="4"/>
  <c r="E14" i="4" s="1"/>
  <c r="C32" i="2"/>
  <c r="C22" i="8"/>
  <c r="D22" i="8"/>
  <c r="E22" i="8"/>
  <c r="C31" i="2"/>
  <c r="E21" i="8"/>
  <c r="C21" i="8"/>
  <c r="D21" i="8"/>
  <c r="D250" i="4"/>
  <c r="H27" i="8"/>
  <c r="I38" i="2" s="1"/>
  <c r="E38" i="2"/>
  <c r="C13" i="4"/>
  <c r="C14" i="4" s="1"/>
  <c r="E41" i="4"/>
  <c r="C41" i="4"/>
  <c r="D41" i="4"/>
  <c r="D60" i="4"/>
  <c r="D12" i="4" s="1"/>
  <c r="C28" i="12" s="1"/>
  <c r="C60" i="4"/>
  <c r="C12" i="4" s="1"/>
  <c r="C27" i="12" s="1"/>
  <c r="E60" i="4"/>
  <c r="E12" i="4" s="1"/>
  <c r="C29" i="12" s="1"/>
  <c r="D13" i="4"/>
  <c r="C34" i="2"/>
  <c r="E24" i="8"/>
  <c r="C24" i="8"/>
  <c r="D24" i="8"/>
  <c r="C33" i="2"/>
  <c r="D23" i="8"/>
  <c r="C23" i="8"/>
  <c r="E23" i="8"/>
  <c r="F38" i="2"/>
  <c r="I27" i="8"/>
  <c r="J38" i="2" s="1"/>
  <c r="E250" i="4"/>
  <c r="H26" i="8"/>
  <c r="I37" i="2" s="1"/>
  <c r="D209" i="4"/>
  <c r="E37" i="2"/>
  <c r="C26" i="12"/>
  <c r="G26" i="8"/>
  <c r="H37" i="2" s="1"/>
  <c r="D37" i="2"/>
  <c r="C209" i="4"/>
  <c r="C250" i="4"/>
  <c r="G27" i="8"/>
  <c r="H38" i="2" s="1"/>
  <c r="D38" i="2"/>
  <c r="I26" i="8"/>
  <c r="J37" i="2" s="1"/>
  <c r="E209" i="4"/>
  <c r="F37" i="2"/>
  <c r="F26" i="12" l="1"/>
  <c r="E26" i="12"/>
  <c r="F29" i="12"/>
  <c r="E29" i="12"/>
  <c r="I21" i="8"/>
  <c r="J31" i="2" s="1"/>
  <c r="F31" i="2"/>
  <c r="E40" i="4"/>
  <c r="J22" i="2"/>
  <c r="D14" i="4"/>
  <c r="C40" i="4"/>
  <c r="D31" i="2"/>
  <c r="G21" i="8"/>
  <c r="H31" i="2" s="1"/>
  <c r="F27" i="12"/>
  <c r="E27" i="12"/>
  <c r="F28" i="12"/>
  <c r="E28" i="12"/>
  <c r="I22" i="8"/>
  <c r="J32" i="2" s="1"/>
  <c r="F32" i="2"/>
  <c r="E86" i="4"/>
  <c r="E254" i="4"/>
  <c r="E252" i="4"/>
  <c r="E255" i="4" s="1"/>
  <c r="G22" i="8"/>
  <c r="H32" i="2" s="1"/>
  <c r="C86" i="4"/>
  <c r="D32" i="2"/>
  <c r="C168" i="4"/>
  <c r="G24" i="8"/>
  <c r="H34" i="2" s="1"/>
  <c r="D34" i="2"/>
  <c r="I23" i="8"/>
  <c r="J33" i="2" s="1"/>
  <c r="E127" i="4"/>
  <c r="F33" i="2"/>
  <c r="E213" i="4"/>
  <c r="E211" i="4"/>
  <c r="E214" i="4" s="1"/>
  <c r="C42" i="4"/>
  <c r="C45" i="4" s="1"/>
  <c r="I24" i="8"/>
  <c r="J34" i="2" s="1"/>
  <c r="F34" i="2"/>
  <c r="E168" i="4"/>
  <c r="C254" i="4"/>
  <c r="C252" i="4"/>
  <c r="C255" i="4" s="1"/>
  <c r="E30" i="12"/>
  <c r="D213" i="4"/>
  <c r="D211" i="4"/>
  <c r="D214" i="4" s="1"/>
  <c r="H22" i="8"/>
  <c r="I32" i="2" s="1"/>
  <c r="E32" i="2"/>
  <c r="D86" i="4"/>
  <c r="D168" i="4"/>
  <c r="H24" i="8"/>
  <c r="I34" i="2" s="1"/>
  <c r="E34" i="2"/>
  <c r="E42" i="4"/>
  <c r="E45" i="4" s="1"/>
  <c r="C127" i="4"/>
  <c r="D33" i="2"/>
  <c r="G23" i="8"/>
  <c r="H33" i="2" s="1"/>
  <c r="C213" i="4"/>
  <c r="C211" i="4"/>
  <c r="C214" i="4" s="1"/>
  <c r="H23" i="8"/>
  <c r="I33" i="2" s="1"/>
  <c r="D127" i="4"/>
  <c r="E33" i="2"/>
  <c r="D254" i="4"/>
  <c r="D252" i="4"/>
  <c r="D255" i="4" s="1"/>
  <c r="H21" i="8"/>
  <c r="I31" i="2" s="1"/>
  <c r="D40" i="4"/>
  <c r="D42" i="4" s="1"/>
  <c r="D45" i="4" s="1"/>
  <c r="E31" i="2"/>
  <c r="C90" i="4" l="1"/>
  <c r="C88" i="4"/>
  <c r="C91" i="4" s="1"/>
  <c r="C51" i="4"/>
  <c r="C44" i="4"/>
  <c r="C46" i="4" s="1"/>
  <c r="C48" i="4" s="1"/>
  <c r="C50" i="4"/>
  <c r="C52" i="4" s="1"/>
  <c r="J25" i="2"/>
  <c r="J24" i="2"/>
  <c r="J20" i="2"/>
  <c r="J18" i="2"/>
  <c r="J26" i="2" s="1"/>
  <c r="J21" i="2"/>
  <c r="J19" i="2"/>
  <c r="D256" i="4"/>
  <c r="D258" i="4" s="1"/>
  <c r="D259" i="4" s="1"/>
  <c r="D90" i="4"/>
  <c r="D88" i="4"/>
  <c r="D91" i="4" s="1"/>
  <c r="E256" i="4"/>
  <c r="E258" i="4" s="1"/>
  <c r="E259" i="4" s="1"/>
  <c r="E44" i="4"/>
  <c r="E46" i="4" s="1"/>
  <c r="E48" i="4" s="1"/>
  <c r="E51" i="4"/>
  <c r="E50" i="4"/>
  <c r="E52" i="4" s="1"/>
  <c r="D215" i="4"/>
  <c r="D217" i="4" s="1"/>
  <c r="D218" i="4" s="1"/>
  <c r="D172" i="4"/>
  <c r="D170" i="4"/>
  <c r="D173" i="4" s="1"/>
  <c r="D131" i="4"/>
  <c r="D129" i="4"/>
  <c r="D132" i="4" s="1"/>
  <c r="E90" i="4"/>
  <c r="E88" i="4"/>
  <c r="E91" i="4" s="1"/>
  <c r="C215" i="4"/>
  <c r="C217" i="4" s="1"/>
  <c r="C218" i="4" s="1"/>
  <c r="E131" i="4"/>
  <c r="E129" i="4"/>
  <c r="E132" i="4" s="1"/>
  <c r="E215" i="4"/>
  <c r="E217" i="4" s="1"/>
  <c r="E218" i="4" s="1"/>
  <c r="C131" i="4"/>
  <c r="C129" i="4"/>
  <c r="C132" i="4" s="1"/>
  <c r="C256" i="4"/>
  <c r="C258" i="4" s="1"/>
  <c r="C259" i="4" s="1"/>
  <c r="D44" i="4"/>
  <c r="D46" i="4" s="1"/>
  <c r="D48" i="4" s="1"/>
  <c r="D51" i="4"/>
  <c r="D50" i="4"/>
  <c r="D52" i="4" s="1"/>
  <c r="E172" i="4"/>
  <c r="E174" i="4" s="1"/>
  <c r="E176" i="4" s="1"/>
  <c r="E177" i="4" s="1"/>
  <c r="E170" i="4"/>
  <c r="E173" i="4" s="1"/>
  <c r="C172" i="4"/>
  <c r="C174" i="4" s="1"/>
  <c r="C176" i="4" s="1"/>
  <c r="C177" i="4" s="1"/>
  <c r="C170" i="4"/>
  <c r="C173" i="4" s="1"/>
  <c r="E92" i="4" l="1"/>
  <c r="E94" i="4" s="1"/>
  <c r="E95" i="4" s="1"/>
  <c r="F44" i="2"/>
  <c r="E97" i="4"/>
  <c r="J44" i="2" s="1"/>
  <c r="D53" i="4"/>
  <c r="C261" i="4"/>
  <c r="E179" i="4"/>
  <c r="J46" i="2" s="1"/>
  <c r="F46" i="2"/>
  <c r="D261" i="4"/>
  <c r="D133" i="4"/>
  <c r="D135" i="4" s="1"/>
  <c r="D136" i="4" s="1"/>
  <c r="D174" i="4"/>
  <c r="D176" i="4" s="1"/>
  <c r="D177" i="4" s="1"/>
  <c r="D220" i="4"/>
  <c r="C133" i="4"/>
  <c r="C135" i="4" s="1"/>
  <c r="C136" i="4" s="1"/>
  <c r="E53" i="4"/>
  <c r="E54" i="4" s="1"/>
  <c r="E133" i="4"/>
  <c r="E135" i="4" s="1"/>
  <c r="E136" i="4" s="1"/>
  <c r="E261" i="4"/>
  <c r="C53" i="4"/>
  <c r="C54" i="4" s="1"/>
  <c r="E220" i="4"/>
  <c r="C179" i="4"/>
  <c r="H46" i="2" s="1"/>
  <c r="D46" i="2"/>
  <c r="C220" i="4"/>
  <c r="D92" i="4"/>
  <c r="D94" i="4" s="1"/>
  <c r="D95" i="4" s="1"/>
  <c r="C92" i="4"/>
  <c r="C94" i="4" s="1"/>
  <c r="C95" i="4" s="1"/>
  <c r="C56" i="4" l="1"/>
  <c r="H43" i="2" s="1"/>
  <c r="D43" i="2"/>
  <c r="C7" i="4"/>
  <c r="E45" i="2"/>
  <c r="D138" i="4"/>
  <c r="I45" i="2" s="1"/>
  <c r="C97" i="4"/>
  <c r="H44" i="2" s="1"/>
  <c r="D44" i="2"/>
  <c r="F45" i="2"/>
  <c r="E138" i="4"/>
  <c r="J45" i="2" s="1"/>
  <c r="E44" i="2"/>
  <c r="D97" i="4"/>
  <c r="I44" i="2" s="1"/>
  <c r="E56" i="4"/>
  <c r="J43" i="2" s="1"/>
  <c r="F43" i="2"/>
  <c r="E7" i="4"/>
  <c r="D45" i="2"/>
  <c r="C138" i="4"/>
  <c r="H45" i="2" s="1"/>
  <c r="C33" i="12"/>
  <c r="E33" i="12" s="1"/>
  <c r="D54" i="4"/>
  <c r="E46" i="2"/>
  <c r="D179" i="4"/>
  <c r="I46" i="2" s="1"/>
  <c r="D47" i="2" l="1"/>
  <c r="C9" i="4"/>
  <c r="F47" i="2"/>
  <c r="E9" i="4"/>
  <c r="E43" i="2"/>
  <c r="D56" i="4"/>
  <c r="I43" i="2" s="1"/>
  <c r="D7" i="4"/>
  <c r="C10" i="4" l="1"/>
  <c r="D49" i="2"/>
  <c r="E47" i="2"/>
  <c r="D9" i="4"/>
  <c r="F49" i="2"/>
  <c r="E10" i="4"/>
  <c r="E98" i="4" l="1"/>
  <c r="E221" i="4"/>
  <c r="E262" i="4"/>
  <c r="E180" i="4"/>
  <c r="E139" i="4"/>
  <c r="E57" i="4"/>
  <c r="C32" i="12"/>
  <c r="E32" i="12" s="1"/>
  <c r="D10" i="4"/>
  <c r="E49" i="2"/>
  <c r="C221" i="4"/>
  <c r="C180" i="4"/>
  <c r="C262" i="4"/>
  <c r="C57" i="4"/>
  <c r="C98" i="4"/>
  <c r="C139" i="4"/>
  <c r="D221" i="4" l="1"/>
  <c r="D262" i="4"/>
  <c r="D98" i="4"/>
  <c r="D180" i="4"/>
  <c r="D139" i="4"/>
  <c r="D57" i="4"/>
  <c r="C181" i="4"/>
  <c r="D10" i="2"/>
  <c r="H10" i="2" s="1"/>
  <c r="D21" i="2" s="1"/>
  <c r="D13" i="2"/>
  <c r="H13" i="2" s="1"/>
  <c r="D24" i="2" s="1"/>
  <c r="C222" i="4"/>
  <c r="E140" i="4"/>
  <c r="F9" i="2"/>
  <c r="J9" i="2" s="1"/>
  <c r="H20" i="2" s="1"/>
  <c r="F7" i="2"/>
  <c r="E11" i="4"/>
  <c r="E58" i="4"/>
  <c r="C140" i="4"/>
  <c r="D9" i="2"/>
  <c r="H9" i="2" s="1"/>
  <c r="D20" i="2" s="1"/>
  <c r="E181" i="4"/>
  <c r="F10" i="2"/>
  <c r="J10" i="2" s="1"/>
  <c r="H21" i="2" s="1"/>
  <c r="C99" i="4"/>
  <c r="D8" i="2"/>
  <c r="H8" i="2" s="1"/>
  <c r="D19" i="2" s="1"/>
  <c r="F14" i="2"/>
  <c r="J14" i="2" s="1"/>
  <c r="H25" i="2" s="1"/>
  <c r="E263" i="4"/>
  <c r="C58" i="4"/>
  <c r="C11" i="4"/>
  <c r="D7" i="2"/>
  <c r="E222" i="4"/>
  <c r="F13" i="2"/>
  <c r="J13" i="2" s="1"/>
  <c r="H24" i="2" s="1"/>
  <c r="C263" i="4"/>
  <c r="D14" i="2"/>
  <c r="H14" i="2" s="1"/>
  <c r="D25" i="2" s="1"/>
  <c r="E99" i="4"/>
  <c r="F8" i="2"/>
  <c r="J8" i="2" s="1"/>
  <c r="H19" i="2" s="1"/>
  <c r="D140" i="4" l="1"/>
  <c r="E9" i="2"/>
  <c r="J7" i="2"/>
  <c r="H18" i="2" s="1"/>
  <c r="H26" i="2" s="1"/>
  <c r="F11" i="2"/>
  <c r="E13" i="2"/>
  <c r="I13" i="2" s="1"/>
  <c r="F24" i="2" s="1"/>
  <c r="D222" i="4"/>
  <c r="E10" i="2"/>
  <c r="D181" i="4"/>
  <c r="E8" i="2"/>
  <c r="D99" i="4"/>
  <c r="D58" i="4"/>
  <c r="D11" i="4"/>
  <c r="C31" i="12" s="1"/>
  <c r="E7" i="2"/>
  <c r="H7" i="2"/>
  <c r="D18" i="2" s="1"/>
  <c r="D26" i="2" s="1"/>
  <c r="D11" i="2"/>
  <c r="D263" i="4"/>
  <c r="E14" i="2"/>
  <c r="I14" i="2" s="1"/>
  <c r="F25" i="2" s="1"/>
  <c r="I8" i="2" l="1"/>
  <c r="G21" i="1"/>
  <c r="J11" i="2"/>
  <c r="H22" i="2" s="1"/>
  <c r="M12" i="1"/>
  <c r="E11" i="2"/>
  <c r="G20" i="1"/>
  <c r="I7" i="2"/>
  <c r="G22" i="1"/>
  <c r="I9" i="2"/>
  <c r="I10" i="2"/>
  <c r="G23" i="1"/>
  <c r="M11" i="1"/>
  <c r="H11" i="2"/>
  <c r="D22" i="2" s="1"/>
  <c r="F31" i="12"/>
  <c r="E31" i="12"/>
  <c r="F20" i="2" l="1"/>
  <c r="H22" i="1"/>
  <c r="F21" i="2"/>
  <c r="H23" i="1"/>
  <c r="F18" i="2"/>
  <c r="H20" i="1"/>
  <c r="I11" i="2"/>
  <c r="G24" i="1"/>
  <c r="M9" i="1"/>
  <c r="H21" i="1"/>
  <c r="F19" i="2"/>
  <c r="F26" i="2" l="1"/>
  <c r="F22" i="2"/>
  <c r="M10" i="1"/>
  <c r="H24" i="1"/>
  <c r="C37" i="12" l="1"/>
  <c r="E37" i="12" s="1"/>
  <c r="C42" i="12"/>
  <c r="F42" i="12" l="1"/>
  <c r="C5" i="12" s="1"/>
  <c r="E42" i="12"/>
  <c r="G3" i="2" l="1"/>
  <c r="M13" i="1"/>
</calcChain>
</file>

<file path=xl/sharedStrings.xml><?xml version="1.0" encoding="utf-8"?>
<sst xmlns="http://schemas.openxmlformats.org/spreadsheetml/2006/main" count="1457" uniqueCount="735">
  <si>
    <t>Ibovespa - DCF assumptions (house model by box, end-2027)</t>
  </si>
  <si>
    <t>Change the pink cells; the DCF sheet recalculates. Projection rules for 2028-2031 are pink cells in the DCF sheet.</t>
  </si>
  <si>
    <t>Legend:</t>
  </si>
  <si>
    <t>input</t>
  </si>
  <si>
    <t>assumption</t>
  </si>
  <si>
    <t>formula</t>
  </si>
  <si>
    <t>1. Market data</t>
  </si>
  <si>
    <t>Item</t>
  </si>
  <si>
    <t>House file</t>
  </si>
  <si>
    <t>Oct-5-2026</t>
  </si>
  <si>
    <t>Used</t>
  </si>
  <si>
    <t>Source</t>
  </si>
  <si>
    <t>Ibovespa (index pts)</t>
  </si>
  <si>
    <t>House file: Target!B61 (BDP IBOV Index, as saved). Oct-5: Bloomberg IBOV Index PX_LAST.</t>
  </si>
  <si>
    <t>5-year real rate (NTN-B)</t>
  </si>
  <si>
    <t>House file: Target!C56 (BZRFB5PY Index, 7.42%). Oct-5: ANBIMA 5-year NTN-B (Bloomberg was down; check BZRFB5PY before publishing).</t>
  </si>
  <si>
    <t>Market data used: 1 = house file, 2 = Oct-5-2026</t>
  </si>
  <si>
    <t>Consensus and history are the house file's in both cases (not refreshed: the consensus moved little).</t>
  </si>
  <si>
    <t>2. Valuation parameters (house Target sheet)</t>
  </si>
  <si>
    <t>Parameter</t>
  </si>
  <si>
    <t>Value</t>
  </si>
  <si>
    <t>Long-term growth of the FCFF (g)</t>
  </si>
  <si>
    <t>Target!B54 (4.7%).</t>
  </si>
  <si>
    <t>Long-term inflation (Fisher switch and the implied-return block)</t>
  </si>
  <si>
    <t>Target!B63 (4.0%).</t>
  </si>
  <si>
    <t>Working capital, % of sales</t>
  </si>
  <si>
    <t>Target row 43: NWC = -4% of sales.</t>
  </si>
  <si>
    <t>Net debt / EBITDA of two years before (net debt switch)</t>
  </si>
  <si>
    <t>Target rows 70-71 (EV/EBITDA method): net debt = 1.6x the EBITDA of two years before the value date.</t>
  </si>
  <si>
    <t>3. Scenarios (fair value at the end of 2027)</t>
  </si>
  <si>
    <t>Lever</t>
  </si>
  <si>
    <t>Bear</t>
  </si>
  <si>
    <t>Base</t>
  </si>
  <si>
    <t>Bull</t>
  </si>
  <si>
    <t>As the house (Target rows 131-151): bear 8.5%, base = the market rate, bull 6.0%.</t>
  </si>
  <si>
    <t>ERP</t>
  </si>
  <si>
    <t>Target!B57 (6.0%), the same in every scenario.</t>
  </si>
  <si>
    <t>Discount rate (house: real rate + ERP)</t>
  </si>
  <si>
    <t>Target!B55 = BZRFB5PY + ERP. With the inflation switch on: (1 + real rate + ERP) x (1 + inflation) - 1.</t>
  </si>
  <si>
    <t>4. Corrections to the house mechanics (0 = as the house, 1 = corrected)</t>
  </si>
  <si>
    <t>Switch</t>
  </si>
  <si>
    <t>What it changes</t>
  </si>
  <si>
    <t>Working capital: 0 = level (house), 1 = change</t>
  </si>
  <si>
    <t>House row 44 adds the whole NWC level (-4% of sales) every year; the cash flow is the change in NWC.</t>
  </si>
  <si>
    <t>Net debt: 0 = not subtracted (house), 1 = subtracted</t>
  </si>
  <si>
    <t>FCFF values the firm; equity = firm value - net debt (1.6x EBITDA two years before, as the house's EV/EBITDA method).</t>
  </si>
  <si>
    <t>Terminal value: 0 = one period after the last flow (house), 1 = with the last flow</t>
  </si>
  <si>
    <t>NPV(rate, flows, TV) puts the TV one year after the last explicit year; it is a value at the end of that year.</t>
  </si>
  <si>
    <t>Inflation in the rate: 0 = real rate + ERP (house), 1 = Fisher</t>
  </si>
  <si>
    <t>The flows are nominal (sales grow with nominal GDP); real rate + ERP is a real rate.</t>
  </si>
  <si>
    <t>5. Projection rules (pink cells in the DCF sheet, 2028-2031 columns)</t>
  </si>
  <si>
    <t>Real GDP and inflation 2028-2031: 2.0% and 4.0% (house); sales grow with nominal GDP x ratio (1.0).</t>
  </si>
  <si>
    <t>EBITDA margin 2029-2031: 30% (house). EBIT margin, interest and gross margin: held at the 2028 level (house: same % as the year before).</t>
  </si>
  <si>
    <t>Capex % of sales: 11% in 2028-2029, 9% from 2030 (house); 2031, the year added here, keeps 2030's 9%.</t>
  </si>
  <si>
    <t>Consensus: sales and capex to 2027, EBIT, EBITDA and EPS to 2028 (IBOV Index, as in the house file).</t>
  </si>
  <si>
    <t>6. By box</t>
  </si>
  <si>
    <t>Setting</t>
  </si>
  <si>
    <t>What it does</t>
  </si>
  <si>
    <t>Scale the boxes to the house's Ibovespa value: 1 = yes, 0 = no</t>
  </si>
  <si>
    <t>1: each box x (house Ibovespa value / sum of the boxes), so the boxes add up to the house number. 0: each box with its own value.</t>
  </si>
  <si>
    <t>Financials ROE for the FCFE (blank = consensus FY28, Box Shares)</t>
  </si>
  <si>
    <t>FCFE = net income x (1 - g / ROE): the earnings left after keeping the bank's equity growing at g.</t>
  </si>
  <si>
    <t>Index points of the members: Ibovespa on Oct-5-2026 (Assumptions D7) x price-drifted Sep-30 weights.</t>
  </si>
  <si>
    <t>Box discount rates: 0 = house rate, 1 = relative to history, 2 = CAPM (box beta)</t>
  </si>
  <si>
    <t>0: every box at the house rate. 1: box rate - g = (house rate - g) x the box's 10y cash yield relative to the Ibovespa (Box Rates), as the multiples. 2: CAPM, real rate + box beta x ERP (Box Betas).</t>
  </si>
  <si>
    <t>Lowest risk premium of a box (box rate &gt;= real rate + this)</t>
  </si>
  <si>
    <t>Keeps a box's risk premium from going below this; at 0% it binds only for Cyclicals in the bear.</t>
  </si>
  <si>
    <t>CAPM beta window (years of weekly returns: 2, 5 or 10)</t>
  </si>
  <si>
    <t>Weekly total returns of the box indices up to Sep-25-2026 (Box Betas).</t>
  </si>
  <si>
    <t>CAPM beta: 1 = raw, 2 = Blume adjusted (0.67 x raw + 0.33)</t>
  </si>
  <si>
    <t>The adjustment pulls the betas toward 1 (Bloomberg's default adjusted beta).</t>
  </si>
  <si>
    <t>Ibovespa - DCF (house model rolled to end-2027)</t>
  </si>
  <si>
    <t>Replica of Target rows 17-65 of DCF Ibov 2026_Out.xlsx, in Ibovespa points, extended to 2031. Blue = house file input; pink = projection rule.</t>
  </si>
  <si>
    <t>Projections (index points)</t>
  </si>
  <si>
    <t>2015</t>
  </si>
  <si>
    <t>2016</t>
  </si>
  <si>
    <t>2017</t>
  </si>
  <si>
    <t>2018</t>
  </si>
  <si>
    <t>2019</t>
  </si>
  <si>
    <t>2020</t>
  </si>
  <si>
    <t>2021</t>
  </si>
  <si>
    <t>2022</t>
  </si>
  <si>
    <t>2023</t>
  </si>
  <si>
    <t>2024</t>
  </si>
  <si>
    <t>2025</t>
  </si>
  <si>
    <t>2026</t>
  </si>
  <si>
    <t>2027</t>
  </si>
  <si>
    <t>2028</t>
  </si>
  <si>
    <t>2029</t>
  </si>
  <si>
    <t>2030</t>
  </si>
  <si>
    <t>2031</t>
  </si>
  <si>
    <t>How it is calculated (house Target row)</t>
  </si>
  <si>
    <t>Actual</t>
  </si>
  <si>
    <t>Consensus</t>
  </si>
  <si>
    <t>Projection</t>
  </si>
  <si>
    <t>Real GDP</t>
  </si>
  <si>
    <t>Inflation</t>
  </si>
  <si>
    <t>Nominal GDP</t>
  </si>
  <si>
    <t>(1 + real GDP) x (1 + inflation) - 1 (row 20).</t>
  </si>
  <si>
    <t>Sales growth</t>
  </si>
  <si>
    <t>Actual/consensus: sales / previous - 1. Projection: nominal GDP x ratio (row 21).</t>
  </si>
  <si>
    <t>Ratio (sales growth / nominal GDP)</t>
  </si>
  <si>
    <t>Sales</t>
  </si>
  <si>
    <t>To 2027: house file (consensus 2026-27). 2028+: previous x (1 + growth) (row 25).</t>
  </si>
  <si>
    <t>COGS</t>
  </si>
  <si>
    <t>Sales x (gross margin - 1) (row 26).</t>
  </si>
  <si>
    <t>Gross margin %</t>
  </si>
  <si>
    <t>To 2028: house file. 2029+: previous year (row 27).</t>
  </si>
  <si>
    <t>Gross profit</t>
  </si>
  <si>
    <t>SG&amp;A</t>
  </si>
  <si>
    <t>To 2028: EBIT - gross profit. 2029+: sales x SG&amp;A % (row 29).</t>
  </si>
  <si>
    <t>SG&amp;A % of sales</t>
  </si>
  <si>
    <t>2029+: previous year's % (row 30).</t>
  </si>
  <si>
    <t>EBIT</t>
  </si>
  <si>
    <t>To 2028: house file (consensus). 2029+: gross profit + SG&amp;A (row 31).</t>
  </si>
  <si>
    <t>EBIT margin %</t>
  </si>
  <si>
    <t>EBITDA</t>
  </si>
  <si>
    <t>To 2028: house file (consensus). 2029+: sales x EBITDA margin (row 33).</t>
  </si>
  <si>
    <t>EBITDA margin %</t>
  </si>
  <si>
    <t>2029+: 30% (house, row 34).</t>
  </si>
  <si>
    <t>D&amp;A</t>
  </si>
  <si>
    <t>EBITDA - EBIT (row 35).</t>
  </si>
  <si>
    <t>D&amp;A % of sales</t>
  </si>
  <si>
    <t>Tax rate</t>
  </si>
  <si>
    <t>-25% to 2023, -24% from 2024 (row 37).</t>
  </si>
  <si>
    <t>NOPAT</t>
  </si>
  <si>
    <t>EBIT x (1 + tax rate) (row 38).</t>
  </si>
  <si>
    <t>Net interest expense</t>
  </si>
  <si>
    <t>To 2028: net income - NOPAT. 2029+: sales x interest % (row 39).</t>
  </si>
  <si>
    <t>Interest % of sales</t>
  </si>
  <si>
    <t>2029+: previous year's % (row 40).</t>
  </si>
  <si>
    <t>Net income (EPS, index pts)</t>
  </si>
  <si>
    <t>To 2028: house file (consensus EPS). 2029+: NOPAT + net interest (row 41).</t>
  </si>
  <si>
    <t>Net margin %</t>
  </si>
  <si>
    <t>Working capital (NWC)</t>
  </si>
  <si>
    <t>-NWC % x sales (Assumptions; row 43).</t>
  </si>
  <si>
    <t>Change in NWC</t>
  </si>
  <si>
    <t>Capex</t>
  </si>
  <si>
    <t>To 2027: house file. 2028+: sales x capex % (row 46).</t>
  </si>
  <si>
    <t>Capex % of sales</t>
  </si>
  <si>
    <t>2028-29: -11%; 2030: -9% (house); 2031: as 2030 (row 47).</t>
  </si>
  <si>
    <t>FCFF, house = D&amp;A + NOPAT + capex + NWC (level)</t>
  </si>
  <si>
    <t>D&amp;A + NOPAT + capex + NWC level (row 44): what the house discounts.</t>
  </si>
  <si>
    <t>FCFF with the change in NWC</t>
  </si>
  <si>
    <t>D&amp;A + NOPAT + capex + change in NWC.</t>
  </si>
  <si>
    <t>FCFF used in the valuation (switch FixNWC)</t>
  </si>
  <si>
    <t>FixNWC = 0: the house row; 1: the corrected row.</t>
  </si>
  <si>
    <t>memo: FCFF = EBITDA x (1 - tax) + capex</t>
  </si>
  <si>
    <t>To 2025: house file. 2026+: EBITDA x (1 + tax) + capex (row 49).</t>
  </si>
  <si>
    <t>memo: Ibovespa (average to 2020, then the price used)</t>
  </si>
  <si>
    <t>Row 50: average to 2020 (house file), then the Ibovespa price used.</t>
  </si>
  <si>
    <t>memo: FCF yield</t>
  </si>
  <si>
    <t>Simple FCFF / Ibovespa (row 51).</t>
  </si>
  <si>
    <t>Valuation: fair value at the end of the year (house Target rows 53-59)</t>
  </si>
  <si>
    <t>Base 2026</t>
  </si>
  <si>
    <t>How it is calculated</t>
  </si>
  <si>
    <t>Value date (end of year)</t>
  </si>
  <si>
    <t>Explicit FCFF years</t>
  </si>
  <si>
    <t>Discount rate (house 'WACC')</t>
  </si>
  <si>
    <t>Real rate + ERP (Target!B55); Fisher with FixInfl = 1.</t>
  </si>
  <si>
    <t>Long-term growth (g)</t>
  </si>
  <si>
    <t>FCFF of the last explicit year</t>
  </si>
  <si>
    <t>Terminal value = last FCFF x (1 + g) / (rate - g)</t>
  </si>
  <si>
    <t>Target!R44.</t>
  </si>
  <si>
    <t>Periods the terminal value is discounted</t>
  </si>
  <si>
    <t>4 explicit years + 1 (house NPV puts the TV one period later); 4 with FixTV = 1.</t>
  </si>
  <si>
    <t>Present value of the explicit FCFF</t>
  </si>
  <si>
    <t>Excel NPV of the explicit FCFF (Target row 59).</t>
  </si>
  <si>
    <t>Present value of the terminal value</t>
  </si>
  <si>
    <t>Value of the cash flows</t>
  </si>
  <si>
    <t>Net debt subtracted (switch FixND)</t>
  </si>
  <si>
    <t>1.6x the EBITDA two years before the value date (Target rows 70-71), only with FixND = 1.</t>
  </si>
  <si>
    <t>Fair value (index pts)</t>
  </si>
  <si>
    <t>Value of the cash flows - net debt subtracted.</t>
  </si>
  <si>
    <t>Ibovespa used</t>
  </si>
  <si>
    <t>Upside</t>
  </si>
  <si>
    <t>Terminal value / value of the cash flows</t>
  </si>
  <si>
    <t>Implied P/E on next year's EPS</t>
  </si>
  <si>
    <t>Fair value / net income of the year after the value date.</t>
  </si>
  <si>
    <t>2028-2031</t>
  </si>
  <si>
    <t>2027-2030</t>
  </si>
  <si>
    <t>Implied return at the Ibovespa price used (house Target rows 61-65, rolled one year)</t>
  </si>
  <si>
    <t>Today</t>
  </si>
  <si>
    <t>Terminal</t>
  </si>
  <si>
    <t>Cash flows</t>
  </si>
  <si>
    <t>IRR</t>
  </si>
  <si>
    <t>Real IRR = IRR - inflation</t>
  </si>
  <si>
    <t>Implied ERP = real IRR - 5-year real rate (base)</t>
  </si>
  <si>
    <t>As the house: price today, three yearly FCFF and the base terminal value as the fourth flow. An indicator, not a full DCF return.</t>
  </si>
  <si>
    <t>Ibovespa - Sensitivity: real rate and ERP</t>
  </si>
  <si>
    <t>The house's real-rate table (tie-out) and a real rate x ERP grid for the end-2027 fair value with the current settings.</t>
  </si>
  <si>
    <t>House table: 5-year real rate vs DCF value (Target rows 120-129)</t>
  </si>
  <si>
    <t>5-year real rate</t>
  </si>
  <si>
    <t>House file, end-2026</t>
  </si>
  <si>
    <t>Replica, end-2026 (house settings)</t>
  </si>
  <si>
    <t>Difference</t>
  </si>
  <si>
    <t>End-2027, current settings</t>
  </si>
  <si>
    <t>House settings: ERP 6.0%, g 4.7%, no corrections, house FCFF. The house table is an Excel data table on Target!C56.</t>
  </si>
  <si>
    <t>End-2027 fair value (index pts), current settings</t>
  </si>
  <si>
    <t>Real rate \ ERP</t>
  </si>
  <si>
    <t>Upside vs the Ibovespa used</t>
  </si>
  <si>
    <t>Framed cell = base real rate and base ERP. The grid uses the switches in Assumptions section 4.</t>
  </si>
  <si>
    <t>Ibovespa - Members: consensus lines by stock</t>
  </si>
  <si>
    <t>Bloomberg BEST consensus, company totals in BRL mn (Oct-7-2026), and market cap; in index points = points x line / market cap.</t>
  </si>
  <si>
    <t>Identification</t>
  </si>
  <si>
    <t>Weight, index points, market cap</t>
  </si>
  <si>
    <t>Consensus, BRL mn (Bloomberg BEST, EQY_FUND_CRNCY = BRL)</t>
  </si>
  <si>
    <t>In index points = points x line / market cap</t>
  </si>
  <si>
    <t>Financials ROE</t>
  </si>
  <si>
    <t>Ticker</t>
  </si>
  <si>
    <t>Company</t>
  </si>
  <si>
    <t>Box</t>
  </si>
  <si>
    <t>Sub-box</t>
  </si>
  <si>
    <t>Ibovespa weight Sep-30</t>
  </si>
  <si>
    <t>Price Sep-30 (R$)</t>
  </si>
  <si>
    <t>Price Oct-5 (R$)</t>
  </si>
  <si>
    <t>Price-drifted weight (unscaled)</t>
  </si>
  <si>
    <t>Weight Oct-5</t>
  </si>
  <si>
    <t>Index points</t>
  </si>
  <si>
    <t>Market cap (BRL mn)</t>
  </si>
  <si>
    <t>Sales FY26 (BRL mn)</t>
  </si>
  <si>
    <t>Sales FY26 (index pts)</t>
  </si>
  <si>
    <t>Sales FY27 (BRL mn)</t>
  </si>
  <si>
    <t>Sales FY27 (index pts)</t>
  </si>
  <si>
    <t>Sales FY28 (BRL mn)</t>
  </si>
  <si>
    <t>Sales FY28 (index pts)</t>
  </si>
  <si>
    <t>EBIT FY26 (BRL mn)</t>
  </si>
  <si>
    <t>EBIT FY26 (index pts)</t>
  </si>
  <si>
    <t>EBIT FY27 (BRL mn)</t>
  </si>
  <si>
    <t>EBIT FY27 (index pts)</t>
  </si>
  <si>
    <t>EBIT FY28 (BRL mn)</t>
  </si>
  <si>
    <t>EBIT FY28 (index pts)</t>
  </si>
  <si>
    <t>EBITDA FY26 (BRL mn)</t>
  </si>
  <si>
    <t>EBITDA FY26 (index pts)</t>
  </si>
  <si>
    <t>EBITDA FY27 (BRL mn)</t>
  </si>
  <si>
    <t>EBITDA FY27 (index pts)</t>
  </si>
  <si>
    <t>EBITDA FY28 (BRL mn)</t>
  </si>
  <si>
    <t>EBITDA FY28 (index pts)</t>
  </si>
  <si>
    <t>Net income FY26 (BRL mn)</t>
  </si>
  <si>
    <t>Net income FY26 (index pts)</t>
  </si>
  <si>
    <t>Net income FY27 (BRL mn)</t>
  </si>
  <si>
    <t>Net income FY27 (index pts)</t>
  </si>
  <si>
    <t>Net income FY28 (BRL mn)</t>
  </si>
  <si>
    <t>Net income FY28 (index pts)</t>
  </si>
  <si>
    <t>Capex FY26 (BRL mn)</t>
  </si>
  <si>
    <t>Capex FY26 (index pts)</t>
  </si>
  <si>
    <t>Capex FY27 (BRL mn)</t>
  </si>
  <si>
    <t>Capex FY27 (index pts)</t>
  </si>
  <si>
    <t>Capex FY28 (BRL mn)</t>
  </si>
  <si>
    <t>Capex FY28 (index pts)</t>
  </si>
  <si>
    <t>ROE FY28</t>
  </si>
  <si>
    <t>Net income FY28 with ROE (pts)</t>
  </si>
  <si>
    <t>Book value FY28 (pts)</t>
  </si>
  <si>
    <t>Missing lines</t>
  </si>
  <si>
    <t>ITUB4</t>
  </si>
  <si>
    <t>Itaú Unibanco</t>
  </si>
  <si>
    <t>Financials</t>
  </si>
  <si>
    <t>ebitda26, capex26, capex27, capex28</t>
  </si>
  <si>
    <t>BBDC4</t>
  </si>
  <si>
    <t>Bradesco</t>
  </si>
  <si>
    <t>ebitda26, ebitda27, ebitda28, capex26, capex27, capex28</t>
  </si>
  <si>
    <t>B3SA3</t>
  </si>
  <si>
    <t>B3</t>
  </si>
  <si>
    <t>ITSA4</t>
  </si>
  <si>
    <t>Itausa</t>
  </si>
  <si>
    <t>BPAC11</t>
  </si>
  <si>
    <t>BTG Pactual</t>
  </si>
  <si>
    <t>capex26, capex27, capex28</t>
  </si>
  <si>
    <t>BBAS3</t>
  </si>
  <si>
    <t>Banco do Brasil</t>
  </si>
  <si>
    <t>ebit26, ebit27, ebit28, ebitda26, ebitda27, ebitda28, capex26, capex27, capex28</t>
  </si>
  <si>
    <t>BBSE3</t>
  </si>
  <si>
    <t>BBSeguridade</t>
  </si>
  <si>
    <t>BBDC3</t>
  </si>
  <si>
    <t>CXSE3</t>
  </si>
  <si>
    <t>Caixa Seguridade</t>
  </si>
  <si>
    <t>SANB11</t>
  </si>
  <si>
    <t>Santander</t>
  </si>
  <si>
    <t>ebitda26, ebitda27, capex26, capex27, capex28</t>
  </si>
  <si>
    <t>PSSA3</t>
  </si>
  <si>
    <t>Porto Seguro</t>
  </si>
  <si>
    <t>ebitda26, ebitda27, ebitda28</t>
  </si>
  <si>
    <t>AXIA3</t>
  </si>
  <si>
    <t>Axia Energia</t>
  </si>
  <si>
    <t>Defensives</t>
  </si>
  <si>
    <t>SBSP3</t>
  </si>
  <si>
    <t>Sabesp</t>
  </si>
  <si>
    <t>ABEV3</t>
  </si>
  <si>
    <t>Ambev</t>
  </si>
  <si>
    <t>ENEV3</t>
  </si>
  <si>
    <t>Eneva</t>
  </si>
  <si>
    <t>EQTL3</t>
  </si>
  <si>
    <t>Equatorial Energia</t>
  </si>
  <si>
    <t>CPLE3</t>
  </si>
  <si>
    <t>Copel</t>
  </si>
  <si>
    <t>RDOR3</t>
  </si>
  <si>
    <t>Rede D'Or</t>
  </si>
  <si>
    <t>RADL3</t>
  </si>
  <si>
    <t>Raia Drogasil</t>
  </si>
  <si>
    <t>CSMG3</t>
  </si>
  <si>
    <t>Copasa</t>
  </si>
  <si>
    <t>VIVT3</t>
  </si>
  <si>
    <t>Telefônica Brasil</t>
  </si>
  <si>
    <t>CMIG4</t>
  </si>
  <si>
    <t>Cemig</t>
  </si>
  <si>
    <t>ENGI11</t>
  </si>
  <si>
    <t>Energisa</t>
  </si>
  <si>
    <t>ASAI3</t>
  </si>
  <si>
    <t>Assai</t>
  </si>
  <si>
    <t>TIMS3</t>
  </si>
  <si>
    <t>Tim</t>
  </si>
  <si>
    <t>EGIE3</t>
  </si>
  <si>
    <t>Engie Brasil</t>
  </si>
  <si>
    <t>ISAE4</t>
  </si>
  <si>
    <t>ISA Energia</t>
  </si>
  <si>
    <t>MBRF3</t>
  </si>
  <si>
    <t>MBRF</t>
  </si>
  <si>
    <t>FLRY3</t>
  </si>
  <si>
    <t>Fleury</t>
  </si>
  <si>
    <t>TAEE11</t>
  </si>
  <si>
    <t>Taesa</t>
  </si>
  <si>
    <t>CPFE3</t>
  </si>
  <si>
    <t>CPFL Energia</t>
  </si>
  <si>
    <t>HYPE3</t>
  </si>
  <si>
    <t>Hypera</t>
  </si>
  <si>
    <t>NATU3</t>
  </si>
  <si>
    <t>Natura</t>
  </si>
  <si>
    <t>AURE3</t>
  </si>
  <si>
    <t>Auren</t>
  </si>
  <si>
    <t>HAPV3</t>
  </si>
  <si>
    <t>Hapvida</t>
  </si>
  <si>
    <t>BEEF3</t>
  </si>
  <si>
    <t>Minerva</t>
  </si>
  <si>
    <t>RENT3</t>
  </si>
  <si>
    <t>Localiza</t>
  </si>
  <si>
    <t>Cyclicals</t>
  </si>
  <si>
    <t>Cyclicals ex-WEG &amp; Embraer</t>
  </si>
  <si>
    <t>RAIL3</t>
  </si>
  <si>
    <t>Rumo</t>
  </si>
  <si>
    <t>TOTS3</t>
  </si>
  <si>
    <t>TOTVS</t>
  </si>
  <si>
    <t>MOTV3</t>
  </si>
  <si>
    <t>Motiva</t>
  </si>
  <si>
    <t>ALOS3</t>
  </si>
  <si>
    <t>Allos</t>
  </si>
  <si>
    <t>LREN3</t>
  </si>
  <si>
    <t>Lojas Renner</t>
  </si>
  <si>
    <t>MULT3</t>
  </si>
  <si>
    <t>Multiplan</t>
  </si>
  <si>
    <t>SMFT3</t>
  </si>
  <si>
    <t>Smart Fit</t>
  </si>
  <si>
    <t>CYRE3</t>
  </si>
  <si>
    <t>Cyrela</t>
  </si>
  <si>
    <t>IGTI11</t>
  </si>
  <si>
    <t>Iguatemi</t>
  </si>
  <si>
    <t>COGN3</t>
  </si>
  <si>
    <t>Cogna</t>
  </si>
  <si>
    <t>CURY3</t>
  </si>
  <si>
    <t>Cury</t>
  </si>
  <si>
    <t>DIRR3</t>
  </si>
  <si>
    <t>Direcional</t>
  </si>
  <si>
    <t>TEND3</t>
  </si>
  <si>
    <t>Tenda</t>
  </si>
  <si>
    <t>POMO4</t>
  </si>
  <si>
    <t>Marcopolo</t>
  </si>
  <si>
    <t>VIVA3</t>
  </si>
  <si>
    <t>Vivara</t>
  </si>
  <si>
    <t>MGLU3</t>
  </si>
  <si>
    <t>Magazine Luiza</t>
  </si>
  <si>
    <t>YDUQ3</t>
  </si>
  <si>
    <t>YDUQS</t>
  </si>
  <si>
    <t>AZZA3</t>
  </si>
  <si>
    <t>Azzas 2154</t>
  </si>
  <si>
    <t>VAMO3</t>
  </si>
  <si>
    <t>Vamos</t>
  </si>
  <si>
    <t>CEAB3</t>
  </si>
  <si>
    <t>C&amp;A Modas</t>
  </si>
  <si>
    <t>MRVE3</t>
  </si>
  <si>
    <t>MRV</t>
  </si>
  <si>
    <t>WEGE3</t>
  </si>
  <si>
    <t>Weg</t>
  </si>
  <si>
    <t>WEG &amp; Embraer</t>
  </si>
  <si>
    <t>EMBJ3</t>
  </si>
  <si>
    <t>Embraer</t>
  </si>
  <si>
    <t>VALE3</t>
  </si>
  <si>
    <t>Vale</t>
  </si>
  <si>
    <t>Commodities</t>
  </si>
  <si>
    <t>PETR4</t>
  </si>
  <si>
    <t>Petrobras</t>
  </si>
  <si>
    <t>PETR3</t>
  </si>
  <si>
    <t>PRIO3</t>
  </si>
  <si>
    <t>PRIO</t>
  </si>
  <si>
    <t>VBBR3</t>
  </si>
  <si>
    <t>Vibra Energia</t>
  </si>
  <si>
    <t>UGPA3</t>
  </si>
  <si>
    <t>Ultrapar</t>
  </si>
  <si>
    <t>GGBR4</t>
  </si>
  <si>
    <t>Gerdau</t>
  </si>
  <si>
    <t>SUZB3</t>
  </si>
  <si>
    <t>Suzano</t>
  </si>
  <si>
    <t>KLBN11</t>
  </si>
  <si>
    <t>Klabin</t>
  </si>
  <si>
    <t>GOAU4</t>
  </si>
  <si>
    <t>Met. Gerdau</t>
  </si>
  <si>
    <t>sales28, ebitda28, ni28, capex26, capex27, capex28</t>
  </si>
  <si>
    <t>CSAN3</t>
  </si>
  <si>
    <t>Cosan</t>
  </si>
  <si>
    <t>CMIN3</t>
  </si>
  <si>
    <t>CSN Mineração</t>
  </si>
  <si>
    <t>BRAP4</t>
  </si>
  <si>
    <t>Bradespar</t>
  </si>
  <si>
    <t>BRAV3</t>
  </si>
  <si>
    <t>Brava Energia</t>
  </si>
  <si>
    <t>CSNA3</t>
  </si>
  <si>
    <t>CSN</t>
  </si>
  <si>
    <t>USIM5</t>
  </si>
  <si>
    <t>Usiminas</t>
  </si>
  <si>
    <t>Total</t>
  </si>
  <si>
    <t>Index points of a line = index points x line / market cap: the stock's share of the line, in points. Company totals and market cap in BRL, so the currency of reporting does not matter; both share classes of a company use the company's market cap.</t>
  </si>
  <si>
    <t>Banks have no EBITDA and no capex in Bloomberg; the IBOV Index line scales the members with data up to the whole index, so part of the index EBITDA and capex is imputed to the banks (Box Shares section 3).</t>
  </si>
  <si>
    <t>Ibovespa - Box shares of the house lines</t>
  </si>
  <si>
    <t>Members' consensus by box (index pts) as a share of the IBOV Index line (Bloomberg, Oct-7-2026); Financials = the rest. Net income: share of the members' total.</t>
  </si>
  <si>
    <t>1. Members' consensus by box (index pts, Members sheet)</t>
  </si>
  <si>
    <t>Group</t>
  </si>
  <si>
    <t>Sales 2026</t>
  </si>
  <si>
    <t>Sales 2027</t>
  </si>
  <si>
    <t>Sales 2028</t>
  </si>
  <si>
    <t>EBIT 2026</t>
  </si>
  <si>
    <t>EBIT 2027</t>
  </si>
  <si>
    <t>EBIT 2028</t>
  </si>
  <si>
    <t>EBITDA 2026</t>
  </si>
  <si>
    <t>EBITDA 2027</t>
  </si>
  <si>
    <t>EBITDA 2028</t>
  </si>
  <si>
    <t>Net income 2026</t>
  </si>
  <si>
    <t>Net income 2027</t>
  </si>
  <si>
    <t>Net income 2028</t>
  </si>
  <si>
    <t>Capex 2026</t>
  </si>
  <si>
    <t>Capex 2027</t>
  </si>
  <si>
    <t>Capex 2028</t>
  </si>
  <si>
    <t>Sum of the members</t>
  </si>
  <si>
    <t>IBOV Index line (Bloomberg BEST, Oct-7)</t>
  </si>
  <si>
    <t>n/a</t>
  </si>
  <si>
    <t xml:space="preserve">   Cyclicals ex-WEG &amp; Embraer</t>
  </si>
  <si>
    <t xml:space="preserve">   WEG &amp; Embraer</t>
  </si>
  <si>
    <t>Memo (inside Cyclicals)</t>
  </si>
  <si>
    <t>2. Shares used to split the house lines (DCF by Box)</t>
  </si>
  <si>
    <t>Non-financial boxes: members' line / IBOV Index line. Financials: 1 - the other three (net income: members' share of the members' total).</t>
  </si>
  <si>
    <t>3. Financials: reported by the members vs. taken by Financials from the index line (index pts)</t>
  </si>
  <si>
    <t>Financials, members' reported consensus</t>
  </si>
  <si>
    <t>Financials share x IBOV Index line</t>
  </si>
  <si>
    <t>Imputed by the index (banks' EBITDA and capex) + index gap</t>
  </si>
  <si>
    <t>4. Financials ROE for the FCFE (FY28 consensus)</t>
  </si>
  <si>
    <t>Net income FY28 of the Financials with an ROE (index pts)</t>
  </si>
  <si>
    <t>Book value FY28 = net income / ROE (index pts)</t>
  </si>
  <si>
    <t>ROE FY28, consensus = net income / book value</t>
  </si>
  <si>
    <t>ROE used (Assumptions override if typed)</t>
  </si>
  <si>
    <t>Ibovespa - DCF by box (house mechanics, end-2027)</t>
  </si>
  <si>
    <t>Each box gets its share of every house line (Box Shares). FCFF as the house for Defensives, Cyclicals and Commodities; FCFE for Financials. Rates and switches: Assumptions.</t>
  </si>
  <si>
    <t>Ibovespa = sum of the four boxes (end-2027)</t>
  </si>
  <si>
    <t>Sum of the box values, own mechanics and box rates (Financials by FCFE)</t>
  </si>
  <si>
    <t>House DCF fair value for the Ibovespa (DCF sheet)</t>
  </si>
  <si>
    <t>Scale factor = house value / sum of the boxes</t>
  </si>
  <si>
    <t>Factor applied (ScaleBox in Assumptions)</t>
  </si>
  <si>
    <t>Sum of the box fair values</t>
  </si>
  <si>
    <t>Memo: sum of the FCFF pieces at the house rate (house mechanics) = house value</t>
  </si>
  <si>
    <t>Memo: sum of the box values at the house rate (Financials by FCFE)</t>
  </si>
  <si>
    <t>Memo: scale factor at the house rate</t>
  </si>
  <si>
    <t>Defensives + Cyclicals + Commodities (FCFF) + Financials (FCFE), each at its box rate (Box Rates).</t>
  </si>
  <si>
    <t>Close to 1: the boxes' own values add up to about the house number.</t>
  </si>
  <si>
    <t>The split itself is exact: with every box on the house mechanics and the house rate, the boxes add up to the house value.</t>
  </si>
  <si>
    <t>The boxes as in the house (one rate), for comparison.</t>
  </si>
  <si>
    <t>Financials (FCFE)</t>
  </si>
  <si>
    <t>Share of sales</t>
  </si>
  <si>
    <t>Box Shares: 2026-27 consensus; 2028+ as 2027 (the house projects sales from 2027).</t>
  </si>
  <si>
    <t>House sales (DCF sheet) x share.</t>
  </si>
  <si>
    <t>Share of EBIT</t>
  </si>
  <si>
    <t>Box Shares: 2026-28 consensus; 2029+ as 2028.</t>
  </si>
  <si>
    <t>Share of EBITDA</t>
  </si>
  <si>
    <t>Box Shares: 2026-28; 2029+ as 2028. Financials includes the EBITDA the index imputes to banks.</t>
  </si>
  <si>
    <t>Share of capex</t>
  </si>
  <si>
    <t>Box Shares: 2026-27; 2028+ as 2027.</t>
  </si>
  <si>
    <t>Share of net income</t>
  </si>
  <si>
    <t>Box Shares: 2026-28; 2029+ as 2028.</t>
  </si>
  <si>
    <t>Net income</t>
  </si>
  <si>
    <t>D&amp;A = EBITDA - EBIT</t>
  </si>
  <si>
    <t>Tax rate (house)</t>
  </si>
  <si>
    <t>DCF sheet (house, -24%).</t>
  </si>
  <si>
    <t>NOPAT = EBIT x (1 + tax rate)</t>
  </si>
  <si>
    <t>Working capital (NWC) = -NWC % x sales</t>
  </si>
  <si>
    <t>FCFF used (switch FixNWC)</t>
  </si>
  <si>
    <t>FixNWC = 0: house row; 1: corrected row. Sum of the boxes = house FCFF (Checks).</t>
  </si>
  <si>
    <t>ROE (Financials, Box Shares section 4)</t>
  </si>
  <si>
    <t>FCFE = net income x (1 - g / ROE)</t>
  </si>
  <si>
    <t>Financials only: the value used for the box (same rate and g as the house).</t>
  </si>
  <si>
    <t>Valuation at the end of 2027</t>
  </si>
  <si>
    <t>Discount rate of the box (Box Rates)</t>
  </si>
  <si>
    <t>BoxRate 0: the house rate; 1: g + (house rate - g) x the box's relative cash yield, at least real rate + floor; 2: CAPM, real rate + beta x ERP.</t>
  </si>
  <si>
    <t>FCFF 2031</t>
  </si>
  <si>
    <t>Terminal value = FCFF 2031 x (1 + g) / (rate - g)</t>
  </si>
  <si>
    <t>Periods the TV is discounted</t>
  </si>
  <si>
    <t>Present value of FCFF 2028-2031</t>
  </si>
  <si>
    <t>Value of the FCFF</t>
  </si>
  <si>
    <t>1.6x the house EBITDA of 2025 x the box's 2026 EBITDA share, only with FixND = 1.</t>
  </si>
  <si>
    <t>Value by the house mechanics (FCFF)</t>
  </si>
  <si>
    <t>Financials: shown for the reconciliation with the house value; not used.</t>
  </si>
  <si>
    <t>FCFE 2031</t>
  </si>
  <si>
    <t>Terminal value = FCFE 2031 x (1 + g) / (rate - g)</t>
  </si>
  <si>
    <t>Present value of FCFE 2028-2031</t>
  </si>
  <si>
    <t>Present value of the FCFE terminal value</t>
  </si>
  <si>
    <t>Value by FCFE</t>
  </si>
  <si>
    <t>Box value, own mechanics</t>
  </si>
  <si>
    <t>FCFF value (Financials: FCFE value).</t>
  </si>
  <si>
    <t>Index points today</t>
  </si>
  <si>
    <t>Upside, own value</t>
  </si>
  <si>
    <t>Fair value at the end of 2027 (scaled)</t>
  </si>
  <si>
    <t>Own value x factor applied (top of the sheet).</t>
  </si>
  <si>
    <t>Memo: house discount rate (DCF sheet)</t>
  </si>
  <si>
    <t>Memo: value of the FCFF at the house rate (house mechanics)</t>
  </si>
  <si>
    <t>Same FCFF at the house rate: the four boxes add up to the house value exactly (Checks).</t>
  </si>
  <si>
    <t>Memo: box value at the house rate (Financials by FCFE)</t>
  </si>
  <si>
    <t>The box as in the house (one rate); Summary compares it with the box-rate value.</t>
  </si>
  <si>
    <t>Defensives (house FCFF)</t>
  </si>
  <si>
    <t>Cyclicals (house FCFF)</t>
  </si>
  <si>
    <t>Commodities (house FCFF)</t>
  </si>
  <si>
    <t>Cyclicals ex-WEG &amp; Embraer (memo, inside Cyclicals; not added to the Ibovespa)</t>
  </si>
  <si>
    <t>WEG &amp; Embraer (memo, inside Cyclicals; not added to the Ibovespa)</t>
  </si>
  <si>
    <t>Ibovespa - Box discount rates: house, relative to history or CAPM</t>
  </si>
  <si>
    <t>Box rate - g = (house rate - g) x relative cash yield; relative cash yield = (10y average earnings yield x cash conversion) / the same for the Ibovespa.</t>
  </si>
  <si>
    <t>1. Historical cash yield relative to the Ibovespa (12m fwd, Oct-16..Sep-26)</t>
  </si>
  <si>
    <t>Cash conversion 2031 (FCFF or FCFE / net income)</t>
  </si>
  <si>
    <t>Average earnings yield (section 3)</t>
  </si>
  <si>
    <t>Average P/E = 1 / yield</t>
  </si>
  <si>
    <t>Cash yield = conversion x earnings yield</t>
  </si>
  <si>
    <t>Relative to the Ibovespa</t>
  </si>
  <si>
    <t>CAPM beta used (Box Betas)</t>
  </si>
  <si>
    <t>Ibovespa</t>
  </si>
  <si>
    <t>Cash conversion: the box's FCFF (Financials: FCFE) / net income in 2031, the year the terminal value grows from (DCF by Box; Ibovespa: DCF sheet).</t>
  </si>
  <si>
    <t>2. Discount rate by box (fair value at the end of 2027)</t>
  </si>
  <si>
    <t>Risk premium: Bear</t>
  </si>
  <si>
    <t>House discount rate (DCF sheet)</t>
  </si>
  <si>
    <t>5-year real rate (DCF sheet)</t>
  </si>
  <si>
    <t>BoxRate 0: the house rate. 1: g + (house rate - g) x relative cash yield, at least real rate + floor. 2: CAPM, real rate + beta x house ERP (Fisher if FixInfl = 1). Risk premium = rate - real rate.</t>
  </si>
  <si>
    <t>3. Monthly 12m fwd earnings yield by box (1 / harmonic P/E of the month's members; Bloomberg panel of the multiples model)</t>
  </si>
  <si>
    <t>Month-end</t>
  </si>
  <si>
    <t>Ibovespa - Box betas vs the Ibovespa (CAPM)</t>
  </si>
  <si>
    <t>Beta = covariance of the box's weekly total return with the Ibovespa's / variance of the Ibovespa's, over the window in Assumptions.</t>
  </si>
  <si>
    <t>1. Beta of each box vs the Ibovespa (weekly total returns, window in Assumptions)</t>
  </si>
  <si>
    <t>Weeks in the window</t>
  </si>
  <si>
    <t>Average weekly return</t>
  </si>
  <si>
    <t>Covariance with the Ibovespa</t>
  </si>
  <si>
    <t>Variance of the Ibovespa</t>
  </si>
  <si>
    <t>Beta (raw)</t>
  </si>
  <si>
    <t>Beta (Blume adjusted)</t>
  </si>
  <si>
    <t>Beta used</t>
  </si>
  <si>
    <t>Weighted average of the four box betas (~1)</t>
  </si>
  <si>
    <t>Window: weeks after</t>
  </si>
  <si>
    <t>Source: box total-return indices (Economatica adjusted close, members at the previous month-end index weights; Oct-5 performance study, box_daily.parquet). The Ibovespa here is the sum of the four boxes.</t>
  </si>
  <si>
    <t>2. Weekly data (Friday closes): index levels (inputs) and returns (formulas)</t>
  </si>
  <si>
    <t>Week</t>
  </si>
  <si>
    <t>In window (1/0)</t>
  </si>
  <si>
    <t>Financials, level</t>
  </si>
  <si>
    <t>Financials, return</t>
  </si>
  <si>
    <t>Defensives, level</t>
  </si>
  <si>
    <t>Defensives, return</t>
  </si>
  <si>
    <t>Cyclicals, level</t>
  </si>
  <si>
    <t>Cyclicals, return</t>
  </si>
  <si>
    <t>Commodities, level</t>
  </si>
  <si>
    <t>Commodities, return</t>
  </si>
  <si>
    <t>Ibovespa, level</t>
  </si>
  <si>
    <t>Ibovespa, return</t>
  </si>
  <si>
    <t>Cyclicals ex-WEG &amp; Embraer, level</t>
  </si>
  <si>
    <t>Cyclicals ex-WEG &amp; Embraer, return</t>
  </si>
  <si>
    <t>WEG &amp; Embraer, level</t>
  </si>
  <si>
    <t>WEG &amp; Embraer, return</t>
  </si>
  <si>
    <t>Ibovespa - DCF by box (house model): fair value at the end of 2027</t>
  </si>
  <si>
    <t>House DCF rolled to end-2027 and split by box; box rates keep each box's historical relative valuation. Construction: DCF by Box, Box Rates, DCF.</t>
  </si>
  <si>
    <t>Market data</t>
  </si>
  <si>
    <t>Checks</t>
  </si>
  <si>
    <t>Boxes scaled</t>
  </si>
  <si>
    <t>Box discount rates</t>
  </si>
  <si>
    <t>1. Fair value at the end of 2027 by box (index pts)</t>
  </si>
  <si>
    <t>Upside: Bear</t>
  </si>
  <si>
    <t>Memo (inside Cyclicals; own rates, not additive)</t>
  </si>
  <si>
    <t>2. Upside by box: this DCF vs. the multiples model (Oct-6 table) and vs. the DCF at the house rate</t>
  </si>
  <si>
    <t>DCF: Bear</t>
  </si>
  <si>
    <t>Multiples: Bear</t>
  </si>
  <si>
    <t>DCF: Base</t>
  </si>
  <si>
    <t>Multiples: Base</t>
  </si>
  <si>
    <t>DCF: Bull</t>
  </si>
  <si>
    <t>Multiples: Bull</t>
  </si>
  <si>
    <t>Base, DCF at the house rate</t>
  </si>
  <si>
    <t>Average absolute gap to the multiples, four boxes</t>
  </si>
  <si>
    <t>Gap in points of upside. Last column: the house mechanics with one rate (BoxRate = 0), against the multiples' base.</t>
  </si>
  <si>
    <t>3. Discount rate by box (Box Rates)</t>
  </si>
  <si>
    <t>Relative cash yield</t>
  </si>
  <si>
    <t>Rate: Bear</t>
  </si>
  <si>
    <t>CAPM beta</t>
  </si>
  <si>
    <t>Ibovespa (house rate)</t>
  </si>
  <si>
    <t>Rates in use (BoxRate). Relative cash yield = (10y average earnings yield x cash conversion) of the box / the Ibovespa's; CAPM beta: Box Betas.</t>
  </si>
  <si>
    <t>4. Each box with its own value, before scaling (box rates; Financials by FCFE)</t>
  </si>
  <si>
    <t>Sum of the boxes</t>
  </si>
  <si>
    <t>House DCF fair value, Ibovespa (DCF sheet)</t>
  </si>
  <si>
    <t>Scale factor = house / sum of the boxes</t>
  </si>
  <si>
    <t>5. Scenario parameters and settings (Assumptions)</t>
  </si>
  <si>
    <t>ERP (house)</t>
  </si>
  <si>
    <t>House discount rate</t>
  </si>
  <si>
    <t>Corrections in use (Assumptions section 4)</t>
  </si>
  <si>
    <t>6. Box shares of the house lines (Box Shares; last consensus year)</t>
  </si>
  <si>
    <t>Line</t>
  </si>
  <si>
    <t>7. Reference (not linked): multiples model and our DCF by box (index pts)</t>
  </si>
  <si>
    <t>Model</t>
  </si>
  <si>
    <t>Cyc. ex-WEG &amp; EMB</t>
  </si>
  <si>
    <t>Multiples model, average of methods (Oct-6 table): Bear</t>
  </si>
  <si>
    <t>Multiples model, average of methods (Oct-6 table): Base</t>
  </si>
  <si>
    <t>Multiples model, average of methods (Oct-6 table): Bull</t>
  </si>
  <si>
    <t>DCF by box (Ibov_DCF_by_box_XP.xlsx, 12 months): Base</t>
  </si>
  <si>
    <t>Multiples model: Ibov_valuation_by_box_model_XP.xlsx (prices of Oct-5; each box at its own 10y average multiples, plus bottom-up).</t>
  </si>
  <si>
    <t>Ibovespa - Checks</t>
  </si>
  <si>
    <t>'OK' / 'CHECK' drive the status in C5; 'Info' does not. House tie-outs hold while the projection rules are the house's.</t>
  </si>
  <si>
    <t>Overall status</t>
  </si>
  <si>
    <t>Check</t>
  </si>
  <si>
    <t>Target</t>
  </si>
  <si>
    <t>Status</t>
  </si>
  <si>
    <t>Note</t>
  </si>
  <si>
    <t>House replica</t>
  </si>
  <si>
    <t>FCFF 2025, house row = Target row 44</t>
  </si>
  <si>
    <t>House file value.</t>
  </si>
  <si>
    <t>FCFF 2026, house row = Target row 44</t>
  </si>
  <si>
    <t>FCFF 2027, house row = Target row 44</t>
  </si>
  <si>
    <t>FCFF 2028, house row = Target row 44</t>
  </si>
  <si>
    <t>FCFF 2029, house row = Target row 44</t>
  </si>
  <si>
    <t>FCFF 2030, house row = Target row 44</t>
  </si>
  <si>
    <t>Terminal value on 2030, house rate (Target!R44)</t>
  </si>
  <si>
    <t>Fair value end-2025, house settings (Target!D59)</t>
  </si>
  <si>
    <t>Fair value end-2026, house settings (Target!F59)</t>
  </si>
  <si>
    <t>Fair value end-2027, house file column (Target!G59)</t>
  </si>
  <si>
    <t>Real-rate table, largest gap to the house (Sensitivity)</t>
  </si>
  <si>
    <t>House implied return at the house price (Target!B62)</t>
  </si>
  <si>
    <t>Helper row 56.</t>
  </si>
  <si>
    <t>Split by box</t>
  </si>
  <si>
    <t>Member weights on Oct-5 add up to 100%</t>
  </si>
  <si>
    <t>Members' index points = Ibovespa on Oct-5</t>
  </si>
  <si>
    <t>Box shares add up to 100% (all lines and years; sum of absolute gaps)</t>
  </si>
  <si>
    <t>Memo sub-boxes = Cyclicals (index points)</t>
  </si>
  <si>
    <t>FCFF used: sum of the boxes = house, 2028-2031 (sum of absolute gaps)</t>
  </si>
  <si>
    <t>Bear: sum of the FCFF pieces = house value (exact split)</t>
  </si>
  <si>
    <t>Base: sum of the FCFF pieces = house value (exact split)</t>
  </si>
  <si>
    <t>Bull: sum of the FCFF pieces = house value (exact split)</t>
  </si>
  <si>
    <t>Base: memo sub-boxes = Cyclicals at the house rate</t>
  </si>
  <si>
    <t>At the box rates the memo rows have their own rates and are not additive.</t>
  </si>
  <si>
    <t>Base: sum of the box fair values = house value (or the own sum if not scaled)</t>
  </si>
  <si>
    <t>Base: scale factor (house / sum of own values)</t>
  </si>
  <si>
    <t>Info: Financials by FCFE vs. its FCFF piece explains the gap.</t>
  </si>
  <si>
    <t>Base: Financials FCFE value / its FCFF piece - 1</t>
  </si>
  <si>
    <t>Info.</t>
  </si>
  <si>
    <t>Box rates: months of earnings-yield history (Box Rates)</t>
  </si>
  <si>
    <t>Box rates in use (0 = house rate, 1 = relative to history, 2 = CAPM)</t>
  </si>
  <si>
    <t>CAPM betas: weighted average of the four boxes (index points)</t>
  </si>
  <si>
    <t>Info: close to 1, the Ibovespa's beta.</t>
  </si>
  <si>
    <t>Base: average gap to the multiples model, four boxes (upside, pp)</t>
  </si>
  <si>
    <t>Info: Summary section 2.</t>
  </si>
  <si>
    <t>Members with a missing consensus line</t>
  </si>
  <si>
    <t>Info: missing lines count as 0 (banks: EBITDA, capex).</t>
  </si>
  <si>
    <t>Settings</t>
  </si>
  <si>
    <t>Corrections switched on (Assumptions section 4)</t>
  </si>
  <si>
    <t>Info: 0 = the house mechanics.</t>
  </si>
  <si>
    <t>Market data used (1 = house file, 2 = Oct-5)</t>
  </si>
  <si>
    <t>Formula errors (DCF, DCF by Box, Summary, Sensitivity, Box Shares, Box Rates, Box Betas, Members)</t>
  </si>
  <si>
    <t>House file settings used by the tie-outs (Target sheet)</t>
  </si>
  <si>
    <t>5-year real rate (Target!C56)</t>
  </si>
  <si>
    <t>ERP (Target!B57)</t>
  </si>
  <si>
    <t>g (Target!B54)</t>
  </si>
  <si>
    <t>Ibovespa (Target!B61)</t>
  </si>
  <si>
    <t>Helper: house implied-return flows (Target row 61)</t>
  </si>
  <si>
    <t>Ibovespa DCF by box, house model rolled to end-2027</t>
  </si>
  <si>
    <t>XP Research · Equity Strategy · built Oct-7-2026 · house file inputs (Sep-26); members' consensus Oct-7-2026; market data Oct-5-2026</t>
  </si>
  <si>
    <t>What it is</t>
  </si>
  <si>
    <t>Aggregate</t>
  </si>
  <si>
    <t>The DCF block of the house Ibovespa model (DCF Ibov 2026_Out.xlsx, Target sheet), same inputs, rules and mechanics, rolled forward to a fair value at the end of 2027 (FCFF 2028-2031 + terminal value). Checks tie it to the house file.</t>
  </si>
  <si>
    <t>By box</t>
  </si>
  <si>
    <t>Every house line (sales, EBIT, EBITDA, net income, capex) is split among Financials, Defensives, Cyclicals and Commodities by their share of the IBOV Index line, measured with the members' Bloomberg consensus. Same years, rules, rate and switches as the house.</t>
  </si>
  <si>
    <t>How the split works</t>
  </si>
  <si>
    <t>A member's line in index points = its index points x company line / company market cap (Members).</t>
  </si>
  <si>
    <t>Shares</t>
  </si>
  <si>
    <t>Non-financial boxes: their members' sum / the IBOV Index line. Financials: the rest. Net income: share of the members' total (Box Shares).</t>
  </si>
  <si>
    <t>Banks</t>
  </si>
  <si>
    <t>Banks have no EBITDA or capex. The IBOV Index line scales the members with data up to the whole index, so the house's EBITDA and capex include an amount imputed to the banks; it goes to Financials (Box Shares section 3).</t>
  </si>
  <si>
    <t>Years</t>
  </si>
  <si>
    <t>Shares from consensus for 2026-2027 (sales, capex) and 2026-2028 (EBIT, EBITDA, net income); later years keep the last share, as the house keeps margins and ratios.</t>
  </si>
  <si>
    <t>Valuation</t>
  </si>
  <si>
    <t>Non-financials</t>
  </si>
  <si>
    <t>House FCFF = D&amp;A + NOPAT + capex + NWC (level), discounted at 5y real rate + 6.0% ERP, g 4.7%, TV one period after the last flow.</t>
  </si>
  <si>
    <t>FCFE = net income x (1 - g / ROE), ROE = FY28 consensus of the Financials (Box Shares section 4); same g and TV convention.</t>
  </si>
  <si>
    <t>Box rates</t>
  </si>
  <si>
    <t>BoxRate = 1 (default): box rate - g = (house rate - g) x the box's relative cash yield = (its 10y average 12m fwd earnings yield x its cash conversion in 2031) / the same for the Ibovespa (Box Rates). A box that always traded at a higher multiple for its cash flow gets a lower rate, so the DCF keeps each box's historical relative valuation, as the multiples do. BoxRate = 0: one rate, as the house.</t>
  </si>
  <si>
    <t>CAPM</t>
  </si>
  <si>
    <t>BoxRate = 2: box rate = real rate + box beta x the house ERP (6.0%). Beta = covariance of the box's weekly total return with the Ibovespa's / variance of the Ibovespa's (Box Betas; window and Blume adjustment in Assumptions). Betas are close to 1, so the CAPM rates differ little from the house rate.</t>
  </si>
  <si>
    <t>Sum</t>
  </si>
  <si>
    <t>With every box on the house mechanics the boxes add up to the house value exactly. With Financials on FCFE they add up to about it; ScaleBox = 1 (default) scales the four boxes pro rata to the house value.</t>
  </si>
  <si>
    <t>How to use it</t>
  </si>
  <si>
    <t>1. Change</t>
  </si>
  <si>
    <t>Assumptions: market data, g, NWC %, scenarios (real rate, ERP), correction switches, ScaleBox, BoxRate, ERP floor, Financials ROE. DCF sheet: pink projection rules.</t>
  </si>
  <si>
    <t>2. Read</t>
  </si>
  <si>
    <t>Summary: boxes and Ibovespa, bear / base / bull; own values before scaling; shares.</t>
  </si>
  <si>
    <t>3. Trace</t>
  </si>
  <si>
    <t>Summary -&gt; DCF by Box (one block per box) -&gt; Box Rates / Box Shares -&gt; Members; DCF (house aggregate).</t>
  </si>
  <si>
    <t>Sources</t>
  </si>
  <si>
    <t>History 2015-2025 and IBOV Index consensus 2026-2028 as saved in DCF Ibov 2026_Out.xlsx (Sep-26); not refreshed.</t>
  </si>
  <si>
    <t>Members</t>
  </si>
  <si>
    <t>Bloomberg BEST_SALES, BEST_EBIT, BEST_EBITDA, BEST_NET_INCOME, BEST_CAPEX (FY26-FY28, BRL), CUR_MKT_CAP, BEST_ROE; Oct-7-2026. Weights: Economatica Sep-30, drifted by price to Oct-5.</t>
  </si>
  <si>
    <t>Market</t>
  </si>
  <si>
    <t>Ibovespa 208,431.92 (Oct-5 close); 5-year NTN-B 6.76% (ANBIMA, Oct-5).</t>
  </si>
  <si>
    <t>Code</t>
  </si>
  <si>
    <t>Brazil Bull Case/scripts: box_lines_data.py (Bloomberg) and build_house2027_box.py (this workbook).</t>
  </si>
  <si>
    <r>
      <rPr>
        <b/>
        <sz val="18"/>
        <color rgb="FFFFFFFF"/>
        <rFont val="Roboto"/>
        <family val="2"/>
      </rPr>
      <t>Ibovespa</t>
    </r>
    <r>
      <rPr>
        <sz val="18"/>
        <color rgb="FFFFFFFF"/>
        <rFont val="Roboto Light"/>
        <family val="2"/>
      </rPr>
      <t xml:space="preserve"> | DCF by box (house model), end-2027</t>
    </r>
  </si>
  <si>
    <t>VALUATION MODEL  ·  EQUITY STRATEGY</t>
  </si>
  <si>
    <t>Main tabs &gt;&gt;</t>
  </si>
  <si>
    <t>Auxiliary tabs &gt;&gt;</t>
  </si>
  <si>
    <t>Summary</t>
  </si>
  <si>
    <t>Assumptions</t>
  </si>
  <si>
    <t>DCF by Box</t>
  </si>
  <si>
    <t>DCF
(Ibovespa)</t>
  </si>
  <si>
    <t>Sensitivity</t>
  </si>
  <si>
    <t>Box Shares</t>
  </si>
  <si>
    <t>Members
(76 stocks)</t>
  </si>
  <si>
    <t>How this model works &gt;&gt;</t>
  </si>
  <si>
    <t>Fair value end-2027, base</t>
  </si>
  <si>
    <t>Upside, base</t>
  </si>
  <si>
    <t>Fair value end-2027, bear</t>
  </si>
  <si>
    <t>Fair value end-2027, bull</t>
  </si>
  <si>
    <t>Model checks</t>
  </si>
  <si>
    <t>Equity Strategy | XP Research</t>
  </si>
  <si>
    <t>Base case by box &gt;&gt;</t>
  </si>
  <si>
    <t>Fair value</t>
  </si>
  <si>
    <t>House DCF rolled to end-2027 and split by box: FCFF for Defensives, Cyclicals and Commodities, FCFE for Financials; boxes scaled to the house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</si>
</sst>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0.0%"/>
    <numFmt numFmtId="165" formatCode="0.0%"/>
    <numFmt numFmtId="166" formatCode="0.000"/>
    <numFmt numFmtId="167" formatCode="0.0&quot;x&quot;"/>
    <numFmt numFmtId="168" formatCode="[$-409]mmm\-yy"/>
    <numFmt numFmtId="169" formatCode="0.000%"/>
    <numFmt numFmtId="170" formatCode="0.000000"/>
    <numFmt numFmtId="171" formatCode="[$-409]d\-mmm\-yy"/>
    <numFmt numFmtId="172" formatCode="0.0000"/>
    <numFmt numFmtId="173" formatCode="#,##0.0"/>
    <numFmt numFmtId="174" formatCode="0.0000%"/>
    <numFmt numFmtId="175" formatCode="0.0"/>
  </numFmts>
  <fonts count="29" x14ac:knownFonts="1">
    <font>
      <sz val="11"/>
      <color theme="1"/>
      <name val="Calibri"/>
      <family val="2"/>
      <scheme val="minor"/>
    </font>
    <font>
      <sz val="10"/>
      <color rgb="FF18191A"/>
      <name val="Roboto"/>
      <family val="2"/>
    </font>
    <font>
      <sz val="10"/>
      <color rgb="FFFFFFFF"/>
      <name val="Roboto Light"/>
      <family val="2"/>
    </font>
    <font>
      <b/>
      <i/>
      <sz val="9"/>
      <color rgb="FF1F2F44"/>
      <name val="Roboto"/>
      <family val="2"/>
    </font>
    <font>
      <b/>
      <sz val="11"/>
      <color rgb="FFFFFFFF"/>
      <name val="Roboto"/>
      <family val="2"/>
    </font>
    <font>
      <sz val="10"/>
      <color rgb="FF18191A"/>
      <name val="Roboto Light"/>
      <family val="2"/>
    </font>
    <font>
      <sz val="10"/>
      <color rgb="FF18191A"/>
      <name val="Roboto"/>
      <family val="2"/>
    </font>
    <font>
      <b/>
      <sz val="10"/>
      <color rgb="FF18191A"/>
      <name val="Roboto Light"/>
      <family val="2"/>
    </font>
    <font>
      <b/>
      <sz val="10"/>
      <color rgb="FF18191A"/>
      <name val="Roboto"/>
      <family val="2"/>
    </font>
    <font>
      <b/>
      <sz val="11"/>
      <color rgb="FF18191A"/>
      <name val="Roboto"/>
      <family val="2"/>
    </font>
    <font>
      <b/>
      <sz val="10"/>
      <color rgb="FF008000"/>
      <name val="Roboto"/>
      <family val="2"/>
    </font>
    <font>
      <i/>
      <u/>
      <sz val="10"/>
      <color rgb="FF0070C0"/>
      <name val="Roboto"/>
      <family val="2"/>
    </font>
    <font>
      <b/>
      <i/>
      <sz val="9"/>
      <color rgb="FF74797C"/>
      <name val="Roboto"/>
      <family val="2"/>
    </font>
    <font>
      <i/>
      <sz val="10"/>
      <color rgb="FF74797C"/>
      <name val="Roboto"/>
      <family val="2"/>
    </font>
    <font>
      <b/>
      <sz val="18"/>
      <color rgb="FF1D1E1F"/>
      <name val="Roboto"/>
      <family val="2"/>
    </font>
    <font>
      <b/>
      <sz val="10"/>
      <color rgb="FFFFFFFF"/>
      <name val="Roboto"/>
      <family val="2"/>
    </font>
    <font>
      <sz val="10"/>
      <color rgb="FF74797C"/>
      <name val="Roboto"/>
      <family val="2"/>
    </font>
    <font>
      <sz val="10"/>
      <color rgb="FF0070C0"/>
      <name val="Roboto"/>
      <family val="2"/>
    </font>
    <font>
      <i/>
      <sz val="10"/>
      <color rgb="FF0070C0"/>
      <name val="Roboto"/>
      <family val="2"/>
    </font>
    <font>
      <b/>
      <i/>
      <sz val="10"/>
      <color rgb="FF0070C0"/>
      <name val="Roboto"/>
      <family val="2"/>
    </font>
    <font>
      <i/>
      <sz val="10"/>
      <color rgb="FF18191A"/>
      <name val="Roboto"/>
      <family val="2"/>
    </font>
    <font>
      <b/>
      <sz val="10"/>
      <color rgb="FF0070C0"/>
      <name val="Roboto"/>
      <family val="2"/>
    </font>
    <font>
      <sz val="10"/>
      <color rgb="FF74797C"/>
      <name val="Roboto"/>
      <family val="2"/>
    </font>
    <font>
      <i/>
      <sz val="8"/>
      <color rgb="FF74797C"/>
      <name val="Roboto"/>
      <family val="2"/>
    </font>
    <font>
      <i/>
      <sz val="8"/>
      <color rgb="FF18191A"/>
      <name val="Roboto"/>
      <family val="2"/>
    </font>
    <font>
      <i/>
      <sz val="8"/>
      <color rgb="FF1F2F44"/>
      <name val="Roboto"/>
      <family val="2"/>
    </font>
    <font>
      <b/>
      <sz val="16"/>
      <color rgb="FF1F2F44"/>
      <name val="Roboto"/>
      <family val="2"/>
    </font>
    <font>
      <b/>
      <sz val="18"/>
      <color rgb="FFFFFFFF"/>
      <name val="Roboto"/>
      <family val="2"/>
    </font>
    <font>
      <sz val="18"/>
      <color rgb="FFFFFFFF"/>
      <name val="Roboto Light"/>
      <family val="2"/>
    </font>
  </fonts>
  <fills count="8">
    <fill>
      <patternFill patternType="none"/>
    </fill>
    <fill>
      <patternFill patternType="gray125"/>
    </fill>
    <fill>
      <patternFill patternType="solid">
        <fgColor rgb="FF1F2F44"/>
        <bgColor indexed="64"/>
      </patternFill>
    </fill>
    <fill>
      <patternFill patternType="solid">
        <fgColor rgb="FFF9C113"/>
        <bgColor indexed="64"/>
      </patternFill>
    </fill>
    <fill>
      <patternFill patternType="solid">
        <fgColor rgb="FFFFE7E7"/>
        <bgColor indexed="64"/>
      </patternFill>
    </fill>
    <fill>
      <patternFill patternType="solid">
        <fgColor rgb="FFE9EAEC"/>
        <bgColor indexed="64"/>
      </patternFill>
    </fill>
    <fill>
      <patternFill patternType="solid">
        <fgColor rgb="FFFFFFFF"/>
        <bgColor indexed="64"/>
      </patternFill>
    </fill>
    <fill>
      <patternFill patternType="solid">
        <fgColor rgb="FFF2F2F2"/>
        <bgColor indexed="64"/>
      </patternFill>
    </fill>
  </fills>
  <borders count="7">
    <border>
      <left/>
      <right/>
      <top/>
      <bottom/>
      <diagonal/>
    </border>
    <border>
      <left style="thick">
        <color rgb="FFFFFFFF"/>
      </left>
      <right style="thick">
        <color rgb="FFFFFFFF"/>
      </right>
      <top style="thick">
        <color rgb="FFFFFFFF"/>
      </top>
      <bottom style="thick">
        <color rgb="FFFFFFFF"/>
      </bottom>
      <diagonal/>
    </border>
    <border>
      <left/>
      <right/>
      <top/>
      <bottom style="dotted">
        <color auto="1"/>
      </bottom>
      <diagonal/>
    </border>
    <border>
      <left/>
      <right/>
      <top/>
      <bottom style="medium">
        <color rgb="FF8EB3DF"/>
      </bottom>
      <diagonal/>
    </border>
    <border>
      <left/>
      <right/>
      <top style="thin">
        <color auto="1"/>
      </top>
      <bottom/>
      <diagonal/>
    </border>
    <border>
      <left style="dotted">
        <color auto="1"/>
      </left>
      <right style="dotted">
        <color auto="1"/>
      </right>
      <top style="dotted">
        <color auto="1"/>
      </top>
      <bottom style="dotted">
        <color auto="1"/>
      </bottom>
      <diagonal/>
    </border>
    <border>
      <left/>
      <right/>
      <top/>
      <bottom style="hair">
        <color auto="1"/>
      </bottom>
      <diagonal/>
    </border>
  </borders>
  <cellStyleXfs count="1">
    <xf numFmtId="0" fontId="0" fillId="0" borderId="0"/>
  </cellStyleXfs>
  <cellXfs count="123">
    <xf numFmtId="0" fontId="0" fillId="0" borderId="0" xfId="0"/>
    <xf numFmtId="0" fontId="1" fillId="2" borderId="0" xfId="0" applyFont="1" applyFill="1" applyAlignment="1">
      <alignment vertical="center"/>
    </xf>
    <xf numFmtId="0" fontId="2" fillId="2" borderId="0" xfId="0" applyFont="1" applyFill="1" applyAlignment="1">
      <alignment vertical="center"/>
    </xf>
    <xf numFmtId="0" fontId="3" fillId="0" borderId="0" xfId="0" applyFont="1" applyAlignment="1">
      <alignment vertical="center"/>
    </xf>
    <xf numFmtId="0" fontId="11" fillId="0" borderId="0" xfId="0" applyFont="1" applyAlignment="1">
      <alignment vertical="center"/>
    </xf>
    <xf numFmtId="0" fontId="8" fillId="0" borderId="0" xfId="0" applyFont="1" applyAlignment="1">
      <alignment vertical="center"/>
    </xf>
    <xf numFmtId="0" fontId="12" fillId="0" borderId="0" xfId="0" applyFont="1" applyAlignment="1">
      <alignment vertical="center"/>
    </xf>
    <xf numFmtId="0" fontId="8" fillId="0" borderId="3" xfId="0" applyFont="1" applyBorder="1" applyAlignment="1">
      <alignment horizontal="center" vertical="center"/>
    </xf>
    <xf numFmtId="0" fontId="6" fillId="0" borderId="0" xfId="0" applyFont="1" applyAlignment="1">
      <alignment vertical="center"/>
    </xf>
    <xf numFmtId="3" fontId="6" fillId="0" borderId="0" xfId="0" applyNumberFormat="1" applyFont="1" applyAlignment="1">
      <alignment horizontal="center" vertical="center"/>
    </xf>
    <xf numFmtId="164" fontId="6" fillId="0" borderId="0" xfId="0" applyNumberFormat="1" applyFont="1" applyAlignment="1">
      <alignment horizontal="center" vertical="center"/>
    </xf>
    <xf numFmtId="0" fontId="8" fillId="0" borderId="4" xfId="0" applyFont="1" applyBorder="1" applyAlignment="1">
      <alignment vertical="center"/>
    </xf>
    <xf numFmtId="3" fontId="8" fillId="0" borderId="4" xfId="0" applyNumberFormat="1" applyFont="1" applyBorder="1" applyAlignment="1">
      <alignment horizontal="center" vertical="center"/>
    </xf>
    <xf numFmtId="164" fontId="8" fillId="0" borderId="4" xfId="0" applyNumberFormat="1" applyFont="1" applyBorder="1" applyAlignment="1">
      <alignment horizontal="center" vertical="center"/>
    </xf>
    <xf numFmtId="0" fontId="13" fillId="0" borderId="0" xfId="0" applyFont="1" applyAlignment="1">
      <alignment vertical="center"/>
    </xf>
    <xf numFmtId="0" fontId="14" fillId="0" borderId="0" xfId="0" applyFont="1" applyAlignment="1">
      <alignment vertical="center"/>
    </xf>
    <xf numFmtId="3" fontId="8" fillId="0" borderId="0" xfId="0" applyNumberFormat="1" applyFont="1" applyAlignment="1">
      <alignment vertical="center"/>
    </xf>
    <xf numFmtId="0" fontId="15" fillId="2" borderId="0" xfId="0" applyFont="1" applyFill="1" applyAlignment="1">
      <alignment horizontal="left" vertical="center" wrapText="1"/>
    </xf>
    <xf numFmtId="0" fontId="15" fillId="2" borderId="0" xfId="0" applyFont="1" applyFill="1" applyAlignment="1">
      <alignment horizontal="center" vertical="center" wrapText="1"/>
    </xf>
    <xf numFmtId="0" fontId="1" fillId="0" borderId="0" xfId="0" applyFont="1" applyAlignment="1">
      <alignment vertical="center"/>
    </xf>
    <xf numFmtId="3" fontId="1" fillId="0" borderId="0" xfId="0" applyNumberFormat="1" applyFont="1" applyAlignment="1">
      <alignment vertical="center"/>
    </xf>
    <xf numFmtId="164" fontId="1" fillId="0" borderId="0" xfId="0" applyNumberFormat="1" applyFont="1" applyAlignment="1">
      <alignment vertical="center"/>
    </xf>
    <xf numFmtId="3" fontId="8" fillId="0" borderId="4" xfId="0" applyNumberFormat="1" applyFont="1" applyBorder="1" applyAlignment="1">
      <alignment vertical="center"/>
    </xf>
    <xf numFmtId="164" fontId="8" fillId="0" borderId="4" xfId="0" applyNumberFormat="1" applyFont="1" applyBorder="1" applyAlignment="1">
      <alignment vertical="center"/>
    </xf>
    <xf numFmtId="164" fontId="8" fillId="0" borderId="0" xfId="0" applyNumberFormat="1" applyFont="1" applyAlignment="1">
      <alignment vertical="center"/>
    </xf>
    <xf numFmtId="164" fontId="16" fillId="0" borderId="0" xfId="0" applyNumberFormat="1" applyFont="1" applyAlignment="1">
      <alignment vertical="center"/>
    </xf>
    <xf numFmtId="164" fontId="16" fillId="0" borderId="4" xfId="0" applyNumberFormat="1" applyFont="1" applyBorder="1" applyAlignment="1">
      <alignment vertical="center"/>
    </xf>
    <xf numFmtId="165" fontId="8" fillId="0" borderId="4" xfId="0" applyNumberFormat="1" applyFont="1" applyBorder="1" applyAlignment="1">
      <alignment vertical="center"/>
    </xf>
    <xf numFmtId="166" fontId="1" fillId="0" borderId="0" xfId="0" applyNumberFormat="1" applyFont="1" applyAlignment="1">
      <alignment vertical="center"/>
    </xf>
    <xf numFmtId="10" fontId="1" fillId="0" borderId="0" xfId="0" applyNumberFormat="1" applyFont="1" applyAlignment="1">
      <alignment vertical="center"/>
    </xf>
    <xf numFmtId="2" fontId="1" fillId="0" borderId="0" xfId="0" applyNumberFormat="1" applyFont="1" applyAlignment="1">
      <alignment vertical="center"/>
    </xf>
    <xf numFmtId="166" fontId="8" fillId="0" borderId="4" xfId="0" applyNumberFormat="1" applyFont="1" applyBorder="1" applyAlignment="1">
      <alignment vertical="center"/>
    </xf>
    <xf numFmtId="10" fontId="8" fillId="0" borderId="4" xfId="0" applyNumberFormat="1" applyFont="1" applyBorder="1" applyAlignment="1">
      <alignment vertical="center"/>
    </xf>
    <xf numFmtId="2" fontId="8" fillId="0" borderId="4" xfId="0" applyNumberFormat="1" applyFont="1" applyBorder="1" applyAlignment="1">
      <alignment vertical="center"/>
    </xf>
    <xf numFmtId="3" fontId="6" fillId="0" borderId="0" xfId="0" applyNumberFormat="1" applyFont="1" applyAlignment="1">
      <alignment vertical="center"/>
    </xf>
    <xf numFmtId="166" fontId="6" fillId="0" borderId="0" xfId="0" applyNumberFormat="1" applyFont="1" applyAlignment="1">
      <alignment vertical="center"/>
    </xf>
    <xf numFmtId="165" fontId="1" fillId="0" borderId="0" xfId="0" applyNumberFormat="1" applyFont="1" applyAlignment="1">
      <alignment vertical="center"/>
    </xf>
    <xf numFmtId="3" fontId="17" fillId="0" borderId="0" xfId="0" applyNumberFormat="1" applyFont="1" applyAlignment="1">
      <alignment vertical="center"/>
    </xf>
    <xf numFmtId="0" fontId="18" fillId="0" borderId="0" xfId="0" applyFont="1" applyAlignment="1">
      <alignment vertical="center"/>
    </xf>
    <xf numFmtId="0" fontId="19" fillId="4" borderId="5" xfId="0" applyFont="1" applyFill="1" applyBorder="1" applyAlignment="1">
      <alignment vertical="center"/>
    </xf>
    <xf numFmtId="0" fontId="20" fillId="0" borderId="0" xfId="0" applyFont="1" applyAlignment="1">
      <alignment vertical="center"/>
    </xf>
    <xf numFmtId="4" fontId="17" fillId="0" borderId="0" xfId="0" applyNumberFormat="1" applyFont="1" applyAlignment="1">
      <alignment vertical="center"/>
    </xf>
    <xf numFmtId="4" fontId="8" fillId="0" borderId="0" xfId="0" applyNumberFormat="1" applyFont="1" applyAlignment="1">
      <alignment vertical="center"/>
    </xf>
    <xf numFmtId="10" fontId="17" fillId="0" borderId="0" xfId="0" applyNumberFormat="1" applyFont="1" applyAlignment="1">
      <alignment vertical="center"/>
    </xf>
    <xf numFmtId="10" fontId="8" fillId="0" borderId="0" xfId="0" applyNumberFormat="1" applyFont="1" applyAlignment="1">
      <alignment vertical="center"/>
    </xf>
    <xf numFmtId="1" fontId="21" fillId="4" borderId="5" xfId="0" applyNumberFormat="1" applyFont="1" applyFill="1" applyBorder="1" applyAlignment="1">
      <alignment vertical="center"/>
    </xf>
    <xf numFmtId="10" fontId="21" fillId="4" borderId="5" xfId="0" applyNumberFormat="1" applyFont="1" applyFill="1" applyBorder="1" applyAlignment="1">
      <alignment vertical="center"/>
    </xf>
    <xf numFmtId="165" fontId="21" fillId="4" borderId="5" xfId="0" applyNumberFormat="1" applyFont="1" applyFill="1" applyBorder="1" applyAlignment="1">
      <alignment vertical="center"/>
    </xf>
    <xf numFmtId="167" fontId="21" fillId="4" borderId="5" xfId="0" applyNumberFormat="1" applyFont="1" applyFill="1" applyBorder="1" applyAlignment="1">
      <alignment vertical="center"/>
    </xf>
    <xf numFmtId="3" fontId="8" fillId="5" borderId="0" xfId="0" applyNumberFormat="1" applyFont="1" applyFill="1" applyAlignment="1">
      <alignment vertical="center"/>
    </xf>
    <xf numFmtId="3" fontId="16" fillId="0" borderId="0" xfId="0" applyNumberFormat="1" applyFont="1" applyAlignment="1">
      <alignment vertical="center"/>
    </xf>
    <xf numFmtId="166" fontId="16" fillId="0" borderId="0" xfId="0" applyNumberFormat="1" applyFont="1" applyAlignment="1">
      <alignment vertical="center"/>
    </xf>
    <xf numFmtId="0" fontId="22" fillId="0" borderId="0" xfId="0" applyFont="1" applyAlignment="1">
      <alignment vertical="center"/>
    </xf>
    <xf numFmtId="165" fontId="16" fillId="0" borderId="0" xfId="0" applyNumberFormat="1" applyFont="1" applyAlignment="1">
      <alignment vertical="center"/>
    </xf>
    <xf numFmtId="3" fontId="8" fillId="6" borderId="0" xfId="0" applyNumberFormat="1" applyFont="1" applyFill="1" applyAlignment="1">
      <alignment vertical="center"/>
    </xf>
    <xf numFmtId="1" fontId="1" fillId="0" borderId="0" xfId="0" applyNumberFormat="1" applyFont="1" applyAlignment="1">
      <alignment vertical="center"/>
    </xf>
    <xf numFmtId="164" fontId="8" fillId="5" borderId="0" xfId="0" applyNumberFormat="1" applyFont="1" applyFill="1" applyAlignment="1">
      <alignment vertical="center"/>
    </xf>
    <xf numFmtId="10" fontId="16" fillId="0" borderId="0" xfId="0" applyNumberFormat="1" applyFont="1" applyAlignment="1">
      <alignment vertical="center"/>
    </xf>
    <xf numFmtId="0" fontId="23" fillId="0" borderId="0" xfId="0" applyFont="1" applyAlignment="1">
      <alignment horizontal="center" vertical="center"/>
    </xf>
    <xf numFmtId="0" fontId="24" fillId="0" borderId="0" xfId="0" applyFont="1" applyAlignment="1">
      <alignment horizontal="center" vertical="center"/>
    </xf>
    <xf numFmtId="0" fontId="25" fillId="0" borderId="0" xfId="0" applyFont="1" applyAlignment="1">
      <alignment horizontal="center" vertical="center"/>
    </xf>
    <xf numFmtId="165" fontId="17" fillId="0" borderId="0" xfId="0" applyNumberFormat="1" applyFont="1" applyAlignment="1">
      <alignment vertical="center"/>
    </xf>
    <xf numFmtId="165" fontId="6" fillId="6" borderId="0" xfId="0" applyNumberFormat="1" applyFont="1" applyFill="1" applyAlignment="1">
      <alignment vertical="center"/>
    </xf>
    <xf numFmtId="2" fontId="6" fillId="6" borderId="0" xfId="0" applyNumberFormat="1" applyFont="1" applyFill="1" applyAlignment="1">
      <alignment vertical="center"/>
    </xf>
    <xf numFmtId="2" fontId="21" fillId="4" borderId="5" xfId="0" applyNumberFormat="1" applyFont="1" applyFill="1" applyBorder="1" applyAlignment="1">
      <alignment vertical="center"/>
    </xf>
    <xf numFmtId="3" fontId="6" fillId="6" borderId="0" xfId="0" applyNumberFormat="1" applyFont="1" applyFill="1" applyAlignment="1">
      <alignment vertical="center"/>
    </xf>
    <xf numFmtId="1" fontId="1" fillId="0" borderId="0" xfId="0" applyNumberFormat="1" applyFont="1" applyAlignment="1">
      <alignment horizontal="right" vertical="center"/>
    </xf>
    <xf numFmtId="0" fontId="1" fillId="0" borderId="0" xfId="0" applyFont="1" applyAlignment="1">
      <alignment horizontal="right" vertical="center"/>
    </xf>
    <xf numFmtId="167" fontId="1" fillId="0" borderId="0" xfId="0" applyNumberFormat="1" applyFont="1" applyAlignment="1">
      <alignment vertical="center"/>
    </xf>
    <xf numFmtId="10" fontId="6" fillId="0" borderId="0" xfId="0" applyNumberFormat="1" applyFont="1" applyAlignment="1">
      <alignment vertical="center"/>
    </xf>
    <xf numFmtId="10" fontId="17" fillId="0" borderId="0" xfId="0" applyNumberFormat="1" applyFont="1" applyAlignment="1">
      <alignment horizontal="center" vertical="center"/>
    </xf>
    <xf numFmtId="4" fontId="1" fillId="0" borderId="0" xfId="0" applyNumberFormat="1" applyFont="1" applyAlignment="1">
      <alignment vertical="center"/>
    </xf>
    <xf numFmtId="165" fontId="21" fillId="4" borderId="5" xfId="0" applyNumberFormat="1" applyFont="1" applyFill="1" applyBorder="1" applyAlignment="1">
      <alignment horizontal="center" vertical="center"/>
    </xf>
    <xf numFmtId="10" fontId="21" fillId="4" borderId="5" xfId="0" applyNumberFormat="1" applyFont="1" applyFill="1" applyBorder="1" applyAlignment="1">
      <alignment horizontal="center" vertical="center"/>
    </xf>
    <xf numFmtId="165" fontId="15" fillId="2" borderId="0" xfId="0" applyNumberFormat="1" applyFont="1" applyFill="1" applyAlignment="1">
      <alignment horizontal="center" vertical="center"/>
    </xf>
    <xf numFmtId="10" fontId="8" fillId="0" borderId="0" xfId="0" applyNumberFormat="1" applyFont="1" applyAlignment="1">
      <alignment horizontal="center" vertical="center"/>
    </xf>
    <xf numFmtId="166" fontId="8" fillId="0" borderId="0" xfId="0" applyNumberFormat="1" applyFont="1" applyAlignment="1">
      <alignment vertical="center"/>
    </xf>
    <xf numFmtId="165" fontId="1" fillId="0" borderId="4" xfId="0" applyNumberFormat="1" applyFont="1" applyBorder="1" applyAlignment="1">
      <alignment vertical="center"/>
    </xf>
    <xf numFmtId="10" fontId="1" fillId="0" borderId="4" xfId="0" applyNumberFormat="1" applyFont="1" applyBorder="1" applyAlignment="1">
      <alignment vertical="center"/>
    </xf>
    <xf numFmtId="167" fontId="1" fillId="0" borderId="4" xfId="0" applyNumberFormat="1" applyFont="1" applyBorder="1" applyAlignment="1">
      <alignment vertical="center"/>
    </xf>
    <xf numFmtId="2" fontId="1" fillId="0" borderId="4" xfId="0" applyNumberFormat="1" applyFont="1" applyBorder="1" applyAlignment="1">
      <alignment vertical="center"/>
    </xf>
    <xf numFmtId="168" fontId="17" fillId="0" borderId="0" xfId="0" applyNumberFormat="1" applyFont="1" applyAlignment="1">
      <alignment horizontal="left" vertical="center"/>
    </xf>
    <xf numFmtId="169" fontId="1" fillId="0" borderId="0" xfId="0" applyNumberFormat="1" applyFont="1" applyAlignment="1">
      <alignment vertical="center"/>
    </xf>
    <xf numFmtId="170" fontId="1" fillId="0" borderId="0" xfId="0" applyNumberFormat="1" applyFont="1" applyAlignment="1">
      <alignment vertical="center"/>
    </xf>
    <xf numFmtId="2" fontId="8" fillId="0" borderId="0" xfId="0" applyNumberFormat="1" applyFont="1" applyAlignment="1">
      <alignment vertical="center"/>
    </xf>
    <xf numFmtId="1" fontId="1" fillId="0" borderId="4" xfId="0" applyNumberFormat="1" applyFont="1" applyBorder="1" applyAlignment="1">
      <alignment vertical="center"/>
    </xf>
    <xf numFmtId="169" fontId="1" fillId="0" borderId="4" xfId="0" applyNumberFormat="1" applyFont="1" applyBorder="1" applyAlignment="1">
      <alignment vertical="center"/>
    </xf>
    <xf numFmtId="170" fontId="1" fillId="0" borderId="4" xfId="0" applyNumberFormat="1" applyFont="1" applyBorder="1" applyAlignment="1">
      <alignment vertical="center"/>
    </xf>
    <xf numFmtId="171" fontId="1" fillId="0" borderId="0" xfId="0" applyNumberFormat="1" applyFont="1" applyAlignment="1">
      <alignment vertical="center"/>
    </xf>
    <xf numFmtId="171" fontId="17" fillId="0" borderId="0" xfId="0" applyNumberFormat="1" applyFont="1" applyAlignment="1">
      <alignment horizontal="left" vertical="center"/>
    </xf>
    <xf numFmtId="172" fontId="17" fillId="0" borderId="0" xfId="0" applyNumberFormat="1" applyFont="1" applyAlignment="1">
      <alignment vertical="center"/>
    </xf>
    <xf numFmtId="1" fontId="1" fillId="0" borderId="0" xfId="0" applyNumberFormat="1" applyFont="1" applyAlignment="1">
      <alignment horizontal="center" vertical="center"/>
    </xf>
    <xf numFmtId="0" fontId="16" fillId="0" borderId="0" xfId="0" applyFont="1" applyAlignment="1">
      <alignment horizontal="right" vertical="center"/>
    </xf>
    <xf numFmtId="165" fontId="8" fillId="0" borderId="0" xfId="0" applyNumberFormat="1" applyFont="1" applyAlignment="1">
      <alignment vertical="center"/>
    </xf>
    <xf numFmtId="165" fontId="6" fillId="0" borderId="0" xfId="0" applyNumberFormat="1" applyFont="1" applyAlignment="1">
      <alignment vertical="center"/>
    </xf>
    <xf numFmtId="0" fontId="8" fillId="7" borderId="6" xfId="0" applyFont="1" applyFill="1" applyBorder="1" applyAlignment="1">
      <alignment horizontal="center" vertical="center"/>
    </xf>
    <xf numFmtId="0" fontId="21" fillId="0" borderId="0" xfId="0" applyFont="1" applyAlignment="1">
      <alignment vertical="center"/>
    </xf>
    <xf numFmtId="0" fontId="17" fillId="0" borderId="0" xfId="0" applyFont="1" applyAlignment="1">
      <alignment vertical="center"/>
    </xf>
    <xf numFmtId="173" fontId="1" fillId="0" borderId="0" xfId="0" applyNumberFormat="1" applyFont="1" applyAlignment="1">
      <alignment vertical="center"/>
    </xf>
    <xf numFmtId="0" fontId="16" fillId="0" borderId="0" xfId="0" applyFont="1" applyAlignment="1">
      <alignment vertical="center"/>
    </xf>
    <xf numFmtId="0" fontId="10" fillId="0" borderId="0" xfId="0" applyFont="1" applyAlignment="1">
      <alignment vertical="center"/>
    </xf>
    <xf numFmtId="0" fontId="8" fillId="7" borderId="6" xfId="0" applyFont="1" applyFill="1" applyBorder="1" applyAlignment="1">
      <alignment vertical="center"/>
    </xf>
    <xf numFmtId="0" fontId="8" fillId="0" borderId="0" xfId="0" applyFont="1" applyAlignment="1">
      <alignment horizontal="center" vertical="center"/>
    </xf>
    <xf numFmtId="174" fontId="1" fillId="0" borderId="0" xfId="0" applyNumberFormat="1" applyFont="1" applyAlignment="1">
      <alignment vertical="center"/>
    </xf>
    <xf numFmtId="0" fontId="16" fillId="0" borderId="0" xfId="0" applyFont="1" applyAlignment="1">
      <alignment horizontal="center" vertical="center"/>
    </xf>
    <xf numFmtId="175" fontId="1" fillId="0" borderId="0" xfId="0" applyNumberFormat="1" applyFont="1" applyAlignment="1">
      <alignment vertical="center"/>
    </xf>
    <xf numFmtId="0" fontId="26" fillId="0" borderId="0" xfId="0" applyFont="1" applyAlignment="1">
      <alignment vertical="center"/>
    </xf>
    <xf numFmtId="0" fontId="8" fillId="0" borderId="0" xfId="0" applyFont="1" applyAlignment="1">
      <alignment vertical="top"/>
    </xf>
    <xf numFmtId="0" fontId="1" fillId="0" borderId="0" xfId="0" applyFont="1" applyAlignment="1">
      <alignment vertical="top" wrapText="1"/>
    </xf>
    <xf numFmtId="0" fontId="4"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5" fillId="0" borderId="2" xfId="0" applyFont="1" applyBorder="1" applyAlignment="1">
      <alignment vertical="center"/>
    </xf>
    <xf numFmtId="3" fontId="6" fillId="0" borderId="2" xfId="0" applyNumberFormat="1" applyFont="1" applyBorder="1" applyAlignment="1">
      <alignment horizontal="right" vertical="center"/>
    </xf>
    <xf numFmtId="0" fontId="7" fillId="0" borderId="2" xfId="0" applyFont="1" applyBorder="1" applyAlignment="1">
      <alignment vertical="center"/>
    </xf>
    <xf numFmtId="3" fontId="8" fillId="0" borderId="2" xfId="0" applyNumberFormat="1" applyFont="1" applyBorder="1" applyAlignment="1">
      <alignment horizontal="right" vertical="center"/>
    </xf>
    <xf numFmtId="164" fontId="6" fillId="0" borderId="2" xfId="0" applyNumberFormat="1" applyFont="1" applyBorder="1" applyAlignment="1">
      <alignment horizontal="right" vertical="center"/>
    </xf>
    <xf numFmtId="0" fontId="10" fillId="0" borderId="2" xfId="0" applyFont="1" applyBorder="1" applyAlignment="1">
      <alignment horizontal="right" vertical="center"/>
    </xf>
    <xf numFmtId="0" fontId="8" fillId="0" borderId="3" xfId="0" applyFont="1" applyBorder="1" applyAlignment="1">
      <alignment vertical="center"/>
    </xf>
    <xf numFmtId="0" fontId="6" fillId="0" borderId="0" xfId="0" applyFont="1" applyAlignment="1">
      <alignment vertical="center"/>
    </xf>
    <xf numFmtId="0" fontId="8" fillId="0" borderId="4" xfId="0" applyFont="1" applyBorder="1" applyAlignment="1">
      <alignment vertical="center"/>
    </xf>
    <xf numFmtId="0" fontId="15" fillId="2" borderId="0" xfId="0" applyFont="1" applyFill="1" applyAlignment="1">
      <alignment vertical="center"/>
    </xf>
    <xf numFmtId="0" fontId="8" fillId="3" borderId="0" xfId="0" applyFont="1" applyFill="1" applyAlignment="1">
      <alignment vertical="center"/>
    </xf>
    <xf numFmtId="0" fontId="8" fillId="7" borderId="6" xfId="0" applyFont="1" applyFill="1" applyBorder="1" applyAlignment="1">
      <alignment horizontal="center" vertical="center"/>
    </xf>
  </cellXfs>
  <cellStyles count="1">
    <cellStyle name="Normal" xfId="0" builtinId="0"/>
  </cellStyles>
  <dxfs count="3">
    <dxf>
      <font>
        <b/>
        <color rgb="FFC00000"/>
      </font>
    </dxf>
    <dxf>
      <font>
        <b/>
        <color rgb="FF18191A"/>
      </font>
      <border>
        <left style="medium">
          <color rgb="FF1F2F44"/>
        </left>
        <right style="medium">
          <color rgb="FF1F2F44"/>
        </right>
        <top style="medium">
          <color rgb="FF1F2F44"/>
        </top>
        <bottom style="medium">
          <color rgb="FF1F2F44"/>
        </bottom>
        <vertical/>
        <horizontal/>
      </border>
    </dxf>
    <dxf>
      <font>
        <b/>
        <color rgb="FF18191A"/>
      </font>
      <border>
        <left style="medium">
          <color rgb="FF1F2F44"/>
        </left>
        <right style="medium">
          <color rgb="FF1F2F44"/>
        </right>
        <top style="medium">
          <color rgb="FF1F2F44"/>
        </top>
        <bottom style="medium">
          <color rgb="FF1F2F44"/>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11</xdr:col>
      <xdr:colOff>381000</xdr:colOff>
      <xdr:row>1</xdr:row>
      <xdr:rowOff>57150</xdr:rowOff>
    </xdr:from>
    <xdr:to>
      <xdr:col>12</xdr:col>
      <xdr:colOff>337548</xdr:colOff>
      <xdr:row>2</xdr:row>
      <xdr:rowOff>188682</xdr:rowOff>
    </xdr:to>
    <xdr:pic>
      <xdr:nvPicPr>
        <xdr:cNvPr id="2" name="Picture 1" descr="xp_research_white.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8086725" y="228600"/>
          <a:ext cx="775698" cy="22678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O26"/>
  <sheetViews>
    <sheetView showGridLines="0" tabSelected="1" zoomScale="85" zoomScaleNormal="85" workbookViewId="0"/>
  </sheetViews>
  <sheetFormatPr defaultRowHeight="13.95" customHeight="1" x14ac:dyDescent="0.3"/>
  <cols>
    <col min="1" max="1" width="2.88671875" customWidth="1"/>
    <col min="2" max="2" width="2.109375" customWidth="1"/>
    <col min="3" max="14" width="12.33203125" customWidth="1"/>
    <col min="15" max="15" width="2.109375" customWidth="1"/>
  </cols>
  <sheetData>
    <row r="2" spans="2:15" ht="7.95" customHeight="1" x14ac:dyDescent="0.3">
      <c r="B2" s="1"/>
      <c r="C2" s="1"/>
      <c r="D2" s="1"/>
      <c r="E2" s="1"/>
      <c r="F2" s="1"/>
      <c r="G2" s="1"/>
      <c r="H2" s="1"/>
      <c r="I2" s="1"/>
      <c r="J2" s="1"/>
      <c r="K2" s="1"/>
      <c r="L2" s="1"/>
      <c r="M2" s="1"/>
      <c r="N2" s="1"/>
      <c r="O2" s="1"/>
    </row>
    <row r="3" spans="2:15" ht="34.049999999999997" customHeight="1" x14ac:dyDescent="0.3">
      <c r="B3" s="1"/>
      <c r="C3" s="1" t="s">
        <v>714</v>
      </c>
      <c r="D3" s="1"/>
      <c r="E3" s="1"/>
      <c r="F3" s="1"/>
      <c r="G3" s="1"/>
      <c r="H3" s="1"/>
      <c r="I3" s="1"/>
      <c r="J3" s="1"/>
      <c r="K3" s="1"/>
      <c r="L3" s="1"/>
      <c r="M3" s="1"/>
      <c r="N3" s="1"/>
      <c r="O3" s="1"/>
    </row>
    <row r="4" spans="2:15" ht="18" customHeight="1" x14ac:dyDescent="0.3">
      <c r="B4" s="1"/>
      <c r="C4" s="2" t="s">
        <v>715</v>
      </c>
      <c r="D4" s="1"/>
      <c r="E4" s="1"/>
      <c r="F4" s="1"/>
      <c r="G4" s="1"/>
      <c r="H4" s="1"/>
      <c r="I4" s="1"/>
      <c r="J4" s="1"/>
      <c r="K4" s="1"/>
      <c r="L4" s="1"/>
      <c r="M4" s="1"/>
      <c r="N4" s="1"/>
      <c r="O4" s="1"/>
    </row>
    <row r="5" spans="2:15" ht="7.95" customHeight="1" x14ac:dyDescent="0.3">
      <c r="B5" s="1"/>
      <c r="C5" s="1"/>
      <c r="D5" s="1"/>
      <c r="E5" s="1"/>
      <c r="F5" s="1"/>
      <c r="G5" s="1"/>
      <c r="H5" s="1"/>
      <c r="I5" s="1"/>
      <c r="J5" s="1"/>
      <c r="K5" s="1"/>
      <c r="L5" s="1"/>
      <c r="M5" s="1"/>
      <c r="N5" s="1"/>
      <c r="O5" s="1"/>
    </row>
    <row r="7" spans="2:15" ht="13.95" customHeight="1" x14ac:dyDescent="0.3">
      <c r="C7" s="3" t="s">
        <v>716</v>
      </c>
    </row>
    <row r="8" spans="2:15" ht="19.05" customHeight="1" x14ac:dyDescent="0.3">
      <c r="C8" s="109" t="s">
        <v>718</v>
      </c>
      <c r="D8" s="109"/>
      <c r="E8" s="109" t="s">
        <v>719</v>
      </c>
      <c r="F8" s="109"/>
      <c r="G8" s="109" t="s">
        <v>720</v>
      </c>
      <c r="H8" s="109"/>
      <c r="I8" s="109" t="s">
        <v>721</v>
      </c>
      <c r="J8" s="109"/>
      <c r="K8" s="111" t="s">
        <v>174</v>
      </c>
      <c r="L8" s="111"/>
      <c r="M8" s="112">
        <f>IbovUsed</f>
        <v>208431.92</v>
      </c>
      <c r="N8" s="112"/>
    </row>
    <row r="9" spans="2:15" ht="19.05" customHeight="1" x14ac:dyDescent="0.3">
      <c r="C9" s="109"/>
      <c r="D9" s="109"/>
      <c r="E9" s="109"/>
      <c r="F9" s="109"/>
      <c r="G9" s="109"/>
      <c r="H9" s="109"/>
      <c r="I9" s="109"/>
      <c r="J9" s="109"/>
      <c r="K9" s="113" t="s">
        <v>726</v>
      </c>
      <c r="L9" s="113"/>
      <c r="M9" s="114">
        <f>Summary!E11</f>
        <v>235695.43773555552</v>
      </c>
      <c r="N9" s="114"/>
    </row>
    <row r="10" spans="2:15" ht="13.95" customHeight="1" x14ac:dyDescent="0.3">
      <c r="K10" s="111" t="s">
        <v>727</v>
      </c>
      <c r="L10" s="111"/>
      <c r="M10" s="115">
        <f>Summary!I11</f>
        <v>0.13080298706433968</v>
      </c>
      <c r="N10" s="115"/>
    </row>
    <row r="11" spans="2:15" ht="13.95" customHeight="1" x14ac:dyDescent="0.3">
      <c r="C11" s="3" t="s">
        <v>717</v>
      </c>
      <c r="K11" s="111" t="s">
        <v>728</v>
      </c>
      <c r="L11" s="111"/>
      <c r="M11" s="112">
        <f>Summary!D11</f>
        <v>191722.24091712025</v>
      </c>
      <c r="N11" s="112"/>
    </row>
    <row r="12" spans="2:15" ht="19.05" customHeight="1" x14ac:dyDescent="0.3">
      <c r="C12" s="110" t="s">
        <v>722</v>
      </c>
      <c r="D12" s="110"/>
      <c r="E12" s="110" t="s">
        <v>723</v>
      </c>
      <c r="F12" s="110"/>
      <c r="G12" s="110" t="s">
        <v>724</v>
      </c>
      <c r="H12" s="110"/>
      <c r="I12" s="110" t="s">
        <v>577</v>
      </c>
      <c r="J12" s="110"/>
      <c r="K12" s="111" t="s">
        <v>729</v>
      </c>
      <c r="L12" s="111"/>
      <c r="M12" s="112">
        <f>Summary!F11</f>
        <v>261607.53937690455</v>
      </c>
      <c r="N12" s="112"/>
    </row>
    <row r="13" spans="2:15" ht="19.05" customHeight="1" x14ac:dyDescent="0.3">
      <c r="C13" s="110"/>
      <c r="D13" s="110"/>
      <c r="E13" s="110"/>
      <c r="F13" s="110"/>
      <c r="G13" s="110"/>
      <c r="H13" s="110"/>
      <c r="I13" s="110"/>
      <c r="J13" s="110"/>
      <c r="K13" s="111" t="s">
        <v>730</v>
      </c>
      <c r="L13" s="111"/>
      <c r="M13" s="116" t="str">
        <f>Checks!C5</f>
        <v>All checks OK</v>
      </c>
      <c r="N13" s="116"/>
    </row>
    <row r="15" spans="2:15" ht="13.95" customHeight="1" x14ac:dyDescent="0.3">
      <c r="K15" s="4" t="s">
        <v>725</v>
      </c>
    </row>
    <row r="16" spans="2:15" ht="13.95" customHeight="1" x14ac:dyDescent="0.3">
      <c r="K16" s="5" t="s">
        <v>731</v>
      </c>
    </row>
    <row r="18" spans="3:8" ht="13.95" customHeight="1" x14ac:dyDescent="0.3">
      <c r="C18" s="6" t="s">
        <v>732</v>
      </c>
    </row>
    <row r="19" spans="3:8" ht="13.95" customHeight="1" x14ac:dyDescent="0.3">
      <c r="C19" s="117" t="s">
        <v>211</v>
      </c>
      <c r="D19" s="117"/>
      <c r="E19" s="117"/>
      <c r="F19" s="7" t="s">
        <v>218</v>
      </c>
      <c r="G19" s="7" t="s">
        <v>733</v>
      </c>
      <c r="H19" s="7" t="s">
        <v>175</v>
      </c>
    </row>
    <row r="20" spans="3:8" ht="13.95" customHeight="1" x14ac:dyDescent="0.3">
      <c r="C20" s="118" t="s">
        <v>256</v>
      </c>
      <c r="D20" s="118"/>
      <c r="E20" s="118"/>
      <c r="F20" s="9">
        <f>Summary!C7</f>
        <v>60927.303521809401</v>
      </c>
      <c r="G20" s="9">
        <f>Summary!E7</f>
        <v>64254.945011603748</v>
      </c>
      <c r="H20" s="10">
        <f>Summary!I7</f>
        <v>5.461658890916099E-2</v>
      </c>
    </row>
    <row r="21" spans="3:8" ht="13.95" customHeight="1" x14ac:dyDescent="0.3">
      <c r="C21" s="118" t="s">
        <v>284</v>
      </c>
      <c r="D21" s="118"/>
      <c r="E21" s="118"/>
      <c r="F21" s="9">
        <f>Summary!C8</f>
        <v>55822.367361651384</v>
      </c>
      <c r="G21" s="9">
        <f>Summary!E8</f>
        <v>65034.096396735324</v>
      </c>
      <c r="H21" s="10">
        <f>Summary!I8</f>
        <v>0.16501860222811282</v>
      </c>
    </row>
    <row r="22" spans="3:8" ht="13.95" customHeight="1" x14ac:dyDescent="0.3">
      <c r="C22" s="118" t="s">
        <v>335</v>
      </c>
      <c r="D22" s="118"/>
      <c r="E22" s="118"/>
      <c r="F22" s="9">
        <f>Summary!C9</f>
        <v>26271.074646272005</v>
      </c>
      <c r="G22" s="9">
        <f>Summary!E9</f>
        <v>42289.694621529641</v>
      </c>
      <c r="H22" s="10">
        <f>Summary!I9</f>
        <v>0.60974361311598479</v>
      </c>
    </row>
    <row r="23" spans="3:8" ht="13.95" customHeight="1" x14ac:dyDescent="0.3">
      <c r="C23" s="118" t="s">
        <v>386</v>
      </c>
      <c r="D23" s="118"/>
      <c r="E23" s="118"/>
      <c r="F23" s="9">
        <f>Summary!C10</f>
        <v>65411.174470267266</v>
      </c>
      <c r="G23" s="9">
        <f>Summary!E10</f>
        <v>64116.701705686814</v>
      </c>
      <c r="H23" s="10">
        <f>Summary!I10</f>
        <v>-1.9789780187617012E-2</v>
      </c>
    </row>
    <row r="24" spans="3:8" ht="13.95" customHeight="1" x14ac:dyDescent="0.3">
      <c r="C24" s="119" t="s">
        <v>535</v>
      </c>
      <c r="D24" s="119"/>
      <c r="E24" s="119"/>
      <c r="F24" s="12">
        <f>Summary!C11</f>
        <v>208431.92000000004</v>
      </c>
      <c r="G24" s="12">
        <f>Summary!E11</f>
        <v>235695.43773555552</v>
      </c>
      <c r="H24" s="13">
        <f>Summary!I11</f>
        <v>0.13080298706433968</v>
      </c>
    </row>
    <row r="26" spans="3:8" ht="13.95" customHeight="1" x14ac:dyDescent="0.3">
      <c r="C26" s="14" t="s">
        <v>734</v>
      </c>
    </row>
  </sheetData>
  <mergeCells count="26">
    <mergeCell ref="C24:E24"/>
    <mergeCell ref="C19:E19"/>
    <mergeCell ref="C20:E20"/>
    <mergeCell ref="C21:E21"/>
    <mergeCell ref="C22:E22"/>
    <mergeCell ref="C23:E23"/>
    <mergeCell ref="K11:L11"/>
    <mergeCell ref="M11:N11"/>
    <mergeCell ref="K12:L12"/>
    <mergeCell ref="M12:N12"/>
    <mergeCell ref="K13:L13"/>
    <mergeCell ref="M13:N13"/>
    <mergeCell ref="K8:L8"/>
    <mergeCell ref="M8:N8"/>
    <mergeCell ref="K9:L9"/>
    <mergeCell ref="M9:N9"/>
    <mergeCell ref="K10:L10"/>
    <mergeCell ref="M10:N10"/>
    <mergeCell ref="C8:D9"/>
    <mergeCell ref="E8:F9"/>
    <mergeCell ref="G8:H9"/>
    <mergeCell ref="I8:J9"/>
    <mergeCell ref="C12:D13"/>
    <mergeCell ref="E12:F13"/>
    <mergeCell ref="G12:H13"/>
    <mergeCell ref="I12:J13"/>
  </mergeCells>
  <hyperlinks>
    <hyperlink ref="C8" location="'Summary'!A1" tooltip="Go to Summary" display="Summary" xr:uid="{00000000-0004-0000-0000-000000000000}"/>
    <hyperlink ref="E8" location="'Assumptions'!A1" tooltip="Go to Assumptions" display="Assumptions" xr:uid="{00000000-0004-0000-0000-000001000000}"/>
    <hyperlink ref="G8" location="'DCF by Box'!A1" tooltip="Go to DCF by Box" display="DCF by Box" xr:uid="{00000000-0004-0000-0000-000002000000}"/>
    <hyperlink ref="I8" location="'DCF'!A1" tooltip="Go to DCF" display="DCF_x000a_(Ibovespa)" xr:uid="{00000000-0004-0000-0000-000003000000}"/>
    <hyperlink ref="C12" location="'Sensitivity'!A1" tooltip="Go to Sensitivity" display="Sensitivity" xr:uid="{00000000-0004-0000-0000-000004000000}"/>
    <hyperlink ref="E12" location="'Box Shares'!A1" tooltip="Go to Box Shares" display="Box Shares" xr:uid="{00000000-0004-0000-0000-000005000000}"/>
    <hyperlink ref="G12" location="'Members'!A1" tooltip="Go to Members" display="Members_x000a_(76 stocks)" xr:uid="{00000000-0004-0000-0000-000006000000}"/>
    <hyperlink ref="I12" location="'Checks'!A1" tooltip="Go to Checks" display="Checks" xr:uid="{00000000-0004-0000-0000-000007000000}"/>
    <hyperlink ref="K15" location="'Read Me'!A1" display="How this model works &gt;&gt;" xr:uid="{00000000-0004-0000-0000-000008000000}"/>
  </hyperlinks>
  <pageMargins left="0.7" right="0.7" top="0.75" bottom="0.75" header="0.3" footer="0.3"/>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J72"/>
  <sheetViews>
    <sheetView showGridLines="0" zoomScale="85" zoomScaleNormal="85" workbookViewId="0">
      <pane ySplit="4" topLeftCell="A5" activePane="bottomLeft" state="frozen"/>
      <selection pane="bottomLeft"/>
    </sheetView>
  </sheetViews>
  <sheetFormatPr defaultRowHeight="13.95" customHeight="1" x14ac:dyDescent="0.3"/>
  <cols>
    <col min="1" max="1" width="2.6640625" customWidth="1"/>
    <col min="2" max="2" width="56.6640625" customWidth="1"/>
    <col min="3" max="10" width="13.6640625" customWidth="1"/>
  </cols>
  <sheetData>
    <row r="1" spans="2:10" ht="30" customHeight="1" x14ac:dyDescent="0.3">
      <c r="B1" s="15" t="s">
        <v>574</v>
      </c>
    </row>
    <row r="2" spans="2:10" ht="13.95" customHeight="1" x14ac:dyDescent="0.3">
      <c r="B2" s="14" t="s">
        <v>575</v>
      </c>
    </row>
    <row r="3" spans="2:10" ht="13.95" customHeight="1" x14ac:dyDescent="0.3">
      <c r="B3" s="14" t="s">
        <v>174</v>
      </c>
      <c r="C3" s="16">
        <f>IbovUsed</f>
        <v>208431.92</v>
      </c>
      <c r="D3" s="14" t="s">
        <v>576</v>
      </c>
      <c r="E3" s="5" t="str">
        <f>CHOOSE(Vintage,"house file","Oct-5-2026")</f>
        <v>Oct-5-2026</v>
      </c>
      <c r="F3" s="14" t="s">
        <v>577</v>
      </c>
      <c r="G3" s="5" t="str">
        <f>Checks!C5</f>
        <v>All checks OK</v>
      </c>
      <c r="H3" s="14" t="s">
        <v>578</v>
      </c>
      <c r="I3" s="5" t="str">
        <f>IF(ScaleBox=1,"yes","no")</f>
        <v>yes</v>
      </c>
    </row>
    <row r="4" spans="2:10" ht="13.95" customHeight="1" x14ac:dyDescent="0.3">
      <c r="B4" s="14" t="s">
        <v>579</v>
      </c>
      <c r="C4" s="5" t="str">
        <f>CHOOSE(BoxRate+1,"the house rate for every box","relative to each box's history (Box Rates)","CAPM: real rate + box beta x ERP (Box Betas)")</f>
        <v>relative to each box's history (Box Rates)</v>
      </c>
    </row>
    <row r="5" spans="2:10" ht="13.95" customHeight="1" x14ac:dyDescent="0.3">
      <c r="B5" s="120" t="s">
        <v>580</v>
      </c>
      <c r="C5" s="120"/>
      <c r="D5" s="120"/>
      <c r="E5" s="120"/>
      <c r="F5" s="120"/>
      <c r="G5" s="120"/>
      <c r="H5" s="120"/>
      <c r="I5" s="120"/>
      <c r="J5" s="120"/>
    </row>
    <row r="6" spans="2:10" ht="13.95" customHeight="1" x14ac:dyDescent="0.3">
      <c r="B6" s="17" t="s">
        <v>423</v>
      </c>
      <c r="C6" s="18" t="s">
        <v>218</v>
      </c>
      <c r="D6" s="18" t="s">
        <v>31</v>
      </c>
      <c r="E6" s="18" t="s">
        <v>32</v>
      </c>
      <c r="F6" s="18" t="s">
        <v>33</v>
      </c>
      <c r="G6" s="18"/>
      <c r="H6" s="18" t="s">
        <v>581</v>
      </c>
      <c r="I6" s="18" t="s">
        <v>32</v>
      </c>
      <c r="J6" s="18" t="s">
        <v>33</v>
      </c>
    </row>
    <row r="7" spans="2:10" ht="13.95" customHeight="1" x14ac:dyDescent="0.3">
      <c r="B7" s="19" t="s">
        <v>256</v>
      </c>
      <c r="C7" s="20">
        <f>'Box Shares'!C7</f>
        <v>60927.303521809401</v>
      </c>
      <c r="D7" s="20">
        <f>'DCF by Box'!C57</f>
        <v>54797.694746401998</v>
      </c>
      <c r="E7" s="20">
        <f>'DCF by Box'!D57</f>
        <v>64254.945011603748</v>
      </c>
      <c r="F7" s="20">
        <f>'DCF by Box'!E57</f>
        <v>71234.793029161257</v>
      </c>
      <c r="H7" s="21">
        <f t="shared" ref="H7:J11" si="0">D7/$C7-1</f>
        <v>-0.10060528566167815</v>
      </c>
      <c r="I7" s="21">
        <f t="shared" si="0"/>
        <v>5.461658890916099E-2</v>
      </c>
      <c r="J7" s="21">
        <f t="shared" si="0"/>
        <v>0.16917685358686874</v>
      </c>
    </row>
    <row r="8" spans="2:10" ht="13.95" customHeight="1" x14ac:dyDescent="0.3">
      <c r="B8" s="19" t="s">
        <v>284</v>
      </c>
      <c r="C8" s="20">
        <f>'Box Shares'!C8</f>
        <v>55822.367361651384</v>
      </c>
      <c r="D8" s="20">
        <f>'DCF by Box'!C98</f>
        <v>55244.06406160054</v>
      </c>
      <c r="E8" s="20">
        <f>'DCF by Box'!D98</f>
        <v>65034.096396735324</v>
      </c>
      <c r="F8" s="20">
        <f>'DCF by Box'!E98</f>
        <v>72213.38629509024</v>
      </c>
      <c r="H8" s="21">
        <f t="shared" si="0"/>
        <v>-1.0359705748490433E-2</v>
      </c>
      <c r="I8" s="21">
        <f t="shared" si="0"/>
        <v>0.16501860222811282</v>
      </c>
      <c r="J8" s="21">
        <f t="shared" si="0"/>
        <v>0.29362815853451396</v>
      </c>
    </row>
    <row r="9" spans="2:10" ht="13.95" customHeight="1" x14ac:dyDescent="0.3">
      <c r="B9" s="19" t="s">
        <v>335</v>
      </c>
      <c r="C9" s="20">
        <f>'Box Shares'!C9</f>
        <v>26271.074646272005</v>
      </c>
      <c r="D9" s="20">
        <f>'DCF by Box'!C139</f>
        <v>27251.18191482178</v>
      </c>
      <c r="E9" s="20">
        <f>'DCF by Box'!D139</f>
        <v>42289.694621529641</v>
      </c>
      <c r="F9" s="20">
        <f>'DCF by Box'!E139</f>
        <v>46906.280788554468</v>
      </c>
      <c r="H9" s="21">
        <f t="shared" si="0"/>
        <v>3.7307467690091523E-2</v>
      </c>
      <c r="I9" s="21">
        <f t="shared" si="0"/>
        <v>0.60974361311598479</v>
      </c>
      <c r="J9" s="21">
        <f t="shared" si="0"/>
        <v>0.78547247952838117</v>
      </c>
    </row>
    <row r="10" spans="2:10" ht="13.95" customHeight="1" x14ac:dyDescent="0.3">
      <c r="B10" s="19" t="s">
        <v>386</v>
      </c>
      <c r="C10" s="20">
        <f>'Box Shares'!C10</f>
        <v>65411.174470267266</v>
      </c>
      <c r="D10" s="20">
        <f>'DCF by Box'!C180</f>
        <v>54429.300194295894</v>
      </c>
      <c r="E10" s="20">
        <f>'DCF by Box'!D180</f>
        <v>64116.701705686814</v>
      </c>
      <c r="F10" s="20">
        <f>'DCF by Box'!E180</f>
        <v>71253.079264098618</v>
      </c>
      <c r="H10" s="21">
        <f t="shared" si="0"/>
        <v>-0.16788988066501076</v>
      </c>
      <c r="I10" s="21">
        <f t="shared" si="0"/>
        <v>-1.9789780187617012E-2</v>
      </c>
      <c r="J10" s="21">
        <f t="shared" si="0"/>
        <v>8.9310501472295023E-2</v>
      </c>
    </row>
    <row r="11" spans="2:10" ht="13.95" customHeight="1" x14ac:dyDescent="0.3">
      <c r="B11" s="11" t="s">
        <v>535</v>
      </c>
      <c r="C11" s="22">
        <f>SUM(C7:C10)</f>
        <v>208431.92000000004</v>
      </c>
      <c r="D11" s="22">
        <f>SUM(D7:D10)</f>
        <v>191722.24091712025</v>
      </c>
      <c r="E11" s="22">
        <f>SUM(E7:E10)</f>
        <v>235695.43773555552</v>
      </c>
      <c r="F11" s="22">
        <f>SUM(F7:F10)</f>
        <v>261607.53937690455</v>
      </c>
      <c r="H11" s="23">
        <f t="shared" si="0"/>
        <v>-8.0168522570246425E-2</v>
      </c>
      <c r="I11" s="23">
        <f t="shared" si="0"/>
        <v>0.13080298706433968</v>
      </c>
      <c r="J11" s="23">
        <f t="shared" si="0"/>
        <v>0.25512224508081349</v>
      </c>
    </row>
    <row r="12" spans="2:10" ht="13.95" customHeight="1" x14ac:dyDescent="0.3">
      <c r="B12" s="14" t="s">
        <v>582</v>
      </c>
    </row>
    <row r="13" spans="2:10" ht="13.95" customHeight="1" x14ac:dyDescent="0.3">
      <c r="B13" s="19" t="s">
        <v>336</v>
      </c>
      <c r="C13" s="20">
        <f>'Box Shares'!C14</f>
        <v>16066.51953698895</v>
      </c>
      <c r="D13" s="20">
        <f>'DCF by Box'!C221</f>
        <v>20090.494242288401</v>
      </c>
      <c r="E13" s="20">
        <f>'DCF by Box'!D221</f>
        <v>28924.181994769671</v>
      </c>
      <c r="F13" s="20">
        <f>'DCF by Box'!E221</f>
        <v>32105.636086266222</v>
      </c>
      <c r="H13" s="21">
        <f t="shared" ref="H13:J14" si="1">D13/$C13-1</f>
        <v>0.25045715072485386</v>
      </c>
      <c r="I13" s="21">
        <f t="shared" si="1"/>
        <v>0.80027677607333203</v>
      </c>
      <c r="J13" s="21">
        <f t="shared" si="1"/>
        <v>0.99829440423306437</v>
      </c>
    </row>
    <row r="14" spans="2:10" ht="13.95" customHeight="1" x14ac:dyDescent="0.3">
      <c r="B14" s="19" t="s">
        <v>381</v>
      </c>
      <c r="C14" s="20">
        <f>'Box Shares'!C15</f>
        <v>10204.555109283054</v>
      </c>
      <c r="D14" s="20">
        <f>'DCF by Box'!C262</f>
        <v>7160.6876725333614</v>
      </c>
      <c r="E14" s="20">
        <f>'DCF by Box'!D262</f>
        <v>12859.720186562852</v>
      </c>
      <c r="F14" s="20">
        <f>'DCF by Box'!E262</f>
        <v>15715.205144866932</v>
      </c>
      <c r="H14" s="21">
        <f t="shared" si="1"/>
        <v>-0.29828516815796258</v>
      </c>
      <c r="I14" s="21">
        <f t="shared" si="1"/>
        <v>0.26019410438230683</v>
      </c>
      <c r="J14" s="21">
        <f t="shared" si="1"/>
        <v>0.54001864623876217</v>
      </c>
    </row>
    <row r="16" spans="2:10" ht="13.95" customHeight="1" x14ac:dyDescent="0.3">
      <c r="B16" s="120" t="s">
        <v>583</v>
      </c>
      <c r="C16" s="120"/>
      <c r="D16" s="120"/>
      <c r="E16" s="120"/>
      <c r="F16" s="120"/>
      <c r="G16" s="120"/>
      <c r="H16" s="120"/>
      <c r="I16" s="120"/>
      <c r="J16" s="120"/>
    </row>
    <row r="17" spans="2:10" ht="30" customHeight="1" x14ac:dyDescent="0.3">
      <c r="B17" s="17" t="s">
        <v>423</v>
      </c>
      <c r="C17" s="18"/>
      <c r="D17" s="18" t="s">
        <v>584</v>
      </c>
      <c r="E17" s="18" t="s">
        <v>585</v>
      </c>
      <c r="F17" s="18" t="s">
        <v>586</v>
      </c>
      <c r="G17" s="18" t="s">
        <v>587</v>
      </c>
      <c r="H17" s="18" t="s">
        <v>588</v>
      </c>
      <c r="I17" s="18" t="s">
        <v>589</v>
      </c>
      <c r="J17" s="18" t="s">
        <v>590</v>
      </c>
    </row>
    <row r="18" spans="2:10" ht="13.95" customHeight="1" x14ac:dyDescent="0.3">
      <c r="B18" s="19" t="s">
        <v>256</v>
      </c>
      <c r="D18" s="24">
        <f>H7</f>
        <v>-0.10060528566167815</v>
      </c>
      <c r="E18" s="25">
        <f>$D$68/$C$7-1</f>
        <v>-0.26279941648407956</v>
      </c>
      <c r="F18" s="24">
        <f>I7</f>
        <v>5.461658890916099E-2</v>
      </c>
      <c r="G18" s="25">
        <f>$D$69/$C$7-1</f>
        <v>-7.5462707928298345E-2</v>
      </c>
      <c r="H18" s="24">
        <f>J7</f>
        <v>0.16917685358686874</v>
      </c>
      <c r="I18" s="25">
        <f>$D$70/$C$7-1</f>
        <v>0.17646309742568667</v>
      </c>
      <c r="J18" s="21">
        <f>'DCF by Box'!$D$61*IF(ScaleBox=1,'DCF by Box'!$D$14,1)/$C$7-1</f>
        <v>8.1885096124227896E-2</v>
      </c>
    </row>
    <row r="19" spans="2:10" ht="13.95" customHeight="1" x14ac:dyDescent="0.3">
      <c r="B19" s="19" t="s">
        <v>284</v>
      </c>
      <c r="D19" s="24">
        <f>H8</f>
        <v>-1.0359705748490433E-2</v>
      </c>
      <c r="E19" s="25">
        <f>$E$68/$C$8-1</f>
        <v>-0.13463029017886641</v>
      </c>
      <c r="F19" s="24">
        <f>I8</f>
        <v>0.16501860222811282</v>
      </c>
      <c r="G19" s="25">
        <f>$E$69/$C$8-1</f>
        <v>7.0674258862894135E-2</v>
      </c>
      <c r="H19" s="24">
        <f>J8</f>
        <v>0.29362815853451396</v>
      </c>
      <c r="I19" s="25">
        <f>$E$70/$C$8-1</f>
        <v>0.31471270522329498</v>
      </c>
      <c r="J19" s="21">
        <f>'DCF by Box'!$D$102*IF(ScaleBox=1,'DCF by Box'!$D$14,1)/$C$8-1</f>
        <v>-0.19702916865880138</v>
      </c>
    </row>
    <row r="20" spans="2:10" ht="13.95" customHeight="1" x14ac:dyDescent="0.3">
      <c r="B20" s="19" t="s">
        <v>335</v>
      </c>
      <c r="D20" s="24">
        <f>H9</f>
        <v>3.7307467690091523E-2</v>
      </c>
      <c r="E20" s="25">
        <f>$F$68/$C$9-1</f>
        <v>1.5544907398074681E-2</v>
      </c>
      <c r="F20" s="24">
        <f>I9</f>
        <v>0.60974361311598479</v>
      </c>
      <c r="G20" s="25">
        <f>$F$69/$C$9-1</f>
        <v>0.3965175243781196</v>
      </c>
      <c r="H20" s="24">
        <f>J9</f>
        <v>0.78547247952838117</v>
      </c>
      <c r="I20" s="25">
        <f>$F$70/$C$9-1</f>
        <v>0.84691699557750688</v>
      </c>
      <c r="J20" s="21">
        <f>'DCF by Box'!$D$143*IF(ScaleBox=1,'DCF by Box'!$D$14,1)/$C$9-1</f>
        <v>-0.5062909593939765</v>
      </c>
    </row>
    <row r="21" spans="2:10" ht="13.95" customHeight="1" x14ac:dyDescent="0.3">
      <c r="B21" s="19" t="s">
        <v>386</v>
      </c>
      <c r="D21" s="24">
        <f>H10</f>
        <v>-0.16788988066501076</v>
      </c>
      <c r="E21" s="25">
        <f>$G$68/$C$10-1</f>
        <v>-0.16662893969183956</v>
      </c>
      <c r="F21" s="24">
        <f>I10</f>
        <v>-1.9789780187617012E-2</v>
      </c>
      <c r="G21" s="25">
        <f>$G$69/$C$10-1</f>
        <v>0.16870547151416715</v>
      </c>
      <c r="H21" s="24">
        <f>J10</f>
        <v>8.9310501472295023E-2</v>
      </c>
      <c r="I21" s="25">
        <f>$G$70/$C$10-1</f>
        <v>0.54777705194360249</v>
      </c>
      <c r="J21" s="21">
        <f>'DCF by Box'!$D$184*IF(ScaleBox=1,'DCF by Box'!$D$14,1)/$C$10-1</f>
        <v>0.71201782001417069</v>
      </c>
    </row>
    <row r="22" spans="2:10" ht="13.95" customHeight="1" x14ac:dyDescent="0.3">
      <c r="B22" s="11" t="s">
        <v>535</v>
      </c>
      <c r="D22" s="23">
        <f>H11</f>
        <v>-8.0168522570246425E-2</v>
      </c>
      <c r="E22" s="26">
        <f>$H$68/$C$11-1</f>
        <v>-0.16320942854244513</v>
      </c>
      <c r="F22" s="23">
        <f>I11</f>
        <v>0.13080298706433968</v>
      </c>
      <c r="G22" s="26">
        <f>$H$69/$C$11-1</f>
        <v>9.9790999591263363E-2</v>
      </c>
      <c r="H22" s="23">
        <f>J11</f>
        <v>0.25512224508081349</v>
      </c>
      <c r="I22" s="26">
        <f>$H$70/$C$11-1</f>
        <v>0.4145218681817644</v>
      </c>
      <c r="J22" s="23">
        <f>'DCF by Box'!$D$13*IF(ScaleBox=1,'DCF by Box'!$D$14,1)/$C$11-1</f>
        <v>0.13080298706433968</v>
      </c>
    </row>
    <row r="23" spans="2:10" ht="13.95" customHeight="1" x14ac:dyDescent="0.3">
      <c r="B23" s="14" t="s">
        <v>444</v>
      </c>
    </row>
    <row r="24" spans="2:10" ht="13.95" customHeight="1" x14ac:dyDescent="0.3">
      <c r="B24" s="19" t="s">
        <v>336</v>
      </c>
      <c r="D24" s="24">
        <f>H13</f>
        <v>0.25045715072485386</v>
      </c>
      <c r="E24" s="25">
        <f>$I$68/$C$13-1</f>
        <v>0.13423126531087926</v>
      </c>
      <c r="F24" s="24">
        <f>I13</f>
        <v>0.80027677607333203</v>
      </c>
      <c r="G24" s="25">
        <f>$I$69/$C$13-1</f>
        <v>0.62781467361198695</v>
      </c>
      <c r="H24" s="24">
        <f>J13</f>
        <v>0.99829440423306437</v>
      </c>
      <c r="I24" s="25">
        <f>$I$70/$C$13-1</f>
        <v>1.2146051434176091</v>
      </c>
      <c r="J24" s="21">
        <f>'DCF by Box'!$D$225*IF(ScaleBox=1,'DCF by Box'!$D$14,1)/$C$13-1</f>
        <v>-0.41012575653348071</v>
      </c>
    </row>
    <row r="25" spans="2:10" ht="13.95" customHeight="1" x14ac:dyDescent="0.3">
      <c r="B25" s="19" t="s">
        <v>381</v>
      </c>
      <c r="D25" s="24">
        <f>H14</f>
        <v>-0.29828516815796258</v>
      </c>
      <c r="E25" s="25">
        <f>$J$68/$C$14-1</f>
        <v>-0.25637844504313412</v>
      </c>
      <c r="F25" s="24">
        <f>I14</f>
        <v>0.26019410438230683</v>
      </c>
      <c r="G25" s="25">
        <f>$J$69/$C$14-1</f>
        <v>0.25783362027400614</v>
      </c>
      <c r="H25" s="24">
        <f>J14</f>
        <v>0.54001864623876217</v>
      </c>
      <c r="I25" s="25">
        <f>$J$70/$C$14-1</f>
        <v>0.82151302862020259</v>
      </c>
      <c r="J25" s="21">
        <f>'DCF by Box'!$D$266*IF(ScaleBox=1,'DCF by Box'!$D$14,1)/$C$14-1</f>
        <v>-0.65769786483869774</v>
      </c>
    </row>
    <row r="26" spans="2:10" ht="13.95" customHeight="1" x14ac:dyDescent="0.3">
      <c r="B26" s="5" t="s">
        <v>591</v>
      </c>
      <c r="D26" s="27">
        <f>AVERAGE(ABS(D18-E18),ABS(D19-E19),ABS(D20-E20),ABS(D21-E21))</f>
        <v>7.7372054129491358E-2</v>
      </c>
      <c r="F26" s="27">
        <f>AVERAGE(ABS(F18-G18),ABS(F19-G19),ABS(F20-G20),ABS(F21-G21))</f>
        <v>0.15653624516058184</v>
      </c>
      <c r="H26" s="27">
        <f>AVERAGE(ABS(H18-I18),ABS(H19-I19),ABS(H20-I20),ABS(H21-I21))</f>
        <v>0.13707046426200803</v>
      </c>
      <c r="J26" s="27">
        <f>AVERAGE(ABS(J18-G18),ABS(J19-G19),ABS(J20-G20),ABS(J21-G21))</f>
        <v>0.46779301596158035</v>
      </c>
    </row>
    <row r="27" spans="2:10" ht="13.95" customHeight="1" x14ac:dyDescent="0.3">
      <c r="B27" s="14" t="s">
        <v>592</v>
      </c>
    </row>
    <row r="29" spans="2:10" ht="13.95" customHeight="1" x14ac:dyDescent="0.3">
      <c r="B29" s="120" t="s">
        <v>593</v>
      </c>
      <c r="C29" s="120"/>
      <c r="D29" s="120"/>
      <c r="E29" s="120"/>
      <c r="F29" s="120"/>
      <c r="G29" s="120"/>
      <c r="H29" s="120"/>
      <c r="I29" s="120"/>
      <c r="J29" s="120"/>
    </row>
    <row r="30" spans="2:10" ht="30" customHeight="1" x14ac:dyDescent="0.3">
      <c r="B30" s="17" t="s">
        <v>423</v>
      </c>
      <c r="C30" s="18" t="s">
        <v>594</v>
      </c>
      <c r="D30" s="18" t="s">
        <v>595</v>
      </c>
      <c r="E30" s="18" t="s">
        <v>32</v>
      </c>
      <c r="F30" s="18" t="s">
        <v>33</v>
      </c>
      <c r="G30" s="18" t="s">
        <v>596</v>
      </c>
      <c r="H30" s="18" t="s">
        <v>538</v>
      </c>
      <c r="I30" s="18" t="s">
        <v>32</v>
      </c>
      <c r="J30" s="18" t="s">
        <v>33</v>
      </c>
    </row>
    <row r="31" spans="2:10" ht="13.95" customHeight="1" x14ac:dyDescent="0.3">
      <c r="B31" s="19" t="s">
        <v>256</v>
      </c>
      <c r="C31" s="28">
        <f>'Box Rates'!G7</f>
        <v>0.92451760279086559</v>
      </c>
      <c r="D31" s="29">
        <f>'Box Rates'!C21</f>
        <v>0.13760272507350485</v>
      </c>
      <c r="E31" s="29">
        <f>'Box Rates'!D21</f>
        <v>0.12151611878494376</v>
      </c>
      <c r="F31" s="29">
        <f>'Box Rates'!E21</f>
        <v>0.11448978500373318</v>
      </c>
      <c r="G31" s="30">
        <f>'Box Betas'!I7</f>
        <v>1.1490636580507501</v>
      </c>
      <c r="H31" s="29">
        <f>'Box Rates'!G21</f>
        <v>5.2602725073504844E-2</v>
      </c>
      <c r="I31" s="29">
        <f>'Box Rates'!H21</f>
        <v>5.3916118784943762E-2</v>
      </c>
      <c r="J31" s="29">
        <f>'Box Rates'!I21</f>
        <v>5.4489785003733179E-2</v>
      </c>
    </row>
    <row r="32" spans="2:10" ht="13.95" customHeight="1" x14ac:dyDescent="0.3">
      <c r="B32" s="19" t="s">
        <v>284</v>
      </c>
      <c r="C32" s="28">
        <f>'Box Rates'!G8</f>
        <v>0.6352434851012756</v>
      </c>
      <c r="D32" s="29">
        <f>'Box Rates'!C22</f>
        <v>0.10925386153992503</v>
      </c>
      <c r="E32" s="29">
        <f>'Box Rates'!D22</f>
        <v>9.8200624899162814E-2</v>
      </c>
      <c r="F32" s="29">
        <f>'Box Rates'!E22</f>
        <v>9.3372774412393111E-2</v>
      </c>
      <c r="G32" s="30">
        <f>'Box Betas'!I8</f>
        <v>0.92867396464650487</v>
      </c>
      <c r="H32" s="29">
        <f>'Box Rates'!G22</f>
        <v>2.4253861539925023E-2</v>
      </c>
      <c r="I32" s="29">
        <f>'Box Rates'!H22</f>
        <v>3.060062489916282E-2</v>
      </c>
      <c r="J32" s="29">
        <f>'Box Rates'!I22</f>
        <v>3.3372774412393114E-2</v>
      </c>
    </row>
    <row r="33" spans="2:10" ht="13.95" customHeight="1" x14ac:dyDescent="0.3">
      <c r="B33" s="19" t="s">
        <v>335</v>
      </c>
      <c r="C33" s="28">
        <f>'Box Rates'!G9</f>
        <v>0.29730445419444596</v>
      </c>
      <c r="D33" s="29">
        <f>'Box Rates'!C23</f>
        <v>8.5000000000000006E-2</v>
      </c>
      <c r="E33" s="29">
        <f>'Box Rates'!D23</f>
        <v>7.0962739008072345E-2</v>
      </c>
      <c r="F33" s="29">
        <f>'Box Rates'!E23</f>
        <v>6.870322515619455E-2</v>
      </c>
      <c r="G33" s="30">
        <f>'Box Betas'!I9</f>
        <v>1.150451096712058</v>
      </c>
      <c r="H33" s="29">
        <f>'Box Rates'!G23</f>
        <v>0</v>
      </c>
      <c r="I33" s="29">
        <f>'Box Rates'!H23</f>
        <v>3.3627390080723518E-3</v>
      </c>
      <c r="J33" s="29">
        <f>'Box Rates'!I23</f>
        <v>8.7032251561945523E-3</v>
      </c>
    </row>
    <row r="34" spans="2:10" ht="13.95" customHeight="1" x14ac:dyDescent="0.3">
      <c r="B34" s="19" t="s">
        <v>386</v>
      </c>
      <c r="C34" s="28">
        <f>'Box Rates'!G10</f>
        <v>1.5352799685930207</v>
      </c>
      <c r="D34" s="29">
        <f>'Box Rates'!C24</f>
        <v>0.19745743692211604</v>
      </c>
      <c r="E34" s="29">
        <f>'Box Rates'!D24</f>
        <v>0.17074356546859745</v>
      </c>
      <c r="F34" s="29">
        <f>'Box Rates'!E24</f>
        <v>0.15907543770729049</v>
      </c>
      <c r="G34" s="30">
        <f>'Box Betas'!I10</f>
        <v>0.87168584069919741</v>
      </c>
      <c r="H34" s="29">
        <f>'Box Rates'!G24</f>
        <v>0.11245743692211603</v>
      </c>
      <c r="I34" s="29">
        <f>'Box Rates'!H24</f>
        <v>0.10314356546859746</v>
      </c>
      <c r="J34" s="29">
        <f>'Box Rates'!I24</f>
        <v>9.9075437707290492E-2</v>
      </c>
    </row>
    <row r="35" spans="2:10" ht="13.95" customHeight="1" x14ac:dyDescent="0.3">
      <c r="B35" s="11" t="s">
        <v>597</v>
      </c>
      <c r="C35" s="31">
        <f>'Box Rates'!G11</f>
        <v>1</v>
      </c>
      <c r="D35" s="32">
        <f>'Box Rates'!C19</f>
        <v>0.14500000000000002</v>
      </c>
      <c r="E35" s="32">
        <f>'Box Rates'!D19</f>
        <v>0.12759999999999999</v>
      </c>
      <c r="F35" s="32">
        <f>'Box Rates'!E19</f>
        <v>0.12</v>
      </c>
      <c r="G35" s="33">
        <f>'Box Betas'!I11</f>
        <v>1</v>
      </c>
      <c r="H35" s="32">
        <f>'Box Rates'!G19</f>
        <v>6.0000000000000012E-2</v>
      </c>
      <c r="I35" s="32">
        <f>'Box Rates'!H19</f>
        <v>0.06</v>
      </c>
      <c r="J35" s="32">
        <f>'Box Rates'!I19</f>
        <v>0.06</v>
      </c>
    </row>
    <row r="36" spans="2:10" ht="13.95" customHeight="1" x14ac:dyDescent="0.3">
      <c r="B36" s="14" t="s">
        <v>444</v>
      </c>
    </row>
    <row r="37" spans="2:10" ht="13.95" customHeight="1" x14ac:dyDescent="0.3">
      <c r="B37" s="19" t="s">
        <v>336</v>
      </c>
      <c r="C37" s="28">
        <f>'Box Rates'!G13</f>
        <v>0.32038361608817867</v>
      </c>
      <c r="D37" s="29">
        <f>'Box Rates'!C26</f>
        <v>8.5000000000000006E-2</v>
      </c>
      <c r="E37" s="29">
        <f>'Box Rates'!D26</f>
        <v>7.28229194567072E-2</v>
      </c>
      <c r="F37" s="29">
        <f>'Box Rates'!E26</f>
        <v>7.0388003974437036E-2</v>
      </c>
      <c r="G37" s="30">
        <f>'Box Betas'!I13</f>
        <v>1.3187145743497621</v>
      </c>
      <c r="H37" s="29">
        <f>'Box Rates'!G26</f>
        <v>0</v>
      </c>
      <c r="I37" s="29">
        <f>'Box Rates'!H26</f>
        <v>5.2229194567072063E-3</v>
      </c>
      <c r="J37" s="29">
        <f>'Box Rates'!I26</f>
        <v>1.0388003974437038E-2</v>
      </c>
    </row>
    <row r="38" spans="2:10" ht="13.95" customHeight="1" x14ac:dyDescent="0.3">
      <c r="B38" s="19" t="s">
        <v>381</v>
      </c>
      <c r="C38" s="28">
        <f>'Box Rates'!G14</f>
        <v>0.23199021588247207</v>
      </c>
      <c r="D38" s="29">
        <f>'Box Rates'!C27</f>
        <v>8.5000000000000006E-2</v>
      </c>
      <c r="E38" s="29">
        <f>'Box Rates'!D27</f>
        <v>6.7599999999999993E-2</v>
      </c>
      <c r="F38" s="29">
        <f>'Box Rates'!E27</f>
        <v>6.3935285759420452E-2</v>
      </c>
      <c r="G38" s="30">
        <f>'Box Betas'!I14</f>
        <v>0.71783451900492579</v>
      </c>
      <c r="H38" s="29">
        <f>'Box Rates'!G27</f>
        <v>0</v>
      </c>
      <c r="I38" s="29">
        <f>'Box Rates'!H27</f>
        <v>0</v>
      </c>
      <c r="J38" s="29">
        <f>'Box Rates'!I27</f>
        <v>3.9352857594204538E-3</v>
      </c>
    </row>
    <row r="39" spans="2:10" ht="13.95" customHeight="1" x14ac:dyDescent="0.3">
      <c r="B39" s="14" t="s">
        <v>598</v>
      </c>
    </row>
    <row r="41" spans="2:10" ht="13.95" customHeight="1" x14ac:dyDescent="0.3">
      <c r="B41" s="120" t="s">
        <v>599</v>
      </c>
      <c r="C41" s="120"/>
      <c r="D41" s="120"/>
      <c r="E41" s="120"/>
      <c r="F41" s="120"/>
      <c r="G41" s="120"/>
      <c r="H41" s="120"/>
      <c r="I41" s="120"/>
      <c r="J41" s="120"/>
    </row>
    <row r="42" spans="2:10" ht="13.95" customHeight="1" x14ac:dyDescent="0.3">
      <c r="B42" s="17"/>
      <c r="C42" s="18"/>
      <c r="D42" s="18" t="s">
        <v>31</v>
      </c>
      <c r="E42" s="18" t="s">
        <v>32</v>
      </c>
      <c r="F42" s="18" t="s">
        <v>33</v>
      </c>
      <c r="G42" s="18"/>
      <c r="H42" s="18" t="s">
        <v>581</v>
      </c>
      <c r="I42" s="18" t="s">
        <v>32</v>
      </c>
      <c r="J42" s="18" t="s">
        <v>33</v>
      </c>
    </row>
    <row r="43" spans="2:10" ht="13.95" customHeight="1" x14ac:dyDescent="0.3">
      <c r="B43" s="19" t="s">
        <v>256</v>
      </c>
      <c r="D43" s="20">
        <f>'DCF by Box'!C54</f>
        <v>56491.129332310389</v>
      </c>
      <c r="E43" s="20">
        <f>'DCF by Box'!D54</f>
        <v>69096.294324145405</v>
      </c>
      <c r="F43" s="20">
        <f>'DCF by Box'!E54</f>
        <v>76515.628651241554</v>
      </c>
      <c r="H43" s="21">
        <f>'DCF by Box'!C56</f>
        <v>-7.2810939153265641E-2</v>
      </c>
      <c r="I43" s="21">
        <f>'DCF by Box'!D56</f>
        <v>0.13407766846947111</v>
      </c>
      <c r="J43" s="21">
        <f>'DCF by Box'!E56</f>
        <v>0.25585122315239484</v>
      </c>
    </row>
    <row r="44" spans="2:10" ht="13.95" customHeight="1" x14ac:dyDescent="0.3">
      <c r="B44" s="19" t="s">
        <v>284</v>
      </c>
      <c r="D44" s="20">
        <f>'DCF by Box'!C95</f>
        <v>56951.292972980897</v>
      </c>
      <c r="E44" s="20">
        <f>'DCF by Box'!D95</f>
        <v>69934.151603774153</v>
      </c>
      <c r="F44" s="20">
        <f>'DCF by Box'!E95</f>
        <v>77566.767789187463</v>
      </c>
      <c r="H44" s="21">
        <f>'DCF by Box'!C97</f>
        <v>2.0223535200785125E-2</v>
      </c>
      <c r="I44" s="21">
        <f>'DCF by Box'!D97</f>
        <v>0.25279802539899476</v>
      </c>
      <c r="J44" s="21">
        <f>'DCF by Box'!E97</f>
        <v>0.3895284534721104</v>
      </c>
    </row>
    <row r="45" spans="2:10" ht="13.95" customHeight="1" x14ac:dyDescent="0.3">
      <c r="B45" s="19" t="s">
        <v>335</v>
      </c>
      <c r="D45" s="20">
        <f>'DCF by Box'!C136</f>
        <v>28093.335844380475</v>
      </c>
      <c r="E45" s="20">
        <f>'DCF by Box'!D136</f>
        <v>45476.051468408361</v>
      </c>
      <c r="F45" s="20">
        <f>'DCF by Box'!E136</f>
        <v>50383.575351424843</v>
      </c>
      <c r="H45" s="21">
        <f>'DCF by Box'!C138</f>
        <v>6.9363785937361921E-2</v>
      </c>
      <c r="I45" s="21">
        <f>'DCF by Box'!D138</f>
        <v>0.73103126083430459</v>
      </c>
      <c r="J45" s="21">
        <f>'DCF by Box'!E138</f>
        <v>0.91783457775582544</v>
      </c>
    </row>
    <row r="46" spans="2:10" ht="13.95" customHeight="1" x14ac:dyDescent="0.3">
      <c r="B46" s="19" t="s">
        <v>386</v>
      </c>
      <c r="D46" s="20">
        <f>'DCF by Box'!C177</f>
        <v>56111.350139323244</v>
      </c>
      <c r="E46" s="20">
        <f>'DCF by Box'!D177</f>
        <v>68947.634946221195</v>
      </c>
      <c r="F46" s="20">
        <f>'DCF by Box'!E177</f>
        <v>76535.270496222045</v>
      </c>
      <c r="H46" s="21">
        <f>'DCF by Box'!C179</f>
        <v>-0.14217485630335636</v>
      </c>
      <c r="I46" s="21">
        <f>'DCF by Box'!D179</f>
        <v>5.4065081457319364E-2</v>
      </c>
      <c r="J46" s="21">
        <f>'DCF by Box'!E179</f>
        <v>0.17006415365636429</v>
      </c>
    </row>
    <row r="47" spans="2:10" ht="13.95" customHeight="1" x14ac:dyDescent="0.3">
      <c r="B47" s="11" t="s">
        <v>600</v>
      </c>
      <c r="D47" s="22">
        <f>'DCF by Box'!C7</f>
        <v>197647.10828899502</v>
      </c>
      <c r="E47" s="22">
        <f>'DCF by Box'!D7</f>
        <v>253454.1323425491</v>
      </c>
      <c r="F47" s="22">
        <f>'DCF by Box'!E7</f>
        <v>281001.24228807591</v>
      </c>
    </row>
    <row r="48" spans="2:10" ht="13.95" customHeight="1" x14ac:dyDescent="0.3">
      <c r="B48" s="8" t="s">
        <v>601</v>
      </c>
      <c r="D48" s="34">
        <f>'DCF by Box'!C8</f>
        <v>191722.24091712022</v>
      </c>
      <c r="E48" s="34">
        <f>'DCF by Box'!D8</f>
        <v>235695.43773555552</v>
      </c>
      <c r="F48" s="34">
        <f>'DCF by Box'!E8</f>
        <v>261607.53937690461</v>
      </c>
    </row>
    <row r="49" spans="2:10" ht="13.95" customHeight="1" x14ac:dyDescent="0.3">
      <c r="B49" s="8" t="s">
        <v>602</v>
      </c>
      <c r="D49" s="35">
        <f>'DCF by Box'!C9</f>
        <v>0.97002299996612351</v>
      </c>
      <c r="E49" s="35">
        <f>'DCF by Box'!D9</f>
        <v>0.92993330018785292</v>
      </c>
      <c r="F49" s="35">
        <f>'DCF by Box'!E9</f>
        <v>0.93098356877978017</v>
      </c>
    </row>
    <row r="51" spans="2:10" ht="13.95" customHeight="1" x14ac:dyDescent="0.3">
      <c r="B51" s="120" t="s">
        <v>603</v>
      </c>
      <c r="C51" s="120"/>
      <c r="D51" s="120"/>
      <c r="E51" s="120"/>
      <c r="F51" s="120"/>
      <c r="G51" s="120"/>
      <c r="H51" s="120"/>
      <c r="I51" s="120"/>
      <c r="J51" s="120"/>
    </row>
    <row r="52" spans="2:10" ht="13.95" customHeight="1" x14ac:dyDescent="0.3">
      <c r="B52" s="17"/>
      <c r="C52" s="18"/>
      <c r="D52" s="18" t="s">
        <v>31</v>
      </c>
      <c r="E52" s="18" t="s">
        <v>32</v>
      </c>
      <c r="F52" s="18" t="s">
        <v>33</v>
      </c>
    </row>
    <row r="53" spans="2:10" ht="13.95" customHeight="1" x14ac:dyDescent="0.3">
      <c r="B53" s="19" t="s">
        <v>14</v>
      </c>
      <c r="D53" s="29">
        <f>DCF!C46</f>
        <v>8.5000000000000006E-2</v>
      </c>
      <c r="E53" s="29">
        <f>DCF!D46</f>
        <v>6.7599999999999993E-2</v>
      </c>
      <c r="F53" s="29">
        <f>DCF!E46</f>
        <v>0.06</v>
      </c>
    </row>
    <row r="54" spans="2:10" ht="13.95" customHeight="1" x14ac:dyDescent="0.3">
      <c r="B54" s="19" t="s">
        <v>604</v>
      </c>
      <c r="D54" s="29">
        <f>DCF!C47</f>
        <v>0.06</v>
      </c>
      <c r="E54" s="29">
        <f>DCF!D47</f>
        <v>0.06</v>
      </c>
      <c r="F54" s="29">
        <f>DCF!E47</f>
        <v>0.06</v>
      </c>
    </row>
    <row r="55" spans="2:10" ht="13.95" customHeight="1" x14ac:dyDescent="0.3">
      <c r="B55" s="19" t="s">
        <v>605</v>
      </c>
      <c r="D55" s="29">
        <f>DCF!C48</f>
        <v>0.14500000000000002</v>
      </c>
      <c r="E55" s="29">
        <f>DCF!D48</f>
        <v>0.12759999999999999</v>
      </c>
      <c r="F55" s="29">
        <f>DCF!E48</f>
        <v>0.12</v>
      </c>
    </row>
    <row r="56" spans="2:10" ht="13.95" customHeight="1" x14ac:dyDescent="0.3">
      <c r="B56" s="14" t="s">
        <v>606</v>
      </c>
      <c r="D56" s="14" t="str">
        <f>IF(FixNWC+FixND+FixTV+FixInfl=0,"none: as the house","on: "&amp;IF(FixNWC=1,"NWC change ","")&amp;IF(FixND=1,"net debt ","")&amp;IF(FixTV=1,"TV timing ","")&amp;IF(FixInfl=1,"inflation",""))</f>
        <v>none: as the house</v>
      </c>
    </row>
    <row r="58" spans="2:10" ht="13.95" customHeight="1" x14ac:dyDescent="0.3">
      <c r="B58" s="120" t="s">
        <v>607</v>
      </c>
      <c r="C58" s="120"/>
      <c r="D58" s="120"/>
      <c r="E58" s="120"/>
      <c r="F58" s="120"/>
      <c r="G58" s="120"/>
      <c r="H58" s="120"/>
      <c r="I58" s="120"/>
      <c r="J58" s="120"/>
    </row>
    <row r="59" spans="2:10" ht="13.95" customHeight="1" x14ac:dyDescent="0.3">
      <c r="B59" s="17" t="s">
        <v>608</v>
      </c>
      <c r="C59" s="18"/>
      <c r="D59" s="18" t="s">
        <v>256</v>
      </c>
      <c r="E59" s="18" t="s">
        <v>284</v>
      </c>
      <c r="F59" s="18" t="s">
        <v>335</v>
      </c>
      <c r="G59" s="18" t="s">
        <v>386</v>
      </c>
    </row>
    <row r="60" spans="2:10" ht="13.95" customHeight="1" x14ac:dyDescent="0.3">
      <c r="B60" s="19" t="s">
        <v>425</v>
      </c>
      <c r="D60" s="36">
        <f>'Box Shares'!E19</f>
        <v>0.16425790109464722</v>
      </c>
      <c r="E60" s="36">
        <f>'Box Shares'!E20</f>
        <v>0.26048991695618606</v>
      </c>
      <c r="F60" s="36">
        <f>'Box Shares'!E21</f>
        <v>0.11218492273504395</v>
      </c>
      <c r="G60" s="36">
        <f>'Box Shares'!E22</f>
        <v>0.46306725921412284</v>
      </c>
    </row>
    <row r="61" spans="2:10" ht="13.95" customHeight="1" x14ac:dyDescent="0.3">
      <c r="B61" s="19" t="s">
        <v>429</v>
      </c>
      <c r="D61" s="36">
        <f>'Box Shares'!I19</f>
        <v>0.22985575056873886</v>
      </c>
      <c r="E61" s="36">
        <f>'Box Shares'!I20</f>
        <v>0.24415677209055056</v>
      </c>
      <c r="F61" s="36">
        <f>'Box Shares'!I21</f>
        <v>0.10599900182268422</v>
      </c>
      <c r="G61" s="36">
        <f>'Box Shares'!I22</f>
        <v>0.41998847551802637</v>
      </c>
    </row>
    <row r="62" spans="2:10" ht="13.95" customHeight="1" x14ac:dyDescent="0.3">
      <c r="B62" s="19" t="s">
        <v>432</v>
      </c>
      <c r="D62" s="36">
        <f>'Box Shares'!L19</f>
        <v>0.25553449524980065</v>
      </c>
      <c r="E62" s="36">
        <f>'Box Shares'!L20</f>
        <v>0.22223939449429822</v>
      </c>
      <c r="F62" s="36">
        <f>'Box Shares'!L21</f>
        <v>9.744481626063714E-2</v>
      </c>
      <c r="G62" s="36">
        <f>'Box Shares'!L22</f>
        <v>0.42478129399526404</v>
      </c>
    </row>
    <row r="63" spans="2:10" ht="13.95" customHeight="1" x14ac:dyDescent="0.3">
      <c r="B63" s="19" t="s">
        <v>435</v>
      </c>
      <c r="D63" s="36">
        <f>'Box Shares'!O19</f>
        <v>0.30649740321050728</v>
      </c>
      <c r="E63" s="36">
        <f>'Box Shares'!O20</f>
        <v>0.19377661083294556</v>
      </c>
      <c r="F63" s="36">
        <f>'Box Shares'!O21</f>
        <v>9.8542148372668933E-2</v>
      </c>
      <c r="G63" s="36">
        <f>'Box Shares'!O22</f>
        <v>0.40118383758387827</v>
      </c>
    </row>
    <row r="64" spans="2:10" ht="13.95" customHeight="1" x14ac:dyDescent="0.3">
      <c r="B64" s="19" t="s">
        <v>437</v>
      </c>
      <c r="D64" s="36">
        <f>'Box Shares'!Q19</f>
        <v>0.2493882389315687</v>
      </c>
      <c r="E64" s="36">
        <f>'Box Shares'!Q20</f>
        <v>0.24129138018750107</v>
      </c>
      <c r="F64" s="36">
        <f>'Box Shares'!Q21</f>
        <v>0.14132059013869358</v>
      </c>
      <c r="G64" s="36">
        <f>'Box Shares'!Q22</f>
        <v>0.3679997907422366</v>
      </c>
    </row>
    <row r="66" spans="2:10" ht="13.95" customHeight="1" x14ac:dyDescent="0.3">
      <c r="B66" s="120" t="s">
        <v>609</v>
      </c>
      <c r="C66" s="120"/>
      <c r="D66" s="120"/>
      <c r="E66" s="120"/>
      <c r="F66" s="120"/>
      <c r="G66" s="120"/>
      <c r="H66" s="120"/>
      <c r="I66" s="120"/>
      <c r="J66" s="120"/>
    </row>
    <row r="67" spans="2:10" ht="30" customHeight="1" x14ac:dyDescent="0.3">
      <c r="B67" s="17" t="s">
        <v>610</v>
      </c>
      <c r="C67" s="18"/>
      <c r="D67" s="18" t="s">
        <v>256</v>
      </c>
      <c r="E67" s="18" t="s">
        <v>284</v>
      </c>
      <c r="F67" s="18" t="s">
        <v>335</v>
      </c>
      <c r="G67" s="18" t="s">
        <v>386</v>
      </c>
      <c r="H67" s="18" t="s">
        <v>535</v>
      </c>
      <c r="I67" s="18" t="s">
        <v>611</v>
      </c>
      <c r="J67" s="18" t="s">
        <v>381</v>
      </c>
    </row>
    <row r="68" spans="2:10" ht="13.95" customHeight="1" x14ac:dyDescent="0.3">
      <c r="B68" s="19" t="s">
        <v>612</v>
      </c>
      <c r="D68" s="37">
        <v>44915.643708329488</v>
      </c>
      <c r="E68" s="37">
        <v>48306.985845280979</v>
      </c>
      <c r="F68" s="37">
        <v>26679.456068896208</v>
      </c>
      <c r="G68" s="37">
        <v>54511.779824288707</v>
      </c>
      <c r="H68" s="37">
        <v>174413.86544679539</v>
      </c>
      <c r="I68" s="37">
        <v>18223.148783580938</v>
      </c>
      <c r="J68" s="37">
        <v>7588.3271380080951</v>
      </c>
    </row>
    <row r="69" spans="2:10" ht="13.95" customHeight="1" x14ac:dyDescent="0.3">
      <c r="B69" s="19" t="s">
        <v>613</v>
      </c>
      <c r="D69" s="37">
        <v>56329.564211284312</v>
      </c>
      <c r="E69" s="37">
        <v>59767.571802908307</v>
      </c>
      <c r="F69" s="37">
        <v>36688.016127764567</v>
      </c>
      <c r="G69" s="37">
        <v>76446.397501569154</v>
      </c>
      <c r="H69" s="37">
        <v>229231.54964352629</v>
      </c>
      <c r="I69" s="37">
        <v>26153.31625618428</v>
      </c>
      <c r="J69" s="37">
        <v>12835.63249639511</v>
      </c>
    </row>
    <row r="70" spans="2:10" ht="13.95" customHeight="1" x14ac:dyDescent="0.3">
      <c r="B70" s="19" t="s">
        <v>614</v>
      </c>
      <c r="D70" s="37">
        <v>71678.724219062831</v>
      </c>
      <c r="E70" s="37">
        <v>73390.375606005255</v>
      </c>
      <c r="F70" s="37">
        <v>48520.494256285107</v>
      </c>
      <c r="G70" s="37">
        <v>101241.9147857589</v>
      </c>
      <c r="H70" s="37">
        <v>294831.5088671121</v>
      </c>
      <c r="I70" s="37">
        <v>35580.996803435228</v>
      </c>
      <c r="J70" s="37">
        <v>18587.730082831938</v>
      </c>
    </row>
    <row r="71" spans="2:10" ht="13.95" customHeight="1" x14ac:dyDescent="0.3">
      <c r="B71" s="19" t="s">
        <v>615</v>
      </c>
      <c r="D71" s="37">
        <v>70757</v>
      </c>
      <c r="E71" s="37">
        <v>42152</v>
      </c>
      <c r="F71" s="37">
        <v>24906</v>
      </c>
      <c r="G71" s="37">
        <v>85903</v>
      </c>
      <c r="H71" s="37">
        <v>223718</v>
      </c>
      <c r="I71" s="37">
        <v>17780</v>
      </c>
      <c r="J71" s="37">
        <v>7140</v>
      </c>
    </row>
    <row r="72" spans="2:10" ht="13.95" customHeight="1" x14ac:dyDescent="0.3">
      <c r="B72" s="14" t="s">
        <v>616</v>
      </c>
    </row>
  </sheetData>
  <mergeCells count="7">
    <mergeCell ref="B58:J58"/>
    <mergeCell ref="B66:J66"/>
    <mergeCell ref="B5:J5"/>
    <mergeCell ref="B16:J16"/>
    <mergeCell ref="B29:J29"/>
    <mergeCell ref="B41:J41"/>
    <mergeCell ref="B51:J51"/>
  </mergeCells>
  <conditionalFormatting sqref="H7:J11">
    <cfRule type="colorScale" priority="1">
      <colorScale>
        <cfvo type="min"/>
        <cfvo type="num" val="0"/>
        <cfvo type="max"/>
        <color rgb="FFF8696B"/>
        <color rgb="FFFFEB84"/>
        <color rgb="FF63BE7B"/>
      </colorScale>
    </cfRule>
  </conditionalFormatting>
  <conditionalFormatting sqref="H13:J14">
    <cfRule type="colorScale" priority="2">
      <colorScale>
        <cfvo type="min"/>
        <cfvo type="num" val="0"/>
        <cfvo type="max"/>
        <color rgb="FFF8696B"/>
        <color rgb="FFFFEB84"/>
        <color rgb="FF63BE7B"/>
      </colorScale>
    </cfRule>
  </conditionalFormatting>
  <pageMargins left="0.4" right="0.4" top="1.25" bottom="0.5" header="0.3" footer="0.3"/>
  <pageSetup paperSize="9" fitToHeight="0" orientation="landscape"/>
  <headerFooter>
    <oddHeader>&amp;L&amp;G</oddHeader>
    <oddFooter>&amp;R&amp;"Calibri"&amp;10&amp;K008000[ CLASSIFICAÇÃO: PÚBLICA ]</oddFooter>
  </headerFooter>
  <legacyDrawingHF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9C113"/>
    <pageSetUpPr fitToPage="1"/>
  </sheetPr>
  <dimension ref="B1:G45"/>
  <sheetViews>
    <sheetView showGridLines="0" zoomScale="85" zoomScaleNormal="85" workbookViewId="0">
      <pane ySplit="4" topLeftCell="A5" activePane="bottomLeft" state="frozen"/>
      <selection pane="bottomLeft"/>
    </sheetView>
  </sheetViews>
  <sheetFormatPr defaultRowHeight="13.95" customHeight="1" x14ac:dyDescent="0.3"/>
  <cols>
    <col min="1" max="1" width="2.6640625" customWidth="1"/>
    <col min="2" max="2" width="62.6640625" customWidth="1"/>
    <col min="3" max="6" width="15.6640625" customWidth="1"/>
    <col min="7" max="7" width="110.6640625" customWidth="1"/>
  </cols>
  <sheetData>
    <row r="1" spans="2:7" ht="30" customHeight="1" x14ac:dyDescent="0.3">
      <c r="B1" s="15" t="s">
        <v>0</v>
      </c>
    </row>
    <row r="2" spans="2:7" ht="13.95" customHeight="1" x14ac:dyDescent="0.3">
      <c r="B2" s="14" t="s">
        <v>1</v>
      </c>
    </row>
    <row r="3" spans="2:7" ht="13.95" customHeight="1" x14ac:dyDescent="0.3">
      <c r="B3" s="14" t="s">
        <v>2</v>
      </c>
      <c r="C3" s="38" t="s">
        <v>3</v>
      </c>
      <c r="D3" s="39" t="s">
        <v>4</v>
      </c>
      <c r="E3" s="40" t="s">
        <v>5</v>
      </c>
    </row>
    <row r="5" spans="2:7" ht="13.95" customHeight="1" x14ac:dyDescent="0.3">
      <c r="B5" s="120" t="s">
        <v>6</v>
      </c>
      <c r="C5" s="120"/>
      <c r="D5" s="120"/>
      <c r="E5" s="120"/>
      <c r="F5" s="120"/>
      <c r="G5" s="120"/>
    </row>
    <row r="6" spans="2:7" ht="13.95" customHeight="1" x14ac:dyDescent="0.3">
      <c r="B6" s="17" t="s">
        <v>7</v>
      </c>
      <c r="C6" s="18" t="s">
        <v>8</v>
      </c>
      <c r="D6" s="18" t="s">
        <v>9</v>
      </c>
      <c r="E6" s="18" t="s">
        <v>10</v>
      </c>
      <c r="F6" s="18"/>
      <c r="G6" s="18" t="s">
        <v>11</v>
      </c>
    </row>
    <row r="7" spans="2:7" ht="13.95" customHeight="1" x14ac:dyDescent="0.3">
      <c r="B7" s="19" t="s">
        <v>12</v>
      </c>
      <c r="C7" s="41">
        <v>182419.73</v>
      </c>
      <c r="D7" s="41">
        <v>208431.92</v>
      </c>
      <c r="E7" s="42">
        <f>CHOOSE(Vintage,C7,D7)</f>
        <v>208431.92</v>
      </c>
      <c r="G7" s="14" t="s">
        <v>13</v>
      </c>
    </row>
    <row r="8" spans="2:7" ht="13.95" customHeight="1" x14ac:dyDescent="0.3">
      <c r="B8" s="19" t="s">
        <v>14</v>
      </c>
      <c r="C8" s="43">
        <v>7.4200000000000002E-2</v>
      </c>
      <c r="D8" s="43">
        <v>6.7599999999999993E-2</v>
      </c>
      <c r="E8" s="44">
        <f>CHOOSE(Vintage,C8,D8)</f>
        <v>6.7599999999999993E-2</v>
      </c>
      <c r="G8" s="14" t="s">
        <v>15</v>
      </c>
    </row>
    <row r="9" spans="2:7" ht="13.95" customHeight="1" x14ac:dyDescent="0.3">
      <c r="B9" s="19" t="s">
        <v>16</v>
      </c>
      <c r="C9" s="45">
        <v>2</v>
      </c>
      <c r="G9" s="14" t="s">
        <v>17</v>
      </c>
    </row>
    <row r="11" spans="2:7" ht="13.95" customHeight="1" x14ac:dyDescent="0.3">
      <c r="B11" s="120" t="s">
        <v>18</v>
      </c>
      <c r="C11" s="120"/>
      <c r="D11" s="120"/>
      <c r="E11" s="120"/>
      <c r="F11" s="120"/>
      <c r="G11" s="120"/>
    </row>
    <row r="12" spans="2:7" ht="13.95" customHeight="1" x14ac:dyDescent="0.3">
      <c r="B12" s="17" t="s">
        <v>19</v>
      </c>
      <c r="C12" s="18" t="s">
        <v>20</v>
      </c>
      <c r="D12" s="18"/>
      <c r="E12" s="18"/>
      <c r="F12" s="18"/>
      <c r="G12" s="18" t="s">
        <v>11</v>
      </c>
    </row>
    <row r="13" spans="2:7" ht="13.95" customHeight="1" x14ac:dyDescent="0.3">
      <c r="B13" s="19" t="s">
        <v>21</v>
      </c>
      <c r="C13" s="46">
        <v>4.7E-2</v>
      </c>
      <c r="G13" s="14" t="s">
        <v>22</v>
      </c>
    </row>
    <row r="14" spans="2:7" ht="13.95" customHeight="1" x14ac:dyDescent="0.3">
      <c r="B14" s="19" t="s">
        <v>23</v>
      </c>
      <c r="C14" s="46">
        <v>0.04</v>
      </c>
      <c r="G14" s="14" t="s">
        <v>24</v>
      </c>
    </row>
    <row r="15" spans="2:7" ht="13.95" customHeight="1" x14ac:dyDescent="0.3">
      <c r="B15" s="19" t="s">
        <v>25</v>
      </c>
      <c r="C15" s="47">
        <v>0.04</v>
      </c>
      <c r="G15" s="14" t="s">
        <v>26</v>
      </c>
    </row>
    <row r="16" spans="2:7" ht="13.95" customHeight="1" x14ac:dyDescent="0.3">
      <c r="B16" s="19" t="s">
        <v>27</v>
      </c>
      <c r="C16" s="48">
        <v>1.6</v>
      </c>
      <c r="G16" s="14" t="s">
        <v>28</v>
      </c>
    </row>
    <row r="18" spans="2:7" ht="13.95" customHeight="1" x14ac:dyDescent="0.3">
      <c r="B18" s="120" t="s">
        <v>29</v>
      </c>
      <c r="C18" s="120"/>
      <c r="D18" s="120"/>
      <c r="E18" s="120"/>
      <c r="F18" s="120"/>
      <c r="G18" s="120"/>
    </row>
    <row r="19" spans="2:7" ht="13.95" customHeight="1" x14ac:dyDescent="0.3">
      <c r="B19" s="17" t="s">
        <v>30</v>
      </c>
      <c r="C19" s="18" t="s">
        <v>31</v>
      </c>
      <c r="D19" s="18" t="s">
        <v>32</v>
      </c>
      <c r="E19" s="18" t="s">
        <v>33</v>
      </c>
      <c r="F19" s="18"/>
      <c r="G19" s="18" t="s">
        <v>11</v>
      </c>
    </row>
    <row r="20" spans="2:7" ht="13.95" customHeight="1" x14ac:dyDescent="0.3">
      <c r="B20" s="19" t="s">
        <v>14</v>
      </c>
      <c r="C20" s="46">
        <v>8.5000000000000006E-2</v>
      </c>
      <c r="D20" s="46">
        <f>RRUsed</f>
        <v>6.7599999999999993E-2</v>
      </c>
      <c r="E20" s="46">
        <v>0.06</v>
      </c>
      <c r="G20" s="14" t="s">
        <v>34</v>
      </c>
    </row>
    <row r="21" spans="2:7" ht="13.95" customHeight="1" x14ac:dyDescent="0.3">
      <c r="B21" s="19" t="s">
        <v>35</v>
      </c>
      <c r="C21" s="46">
        <v>0.06</v>
      </c>
      <c r="D21" s="46">
        <v>0.06</v>
      </c>
      <c r="E21" s="46">
        <v>0.06</v>
      </c>
      <c r="G21" s="14" t="s">
        <v>36</v>
      </c>
    </row>
    <row r="22" spans="2:7" ht="13.95" customHeight="1" x14ac:dyDescent="0.3">
      <c r="B22" s="5" t="s">
        <v>37</v>
      </c>
      <c r="C22" s="44">
        <f>IF(FixInfl=1,(1+C20+C21)*(1+InflLT)-1,C20+C21)</f>
        <v>0.14500000000000002</v>
      </c>
      <c r="D22" s="44">
        <f>IF(FixInfl=1,(1+D20+D21)*(1+InflLT)-1,D20+D21)</f>
        <v>0.12759999999999999</v>
      </c>
      <c r="E22" s="44">
        <f>IF(FixInfl=1,(1+E20+E21)*(1+InflLT)-1,E20+E21)</f>
        <v>0.12</v>
      </c>
      <c r="G22" s="14" t="s">
        <v>38</v>
      </c>
    </row>
    <row r="24" spans="2:7" ht="13.95" customHeight="1" x14ac:dyDescent="0.3">
      <c r="B24" s="120" t="s">
        <v>39</v>
      </c>
      <c r="C24" s="120"/>
      <c r="D24" s="120"/>
      <c r="E24" s="120"/>
      <c r="F24" s="120"/>
      <c r="G24" s="120"/>
    </row>
    <row r="25" spans="2:7" ht="13.95" customHeight="1" x14ac:dyDescent="0.3">
      <c r="B25" s="17" t="s">
        <v>40</v>
      </c>
      <c r="C25" s="18" t="s">
        <v>20</v>
      </c>
      <c r="D25" s="18"/>
      <c r="E25" s="18"/>
      <c r="F25" s="18"/>
      <c r="G25" s="18" t="s">
        <v>41</v>
      </c>
    </row>
    <row r="26" spans="2:7" ht="13.95" customHeight="1" x14ac:dyDescent="0.3">
      <c r="B26" s="19" t="s">
        <v>42</v>
      </c>
      <c r="C26" s="45">
        <v>0</v>
      </c>
      <c r="G26" s="14" t="s">
        <v>43</v>
      </c>
    </row>
    <row r="27" spans="2:7" ht="13.95" customHeight="1" x14ac:dyDescent="0.3">
      <c r="B27" s="19" t="s">
        <v>44</v>
      </c>
      <c r="C27" s="45">
        <v>0</v>
      </c>
      <c r="G27" s="14" t="s">
        <v>45</v>
      </c>
    </row>
    <row r="28" spans="2:7" ht="13.95" customHeight="1" x14ac:dyDescent="0.3">
      <c r="B28" s="19" t="s">
        <v>46</v>
      </c>
      <c r="C28" s="45">
        <v>0</v>
      </c>
      <c r="G28" s="14" t="s">
        <v>47</v>
      </c>
    </row>
    <row r="29" spans="2:7" ht="13.95" customHeight="1" x14ac:dyDescent="0.3">
      <c r="B29" s="19" t="s">
        <v>48</v>
      </c>
      <c r="C29" s="45">
        <v>0</v>
      </c>
      <c r="G29" s="14" t="s">
        <v>49</v>
      </c>
    </row>
    <row r="31" spans="2:7" ht="13.95" customHeight="1" x14ac:dyDescent="0.3">
      <c r="B31" s="120" t="s">
        <v>50</v>
      </c>
      <c r="C31" s="120"/>
      <c r="D31" s="120"/>
      <c r="E31" s="120"/>
      <c r="F31" s="120"/>
      <c r="G31" s="120"/>
    </row>
    <row r="32" spans="2:7" ht="13.95" customHeight="1" x14ac:dyDescent="0.3">
      <c r="B32" s="14" t="s">
        <v>51</v>
      </c>
    </row>
    <row r="33" spans="2:7" ht="13.95" customHeight="1" x14ac:dyDescent="0.3">
      <c r="B33" s="14" t="s">
        <v>52</v>
      </c>
    </row>
    <row r="34" spans="2:7" ht="13.95" customHeight="1" x14ac:dyDescent="0.3">
      <c r="B34" s="14" t="s">
        <v>53</v>
      </c>
    </row>
    <row r="35" spans="2:7" ht="13.95" customHeight="1" x14ac:dyDescent="0.3">
      <c r="B35" s="14" t="s">
        <v>54</v>
      </c>
    </row>
    <row r="37" spans="2:7" ht="13.95" customHeight="1" x14ac:dyDescent="0.3">
      <c r="B37" s="120" t="s">
        <v>55</v>
      </c>
      <c r="C37" s="120"/>
      <c r="D37" s="120"/>
      <c r="E37" s="120"/>
      <c r="F37" s="120"/>
      <c r="G37" s="120"/>
    </row>
    <row r="38" spans="2:7" ht="13.95" customHeight="1" x14ac:dyDescent="0.3">
      <c r="B38" s="17" t="s">
        <v>56</v>
      </c>
      <c r="C38" s="18" t="s">
        <v>20</v>
      </c>
      <c r="D38" s="18"/>
      <c r="E38" s="18"/>
      <c r="F38" s="18"/>
      <c r="G38" s="18" t="s">
        <v>57</v>
      </c>
    </row>
    <row r="39" spans="2:7" ht="13.95" customHeight="1" x14ac:dyDescent="0.3">
      <c r="B39" s="19" t="s">
        <v>58</v>
      </c>
      <c r="C39" s="45">
        <v>1</v>
      </c>
      <c r="G39" s="14" t="s">
        <v>59</v>
      </c>
    </row>
    <row r="40" spans="2:7" ht="13.95" customHeight="1" x14ac:dyDescent="0.3">
      <c r="B40" s="19" t="s">
        <v>60</v>
      </c>
      <c r="C40" s="47"/>
      <c r="G40" s="14" t="s">
        <v>61</v>
      </c>
    </row>
    <row r="41" spans="2:7" ht="13.95" customHeight="1" x14ac:dyDescent="0.3">
      <c r="B41" s="14" t="s">
        <v>62</v>
      </c>
    </row>
    <row r="42" spans="2:7" ht="13.95" customHeight="1" x14ac:dyDescent="0.3">
      <c r="B42" s="19" t="s">
        <v>63</v>
      </c>
      <c r="C42" s="45">
        <v>1</v>
      </c>
      <c r="G42" s="14" t="s">
        <v>64</v>
      </c>
    </row>
    <row r="43" spans="2:7" ht="13.95" customHeight="1" x14ac:dyDescent="0.3">
      <c r="B43" s="19" t="s">
        <v>65</v>
      </c>
      <c r="C43" s="47">
        <v>0</v>
      </c>
      <c r="G43" s="14" t="s">
        <v>66</v>
      </c>
    </row>
    <row r="44" spans="2:7" ht="13.95" customHeight="1" x14ac:dyDescent="0.3">
      <c r="B44" s="19" t="s">
        <v>67</v>
      </c>
      <c r="C44" s="45">
        <v>5</v>
      </c>
      <c r="G44" s="14" t="s">
        <v>68</v>
      </c>
    </row>
    <row r="45" spans="2:7" ht="13.95" customHeight="1" x14ac:dyDescent="0.3">
      <c r="B45" s="19" t="s">
        <v>69</v>
      </c>
      <c r="C45" s="45">
        <v>1</v>
      </c>
      <c r="G45" s="14" t="s">
        <v>70</v>
      </c>
    </row>
  </sheetData>
  <mergeCells count="6">
    <mergeCell ref="B37:G37"/>
    <mergeCell ref="B5:G5"/>
    <mergeCell ref="B11:G11"/>
    <mergeCell ref="B18:G18"/>
    <mergeCell ref="B24:G24"/>
    <mergeCell ref="B31:G31"/>
  </mergeCells>
  <dataValidations count="4">
    <dataValidation type="list" allowBlank="1" showInputMessage="1" showErrorMessage="1" sqref="C9 C45" xr:uid="{00000000-0002-0000-0200-000000000000}">
      <formula1>"1,2"</formula1>
    </dataValidation>
    <dataValidation type="list" allowBlank="1" showInputMessage="1" showErrorMessage="1" sqref="C39 C26:C29" xr:uid="{00000000-0002-0000-0200-000001000000}">
      <formula1>"0,1"</formula1>
    </dataValidation>
    <dataValidation type="list" allowBlank="1" showInputMessage="1" showErrorMessage="1" sqref="C42" xr:uid="{00000000-0002-0000-0200-000006000000}">
      <formula1>"0,1,2"</formula1>
    </dataValidation>
    <dataValidation type="list" allowBlank="1" showInputMessage="1" showErrorMessage="1" sqref="C44" xr:uid="{00000000-0002-0000-0200-000007000000}">
      <formula1>"2,5,10"</formula1>
    </dataValidation>
  </dataValidations>
  <pageMargins left="0.4" right="0.4" top="1.25" bottom="0.5" header="0.3" footer="0.3"/>
  <pageSetup paperSize="9" fitToHeight="0" orientation="landscape"/>
  <headerFooter>
    <oddHeader>&amp;L&amp;G</oddHeader>
    <oddFooter>&amp;R&amp;"Calibri"&amp;10&amp;K008000[ CLASSIFICAÇÃO: PÚBLICA ]</oddFooter>
  </headerFooter>
  <legacyDrawingHF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J266"/>
  <sheetViews>
    <sheetView showGridLines="0" zoomScale="85" zoomScaleNormal="85" workbookViewId="0">
      <pane xSplit="2" ySplit="4" topLeftCell="C5" activePane="bottomRight" state="frozen"/>
      <selection pane="topRight" activeCell="C1" sqref="C1"/>
      <selection pane="bottomLeft" activeCell="A5" sqref="A5"/>
      <selection pane="bottomRight"/>
    </sheetView>
  </sheetViews>
  <sheetFormatPr defaultRowHeight="13.95" customHeight="1" x14ac:dyDescent="0.3"/>
  <cols>
    <col min="1" max="1" width="2.6640625" customWidth="1"/>
    <col min="2" max="2" width="60.6640625" customWidth="1"/>
    <col min="3" max="8" width="11.6640625" customWidth="1"/>
    <col min="9" max="9" width="2.6640625" customWidth="1"/>
    <col min="10" max="10" width="100.6640625" customWidth="1"/>
  </cols>
  <sheetData>
    <row r="1" spans="2:10" ht="30" customHeight="1" x14ac:dyDescent="0.3">
      <c r="B1" s="15" t="s">
        <v>456</v>
      </c>
    </row>
    <row r="2" spans="2:10" ht="13.95" customHeight="1" x14ac:dyDescent="0.3">
      <c r="B2" s="14" t="s">
        <v>457</v>
      </c>
    </row>
    <row r="3" spans="2:10" ht="13.95" customHeight="1" x14ac:dyDescent="0.3">
      <c r="B3" s="14" t="s">
        <v>2</v>
      </c>
      <c r="C3" s="38" t="s">
        <v>3</v>
      </c>
      <c r="D3" s="39" t="s">
        <v>4</v>
      </c>
      <c r="E3" s="40" t="s">
        <v>5</v>
      </c>
    </row>
    <row r="5" spans="2:10" ht="13.95" customHeight="1" x14ac:dyDescent="0.3">
      <c r="B5" s="120" t="s">
        <v>458</v>
      </c>
      <c r="C5" s="120"/>
      <c r="D5" s="120"/>
      <c r="E5" s="120"/>
      <c r="F5" s="120"/>
      <c r="G5" s="120"/>
      <c r="H5" s="120"/>
      <c r="I5" s="120"/>
      <c r="J5" s="120"/>
    </row>
    <row r="6" spans="2:10" ht="13.95" customHeight="1" x14ac:dyDescent="0.3">
      <c r="B6" s="17"/>
      <c r="C6" s="18" t="s">
        <v>31</v>
      </c>
      <c r="D6" s="18" t="s">
        <v>32</v>
      </c>
      <c r="E6" s="18" t="s">
        <v>33</v>
      </c>
    </row>
    <row r="7" spans="2:10" ht="13.95" customHeight="1" x14ac:dyDescent="0.3">
      <c r="B7" s="8" t="s">
        <v>459</v>
      </c>
      <c r="C7" s="20">
        <f>C54+C95+C136+C177</f>
        <v>197647.10828899502</v>
      </c>
      <c r="D7" s="20">
        <f>D54+D95+D136+D177</f>
        <v>253454.1323425491</v>
      </c>
      <c r="E7" s="20">
        <f>E54+E95+E136+E177</f>
        <v>281001.24228807591</v>
      </c>
      <c r="J7" s="14" t="s">
        <v>467</v>
      </c>
    </row>
    <row r="8" spans="2:10" ht="13.95" customHeight="1" x14ac:dyDescent="0.3">
      <c r="B8" s="8" t="s">
        <v>460</v>
      </c>
      <c r="C8" s="20">
        <f>DCF!C57</f>
        <v>191722.24091712022</v>
      </c>
      <c r="D8" s="20">
        <f>DCF!D57</f>
        <v>235695.43773555552</v>
      </c>
      <c r="E8" s="20">
        <f>DCF!E57</f>
        <v>261607.53937690461</v>
      </c>
    </row>
    <row r="9" spans="2:10" ht="13.95" customHeight="1" x14ac:dyDescent="0.3">
      <c r="B9" s="8" t="s">
        <v>461</v>
      </c>
      <c r="C9" s="28">
        <f>C8/C7</f>
        <v>0.97002299996612351</v>
      </c>
      <c r="D9" s="28">
        <f>D8/D7</f>
        <v>0.92993330018785292</v>
      </c>
      <c r="E9" s="28">
        <f>E8/E7</f>
        <v>0.93098356877978017</v>
      </c>
      <c r="J9" s="14" t="s">
        <v>468</v>
      </c>
    </row>
    <row r="10" spans="2:10" ht="13.95" customHeight="1" x14ac:dyDescent="0.3">
      <c r="B10" s="8" t="s">
        <v>462</v>
      </c>
      <c r="C10" s="28">
        <f>IF(ScaleBox=1,C9,1)</f>
        <v>0.97002299996612351</v>
      </c>
      <c r="D10" s="28">
        <f>IF(ScaleBox=1,D9,1)</f>
        <v>0.92993330018785292</v>
      </c>
      <c r="E10" s="28">
        <f>IF(ScaleBox=1,E9,1)</f>
        <v>0.93098356877978017</v>
      </c>
    </row>
    <row r="11" spans="2:10" ht="13.95" customHeight="1" x14ac:dyDescent="0.3">
      <c r="B11" s="5" t="s">
        <v>463</v>
      </c>
      <c r="C11" s="49">
        <f>C57+C98+C139+C180</f>
        <v>191722.24091712025</v>
      </c>
      <c r="D11" s="49">
        <f>D57+D98+D139+D180</f>
        <v>235695.43773555552</v>
      </c>
      <c r="E11" s="49">
        <f>E57+E98+E139+E180</f>
        <v>261607.53937690455</v>
      </c>
    </row>
    <row r="12" spans="2:10" ht="13.95" customHeight="1" x14ac:dyDescent="0.3">
      <c r="B12" s="8" t="s">
        <v>464</v>
      </c>
      <c r="C12" s="50">
        <f t="shared" ref="C12:E13" si="0">C60+C101+C142+C183</f>
        <v>191722.24091712025</v>
      </c>
      <c r="D12" s="50">
        <f t="shared" si="0"/>
        <v>235695.43773555561</v>
      </c>
      <c r="E12" s="50">
        <f t="shared" si="0"/>
        <v>261607.53937690472</v>
      </c>
      <c r="J12" s="14" t="s">
        <v>469</v>
      </c>
    </row>
    <row r="13" spans="2:10" ht="13.95" customHeight="1" x14ac:dyDescent="0.3">
      <c r="B13" s="8" t="s">
        <v>465</v>
      </c>
      <c r="C13" s="50">
        <f t="shared" si="0"/>
        <v>185570.92679788329</v>
      </c>
      <c r="D13" s="50">
        <f t="shared" si="0"/>
        <v>227874.0780723494</v>
      </c>
      <c r="E13" s="50">
        <f t="shared" si="0"/>
        <v>252798.07308726929</v>
      </c>
      <c r="J13" s="14" t="s">
        <v>470</v>
      </c>
    </row>
    <row r="14" spans="2:10" ht="13.95" customHeight="1" x14ac:dyDescent="0.3">
      <c r="B14" s="8" t="s">
        <v>466</v>
      </c>
      <c r="C14" s="51">
        <f>C8/C13</f>
        <v>1.0331480487023526</v>
      </c>
      <c r="D14" s="51">
        <f>D8/D13</f>
        <v>1.0343231653611906</v>
      </c>
      <c r="E14" s="51">
        <f>E8/E13</f>
        <v>1.0348478379682671</v>
      </c>
    </row>
    <row r="16" spans="2:10" ht="13.95" customHeight="1" x14ac:dyDescent="0.3">
      <c r="B16" s="121" t="s">
        <v>471</v>
      </c>
      <c r="C16" s="121"/>
      <c r="D16" s="121"/>
      <c r="E16" s="121"/>
      <c r="F16" s="121"/>
      <c r="G16" s="121"/>
      <c r="H16" s="121"/>
      <c r="I16" s="121"/>
      <c r="J16" s="121"/>
    </row>
    <row r="17" spans="2:10" ht="13.95" customHeight="1" x14ac:dyDescent="0.3">
      <c r="B17" s="17"/>
      <c r="C17" s="18" t="s">
        <v>85</v>
      </c>
      <c r="D17" s="18" t="s">
        <v>86</v>
      </c>
      <c r="E17" s="18" t="s">
        <v>87</v>
      </c>
      <c r="F17" s="18" t="s">
        <v>88</v>
      </c>
      <c r="G17" s="18" t="s">
        <v>89</v>
      </c>
      <c r="H17" s="18" t="s">
        <v>90</v>
      </c>
      <c r="J17" s="18" t="s">
        <v>155</v>
      </c>
    </row>
    <row r="18" spans="2:10" ht="13.95" customHeight="1" x14ac:dyDescent="0.3">
      <c r="B18" s="52" t="s">
        <v>472</v>
      </c>
      <c r="C18" s="53">
        <f>'Box Shares'!D19</f>
        <v>0.16009415321459253</v>
      </c>
      <c r="D18" s="53">
        <f>'Box Shares'!E19</f>
        <v>0.16425790109464722</v>
      </c>
      <c r="E18" s="53">
        <f>D18</f>
        <v>0.16425790109464722</v>
      </c>
      <c r="F18" s="53">
        <f>E18</f>
        <v>0.16425790109464722</v>
      </c>
      <c r="G18" s="53">
        <f>F18</f>
        <v>0.16425790109464722</v>
      </c>
      <c r="H18" s="53">
        <f>G18</f>
        <v>0.16425790109464722</v>
      </c>
      <c r="J18" s="14" t="s">
        <v>473</v>
      </c>
    </row>
    <row r="19" spans="2:10" ht="13.95" customHeight="1" x14ac:dyDescent="0.3">
      <c r="B19" s="8" t="s">
        <v>102</v>
      </c>
      <c r="C19" s="20">
        <f>DCF!N13*C18</f>
        <v>25442.322923016258</v>
      </c>
      <c r="D19" s="20">
        <f>DCF!O13*D18</f>
        <v>26900.352204369279</v>
      </c>
      <c r="E19" s="20">
        <f>DCF!P13*E18</f>
        <v>28535.893618394934</v>
      </c>
      <c r="F19" s="20">
        <f>DCF!Q13*F18</f>
        <v>30270.875950393343</v>
      </c>
      <c r="G19" s="20">
        <f>DCF!R13*G18</f>
        <v>32111.345208177263</v>
      </c>
      <c r="H19" s="20">
        <f>DCF!S13*H18</f>
        <v>34063.714996834438</v>
      </c>
      <c r="J19" s="14" t="s">
        <v>474</v>
      </c>
    </row>
    <row r="20" spans="2:10" ht="13.95" customHeight="1" x14ac:dyDescent="0.3">
      <c r="B20" s="52" t="s">
        <v>475</v>
      </c>
      <c r="C20" s="53">
        <f>'Box Shares'!G19</f>
        <v>0.20683299311958225</v>
      </c>
      <c r="D20" s="53">
        <f>'Box Shares'!H19</f>
        <v>0.22119544383416478</v>
      </c>
      <c r="E20" s="53">
        <f>'Box Shares'!I19</f>
        <v>0.22985575056873886</v>
      </c>
      <c r="F20" s="53">
        <f>E20</f>
        <v>0.22985575056873886</v>
      </c>
      <c r="G20" s="53">
        <f>F20</f>
        <v>0.22985575056873886</v>
      </c>
      <c r="H20" s="53">
        <f>G20</f>
        <v>0.22985575056873886</v>
      </c>
      <c r="J20" s="14" t="s">
        <v>476</v>
      </c>
    </row>
    <row r="21" spans="2:10" ht="13.95" customHeight="1" x14ac:dyDescent="0.3">
      <c r="B21" s="8" t="s">
        <v>113</v>
      </c>
      <c r="C21" s="20">
        <f>DCF!N19*C20</f>
        <v>6842.0354123957813</v>
      </c>
      <c r="D21" s="20">
        <f>DCF!O19*D20</f>
        <v>7715.9606672671698</v>
      </c>
      <c r="E21" s="20">
        <f>DCF!P19*E20</f>
        <v>8578.6786212839779</v>
      </c>
      <c r="F21" s="20">
        <f>DCF!Q19*F20</f>
        <v>9100.2622814580445</v>
      </c>
      <c r="G21" s="20">
        <f>DCF!R19*G20</f>
        <v>9653.558228170692</v>
      </c>
      <c r="H21" s="20">
        <f>DCF!S19*H20</f>
        <v>10240.494568443472</v>
      </c>
    </row>
    <row r="22" spans="2:10" ht="13.95" customHeight="1" x14ac:dyDescent="0.3">
      <c r="B22" s="52" t="s">
        <v>477</v>
      </c>
      <c r="C22" s="53">
        <f>'Box Shares'!J19</f>
        <v>0.25196484841875511</v>
      </c>
      <c r="D22" s="53">
        <f>'Box Shares'!K19</f>
        <v>0.25096616385824633</v>
      </c>
      <c r="E22" s="53">
        <f>'Box Shares'!L19</f>
        <v>0.25553449524980065</v>
      </c>
      <c r="F22" s="53">
        <f>E22</f>
        <v>0.25553449524980065</v>
      </c>
      <c r="G22" s="53">
        <f>F22</f>
        <v>0.25553449524980065</v>
      </c>
      <c r="H22" s="53">
        <f>G22</f>
        <v>0.25553449524980065</v>
      </c>
      <c r="J22" s="14" t="s">
        <v>478</v>
      </c>
    </row>
    <row r="23" spans="2:10" ht="13.95" customHeight="1" x14ac:dyDescent="0.3">
      <c r="B23" s="8" t="s">
        <v>116</v>
      </c>
      <c r="C23" s="20">
        <f>DCF!N21*C22</f>
        <v>12427.914183406678</v>
      </c>
      <c r="D23" s="20">
        <f>DCF!O21*D22</f>
        <v>12728.25093239868</v>
      </c>
      <c r="E23" s="20">
        <f>DCF!P21*E22</f>
        <v>13287.024594158931</v>
      </c>
      <c r="F23" s="20">
        <f>DCF!Q21*F22</f>
        <v>14127.636397160501</v>
      </c>
      <c r="G23" s="20">
        <f>DCF!R21*G22</f>
        <v>14986.596690107861</v>
      </c>
      <c r="H23" s="20">
        <f>DCF!S21*H22</f>
        <v>15897.781768866418</v>
      </c>
    </row>
    <row r="24" spans="2:10" ht="13.95" customHeight="1" x14ac:dyDescent="0.3">
      <c r="B24" s="52" t="s">
        <v>479</v>
      </c>
      <c r="C24" s="53">
        <f>'Box Shares'!P19</f>
        <v>0.24802702872942817</v>
      </c>
      <c r="D24" s="53">
        <f>'Box Shares'!Q19</f>
        <v>0.2493882389315687</v>
      </c>
      <c r="E24" s="53">
        <f>D24</f>
        <v>0.2493882389315687</v>
      </c>
      <c r="F24" s="53">
        <f>E24</f>
        <v>0.2493882389315687</v>
      </c>
      <c r="G24" s="53">
        <f>F24</f>
        <v>0.2493882389315687</v>
      </c>
      <c r="H24" s="53">
        <f>G24</f>
        <v>0.2493882389315687</v>
      </c>
      <c r="J24" s="14" t="s">
        <v>480</v>
      </c>
    </row>
    <row r="25" spans="2:10" ht="13.95" customHeight="1" x14ac:dyDescent="0.3">
      <c r="B25" s="8" t="s">
        <v>137</v>
      </c>
      <c r="C25" s="20">
        <f>DCF!N33*C24</f>
        <v>-4751.9498434271145</v>
      </c>
      <c r="D25" s="20">
        <f>DCF!O33*D24</f>
        <v>-4821.422823264018</v>
      </c>
      <c r="E25" s="20">
        <f>DCF!P33*E24</f>
        <v>-4765.7785891848425</v>
      </c>
      <c r="F25" s="20">
        <f>DCF!Q33*F24</f>
        <v>-5055.5379274072811</v>
      </c>
      <c r="G25" s="20">
        <f>DCF!R33*G24</f>
        <v>-4387.8392455038902</v>
      </c>
      <c r="H25" s="20">
        <f>DCF!S33*H24</f>
        <v>-4654.6198716305271</v>
      </c>
    </row>
    <row r="26" spans="2:10" ht="13.95" customHeight="1" x14ac:dyDescent="0.3">
      <c r="B26" s="52" t="s">
        <v>481</v>
      </c>
      <c r="C26" s="53">
        <f>'Box Shares'!M19</f>
        <v>0.27229091825027957</v>
      </c>
      <c r="D26" s="53">
        <f>'Box Shares'!N19</f>
        <v>0.2947893497929851</v>
      </c>
      <c r="E26" s="53">
        <f>'Box Shares'!O19</f>
        <v>0.30649740321050728</v>
      </c>
      <c r="F26" s="53">
        <f>E26</f>
        <v>0.30649740321050728</v>
      </c>
      <c r="G26" s="53">
        <f>F26</f>
        <v>0.30649740321050728</v>
      </c>
      <c r="H26" s="53">
        <f>G26</f>
        <v>0.30649740321050728</v>
      </c>
      <c r="J26" s="14" t="s">
        <v>482</v>
      </c>
    </row>
    <row r="27" spans="2:10" ht="13.95" customHeight="1" x14ac:dyDescent="0.3">
      <c r="B27" s="8" t="s">
        <v>483</v>
      </c>
      <c r="C27" s="20">
        <f>DCF!N29*C26</f>
        <v>5706.6730646893593</v>
      </c>
      <c r="D27" s="20">
        <f>DCF!O29*D26</f>
        <v>6386.9060526148151</v>
      </c>
      <c r="E27" s="20">
        <f>DCF!P29*E26</f>
        <v>7103.6903142099272</v>
      </c>
      <c r="F27" s="20">
        <f>DCF!Q29*F26</f>
        <v>7535.5946853138921</v>
      </c>
      <c r="G27" s="20">
        <f>DCF!R29*G26</f>
        <v>7993.7588421809742</v>
      </c>
      <c r="H27" s="20">
        <f>DCF!S29*H26</f>
        <v>8479.7793797855793</v>
      </c>
    </row>
    <row r="28" spans="2:10" ht="13.95" customHeight="1" x14ac:dyDescent="0.3">
      <c r="B28" s="8" t="s">
        <v>484</v>
      </c>
      <c r="C28" s="20">
        <f t="shared" ref="C28:H28" si="1">C23-C21</f>
        <v>5585.8787710108963</v>
      </c>
      <c r="D28" s="20">
        <f t="shared" si="1"/>
        <v>5012.2902651315098</v>
      </c>
      <c r="E28" s="20">
        <f t="shared" si="1"/>
        <v>4708.3459728749531</v>
      </c>
      <c r="F28" s="20">
        <f t="shared" si="1"/>
        <v>5027.374115702456</v>
      </c>
      <c r="G28" s="20">
        <f t="shared" si="1"/>
        <v>5333.0384619371689</v>
      </c>
      <c r="H28" s="20">
        <f t="shared" si="1"/>
        <v>5657.2872004229466</v>
      </c>
    </row>
    <row r="29" spans="2:10" ht="13.95" customHeight="1" x14ac:dyDescent="0.3">
      <c r="B29" s="8" t="s">
        <v>485</v>
      </c>
      <c r="C29" s="36">
        <f>DCF!N25</f>
        <v>-0.24</v>
      </c>
      <c r="D29" s="36">
        <f>DCF!O25</f>
        <v>-0.24</v>
      </c>
      <c r="E29" s="36">
        <f>DCF!P25</f>
        <v>-0.24</v>
      </c>
      <c r="F29" s="36">
        <f>DCF!Q25</f>
        <v>-0.24</v>
      </c>
      <c r="G29" s="36">
        <f>DCF!R25</f>
        <v>-0.24</v>
      </c>
      <c r="H29" s="36">
        <f>DCF!S25</f>
        <v>-0.24</v>
      </c>
      <c r="J29" s="14" t="s">
        <v>486</v>
      </c>
    </row>
    <row r="30" spans="2:10" ht="13.95" customHeight="1" x14ac:dyDescent="0.3">
      <c r="B30" s="8" t="s">
        <v>487</v>
      </c>
      <c r="C30" s="20">
        <f t="shared" ref="C30:H30" si="2">C21*(1+C29)</f>
        <v>5199.9469134207939</v>
      </c>
      <c r="D30" s="20">
        <f t="shared" si="2"/>
        <v>5864.1301071230491</v>
      </c>
      <c r="E30" s="20">
        <f t="shared" si="2"/>
        <v>6519.7957521758235</v>
      </c>
      <c r="F30" s="20">
        <f t="shared" si="2"/>
        <v>6916.1993339081137</v>
      </c>
      <c r="G30" s="20">
        <f t="shared" si="2"/>
        <v>7336.7042534097263</v>
      </c>
      <c r="H30" s="20">
        <f t="shared" si="2"/>
        <v>7782.7758720170386</v>
      </c>
    </row>
    <row r="31" spans="2:10" ht="13.95" customHeight="1" x14ac:dyDescent="0.3">
      <c r="B31" s="8" t="s">
        <v>488</v>
      </c>
      <c r="C31" s="20">
        <f t="shared" ref="C31:H31" si="3">-NWCpct*C19</f>
        <v>-1017.6929169206503</v>
      </c>
      <c r="D31" s="20">
        <f t="shared" si="3"/>
        <v>-1076.0140881747711</v>
      </c>
      <c r="E31" s="20">
        <f t="shared" si="3"/>
        <v>-1141.4357447357975</v>
      </c>
      <c r="F31" s="20">
        <f t="shared" si="3"/>
        <v>-1210.8350380157337</v>
      </c>
      <c r="G31" s="20">
        <f t="shared" si="3"/>
        <v>-1284.4538083270907</v>
      </c>
      <c r="H31" s="20">
        <f t="shared" si="3"/>
        <v>-1362.5485998733775</v>
      </c>
    </row>
    <row r="32" spans="2:10" ht="13.95" customHeight="1" x14ac:dyDescent="0.3">
      <c r="B32" s="8" t="s">
        <v>136</v>
      </c>
      <c r="D32" s="20">
        <f>D31-C31</f>
        <v>-58.321171254120827</v>
      </c>
      <c r="E32" s="20">
        <f>E31-D31</f>
        <v>-65.421656561026339</v>
      </c>
      <c r="F32" s="20">
        <f>F31-E31</f>
        <v>-69.399293279936273</v>
      </c>
      <c r="G32" s="20">
        <f>G31-F31</f>
        <v>-73.618770311356911</v>
      </c>
      <c r="H32" s="20">
        <f>H31-G31</f>
        <v>-78.094791546286842</v>
      </c>
    </row>
    <row r="33" spans="2:10" ht="13.95" customHeight="1" x14ac:dyDescent="0.3">
      <c r="B33" s="8" t="s">
        <v>141</v>
      </c>
      <c r="C33" s="20">
        <f t="shared" ref="C33:H33" si="4">C28+C30+C25+C31</f>
        <v>5016.1829240839243</v>
      </c>
      <c r="D33" s="20">
        <f t="shared" si="4"/>
        <v>4978.9834608157698</v>
      </c>
      <c r="E33" s="20">
        <f t="shared" si="4"/>
        <v>5320.927391130137</v>
      </c>
      <c r="F33" s="20">
        <f t="shared" si="4"/>
        <v>5677.2004841875541</v>
      </c>
      <c r="G33" s="20">
        <f t="shared" si="4"/>
        <v>6997.4496615159151</v>
      </c>
      <c r="H33" s="20">
        <f t="shared" si="4"/>
        <v>7422.8946009360816</v>
      </c>
    </row>
    <row r="34" spans="2:10" ht="13.95" customHeight="1" x14ac:dyDescent="0.3">
      <c r="B34" s="8" t="s">
        <v>143</v>
      </c>
      <c r="D34" s="20">
        <f>D28+D30+D25+D32</f>
        <v>5996.6763777364204</v>
      </c>
      <c r="E34" s="20">
        <f>E28+E30+E25+E32</f>
        <v>6396.9414793049073</v>
      </c>
      <c r="F34" s="20">
        <f>F28+F30+F25+F32</f>
        <v>6818.6362289233512</v>
      </c>
      <c r="G34" s="20">
        <f>G28+G30+G25+G32</f>
        <v>8208.2846995316486</v>
      </c>
      <c r="H34" s="20">
        <f>H28+H30+H25+H32</f>
        <v>8707.3484092631716</v>
      </c>
    </row>
    <row r="35" spans="2:10" ht="13.95" customHeight="1" x14ac:dyDescent="0.3">
      <c r="B35" s="5" t="s">
        <v>489</v>
      </c>
      <c r="C35" s="16">
        <f>C33</f>
        <v>5016.1829240839243</v>
      </c>
      <c r="D35" s="54">
        <f>IF(FixNWC=1,D34,D33)</f>
        <v>4978.9834608157698</v>
      </c>
      <c r="E35" s="54">
        <f>IF(FixNWC=1,E34,E33)</f>
        <v>5320.927391130137</v>
      </c>
      <c r="F35" s="54">
        <f>IF(FixNWC=1,F34,F33)</f>
        <v>5677.2004841875541</v>
      </c>
      <c r="G35" s="54">
        <f>IF(FixNWC=1,G34,G33)</f>
        <v>6997.4496615159151</v>
      </c>
      <c r="H35" s="54">
        <f>IF(FixNWC=1,H34,H33)</f>
        <v>7422.8946009360816</v>
      </c>
      <c r="J35" s="14" t="s">
        <v>490</v>
      </c>
    </row>
    <row r="36" spans="2:10" ht="13.95" customHeight="1" x14ac:dyDescent="0.3">
      <c r="B36" s="8" t="s">
        <v>491</v>
      </c>
      <c r="C36" s="36">
        <f t="shared" ref="C36:H36" si="5">FinROE</f>
        <v>0.19870618055144693</v>
      </c>
      <c r="D36" s="36">
        <f t="shared" si="5"/>
        <v>0.19870618055144693</v>
      </c>
      <c r="E36" s="36">
        <f t="shared" si="5"/>
        <v>0.19870618055144693</v>
      </c>
      <c r="F36" s="36">
        <f t="shared" si="5"/>
        <v>0.19870618055144693</v>
      </c>
      <c r="G36" s="36">
        <f t="shared" si="5"/>
        <v>0.19870618055144693</v>
      </c>
      <c r="H36" s="36">
        <f t="shared" si="5"/>
        <v>0.19870618055144693</v>
      </c>
    </row>
    <row r="37" spans="2:10" ht="13.95" customHeight="1" x14ac:dyDescent="0.3">
      <c r="B37" s="5" t="s">
        <v>492</v>
      </c>
      <c r="C37" s="49">
        <f t="shared" ref="C37:H37" si="6">C27*(1-gLT/C36)</f>
        <v>4356.8729060025144</v>
      </c>
      <c r="D37" s="49">
        <f t="shared" si="6"/>
        <v>4876.2102924737474</v>
      </c>
      <c r="E37" s="49">
        <f t="shared" si="6"/>
        <v>5423.4534748660017</v>
      </c>
      <c r="F37" s="49">
        <f t="shared" si="6"/>
        <v>5753.1994461378554</v>
      </c>
      <c r="G37" s="49">
        <f t="shared" si="6"/>
        <v>6102.9939724630349</v>
      </c>
      <c r="H37" s="49">
        <f t="shared" si="6"/>
        <v>6474.0560059887894</v>
      </c>
      <c r="J37" s="14" t="s">
        <v>493</v>
      </c>
    </row>
    <row r="39" spans="2:10" ht="13.95" customHeight="1" x14ac:dyDescent="0.3">
      <c r="B39" s="17" t="s">
        <v>494</v>
      </c>
      <c r="C39" s="18" t="s">
        <v>31</v>
      </c>
      <c r="D39" s="18" t="s">
        <v>32</v>
      </c>
      <c r="E39" s="18" t="s">
        <v>33</v>
      </c>
    </row>
    <row r="40" spans="2:10" ht="13.95" customHeight="1" x14ac:dyDescent="0.3">
      <c r="B40" s="52" t="s">
        <v>495</v>
      </c>
      <c r="C40" s="44">
        <f>'Box Rates'!C21</f>
        <v>0.13760272507350485</v>
      </c>
      <c r="D40" s="44">
        <f>'Box Rates'!D21</f>
        <v>0.12151611878494376</v>
      </c>
      <c r="E40" s="44">
        <f>'Box Rates'!E21</f>
        <v>0.11448978500373318</v>
      </c>
      <c r="J40" s="14" t="s">
        <v>496</v>
      </c>
    </row>
    <row r="41" spans="2:10" ht="13.95" customHeight="1" x14ac:dyDescent="0.3">
      <c r="B41" s="52" t="s">
        <v>497</v>
      </c>
      <c r="C41" s="20">
        <f>$H$35</f>
        <v>7422.8946009360816</v>
      </c>
      <c r="D41" s="20">
        <f>$H$35</f>
        <v>7422.8946009360816</v>
      </c>
      <c r="E41" s="20">
        <f>$H$35</f>
        <v>7422.8946009360816</v>
      </c>
    </row>
    <row r="42" spans="2:10" ht="13.95" customHeight="1" x14ac:dyDescent="0.3">
      <c r="B42" s="52" t="s">
        <v>498</v>
      </c>
      <c r="C42" s="20">
        <f>C41*(1+gLT)/(C40-gLT)</f>
        <v>85778.552917419831</v>
      </c>
      <c r="D42" s="20">
        <f>D41*(1+gLT)/(D40-gLT)</f>
        <v>104296.50354723507</v>
      </c>
      <c r="E42" s="20">
        <f>E41*(1+gLT)/(E40-gLT)</f>
        <v>115154.76966996092</v>
      </c>
    </row>
    <row r="43" spans="2:10" ht="13.95" customHeight="1" x14ac:dyDescent="0.3">
      <c r="B43" s="52" t="s">
        <v>499</v>
      </c>
      <c r="C43" s="55">
        <f>5-FixTV</f>
        <v>5</v>
      </c>
      <c r="D43" s="55">
        <f>5-FixTV</f>
        <v>5</v>
      </c>
      <c r="E43" s="55">
        <f>5-FixTV</f>
        <v>5</v>
      </c>
    </row>
    <row r="44" spans="2:10" ht="13.95" customHeight="1" x14ac:dyDescent="0.3">
      <c r="B44" s="52" t="s">
        <v>500</v>
      </c>
      <c r="C44" s="20">
        <f>NPV(C40,$E$35:$H$35)</f>
        <v>18249.281784242936</v>
      </c>
      <c r="D44" s="20">
        <f>NPV(D40,$E$35:$H$35)</f>
        <v>18910.408091318666</v>
      </c>
      <c r="E44" s="20">
        <f>NPV(E40,$E$35:$H$35)</f>
        <v>19211.269329622606</v>
      </c>
    </row>
    <row r="45" spans="2:10" ht="13.95" customHeight="1" x14ac:dyDescent="0.3">
      <c r="B45" s="52" t="s">
        <v>168</v>
      </c>
      <c r="C45" s="20">
        <f>C42/(1+C40)^C43</f>
        <v>45022.084301334689</v>
      </c>
      <c r="D45" s="20">
        <f>D42/(1+D40)^D43</f>
        <v>58781.701142855985</v>
      </c>
      <c r="E45" s="20">
        <f>E42/(1+E40)^E43</f>
        <v>66973.264702980581</v>
      </c>
    </row>
    <row r="46" spans="2:10" ht="13.95" customHeight="1" x14ac:dyDescent="0.3">
      <c r="B46" s="52" t="s">
        <v>501</v>
      </c>
      <c r="C46" s="20">
        <f>C44+C45</f>
        <v>63271.366085577625</v>
      </c>
      <c r="D46" s="20">
        <f>D44+D45</f>
        <v>77692.109234174655</v>
      </c>
      <c r="E46" s="20">
        <f>E44+E45</f>
        <v>86184.534032603187</v>
      </c>
    </row>
    <row r="47" spans="2:10" ht="13.95" customHeight="1" x14ac:dyDescent="0.3">
      <c r="B47" s="52" t="s">
        <v>170</v>
      </c>
      <c r="C47" s="20">
        <f>IF(FixND=1,NDmult*DCF!$M$21*$C$22,0)</f>
        <v>0</v>
      </c>
      <c r="D47" s="20">
        <f>IF(FixND=1,NDmult*DCF!$M$21*$C$22,0)</f>
        <v>0</v>
      </c>
      <c r="E47" s="20">
        <f>IF(FixND=1,NDmult*DCF!$M$21*$C$22,0)</f>
        <v>0</v>
      </c>
      <c r="J47" s="14" t="s">
        <v>502</v>
      </c>
    </row>
    <row r="48" spans="2:10" ht="13.95" customHeight="1" x14ac:dyDescent="0.3">
      <c r="B48" s="52" t="s">
        <v>503</v>
      </c>
      <c r="C48" s="34">
        <f>C46-C47</f>
        <v>63271.366085577625</v>
      </c>
      <c r="D48" s="34">
        <f>D46-D47</f>
        <v>77692.109234174655</v>
      </c>
      <c r="E48" s="34">
        <f>E46-E47</f>
        <v>86184.534032603187</v>
      </c>
      <c r="J48" s="14" t="s">
        <v>504</v>
      </c>
    </row>
    <row r="49" spans="2:10" ht="13.95" customHeight="1" x14ac:dyDescent="0.3">
      <c r="B49" s="8" t="s">
        <v>505</v>
      </c>
      <c r="C49" s="20">
        <f>$H$37</f>
        <v>6474.0560059887894</v>
      </c>
      <c r="D49" s="20">
        <f>$H$37</f>
        <v>6474.0560059887894</v>
      </c>
      <c r="E49" s="20">
        <f>$H$37</f>
        <v>6474.0560059887894</v>
      </c>
    </row>
    <row r="50" spans="2:10" ht="13.95" customHeight="1" x14ac:dyDescent="0.3">
      <c r="B50" s="8" t="s">
        <v>506</v>
      </c>
      <c r="C50" s="20">
        <f>C49*(1+gLT)/(C40-gLT)</f>
        <v>74813.827429264216</v>
      </c>
      <c r="D50" s="20">
        <f>D49*(1+gLT)/(D40-gLT)</f>
        <v>90964.703325904411</v>
      </c>
      <c r="E50" s="20">
        <f>E49*(1+gLT)/(E40-gLT)</f>
        <v>100435.00120640954</v>
      </c>
    </row>
    <row r="51" spans="2:10" ht="13.95" customHeight="1" x14ac:dyDescent="0.3">
      <c r="B51" s="8" t="s">
        <v>507</v>
      </c>
      <c r="C51" s="20">
        <f>NPV(C40,$E$37:$H$37)</f>
        <v>17224.035975436887</v>
      </c>
      <c r="D51" s="20">
        <f>NPV(D40,$E$37:$H$37)</f>
        <v>17828.420295844644</v>
      </c>
      <c r="E51" s="20">
        <f>NPV(E40,$E$37:$H$37)</f>
        <v>18103.285501935661</v>
      </c>
    </row>
    <row r="52" spans="2:10" ht="13.95" customHeight="1" x14ac:dyDescent="0.3">
      <c r="B52" s="8" t="s">
        <v>508</v>
      </c>
      <c r="C52" s="20">
        <f>C50/(1+C40)^C43</f>
        <v>39267.093356873505</v>
      </c>
      <c r="D52" s="20">
        <f>D50/(1+D40)^D43</f>
        <v>51267.874028300757</v>
      </c>
      <c r="E52" s="20">
        <f>E50/(1+E40)^E43</f>
        <v>58412.343149305889</v>
      </c>
    </row>
    <row r="53" spans="2:10" ht="13.95" customHeight="1" x14ac:dyDescent="0.3">
      <c r="B53" s="8" t="s">
        <v>509</v>
      </c>
      <c r="C53" s="16">
        <f>C51+C52</f>
        <v>56491.129332310389</v>
      </c>
      <c r="D53" s="16">
        <f>D51+D52</f>
        <v>69096.294324145405</v>
      </c>
      <c r="E53" s="16">
        <f>E51+E52</f>
        <v>76515.628651241554</v>
      </c>
    </row>
    <row r="54" spans="2:10" ht="13.95" customHeight="1" x14ac:dyDescent="0.3">
      <c r="B54" s="5" t="s">
        <v>510</v>
      </c>
      <c r="C54" s="16">
        <f>C53</f>
        <v>56491.129332310389</v>
      </c>
      <c r="D54" s="16">
        <f>D53</f>
        <v>69096.294324145405</v>
      </c>
      <c r="E54" s="16">
        <f>E53</f>
        <v>76515.628651241554</v>
      </c>
      <c r="J54" s="14" t="s">
        <v>511</v>
      </c>
    </row>
    <row r="55" spans="2:10" ht="13.95" customHeight="1" x14ac:dyDescent="0.3">
      <c r="B55" s="8" t="s">
        <v>512</v>
      </c>
      <c r="C55" s="20">
        <f>'Box Shares'!$C$7</f>
        <v>60927.303521809401</v>
      </c>
      <c r="D55" s="20">
        <f>'Box Shares'!$C$7</f>
        <v>60927.303521809401</v>
      </c>
      <c r="E55" s="20">
        <f>'Box Shares'!$C$7</f>
        <v>60927.303521809401</v>
      </c>
    </row>
    <row r="56" spans="2:10" ht="13.95" customHeight="1" x14ac:dyDescent="0.3">
      <c r="B56" s="8" t="s">
        <v>513</v>
      </c>
      <c r="C56" s="21">
        <f>C54/C55-1</f>
        <v>-7.2810939153265641E-2</v>
      </c>
      <c r="D56" s="21">
        <f>D54/D55-1</f>
        <v>0.13407766846947111</v>
      </c>
      <c r="E56" s="21">
        <f>E54/E55-1</f>
        <v>0.25585122315239484</v>
      </c>
    </row>
    <row r="57" spans="2:10" ht="13.95" customHeight="1" x14ac:dyDescent="0.3">
      <c r="B57" s="5" t="s">
        <v>514</v>
      </c>
      <c r="C57" s="49">
        <f>C54*C$10</f>
        <v>54797.694746401998</v>
      </c>
      <c r="D57" s="49">
        <f>D54*D$10</f>
        <v>64254.945011603748</v>
      </c>
      <c r="E57" s="49">
        <f>E54*E$10</f>
        <v>71234.793029161257</v>
      </c>
      <c r="J57" s="14" t="s">
        <v>515</v>
      </c>
    </row>
    <row r="58" spans="2:10" ht="13.95" customHeight="1" x14ac:dyDescent="0.3">
      <c r="B58" s="5" t="s">
        <v>175</v>
      </c>
      <c r="C58" s="56">
        <f>C57/C55-1</f>
        <v>-0.10060528566167815</v>
      </c>
      <c r="D58" s="56">
        <f>D57/D55-1</f>
        <v>5.461658890916099E-2</v>
      </c>
      <c r="E58" s="56">
        <f>E57/E55-1</f>
        <v>0.16917685358686874</v>
      </c>
    </row>
    <row r="59" spans="2:10" ht="13.95" customHeight="1" x14ac:dyDescent="0.3">
      <c r="B59" s="52" t="s">
        <v>516</v>
      </c>
      <c r="C59" s="57">
        <f>DCF!C48</f>
        <v>0.14500000000000002</v>
      </c>
      <c r="D59" s="57">
        <f>DCF!D48</f>
        <v>0.12759999999999999</v>
      </c>
      <c r="E59" s="57">
        <f>DCF!E48</f>
        <v>0.12</v>
      </c>
    </row>
    <row r="60" spans="2:10" ht="13.95" customHeight="1" x14ac:dyDescent="0.3">
      <c r="B60" s="52" t="s">
        <v>517</v>
      </c>
      <c r="C60" s="50">
        <f>NPV(C59,$E$35:$H$35)+$H$35*(1+gLT)/(C59-gLT)/(1+C59)^C43-C47</f>
        <v>58254.028740963389</v>
      </c>
      <c r="D60" s="50">
        <f>NPV(D59,$E$35:$H$35)+$H$35*(1+gLT)/(D59-gLT)/(1+D59)^D43-D47</f>
        <v>71550.321591912958</v>
      </c>
      <c r="E60" s="50">
        <f>NPV(E59,$E$35:$H$35)+$H$35*(1+gLT)/(E59-gLT)/(1+E59)^E43-E47</f>
        <v>79384.432617275728</v>
      </c>
      <c r="J60" s="14" t="s">
        <v>518</v>
      </c>
    </row>
    <row r="61" spans="2:10" ht="13.95" customHeight="1" x14ac:dyDescent="0.3">
      <c r="B61" s="52" t="s">
        <v>519</v>
      </c>
      <c r="C61" s="50">
        <f>NPV(C59,$E$37:$H$37)+$H$37*(1+gLT)/(C59-gLT)/(1+C59)^C43</f>
        <v>52102.714621726424</v>
      </c>
      <c r="D61" s="50">
        <f>NPV(D59,$E$37:$H$37)+$H$37*(1+gLT)/(D59-gLT)/(1+D59)^D43</f>
        <v>63728.961928706747</v>
      </c>
      <c r="E61" s="50">
        <f>NPV(E59,$E$37:$H$37)+$H$37*(1+gLT)/(E59-gLT)/(1+E59)^E43</f>
        <v>70574.966327640315</v>
      </c>
      <c r="J61" s="14" t="s">
        <v>520</v>
      </c>
    </row>
    <row r="64" spans="2:10" ht="13.95" customHeight="1" x14ac:dyDescent="0.3">
      <c r="B64" s="121" t="s">
        <v>521</v>
      </c>
      <c r="C64" s="121"/>
      <c r="D64" s="121"/>
      <c r="E64" s="121"/>
      <c r="F64" s="121"/>
      <c r="G64" s="121"/>
      <c r="H64" s="121"/>
      <c r="I64" s="121"/>
      <c r="J64" s="121"/>
    </row>
    <row r="65" spans="2:10" ht="13.95" customHeight="1" x14ac:dyDescent="0.3">
      <c r="B65" s="17"/>
      <c r="C65" s="18" t="s">
        <v>85</v>
      </c>
      <c r="D65" s="18" t="s">
        <v>86</v>
      </c>
      <c r="E65" s="18" t="s">
        <v>87</v>
      </c>
      <c r="F65" s="18" t="s">
        <v>88</v>
      </c>
      <c r="G65" s="18" t="s">
        <v>89</v>
      </c>
      <c r="H65" s="18" t="s">
        <v>90</v>
      </c>
      <c r="J65" s="18" t="s">
        <v>155</v>
      </c>
    </row>
    <row r="66" spans="2:10" ht="13.95" customHeight="1" x14ac:dyDescent="0.3">
      <c r="B66" s="52" t="s">
        <v>472</v>
      </c>
      <c r="C66" s="53">
        <f>'Box Shares'!D20</f>
        <v>0.25320997654582167</v>
      </c>
      <c r="D66" s="53">
        <f>'Box Shares'!E20</f>
        <v>0.26048991695618606</v>
      </c>
      <c r="E66" s="53">
        <f>D66</f>
        <v>0.26048991695618606</v>
      </c>
      <c r="F66" s="53">
        <f>E66</f>
        <v>0.26048991695618606</v>
      </c>
      <c r="G66" s="53">
        <f>F66</f>
        <v>0.26048991695618606</v>
      </c>
      <c r="H66" s="53">
        <f>G66</f>
        <v>0.26048991695618606</v>
      </c>
      <c r="J66" s="14" t="s">
        <v>473</v>
      </c>
    </row>
    <row r="67" spans="2:10" ht="13.95" customHeight="1" x14ac:dyDescent="0.3">
      <c r="B67" s="8" t="s">
        <v>102</v>
      </c>
      <c r="C67" s="20">
        <f>DCF!N13*C66</f>
        <v>40240.382682638527</v>
      </c>
      <c r="D67" s="20">
        <f>DCF!O13*D66</f>
        <v>42660.173209997636</v>
      </c>
      <c r="E67" s="20">
        <f>DCF!P13*E66</f>
        <v>45253.911741165495</v>
      </c>
      <c r="F67" s="20">
        <f>DCF!Q13*F66</f>
        <v>48005.349575028355</v>
      </c>
      <c r="G67" s="20">
        <f>DCF!R13*G66</f>
        <v>50924.074829190082</v>
      </c>
      <c r="H67" s="20">
        <f>DCF!S13*H66</f>
        <v>54020.258578804838</v>
      </c>
      <c r="J67" s="14" t="s">
        <v>474</v>
      </c>
    </row>
    <row r="68" spans="2:10" ht="13.95" customHeight="1" x14ac:dyDescent="0.3">
      <c r="B68" s="52" t="s">
        <v>475</v>
      </c>
      <c r="C68" s="53">
        <f>'Box Shares'!G20</f>
        <v>0.20945024056999914</v>
      </c>
      <c r="D68" s="53">
        <f>'Box Shares'!H20</f>
        <v>0.23407448302763553</v>
      </c>
      <c r="E68" s="53">
        <f>'Box Shares'!I20</f>
        <v>0.24415677209055056</v>
      </c>
      <c r="F68" s="53">
        <f>E68</f>
        <v>0.24415677209055056</v>
      </c>
      <c r="G68" s="53">
        <f>F68</f>
        <v>0.24415677209055056</v>
      </c>
      <c r="H68" s="53">
        <f>G68</f>
        <v>0.24415677209055056</v>
      </c>
      <c r="J68" s="14" t="s">
        <v>476</v>
      </c>
    </row>
    <row r="69" spans="2:10" ht="13.95" customHeight="1" x14ac:dyDescent="0.3">
      <c r="B69" s="8" t="s">
        <v>113</v>
      </c>
      <c r="C69" s="20">
        <f>DCF!N19*C68</f>
        <v>6928.6139580555719</v>
      </c>
      <c r="D69" s="20">
        <f>DCF!O19*D68</f>
        <v>8165.2201914530106</v>
      </c>
      <c r="E69" s="20">
        <f>DCF!P19*E68</f>
        <v>9112.4214895312489</v>
      </c>
      <c r="F69" s="20">
        <f>DCF!Q19*F68</f>
        <v>9666.4567160947499</v>
      </c>
      <c r="G69" s="20">
        <f>DCF!R19*G68</f>
        <v>10254.17728443331</v>
      </c>
      <c r="H69" s="20">
        <f>DCF!S19*H68</f>
        <v>10877.631263326857</v>
      </c>
    </row>
    <row r="70" spans="2:10" ht="13.95" customHeight="1" x14ac:dyDescent="0.3">
      <c r="B70" s="52" t="s">
        <v>477</v>
      </c>
      <c r="C70" s="53">
        <f>'Box Shares'!J20</f>
        <v>0.19172465279228279</v>
      </c>
      <c r="D70" s="53">
        <f>'Box Shares'!K20</f>
        <v>0.21119667869752651</v>
      </c>
      <c r="E70" s="53">
        <f>'Box Shares'!L20</f>
        <v>0.22223939449429822</v>
      </c>
      <c r="F70" s="53">
        <f>E70</f>
        <v>0.22223939449429822</v>
      </c>
      <c r="G70" s="53">
        <f>F70</f>
        <v>0.22223939449429822</v>
      </c>
      <c r="H70" s="53">
        <f>G70</f>
        <v>0.22223939449429822</v>
      </c>
      <c r="J70" s="14" t="s">
        <v>478</v>
      </c>
    </row>
    <row r="71" spans="2:10" ht="13.95" customHeight="1" x14ac:dyDescent="0.3">
      <c r="B71" s="8" t="s">
        <v>116</v>
      </c>
      <c r="C71" s="20">
        <f>DCF!N21*C70</f>
        <v>9456.6267743265562</v>
      </c>
      <c r="D71" s="20">
        <f>DCF!O21*D70</f>
        <v>10711.261953502451</v>
      </c>
      <c r="E71" s="20">
        <f>DCF!P21*E70</f>
        <v>11555.779573126079</v>
      </c>
      <c r="F71" s="20">
        <f>DCF!Q21*F70</f>
        <v>12286.863092481084</v>
      </c>
      <c r="G71" s="20">
        <f>DCF!R21*G70</f>
        <v>13033.904368503936</v>
      </c>
      <c r="H71" s="20">
        <f>DCF!S21*H70</f>
        <v>13826.365754108974</v>
      </c>
    </row>
    <row r="72" spans="2:10" ht="13.95" customHeight="1" x14ac:dyDescent="0.3">
      <c r="B72" s="52" t="s">
        <v>479</v>
      </c>
      <c r="C72" s="53">
        <f>'Box Shares'!P20</f>
        <v>0.2478664012938534</v>
      </c>
      <c r="D72" s="53">
        <f>'Box Shares'!Q20</f>
        <v>0.24129138018750107</v>
      </c>
      <c r="E72" s="53">
        <f>D72</f>
        <v>0.24129138018750107</v>
      </c>
      <c r="F72" s="53">
        <f>E72</f>
        <v>0.24129138018750107</v>
      </c>
      <c r="G72" s="53">
        <f>F72</f>
        <v>0.24129138018750107</v>
      </c>
      <c r="H72" s="53">
        <f>G72</f>
        <v>0.24129138018750107</v>
      </c>
      <c r="J72" s="14" t="s">
        <v>480</v>
      </c>
    </row>
    <row r="73" spans="2:10" ht="13.95" customHeight="1" x14ac:dyDescent="0.3">
      <c r="B73" s="8" t="s">
        <v>137</v>
      </c>
      <c r="C73" s="20">
        <f>DCF!N33*C72</f>
        <v>-4748.8723823889377</v>
      </c>
      <c r="D73" s="20">
        <f>DCF!O33*D72</f>
        <v>-4664.8862531649584</v>
      </c>
      <c r="E73" s="20">
        <f>DCF!P33*E72</f>
        <v>-4611.0486139163613</v>
      </c>
      <c r="F73" s="20">
        <f>DCF!Q33*F72</f>
        <v>-4891.400369642477</v>
      </c>
      <c r="G73" s="20">
        <f>DCF!R33*G72</f>
        <v>-4245.3797826409682</v>
      </c>
      <c r="H73" s="20">
        <f>DCF!S33*H72</f>
        <v>-4503.4988734255394</v>
      </c>
    </row>
    <row r="74" spans="2:10" ht="13.95" customHeight="1" x14ac:dyDescent="0.3">
      <c r="B74" s="52" t="s">
        <v>481</v>
      </c>
      <c r="C74" s="53">
        <f>'Box Shares'!M20</f>
        <v>0.14197047973500815</v>
      </c>
      <c r="D74" s="53">
        <f>'Box Shares'!N20</f>
        <v>0.17585706750768873</v>
      </c>
      <c r="E74" s="53">
        <f>'Box Shares'!O20</f>
        <v>0.19377661083294556</v>
      </c>
      <c r="F74" s="53">
        <f>E74</f>
        <v>0.19377661083294556</v>
      </c>
      <c r="G74" s="53">
        <f>F74</f>
        <v>0.19377661083294556</v>
      </c>
      <c r="H74" s="53">
        <f>G74</f>
        <v>0.19377661083294556</v>
      </c>
      <c r="J74" s="14" t="s">
        <v>482</v>
      </c>
    </row>
    <row r="75" spans="2:10" ht="13.95" customHeight="1" x14ac:dyDescent="0.3">
      <c r="B75" s="8" t="s">
        <v>483</v>
      </c>
      <c r="C75" s="20">
        <f>DCF!N29*C74</f>
        <v>2975.4173142863006</v>
      </c>
      <c r="D75" s="20">
        <f>DCF!O29*D74</f>
        <v>3810.1192246215842</v>
      </c>
      <c r="E75" s="20">
        <f>DCF!P29*E74</f>
        <v>4491.1605092751797</v>
      </c>
      <c r="F75" s="20">
        <f>DCF!Q29*F74</f>
        <v>4764.2230682391109</v>
      </c>
      <c r="G75" s="20">
        <f>DCF!R29*G74</f>
        <v>5053.8878307880477</v>
      </c>
      <c r="H75" s="20">
        <f>DCF!S29*H74</f>
        <v>5361.1642108999622</v>
      </c>
    </row>
    <row r="76" spans="2:10" ht="13.95" customHeight="1" x14ac:dyDescent="0.3">
      <c r="B76" s="8" t="s">
        <v>484</v>
      </c>
      <c r="C76" s="20">
        <f t="shared" ref="C76:H76" si="7">C71-C69</f>
        <v>2528.0128162709843</v>
      </c>
      <c r="D76" s="20">
        <f t="shared" si="7"/>
        <v>2546.0417620494409</v>
      </c>
      <c r="E76" s="20">
        <f t="shared" si="7"/>
        <v>2443.3580835948305</v>
      </c>
      <c r="F76" s="20">
        <f t="shared" si="7"/>
        <v>2620.4063763863342</v>
      </c>
      <c r="G76" s="20">
        <f t="shared" si="7"/>
        <v>2779.727084070626</v>
      </c>
      <c r="H76" s="20">
        <f t="shared" si="7"/>
        <v>2948.7344907821171</v>
      </c>
    </row>
    <row r="77" spans="2:10" ht="13.95" customHeight="1" x14ac:dyDescent="0.3">
      <c r="B77" s="8" t="s">
        <v>485</v>
      </c>
      <c r="C77" s="36">
        <f>DCF!N25</f>
        <v>-0.24</v>
      </c>
      <c r="D77" s="36">
        <f>DCF!O25</f>
        <v>-0.24</v>
      </c>
      <c r="E77" s="36">
        <f>DCF!P25</f>
        <v>-0.24</v>
      </c>
      <c r="F77" s="36">
        <f>DCF!Q25</f>
        <v>-0.24</v>
      </c>
      <c r="G77" s="36">
        <f>DCF!R25</f>
        <v>-0.24</v>
      </c>
      <c r="H77" s="36">
        <f>DCF!S25</f>
        <v>-0.24</v>
      </c>
      <c r="J77" s="14" t="s">
        <v>486</v>
      </c>
    </row>
    <row r="78" spans="2:10" ht="13.95" customHeight="1" x14ac:dyDescent="0.3">
      <c r="B78" s="8" t="s">
        <v>487</v>
      </c>
      <c r="C78" s="20">
        <f t="shared" ref="C78:H78" si="8">C69*(1+C77)</f>
        <v>5265.7466081222346</v>
      </c>
      <c r="D78" s="20">
        <f t="shared" si="8"/>
        <v>6205.5673455042879</v>
      </c>
      <c r="E78" s="20">
        <f t="shared" si="8"/>
        <v>6925.4403320437495</v>
      </c>
      <c r="F78" s="20">
        <f t="shared" si="8"/>
        <v>7346.5071042320096</v>
      </c>
      <c r="G78" s="20">
        <f t="shared" si="8"/>
        <v>7793.174736169316</v>
      </c>
      <c r="H78" s="20">
        <f t="shared" si="8"/>
        <v>8266.9997601284122</v>
      </c>
    </row>
    <row r="79" spans="2:10" ht="13.95" customHeight="1" x14ac:dyDescent="0.3">
      <c r="B79" s="8" t="s">
        <v>488</v>
      </c>
      <c r="C79" s="20">
        <f t="shared" ref="C79:H79" si="9">-NWCpct*C67</f>
        <v>-1609.6153073055411</v>
      </c>
      <c r="D79" s="20">
        <f t="shared" si="9"/>
        <v>-1706.4069283999054</v>
      </c>
      <c r="E79" s="20">
        <f t="shared" si="9"/>
        <v>-1810.1564696466198</v>
      </c>
      <c r="F79" s="20">
        <f t="shared" si="9"/>
        <v>-1920.2139830011342</v>
      </c>
      <c r="G79" s="20">
        <f t="shared" si="9"/>
        <v>-2036.9629931676034</v>
      </c>
      <c r="H79" s="20">
        <f t="shared" si="9"/>
        <v>-2160.8103431521936</v>
      </c>
    </row>
    <row r="80" spans="2:10" ht="13.95" customHeight="1" x14ac:dyDescent="0.3">
      <c r="B80" s="8" t="s">
        <v>136</v>
      </c>
      <c r="D80" s="20">
        <f>D79-C79</f>
        <v>-96.791621094364245</v>
      </c>
      <c r="E80" s="20">
        <f>E79-D79</f>
        <v>-103.74954124671444</v>
      </c>
      <c r="F80" s="20">
        <f>F79-E79</f>
        <v>-110.05751335451441</v>
      </c>
      <c r="G80" s="20">
        <f>G79-F79</f>
        <v>-116.74901016646913</v>
      </c>
      <c r="H80" s="20">
        <f>H79-G79</f>
        <v>-123.84734998459021</v>
      </c>
    </row>
    <row r="81" spans="2:10" ht="13.95" customHeight="1" x14ac:dyDescent="0.3">
      <c r="B81" s="8" t="s">
        <v>141</v>
      </c>
      <c r="C81" s="20">
        <f t="shared" ref="C81:H81" si="10">C76+C78+C73+C79</f>
        <v>1435.2717346987401</v>
      </c>
      <c r="D81" s="20">
        <f t="shared" si="10"/>
        <v>2380.3159259888662</v>
      </c>
      <c r="E81" s="20">
        <f t="shared" si="10"/>
        <v>2947.593332075598</v>
      </c>
      <c r="F81" s="20">
        <f t="shared" si="10"/>
        <v>3155.2991279747316</v>
      </c>
      <c r="G81" s="20">
        <f t="shared" si="10"/>
        <v>4290.5590444313702</v>
      </c>
      <c r="H81" s="20">
        <f t="shared" si="10"/>
        <v>4551.4250343327967</v>
      </c>
    </row>
    <row r="82" spans="2:10" ht="13.95" customHeight="1" x14ac:dyDescent="0.3">
      <c r="B82" s="8" t="s">
        <v>143</v>
      </c>
      <c r="D82" s="20">
        <f>D76+D78+D73+D80</f>
        <v>3989.9312332944073</v>
      </c>
      <c r="E82" s="20">
        <f>E76+E78+E73+E80</f>
        <v>4654.0002604755036</v>
      </c>
      <c r="F82" s="20">
        <f>F76+F78+F73+F80</f>
        <v>4965.4555976213514</v>
      </c>
      <c r="G82" s="20">
        <f>G76+G78+G73+G80</f>
        <v>6210.7730274325049</v>
      </c>
      <c r="H82" s="20">
        <f>H76+H78+H73+H80</f>
        <v>6588.3880275003994</v>
      </c>
    </row>
    <row r="83" spans="2:10" ht="13.95" customHeight="1" x14ac:dyDescent="0.3">
      <c r="B83" s="5" t="s">
        <v>489</v>
      </c>
      <c r="C83" s="16">
        <f>C81</f>
        <v>1435.2717346987401</v>
      </c>
      <c r="D83" s="49">
        <f>IF(FixNWC=1,D82,D81)</f>
        <v>2380.3159259888662</v>
      </c>
      <c r="E83" s="49">
        <f>IF(FixNWC=1,E82,E81)</f>
        <v>2947.593332075598</v>
      </c>
      <c r="F83" s="49">
        <f>IF(FixNWC=1,F82,F81)</f>
        <v>3155.2991279747316</v>
      </c>
      <c r="G83" s="49">
        <f>IF(FixNWC=1,G82,G81)</f>
        <v>4290.5590444313702</v>
      </c>
      <c r="H83" s="49">
        <f>IF(FixNWC=1,H82,H81)</f>
        <v>4551.4250343327967</v>
      </c>
      <c r="J83" s="14" t="s">
        <v>490</v>
      </c>
    </row>
    <row r="85" spans="2:10" ht="13.95" customHeight="1" x14ac:dyDescent="0.3">
      <c r="B85" s="17" t="s">
        <v>494</v>
      </c>
      <c r="C85" s="18" t="s">
        <v>31</v>
      </c>
      <c r="D85" s="18" t="s">
        <v>32</v>
      </c>
      <c r="E85" s="18" t="s">
        <v>33</v>
      </c>
    </row>
    <row r="86" spans="2:10" ht="13.95" customHeight="1" x14ac:dyDescent="0.3">
      <c r="B86" s="8" t="s">
        <v>495</v>
      </c>
      <c r="C86" s="44">
        <f>'Box Rates'!C22</f>
        <v>0.10925386153992503</v>
      </c>
      <c r="D86" s="44">
        <f>'Box Rates'!D22</f>
        <v>9.8200624899162814E-2</v>
      </c>
      <c r="E86" s="44">
        <f>'Box Rates'!E22</f>
        <v>9.3372774412393111E-2</v>
      </c>
      <c r="J86" s="14" t="s">
        <v>496</v>
      </c>
    </row>
    <row r="87" spans="2:10" ht="13.95" customHeight="1" x14ac:dyDescent="0.3">
      <c r="B87" s="8" t="s">
        <v>497</v>
      </c>
      <c r="C87" s="20">
        <f>$H$83</f>
        <v>4551.4250343327967</v>
      </c>
      <c r="D87" s="20">
        <f>$H$83</f>
        <v>4551.4250343327967</v>
      </c>
      <c r="E87" s="20">
        <f>$H$83</f>
        <v>4551.4250343327967</v>
      </c>
    </row>
    <row r="88" spans="2:10" ht="13.95" customHeight="1" x14ac:dyDescent="0.3">
      <c r="B88" s="8" t="s">
        <v>498</v>
      </c>
      <c r="C88" s="20">
        <f>C87*(1+gLT)/(C86-gLT)</f>
        <v>76546.930472582797</v>
      </c>
      <c r="D88" s="20">
        <f>D87*(1+gLT)/(D86-gLT)</f>
        <v>93071.950202395994</v>
      </c>
      <c r="E88" s="20">
        <f>E87*(1+gLT)/(E86-gLT)</f>
        <v>102761.6326892208</v>
      </c>
    </row>
    <row r="89" spans="2:10" ht="13.95" customHeight="1" x14ac:dyDescent="0.3">
      <c r="B89" s="8" t="s">
        <v>499</v>
      </c>
      <c r="C89" s="55">
        <f>5-FixTV</f>
        <v>5</v>
      </c>
      <c r="D89" s="55">
        <f>5-FixTV</f>
        <v>5</v>
      </c>
      <c r="E89" s="55">
        <f>5-FixTV</f>
        <v>5</v>
      </c>
    </row>
    <row r="90" spans="2:10" ht="13.95" customHeight="1" x14ac:dyDescent="0.3">
      <c r="B90" s="8" t="s">
        <v>500</v>
      </c>
      <c r="C90" s="20">
        <f>NPV(C86,$E$83:$H$83)</f>
        <v>11371.428039544084</v>
      </c>
      <c r="D90" s="20">
        <f>NPV(D86,$E$83:$H$83)</f>
        <v>11668.798651955429</v>
      </c>
      <c r="E90" s="20">
        <f>NPV(E86,$E$83:$H$83)</f>
        <v>11802.541023664835</v>
      </c>
    </row>
    <row r="91" spans="2:10" ht="13.95" customHeight="1" x14ac:dyDescent="0.3">
      <c r="B91" s="8" t="s">
        <v>168</v>
      </c>
      <c r="C91" s="20">
        <f>C88/(1+C86)^C89</f>
        <v>45579.864933436809</v>
      </c>
      <c r="D91" s="20">
        <f>D88/(1+D86)^D89</f>
        <v>58265.352951818721</v>
      </c>
      <c r="E91" s="20">
        <f>E88/(1+E86)^E89</f>
        <v>65764.226765522631</v>
      </c>
    </row>
    <row r="92" spans="2:10" ht="13.95" customHeight="1" x14ac:dyDescent="0.3">
      <c r="B92" s="8" t="s">
        <v>501</v>
      </c>
      <c r="C92" s="20">
        <f>C90+C91</f>
        <v>56951.292972980897</v>
      </c>
      <c r="D92" s="20">
        <f>D90+D91</f>
        <v>69934.151603774153</v>
      </c>
      <c r="E92" s="20">
        <f>E90+E91</f>
        <v>77566.767789187463</v>
      </c>
    </row>
    <row r="93" spans="2:10" ht="13.95" customHeight="1" x14ac:dyDescent="0.3">
      <c r="B93" s="8" t="s">
        <v>170</v>
      </c>
      <c r="C93" s="20">
        <f>IF(FixND=1,NDmult*DCF!$M$21*$C$70,0)</f>
        <v>0</v>
      </c>
      <c r="D93" s="20">
        <f>IF(FixND=1,NDmult*DCF!$M$21*$C$70,0)</f>
        <v>0</v>
      </c>
      <c r="E93" s="20">
        <f>IF(FixND=1,NDmult*DCF!$M$21*$C$70,0)</f>
        <v>0</v>
      </c>
      <c r="J93" s="14" t="s">
        <v>502</v>
      </c>
    </row>
    <row r="94" spans="2:10" ht="13.95" customHeight="1" x14ac:dyDescent="0.3">
      <c r="B94" s="8" t="s">
        <v>503</v>
      </c>
      <c r="C94" s="16">
        <f>C92-C93</f>
        <v>56951.292972980897</v>
      </c>
      <c r="D94" s="16">
        <f>D92-D93</f>
        <v>69934.151603774153</v>
      </c>
      <c r="E94" s="16">
        <f>E92-E93</f>
        <v>77566.767789187463</v>
      </c>
      <c r="J94" s="14" t="s">
        <v>504</v>
      </c>
    </row>
    <row r="95" spans="2:10" ht="13.95" customHeight="1" x14ac:dyDescent="0.3">
      <c r="B95" s="5" t="s">
        <v>510</v>
      </c>
      <c r="C95" s="16">
        <f>C94</f>
        <v>56951.292972980897</v>
      </c>
      <c r="D95" s="16">
        <f>D94</f>
        <v>69934.151603774153</v>
      </c>
      <c r="E95" s="16">
        <f>E94</f>
        <v>77566.767789187463</v>
      </c>
      <c r="J95" s="14" t="s">
        <v>511</v>
      </c>
    </row>
    <row r="96" spans="2:10" ht="13.95" customHeight="1" x14ac:dyDescent="0.3">
      <c r="B96" s="8" t="s">
        <v>512</v>
      </c>
      <c r="C96" s="20">
        <f>'Box Shares'!$C$8</f>
        <v>55822.367361651384</v>
      </c>
      <c r="D96" s="20">
        <f>'Box Shares'!$C$8</f>
        <v>55822.367361651384</v>
      </c>
      <c r="E96" s="20">
        <f>'Box Shares'!$C$8</f>
        <v>55822.367361651384</v>
      </c>
    </row>
    <row r="97" spans="2:10" ht="13.95" customHeight="1" x14ac:dyDescent="0.3">
      <c r="B97" s="8" t="s">
        <v>513</v>
      </c>
      <c r="C97" s="21">
        <f>C95/C96-1</f>
        <v>2.0223535200785125E-2</v>
      </c>
      <c r="D97" s="21">
        <f>D95/D96-1</f>
        <v>0.25279802539899476</v>
      </c>
      <c r="E97" s="21">
        <f>E95/E96-1</f>
        <v>0.3895284534721104</v>
      </c>
    </row>
    <row r="98" spans="2:10" ht="13.95" customHeight="1" x14ac:dyDescent="0.3">
      <c r="B98" s="5" t="s">
        <v>514</v>
      </c>
      <c r="C98" s="49">
        <f>C95*C$10</f>
        <v>55244.06406160054</v>
      </c>
      <c r="D98" s="49">
        <f>D95*D$10</f>
        <v>65034.096396735324</v>
      </c>
      <c r="E98" s="49">
        <f>E95*E$10</f>
        <v>72213.38629509024</v>
      </c>
      <c r="J98" s="14" t="s">
        <v>515</v>
      </c>
    </row>
    <row r="99" spans="2:10" ht="13.95" customHeight="1" x14ac:dyDescent="0.3">
      <c r="B99" s="5" t="s">
        <v>175</v>
      </c>
      <c r="C99" s="56">
        <f>C98/C96-1</f>
        <v>-1.0359705748490433E-2</v>
      </c>
      <c r="D99" s="56">
        <f>D98/D96-1</f>
        <v>0.16501860222811282</v>
      </c>
      <c r="E99" s="56">
        <f>E98/E96-1</f>
        <v>0.29362815853451396</v>
      </c>
    </row>
    <row r="100" spans="2:10" ht="13.95" customHeight="1" x14ac:dyDescent="0.3">
      <c r="B100" s="52" t="s">
        <v>516</v>
      </c>
      <c r="C100" s="57">
        <f>DCF!C48</f>
        <v>0.14500000000000002</v>
      </c>
      <c r="D100" s="57">
        <f>DCF!D48</f>
        <v>0.12759999999999999</v>
      </c>
      <c r="E100" s="57">
        <f>DCF!E48</f>
        <v>0.12</v>
      </c>
    </row>
    <row r="101" spans="2:10" ht="13.95" customHeight="1" x14ac:dyDescent="0.3">
      <c r="B101" s="52" t="s">
        <v>517</v>
      </c>
      <c r="C101" s="50">
        <f>NPV(C100,$E$83:$H$83)+$H$83*(1+gLT)/(C100-gLT)/(1+C100)^C89-C93</f>
        <v>35195.505830703121</v>
      </c>
      <c r="D101" s="50">
        <f>NPV(D100,$E$83:$H$83)+$H$83*(1+gLT)/(D100-gLT)/(1+D100)^D89-D93</f>
        <v>43336.293944616758</v>
      </c>
      <c r="E101" s="50">
        <f>NPV(E100,$E$83:$H$83)+$H$83*(1+gLT)/(E100-gLT)/(1+E100)^E89-E93</f>
        <v>48134.476454446689</v>
      </c>
      <c r="J101" s="14" t="s">
        <v>518</v>
      </c>
    </row>
    <row r="102" spans="2:10" ht="13.95" customHeight="1" x14ac:dyDescent="0.3">
      <c r="B102" s="52" t="s">
        <v>519</v>
      </c>
      <c r="C102" s="50">
        <f>C101</f>
        <v>35195.505830703121</v>
      </c>
      <c r="D102" s="50">
        <f>D101</f>
        <v>43336.293944616758</v>
      </c>
      <c r="E102" s="50">
        <f>E101</f>
        <v>48134.476454446689</v>
      </c>
      <c r="J102" s="14" t="s">
        <v>520</v>
      </c>
    </row>
    <row r="105" spans="2:10" ht="13.95" customHeight="1" x14ac:dyDescent="0.3">
      <c r="B105" s="121" t="s">
        <v>522</v>
      </c>
      <c r="C105" s="121"/>
      <c r="D105" s="121"/>
      <c r="E105" s="121"/>
      <c r="F105" s="121"/>
      <c r="G105" s="121"/>
      <c r="H105" s="121"/>
      <c r="I105" s="121"/>
      <c r="J105" s="121"/>
    </row>
    <row r="106" spans="2:10" ht="13.95" customHeight="1" x14ac:dyDescent="0.3">
      <c r="B106" s="17"/>
      <c r="C106" s="18" t="s">
        <v>85</v>
      </c>
      <c r="D106" s="18" t="s">
        <v>86</v>
      </c>
      <c r="E106" s="18" t="s">
        <v>87</v>
      </c>
      <c r="F106" s="18" t="s">
        <v>88</v>
      </c>
      <c r="G106" s="18" t="s">
        <v>89</v>
      </c>
      <c r="H106" s="18" t="s">
        <v>90</v>
      </c>
      <c r="J106" s="18" t="s">
        <v>155</v>
      </c>
    </row>
    <row r="107" spans="2:10" ht="13.95" customHeight="1" x14ac:dyDescent="0.3">
      <c r="B107" s="52" t="s">
        <v>472</v>
      </c>
      <c r="C107" s="53">
        <f>'Box Shares'!D21</f>
        <v>0.10558338915495054</v>
      </c>
      <c r="D107" s="53">
        <f>'Box Shares'!E21</f>
        <v>0.11218492273504395</v>
      </c>
      <c r="E107" s="53">
        <f>D107</f>
        <v>0.11218492273504395</v>
      </c>
      <c r="F107" s="53">
        <f>E107</f>
        <v>0.11218492273504395</v>
      </c>
      <c r="G107" s="53">
        <f>F107</f>
        <v>0.11218492273504395</v>
      </c>
      <c r="H107" s="53">
        <f>G107</f>
        <v>0.11218492273504395</v>
      </c>
      <c r="J107" s="14" t="s">
        <v>473</v>
      </c>
    </row>
    <row r="108" spans="2:10" ht="13.95" customHeight="1" x14ac:dyDescent="0.3">
      <c r="B108" s="8" t="s">
        <v>102</v>
      </c>
      <c r="C108" s="20">
        <f>DCF!N13*C107</f>
        <v>16779.417787893894</v>
      </c>
      <c r="D108" s="20">
        <f>DCF!O13*D107</f>
        <v>18372.412611395412</v>
      </c>
      <c r="E108" s="20">
        <f>DCF!P13*E107</f>
        <v>19489.455298168254</v>
      </c>
      <c r="F108" s="20">
        <f>DCF!Q13*F107</f>
        <v>20674.414180296884</v>
      </c>
      <c r="G108" s="20">
        <f>DCF!R13*G107</f>
        <v>21931.418562458934</v>
      </c>
      <c r="H108" s="20">
        <f>DCF!S13*H107</f>
        <v>23264.848811056439</v>
      </c>
      <c r="J108" s="14" t="s">
        <v>474</v>
      </c>
    </row>
    <row r="109" spans="2:10" ht="13.95" customHeight="1" x14ac:dyDescent="0.3">
      <c r="B109" s="52" t="s">
        <v>475</v>
      </c>
      <c r="C109" s="53">
        <f>'Box Shares'!G21</f>
        <v>9.3515305351814196E-2</v>
      </c>
      <c r="D109" s="53">
        <f>'Box Shares'!H21</f>
        <v>0.10053885129004453</v>
      </c>
      <c r="E109" s="53">
        <f>'Box Shares'!I21</f>
        <v>0.10599900182268422</v>
      </c>
      <c r="F109" s="53">
        <f>E109</f>
        <v>0.10599900182268422</v>
      </c>
      <c r="G109" s="53">
        <f>F109</f>
        <v>0.10599900182268422</v>
      </c>
      <c r="H109" s="53">
        <f>G109</f>
        <v>0.10599900182268422</v>
      </c>
      <c r="J109" s="14" t="s">
        <v>476</v>
      </c>
    </row>
    <row r="110" spans="2:10" ht="13.95" customHeight="1" x14ac:dyDescent="0.3">
      <c r="B110" s="8" t="s">
        <v>113</v>
      </c>
      <c r="C110" s="20">
        <f>DCF!N19*C109</f>
        <v>3093.4863010380136</v>
      </c>
      <c r="D110" s="20">
        <f>DCF!O19*D109</f>
        <v>3507.0967495506234</v>
      </c>
      <c r="E110" s="20">
        <f>DCF!P19*E109</f>
        <v>3956.0958060162388</v>
      </c>
      <c r="F110" s="20">
        <f>DCF!Q19*F109</f>
        <v>4196.6264310220267</v>
      </c>
      <c r="G110" s="20">
        <f>DCF!R19*G109</f>
        <v>4451.7813180281655</v>
      </c>
      <c r="H110" s="20">
        <f>DCF!S19*H109</f>
        <v>4722.4496221642785</v>
      </c>
    </row>
    <row r="111" spans="2:10" ht="13.95" customHeight="1" x14ac:dyDescent="0.3">
      <c r="B111" s="52" t="s">
        <v>477</v>
      </c>
      <c r="C111" s="53">
        <f>'Box Shares'!J21</f>
        <v>8.5481331450433559E-2</v>
      </c>
      <c r="D111" s="53">
        <f>'Box Shares'!K21</f>
        <v>9.1865830268510279E-2</v>
      </c>
      <c r="E111" s="53">
        <f>'Box Shares'!L21</f>
        <v>9.744481626063714E-2</v>
      </c>
      <c r="F111" s="53">
        <f>E111</f>
        <v>9.744481626063714E-2</v>
      </c>
      <c r="G111" s="53">
        <f>F111</f>
        <v>9.744481626063714E-2</v>
      </c>
      <c r="H111" s="53">
        <f>G111</f>
        <v>9.744481626063714E-2</v>
      </c>
      <c r="J111" s="14" t="s">
        <v>478</v>
      </c>
    </row>
    <row r="112" spans="2:10" ht="13.95" customHeight="1" x14ac:dyDescent="0.3">
      <c r="B112" s="8" t="s">
        <v>116</v>
      </c>
      <c r="C112" s="20">
        <f>DCF!N21*C111</f>
        <v>4216.2811924611851</v>
      </c>
      <c r="D112" s="20">
        <f>DCF!O21*D111</f>
        <v>4659.1593137280361</v>
      </c>
      <c r="E112" s="20">
        <f>DCF!P21*E111</f>
        <v>5066.8371366561869</v>
      </c>
      <c r="F112" s="20">
        <f>DCF!Q21*F111</f>
        <v>5387.3937120411874</v>
      </c>
      <c r="G112" s="20">
        <f>DCF!R21*G111</f>
        <v>5714.9472497332918</v>
      </c>
      <c r="H112" s="20">
        <f>DCF!S21*H111</f>
        <v>6062.4160425170758</v>
      </c>
    </row>
    <row r="113" spans="2:10" ht="13.95" customHeight="1" x14ac:dyDescent="0.3">
      <c r="B113" s="52" t="s">
        <v>479</v>
      </c>
      <c r="C113" s="53">
        <f>'Box Shares'!P21</f>
        <v>0.1369081089086292</v>
      </c>
      <c r="D113" s="53">
        <f>'Box Shares'!Q21</f>
        <v>0.14132059013869358</v>
      </c>
      <c r="E113" s="53">
        <f>D113</f>
        <v>0.14132059013869358</v>
      </c>
      <c r="F113" s="53">
        <f>E113</f>
        <v>0.14132059013869358</v>
      </c>
      <c r="G113" s="53">
        <f>F113</f>
        <v>0.14132059013869358</v>
      </c>
      <c r="H113" s="53">
        <f>G113</f>
        <v>0.14132059013869358</v>
      </c>
      <c r="J113" s="14" t="s">
        <v>480</v>
      </c>
    </row>
    <row r="114" spans="2:10" ht="13.95" customHeight="1" x14ac:dyDescent="0.3">
      <c r="B114" s="8" t="s">
        <v>137</v>
      </c>
      <c r="C114" s="20">
        <f>DCF!N33*C113</f>
        <v>-2623.0224585804267</v>
      </c>
      <c r="D114" s="20">
        <f>DCF!O33*D113</f>
        <v>-2732.1509691513629</v>
      </c>
      <c r="E114" s="20">
        <f>DCF!P33*E113</f>
        <v>-2700.6191052929298</v>
      </c>
      <c r="F114" s="20">
        <f>DCF!Q33*F113</f>
        <v>-2864.8167468947399</v>
      </c>
      <c r="G114" s="20">
        <f>DCF!R33*G113</f>
        <v>-2486.4525859957689</v>
      </c>
      <c r="H114" s="20">
        <f>DCF!S33*H113</f>
        <v>-2637.6289032243121</v>
      </c>
    </row>
    <row r="115" spans="2:10" ht="13.95" customHeight="1" x14ac:dyDescent="0.3">
      <c r="B115" s="52" t="s">
        <v>481</v>
      </c>
      <c r="C115" s="53">
        <f>'Box Shares'!M21</f>
        <v>7.6659923345471892E-2</v>
      </c>
      <c r="D115" s="53">
        <f>'Box Shares'!N21</f>
        <v>8.891948976656959E-2</v>
      </c>
      <c r="E115" s="53">
        <f>'Box Shares'!O21</f>
        <v>9.8542148372668933E-2</v>
      </c>
      <c r="F115" s="53">
        <f>E115</f>
        <v>9.8542148372668933E-2</v>
      </c>
      <c r="G115" s="53">
        <f>F115</f>
        <v>9.8542148372668933E-2</v>
      </c>
      <c r="H115" s="53">
        <f>G115</f>
        <v>9.8542148372668933E-2</v>
      </c>
      <c r="J115" s="14" t="s">
        <v>482</v>
      </c>
    </row>
    <row r="116" spans="2:10" ht="13.95" customHeight="1" x14ac:dyDescent="0.3">
      <c r="B116" s="8" t="s">
        <v>483</v>
      </c>
      <c r="C116" s="20">
        <f>DCF!N29*C115</f>
        <v>1606.6386734743999</v>
      </c>
      <c r="D116" s="20">
        <f>DCF!O29*D115</f>
        <v>1926.5296652824968</v>
      </c>
      <c r="E116" s="20">
        <f>DCF!P29*E115</f>
        <v>2283.9113728333477</v>
      </c>
      <c r="F116" s="20">
        <f>DCF!Q29*F115</f>
        <v>2422.7731843016159</v>
      </c>
      <c r="G116" s="20">
        <f>DCF!R29*G115</f>
        <v>2570.0777939071531</v>
      </c>
      <c r="H116" s="20">
        <f>DCF!S29*H115</f>
        <v>2726.3385237767088</v>
      </c>
    </row>
    <row r="117" spans="2:10" ht="13.95" customHeight="1" x14ac:dyDescent="0.3">
      <c r="B117" s="8" t="s">
        <v>484</v>
      </c>
      <c r="C117" s="20">
        <f t="shared" ref="C117:H117" si="11">C112-C110</f>
        <v>1122.7948914231715</v>
      </c>
      <c r="D117" s="20">
        <f t="shared" si="11"/>
        <v>1152.0625641774127</v>
      </c>
      <c r="E117" s="20">
        <f t="shared" si="11"/>
        <v>1110.741330639948</v>
      </c>
      <c r="F117" s="20">
        <f t="shared" si="11"/>
        <v>1190.7672810191607</v>
      </c>
      <c r="G117" s="20">
        <f t="shared" si="11"/>
        <v>1263.1659317051262</v>
      </c>
      <c r="H117" s="20">
        <f t="shared" si="11"/>
        <v>1339.9664203527973</v>
      </c>
    </row>
    <row r="118" spans="2:10" ht="13.95" customHeight="1" x14ac:dyDescent="0.3">
      <c r="B118" s="8" t="s">
        <v>485</v>
      </c>
      <c r="C118" s="36">
        <f>DCF!N25</f>
        <v>-0.24</v>
      </c>
      <c r="D118" s="36">
        <f>DCF!O25</f>
        <v>-0.24</v>
      </c>
      <c r="E118" s="36">
        <f>DCF!P25</f>
        <v>-0.24</v>
      </c>
      <c r="F118" s="36">
        <f>DCF!Q25</f>
        <v>-0.24</v>
      </c>
      <c r="G118" s="36">
        <f>DCF!R25</f>
        <v>-0.24</v>
      </c>
      <c r="H118" s="36">
        <f>DCF!S25</f>
        <v>-0.24</v>
      </c>
      <c r="J118" s="14" t="s">
        <v>486</v>
      </c>
    </row>
    <row r="119" spans="2:10" ht="13.95" customHeight="1" x14ac:dyDescent="0.3">
      <c r="B119" s="8" t="s">
        <v>487</v>
      </c>
      <c r="C119" s="20">
        <f t="shared" ref="C119:H119" si="12">C110*(1+C118)</f>
        <v>2351.0495887888906</v>
      </c>
      <c r="D119" s="20">
        <f t="shared" si="12"/>
        <v>2665.3935296584737</v>
      </c>
      <c r="E119" s="20">
        <f t="shared" si="12"/>
        <v>3006.6328125723417</v>
      </c>
      <c r="F119" s="20">
        <f t="shared" si="12"/>
        <v>3189.4360875767402</v>
      </c>
      <c r="G119" s="20">
        <f t="shared" si="12"/>
        <v>3383.3538017014057</v>
      </c>
      <c r="H119" s="20">
        <f t="shared" si="12"/>
        <v>3589.0617128448516</v>
      </c>
    </row>
    <row r="120" spans="2:10" ht="13.95" customHeight="1" x14ac:dyDescent="0.3">
      <c r="B120" s="8" t="s">
        <v>488</v>
      </c>
      <c r="C120" s="20">
        <f t="shared" ref="C120:H120" si="13">-NWCpct*C108</f>
        <v>-671.17671151575576</v>
      </c>
      <c r="D120" s="20">
        <f t="shared" si="13"/>
        <v>-734.89650445581651</v>
      </c>
      <c r="E120" s="20">
        <f t="shared" si="13"/>
        <v>-779.57821192673021</v>
      </c>
      <c r="F120" s="20">
        <f t="shared" si="13"/>
        <v>-826.97656721187536</v>
      </c>
      <c r="G120" s="20">
        <f t="shared" si="13"/>
        <v>-877.25674249835731</v>
      </c>
      <c r="H120" s="20">
        <f t="shared" si="13"/>
        <v>-930.59395244225755</v>
      </c>
    </row>
    <row r="121" spans="2:10" ht="13.95" customHeight="1" x14ac:dyDescent="0.3">
      <c r="B121" s="8" t="s">
        <v>136</v>
      </c>
      <c r="D121" s="20">
        <f>D120-C120</f>
        <v>-63.719792940060756</v>
      </c>
      <c r="E121" s="20">
        <f>E120-D120</f>
        <v>-44.681707470913693</v>
      </c>
      <c r="F121" s="20">
        <f>F120-E120</f>
        <v>-47.398355285145158</v>
      </c>
      <c r="G121" s="20">
        <f>G120-F120</f>
        <v>-50.280175286481949</v>
      </c>
      <c r="H121" s="20">
        <f>H120-G120</f>
        <v>-53.337209943900234</v>
      </c>
    </row>
    <row r="122" spans="2:10" ht="13.95" customHeight="1" x14ac:dyDescent="0.3">
      <c r="B122" s="8" t="s">
        <v>141</v>
      </c>
      <c r="C122" s="20">
        <f t="shared" ref="C122:H122" si="14">C117+C119+C114+C120</f>
        <v>179.64531011587962</v>
      </c>
      <c r="D122" s="20">
        <f t="shared" si="14"/>
        <v>350.40862022870692</v>
      </c>
      <c r="E122" s="20">
        <f t="shared" si="14"/>
        <v>637.17682599262969</v>
      </c>
      <c r="F122" s="20">
        <f t="shared" si="14"/>
        <v>688.41005448928604</v>
      </c>
      <c r="G122" s="20">
        <f t="shared" si="14"/>
        <v>1282.8104049124063</v>
      </c>
      <c r="H122" s="20">
        <f t="shared" si="14"/>
        <v>1360.8052775310798</v>
      </c>
    </row>
    <row r="123" spans="2:10" ht="13.95" customHeight="1" x14ac:dyDescent="0.3">
      <c r="B123" s="8" t="s">
        <v>143</v>
      </c>
      <c r="D123" s="20">
        <f>D117+D119+D114+D121</f>
        <v>1021.5853317444627</v>
      </c>
      <c r="E123" s="20">
        <f>E117+E119+E114+E121</f>
        <v>1372.0733304484461</v>
      </c>
      <c r="F123" s="20">
        <f>F117+F119+F114+F121</f>
        <v>1467.9882664160164</v>
      </c>
      <c r="G123" s="20">
        <f>G117+G119+G114+G121</f>
        <v>2109.7869721242814</v>
      </c>
      <c r="H123" s="20">
        <f>H117+H119+H114+H121</f>
        <v>2238.062020029437</v>
      </c>
    </row>
    <row r="124" spans="2:10" ht="13.95" customHeight="1" x14ac:dyDescent="0.3">
      <c r="B124" s="5" t="s">
        <v>489</v>
      </c>
      <c r="C124" s="16">
        <f>C122</f>
        <v>179.64531011587962</v>
      </c>
      <c r="D124" s="49">
        <f>IF(FixNWC=1,D123,D122)</f>
        <v>350.40862022870692</v>
      </c>
      <c r="E124" s="49">
        <f>IF(FixNWC=1,E123,E122)</f>
        <v>637.17682599262969</v>
      </c>
      <c r="F124" s="49">
        <f>IF(FixNWC=1,F123,F122)</f>
        <v>688.41005448928604</v>
      </c>
      <c r="G124" s="49">
        <f>IF(FixNWC=1,G123,G122)</f>
        <v>1282.8104049124063</v>
      </c>
      <c r="H124" s="49">
        <f>IF(FixNWC=1,H123,H122)</f>
        <v>1360.8052775310798</v>
      </c>
      <c r="J124" s="14" t="s">
        <v>490</v>
      </c>
    </row>
    <row r="126" spans="2:10" ht="13.95" customHeight="1" x14ac:dyDescent="0.3">
      <c r="B126" s="17" t="s">
        <v>494</v>
      </c>
      <c r="C126" s="18" t="s">
        <v>31</v>
      </c>
      <c r="D126" s="18" t="s">
        <v>32</v>
      </c>
      <c r="E126" s="18" t="s">
        <v>33</v>
      </c>
    </row>
    <row r="127" spans="2:10" ht="13.95" customHeight="1" x14ac:dyDescent="0.3">
      <c r="B127" s="8" t="s">
        <v>495</v>
      </c>
      <c r="C127" s="44">
        <f>'Box Rates'!C23</f>
        <v>8.5000000000000006E-2</v>
      </c>
      <c r="D127" s="44">
        <f>'Box Rates'!D23</f>
        <v>7.0962739008072345E-2</v>
      </c>
      <c r="E127" s="44">
        <f>'Box Rates'!E23</f>
        <v>6.870322515619455E-2</v>
      </c>
      <c r="J127" s="14" t="s">
        <v>496</v>
      </c>
    </row>
    <row r="128" spans="2:10" ht="13.95" customHeight="1" x14ac:dyDescent="0.3">
      <c r="B128" s="8" t="s">
        <v>497</v>
      </c>
      <c r="C128" s="20">
        <f>$H$124</f>
        <v>1360.8052775310798</v>
      </c>
      <c r="D128" s="20">
        <f>$H$124</f>
        <v>1360.8052775310798</v>
      </c>
      <c r="E128" s="20">
        <f>$H$124</f>
        <v>1360.8052775310798</v>
      </c>
    </row>
    <row r="129" spans="2:10" ht="13.95" customHeight="1" x14ac:dyDescent="0.3">
      <c r="B129" s="8" t="s">
        <v>498</v>
      </c>
      <c r="C129" s="20">
        <f>C128*(1+gLT)/(C127-gLT)</f>
        <v>37493.766462501058</v>
      </c>
      <c r="D129" s="20">
        <f>D128*(1+gLT)/(D127-gLT)</f>
        <v>59457.440365856317</v>
      </c>
      <c r="E129" s="20">
        <f>E128*(1+gLT)/(E127-gLT)</f>
        <v>65647.530047781111</v>
      </c>
    </row>
    <row r="130" spans="2:10" ht="13.95" customHeight="1" x14ac:dyDescent="0.3">
      <c r="B130" s="8" t="s">
        <v>499</v>
      </c>
      <c r="C130" s="55">
        <f>5-FixTV</f>
        <v>5</v>
      </c>
      <c r="D130" s="55">
        <f>5-FixTV</f>
        <v>5</v>
      </c>
      <c r="E130" s="55">
        <f>5-FixTV</f>
        <v>5</v>
      </c>
    </row>
    <row r="131" spans="2:10" ht="13.95" customHeight="1" x14ac:dyDescent="0.3">
      <c r="B131" s="8" t="s">
        <v>500</v>
      </c>
      <c r="C131" s="20">
        <f>NPV(C127,$E$124:$H$124)</f>
        <v>3158.2780566486827</v>
      </c>
      <c r="D131" s="20">
        <f>NPV(D127,$E$124:$H$124)</f>
        <v>3273.9183096151828</v>
      </c>
      <c r="E131" s="20">
        <f>NPV(E127,$E$124:$H$124)</f>
        <v>3293.1307785574832</v>
      </c>
    </row>
    <row r="132" spans="2:10" ht="13.95" customHeight="1" x14ac:dyDescent="0.3">
      <c r="B132" s="8" t="s">
        <v>168</v>
      </c>
      <c r="C132" s="20">
        <f>C129/(1+C127)^C130</f>
        <v>24935.057787731792</v>
      </c>
      <c r="D132" s="20">
        <f>D129/(1+D127)^D130</f>
        <v>42202.133158793178</v>
      </c>
      <c r="E132" s="20">
        <f>E129/(1+E127)^E130</f>
        <v>47090.44457286736</v>
      </c>
    </row>
    <row r="133" spans="2:10" ht="13.95" customHeight="1" x14ac:dyDescent="0.3">
      <c r="B133" s="8" t="s">
        <v>501</v>
      </c>
      <c r="C133" s="20">
        <f>C131+C132</f>
        <v>28093.335844380475</v>
      </c>
      <c r="D133" s="20">
        <f>D131+D132</f>
        <v>45476.051468408361</v>
      </c>
      <c r="E133" s="20">
        <f>E131+E132</f>
        <v>50383.575351424843</v>
      </c>
    </row>
    <row r="134" spans="2:10" ht="13.95" customHeight="1" x14ac:dyDescent="0.3">
      <c r="B134" s="8" t="s">
        <v>170</v>
      </c>
      <c r="C134" s="20">
        <f>IF(FixND=1,NDmult*DCF!$M$21*$C$111,0)</f>
        <v>0</v>
      </c>
      <c r="D134" s="20">
        <f>IF(FixND=1,NDmult*DCF!$M$21*$C$111,0)</f>
        <v>0</v>
      </c>
      <c r="E134" s="20">
        <f>IF(FixND=1,NDmult*DCF!$M$21*$C$111,0)</f>
        <v>0</v>
      </c>
      <c r="J134" s="14" t="s">
        <v>502</v>
      </c>
    </row>
    <row r="135" spans="2:10" ht="13.95" customHeight="1" x14ac:dyDescent="0.3">
      <c r="B135" s="8" t="s">
        <v>503</v>
      </c>
      <c r="C135" s="16">
        <f>C133-C134</f>
        <v>28093.335844380475</v>
      </c>
      <c r="D135" s="16">
        <f>D133-D134</f>
        <v>45476.051468408361</v>
      </c>
      <c r="E135" s="16">
        <f>E133-E134</f>
        <v>50383.575351424843</v>
      </c>
      <c r="J135" s="14" t="s">
        <v>504</v>
      </c>
    </row>
    <row r="136" spans="2:10" ht="13.95" customHeight="1" x14ac:dyDescent="0.3">
      <c r="B136" s="5" t="s">
        <v>510</v>
      </c>
      <c r="C136" s="16">
        <f>C135</f>
        <v>28093.335844380475</v>
      </c>
      <c r="D136" s="16">
        <f>D135</f>
        <v>45476.051468408361</v>
      </c>
      <c r="E136" s="16">
        <f>E135</f>
        <v>50383.575351424843</v>
      </c>
      <c r="J136" s="14" t="s">
        <v>511</v>
      </c>
    </row>
    <row r="137" spans="2:10" ht="13.95" customHeight="1" x14ac:dyDescent="0.3">
      <c r="B137" s="8" t="s">
        <v>512</v>
      </c>
      <c r="C137" s="20">
        <f>'Box Shares'!$C$9</f>
        <v>26271.074646272005</v>
      </c>
      <c r="D137" s="20">
        <f>'Box Shares'!$C$9</f>
        <v>26271.074646272005</v>
      </c>
      <c r="E137" s="20">
        <f>'Box Shares'!$C$9</f>
        <v>26271.074646272005</v>
      </c>
    </row>
    <row r="138" spans="2:10" ht="13.95" customHeight="1" x14ac:dyDescent="0.3">
      <c r="B138" s="8" t="s">
        <v>513</v>
      </c>
      <c r="C138" s="21">
        <f>C136/C137-1</f>
        <v>6.9363785937361921E-2</v>
      </c>
      <c r="D138" s="21">
        <f>D136/D137-1</f>
        <v>0.73103126083430459</v>
      </c>
      <c r="E138" s="21">
        <f>E136/E137-1</f>
        <v>0.91783457775582544</v>
      </c>
    </row>
    <row r="139" spans="2:10" ht="13.95" customHeight="1" x14ac:dyDescent="0.3">
      <c r="B139" s="5" t="s">
        <v>514</v>
      </c>
      <c r="C139" s="49">
        <f>C136*C$10</f>
        <v>27251.18191482178</v>
      </c>
      <c r="D139" s="49">
        <f>D136*D$10</f>
        <v>42289.694621529641</v>
      </c>
      <c r="E139" s="49">
        <f>E136*E$10</f>
        <v>46906.280788554468</v>
      </c>
      <c r="J139" s="14" t="s">
        <v>515</v>
      </c>
    </row>
    <row r="140" spans="2:10" ht="13.95" customHeight="1" x14ac:dyDescent="0.3">
      <c r="B140" s="5" t="s">
        <v>175</v>
      </c>
      <c r="C140" s="56">
        <f>C139/C137-1</f>
        <v>3.7307467690091523E-2</v>
      </c>
      <c r="D140" s="56">
        <f>D139/D137-1</f>
        <v>0.60974361311598479</v>
      </c>
      <c r="E140" s="56">
        <f>E139/E137-1</f>
        <v>0.78547247952838117</v>
      </c>
    </row>
    <row r="141" spans="2:10" ht="13.95" customHeight="1" x14ac:dyDescent="0.3">
      <c r="B141" s="52" t="s">
        <v>516</v>
      </c>
      <c r="C141" s="57">
        <f>DCF!C48</f>
        <v>0.14500000000000002</v>
      </c>
      <c r="D141" s="57">
        <f>DCF!D48</f>
        <v>0.12759999999999999</v>
      </c>
      <c r="E141" s="57">
        <f>DCF!E48</f>
        <v>0.12</v>
      </c>
    </row>
    <row r="142" spans="2:10" ht="13.95" customHeight="1" x14ac:dyDescent="0.3">
      <c r="B142" s="52" t="s">
        <v>517</v>
      </c>
      <c r="C142" s="50">
        <f>NPV(C141,$E$124:$H$124)+$H$124*(1+gLT)/(C141-gLT)/(1+C141)^C130-C134</f>
        <v>10115.228721376077</v>
      </c>
      <c r="D142" s="50">
        <f>NPV(D141,$E$124:$H$124)+$H$124*(1+gLT)/(D141-gLT)/(1+D141)^D130-D134</f>
        <v>12539.859391789703</v>
      </c>
      <c r="E142" s="50">
        <f>NPV(E141,$E$124:$H$124)+$H$124*(1+gLT)/(E141-gLT)/(1+E141)^E130-E134</f>
        <v>13970.241548504646</v>
      </c>
      <c r="J142" s="14" t="s">
        <v>518</v>
      </c>
    </row>
    <row r="143" spans="2:10" ht="13.95" customHeight="1" x14ac:dyDescent="0.3">
      <c r="B143" s="52" t="s">
        <v>519</v>
      </c>
      <c r="C143" s="50">
        <f>C142</f>
        <v>10115.228721376077</v>
      </c>
      <c r="D143" s="50">
        <f>D142</f>
        <v>12539.859391789703</v>
      </c>
      <c r="E143" s="50">
        <f>E142</f>
        <v>13970.241548504646</v>
      </c>
      <c r="J143" s="14" t="s">
        <v>520</v>
      </c>
    </row>
    <row r="146" spans="2:10" ht="13.95" customHeight="1" x14ac:dyDescent="0.3">
      <c r="B146" s="121" t="s">
        <v>523</v>
      </c>
      <c r="C146" s="121"/>
      <c r="D146" s="121"/>
      <c r="E146" s="121"/>
      <c r="F146" s="121"/>
      <c r="G146" s="121"/>
      <c r="H146" s="121"/>
      <c r="I146" s="121"/>
      <c r="J146" s="121"/>
    </row>
    <row r="147" spans="2:10" ht="13.95" customHeight="1" x14ac:dyDescent="0.3">
      <c r="B147" s="17"/>
      <c r="C147" s="18" t="s">
        <v>85</v>
      </c>
      <c r="D147" s="18" t="s">
        <v>86</v>
      </c>
      <c r="E147" s="18" t="s">
        <v>87</v>
      </c>
      <c r="F147" s="18" t="s">
        <v>88</v>
      </c>
      <c r="G147" s="18" t="s">
        <v>89</v>
      </c>
      <c r="H147" s="18" t="s">
        <v>90</v>
      </c>
      <c r="J147" s="18" t="s">
        <v>155</v>
      </c>
    </row>
    <row r="148" spans="2:10" ht="13.95" customHeight="1" x14ac:dyDescent="0.3">
      <c r="B148" s="52" t="s">
        <v>472</v>
      </c>
      <c r="C148" s="53">
        <f>'Box Shares'!D22</f>
        <v>0.48111248108463534</v>
      </c>
      <c r="D148" s="53">
        <f>'Box Shares'!E22</f>
        <v>0.46306725921412284</v>
      </c>
      <c r="E148" s="53">
        <f>D148</f>
        <v>0.46306725921412284</v>
      </c>
      <c r="F148" s="53">
        <f>E148</f>
        <v>0.46306725921412284</v>
      </c>
      <c r="G148" s="53">
        <f>F148</f>
        <v>0.46306725921412284</v>
      </c>
      <c r="H148" s="53">
        <f>G148</f>
        <v>0.46306725921412284</v>
      </c>
      <c r="J148" s="14" t="s">
        <v>473</v>
      </c>
    </row>
    <row r="149" spans="2:10" ht="13.95" customHeight="1" x14ac:dyDescent="0.3">
      <c r="B149" s="8" t="s">
        <v>102</v>
      </c>
      <c r="C149" s="20">
        <f>DCF!N13*C148</f>
        <v>76458.876606451333</v>
      </c>
      <c r="D149" s="20">
        <f>DCF!O13*D148</f>
        <v>75836.061974237688</v>
      </c>
      <c r="E149" s="20">
        <f>DCF!P13*E148</f>
        <v>80446.894542271344</v>
      </c>
      <c r="F149" s="20">
        <f>DCF!Q13*F148</f>
        <v>85338.065730441434</v>
      </c>
      <c r="G149" s="20">
        <f>DCF!R13*G148</f>
        <v>90526.620126852271</v>
      </c>
      <c r="H149" s="20">
        <f>DCF!S13*H148</f>
        <v>96030.638630564892</v>
      </c>
      <c r="J149" s="14" t="s">
        <v>474</v>
      </c>
    </row>
    <row r="150" spans="2:10" ht="13.95" customHeight="1" x14ac:dyDescent="0.3">
      <c r="B150" s="52" t="s">
        <v>475</v>
      </c>
      <c r="C150" s="53">
        <f>'Box Shares'!G22</f>
        <v>0.49020146095860434</v>
      </c>
      <c r="D150" s="53">
        <f>'Box Shares'!H22</f>
        <v>0.44419122184815524</v>
      </c>
      <c r="E150" s="53">
        <f>'Box Shares'!I22</f>
        <v>0.41998847551802637</v>
      </c>
      <c r="F150" s="53">
        <f>E150</f>
        <v>0.41998847551802637</v>
      </c>
      <c r="G150" s="53">
        <f>F150</f>
        <v>0.41998847551802637</v>
      </c>
      <c r="H150" s="53">
        <f>G150</f>
        <v>0.41998847551802637</v>
      </c>
      <c r="J150" s="14" t="s">
        <v>476</v>
      </c>
    </row>
    <row r="151" spans="2:10" ht="13.95" customHeight="1" x14ac:dyDescent="0.3">
      <c r="B151" s="8" t="s">
        <v>113</v>
      </c>
      <c r="C151" s="20">
        <f>DCF!N19*C150</f>
        <v>16215.864328510632</v>
      </c>
      <c r="D151" s="20">
        <f>DCF!O19*D150</f>
        <v>15494.722391729199</v>
      </c>
      <c r="E151" s="20">
        <f>DCF!P19*E150</f>
        <v>15674.814083168536</v>
      </c>
      <c r="F151" s="20">
        <f>DCF!Q19*F150</f>
        <v>16627.842779425184</v>
      </c>
      <c r="G151" s="20">
        <f>DCF!R19*G150</f>
        <v>17638.815620414232</v>
      </c>
      <c r="H151" s="20">
        <f>DCF!S19*H150</f>
        <v>18711.255610135424</v>
      </c>
    </row>
    <row r="152" spans="2:10" ht="13.95" customHeight="1" x14ac:dyDescent="0.3">
      <c r="B152" s="52" t="s">
        <v>477</v>
      </c>
      <c r="C152" s="53">
        <f>'Box Shares'!J22</f>
        <v>0.47082916733852859</v>
      </c>
      <c r="D152" s="53">
        <f>'Box Shares'!K22</f>
        <v>0.44597132717571691</v>
      </c>
      <c r="E152" s="53">
        <f>'Box Shares'!L22</f>
        <v>0.42478129399526404</v>
      </c>
      <c r="F152" s="53">
        <f>E152</f>
        <v>0.42478129399526404</v>
      </c>
      <c r="G152" s="53">
        <f>F152</f>
        <v>0.42478129399526404</v>
      </c>
      <c r="H152" s="53">
        <f>G152</f>
        <v>0.42478129399526404</v>
      </c>
      <c r="J152" s="14" t="s">
        <v>478</v>
      </c>
    </row>
    <row r="153" spans="2:10" ht="13.95" customHeight="1" x14ac:dyDescent="0.3">
      <c r="B153" s="8" t="s">
        <v>116</v>
      </c>
      <c r="C153" s="20">
        <f>DCF!N21*C152</f>
        <v>23223.177849805583</v>
      </c>
      <c r="D153" s="20">
        <f>DCF!O21*D152</f>
        <v>22618.327800370836</v>
      </c>
      <c r="E153" s="20">
        <f>DCF!P21*E152</f>
        <v>22087.348696058805</v>
      </c>
      <c r="F153" s="20">
        <f>DCF!Q21*F152</f>
        <v>23484.718429165227</v>
      </c>
      <c r="G153" s="20">
        <f>DCF!R21*G152</f>
        <v>24912.589309658477</v>
      </c>
      <c r="H153" s="20">
        <f>DCF!S21*H152</f>
        <v>26427.274739685708</v>
      </c>
    </row>
    <row r="154" spans="2:10" ht="13.95" customHeight="1" x14ac:dyDescent="0.3">
      <c r="B154" s="52" t="s">
        <v>479</v>
      </c>
      <c r="C154" s="53">
        <f>'Box Shares'!P22</f>
        <v>0.36719846106808918</v>
      </c>
      <c r="D154" s="53">
        <f>'Box Shares'!Q22</f>
        <v>0.3679997907422366</v>
      </c>
      <c r="E154" s="53">
        <f>D154</f>
        <v>0.3679997907422366</v>
      </c>
      <c r="F154" s="53">
        <f>E154</f>
        <v>0.3679997907422366</v>
      </c>
      <c r="G154" s="53">
        <f>F154</f>
        <v>0.3679997907422366</v>
      </c>
      <c r="H154" s="53">
        <f>G154</f>
        <v>0.3679997907422366</v>
      </c>
      <c r="J154" s="14" t="s">
        <v>480</v>
      </c>
    </row>
    <row r="155" spans="2:10" ht="13.95" customHeight="1" x14ac:dyDescent="0.3">
      <c r="B155" s="8" t="s">
        <v>137</v>
      </c>
      <c r="C155" s="20">
        <f>DCF!N33*C154</f>
        <v>-7035.1553156035206</v>
      </c>
      <c r="D155" s="20">
        <f>DCF!O33*D154</f>
        <v>-7114.5399544196598</v>
      </c>
      <c r="E155" s="20">
        <f>DCF!P33*E154</f>
        <v>-7032.4307636058647</v>
      </c>
      <c r="F155" s="20">
        <f>DCF!Q33*F154</f>
        <v>-7460.0025540331017</v>
      </c>
      <c r="G155" s="20">
        <f>DCF!R33*G154</f>
        <v>-6474.7396712604386</v>
      </c>
      <c r="H155" s="20">
        <f>DCF!S33*H154</f>
        <v>-6868.403843273074</v>
      </c>
    </row>
    <row r="156" spans="2:10" ht="13.95" customHeight="1" x14ac:dyDescent="0.3">
      <c r="B156" s="52" t="s">
        <v>481</v>
      </c>
      <c r="C156" s="53">
        <f>'Box Shares'!M22</f>
        <v>0.50907867866924039</v>
      </c>
      <c r="D156" s="53">
        <f>'Box Shares'!N22</f>
        <v>0.44043409293275648</v>
      </c>
      <c r="E156" s="53">
        <f>'Box Shares'!O22</f>
        <v>0.40118383758387827</v>
      </c>
      <c r="F156" s="53">
        <f>E156</f>
        <v>0.40118383758387827</v>
      </c>
      <c r="G156" s="53">
        <f>F156</f>
        <v>0.40118383758387827</v>
      </c>
      <c r="H156" s="53">
        <f>G156</f>
        <v>0.40118383758387827</v>
      </c>
      <c r="J156" s="14" t="s">
        <v>482</v>
      </c>
    </row>
    <row r="157" spans="2:10" ht="13.95" customHeight="1" x14ac:dyDescent="0.3">
      <c r="B157" s="8" t="s">
        <v>483</v>
      </c>
      <c r="C157" s="20">
        <f>DCF!N29*C156</f>
        <v>10669.27094754994</v>
      </c>
      <c r="D157" s="20">
        <f>DCF!O29*D156</f>
        <v>9542.4450574811017</v>
      </c>
      <c r="E157" s="20">
        <f>DCF!P29*E156</f>
        <v>9298.2378036815462</v>
      </c>
      <c r="F157" s="20">
        <f>DCF!Q29*F156</f>
        <v>9863.5706621453864</v>
      </c>
      <c r="G157" s="20">
        <f>DCF!R29*G156</f>
        <v>10463.275758403823</v>
      </c>
      <c r="H157" s="20">
        <f>DCF!S29*H156</f>
        <v>11099.442924514778</v>
      </c>
    </row>
    <row r="158" spans="2:10" ht="13.95" customHeight="1" x14ac:dyDescent="0.3">
      <c r="B158" s="8" t="s">
        <v>484</v>
      </c>
      <c r="C158" s="20">
        <f t="shared" ref="C158:H158" si="15">C153-C151</f>
        <v>7007.313521294951</v>
      </c>
      <c r="D158" s="20">
        <f t="shared" si="15"/>
        <v>7123.605408641637</v>
      </c>
      <c r="E158" s="20">
        <f t="shared" si="15"/>
        <v>6412.5346128902693</v>
      </c>
      <c r="F158" s="20">
        <f t="shared" si="15"/>
        <v>6856.8756497400427</v>
      </c>
      <c r="G158" s="20">
        <f t="shared" si="15"/>
        <v>7273.7736892442445</v>
      </c>
      <c r="H158" s="20">
        <f t="shared" si="15"/>
        <v>7716.0191295502846</v>
      </c>
    </row>
    <row r="159" spans="2:10" ht="13.95" customHeight="1" x14ac:dyDescent="0.3">
      <c r="B159" s="8" t="s">
        <v>485</v>
      </c>
      <c r="C159" s="36">
        <f>DCF!N25</f>
        <v>-0.24</v>
      </c>
      <c r="D159" s="36">
        <f>DCF!O25</f>
        <v>-0.24</v>
      </c>
      <c r="E159" s="36">
        <f>DCF!P25</f>
        <v>-0.24</v>
      </c>
      <c r="F159" s="36">
        <f>DCF!Q25</f>
        <v>-0.24</v>
      </c>
      <c r="G159" s="36">
        <f>DCF!R25</f>
        <v>-0.24</v>
      </c>
      <c r="H159" s="36">
        <f>DCF!S25</f>
        <v>-0.24</v>
      </c>
      <c r="J159" s="14" t="s">
        <v>486</v>
      </c>
    </row>
    <row r="160" spans="2:10" ht="13.95" customHeight="1" x14ac:dyDescent="0.3">
      <c r="B160" s="8" t="s">
        <v>487</v>
      </c>
      <c r="C160" s="20">
        <f t="shared" ref="C160:H160" si="16">C151*(1+C159)</f>
        <v>12324.05688966808</v>
      </c>
      <c r="D160" s="20">
        <f t="shared" si="16"/>
        <v>11775.989017714192</v>
      </c>
      <c r="E160" s="20">
        <f t="shared" si="16"/>
        <v>11912.858703208087</v>
      </c>
      <c r="F160" s="20">
        <f t="shared" si="16"/>
        <v>12637.16051236314</v>
      </c>
      <c r="G160" s="20">
        <f t="shared" si="16"/>
        <v>13405.499871514818</v>
      </c>
      <c r="H160" s="20">
        <f t="shared" si="16"/>
        <v>14220.554263702923</v>
      </c>
    </row>
    <row r="161" spans="2:10" ht="13.95" customHeight="1" x14ac:dyDescent="0.3">
      <c r="B161" s="8" t="s">
        <v>488</v>
      </c>
      <c r="C161" s="20">
        <f t="shared" ref="C161:H161" si="17">-NWCpct*C149</f>
        <v>-3058.3550642580535</v>
      </c>
      <c r="D161" s="20">
        <f t="shared" si="17"/>
        <v>-3033.4424789695076</v>
      </c>
      <c r="E161" s="20">
        <f t="shared" si="17"/>
        <v>-3217.8757816908537</v>
      </c>
      <c r="F161" s="20">
        <f t="shared" si="17"/>
        <v>-3413.5226292176576</v>
      </c>
      <c r="G161" s="20">
        <f t="shared" si="17"/>
        <v>-3621.0648050740911</v>
      </c>
      <c r="H161" s="20">
        <f t="shared" si="17"/>
        <v>-3841.2255452225959</v>
      </c>
    </row>
    <row r="162" spans="2:10" ht="13.95" customHeight="1" x14ac:dyDescent="0.3">
      <c r="B162" s="8" t="s">
        <v>136</v>
      </c>
      <c r="D162" s="20">
        <f>D161-C161</f>
        <v>24.91258528854587</v>
      </c>
      <c r="E162" s="20">
        <f>E161-D161</f>
        <v>-184.43330272134608</v>
      </c>
      <c r="F162" s="20">
        <f>F161-E161</f>
        <v>-195.64684752680387</v>
      </c>
      <c r="G162" s="20">
        <f>G161-F161</f>
        <v>-207.54217585643346</v>
      </c>
      <c r="H162" s="20">
        <f>H161-G161</f>
        <v>-220.16074014850483</v>
      </c>
    </row>
    <row r="163" spans="2:10" ht="13.95" customHeight="1" x14ac:dyDescent="0.3">
      <c r="B163" s="8" t="s">
        <v>141</v>
      </c>
      <c r="C163" s="20">
        <f t="shared" ref="C163:H163" si="18">C158+C160+C155+C161</f>
        <v>9237.8600311014561</v>
      </c>
      <c r="D163" s="20">
        <f t="shared" si="18"/>
        <v>8751.6119929666602</v>
      </c>
      <c r="E163" s="20">
        <f t="shared" si="18"/>
        <v>8075.0867708016385</v>
      </c>
      <c r="F163" s="20">
        <f t="shared" si="18"/>
        <v>8620.510978852426</v>
      </c>
      <c r="G163" s="20">
        <f t="shared" si="18"/>
        <v>10583.469084424532</v>
      </c>
      <c r="H163" s="20">
        <f t="shared" si="18"/>
        <v>11226.944004757539</v>
      </c>
    </row>
    <row r="164" spans="2:10" ht="13.95" customHeight="1" x14ac:dyDescent="0.3">
      <c r="B164" s="8" t="s">
        <v>143</v>
      </c>
      <c r="D164" s="20">
        <f>D158+D160+D155+D162</f>
        <v>11809.967057224714</v>
      </c>
      <c r="E164" s="20">
        <f>E158+E160+E155+E162</f>
        <v>11108.529249771145</v>
      </c>
      <c r="F164" s="20">
        <f>F158+F160+F155+F162</f>
        <v>11838.386760543279</v>
      </c>
      <c r="G164" s="20">
        <f>G158+G160+G155+G162</f>
        <v>13996.99171364219</v>
      </c>
      <c r="H164" s="20">
        <f>H158+H160+H155+H162</f>
        <v>14848.00880983163</v>
      </c>
    </row>
    <row r="165" spans="2:10" ht="13.95" customHeight="1" x14ac:dyDescent="0.3">
      <c r="B165" s="5" t="s">
        <v>489</v>
      </c>
      <c r="C165" s="16">
        <f>C163</f>
        <v>9237.8600311014561</v>
      </c>
      <c r="D165" s="49">
        <f>IF(FixNWC=1,D164,D163)</f>
        <v>8751.6119929666602</v>
      </c>
      <c r="E165" s="49">
        <f>IF(FixNWC=1,E164,E163)</f>
        <v>8075.0867708016385</v>
      </c>
      <c r="F165" s="49">
        <f>IF(FixNWC=1,F164,F163)</f>
        <v>8620.510978852426</v>
      </c>
      <c r="G165" s="49">
        <f>IF(FixNWC=1,G164,G163)</f>
        <v>10583.469084424532</v>
      </c>
      <c r="H165" s="49">
        <f>IF(FixNWC=1,H164,H163)</f>
        <v>11226.944004757539</v>
      </c>
      <c r="J165" s="14" t="s">
        <v>490</v>
      </c>
    </row>
    <row r="167" spans="2:10" ht="13.95" customHeight="1" x14ac:dyDescent="0.3">
      <c r="B167" s="17" t="s">
        <v>494</v>
      </c>
      <c r="C167" s="18" t="s">
        <v>31</v>
      </c>
      <c r="D167" s="18" t="s">
        <v>32</v>
      </c>
      <c r="E167" s="18" t="s">
        <v>33</v>
      </c>
    </row>
    <row r="168" spans="2:10" ht="13.95" customHeight="1" x14ac:dyDescent="0.3">
      <c r="B168" s="8" t="s">
        <v>495</v>
      </c>
      <c r="C168" s="44">
        <f>'Box Rates'!C24</f>
        <v>0.19745743692211604</v>
      </c>
      <c r="D168" s="44">
        <f>'Box Rates'!D24</f>
        <v>0.17074356546859745</v>
      </c>
      <c r="E168" s="44">
        <f>'Box Rates'!E24</f>
        <v>0.15907543770729049</v>
      </c>
      <c r="J168" s="14" t="s">
        <v>496</v>
      </c>
    </row>
    <row r="169" spans="2:10" ht="13.95" customHeight="1" x14ac:dyDescent="0.3">
      <c r="B169" s="8" t="s">
        <v>497</v>
      </c>
      <c r="C169" s="20">
        <f>$H$165</f>
        <v>11226.944004757539</v>
      </c>
      <c r="D169" s="20">
        <f>$H$165</f>
        <v>11226.944004757539</v>
      </c>
      <c r="E169" s="20">
        <f>$H$165</f>
        <v>11226.944004757539</v>
      </c>
    </row>
    <row r="170" spans="2:10" ht="13.95" customHeight="1" x14ac:dyDescent="0.3">
      <c r="B170" s="8" t="s">
        <v>498</v>
      </c>
      <c r="C170" s="20">
        <f>C169*(1+gLT)/(C168-gLT)</f>
        <v>78125.818260920452</v>
      </c>
      <c r="D170" s="20">
        <f>D169*(1+gLT)/(D168-gLT)</f>
        <v>94991.689696900838</v>
      </c>
      <c r="E170" s="20">
        <f>E169*(1+gLT)/(E168-gLT)</f>
        <v>104881.23547356449</v>
      </c>
    </row>
    <row r="171" spans="2:10" ht="13.95" customHeight="1" x14ac:dyDescent="0.3">
      <c r="B171" s="8" t="s">
        <v>499</v>
      </c>
      <c r="C171" s="55">
        <f>5-FixTV</f>
        <v>5</v>
      </c>
      <c r="D171" s="55">
        <f>5-FixTV</f>
        <v>5</v>
      </c>
      <c r="E171" s="55">
        <f>5-FixTV</f>
        <v>5</v>
      </c>
    </row>
    <row r="172" spans="2:10" ht="13.95" customHeight="1" x14ac:dyDescent="0.3">
      <c r="B172" s="8" t="s">
        <v>500</v>
      </c>
      <c r="C172" s="20">
        <f>NPV(C168,$E$165:$H$165)</f>
        <v>24379.590846388961</v>
      </c>
      <c r="D172" s="20">
        <f>NPV(D168,$E$165:$H$165)</f>
        <v>25758.280244199275</v>
      </c>
      <c r="E172" s="20">
        <f>NPV(E168,$E$165:$H$165)</f>
        <v>26400.471135851469</v>
      </c>
    </row>
    <row r="173" spans="2:10" ht="13.95" customHeight="1" x14ac:dyDescent="0.3">
      <c r="B173" s="8" t="s">
        <v>168</v>
      </c>
      <c r="C173" s="20">
        <f>C170/(1+C168)^C171</f>
        <v>31731.759292934286</v>
      </c>
      <c r="D173" s="20">
        <f>D170/(1+D168)^D171</f>
        <v>43189.354702021919</v>
      </c>
      <c r="E173" s="20">
        <f>E170/(1+E168)^E171</f>
        <v>50134.799360370584</v>
      </c>
    </row>
    <row r="174" spans="2:10" ht="13.95" customHeight="1" x14ac:dyDescent="0.3">
      <c r="B174" s="8" t="s">
        <v>501</v>
      </c>
      <c r="C174" s="20">
        <f>C172+C173</f>
        <v>56111.350139323244</v>
      </c>
      <c r="D174" s="20">
        <f>D172+D173</f>
        <v>68947.634946221195</v>
      </c>
      <c r="E174" s="20">
        <f>E172+E173</f>
        <v>76535.270496222045</v>
      </c>
    </row>
    <row r="175" spans="2:10" ht="13.95" customHeight="1" x14ac:dyDescent="0.3">
      <c r="B175" s="8" t="s">
        <v>170</v>
      </c>
      <c r="C175" s="20">
        <f>IF(FixND=1,NDmult*DCF!$M$21*$C$152,0)</f>
        <v>0</v>
      </c>
      <c r="D175" s="20">
        <f>IF(FixND=1,NDmult*DCF!$M$21*$C$152,0)</f>
        <v>0</v>
      </c>
      <c r="E175" s="20">
        <f>IF(FixND=1,NDmult*DCF!$M$21*$C$152,0)</f>
        <v>0</v>
      </c>
      <c r="J175" s="14" t="s">
        <v>502</v>
      </c>
    </row>
    <row r="176" spans="2:10" ht="13.95" customHeight="1" x14ac:dyDescent="0.3">
      <c r="B176" s="8" t="s">
        <v>503</v>
      </c>
      <c r="C176" s="16">
        <f>C174-C175</f>
        <v>56111.350139323244</v>
      </c>
      <c r="D176" s="16">
        <f>D174-D175</f>
        <v>68947.634946221195</v>
      </c>
      <c r="E176" s="16">
        <f>E174-E175</f>
        <v>76535.270496222045</v>
      </c>
      <c r="J176" s="14" t="s">
        <v>504</v>
      </c>
    </row>
    <row r="177" spans="2:10" ht="13.95" customHeight="1" x14ac:dyDescent="0.3">
      <c r="B177" s="5" t="s">
        <v>510</v>
      </c>
      <c r="C177" s="16">
        <f>C176</f>
        <v>56111.350139323244</v>
      </c>
      <c r="D177" s="16">
        <f>D176</f>
        <v>68947.634946221195</v>
      </c>
      <c r="E177" s="16">
        <f>E176</f>
        <v>76535.270496222045</v>
      </c>
      <c r="J177" s="14" t="s">
        <v>511</v>
      </c>
    </row>
    <row r="178" spans="2:10" ht="13.95" customHeight="1" x14ac:dyDescent="0.3">
      <c r="B178" s="8" t="s">
        <v>512</v>
      </c>
      <c r="C178" s="20">
        <f>'Box Shares'!$C$10</f>
        <v>65411.174470267266</v>
      </c>
      <c r="D178" s="20">
        <f>'Box Shares'!$C$10</f>
        <v>65411.174470267266</v>
      </c>
      <c r="E178" s="20">
        <f>'Box Shares'!$C$10</f>
        <v>65411.174470267266</v>
      </c>
    </row>
    <row r="179" spans="2:10" ht="13.95" customHeight="1" x14ac:dyDescent="0.3">
      <c r="B179" s="8" t="s">
        <v>513</v>
      </c>
      <c r="C179" s="21">
        <f>C177/C178-1</f>
        <v>-0.14217485630335636</v>
      </c>
      <c r="D179" s="21">
        <f>D177/D178-1</f>
        <v>5.4065081457319364E-2</v>
      </c>
      <c r="E179" s="21">
        <f>E177/E178-1</f>
        <v>0.17006415365636429</v>
      </c>
    </row>
    <row r="180" spans="2:10" ht="13.95" customHeight="1" x14ac:dyDescent="0.3">
      <c r="B180" s="5" t="s">
        <v>514</v>
      </c>
      <c r="C180" s="49">
        <f>C177*C$10</f>
        <v>54429.300194295894</v>
      </c>
      <c r="D180" s="49">
        <f>D177*D$10</f>
        <v>64116.701705686814</v>
      </c>
      <c r="E180" s="49">
        <f>E177*E$10</f>
        <v>71253.079264098618</v>
      </c>
      <c r="J180" s="14" t="s">
        <v>515</v>
      </c>
    </row>
    <row r="181" spans="2:10" ht="13.95" customHeight="1" x14ac:dyDescent="0.3">
      <c r="B181" s="5" t="s">
        <v>175</v>
      </c>
      <c r="C181" s="56">
        <f>C180/C178-1</f>
        <v>-0.16788988066501076</v>
      </c>
      <c r="D181" s="56">
        <f>D180/D178-1</f>
        <v>-1.9789780187617012E-2</v>
      </c>
      <c r="E181" s="56">
        <f>E180/E178-1</f>
        <v>8.9310501472295023E-2</v>
      </c>
    </row>
    <row r="182" spans="2:10" ht="13.95" customHeight="1" x14ac:dyDescent="0.3">
      <c r="B182" s="52" t="s">
        <v>516</v>
      </c>
      <c r="C182" s="57">
        <f>DCF!C48</f>
        <v>0.14500000000000002</v>
      </c>
      <c r="D182" s="57">
        <f>DCF!D48</f>
        <v>0.12759999999999999</v>
      </c>
      <c r="E182" s="57">
        <f>DCF!E48</f>
        <v>0.12</v>
      </c>
    </row>
    <row r="183" spans="2:10" ht="13.95" customHeight="1" x14ac:dyDescent="0.3">
      <c r="B183" s="52" t="s">
        <v>517</v>
      </c>
      <c r="C183" s="50">
        <f>NPV(C182,$E$165:$H$165)+$H$165*(1+gLT)/(C182-gLT)/(1+C182)^C171-C175</f>
        <v>88157.47762407767</v>
      </c>
      <c r="D183" s="50">
        <f>NPV(D182,$E$165:$H$165)+$H$165*(1+gLT)/(D182-gLT)/(1+D182)^D171-D175</f>
        <v>108268.96280723618</v>
      </c>
      <c r="E183" s="50">
        <f>NPV(E182,$E$165:$H$165)+$H$165*(1+gLT)/(E182-gLT)/(1+E182)^E171-E175</f>
        <v>120118.38875667765</v>
      </c>
      <c r="J183" s="14" t="s">
        <v>518</v>
      </c>
    </row>
    <row r="184" spans="2:10" ht="13.95" customHeight="1" x14ac:dyDescent="0.3">
      <c r="B184" s="52" t="s">
        <v>519</v>
      </c>
      <c r="C184" s="50">
        <f>C183</f>
        <v>88157.47762407767</v>
      </c>
      <c r="D184" s="50">
        <f>D183</f>
        <v>108268.96280723618</v>
      </c>
      <c r="E184" s="50">
        <f>E183</f>
        <v>120118.38875667765</v>
      </c>
      <c r="J184" s="14" t="s">
        <v>520</v>
      </c>
    </row>
    <row r="187" spans="2:10" ht="13.95" customHeight="1" x14ac:dyDescent="0.3">
      <c r="B187" s="121" t="s">
        <v>524</v>
      </c>
      <c r="C187" s="121"/>
      <c r="D187" s="121"/>
      <c r="E187" s="121"/>
      <c r="F187" s="121"/>
      <c r="G187" s="121"/>
      <c r="H187" s="121"/>
      <c r="I187" s="121"/>
      <c r="J187" s="121"/>
    </row>
    <row r="188" spans="2:10" ht="13.95" customHeight="1" x14ac:dyDescent="0.3">
      <c r="B188" s="17"/>
      <c r="C188" s="18" t="s">
        <v>85</v>
      </c>
      <c r="D188" s="18" t="s">
        <v>86</v>
      </c>
      <c r="E188" s="18" t="s">
        <v>87</v>
      </c>
      <c r="F188" s="18" t="s">
        <v>88</v>
      </c>
      <c r="G188" s="18" t="s">
        <v>89</v>
      </c>
      <c r="H188" s="18" t="s">
        <v>90</v>
      </c>
      <c r="J188" s="18" t="s">
        <v>155</v>
      </c>
    </row>
    <row r="189" spans="2:10" ht="13.95" customHeight="1" x14ac:dyDescent="0.3">
      <c r="B189" s="52" t="s">
        <v>472</v>
      </c>
      <c r="C189" s="53">
        <f>'Box Shares'!D25</f>
        <v>7.8905608427206703E-2</v>
      </c>
      <c r="D189" s="53">
        <f>'Box Shares'!E25</f>
        <v>8.2932613961334251E-2</v>
      </c>
      <c r="E189" s="53">
        <f>D189</f>
        <v>8.2932613961334251E-2</v>
      </c>
      <c r="F189" s="53">
        <f>E189</f>
        <v>8.2932613961334251E-2</v>
      </c>
      <c r="G189" s="53">
        <f>F189</f>
        <v>8.2932613961334251E-2</v>
      </c>
      <c r="H189" s="53">
        <f>G189</f>
        <v>8.2932613961334251E-2</v>
      </c>
      <c r="J189" s="14" t="s">
        <v>473</v>
      </c>
    </row>
    <row r="190" spans="2:10" ht="13.95" customHeight="1" x14ac:dyDescent="0.3">
      <c r="B190" s="8" t="s">
        <v>102</v>
      </c>
      <c r="C190" s="20">
        <f>DCF!N13*C189</f>
        <v>12539.758196860117</v>
      </c>
      <c r="D190" s="20">
        <f>DCF!O13*D189</f>
        <v>13581.791255833748</v>
      </c>
      <c r="E190" s="20">
        <f>DCF!P13*E189</f>
        <v>14407.564164188441</v>
      </c>
      <c r="F190" s="20">
        <f>DCF!Q13*F189</f>
        <v>15283.544065371098</v>
      </c>
      <c r="G190" s="20">
        <f>DCF!R13*G189</f>
        <v>16212.783544545662</v>
      </c>
      <c r="H190" s="20">
        <f>DCF!S13*H189</f>
        <v>17198.520784054039</v>
      </c>
      <c r="J190" s="14" t="s">
        <v>474</v>
      </c>
    </row>
    <row r="191" spans="2:10" ht="13.95" customHeight="1" x14ac:dyDescent="0.3">
      <c r="B191" s="52" t="s">
        <v>475</v>
      </c>
      <c r="C191" s="53">
        <f>'Box Shares'!G25</f>
        <v>7.7488637202879351E-2</v>
      </c>
      <c r="D191" s="53">
        <f>'Box Shares'!H25</f>
        <v>8.2702200604373458E-2</v>
      </c>
      <c r="E191" s="53">
        <f>'Box Shares'!I25</f>
        <v>8.6393907011488857E-2</v>
      </c>
      <c r="F191" s="53">
        <f>E191</f>
        <v>8.6393907011488857E-2</v>
      </c>
      <c r="G191" s="53">
        <f>F191</f>
        <v>8.6393907011488857E-2</v>
      </c>
      <c r="H191" s="53">
        <f>G191</f>
        <v>8.6393907011488857E-2</v>
      </c>
      <c r="J191" s="14" t="s">
        <v>476</v>
      </c>
    </row>
    <row r="192" spans="2:10" ht="13.95" customHeight="1" x14ac:dyDescent="0.3">
      <c r="B192" s="8" t="s">
        <v>113</v>
      </c>
      <c r="C192" s="20">
        <f>DCF!N19*C191</f>
        <v>2563.3241186712489</v>
      </c>
      <c r="D192" s="20">
        <f>DCF!O19*D191</f>
        <v>2884.9008636823592</v>
      </c>
      <c r="E192" s="20">
        <f>DCF!P19*E191</f>
        <v>3224.3942614218572</v>
      </c>
      <c r="F192" s="20">
        <f>DCF!Q19*F191</f>
        <v>3420.4374325163067</v>
      </c>
      <c r="G192" s="20">
        <f>DCF!R19*G191</f>
        <v>3628.4000284132976</v>
      </c>
      <c r="H192" s="20">
        <f>DCF!S19*H191</f>
        <v>3849.0067501408266</v>
      </c>
    </row>
    <row r="193" spans="2:10" ht="13.95" customHeight="1" x14ac:dyDescent="0.3">
      <c r="B193" s="52" t="s">
        <v>477</v>
      </c>
      <c r="C193" s="53">
        <f>'Box Shares'!J25</f>
        <v>7.2623212907623316E-2</v>
      </c>
      <c r="D193" s="53">
        <f>'Box Shares'!K25</f>
        <v>7.7527314439218231E-2</v>
      </c>
      <c r="E193" s="53">
        <f>'Box Shares'!L25</f>
        <v>8.1423934435302436E-2</v>
      </c>
      <c r="F193" s="53">
        <f>E193</f>
        <v>8.1423934435302436E-2</v>
      </c>
      <c r="G193" s="53">
        <f>F193</f>
        <v>8.1423934435302436E-2</v>
      </c>
      <c r="H193" s="53">
        <f>G193</f>
        <v>8.1423934435302436E-2</v>
      </c>
      <c r="J193" s="14" t="s">
        <v>478</v>
      </c>
    </row>
    <row r="194" spans="2:10" ht="13.95" customHeight="1" x14ac:dyDescent="0.3">
      <c r="B194" s="8" t="s">
        <v>116</v>
      </c>
      <c r="C194" s="20">
        <f>DCF!N21*C193</f>
        <v>3582.0673534556126</v>
      </c>
      <c r="D194" s="20">
        <f>DCF!O21*D193</f>
        <v>3931.9528064138312</v>
      </c>
      <c r="E194" s="20">
        <f>DCF!P21*E193</f>
        <v>4233.7995045930766</v>
      </c>
      <c r="F194" s="20">
        <f>DCF!Q21*F193</f>
        <v>4501.6534405801967</v>
      </c>
      <c r="G194" s="20">
        <f>DCF!R21*G193</f>
        <v>4775.3539697674723</v>
      </c>
      <c r="H194" s="20">
        <f>DCF!S21*H193</f>
        <v>5065.6954911293351</v>
      </c>
    </row>
    <row r="195" spans="2:10" ht="13.95" customHeight="1" x14ac:dyDescent="0.3">
      <c r="B195" s="52" t="s">
        <v>479</v>
      </c>
      <c r="C195" s="53">
        <f>'Box Shares'!P25</f>
        <v>0.12667716185235495</v>
      </c>
      <c r="D195" s="53">
        <f>'Box Shares'!Q25</f>
        <v>0.13088073582688828</v>
      </c>
      <c r="E195" s="53">
        <f>D195</f>
        <v>0.13088073582688828</v>
      </c>
      <c r="F195" s="53">
        <f>E195</f>
        <v>0.13088073582688828</v>
      </c>
      <c r="G195" s="53">
        <f>F195</f>
        <v>0.13088073582688828</v>
      </c>
      <c r="H195" s="53">
        <f>G195</f>
        <v>0.13088073582688828</v>
      </c>
      <c r="J195" s="14" t="s">
        <v>480</v>
      </c>
    </row>
    <row r="196" spans="2:10" ht="13.95" customHeight="1" x14ac:dyDescent="0.3">
      <c r="B196" s="8" t="s">
        <v>137</v>
      </c>
      <c r="C196" s="20">
        <f>DCF!N33*C195</f>
        <v>-2427.0077439292686</v>
      </c>
      <c r="D196" s="20">
        <f>DCF!O33*D195</f>
        <v>-2530.317265741231</v>
      </c>
      <c r="E196" s="20">
        <f>DCF!P33*E195</f>
        <v>-2501.114772744741</v>
      </c>
      <c r="F196" s="20">
        <f>DCF!Q33*F195</f>
        <v>-2653.1825509276218</v>
      </c>
      <c r="G196" s="20">
        <f>DCF!R33*G195</f>
        <v>-2302.7694954741987</v>
      </c>
      <c r="H196" s="20">
        <f>DCF!S33*H195</f>
        <v>-2442.7778807990303</v>
      </c>
    </row>
    <row r="197" spans="2:10" ht="13.95" customHeight="1" x14ac:dyDescent="0.3">
      <c r="B197" s="52" t="s">
        <v>481</v>
      </c>
      <c r="C197" s="53">
        <f>'Box Shares'!M25</f>
        <v>5.8743956847999081E-2</v>
      </c>
      <c r="D197" s="53">
        <f>'Box Shares'!N25</f>
        <v>6.826457735738671E-2</v>
      </c>
      <c r="E197" s="53">
        <f>'Box Shares'!O25</f>
        <v>7.5544705625715289E-2</v>
      </c>
      <c r="F197" s="53">
        <f>E197</f>
        <v>7.5544705625715289E-2</v>
      </c>
      <c r="G197" s="53">
        <f>F197</f>
        <v>7.5544705625715289E-2</v>
      </c>
      <c r="H197" s="53">
        <f>G197</f>
        <v>7.5544705625715289E-2</v>
      </c>
      <c r="J197" s="14" t="s">
        <v>482</v>
      </c>
    </row>
    <row r="198" spans="2:10" ht="13.95" customHeight="1" x14ac:dyDescent="0.3">
      <c r="B198" s="8" t="s">
        <v>483</v>
      </c>
      <c r="C198" s="20">
        <f>DCF!N29*C197</f>
        <v>1231.1558476203647</v>
      </c>
      <c r="D198" s="20">
        <f>DCF!O29*D197</f>
        <v>1479.0203330251404</v>
      </c>
      <c r="E198" s="20">
        <f>DCF!P29*E197</f>
        <v>1750.8996422872033</v>
      </c>
      <c r="F198" s="20">
        <f>DCF!Q29*F197</f>
        <v>1857.3543405382654</v>
      </c>
      <c r="G198" s="20">
        <f>DCF!R29*G197</f>
        <v>1970.2814844429915</v>
      </c>
      <c r="H198" s="20">
        <f>DCF!S29*H197</f>
        <v>2090.074598697126</v>
      </c>
    </row>
    <row r="199" spans="2:10" ht="13.95" customHeight="1" x14ac:dyDescent="0.3">
      <c r="B199" s="8" t="s">
        <v>484</v>
      </c>
      <c r="C199" s="20">
        <f t="shared" ref="C199:H199" si="19">C194-C192</f>
        <v>1018.7432347843637</v>
      </c>
      <c r="D199" s="20">
        <f t="shared" si="19"/>
        <v>1047.0519427314721</v>
      </c>
      <c r="E199" s="20">
        <f t="shared" si="19"/>
        <v>1009.4052431712194</v>
      </c>
      <c r="F199" s="20">
        <f t="shared" si="19"/>
        <v>1081.2160080638901</v>
      </c>
      <c r="G199" s="20">
        <f t="shared" si="19"/>
        <v>1146.9539413541747</v>
      </c>
      <c r="H199" s="20">
        <f t="shared" si="19"/>
        <v>1216.6887409885085</v>
      </c>
    </row>
    <row r="200" spans="2:10" ht="13.95" customHeight="1" x14ac:dyDescent="0.3">
      <c r="B200" s="8" t="s">
        <v>485</v>
      </c>
      <c r="C200" s="36">
        <f>DCF!N25</f>
        <v>-0.24</v>
      </c>
      <c r="D200" s="36">
        <f>DCF!O25</f>
        <v>-0.24</v>
      </c>
      <c r="E200" s="36">
        <f>DCF!P25</f>
        <v>-0.24</v>
      </c>
      <c r="F200" s="36">
        <f>DCF!Q25</f>
        <v>-0.24</v>
      </c>
      <c r="G200" s="36">
        <f>DCF!R25</f>
        <v>-0.24</v>
      </c>
      <c r="H200" s="36">
        <f>DCF!S25</f>
        <v>-0.24</v>
      </c>
      <c r="J200" s="14" t="s">
        <v>486</v>
      </c>
    </row>
    <row r="201" spans="2:10" ht="13.95" customHeight="1" x14ac:dyDescent="0.3">
      <c r="B201" s="8" t="s">
        <v>487</v>
      </c>
      <c r="C201" s="20">
        <f t="shared" ref="C201:H201" si="20">C192*(1+C200)</f>
        <v>1948.1263301901492</v>
      </c>
      <c r="D201" s="20">
        <f t="shared" si="20"/>
        <v>2192.5246563985929</v>
      </c>
      <c r="E201" s="20">
        <f t="shared" si="20"/>
        <v>2450.5396386806115</v>
      </c>
      <c r="F201" s="20">
        <f t="shared" si="20"/>
        <v>2599.532448712393</v>
      </c>
      <c r="G201" s="20">
        <f t="shared" si="20"/>
        <v>2757.5840215941062</v>
      </c>
      <c r="H201" s="20">
        <f t="shared" si="20"/>
        <v>2925.2451301070282</v>
      </c>
    </row>
    <row r="202" spans="2:10" ht="13.95" customHeight="1" x14ac:dyDescent="0.3">
      <c r="B202" s="8" t="s">
        <v>488</v>
      </c>
      <c r="C202" s="20">
        <f t="shared" ref="C202:H202" si="21">-NWCpct*C190</f>
        <v>-501.59032787440469</v>
      </c>
      <c r="D202" s="20">
        <f t="shared" si="21"/>
        <v>-543.27165023334999</v>
      </c>
      <c r="E202" s="20">
        <f t="shared" si="21"/>
        <v>-576.30256656753761</v>
      </c>
      <c r="F202" s="20">
        <f t="shared" si="21"/>
        <v>-611.3417626148439</v>
      </c>
      <c r="G202" s="20">
        <f t="shared" si="21"/>
        <v>-648.51134178182645</v>
      </c>
      <c r="H202" s="20">
        <f t="shared" si="21"/>
        <v>-687.94083136216159</v>
      </c>
    </row>
    <row r="203" spans="2:10" ht="13.95" customHeight="1" x14ac:dyDescent="0.3">
      <c r="B203" s="8" t="s">
        <v>136</v>
      </c>
      <c r="D203" s="20">
        <f>D202-C202</f>
        <v>-41.681322358945295</v>
      </c>
      <c r="E203" s="20">
        <f>E202-D202</f>
        <v>-33.030916334187623</v>
      </c>
      <c r="F203" s="20">
        <f>F202-E202</f>
        <v>-35.039196047306291</v>
      </c>
      <c r="G203" s="20">
        <f>G202-F202</f>
        <v>-37.169579166982544</v>
      </c>
      <c r="H203" s="20">
        <f>H202-G202</f>
        <v>-39.429489580335144</v>
      </c>
    </row>
    <row r="204" spans="2:10" ht="13.95" customHeight="1" x14ac:dyDescent="0.3">
      <c r="B204" s="8" t="s">
        <v>141</v>
      </c>
      <c r="C204" s="20">
        <f t="shared" ref="C204:H204" si="22">C199+C201+C196+C202</f>
        <v>38.271493170839904</v>
      </c>
      <c r="D204" s="20">
        <f t="shared" si="22"/>
        <v>165.98768315548398</v>
      </c>
      <c r="E204" s="20">
        <f t="shared" si="22"/>
        <v>382.5275425395522</v>
      </c>
      <c r="F204" s="20">
        <f t="shared" si="22"/>
        <v>416.22414323381736</v>
      </c>
      <c r="G204" s="20">
        <f t="shared" si="22"/>
        <v>953.25712569225573</v>
      </c>
      <c r="H204" s="20">
        <f t="shared" si="22"/>
        <v>1011.2151589343443</v>
      </c>
    </row>
    <row r="205" spans="2:10" ht="13.95" customHeight="1" x14ac:dyDescent="0.3">
      <c r="B205" s="8" t="s">
        <v>143</v>
      </c>
      <c r="D205" s="20">
        <f>D199+D201+D196+D203</f>
        <v>667.57801102988867</v>
      </c>
      <c r="E205" s="20">
        <f>E199+E201+E196+E203</f>
        <v>925.79919277290219</v>
      </c>
      <c r="F205" s="20">
        <f>F199+F201+F196+F203</f>
        <v>992.52670980135497</v>
      </c>
      <c r="G205" s="20">
        <f>G199+G201+G196+G203</f>
        <v>1564.5988883070995</v>
      </c>
      <c r="H205" s="20">
        <f>H199+H201+H196+H203</f>
        <v>1659.7265007161709</v>
      </c>
    </row>
    <row r="206" spans="2:10" ht="13.95" customHeight="1" x14ac:dyDescent="0.3">
      <c r="B206" s="5" t="s">
        <v>489</v>
      </c>
      <c r="C206" s="16">
        <f>C204</f>
        <v>38.271493170839904</v>
      </c>
      <c r="D206" s="49">
        <f>IF(FixNWC=1,D205,D204)</f>
        <v>165.98768315548398</v>
      </c>
      <c r="E206" s="49">
        <f>IF(FixNWC=1,E205,E204)</f>
        <v>382.5275425395522</v>
      </c>
      <c r="F206" s="49">
        <f>IF(FixNWC=1,F205,F204)</f>
        <v>416.22414323381736</v>
      </c>
      <c r="G206" s="49">
        <f>IF(FixNWC=1,G205,G204)</f>
        <v>953.25712569225573</v>
      </c>
      <c r="H206" s="49">
        <f>IF(FixNWC=1,H205,H204)</f>
        <v>1011.2151589343443</v>
      </c>
      <c r="J206" s="14" t="s">
        <v>490</v>
      </c>
    </row>
    <row r="208" spans="2:10" ht="13.95" customHeight="1" x14ac:dyDescent="0.3">
      <c r="B208" s="17" t="s">
        <v>494</v>
      </c>
      <c r="C208" s="18" t="s">
        <v>31</v>
      </c>
      <c r="D208" s="18" t="s">
        <v>32</v>
      </c>
      <c r="E208" s="18" t="s">
        <v>33</v>
      </c>
    </row>
    <row r="209" spans="2:10" ht="13.95" customHeight="1" x14ac:dyDescent="0.3">
      <c r="B209" s="8" t="s">
        <v>495</v>
      </c>
      <c r="C209" s="44">
        <f>'Box Rates'!C26</f>
        <v>8.5000000000000006E-2</v>
      </c>
      <c r="D209" s="44">
        <f>'Box Rates'!D26</f>
        <v>7.28229194567072E-2</v>
      </c>
      <c r="E209" s="44">
        <f>'Box Rates'!E26</f>
        <v>7.0388003974437036E-2</v>
      </c>
      <c r="J209" s="14" t="s">
        <v>496</v>
      </c>
    </row>
    <row r="210" spans="2:10" ht="13.95" customHeight="1" x14ac:dyDescent="0.3">
      <c r="B210" s="8" t="s">
        <v>497</v>
      </c>
      <c r="C210" s="20">
        <f>$H$206</f>
        <v>1011.2151589343443</v>
      </c>
      <c r="D210" s="20">
        <f>$H$206</f>
        <v>1011.2151589343443</v>
      </c>
      <c r="E210" s="20">
        <f>$H$206</f>
        <v>1011.2151589343443</v>
      </c>
    </row>
    <row r="211" spans="2:10" ht="13.95" customHeight="1" x14ac:dyDescent="0.3">
      <c r="B211" s="8" t="s">
        <v>498</v>
      </c>
      <c r="C211" s="20">
        <f>C210*(1+gLT)/(C209-gLT)</f>
        <v>27861.638721164691</v>
      </c>
      <c r="D211" s="20">
        <f>D210*(1+gLT)/(D209-gLT)</f>
        <v>41000.099666471389</v>
      </c>
      <c r="E211" s="20">
        <f>E210*(1+gLT)/(E209-gLT)</f>
        <v>45268.603193391711</v>
      </c>
    </row>
    <row r="212" spans="2:10" ht="13.95" customHeight="1" x14ac:dyDescent="0.3">
      <c r="B212" s="8" t="s">
        <v>499</v>
      </c>
      <c r="C212" s="55">
        <f>5-FixTV</f>
        <v>5</v>
      </c>
      <c r="D212" s="55">
        <f>5-FixTV</f>
        <v>5</v>
      </c>
      <c r="E212" s="55">
        <f>5-FixTV</f>
        <v>5</v>
      </c>
    </row>
    <row r="213" spans="2:10" ht="13.95" customHeight="1" x14ac:dyDescent="0.3">
      <c r="B213" s="8" t="s">
        <v>500</v>
      </c>
      <c r="C213" s="20">
        <f>NPV(C209,$E$206:$H$206)</f>
        <v>2182.1033241439427</v>
      </c>
      <c r="D213" s="20">
        <f>NPV(D209,$E$206:$H$206)</f>
        <v>2253.576141881887</v>
      </c>
      <c r="E213" s="20">
        <f>NPV(E209,$E$206:$H$206)</f>
        <v>2268.2846678879109</v>
      </c>
    </row>
    <row r="214" spans="2:10" ht="13.95" customHeight="1" x14ac:dyDescent="0.3">
      <c r="B214" s="8" t="s">
        <v>168</v>
      </c>
      <c r="C214" s="20">
        <f>C211/(1+C209)^C212</f>
        <v>18529.255316826457</v>
      </c>
      <c r="D214" s="20">
        <f>D211/(1+D209)^D212</f>
        <v>28849.925570474028</v>
      </c>
      <c r="E214" s="20">
        <f>E211/(1+E209)^E212</f>
        <v>32217.432548739635</v>
      </c>
    </row>
    <row r="215" spans="2:10" ht="13.95" customHeight="1" x14ac:dyDescent="0.3">
      <c r="B215" s="8" t="s">
        <v>501</v>
      </c>
      <c r="C215" s="20">
        <f>C213+C214</f>
        <v>20711.3586409704</v>
      </c>
      <c r="D215" s="20">
        <f>D213+D214</f>
        <v>31103.501712355916</v>
      </c>
      <c r="E215" s="20">
        <f>E213+E214</f>
        <v>34485.717216627549</v>
      </c>
    </row>
    <row r="216" spans="2:10" ht="13.95" customHeight="1" x14ac:dyDescent="0.3">
      <c r="B216" s="8" t="s">
        <v>170</v>
      </c>
      <c r="C216" s="20">
        <f>IF(FixND=1,NDmult*DCF!$M$21*$C$193,0)</f>
        <v>0</v>
      </c>
      <c r="D216" s="20">
        <f>IF(FixND=1,NDmult*DCF!$M$21*$C$193,0)</f>
        <v>0</v>
      </c>
      <c r="E216" s="20">
        <f>IF(FixND=1,NDmult*DCF!$M$21*$C$193,0)</f>
        <v>0</v>
      </c>
      <c r="J216" s="14" t="s">
        <v>502</v>
      </c>
    </row>
    <row r="217" spans="2:10" ht="13.95" customHeight="1" x14ac:dyDescent="0.3">
      <c r="B217" s="8" t="s">
        <v>503</v>
      </c>
      <c r="C217" s="16">
        <f>C215-C216</f>
        <v>20711.3586409704</v>
      </c>
      <c r="D217" s="16">
        <f>D215-D216</f>
        <v>31103.501712355916</v>
      </c>
      <c r="E217" s="16">
        <f>E215-E216</f>
        <v>34485.717216627549</v>
      </c>
      <c r="J217" s="14" t="s">
        <v>504</v>
      </c>
    </row>
    <row r="218" spans="2:10" ht="13.95" customHeight="1" x14ac:dyDescent="0.3">
      <c r="B218" s="5" t="s">
        <v>510</v>
      </c>
      <c r="C218" s="16">
        <f>C217</f>
        <v>20711.3586409704</v>
      </c>
      <c r="D218" s="16">
        <f>D217</f>
        <v>31103.501712355916</v>
      </c>
      <c r="E218" s="16">
        <f>E217</f>
        <v>34485.717216627549</v>
      </c>
      <c r="J218" s="14" t="s">
        <v>511</v>
      </c>
    </row>
    <row r="219" spans="2:10" ht="13.95" customHeight="1" x14ac:dyDescent="0.3">
      <c r="B219" s="8" t="s">
        <v>512</v>
      </c>
      <c r="C219" s="20">
        <f>'Box Shares'!$C$14</f>
        <v>16066.51953698895</v>
      </c>
      <c r="D219" s="20">
        <f>'Box Shares'!$C$14</f>
        <v>16066.51953698895</v>
      </c>
      <c r="E219" s="20">
        <f>'Box Shares'!$C$14</f>
        <v>16066.51953698895</v>
      </c>
    </row>
    <row r="220" spans="2:10" ht="13.95" customHeight="1" x14ac:dyDescent="0.3">
      <c r="B220" s="8" t="s">
        <v>513</v>
      </c>
      <c r="C220" s="21">
        <f>C218/C219-1</f>
        <v>0.28910051696560202</v>
      </c>
      <c r="D220" s="21">
        <f>D218/D219-1</f>
        <v>0.93592032429601546</v>
      </c>
      <c r="E220" s="21">
        <f>E218/E219-1</f>
        <v>1.14643359050062</v>
      </c>
    </row>
    <row r="221" spans="2:10" ht="13.95" customHeight="1" x14ac:dyDescent="0.3">
      <c r="B221" s="5" t="s">
        <v>514</v>
      </c>
      <c r="C221" s="49">
        <f>C218*C$10</f>
        <v>20090.494242288401</v>
      </c>
      <c r="D221" s="49">
        <f>D218*D$10</f>
        <v>28924.181994769671</v>
      </c>
      <c r="E221" s="49">
        <f>E218*E$10</f>
        <v>32105.636086266222</v>
      </c>
      <c r="J221" s="14" t="s">
        <v>515</v>
      </c>
    </row>
    <row r="222" spans="2:10" ht="13.95" customHeight="1" x14ac:dyDescent="0.3">
      <c r="B222" s="5" t="s">
        <v>175</v>
      </c>
      <c r="C222" s="56">
        <f>C221/C219-1</f>
        <v>0.25045715072485386</v>
      </c>
      <c r="D222" s="56">
        <f>D221/D219-1</f>
        <v>0.80027677607333203</v>
      </c>
      <c r="E222" s="56">
        <f>E221/E219-1</f>
        <v>0.99829440423306437</v>
      </c>
    </row>
    <row r="223" spans="2:10" ht="13.95" customHeight="1" x14ac:dyDescent="0.3">
      <c r="B223" s="52" t="s">
        <v>516</v>
      </c>
      <c r="C223" s="57">
        <f>DCF!C48</f>
        <v>0.14500000000000002</v>
      </c>
      <c r="D223" s="57">
        <f>DCF!D48</f>
        <v>0.12759999999999999</v>
      </c>
      <c r="E223" s="57">
        <f>DCF!E48</f>
        <v>0.12</v>
      </c>
    </row>
    <row r="224" spans="2:10" ht="13.95" customHeight="1" x14ac:dyDescent="0.3">
      <c r="B224" s="52" t="s">
        <v>517</v>
      </c>
      <c r="C224" s="50">
        <f>NPV(C223,$E$206:$H$206)+$H$206*(1+gLT)/(C223-gLT)/(1+C223)^C212-C216</f>
        <v>7364.4750349288179</v>
      </c>
      <c r="D224" s="50">
        <f>NPV(D223,$E$206:$H$206)+$H$206*(1+gLT)/(D223-gLT)/(1+D223)^D212-D216</f>
        <v>9162.7320883912689</v>
      </c>
      <c r="E224" s="50">
        <f>NPV(E223,$E$206:$H$206)+$H$206*(1+gLT)/(E223-gLT)/(1+E223)^E212-E216</f>
        <v>10224.081471614449</v>
      </c>
      <c r="J224" s="14" t="s">
        <v>518</v>
      </c>
    </row>
    <row r="225" spans="2:10" ht="13.95" customHeight="1" x14ac:dyDescent="0.3">
      <c r="B225" s="52" t="s">
        <v>519</v>
      </c>
      <c r="C225" s="50">
        <f>C224</f>
        <v>7364.4750349288179</v>
      </c>
      <c r="D225" s="50">
        <f>D224</f>
        <v>9162.7320883912689</v>
      </c>
      <c r="E225" s="50">
        <f>E224</f>
        <v>10224.081471614449</v>
      </c>
      <c r="J225" s="14" t="s">
        <v>520</v>
      </c>
    </row>
    <row r="228" spans="2:10" ht="13.95" customHeight="1" x14ac:dyDescent="0.3">
      <c r="B228" s="121" t="s">
        <v>525</v>
      </c>
      <c r="C228" s="121"/>
      <c r="D228" s="121"/>
      <c r="E228" s="121"/>
      <c r="F228" s="121"/>
      <c r="G228" s="121"/>
      <c r="H228" s="121"/>
      <c r="I228" s="121"/>
      <c r="J228" s="121"/>
    </row>
    <row r="229" spans="2:10" ht="13.95" customHeight="1" x14ac:dyDescent="0.3">
      <c r="B229" s="17"/>
      <c r="C229" s="18" t="s">
        <v>85</v>
      </c>
      <c r="D229" s="18" t="s">
        <v>86</v>
      </c>
      <c r="E229" s="18" t="s">
        <v>87</v>
      </c>
      <c r="F229" s="18" t="s">
        <v>88</v>
      </c>
      <c r="G229" s="18" t="s">
        <v>89</v>
      </c>
      <c r="H229" s="18" t="s">
        <v>90</v>
      </c>
      <c r="J229" s="18" t="s">
        <v>155</v>
      </c>
    </row>
    <row r="230" spans="2:10" ht="13.95" customHeight="1" x14ac:dyDescent="0.3">
      <c r="B230" s="52" t="s">
        <v>472</v>
      </c>
      <c r="C230" s="53">
        <f>'Box Shares'!D26</f>
        <v>2.6677780727743849E-2</v>
      </c>
      <c r="D230" s="53">
        <f>'Box Shares'!E26</f>
        <v>2.9252308773709677E-2</v>
      </c>
      <c r="E230" s="53">
        <f>D230</f>
        <v>2.9252308773709677E-2</v>
      </c>
      <c r="F230" s="53">
        <f>E230</f>
        <v>2.9252308773709677E-2</v>
      </c>
      <c r="G230" s="53">
        <f>F230</f>
        <v>2.9252308773709677E-2</v>
      </c>
      <c r="H230" s="53">
        <f>G230</f>
        <v>2.9252308773709677E-2</v>
      </c>
      <c r="J230" s="14" t="s">
        <v>473</v>
      </c>
    </row>
    <row r="231" spans="2:10" ht="13.95" customHeight="1" x14ac:dyDescent="0.3">
      <c r="B231" s="8" t="s">
        <v>102</v>
      </c>
      <c r="C231" s="20">
        <f>DCF!N13*C230</f>
        <v>4239.6595910337801</v>
      </c>
      <c r="D231" s="20">
        <f>DCF!O13*D230</f>
        <v>4790.6213555616605</v>
      </c>
      <c r="E231" s="20">
        <f>DCF!P13*E230</f>
        <v>5081.8911339798096</v>
      </c>
      <c r="F231" s="20">
        <f>DCF!Q13*F230</f>
        <v>5390.8701149257813</v>
      </c>
      <c r="G231" s="20">
        <f>DCF!R13*G230</f>
        <v>5718.6350179132696</v>
      </c>
      <c r="H231" s="20">
        <f>DCF!S13*H230</f>
        <v>6066.3280270023961</v>
      </c>
      <c r="J231" s="14" t="s">
        <v>474</v>
      </c>
    </row>
    <row r="232" spans="2:10" ht="13.95" customHeight="1" x14ac:dyDescent="0.3">
      <c r="B232" s="52" t="s">
        <v>475</v>
      </c>
      <c r="C232" s="53">
        <f>'Box Shares'!G26</f>
        <v>1.6026668148934848E-2</v>
      </c>
      <c r="D232" s="53">
        <f>'Box Shares'!H26</f>
        <v>1.7836650685671071E-2</v>
      </c>
      <c r="E232" s="53">
        <f>'Box Shares'!I26</f>
        <v>1.9605094811195368E-2</v>
      </c>
      <c r="F232" s="53">
        <f>E232</f>
        <v>1.9605094811195368E-2</v>
      </c>
      <c r="G232" s="53">
        <f>F232</f>
        <v>1.9605094811195368E-2</v>
      </c>
      <c r="H232" s="53">
        <f>G232</f>
        <v>1.9605094811195368E-2</v>
      </c>
      <c r="J232" s="14" t="s">
        <v>476</v>
      </c>
    </row>
    <row r="233" spans="2:10" ht="13.95" customHeight="1" x14ac:dyDescent="0.3">
      <c r="B233" s="8" t="s">
        <v>113</v>
      </c>
      <c r="C233" s="20">
        <f>DCF!N19*C232</f>
        <v>530.1621823667648</v>
      </c>
      <c r="D233" s="20">
        <f>DCF!O19*D232</f>
        <v>622.19588586826399</v>
      </c>
      <c r="E233" s="20">
        <f>DCF!P19*E232</f>
        <v>731.70154459438163</v>
      </c>
      <c r="F233" s="20">
        <f>DCF!Q19*F232</f>
        <v>776.18899850572018</v>
      </c>
      <c r="G233" s="20">
        <f>DCF!R19*G232</f>
        <v>823.3812896148678</v>
      </c>
      <c r="H233" s="20">
        <f>DCF!S19*H232</f>
        <v>873.44287202345197</v>
      </c>
    </row>
    <row r="234" spans="2:10" ht="13.95" customHeight="1" x14ac:dyDescent="0.3">
      <c r="B234" s="52" t="s">
        <v>477</v>
      </c>
      <c r="C234" s="53">
        <f>'Box Shares'!J26</f>
        <v>1.2858118542810246E-2</v>
      </c>
      <c r="D234" s="53">
        <f>'Box Shares'!K26</f>
        <v>1.433851582929203E-2</v>
      </c>
      <c r="E234" s="53">
        <f>'Box Shares'!L26</f>
        <v>1.6020881825334704E-2</v>
      </c>
      <c r="F234" s="53">
        <f>E234</f>
        <v>1.6020881825334704E-2</v>
      </c>
      <c r="G234" s="53">
        <f>F234</f>
        <v>1.6020881825334704E-2</v>
      </c>
      <c r="H234" s="53">
        <f>G234</f>
        <v>1.6020881825334704E-2</v>
      </c>
      <c r="J234" s="14" t="s">
        <v>478</v>
      </c>
    </row>
    <row r="235" spans="2:10" ht="13.95" customHeight="1" x14ac:dyDescent="0.3">
      <c r="B235" s="8" t="s">
        <v>116</v>
      </c>
      <c r="C235" s="20">
        <f>DCF!N21*C234</f>
        <v>634.21383900557259</v>
      </c>
      <c r="D235" s="20">
        <f>DCF!O21*D234</f>
        <v>727.20650731420392</v>
      </c>
      <c r="E235" s="20">
        <f>DCF!P21*E234</f>
        <v>833.03763206311032</v>
      </c>
      <c r="F235" s="20">
        <f>DCF!Q21*F234</f>
        <v>885.74027146099093</v>
      </c>
      <c r="G235" s="20">
        <f>DCF!R21*G234</f>
        <v>939.59327996581931</v>
      </c>
      <c r="H235" s="20">
        <f>DCF!S21*H234</f>
        <v>996.72055138774101</v>
      </c>
    </row>
    <row r="236" spans="2:10" ht="13.95" customHeight="1" x14ac:dyDescent="0.3">
      <c r="B236" s="52" t="s">
        <v>479</v>
      </c>
      <c r="C236" s="53">
        <f>'Box Shares'!P26</f>
        <v>1.023094705627425E-2</v>
      </c>
      <c r="D236" s="53">
        <f>'Box Shares'!Q26</f>
        <v>1.0439854311805314E-2</v>
      </c>
      <c r="E236" s="53">
        <f>D236</f>
        <v>1.0439854311805314E-2</v>
      </c>
      <c r="F236" s="53">
        <f>E236</f>
        <v>1.0439854311805314E-2</v>
      </c>
      <c r="G236" s="53">
        <f>F236</f>
        <v>1.0439854311805314E-2</v>
      </c>
      <c r="H236" s="53">
        <f>G236</f>
        <v>1.0439854311805314E-2</v>
      </c>
      <c r="J236" s="14" t="s">
        <v>480</v>
      </c>
    </row>
    <row r="237" spans="2:10" ht="13.95" customHeight="1" x14ac:dyDescent="0.3">
      <c r="B237" s="8" t="s">
        <v>137</v>
      </c>
      <c r="C237" s="20">
        <f>DCF!N33*C236</f>
        <v>-196.01471465115836</v>
      </c>
      <c r="D237" s="20">
        <f>DCF!O33*D236</f>
        <v>-201.83370341013213</v>
      </c>
      <c r="E237" s="20">
        <f>DCF!P33*E236</f>
        <v>-199.5043325481887</v>
      </c>
      <c r="F237" s="20">
        <f>DCF!Q33*F236</f>
        <v>-211.63419596711861</v>
      </c>
      <c r="G237" s="20">
        <f>DCF!R33*G236</f>
        <v>-183.68309052157042</v>
      </c>
      <c r="H237" s="20">
        <f>DCF!S33*H236</f>
        <v>-194.85102242528191</v>
      </c>
    </row>
    <row r="238" spans="2:10" ht="13.95" customHeight="1" x14ac:dyDescent="0.3">
      <c r="B238" s="52" t="s">
        <v>481</v>
      </c>
      <c r="C238" s="53">
        <f>'Box Shares'!M26</f>
        <v>1.7915966497472811E-2</v>
      </c>
      <c r="D238" s="53">
        <f>'Box Shares'!N26</f>
        <v>2.0654912409182873E-2</v>
      </c>
      <c r="E238" s="53">
        <f>'Box Shares'!O26</f>
        <v>2.2997442746953638E-2</v>
      </c>
      <c r="F238" s="53">
        <f>E238</f>
        <v>2.2997442746953638E-2</v>
      </c>
      <c r="G238" s="53">
        <f>F238</f>
        <v>2.2997442746953638E-2</v>
      </c>
      <c r="H238" s="53">
        <f>G238</f>
        <v>2.2997442746953638E-2</v>
      </c>
      <c r="J238" s="14" t="s">
        <v>482</v>
      </c>
    </row>
    <row r="239" spans="2:10" ht="13.95" customHeight="1" x14ac:dyDescent="0.3">
      <c r="B239" s="8" t="s">
        <v>483</v>
      </c>
      <c r="C239" s="20">
        <f>DCF!N29*C238</f>
        <v>375.48282585403518</v>
      </c>
      <c r="D239" s="20">
        <f>DCF!O29*D238</f>
        <v>447.50933225735611</v>
      </c>
      <c r="E239" s="20">
        <f>DCF!P29*E238</f>
        <v>533.01173054614446</v>
      </c>
      <c r="F239" s="20">
        <f>DCF!Q29*F238</f>
        <v>565.41884376335008</v>
      </c>
      <c r="G239" s="20">
        <f>DCF!R29*G238</f>
        <v>599.79630946416171</v>
      </c>
      <c r="H239" s="20">
        <f>DCF!S29*H238</f>
        <v>636.2639250795828</v>
      </c>
    </row>
    <row r="240" spans="2:10" ht="13.95" customHeight="1" x14ac:dyDescent="0.3">
      <c r="B240" s="8" t="s">
        <v>484</v>
      </c>
      <c r="C240" s="20">
        <f t="shared" ref="C240:H240" si="23">C235-C233</f>
        <v>104.0516566388078</v>
      </c>
      <c r="D240" s="20">
        <f t="shared" si="23"/>
        <v>105.01062144593993</v>
      </c>
      <c r="E240" s="20">
        <f t="shared" si="23"/>
        <v>101.33608746872869</v>
      </c>
      <c r="F240" s="20">
        <f t="shared" si="23"/>
        <v>109.55127295527075</v>
      </c>
      <c r="G240" s="20">
        <f t="shared" si="23"/>
        <v>116.21199035095151</v>
      </c>
      <c r="H240" s="20">
        <f t="shared" si="23"/>
        <v>123.27767936428904</v>
      </c>
    </row>
    <row r="241" spans="2:10" ht="13.95" customHeight="1" x14ac:dyDescent="0.3">
      <c r="B241" s="8" t="s">
        <v>485</v>
      </c>
      <c r="C241" s="36">
        <f>DCF!N25</f>
        <v>-0.24</v>
      </c>
      <c r="D241" s="36">
        <f>DCF!O25</f>
        <v>-0.24</v>
      </c>
      <c r="E241" s="36">
        <f>DCF!P25</f>
        <v>-0.24</v>
      </c>
      <c r="F241" s="36">
        <f>DCF!Q25</f>
        <v>-0.24</v>
      </c>
      <c r="G241" s="36">
        <f>DCF!R25</f>
        <v>-0.24</v>
      </c>
      <c r="H241" s="36">
        <f>DCF!S25</f>
        <v>-0.24</v>
      </c>
      <c r="J241" s="14" t="s">
        <v>486</v>
      </c>
    </row>
    <row r="242" spans="2:10" ht="13.95" customHeight="1" x14ac:dyDescent="0.3">
      <c r="B242" s="8" t="s">
        <v>487</v>
      </c>
      <c r="C242" s="20">
        <f t="shared" ref="C242:H242" si="24">C233*(1+C241)</f>
        <v>402.92325859874126</v>
      </c>
      <c r="D242" s="20">
        <f t="shared" si="24"/>
        <v>472.86887325988062</v>
      </c>
      <c r="E242" s="20">
        <f t="shared" si="24"/>
        <v>556.09317389173009</v>
      </c>
      <c r="F242" s="20">
        <f t="shared" si="24"/>
        <v>589.90363886434739</v>
      </c>
      <c r="G242" s="20">
        <f t="shared" si="24"/>
        <v>625.76978010729954</v>
      </c>
      <c r="H242" s="20">
        <f t="shared" si="24"/>
        <v>663.81658273782352</v>
      </c>
    </row>
    <row r="243" spans="2:10" ht="13.95" customHeight="1" x14ac:dyDescent="0.3">
      <c r="B243" s="8" t="s">
        <v>488</v>
      </c>
      <c r="C243" s="20">
        <f t="shared" ref="C243:H243" si="25">-NWCpct*C231</f>
        <v>-169.5863836413512</v>
      </c>
      <c r="D243" s="20">
        <f t="shared" si="25"/>
        <v>-191.62485422246641</v>
      </c>
      <c r="E243" s="20">
        <f t="shared" si="25"/>
        <v>-203.2756453591924</v>
      </c>
      <c r="F243" s="20">
        <f t="shared" si="25"/>
        <v>-215.63480459703126</v>
      </c>
      <c r="G243" s="20">
        <f t="shared" si="25"/>
        <v>-228.74540071653078</v>
      </c>
      <c r="H243" s="20">
        <f t="shared" si="25"/>
        <v>-242.65312108009584</v>
      </c>
    </row>
    <row r="244" spans="2:10" ht="13.95" customHeight="1" x14ac:dyDescent="0.3">
      <c r="B244" s="8" t="s">
        <v>136</v>
      </c>
      <c r="D244" s="20">
        <f>D243-C243</f>
        <v>-22.038470581115206</v>
      </c>
      <c r="E244" s="20">
        <f>E243-D243</f>
        <v>-11.650791136725985</v>
      </c>
      <c r="F244" s="20">
        <f>F243-E243</f>
        <v>-12.359159237838867</v>
      </c>
      <c r="G244" s="20">
        <f>G243-F243</f>
        <v>-13.110596119499519</v>
      </c>
      <c r="H244" s="20">
        <f>H243-G243</f>
        <v>-13.907720363565062</v>
      </c>
    </row>
    <row r="245" spans="2:10" ht="13.95" customHeight="1" x14ac:dyDescent="0.3">
      <c r="B245" s="8" t="s">
        <v>141</v>
      </c>
      <c r="C245" s="20">
        <f t="shared" ref="C245:H245" si="26">C240+C242+C237+C243</f>
        <v>141.37381694503947</v>
      </c>
      <c r="D245" s="20">
        <f t="shared" si="26"/>
        <v>184.42093707322203</v>
      </c>
      <c r="E245" s="20">
        <f t="shared" si="26"/>
        <v>254.64928345307769</v>
      </c>
      <c r="F245" s="20">
        <f t="shared" si="26"/>
        <v>272.18591125546823</v>
      </c>
      <c r="G245" s="20">
        <f t="shared" si="26"/>
        <v>329.55327922014988</v>
      </c>
      <c r="H245" s="20">
        <f t="shared" si="26"/>
        <v>349.59011859673478</v>
      </c>
    </row>
    <row r="246" spans="2:10" ht="13.95" customHeight="1" x14ac:dyDescent="0.3">
      <c r="B246" s="8" t="s">
        <v>143</v>
      </c>
      <c r="D246" s="20">
        <f>D240+D242+D237+D244</f>
        <v>354.00732071457321</v>
      </c>
      <c r="E246" s="20">
        <f>E240+E242+E237+E244</f>
        <v>446.27413767554413</v>
      </c>
      <c r="F246" s="20">
        <f>F240+F242+F237+F244</f>
        <v>475.46155661466065</v>
      </c>
      <c r="G246" s="20">
        <f>G240+G242+G237+G244</f>
        <v>545.18808381718111</v>
      </c>
      <c r="H246" s="20">
        <f>H240+H242+H237+H244</f>
        <v>578.33551931326554</v>
      </c>
    </row>
    <row r="247" spans="2:10" ht="13.95" customHeight="1" x14ac:dyDescent="0.3">
      <c r="B247" s="5" t="s">
        <v>489</v>
      </c>
      <c r="C247" s="16">
        <f>C245</f>
        <v>141.37381694503947</v>
      </c>
      <c r="D247" s="49">
        <f>IF(FixNWC=1,D246,D245)</f>
        <v>184.42093707322203</v>
      </c>
      <c r="E247" s="49">
        <f>IF(FixNWC=1,E246,E245)</f>
        <v>254.64928345307769</v>
      </c>
      <c r="F247" s="49">
        <f>IF(FixNWC=1,F246,F245)</f>
        <v>272.18591125546823</v>
      </c>
      <c r="G247" s="49">
        <f>IF(FixNWC=1,G246,G245)</f>
        <v>329.55327922014988</v>
      </c>
      <c r="H247" s="49">
        <f>IF(FixNWC=1,H246,H245)</f>
        <v>349.59011859673478</v>
      </c>
      <c r="J247" s="14" t="s">
        <v>490</v>
      </c>
    </row>
    <row r="249" spans="2:10" ht="13.95" customHeight="1" x14ac:dyDescent="0.3">
      <c r="B249" s="17" t="s">
        <v>494</v>
      </c>
      <c r="C249" s="18" t="s">
        <v>31</v>
      </c>
      <c r="D249" s="18" t="s">
        <v>32</v>
      </c>
      <c r="E249" s="18" t="s">
        <v>33</v>
      </c>
    </row>
    <row r="250" spans="2:10" ht="13.95" customHeight="1" x14ac:dyDescent="0.3">
      <c r="B250" s="8" t="s">
        <v>495</v>
      </c>
      <c r="C250" s="44">
        <f>'Box Rates'!C27</f>
        <v>8.5000000000000006E-2</v>
      </c>
      <c r="D250" s="44">
        <f>'Box Rates'!D27</f>
        <v>6.7599999999999993E-2</v>
      </c>
      <c r="E250" s="44">
        <f>'Box Rates'!E27</f>
        <v>6.3935285759420452E-2</v>
      </c>
      <c r="J250" s="14" t="s">
        <v>496</v>
      </c>
    </row>
    <row r="251" spans="2:10" ht="13.95" customHeight="1" x14ac:dyDescent="0.3">
      <c r="B251" s="8" t="s">
        <v>497</v>
      </c>
      <c r="C251" s="20">
        <f>$H$247</f>
        <v>349.59011859673478</v>
      </c>
      <c r="D251" s="20">
        <f>$H$247</f>
        <v>349.59011859673478</v>
      </c>
      <c r="E251" s="20">
        <f>$H$247</f>
        <v>349.59011859673478</v>
      </c>
    </row>
    <row r="252" spans="2:10" ht="13.95" customHeight="1" x14ac:dyDescent="0.3">
      <c r="B252" s="8" t="s">
        <v>498</v>
      </c>
      <c r="C252" s="20">
        <f>C251*(1+gLT)/(C250-gLT)</f>
        <v>9632.1277413363496</v>
      </c>
      <c r="D252" s="20">
        <f>D251*(1+gLT)/(D250-gLT)</f>
        <v>17768.002629649585</v>
      </c>
      <c r="E252" s="20">
        <f>E251*(1+gLT)/(E250-gLT)</f>
        <v>21612.912788742164</v>
      </c>
    </row>
    <row r="253" spans="2:10" ht="13.95" customHeight="1" x14ac:dyDescent="0.3">
      <c r="B253" s="8" t="s">
        <v>499</v>
      </c>
      <c r="C253" s="55">
        <f>5-FixTV</f>
        <v>5</v>
      </c>
      <c r="D253" s="55">
        <f>5-FixTV</f>
        <v>5</v>
      </c>
      <c r="E253" s="55">
        <f>5-FixTV</f>
        <v>5</v>
      </c>
    </row>
    <row r="254" spans="2:10" ht="13.95" customHeight="1" x14ac:dyDescent="0.3">
      <c r="B254" s="8" t="s">
        <v>500</v>
      </c>
      <c r="C254" s="20">
        <f>NPV(C250,$E$247:$H$247)</f>
        <v>976.17473250473915</v>
      </c>
      <c r="D254" s="20">
        <f>NPV(D250,$E$247:$H$247)</f>
        <v>1017.271708137123</v>
      </c>
      <c r="E254" s="20">
        <f>NPV(E250,$E$247:$H$247)</f>
        <v>1026.2765106722004</v>
      </c>
    </row>
    <row r="255" spans="2:10" ht="13.95" customHeight="1" x14ac:dyDescent="0.3">
      <c r="B255" s="8" t="s">
        <v>168</v>
      </c>
      <c r="C255" s="20">
        <f>C252/(1+C250)^C253</f>
        <v>6405.8024709053216</v>
      </c>
      <c r="D255" s="20">
        <f>D252/(1+D250)^D253</f>
        <v>12811.376200229101</v>
      </c>
      <c r="E255" s="20">
        <f>E252/(1+E250)^E253</f>
        <v>15853.941005373232</v>
      </c>
    </row>
    <row r="256" spans="2:10" ht="13.95" customHeight="1" x14ac:dyDescent="0.3">
      <c r="B256" s="8" t="s">
        <v>501</v>
      </c>
      <c r="C256" s="20">
        <f>C254+C255</f>
        <v>7381.9772034100606</v>
      </c>
      <c r="D256" s="20">
        <f>D254+D255</f>
        <v>13828.647908366223</v>
      </c>
      <c r="E256" s="20">
        <f>E254+E255</f>
        <v>16880.217516045432</v>
      </c>
    </row>
    <row r="257" spans="2:10" ht="13.95" customHeight="1" x14ac:dyDescent="0.3">
      <c r="B257" s="8" t="s">
        <v>170</v>
      </c>
      <c r="C257" s="20">
        <f>IF(FixND=1,NDmult*DCF!$M$21*$C$234,0)</f>
        <v>0</v>
      </c>
      <c r="D257" s="20">
        <f>IF(FixND=1,NDmult*DCF!$M$21*$C$234,0)</f>
        <v>0</v>
      </c>
      <c r="E257" s="20">
        <f>IF(FixND=1,NDmult*DCF!$M$21*$C$234,0)</f>
        <v>0</v>
      </c>
      <c r="J257" s="14" t="s">
        <v>502</v>
      </c>
    </row>
    <row r="258" spans="2:10" ht="13.95" customHeight="1" x14ac:dyDescent="0.3">
      <c r="B258" s="8" t="s">
        <v>503</v>
      </c>
      <c r="C258" s="16">
        <f>C256-C257</f>
        <v>7381.9772034100606</v>
      </c>
      <c r="D258" s="16">
        <f>D256-D257</f>
        <v>13828.647908366223</v>
      </c>
      <c r="E258" s="16">
        <f>E256-E257</f>
        <v>16880.217516045432</v>
      </c>
      <c r="J258" s="14" t="s">
        <v>504</v>
      </c>
    </row>
    <row r="259" spans="2:10" ht="13.95" customHeight="1" x14ac:dyDescent="0.3">
      <c r="B259" s="5" t="s">
        <v>510</v>
      </c>
      <c r="C259" s="16">
        <f>C258</f>
        <v>7381.9772034100606</v>
      </c>
      <c r="D259" s="16">
        <f>D258</f>
        <v>13828.647908366223</v>
      </c>
      <c r="E259" s="16">
        <f>E258</f>
        <v>16880.217516045432</v>
      </c>
      <c r="J259" s="14" t="s">
        <v>511</v>
      </c>
    </row>
    <row r="260" spans="2:10" ht="13.95" customHeight="1" x14ac:dyDescent="0.3">
      <c r="B260" s="8" t="s">
        <v>512</v>
      </c>
      <c r="C260" s="20">
        <f>'Box Shares'!$C$15</f>
        <v>10204.555109283054</v>
      </c>
      <c r="D260" s="20">
        <f>'Box Shares'!$C$15</f>
        <v>10204.555109283054</v>
      </c>
      <c r="E260" s="20">
        <f>'Box Shares'!$C$15</f>
        <v>10204.555109283054</v>
      </c>
    </row>
    <row r="261" spans="2:10" ht="13.95" customHeight="1" x14ac:dyDescent="0.3">
      <c r="B261" s="8" t="s">
        <v>513</v>
      </c>
      <c r="C261" s="21">
        <f>C259/C260-1</f>
        <v>-0.2765998003485034</v>
      </c>
      <c r="D261" s="21">
        <f>D259/D260-1</f>
        <v>0.35514461534793851</v>
      </c>
      <c r="E261" s="21">
        <f>E259/E260-1</f>
        <v>0.6541845612347712</v>
      </c>
    </row>
    <row r="262" spans="2:10" ht="13.95" customHeight="1" x14ac:dyDescent="0.3">
      <c r="B262" s="5" t="s">
        <v>514</v>
      </c>
      <c r="C262" s="49">
        <f>C259*C$10</f>
        <v>7160.6876725333614</v>
      </c>
      <c r="D262" s="49">
        <f>D259*D$10</f>
        <v>12859.720186562852</v>
      </c>
      <c r="E262" s="49">
        <f>E259*E$10</f>
        <v>15715.205144866932</v>
      </c>
      <c r="J262" s="14" t="s">
        <v>515</v>
      </c>
    </row>
    <row r="263" spans="2:10" ht="13.95" customHeight="1" x14ac:dyDescent="0.3">
      <c r="B263" s="5" t="s">
        <v>175</v>
      </c>
      <c r="C263" s="56">
        <f>C262/C260-1</f>
        <v>-0.29828516815796258</v>
      </c>
      <c r="D263" s="56">
        <f>D262/D260-1</f>
        <v>0.26019410438230683</v>
      </c>
      <c r="E263" s="56">
        <f>E262/E260-1</f>
        <v>0.54001864623876217</v>
      </c>
    </row>
    <row r="264" spans="2:10" ht="13.95" customHeight="1" x14ac:dyDescent="0.3">
      <c r="B264" s="52" t="s">
        <v>516</v>
      </c>
      <c r="C264" s="57">
        <f>DCF!C48</f>
        <v>0.14500000000000002</v>
      </c>
      <c r="D264" s="57">
        <f>DCF!D48</f>
        <v>0.12759999999999999</v>
      </c>
      <c r="E264" s="57">
        <f>DCF!E48</f>
        <v>0.12</v>
      </c>
    </row>
    <row r="265" spans="2:10" ht="13.95" customHeight="1" x14ac:dyDescent="0.3">
      <c r="B265" s="52" t="s">
        <v>517</v>
      </c>
      <c r="C265" s="50">
        <f>NPV(C264,$E$247:$H$247)+$H$247*(1+gLT)/(C264-gLT)/(1+C264)^C253-C257</f>
        <v>2750.7536864472536</v>
      </c>
      <c r="D265" s="50">
        <f>NPV(D264,$E$247:$H$247)+$H$247*(1+gLT)/(D264-gLT)/(1+D264)^D253-D257</f>
        <v>3377.1273033984285</v>
      </c>
      <c r="E265" s="50">
        <f>NPV(E264,$E$247:$H$247)+$H$247*(1+gLT)/(E264-gLT)/(1+E264)^E253-E257</f>
        <v>3746.1600768901894</v>
      </c>
      <c r="J265" s="14" t="s">
        <v>518</v>
      </c>
    </row>
    <row r="266" spans="2:10" ht="13.95" customHeight="1" x14ac:dyDescent="0.3">
      <c r="B266" s="52" t="s">
        <v>519</v>
      </c>
      <c r="C266" s="50">
        <f>C265</f>
        <v>2750.7536864472536</v>
      </c>
      <c r="D266" s="50">
        <f>D265</f>
        <v>3377.1273033984285</v>
      </c>
      <c r="E266" s="50">
        <f>E265</f>
        <v>3746.1600768901894</v>
      </c>
      <c r="J266" s="14" t="s">
        <v>520</v>
      </c>
    </row>
  </sheetData>
  <mergeCells count="7">
    <mergeCell ref="B187:J187"/>
    <mergeCell ref="B228:J228"/>
    <mergeCell ref="B5:J5"/>
    <mergeCell ref="B16:J16"/>
    <mergeCell ref="B64:J64"/>
    <mergeCell ref="B105:J105"/>
    <mergeCell ref="B146:J146"/>
  </mergeCells>
  <pageMargins left="0.4" right="0.4" top="1.25" bottom="0.5" header="0.3" footer="0.3"/>
  <pageSetup paperSize="9" fitToHeight="0" orientation="landscape"/>
  <headerFooter>
    <oddHeader>&amp;L&amp;G</oddHeader>
    <oddFooter>&amp;R&amp;"Calibri"&amp;10&amp;K008000[ CLASSIFICAÇÃO: PÚBLICA ]</oddFooter>
  </headerFooter>
  <legacyDrawingHF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U69"/>
  <sheetViews>
    <sheetView showGridLines="0" zoomScale="85" zoomScaleNormal="85" workbookViewId="0">
      <pane xSplit="2" ySplit="7" topLeftCell="C8" activePane="bottomRight" state="frozen"/>
      <selection pane="topRight" activeCell="C1" sqref="C1"/>
      <selection pane="bottomLeft" activeCell="A8" sqref="A8"/>
      <selection pane="bottomRight"/>
    </sheetView>
  </sheetViews>
  <sheetFormatPr defaultRowHeight="13.95" customHeight="1" x14ac:dyDescent="0.3"/>
  <cols>
    <col min="1" max="1" width="2.6640625" customWidth="1"/>
    <col min="2" max="2" width="44.6640625" customWidth="1"/>
    <col min="3" max="19" width="10.33203125" customWidth="1"/>
    <col min="20" max="20" width="2.6640625" customWidth="1"/>
    <col min="21" max="21" width="90.6640625" customWidth="1"/>
  </cols>
  <sheetData>
    <row r="1" spans="2:21" ht="30" customHeight="1" x14ac:dyDescent="0.3">
      <c r="B1" s="15" t="s">
        <v>71</v>
      </c>
    </row>
    <row r="2" spans="2:21" ht="13.95" customHeight="1" x14ac:dyDescent="0.3">
      <c r="B2" s="14" t="s">
        <v>72</v>
      </c>
    </row>
    <row r="3" spans="2:21" ht="13.95" customHeight="1" x14ac:dyDescent="0.3">
      <c r="B3" s="14" t="s">
        <v>2</v>
      </c>
      <c r="C3" s="38" t="s">
        <v>3</v>
      </c>
      <c r="D3" s="39" t="s">
        <v>4</v>
      </c>
      <c r="E3" s="40" t="s">
        <v>5</v>
      </c>
    </row>
    <row r="5" spans="2:21" ht="13.95" customHeight="1" x14ac:dyDescent="0.3">
      <c r="B5" s="120" t="s">
        <v>73</v>
      </c>
      <c r="C5" s="120"/>
      <c r="D5" s="120"/>
      <c r="E5" s="120"/>
      <c r="F5" s="120"/>
      <c r="G5" s="120"/>
      <c r="H5" s="120"/>
      <c r="I5" s="120"/>
      <c r="J5" s="120"/>
      <c r="K5" s="120"/>
      <c r="L5" s="120"/>
      <c r="M5" s="120"/>
      <c r="N5" s="120"/>
      <c r="O5" s="120"/>
      <c r="P5" s="120"/>
      <c r="Q5" s="120"/>
      <c r="R5" s="120"/>
      <c r="S5" s="120"/>
      <c r="T5" s="120"/>
      <c r="U5" s="120"/>
    </row>
    <row r="6" spans="2:21" ht="13.95" customHeight="1" x14ac:dyDescent="0.3">
      <c r="B6" s="17"/>
      <c r="C6" s="18" t="s">
        <v>74</v>
      </c>
      <c r="D6" s="18" t="s">
        <v>75</v>
      </c>
      <c r="E6" s="18" t="s">
        <v>76</v>
      </c>
      <c r="F6" s="18" t="s">
        <v>77</v>
      </c>
      <c r="G6" s="18" t="s">
        <v>78</v>
      </c>
      <c r="H6" s="18" t="s">
        <v>79</v>
      </c>
      <c r="I6" s="18" t="s">
        <v>80</v>
      </c>
      <c r="J6" s="18" t="s">
        <v>81</v>
      </c>
      <c r="K6" s="18" t="s">
        <v>82</v>
      </c>
      <c r="L6" s="18" t="s">
        <v>83</v>
      </c>
      <c r="M6" s="18" t="s">
        <v>84</v>
      </c>
      <c r="N6" s="18" t="s">
        <v>85</v>
      </c>
      <c r="O6" s="18" t="s">
        <v>86</v>
      </c>
      <c r="P6" s="18" t="s">
        <v>87</v>
      </c>
      <c r="Q6" s="18" t="s">
        <v>88</v>
      </c>
      <c r="R6" s="18" t="s">
        <v>89</v>
      </c>
      <c r="S6" s="18" t="s">
        <v>90</v>
      </c>
      <c r="U6" s="18" t="s">
        <v>91</v>
      </c>
    </row>
    <row r="7" spans="2:21" ht="13.95" customHeight="1" x14ac:dyDescent="0.3">
      <c r="C7" s="58" t="s">
        <v>92</v>
      </c>
      <c r="D7" s="58" t="s">
        <v>92</v>
      </c>
      <c r="E7" s="58" t="s">
        <v>92</v>
      </c>
      <c r="F7" s="58" t="s">
        <v>92</v>
      </c>
      <c r="G7" s="58" t="s">
        <v>92</v>
      </c>
      <c r="H7" s="58" t="s">
        <v>92</v>
      </c>
      <c r="I7" s="58" t="s">
        <v>92</v>
      </c>
      <c r="J7" s="58" t="s">
        <v>92</v>
      </c>
      <c r="K7" s="58" t="s">
        <v>92</v>
      </c>
      <c r="L7" s="58" t="s">
        <v>92</v>
      </c>
      <c r="M7" s="58" t="s">
        <v>92</v>
      </c>
      <c r="N7" s="59" t="s">
        <v>93</v>
      </c>
      <c r="O7" s="59" t="s">
        <v>93</v>
      </c>
      <c r="P7" s="59" t="s">
        <v>93</v>
      </c>
      <c r="Q7" s="60" t="s">
        <v>94</v>
      </c>
      <c r="R7" s="60" t="s">
        <v>94</v>
      </c>
      <c r="S7" s="60" t="s">
        <v>94</v>
      </c>
    </row>
    <row r="8" spans="2:21" ht="13.95" customHeight="1" x14ac:dyDescent="0.3">
      <c r="B8" s="8" t="s">
        <v>95</v>
      </c>
      <c r="J8" s="61">
        <v>2.9000000000000001E-2</v>
      </c>
      <c r="K8" s="61">
        <v>2.9000000000000001E-2</v>
      </c>
      <c r="L8" s="61">
        <v>3.1E-2</v>
      </c>
      <c r="M8" s="61">
        <v>2.1000000000000001E-2</v>
      </c>
      <c r="N8" s="61">
        <v>1.7999999999999999E-2</v>
      </c>
      <c r="O8" s="61">
        <v>0.01</v>
      </c>
      <c r="P8" s="47">
        <v>0.02</v>
      </c>
      <c r="Q8" s="47">
        <v>0.02</v>
      </c>
      <c r="R8" s="47">
        <v>0.02</v>
      </c>
      <c r="S8" s="47">
        <v>0.02</v>
      </c>
    </row>
    <row r="9" spans="2:21" ht="13.95" customHeight="1" x14ac:dyDescent="0.3">
      <c r="B9" s="8" t="s">
        <v>96</v>
      </c>
      <c r="C9" s="61">
        <v>0.1067</v>
      </c>
      <c r="D9" s="61">
        <v>6.2899999999999998E-2</v>
      </c>
      <c r="E9" s="61">
        <v>2.9499999999999998E-2</v>
      </c>
      <c r="F9" s="61">
        <v>3.7499999999999999E-2</v>
      </c>
      <c r="G9" s="61">
        <v>4.3099999999999999E-2</v>
      </c>
      <c r="H9" s="61">
        <v>4.4999999999999998E-2</v>
      </c>
      <c r="I9" s="61">
        <v>0.10100000000000001</v>
      </c>
      <c r="J9" s="61">
        <v>5.8000000000000003E-2</v>
      </c>
      <c r="K9" s="61">
        <v>4.5999999999999999E-2</v>
      </c>
      <c r="L9" s="61">
        <v>4.5999999999999999E-2</v>
      </c>
      <c r="M9" s="61">
        <v>4.4999999999999998E-2</v>
      </c>
      <c r="N9" s="61">
        <v>3.7999999999999999E-2</v>
      </c>
      <c r="O9" s="61">
        <v>0.04</v>
      </c>
      <c r="P9" s="47">
        <v>0.04</v>
      </c>
      <c r="Q9" s="47">
        <v>0.04</v>
      </c>
      <c r="R9" s="47">
        <v>0.04</v>
      </c>
      <c r="S9" s="47">
        <v>0.04</v>
      </c>
    </row>
    <row r="10" spans="2:21" ht="13.95" customHeight="1" x14ac:dyDescent="0.3">
      <c r="B10" s="8" t="s">
        <v>97</v>
      </c>
      <c r="C10" s="62">
        <f t="shared" ref="C10:S10" si="0">(1+C8)*(1+C9)-1</f>
        <v>0.10670000000000002</v>
      </c>
      <c r="D10" s="62">
        <f t="shared" si="0"/>
        <v>6.2899999999999956E-2</v>
      </c>
      <c r="E10" s="62">
        <f t="shared" si="0"/>
        <v>2.9500000000000082E-2</v>
      </c>
      <c r="F10" s="62">
        <f t="shared" si="0"/>
        <v>3.7500000000000089E-2</v>
      </c>
      <c r="G10" s="62">
        <f t="shared" si="0"/>
        <v>4.3099999999999916E-2</v>
      </c>
      <c r="H10" s="62">
        <f t="shared" si="0"/>
        <v>4.4999999999999929E-2</v>
      </c>
      <c r="I10" s="62">
        <f t="shared" si="0"/>
        <v>0.10099999999999998</v>
      </c>
      <c r="J10" s="62">
        <f t="shared" si="0"/>
        <v>8.8681999999999928E-2</v>
      </c>
      <c r="K10" s="62">
        <f t="shared" si="0"/>
        <v>7.6333999999999902E-2</v>
      </c>
      <c r="L10" s="62">
        <f t="shared" si="0"/>
        <v>7.8425999999999885E-2</v>
      </c>
      <c r="M10" s="62">
        <f t="shared" si="0"/>
        <v>6.694499999999981E-2</v>
      </c>
      <c r="N10" s="62">
        <f t="shared" si="0"/>
        <v>5.6683999999999957E-2</v>
      </c>
      <c r="O10" s="62">
        <f t="shared" si="0"/>
        <v>5.04E-2</v>
      </c>
      <c r="P10" s="62">
        <f t="shared" si="0"/>
        <v>6.0799999999999965E-2</v>
      </c>
      <c r="Q10" s="62">
        <f t="shared" si="0"/>
        <v>6.0799999999999965E-2</v>
      </c>
      <c r="R10" s="62">
        <f t="shared" si="0"/>
        <v>6.0799999999999965E-2</v>
      </c>
      <c r="S10" s="62">
        <f t="shared" si="0"/>
        <v>6.0799999999999965E-2</v>
      </c>
      <c r="U10" s="14" t="s">
        <v>98</v>
      </c>
    </row>
    <row r="11" spans="2:21" ht="13.95" customHeight="1" x14ac:dyDescent="0.3">
      <c r="B11" s="8" t="s">
        <v>99</v>
      </c>
      <c r="D11" s="62">
        <f t="shared" ref="D11:O11" si="1">D13/C13-1</f>
        <v>3.1809353389988138E-2</v>
      </c>
      <c r="E11" s="62">
        <f t="shared" si="1"/>
        <v>1.4830488883974091E-2</v>
      </c>
      <c r="F11" s="62">
        <f t="shared" si="1"/>
        <v>0.16663412511575504</v>
      </c>
      <c r="G11" s="62">
        <f t="shared" si="1"/>
        <v>0.12933977594318002</v>
      </c>
      <c r="H11" s="62">
        <f t="shared" si="1"/>
        <v>8.1369435426573933E-2</v>
      </c>
      <c r="I11" s="62">
        <f t="shared" si="1"/>
        <v>0.33636271799914441</v>
      </c>
      <c r="J11" s="62">
        <f t="shared" si="1"/>
        <v>0.20564508252759062</v>
      </c>
      <c r="K11" s="62">
        <f t="shared" si="1"/>
        <v>5.8209824538664634E-2</v>
      </c>
      <c r="L11" s="62">
        <f t="shared" si="1"/>
        <v>5.7675326606996036E-2</v>
      </c>
      <c r="M11" s="62">
        <f t="shared" si="1"/>
        <v>8.6663868100690378E-2</v>
      </c>
      <c r="N11" s="62">
        <f t="shared" si="1"/>
        <v>5.8485413613960313E-2</v>
      </c>
      <c r="O11" s="62">
        <f t="shared" si="1"/>
        <v>3.0505722969274007E-2</v>
      </c>
      <c r="P11" s="62">
        <f>P10*P12</f>
        <v>6.0799999999999965E-2</v>
      </c>
      <c r="Q11" s="62">
        <f>Q10*Q12</f>
        <v>6.0799999999999965E-2</v>
      </c>
      <c r="R11" s="62">
        <f>R10*R12</f>
        <v>6.0799999999999965E-2</v>
      </c>
      <c r="S11" s="62">
        <f>S10*S12</f>
        <v>6.0799999999999965E-2</v>
      </c>
      <c r="U11" s="14" t="s">
        <v>100</v>
      </c>
    </row>
    <row r="12" spans="2:21" ht="13.95" customHeight="1" x14ac:dyDescent="0.3">
      <c r="B12" s="8" t="s">
        <v>101</v>
      </c>
      <c r="D12" s="63">
        <f t="shared" ref="D12:O12" si="2">D11/D10</f>
        <v>0.50571309046086099</v>
      </c>
      <c r="E12" s="63">
        <f t="shared" si="2"/>
        <v>0.5027284367448831</v>
      </c>
      <c r="F12" s="63">
        <f t="shared" si="2"/>
        <v>4.4435766697534573</v>
      </c>
      <c r="G12" s="63">
        <f t="shared" si="2"/>
        <v>3.0009228757118391</v>
      </c>
      <c r="H12" s="63">
        <f t="shared" si="2"/>
        <v>1.8082096761460902</v>
      </c>
      <c r="I12" s="63">
        <f t="shared" si="2"/>
        <v>3.3303239405855889</v>
      </c>
      <c r="J12" s="63">
        <f t="shared" si="2"/>
        <v>2.3189044284927132</v>
      </c>
      <c r="K12" s="63">
        <f t="shared" si="2"/>
        <v>0.76256746061603886</v>
      </c>
      <c r="L12" s="63">
        <f t="shared" si="2"/>
        <v>0.73541078987830721</v>
      </c>
      <c r="M12" s="63">
        <f t="shared" si="2"/>
        <v>1.2945532616429998</v>
      </c>
      <c r="N12" s="63">
        <f t="shared" si="2"/>
        <v>1.0317799310909668</v>
      </c>
      <c r="O12" s="63">
        <f t="shared" si="2"/>
        <v>0.60527228113638898</v>
      </c>
      <c r="P12" s="64">
        <v>1</v>
      </c>
      <c r="Q12" s="64">
        <v>1</v>
      </c>
      <c r="R12" s="64">
        <v>1</v>
      </c>
      <c r="S12" s="64">
        <v>1</v>
      </c>
    </row>
    <row r="13" spans="2:21" ht="13.95" customHeight="1" x14ac:dyDescent="0.3">
      <c r="B13" s="5" t="s">
        <v>102</v>
      </c>
      <c r="C13" s="37">
        <v>51357.85</v>
      </c>
      <c r="D13" s="37">
        <v>52991.51</v>
      </c>
      <c r="E13" s="37">
        <v>53777.4</v>
      </c>
      <c r="F13" s="37">
        <v>62738.55</v>
      </c>
      <c r="G13" s="37">
        <v>70853.14</v>
      </c>
      <c r="H13" s="37">
        <v>76618.42</v>
      </c>
      <c r="I13" s="37">
        <v>102390</v>
      </c>
      <c r="J13" s="37">
        <v>123446</v>
      </c>
      <c r="K13" s="37">
        <v>130631.77</v>
      </c>
      <c r="L13" s="37">
        <v>138166</v>
      </c>
      <c r="M13" s="37">
        <v>150140</v>
      </c>
      <c r="N13" s="37">
        <v>158921</v>
      </c>
      <c r="O13" s="37">
        <v>163769</v>
      </c>
      <c r="P13" s="54">
        <f>O13*(1+P11)</f>
        <v>173726.15520000001</v>
      </c>
      <c r="Q13" s="54">
        <f>P13*(1+Q11)</f>
        <v>184288.70543616</v>
      </c>
      <c r="R13" s="54">
        <f>Q13*(1+R11)</f>
        <v>195493.45872667854</v>
      </c>
      <c r="S13" s="54">
        <f>R13*(1+S11)</f>
        <v>207379.46101726059</v>
      </c>
      <c r="U13" s="14" t="s">
        <v>103</v>
      </c>
    </row>
    <row r="14" spans="2:21" ht="13.95" customHeight="1" x14ac:dyDescent="0.3">
      <c r="B14" s="8" t="s">
        <v>104</v>
      </c>
      <c r="C14" s="65">
        <f t="shared" ref="C14:S14" si="3">C13*(C15-1)</f>
        <v>-38374.585520000001</v>
      </c>
      <c r="D14" s="65">
        <f t="shared" si="3"/>
        <v>-39865.512972999997</v>
      </c>
      <c r="E14" s="65">
        <f t="shared" si="3"/>
        <v>-38940.215340000002</v>
      </c>
      <c r="F14" s="65">
        <f t="shared" si="3"/>
        <v>-44801.598554999997</v>
      </c>
      <c r="G14" s="65">
        <f t="shared" si="3"/>
        <v>-50192.36437599999</v>
      </c>
      <c r="H14" s="65">
        <f t="shared" si="3"/>
        <v>-53939.367679999996</v>
      </c>
      <c r="I14" s="65">
        <f t="shared" si="3"/>
        <v>-65529.599999999999</v>
      </c>
      <c r="J14" s="65">
        <f t="shared" si="3"/>
        <v>-82708.819999999992</v>
      </c>
      <c r="K14" s="65">
        <f t="shared" si="3"/>
        <v>-94616.591010999997</v>
      </c>
      <c r="L14" s="65">
        <f t="shared" si="3"/>
        <v>-103431.06759999999</v>
      </c>
      <c r="M14" s="65">
        <f t="shared" si="3"/>
        <v>-109046.68199999999</v>
      </c>
      <c r="N14" s="65">
        <f t="shared" si="3"/>
        <v>-97259.652000000002</v>
      </c>
      <c r="O14" s="65">
        <f t="shared" si="3"/>
        <v>-101094.60369999999</v>
      </c>
      <c r="P14" s="65">
        <f t="shared" si="3"/>
        <v>-111584.30948496</v>
      </c>
      <c r="Q14" s="65">
        <f t="shared" si="3"/>
        <v>-118368.63550164556</v>
      </c>
      <c r="R14" s="65">
        <f t="shared" si="3"/>
        <v>-125565.44854014562</v>
      </c>
      <c r="S14" s="65">
        <f t="shared" si="3"/>
        <v>-133199.82781138647</v>
      </c>
      <c r="U14" s="14" t="s">
        <v>105</v>
      </c>
    </row>
    <row r="15" spans="2:21" ht="13.95" customHeight="1" x14ac:dyDescent="0.3">
      <c r="B15" s="8" t="s">
        <v>106</v>
      </c>
      <c r="C15" s="61">
        <v>0.25280000000000002</v>
      </c>
      <c r="D15" s="61">
        <v>0.2477</v>
      </c>
      <c r="E15" s="61">
        <v>0.27589999999999998</v>
      </c>
      <c r="F15" s="61">
        <v>0.28589999999999999</v>
      </c>
      <c r="G15" s="61">
        <v>0.29160000000000003</v>
      </c>
      <c r="H15" s="61">
        <v>0.29599999999999999</v>
      </c>
      <c r="I15" s="61">
        <v>0.36</v>
      </c>
      <c r="J15" s="61">
        <v>0.33</v>
      </c>
      <c r="K15" s="61">
        <v>0.2757</v>
      </c>
      <c r="L15" s="61">
        <v>0.25140000000000001</v>
      </c>
      <c r="M15" s="61">
        <v>0.2737</v>
      </c>
      <c r="N15" s="61">
        <v>0.38800000000000001</v>
      </c>
      <c r="O15" s="61">
        <v>0.38269999999999998</v>
      </c>
      <c r="P15" s="61">
        <v>0.35770000000000002</v>
      </c>
      <c r="Q15" s="62">
        <f>P15</f>
        <v>0.35770000000000002</v>
      </c>
      <c r="R15" s="62">
        <f>Q15</f>
        <v>0.35770000000000002</v>
      </c>
      <c r="S15" s="62">
        <f>R15</f>
        <v>0.35770000000000002</v>
      </c>
      <c r="U15" s="14" t="s">
        <v>107</v>
      </c>
    </row>
    <row r="16" spans="2:21" ht="13.95" customHeight="1" x14ac:dyDescent="0.3">
      <c r="B16" s="8" t="s">
        <v>108</v>
      </c>
      <c r="C16" s="65">
        <f t="shared" ref="C16:S16" si="4">C13+C14</f>
        <v>12983.264479999998</v>
      </c>
      <c r="D16" s="65">
        <f t="shared" si="4"/>
        <v>13125.997027000005</v>
      </c>
      <c r="E16" s="65">
        <f t="shared" si="4"/>
        <v>14837.184659999999</v>
      </c>
      <c r="F16" s="65">
        <f t="shared" si="4"/>
        <v>17936.951445000006</v>
      </c>
      <c r="G16" s="65">
        <f t="shared" si="4"/>
        <v>20660.775624000009</v>
      </c>
      <c r="H16" s="65">
        <f t="shared" si="4"/>
        <v>22679.052320000003</v>
      </c>
      <c r="I16" s="65">
        <f t="shared" si="4"/>
        <v>36860.400000000001</v>
      </c>
      <c r="J16" s="65">
        <f t="shared" si="4"/>
        <v>40737.180000000008</v>
      </c>
      <c r="K16" s="65">
        <f t="shared" si="4"/>
        <v>36015.178989000007</v>
      </c>
      <c r="L16" s="65">
        <f t="shared" si="4"/>
        <v>34734.932400000005</v>
      </c>
      <c r="M16" s="65">
        <f t="shared" si="4"/>
        <v>41093.318000000014</v>
      </c>
      <c r="N16" s="65">
        <f t="shared" si="4"/>
        <v>61661.347999999998</v>
      </c>
      <c r="O16" s="65">
        <f t="shared" si="4"/>
        <v>62674.396300000008</v>
      </c>
      <c r="P16" s="65">
        <f t="shared" si="4"/>
        <v>62141.845715040006</v>
      </c>
      <c r="Q16" s="65">
        <f t="shared" si="4"/>
        <v>65920.069934514439</v>
      </c>
      <c r="R16" s="65">
        <f t="shared" si="4"/>
        <v>69928.01018653292</v>
      </c>
      <c r="S16" s="65">
        <f t="shared" si="4"/>
        <v>74179.633205874125</v>
      </c>
    </row>
    <row r="17" spans="2:21" ht="13.95" customHeight="1" x14ac:dyDescent="0.3">
      <c r="B17" s="8" t="s">
        <v>109</v>
      </c>
      <c r="C17" s="65">
        <f t="shared" ref="C17:P17" si="5">C19-C16</f>
        <v>-11461.954479999999</v>
      </c>
      <c r="D17" s="65">
        <f t="shared" si="5"/>
        <v>-6806.4370270000045</v>
      </c>
      <c r="E17" s="65">
        <f t="shared" si="5"/>
        <v>-7556.5446599999987</v>
      </c>
      <c r="F17" s="65">
        <f t="shared" si="5"/>
        <v>-8126.6114450000059</v>
      </c>
      <c r="G17" s="65">
        <f t="shared" si="5"/>
        <v>-11860.075624000008</v>
      </c>
      <c r="H17" s="65">
        <f t="shared" si="5"/>
        <v>-11988.992320000003</v>
      </c>
      <c r="I17" s="65">
        <f t="shared" si="5"/>
        <v>-13266.400000000001</v>
      </c>
      <c r="J17" s="65">
        <f t="shared" si="5"/>
        <v>-14963.670000000009</v>
      </c>
      <c r="K17" s="65">
        <f t="shared" si="5"/>
        <v>-14690.838989000007</v>
      </c>
      <c r="L17" s="65">
        <f t="shared" si="5"/>
        <v>-9443.6324000000059</v>
      </c>
      <c r="M17" s="65">
        <f t="shared" si="5"/>
        <v>-20247.318000000014</v>
      </c>
      <c r="N17" s="65">
        <f t="shared" si="5"/>
        <v>-28581.347999999998</v>
      </c>
      <c r="O17" s="65">
        <f t="shared" si="5"/>
        <v>-27791.396300000008</v>
      </c>
      <c r="P17" s="65">
        <f t="shared" si="5"/>
        <v>-24819.835715040004</v>
      </c>
      <c r="Q17" s="65">
        <f>Q13*Q18</f>
        <v>-26328.881726514435</v>
      </c>
      <c r="R17" s="65">
        <f>R13*R18</f>
        <v>-27929.677735486515</v>
      </c>
      <c r="S17" s="65">
        <f>S13*S18</f>
        <v>-29627.802141804095</v>
      </c>
      <c r="U17" s="14" t="s">
        <v>110</v>
      </c>
    </row>
    <row r="18" spans="2:21" ht="13.95" customHeight="1" x14ac:dyDescent="0.3">
      <c r="B18" s="8" t="s">
        <v>111</v>
      </c>
      <c r="C18" s="62">
        <f t="shared" ref="C18:P18" si="6">C17/C13</f>
        <v>-0.22317823818559382</v>
      </c>
      <c r="D18" s="62">
        <f t="shared" si="6"/>
        <v>-0.12844391539323949</v>
      </c>
      <c r="E18" s="62">
        <f t="shared" si="6"/>
        <v>-0.14051524729719173</v>
      </c>
      <c r="F18" s="62">
        <f t="shared" si="6"/>
        <v>-0.12953138771935285</v>
      </c>
      <c r="G18" s="62">
        <f t="shared" si="6"/>
        <v>-0.16738955569223901</v>
      </c>
      <c r="H18" s="62">
        <f t="shared" si="6"/>
        <v>-0.15647663212057888</v>
      </c>
      <c r="I18" s="62">
        <f t="shared" si="6"/>
        <v>-0.12956734056060162</v>
      </c>
      <c r="J18" s="62">
        <f t="shared" si="6"/>
        <v>-0.12121632130648226</v>
      </c>
      <c r="K18" s="62">
        <f t="shared" si="6"/>
        <v>-0.11245992448085183</v>
      </c>
      <c r="L18" s="62">
        <f t="shared" si="6"/>
        <v>-6.8349900843912431E-2</v>
      </c>
      <c r="M18" s="62">
        <f t="shared" si="6"/>
        <v>-0.13485625416278149</v>
      </c>
      <c r="N18" s="62">
        <f t="shared" si="6"/>
        <v>-0.1798462632377093</v>
      </c>
      <c r="O18" s="62">
        <f t="shared" si="6"/>
        <v>-0.16969876044916932</v>
      </c>
      <c r="P18" s="62">
        <f t="shared" si="6"/>
        <v>-0.14286758195083801</v>
      </c>
      <c r="Q18" s="62">
        <f>P18</f>
        <v>-0.14286758195083801</v>
      </c>
      <c r="R18" s="62">
        <f>Q18</f>
        <v>-0.14286758195083801</v>
      </c>
      <c r="S18" s="62">
        <f>R18</f>
        <v>-0.14286758195083801</v>
      </c>
      <c r="U18" s="14" t="s">
        <v>112</v>
      </c>
    </row>
    <row r="19" spans="2:21" ht="13.95" customHeight="1" x14ac:dyDescent="0.3">
      <c r="B19" s="5" t="s">
        <v>113</v>
      </c>
      <c r="C19" s="37">
        <v>1521.31</v>
      </c>
      <c r="D19" s="37">
        <v>6319.56</v>
      </c>
      <c r="E19" s="37">
        <v>7280.64</v>
      </c>
      <c r="F19" s="37">
        <v>9810.34</v>
      </c>
      <c r="G19" s="37">
        <v>8800.7000000000007</v>
      </c>
      <c r="H19" s="37">
        <v>10690.06</v>
      </c>
      <c r="I19" s="37">
        <v>23594</v>
      </c>
      <c r="J19" s="37">
        <v>25773.51</v>
      </c>
      <c r="K19" s="37">
        <v>21324.34</v>
      </c>
      <c r="L19" s="37">
        <v>25291.3</v>
      </c>
      <c r="M19" s="37">
        <v>20846</v>
      </c>
      <c r="N19" s="37">
        <v>33080</v>
      </c>
      <c r="O19" s="37">
        <v>34883</v>
      </c>
      <c r="P19" s="37">
        <v>37322.01</v>
      </c>
      <c r="Q19" s="54">
        <f>Q16+Q17</f>
        <v>39591.188208000007</v>
      </c>
      <c r="R19" s="54">
        <f>R16+R17</f>
        <v>41998.332451046401</v>
      </c>
      <c r="S19" s="54">
        <f>S16+S17</f>
        <v>44551.831064070029</v>
      </c>
      <c r="U19" s="14" t="s">
        <v>114</v>
      </c>
    </row>
    <row r="20" spans="2:21" ht="13.95" customHeight="1" x14ac:dyDescent="0.3">
      <c r="B20" s="8" t="s">
        <v>115</v>
      </c>
      <c r="C20" s="62">
        <f t="shared" ref="C20:S20" si="7">C19/C13</f>
        <v>2.9621761814406171E-2</v>
      </c>
      <c r="D20" s="62">
        <f t="shared" si="7"/>
        <v>0.1192560846067606</v>
      </c>
      <c r="E20" s="62">
        <f t="shared" si="7"/>
        <v>0.13538475270280825</v>
      </c>
      <c r="F20" s="62">
        <f t="shared" si="7"/>
        <v>0.15636861228064722</v>
      </c>
      <c r="G20" s="62">
        <f t="shared" si="7"/>
        <v>0.12421044430776111</v>
      </c>
      <c r="H20" s="62">
        <f t="shared" si="7"/>
        <v>0.13952336787942116</v>
      </c>
      <c r="I20" s="62">
        <f t="shared" si="7"/>
        <v>0.23043265943939839</v>
      </c>
      <c r="J20" s="62">
        <f t="shared" si="7"/>
        <v>0.2087836786935178</v>
      </c>
      <c r="K20" s="62">
        <f t="shared" si="7"/>
        <v>0.16324007551914821</v>
      </c>
      <c r="L20" s="62">
        <f t="shared" si="7"/>
        <v>0.18305009915608761</v>
      </c>
      <c r="M20" s="62">
        <f t="shared" si="7"/>
        <v>0.13884374583721859</v>
      </c>
      <c r="N20" s="62">
        <f t="shared" si="7"/>
        <v>0.20815373676229071</v>
      </c>
      <c r="O20" s="62">
        <f t="shared" si="7"/>
        <v>0.21300123955083075</v>
      </c>
      <c r="P20" s="62">
        <f t="shared" si="7"/>
        <v>0.21483241804916201</v>
      </c>
      <c r="Q20" s="62">
        <f t="shared" si="7"/>
        <v>0.21483241804916203</v>
      </c>
      <c r="R20" s="62">
        <f t="shared" si="7"/>
        <v>0.21483241804916201</v>
      </c>
      <c r="S20" s="62">
        <f t="shared" si="7"/>
        <v>0.21483241804916203</v>
      </c>
    </row>
    <row r="21" spans="2:21" ht="13.95" customHeight="1" x14ac:dyDescent="0.3">
      <c r="B21" s="5" t="s">
        <v>116</v>
      </c>
      <c r="C21" s="37">
        <v>11322.26</v>
      </c>
      <c r="D21" s="37">
        <v>11803.92</v>
      </c>
      <c r="E21" s="37">
        <v>13642.8</v>
      </c>
      <c r="F21" s="37">
        <v>17850.25</v>
      </c>
      <c r="G21" s="37">
        <v>18979.349999999999</v>
      </c>
      <c r="H21" s="37">
        <v>19022.66</v>
      </c>
      <c r="I21" s="37">
        <v>31545</v>
      </c>
      <c r="J21" s="37">
        <v>36387.17</v>
      </c>
      <c r="K21" s="37">
        <v>32032.37</v>
      </c>
      <c r="L21" s="37">
        <v>37339</v>
      </c>
      <c r="M21" s="37">
        <v>33801</v>
      </c>
      <c r="N21" s="37">
        <v>49324</v>
      </c>
      <c r="O21" s="37">
        <v>50717</v>
      </c>
      <c r="P21" s="37">
        <v>51996.99</v>
      </c>
      <c r="Q21" s="54">
        <f>Q13*Q22</f>
        <v>55286.611630847998</v>
      </c>
      <c r="R21" s="54">
        <f>R13*R22</f>
        <v>58648.03761800356</v>
      </c>
      <c r="S21" s="54">
        <f>S13*S22</f>
        <v>62213.838305178171</v>
      </c>
      <c r="U21" s="14" t="s">
        <v>117</v>
      </c>
    </row>
    <row r="22" spans="2:21" ht="13.95" customHeight="1" x14ac:dyDescent="0.3">
      <c r="B22" s="8" t="s">
        <v>118</v>
      </c>
      <c r="C22" s="62">
        <f t="shared" ref="C22:P22" si="8">C21/C13</f>
        <v>0.22045821622205758</v>
      </c>
      <c r="D22" s="62">
        <f t="shared" si="8"/>
        <v>0.2227511539112586</v>
      </c>
      <c r="E22" s="62">
        <f t="shared" si="8"/>
        <v>0.25369021187338919</v>
      </c>
      <c r="F22" s="62">
        <f t="shared" si="8"/>
        <v>0.28451805150103088</v>
      </c>
      <c r="G22" s="62">
        <f t="shared" si="8"/>
        <v>0.2678688622691951</v>
      </c>
      <c r="H22" s="62">
        <f t="shared" si="8"/>
        <v>0.24827789453241139</v>
      </c>
      <c r="I22" s="62">
        <f t="shared" si="8"/>
        <v>0.30808672721945501</v>
      </c>
      <c r="J22" s="62">
        <f t="shared" si="8"/>
        <v>0.29476183918474474</v>
      </c>
      <c r="K22" s="62">
        <f t="shared" si="8"/>
        <v>0.24521117642362189</v>
      </c>
      <c r="L22" s="62">
        <f t="shared" si="8"/>
        <v>0.27024738358206796</v>
      </c>
      <c r="M22" s="62">
        <f t="shared" si="8"/>
        <v>0.2251298787798055</v>
      </c>
      <c r="N22" s="62">
        <f t="shared" si="8"/>
        <v>0.31036804450009753</v>
      </c>
      <c r="O22" s="62">
        <f t="shared" si="8"/>
        <v>0.30968620434880839</v>
      </c>
      <c r="P22" s="62">
        <f t="shared" si="8"/>
        <v>0.29930432720472705</v>
      </c>
      <c r="Q22" s="47">
        <v>0.3</v>
      </c>
      <c r="R22" s="47">
        <v>0.3</v>
      </c>
      <c r="S22" s="47">
        <v>0.3</v>
      </c>
      <c r="U22" s="14" t="s">
        <v>119</v>
      </c>
    </row>
    <row r="23" spans="2:21" ht="13.95" customHeight="1" x14ac:dyDescent="0.3">
      <c r="B23" s="8" t="s">
        <v>120</v>
      </c>
      <c r="C23" s="65">
        <f t="shared" ref="C23:S23" si="9">C21-C19</f>
        <v>9800.9500000000007</v>
      </c>
      <c r="D23" s="65">
        <f t="shared" si="9"/>
        <v>5484.36</v>
      </c>
      <c r="E23" s="65">
        <f t="shared" si="9"/>
        <v>6362.1599999999989</v>
      </c>
      <c r="F23" s="65">
        <f t="shared" si="9"/>
        <v>8039.91</v>
      </c>
      <c r="G23" s="65">
        <f t="shared" si="9"/>
        <v>10178.649999999998</v>
      </c>
      <c r="H23" s="65">
        <f t="shared" si="9"/>
        <v>8332.6</v>
      </c>
      <c r="I23" s="65">
        <f t="shared" si="9"/>
        <v>7951</v>
      </c>
      <c r="J23" s="65">
        <f t="shared" si="9"/>
        <v>10613.66</v>
      </c>
      <c r="K23" s="65">
        <f t="shared" si="9"/>
        <v>10708.029999999999</v>
      </c>
      <c r="L23" s="65">
        <f t="shared" si="9"/>
        <v>12047.7</v>
      </c>
      <c r="M23" s="65">
        <f t="shared" si="9"/>
        <v>12955</v>
      </c>
      <c r="N23" s="65">
        <f t="shared" si="9"/>
        <v>16244</v>
      </c>
      <c r="O23" s="65">
        <f t="shared" si="9"/>
        <v>15834</v>
      </c>
      <c r="P23" s="65">
        <f t="shared" si="9"/>
        <v>14674.979999999996</v>
      </c>
      <c r="Q23" s="65">
        <f t="shared" si="9"/>
        <v>15695.423422847991</v>
      </c>
      <c r="R23" s="65">
        <f t="shared" si="9"/>
        <v>16649.705166957159</v>
      </c>
      <c r="S23" s="65">
        <f t="shared" si="9"/>
        <v>17662.007241108142</v>
      </c>
      <c r="U23" s="14" t="s">
        <v>121</v>
      </c>
    </row>
    <row r="24" spans="2:21" ht="13.95" customHeight="1" x14ac:dyDescent="0.3">
      <c r="B24" s="8" t="s">
        <v>122</v>
      </c>
      <c r="C24" s="62">
        <f t="shared" ref="C24:S24" si="10">C23/C13</f>
        <v>0.19083645440765143</v>
      </c>
      <c r="D24" s="62">
        <f t="shared" si="10"/>
        <v>0.10349506930449802</v>
      </c>
      <c r="E24" s="62">
        <f t="shared" si="10"/>
        <v>0.11830545917058093</v>
      </c>
      <c r="F24" s="62">
        <f t="shared" si="10"/>
        <v>0.12814943922038363</v>
      </c>
      <c r="G24" s="62">
        <f t="shared" si="10"/>
        <v>0.143658417961434</v>
      </c>
      <c r="H24" s="62">
        <f t="shared" si="10"/>
        <v>0.10875452665299024</v>
      </c>
      <c r="I24" s="62">
        <f t="shared" si="10"/>
        <v>7.7654067780056651E-2</v>
      </c>
      <c r="J24" s="62">
        <f t="shared" si="10"/>
        <v>8.5978160491226932E-2</v>
      </c>
      <c r="K24" s="62">
        <f t="shared" si="10"/>
        <v>8.1971100904473682E-2</v>
      </c>
      <c r="L24" s="62">
        <f t="shared" si="10"/>
        <v>8.7197284425980348E-2</v>
      </c>
      <c r="M24" s="62">
        <f t="shared" si="10"/>
        <v>8.6286132942586913E-2</v>
      </c>
      <c r="N24" s="62">
        <f t="shared" si="10"/>
        <v>0.10221430773780683</v>
      </c>
      <c r="O24" s="62">
        <f t="shared" si="10"/>
        <v>9.6684964797977641E-2</v>
      </c>
      <c r="P24" s="62">
        <f t="shared" si="10"/>
        <v>8.4471909155565059E-2</v>
      </c>
      <c r="Q24" s="62">
        <f t="shared" si="10"/>
        <v>8.5167581950837942E-2</v>
      </c>
      <c r="R24" s="62">
        <f t="shared" si="10"/>
        <v>8.5167581950837998E-2</v>
      </c>
      <c r="S24" s="62">
        <f t="shared" si="10"/>
        <v>8.5167581950837928E-2</v>
      </c>
    </row>
    <row r="25" spans="2:21" ht="13.95" customHeight="1" x14ac:dyDescent="0.3">
      <c r="B25" s="8" t="s">
        <v>123</v>
      </c>
      <c r="C25" s="61">
        <v>-0.25</v>
      </c>
      <c r="D25" s="62">
        <f t="shared" ref="D25:K25" si="11">C25</f>
        <v>-0.25</v>
      </c>
      <c r="E25" s="62">
        <f t="shared" si="11"/>
        <v>-0.25</v>
      </c>
      <c r="F25" s="62">
        <f t="shared" si="11"/>
        <v>-0.25</v>
      </c>
      <c r="G25" s="62">
        <f t="shared" si="11"/>
        <v>-0.25</v>
      </c>
      <c r="H25" s="62">
        <f t="shared" si="11"/>
        <v>-0.25</v>
      </c>
      <c r="I25" s="62">
        <f t="shared" si="11"/>
        <v>-0.25</v>
      </c>
      <c r="J25" s="62">
        <f t="shared" si="11"/>
        <v>-0.25</v>
      </c>
      <c r="K25" s="62">
        <f t="shared" si="11"/>
        <v>-0.25</v>
      </c>
      <c r="L25" s="61">
        <v>-0.24</v>
      </c>
      <c r="M25" s="62">
        <f t="shared" ref="M25:S25" si="12">L25</f>
        <v>-0.24</v>
      </c>
      <c r="N25" s="62">
        <f t="shared" si="12"/>
        <v>-0.24</v>
      </c>
      <c r="O25" s="62">
        <f t="shared" si="12"/>
        <v>-0.24</v>
      </c>
      <c r="P25" s="62">
        <f t="shared" si="12"/>
        <v>-0.24</v>
      </c>
      <c r="Q25" s="62">
        <f t="shared" si="12"/>
        <v>-0.24</v>
      </c>
      <c r="R25" s="62">
        <f t="shared" si="12"/>
        <v>-0.24</v>
      </c>
      <c r="S25" s="62">
        <f t="shared" si="12"/>
        <v>-0.24</v>
      </c>
      <c r="U25" s="14" t="s">
        <v>124</v>
      </c>
    </row>
    <row r="26" spans="2:21" ht="13.95" customHeight="1" x14ac:dyDescent="0.3">
      <c r="B26" s="8" t="s">
        <v>125</v>
      </c>
      <c r="C26" s="65">
        <f t="shared" ref="C26:S26" si="13">C19*(1+C25)</f>
        <v>1140.9825000000001</v>
      </c>
      <c r="D26" s="65">
        <f t="shared" si="13"/>
        <v>4739.67</v>
      </c>
      <c r="E26" s="65">
        <f t="shared" si="13"/>
        <v>5460.4800000000005</v>
      </c>
      <c r="F26" s="65">
        <f t="shared" si="13"/>
        <v>7357.7550000000001</v>
      </c>
      <c r="G26" s="65">
        <f t="shared" si="13"/>
        <v>6600.5250000000005</v>
      </c>
      <c r="H26" s="65">
        <f t="shared" si="13"/>
        <v>8017.5450000000001</v>
      </c>
      <c r="I26" s="65">
        <f t="shared" si="13"/>
        <v>17695.5</v>
      </c>
      <c r="J26" s="65">
        <f t="shared" si="13"/>
        <v>19330.1325</v>
      </c>
      <c r="K26" s="65">
        <f t="shared" si="13"/>
        <v>15993.255000000001</v>
      </c>
      <c r="L26" s="65">
        <f t="shared" si="13"/>
        <v>19221.387999999999</v>
      </c>
      <c r="M26" s="65">
        <f t="shared" si="13"/>
        <v>15842.960000000001</v>
      </c>
      <c r="N26" s="65">
        <f t="shared" si="13"/>
        <v>25140.799999999999</v>
      </c>
      <c r="O26" s="65">
        <f t="shared" si="13"/>
        <v>26511.08</v>
      </c>
      <c r="P26" s="65">
        <f t="shared" si="13"/>
        <v>28364.727600000002</v>
      </c>
      <c r="Q26" s="65">
        <f t="shared" si="13"/>
        <v>30089.303038080005</v>
      </c>
      <c r="R26" s="65">
        <f t="shared" si="13"/>
        <v>31918.732662795264</v>
      </c>
      <c r="S26" s="65">
        <f t="shared" si="13"/>
        <v>33859.391608693222</v>
      </c>
      <c r="U26" s="14" t="s">
        <v>126</v>
      </c>
    </row>
    <row r="27" spans="2:21" ht="13.95" customHeight="1" x14ac:dyDescent="0.3">
      <c r="B27" s="8" t="s">
        <v>127</v>
      </c>
      <c r="C27" s="65">
        <f t="shared" ref="C27:P27" si="14">C29-C26</f>
        <v>-1992.7125000000001</v>
      </c>
      <c r="D27" s="65">
        <f t="shared" si="14"/>
        <v>-1693.5</v>
      </c>
      <c r="E27" s="65">
        <f t="shared" si="14"/>
        <v>-1553.3100000000004</v>
      </c>
      <c r="F27" s="65">
        <f t="shared" si="14"/>
        <v>-1433.3450000000003</v>
      </c>
      <c r="G27" s="65">
        <f t="shared" si="14"/>
        <v>-1239.1050000000005</v>
      </c>
      <c r="H27" s="65">
        <f t="shared" si="14"/>
        <v>-4140.5450000000001</v>
      </c>
      <c r="I27" s="65">
        <f t="shared" si="14"/>
        <v>-2007.5</v>
      </c>
      <c r="J27" s="65">
        <f t="shared" si="14"/>
        <v>-561.05249999999796</v>
      </c>
      <c r="K27" s="65">
        <f t="shared" si="14"/>
        <v>-2263.6850000000013</v>
      </c>
      <c r="L27" s="65">
        <f t="shared" si="14"/>
        <v>-4277.387999999999</v>
      </c>
      <c r="M27" s="65">
        <f t="shared" si="14"/>
        <v>-1953.9600000000009</v>
      </c>
      <c r="N27" s="65">
        <f t="shared" si="14"/>
        <v>-4182.7999999999993</v>
      </c>
      <c r="O27" s="65">
        <f t="shared" si="14"/>
        <v>-4845.0800000000017</v>
      </c>
      <c r="P27" s="65">
        <f t="shared" si="14"/>
        <v>-5187.727600000002</v>
      </c>
      <c r="Q27" s="65">
        <f>Q13*Q28</f>
        <v>-5503.1414380800024</v>
      </c>
      <c r="R27" s="65">
        <f>R13*R28</f>
        <v>-5837.7324375152666</v>
      </c>
      <c r="S27" s="65">
        <f>S13*S28</f>
        <v>-6192.6665697161943</v>
      </c>
      <c r="U27" s="14" t="s">
        <v>128</v>
      </c>
    </row>
    <row r="28" spans="2:21" ht="13.95" customHeight="1" x14ac:dyDescent="0.3">
      <c r="B28" s="8" t="s">
        <v>129</v>
      </c>
      <c r="C28" s="62">
        <f t="shared" ref="C28:P28" si="15">C27/C13</f>
        <v>-3.8800543636464534E-2</v>
      </c>
      <c r="D28" s="62">
        <f t="shared" si="15"/>
        <v>-3.1957949490399498E-2</v>
      </c>
      <c r="E28" s="62">
        <f t="shared" si="15"/>
        <v>-2.8884066540963312E-2</v>
      </c>
      <c r="F28" s="62">
        <f t="shared" si="15"/>
        <v>-2.2846320165193494E-2</v>
      </c>
      <c r="G28" s="62">
        <f t="shared" si="15"/>
        <v>-1.748835690274278E-2</v>
      </c>
      <c r="H28" s="62">
        <f t="shared" si="15"/>
        <v>-5.4041117005545147E-2</v>
      </c>
      <c r="I28" s="62">
        <f t="shared" si="15"/>
        <v>-1.9606406875671452E-2</v>
      </c>
      <c r="J28" s="62">
        <f t="shared" si="15"/>
        <v>-4.5449224762244052E-3</v>
      </c>
      <c r="K28" s="62">
        <f t="shared" si="15"/>
        <v>-1.7328747822983652E-2</v>
      </c>
      <c r="L28" s="62">
        <f t="shared" si="15"/>
        <v>-3.0958325492523479E-2</v>
      </c>
      <c r="M28" s="62">
        <f t="shared" si="15"/>
        <v>-1.301425336352738E-2</v>
      </c>
      <c r="N28" s="62">
        <f t="shared" si="15"/>
        <v>-2.6319995469447081E-2</v>
      </c>
      <c r="O28" s="62">
        <f t="shared" si="15"/>
        <v>-2.9584842064126923E-2</v>
      </c>
      <c r="P28" s="62">
        <f t="shared" si="15"/>
        <v>-2.9861523119692007E-2</v>
      </c>
      <c r="Q28" s="62">
        <f>P28</f>
        <v>-2.9861523119692007E-2</v>
      </c>
      <c r="R28" s="62">
        <f>Q28</f>
        <v>-2.9861523119692007E-2</v>
      </c>
      <c r="S28" s="62">
        <f>R28</f>
        <v>-2.9861523119692007E-2</v>
      </c>
      <c r="U28" s="14" t="s">
        <v>130</v>
      </c>
    </row>
    <row r="29" spans="2:21" ht="13.95" customHeight="1" x14ac:dyDescent="0.3">
      <c r="B29" s="5" t="s">
        <v>131</v>
      </c>
      <c r="C29" s="37">
        <v>-851.73</v>
      </c>
      <c r="D29" s="37">
        <v>3046.17</v>
      </c>
      <c r="E29" s="37">
        <v>3907.17</v>
      </c>
      <c r="F29" s="37">
        <v>5924.41</v>
      </c>
      <c r="G29" s="37">
        <v>5361.42</v>
      </c>
      <c r="H29" s="37">
        <v>3877</v>
      </c>
      <c r="I29" s="37">
        <v>15688</v>
      </c>
      <c r="J29" s="37">
        <v>18769.080000000002</v>
      </c>
      <c r="K29" s="37">
        <v>13729.57</v>
      </c>
      <c r="L29" s="37">
        <v>14944</v>
      </c>
      <c r="M29" s="37">
        <v>13889</v>
      </c>
      <c r="N29" s="37">
        <v>20958</v>
      </c>
      <c r="O29" s="37">
        <v>21666</v>
      </c>
      <c r="P29" s="37">
        <v>23177</v>
      </c>
      <c r="Q29" s="54">
        <f>Q26+Q27</f>
        <v>24586.161600000003</v>
      </c>
      <c r="R29" s="54">
        <f>R26+R27</f>
        <v>26081.000225279997</v>
      </c>
      <c r="S29" s="54">
        <f>S26+S27</f>
        <v>27666.725038977027</v>
      </c>
      <c r="U29" s="14" t="s">
        <v>132</v>
      </c>
    </row>
    <row r="30" spans="2:21" ht="13.95" customHeight="1" x14ac:dyDescent="0.3">
      <c r="B30" s="8" t="s">
        <v>133</v>
      </c>
      <c r="C30" s="62">
        <f t="shared" ref="C30:S30" si="16">C29/C13</f>
        <v>-1.6584222275659904E-2</v>
      </c>
      <c r="D30" s="62">
        <f t="shared" si="16"/>
        <v>5.7484113964670944E-2</v>
      </c>
      <c r="E30" s="62">
        <f t="shared" si="16"/>
        <v>7.2654497986142874E-2</v>
      </c>
      <c r="F30" s="62">
        <f t="shared" si="16"/>
        <v>9.4430139045291919E-2</v>
      </c>
      <c r="G30" s="62">
        <f t="shared" si="16"/>
        <v>7.566947632807805E-2</v>
      </c>
      <c r="H30" s="62">
        <f t="shared" si="16"/>
        <v>5.0601408904020734E-2</v>
      </c>
      <c r="I30" s="62">
        <f t="shared" si="16"/>
        <v>0.15321808770387732</v>
      </c>
      <c r="J30" s="62">
        <f t="shared" si="16"/>
        <v>0.15204283654391396</v>
      </c>
      <c r="K30" s="62">
        <f t="shared" si="16"/>
        <v>0.10510130881637751</v>
      </c>
      <c r="L30" s="62">
        <f t="shared" si="16"/>
        <v>0.10815974986610309</v>
      </c>
      <c r="M30" s="62">
        <f t="shared" si="16"/>
        <v>9.2506993472758758E-2</v>
      </c>
      <c r="N30" s="62">
        <f t="shared" si="16"/>
        <v>0.13187684446989384</v>
      </c>
      <c r="O30" s="62">
        <f t="shared" si="16"/>
        <v>0.13229609999450445</v>
      </c>
      <c r="P30" s="62">
        <f t="shared" si="16"/>
        <v>0.13341111459767113</v>
      </c>
      <c r="Q30" s="62">
        <f t="shared" si="16"/>
        <v>0.13341111459767113</v>
      </c>
      <c r="R30" s="62">
        <f t="shared" si="16"/>
        <v>0.1334111145976711</v>
      </c>
      <c r="S30" s="62">
        <f t="shared" si="16"/>
        <v>0.13341111459767113</v>
      </c>
    </row>
    <row r="31" spans="2:21" ht="13.95" customHeight="1" x14ac:dyDescent="0.3">
      <c r="B31" s="8" t="s">
        <v>134</v>
      </c>
      <c r="C31" s="65">
        <f t="shared" ref="C31:S31" si="17">-NWCpct*C13</f>
        <v>-2054.3139999999999</v>
      </c>
      <c r="D31" s="65">
        <f t="shared" si="17"/>
        <v>-2119.6604000000002</v>
      </c>
      <c r="E31" s="65">
        <f t="shared" si="17"/>
        <v>-2151.096</v>
      </c>
      <c r="F31" s="65">
        <f t="shared" si="17"/>
        <v>-2509.5420000000004</v>
      </c>
      <c r="G31" s="65">
        <f t="shared" si="17"/>
        <v>-2834.1255999999998</v>
      </c>
      <c r="H31" s="65">
        <f t="shared" si="17"/>
        <v>-3064.7368000000001</v>
      </c>
      <c r="I31" s="65">
        <f t="shared" si="17"/>
        <v>-4095.6</v>
      </c>
      <c r="J31" s="65">
        <f t="shared" si="17"/>
        <v>-4937.84</v>
      </c>
      <c r="K31" s="65">
        <f t="shared" si="17"/>
        <v>-5225.2708000000002</v>
      </c>
      <c r="L31" s="65">
        <f t="shared" si="17"/>
        <v>-5526.64</v>
      </c>
      <c r="M31" s="65">
        <f t="shared" si="17"/>
        <v>-6005.6</v>
      </c>
      <c r="N31" s="65">
        <f t="shared" si="17"/>
        <v>-6356.84</v>
      </c>
      <c r="O31" s="65">
        <f t="shared" si="17"/>
        <v>-6550.76</v>
      </c>
      <c r="P31" s="65">
        <f t="shared" si="17"/>
        <v>-6949.0462080000007</v>
      </c>
      <c r="Q31" s="65">
        <f t="shared" si="17"/>
        <v>-7371.5482174464005</v>
      </c>
      <c r="R31" s="65">
        <f t="shared" si="17"/>
        <v>-7819.7383490671418</v>
      </c>
      <c r="S31" s="65">
        <f t="shared" si="17"/>
        <v>-8295.1784406904244</v>
      </c>
      <c r="U31" s="14" t="s">
        <v>135</v>
      </c>
    </row>
    <row r="32" spans="2:21" ht="13.95" customHeight="1" x14ac:dyDescent="0.3">
      <c r="B32" s="8" t="s">
        <v>136</v>
      </c>
      <c r="D32" s="65">
        <f t="shared" ref="D32:S32" si="18">D31-C31</f>
        <v>-65.346400000000358</v>
      </c>
      <c r="E32" s="65">
        <f t="shared" si="18"/>
        <v>-31.435599999999795</v>
      </c>
      <c r="F32" s="65">
        <f t="shared" si="18"/>
        <v>-358.44600000000037</v>
      </c>
      <c r="G32" s="65">
        <f t="shared" si="18"/>
        <v>-324.58359999999948</v>
      </c>
      <c r="H32" s="65">
        <f t="shared" si="18"/>
        <v>-230.61120000000028</v>
      </c>
      <c r="I32" s="65">
        <f t="shared" si="18"/>
        <v>-1030.8631999999998</v>
      </c>
      <c r="J32" s="65">
        <f t="shared" si="18"/>
        <v>-842.24000000000024</v>
      </c>
      <c r="K32" s="65">
        <f t="shared" si="18"/>
        <v>-287.43080000000009</v>
      </c>
      <c r="L32" s="65">
        <f t="shared" si="18"/>
        <v>-301.36920000000009</v>
      </c>
      <c r="M32" s="65">
        <f t="shared" si="18"/>
        <v>-478.96000000000004</v>
      </c>
      <c r="N32" s="65">
        <f t="shared" si="18"/>
        <v>-351.23999999999978</v>
      </c>
      <c r="O32" s="65">
        <f t="shared" si="18"/>
        <v>-193.92000000000007</v>
      </c>
      <c r="P32" s="65">
        <f t="shared" si="18"/>
        <v>-398.28620800000044</v>
      </c>
      <c r="Q32" s="65">
        <f t="shared" si="18"/>
        <v>-422.50200944639982</v>
      </c>
      <c r="R32" s="65">
        <f t="shared" si="18"/>
        <v>-448.19013162074134</v>
      </c>
      <c r="S32" s="65">
        <f t="shared" si="18"/>
        <v>-475.44009162328257</v>
      </c>
    </row>
    <row r="33" spans="2:21" ht="13.95" customHeight="1" x14ac:dyDescent="0.3">
      <c r="B33" s="8" t="s">
        <v>137</v>
      </c>
      <c r="C33" s="37">
        <v>-5294.22</v>
      </c>
      <c r="D33" s="37">
        <v>-3805.46</v>
      </c>
      <c r="E33" s="37">
        <v>-3278.37</v>
      </c>
      <c r="F33" s="37">
        <v>-3699.48</v>
      </c>
      <c r="G33" s="37">
        <v>-3779.44</v>
      </c>
      <c r="H33" s="37">
        <v>-3672</v>
      </c>
      <c r="I33" s="37">
        <v>-4618.18</v>
      </c>
      <c r="J33" s="37">
        <v>-6641.75</v>
      </c>
      <c r="K33" s="37">
        <v>-8753.81</v>
      </c>
      <c r="L33" s="37">
        <v>-10938</v>
      </c>
      <c r="M33" s="37">
        <v>-18822</v>
      </c>
      <c r="N33" s="37">
        <v>-19159</v>
      </c>
      <c r="O33" s="37">
        <v>-19333</v>
      </c>
      <c r="P33" s="65">
        <f>P13*P34</f>
        <v>-19109.877071999999</v>
      </c>
      <c r="Q33" s="65">
        <f>Q13*Q34</f>
        <v>-20271.757597977601</v>
      </c>
      <c r="R33" s="65">
        <f>R13*R34</f>
        <v>-17594.411285401067</v>
      </c>
      <c r="S33" s="65">
        <f>S13*S34</f>
        <v>-18664.151491553454</v>
      </c>
      <c r="U33" s="14" t="s">
        <v>138</v>
      </c>
    </row>
    <row r="34" spans="2:21" ht="13.95" customHeight="1" x14ac:dyDescent="0.3">
      <c r="B34" s="8" t="s">
        <v>139</v>
      </c>
      <c r="C34" s="62">
        <f t="shared" ref="C34:O34" si="19">C33/C13</f>
        <v>-0.10308492275280216</v>
      </c>
      <c r="D34" s="62">
        <f t="shared" si="19"/>
        <v>-7.1812635646729073E-2</v>
      </c>
      <c r="E34" s="62">
        <f t="shared" si="19"/>
        <v>-6.0961853864262679E-2</v>
      </c>
      <c r="F34" s="62">
        <f t="shared" si="19"/>
        <v>-5.89666162192145E-2</v>
      </c>
      <c r="G34" s="62">
        <f t="shared" si="19"/>
        <v>-5.3341884354031456E-2</v>
      </c>
      <c r="H34" s="62">
        <f t="shared" si="19"/>
        <v>-4.7925812095838051E-2</v>
      </c>
      <c r="I34" s="62">
        <f t="shared" si="19"/>
        <v>-4.510381873229808E-2</v>
      </c>
      <c r="J34" s="62">
        <f t="shared" si="19"/>
        <v>-5.3802877371482268E-2</v>
      </c>
      <c r="K34" s="62">
        <f t="shared" si="19"/>
        <v>-6.7011340350054197E-2</v>
      </c>
      <c r="L34" s="62">
        <f t="shared" si="19"/>
        <v>-7.916564132999436E-2</v>
      </c>
      <c r="M34" s="62">
        <f t="shared" si="19"/>
        <v>-0.12536299453843081</v>
      </c>
      <c r="N34" s="62">
        <f t="shared" si="19"/>
        <v>-0.12055675461392767</v>
      </c>
      <c r="O34" s="62">
        <f t="shared" si="19"/>
        <v>-0.11805042468354816</v>
      </c>
      <c r="P34" s="47">
        <v>-0.11</v>
      </c>
      <c r="Q34" s="62">
        <f>P34</f>
        <v>-0.11</v>
      </c>
      <c r="R34" s="47">
        <v>-0.09</v>
      </c>
      <c r="S34" s="62">
        <f>R34</f>
        <v>-0.09</v>
      </c>
      <c r="U34" s="14" t="s">
        <v>140</v>
      </c>
    </row>
    <row r="35" spans="2:21" ht="13.95" customHeight="1" x14ac:dyDescent="0.3">
      <c r="B35" s="8" t="s">
        <v>141</v>
      </c>
      <c r="C35" s="65">
        <f t="shared" ref="C35:S35" si="20">C23+C26+C33+C31</f>
        <v>3593.3985000000007</v>
      </c>
      <c r="D35" s="65">
        <f t="shared" si="20"/>
        <v>4298.909599999999</v>
      </c>
      <c r="E35" s="65">
        <f t="shared" si="20"/>
        <v>6393.1740000000009</v>
      </c>
      <c r="F35" s="65">
        <f t="shared" si="20"/>
        <v>9188.643</v>
      </c>
      <c r="G35" s="65">
        <f t="shared" si="20"/>
        <v>10165.609399999999</v>
      </c>
      <c r="H35" s="65">
        <f t="shared" si="20"/>
        <v>9613.4081999999999</v>
      </c>
      <c r="I35" s="65">
        <f t="shared" si="20"/>
        <v>16932.72</v>
      </c>
      <c r="J35" s="65">
        <f t="shared" si="20"/>
        <v>18364.202499999999</v>
      </c>
      <c r="K35" s="65">
        <f t="shared" si="20"/>
        <v>12722.204199999998</v>
      </c>
      <c r="L35" s="65">
        <f t="shared" si="20"/>
        <v>14804.448</v>
      </c>
      <c r="M35" s="65">
        <f t="shared" si="20"/>
        <v>3970.3599999999988</v>
      </c>
      <c r="N35" s="65">
        <f t="shared" si="20"/>
        <v>15868.960000000003</v>
      </c>
      <c r="O35" s="65">
        <f t="shared" si="20"/>
        <v>16461.32</v>
      </c>
      <c r="P35" s="65">
        <f t="shared" si="20"/>
        <v>16980.784319999995</v>
      </c>
      <c r="Q35" s="65">
        <f t="shared" si="20"/>
        <v>18141.420645503993</v>
      </c>
      <c r="R35" s="65">
        <f t="shared" si="20"/>
        <v>23154.288195284214</v>
      </c>
      <c r="S35" s="65">
        <f t="shared" si="20"/>
        <v>24562.068917557488</v>
      </c>
      <c r="U35" s="14" t="s">
        <v>142</v>
      </c>
    </row>
    <row r="36" spans="2:21" ht="13.95" customHeight="1" x14ac:dyDescent="0.3">
      <c r="B36" s="8" t="s">
        <v>143</v>
      </c>
      <c r="D36" s="65">
        <f t="shared" ref="D36:S36" si="21">D23+D26+D33+D32</f>
        <v>6353.2235999999984</v>
      </c>
      <c r="E36" s="65">
        <f t="shared" si="21"/>
        <v>8512.8343999999997</v>
      </c>
      <c r="F36" s="65">
        <f t="shared" si="21"/>
        <v>11339.739000000001</v>
      </c>
      <c r="G36" s="65">
        <f t="shared" si="21"/>
        <v>12675.151399999999</v>
      </c>
      <c r="H36" s="65">
        <f t="shared" si="21"/>
        <v>12447.533800000001</v>
      </c>
      <c r="I36" s="65">
        <f t="shared" si="21"/>
        <v>19997.4568</v>
      </c>
      <c r="J36" s="65">
        <f t="shared" si="21"/>
        <v>22459.802499999998</v>
      </c>
      <c r="K36" s="65">
        <f t="shared" si="21"/>
        <v>17660.044199999997</v>
      </c>
      <c r="L36" s="65">
        <f t="shared" si="21"/>
        <v>20029.718799999999</v>
      </c>
      <c r="M36" s="65">
        <f t="shared" si="21"/>
        <v>9497</v>
      </c>
      <c r="N36" s="65">
        <f t="shared" si="21"/>
        <v>21874.560000000005</v>
      </c>
      <c r="O36" s="65">
        <f t="shared" si="21"/>
        <v>22818.160000000003</v>
      </c>
      <c r="P36" s="65">
        <f t="shared" si="21"/>
        <v>23531.544319999994</v>
      </c>
      <c r="Q36" s="65">
        <f t="shared" si="21"/>
        <v>25090.466853503996</v>
      </c>
      <c r="R36" s="65">
        <f t="shared" si="21"/>
        <v>30525.836412730616</v>
      </c>
      <c r="S36" s="65">
        <f t="shared" si="21"/>
        <v>32381.80726662463</v>
      </c>
      <c r="U36" s="14" t="s">
        <v>144</v>
      </c>
    </row>
    <row r="37" spans="2:21" ht="13.95" customHeight="1" x14ac:dyDescent="0.3">
      <c r="B37" s="5" t="s">
        <v>145</v>
      </c>
      <c r="C37" s="54">
        <f>C35</f>
        <v>3593.3985000000007</v>
      </c>
      <c r="D37" s="54">
        <f t="shared" ref="D37:S37" si="22">IF(FixNWC=1,D36,D35)</f>
        <v>4298.909599999999</v>
      </c>
      <c r="E37" s="54">
        <f t="shared" si="22"/>
        <v>6393.1740000000009</v>
      </c>
      <c r="F37" s="54">
        <f t="shared" si="22"/>
        <v>9188.643</v>
      </c>
      <c r="G37" s="54">
        <f t="shared" si="22"/>
        <v>10165.609399999999</v>
      </c>
      <c r="H37" s="54">
        <f t="shared" si="22"/>
        <v>9613.4081999999999</v>
      </c>
      <c r="I37" s="54">
        <f t="shared" si="22"/>
        <v>16932.72</v>
      </c>
      <c r="J37" s="54">
        <f t="shared" si="22"/>
        <v>18364.202499999999</v>
      </c>
      <c r="K37" s="54">
        <f t="shared" si="22"/>
        <v>12722.204199999998</v>
      </c>
      <c r="L37" s="54">
        <f t="shared" si="22"/>
        <v>14804.448</v>
      </c>
      <c r="M37" s="54">
        <f t="shared" si="22"/>
        <v>3970.3599999999988</v>
      </c>
      <c r="N37" s="49">
        <f t="shared" si="22"/>
        <v>15868.960000000003</v>
      </c>
      <c r="O37" s="49">
        <f t="shared" si="22"/>
        <v>16461.32</v>
      </c>
      <c r="P37" s="49">
        <f t="shared" si="22"/>
        <v>16980.784319999995</v>
      </c>
      <c r="Q37" s="49">
        <f t="shared" si="22"/>
        <v>18141.420645503993</v>
      </c>
      <c r="R37" s="49">
        <f t="shared" si="22"/>
        <v>23154.288195284214</v>
      </c>
      <c r="S37" s="49">
        <f t="shared" si="22"/>
        <v>24562.068917557488</v>
      </c>
      <c r="U37" s="14" t="s">
        <v>146</v>
      </c>
    </row>
    <row r="38" spans="2:21" ht="13.95" customHeight="1" x14ac:dyDescent="0.3">
      <c r="B38" s="52" t="s">
        <v>147</v>
      </c>
      <c r="C38" s="37">
        <v>3875.1</v>
      </c>
      <c r="D38" s="37">
        <v>3414.98</v>
      </c>
      <c r="E38" s="37">
        <v>3131.8</v>
      </c>
      <c r="F38" s="37">
        <v>5798.58</v>
      </c>
      <c r="G38" s="37">
        <v>7840.38</v>
      </c>
      <c r="H38" s="37">
        <v>10543</v>
      </c>
      <c r="I38" s="37">
        <v>15220</v>
      </c>
      <c r="J38" s="37">
        <v>21728</v>
      </c>
      <c r="K38" s="37">
        <v>10626.16</v>
      </c>
      <c r="L38" s="37">
        <v>12342</v>
      </c>
      <c r="M38" s="37">
        <v>13051</v>
      </c>
      <c r="N38" s="65">
        <f t="shared" ref="N38:S38" si="23">N21*(1+N25)+N33</f>
        <v>18327.239999999998</v>
      </c>
      <c r="O38" s="65">
        <f t="shared" si="23"/>
        <v>19211.919999999998</v>
      </c>
      <c r="P38" s="65">
        <f t="shared" si="23"/>
        <v>20407.835327999997</v>
      </c>
      <c r="Q38" s="65">
        <f t="shared" si="23"/>
        <v>21746.067241466881</v>
      </c>
      <c r="R38" s="65">
        <f t="shared" si="23"/>
        <v>26978.09730428164</v>
      </c>
      <c r="S38" s="65">
        <f t="shared" si="23"/>
        <v>28618.365620381959</v>
      </c>
      <c r="U38" s="14" t="s">
        <v>148</v>
      </c>
    </row>
    <row r="39" spans="2:21" ht="13.95" customHeight="1" x14ac:dyDescent="0.3">
      <c r="B39" s="52" t="s">
        <v>149</v>
      </c>
      <c r="C39" s="37">
        <v>49828</v>
      </c>
      <c r="D39" s="37">
        <v>53350</v>
      </c>
      <c r="E39" s="37">
        <v>67784</v>
      </c>
      <c r="F39" s="37">
        <v>81677</v>
      </c>
      <c r="G39" s="37">
        <v>101000</v>
      </c>
      <c r="H39" s="37">
        <v>99143</v>
      </c>
      <c r="I39" s="65">
        <f t="shared" ref="I39:S39" si="24">IbovUsed</f>
        <v>208431.92</v>
      </c>
      <c r="J39" s="65">
        <f t="shared" si="24"/>
        <v>208431.92</v>
      </c>
      <c r="K39" s="65">
        <f t="shared" si="24"/>
        <v>208431.92</v>
      </c>
      <c r="L39" s="65">
        <f t="shared" si="24"/>
        <v>208431.92</v>
      </c>
      <c r="M39" s="65">
        <f t="shared" si="24"/>
        <v>208431.92</v>
      </c>
      <c r="N39" s="65">
        <f t="shared" si="24"/>
        <v>208431.92</v>
      </c>
      <c r="O39" s="65">
        <f t="shared" si="24"/>
        <v>208431.92</v>
      </c>
      <c r="P39" s="65">
        <f t="shared" si="24"/>
        <v>208431.92</v>
      </c>
      <c r="Q39" s="65">
        <f t="shared" si="24"/>
        <v>208431.92</v>
      </c>
      <c r="R39" s="65">
        <f t="shared" si="24"/>
        <v>208431.92</v>
      </c>
      <c r="S39" s="65">
        <f t="shared" si="24"/>
        <v>208431.92</v>
      </c>
      <c r="U39" s="14" t="s">
        <v>150</v>
      </c>
    </row>
    <row r="40" spans="2:21" ht="13.95" customHeight="1" x14ac:dyDescent="0.3">
      <c r="B40" s="52" t="s">
        <v>151</v>
      </c>
      <c r="C40" s="62">
        <f t="shared" ref="C40:S40" si="25">C38/C39</f>
        <v>7.7769527173476752E-2</v>
      </c>
      <c r="D40" s="62">
        <f t="shared" si="25"/>
        <v>6.4010871602624184E-2</v>
      </c>
      <c r="E40" s="62">
        <f t="shared" si="25"/>
        <v>4.6202643691726664E-2</v>
      </c>
      <c r="F40" s="62">
        <f t="shared" si="25"/>
        <v>7.0994037489134021E-2</v>
      </c>
      <c r="G40" s="62">
        <f t="shared" si="25"/>
        <v>7.7627524752475252E-2</v>
      </c>
      <c r="H40" s="62">
        <f t="shared" si="25"/>
        <v>0.10634134532947359</v>
      </c>
      <c r="I40" s="62">
        <f t="shared" si="25"/>
        <v>7.3021445083843201E-2</v>
      </c>
      <c r="J40" s="62">
        <f t="shared" si="25"/>
        <v>0.10424506956516065</v>
      </c>
      <c r="K40" s="62">
        <f t="shared" si="25"/>
        <v>5.098144276558024E-2</v>
      </c>
      <c r="L40" s="62">
        <f t="shared" si="25"/>
        <v>5.9213579186911482E-2</v>
      </c>
      <c r="M40" s="62">
        <f t="shared" si="25"/>
        <v>6.2615169499949913E-2</v>
      </c>
      <c r="N40" s="62">
        <f t="shared" si="25"/>
        <v>8.792914252289187E-2</v>
      </c>
      <c r="O40" s="62">
        <f t="shared" si="25"/>
        <v>9.2173597978658914E-2</v>
      </c>
      <c r="P40" s="62">
        <f t="shared" si="25"/>
        <v>9.7911276391830948E-2</v>
      </c>
      <c r="Q40" s="62">
        <f t="shared" si="25"/>
        <v>0.10433175130501547</v>
      </c>
      <c r="R40" s="62">
        <f t="shared" si="25"/>
        <v>0.12943361700204861</v>
      </c>
      <c r="S40" s="62">
        <f t="shared" si="25"/>
        <v>0.13730318091577315</v>
      </c>
      <c r="U40" s="14" t="s">
        <v>152</v>
      </c>
    </row>
    <row r="42" spans="2:21" ht="13.95" customHeight="1" x14ac:dyDescent="0.3">
      <c r="B42" s="120" t="s">
        <v>153</v>
      </c>
      <c r="C42" s="120"/>
      <c r="D42" s="120"/>
      <c r="E42" s="120"/>
      <c r="F42" s="120"/>
      <c r="G42" s="120"/>
      <c r="H42" s="120"/>
      <c r="I42" s="120"/>
      <c r="J42" s="120"/>
      <c r="K42" s="120"/>
      <c r="L42" s="120"/>
      <c r="M42" s="120"/>
      <c r="N42" s="120"/>
      <c r="O42" s="120"/>
      <c r="P42" s="120"/>
      <c r="Q42" s="120"/>
      <c r="R42" s="120"/>
      <c r="S42" s="120"/>
      <c r="T42" s="120"/>
      <c r="U42" s="120"/>
    </row>
    <row r="43" spans="2:21" ht="13.95" customHeight="1" x14ac:dyDescent="0.3">
      <c r="B43" s="17"/>
      <c r="C43" s="18" t="s">
        <v>31</v>
      </c>
      <c r="D43" s="18" t="s">
        <v>32</v>
      </c>
      <c r="E43" s="18" t="s">
        <v>33</v>
      </c>
      <c r="F43" s="18"/>
      <c r="G43" s="18" t="s">
        <v>154</v>
      </c>
      <c r="H43" s="120" t="s">
        <v>155</v>
      </c>
      <c r="I43" s="120"/>
      <c r="J43" s="120"/>
      <c r="K43" s="120"/>
      <c r="L43" s="120"/>
      <c r="M43" s="120"/>
      <c r="N43" s="120"/>
      <c r="O43" s="120"/>
      <c r="P43" s="120"/>
      <c r="Q43" s="120"/>
      <c r="R43" s="120"/>
      <c r="S43" s="120"/>
      <c r="T43" s="120"/>
      <c r="U43" s="120"/>
    </row>
    <row r="44" spans="2:21" ht="13.95" customHeight="1" x14ac:dyDescent="0.3">
      <c r="B44" s="8" t="s">
        <v>156</v>
      </c>
      <c r="C44" s="66">
        <v>2027</v>
      </c>
      <c r="D44" s="66">
        <v>2027</v>
      </c>
      <c r="E44" s="66">
        <v>2027</v>
      </c>
      <c r="G44" s="66">
        <v>2026</v>
      </c>
    </row>
    <row r="45" spans="2:21" ht="13.95" customHeight="1" x14ac:dyDescent="0.3">
      <c r="B45" s="8" t="s">
        <v>157</v>
      </c>
      <c r="C45" s="67" t="s">
        <v>179</v>
      </c>
      <c r="D45" s="67" t="s">
        <v>179</v>
      </c>
      <c r="E45" s="67" t="s">
        <v>179</v>
      </c>
      <c r="G45" s="67" t="s">
        <v>180</v>
      </c>
    </row>
    <row r="46" spans="2:21" ht="13.95" customHeight="1" x14ac:dyDescent="0.3">
      <c r="B46" s="8" t="s">
        <v>14</v>
      </c>
      <c r="C46" s="29">
        <f>Assumptions!C20</f>
        <v>8.5000000000000006E-2</v>
      </c>
      <c r="D46" s="29">
        <f>Assumptions!D20</f>
        <v>6.7599999999999993E-2</v>
      </c>
      <c r="E46" s="29">
        <f>Assumptions!E20</f>
        <v>0.06</v>
      </c>
      <c r="G46" s="29">
        <f>Assumptions!D20</f>
        <v>6.7599999999999993E-2</v>
      </c>
    </row>
    <row r="47" spans="2:21" ht="13.95" customHeight="1" x14ac:dyDescent="0.3">
      <c r="B47" s="8" t="s">
        <v>35</v>
      </c>
      <c r="C47" s="29">
        <f>Assumptions!C21</f>
        <v>0.06</v>
      </c>
      <c r="D47" s="29">
        <f>Assumptions!D21</f>
        <v>0.06</v>
      </c>
      <c r="E47" s="29">
        <f>Assumptions!E21</f>
        <v>0.06</v>
      </c>
      <c r="G47" s="29">
        <f>Assumptions!D21</f>
        <v>0.06</v>
      </c>
    </row>
    <row r="48" spans="2:21" ht="13.95" customHeight="1" x14ac:dyDescent="0.3">
      <c r="B48" s="5" t="s">
        <v>158</v>
      </c>
      <c r="C48" s="44">
        <f>IF(FixInfl=1,(1+C46+C47)*(1+InflLT)-1,C46+C47)</f>
        <v>0.14500000000000002</v>
      </c>
      <c r="D48" s="44">
        <f>IF(FixInfl=1,(1+D46+D47)*(1+InflLT)-1,D46+D47)</f>
        <v>0.12759999999999999</v>
      </c>
      <c r="E48" s="44">
        <f>IF(FixInfl=1,(1+E46+E47)*(1+InflLT)-1,E46+E47)</f>
        <v>0.12</v>
      </c>
      <c r="G48" s="44">
        <f>IF(FixInfl=1,(1+G46+G47)*(1+InflLT)-1,G46+G47)</f>
        <v>0.12759999999999999</v>
      </c>
      <c r="H48" s="14" t="s">
        <v>159</v>
      </c>
    </row>
    <row r="49" spans="2:21" ht="13.95" customHeight="1" x14ac:dyDescent="0.3">
      <c r="B49" s="8" t="s">
        <v>160</v>
      </c>
      <c r="C49" s="29">
        <f>gLT</f>
        <v>4.7E-2</v>
      </c>
      <c r="D49" s="29">
        <f>gLT</f>
        <v>4.7E-2</v>
      </c>
      <c r="E49" s="29">
        <f>gLT</f>
        <v>4.7E-2</v>
      </c>
      <c r="G49" s="29">
        <f>gLT</f>
        <v>4.7E-2</v>
      </c>
    </row>
    <row r="50" spans="2:21" ht="13.95" customHeight="1" x14ac:dyDescent="0.3">
      <c r="B50" s="8" t="s">
        <v>161</v>
      </c>
      <c r="C50" s="20">
        <f>S37</f>
        <v>24562.068917557488</v>
      </c>
      <c r="D50" s="20">
        <f>S37</f>
        <v>24562.068917557488</v>
      </c>
      <c r="E50" s="20">
        <f>S37</f>
        <v>24562.068917557488</v>
      </c>
      <c r="G50" s="20">
        <f>R37</f>
        <v>23154.288195284214</v>
      </c>
    </row>
    <row r="51" spans="2:21" ht="13.95" customHeight="1" x14ac:dyDescent="0.3">
      <c r="B51" s="8" t="s">
        <v>162</v>
      </c>
      <c r="C51" s="20">
        <f>C50*(1+C49)/(C48-C49)</f>
        <v>262413.1240477825</v>
      </c>
      <c r="D51" s="20">
        <f>D50*(1+D49)/(D48-D49)</f>
        <v>319063.10368092667</v>
      </c>
      <c r="E51" s="20">
        <f>E50*(1+E49)/(E48-E49)</f>
        <v>352280.63228332449</v>
      </c>
      <c r="G51" s="20">
        <f>G50*(1+G49)/(G48-G49)</f>
        <v>300775.92730102444</v>
      </c>
      <c r="H51" s="14" t="s">
        <v>163</v>
      </c>
    </row>
    <row r="52" spans="2:21" ht="13.95" customHeight="1" x14ac:dyDescent="0.3">
      <c r="B52" s="8" t="s">
        <v>164</v>
      </c>
      <c r="C52" s="55">
        <f>5-FixTV</f>
        <v>5</v>
      </c>
      <c r="D52" s="55">
        <f>5-FixTV</f>
        <v>5</v>
      </c>
      <c r="E52" s="55">
        <f>5-FixTV</f>
        <v>5</v>
      </c>
      <c r="G52" s="55">
        <f>5-FixTV</f>
        <v>5</v>
      </c>
      <c r="H52" s="14" t="s">
        <v>165</v>
      </c>
    </row>
    <row r="53" spans="2:21" ht="13.95" customHeight="1" x14ac:dyDescent="0.3">
      <c r="B53" s="8" t="s">
        <v>166</v>
      </c>
      <c r="C53" s="20">
        <f>NPV(C48,P37:S37)</f>
        <v>58382.957081100023</v>
      </c>
      <c r="D53" s="20">
        <f>NPV(D48,P37:S37)</f>
        <v>60669.968974076117</v>
      </c>
      <c r="E53" s="20">
        <f>NPV(E48,P37:S37)</f>
        <v>61714.047869817718</v>
      </c>
      <c r="G53" s="20">
        <f>NPV(G48,O37:R37)</f>
        <v>54929.273793531691</v>
      </c>
      <c r="H53" s="14" t="s">
        <v>167</v>
      </c>
    </row>
    <row r="54" spans="2:21" ht="13.95" customHeight="1" x14ac:dyDescent="0.3">
      <c r="B54" s="8" t="s">
        <v>168</v>
      </c>
      <c r="C54" s="20">
        <f>C51/(1+C48)^C52</f>
        <v>133339.28383602019</v>
      </c>
      <c r="D54" s="20">
        <f>D51/(1+D48)^D52</f>
        <v>175025.46876147939</v>
      </c>
      <c r="E54" s="20">
        <f>E51/(1+E48)^E52</f>
        <v>199893.49150708687</v>
      </c>
      <c r="G54" s="20">
        <f>G51/(1+G48)^G52</f>
        <v>164993.84310094215</v>
      </c>
    </row>
    <row r="55" spans="2:21" ht="13.95" customHeight="1" x14ac:dyDescent="0.3">
      <c r="B55" s="8" t="s">
        <v>169</v>
      </c>
      <c r="C55" s="20">
        <f>C53+C54</f>
        <v>191722.24091712022</v>
      </c>
      <c r="D55" s="20">
        <f>D53+D54</f>
        <v>235695.43773555552</v>
      </c>
      <c r="E55" s="20">
        <f>E53+E54</f>
        <v>261607.53937690461</v>
      </c>
      <c r="G55" s="20">
        <f>G53+G54</f>
        <v>219923.11689447385</v>
      </c>
    </row>
    <row r="56" spans="2:21" ht="13.95" customHeight="1" x14ac:dyDescent="0.3">
      <c r="B56" s="8" t="s">
        <v>170</v>
      </c>
      <c r="C56" s="20">
        <f>IF(FixND=1,NDmult*M21,0)</f>
        <v>0</v>
      </c>
      <c r="D56" s="20">
        <f>IF(FixND=1,NDmult*M21,0)</f>
        <v>0</v>
      </c>
      <c r="E56" s="20">
        <f>IF(FixND=1,NDmult*M21,0)</f>
        <v>0</v>
      </c>
      <c r="G56" s="20">
        <f>IF(FixND=1,NDmult*L21,0)</f>
        <v>0</v>
      </c>
      <c r="H56" s="14" t="s">
        <v>171</v>
      </c>
    </row>
    <row r="57" spans="2:21" ht="13.95" customHeight="1" x14ac:dyDescent="0.3">
      <c r="B57" s="5" t="s">
        <v>172</v>
      </c>
      <c r="C57" s="49">
        <f>C55-C56</f>
        <v>191722.24091712022</v>
      </c>
      <c r="D57" s="49">
        <f>D55-D56</f>
        <v>235695.43773555552</v>
      </c>
      <c r="E57" s="49">
        <f>E55-E56</f>
        <v>261607.53937690461</v>
      </c>
      <c r="G57" s="49">
        <f>G55-G56</f>
        <v>219923.11689447385</v>
      </c>
      <c r="H57" s="14" t="s">
        <v>173</v>
      </c>
    </row>
    <row r="58" spans="2:21" ht="13.95" customHeight="1" x14ac:dyDescent="0.3">
      <c r="B58" s="8" t="s">
        <v>174</v>
      </c>
      <c r="C58" s="20">
        <f>IbovUsed</f>
        <v>208431.92</v>
      </c>
      <c r="D58" s="20">
        <f>IbovUsed</f>
        <v>208431.92</v>
      </c>
      <c r="E58" s="20">
        <f>IbovUsed</f>
        <v>208431.92</v>
      </c>
      <c r="G58" s="20">
        <f>IbovUsed</f>
        <v>208431.92</v>
      </c>
    </row>
    <row r="59" spans="2:21" ht="13.95" customHeight="1" x14ac:dyDescent="0.3">
      <c r="B59" s="5" t="s">
        <v>175</v>
      </c>
      <c r="C59" s="56">
        <f>C57/C58-1</f>
        <v>-8.0168522570246425E-2</v>
      </c>
      <c r="D59" s="56">
        <f>D57/D58-1</f>
        <v>0.13080298706433968</v>
      </c>
      <c r="E59" s="56">
        <f>E57/E58-1</f>
        <v>0.25512224508081394</v>
      </c>
      <c r="G59" s="56">
        <f>G57/G58-1</f>
        <v>5.5131655911790478E-2</v>
      </c>
    </row>
    <row r="60" spans="2:21" ht="13.95" customHeight="1" x14ac:dyDescent="0.3">
      <c r="B60" s="8" t="s">
        <v>176</v>
      </c>
      <c r="C60" s="36">
        <f>C54/C55</f>
        <v>0.69548156331878863</v>
      </c>
      <c r="D60" s="36">
        <f>D54/D55</f>
        <v>0.74259167017841754</v>
      </c>
      <c r="E60" s="36">
        <f>E54/E55</f>
        <v>0.76409682986657068</v>
      </c>
      <c r="G60" s="36">
        <f>G54/G55</f>
        <v>0.75023419743596798</v>
      </c>
    </row>
    <row r="61" spans="2:21" ht="13.95" customHeight="1" x14ac:dyDescent="0.3">
      <c r="B61" s="8" t="s">
        <v>177</v>
      </c>
      <c r="C61" s="68">
        <f>C57/P29</f>
        <v>8.2720904740527335</v>
      </c>
      <c r="D61" s="68">
        <f>D57/P29</f>
        <v>10.169367810137443</v>
      </c>
      <c r="E61" s="68">
        <f>E57/P29</f>
        <v>11.287377114247082</v>
      </c>
      <c r="G61" s="68">
        <f>G57/O29</f>
        <v>10.150610029284309</v>
      </c>
      <c r="H61" s="14" t="s">
        <v>178</v>
      </c>
    </row>
    <row r="63" spans="2:21" ht="13.95" customHeight="1" x14ac:dyDescent="0.3">
      <c r="B63" s="120" t="s">
        <v>181</v>
      </c>
      <c r="C63" s="120"/>
      <c r="D63" s="120"/>
      <c r="E63" s="120"/>
      <c r="F63" s="120"/>
      <c r="G63" s="120"/>
      <c r="H63" s="120"/>
      <c r="I63" s="120"/>
      <c r="J63" s="120"/>
      <c r="K63" s="120"/>
      <c r="L63" s="120"/>
      <c r="M63" s="120"/>
      <c r="N63" s="120"/>
      <c r="O63" s="120"/>
      <c r="P63" s="120"/>
      <c r="Q63" s="120"/>
      <c r="R63" s="120"/>
      <c r="S63" s="120"/>
      <c r="T63" s="120"/>
      <c r="U63" s="120"/>
    </row>
    <row r="64" spans="2:21" ht="13.95" customHeight="1" x14ac:dyDescent="0.3">
      <c r="B64" s="17"/>
      <c r="C64" s="18" t="s">
        <v>182</v>
      </c>
      <c r="D64" s="18" t="s">
        <v>86</v>
      </c>
      <c r="E64" s="18" t="s">
        <v>87</v>
      </c>
      <c r="F64" s="18" t="s">
        <v>88</v>
      </c>
      <c r="G64" s="18" t="s">
        <v>183</v>
      </c>
    </row>
    <row r="65" spans="2:8" ht="13.95" customHeight="1" x14ac:dyDescent="0.3">
      <c r="B65" s="19" t="s">
        <v>184</v>
      </c>
      <c r="C65" s="20">
        <f>-IbovUsed</f>
        <v>-208431.92</v>
      </c>
      <c r="D65" s="20">
        <f>O37</f>
        <v>16461.32</v>
      </c>
      <c r="E65" s="20">
        <f>P37</f>
        <v>16980.784319999995</v>
      </c>
      <c r="F65" s="20">
        <f>Q37</f>
        <v>18141.420645503993</v>
      </c>
      <c r="G65" s="20">
        <f>D51</f>
        <v>319063.10368092667</v>
      </c>
      <c r="H65" s="14" t="s">
        <v>188</v>
      </c>
    </row>
    <row r="66" spans="2:8" ht="13.95" customHeight="1" x14ac:dyDescent="0.3">
      <c r="B66" s="8" t="s">
        <v>185</v>
      </c>
      <c r="C66" s="69">
        <f>IRR(C65:G65)</f>
        <v>0.1694377720342557</v>
      </c>
    </row>
    <row r="67" spans="2:8" ht="13.95" customHeight="1" x14ac:dyDescent="0.3">
      <c r="B67" s="8" t="s">
        <v>96</v>
      </c>
      <c r="C67" s="69">
        <f>InflLT</f>
        <v>0.04</v>
      </c>
    </row>
    <row r="68" spans="2:8" ht="13.95" customHeight="1" x14ac:dyDescent="0.3">
      <c r="B68" s="8" t="s">
        <v>186</v>
      </c>
      <c r="C68" s="69">
        <f>C66-C67</f>
        <v>0.12943777203425569</v>
      </c>
    </row>
    <row r="69" spans="2:8" ht="13.95" customHeight="1" x14ac:dyDescent="0.3">
      <c r="B69" s="5" t="s">
        <v>187</v>
      </c>
      <c r="C69" s="44">
        <f>C68-D46</f>
        <v>6.1837772034255695E-2</v>
      </c>
    </row>
  </sheetData>
  <mergeCells count="4">
    <mergeCell ref="B5:U5"/>
    <mergeCell ref="B42:U42"/>
    <mergeCell ref="H43:U43"/>
    <mergeCell ref="B63:U63"/>
  </mergeCells>
  <pageMargins left="0.4" right="0.4" top="1.25" bottom="0.5" header="0.3" footer="0.3"/>
  <pageSetup paperSize="9" fitToHeight="0" orientation="landscape"/>
  <headerFooter>
    <oddHeader>&amp;L&amp;G</oddHeader>
    <oddFooter>&amp;R&amp;"Calibri"&amp;10&amp;K008000[ CLASSIFICAÇÃO: PÚBLICA ]</oddFooter>
  </headerFooter>
  <legacyDrawingHF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G51"/>
  <sheetViews>
    <sheetView showGridLines="0" zoomScale="85" zoomScaleNormal="85" workbookViewId="0"/>
  </sheetViews>
  <sheetFormatPr defaultRowHeight="13.95" customHeight="1" x14ac:dyDescent="0.3"/>
  <cols>
    <col min="1" max="1" width="2.6640625" customWidth="1"/>
    <col min="2" max="2" width="30.6640625" customWidth="1"/>
    <col min="3" max="8" width="15.6640625" customWidth="1"/>
  </cols>
  <sheetData>
    <row r="1" spans="2:7" ht="30" customHeight="1" x14ac:dyDescent="0.3">
      <c r="B1" s="15" t="s">
        <v>189</v>
      </c>
    </row>
    <row r="2" spans="2:7" ht="13.95" customHeight="1" x14ac:dyDescent="0.3">
      <c r="B2" s="14" t="s">
        <v>190</v>
      </c>
    </row>
    <row r="3" spans="2:7" ht="13.95" customHeight="1" x14ac:dyDescent="0.3">
      <c r="B3" s="14" t="s">
        <v>2</v>
      </c>
      <c r="C3" s="38" t="s">
        <v>3</v>
      </c>
      <c r="D3" s="39" t="s">
        <v>4</v>
      </c>
      <c r="E3" s="40" t="s">
        <v>5</v>
      </c>
    </row>
    <row r="5" spans="2:7" ht="13.95" customHeight="1" x14ac:dyDescent="0.3">
      <c r="B5" s="120" t="s">
        <v>191</v>
      </c>
      <c r="C5" s="120"/>
      <c r="D5" s="120"/>
      <c r="E5" s="120"/>
      <c r="F5" s="120"/>
      <c r="G5" s="120"/>
    </row>
    <row r="6" spans="2:7" ht="30" customHeight="1" x14ac:dyDescent="0.3">
      <c r="B6" s="17" t="s">
        <v>192</v>
      </c>
      <c r="C6" s="18" t="s">
        <v>193</v>
      </c>
      <c r="D6" s="18" t="s">
        <v>194</v>
      </c>
      <c r="E6" s="18" t="s">
        <v>195</v>
      </c>
      <c r="F6" s="18"/>
      <c r="G6" s="18" t="s">
        <v>196</v>
      </c>
    </row>
    <row r="7" spans="2:7" ht="13.95" customHeight="1" x14ac:dyDescent="0.3">
      <c r="B7" s="70">
        <v>5.5E-2</v>
      </c>
      <c r="C7" s="37">
        <v>263358.80545811931</v>
      </c>
      <c r="D7" s="20">
        <f>NPV(($B7+0.06),DCF!$O$35:$R$35)+DCF!$R$35*(1+0.047)/(($B7+0.06)-0.047)/(1+($B7+0.06))^5-0</f>
        <v>263358.80545811931</v>
      </c>
      <c r="E7" s="71">
        <f t="shared" ref="E7:E14" si="0">D7-C7</f>
        <v>0</v>
      </c>
      <c r="G7" s="16">
        <f>NPV(IF(FixInfl=1,(1+$B7+Assumptions!$D$21)*(1+InflLT)-1,$B7+Assumptions!$D$21),DCF!$P$37:$S$37)+DCF!$S$37*(1+gLT)/(IF(FixInfl=1,(1+$B7+Assumptions!$D$21)*(1+InflLT)-1,$B7+Assumptions!$D$21)-gLT)/(1+IF(FixInfl=1,(1+$B7+Assumptions!$D$21)*(1+InflLT)-1,$B7+Assumptions!$D$21))^(4+1-FixTV)-IF(FixND=1,NDmult*DCF!$M$21,0)</f>
        <v>281862.98380960268</v>
      </c>
    </row>
    <row r="8" spans="2:7" ht="13.95" customHeight="1" x14ac:dyDescent="0.3">
      <c r="B8" s="70">
        <v>0.06</v>
      </c>
      <c r="C8" s="37">
        <v>244298.80737131229</v>
      </c>
      <c r="D8" s="20">
        <f>NPV(($B8+0.06),DCF!$O$35:$R$35)+DCF!$R$35*(1+0.047)/(($B8+0.06)-0.047)/(1+($B8+0.06))^5-0</f>
        <v>244298.80737131237</v>
      </c>
      <c r="E8" s="71">
        <f t="shared" si="0"/>
        <v>0</v>
      </c>
      <c r="G8" s="16">
        <f>NPV(IF(FixInfl=1,(1+$B8+Assumptions!$D$21)*(1+InflLT)-1,$B8+Assumptions!$D$21),DCF!$P$37:$S$37)+DCF!$S$37*(1+gLT)/(IF(FixInfl=1,(1+$B8+Assumptions!$D$21)*(1+InflLT)-1,$B8+Assumptions!$D$21)-gLT)/(1+IF(FixInfl=1,(1+$B8+Assumptions!$D$21)*(1+InflLT)-1,$B8+Assumptions!$D$21))^(4+1-FixTV)-IF(FixND=1,NDmult*DCF!$M$21,0)</f>
        <v>261607.53937690461</v>
      </c>
    </row>
    <row r="9" spans="2:7" ht="13.95" customHeight="1" x14ac:dyDescent="0.3">
      <c r="B9" s="70">
        <v>7.0000000000000007E-2</v>
      </c>
      <c r="C9" s="37">
        <v>213168.5243247686</v>
      </c>
      <c r="D9" s="20">
        <f>NPV(($B9+0.06),DCF!$O$35:$R$35)+DCF!$R$35*(1+0.047)/(($B9+0.06)-0.047)/(1+($B9+0.06))^5-0</f>
        <v>213168.52432476863</v>
      </c>
      <c r="E9" s="71">
        <f t="shared" si="0"/>
        <v>0</v>
      </c>
      <c r="G9" s="16">
        <f>NPV(IF(FixInfl=1,(1+$B9+Assumptions!$D$21)*(1+InflLT)-1,$B9+Assumptions!$D$21),DCF!$P$37:$S$37)+DCF!$S$37*(1+gLT)/(IF(FixInfl=1,(1+$B9+Assumptions!$D$21)*(1+InflLT)-1,$B9+Assumptions!$D$21)-gLT)/(1+IF(FixInfl=1,(1+$B9+Assumptions!$D$21)*(1+InflLT)-1,$B9+Assumptions!$D$21))^(4+1-FixTV)-IF(FixND=1,NDmult*DCF!$M$21,0)</f>
        <v>228513.30562413071</v>
      </c>
    </row>
    <row r="10" spans="2:7" ht="13.95" customHeight="1" x14ac:dyDescent="0.3">
      <c r="B10" s="70">
        <v>7.4200000000000002E-2</v>
      </c>
      <c r="C10" s="37">
        <v>202259.16860466631</v>
      </c>
      <c r="D10" s="20">
        <f>NPV(($B10+0.06),DCF!$O$35:$R$35)+DCF!$R$35*(1+0.047)/(($B10+0.06)-0.047)/(1+($B10+0.06))^5-0</f>
        <v>202259.16860466625</v>
      </c>
      <c r="E10" s="71">
        <f t="shared" si="0"/>
        <v>0</v>
      </c>
      <c r="G10" s="16">
        <f>NPV(IF(FixInfl=1,(1+$B10+Assumptions!$D$21)*(1+InflLT)-1,$B10+Assumptions!$D$21),DCF!$P$37:$S$37)+DCF!$S$37*(1+gLT)/(IF(FixInfl=1,(1+$B10+Assumptions!$D$21)*(1+InflLT)-1,$B10+Assumptions!$D$21)-gLT)/(1+IF(FixInfl=1,(1+$B10+Assumptions!$D$21)*(1+InflLT)-1,$B10+Assumptions!$D$21))^(4+1-FixTV)-IF(FixND=1,NDmult*DCF!$M$21,0)</f>
        <v>216911.50484256059</v>
      </c>
    </row>
    <row r="11" spans="2:7" ht="13.95" customHeight="1" x14ac:dyDescent="0.3">
      <c r="B11" s="70">
        <v>7.4999999999999997E-2</v>
      </c>
      <c r="C11" s="37">
        <v>200301.5787500634</v>
      </c>
      <c r="D11" s="20">
        <f>NPV(($B11+0.06),DCF!$O$35:$R$35)+DCF!$R$35*(1+0.047)/(($B11+0.06)-0.047)/(1+($B11+0.06))^5-0</f>
        <v>200301.57875006337</v>
      </c>
      <c r="E11" s="71">
        <f t="shared" si="0"/>
        <v>0</v>
      </c>
      <c r="G11" s="16">
        <f>NPV(IF(FixInfl=1,(1+$B11+Assumptions!$D$21)*(1+InflLT)-1,$B11+Assumptions!$D$21),DCF!$P$37:$S$37)+DCF!$S$37*(1+gLT)/(IF(FixInfl=1,(1+$B11+Assumptions!$D$21)*(1+InflLT)-1,$B11+Assumptions!$D$21)-gLT)/(1+IF(FixInfl=1,(1+$B11+Assumptions!$D$21)*(1+InflLT)-1,$B11+Assumptions!$D$21))^(4+1-FixTV)-IF(FixND=1,NDmult*DCF!$M$21,0)</f>
        <v>214829.38981226983</v>
      </c>
    </row>
    <row r="12" spans="2:7" ht="13.95" customHeight="1" x14ac:dyDescent="0.3">
      <c r="B12" s="70">
        <v>0.08</v>
      </c>
      <c r="C12" s="37">
        <v>188845.16885368561</v>
      </c>
      <c r="D12" s="20">
        <f>NPV(($B12+0.06),DCF!$O$35:$R$35)+DCF!$R$35*(1+0.047)/(($B12+0.06)-0.047)/(1+($B12+0.06))^5-0</f>
        <v>188845.16885368561</v>
      </c>
      <c r="E12" s="71">
        <f t="shared" si="0"/>
        <v>0</v>
      </c>
      <c r="G12" s="16">
        <f>NPV(IF(FixInfl=1,(1+$B12+Assumptions!$D$21)*(1+InflLT)-1,$B12+Assumptions!$D$21),DCF!$P$37:$S$37)+DCF!$S$37*(1+gLT)/(IF(FixInfl=1,(1+$B12+Assumptions!$D$21)*(1+InflLT)-1,$B12+Assumptions!$D$21)-gLT)/(1+IF(FixInfl=1,(1+$B12+Assumptions!$D$21)*(1+InflLT)-1,$B12+Assumptions!$D$21))^(4+1-FixTV)-IF(FixND=1,NDmult*DCF!$M$21,0)</f>
        <v>202642.38814094261</v>
      </c>
    </row>
    <row r="13" spans="2:7" ht="13.95" customHeight="1" x14ac:dyDescent="0.3">
      <c r="B13" s="70">
        <v>8.5000000000000006E-2</v>
      </c>
      <c r="C13" s="37">
        <v>178582.43361699971</v>
      </c>
      <c r="D13" s="20">
        <f>NPV(($B13+0.06),DCF!$O$35:$R$35)+DCF!$R$35*(1+0.047)/(($B13+0.06)-0.047)/(1+($B13+0.06))^5-0</f>
        <v>178582.43361699965</v>
      </c>
      <c r="E13" s="71">
        <f t="shared" si="0"/>
        <v>0</v>
      </c>
      <c r="G13" s="16">
        <f>NPV(IF(FixInfl=1,(1+$B13+Assumptions!$D$21)*(1+InflLT)-1,$B13+Assumptions!$D$21),DCF!$P$37:$S$37)+DCF!$S$37*(1+gLT)/(IF(FixInfl=1,(1+$B13+Assumptions!$D$21)*(1+InflLT)-1,$B13+Assumptions!$D$21)-gLT)/(1+IF(FixInfl=1,(1+$B13+Assumptions!$D$21)*(1+InflLT)-1,$B13+Assumptions!$D$21))^(4+1-FixTV)-IF(FixND=1,NDmult*DCF!$M$21,0)</f>
        <v>191722.24091712022</v>
      </c>
    </row>
    <row r="14" spans="2:7" ht="13.95" customHeight="1" x14ac:dyDescent="0.3">
      <c r="B14" s="70">
        <v>0.09</v>
      </c>
      <c r="C14" s="37">
        <v>169338.65738047709</v>
      </c>
      <c r="D14" s="20">
        <f>NPV(($B14+0.06),DCF!$O$35:$R$35)+DCF!$R$35*(1+0.047)/(($B14+0.06)-0.047)/(1+($B14+0.06))^5-0</f>
        <v>169338.65738047712</v>
      </c>
      <c r="E14" s="71">
        <f t="shared" si="0"/>
        <v>0</v>
      </c>
      <c r="G14" s="16">
        <f>NPV(IF(FixInfl=1,(1+$B14+Assumptions!$D$21)*(1+InflLT)-1,$B14+Assumptions!$D$21),DCF!$P$37:$S$37)+DCF!$S$37*(1+gLT)/(IF(FixInfl=1,(1+$B14+Assumptions!$D$21)*(1+InflLT)-1,$B14+Assumptions!$D$21)-gLT)/(1+IF(FixInfl=1,(1+$B14+Assumptions!$D$21)*(1+InflLT)-1,$B14+Assumptions!$D$21))^(4+1-FixTV)-IF(FixND=1,NDmult*DCF!$M$21,0)</f>
        <v>181883.59659697785</v>
      </c>
    </row>
    <row r="15" spans="2:7" ht="13.95" customHeight="1" x14ac:dyDescent="0.3">
      <c r="B15" s="14" t="s">
        <v>197</v>
      </c>
    </row>
    <row r="18" spans="2:7" ht="13.95" customHeight="1" x14ac:dyDescent="0.3">
      <c r="B18" s="120" t="s">
        <v>198</v>
      </c>
      <c r="C18" s="120"/>
      <c r="D18" s="120"/>
      <c r="E18" s="120"/>
      <c r="F18" s="120"/>
      <c r="G18" s="120"/>
    </row>
    <row r="19" spans="2:7" ht="13.95" customHeight="1" x14ac:dyDescent="0.3">
      <c r="B19" s="17" t="s">
        <v>199</v>
      </c>
      <c r="C19" s="72">
        <v>0.04</v>
      </c>
      <c r="D19" s="72">
        <v>0.05</v>
      </c>
      <c r="E19" s="72">
        <v>0.06</v>
      </c>
      <c r="F19" s="72">
        <v>7.0000000000000007E-2</v>
      </c>
      <c r="G19" s="72">
        <v>0.08</v>
      </c>
    </row>
    <row r="20" spans="2:7" ht="13.95" customHeight="1" x14ac:dyDescent="0.3">
      <c r="B20" s="73">
        <v>0.05</v>
      </c>
      <c r="C20" s="20">
        <f>NPV(IF(FixInfl=1,(1+$B20+C$19)*(1+InflLT)-1,$B20+C$19),DCF!$P$37:$S$37)+DCF!$S$37*(1+gLT)/(IF(FixInfl=1,(1+$B20+C$19)*(1+InflLT)-1,$B20+C$19)-gLT)/(1+IF(FixInfl=1,(1+$B20+C$19)*(1+InflLT)-1,$B20+C$19))^(4+1-FixTV)-IF(FixND=1,NDmult*DCF!$M$21,0)</f>
        <v>454824.26618941053</v>
      </c>
      <c r="D20" s="20">
        <f>NPV(IF(FixInfl=1,(1+$B20+D$19)*(1+InflLT)-1,$B20+D$19),DCF!$P$37:$S$37)+DCF!$S$37*(1+gLT)/(IF(FixInfl=1,(1+$B20+D$19)*(1+InflLT)-1,$B20+D$19)-gLT)/(1+IF(FixInfl=1,(1+$B20+D$19)*(1+InflLT)-1,$B20+D$19))^(4+1-FixTV)-IF(FixND=1,NDmult*DCF!$M$21,0)</f>
        <v>365883.77698064211</v>
      </c>
      <c r="E20" s="20">
        <f>NPV(IF(FixInfl=1,(1+$B20+E$19)*(1+InflLT)-1,$B20+E$19),DCF!$P$37:$S$37)+DCF!$S$37*(1+gLT)/(IF(FixInfl=1,(1+$B20+E$19)*(1+InflLT)-1,$B20+E$19)-gLT)/(1+IF(FixInfl=1,(1+$B20+E$19)*(1+InflLT)-1,$B20+E$19))^(4+1-FixTV)-IF(FixND=1,NDmult*DCF!$M$21,0)</f>
        <v>305377.75913745427</v>
      </c>
      <c r="F20" s="20">
        <f>NPV(IF(FixInfl=1,(1+$B20+F$19)*(1+InflLT)-1,$B20+F$19),DCF!$P$37:$S$37)+DCF!$S$37*(1+gLT)/(IF(FixInfl=1,(1+$B20+F$19)*(1+InflLT)-1,$B20+F$19)-gLT)/(1+IF(FixInfl=1,(1+$B20+F$19)*(1+InflLT)-1,$B20+F$19))^(4+1-FixTV)-IF(FixND=1,NDmult*DCF!$M$21,0)</f>
        <v>261607.53937690455</v>
      </c>
      <c r="G20" s="20">
        <f>NPV(IF(FixInfl=1,(1+$B20+G$19)*(1+InflLT)-1,$B20+G$19),DCF!$P$37:$S$37)+DCF!$S$37*(1+gLT)/(IF(FixInfl=1,(1+$B20+G$19)*(1+InflLT)-1,$B20+G$19)-gLT)/(1+IF(FixInfl=1,(1+$B20+G$19)*(1+InflLT)-1,$B20+G$19))^(4+1-FixTV)-IF(FixND=1,NDmult*DCF!$M$21,0)</f>
        <v>228513.30562413071</v>
      </c>
    </row>
    <row r="21" spans="2:7" ht="13.95" customHeight="1" x14ac:dyDescent="0.3">
      <c r="B21" s="73">
        <v>5.5E-2</v>
      </c>
      <c r="C21" s="20">
        <f>NPV(IF(FixInfl=1,(1+$B21+C$19)*(1+InflLT)-1,$B21+C$19),DCF!$P$37:$S$37)+DCF!$S$37*(1+gLT)/(IF(FixInfl=1,(1+$B21+C$19)*(1+InflLT)-1,$B21+C$19)-gLT)/(1+IF(FixInfl=1,(1+$B21+C$19)*(1+InflLT)-1,$B21+C$19))^(4+1-FixTV)-IF(FixND=1,NDmult*DCF!$M$21,0)</f>
        <v>405687.66131054511</v>
      </c>
      <c r="D21" s="20">
        <f>NPV(IF(FixInfl=1,(1+$B21+D$19)*(1+InflLT)-1,$B21+D$19),DCF!$P$37:$S$37)+DCF!$S$37*(1+gLT)/(IF(FixInfl=1,(1+$B21+D$19)*(1+InflLT)-1,$B21+D$19)-gLT)/(1+IF(FixInfl=1,(1+$B21+D$19)*(1+InflLT)-1,$B21+D$19))^(4+1-FixTV)-IF(FixND=1,NDmult*DCF!$M$21,0)</f>
        <v>332996.75434647029</v>
      </c>
      <c r="E21" s="20">
        <f>NPV(IF(FixInfl=1,(1+$B21+E$19)*(1+InflLT)-1,$B21+E$19),DCF!$P$37:$S$37)+DCF!$S$37*(1+gLT)/(IF(FixInfl=1,(1+$B21+E$19)*(1+InflLT)-1,$B21+E$19)-gLT)/(1+IF(FixInfl=1,(1+$B21+E$19)*(1+InflLT)-1,$B21+E$19))^(4+1-FixTV)-IF(FixND=1,NDmult*DCF!$M$21,0)</f>
        <v>281862.98380960268</v>
      </c>
      <c r="F21" s="20">
        <f>NPV(IF(FixInfl=1,(1+$B21+F$19)*(1+InflLT)-1,$B21+F$19),DCF!$P$37:$S$37)+DCF!$S$37*(1+gLT)/(IF(FixInfl=1,(1+$B21+F$19)*(1+InflLT)-1,$B21+F$19)-gLT)/(1+IF(FixInfl=1,(1+$B21+F$19)*(1+InflLT)-1,$B21+F$19))^(4+1-FixTV)-IF(FixND=1,NDmult*DCF!$M$21,0)</f>
        <v>243983.23513974753</v>
      </c>
      <c r="G21" s="20">
        <f>NPV(IF(FixInfl=1,(1+$B21+G$19)*(1+InflLT)-1,$B21+G$19),DCF!$P$37:$S$37)+DCF!$S$37*(1+gLT)/(IF(FixInfl=1,(1+$B21+G$19)*(1+InflLT)-1,$B21+G$19)-gLT)/(1+IF(FixInfl=1,(1+$B21+G$19)*(1+InflLT)-1,$B21+G$19))^(4+1-FixTV)-IF(FixND=1,NDmult*DCF!$M$21,0)</f>
        <v>214829.38981226983</v>
      </c>
    </row>
    <row r="22" spans="2:7" ht="13.95" customHeight="1" x14ac:dyDescent="0.3">
      <c r="B22" s="73">
        <v>0.06</v>
      </c>
      <c r="C22" s="20">
        <f>NPV(IF(FixInfl=1,(1+$B22+C$19)*(1+InflLT)-1,$B22+C$19),DCF!$P$37:$S$37)+DCF!$S$37*(1+gLT)/(IF(FixInfl=1,(1+$B22+C$19)*(1+InflLT)-1,$B22+C$19)-gLT)/(1+IF(FixInfl=1,(1+$B22+C$19)*(1+InflLT)-1,$B22+C$19))^(4+1-FixTV)-IF(FixND=1,NDmult*DCF!$M$21,0)</f>
        <v>365883.77698064211</v>
      </c>
      <c r="D22" s="20">
        <f>NPV(IF(FixInfl=1,(1+$B22+D$19)*(1+InflLT)-1,$B22+D$19),DCF!$P$37:$S$37)+DCF!$S$37*(1+gLT)/(IF(FixInfl=1,(1+$B22+D$19)*(1+InflLT)-1,$B22+D$19)-gLT)/(1+IF(FixInfl=1,(1+$B22+D$19)*(1+InflLT)-1,$B22+D$19))^(4+1-FixTV)-IF(FixND=1,NDmult*DCF!$M$21,0)</f>
        <v>305377.75913745427</v>
      </c>
      <c r="E22" s="20">
        <f>NPV(IF(FixInfl=1,(1+$B22+E$19)*(1+InflLT)-1,$B22+E$19),DCF!$P$37:$S$37)+DCF!$S$37*(1+gLT)/(IF(FixInfl=1,(1+$B22+E$19)*(1+InflLT)-1,$B22+E$19)-gLT)/(1+IF(FixInfl=1,(1+$B22+E$19)*(1+InflLT)-1,$B22+E$19))^(4+1-FixTV)-IF(FixND=1,NDmult*DCF!$M$21,0)</f>
        <v>261607.53937690461</v>
      </c>
      <c r="F22" s="20">
        <f>NPV(IF(FixInfl=1,(1+$B22+F$19)*(1+InflLT)-1,$B22+F$19),DCF!$P$37:$S$37)+DCF!$S$37*(1+gLT)/(IF(FixInfl=1,(1+$B22+F$19)*(1+InflLT)-1,$B22+F$19)-gLT)/(1+IF(FixInfl=1,(1+$B22+F$19)*(1+InflLT)-1,$B22+F$19))^(4+1-FixTV)-IF(FixND=1,NDmult*DCF!$M$21,0)</f>
        <v>228513.30562413071</v>
      </c>
      <c r="G22" s="20">
        <f>NPV(IF(FixInfl=1,(1+$B22+G$19)*(1+InflLT)-1,$B22+G$19),DCF!$P$37:$S$37)+DCF!$S$37*(1+gLT)/(IF(FixInfl=1,(1+$B22+G$19)*(1+InflLT)-1,$B22+G$19)-gLT)/(1+IF(FixInfl=1,(1+$B22+G$19)*(1+InflLT)-1,$B22+G$19))^(4+1-FixTV)-IF(FixND=1,NDmult*DCF!$M$21,0)</f>
        <v>202642.38814094261</v>
      </c>
    </row>
    <row r="23" spans="2:7" ht="13.95" customHeight="1" x14ac:dyDescent="0.3">
      <c r="B23" s="73">
        <v>6.5000000000000002E-2</v>
      </c>
      <c r="C23" s="20">
        <f>NPV(IF(FixInfl=1,(1+$B23+C$19)*(1+InflLT)-1,$B23+C$19),DCF!$P$37:$S$37)+DCF!$S$37*(1+gLT)/(IF(FixInfl=1,(1+$B23+C$19)*(1+InflLT)-1,$B23+C$19)-gLT)/(1+IF(FixInfl=1,(1+$B23+C$19)*(1+InflLT)-1,$B23+C$19))^(4+1-FixTV)-IF(FixND=1,NDmult*DCF!$M$21,0)</f>
        <v>332996.75434647029</v>
      </c>
      <c r="D23" s="20">
        <f>NPV(IF(FixInfl=1,(1+$B23+D$19)*(1+InflLT)-1,$B23+D$19),DCF!$P$37:$S$37)+DCF!$S$37*(1+gLT)/(IF(FixInfl=1,(1+$B23+D$19)*(1+InflLT)-1,$B23+D$19)-gLT)/(1+IF(FixInfl=1,(1+$B23+D$19)*(1+InflLT)-1,$B23+D$19))^(4+1-FixTV)-IF(FixND=1,NDmult*DCF!$M$21,0)</f>
        <v>281862.98380960262</v>
      </c>
      <c r="E23" s="20">
        <f>NPV(IF(FixInfl=1,(1+$B23+E$19)*(1+InflLT)-1,$B23+E$19),DCF!$P$37:$S$37)+DCF!$S$37*(1+gLT)/(IF(FixInfl=1,(1+$B23+E$19)*(1+InflLT)-1,$B23+E$19)-gLT)/(1+IF(FixInfl=1,(1+$B23+E$19)*(1+InflLT)-1,$B23+E$19))^(4+1-FixTV)-IF(FixND=1,NDmult*DCF!$M$21,0)</f>
        <v>243983.23513974753</v>
      </c>
      <c r="F23" s="20">
        <f>NPV(IF(FixInfl=1,(1+$B23+F$19)*(1+InflLT)-1,$B23+F$19),DCF!$P$37:$S$37)+DCF!$S$37*(1+gLT)/(IF(FixInfl=1,(1+$B23+F$19)*(1+InflLT)-1,$B23+F$19)-gLT)/(1+IF(FixInfl=1,(1+$B23+F$19)*(1+InflLT)-1,$B23+F$19))^(4+1-FixTV)-IF(FixND=1,NDmult*DCF!$M$21,0)</f>
        <v>214829.38981226983</v>
      </c>
      <c r="G23" s="20">
        <f>NPV(IF(FixInfl=1,(1+$B23+G$19)*(1+InflLT)-1,$B23+G$19),DCF!$P$37:$S$37)+DCF!$S$37*(1+gLT)/(IF(FixInfl=1,(1+$B23+G$19)*(1+InflLT)-1,$B23+G$19)-gLT)/(1+IF(FixInfl=1,(1+$B23+G$19)*(1+InflLT)-1,$B23+G$19))^(4+1-FixTV)-IF(FixND=1,NDmult*DCF!$M$21,0)</f>
        <v>191722.24091712022</v>
      </c>
    </row>
    <row r="24" spans="2:7" ht="13.95" customHeight="1" x14ac:dyDescent="0.3">
      <c r="B24" s="73">
        <v>6.7599999999999993E-2</v>
      </c>
      <c r="C24" s="20">
        <f>NPV(IF(FixInfl=1,(1+$B24+C$19)*(1+InflLT)-1,$B24+C$19),DCF!$P$37:$S$37)+DCF!$S$37*(1+gLT)/(IF(FixInfl=1,(1+$B24+C$19)*(1+InflLT)-1,$B24+C$19)-gLT)/(1+IF(FixInfl=1,(1+$B24+C$19)*(1+InflLT)-1,$B24+C$19))^(4+1-FixTV)-IF(FixND=1,NDmult*DCF!$M$21,0)</f>
        <v>318060.00505256344</v>
      </c>
      <c r="D24" s="20">
        <f>NPV(IF(FixInfl=1,(1+$B24+D$19)*(1+InflLT)-1,$B24+D$19),DCF!$P$37:$S$37)+DCF!$S$37*(1+gLT)/(IF(FixInfl=1,(1+$B24+D$19)*(1+InflLT)-1,$B24+D$19)-gLT)/(1+IF(FixInfl=1,(1+$B24+D$19)*(1+InflLT)-1,$B24+D$19))^(4+1-FixTV)-IF(FixND=1,NDmult*DCF!$M$21,0)</f>
        <v>270967.27495103178</v>
      </c>
      <c r="E24" s="20">
        <f>NPV(IF(FixInfl=1,(1+$B24+E$19)*(1+InflLT)-1,$B24+E$19),DCF!$P$37:$S$37)+DCF!$S$37*(1+gLT)/(IF(FixInfl=1,(1+$B24+E$19)*(1+InflLT)-1,$B24+E$19)-gLT)/(1+IF(FixInfl=1,(1+$B24+E$19)*(1+InflLT)-1,$B24+E$19))^(4+1-FixTV)-IF(FixND=1,NDmult*DCF!$M$21,0)</f>
        <v>235695.43773555552</v>
      </c>
      <c r="F24" s="20">
        <f>NPV(IF(FixInfl=1,(1+$B24+F$19)*(1+InflLT)-1,$B24+F$19),DCF!$P$37:$S$37)+DCF!$S$37*(1+gLT)/(IF(FixInfl=1,(1+$B24+F$19)*(1+InflLT)-1,$B24+F$19)-gLT)/(1+IF(FixInfl=1,(1+$B24+F$19)*(1+InflLT)-1,$B24+F$19))^(4+1-FixTV)-IF(FixND=1,NDmult*DCF!$M$21,0)</f>
        <v>208321.07035811001</v>
      </c>
      <c r="G24" s="20">
        <f>NPV(IF(FixInfl=1,(1+$B24+G$19)*(1+InflLT)-1,$B24+G$19),DCF!$P$37:$S$37)+DCF!$S$37*(1+gLT)/(IF(FixInfl=1,(1+$B24+G$19)*(1+InflLT)-1,$B24+G$19)-gLT)/(1+IF(FixInfl=1,(1+$B24+G$19)*(1+InflLT)-1,$B24+G$19))^(4+1-FixTV)-IF(FixND=1,NDmult*DCF!$M$21,0)</f>
        <v>186481.42508859478</v>
      </c>
    </row>
    <row r="25" spans="2:7" ht="13.95" customHeight="1" x14ac:dyDescent="0.3">
      <c r="B25" s="73">
        <v>7.0000000000000007E-2</v>
      </c>
      <c r="C25" s="20">
        <f>NPV(IF(FixInfl=1,(1+$B25+C$19)*(1+InflLT)-1,$B25+C$19),DCF!$P$37:$S$37)+DCF!$S$37*(1+gLT)/(IF(FixInfl=1,(1+$B25+C$19)*(1+InflLT)-1,$B25+C$19)-gLT)/(1+IF(FixInfl=1,(1+$B25+C$19)*(1+InflLT)-1,$B25+C$19))^(4+1-FixTV)-IF(FixND=1,NDmult*DCF!$M$21,0)</f>
        <v>305377.75913745421</v>
      </c>
      <c r="D25" s="20">
        <f>NPV(IF(FixInfl=1,(1+$B25+D$19)*(1+InflLT)-1,$B25+D$19),DCF!$P$37:$S$37)+DCF!$S$37*(1+gLT)/(IF(FixInfl=1,(1+$B25+D$19)*(1+InflLT)-1,$B25+D$19)-gLT)/(1+IF(FixInfl=1,(1+$B25+D$19)*(1+InflLT)-1,$B25+D$19))^(4+1-FixTV)-IF(FixND=1,NDmult*DCF!$M$21,0)</f>
        <v>261607.53937690455</v>
      </c>
      <c r="E25" s="20">
        <f>NPV(IF(FixInfl=1,(1+$B25+E$19)*(1+InflLT)-1,$B25+E$19),DCF!$P$37:$S$37)+DCF!$S$37*(1+gLT)/(IF(FixInfl=1,(1+$B25+E$19)*(1+InflLT)-1,$B25+E$19)-gLT)/(1+IF(FixInfl=1,(1+$B25+E$19)*(1+InflLT)-1,$B25+E$19))^(4+1-FixTV)-IF(FixND=1,NDmult*DCF!$M$21,0)</f>
        <v>228513.30562413071</v>
      </c>
      <c r="F25" s="20">
        <f>NPV(IF(FixInfl=1,(1+$B25+F$19)*(1+InflLT)-1,$B25+F$19),DCF!$P$37:$S$37)+DCF!$S$37*(1+gLT)/(IF(FixInfl=1,(1+$B25+F$19)*(1+InflLT)-1,$B25+F$19)-gLT)/(1+IF(FixInfl=1,(1+$B25+F$19)*(1+InflLT)-1,$B25+F$19))^(4+1-FixTV)-IF(FixND=1,NDmult*DCF!$M$21,0)</f>
        <v>202642.38814094261</v>
      </c>
      <c r="G25" s="20">
        <f>NPV(IF(FixInfl=1,(1+$B25+G$19)*(1+InflLT)-1,$B25+G$19),DCF!$P$37:$S$37)+DCF!$S$37*(1+gLT)/(IF(FixInfl=1,(1+$B25+G$19)*(1+InflLT)-1,$B25+G$19)-gLT)/(1+IF(FixInfl=1,(1+$B25+G$19)*(1+InflLT)-1,$B25+G$19))^(4+1-FixTV)-IF(FixND=1,NDmult*DCF!$M$21,0)</f>
        <v>181883.59659697782</v>
      </c>
    </row>
    <row r="26" spans="2:7" ht="13.95" customHeight="1" x14ac:dyDescent="0.3">
      <c r="B26" s="73">
        <v>7.4999999999999997E-2</v>
      </c>
      <c r="C26" s="20">
        <f>NPV(IF(FixInfl=1,(1+$B26+C$19)*(1+InflLT)-1,$B26+C$19),DCF!$P$37:$S$37)+DCF!$S$37*(1+gLT)/(IF(FixInfl=1,(1+$B26+C$19)*(1+InflLT)-1,$B26+C$19)-gLT)/(1+IF(FixInfl=1,(1+$B26+C$19)*(1+InflLT)-1,$B26+C$19))^(4+1-FixTV)-IF(FixND=1,NDmult*DCF!$M$21,0)</f>
        <v>281862.98380960268</v>
      </c>
      <c r="D26" s="20">
        <f>NPV(IF(FixInfl=1,(1+$B26+D$19)*(1+InflLT)-1,$B26+D$19),DCF!$P$37:$S$37)+DCF!$S$37*(1+gLT)/(IF(FixInfl=1,(1+$B26+D$19)*(1+InflLT)-1,$B26+D$19)-gLT)/(1+IF(FixInfl=1,(1+$B26+D$19)*(1+InflLT)-1,$B26+D$19))^(4+1-FixTV)-IF(FixND=1,NDmult*DCF!$M$21,0)</f>
        <v>243983.23513974753</v>
      </c>
      <c r="E26" s="20">
        <f>NPV(IF(FixInfl=1,(1+$B26+E$19)*(1+InflLT)-1,$B26+E$19),DCF!$P$37:$S$37)+DCF!$S$37*(1+gLT)/(IF(FixInfl=1,(1+$B26+E$19)*(1+InflLT)-1,$B26+E$19)-gLT)/(1+IF(FixInfl=1,(1+$B26+E$19)*(1+InflLT)-1,$B26+E$19))^(4+1-FixTV)-IF(FixND=1,NDmult*DCF!$M$21,0)</f>
        <v>214829.38981226983</v>
      </c>
      <c r="F26" s="20">
        <f>NPV(IF(FixInfl=1,(1+$B26+F$19)*(1+InflLT)-1,$B26+F$19),DCF!$P$37:$S$37)+DCF!$S$37*(1+gLT)/(IF(FixInfl=1,(1+$B26+F$19)*(1+InflLT)-1,$B26+F$19)-gLT)/(1+IF(FixInfl=1,(1+$B26+F$19)*(1+InflLT)-1,$B26+F$19))^(4+1-FixTV)-IF(FixND=1,NDmult*DCF!$M$21,0)</f>
        <v>191722.24091712022</v>
      </c>
      <c r="G26" s="20">
        <f>NPV(IF(FixInfl=1,(1+$B26+G$19)*(1+InflLT)-1,$B26+G$19),DCF!$P$37:$S$37)+DCF!$S$37*(1+gLT)/(IF(FixInfl=1,(1+$B26+G$19)*(1+InflLT)-1,$B26+G$19)-gLT)/(1+IF(FixInfl=1,(1+$B26+G$19)*(1+InflLT)-1,$B26+G$19))^(4+1-FixTV)-IF(FixND=1,NDmult*DCF!$M$21,0)</f>
        <v>172975.46117234265</v>
      </c>
    </row>
    <row r="27" spans="2:7" ht="13.95" customHeight="1" x14ac:dyDescent="0.3">
      <c r="B27" s="73">
        <v>0.08</v>
      </c>
      <c r="C27" s="20">
        <f>NPV(IF(FixInfl=1,(1+$B27+C$19)*(1+InflLT)-1,$B27+C$19),DCF!$P$37:$S$37)+DCF!$S$37*(1+gLT)/(IF(FixInfl=1,(1+$B27+C$19)*(1+InflLT)-1,$B27+C$19)-gLT)/(1+IF(FixInfl=1,(1+$B27+C$19)*(1+InflLT)-1,$B27+C$19))^(4+1-FixTV)-IF(FixND=1,NDmult*DCF!$M$21,0)</f>
        <v>261607.53937690461</v>
      </c>
      <c r="D27" s="20">
        <f>NPV(IF(FixInfl=1,(1+$B27+D$19)*(1+InflLT)-1,$B27+D$19),DCF!$P$37:$S$37)+DCF!$S$37*(1+gLT)/(IF(FixInfl=1,(1+$B27+D$19)*(1+InflLT)-1,$B27+D$19)-gLT)/(1+IF(FixInfl=1,(1+$B27+D$19)*(1+InflLT)-1,$B27+D$19))^(4+1-FixTV)-IF(FixND=1,NDmult*DCF!$M$21,0)</f>
        <v>228513.30562413071</v>
      </c>
      <c r="E27" s="20">
        <f>NPV(IF(FixInfl=1,(1+$B27+E$19)*(1+InflLT)-1,$B27+E$19),DCF!$P$37:$S$37)+DCF!$S$37*(1+gLT)/(IF(FixInfl=1,(1+$B27+E$19)*(1+InflLT)-1,$B27+E$19)-gLT)/(1+IF(FixInfl=1,(1+$B27+E$19)*(1+InflLT)-1,$B27+E$19))^(4+1-FixTV)-IF(FixND=1,NDmult*DCF!$M$21,0)</f>
        <v>202642.38814094261</v>
      </c>
      <c r="F27" s="20">
        <f>NPV(IF(FixInfl=1,(1+$B27+F$19)*(1+InflLT)-1,$B27+F$19),DCF!$P$37:$S$37)+DCF!$S$37*(1+gLT)/(IF(FixInfl=1,(1+$B27+F$19)*(1+InflLT)-1,$B27+F$19)-gLT)/(1+IF(FixInfl=1,(1+$B27+F$19)*(1+InflLT)-1,$B27+F$19))^(4+1-FixTV)-IF(FixND=1,NDmult*DCF!$M$21,0)</f>
        <v>181883.59659697782</v>
      </c>
      <c r="G27" s="20">
        <f>NPV(IF(FixInfl=1,(1+$B27+G$19)*(1+InflLT)-1,$B27+G$19),DCF!$P$37:$S$37)+DCF!$S$37*(1+gLT)/(IF(FixInfl=1,(1+$B27+G$19)*(1+InflLT)-1,$B27+G$19)-gLT)/(1+IF(FixInfl=1,(1+$B27+G$19)*(1+InflLT)-1,$B27+G$19))^(4+1-FixTV)-IF(FixND=1,NDmult*DCF!$M$21,0)</f>
        <v>164873.59557466069</v>
      </c>
    </row>
    <row r="28" spans="2:7" ht="13.95" customHeight="1" x14ac:dyDescent="0.3">
      <c r="B28" s="73">
        <v>8.5000000000000006E-2</v>
      </c>
      <c r="C28" s="20">
        <f>NPV(IF(FixInfl=1,(1+$B28+C$19)*(1+InflLT)-1,$B28+C$19),DCF!$P$37:$S$37)+DCF!$S$37*(1+gLT)/(IF(FixInfl=1,(1+$B28+C$19)*(1+InflLT)-1,$B28+C$19)-gLT)/(1+IF(FixInfl=1,(1+$B28+C$19)*(1+InflLT)-1,$B28+C$19))^(4+1-FixTV)-IF(FixND=1,NDmult*DCF!$M$21,0)</f>
        <v>243983.23513974753</v>
      </c>
      <c r="D28" s="20">
        <f>NPV(IF(FixInfl=1,(1+$B28+D$19)*(1+InflLT)-1,$B28+D$19),DCF!$P$37:$S$37)+DCF!$S$37*(1+gLT)/(IF(FixInfl=1,(1+$B28+D$19)*(1+InflLT)-1,$B28+D$19)-gLT)/(1+IF(FixInfl=1,(1+$B28+D$19)*(1+InflLT)-1,$B28+D$19))^(4+1-FixTV)-IF(FixND=1,NDmult*DCF!$M$21,0)</f>
        <v>214829.38981226983</v>
      </c>
      <c r="E28" s="20">
        <f>NPV(IF(FixInfl=1,(1+$B28+E$19)*(1+InflLT)-1,$B28+E$19),DCF!$P$37:$S$37)+DCF!$S$37*(1+gLT)/(IF(FixInfl=1,(1+$B28+E$19)*(1+InflLT)-1,$B28+E$19)-gLT)/(1+IF(FixInfl=1,(1+$B28+E$19)*(1+InflLT)-1,$B28+E$19))^(4+1-FixTV)-IF(FixND=1,NDmult*DCF!$M$21,0)</f>
        <v>191722.24091712022</v>
      </c>
      <c r="F28" s="20">
        <f>NPV(IF(FixInfl=1,(1+$B28+F$19)*(1+InflLT)-1,$B28+F$19),DCF!$P$37:$S$37)+DCF!$S$37*(1+gLT)/(IF(FixInfl=1,(1+$B28+F$19)*(1+InflLT)-1,$B28+F$19)-gLT)/(1+IF(FixInfl=1,(1+$B28+F$19)*(1+InflLT)-1,$B28+F$19))^(4+1-FixTV)-IF(FixND=1,NDmult*DCF!$M$21,0)</f>
        <v>172975.46117234262</v>
      </c>
      <c r="G28" s="20">
        <f>NPV(IF(FixInfl=1,(1+$B28+G$19)*(1+InflLT)-1,$B28+G$19),DCF!$P$37:$S$37)+DCF!$S$37*(1+gLT)/(IF(FixInfl=1,(1+$B28+G$19)*(1+InflLT)-1,$B28+G$19)-gLT)/(1+IF(FixInfl=1,(1+$B28+G$19)*(1+InflLT)-1,$B28+G$19))^(4+1-FixTV)-IF(FixND=1,NDmult*DCF!$M$21,0)</f>
        <v>157474.84600332839</v>
      </c>
    </row>
    <row r="29" spans="2:7" ht="13.95" customHeight="1" x14ac:dyDescent="0.3">
      <c r="B29" s="73">
        <v>0.09</v>
      </c>
      <c r="C29" s="20">
        <f>NPV(IF(FixInfl=1,(1+$B29+C$19)*(1+InflLT)-1,$B29+C$19),DCF!$P$37:$S$37)+DCF!$S$37*(1+gLT)/(IF(FixInfl=1,(1+$B29+C$19)*(1+InflLT)-1,$B29+C$19)-gLT)/(1+IF(FixInfl=1,(1+$B29+C$19)*(1+InflLT)-1,$B29+C$19))^(4+1-FixTV)-IF(FixND=1,NDmult*DCF!$M$21,0)</f>
        <v>228513.30562413071</v>
      </c>
      <c r="D29" s="20">
        <f>NPV(IF(FixInfl=1,(1+$B29+D$19)*(1+InflLT)-1,$B29+D$19),DCF!$P$37:$S$37)+DCF!$S$37*(1+gLT)/(IF(FixInfl=1,(1+$B29+D$19)*(1+InflLT)-1,$B29+D$19)-gLT)/(1+IF(FixInfl=1,(1+$B29+D$19)*(1+InflLT)-1,$B29+D$19))^(4+1-FixTV)-IF(FixND=1,NDmult*DCF!$M$21,0)</f>
        <v>202642.38814094261</v>
      </c>
      <c r="E29" s="20">
        <f>NPV(IF(FixInfl=1,(1+$B29+E$19)*(1+InflLT)-1,$B29+E$19),DCF!$P$37:$S$37)+DCF!$S$37*(1+gLT)/(IF(FixInfl=1,(1+$B29+E$19)*(1+InflLT)-1,$B29+E$19)-gLT)/(1+IF(FixInfl=1,(1+$B29+E$19)*(1+InflLT)-1,$B29+E$19))^(4+1-FixTV)-IF(FixND=1,NDmult*DCF!$M$21,0)</f>
        <v>181883.59659697785</v>
      </c>
      <c r="F29" s="20">
        <f>NPV(IF(FixInfl=1,(1+$B29+F$19)*(1+InflLT)-1,$B29+F$19),DCF!$P$37:$S$37)+DCF!$S$37*(1+gLT)/(IF(FixInfl=1,(1+$B29+F$19)*(1+InflLT)-1,$B29+F$19)-gLT)/(1+IF(FixInfl=1,(1+$B29+F$19)*(1+InflLT)-1,$B29+F$19))^(4+1-FixTV)-IF(FixND=1,NDmult*DCF!$M$21,0)</f>
        <v>164873.59557466069</v>
      </c>
      <c r="G29" s="20">
        <f>NPV(IF(FixInfl=1,(1+$B29+G$19)*(1+InflLT)-1,$B29+G$19),DCF!$P$37:$S$37)+DCF!$S$37*(1+gLT)/(IF(FixInfl=1,(1+$B29+G$19)*(1+InflLT)-1,$B29+G$19)-gLT)/(1+IF(FixInfl=1,(1+$B29+G$19)*(1+InflLT)-1,$B29+G$19))^(4+1-FixTV)-IF(FixND=1,NDmult*DCF!$M$21,0)</f>
        <v>150692.85715634696</v>
      </c>
    </row>
    <row r="30" spans="2:7" ht="13.95" customHeight="1" x14ac:dyDescent="0.3">
      <c r="B30" s="73">
        <v>9.5000000000000001E-2</v>
      </c>
      <c r="C30" s="20">
        <f>NPV(IF(FixInfl=1,(1+$B30+C$19)*(1+InflLT)-1,$B30+C$19),DCF!$P$37:$S$37)+DCF!$S$37*(1+gLT)/(IF(FixInfl=1,(1+$B30+C$19)*(1+InflLT)-1,$B30+C$19)-gLT)/(1+IF(FixInfl=1,(1+$B30+C$19)*(1+InflLT)-1,$B30+C$19))^(4+1-FixTV)-IF(FixND=1,NDmult*DCF!$M$21,0)</f>
        <v>214829.38981226983</v>
      </c>
      <c r="D30" s="20">
        <f>NPV(IF(FixInfl=1,(1+$B30+D$19)*(1+InflLT)-1,$B30+D$19),DCF!$P$37:$S$37)+DCF!$S$37*(1+gLT)/(IF(FixInfl=1,(1+$B30+D$19)*(1+InflLT)-1,$B30+D$19)-gLT)/(1+IF(FixInfl=1,(1+$B30+D$19)*(1+InflLT)-1,$B30+D$19))^(4+1-FixTV)-IF(FixND=1,NDmult*DCF!$M$21,0)</f>
        <v>191722.24091712022</v>
      </c>
      <c r="E30" s="20">
        <f>NPV(IF(FixInfl=1,(1+$B30+E$19)*(1+InflLT)-1,$B30+E$19),DCF!$P$37:$S$37)+DCF!$S$37*(1+gLT)/(IF(FixInfl=1,(1+$B30+E$19)*(1+InflLT)-1,$B30+E$19)-gLT)/(1+IF(FixInfl=1,(1+$B30+E$19)*(1+InflLT)-1,$B30+E$19))^(4+1-FixTV)-IF(FixND=1,NDmult*DCF!$M$21,0)</f>
        <v>172975.46117234265</v>
      </c>
      <c r="F30" s="20">
        <f>NPV(IF(FixInfl=1,(1+$B30+F$19)*(1+InflLT)-1,$B30+F$19),DCF!$P$37:$S$37)+DCF!$S$37*(1+gLT)/(IF(FixInfl=1,(1+$B30+F$19)*(1+InflLT)-1,$B30+F$19)-gLT)/(1+IF(FixInfl=1,(1+$B30+F$19)*(1+InflLT)-1,$B30+F$19))^(4+1-FixTV)-IF(FixND=1,NDmult*DCF!$M$21,0)</f>
        <v>157474.84600332839</v>
      </c>
      <c r="G30" s="20">
        <f>NPV(IF(FixInfl=1,(1+$B30+G$19)*(1+InflLT)-1,$B30+G$19),DCF!$P$37:$S$37)+DCF!$S$37*(1+gLT)/(IF(FixInfl=1,(1+$B30+G$19)*(1+InflLT)-1,$B30+G$19)-gLT)/(1+IF(FixInfl=1,(1+$B30+G$19)*(1+InflLT)-1,$B30+G$19))^(4+1-FixTV)-IF(FixND=1,NDmult*DCF!$M$21,0)</f>
        <v>144454.79022329138</v>
      </c>
    </row>
    <row r="34" spans="2:7" ht="13.95" customHeight="1" x14ac:dyDescent="0.3">
      <c r="B34" s="120" t="s">
        <v>200</v>
      </c>
      <c r="C34" s="120"/>
      <c r="D34" s="120"/>
      <c r="E34" s="120"/>
      <c r="F34" s="120"/>
      <c r="G34" s="120"/>
    </row>
    <row r="35" spans="2:7" ht="13.95" customHeight="1" x14ac:dyDescent="0.3">
      <c r="B35" s="17" t="s">
        <v>199</v>
      </c>
      <c r="C35" s="74">
        <f>C$19</f>
        <v>0.04</v>
      </c>
      <c r="D35" s="74">
        <f>D$19</f>
        <v>0.05</v>
      </c>
      <c r="E35" s="74">
        <f>E$19</f>
        <v>0.06</v>
      </c>
      <c r="F35" s="74">
        <f>F$19</f>
        <v>7.0000000000000007E-2</v>
      </c>
      <c r="G35" s="74">
        <f>G$19</f>
        <v>0.08</v>
      </c>
    </row>
    <row r="36" spans="2:7" ht="13.95" customHeight="1" x14ac:dyDescent="0.3">
      <c r="B36" s="75">
        <f>$B$20</f>
        <v>0.05</v>
      </c>
      <c r="C36" s="21">
        <f t="shared" ref="C36:G46" si="1">C20/IbovUsed-1</f>
        <v>1.1821238617837926</v>
      </c>
      <c r="D36" s="21">
        <f t="shared" si="1"/>
        <v>0.75541144072674715</v>
      </c>
      <c r="E36" s="21">
        <f t="shared" si="1"/>
        <v>0.46511992566903504</v>
      </c>
      <c r="F36" s="21">
        <f t="shared" si="1"/>
        <v>0.25512224508081349</v>
      </c>
      <c r="G36" s="21">
        <f t="shared" si="1"/>
        <v>9.6345058972400643E-2</v>
      </c>
    </row>
    <row r="37" spans="2:7" ht="13.95" customHeight="1" x14ac:dyDescent="0.3">
      <c r="B37" s="75">
        <f>$B$21</f>
        <v>5.5E-2</v>
      </c>
      <c r="C37" s="21">
        <f t="shared" si="1"/>
        <v>0.94637971626680351</v>
      </c>
      <c r="D37" s="21">
        <f t="shared" si="1"/>
        <v>0.59762839754328545</v>
      </c>
      <c r="E37" s="21">
        <f t="shared" si="1"/>
        <v>0.35230239115775874</v>
      </c>
      <c r="F37" s="21">
        <f t="shared" si="1"/>
        <v>0.17056559830062268</v>
      </c>
      <c r="G37" s="21">
        <f t="shared" si="1"/>
        <v>3.0693330523797968E-2</v>
      </c>
    </row>
    <row r="38" spans="2:7" ht="13.95" customHeight="1" x14ac:dyDescent="0.3">
      <c r="B38" s="75">
        <f>$B$22</f>
        <v>0.06</v>
      </c>
      <c r="C38" s="21">
        <f t="shared" si="1"/>
        <v>0.75541144072674715</v>
      </c>
      <c r="D38" s="21">
        <f t="shared" si="1"/>
        <v>0.46511992566903504</v>
      </c>
      <c r="E38" s="21">
        <f t="shared" si="1"/>
        <v>0.25512224508081394</v>
      </c>
      <c r="F38" s="21">
        <f t="shared" si="1"/>
        <v>9.6345058972400643E-2</v>
      </c>
      <c r="G38" s="21">
        <f t="shared" si="1"/>
        <v>-2.7776608587866014E-2</v>
      </c>
    </row>
    <row r="39" spans="2:7" ht="13.95" customHeight="1" x14ac:dyDescent="0.3">
      <c r="B39" s="75">
        <f>$B$23</f>
        <v>6.5000000000000002E-2</v>
      </c>
      <c r="C39" s="21">
        <f t="shared" si="1"/>
        <v>0.59762839754328545</v>
      </c>
      <c r="D39" s="21">
        <f t="shared" si="1"/>
        <v>0.3523023911577583</v>
      </c>
      <c r="E39" s="21">
        <f t="shared" si="1"/>
        <v>0.17056559830062268</v>
      </c>
      <c r="F39" s="21">
        <f t="shared" si="1"/>
        <v>3.0693330523797968E-2</v>
      </c>
      <c r="G39" s="21">
        <f t="shared" si="1"/>
        <v>-8.0168522570246425E-2</v>
      </c>
    </row>
    <row r="40" spans="2:7" ht="13.95" customHeight="1" x14ac:dyDescent="0.3">
      <c r="B40" s="75">
        <f>$B$24</f>
        <v>6.7599999999999993E-2</v>
      </c>
      <c r="C40" s="21">
        <f t="shared" si="1"/>
        <v>0.5259659127669285</v>
      </c>
      <c r="D40" s="21">
        <f t="shared" si="1"/>
        <v>0.3000277258446391</v>
      </c>
      <c r="E40" s="21">
        <f t="shared" si="1"/>
        <v>0.13080298706433968</v>
      </c>
      <c r="F40" s="21">
        <f t="shared" si="1"/>
        <v>-5.3182661220985139E-4</v>
      </c>
      <c r="G40" s="21">
        <f t="shared" si="1"/>
        <v>-0.10531253999581847</v>
      </c>
    </row>
    <row r="41" spans="2:7" ht="13.95" customHeight="1" x14ac:dyDescent="0.3">
      <c r="B41" s="75">
        <f>$B$25</f>
        <v>7.0000000000000007E-2</v>
      </c>
      <c r="C41" s="21">
        <f t="shared" si="1"/>
        <v>0.46511992566903482</v>
      </c>
      <c r="D41" s="21">
        <f t="shared" si="1"/>
        <v>0.25512224508081349</v>
      </c>
      <c r="E41" s="21">
        <f t="shared" si="1"/>
        <v>9.6345058972400643E-2</v>
      </c>
      <c r="F41" s="21">
        <f t="shared" si="1"/>
        <v>-2.7776608587866014E-2</v>
      </c>
      <c r="G41" s="21">
        <f t="shared" si="1"/>
        <v>-0.12737167801852134</v>
      </c>
    </row>
    <row r="42" spans="2:7" ht="13.95" customHeight="1" x14ac:dyDescent="0.3">
      <c r="B42" s="75">
        <f>$B$26</f>
        <v>7.4999999999999997E-2</v>
      </c>
      <c r="C42" s="21">
        <f t="shared" si="1"/>
        <v>0.35230239115775874</v>
      </c>
      <c r="D42" s="21">
        <f t="shared" si="1"/>
        <v>0.17056559830062268</v>
      </c>
      <c r="E42" s="21">
        <f t="shared" si="1"/>
        <v>3.0693330523797968E-2</v>
      </c>
      <c r="F42" s="21">
        <f t="shared" si="1"/>
        <v>-8.0168522570246425E-2</v>
      </c>
      <c r="G42" s="21">
        <f t="shared" si="1"/>
        <v>-0.17011050336079692</v>
      </c>
    </row>
    <row r="43" spans="2:7" ht="13.95" customHeight="1" x14ac:dyDescent="0.3">
      <c r="B43" s="75">
        <f>$B$27</f>
        <v>0.08</v>
      </c>
      <c r="C43" s="21">
        <f t="shared" si="1"/>
        <v>0.25512224508081394</v>
      </c>
      <c r="D43" s="21">
        <f t="shared" si="1"/>
        <v>9.6345058972400643E-2</v>
      </c>
      <c r="E43" s="21">
        <f t="shared" si="1"/>
        <v>-2.7776608587866014E-2</v>
      </c>
      <c r="F43" s="21">
        <f t="shared" si="1"/>
        <v>-0.12737167801852134</v>
      </c>
      <c r="G43" s="21">
        <f t="shared" si="1"/>
        <v>-0.20898106405841921</v>
      </c>
    </row>
    <row r="44" spans="2:7" ht="13.95" customHeight="1" x14ac:dyDescent="0.3">
      <c r="B44" s="75">
        <f>$B$28</f>
        <v>8.5000000000000006E-2</v>
      </c>
      <c r="C44" s="21">
        <f t="shared" si="1"/>
        <v>0.17056559830062268</v>
      </c>
      <c r="D44" s="21">
        <f t="shared" si="1"/>
        <v>3.0693330523797968E-2</v>
      </c>
      <c r="E44" s="21">
        <f t="shared" si="1"/>
        <v>-8.0168522570246425E-2</v>
      </c>
      <c r="F44" s="21">
        <f t="shared" si="1"/>
        <v>-0.17011050336079714</v>
      </c>
      <c r="G44" s="21">
        <f t="shared" si="1"/>
        <v>-0.24447826415777207</v>
      </c>
    </row>
    <row r="45" spans="2:7" ht="13.95" customHeight="1" x14ac:dyDescent="0.3">
      <c r="B45" s="75">
        <f>$B$29</f>
        <v>0.09</v>
      </c>
      <c r="C45" s="21">
        <f t="shared" si="1"/>
        <v>9.6345058972400643E-2</v>
      </c>
      <c r="D45" s="21">
        <f t="shared" si="1"/>
        <v>-2.7776608587866014E-2</v>
      </c>
      <c r="E45" s="21">
        <f t="shared" si="1"/>
        <v>-0.12737167801852112</v>
      </c>
      <c r="F45" s="21">
        <f t="shared" si="1"/>
        <v>-0.20898106405841921</v>
      </c>
      <c r="G45" s="21">
        <f t="shared" si="1"/>
        <v>-0.27701641305061653</v>
      </c>
    </row>
    <row r="46" spans="2:7" ht="13.95" customHeight="1" x14ac:dyDescent="0.3">
      <c r="B46" s="75">
        <f>$B$30</f>
        <v>9.5000000000000001E-2</v>
      </c>
      <c r="C46" s="21">
        <f t="shared" si="1"/>
        <v>3.0693330523797968E-2</v>
      </c>
      <c r="D46" s="21">
        <f t="shared" si="1"/>
        <v>-8.0168522570246425E-2</v>
      </c>
      <c r="E46" s="21">
        <f t="shared" si="1"/>
        <v>-0.17011050336079692</v>
      </c>
      <c r="F46" s="21">
        <f t="shared" si="1"/>
        <v>-0.24447826415777207</v>
      </c>
      <c r="G46" s="21">
        <f t="shared" si="1"/>
        <v>-0.30694497165649404</v>
      </c>
    </row>
    <row r="51" spans="2:2" ht="13.95" customHeight="1" x14ac:dyDescent="0.3">
      <c r="B51" s="14" t="s">
        <v>201</v>
      </c>
    </row>
  </sheetData>
  <mergeCells count="3">
    <mergeCell ref="B5:G5"/>
    <mergeCell ref="B18:G18"/>
    <mergeCell ref="B34:G34"/>
  </mergeCells>
  <conditionalFormatting sqref="C36:G46">
    <cfRule type="colorScale" priority="2">
      <colorScale>
        <cfvo type="min"/>
        <cfvo type="num" val="0"/>
        <cfvo type="max"/>
        <color rgb="FFF8696B"/>
        <color rgb="FFFFEB84"/>
        <color rgb="FF63BE7B"/>
      </colorScale>
    </cfRule>
  </conditionalFormatting>
  <pageMargins left="0.4" right="0.4" top="1.25" bottom="0.5" header="0.3" footer="0.3"/>
  <pageSetup paperSize="9" fitToHeight="0" orientation="landscape"/>
  <headerFooter>
    <oddHeader>&amp;L&amp;G</oddHeader>
    <oddFooter>&amp;R&amp;"Calibri"&amp;10&amp;K008000[ CLASSIFICAÇÃO: PÚBLICA ]</oddFooter>
  </headerFooter>
  <legacyDrawingHF r:id="rId1"/>
  <extLst>
    <ext xmlns:x14="http://schemas.microsoft.com/office/spreadsheetml/2009/9/main" uri="{78C0D931-6437-407d-A8EE-F0AAD7539E65}">
      <x14:conditionalFormattings>
        <x14:conditionalFormatting xmlns:xm="http://schemas.microsoft.com/office/excel/2006/main">
          <x14:cfRule type="expression" priority="1" id="{00000000-000E-0000-0500-000001000000}">
            <xm:f>AND(ROUND($B20-Assumptions!$D$20,4)=0,ROUND(C$19-Assumptions!$D$21,3)=0)</xm:f>
            <x14:dxf>
              <font>
                <b/>
                <color rgb="FF18191A"/>
              </font>
              <border>
                <left style="medium">
                  <color rgb="FF1F2F44"/>
                </left>
                <right style="medium">
                  <color rgb="FF1F2F44"/>
                </right>
                <top style="medium">
                  <color rgb="FF1F2F44"/>
                </top>
                <bottom style="medium">
                  <color rgb="FF1F2F44"/>
                </bottom>
                <vertical/>
                <horizontal/>
              </border>
            </x14:dxf>
          </x14:cfRule>
          <xm:sqref>C20:G30</xm:sqref>
        </x14:conditionalFormatting>
        <x14:conditionalFormatting xmlns:xm="http://schemas.microsoft.com/office/excel/2006/main">
          <x14:cfRule type="expression" priority="3" id="{00000000-000E-0000-0500-000003000000}">
            <xm:f>AND(ROUND($B36-Assumptions!$D$20,4)=0,ROUND(C$35-Assumptions!$D$21,3)=0)</xm:f>
            <x14:dxf>
              <font>
                <b/>
                <color rgb="FF18191A"/>
              </font>
              <border>
                <left style="medium">
                  <color rgb="FF1F2F44"/>
                </left>
                <right style="medium">
                  <color rgb="FF1F2F44"/>
                </right>
                <top style="medium">
                  <color rgb="FF1F2F44"/>
                </top>
                <bottom style="medium">
                  <color rgb="FF1F2F44"/>
                </bottom>
                <vertical/>
                <horizontal/>
              </border>
            </x14:dxf>
          </x14:cfRule>
          <xm:sqref>C36:G46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9C113"/>
  </sheetPr>
  <dimension ref="A1"/>
  <sheetViews>
    <sheetView showGridLines="0" zoomScale="85" zoomScaleNormal="85" workbookViewId="0"/>
  </sheetViews>
  <sheetFormatPr defaultRowHeight="13.95" customHeight="1"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I151"/>
  <sheetViews>
    <sheetView showGridLines="0" zoomScale="85" zoomScaleNormal="85" workbookViewId="0">
      <pane xSplit="2" ySplit="4" topLeftCell="C5" activePane="bottomRight" state="frozen"/>
      <selection pane="topRight" activeCell="C1" sqref="C1"/>
      <selection pane="bottomLeft" activeCell="A5" sqref="A5"/>
      <selection pane="bottomRight"/>
    </sheetView>
  </sheetViews>
  <sheetFormatPr defaultRowHeight="13.95" customHeight="1" x14ac:dyDescent="0.3"/>
  <cols>
    <col min="1" max="1" width="2.6640625" customWidth="1"/>
    <col min="2" max="2" width="46.6640625" customWidth="1"/>
    <col min="3" max="9" width="14.6640625" customWidth="1"/>
  </cols>
  <sheetData>
    <row r="1" spans="2:9" ht="30" customHeight="1" x14ac:dyDescent="0.3">
      <c r="B1" s="15" t="s">
        <v>526</v>
      </c>
    </row>
    <row r="2" spans="2:9" ht="13.95" customHeight="1" x14ac:dyDescent="0.3">
      <c r="B2" s="14" t="s">
        <v>527</v>
      </c>
    </row>
    <row r="3" spans="2:9" ht="13.95" customHeight="1" x14ac:dyDescent="0.3">
      <c r="B3" s="14" t="s">
        <v>2</v>
      </c>
      <c r="C3" s="38" t="s">
        <v>3</v>
      </c>
      <c r="D3" s="39" t="s">
        <v>4</v>
      </c>
      <c r="E3" s="40" t="s">
        <v>5</v>
      </c>
    </row>
    <row r="5" spans="2:9" ht="13.95" customHeight="1" x14ac:dyDescent="0.3">
      <c r="B5" s="120" t="s">
        <v>528</v>
      </c>
      <c r="C5" s="120"/>
      <c r="D5" s="120"/>
      <c r="E5" s="120"/>
      <c r="F5" s="120"/>
      <c r="G5" s="120"/>
      <c r="H5" s="120"/>
      <c r="I5" s="120"/>
    </row>
    <row r="6" spans="2:9" ht="58.05" customHeight="1" x14ac:dyDescent="0.3">
      <c r="B6" s="17" t="s">
        <v>423</v>
      </c>
      <c r="C6" s="18" t="s">
        <v>529</v>
      </c>
      <c r="D6" s="18" t="s">
        <v>530</v>
      </c>
      <c r="E6" s="18" t="s">
        <v>531</v>
      </c>
      <c r="F6" s="18" t="s">
        <v>532</v>
      </c>
      <c r="G6" s="18" t="s">
        <v>533</v>
      </c>
      <c r="H6" s="18" t="s">
        <v>534</v>
      </c>
      <c r="I6" s="18"/>
    </row>
    <row r="7" spans="2:9" ht="13.95" customHeight="1" x14ac:dyDescent="0.3">
      <c r="B7" s="8" t="s">
        <v>256</v>
      </c>
      <c r="C7" s="36">
        <f>'DCF by Box'!$H$37/'DCF by Box'!$H$27</f>
        <v>0.76346986354643731</v>
      </c>
      <c r="D7" s="29">
        <f>AVERAGE(C$32:C$151)</f>
        <v>0.12075604632863496</v>
      </c>
      <c r="E7" s="68">
        <f>1/D7</f>
        <v>8.2811588355461865</v>
      </c>
      <c r="F7" s="29">
        <f>C7*D7</f>
        <v>9.2193602212930201E-2</v>
      </c>
      <c r="G7" s="76">
        <f>F7/$F$11</f>
        <v>0.92451760279086559</v>
      </c>
      <c r="H7" s="30">
        <f>'Box Betas'!I7</f>
        <v>1.1490636580507501</v>
      </c>
    </row>
    <row r="8" spans="2:9" ht="13.95" customHeight="1" x14ac:dyDescent="0.3">
      <c r="B8" s="8" t="s">
        <v>284</v>
      </c>
      <c r="C8" s="36">
        <f>'DCF by Box'!$H$83/'DCF by Box'!$H$75</f>
        <v>0.84896206407540031</v>
      </c>
      <c r="D8" s="29">
        <f>AVERAGE(D$32:D$151)</f>
        <v>7.461695723034259E-2</v>
      </c>
      <c r="E8" s="68">
        <f>1/D8</f>
        <v>13.401779395975629</v>
      </c>
      <c r="F8" s="29">
        <f>C8*D8</f>
        <v>6.3346966025297505E-2</v>
      </c>
      <c r="G8" s="76">
        <f>F8/$F$11</f>
        <v>0.6352434851012756</v>
      </c>
      <c r="H8" s="30">
        <f>'Box Betas'!I8</f>
        <v>0.92867396464650487</v>
      </c>
    </row>
    <row r="9" spans="2:9" ht="13.95" customHeight="1" x14ac:dyDescent="0.3">
      <c r="B9" s="8" t="s">
        <v>335</v>
      </c>
      <c r="C9" s="36">
        <f>'DCF by Box'!$H$124/'DCF by Box'!$H$116</f>
        <v>0.49913290872110783</v>
      </c>
      <c r="D9" s="29">
        <f>AVERAGE(E$32:E$151)</f>
        <v>5.9397861703110837E-2</v>
      </c>
      <c r="E9" s="68">
        <f>1/D9</f>
        <v>16.835622888216314</v>
      </c>
      <c r="F9" s="29">
        <f>C9*D9</f>
        <v>2.9647427483687809E-2</v>
      </c>
      <c r="G9" s="76">
        <f>F9/$F$11</f>
        <v>0.29730445419444596</v>
      </c>
      <c r="H9" s="30">
        <f>'Box Betas'!I9</f>
        <v>1.150451096712058</v>
      </c>
    </row>
    <row r="10" spans="2:9" ht="13.95" customHeight="1" x14ac:dyDescent="0.3">
      <c r="B10" s="8" t="s">
        <v>386</v>
      </c>
      <c r="C10" s="36">
        <f>'DCF by Box'!$H$165/'DCF by Box'!$H$157</f>
        <v>1.0114871603115463</v>
      </c>
      <c r="D10" s="29">
        <f>AVERAGE(F$32:F$151)</f>
        <v>0.1513605889539151</v>
      </c>
      <c r="E10" s="68">
        <f>1/D10</f>
        <v>6.6067396203411368</v>
      </c>
      <c r="F10" s="29">
        <f>C10*D10</f>
        <v>0.15309929230407879</v>
      </c>
      <c r="G10" s="76">
        <f>F10/$F$11</f>
        <v>1.5352799685930207</v>
      </c>
      <c r="H10" s="30">
        <f>'Box Betas'!I10</f>
        <v>0.87168584069919741</v>
      </c>
    </row>
    <row r="11" spans="2:9" ht="13.95" customHeight="1" x14ac:dyDescent="0.3">
      <c r="B11" s="11" t="s">
        <v>535</v>
      </c>
      <c r="C11" s="77">
        <f>DCF!$S$37/DCF!$S$29</f>
        <v>0.88778375044224844</v>
      </c>
      <c r="D11" s="78">
        <f>AVERAGE(G$32:G$151)</f>
        <v>0.11232551229380891</v>
      </c>
      <c r="E11" s="79">
        <f>1/D11</f>
        <v>8.9026969882345899</v>
      </c>
      <c r="F11" s="78">
        <f>C11*D11</f>
        <v>9.9720764574544554E-2</v>
      </c>
      <c r="G11" s="31">
        <f>F11/$F$11</f>
        <v>1</v>
      </c>
      <c r="H11" s="80">
        <f>'Box Betas'!I11</f>
        <v>1</v>
      </c>
    </row>
    <row r="12" spans="2:9" ht="13.95" customHeight="1" x14ac:dyDescent="0.3">
      <c r="B12" s="14" t="s">
        <v>444</v>
      </c>
    </row>
    <row r="13" spans="2:9" ht="13.95" customHeight="1" x14ac:dyDescent="0.3">
      <c r="B13" s="8" t="s">
        <v>442</v>
      </c>
      <c r="C13" s="36">
        <f>'DCF by Box'!$H$206/'DCF by Box'!$H$198</f>
        <v>0.48381773529265315</v>
      </c>
      <c r="D13" s="29">
        <f>AVERAGE(H$32:H$151)</f>
        <v>6.6034989672598882E-2</v>
      </c>
      <c r="E13" s="68">
        <f>1/D13</f>
        <v>15.143486884119987</v>
      </c>
      <c r="F13" s="29">
        <f>C13*D13</f>
        <v>3.1948899153470531E-2</v>
      </c>
      <c r="G13" s="76">
        <f>F13/$F$11</f>
        <v>0.32038361608817867</v>
      </c>
      <c r="H13" s="30">
        <f>'Box Betas'!I13</f>
        <v>1.3187145743497621</v>
      </c>
    </row>
    <row r="14" spans="2:9" ht="13.95" customHeight="1" x14ac:dyDescent="0.3">
      <c r="B14" s="8" t="s">
        <v>443</v>
      </c>
      <c r="C14" s="36">
        <f>'DCF by Box'!$H$247/'DCF by Box'!$H$239</f>
        <v>0.54944199225660739</v>
      </c>
      <c r="D14" s="29">
        <f>AVERAGE(I$32:I$151)</f>
        <v>4.2104975643742416E-2</v>
      </c>
      <c r="E14" s="68">
        <f>1/D14</f>
        <v>23.750162177058964</v>
      </c>
      <c r="F14" s="29">
        <f>C14*D14</f>
        <v>2.3134241701613763E-2</v>
      </c>
      <c r="G14" s="76">
        <f>F14/$F$11</f>
        <v>0.23199021588247207</v>
      </c>
      <c r="H14" s="30">
        <f>'Box Betas'!I14</f>
        <v>0.71783451900492579</v>
      </c>
    </row>
    <row r="15" spans="2:9" ht="13.95" customHeight="1" x14ac:dyDescent="0.3">
      <c r="B15" s="14" t="s">
        <v>536</v>
      </c>
    </row>
    <row r="17" spans="2:9" ht="13.95" customHeight="1" x14ac:dyDescent="0.3">
      <c r="B17" s="120" t="s">
        <v>537</v>
      </c>
      <c r="C17" s="120"/>
      <c r="D17" s="120"/>
      <c r="E17" s="120"/>
      <c r="F17" s="120"/>
      <c r="G17" s="120"/>
      <c r="H17" s="120"/>
      <c r="I17" s="120"/>
    </row>
    <row r="18" spans="2:9" ht="30" customHeight="1" x14ac:dyDescent="0.3">
      <c r="B18" s="17"/>
      <c r="C18" s="18" t="s">
        <v>31</v>
      </c>
      <c r="D18" s="18" t="s">
        <v>32</v>
      </c>
      <c r="E18" s="18" t="s">
        <v>33</v>
      </c>
      <c r="F18" s="18"/>
      <c r="G18" s="18" t="s">
        <v>538</v>
      </c>
      <c r="H18" s="18" t="s">
        <v>32</v>
      </c>
      <c r="I18" s="18" t="s">
        <v>33</v>
      </c>
    </row>
    <row r="19" spans="2:9" ht="13.95" customHeight="1" x14ac:dyDescent="0.3">
      <c r="B19" s="5" t="s">
        <v>539</v>
      </c>
      <c r="C19" s="44">
        <f>DCF!C48</f>
        <v>0.14500000000000002</v>
      </c>
      <c r="D19" s="44">
        <f>DCF!D48</f>
        <v>0.12759999999999999</v>
      </c>
      <c r="E19" s="44">
        <f>DCF!E48</f>
        <v>0.12</v>
      </c>
      <c r="G19" s="44">
        <f>C19-C20</f>
        <v>6.0000000000000012E-2</v>
      </c>
      <c r="H19" s="44">
        <f>D19-D20</f>
        <v>0.06</v>
      </c>
      <c r="I19" s="44">
        <f>E19-E20</f>
        <v>0.06</v>
      </c>
    </row>
    <row r="20" spans="2:9" ht="13.95" customHeight="1" x14ac:dyDescent="0.3">
      <c r="B20" s="19" t="s">
        <v>540</v>
      </c>
      <c r="C20" s="29">
        <f>DCF!C46</f>
        <v>8.5000000000000006E-2</v>
      </c>
      <c r="D20" s="29">
        <f>DCF!D46</f>
        <v>6.7599999999999993E-2</v>
      </c>
      <c r="E20" s="29">
        <f>DCF!E46</f>
        <v>0.06</v>
      </c>
    </row>
    <row r="21" spans="2:9" ht="13.95" customHeight="1" x14ac:dyDescent="0.3">
      <c r="B21" s="19" t="s">
        <v>256</v>
      </c>
      <c r="C21" s="44">
        <f>CHOOSE(BoxRate+1,C$19,MAX(gLT+(C$19-gLT)*$G$7,C$20+ERPfloor),IF(FixInfl=1,(1+C$20+$H$7*DCF!C$47)*(1+InflLT)-1,C$20+$H$7*DCF!C$47))</f>
        <v>0.13760272507350485</v>
      </c>
      <c r="D21" s="44">
        <f>CHOOSE(BoxRate+1,D$19,MAX(gLT+(D$19-gLT)*$G$7,D$20+ERPfloor),IF(FixInfl=1,(1+D$20+$H$7*DCF!D$47)*(1+InflLT)-1,D$20+$H$7*DCF!D$47))</f>
        <v>0.12151611878494376</v>
      </c>
      <c r="E21" s="44">
        <f>CHOOSE(BoxRate+1,E$19,MAX(gLT+(E$19-gLT)*$G$7,E$20+ERPfloor),IF(FixInfl=1,(1+E$20+$H$7*DCF!E$47)*(1+InflLT)-1,E$20+$H$7*DCF!E$47))</f>
        <v>0.11448978500373318</v>
      </c>
      <c r="G21" s="29">
        <f t="shared" ref="G21:I24" si="0">C21-C$20</f>
        <v>5.2602725073504844E-2</v>
      </c>
      <c r="H21" s="29">
        <f t="shared" si="0"/>
        <v>5.3916118784943762E-2</v>
      </c>
      <c r="I21" s="29">
        <f t="shared" si="0"/>
        <v>5.4489785003733179E-2</v>
      </c>
    </row>
    <row r="22" spans="2:9" ht="13.95" customHeight="1" x14ac:dyDescent="0.3">
      <c r="B22" s="19" t="s">
        <v>284</v>
      </c>
      <c r="C22" s="44">
        <f>CHOOSE(BoxRate+1,C$19,MAX(gLT+(C$19-gLT)*$G$8,C$20+ERPfloor),IF(FixInfl=1,(1+C$20+$H$8*DCF!C$47)*(1+InflLT)-1,C$20+$H$8*DCF!C$47))</f>
        <v>0.10925386153992503</v>
      </c>
      <c r="D22" s="44">
        <f>CHOOSE(BoxRate+1,D$19,MAX(gLT+(D$19-gLT)*$G$8,D$20+ERPfloor),IF(FixInfl=1,(1+D$20+$H$8*DCF!D$47)*(1+InflLT)-1,D$20+$H$8*DCF!D$47))</f>
        <v>9.8200624899162814E-2</v>
      </c>
      <c r="E22" s="44">
        <f>CHOOSE(BoxRate+1,E$19,MAX(gLT+(E$19-gLT)*$G$8,E$20+ERPfloor),IF(FixInfl=1,(1+E$20+$H$8*DCF!E$47)*(1+InflLT)-1,E$20+$H$8*DCF!E$47))</f>
        <v>9.3372774412393111E-2</v>
      </c>
      <c r="G22" s="29">
        <f t="shared" si="0"/>
        <v>2.4253861539925023E-2</v>
      </c>
      <c r="H22" s="29">
        <f t="shared" si="0"/>
        <v>3.060062489916282E-2</v>
      </c>
      <c r="I22" s="29">
        <f t="shared" si="0"/>
        <v>3.3372774412393114E-2</v>
      </c>
    </row>
    <row r="23" spans="2:9" ht="13.95" customHeight="1" x14ac:dyDescent="0.3">
      <c r="B23" s="19" t="s">
        <v>335</v>
      </c>
      <c r="C23" s="44">
        <f>CHOOSE(BoxRate+1,C$19,MAX(gLT+(C$19-gLT)*$G$9,C$20+ERPfloor),IF(FixInfl=1,(1+C$20+$H$9*DCF!C$47)*(1+InflLT)-1,C$20+$H$9*DCF!C$47))</f>
        <v>8.5000000000000006E-2</v>
      </c>
      <c r="D23" s="44">
        <f>CHOOSE(BoxRate+1,D$19,MAX(gLT+(D$19-gLT)*$G$9,D$20+ERPfloor),IF(FixInfl=1,(1+D$20+$H$9*DCF!D$47)*(1+InflLT)-1,D$20+$H$9*DCF!D$47))</f>
        <v>7.0962739008072345E-2</v>
      </c>
      <c r="E23" s="44">
        <f>CHOOSE(BoxRate+1,E$19,MAX(gLT+(E$19-gLT)*$G$9,E$20+ERPfloor),IF(FixInfl=1,(1+E$20+$H$9*DCF!E$47)*(1+InflLT)-1,E$20+$H$9*DCF!E$47))</f>
        <v>6.870322515619455E-2</v>
      </c>
      <c r="G23" s="29">
        <f t="shared" si="0"/>
        <v>0</v>
      </c>
      <c r="H23" s="29">
        <f t="shared" si="0"/>
        <v>3.3627390080723518E-3</v>
      </c>
      <c r="I23" s="29">
        <f t="shared" si="0"/>
        <v>8.7032251561945523E-3</v>
      </c>
    </row>
    <row r="24" spans="2:9" ht="13.95" customHeight="1" x14ac:dyDescent="0.3">
      <c r="B24" s="19" t="s">
        <v>386</v>
      </c>
      <c r="C24" s="44">
        <f>CHOOSE(BoxRate+1,C$19,MAX(gLT+(C$19-gLT)*$G$10,C$20+ERPfloor),IF(FixInfl=1,(1+C$20+$H$10*DCF!C$47)*(1+InflLT)-1,C$20+$H$10*DCF!C$47))</f>
        <v>0.19745743692211604</v>
      </c>
      <c r="D24" s="44">
        <f>CHOOSE(BoxRate+1,D$19,MAX(gLT+(D$19-gLT)*$G$10,D$20+ERPfloor),IF(FixInfl=1,(1+D$20+$H$10*DCF!D$47)*(1+InflLT)-1,D$20+$H$10*DCF!D$47))</f>
        <v>0.17074356546859745</v>
      </c>
      <c r="E24" s="44">
        <f>CHOOSE(BoxRate+1,E$19,MAX(gLT+(E$19-gLT)*$G$10,E$20+ERPfloor),IF(FixInfl=1,(1+E$20+$H$10*DCF!E$47)*(1+InflLT)-1,E$20+$H$10*DCF!E$47))</f>
        <v>0.15907543770729049</v>
      </c>
      <c r="G24" s="29">
        <f t="shared" si="0"/>
        <v>0.11245743692211603</v>
      </c>
      <c r="H24" s="29">
        <f t="shared" si="0"/>
        <v>0.10314356546859746</v>
      </c>
      <c r="I24" s="29">
        <f t="shared" si="0"/>
        <v>9.9075437707290492E-2</v>
      </c>
    </row>
    <row r="25" spans="2:9" ht="13.95" customHeight="1" x14ac:dyDescent="0.3">
      <c r="B25" s="14" t="s">
        <v>444</v>
      </c>
    </row>
    <row r="26" spans="2:9" ht="13.95" customHeight="1" x14ac:dyDescent="0.3">
      <c r="B26" s="19" t="s">
        <v>442</v>
      </c>
      <c r="C26" s="44">
        <f>CHOOSE(BoxRate+1,C$19,MAX(gLT+(C$19-gLT)*$G$13,C$20+ERPfloor),IF(FixInfl=1,(1+C$20+$H$13*DCF!C$47)*(1+InflLT)-1,C$20+$H$13*DCF!C$47))</f>
        <v>8.5000000000000006E-2</v>
      </c>
      <c r="D26" s="44">
        <f>CHOOSE(BoxRate+1,D$19,MAX(gLT+(D$19-gLT)*$G$13,D$20+ERPfloor),IF(FixInfl=1,(1+D$20+$H$13*DCF!D$47)*(1+InflLT)-1,D$20+$H$13*DCF!D$47))</f>
        <v>7.28229194567072E-2</v>
      </c>
      <c r="E26" s="44">
        <f>CHOOSE(BoxRate+1,E$19,MAX(gLT+(E$19-gLT)*$G$13,E$20+ERPfloor),IF(FixInfl=1,(1+E$20+$H$13*DCF!E$47)*(1+InflLT)-1,E$20+$H$13*DCF!E$47))</f>
        <v>7.0388003974437036E-2</v>
      </c>
      <c r="G26" s="29">
        <f t="shared" ref="G26:I27" si="1">C26-C$20</f>
        <v>0</v>
      </c>
      <c r="H26" s="29">
        <f t="shared" si="1"/>
        <v>5.2229194567072063E-3</v>
      </c>
      <c r="I26" s="29">
        <f t="shared" si="1"/>
        <v>1.0388003974437038E-2</v>
      </c>
    </row>
    <row r="27" spans="2:9" ht="13.95" customHeight="1" x14ac:dyDescent="0.3">
      <c r="B27" s="19" t="s">
        <v>443</v>
      </c>
      <c r="C27" s="44">
        <f>CHOOSE(BoxRate+1,C$19,MAX(gLT+(C$19-gLT)*$G$14,C$20+ERPfloor),IF(FixInfl=1,(1+C$20+$H$14*DCF!C$47)*(1+InflLT)-1,C$20+$H$14*DCF!C$47))</f>
        <v>8.5000000000000006E-2</v>
      </c>
      <c r="D27" s="44">
        <f>CHOOSE(BoxRate+1,D$19,MAX(gLT+(D$19-gLT)*$G$14,D$20+ERPfloor),IF(FixInfl=1,(1+D$20+$H$14*DCF!D$47)*(1+InflLT)-1,D$20+$H$14*DCF!D$47))</f>
        <v>6.7599999999999993E-2</v>
      </c>
      <c r="E27" s="44">
        <f>CHOOSE(BoxRate+1,E$19,MAX(gLT+(E$19-gLT)*$G$14,E$20+ERPfloor),IF(FixInfl=1,(1+E$20+$H$14*DCF!E$47)*(1+InflLT)-1,E$20+$H$14*DCF!E$47))</f>
        <v>6.3935285759420452E-2</v>
      </c>
      <c r="G27" s="29">
        <f t="shared" si="1"/>
        <v>0</v>
      </c>
      <c r="H27" s="29">
        <f t="shared" si="1"/>
        <v>0</v>
      </c>
      <c r="I27" s="29">
        <f t="shared" si="1"/>
        <v>3.9352857594204538E-3</v>
      </c>
    </row>
    <row r="28" spans="2:9" ht="13.95" customHeight="1" x14ac:dyDescent="0.3">
      <c r="B28" s="14" t="s">
        <v>541</v>
      </c>
    </row>
    <row r="30" spans="2:9" ht="13.95" customHeight="1" x14ac:dyDescent="0.3">
      <c r="B30" s="120" t="s">
        <v>542</v>
      </c>
      <c r="C30" s="120"/>
      <c r="D30" s="120"/>
      <c r="E30" s="120"/>
      <c r="F30" s="120"/>
      <c r="G30" s="120"/>
      <c r="H30" s="120"/>
      <c r="I30" s="120"/>
    </row>
    <row r="31" spans="2:9" ht="30" customHeight="1" x14ac:dyDescent="0.3">
      <c r="B31" s="17" t="s">
        <v>543</v>
      </c>
      <c r="C31" s="18" t="s">
        <v>256</v>
      </c>
      <c r="D31" s="18" t="s">
        <v>284</v>
      </c>
      <c r="E31" s="18" t="s">
        <v>335</v>
      </c>
      <c r="F31" s="18" t="s">
        <v>386</v>
      </c>
      <c r="G31" s="18" t="s">
        <v>535</v>
      </c>
      <c r="H31" s="18" t="s">
        <v>336</v>
      </c>
      <c r="I31" s="18" t="s">
        <v>381</v>
      </c>
    </row>
    <row r="32" spans="2:9" ht="13.95" customHeight="1" x14ac:dyDescent="0.3">
      <c r="B32" s="81">
        <v>42674</v>
      </c>
      <c r="C32" s="43">
        <v>9.7129301290177286E-2</v>
      </c>
      <c r="D32" s="43">
        <v>5.4043083855085827E-2</v>
      </c>
      <c r="E32" s="43">
        <v>6.1020751428244632E-2</v>
      </c>
      <c r="F32" s="43">
        <v>5.9499887229775221E-2</v>
      </c>
      <c r="G32" s="43">
        <v>7.1929310814103004E-2</v>
      </c>
      <c r="H32" s="43">
        <v>5.9724661956450271E-2</v>
      </c>
      <c r="I32" s="43">
        <v>6.8374832503199715E-2</v>
      </c>
    </row>
    <row r="33" spans="2:9" ht="13.95" customHeight="1" x14ac:dyDescent="0.3">
      <c r="B33" s="81">
        <v>42704</v>
      </c>
      <c r="C33" s="43">
        <v>0.1099965812467219</v>
      </c>
      <c r="D33" s="43">
        <v>5.9068694701215299E-2</v>
      </c>
      <c r="E33" s="43">
        <v>6.887135525896565E-2</v>
      </c>
      <c r="F33" s="43">
        <v>5.6921620784763927E-2</v>
      </c>
      <c r="G33" s="43">
        <v>7.7403520070996157E-2</v>
      </c>
      <c r="H33" s="43">
        <v>6.7637157444371987E-2</v>
      </c>
      <c r="I33" s="43">
        <v>7.5473873829103005E-2</v>
      </c>
    </row>
    <row r="34" spans="2:9" ht="13.95" customHeight="1" x14ac:dyDescent="0.3">
      <c r="B34" s="81">
        <v>42735</v>
      </c>
      <c r="C34" s="43">
        <v>0.11380828417090839</v>
      </c>
      <c r="D34" s="43">
        <v>6.095037188086503E-2</v>
      </c>
      <c r="E34" s="43">
        <v>6.9286831193448306E-2</v>
      </c>
      <c r="F34" s="43">
        <v>7.4568531167763782E-2</v>
      </c>
      <c r="G34" s="43">
        <v>8.4370771172792888E-2</v>
      </c>
      <c r="H34" s="43">
        <v>6.7704257571993928E-2</v>
      </c>
      <c r="I34" s="43">
        <v>7.8184001650312668E-2</v>
      </c>
    </row>
    <row r="35" spans="2:9" ht="13.95" customHeight="1" x14ac:dyDescent="0.3">
      <c r="B35" s="81">
        <v>42766</v>
      </c>
      <c r="C35" s="43">
        <v>0.1043412351043196</v>
      </c>
      <c r="D35" s="43">
        <v>5.8688992556221377E-2</v>
      </c>
      <c r="E35" s="43">
        <v>6.7259516339819581E-2</v>
      </c>
      <c r="F35" s="43">
        <v>7.7537888756004605E-2</v>
      </c>
      <c r="G35" s="43">
        <v>8.1485862780259349E-2</v>
      </c>
      <c r="H35" s="43">
        <v>6.6448910148725782E-2</v>
      </c>
      <c r="I35" s="43">
        <v>7.1561335650768387E-2</v>
      </c>
    </row>
    <row r="36" spans="2:9" ht="13.95" customHeight="1" x14ac:dyDescent="0.3">
      <c r="B36" s="81">
        <v>42794</v>
      </c>
      <c r="C36" s="43">
        <v>0.1005813870662661</v>
      </c>
      <c r="D36" s="43">
        <v>5.8304742268086497E-2</v>
      </c>
      <c r="E36" s="43">
        <v>6.4388348028919948E-2</v>
      </c>
      <c r="F36" s="43">
        <v>8.6275689961441332E-2</v>
      </c>
      <c r="G36" s="43">
        <v>8.2166169833729874E-2</v>
      </c>
      <c r="H36" s="43">
        <v>6.3605189316298383E-2</v>
      </c>
      <c r="I36" s="43">
        <v>6.8790949755009531E-2</v>
      </c>
    </row>
    <row r="37" spans="2:9" ht="13.95" customHeight="1" x14ac:dyDescent="0.3">
      <c r="B37" s="81">
        <v>42825</v>
      </c>
      <c r="C37" s="43">
        <v>0.1064903485878423</v>
      </c>
      <c r="D37" s="43">
        <v>5.9366600965256963E-2</v>
      </c>
      <c r="E37" s="43">
        <v>6.4297620734381833E-2</v>
      </c>
      <c r="F37" s="43">
        <v>0.10213707337946901</v>
      </c>
      <c r="G37" s="43">
        <v>8.8318038717211819E-2</v>
      </c>
      <c r="H37" s="43">
        <v>6.3701459115950654E-2</v>
      </c>
      <c r="I37" s="43">
        <v>6.7878585783723591E-2</v>
      </c>
    </row>
    <row r="38" spans="2:9" ht="13.95" customHeight="1" x14ac:dyDescent="0.3">
      <c r="B38" s="81">
        <v>42855</v>
      </c>
      <c r="C38" s="43">
        <v>0.1047335048264358</v>
      </c>
      <c r="D38" s="43">
        <v>5.8662052854988489E-2</v>
      </c>
      <c r="E38" s="43">
        <v>6.2554795407367844E-2</v>
      </c>
      <c r="F38" s="43">
        <v>0.1025153583843272</v>
      </c>
      <c r="G38" s="43">
        <v>8.6871578842141001E-2</v>
      </c>
      <c r="H38" s="43">
        <v>6.1623107954385588E-2</v>
      </c>
      <c r="I38" s="43">
        <v>6.8857016310709271E-2</v>
      </c>
    </row>
    <row r="39" spans="2:9" ht="13.95" customHeight="1" x14ac:dyDescent="0.3">
      <c r="B39" s="81">
        <v>42886</v>
      </c>
      <c r="C39" s="43">
        <v>0.1141763716995487</v>
      </c>
      <c r="D39" s="43">
        <v>5.5875352742162793E-2</v>
      </c>
      <c r="E39" s="43">
        <v>6.7520157890780391E-2</v>
      </c>
      <c r="F39" s="43">
        <v>0.11641555767094471</v>
      </c>
      <c r="G39" s="43">
        <v>9.3376516495479983E-2</v>
      </c>
      <c r="H39" s="43">
        <v>6.8145011179574319E-2</v>
      </c>
      <c r="I39" s="43">
        <v>6.4018648355714608E-2</v>
      </c>
    </row>
    <row r="40" spans="2:9" ht="13.95" customHeight="1" x14ac:dyDescent="0.3">
      <c r="B40" s="81">
        <v>42916</v>
      </c>
      <c r="C40" s="43">
        <v>0.112693231320629</v>
      </c>
      <c r="D40" s="43">
        <v>6.3002735663297477E-2</v>
      </c>
      <c r="E40" s="43">
        <v>6.7664863218464086E-2</v>
      </c>
      <c r="F40" s="43">
        <v>0.1107048445564648</v>
      </c>
      <c r="G40" s="43">
        <v>9.3550508691788839E-2</v>
      </c>
      <c r="H40" s="43">
        <v>6.7580456405464243E-2</v>
      </c>
      <c r="I40" s="43">
        <v>6.818255559057862E-2</v>
      </c>
    </row>
    <row r="41" spans="2:9" ht="13.95" customHeight="1" x14ac:dyDescent="0.3">
      <c r="B41" s="81">
        <v>42947</v>
      </c>
      <c r="C41" s="43">
        <v>0.1092513022471422</v>
      </c>
      <c r="D41" s="43">
        <v>6.0343248185998823E-2</v>
      </c>
      <c r="E41" s="43">
        <v>6.3730894121762471E-2</v>
      </c>
      <c r="F41" s="43">
        <v>0.1009195694018435</v>
      </c>
      <c r="G41" s="43">
        <v>8.8525711781194977E-2</v>
      </c>
      <c r="H41" s="43">
        <v>6.3542383415831696E-2</v>
      </c>
      <c r="I41" s="43">
        <v>6.4919082813689771E-2</v>
      </c>
    </row>
    <row r="42" spans="2:9" ht="13.95" customHeight="1" x14ac:dyDescent="0.3">
      <c r="B42" s="81">
        <v>42978</v>
      </c>
      <c r="C42" s="43">
        <v>0.10121318228420149</v>
      </c>
      <c r="D42" s="43">
        <v>5.7276405398715043E-2</v>
      </c>
      <c r="E42" s="43">
        <v>5.8917320399734609E-2</v>
      </c>
      <c r="F42" s="43">
        <v>8.7965053013488698E-2</v>
      </c>
      <c r="G42" s="43">
        <v>8.105269196888984E-2</v>
      </c>
      <c r="H42" s="43">
        <v>5.9428875355592388E-2</v>
      </c>
      <c r="I42" s="43">
        <v>5.5744274169511138E-2</v>
      </c>
    </row>
    <row r="43" spans="2:9" ht="13.95" customHeight="1" x14ac:dyDescent="0.3">
      <c r="B43" s="81">
        <v>43008</v>
      </c>
      <c r="C43" s="43">
        <v>9.4121652954921309E-2</v>
      </c>
      <c r="D43" s="43">
        <v>5.6487977048409722E-2</v>
      </c>
      <c r="E43" s="43">
        <v>5.4739012077113222E-2</v>
      </c>
      <c r="F43" s="43">
        <v>9.0717723730398769E-2</v>
      </c>
      <c r="G43" s="43">
        <v>7.8083075979023836E-2</v>
      </c>
      <c r="H43" s="43">
        <v>5.4853251279858843E-2</v>
      </c>
      <c r="I43" s="43">
        <v>5.3981219854751863E-2</v>
      </c>
    </row>
    <row r="44" spans="2:9" ht="13.95" customHeight="1" x14ac:dyDescent="0.3">
      <c r="B44" s="81">
        <v>43039</v>
      </c>
      <c r="C44" s="43">
        <v>9.7478698776461176E-2</v>
      </c>
      <c r="D44" s="43">
        <v>5.7120269565018908E-2</v>
      </c>
      <c r="E44" s="43">
        <v>5.6966243802464657E-2</v>
      </c>
      <c r="F44" s="43">
        <v>8.8646327610792414E-2</v>
      </c>
      <c r="G44" s="43">
        <v>7.9233968800005133E-2</v>
      </c>
      <c r="H44" s="43">
        <v>5.7643513894285341E-2</v>
      </c>
      <c r="I44" s="43">
        <v>5.217569373021038E-2</v>
      </c>
    </row>
    <row r="45" spans="2:9" ht="13.95" customHeight="1" x14ac:dyDescent="0.3">
      <c r="B45" s="81">
        <v>43069</v>
      </c>
      <c r="C45" s="43">
        <v>0.1027356154524789</v>
      </c>
      <c r="D45" s="43">
        <v>6.1598769326106931E-2</v>
      </c>
      <c r="E45" s="43">
        <v>5.8381986081698679E-2</v>
      </c>
      <c r="F45" s="43">
        <v>9.5275238411730398E-2</v>
      </c>
      <c r="G45" s="43">
        <v>8.4236476001861266E-2</v>
      </c>
      <c r="H45" s="43">
        <v>5.9996885363052997E-2</v>
      </c>
      <c r="I45" s="43">
        <v>4.7494363375774819E-2</v>
      </c>
    </row>
    <row r="46" spans="2:9" ht="13.95" customHeight="1" x14ac:dyDescent="0.3">
      <c r="B46" s="81">
        <v>43100</v>
      </c>
      <c r="C46" s="43">
        <v>9.9724175471227E-2</v>
      </c>
      <c r="D46" s="43">
        <v>6.0123743781385512E-2</v>
      </c>
      <c r="E46" s="43">
        <v>5.5283566583421352E-2</v>
      </c>
      <c r="F46" s="43">
        <v>9.2179330926919115E-2</v>
      </c>
      <c r="G46" s="43">
        <v>8.1421406525050713E-2</v>
      </c>
      <c r="H46" s="43">
        <v>5.7683641674014421E-2</v>
      </c>
      <c r="I46" s="43">
        <v>4.0219784028069978E-2</v>
      </c>
    </row>
    <row r="47" spans="2:9" ht="13.95" customHeight="1" x14ac:dyDescent="0.3">
      <c r="B47" s="81">
        <v>43131</v>
      </c>
      <c r="C47" s="43">
        <v>8.5744092746604106E-2</v>
      </c>
      <c r="D47" s="43">
        <v>6.1458868003061669E-2</v>
      </c>
      <c r="E47" s="43">
        <v>5.4309058448920443E-2</v>
      </c>
      <c r="F47" s="43">
        <v>9.0050768110729526E-2</v>
      </c>
      <c r="G47" s="43">
        <v>7.7033594618810541E-2</v>
      </c>
      <c r="H47" s="43">
        <v>5.6276150484644002E-2</v>
      </c>
      <c r="I47" s="43">
        <v>4.1048671375855612E-2</v>
      </c>
    </row>
    <row r="48" spans="2:9" ht="13.95" customHeight="1" x14ac:dyDescent="0.3">
      <c r="B48" s="81">
        <v>43159</v>
      </c>
      <c r="C48" s="43">
        <v>9.1196692129993748E-2</v>
      </c>
      <c r="D48" s="43">
        <v>6.1917996163713622E-2</v>
      </c>
      <c r="E48" s="43">
        <v>5.6922369494246353E-2</v>
      </c>
      <c r="F48" s="43">
        <v>9.1433458510371712E-2</v>
      </c>
      <c r="G48" s="43">
        <v>8.0180147059814716E-2</v>
      </c>
      <c r="H48" s="43">
        <v>5.9628395922449451E-2</v>
      </c>
      <c r="I48" s="43">
        <v>4.0381177466986308E-2</v>
      </c>
    </row>
    <row r="49" spans="2:9" ht="13.95" customHeight="1" x14ac:dyDescent="0.3">
      <c r="B49" s="81">
        <v>43190</v>
      </c>
      <c r="C49" s="43">
        <v>9.1109205082078537E-2</v>
      </c>
      <c r="D49" s="43">
        <v>6.335070591726058E-2</v>
      </c>
      <c r="E49" s="43">
        <v>5.8929892882510992E-2</v>
      </c>
      <c r="F49" s="43">
        <v>0.1019452448973243</v>
      </c>
      <c r="G49" s="43">
        <v>8.4054885073435628E-2</v>
      </c>
      <c r="H49" s="43">
        <v>6.199394360237815E-2</v>
      </c>
      <c r="I49" s="43">
        <v>4.0354273695351703E-2</v>
      </c>
    </row>
    <row r="50" spans="2:9" ht="13.95" customHeight="1" x14ac:dyDescent="0.3">
      <c r="B50" s="81">
        <v>43220</v>
      </c>
      <c r="C50" s="43">
        <v>9.5553415250565654E-2</v>
      </c>
      <c r="D50" s="43">
        <v>6.4250420312870607E-2</v>
      </c>
      <c r="E50" s="43">
        <v>6.0138189589831921E-2</v>
      </c>
      <c r="F50" s="43">
        <v>9.4257605345783549E-2</v>
      </c>
      <c r="G50" s="43">
        <v>8.3811568508865925E-2</v>
      </c>
      <c r="H50" s="43">
        <v>6.3637104143330153E-2</v>
      </c>
      <c r="I50" s="43">
        <v>4.0223822131134367E-2</v>
      </c>
    </row>
    <row r="51" spans="2:9" ht="13.95" customHeight="1" x14ac:dyDescent="0.3">
      <c r="B51" s="81">
        <v>43251</v>
      </c>
      <c r="C51" s="43">
        <v>0.1153695016001169</v>
      </c>
      <c r="D51" s="43">
        <v>7.089725405502495E-2</v>
      </c>
      <c r="E51" s="43">
        <v>6.7386065198630815E-2</v>
      </c>
      <c r="F51" s="43">
        <v>0.10395292640881081</v>
      </c>
      <c r="G51" s="43">
        <v>9.5517319581780766E-2</v>
      </c>
      <c r="H51" s="43">
        <v>7.2089671608397785E-2</v>
      </c>
      <c r="I51" s="43">
        <v>4.1466934506556662E-2</v>
      </c>
    </row>
    <row r="52" spans="2:9" ht="13.95" customHeight="1" x14ac:dyDescent="0.3">
      <c r="B52" s="81">
        <v>43281</v>
      </c>
      <c r="C52" s="43">
        <v>0.1231943874337634</v>
      </c>
      <c r="D52" s="43">
        <v>7.3507028323985604E-2</v>
      </c>
      <c r="E52" s="43">
        <v>6.887029219676738E-2</v>
      </c>
      <c r="F52" s="43">
        <v>0.1144647244095198</v>
      </c>
      <c r="G52" s="43">
        <v>0.10213915160479201</v>
      </c>
      <c r="H52" s="43">
        <v>7.4226498429952256E-2</v>
      </c>
      <c r="I52" s="43">
        <v>4.1791694017888223E-2</v>
      </c>
    </row>
    <row r="53" spans="2:9" ht="13.95" customHeight="1" x14ac:dyDescent="0.3">
      <c r="B53" s="81">
        <v>43312</v>
      </c>
      <c r="C53" s="43">
        <v>0.11062822201182131</v>
      </c>
      <c r="D53" s="43">
        <v>7.3091361153126894E-2</v>
      </c>
      <c r="E53" s="43">
        <v>6.7418866039925723E-2</v>
      </c>
      <c r="F53" s="43">
        <v>0.1103738685122391</v>
      </c>
      <c r="G53" s="43">
        <v>9.7424796485988521E-2</v>
      </c>
      <c r="H53" s="43">
        <v>7.1096810948919925E-2</v>
      </c>
      <c r="I53" s="43">
        <v>4.6521491170629779E-2</v>
      </c>
    </row>
    <row r="54" spans="2:9" ht="13.95" customHeight="1" x14ac:dyDescent="0.3">
      <c r="B54" s="81">
        <v>43343</v>
      </c>
      <c r="C54" s="43">
        <v>0.12087830820687349</v>
      </c>
      <c r="D54" s="43">
        <v>7.5127997261756591E-2</v>
      </c>
      <c r="E54" s="43">
        <v>7.3762889937685747E-2</v>
      </c>
      <c r="F54" s="43">
        <v>0.1149504792668104</v>
      </c>
      <c r="G54" s="43">
        <v>0.1039411364306241</v>
      </c>
      <c r="H54" s="43">
        <v>7.9967743887524936E-2</v>
      </c>
      <c r="I54" s="43">
        <v>4.1411445446637413E-2</v>
      </c>
    </row>
    <row r="55" spans="2:9" ht="13.95" customHeight="1" x14ac:dyDescent="0.3">
      <c r="B55" s="81">
        <v>43373</v>
      </c>
      <c r="C55" s="43">
        <v>0.1183775096803993</v>
      </c>
      <c r="D55" s="43">
        <v>7.7864491822049867E-2</v>
      </c>
      <c r="E55" s="43">
        <v>6.9864813224976965E-2</v>
      </c>
      <c r="F55" s="43">
        <v>0.1113643487634455</v>
      </c>
      <c r="G55" s="43">
        <v>0.1022578710226265</v>
      </c>
      <c r="H55" s="43">
        <v>7.52931873338996E-2</v>
      </c>
      <c r="I55" s="43">
        <v>4.2185577074499291E-2</v>
      </c>
    </row>
    <row r="56" spans="2:9" ht="13.95" customHeight="1" x14ac:dyDescent="0.3">
      <c r="B56" s="81">
        <v>43404</v>
      </c>
      <c r="C56" s="43">
        <v>0.1009782933126432</v>
      </c>
      <c r="D56" s="43">
        <v>7.3304500316727098E-2</v>
      </c>
      <c r="E56" s="43">
        <v>5.9992783478594262E-2</v>
      </c>
      <c r="F56" s="43">
        <v>0.1122155389285512</v>
      </c>
      <c r="G56" s="43">
        <v>9.4749870092188035E-2</v>
      </c>
      <c r="H56" s="43">
        <v>6.3048340406528416E-2</v>
      </c>
      <c r="I56" s="43">
        <v>4.1097431060483809E-2</v>
      </c>
    </row>
    <row r="57" spans="2:9" ht="13.95" customHeight="1" x14ac:dyDescent="0.3">
      <c r="B57" s="81">
        <v>43434</v>
      </c>
      <c r="C57" s="43">
        <v>9.4726554491185874E-2</v>
      </c>
      <c r="D57" s="43">
        <v>7.0345972613280114E-2</v>
      </c>
      <c r="E57" s="43">
        <v>6.063001854014291E-2</v>
      </c>
      <c r="F57" s="43">
        <v>0.1173570227863059</v>
      </c>
      <c r="G57" s="43">
        <v>9.3548461876001784E-2</v>
      </c>
      <c r="H57" s="43">
        <v>6.3763395947490698E-2</v>
      </c>
      <c r="I57" s="43">
        <v>4.1927572569114543E-2</v>
      </c>
    </row>
    <row r="58" spans="2:9" ht="13.95" customHeight="1" x14ac:dyDescent="0.3">
      <c r="B58" s="81">
        <v>43465</v>
      </c>
      <c r="C58" s="43">
        <v>9.7146598692013156E-2</v>
      </c>
      <c r="D58" s="43">
        <v>6.8446308898032854E-2</v>
      </c>
      <c r="E58" s="43">
        <v>6.0719436120156171E-2</v>
      </c>
      <c r="F58" s="43">
        <v>0.12268702574137449</v>
      </c>
      <c r="G58" s="43">
        <v>9.5558787111811067E-2</v>
      </c>
      <c r="H58" s="43">
        <v>6.3342851822915561E-2</v>
      </c>
      <c r="I58" s="43">
        <v>4.4951766451942321E-2</v>
      </c>
    </row>
    <row r="59" spans="2:9" ht="13.95" customHeight="1" x14ac:dyDescent="0.3">
      <c r="B59" s="81">
        <v>43496</v>
      </c>
      <c r="C59" s="43">
        <v>8.6827130517701787E-2</v>
      </c>
      <c r="D59" s="43">
        <v>6.4715748880877291E-2</v>
      </c>
      <c r="E59" s="43">
        <v>5.3523149266216347E-2</v>
      </c>
      <c r="F59" s="43">
        <v>0.1141248910173593</v>
      </c>
      <c r="G59" s="43">
        <v>8.6919857712868212E-2</v>
      </c>
      <c r="H59" s="43">
        <v>5.4478371312493487E-2</v>
      </c>
      <c r="I59" s="43">
        <v>3.9870818547904793E-2</v>
      </c>
    </row>
    <row r="60" spans="2:9" ht="13.95" customHeight="1" x14ac:dyDescent="0.3">
      <c r="B60" s="81">
        <v>43524</v>
      </c>
      <c r="C60" s="43">
        <v>8.9162399777073478E-2</v>
      </c>
      <c r="D60" s="43">
        <v>6.6039471359703769E-2</v>
      </c>
      <c r="E60" s="43">
        <v>5.6521212674161908E-2</v>
      </c>
      <c r="F60" s="43">
        <v>0.1188738531546609</v>
      </c>
      <c r="G60" s="43">
        <v>9.047715625105561E-2</v>
      </c>
      <c r="H60" s="43">
        <v>5.7699640664358218E-2</v>
      </c>
      <c r="I60" s="43">
        <v>3.9924941110711862E-2</v>
      </c>
    </row>
    <row r="61" spans="2:9" ht="13.95" customHeight="1" x14ac:dyDescent="0.3">
      <c r="B61" s="81">
        <v>43555</v>
      </c>
      <c r="C61" s="43">
        <v>9.3272252612964623E-2</v>
      </c>
      <c r="D61" s="43">
        <v>7.0620269601952362E-2</v>
      </c>
      <c r="E61" s="43">
        <v>6.0299390024517972E-2</v>
      </c>
      <c r="F61" s="43">
        <v>0.1204627985148209</v>
      </c>
      <c r="G61" s="43">
        <v>9.4385292795495609E-2</v>
      </c>
      <c r="H61" s="43">
        <v>6.1674636808663613E-2</v>
      </c>
      <c r="I61" s="43">
        <v>4.1585228926685237E-2</v>
      </c>
    </row>
    <row r="62" spans="2:9" ht="13.95" customHeight="1" x14ac:dyDescent="0.3">
      <c r="B62" s="81">
        <v>43585</v>
      </c>
      <c r="C62" s="43">
        <v>9.5619186924137067E-2</v>
      </c>
      <c r="D62" s="43">
        <v>6.7907213415618048E-2</v>
      </c>
      <c r="E62" s="43">
        <v>5.9464756632363731E-2</v>
      </c>
      <c r="F62" s="43">
        <v>0.12494175528705261</v>
      </c>
      <c r="G62" s="43">
        <v>9.5568848302412995E-2</v>
      </c>
      <c r="H62" s="43">
        <v>6.0938064799746498E-2</v>
      </c>
      <c r="I62" s="43">
        <v>3.9998400063997443E-2</v>
      </c>
    </row>
    <row r="63" spans="2:9" ht="13.95" customHeight="1" x14ac:dyDescent="0.3">
      <c r="B63" s="81">
        <v>43616</v>
      </c>
      <c r="C63" s="43">
        <v>9.3179260964738039E-2</v>
      </c>
      <c r="D63" s="43">
        <v>6.4334475122616711E-2</v>
      </c>
      <c r="E63" s="43">
        <v>5.3481033087645173E-2</v>
      </c>
      <c r="F63" s="43">
        <v>0.13022736571322099</v>
      </c>
      <c r="G63" s="43">
        <v>9.3643491914365592E-2</v>
      </c>
      <c r="H63" s="43">
        <v>5.7301049494050349E-2</v>
      </c>
      <c r="I63" s="43">
        <v>2.7577148357426869E-2</v>
      </c>
    </row>
    <row r="64" spans="2:9" ht="13.95" customHeight="1" x14ac:dyDescent="0.3">
      <c r="B64" s="81">
        <v>43646</v>
      </c>
      <c r="C64" s="43">
        <v>9.032473692522229E-2</v>
      </c>
      <c r="D64" s="43">
        <v>6.2628480093844141E-2</v>
      </c>
      <c r="E64" s="43">
        <v>5.0408272367044683E-2</v>
      </c>
      <c r="F64" s="43">
        <v>0.1190289204743986</v>
      </c>
      <c r="G64" s="43">
        <v>8.8418050883979846E-2</v>
      </c>
      <c r="H64" s="43">
        <v>5.3502105079553337E-2</v>
      </c>
      <c r="I64" s="43">
        <v>2.9573328557218729E-2</v>
      </c>
    </row>
    <row r="65" spans="2:9" ht="13.95" customHeight="1" x14ac:dyDescent="0.3">
      <c r="B65" s="81">
        <v>43677</v>
      </c>
      <c r="C65" s="43">
        <v>9.2650937059686536E-2</v>
      </c>
      <c r="D65" s="43">
        <v>5.61620184597411E-2</v>
      </c>
      <c r="E65" s="43">
        <v>4.6805024212155578E-2</v>
      </c>
      <c r="F65" s="43">
        <v>0.1235270273958911</v>
      </c>
      <c r="G65" s="43">
        <v>8.7637164063616699E-2</v>
      </c>
      <c r="H65" s="43">
        <v>4.918366297202189E-2</v>
      </c>
      <c r="I65" s="43">
        <v>3.035931629763999E-2</v>
      </c>
    </row>
    <row r="66" spans="2:9" ht="13.95" customHeight="1" x14ac:dyDescent="0.3">
      <c r="B66" s="81">
        <v>43708</v>
      </c>
      <c r="C66" s="43">
        <v>9.5553197955501948E-2</v>
      </c>
      <c r="D66" s="43">
        <v>5.7092620197731321E-2</v>
      </c>
      <c r="E66" s="43">
        <v>4.6545069605226141E-2</v>
      </c>
      <c r="F66" s="43">
        <v>0.1235183835890033</v>
      </c>
      <c r="G66" s="43">
        <v>8.8177873936105294E-2</v>
      </c>
      <c r="H66" s="43">
        <v>4.8744519446798869E-2</v>
      </c>
      <c r="I66" s="43">
        <v>2.9828040764294579E-2</v>
      </c>
    </row>
    <row r="67" spans="2:9" ht="13.95" customHeight="1" x14ac:dyDescent="0.3">
      <c r="B67" s="81">
        <v>43738</v>
      </c>
      <c r="C67" s="43">
        <v>9.3709132944936324E-2</v>
      </c>
      <c r="D67" s="43">
        <v>5.7181147342560378E-2</v>
      </c>
      <c r="E67" s="43">
        <v>4.522578570953556E-2</v>
      </c>
      <c r="F67" s="43">
        <v>0.1138605007975632</v>
      </c>
      <c r="G67" s="43">
        <v>8.4921457956535426E-2</v>
      </c>
      <c r="H67" s="43">
        <v>4.7065619899665852E-2</v>
      </c>
      <c r="I67" s="43">
        <v>3.1276606288242532E-2</v>
      </c>
    </row>
    <row r="68" spans="2:9" ht="13.95" customHeight="1" x14ac:dyDescent="0.3">
      <c r="B68" s="81">
        <v>43769</v>
      </c>
      <c r="C68" s="43">
        <v>9.1203031972786189E-2</v>
      </c>
      <c r="D68" s="43">
        <v>5.9170925345483363E-2</v>
      </c>
      <c r="E68" s="43">
        <v>4.5761289657390167E-2</v>
      </c>
      <c r="F68" s="43">
        <v>0.10354457818837801</v>
      </c>
      <c r="G68" s="43">
        <v>8.1979176224068986E-2</v>
      </c>
      <c r="H68" s="43">
        <v>4.7430856257974947E-2</v>
      </c>
      <c r="I68" s="43">
        <v>3.3415135849542567E-2</v>
      </c>
    </row>
    <row r="69" spans="2:9" ht="13.95" customHeight="1" x14ac:dyDescent="0.3">
      <c r="B69" s="81">
        <v>43799</v>
      </c>
      <c r="C69" s="43">
        <v>9.3436880436786898E-2</v>
      </c>
      <c r="D69" s="43">
        <v>5.7315976262223303E-2</v>
      </c>
      <c r="E69" s="43">
        <v>4.3304984888739968E-2</v>
      </c>
      <c r="F69" s="43">
        <v>0.1061352117279088</v>
      </c>
      <c r="G69" s="43">
        <v>8.2423635946532778E-2</v>
      </c>
      <c r="H69" s="43">
        <v>4.5601250202107167E-2</v>
      </c>
      <c r="I69" s="43">
        <v>2.7361224993015701E-2</v>
      </c>
    </row>
    <row r="70" spans="2:9" ht="13.95" customHeight="1" x14ac:dyDescent="0.3">
      <c r="B70" s="81">
        <v>43830</v>
      </c>
      <c r="C70" s="43">
        <v>8.9272408158123318E-2</v>
      </c>
      <c r="D70" s="43">
        <v>5.5032569422145287E-2</v>
      </c>
      <c r="E70" s="43">
        <v>3.9390292703651818E-2</v>
      </c>
      <c r="F70" s="43">
        <v>0.1029120689228953</v>
      </c>
      <c r="G70" s="43">
        <v>7.8619088933360767E-2</v>
      </c>
      <c r="H70" s="43">
        <v>4.0937595817862833E-2</v>
      </c>
      <c r="I70" s="43">
        <v>2.877451563826439E-2</v>
      </c>
    </row>
    <row r="71" spans="2:9" ht="13.95" customHeight="1" x14ac:dyDescent="0.3">
      <c r="B71" s="81">
        <v>43861</v>
      </c>
      <c r="C71" s="43">
        <v>9.3637263889640832E-2</v>
      </c>
      <c r="D71" s="43">
        <v>5.1220631646132463E-2</v>
      </c>
      <c r="E71" s="43">
        <v>4.0804775377884198E-2</v>
      </c>
      <c r="F71" s="43">
        <v>0.1072903469714622</v>
      </c>
      <c r="G71" s="43">
        <v>7.9814572253240124E-2</v>
      </c>
      <c r="H71" s="43">
        <v>4.3498068587420752E-2</v>
      </c>
      <c r="I71" s="43">
        <v>2.424623114867713E-2</v>
      </c>
    </row>
    <row r="72" spans="2:9" ht="13.95" customHeight="1" x14ac:dyDescent="0.3">
      <c r="B72" s="81">
        <v>43890</v>
      </c>
      <c r="C72" s="43">
        <v>9.9750000961933774E-2</v>
      </c>
      <c r="D72" s="43">
        <v>5.8256717352014528E-2</v>
      </c>
      <c r="E72" s="43">
        <v>4.0429330491039341E-2</v>
      </c>
      <c r="F72" s="43">
        <v>0.1169165177533432</v>
      </c>
      <c r="G72" s="43">
        <v>8.5013247570154951E-2</v>
      </c>
      <c r="H72" s="43">
        <v>4.1908833237040692E-2</v>
      </c>
      <c r="I72" s="43">
        <v>3.120672201593434E-2</v>
      </c>
    </row>
    <row r="73" spans="2:9" ht="13.95" customHeight="1" x14ac:dyDescent="0.3">
      <c r="B73" s="81">
        <v>43921</v>
      </c>
      <c r="C73" s="43">
        <v>0.1446401577540915</v>
      </c>
      <c r="D73" s="43">
        <v>7.3178369511970501E-2</v>
      </c>
      <c r="E73" s="43">
        <v>5.4679287405048238E-2</v>
      </c>
      <c r="F73" s="43">
        <v>0.12888665111628231</v>
      </c>
      <c r="G73" s="43">
        <v>0.1091618972936243</v>
      </c>
      <c r="H73" s="43">
        <v>5.8582658667105512E-2</v>
      </c>
      <c r="I73" s="43">
        <v>2.7583924089040909E-2</v>
      </c>
    </row>
    <row r="74" spans="2:9" ht="13.95" customHeight="1" x14ac:dyDescent="0.3">
      <c r="B74" s="81">
        <v>43951</v>
      </c>
      <c r="C74" s="43">
        <v>0.13481079221390671</v>
      </c>
      <c r="D74" s="43">
        <v>6.9303912035078297E-2</v>
      </c>
      <c r="E74" s="43">
        <v>4.4849992603627847E-2</v>
      </c>
      <c r="F74" s="43">
        <v>9.9115735307110667E-2</v>
      </c>
      <c r="G74" s="43">
        <v>9.5073023357526057E-2</v>
      </c>
      <c r="H74" s="43">
        <v>4.8388076151611177E-2</v>
      </c>
      <c r="I74" s="43">
        <v>2.219952936997736E-2</v>
      </c>
    </row>
    <row r="75" spans="2:9" ht="13.95" customHeight="1" x14ac:dyDescent="0.3">
      <c r="B75" s="81">
        <v>43982</v>
      </c>
      <c r="C75" s="43">
        <v>0.1231258859585868</v>
      </c>
      <c r="D75" s="43">
        <v>6.2940771216123306E-2</v>
      </c>
      <c r="E75" s="43">
        <v>4.4804091068119833E-2</v>
      </c>
      <c r="F75" s="43">
        <v>8.0285893172592743E-2</v>
      </c>
      <c r="G75" s="43">
        <v>8.4327082599340727E-2</v>
      </c>
      <c r="H75" s="43">
        <v>4.8732975498005149E-2</v>
      </c>
      <c r="I75" s="43">
        <v>2.0859842716785919E-2</v>
      </c>
    </row>
    <row r="76" spans="2:9" ht="13.95" customHeight="1" x14ac:dyDescent="0.3">
      <c r="B76" s="81">
        <v>44012</v>
      </c>
      <c r="C76" s="43">
        <v>9.9575584120210447E-2</v>
      </c>
      <c r="D76" s="43">
        <v>6.0548524627962723E-2</v>
      </c>
      <c r="E76" s="43">
        <v>3.5391515217056163E-2</v>
      </c>
      <c r="F76" s="43">
        <v>8.2769432131507281E-2</v>
      </c>
      <c r="G76" s="43">
        <v>7.5335688129431089E-2</v>
      </c>
      <c r="H76" s="43">
        <v>3.8277856713331213E-2</v>
      </c>
      <c r="I76" s="43">
        <v>1.7726410579121839E-2</v>
      </c>
    </row>
    <row r="77" spans="2:9" ht="13.95" customHeight="1" x14ac:dyDescent="0.3">
      <c r="B77" s="81">
        <v>44043</v>
      </c>
      <c r="C77" s="43">
        <v>8.9340575152649246E-2</v>
      </c>
      <c r="D77" s="43">
        <v>8.6294079439040688E-2</v>
      </c>
      <c r="E77" s="43">
        <v>3.0755867316690489E-2</v>
      </c>
      <c r="F77" s="43">
        <v>0.11711832188704629</v>
      </c>
      <c r="G77" s="43">
        <v>8.3204980050505001E-2</v>
      </c>
      <c r="H77" s="43">
        <v>3.3875510378014798E-2</v>
      </c>
      <c r="I77" s="43">
        <v>1.4690975333852409E-2</v>
      </c>
    </row>
    <row r="78" spans="2:9" ht="13.95" customHeight="1" x14ac:dyDescent="0.3">
      <c r="B78" s="81">
        <v>44074</v>
      </c>
      <c r="C78" s="43">
        <v>9.80751750710568E-2</v>
      </c>
      <c r="D78" s="43">
        <v>6.3939333246535127E-2</v>
      </c>
      <c r="E78" s="43">
        <v>3.3299577272453439E-2</v>
      </c>
      <c r="F78" s="43">
        <v>8.3384588873702384E-2</v>
      </c>
      <c r="G78" s="43">
        <v>7.5518435162100647E-2</v>
      </c>
      <c r="H78" s="43">
        <v>3.6923686375290657E-2</v>
      </c>
      <c r="I78" s="43">
        <v>1.5507241881958881E-2</v>
      </c>
    </row>
    <row r="79" spans="2:9" ht="13.95" customHeight="1" x14ac:dyDescent="0.3">
      <c r="B79" s="81">
        <v>44104</v>
      </c>
      <c r="C79" s="43">
        <v>0.1098382957128696</v>
      </c>
      <c r="D79" s="43">
        <v>6.6708690424058914E-2</v>
      </c>
      <c r="E79" s="43">
        <v>3.6080496793130773E-2</v>
      </c>
      <c r="F79" s="43">
        <v>0.1065301272311955</v>
      </c>
      <c r="G79" s="43">
        <v>8.6593265524412349E-2</v>
      </c>
      <c r="H79" s="43">
        <v>3.9930344590576358E-2</v>
      </c>
      <c r="I79" s="43">
        <v>1.6316141558844161E-2</v>
      </c>
    </row>
    <row r="80" spans="2:9" ht="13.95" customHeight="1" x14ac:dyDescent="0.3">
      <c r="B80" s="81">
        <v>44135</v>
      </c>
      <c r="C80" s="43">
        <v>0.1126511046055248</v>
      </c>
      <c r="D80" s="43">
        <v>6.8388000604016105E-2</v>
      </c>
      <c r="E80" s="43">
        <v>3.7646310968483858E-2</v>
      </c>
      <c r="F80" s="43">
        <v>0.1293441564521097</v>
      </c>
      <c r="G80" s="43">
        <v>9.5799488239468739E-2</v>
      </c>
      <c r="H80" s="43">
        <v>4.2782073377280003E-2</v>
      </c>
      <c r="I80" s="43">
        <v>1.5962711106854391E-2</v>
      </c>
    </row>
    <row r="81" spans="2:9" ht="13.95" customHeight="1" x14ac:dyDescent="0.3">
      <c r="B81" s="81">
        <v>44165</v>
      </c>
      <c r="C81" s="43">
        <v>0.10003752286840149</v>
      </c>
      <c r="D81" s="43">
        <v>6.6152058437996861E-2</v>
      </c>
      <c r="E81" s="43">
        <v>3.7291885972168197E-2</v>
      </c>
      <c r="F81" s="43">
        <v>0.1172737015692062</v>
      </c>
      <c r="G81" s="43">
        <v>8.9649548012361399E-2</v>
      </c>
      <c r="H81" s="43">
        <v>4.1701795366865559E-2</v>
      </c>
      <c r="I81" s="43">
        <v>1.6758278589623279E-2</v>
      </c>
    </row>
    <row r="82" spans="2:9" ht="13.95" customHeight="1" x14ac:dyDescent="0.3">
      <c r="B82" s="81">
        <v>44196</v>
      </c>
      <c r="C82" s="43">
        <v>9.1551649579607028E-2</v>
      </c>
      <c r="D82" s="43">
        <v>6.3494757814469727E-2</v>
      </c>
      <c r="E82" s="43">
        <v>3.7292738137157819E-2</v>
      </c>
      <c r="F82" s="43">
        <v>0.1217683060492801</v>
      </c>
      <c r="G82" s="43">
        <v>8.9185178710508836E-2</v>
      </c>
      <c r="H82" s="43">
        <v>4.1672844505330819E-2</v>
      </c>
      <c r="I82" s="43">
        <v>1.6916180326482282E-2</v>
      </c>
    </row>
    <row r="83" spans="2:9" ht="13.95" customHeight="1" x14ac:dyDescent="0.3">
      <c r="B83" s="81">
        <v>44227</v>
      </c>
      <c r="C83" s="43">
        <v>9.9047535944582474E-2</v>
      </c>
      <c r="D83" s="43">
        <v>6.5077234302715156E-2</v>
      </c>
      <c r="E83" s="43">
        <v>3.8572776060751053E-2</v>
      </c>
      <c r="F83" s="43">
        <v>0.13220153979902749</v>
      </c>
      <c r="G83" s="43">
        <v>9.3650101242103295E-2</v>
      </c>
      <c r="H83" s="43">
        <v>4.4634530232390189E-2</v>
      </c>
      <c r="I83" s="43">
        <v>1.5924327595267289E-2</v>
      </c>
    </row>
    <row r="84" spans="2:9" ht="13.95" customHeight="1" x14ac:dyDescent="0.3">
      <c r="B84" s="81">
        <v>44255</v>
      </c>
      <c r="C84" s="43">
        <v>0.1104024861430989</v>
      </c>
      <c r="D84" s="43">
        <v>6.9124227587749054E-2</v>
      </c>
      <c r="E84" s="43">
        <v>4.1562624659774353E-2</v>
      </c>
      <c r="F84" s="43">
        <v>0.145898630034594</v>
      </c>
      <c r="G84" s="43">
        <v>0.10363145592499989</v>
      </c>
      <c r="H84" s="43">
        <v>4.8024761745409532E-2</v>
      </c>
      <c r="I84" s="43">
        <v>1.697331794419173E-2</v>
      </c>
    </row>
    <row r="85" spans="2:9" ht="13.95" customHeight="1" x14ac:dyDescent="0.3">
      <c r="B85" s="81">
        <v>44286</v>
      </c>
      <c r="C85" s="43">
        <v>0.1040768909139483</v>
      </c>
      <c r="D85" s="43">
        <v>6.8348383636105486E-2</v>
      </c>
      <c r="E85" s="43">
        <v>4.0385795593849999E-2</v>
      </c>
      <c r="F85" s="43">
        <v>0.15706179184916769</v>
      </c>
      <c r="G85" s="43">
        <v>0.1058419597241619</v>
      </c>
      <c r="H85" s="43">
        <v>4.5828834598543748E-2</v>
      </c>
      <c r="I85" s="43">
        <v>1.8374246655887109E-2</v>
      </c>
    </row>
    <row r="86" spans="2:9" ht="13.95" customHeight="1" x14ac:dyDescent="0.3">
      <c r="B86" s="81">
        <v>44316</v>
      </c>
      <c r="C86" s="43">
        <v>0.10701891042966161</v>
      </c>
      <c r="D86" s="43">
        <v>6.8625182440250135E-2</v>
      </c>
      <c r="E86" s="43">
        <v>4.2605342365604593E-2</v>
      </c>
      <c r="F86" s="43">
        <v>0.1679752823325118</v>
      </c>
      <c r="G86" s="43">
        <v>0.1120548358137234</v>
      </c>
      <c r="H86" s="43">
        <v>4.7528255754430468E-2</v>
      </c>
      <c r="I86" s="43">
        <v>2.132650885050117E-2</v>
      </c>
    </row>
    <row r="87" spans="2:9" ht="13.95" customHeight="1" x14ac:dyDescent="0.3">
      <c r="B87" s="81">
        <v>44347</v>
      </c>
      <c r="C87" s="43">
        <v>0.1002728403707447</v>
      </c>
      <c r="D87" s="43">
        <v>6.5205359746796282E-2</v>
      </c>
      <c r="E87" s="43">
        <v>4.0007531331501187E-2</v>
      </c>
      <c r="F87" s="43">
        <v>0.15977303476784349</v>
      </c>
      <c r="G87" s="43">
        <v>0.1054838919036315</v>
      </c>
      <c r="H87" s="43">
        <v>4.3709450196889897E-2</v>
      </c>
      <c r="I87" s="43">
        <v>2.2128299882720009E-2</v>
      </c>
    </row>
    <row r="88" spans="2:9" ht="13.95" customHeight="1" x14ac:dyDescent="0.3">
      <c r="B88" s="81">
        <v>44377</v>
      </c>
      <c r="C88" s="43">
        <v>0.103254076090631</v>
      </c>
      <c r="D88" s="43">
        <v>6.7040699279701188E-2</v>
      </c>
      <c r="E88" s="43">
        <v>3.9904753435421783E-2</v>
      </c>
      <c r="F88" s="43">
        <v>0.16686666456708371</v>
      </c>
      <c r="G88" s="43">
        <v>0.1100432656975594</v>
      </c>
      <c r="H88" s="43">
        <v>4.3349231015355059E-2</v>
      </c>
      <c r="I88" s="43">
        <v>2.288172436674828E-2</v>
      </c>
    </row>
    <row r="89" spans="2:9" ht="13.95" customHeight="1" x14ac:dyDescent="0.3">
      <c r="B89" s="81">
        <v>44408</v>
      </c>
      <c r="C89" s="43">
        <v>0.1086640915501252</v>
      </c>
      <c r="D89" s="43">
        <v>7.1643787327241706E-2</v>
      </c>
      <c r="E89" s="43">
        <v>4.102597435699102E-2</v>
      </c>
      <c r="F89" s="43">
        <v>0.181625079830494</v>
      </c>
      <c r="G89" s="43">
        <v>0.11817385988722209</v>
      </c>
      <c r="H89" s="43">
        <v>4.5242970998388601E-2</v>
      </c>
      <c r="I89" s="43">
        <v>2.2623410705397941E-2</v>
      </c>
    </row>
    <row r="90" spans="2:9" ht="13.95" customHeight="1" x14ac:dyDescent="0.3">
      <c r="B90" s="81">
        <v>44439</v>
      </c>
      <c r="C90" s="43">
        <v>0.11350475212559261</v>
      </c>
      <c r="D90" s="43">
        <v>7.1021878888424053E-2</v>
      </c>
      <c r="E90" s="43">
        <v>4.394371894974123E-2</v>
      </c>
      <c r="F90" s="43">
        <v>0.19514570636892481</v>
      </c>
      <c r="G90" s="43">
        <v>0.12454066507581101</v>
      </c>
      <c r="H90" s="43">
        <v>4.9201390460855629E-2</v>
      </c>
      <c r="I90" s="43">
        <v>2.34543578196829E-2</v>
      </c>
    </row>
    <row r="91" spans="2:9" ht="13.95" customHeight="1" x14ac:dyDescent="0.3">
      <c r="B91" s="81">
        <v>44469</v>
      </c>
      <c r="C91" s="43">
        <v>0.11863764135471851</v>
      </c>
      <c r="D91" s="43">
        <v>7.2836541870706553E-2</v>
      </c>
      <c r="E91" s="43">
        <v>3.8200981968970198E-2</v>
      </c>
      <c r="F91" s="43">
        <v>0.21475767150468861</v>
      </c>
      <c r="G91" s="43">
        <v>0.1296383102890033</v>
      </c>
      <c r="H91" s="43">
        <v>4.2046546200779397E-2</v>
      </c>
      <c r="I91" s="43">
        <v>2.1430714500021431E-2</v>
      </c>
    </row>
    <row r="92" spans="2:9" ht="13.95" customHeight="1" x14ac:dyDescent="0.3">
      <c r="B92" s="81">
        <v>44500</v>
      </c>
      <c r="C92" s="43">
        <v>0.1247782749986566</v>
      </c>
      <c r="D92" s="43">
        <v>7.9672978823196947E-2</v>
      </c>
      <c r="E92" s="43">
        <v>4.1838909910354362E-2</v>
      </c>
      <c r="F92" s="43">
        <v>0.2209166781729848</v>
      </c>
      <c r="G92" s="43">
        <v>0.13593969099095771</v>
      </c>
      <c r="H92" s="43">
        <v>4.8253586718685737E-2</v>
      </c>
      <c r="I92" s="43">
        <v>2.1596681806817789E-2</v>
      </c>
    </row>
    <row r="93" spans="2:9" ht="13.95" customHeight="1" x14ac:dyDescent="0.3">
      <c r="B93" s="81">
        <v>44530</v>
      </c>
      <c r="C93" s="43">
        <v>0.12915557841842989</v>
      </c>
      <c r="D93" s="43">
        <v>8.3204207682415654E-2</v>
      </c>
      <c r="E93" s="43">
        <v>4.1799657985633419E-2</v>
      </c>
      <c r="F93" s="43">
        <v>0.21349638673555299</v>
      </c>
      <c r="G93" s="43">
        <v>0.13708778579423619</v>
      </c>
      <c r="H93" s="43">
        <v>4.4930735291080957E-2</v>
      </c>
      <c r="I93" s="43">
        <v>3.047095862339037E-2</v>
      </c>
    </row>
    <row r="94" spans="2:9" ht="13.95" customHeight="1" x14ac:dyDescent="0.3">
      <c r="B94" s="81">
        <v>44561</v>
      </c>
      <c r="C94" s="43">
        <v>0.13571685792869129</v>
      </c>
      <c r="D94" s="43">
        <v>8.254825828148632E-2</v>
      </c>
      <c r="E94" s="43">
        <v>4.6920397228040041E-2</v>
      </c>
      <c r="F94" s="43">
        <v>0.18852865872441751</v>
      </c>
      <c r="G94" s="43">
        <v>0.13262036140440611</v>
      </c>
      <c r="H94" s="43">
        <v>5.3578210416965297E-2</v>
      </c>
      <c r="I94" s="43">
        <v>2.8012444985738939E-2</v>
      </c>
    </row>
    <row r="95" spans="2:9" ht="13.95" customHeight="1" x14ac:dyDescent="0.3">
      <c r="B95" s="81">
        <v>44592</v>
      </c>
      <c r="C95" s="43">
        <v>0.118120100664138</v>
      </c>
      <c r="D95" s="43">
        <v>7.8353272649148431E-2</v>
      </c>
      <c r="E95" s="43">
        <v>4.4465064003312141E-2</v>
      </c>
      <c r="F95" s="43">
        <v>0.17781819559035561</v>
      </c>
      <c r="G95" s="43">
        <v>0.12311110200015291</v>
      </c>
      <c r="H95" s="43">
        <v>4.8982509510403442E-2</v>
      </c>
      <c r="I95" s="43">
        <v>2.896085879000598E-2</v>
      </c>
    </row>
    <row r="96" spans="2:9" ht="13.95" customHeight="1" x14ac:dyDescent="0.3">
      <c r="B96" s="81">
        <v>44620</v>
      </c>
      <c r="C96" s="43">
        <v>0.1230453202368032</v>
      </c>
      <c r="D96" s="43">
        <v>7.9995841780833951E-2</v>
      </c>
      <c r="E96" s="43">
        <v>4.6885782803139472E-2</v>
      </c>
      <c r="F96" s="43">
        <v>0.17127801817312169</v>
      </c>
      <c r="G96" s="43">
        <v>0.1238850529468619</v>
      </c>
      <c r="H96" s="43">
        <v>5.1381270099911357E-2</v>
      </c>
      <c r="I96" s="43">
        <v>3.0715039084439021E-2</v>
      </c>
    </row>
    <row r="97" spans="2:9" ht="13.95" customHeight="1" x14ac:dyDescent="0.3">
      <c r="B97" s="81">
        <v>44651</v>
      </c>
      <c r="C97" s="43">
        <v>0.1163843875900502</v>
      </c>
      <c r="D97" s="43">
        <v>7.7277735498993971E-2</v>
      </c>
      <c r="E97" s="43">
        <v>4.2656730505993813E-2</v>
      </c>
      <c r="F97" s="43">
        <v>0.1833757970118029</v>
      </c>
      <c r="G97" s="43">
        <v>0.1247438489485741</v>
      </c>
      <c r="H97" s="43">
        <v>4.6056522328149142E-2</v>
      </c>
      <c r="I97" s="43">
        <v>3.0475677899419979E-2</v>
      </c>
    </row>
    <row r="98" spans="2:9" ht="13.95" customHeight="1" x14ac:dyDescent="0.3">
      <c r="B98" s="81">
        <v>44681</v>
      </c>
      <c r="C98" s="43">
        <v>0.13398055530393749</v>
      </c>
      <c r="D98" s="43">
        <v>8.2710037030845424E-2</v>
      </c>
      <c r="E98" s="43">
        <v>4.9620921280946501E-2</v>
      </c>
      <c r="F98" s="43">
        <v>0.21732721453135159</v>
      </c>
      <c r="G98" s="43">
        <v>0.1448551462986683</v>
      </c>
      <c r="H98" s="43">
        <v>5.4682495352629458E-2</v>
      </c>
      <c r="I98" s="43">
        <v>3.1914655225950363E-2</v>
      </c>
    </row>
    <row r="99" spans="2:9" ht="13.95" customHeight="1" x14ac:dyDescent="0.3">
      <c r="B99" s="81">
        <v>44712</v>
      </c>
      <c r="C99" s="43">
        <v>0.1295402087212093</v>
      </c>
      <c r="D99" s="43">
        <v>8.659012573216375E-2</v>
      </c>
      <c r="E99" s="43">
        <v>5.2442639809836447E-2</v>
      </c>
      <c r="F99" s="43">
        <v>0.20936453760806109</v>
      </c>
      <c r="G99" s="43">
        <v>0.1432084238699774</v>
      </c>
      <c r="H99" s="43">
        <v>5.5571148170385047E-2</v>
      </c>
      <c r="I99" s="43">
        <v>3.9411272522120518E-2</v>
      </c>
    </row>
    <row r="100" spans="2:9" ht="13.95" customHeight="1" x14ac:dyDescent="0.3">
      <c r="B100" s="81">
        <v>44742</v>
      </c>
      <c r="C100" s="43">
        <v>0.15179973801234259</v>
      </c>
      <c r="D100" s="43">
        <v>9.5068189768527836E-2</v>
      </c>
      <c r="E100" s="43">
        <v>5.8736892146794062E-2</v>
      </c>
      <c r="F100" s="43">
        <v>0.24639324247124481</v>
      </c>
      <c r="G100" s="43">
        <v>0.16439335154276441</v>
      </c>
      <c r="H100" s="43">
        <v>6.3584222098087964E-2</v>
      </c>
      <c r="I100" s="43">
        <v>4.0972032628558822E-2</v>
      </c>
    </row>
    <row r="101" spans="2:9" ht="13.95" customHeight="1" x14ac:dyDescent="0.3">
      <c r="B101" s="81">
        <v>44773</v>
      </c>
      <c r="C101" s="43">
        <v>0.1480007274514005</v>
      </c>
      <c r="D101" s="43">
        <v>8.2834468766269417E-2</v>
      </c>
      <c r="E101" s="43">
        <v>5.4261138807786068E-2</v>
      </c>
      <c r="F101" s="43">
        <v>0.23427126975234991</v>
      </c>
      <c r="G101" s="43">
        <v>0.15313335826838731</v>
      </c>
      <c r="H101" s="43">
        <v>5.747354647526072E-2</v>
      </c>
      <c r="I101" s="43">
        <v>4.1931577191346561E-2</v>
      </c>
    </row>
    <row r="102" spans="2:9" ht="13.95" customHeight="1" x14ac:dyDescent="0.3">
      <c r="B102" s="81">
        <v>44804</v>
      </c>
      <c r="C102" s="43">
        <v>0.1402440771793626</v>
      </c>
      <c r="D102" s="43">
        <v>7.6484764500230826E-2</v>
      </c>
      <c r="E102" s="43">
        <v>5.2817305689025977E-2</v>
      </c>
      <c r="F102" s="43">
        <v>0.25196377921811092</v>
      </c>
      <c r="G102" s="43">
        <v>0.1537033395902328</v>
      </c>
      <c r="H102" s="43">
        <v>5.5417594286170019E-2</v>
      </c>
      <c r="I102" s="43">
        <v>4.2695139574567192E-2</v>
      </c>
    </row>
    <row r="103" spans="2:9" ht="13.95" customHeight="1" x14ac:dyDescent="0.3">
      <c r="B103" s="81">
        <v>44834</v>
      </c>
      <c r="C103" s="43">
        <v>0.13689472739294439</v>
      </c>
      <c r="D103" s="43">
        <v>7.7675815944898349E-2</v>
      </c>
      <c r="E103" s="43">
        <v>5.2476727008668581E-2</v>
      </c>
      <c r="F103" s="43">
        <v>0.23782603374168901</v>
      </c>
      <c r="G103" s="43">
        <v>0.1485000489302255</v>
      </c>
      <c r="H103" s="43">
        <v>5.5200191542115758E-2</v>
      </c>
      <c r="I103" s="43">
        <v>4.1935612805226778E-2</v>
      </c>
    </row>
    <row r="104" spans="2:9" ht="13.95" customHeight="1" x14ac:dyDescent="0.3">
      <c r="B104" s="81">
        <v>44865</v>
      </c>
      <c r="C104" s="43">
        <v>0.1292795860936575</v>
      </c>
      <c r="D104" s="43">
        <v>7.3015066922225022E-2</v>
      </c>
      <c r="E104" s="43">
        <v>4.7166775007312492E-2</v>
      </c>
      <c r="F104" s="43">
        <v>0.23182183744887289</v>
      </c>
      <c r="G104" s="43">
        <v>0.13938064076819459</v>
      </c>
      <c r="H104" s="43">
        <v>5.0324177144486303E-2</v>
      </c>
      <c r="I104" s="43">
        <v>3.6333056423822653E-2</v>
      </c>
    </row>
    <row r="105" spans="2:9" ht="13.95" customHeight="1" x14ac:dyDescent="0.3">
      <c r="B105" s="81">
        <v>44895</v>
      </c>
      <c r="C105" s="43">
        <v>0.14859817854605761</v>
      </c>
      <c r="D105" s="43">
        <v>8.1140935086169916E-2</v>
      </c>
      <c r="E105" s="43">
        <v>5.429010215856081E-2</v>
      </c>
      <c r="F105" s="43">
        <v>0.2042600555942044</v>
      </c>
      <c r="G105" s="43">
        <v>0.14242679335799999</v>
      </c>
      <c r="H105" s="43">
        <v>6.0685704834305132E-2</v>
      </c>
      <c r="I105" s="43">
        <v>3.5558574321804579E-2</v>
      </c>
    </row>
    <row r="106" spans="2:9" ht="13.95" customHeight="1" x14ac:dyDescent="0.3">
      <c r="B106" s="81">
        <v>44926</v>
      </c>
      <c r="C106" s="43">
        <v>0.15217787372364991</v>
      </c>
      <c r="D106" s="43">
        <v>8.4660688551672525E-2</v>
      </c>
      <c r="E106" s="43">
        <v>5.9611068079558779E-2</v>
      </c>
      <c r="F106" s="43">
        <v>0.20523027274655969</v>
      </c>
      <c r="G106" s="43">
        <v>0.1440332416373192</v>
      </c>
      <c r="H106" s="43">
        <v>6.7420345236272994E-2</v>
      </c>
      <c r="I106" s="43">
        <v>3.8349313485001098E-2</v>
      </c>
    </row>
    <row r="107" spans="2:9" ht="13.95" customHeight="1" x14ac:dyDescent="0.3">
      <c r="B107" s="81">
        <v>44957</v>
      </c>
      <c r="C107" s="43">
        <v>0.1511916661955868</v>
      </c>
      <c r="D107" s="43">
        <v>8.3948152437515855E-2</v>
      </c>
      <c r="E107" s="43">
        <v>5.6789706950737283E-2</v>
      </c>
      <c r="F107" s="43">
        <v>0.19093921031738539</v>
      </c>
      <c r="G107" s="43">
        <v>0.13850176277754511</v>
      </c>
      <c r="H107" s="43">
        <v>6.2845098972861599E-2</v>
      </c>
      <c r="I107" s="43">
        <v>3.9776290906553699E-2</v>
      </c>
    </row>
    <row r="108" spans="2:9" ht="13.95" customHeight="1" x14ac:dyDescent="0.3">
      <c r="B108" s="81">
        <v>44985</v>
      </c>
      <c r="C108" s="43">
        <v>0.16052767372160801</v>
      </c>
      <c r="D108" s="43">
        <v>9.2900200677503098E-2</v>
      </c>
      <c r="E108" s="43">
        <v>6.0064484373829198E-2</v>
      </c>
      <c r="F108" s="43">
        <v>0.20485960674426559</v>
      </c>
      <c r="G108" s="43">
        <v>0.148944481331657</v>
      </c>
      <c r="H108" s="43">
        <v>6.7904631024415837E-2</v>
      </c>
      <c r="I108" s="43">
        <v>3.9938864302964228E-2</v>
      </c>
    </row>
    <row r="109" spans="2:9" ht="13.95" customHeight="1" x14ac:dyDescent="0.3">
      <c r="B109" s="81">
        <v>45016</v>
      </c>
      <c r="C109" s="43">
        <v>0.16408775540476681</v>
      </c>
      <c r="D109" s="43">
        <v>9.5410091030476957E-2</v>
      </c>
      <c r="E109" s="43">
        <v>6.0316988035037822E-2</v>
      </c>
      <c r="F109" s="43">
        <v>0.21795110331231049</v>
      </c>
      <c r="G109" s="43">
        <v>0.1538536576334544</v>
      </c>
      <c r="H109" s="43">
        <v>6.8743608554556482E-2</v>
      </c>
      <c r="I109" s="43">
        <v>4.0414091992975153E-2</v>
      </c>
    </row>
    <row r="110" spans="2:9" ht="13.95" customHeight="1" x14ac:dyDescent="0.3">
      <c r="B110" s="81">
        <v>45046</v>
      </c>
      <c r="C110" s="43">
        <v>0.15357577972281269</v>
      </c>
      <c r="D110" s="43">
        <v>9.4704192187969619E-2</v>
      </c>
      <c r="E110" s="43">
        <v>5.8605928857549269E-2</v>
      </c>
      <c r="F110" s="43">
        <v>0.2144262513783641</v>
      </c>
      <c r="G110" s="43">
        <v>0.14928718354254369</v>
      </c>
      <c r="H110" s="43">
        <v>6.5430819742905474E-2</v>
      </c>
      <c r="I110" s="43">
        <v>4.0992511540684701E-2</v>
      </c>
    </row>
    <row r="111" spans="2:9" ht="13.95" customHeight="1" x14ac:dyDescent="0.3">
      <c r="B111" s="81">
        <v>45077</v>
      </c>
      <c r="C111" s="43">
        <v>0.14571856401125191</v>
      </c>
      <c r="D111" s="43">
        <v>9.0351860413625515E-2</v>
      </c>
      <c r="E111" s="43">
        <v>5.7827446286027449E-2</v>
      </c>
      <c r="F111" s="43">
        <v>0.21250981712015521</v>
      </c>
      <c r="G111" s="43">
        <v>0.14366649135873899</v>
      </c>
      <c r="H111" s="43">
        <v>6.107675556699696E-2</v>
      </c>
      <c r="I111" s="43">
        <v>4.7772219425849007E-2</v>
      </c>
    </row>
    <row r="112" spans="2:9" ht="13.95" customHeight="1" x14ac:dyDescent="0.3">
      <c r="B112" s="81">
        <v>45107</v>
      </c>
      <c r="C112" s="43">
        <v>0.1358304180882807</v>
      </c>
      <c r="D112" s="43">
        <v>7.6975470330493734E-2</v>
      </c>
      <c r="E112" s="43">
        <v>5.5414072248407067E-2</v>
      </c>
      <c r="F112" s="43">
        <v>0.19585096500440111</v>
      </c>
      <c r="G112" s="43">
        <v>0.13129924511095481</v>
      </c>
      <c r="H112" s="43">
        <v>5.8443210716807102E-2</v>
      </c>
      <c r="I112" s="43">
        <v>4.5320332318470088E-2</v>
      </c>
    </row>
    <row r="113" spans="2:9" ht="13.95" customHeight="1" x14ac:dyDescent="0.3">
      <c r="B113" s="81">
        <v>45138</v>
      </c>
      <c r="C113" s="43">
        <v>0.1357854073746308</v>
      </c>
      <c r="D113" s="43">
        <v>7.7266359085649952E-2</v>
      </c>
      <c r="E113" s="43">
        <v>5.5991077813138238E-2</v>
      </c>
      <c r="F113" s="43">
        <v>0.17657297597586019</v>
      </c>
      <c r="G113" s="43">
        <v>0.12539774924898689</v>
      </c>
      <c r="H113" s="43">
        <v>5.9207236278574819E-2</v>
      </c>
      <c r="I113" s="43">
        <v>4.5414535412839491E-2</v>
      </c>
    </row>
    <row r="114" spans="2:9" ht="13.95" customHeight="1" x14ac:dyDescent="0.3">
      <c r="B114" s="81">
        <v>45169</v>
      </c>
      <c r="C114" s="43">
        <v>0.1452736717316622</v>
      </c>
      <c r="D114" s="43">
        <v>8.6817656311046917E-2</v>
      </c>
      <c r="E114" s="43">
        <v>6.2255546378736509E-2</v>
      </c>
      <c r="F114" s="43">
        <v>0.17772064341706459</v>
      </c>
      <c r="G114" s="43">
        <v>0.13250912325879191</v>
      </c>
      <c r="H114" s="43">
        <v>6.5278364360557228E-2</v>
      </c>
      <c r="I114" s="43">
        <v>5.2552523668479012E-2</v>
      </c>
    </row>
    <row r="115" spans="2:9" ht="13.95" customHeight="1" x14ac:dyDescent="0.3">
      <c r="B115" s="81">
        <v>45199</v>
      </c>
      <c r="C115" s="43">
        <v>0.15011719804795789</v>
      </c>
      <c r="D115" s="43">
        <v>9.1202150484351083E-2</v>
      </c>
      <c r="E115" s="43">
        <v>6.4247117549191518E-2</v>
      </c>
      <c r="F115" s="43">
        <v>0.16936005078724031</v>
      </c>
      <c r="G115" s="43">
        <v>0.13247902226901959</v>
      </c>
      <c r="H115" s="43">
        <v>6.8197718373539121E-2</v>
      </c>
      <c r="I115" s="43">
        <v>5.3191014843042173E-2</v>
      </c>
    </row>
    <row r="116" spans="2:9" ht="13.95" customHeight="1" x14ac:dyDescent="0.3">
      <c r="B116" s="81">
        <v>45230</v>
      </c>
      <c r="C116" s="43">
        <v>0.1568701586592853</v>
      </c>
      <c r="D116" s="43">
        <v>0.10168874240908279</v>
      </c>
      <c r="E116" s="43">
        <v>6.9989691209274077E-2</v>
      </c>
      <c r="F116" s="43">
        <v>0.1849942109005909</v>
      </c>
      <c r="G116" s="43">
        <v>0.14520694629543399</v>
      </c>
      <c r="H116" s="43">
        <v>7.6720662147605034E-2</v>
      </c>
      <c r="I116" s="43">
        <v>5.1480597739698521E-2</v>
      </c>
    </row>
    <row r="117" spans="2:9" ht="13.95" customHeight="1" x14ac:dyDescent="0.3">
      <c r="B117" s="81">
        <v>45260</v>
      </c>
      <c r="C117" s="43">
        <v>0.13420481022744349</v>
      </c>
      <c r="D117" s="43">
        <v>8.6743793130284436E-2</v>
      </c>
      <c r="E117" s="43">
        <v>6.2954778538604178E-2</v>
      </c>
      <c r="F117" s="43">
        <v>0.17240470915848519</v>
      </c>
      <c r="G117" s="43">
        <v>0.12853821358283629</v>
      </c>
      <c r="H117" s="43">
        <v>6.5994550706614682E-2</v>
      </c>
      <c r="I117" s="43">
        <v>5.3646043019794462E-2</v>
      </c>
    </row>
    <row r="118" spans="2:9" ht="13.95" customHeight="1" x14ac:dyDescent="0.3">
      <c r="B118" s="81">
        <v>45291</v>
      </c>
      <c r="C118" s="43">
        <v>0.12818050197827471</v>
      </c>
      <c r="D118" s="43">
        <v>8.6864922189683794E-2</v>
      </c>
      <c r="E118" s="43">
        <v>6.0443570028464823E-2</v>
      </c>
      <c r="F118" s="43">
        <v>0.16519241991429029</v>
      </c>
      <c r="G118" s="43">
        <v>0.1232387756007922</v>
      </c>
      <c r="H118" s="43">
        <v>6.362704677395245E-2</v>
      </c>
      <c r="I118" s="43">
        <v>5.0866516956562018E-2</v>
      </c>
    </row>
    <row r="119" spans="2:9" ht="13.95" customHeight="1" x14ac:dyDescent="0.3">
      <c r="B119" s="81">
        <v>45322</v>
      </c>
      <c r="C119" s="43">
        <v>0.13550069292136169</v>
      </c>
      <c r="D119" s="43">
        <v>8.9942382730327064E-2</v>
      </c>
      <c r="E119" s="43">
        <v>6.8029519751040907E-2</v>
      </c>
      <c r="F119" s="43">
        <v>0.16865739289926629</v>
      </c>
      <c r="G119" s="43">
        <v>0.12862760710215629</v>
      </c>
      <c r="H119" s="43">
        <v>7.0164190367022136E-2</v>
      </c>
      <c r="I119" s="43">
        <v>6.1556461953254232E-2</v>
      </c>
    </row>
    <row r="120" spans="2:9" ht="13.95" customHeight="1" x14ac:dyDescent="0.3">
      <c r="B120" s="81">
        <v>45351</v>
      </c>
      <c r="C120" s="43">
        <v>0.1348235748204675</v>
      </c>
      <c r="D120" s="43">
        <v>8.932341641715541E-2</v>
      </c>
      <c r="E120" s="43">
        <v>6.6323895404930167E-2</v>
      </c>
      <c r="F120" s="43">
        <v>0.1735893529046694</v>
      </c>
      <c r="G120" s="43">
        <v>0.12958981876944761</v>
      </c>
      <c r="H120" s="43">
        <v>7.0346211705841807E-2</v>
      </c>
      <c r="I120" s="43">
        <v>5.555505767203494E-2</v>
      </c>
    </row>
    <row r="121" spans="2:9" ht="13.95" customHeight="1" x14ac:dyDescent="0.3">
      <c r="B121" s="81">
        <v>45382</v>
      </c>
      <c r="C121" s="43">
        <v>0.13525924180921181</v>
      </c>
      <c r="D121" s="43">
        <v>9.1605631126130335E-2</v>
      </c>
      <c r="E121" s="43">
        <v>6.4238194520857064E-2</v>
      </c>
      <c r="F121" s="43">
        <v>0.18701833250325861</v>
      </c>
      <c r="G121" s="43">
        <v>0.13387744624196671</v>
      </c>
      <c r="H121" s="43">
        <v>7.1419020153856511E-2</v>
      </c>
      <c r="I121" s="43">
        <v>4.7063909713555417E-2</v>
      </c>
    </row>
    <row r="122" spans="2:9" ht="13.95" customHeight="1" x14ac:dyDescent="0.3">
      <c r="B122" s="81">
        <v>45412</v>
      </c>
      <c r="C122" s="43">
        <v>0.14668841457473841</v>
      </c>
      <c r="D122" s="43">
        <v>9.4757867647763991E-2</v>
      </c>
      <c r="E122" s="43">
        <v>6.750242316313175E-2</v>
      </c>
      <c r="F122" s="43">
        <v>0.1795387235209201</v>
      </c>
      <c r="G122" s="43">
        <v>0.13688161609547489</v>
      </c>
      <c r="H122" s="43">
        <v>8.0824169410584776E-2</v>
      </c>
      <c r="I122" s="43">
        <v>4.0017663913060678E-2</v>
      </c>
    </row>
    <row r="123" spans="2:9" ht="13.95" customHeight="1" x14ac:dyDescent="0.3">
      <c r="B123" s="81">
        <v>45443</v>
      </c>
      <c r="C123" s="43">
        <v>0.151315673690502</v>
      </c>
      <c r="D123" s="43">
        <v>9.6592837524239611E-2</v>
      </c>
      <c r="E123" s="43">
        <v>7.5618314428721273E-2</v>
      </c>
      <c r="F123" s="43">
        <v>0.18951908263504971</v>
      </c>
      <c r="G123" s="43">
        <v>0.14321593473392141</v>
      </c>
      <c r="H123" s="43">
        <v>8.5943111925662549E-2</v>
      </c>
      <c r="I123" s="43">
        <v>5.4773385428139872E-2</v>
      </c>
    </row>
    <row r="124" spans="2:9" ht="13.95" customHeight="1" x14ac:dyDescent="0.3">
      <c r="B124" s="81">
        <v>45473</v>
      </c>
      <c r="C124" s="43">
        <v>0.15219401164803609</v>
      </c>
      <c r="D124" s="43">
        <v>9.4034918898886058E-2</v>
      </c>
      <c r="E124" s="43">
        <v>7.4631313762937052E-2</v>
      </c>
      <c r="F124" s="43">
        <v>0.19974704365150101</v>
      </c>
      <c r="G124" s="43">
        <v>0.14607069870857231</v>
      </c>
      <c r="H124" s="43">
        <v>8.6705699441108272E-2</v>
      </c>
      <c r="I124" s="43">
        <v>5.2142735907528222E-2</v>
      </c>
    </row>
    <row r="125" spans="2:9" ht="13.95" customHeight="1" x14ac:dyDescent="0.3">
      <c r="B125" s="81">
        <v>45504</v>
      </c>
      <c r="C125" s="43">
        <v>0.14905830258763081</v>
      </c>
      <c r="D125" s="43">
        <v>8.824285390603856E-2</v>
      </c>
      <c r="E125" s="43">
        <v>6.9061251027589435E-2</v>
      </c>
      <c r="F125" s="43">
        <v>0.21960933206426869</v>
      </c>
      <c r="G125" s="43">
        <v>0.1486330566905163</v>
      </c>
      <c r="H125" s="43">
        <v>8.4329610337893809E-2</v>
      </c>
      <c r="I125" s="43">
        <v>4.4810618847506083E-2</v>
      </c>
    </row>
    <row r="126" spans="2:9" ht="13.95" customHeight="1" x14ac:dyDescent="0.3">
      <c r="B126" s="81">
        <v>45535</v>
      </c>
      <c r="C126" s="43">
        <v>0.13471066485400371</v>
      </c>
      <c r="D126" s="43">
        <v>8.567547052371563E-2</v>
      </c>
      <c r="E126" s="43">
        <v>6.3060409498046227E-2</v>
      </c>
      <c r="F126" s="43">
        <v>0.2002055936864241</v>
      </c>
      <c r="G126" s="43">
        <v>0.13528041613064401</v>
      </c>
      <c r="H126" s="43">
        <v>7.8201403149914375E-2</v>
      </c>
      <c r="I126" s="43">
        <v>3.5669484992631E-2</v>
      </c>
    </row>
    <row r="127" spans="2:9" ht="13.95" customHeight="1" x14ac:dyDescent="0.3">
      <c r="B127" s="81">
        <v>45565</v>
      </c>
      <c r="C127" s="43">
        <v>0.14306504927390731</v>
      </c>
      <c r="D127" s="43">
        <v>9.125119366277E-2</v>
      </c>
      <c r="E127" s="43">
        <v>6.5927398796862491E-2</v>
      </c>
      <c r="F127" s="43">
        <v>0.19670328274418</v>
      </c>
      <c r="G127" s="43">
        <v>0.13811413104060549</v>
      </c>
      <c r="H127" s="43">
        <v>8.2029202893509609E-2</v>
      </c>
      <c r="I127" s="43">
        <v>3.8052701284278692E-2</v>
      </c>
    </row>
    <row r="128" spans="2:9" ht="13.95" customHeight="1" x14ac:dyDescent="0.3">
      <c r="B128" s="81">
        <v>45596</v>
      </c>
      <c r="C128" s="43">
        <v>0.14925732945543951</v>
      </c>
      <c r="D128" s="43">
        <v>9.0671470642658153E-2</v>
      </c>
      <c r="E128" s="43">
        <v>6.9181709690685211E-2</v>
      </c>
      <c r="F128" s="43">
        <v>0.18968512460536069</v>
      </c>
      <c r="G128" s="43">
        <v>0.137281052785339</v>
      </c>
      <c r="H128" s="43">
        <v>8.5231682730811636E-2</v>
      </c>
      <c r="I128" s="43">
        <v>4.1229102955432299E-2</v>
      </c>
    </row>
    <row r="129" spans="2:9" ht="13.95" customHeight="1" x14ac:dyDescent="0.3">
      <c r="B129" s="81">
        <v>45626</v>
      </c>
      <c r="C129" s="43">
        <v>0.16552767002247129</v>
      </c>
      <c r="D129" s="43">
        <v>9.8728834617174313E-2</v>
      </c>
      <c r="E129" s="43">
        <v>7.2924193617626046E-2</v>
      </c>
      <c r="F129" s="43">
        <v>0.19566670091723279</v>
      </c>
      <c r="G129" s="43">
        <v>0.14674046574967439</v>
      </c>
      <c r="H129" s="43">
        <v>9.5826255036549887E-2</v>
      </c>
      <c r="I129" s="43">
        <v>3.8964644250015022E-2</v>
      </c>
    </row>
    <row r="130" spans="2:9" ht="13.95" customHeight="1" x14ac:dyDescent="0.3">
      <c r="B130" s="81">
        <v>45657</v>
      </c>
      <c r="C130" s="43">
        <v>0.1712855244008743</v>
      </c>
      <c r="D130" s="43">
        <v>0.10439783818695721</v>
      </c>
      <c r="E130" s="43">
        <v>8.1687714200672917E-2</v>
      </c>
      <c r="F130" s="43">
        <v>0.20875507154866571</v>
      </c>
      <c r="G130" s="43">
        <v>0.15460052835961019</v>
      </c>
      <c r="H130" s="43">
        <v>0.1056966582149373</v>
      </c>
      <c r="I130" s="43">
        <v>4.8963519201147977E-2</v>
      </c>
    </row>
    <row r="131" spans="2:9" ht="13.95" customHeight="1" x14ac:dyDescent="0.3">
      <c r="B131" s="81">
        <v>45688</v>
      </c>
      <c r="C131" s="43">
        <v>0.15515816543519281</v>
      </c>
      <c r="D131" s="43">
        <v>9.8000735114011583E-2</v>
      </c>
      <c r="E131" s="43">
        <v>7.4570070403294844E-2</v>
      </c>
      <c r="F131" s="43">
        <v>0.20333303585942661</v>
      </c>
      <c r="G131" s="43">
        <v>0.14528775734832799</v>
      </c>
      <c r="H131" s="43">
        <v>9.8369088629062976E-2</v>
      </c>
      <c r="I131" s="43">
        <v>4.0411735469015907E-2</v>
      </c>
    </row>
    <row r="132" spans="2:9" ht="13.95" customHeight="1" x14ac:dyDescent="0.3">
      <c r="B132" s="81">
        <v>45716</v>
      </c>
      <c r="C132" s="43">
        <v>0.1628319775175483</v>
      </c>
      <c r="D132" s="43">
        <v>9.817543854076087E-2</v>
      </c>
      <c r="E132" s="43">
        <v>7.9682504540335972E-2</v>
      </c>
      <c r="F132" s="43">
        <v>0.20835537689389461</v>
      </c>
      <c r="G132" s="43">
        <v>0.14942762092126341</v>
      </c>
      <c r="H132" s="43">
        <v>0.1042937699439028</v>
      </c>
      <c r="I132" s="43">
        <v>4.6043295517155393E-2</v>
      </c>
    </row>
    <row r="133" spans="2:9" ht="13.95" customHeight="1" x14ac:dyDescent="0.3">
      <c r="B133" s="81">
        <v>45747</v>
      </c>
      <c r="C133" s="43">
        <v>0.15164341575557791</v>
      </c>
      <c r="D133" s="43">
        <v>9.586592304988846E-2</v>
      </c>
      <c r="E133" s="43">
        <v>7.99946790474102E-2</v>
      </c>
      <c r="F133" s="43">
        <v>0.2013401640169665</v>
      </c>
      <c r="G133" s="43">
        <v>0.14337983977463581</v>
      </c>
      <c r="H133" s="43">
        <v>9.8556514259233896E-2</v>
      </c>
      <c r="I133" s="43">
        <v>5.1477354742343918E-2</v>
      </c>
    </row>
    <row r="134" spans="2:9" ht="13.95" customHeight="1" x14ac:dyDescent="0.3">
      <c r="B134" s="81">
        <v>45777</v>
      </c>
      <c r="C134" s="43">
        <v>0.13940947842444751</v>
      </c>
      <c r="D134" s="43">
        <v>8.9201770063516969E-2</v>
      </c>
      <c r="E134" s="43">
        <v>7.2677967256119053E-2</v>
      </c>
      <c r="F134" s="43">
        <v>0.1946551027677505</v>
      </c>
      <c r="G134" s="43">
        <v>0.13114102964527671</v>
      </c>
      <c r="H134" s="43">
        <v>8.642489837037555E-2</v>
      </c>
      <c r="I134" s="43">
        <v>4.7706188807626823E-2</v>
      </c>
    </row>
    <row r="135" spans="2:9" ht="13.95" customHeight="1" x14ac:dyDescent="0.3">
      <c r="B135" s="81">
        <v>45808</v>
      </c>
      <c r="C135" s="43">
        <v>0.13715436804310899</v>
      </c>
      <c r="D135" s="43">
        <v>8.5030526943772916E-2</v>
      </c>
      <c r="E135" s="43">
        <v>7.2516376670624577E-2</v>
      </c>
      <c r="F135" s="43">
        <v>0.18771707506384519</v>
      </c>
      <c r="G135" s="43">
        <v>0.12767859981174279</v>
      </c>
      <c r="H135" s="43">
        <v>8.4418212505560794E-2</v>
      </c>
      <c r="I135" s="43">
        <v>5.1153748193564517E-2</v>
      </c>
    </row>
    <row r="136" spans="2:9" ht="13.95" customHeight="1" x14ac:dyDescent="0.3">
      <c r="B136" s="81">
        <v>45838</v>
      </c>
      <c r="C136" s="43">
        <v>0.1334344079627762</v>
      </c>
      <c r="D136" s="43">
        <v>8.3350256617064883E-2</v>
      </c>
      <c r="E136" s="43">
        <v>7.1567490758475016E-2</v>
      </c>
      <c r="F136" s="43">
        <v>0.1889235739998513</v>
      </c>
      <c r="G136" s="43">
        <v>0.12740611142512509</v>
      </c>
      <c r="H136" s="43">
        <v>8.5378304563265894E-2</v>
      </c>
      <c r="I136" s="43">
        <v>4.8569215116073462E-2</v>
      </c>
    </row>
    <row r="137" spans="2:9" ht="13.95" customHeight="1" x14ac:dyDescent="0.3">
      <c r="B137" s="81">
        <v>45869</v>
      </c>
      <c r="C137" s="43">
        <v>0.14471789851057801</v>
      </c>
      <c r="D137" s="43">
        <v>8.9637254053827747E-2</v>
      </c>
      <c r="E137" s="43">
        <v>7.7759750532619465E-2</v>
      </c>
      <c r="F137" s="43">
        <v>0.17631117128897961</v>
      </c>
      <c r="G137" s="43">
        <v>0.13069009744885779</v>
      </c>
      <c r="H137" s="43">
        <v>9.4699449624226981E-2</v>
      </c>
      <c r="I137" s="43">
        <v>5.0846209919785092E-2</v>
      </c>
    </row>
    <row r="138" spans="2:9" ht="13.95" customHeight="1" x14ac:dyDescent="0.3">
      <c r="B138" s="81">
        <v>45900</v>
      </c>
      <c r="C138" s="43">
        <v>0.1333263156321427</v>
      </c>
      <c r="D138" s="43">
        <v>8.0179396670714956E-2</v>
      </c>
      <c r="E138" s="43">
        <v>7.8262680520844161E-2</v>
      </c>
      <c r="F138" s="43">
        <v>0.19015830340557779</v>
      </c>
      <c r="G138" s="43">
        <v>0.12839191534919719</v>
      </c>
      <c r="H138" s="43">
        <v>9.1915070341299462E-2</v>
      </c>
      <c r="I138" s="43">
        <v>5.4036074300696818E-2</v>
      </c>
    </row>
    <row r="139" spans="2:9" ht="13.95" customHeight="1" x14ac:dyDescent="0.3">
      <c r="B139" s="81">
        <v>45930</v>
      </c>
      <c r="C139" s="43">
        <v>0.128969058379651</v>
      </c>
      <c r="D139" s="43">
        <v>7.8713956149360761E-2</v>
      </c>
      <c r="E139" s="43">
        <v>7.7368356809143987E-2</v>
      </c>
      <c r="F139" s="43">
        <v>0.17241646576406469</v>
      </c>
      <c r="G139" s="43">
        <v>0.1209678503947391</v>
      </c>
      <c r="H139" s="43">
        <v>9.0258396493903534E-2</v>
      </c>
      <c r="I139" s="43">
        <v>5.441523785914458E-2</v>
      </c>
    </row>
    <row r="140" spans="2:9" ht="13.95" customHeight="1" x14ac:dyDescent="0.3">
      <c r="B140" s="81">
        <v>45961</v>
      </c>
      <c r="C140" s="43">
        <v>0.1302285147887024</v>
      </c>
      <c r="D140" s="43">
        <v>7.7115751478309E-2</v>
      </c>
      <c r="E140" s="43">
        <v>7.6673877939563762E-2</v>
      </c>
      <c r="F140" s="43">
        <v>0.16335307444790981</v>
      </c>
      <c r="G140" s="43">
        <v>0.1179687173885858</v>
      </c>
      <c r="H140" s="43">
        <v>9.2342883500687034E-2</v>
      </c>
      <c r="I140" s="43">
        <v>5.1839562089311571E-2</v>
      </c>
    </row>
    <row r="141" spans="2:9" ht="13.95" customHeight="1" x14ac:dyDescent="0.3">
      <c r="B141" s="81">
        <v>45991</v>
      </c>
      <c r="C141" s="43">
        <v>0.1218619915130712</v>
      </c>
      <c r="D141" s="43">
        <v>7.1086538086218579E-2</v>
      </c>
      <c r="E141" s="43">
        <v>7.6151601468929908E-2</v>
      </c>
      <c r="F141" s="43">
        <v>0.15249878457943</v>
      </c>
      <c r="G141" s="43">
        <v>0.1106159594104807</v>
      </c>
      <c r="H141" s="43">
        <v>8.7796910594319114E-2</v>
      </c>
      <c r="I141" s="43">
        <v>5.6557663850971697E-2</v>
      </c>
    </row>
    <row r="142" spans="2:9" ht="13.95" customHeight="1" x14ac:dyDescent="0.3">
      <c r="B142" s="81">
        <v>46022</v>
      </c>
      <c r="C142" s="43">
        <v>0.1280034811856639</v>
      </c>
      <c r="D142" s="43">
        <v>7.5751235761264052E-2</v>
      </c>
      <c r="E142" s="43">
        <v>8.127892039208405E-2</v>
      </c>
      <c r="F142" s="43">
        <v>0.14687632216745691</v>
      </c>
      <c r="G142" s="43">
        <v>0.11366845242392939</v>
      </c>
      <c r="H142" s="43">
        <v>9.4383854289410124E-2</v>
      </c>
      <c r="I142" s="43">
        <v>6.2541480494152271E-2</v>
      </c>
    </row>
    <row r="143" spans="2:9" ht="13.95" customHeight="1" x14ac:dyDescent="0.3">
      <c r="B143" s="81">
        <v>46053</v>
      </c>
      <c r="C143" s="43">
        <v>0.11268385012389751</v>
      </c>
      <c r="D143" s="43">
        <v>7.2481252145365882E-2</v>
      </c>
      <c r="E143" s="43">
        <v>7.1498603031888874E-2</v>
      </c>
      <c r="F143" s="43">
        <v>0.12889450726675269</v>
      </c>
      <c r="G143" s="43">
        <v>0.10174742304298701</v>
      </c>
      <c r="H143" s="43">
        <v>8.7325180509809253E-2</v>
      </c>
      <c r="I143" s="43">
        <v>4.8384293237060463E-2</v>
      </c>
    </row>
    <row r="144" spans="2:9" ht="13.95" customHeight="1" x14ac:dyDescent="0.3">
      <c r="B144" s="81">
        <v>46081</v>
      </c>
      <c r="C144" s="43">
        <v>0.1103400781787586</v>
      </c>
      <c r="D144" s="43">
        <v>6.9230272291029168E-2</v>
      </c>
      <c r="E144" s="43">
        <v>7.304601867467074E-2</v>
      </c>
      <c r="F144" s="43">
        <v>0.12258184752060799</v>
      </c>
      <c r="G144" s="43">
        <v>9.850091271237317E-2</v>
      </c>
      <c r="H144" s="43">
        <v>8.8042280552679958E-2</v>
      </c>
      <c r="I144" s="43">
        <v>4.9912023433228897E-2</v>
      </c>
    </row>
    <row r="145" spans="2:9" ht="13.95" customHeight="1" x14ac:dyDescent="0.3">
      <c r="B145" s="81">
        <v>46112</v>
      </c>
      <c r="C145" s="43">
        <v>0.1187733633103714</v>
      </c>
      <c r="D145" s="43">
        <v>6.9657637433011912E-2</v>
      </c>
      <c r="E145" s="43">
        <v>8.5091522696330898E-2</v>
      </c>
      <c r="F145" s="43">
        <v>0.14479356466758239</v>
      </c>
      <c r="G145" s="43">
        <v>0.1105781037070229</v>
      </c>
      <c r="H145" s="43">
        <v>9.5809454127436827E-2</v>
      </c>
      <c r="I145" s="43">
        <v>6.864213641429226E-2</v>
      </c>
    </row>
    <row r="146" spans="2:9" ht="13.95" customHeight="1" x14ac:dyDescent="0.3">
      <c r="B146" s="81">
        <v>46142</v>
      </c>
      <c r="C146" s="43">
        <v>0.12116365188860399</v>
      </c>
      <c r="D146" s="43">
        <v>7.104166479629917E-2</v>
      </c>
      <c r="E146" s="43">
        <v>8.4192520144144897E-2</v>
      </c>
      <c r="F146" s="43">
        <v>0.16153796050572919</v>
      </c>
      <c r="G146" s="43">
        <v>0.1163166478805748</v>
      </c>
      <c r="H146" s="43">
        <v>0.10023763359716591</v>
      </c>
      <c r="I146" s="43">
        <v>5.854167703703092E-2</v>
      </c>
    </row>
    <row r="147" spans="2:9" ht="13.95" customHeight="1" x14ac:dyDescent="0.3">
      <c r="B147" s="81">
        <v>46173</v>
      </c>
      <c r="C147" s="43">
        <v>0.12959536817050271</v>
      </c>
      <c r="D147" s="43">
        <v>7.6985498115365286E-2</v>
      </c>
      <c r="E147" s="43">
        <v>9.1034115470123328E-2</v>
      </c>
      <c r="F147" s="43">
        <v>0.15873406417882019</v>
      </c>
      <c r="G147" s="43">
        <v>0.12035650025271059</v>
      </c>
      <c r="H147" s="43">
        <v>0.107741049327746</v>
      </c>
      <c r="I147" s="43">
        <v>6.5005569285786047E-2</v>
      </c>
    </row>
    <row r="148" spans="2:9" ht="13.95" customHeight="1" x14ac:dyDescent="0.3">
      <c r="B148" s="81">
        <v>46203</v>
      </c>
      <c r="C148" s="43">
        <v>0.1289580351893703</v>
      </c>
      <c r="D148" s="43">
        <v>7.6003212841143822E-2</v>
      </c>
      <c r="E148" s="43">
        <v>9.0693303117791585E-2</v>
      </c>
      <c r="F148" s="43">
        <v>0.16814915623548291</v>
      </c>
      <c r="G148" s="43">
        <v>0.1213679225899328</v>
      </c>
      <c r="H148" s="43">
        <v>0.10994018097092539</v>
      </c>
      <c r="I148" s="43">
        <v>6.3622549641937851E-2</v>
      </c>
    </row>
    <row r="149" spans="2:9" ht="13.95" customHeight="1" x14ac:dyDescent="0.3">
      <c r="B149" s="81">
        <v>46234</v>
      </c>
      <c r="C149" s="43">
        <v>0.12566182570847889</v>
      </c>
      <c r="D149" s="43">
        <v>7.6619639626124669E-2</v>
      </c>
      <c r="E149" s="43">
        <v>9.0250046757044677E-2</v>
      </c>
      <c r="F149" s="43">
        <v>0.15446597364886569</v>
      </c>
      <c r="G149" s="43">
        <v>0.11762716232788981</v>
      </c>
      <c r="H149" s="43">
        <v>0.11402203209016171</v>
      </c>
      <c r="I149" s="43">
        <v>5.8938755110219287E-2</v>
      </c>
    </row>
    <row r="150" spans="2:9" ht="13.95" customHeight="1" x14ac:dyDescent="0.3">
      <c r="B150" s="81">
        <v>46265</v>
      </c>
      <c r="C150" s="43">
        <v>0.13112345445812221</v>
      </c>
      <c r="D150" s="43">
        <v>8.0344816644767295E-2</v>
      </c>
      <c r="E150" s="43">
        <v>8.6924898378066939E-2</v>
      </c>
      <c r="F150" s="43">
        <v>0.1533860057134975</v>
      </c>
      <c r="G150" s="43">
        <v>0.11958402137792511</v>
      </c>
      <c r="H150" s="43">
        <v>0.1156076942194266</v>
      </c>
      <c r="I150" s="43">
        <v>5.21808136777153E-2</v>
      </c>
    </row>
    <row r="151" spans="2:9" ht="13.95" customHeight="1" x14ac:dyDescent="0.3">
      <c r="B151" s="81">
        <v>46295</v>
      </c>
      <c r="C151" s="43">
        <v>0.1184194695775109</v>
      </c>
      <c r="D151" s="43">
        <v>7.6205395055423453E-2</v>
      </c>
      <c r="E151" s="43">
        <v>8.7337675313643393E-2</v>
      </c>
      <c r="F151" s="43">
        <v>0.1589609282257067</v>
      </c>
      <c r="G151" s="43">
        <v>0.11635217393329091</v>
      </c>
      <c r="H151" s="43">
        <v>0.1088258000887809</v>
      </c>
      <c r="I151" s="43">
        <v>5.841989263654878E-2</v>
      </c>
    </row>
  </sheetData>
  <mergeCells count="3">
    <mergeCell ref="B5:I5"/>
    <mergeCell ref="B17:I17"/>
    <mergeCell ref="B30:I30"/>
  </mergeCells>
  <pageMargins left="0.4" right="0.4" top="1.25" bottom="0.5" header="0.3" footer="0.3"/>
  <pageSetup paperSize="9" fitToHeight="0" orientation="landscape"/>
  <headerFooter>
    <oddHeader>&amp;L&amp;G</oddHeader>
    <oddFooter>&amp;R&amp;"Calibri"&amp;10&amp;K008000[ CLASSIFICAÇÃO: PÚBLICA ]</oddFooter>
  </headerFooter>
  <legacyDrawingHF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Q544"/>
  <sheetViews>
    <sheetView showGridLines="0" zoomScale="85" zoomScaleNormal="85" workbookViewId="0">
      <pane xSplit="2" ySplit="22" topLeftCell="C23" activePane="bottomRight" state="frozen"/>
      <selection pane="topRight" activeCell="C1" sqref="C1"/>
      <selection pane="bottomLeft" activeCell="A23" sqref="A23"/>
      <selection pane="bottomRight"/>
    </sheetView>
  </sheetViews>
  <sheetFormatPr defaultRowHeight="13.95" customHeight="1" x14ac:dyDescent="0.3"/>
  <cols>
    <col min="1" max="1" width="2.6640625" customWidth="1"/>
    <col min="2" max="2" width="46.6640625" customWidth="1"/>
    <col min="3" max="17" width="11.6640625" customWidth="1"/>
  </cols>
  <sheetData>
    <row r="1" spans="2:9" ht="30" customHeight="1" x14ac:dyDescent="0.3">
      <c r="B1" s="15" t="s">
        <v>544</v>
      </c>
    </row>
    <row r="2" spans="2:9" ht="13.95" customHeight="1" x14ac:dyDescent="0.3">
      <c r="B2" s="14" t="s">
        <v>545</v>
      </c>
    </row>
    <row r="3" spans="2:9" ht="13.95" customHeight="1" x14ac:dyDescent="0.3">
      <c r="B3" s="14" t="s">
        <v>2</v>
      </c>
      <c r="C3" s="38" t="s">
        <v>3</v>
      </c>
      <c r="D3" s="39" t="s">
        <v>4</v>
      </c>
      <c r="E3" s="40" t="s">
        <v>5</v>
      </c>
    </row>
    <row r="5" spans="2:9" ht="13.95" customHeight="1" x14ac:dyDescent="0.3">
      <c r="B5" s="120" t="s">
        <v>546</v>
      </c>
      <c r="C5" s="120"/>
      <c r="D5" s="120"/>
      <c r="E5" s="120"/>
      <c r="F5" s="120"/>
      <c r="G5" s="120"/>
      <c r="H5" s="120"/>
      <c r="I5" s="120"/>
    </row>
    <row r="6" spans="2:9" ht="43.95" customHeight="1" x14ac:dyDescent="0.3">
      <c r="B6" s="17" t="s">
        <v>423</v>
      </c>
      <c r="C6" s="18" t="s">
        <v>547</v>
      </c>
      <c r="D6" s="18" t="s">
        <v>548</v>
      </c>
      <c r="E6" s="18" t="s">
        <v>549</v>
      </c>
      <c r="F6" s="18" t="s">
        <v>550</v>
      </c>
      <c r="G6" s="18" t="s">
        <v>551</v>
      </c>
      <c r="H6" s="18" t="s">
        <v>552</v>
      </c>
      <c r="I6" s="18" t="s">
        <v>553</v>
      </c>
    </row>
    <row r="7" spans="2:9" ht="13.95" customHeight="1" x14ac:dyDescent="0.3">
      <c r="B7" s="8" t="s">
        <v>256</v>
      </c>
      <c r="C7" s="55">
        <f>SUM($C$23:$C$544)</f>
        <v>261</v>
      </c>
      <c r="D7" s="82">
        <f>SUMPRODUCT($C$23:$C$544,K$23:K$544)/C7</f>
        <v>3.0820715324749309E-3</v>
      </c>
      <c r="E7" s="83">
        <f>(SUMPRODUCT($C$23:$C$544,K$23:K$544,O$23:O$544)-C7*D7*$D$11)/(C7-1)</f>
        <v>6.3674946104930598E-4</v>
      </c>
      <c r="F7" s="83">
        <f>(SUMPRODUCT($C$23:$C$544,O$23:O$544,O$23:O$544)-C7*$D$11^2)/(C7-1)</f>
        <v>5.5414637525781271E-4</v>
      </c>
      <c r="G7" s="30">
        <f>E7/F7</f>
        <v>1.1490636580507501</v>
      </c>
      <c r="H7" s="30">
        <f>0.67*G7+0.33</f>
        <v>1.0998726508940027</v>
      </c>
      <c r="I7" s="84">
        <f>IF(BetaAdj=2,H7,G7)</f>
        <v>1.1490636580507501</v>
      </c>
    </row>
    <row r="8" spans="2:9" ht="13.95" customHeight="1" x14ac:dyDescent="0.3">
      <c r="B8" s="8" t="s">
        <v>284</v>
      </c>
      <c r="C8" s="55">
        <f>SUM($C$23:$C$544)</f>
        <v>261</v>
      </c>
      <c r="D8" s="82">
        <f>SUMPRODUCT($C$23:$C$544,L$23:L$544)/C8</f>
        <v>1.2762593681550942E-3</v>
      </c>
      <c r="E8" s="83">
        <f>(SUMPRODUCT($C$23:$C$544,L$23:L$544,O$23:O$544)-C8*D8*$D$11)/(C8-1)</f>
        <v>5.1462131130516279E-4</v>
      </c>
      <c r="F8" s="83">
        <f>(SUMPRODUCT($C$23:$C$544,O$23:O$544,O$23:O$544)-C8*$D$11^2)/(C8-1)</f>
        <v>5.5414637525781271E-4</v>
      </c>
      <c r="G8" s="30">
        <f>E8/F8</f>
        <v>0.92867396464650487</v>
      </c>
      <c r="H8" s="30">
        <f>0.67*G8+0.33</f>
        <v>0.95221155631315835</v>
      </c>
      <c r="I8" s="84">
        <f>IF(BetaAdj=2,H8,G8)</f>
        <v>0.92867396464650487</v>
      </c>
    </row>
    <row r="9" spans="2:9" ht="13.95" customHeight="1" x14ac:dyDescent="0.3">
      <c r="B9" s="8" t="s">
        <v>335</v>
      </c>
      <c r="C9" s="55">
        <f>SUM($C$23:$C$544)</f>
        <v>261</v>
      </c>
      <c r="D9" s="82">
        <f>SUMPRODUCT($C$23:$C$544,M$23:M$544)/C9</f>
        <v>-1.046922608813392E-5</v>
      </c>
      <c r="E9" s="83">
        <f>(SUMPRODUCT($C$23:$C$544,M$23:M$544,O$23:O$544)-C9*D9*$D$11)/(C9-1)</f>
        <v>6.3751830515436229E-4</v>
      </c>
      <c r="F9" s="83">
        <f>(SUMPRODUCT($C$23:$C$544,O$23:O$544,O$23:O$544)-C9*$D$11^2)/(C9-1)</f>
        <v>5.5414637525781271E-4</v>
      </c>
      <c r="G9" s="30">
        <f>E9/F9</f>
        <v>1.150451096712058</v>
      </c>
      <c r="H9" s="30">
        <f>0.67*G9+0.33</f>
        <v>1.1008022347970789</v>
      </c>
      <c r="I9" s="84">
        <f>IF(BetaAdj=2,H9,G9)</f>
        <v>1.150451096712058</v>
      </c>
    </row>
    <row r="10" spans="2:9" ht="13.95" customHeight="1" x14ac:dyDescent="0.3">
      <c r="B10" s="8" t="s">
        <v>386</v>
      </c>
      <c r="C10" s="55">
        <f>SUM($C$23:$C$544)</f>
        <v>261</v>
      </c>
      <c r="D10" s="82">
        <f>SUMPRODUCT($C$23:$C$544,N$23:N$544)/C10</f>
        <v>3.5658949075518006E-3</v>
      </c>
      <c r="E10" s="83">
        <f>(SUMPRODUCT($C$23:$C$544,N$23:N$544,O$23:O$544)-C10*D10*$D$11)/(C10-1)</f>
        <v>4.8304154898701939E-4</v>
      </c>
      <c r="F10" s="83">
        <f>(SUMPRODUCT($C$23:$C$544,O$23:O$544,O$23:O$544)-C10*$D$11^2)/(C10-1)</f>
        <v>5.5414637525781271E-4</v>
      </c>
      <c r="G10" s="30">
        <f>E10/F10</f>
        <v>0.87168584069919741</v>
      </c>
      <c r="H10" s="30">
        <f>0.67*G10+0.33</f>
        <v>0.91402951326846238</v>
      </c>
      <c r="I10" s="84">
        <f>IF(BetaAdj=2,H10,G10)</f>
        <v>0.87168584069919741</v>
      </c>
    </row>
    <row r="11" spans="2:9" ht="13.95" customHeight="1" x14ac:dyDescent="0.3">
      <c r="B11" s="11" t="s">
        <v>535</v>
      </c>
      <c r="C11" s="85">
        <f>SUM($C$23:$C$544)</f>
        <v>261</v>
      </c>
      <c r="D11" s="86">
        <f>SUMPRODUCT($C$23:$C$544,O$23:O$544)/C11</f>
        <v>2.2357788164444215E-3</v>
      </c>
      <c r="E11" s="87">
        <f>(SUMPRODUCT($C$23:$C$544,O$23:O$544,O$23:O$544)-C11*D11*$D$11)/(C11-1)</f>
        <v>5.5414637525781271E-4</v>
      </c>
      <c r="F11" s="87">
        <f>(SUMPRODUCT($C$23:$C$544,O$23:O$544,O$23:O$544)-C11*$D$11^2)/(C11-1)</f>
        <v>5.5414637525781271E-4</v>
      </c>
      <c r="G11" s="80">
        <f>E11/F11</f>
        <v>1</v>
      </c>
      <c r="H11" s="80">
        <f>0.67*G11+0.33</f>
        <v>1</v>
      </c>
      <c r="I11" s="33">
        <f>IF(BetaAdj=2,H11,G11)</f>
        <v>1</v>
      </c>
    </row>
    <row r="12" spans="2:9" ht="13.95" customHeight="1" x14ac:dyDescent="0.3">
      <c r="B12" s="14" t="s">
        <v>444</v>
      </c>
    </row>
    <row r="13" spans="2:9" ht="13.95" customHeight="1" x14ac:dyDescent="0.3">
      <c r="B13" s="8" t="s">
        <v>442</v>
      </c>
      <c r="C13" s="55">
        <f>SUM($C$23:$C$544)</f>
        <v>261</v>
      </c>
      <c r="D13" s="82">
        <f>SUMPRODUCT($C$23:$C$544,P$23:P$544)/C13</f>
        <v>-1.4397435704118556E-3</v>
      </c>
      <c r="E13" s="83">
        <f>(SUMPRODUCT($C$23:$C$544,P$23:P$544,O$23:O$544)-C13*D13*$D$11)/(C13-1)</f>
        <v>7.3076090137557E-4</v>
      </c>
      <c r="F13" s="83">
        <f>(SUMPRODUCT($C$23:$C$544,O$23:O$544,O$23:O$544)-C13*$D$11^2)/(C13-1)</f>
        <v>5.5414637525781271E-4</v>
      </c>
      <c r="G13" s="30">
        <f>E13/F13</f>
        <v>1.3187145743497621</v>
      </c>
      <c r="H13" s="30">
        <f>0.67*G13+0.33</f>
        <v>1.2135387648143408</v>
      </c>
      <c r="I13" s="84">
        <f>IF(BetaAdj=2,H13,G13)</f>
        <v>1.3187145743497621</v>
      </c>
    </row>
    <row r="14" spans="2:9" ht="13.95" customHeight="1" x14ac:dyDescent="0.3">
      <c r="B14" s="8" t="s">
        <v>443</v>
      </c>
      <c r="C14" s="55">
        <f>SUM($C$23:$C$544)</f>
        <v>261</v>
      </c>
      <c r="D14" s="82">
        <f>SUMPRODUCT($C$23:$C$544,Q$23:Q$544)/C14</f>
        <v>3.5937116089837452E-3</v>
      </c>
      <c r="E14" s="83">
        <f>(SUMPRODUCT($C$23:$C$544,Q$23:Q$544,O$23:O$544)-C14*D14*$D$11)/(C14-1)</f>
        <v>3.9778539674151508E-4</v>
      </c>
      <c r="F14" s="83">
        <f>(SUMPRODUCT($C$23:$C$544,O$23:O$544,O$23:O$544)-C14*$D$11^2)/(C14-1)</f>
        <v>5.5414637525781271E-4</v>
      </c>
      <c r="G14" s="30">
        <f>E14/F14</f>
        <v>0.71783451900492579</v>
      </c>
      <c r="H14" s="30">
        <f>0.67*G14+0.33</f>
        <v>0.8109491277333003</v>
      </c>
      <c r="I14" s="84">
        <f>IF(BetaAdj=2,H14,G14)</f>
        <v>0.71783451900492579</v>
      </c>
    </row>
    <row r="16" spans="2:9" ht="13.95" customHeight="1" x14ac:dyDescent="0.3">
      <c r="B16" s="19" t="s">
        <v>554</v>
      </c>
      <c r="C16" s="30">
        <f>SUMPRODUCT(I7:I10,'Box Shares'!C7:C10)/SUM('Box Shares'!C7:C10)</f>
        <v>1.0031654974990483</v>
      </c>
    </row>
    <row r="17" spans="2:17" ht="13.95" customHeight="1" x14ac:dyDescent="0.3">
      <c r="B17" s="19" t="s">
        <v>555</v>
      </c>
      <c r="C17" s="88">
        <f>EDATE($B$544,-12*BetaYears)</f>
        <v>44464</v>
      </c>
    </row>
    <row r="18" spans="2:17" ht="13.95" customHeight="1" x14ac:dyDescent="0.3">
      <c r="B18" s="14" t="s">
        <v>556</v>
      </c>
    </row>
    <row r="20" spans="2:17" ht="13.95" customHeight="1" x14ac:dyDescent="0.3">
      <c r="B20" s="120" t="s">
        <v>557</v>
      </c>
      <c r="C20" s="120"/>
      <c r="D20" s="120"/>
      <c r="E20" s="120"/>
      <c r="F20" s="120"/>
      <c r="G20" s="120"/>
      <c r="H20" s="120"/>
      <c r="I20" s="120"/>
      <c r="J20" s="120"/>
      <c r="K20" s="120"/>
      <c r="L20" s="120"/>
      <c r="M20" s="120"/>
      <c r="N20" s="120"/>
      <c r="O20" s="120"/>
      <c r="P20" s="120"/>
      <c r="Q20" s="120"/>
    </row>
    <row r="21" spans="2:17" ht="43.95" customHeight="1" x14ac:dyDescent="0.3">
      <c r="B21" s="17" t="s">
        <v>558</v>
      </c>
      <c r="C21" s="18" t="s">
        <v>559</v>
      </c>
      <c r="D21" s="18" t="s">
        <v>560</v>
      </c>
      <c r="E21" s="18" t="s">
        <v>562</v>
      </c>
      <c r="F21" s="18" t="s">
        <v>564</v>
      </c>
      <c r="G21" s="18" t="s">
        <v>566</v>
      </c>
      <c r="H21" s="18" t="s">
        <v>568</v>
      </c>
      <c r="I21" s="18" t="s">
        <v>570</v>
      </c>
      <c r="J21" s="18" t="s">
        <v>572</v>
      </c>
      <c r="K21" s="18" t="s">
        <v>561</v>
      </c>
      <c r="L21" s="18" t="s">
        <v>563</v>
      </c>
      <c r="M21" s="18" t="s">
        <v>565</v>
      </c>
      <c r="N21" s="18" t="s">
        <v>567</v>
      </c>
      <c r="O21" s="18" t="s">
        <v>569</v>
      </c>
      <c r="P21" s="18" t="s">
        <v>571</v>
      </c>
      <c r="Q21" s="18" t="s">
        <v>573</v>
      </c>
    </row>
    <row r="22" spans="2:17" ht="13.95" customHeight="1" x14ac:dyDescent="0.3">
      <c r="B22" s="89">
        <v>42636</v>
      </c>
      <c r="D22" s="90">
        <v>2.8362211929737451</v>
      </c>
      <c r="E22" s="90">
        <v>2.4029918936702201</v>
      </c>
      <c r="F22" s="90">
        <v>0.90378627779033394</v>
      </c>
      <c r="G22" s="90">
        <v>0.84339519463064871</v>
      </c>
      <c r="H22" s="90">
        <v>1.578363463936681</v>
      </c>
      <c r="I22" s="90">
        <v>0.952671858768114</v>
      </c>
      <c r="J22" s="90">
        <v>1.1819149034628169</v>
      </c>
    </row>
    <row r="23" spans="2:17" ht="13.95" customHeight="1" x14ac:dyDescent="0.3">
      <c r="B23" s="89">
        <v>42643</v>
      </c>
      <c r="C23" s="91">
        <f t="shared" ref="C23:C86" si="0">IF(B23&gt;$C$17,1,0)</f>
        <v>0</v>
      </c>
      <c r="D23" s="90">
        <v>2.8001253863047939</v>
      </c>
      <c r="E23" s="90">
        <v>2.381705449977237</v>
      </c>
      <c r="F23" s="90">
        <v>0.89890386202513783</v>
      </c>
      <c r="G23" s="90">
        <v>0.8495252810313848</v>
      </c>
      <c r="H23" s="90">
        <v>1.5690736126145139</v>
      </c>
      <c r="I23" s="90">
        <v>0.95185448236184667</v>
      </c>
      <c r="J23" s="90">
        <v>1.1423026416802291</v>
      </c>
      <c r="K23" s="29">
        <f t="shared" ref="K23:K86" si="1">D23/D22-1</f>
        <v>-1.2726724826107483E-2</v>
      </c>
      <c r="L23" s="29">
        <f t="shared" ref="L23:L86" si="2">E23/E22-1</f>
        <v>-8.8583085731809286E-3</v>
      </c>
      <c r="M23" s="29">
        <f t="shared" ref="M23:M86" si="3">F23/F22-1</f>
        <v>-5.4021795696357344E-3</v>
      </c>
      <c r="N23" s="29">
        <f t="shared" ref="N23:N86" si="4">G23/G22-1</f>
        <v>7.2683439978817876E-3</v>
      </c>
      <c r="O23" s="29">
        <f t="shared" ref="O23:O86" si="5">H23/H22-1</f>
        <v>-5.8857490903880816E-3</v>
      </c>
      <c r="P23" s="29">
        <f t="shared" ref="P23:P86" si="6">I23/I22-1</f>
        <v>-8.579831541620786E-4</v>
      </c>
      <c r="Q23" s="29">
        <f t="shared" ref="Q23:Q86" si="7">J23/J22-1</f>
        <v>-3.3515324721374085E-2</v>
      </c>
    </row>
    <row r="24" spans="2:17" ht="13.95" customHeight="1" x14ac:dyDescent="0.3">
      <c r="B24" s="89">
        <v>42650</v>
      </c>
      <c r="C24" s="91">
        <f t="shared" si="0"/>
        <v>0</v>
      </c>
      <c r="D24" s="90">
        <v>2.9766966133696871</v>
      </c>
      <c r="E24" s="90">
        <v>2.4208488446882459</v>
      </c>
      <c r="F24" s="90">
        <v>0.92884678370184692</v>
      </c>
      <c r="G24" s="90">
        <v>0.90979039393686845</v>
      </c>
      <c r="H24" s="90">
        <v>1.6437995547736011</v>
      </c>
      <c r="I24" s="90">
        <v>0.98455910671884861</v>
      </c>
      <c r="J24" s="90">
        <v>1.172767071848728</v>
      </c>
      <c r="K24" s="29">
        <f t="shared" si="1"/>
        <v>6.3058328719310275E-2</v>
      </c>
      <c r="L24" s="29">
        <f t="shared" si="2"/>
        <v>1.6435027560348869E-2</v>
      </c>
      <c r="M24" s="29">
        <f t="shared" si="3"/>
        <v>3.3310482846575784E-2</v>
      </c>
      <c r="N24" s="29">
        <f t="shared" si="4"/>
        <v>7.0939752178201809E-2</v>
      </c>
      <c r="O24" s="29">
        <f t="shared" si="5"/>
        <v>4.7624242456396182E-2</v>
      </c>
      <c r="P24" s="29">
        <f t="shared" si="6"/>
        <v>3.4358848923893959E-2</v>
      </c>
      <c r="Q24" s="29">
        <f t="shared" si="7"/>
        <v>2.6669316043678393E-2</v>
      </c>
    </row>
    <row r="25" spans="2:17" ht="13.95" customHeight="1" x14ac:dyDescent="0.3">
      <c r="B25" s="89">
        <v>42657</v>
      </c>
      <c r="C25" s="91">
        <f t="shared" si="0"/>
        <v>0</v>
      </c>
      <c r="D25" s="90">
        <v>3.0309801674031731</v>
      </c>
      <c r="E25" s="90">
        <v>2.402577883559931</v>
      </c>
      <c r="F25" s="90">
        <v>0.9230905322210512</v>
      </c>
      <c r="G25" s="90">
        <v>0.93843968496482744</v>
      </c>
      <c r="H25" s="90">
        <v>1.6617598531085791</v>
      </c>
      <c r="I25" s="90">
        <v>0.97832629508191304</v>
      </c>
      <c r="J25" s="90">
        <v>1.1664973692684919</v>
      </c>
      <c r="K25" s="29">
        <f t="shared" si="1"/>
        <v>1.8236172873538514E-2</v>
      </c>
      <c r="L25" s="29">
        <f t="shared" si="2"/>
        <v>-7.5473366164122702E-3</v>
      </c>
      <c r="M25" s="29">
        <f t="shared" si="3"/>
        <v>-6.1972023608184434E-3</v>
      </c>
      <c r="N25" s="29">
        <f t="shared" si="4"/>
        <v>3.1489990682344926E-2</v>
      </c>
      <c r="O25" s="29">
        <f t="shared" si="5"/>
        <v>1.0926087844969512E-2</v>
      </c>
      <c r="P25" s="29">
        <f t="shared" si="6"/>
        <v>-6.3305611561575992E-3</v>
      </c>
      <c r="Q25" s="29">
        <f t="shared" si="7"/>
        <v>-5.3460765830956047E-3</v>
      </c>
    </row>
    <row r="26" spans="2:17" ht="13.95" customHeight="1" x14ac:dyDescent="0.3">
      <c r="B26" s="89">
        <v>42664</v>
      </c>
      <c r="C26" s="91">
        <f t="shared" si="0"/>
        <v>0</v>
      </c>
      <c r="D26" s="90">
        <v>3.136877452456976</v>
      </c>
      <c r="E26" s="90">
        <v>2.4129920505318019</v>
      </c>
      <c r="F26" s="90">
        <v>0.95430764289903702</v>
      </c>
      <c r="G26" s="90">
        <v>1.0139571432111869</v>
      </c>
      <c r="H26" s="90">
        <v>1.7249901236274079</v>
      </c>
      <c r="I26" s="90">
        <v>1.0097587767364711</v>
      </c>
      <c r="J26" s="90">
        <v>1.218509452677528</v>
      </c>
      <c r="K26" s="29">
        <f t="shared" si="1"/>
        <v>3.4938296922124579E-2</v>
      </c>
      <c r="L26" s="29">
        <f t="shared" si="2"/>
        <v>4.334580386813558E-3</v>
      </c>
      <c r="M26" s="29">
        <f t="shared" si="3"/>
        <v>3.3818037980385629E-2</v>
      </c>
      <c r="N26" s="29">
        <f t="shared" si="4"/>
        <v>8.0471296617416366E-2</v>
      </c>
      <c r="O26" s="29">
        <f t="shared" si="5"/>
        <v>3.8050185410693826E-2</v>
      </c>
      <c r="P26" s="29">
        <f t="shared" si="6"/>
        <v>3.2128832489293657E-2</v>
      </c>
      <c r="Q26" s="29">
        <f t="shared" si="7"/>
        <v>4.4588256072667143E-2</v>
      </c>
    </row>
    <row r="27" spans="2:17" ht="13.95" customHeight="1" x14ac:dyDescent="0.3">
      <c r="B27" s="89">
        <v>42671</v>
      </c>
      <c r="C27" s="91">
        <f t="shared" si="0"/>
        <v>0</v>
      </c>
      <c r="D27" s="90">
        <v>3.1533524319440618</v>
      </c>
      <c r="E27" s="90">
        <v>2.3707979740281639</v>
      </c>
      <c r="F27" s="90">
        <v>0.93318343529156988</v>
      </c>
      <c r="G27" s="90">
        <v>1.0493575656229659</v>
      </c>
      <c r="H27" s="90">
        <v>1.7303737744314629</v>
      </c>
      <c r="I27" s="90">
        <v>0.98437896520988821</v>
      </c>
      <c r="J27" s="90">
        <v>1.214557776798646</v>
      </c>
      <c r="K27" s="29">
        <f t="shared" si="1"/>
        <v>5.2520315940878248E-3</v>
      </c>
      <c r="L27" s="29">
        <f t="shared" si="2"/>
        <v>-1.7486206178896735E-2</v>
      </c>
      <c r="M27" s="29">
        <f t="shared" si="3"/>
        <v>-2.2135637039744416E-2</v>
      </c>
      <c r="N27" s="29">
        <f t="shared" si="4"/>
        <v>3.4913134789569478E-2</v>
      </c>
      <c r="O27" s="29">
        <f t="shared" si="5"/>
        <v>3.1209748567915252E-3</v>
      </c>
      <c r="P27" s="29">
        <f t="shared" si="6"/>
        <v>-2.5134529267089034E-2</v>
      </c>
      <c r="Q27" s="29">
        <f t="shared" si="7"/>
        <v>-3.2430408071095762E-3</v>
      </c>
    </row>
    <row r="28" spans="2:17" ht="13.95" customHeight="1" x14ac:dyDescent="0.3">
      <c r="B28" s="89">
        <v>42678</v>
      </c>
      <c r="C28" s="91">
        <f t="shared" si="0"/>
        <v>0</v>
      </c>
      <c r="D28" s="90">
        <v>3.0921265243200851</v>
      </c>
      <c r="E28" s="90">
        <v>2.2585034282939089</v>
      </c>
      <c r="F28" s="90">
        <v>0.89988787516636237</v>
      </c>
      <c r="G28" s="90">
        <v>0.97700476447036388</v>
      </c>
      <c r="H28" s="90">
        <v>1.658050740220155</v>
      </c>
      <c r="I28" s="90">
        <v>0.93744822393034055</v>
      </c>
      <c r="J28" s="90">
        <v>1.2587786455069989</v>
      </c>
      <c r="K28" s="29">
        <f t="shared" si="1"/>
        <v>-1.9416132178486145E-2</v>
      </c>
      <c r="L28" s="29">
        <f t="shared" si="2"/>
        <v>-4.7365716929248958E-2</v>
      </c>
      <c r="M28" s="29">
        <f t="shared" si="3"/>
        <v>-3.5679544734743884E-2</v>
      </c>
      <c r="N28" s="29">
        <f t="shared" si="4"/>
        <v>-6.8949615958263766E-2</v>
      </c>
      <c r="O28" s="29">
        <f t="shared" si="5"/>
        <v>-4.1796191828595286E-2</v>
      </c>
      <c r="P28" s="29">
        <f t="shared" si="6"/>
        <v>-4.7675481636831996E-2</v>
      </c>
      <c r="Q28" s="29">
        <f t="shared" si="7"/>
        <v>3.6409028498348706E-2</v>
      </c>
    </row>
    <row r="29" spans="2:17" ht="13.95" customHeight="1" x14ac:dyDescent="0.3">
      <c r="B29" s="89">
        <v>42685</v>
      </c>
      <c r="C29" s="91">
        <f t="shared" si="0"/>
        <v>0</v>
      </c>
      <c r="D29" s="90">
        <v>2.8883520409945489</v>
      </c>
      <c r="E29" s="90">
        <v>2.1507160370521272</v>
      </c>
      <c r="F29" s="90">
        <v>0.83820132426693761</v>
      </c>
      <c r="G29" s="90">
        <v>1.001769713606304</v>
      </c>
      <c r="H29" s="90">
        <v>1.594563263629833</v>
      </c>
      <c r="I29" s="90">
        <v>0.86316303579756004</v>
      </c>
      <c r="J29" s="90">
        <v>1.2453823567131159</v>
      </c>
      <c r="K29" s="29">
        <f t="shared" si="1"/>
        <v>-6.5901081900373804E-2</v>
      </c>
      <c r="L29" s="29">
        <f t="shared" si="2"/>
        <v>-4.7725139528880467E-2</v>
      </c>
      <c r="M29" s="29">
        <f t="shared" si="3"/>
        <v>-6.8549152179676609E-2</v>
      </c>
      <c r="N29" s="29">
        <f t="shared" si="4"/>
        <v>2.534782842063743E-2</v>
      </c>
      <c r="O29" s="29">
        <f t="shared" si="5"/>
        <v>-3.8290430473733372E-2</v>
      </c>
      <c r="P29" s="29">
        <f t="shared" si="6"/>
        <v>-7.9241910365281609E-2</v>
      </c>
      <c r="Q29" s="29">
        <f t="shared" si="7"/>
        <v>-1.0642291114246971E-2</v>
      </c>
    </row>
    <row r="30" spans="2:17" ht="13.95" customHeight="1" x14ac:dyDescent="0.3">
      <c r="B30" s="89">
        <v>42692</v>
      </c>
      <c r="C30" s="91">
        <f t="shared" si="0"/>
        <v>0</v>
      </c>
      <c r="D30" s="90">
        <v>2.956727899369731</v>
      </c>
      <c r="E30" s="90">
        <v>2.212012075407932</v>
      </c>
      <c r="F30" s="90">
        <v>0.83408750629867834</v>
      </c>
      <c r="G30" s="90">
        <v>0.99604640368917319</v>
      </c>
      <c r="H30" s="90">
        <v>1.6149506086098619</v>
      </c>
      <c r="I30" s="90">
        <v>0.85752471721620871</v>
      </c>
      <c r="J30" s="90">
        <v>1.2494651365833369</v>
      </c>
      <c r="K30" s="29">
        <f t="shared" si="1"/>
        <v>2.3672965554309089E-2</v>
      </c>
      <c r="L30" s="29">
        <f t="shared" si="2"/>
        <v>2.8500293530065557E-2</v>
      </c>
      <c r="M30" s="29">
        <f t="shared" si="3"/>
        <v>-4.9079115591437183E-3</v>
      </c>
      <c r="N30" s="29">
        <f t="shared" si="4"/>
        <v>-5.713199190787277E-3</v>
      </c>
      <c r="O30" s="29">
        <f t="shared" si="5"/>
        <v>1.2785535353184718E-2</v>
      </c>
      <c r="P30" s="29">
        <f t="shared" si="6"/>
        <v>-6.5321594502034674E-3</v>
      </c>
      <c r="Q30" s="29">
        <f t="shared" si="7"/>
        <v>3.2783344393898517E-3</v>
      </c>
    </row>
    <row r="31" spans="2:17" ht="13.95" customHeight="1" x14ac:dyDescent="0.3">
      <c r="B31" s="89">
        <v>42699</v>
      </c>
      <c r="C31" s="91">
        <f t="shared" si="0"/>
        <v>0</v>
      </c>
      <c r="D31" s="90">
        <v>2.9596254267755011</v>
      </c>
      <c r="E31" s="90">
        <v>2.2131989330331541</v>
      </c>
      <c r="F31" s="90">
        <v>0.83893723722474345</v>
      </c>
      <c r="G31" s="90">
        <v>1.090775261945077</v>
      </c>
      <c r="H31" s="90">
        <v>1.6583623179877709</v>
      </c>
      <c r="I31" s="90">
        <v>0.87130812511259492</v>
      </c>
      <c r="J31" s="90">
        <v>1.1927570249608079</v>
      </c>
      <c r="K31" s="29">
        <f t="shared" si="1"/>
        <v>9.7997769980384675E-4</v>
      </c>
      <c r="L31" s="29">
        <f t="shared" si="2"/>
        <v>5.3655115106154838E-4</v>
      </c>
      <c r="M31" s="29">
        <f t="shared" si="3"/>
        <v>5.8144150217356305E-3</v>
      </c>
      <c r="N31" s="29">
        <f t="shared" si="4"/>
        <v>9.5104864497322028E-2</v>
      </c>
      <c r="O31" s="29">
        <f t="shared" si="5"/>
        <v>2.6881137507528852E-2</v>
      </c>
      <c r="P31" s="29">
        <f t="shared" si="6"/>
        <v>1.6073481754708352E-2</v>
      </c>
      <c r="Q31" s="29">
        <f t="shared" si="7"/>
        <v>-4.5385909508125488E-2</v>
      </c>
    </row>
    <row r="32" spans="2:17" ht="13.95" customHeight="1" x14ac:dyDescent="0.3">
      <c r="B32" s="89">
        <v>42706</v>
      </c>
      <c r="C32" s="91">
        <f t="shared" si="0"/>
        <v>0</v>
      </c>
      <c r="D32" s="90">
        <v>2.870187074462685</v>
      </c>
      <c r="E32" s="90">
        <v>2.1193880617626042</v>
      </c>
      <c r="F32" s="90">
        <v>0.81019203747975177</v>
      </c>
      <c r="G32" s="90">
        <v>1.1104780379569661</v>
      </c>
      <c r="H32" s="90">
        <v>1.625941630350491</v>
      </c>
      <c r="I32" s="90">
        <v>0.83816950154509406</v>
      </c>
      <c r="J32" s="90">
        <v>1.175563790247014</v>
      </c>
      <c r="K32" s="29">
        <f t="shared" si="1"/>
        <v>-3.0219483689954307E-2</v>
      </c>
      <c r="L32" s="29">
        <f t="shared" si="2"/>
        <v>-4.2387003658086675E-2</v>
      </c>
      <c r="M32" s="29">
        <f t="shared" si="3"/>
        <v>-3.4263826266768826E-2</v>
      </c>
      <c r="N32" s="29">
        <f t="shared" si="4"/>
        <v>1.8063093928950114E-2</v>
      </c>
      <c r="O32" s="29">
        <f t="shared" si="5"/>
        <v>-1.954982170399211E-2</v>
      </c>
      <c r="P32" s="29">
        <f t="shared" si="6"/>
        <v>-3.803318552001167E-2</v>
      </c>
      <c r="Q32" s="29">
        <f t="shared" si="7"/>
        <v>-1.4414700021874838E-2</v>
      </c>
    </row>
    <row r="33" spans="2:17" ht="13.95" customHeight="1" x14ac:dyDescent="0.3">
      <c r="B33" s="89">
        <v>42713</v>
      </c>
      <c r="C33" s="91">
        <f t="shared" si="0"/>
        <v>0</v>
      </c>
      <c r="D33" s="90">
        <v>2.8782632982754972</v>
      </c>
      <c r="E33" s="90">
        <v>2.15295989513629</v>
      </c>
      <c r="F33" s="90">
        <v>0.81053727963153921</v>
      </c>
      <c r="G33" s="90">
        <v>1.103438861086727</v>
      </c>
      <c r="H33" s="90">
        <v>1.6304638395617079</v>
      </c>
      <c r="I33" s="90">
        <v>0.84246307185459834</v>
      </c>
      <c r="J33" s="90">
        <v>1.1476038137022839</v>
      </c>
      <c r="K33" s="29">
        <f t="shared" si="1"/>
        <v>2.8138318525192663E-3</v>
      </c>
      <c r="L33" s="29">
        <f t="shared" si="2"/>
        <v>1.5840342776001881E-2</v>
      </c>
      <c r="M33" s="29">
        <f t="shared" si="3"/>
        <v>4.2612385189744195E-4</v>
      </c>
      <c r="N33" s="29">
        <f t="shared" si="4"/>
        <v>-6.3388708552847284E-3</v>
      </c>
      <c r="O33" s="29">
        <f t="shared" si="5"/>
        <v>2.78128631852681E-3</v>
      </c>
      <c r="P33" s="29">
        <f t="shared" si="6"/>
        <v>5.1225561197221214E-3</v>
      </c>
      <c r="Q33" s="29">
        <f t="shared" si="7"/>
        <v>-2.3784312494735005E-2</v>
      </c>
    </row>
    <row r="34" spans="2:17" ht="13.95" customHeight="1" x14ac:dyDescent="0.3">
      <c r="B34" s="89">
        <v>42720</v>
      </c>
      <c r="C34" s="91">
        <f t="shared" si="0"/>
        <v>0</v>
      </c>
      <c r="D34" s="90">
        <v>2.762578439679507</v>
      </c>
      <c r="E34" s="90">
        <v>2.1299047256646571</v>
      </c>
      <c r="F34" s="90">
        <v>0.78496024935627984</v>
      </c>
      <c r="G34" s="90">
        <v>1.0481400579828819</v>
      </c>
      <c r="H34" s="90">
        <v>1.57338047385411</v>
      </c>
      <c r="I34" s="90">
        <v>0.81601079589274539</v>
      </c>
      <c r="J34" s="90">
        <v>1.1104346482585381</v>
      </c>
      <c r="K34" s="29">
        <f t="shared" si="1"/>
        <v>-4.0192590672751272E-2</v>
      </c>
      <c r="L34" s="29">
        <f t="shared" si="2"/>
        <v>-1.0708592168259368E-2</v>
      </c>
      <c r="M34" s="29">
        <f t="shared" si="3"/>
        <v>-3.1555649466100344E-2</v>
      </c>
      <c r="N34" s="29">
        <f t="shared" si="4"/>
        <v>-5.0114967900789509E-2</v>
      </c>
      <c r="O34" s="29">
        <f t="shared" si="5"/>
        <v>-3.5010507024150095E-2</v>
      </c>
      <c r="P34" s="29">
        <f t="shared" si="6"/>
        <v>-3.1398736449801734E-2</v>
      </c>
      <c r="Q34" s="29">
        <f t="shared" si="7"/>
        <v>-3.2388499410641036E-2</v>
      </c>
    </row>
    <row r="35" spans="2:17" ht="13.95" customHeight="1" x14ac:dyDescent="0.3">
      <c r="B35" s="89">
        <v>42727</v>
      </c>
      <c r="C35" s="91">
        <f t="shared" si="0"/>
        <v>0</v>
      </c>
      <c r="D35" s="90">
        <v>2.8186959542507952</v>
      </c>
      <c r="E35" s="90">
        <v>2.104846885098739</v>
      </c>
      <c r="F35" s="90">
        <v>0.80876536828728096</v>
      </c>
      <c r="G35" s="90">
        <v>0.99429410535491081</v>
      </c>
      <c r="H35" s="90">
        <v>1.561573555473627</v>
      </c>
      <c r="I35" s="90">
        <v>0.84557830423872238</v>
      </c>
      <c r="J35" s="90">
        <v>1.109255516840151</v>
      </c>
      <c r="K35" s="29">
        <f t="shared" si="1"/>
        <v>2.0313455634511701E-2</v>
      </c>
      <c r="L35" s="29">
        <f t="shared" si="2"/>
        <v>-1.1764770632216259E-2</v>
      </c>
      <c r="M35" s="29">
        <f t="shared" si="3"/>
        <v>3.0326527936316516E-2</v>
      </c>
      <c r="N35" s="29">
        <f t="shared" si="4"/>
        <v>-5.1372860161070677E-2</v>
      </c>
      <c r="O35" s="29">
        <f t="shared" si="5"/>
        <v>-7.5041724342498339E-3</v>
      </c>
      <c r="P35" s="29">
        <f t="shared" si="6"/>
        <v>3.623421221238754E-2</v>
      </c>
      <c r="Q35" s="29">
        <f t="shared" si="7"/>
        <v>-1.0618647574049955E-3</v>
      </c>
    </row>
    <row r="36" spans="2:17" ht="13.95" customHeight="1" x14ac:dyDescent="0.3">
      <c r="B36" s="89">
        <v>42734</v>
      </c>
      <c r="C36" s="91">
        <f t="shared" si="0"/>
        <v>0</v>
      </c>
      <c r="D36" s="90">
        <v>2.9598559301882821</v>
      </c>
      <c r="E36" s="90">
        <v>2.1704336588231392</v>
      </c>
      <c r="F36" s="90">
        <v>0.8330596604604984</v>
      </c>
      <c r="G36" s="90">
        <v>1.0328395243811219</v>
      </c>
      <c r="H36" s="90">
        <v>1.623267846935982</v>
      </c>
      <c r="I36" s="90">
        <v>0.86869233533801493</v>
      </c>
      <c r="J36" s="90">
        <v>1.1591048819772241</v>
      </c>
      <c r="K36" s="29">
        <f t="shared" si="1"/>
        <v>5.0079887376503818E-2</v>
      </c>
      <c r="L36" s="29">
        <f t="shared" si="2"/>
        <v>3.1159878748768799E-2</v>
      </c>
      <c r="M36" s="29">
        <f t="shared" si="3"/>
        <v>3.00387394488284E-2</v>
      </c>
      <c r="N36" s="29">
        <f t="shared" si="4"/>
        <v>3.8766617260043379E-2</v>
      </c>
      <c r="O36" s="29">
        <f t="shared" si="5"/>
        <v>3.9507771661542401E-2</v>
      </c>
      <c r="P36" s="29">
        <f t="shared" si="6"/>
        <v>2.7335175208997642E-2</v>
      </c>
      <c r="Q36" s="29">
        <f t="shared" si="7"/>
        <v>4.4939479119360248E-2</v>
      </c>
    </row>
    <row r="37" spans="2:17" ht="13.95" customHeight="1" x14ac:dyDescent="0.3">
      <c r="B37" s="89">
        <v>42741</v>
      </c>
      <c r="C37" s="91">
        <f t="shared" si="0"/>
        <v>0</v>
      </c>
      <c r="D37" s="90">
        <v>3.087484000750754</v>
      </c>
      <c r="E37" s="90">
        <v>2.1674982570324</v>
      </c>
      <c r="F37" s="90">
        <v>0.84713641089777214</v>
      </c>
      <c r="G37" s="90">
        <v>1.0609013819237381</v>
      </c>
      <c r="H37" s="90">
        <v>1.662243661934776</v>
      </c>
      <c r="I37" s="90">
        <v>0.88245379890532571</v>
      </c>
      <c r="J37" s="90">
        <v>1.1855728179339109</v>
      </c>
      <c r="K37" s="29">
        <f t="shared" si="1"/>
        <v>4.3119690137875422E-2</v>
      </c>
      <c r="L37" s="29">
        <f t="shared" si="2"/>
        <v>-1.3524494419843158E-3</v>
      </c>
      <c r="M37" s="29">
        <f t="shared" si="3"/>
        <v>1.6897649838779172E-2</v>
      </c>
      <c r="N37" s="29">
        <f t="shared" si="4"/>
        <v>2.7169620139615436E-2</v>
      </c>
      <c r="O37" s="29">
        <f t="shared" si="5"/>
        <v>2.4010710907853783E-2</v>
      </c>
      <c r="P37" s="29">
        <f t="shared" si="6"/>
        <v>1.5841585113049339E-2</v>
      </c>
      <c r="Q37" s="29">
        <f t="shared" si="7"/>
        <v>2.2834806727357826E-2</v>
      </c>
    </row>
    <row r="38" spans="2:17" ht="13.95" customHeight="1" x14ac:dyDescent="0.3">
      <c r="B38" s="89">
        <v>42748</v>
      </c>
      <c r="C38" s="91">
        <f t="shared" si="0"/>
        <v>0</v>
      </c>
      <c r="D38" s="90">
        <v>3.131702675402531</v>
      </c>
      <c r="E38" s="90">
        <v>2.2240347444850022</v>
      </c>
      <c r="F38" s="90">
        <v>0.86009537340113806</v>
      </c>
      <c r="G38" s="90">
        <v>1.133100791031582</v>
      </c>
      <c r="H38" s="90">
        <v>1.7156561563982979</v>
      </c>
      <c r="I38" s="90">
        <v>0.89891424254315389</v>
      </c>
      <c r="J38" s="90">
        <v>1.181495565958574</v>
      </c>
      <c r="K38" s="29">
        <f t="shared" si="1"/>
        <v>1.4321912159228845E-2</v>
      </c>
      <c r="L38" s="29">
        <f t="shared" si="2"/>
        <v>2.608375221025927E-2</v>
      </c>
      <c r="M38" s="29">
        <f t="shared" si="3"/>
        <v>1.5297373996275621E-2</v>
      </c>
      <c r="N38" s="29">
        <f t="shared" si="4"/>
        <v>6.8054779019067979E-2</v>
      </c>
      <c r="O38" s="29">
        <f t="shared" si="5"/>
        <v>3.2132770716269299E-2</v>
      </c>
      <c r="P38" s="29">
        <f t="shared" si="6"/>
        <v>1.8653037312828413E-2</v>
      </c>
      <c r="Q38" s="29">
        <f t="shared" si="7"/>
        <v>-3.4390565587041344E-3</v>
      </c>
    </row>
    <row r="39" spans="2:17" ht="13.95" customHeight="1" x14ac:dyDescent="0.3">
      <c r="B39" s="89">
        <v>42755</v>
      </c>
      <c r="C39" s="91">
        <f t="shared" si="0"/>
        <v>0</v>
      </c>
      <c r="D39" s="90">
        <v>3.1840254571835072</v>
      </c>
      <c r="E39" s="90">
        <v>2.253013224424373</v>
      </c>
      <c r="F39" s="90">
        <v>0.85683630520917742</v>
      </c>
      <c r="G39" s="90">
        <v>1.1541094074756579</v>
      </c>
      <c r="H39" s="90">
        <v>1.739001308407923</v>
      </c>
      <c r="I39" s="90">
        <v>0.8869993856609073</v>
      </c>
      <c r="J39" s="90">
        <v>1.240846139925055</v>
      </c>
      <c r="K39" s="29">
        <f t="shared" si="1"/>
        <v>1.6707455082481948E-2</v>
      </c>
      <c r="L39" s="29">
        <f t="shared" si="2"/>
        <v>1.3029688502497416E-2</v>
      </c>
      <c r="M39" s="29">
        <f t="shared" si="3"/>
        <v>-3.7891939577271438E-3</v>
      </c>
      <c r="N39" s="29">
        <f t="shared" si="4"/>
        <v>1.8540818795960368E-2</v>
      </c>
      <c r="O39" s="29">
        <f t="shared" si="5"/>
        <v>1.3607127466982671E-2</v>
      </c>
      <c r="P39" s="29">
        <f t="shared" si="6"/>
        <v>-1.3254720326310365E-2</v>
      </c>
      <c r="Q39" s="29">
        <f t="shared" si="7"/>
        <v>5.0233429287843911E-2</v>
      </c>
    </row>
    <row r="40" spans="2:17" ht="13.95" customHeight="1" x14ac:dyDescent="0.3">
      <c r="B40" s="89">
        <v>42762</v>
      </c>
      <c r="C40" s="91">
        <f t="shared" si="0"/>
        <v>0</v>
      </c>
      <c r="D40" s="90">
        <v>3.304058263789559</v>
      </c>
      <c r="E40" s="90">
        <v>2.2775126837485371</v>
      </c>
      <c r="F40" s="90">
        <v>0.88696561958779185</v>
      </c>
      <c r="G40" s="90">
        <v>1.1677118405487861</v>
      </c>
      <c r="H40" s="90">
        <v>1.7797367649616469</v>
      </c>
      <c r="I40" s="90">
        <v>0.9194949585322777</v>
      </c>
      <c r="J40" s="90">
        <v>1.2746845243885441</v>
      </c>
      <c r="K40" s="29">
        <f t="shared" si="1"/>
        <v>3.7698444381229601E-2</v>
      </c>
      <c r="L40" s="29">
        <f t="shared" si="2"/>
        <v>1.0874085894646113E-2</v>
      </c>
      <c r="M40" s="29">
        <f t="shared" si="3"/>
        <v>3.5163442766654285E-2</v>
      </c>
      <c r="N40" s="29">
        <f t="shared" si="4"/>
        <v>1.1786086297381759E-2</v>
      </c>
      <c r="O40" s="29">
        <f t="shared" si="5"/>
        <v>2.3424626742240662E-2</v>
      </c>
      <c r="P40" s="29">
        <f t="shared" si="6"/>
        <v>3.6635395014572358E-2</v>
      </c>
      <c r="Q40" s="29">
        <f t="shared" si="7"/>
        <v>2.7270411193391686E-2</v>
      </c>
    </row>
    <row r="41" spans="2:17" ht="13.95" customHeight="1" x14ac:dyDescent="0.3">
      <c r="B41" s="89">
        <v>42769</v>
      </c>
      <c r="C41" s="91">
        <f t="shared" si="0"/>
        <v>0</v>
      </c>
      <c r="D41" s="90">
        <v>3.2895477002342042</v>
      </c>
      <c r="E41" s="90">
        <v>2.291471232523743</v>
      </c>
      <c r="F41" s="90">
        <v>0.88146802027031745</v>
      </c>
      <c r="G41" s="90">
        <v>1.104657976215436</v>
      </c>
      <c r="H41" s="90">
        <v>1.750842054742062</v>
      </c>
      <c r="I41" s="90">
        <v>0.91407239458831124</v>
      </c>
      <c r="J41" s="90">
        <v>1.2648235768934899</v>
      </c>
      <c r="K41" s="29">
        <f t="shared" si="1"/>
        <v>-4.391739611368739E-3</v>
      </c>
      <c r="L41" s="29">
        <f t="shared" si="2"/>
        <v>6.1288566578832082E-3</v>
      </c>
      <c r="M41" s="29">
        <f t="shared" si="3"/>
        <v>-6.1982101629027841E-3</v>
      </c>
      <c r="N41" s="29">
        <f t="shared" si="4"/>
        <v>-5.3997794784470754E-2</v>
      </c>
      <c r="O41" s="29">
        <f t="shared" si="5"/>
        <v>-1.6235384236841122E-2</v>
      </c>
      <c r="P41" s="29">
        <f t="shared" si="6"/>
        <v>-5.8973286298622529E-3</v>
      </c>
      <c r="Q41" s="29">
        <f t="shared" si="7"/>
        <v>-7.7359905971906562E-3</v>
      </c>
    </row>
    <row r="42" spans="2:17" ht="13.95" customHeight="1" x14ac:dyDescent="0.3">
      <c r="B42" s="89">
        <v>42776</v>
      </c>
      <c r="C42" s="91">
        <f t="shared" si="0"/>
        <v>0</v>
      </c>
      <c r="D42" s="90">
        <v>3.3692880294517051</v>
      </c>
      <c r="E42" s="90">
        <v>2.2707870601958602</v>
      </c>
      <c r="F42" s="90">
        <v>0.89666199475745734</v>
      </c>
      <c r="G42" s="90">
        <v>1.1436529000238971</v>
      </c>
      <c r="H42" s="90">
        <v>1.7827979716819611</v>
      </c>
      <c r="I42" s="90">
        <v>0.9315629044603555</v>
      </c>
      <c r="J42" s="90">
        <v>1.2737192076777131</v>
      </c>
      <c r="K42" s="29">
        <f t="shared" si="1"/>
        <v>2.4240514649422451E-2</v>
      </c>
      <c r="L42" s="29">
        <f t="shared" si="2"/>
        <v>-9.0265904429889243E-3</v>
      </c>
      <c r="M42" s="29">
        <f t="shared" si="3"/>
        <v>1.723712504337982E-2</v>
      </c>
      <c r="N42" s="29">
        <f t="shared" si="4"/>
        <v>3.5300450137569106E-2</v>
      </c>
      <c r="O42" s="29">
        <f t="shared" si="5"/>
        <v>1.8251741699571555E-2</v>
      </c>
      <c r="P42" s="29">
        <f t="shared" si="6"/>
        <v>1.9134709652753212E-2</v>
      </c>
      <c r="Q42" s="29">
        <f t="shared" si="7"/>
        <v>7.0331000676564503E-3</v>
      </c>
    </row>
    <row r="43" spans="2:17" ht="13.95" customHeight="1" x14ac:dyDescent="0.3">
      <c r="B43" s="89">
        <v>42783</v>
      </c>
      <c r="C43" s="91">
        <f t="shared" si="0"/>
        <v>0</v>
      </c>
      <c r="D43" s="90">
        <v>3.4610879385142872</v>
      </c>
      <c r="E43" s="90">
        <v>2.3102638368108859</v>
      </c>
      <c r="F43" s="90">
        <v>0.92723436835172734</v>
      </c>
      <c r="G43" s="90">
        <v>1.1694991604940621</v>
      </c>
      <c r="H43" s="90">
        <v>1.826512251079732</v>
      </c>
      <c r="I43" s="90">
        <v>0.96636555187873674</v>
      </c>
      <c r="J43" s="90">
        <v>1.294525359686338</v>
      </c>
      <c r="K43" s="29">
        <f t="shared" si="1"/>
        <v>2.7246085303523682E-2</v>
      </c>
      <c r="L43" s="29">
        <f t="shared" si="2"/>
        <v>1.7384622850378895E-2</v>
      </c>
      <c r="M43" s="29">
        <f t="shared" si="3"/>
        <v>3.409576158353822E-2</v>
      </c>
      <c r="N43" s="29">
        <f t="shared" si="4"/>
        <v>2.25997419930688E-2</v>
      </c>
      <c r="O43" s="29">
        <f t="shared" si="5"/>
        <v>2.452004102098515E-2</v>
      </c>
      <c r="P43" s="29">
        <f t="shared" si="6"/>
        <v>3.7359417438956655E-2</v>
      </c>
      <c r="Q43" s="29">
        <f t="shared" si="7"/>
        <v>1.6334959764451762E-2</v>
      </c>
    </row>
    <row r="44" spans="2:17" ht="13.95" customHeight="1" x14ac:dyDescent="0.3">
      <c r="B44" s="89">
        <v>42790</v>
      </c>
      <c r="C44" s="91">
        <f t="shared" si="0"/>
        <v>0</v>
      </c>
      <c r="D44" s="90">
        <v>3.4689442372810091</v>
      </c>
      <c r="E44" s="90">
        <v>2.2719598980560298</v>
      </c>
      <c r="F44" s="90">
        <v>0.90388301141425298</v>
      </c>
      <c r="G44" s="90">
        <v>1.1316984724717429</v>
      </c>
      <c r="H44" s="90">
        <v>1.7981741222076699</v>
      </c>
      <c r="I44" s="90">
        <v>0.93869435238546595</v>
      </c>
      <c r="J44" s="90">
        <v>1.286734559118841</v>
      </c>
      <c r="K44" s="29">
        <f t="shared" si="1"/>
        <v>2.2698928505393567E-3</v>
      </c>
      <c r="L44" s="29">
        <f t="shared" si="2"/>
        <v>-1.6579897994564607E-2</v>
      </c>
      <c r="M44" s="29">
        <f t="shared" si="3"/>
        <v>-2.5183877706112523E-2</v>
      </c>
      <c r="N44" s="29">
        <f t="shared" si="4"/>
        <v>-3.2322116423196046E-2</v>
      </c>
      <c r="O44" s="29">
        <f t="shared" si="5"/>
        <v>-1.5514885736632844E-2</v>
      </c>
      <c r="P44" s="29">
        <f t="shared" si="6"/>
        <v>-2.8634298314415774E-2</v>
      </c>
      <c r="Q44" s="29">
        <f t="shared" si="7"/>
        <v>-6.0182680155331791E-3</v>
      </c>
    </row>
    <row r="45" spans="2:17" ht="13.95" customHeight="1" x14ac:dyDescent="0.3">
      <c r="B45" s="89">
        <v>42797</v>
      </c>
      <c r="C45" s="91">
        <f t="shared" si="0"/>
        <v>0</v>
      </c>
      <c r="D45" s="90">
        <v>3.50364190187116</v>
      </c>
      <c r="E45" s="90">
        <v>2.2622858972199471</v>
      </c>
      <c r="F45" s="90">
        <v>0.91752973772951296</v>
      </c>
      <c r="G45" s="90">
        <v>1.1206922705891209</v>
      </c>
      <c r="H45" s="90">
        <v>1.801644769467327</v>
      </c>
      <c r="I45" s="90">
        <v>0.94994459193617986</v>
      </c>
      <c r="J45" s="90">
        <v>1.328678725542948</v>
      </c>
      <c r="K45" s="29">
        <f t="shared" si="1"/>
        <v>1.0002370236238622E-2</v>
      </c>
      <c r="L45" s="29">
        <f t="shared" si="2"/>
        <v>-4.2579980590150557E-3</v>
      </c>
      <c r="M45" s="29">
        <f t="shared" si="3"/>
        <v>1.5097890039893258E-2</v>
      </c>
      <c r="N45" s="29">
        <f t="shared" si="4"/>
        <v>-9.7253837045333524E-3</v>
      </c>
      <c r="O45" s="29">
        <f t="shared" si="5"/>
        <v>1.930095209798699E-3</v>
      </c>
      <c r="P45" s="29">
        <f t="shared" si="6"/>
        <v>1.1984986936508291E-2</v>
      </c>
      <c r="Q45" s="29">
        <f t="shared" si="7"/>
        <v>3.2597373037707378E-2</v>
      </c>
    </row>
    <row r="46" spans="2:17" ht="13.95" customHeight="1" x14ac:dyDescent="0.3">
      <c r="B46" s="89">
        <v>42804</v>
      </c>
      <c r="C46" s="91">
        <f t="shared" si="0"/>
        <v>0</v>
      </c>
      <c r="D46" s="90">
        <v>3.390042625348658</v>
      </c>
      <c r="E46" s="90">
        <v>2.2249425535951111</v>
      </c>
      <c r="F46" s="90">
        <v>0.90857527602014942</v>
      </c>
      <c r="G46" s="90">
        <v>1.058783396781946</v>
      </c>
      <c r="H46" s="90">
        <v>1.7444454964641041</v>
      </c>
      <c r="I46" s="90">
        <v>0.93813775640545638</v>
      </c>
      <c r="J46" s="90">
        <v>1.335254147525831</v>
      </c>
      <c r="K46" s="29">
        <f t="shared" si="1"/>
        <v>-3.2423198404446851E-2</v>
      </c>
      <c r="L46" s="29">
        <f t="shared" si="2"/>
        <v>-1.6506907314732477E-2</v>
      </c>
      <c r="M46" s="29">
        <f t="shared" si="3"/>
        <v>-9.7593149749259922E-3</v>
      </c>
      <c r="N46" s="29">
        <f t="shared" si="4"/>
        <v>-5.5241635399725708E-2</v>
      </c>
      <c r="O46" s="29">
        <f t="shared" si="5"/>
        <v>-3.174836348018506E-2</v>
      </c>
      <c r="P46" s="29">
        <f t="shared" si="6"/>
        <v>-1.2428972837940755E-2</v>
      </c>
      <c r="Q46" s="29">
        <f t="shared" si="7"/>
        <v>4.9488426784256578E-3</v>
      </c>
    </row>
    <row r="47" spans="2:17" ht="13.95" customHeight="1" x14ac:dyDescent="0.3">
      <c r="B47" s="89">
        <v>42811</v>
      </c>
      <c r="C47" s="91">
        <f t="shared" si="0"/>
        <v>0</v>
      </c>
      <c r="D47" s="90">
        <v>3.340490347436913</v>
      </c>
      <c r="E47" s="90">
        <v>2.2088671819730301</v>
      </c>
      <c r="F47" s="90">
        <v>0.90721120350529305</v>
      </c>
      <c r="G47" s="90">
        <v>1.056517557379218</v>
      </c>
      <c r="H47" s="90">
        <v>1.731067397814273</v>
      </c>
      <c r="I47" s="90">
        <v>0.9399844479123175</v>
      </c>
      <c r="J47" s="90">
        <v>1.308165592447049</v>
      </c>
      <c r="K47" s="29">
        <f t="shared" si="1"/>
        <v>-1.4617007332363152E-2</v>
      </c>
      <c r="L47" s="29">
        <f t="shared" si="2"/>
        <v>-7.2250726636092777E-3</v>
      </c>
      <c r="M47" s="29">
        <f t="shared" si="3"/>
        <v>-1.5013313160263664E-3</v>
      </c>
      <c r="N47" s="29">
        <f t="shared" si="4"/>
        <v>-2.1400405499507613E-3</v>
      </c>
      <c r="O47" s="29">
        <f t="shared" si="5"/>
        <v>-7.6689691233964297E-3</v>
      </c>
      <c r="P47" s="29">
        <f t="shared" si="6"/>
        <v>1.9684651792897245E-3</v>
      </c>
      <c r="Q47" s="29">
        <f t="shared" si="7"/>
        <v>-2.0287190366699792E-2</v>
      </c>
    </row>
    <row r="48" spans="2:17" ht="13.95" customHeight="1" x14ac:dyDescent="0.3">
      <c r="B48" s="89">
        <v>42818</v>
      </c>
      <c r="C48" s="91">
        <f t="shared" si="0"/>
        <v>0</v>
      </c>
      <c r="D48" s="90">
        <v>3.3574098027510599</v>
      </c>
      <c r="E48" s="90">
        <v>2.2195796938598709</v>
      </c>
      <c r="F48" s="90">
        <v>0.90544345507982293</v>
      </c>
      <c r="G48" s="90">
        <v>1.0250973368076961</v>
      </c>
      <c r="H48" s="90">
        <v>1.721892500347987</v>
      </c>
      <c r="I48" s="90">
        <v>0.94150145525377771</v>
      </c>
      <c r="J48" s="90">
        <v>1.279812402439171</v>
      </c>
      <c r="K48" s="29">
        <f t="shared" si="1"/>
        <v>5.0649615937758963E-3</v>
      </c>
      <c r="L48" s="29">
        <f t="shared" si="2"/>
        <v>4.8497763805210869E-3</v>
      </c>
      <c r="M48" s="29">
        <f t="shared" si="3"/>
        <v>-1.9485522430057189E-3</v>
      </c>
      <c r="N48" s="29">
        <f t="shared" si="4"/>
        <v>-2.9739421131308452E-2</v>
      </c>
      <c r="O48" s="29">
        <f t="shared" si="5"/>
        <v>-5.3001387917481768E-3</v>
      </c>
      <c r="P48" s="29">
        <f t="shared" si="6"/>
        <v>1.6138642983183349E-3</v>
      </c>
      <c r="Q48" s="29">
        <f t="shared" si="7"/>
        <v>-2.1674006847130611E-2</v>
      </c>
    </row>
    <row r="49" spans="2:17" ht="13.95" customHeight="1" x14ac:dyDescent="0.3">
      <c r="B49" s="89">
        <v>42825</v>
      </c>
      <c r="C49" s="91">
        <f t="shared" si="0"/>
        <v>0</v>
      </c>
      <c r="D49" s="90">
        <v>3.3646670528264311</v>
      </c>
      <c r="E49" s="90">
        <v>2.2602466049061598</v>
      </c>
      <c r="F49" s="90">
        <v>0.92055780442586777</v>
      </c>
      <c r="G49" s="90">
        <v>1.0658096355743421</v>
      </c>
      <c r="H49" s="90">
        <v>1.7527512374673351</v>
      </c>
      <c r="I49" s="90">
        <v>0.95941279868942642</v>
      </c>
      <c r="J49" s="90">
        <v>1.2842608454428059</v>
      </c>
      <c r="K49" s="29">
        <f t="shared" si="1"/>
        <v>2.1615621868456003E-3</v>
      </c>
      <c r="L49" s="29">
        <f t="shared" si="2"/>
        <v>1.8321897230717976E-2</v>
      </c>
      <c r="M49" s="29">
        <f t="shared" si="3"/>
        <v>1.669275895832989E-2</v>
      </c>
      <c r="N49" s="29">
        <f t="shared" si="4"/>
        <v>3.9715544373015277E-2</v>
      </c>
      <c r="O49" s="29">
        <f t="shared" si="5"/>
        <v>1.7921407470624207E-2</v>
      </c>
      <c r="P49" s="29">
        <f t="shared" si="6"/>
        <v>1.9024233404738355E-2</v>
      </c>
      <c r="Q49" s="29">
        <f t="shared" si="7"/>
        <v>3.4758555200409269E-3</v>
      </c>
    </row>
    <row r="50" spans="2:17" ht="13.95" customHeight="1" x14ac:dyDescent="0.3">
      <c r="B50" s="89">
        <v>42832</v>
      </c>
      <c r="C50" s="91">
        <f t="shared" si="0"/>
        <v>0</v>
      </c>
      <c r="D50" s="90">
        <v>3.332073444751209</v>
      </c>
      <c r="E50" s="90">
        <v>2.238924457560286</v>
      </c>
      <c r="F50" s="90">
        <v>0.92816668634699862</v>
      </c>
      <c r="G50" s="90">
        <v>1.0599853283734251</v>
      </c>
      <c r="H50" s="90">
        <v>1.742446301167903</v>
      </c>
      <c r="I50" s="90">
        <v>0.97029310079116138</v>
      </c>
      <c r="J50" s="90">
        <v>1.2711542828498841</v>
      </c>
      <c r="K50" s="29">
        <f t="shared" si="1"/>
        <v>-9.6870232814989521E-3</v>
      </c>
      <c r="L50" s="29">
        <f t="shared" si="2"/>
        <v>-9.4335491090181689E-3</v>
      </c>
      <c r="M50" s="29">
        <f t="shared" si="3"/>
        <v>8.2655123714652223E-3</v>
      </c>
      <c r="N50" s="29">
        <f t="shared" si="4"/>
        <v>-5.464678687933211E-3</v>
      </c>
      <c r="O50" s="29">
        <f t="shared" si="5"/>
        <v>-5.8792919834547153E-3</v>
      </c>
      <c r="P50" s="29">
        <f t="shared" si="6"/>
        <v>1.1340584695761491E-2</v>
      </c>
      <c r="Q50" s="29">
        <f t="shared" si="7"/>
        <v>-1.0205530005396035E-2</v>
      </c>
    </row>
    <row r="51" spans="2:17" ht="13.95" customHeight="1" x14ac:dyDescent="0.3">
      <c r="B51" s="89">
        <v>42839</v>
      </c>
      <c r="C51" s="91">
        <f t="shared" si="0"/>
        <v>0</v>
      </c>
      <c r="D51" s="90">
        <v>3.2223015790412899</v>
      </c>
      <c r="E51" s="90">
        <v>2.229441628479778</v>
      </c>
      <c r="F51" s="90">
        <v>0.91682630617099747</v>
      </c>
      <c r="G51" s="90">
        <v>1.0083121239017889</v>
      </c>
      <c r="H51" s="90">
        <v>1.695058966358949</v>
      </c>
      <c r="I51" s="90">
        <v>0.96556596671820227</v>
      </c>
      <c r="J51" s="90">
        <v>1.1983108975004091</v>
      </c>
      <c r="K51" s="29">
        <f t="shared" si="1"/>
        <v>-3.2944011448137633E-2</v>
      </c>
      <c r="L51" s="29">
        <f t="shared" si="2"/>
        <v>-4.2354394979637888E-3</v>
      </c>
      <c r="M51" s="29">
        <f t="shared" si="3"/>
        <v>-1.221804266713522E-2</v>
      </c>
      <c r="N51" s="29">
        <f t="shared" si="4"/>
        <v>-4.8748980847621692E-2</v>
      </c>
      <c r="O51" s="29">
        <f t="shared" si="5"/>
        <v>-2.7195865248295981E-2</v>
      </c>
      <c r="P51" s="29">
        <f t="shared" si="6"/>
        <v>-4.8718619859345891E-3</v>
      </c>
      <c r="Q51" s="29">
        <f t="shared" si="7"/>
        <v>-5.7304912812127462E-2</v>
      </c>
    </row>
    <row r="52" spans="2:17" ht="13.95" customHeight="1" x14ac:dyDescent="0.3">
      <c r="B52" s="89">
        <v>42846</v>
      </c>
      <c r="C52" s="91">
        <f t="shared" si="0"/>
        <v>0</v>
      </c>
      <c r="D52" s="90">
        <v>3.284629207898706</v>
      </c>
      <c r="E52" s="90">
        <v>2.27025656263327</v>
      </c>
      <c r="F52" s="90">
        <v>0.93318883449200751</v>
      </c>
      <c r="G52" s="90">
        <v>1.0119234765940659</v>
      </c>
      <c r="H52" s="90">
        <v>1.7201068631028089</v>
      </c>
      <c r="I52" s="90">
        <v>0.98532765548585033</v>
      </c>
      <c r="J52" s="90">
        <v>1.1993601277197641</v>
      </c>
      <c r="K52" s="29">
        <f t="shared" si="1"/>
        <v>1.9342580862949488E-2</v>
      </c>
      <c r="L52" s="29">
        <f t="shared" si="2"/>
        <v>1.8307245021401686E-2</v>
      </c>
      <c r="M52" s="29">
        <f t="shared" si="3"/>
        <v>1.7846922815015986E-2</v>
      </c>
      <c r="N52" s="29">
        <f t="shared" si="4"/>
        <v>3.5815821377833679E-3</v>
      </c>
      <c r="O52" s="29">
        <f t="shared" si="5"/>
        <v>1.4777006134284454E-2</v>
      </c>
      <c r="P52" s="29">
        <f t="shared" si="6"/>
        <v>2.0466430517238177E-2</v>
      </c>
      <c r="Q52" s="29">
        <f t="shared" si="7"/>
        <v>8.7559098523071199E-4</v>
      </c>
    </row>
    <row r="53" spans="2:17" ht="13.95" customHeight="1" x14ac:dyDescent="0.3">
      <c r="B53" s="89">
        <v>42853</v>
      </c>
      <c r="C53" s="91">
        <f t="shared" si="0"/>
        <v>0</v>
      </c>
      <c r="D53" s="90">
        <v>3.433871118733471</v>
      </c>
      <c r="E53" s="90">
        <v>2.3041283964104369</v>
      </c>
      <c r="F53" s="90">
        <v>0.95046706621921873</v>
      </c>
      <c r="G53" s="90">
        <v>1.0272840887979899</v>
      </c>
      <c r="H53" s="90">
        <v>1.765026457668738</v>
      </c>
      <c r="I53" s="90">
        <v>1.00440821766049</v>
      </c>
      <c r="J53" s="90">
        <v>1.214836946845447</v>
      </c>
      <c r="K53" s="29">
        <f t="shared" si="1"/>
        <v>4.5436456107701861E-2</v>
      </c>
      <c r="L53" s="29">
        <f t="shared" si="2"/>
        <v>1.4919826390845881E-2</v>
      </c>
      <c r="M53" s="29">
        <f t="shared" si="3"/>
        <v>1.8515257671955387E-2</v>
      </c>
      <c r="N53" s="29">
        <f t="shared" si="4"/>
        <v>1.5179618379469684E-2</v>
      </c>
      <c r="O53" s="29">
        <f t="shared" si="5"/>
        <v>2.6114420870864352E-2</v>
      </c>
      <c r="P53" s="29">
        <f t="shared" si="6"/>
        <v>1.9364687541659764E-2</v>
      </c>
      <c r="Q53" s="29">
        <f t="shared" si="7"/>
        <v>1.2904230154046958E-2</v>
      </c>
    </row>
    <row r="54" spans="2:17" ht="13.95" customHeight="1" x14ac:dyDescent="0.3">
      <c r="B54" s="89">
        <v>42860</v>
      </c>
      <c r="C54" s="91">
        <f t="shared" si="0"/>
        <v>0</v>
      </c>
      <c r="D54" s="90">
        <v>3.4426415494126119</v>
      </c>
      <c r="E54" s="90">
        <v>2.348763207805884</v>
      </c>
      <c r="F54" s="90">
        <v>0.95854726163668724</v>
      </c>
      <c r="G54" s="90">
        <v>1.018594197925405</v>
      </c>
      <c r="H54" s="90">
        <v>1.773705723648616</v>
      </c>
      <c r="I54" s="90">
        <v>1.012314877415758</v>
      </c>
      <c r="J54" s="90">
        <v>1.230336172325283</v>
      </c>
      <c r="K54" s="29">
        <f t="shared" si="1"/>
        <v>2.5540943081101553E-3</v>
      </c>
      <c r="L54" s="29">
        <f t="shared" si="2"/>
        <v>1.9371668464736036E-2</v>
      </c>
      <c r="M54" s="29">
        <f t="shared" si="3"/>
        <v>8.5012892131128837E-3</v>
      </c>
      <c r="N54" s="29">
        <f t="shared" si="4"/>
        <v>-8.4590922485258124E-3</v>
      </c>
      <c r="O54" s="29">
        <f t="shared" si="5"/>
        <v>4.9173574379965945E-3</v>
      </c>
      <c r="P54" s="29">
        <f t="shared" si="6"/>
        <v>7.8719584490103411E-3</v>
      </c>
      <c r="Q54" s="29">
        <f t="shared" si="7"/>
        <v>1.2758276343243224E-2</v>
      </c>
    </row>
    <row r="55" spans="2:17" ht="13.95" customHeight="1" x14ac:dyDescent="0.3">
      <c r="B55" s="89">
        <v>42867</v>
      </c>
      <c r="C55" s="91">
        <f t="shared" si="0"/>
        <v>0</v>
      </c>
      <c r="D55" s="90">
        <v>3.5851667288168789</v>
      </c>
      <c r="E55" s="90">
        <v>2.4391097699352708</v>
      </c>
      <c r="F55" s="90">
        <v>0.99923184301779155</v>
      </c>
      <c r="G55" s="90">
        <v>1.04979718310764</v>
      </c>
      <c r="H55" s="90">
        <v>1.8413938623062649</v>
      </c>
      <c r="I55" s="90">
        <v>1.05182534195898</v>
      </c>
      <c r="J55" s="90">
        <v>1.31083358625941</v>
      </c>
      <c r="K55" s="29">
        <f t="shared" si="1"/>
        <v>4.1399947499205947E-2</v>
      </c>
      <c r="L55" s="29">
        <f t="shared" si="2"/>
        <v>3.8465589817282986E-2</v>
      </c>
      <c r="M55" s="29">
        <f t="shared" si="3"/>
        <v>4.2444001469094772E-2</v>
      </c>
      <c r="N55" s="29">
        <f t="shared" si="4"/>
        <v>3.0633382013943278E-2</v>
      </c>
      <c r="O55" s="29">
        <f t="shared" si="5"/>
        <v>3.8161989193117307E-2</v>
      </c>
      <c r="P55" s="29">
        <f t="shared" si="6"/>
        <v>3.902981712971032E-2</v>
      </c>
      <c r="Q55" s="29">
        <f t="shared" si="7"/>
        <v>6.5427170024587866E-2</v>
      </c>
    </row>
    <row r="56" spans="2:17" ht="13.95" customHeight="1" x14ac:dyDescent="0.3">
      <c r="B56" s="89">
        <v>42874</v>
      </c>
      <c r="C56" s="91">
        <f t="shared" si="0"/>
        <v>0</v>
      </c>
      <c r="D56" s="90">
        <v>3.1528084162718621</v>
      </c>
      <c r="E56" s="90">
        <v>2.2451881527761932</v>
      </c>
      <c r="F56" s="90">
        <v>0.91696709939669085</v>
      </c>
      <c r="G56" s="90">
        <v>1.019045280820708</v>
      </c>
      <c r="H56" s="90">
        <v>1.690232158778316</v>
      </c>
      <c r="I56" s="90">
        <v>0.95989359993753409</v>
      </c>
      <c r="J56" s="90">
        <v>1.246580449061131</v>
      </c>
      <c r="K56" s="29">
        <f t="shared" si="1"/>
        <v>-0.12059643114218488</v>
      </c>
      <c r="L56" s="29">
        <f t="shared" si="2"/>
        <v>-7.9505079906356135E-2</v>
      </c>
      <c r="M56" s="29">
        <f t="shared" si="3"/>
        <v>-8.232798443717726E-2</v>
      </c>
      <c r="N56" s="29">
        <f t="shared" si="4"/>
        <v>-2.9293184228118552E-2</v>
      </c>
      <c r="O56" s="29">
        <f t="shared" si="5"/>
        <v>-8.2090913097008777E-2</v>
      </c>
      <c r="P56" s="29">
        <f t="shared" si="6"/>
        <v>-8.7402098384725124E-2</v>
      </c>
      <c r="Q56" s="29">
        <f t="shared" si="7"/>
        <v>-4.9017005569434335E-2</v>
      </c>
    </row>
    <row r="57" spans="2:17" ht="13.95" customHeight="1" x14ac:dyDescent="0.3">
      <c r="B57" s="89">
        <v>42881</v>
      </c>
      <c r="C57" s="91">
        <f t="shared" si="0"/>
        <v>0</v>
      </c>
      <c r="D57" s="90">
        <v>3.1868190969730601</v>
      </c>
      <c r="E57" s="90">
        <v>2.3279511762892322</v>
      </c>
      <c r="F57" s="90">
        <v>0.93946036206504768</v>
      </c>
      <c r="G57" s="90">
        <v>1.04427137801604</v>
      </c>
      <c r="H57" s="90">
        <v>1.7293057111029071</v>
      </c>
      <c r="I57" s="90">
        <v>0.97916714968082097</v>
      </c>
      <c r="J57" s="90">
        <v>1.3121161195217881</v>
      </c>
      <c r="K57" s="29">
        <f t="shared" si="1"/>
        <v>1.0787423849056843E-2</v>
      </c>
      <c r="L57" s="29">
        <f t="shared" si="2"/>
        <v>3.686239988871387E-2</v>
      </c>
      <c r="M57" s="29">
        <f t="shared" si="3"/>
        <v>2.4530065127915668E-2</v>
      </c>
      <c r="N57" s="29">
        <f t="shared" si="4"/>
        <v>2.4754638159960596E-2</v>
      </c>
      <c r="O57" s="29">
        <f t="shared" si="5"/>
        <v>2.3117269495589898E-2</v>
      </c>
      <c r="P57" s="29">
        <f t="shared" si="6"/>
        <v>2.0078839721966224E-2</v>
      </c>
      <c r="Q57" s="29">
        <f t="shared" si="7"/>
        <v>5.2572355446466101E-2</v>
      </c>
    </row>
    <row r="58" spans="2:17" ht="13.95" customHeight="1" x14ac:dyDescent="0.3">
      <c r="B58" s="89">
        <v>42888</v>
      </c>
      <c r="C58" s="91">
        <f t="shared" si="0"/>
        <v>0</v>
      </c>
      <c r="D58" s="90">
        <v>3.1208566991155049</v>
      </c>
      <c r="E58" s="90">
        <v>2.2732961180657072</v>
      </c>
      <c r="F58" s="90">
        <v>0.91246071492765113</v>
      </c>
      <c r="G58" s="90">
        <v>1.015617592397591</v>
      </c>
      <c r="H58" s="90">
        <v>1.687199107019753</v>
      </c>
      <c r="I58" s="90">
        <v>0.94855413644742348</v>
      </c>
      <c r="J58" s="90">
        <v>1.294293739838257</v>
      </c>
      <c r="K58" s="29">
        <f t="shared" si="1"/>
        <v>-2.0698507147835388E-2</v>
      </c>
      <c r="L58" s="29">
        <f t="shared" si="2"/>
        <v>-2.3477751071500297E-2</v>
      </c>
      <c r="M58" s="29">
        <f t="shared" si="3"/>
        <v>-2.8739527741274862E-2</v>
      </c>
      <c r="N58" s="29">
        <f t="shared" si="4"/>
        <v>-2.7439022290246973E-2</v>
      </c>
      <c r="O58" s="29">
        <f t="shared" si="5"/>
        <v>-2.4348849259452021E-2</v>
      </c>
      <c r="P58" s="29">
        <f t="shared" si="6"/>
        <v>-3.1264338518072643E-2</v>
      </c>
      <c r="Q58" s="29">
        <f t="shared" si="7"/>
        <v>-1.3582928689289009E-2</v>
      </c>
    </row>
    <row r="59" spans="2:17" ht="13.95" customHeight="1" x14ac:dyDescent="0.3">
      <c r="B59" s="89">
        <v>42895</v>
      </c>
      <c r="C59" s="91">
        <f t="shared" si="0"/>
        <v>0</v>
      </c>
      <c r="D59" s="90">
        <v>3.111434522165101</v>
      </c>
      <c r="E59" s="90">
        <v>2.2396771041219639</v>
      </c>
      <c r="F59" s="90">
        <v>0.91425611300672083</v>
      </c>
      <c r="G59" s="90">
        <v>1.0143872275256991</v>
      </c>
      <c r="H59" s="90">
        <v>1.679055153833694</v>
      </c>
      <c r="I59" s="90">
        <v>0.95661949006878333</v>
      </c>
      <c r="J59" s="90">
        <v>1.24762216935478</v>
      </c>
      <c r="K59" s="29">
        <f t="shared" si="1"/>
        <v>-3.0190995161919476E-3</v>
      </c>
      <c r="L59" s="29">
        <f t="shared" si="2"/>
        <v>-1.4788664651549599E-2</v>
      </c>
      <c r="M59" s="29">
        <f t="shared" si="3"/>
        <v>1.9676442499905189E-3</v>
      </c>
      <c r="N59" s="29">
        <f t="shared" si="4"/>
        <v>-1.2114450173980051E-3</v>
      </c>
      <c r="O59" s="29">
        <f t="shared" si="5"/>
        <v>-4.8269070035511508E-3</v>
      </c>
      <c r="P59" s="29">
        <f t="shared" si="6"/>
        <v>8.5027868325646683E-3</v>
      </c>
      <c r="Q59" s="29">
        <f t="shared" si="7"/>
        <v>-3.6059488697912867E-2</v>
      </c>
    </row>
    <row r="60" spans="2:17" ht="13.95" customHeight="1" x14ac:dyDescent="0.3">
      <c r="B60" s="89">
        <v>42902</v>
      </c>
      <c r="C60" s="91">
        <f t="shared" si="0"/>
        <v>0</v>
      </c>
      <c r="D60" s="90">
        <v>3.136829385016445</v>
      </c>
      <c r="E60" s="90">
        <v>2.216477952494988</v>
      </c>
      <c r="F60" s="90">
        <v>0.91494347940620091</v>
      </c>
      <c r="G60" s="90">
        <v>0.97733908000038361</v>
      </c>
      <c r="H60" s="90">
        <v>1.663399214327876</v>
      </c>
      <c r="I60" s="90">
        <v>0.95940070961783652</v>
      </c>
      <c r="J60" s="90">
        <v>1.232188291125913</v>
      </c>
      <c r="K60" s="29">
        <f t="shared" si="1"/>
        <v>8.1617860412737109E-3</v>
      </c>
      <c r="L60" s="29">
        <f t="shared" si="2"/>
        <v>-1.0358257261405934E-2</v>
      </c>
      <c r="M60" s="29">
        <f t="shared" si="3"/>
        <v>7.5183134102263516E-4</v>
      </c>
      <c r="N60" s="29">
        <f t="shared" si="4"/>
        <v>-3.652268731309205E-2</v>
      </c>
      <c r="O60" s="29">
        <f t="shared" si="5"/>
        <v>-9.3242556506090146E-3</v>
      </c>
      <c r="P60" s="29">
        <f t="shared" si="6"/>
        <v>2.9073415061333652E-3</v>
      </c>
      <c r="Q60" s="29">
        <f t="shared" si="7"/>
        <v>-1.2370634802721381E-2</v>
      </c>
    </row>
    <row r="61" spans="2:17" ht="13.95" customHeight="1" x14ac:dyDescent="0.3">
      <c r="B61" s="89">
        <v>42909</v>
      </c>
      <c r="C61" s="91">
        <f t="shared" si="0"/>
        <v>0</v>
      </c>
      <c r="D61" s="90">
        <v>3.063822394102834</v>
      </c>
      <c r="E61" s="90">
        <v>2.2106410867526529</v>
      </c>
      <c r="F61" s="90">
        <v>0.90903018651325684</v>
      </c>
      <c r="G61" s="90">
        <v>0.98011113164378527</v>
      </c>
      <c r="H61" s="90">
        <v>1.648736200309924</v>
      </c>
      <c r="I61" s="90">
        <v>0.95143617208024844</v>
      </c>
      <c r="J61" s="90">
        <v>1.2382297777627449</v>
      </c>
      <c r="K61" s="29">
        <f t="shared" si="1"/>
        <v>-2.3274135106722826E-2</v>
      </c>
      <c r="L61" s="29">
        <f t="shared" si="2"/>
        <v>-2.6333967074948506E-3</v>
      </c>
      <c r="M61" s="29">
        <f t="shared" si="3"/>
        <v>-6.4630144113183574E-3</v>
      </c>
      <c r="N61" s="29">
        <f t="shared" si="4"/>
        <v>2.8363253860681503E-3</v>
      </c>
      <c r="O61" s="29">
        <f t="shared" si="5"/>
        <v>-8.8150901429137063E-3</v>
      </c>
      <c r="P61" s="29">
        <f t="shared" si="6"/>
        <v>-8.3015756166791022E-3</v>
      </c>
      <c r="Q61" s="29">
        <f t="shared" si="7"/>
        <v>4.903054736311141E-3</v>
      </c>
    </row>
    <row r="62" spans="2:17" ht="13.95" customHeight="1" x14ac:dyDescent="0.3">
      <c r="B62" s="89">
        <v>42916</v>
      </c>
      <c r="C62" s="91">
        <f t="shared" si="0"/>
        <v>0</v>
      </c>
      <c r="D62" s="90">
        <v>3.1991083979586512</v>
      </c>
      <c r="E62" s="90">
        <v>2.2179754605545159</v>
      </c>
      <c r="F62" s="90">
        <v>0.92583865271926857</v>
      </c>
      <c r="G62" s="90">
        <v>1.0228874009141711</v>
      </c>
      <c r="H62" s="90">
        <v>1.6975268444642151</v>
      </c>
      <c r="I62" s="90">
        <v>0.97579603664608072</v>
      </c>
      <c r="J62" s="90">
        <v>1.2073944473717551</v>
      </c>
      <c r="K62" s="29">
        <f t="shared" si="1"/>
        <v>4.4155955030621863E-2</v>
      </c>
      <c r="L62" s="29">
        <f t="shared" si="2"/>
        <v>3.3177587469148673E-3</v>
      </c>
      <c r="M62" s="29">
        <f t="shared" si="3"/>
        <v>1.8490547899716603E-2</v>
      </c>
      <c r="N62" s="29">
        <f t="shared" si="4"/>
        <v>4.3644305109201254E-2</v>
      </c>
      <c r="O62" s="29">
        <f t="shared" si="5"/>
        <v>2.9592753616448642E-2</v>
      </c>
      <c r="P62" s="29">
        <f t="shared" si="6"/>
        <v>2.5603256719335388E-2</v>
      </c>
      <c r="Q62" s="29">
        <f t="shared" si="7"/>
        <v>-2.4902753063089533E-2</v>
      </c>
    </row>
    <row r="63" spans="2:17" ht="13.95" customHeight="1" x14ac:dyDescent="0.3">
      <c r="B63" s="89">
        <v>42923</v>
      </c>
      <c r="C63" s="91">
        <f t="shared" si="0"/>
        <v>0</v>
      </c>
      <c r="D63" s="90">
        <v>3.161395654345005</v>
      </c>
      <c r="E63" s="90">
        <v>2.2077766714341869</v>
      </c>
      <c r="F63" s="90">
        <v>0.92622469985313205</v>
      </c>
      <c r="G63" s="90">
        <v>1.0075825831045759</v>
      </c>
      <c r="H63" s="90">
        <v>1.6823026112577331</v>
      </c>
      <c r="I63" s="90">
        <v>0.97322440954714029</v>
      </c>
      <c r="J63" s="90">
        <v>1.231630064313987</v>
      </c>
      <c r="K63" s="29">
        <f t="shared" si="1"/>
        <v>-1.1788516962323192E-2</v>
      </c>
      <c r="L63" s="29">
        <f t="shared" si="2"/>
        <v>-4.5982425422232964E-3</v>
      </c>
      <c r="M63" s="29">
        <f t="shared" si="3"/>
        <v>4.1697020612563307E-4</v>
      </c>
      <c r="N63" s="29">
        <f t="shared" si="4"/>
        <v>-1.4962368092438116E-2</v>
      </c>
      <c r="O63" s="29">
        <f t="shared" si="5"/>
        <v>-8.9684786170713959E-3</v>
      </c>
      <c r="P63" s="29">
        <f t="shared" si="6"/>
        <v>-2.6354145767791826E-3</v>
      </c>
      <c r="Q63" s="29">
        <f t="shared" si="7"/>
        <v>2.0072658935104348E-2</v>
      </c>
    </row>
    <row r="64" spans="2:17" ht="13.95" customHeight="1" x14ac:dyDescent="0.3">
      <c r="B64" s="89">
        <v>42930</v>
      </c>
      <c r="C64" s="91">
        <f t="shared" si="0"/>
        <v>0</v>
      </c>
      <c r="D64" s="90">
        <v>3.3439765209043588</v>
      </c>
      <c r="E64" s="90">
        <v>2.2863417046686592</v>
      </c>
      <c r="F64" s="90">
        <v>0.97999075556159543</v>
      </c>
      <c r="G64" s="90">
        <v>1.0567888479607901</v>
      </c>
      <c r="H64" s="90">
        <v>1.766332270614009</v>
      </c>
      <c r="I64" s="90">
        <v>1.0342639747943541</v>
      </c>
      <c r="J64" s="90">
        <v>1.2669088422157699</v>
      </c>
      <c r="K64" s="29">
        <f t="shared" si="1"/>
        <v>5.7753247781060058E-2</v>
      </c>
      <c r="L64" s="29">
        <f t="shared" si="2"/>
        <v>3.5585589000465268E-2</v>
      </c>
      <c r="M64" s="29">
        <f t="shared" si="3"/>
        <v>5.8048609281299512E-2</v>
      </c>
      <c r="N64" s="29">
        <f t="shared" si="4"/>
        <v>4.8835962114985421E-2</v>
      </c>
      <c r="O64" s="29">
        <f t="shared" si="5"/>
        <v>4.9949193916695611E-2</v>
      </c>
      <c r="P64" s="29">
        <f t="shared" si="6"/>
        <v>6.2718900850027515E-2</v>
      </c>
      <c r="Q64" s="29">
        <f t="shared" si="7"/>
        <v>2.8643972670018503E-2</v>
      </c>
    </row>
    <row r="65" spans="2:17" ht="13.95" customHeight="1" x14ac:dyDescent="0.3">
      <c r="B65" s="89">
        <v>42937</v>
      </c>
      <c r="C65" s="91">
        <f t="shared" si="0"/>
        <v>0</v>
      </c>
      <c r="D65" s="90">
        <v>3.3044449670737008</v>
      </c>
      <c r="E65" s="90">
        <v>2.2682358237043112</v>
      </c>
      <c r="F65" s="90">
        <v>0.98605749566623679</v>
      </c>
      <c r="G65" s="90">
        <v>1.030139507913024</v>
      </c>
      <c r="H65" s="90">
        <v>1.7459527448648819</v>
      </c>
      <c r="I65" s="90">
        <v>1.0400903933134751</v>
      </c>
      <c r="J65" s="90">
        <v>1.2793436775139599</v>
      </c>
      <c r="K65" s="29">
        <f t="shared" si="1"/>
        <v>-1.1821719914458906E-2</v>
      </c>
      <c r="L65" s="29">
        <f t="shared" si="2"/>
        <v>-7.9191491487804466E-3</v>
      </c>
      <c r="M65" s="29">
        <f t="shared" si="3"/>
        <v>6.1906095238262182E-3</v>
      </c>
      <c r="N65" s="29">
        <f t="shared" si="4"/>
        <v>-2.5217279780335944E-2</v>
      </c>
      <c r="O65" s="29">
        <f t="shared" si="5"/>
        <v>-1.1537764489827684E-2</v>
      </c>
      <c r="P65" s="29">
        <f t="shared" si="6"/>
        <v>5.6333959812140399E-3</v>
      </c>
      <c r="Q65" s="29">
        <f t="shared" si="7"/>
        <v>9.8150986746938784E-3</v>
      </c>
    </row>
    <row r="66" spans="2:17" ht="13.95" customHeight="1" x14ac:dyDescent="0.3">
      <c r="B66" s="89">
        <v>42944</v>
      </c>
      <c r="C66" s="91">
        <f t="shared" si="0"/>
        <v>0</v>
      </c>
      <c r="D66" s="90">
        <v>3.312200064785241</v>
      </c>
      <c r="E66" s="90">
        <v>2.2985042634674171</v>
      </c>
      <c r="F66" s="90">
        <v>0.99277607017009084</v>
      </c>
      <c r="G66" s="90">
        <v>1.060260149468262</v>
      </c>
      <c r="H66" s="90">
        <v>1.768021108892472</v>
      </c>
      <c r="I66" s="90">
        <v>1.049932800337402</v>
      </c>
      <c r="J66" s="90">
        <v>1.266103873293599</v>
      </c>
      <c r="K66" s="29">
        <f t="shared" si="1"/>
        <v>2.3468684722589561E-3</v>
      </c>
      <c r="L66" s="29">
        <f t="shared" si="2"/>
        <v>1.3344485369106707E-2</v>
      </c>
      <c r="M66" s="29">
        <f t="shared" si="3"/>
        <v>6.8135727717526517E-3</v>
      </c>
      <c r="N66" s="29">
        <f t="shared" si="4"/>
        <v>2.9239381000210285E-2</v>
      </c>
      <c r="O66" s="29">
        <f t="shared" si="5"/>
        <v>1.2639725841662397E-2</v>
      </c>
      <c r="P66" s="29">
        <f t="shared" si="6"/>
        <v>9.4630304127427678E-3</v>
      </c>
      <c r="Q66" s="29">
        <f t="shared" si="7"/>
        <v>-1.0348903467509829E-2</v>
      </c>
    </row>
    <row r="67" spans="2:17" ht="13.95" customHeight="1" x14ac:dyDescent="0.3">
      <c r="B67" s="89">
        <v>42951</v>
      </c>
      <c r="C67" s="91">
        <f t="shared" si="0"/>
        <v>0</v>
      </c>
      <c r="D67" s="90">
        <v>3.440085289728112</v>
      </c>
      <c r="E67" s="90">
        <v>2.3459528493472619</v>
      </c>
      <c r="F67" s="90">
        <v>0.97834093046023918</v>
      </c>
      <c r="G67" s="90">
        <v>1.0839058196652409</v>
      </c>
      <c r="H67" s="90">
        <v>1.806383947302717</v>
      </c>
      <c r="I67" s="90">
        <v>1.0285999493871381</v>
      </c>
      <c r="J67" s="90">
        <v>1.296548861967258</v>
      </c>
      <c r="K67" s="29">
        <f t="shared" si="1"/>
        <v>3.8610356391971967E-2</v>
      </c>
      <c r="L67" s="29">
        <f t="shared" si="2"/>
        <v>2.0643244667410743E-2</v>
      </c>
      <c r="M67" s="29">
        <f t="shared" si="3"/>
        <v>-1.4540176927691828E-2</v>
      </c>
      <c r="N67" s="29">
        <f t="shared" si="4"/>
        <v>2.2301762646495416E-2</v>
      </c>
      <c r="O67" s="29">
        <f t="shared" si="5"/>
        <v>2.1698178951198299E-2</v>
      </c>
      <c r="P67" s="29">
        <f t="shared" si="6"/>
        <v>-2.0318301269765526E-2</v>
      </c>
      <c r="Q67" s="29">
        <f t="shared" si="7"/>
        <v>2.4046201355075736E-2</v>
      </c>
    </row>
    <row r="68" spans="2:17" ht="13.95" customHeight="1" x14ac:dyDescent="0.3">
      <c r="B68" s="89">
        <v>42958</v>
      </c>
      <c r="C68" s="91">
        <f t="shared" si="0"/>
        <v>0</v>
      </c>
      <c r="D68" s="90">
        <v>3.485424586184704</v>
      </c>
      <c r="E68" s="90">
        <v>2.3767613453415759</v>
      </c>
      <c r="F68" s="90">
        <v>0.99228876439637637</v>
      </c>
      <c r="G68" s="90">
        <v>1.071658016960074</v>
      </c>
      <c r="H68" s="90">
        <v>1.8191530433399381</v>
      </c>
      <c r="I68" s="90">
        <v>1.042370213692978</v>
      </c>
      <c r="J68" s="90">
        <v>1.322245674024908</v>
      </c>
      <c r="K68" s="29">
        <f t="shared" si="1"/>
        <v>1.3179701268446031E-2</v>
      </c>
      <c r="L68" s="29">
        <f t="shared" si="2"/>
        <v>1.3132615177191775E-2</v>
      </c>
      <c r="M68" s="29">
        <f t="shared" si="3"/>
        <v>1.4256619039311413E-2</v>
      </c>
      <c r="N68" s="29">
        <f t="shared" si="4"/>
        <v>-1.1299692725101895E-2</v>
      </c>
      <c r="O68" s="29">
        <f t="shared" si="5"/>
        <v>7.0688715188638174E-3</v>
      </c>
      <c r="P68" s="29">
        <f t="shared" si="6"/>
        <v>1.3387385750937009E-2</v>
      </c>
      <c r="Q68" s="29">
        <f t="shared" si="7"/>
        <v>1.981939347712669E-2</v>
      </c>
    </row>
    <row r="69" spans="2:17" ht="13.95" customHeight="1" x14ac:dyDescent="0.3">
      <c r="B69" s="89">
        <v>42965</v>
      </c>
      <c r="C69" s="91">
        <f t="shared" si="0"/>
        <v>0</v>
      </c>
      <c r="D69" s="90">
        <v>3.5796188989638331</v>
      </c>
      <c r="E69" s="90">
        <v>2.3783933309957548</v>
      </c>
      <c r="F69" s="90">
        <v>1.0179869112479849</v>
      </c>
      <c r="G69" s="90">
        <v>1.0998656173814521</v>
      </c>
      <c r="H69" s="90">
        <v>1.8557547353593411</v>
      </c>
      <c r="I69" s="90">
        <v>1.069404978041369</v>
      </c>
      <c r="J69" s="90">
        <v>1.356169427761706</v>
      </c>
      <c r="K69" s="29">
        <f t="shared" si="1"/>
        <v>2.7025204663010172E-2</v>
      </c>
      <c r="L69" s="29">
        <f t="shared" si="2"/>
        <v>6.8664262710993462E-4</v>
      </c>
      <c r="M69" s="29">
        <f t="shared" si="3"/>
        <v>2.5897851284490958E-2</v>
      </c>
      <c r="N69" s="29">
        <f t="shared" si="4"/>
        <v>2.6321457008639193E-2</v>
      </c>
      <c r="O69" s="29">
        <f t="shared" si="5"/>
        <v>2.012018293535256E-2</v>
      </c>
      <c r="P69" s="29">
        <f t="shared" si="6"/>
        <v>2.5935856563485737E-2</v>
      </c>
      <c r="Q69" s="29">
        <f t="shared" si="7"/>
        <v>2.565616541859006E-2</v>
      </c>
    </row>
    <row r="70" spans="2:17" ht="13.95" customHeight="1" x14ac:dyDescent="0.3">
      <c r="B70" s="89">
        <v>42972</v>
      </c>
      <c r="C70" s="91">
        <f t="shared" si="0"/>
        <v>0</v>
      </c>
      <c r="D70" s="90">
        <v>3.6951783952981452</v>
      </c>
      <c r="E70" s="90">
        <v>2.4505202207873071</v>
      </c>
      <c r="F70" s="90">
        <v>1.042018145924746</v>
      </c>
      <c r="G70" s="90">
        <v>1.149347963706463</v>
      </c>
      <c r="H70" s="90">
        <v>1.9182680431993371</v>
      </c>
      <c r="I70" s="90">
        <v>1.0952333961681009</v>
      </c>
      <c r="J70" s="90">
        <v>1.3834780700426259</v>
      </c>
      <c r="K70" s="29">
        <f t="shared" si="1"/>
        <v>3.2282625496184103E-2</v>
      </c>
      <c r="L70" s="29">
        <f t="shared" si="2"/>
        <v>3.0325888006655033E-2</v>
      </c>
      <c r="M70" s="29">
        <f t="shared" si="3"/>
        <v>2.3606624418481381E-2</v>
      </c>
      <c r="N70" s="29">
        <f t="shared" si="4"/>
        <v>4.4989447386143411E-2</v>
      </c>
      <c r="O70" s="29">
        <f t="shared" si="5"/>
        <v>3.3686190663493765E-2</v>
      </c>
      <c r="P70" s="29">
        <f t="shared" si="6"/>
        <v>2.4152139420593466E-2</v>
      </c>
      <c r="Q70" s="29">
        <f t="shared" si="7"/>
        <v>2.0136600723990261E-2</v>
      </c>
    </row>
    <row r="71" spans="2:17" ht="13.95" customHeight="1" x14ac:dyDescent="0.3">
      <c r="B71" s="89">
        <v>42979</v>
      </c>
      <c r="C71" s="91">
        <f t="shared" si="0"/>
        <v>0</v>
      </c>
      <c r="D71" s="90">
        <v>3.7165991406322072</v>
      </c>
      <c r="E71" s="90">
        <v>2.4492607934366442</v>
      </c>
      <c r="F71" s="90">
        <v>1.0510992634612439</v>
      </c>
      <c r="G71" s="90">
        <v>1.1910457361085509</v>
      </c>
      <c r="H71" s="90">
        <v>1.942369296729445</v>
      </c>
      <c r="I71" s="90">
        <v>1.1008188984734379</v>
      </c>
      <c r="J71" s="90">
        <v>1.4274467249347309</v>
      </c>
      <c r="K71" s="29">
        <f t="shared" si="1"/>
        <v>5.7969448406924862E-3</v>
      </c>
      <c r="L71" s="29">
        <f t="shared" si="2"/>
        <v>-5.139428517991762E-4</v>
      </c>
      <c r="M71" s="29">
        <f t="shared" si="3"/>
        <v>8.7149322418362818E-3</v>
      </c>
      <c r="N71" s="29">
        <f t="shared" si="4"/>
        <v>3.627950256910828E-2</v>
      </c>
      <c r="O71" s="29">
        <f t="shared" si="5"/>
        <v>1.2564069768848052E-2</v>
      </c>
      <c r="P71" s="29">
        <f t="shared" si="6"/>
        <v>5.099828333284151E-3</v>
      </c>
      <c r="Q71" s="29">
        <f t="shared" si="7"/>
        <v>3.178124456338538E-2</v>
      </c>
    </row>
    <row r="72" spans="2:17" ht="13.95" customHeight="1" x14ac:dyDescent="0.3">
      <c r="B72" s="89">
        <v>42986</v>
      </c>
      <c r="C72" s="91">
        <f t="shared" si="0"/>
        <v>0</v>
      </c>
      <c r="D72" s="90">
        <v>3.7733984152443978</v>
      </c>
      <c r="E72" s="90">
        <v>2.498302052282813</v>
      </c>
      <c r="F72" s="90">
        <v>1.083047916310228</v>
      </c>
      <c r="G72" s="90">
        <v>1.1966381066264731</v>
      </c>
      <c r="H72" s="90">
        <v>1.973148785674641</v>
      </c>
      <c r="I72" s="90">
        <v>1.1360768994972319</v>
      </c>
      <c r="J72" s="90">
        <v>1.4564225681365419</v>
      </c>
      <c r="K72" s="29">
        <f t="shared" si="1"/>
        <v>1.5282593700037594E-2</v>
      </c>
      <c r="L72" s="29">
        <f t="shared" si="2"/>
        <v>2.002288158843113E-2</v>
      </c>
      <c r="M72" s="29">
        <f t="shared" si="3"/>
        <v>3.0395466878911037E-2</v>
      </c>
      <c r="N72" s="29">
        <f t="shared" si="4"/>
        <v>4.6953448959852206E-3</v>
      </c>
      <c r="O72" s="29">
        <f t="shared" si="5"/>
        <v>1.5846362994422547E-2</v>
      </c>
      <c r="P72" s="29">
        <f t="shared" si="6"/>
        <v>3.2028884199470031E-2</v>
      </c>
      <c r="Q72" s="29">
        <f t="shared" si="7"/>
        <v>2.0299071548982583E-2</v>
      </c>
    </row>
    <row r="73" spans="2:17" ht="13.95" customHeight="1" x14ac:dyDescent="0.3">
      <c r="B73" s="89">
        <v>42993</v>
      </c>
      <c r="C73" s="91">
        <f t="shared" si="0"/>
        <v>0</v>
      </c>
      <c r="D73" s="90">
        <v>3.931014783926992</v>
      </c>
      <c r="E73" s="90">
        <v>2.616825393493837</v>
      </c>
      <c r="F73" s="90">
        <v>1.1399155137767181</v>
      </c>
      <c r="G73" s="90">
        <v>1.208021159009758</v>
      </c>
      <c r="H73" s="90">
        <v>2.044608589089461</v>
      </c>
      <c r="I73" s="90">
        <v>1.19664653081334</v>
      </c>
      <c r="J73" s="90">
        <v>1.5255398917790599</v>
      </c>
      <c r="K73" s="29">
        <f t="shared" si="1"/>
        <v>4.1770401992492934E-2</v>
      </c>
      <c r="L73" s="29">
        <f t="shared" si="2"/>
        <v>4.7441557798314937E-2</v>
      </c>
      <c r="M73" s="29">
        <f t="shared" si="3"/>
        <v>5.2507000484548261E-2</v>
      </c>
      <c r="N73" s="29">
        <f t="shared" si="4"/>
        <v>9.5125270708416032E-3</v>
      </c>
      <c r="O73" s="29">
        <f t="shared" si="5"/>
        <v>3.6216125176990577E-2</v>
      </c>
      <c r="P73" s="29">
        <f t="shared" si="6"/>
        <v>5.3314728380546406E-2</v>
      </c>
      <c r="Q73" s="29">
        <f t="shared" si="7"/>
        <v>4.7456916113948866E-2</v>
      </c>
    </row>
    <row r="74" spans="2:17" ht="13.95" customHeight="1" x14ac:dyDescent="0.3">
      <c r="B74" s="89">
        <v>43000</v>
      </c>
      <c r="C74" s="91">
        <f t="shared" si="0"/>
        <v>0</v>
      </c>
      <c r="D74" s="90">
        <v>3.9586041878687439</v>
      </c>
      <c r="E74" s="90">
        <v>2.607965066367909</v>
      </c>
      <c r="F74" s="90">
        <v>1.107846750014899</v>
      </c>
      <c r="G74" s="90">
        <v>1.197600902567318</v>
      </c>
      <c r="H74" s="90">
        <v>2.034430985489867</v>
      </c>
      <c r="I74" s="90">
        <v>1.1641022073113689</v>
      </c>
      <c r="J74" s="90">
        <v>1.4736420717885399</v>
      </c>
      <c r="K74" s="29">
        <f t="shared" si="1"/>
        <v>7.0183923129871761E-3</v>
      </c>
      <c r="L74" s="29">
        <f t="shared" si="2"/>
        <v>-3.3859068885364607E-3</v>
      </c>
      <c r="M74" s="29">
        <f t="shared" si="3"/>
        <v>-2.813257945369152E-2</v>
      </c>
      <c r="N74" s="29">
        <f t="shared" si="4"/>
        <v>-8.6258890125581189E-3</v>
      </c>
      <c r="O74" s="29">
        <f t="shared" si="5"/>
        <v>-4.9777760173287389E-3</v>
      </c>
      <c r="P74" s="29">
        <f t="shared" si="6"/>
        <v>-2.7196271132672201E-2</v>
      </c>
      <c r="Q74" s="29">
        <f t="shared" si="7"/>
        <v>-3.4019313601821088E-2</v>
      </c>
    </row>
    <row r="75" spans="2:17" ht="13.95" customHeight="1" x14ac:dyDescent="0.3">
      <c r="B75" s="89">
        <v>43007</v>
      </c>
      <c r="C75" s="91">
        <f t="shared" si="0"/>
        <v>0</v>
      </c>
      <c r="D75" s="90">
        <v>3.890390727830916</v>
      </c>
      <c r="E75" s="90">
        <v>2.5537583301635229</v>
      </c>
      <c r="F75" s="90">
        <v>1.1176237405237821</v>
      </c>
      <c r="G75" s="90">
        <v>1.174986508119622</v>
      </c>
      <c r="H75" s="90">
        <v>2.004773482407646</v>
      </c>
      <c r="I75" s="90">
        <v>1.1790730693612581</v>
      </c>
      <c r="J75" s="90">
        <v>1.4489967462450319</v>
      </c>
      <c r="K75" s="29">
        <f t="shared" si="1"/>
        <v>-1.7231695011809989E-2</v>
      </c>
      <c r="L75" s="29">
        <f t="shared" si="2"/>
        <v>-2.0785069901215869E-2</v>
      </c>
      <c r="M75" s="29">
        <f t="shared" si="3"/>
        <v>8.8252192902598114E-3</v>
      </c>
      <c r="N75" s="29">
        <f t="shared" si="4"/>
        <v>-1.8883080665033858E-2</v>
      </c>
      <c r="O75" s="29">
        <f t="shared" si="5"/>
        <v>-1.4577787742000914E-2</v>
      </c>
      <c r="P75" s="29">
        <f t="shared" si="6"/>
        <v>1.2860436099048522E-2</v>
      </c>
      <c r="Q75" s="29">
        <f t="shared" si="7"/>
        <v>-1.6724091972751709E-2</v>
      </c>
    </row>
    <row r="76" spans="2:17" ht="13.95" customHeight="1" x14ac:dyDescent="0.3">
      <c r="B76" s="89">
        <v>43014</v>
      </c>
      <c r="C76" s="91">
        <f t="shared" si="0"/>
        <v>0</v>
      </c>
      <c r="D76" s="90">
        <v>4.0090569235713556</v>
      </c>
      <c r="E76" s="90">
        <v>2.5951197496649661</v>
      </c>
      <c r="F76" s="90">
        <v>1.130789745146753</v>
      </c>
      <c r="G76" s="90">
        <v>1.210100589877654</v>
      </c>
      <c r="H76" s="90">
        <v>2.0526018675625921</v>
      </c>
      <c r="I76" s="90">
        <v>1.191683530362234</v>
      </c>
      <c r="J76" s="90">
        <v>1.4764963655050749</v>
      </c>
      <c r="K76" s="29">
        <f t="shared" si="1"/>
        <v>3.0502384989643971E-2</v>
      </c>
      <c r="L76" s="29">
        <f t="shared" si="2"/>
        <v>1.619629352272911E-2</v>
      </c>
      <c r="M76" s="29">
        <f t="shared" si="3"/>
        <v>1.1780355181790103E-2</v>
      </c>
      <c r="N76" s="29">
        <f t="shared" si="4"/>
        <v>2.9884668049700913E-2</v>
      </c>
      <c r="O76" s="29">
        <f t="shared" si="5"/>
        <v>2.3857251492326315E-2</v>
      </c>
      <c r="P76" s="29">
        <f t="shared" si="6"/>
        <v>1.0695232830487233E-2</v>
      </c>
      <c r="Q76" s="29">
        <f t="shared" si="7"/>
        <v>1.8978385790931585E-2</v>
      </c>
    </row>
    <row r="77" spans="2:17" ht="13.95" customHeight="1" x14ac:dyDescent="0.3">
      <c r="B77" s="89">
        <v>43021</v>
      </c>
      <c r="C77" s="91">
        <f t="shared" si="0"/>
        <v>0</v>
      </c>
      <c r="D77" s="90">
        <v>4.0268237402603786</v>
      </c>
      <c r="E77" s="90">
        <v>2.6396648947403558</v>
      </c>
      <c r="F77" s="90">
        <v>1.133688282831371</v>
      </c>
      <c r="G77" s="90">
        <v>1.2394949642622139</v>
      </c>
      <c r="H77" s="90">
        <v>2.0777898129509338</v>
      </c>
      <c r="I77" s="90">
        <v>1.194619153392894</v>
      </c>
      <c r="J77" s="90">
        <v>1.4812511538248769</v>
      </c>
      <c r="K77" s="29">
        <f t="shared" si="1"/>
        <v>4.4316698484778705E-3</v>
      </c>
      <c r="L77" s="29">
        <f t="shared" si="2"/>
        <v>1.7164967081438443E-2</v>
      </c>
      <c r="M77" s="29">
        <f t="shared" si="3"/>
        <v>2.5632861432094423E-3</v>
      </c>
      <c r="N77" s="29">
        <f t="shared" si="4"/>
        <v>2.4290852041921385E-2</v>
      </c>
      <c r="O77" s="29">
        <f t="shared" si="5"/>
        <v>1.2271227940687579E-2</v>
      </c>
      <c r="P77" s="29">
        <f t="shared" si="6"/>
        <v>2.463425025071686E-3</v>
      </c>
      <c r="Q77" s="29">
        <f t="shared" si="7"/>
        <v>3.2203183366290578E-3</v>
      </c>
    </row>
    <row r="78" spans="2:17" ht="13.95" customHeight="1" x14ac:dyDescent="0.3">
      <c r="B78" s="89">
        <v>43028</v>
      </c>
      <c r="C78" s="91">
        <f t="shared" si="0"/>
        <v>0</v>
      </c>
      <c r="D78" s="90">
        <v>3.9964008480225952</v>
      </c>
      <c r="E78" s="90">
        <v>2.5885218578472871</v>
      </c>
      <c r="F78" s="90">
        <v>1.123246074222791</v>
      </c>
      <c r="G78" s="90">
        <v>1.2439044851648251</v>
      </c>
      <c r="H78" s="90">
        <v>2.0614203892693421</v>
      </c>
      <c r="I78" s="90">
        <v>1.1899432509020891</v>
      </c>
      <c r="J78" s="90">
        <v>1.416025876157067</v>
      </c>
      <c r="K78" s="29">
        <f t="shared" si="1"/>
        <v>-7.5550593222181162E-3</v>
      </c>
      <c r="L78" s="29">
        <f t="shared" si="2"/>
        <v>-1.9374821779451379E-2</v>
      </c>
      <c r="M78" s="29">
        <f t="shared" si="3"/>
        <v>-9.2108287319515592E-3</v>
      </c>
      <c r="N78" s="29">
        <f t="shared" si="4"/>
        <v>3.5575141729082826E-3</v>
      </c>
      <c r="O78" s="29">
        <f t="shared" si="5"/>
        <v>-7.8782866195418189E-3</v>
      </c>
      <c r="P78" s="29">
        <f t="shared" si="6"/>
        <v>-3.9141365493133851E-3</v>
      </c>
      <c r="Q78" s="29">
        <f t="shared" si="7"/>
        <v>-4.4033908428955937E-2</v>
      </c>
    </row>
    <row r="79" spans="2:17" ht="13.95" customHeight="1" x14ac:dyDescent="0.3">
      <c r="B79" s="89">
        <v>43035</v>
      </c>
      <c r="C79" s="91">
        <f t="shared" si="0"/>
        <v>0</v>
      </c>
      <c r="D79" s="90">
        <v>3.9751118705746569</v>
      </c>
      <c r="E79" s="90">
        <v>2.5716727451418762</v>
      </c>
      <c r="F79" s="90">
        <v>1.0870955266475071</v>
      </c>
      <c r="G79" s="90">
        <v>1.258806603749685</v>
      </c>
      <c r="H79" s="90">
        <v>2.0505066441544328</v>
      </c>
      <c r="I79" s="90">
        <v>1.152858973770825</v>
      </c>
      <c r="J79" s="90">
        <v>1.360565390817003</v>
      </c>
      <c r="K79" s="29">
        <f t="shared" si="1"/>
        <v>-5.3270375664322689E-3</v>
      </c>
      <c r="L79" s="29">
        <f t="shared" si="2"/>
        <v>-6.5091637740402053E-3</v>
      </c>
      <c r="M79" s="29">
        <f t="shared" si="3"/>
        <v>-3.2183996369893886E-2</v>
      </c>
      <c r="N79" s="29">
        <f t="shared" si="4"/>
        <v>1.1980114842085499E-2</v>
      </c>
      <c r="O79" s="29">
        <f t="shared" si="5"/>
        <v>-5.2942840634159216E-3</v>
      </c>
      <c r="P79" s="29">
        <f t="shared" si="6"/>
        <v>-3.1164744287721868E-2</v>
      </c>
      <c r="Q79" s="29">
        <f t="shared" si="7"/>
        <v>-3.9166293691311194E-2</v>
      </c>
    </row>
    <row r="80" spans="2:17" ht="13.95" customHeight="1" x14ac:dyDescent="0.3">
      <c r="B80" s="89">
        <v>43042</v>
      </c>
      <c r="C80" s="91">
        <f t="shared" si="0"/>
        <v>0</v>
      </c>
      <c r="D80" s="90">
        <v>3.7634841023287229</v>
      </c>
      <c r="E80" s="90">
        <v>2.486507728728891</v>
      </c>
      <c r="F80" s="90">
        <v>1.0754833690006389</v>
      </c>
      <c r="G80" s="90">
        <v>1.264477029309534</v>
      </c>
      <c r="H80" s="90">
        <v>1.9957773847023701</v>
      </c>
      <c r="I80" s="90">
        <v>1.1354283640442899</v>
      </c>
      <c r="J80" s="90">
        <v>1.3887809095908361</v>
      </c>
      <c r="K80" s="29">
        <f t="shared" si="1"/>
        <v>-5.323819181354017E-2</v>
      </c>
      <c r="L80" s="29">
        <f t="shared" si="2"/>
        <v>-3.3116583971996238E-2</v>
      </c>
      <c r="M80" s="29">
        <f t="shared" si="3"/>
        <v>-1.0681818995869619E-2</v>
      </c>
      <c r="N80" s="29">
        <f t="shared" si="4"/>
        <v>4.5046042362331118E-3</v>
      </c>
      <c r="O80" s="29">
        <f t="shared" si="5"/>
        <v>-2.6690603323858753E-2</v>
      </c>
      <c r="P80" s="29">
        <f t="shared" si="6"/>
        <v>-1.5119463978774617E-2</v>
      </c>
      <c r="Q80" s="29">
        <f t="shared" si="7"/>
        <v>2.0738083567515941E-2</v>
      </c>
    </row>
    <row r="81" spans="2:17" ht="13.95" customHeight="1" x14ac:dyDescent="0.3">
      <c r="B81" s="89">
        <v>43049</v>
      </c>
      <c r="C81" s="91">
        <f t="shared" si="0"/>
        <v>0</v>
      </c>
      <c r="D81" s="90">
        <v>3.675854159296402</v>
      </c>
      <c r="E81" s="90">
        <v>2.4456231235542991</v>
      </c>
      <c r="F81" s="90">
        <v>1.0451759787493049</v>
      </c>
      <c r="G81" s="90">
        <v>1.230399585326668</v>
      </c>
      <c r="H81" s="90">
        <v>1.9490878774290601</v>
      </c>
      <c r="I81" s="90">
        <v>1.101581680709848</v>
      </c>
      <c r="J81" s="90">
        <v>1.3651642888392199</v>
      </c>
      <c r="K81" s="29">
        <f t="shared" si="1"/>
        <v>-2.3284260182764749E-2</v>
      </c>
      <c r="L81" s="29">
        <f t="shared" si="2"/>
        <v>-1.6442581176086768E-2</v>
      </c>
      <c r="M81" s="29">
        <f t="shared" si="3"/>
        <v>-2.8180250039102184E-2</v>
      </c>
      <c r="N81" s="29">
        <f t="shared" si="4"/>
        <v>-2.6949832375740224E-2</v>
      </c>
      <c r="O81" s="29">
        <f t="shared" si="5"/>
        <v>-2.3394145875780037E-2</v>
      </c>
      <c r="P81" s="29">
        <f t="shared" si="6"/>
        <v>-2.9809615829820557E-2</v>
      </c>
      <c r="Q81" s="29">
        <f t="shared" si="7"/>
        <v>-1.700528901896714E-2</v>
      </c>
    </row>
    <row r="82" spans="2:17" ht="13.95" customHeight="1" x14ac:dyDescent="0.3">
      <c r="B82" s="89">
        <v>43056</v>
      </c>
      <c r="C82" s="91">
        <f t="shared" si="0"/>
        <v>0</v>
      </c>
      <c r="D82" s="90">
        <v>3.7762561862445478</v>
      </c>
      <c r="E82" s="90">
        <v>2.5017632213609571</v>
      </c>
      <c r="F82" s="90">
        <v>1.086414121328982</v>
      </c>
      <c r="G82" s="90">
        <v>1.2162446423420541</v>
      </c>
      <c r="H82" s="90">
        <v>1.9833544201956721</v>
      </c>
      <c r="I82" s="90">
        <v>1.150499819708263</v>
      </c>
      <c r="J82" s="90">
        <v>1.3732711643902979</v>
      </c>
      <c r="K82" s="29">
        <f t="shared" si="1"/>
        <v>2.7313931020420013E-2</v>
      </c>
      <c r="L82" s="29">
        <f t="shared" si="2"/>
        <v>2.2955334886214152E-2</v>
      </c>
      <c r="M82" s="29">
        <f t="shared" si="3"/>
        <v>3.9455693029822658E-2</v>
      </c>
      <c r="N82" s="29">
        <f t="shared" si="4"/>
        <v>-1.150434635497366E-2</v>
      </c>
      <c r="O82" s="29">
        <f t="shared" si="5"/>
        <v>1.7580809548623844E-2</v>
      </c>
      <c r="P82" s="29">
        <f t="shared" si="6"/>
        <v>4.4407182740087592E-2</v>
      </c>
      <c r="Q82" s="29">
        <f t="shared" si="7"/>
        <v>5.9383882345553918E-3</v>
      </c>
    </row>
    <row r="83" spans="2:17" ht="13.95" customHeight="1" x14ac:dyDescent="0.3">
      <c r="B83" s="89">
        <v>43063</v>
      </c>
      <c r="C83" s="91">
        <f t="shared" si="0"/>
        <v>0</v>
      </c>
      <c r="D83" s="90">
        <v>3.7826061877860631</v>
      </c>
      <c r="E83" s="90">
        <v>2.518730149301788</v>
      </c>
      <c r="F83" s="90">
        <v>1.0866304710185919</v>
      </c>
      <c r="G83" s="90">
        <v>1.2540321668422389</v>
      </c>
      <c r="H83" s="90">
        <v>2.0040951679032522</v>
      </c>
      <c r="I83" s="90">
        <v>1.148158048111533</v>
      </c>
      <c r="J83" s="90">
        <v>1.3951113441585981</v>
      </c>
      <c r="K83" s="29">
        <f t="shared" si="1"/>
        <v>1.6815600500426076E-3</v>
      </c>
      <c r="L83" s="29">
        <f t="shared" si="2"/>
        <v>6.7819879179455977E-3</v>
      </c>
      <c r="M83" s="29">
        <f t="shared" si="3"/>
        <v>1.9914108751217796E-4</v>
      </c>
      <c r="N83" s="29">
        <f t="shared" si="4"/>
        <v>3.1069016203367994E-2</v>
      </c>
      <c r="O83" s="29">
        <f t="shared" si="5"/>
        <v>1.0457408669063639E-2</v>
      </c>
      <c r="P83" s="29">
        <f t="shared" si="6"/>
        <v>-2.0354384734486697E-3</v>
      </c>
      <c r="Q83" s="29">
        <f t="shared" si="7"/>
        <v>1.5903763462474352E-2</v>
      </c>
    </row>
    <row r="84" spans="2:17" ht="13.95" customHeight="1" x14ac:dyDescent="0.3">
      <c r="B84" s="89">
        <v>43070</v>
      </c>
      <c r="C84" s="91">
        <f t="shared" si="0"/>
        <v>0</v>
      </c>
      <c r="D84" s="90">
        <v>3.667086269896227</v>
      </c>
      <c r="E84" s="90">
        <v>2.4357313650803318</v>
      </c>
      <c r="F84" s="90">
        <v>1.067200672929207</v>
      </c>
      <c r="G84" s="90">
        <v>1.2246133324299231</v>
      </c>
      <c r="H84" s="90">
        <v>1.9495109760201059</v>
      </c>
      <c r="I84" s="90">
        <v>1.125109274284033</v>
      </c>
      <c r="J84" s="90">
        <v>1.3911037751143771</v>
      </c>
      <c r="K84" s="29">
        <f t="shared" si="1"/>
        <v>-3.0539768655496569E-2</v>
      </c>
      <c r="L84" s="29">
        <f t="shared" si="2"/>
        <v>-3.295263061208209E-2</v>
      </c>
      <c r="M84" s="29">
        <f t="shared" si="3"/>
        <v>-1.7880777879504595E-2</v>
      </c>
      <c r="N84" s="29">
        <f t="shared" si="4"/>
        <v>-2.3459393778067938E-2</v>
      </c>
      <c r="O84" s="29">
        <f t="shared" si="5"/>
        <v>-2.7236327274943739E-2</v>
      </c>
      <c r="P84" s="29">
        <f t="shared" si="6"/>
        <v>-2.0074565401000499E-2</v>
      </c>
      <c r="Q84" s="29">
        <f t="shared" si="7"/>
        <v>-2.8725800711182359E-3</v>
      </c>
    </row>
    <row r="85" spans="2:17" ht="13.95" customHeight="1" x14ac:dyDescent="0.3">
      <c r="B85" s="89">
        <v>43077</v>
      </c>
      <c r="C85" s="91">
        <f t="shared" si="0"/>
        <v>0</v>
      </c>
      <c r="D85" s="90">
        <v>3.7019726233836159</v>
      </c>
      <c r="E85" s="90">
        <v>2.469818313280904</v>
      </c>
      <c r="F85" s="90">
        <v>1.0689118190662541</v>
      </c>
      <c r="G85" s="90">
        <v>1.223453440183514</v>
      </c>
      <c r="H85" s="90">
        <v>1.9621769752096061</v>
      </c>
      <c r="I85" s="90">
        <v>1.1207233436283199</v>
      </c>
      <c r="J85" s="90">
        <v>1.445771401040556</v>
      </c>
      <c r="K85" s="29">
        <f t="shared" si="1"/>
        <v>9.5133713580117796E-3</v>
      </c>
      <c r="L85" s="29">
        <f t="shared" si="2"/>
        <v>1.3994543359443057E-2</v>
      </c>
      <c r="M85" s="29">
        <f t="shared" si="3"/>
        <v>1.6033967935482618E-3</v>
      </c>
      <c r="N85" s="29">
        <f t="shared" si="4"/>
        <v>-9.4714977837750958E-4</v>
      </c>
      <c r="O85" s="29">
        <f t="shared" si="5"/>
        <v>6.497013530725404E-3</v>
      </c>
      <c r="P85" s="29">
        <f t="shared" si="6"/>
        <v>-3.8982263820587226E-3</v>
      </c>
      <c r="Q85" s="29">
        <f t="shared" si="7"/>
        <v>3.9298021401519279E-2</v>
      </c>
    </row>
    <row r="86" spans="2:17" ht="13.95" customHeight="1" x14ac:dyDescent="0.3">
      <c r="B86" s="89">
        <v>43084</v>
      </c>
      <c r="C86" s="91">
        <f t="shared" si="0"/>
        <v>0</v>
      </c>
      <c r="D86" s="90">
        <v>3.6670944021984089</v>
      </c>
      <c r="E86" s="90">
        <v>2.4558548175154651</v>
      </c>
      <c r="F86" s="90">
        <v>1.062692160066987</v>
      </c>
      <c r="G86" s="90">
        <v>1.2408783923924269</v>
      </c>
      <c r="H86" s="90">
        <v>1.9589905424301439</v>
      </c>
      <c r="I86" s="90">
        <v>1.112319307870054</v>
      </c>
      <c r="J86" s="90">
        <v>1.453309665505981</v>
      </c>
      <c r="K86" s="29">
        <f t="shared" si="1"/>
        <v>-9.4215232616517985E-3</v>
      </c>
      <c r="L86" s="29">
        <f t="shared" si="2"/>
        <v>-5.6536530198814106E-3</v>
      </c>
      <c r="M86" s="29">
        <f t="shared" si="3"/>
        <v>-5.8186829711549537E-3</v>
      </c>
      <c r="N86" s="29">
        <f t="shared" si="4"/>
        <v>1.4242431821761325E-2</v>
      </c>
      <c r="O86" s="29">
        <f t="shared" si="5"/>
        <v>-1.6239273112058639E-3</v>
      </c>
      <c r="P86" s="29">
        <f t="shared" si="6"/>
        <v>-7.4987603372819178E-3</v>
      </c>
      <c r="Q86" s="29">
        <f t="shared" si="7"/>
        <v>5.2140085631791067E-3</v>
      </c>
    </row>
    <row r="87" spans="2:17" ht="13.95" customHeight="1" x14ac:dyDescent="0.3">
      <c r="B87" s="89">
        <v>43091</v>
      </c>
      <c r="C87" s="91">
        <f t="shared" ref="C87:C150" si="8">IF(B87&gt;$C$17,1,0)</f>
        <v>0</v>
      </c>
      <c r="D87" s="90">
        <v>3.7881506793020572</v>
      </c>
      <c r="E87" s="90">
        <v>2.4997610860712669</v>
      </c>
      <c r="F87" s="90">
        <v>1.0977811416365639</v>
      </c>
      <c r="G87" s="90">
        <v>1.3114488878003741</v>
      </c>
      <c r="H87" s="90">
        <v>2.0293096783162179</v>
      </c>
      <c r="I87" s="90">
        <v>1.133740644189188</v>
      </c>
      <c r="J87" s="90">
        <v>1.630961530216732</v>
      </c>
      <c r="K87" s="29">
        <f t="shared" ref="K87:K150" si="9">D87/D86-1</f>
        <v>3.301149733998554E-2</v>
      </c>
      <c r="L87" s="29">
        <f t="shared" ref="L87:L150" si="10">E87/E86-1</f>
        <v>1.7878202018562606E-2</v>
      </c>
      <c r="M87" s="29">
        <f t="shared" ref="M87:M150" si="11">F87/F86-1</f>
        <v>3.3018952136962376E-2</v>
      </c>
      <c r="N87" s="29">
        <f t="shared" ref="N87:N150" si="12">G87/G86-1</f>
        <v>5.6871403225811967E-2</v>
      </c>
      <c r="O87" s="29">
        <f t="shared" ref="O87:O150" si="13">H87/H86-1</f>
        <v>3.5895597432973103E-2</v>
      </c>
      <c r="P87" s="29">
        <f t="shared" ref="P87:P150" si="14">I87/I86-1</f>
        <v>1.9258261694794276E-2</v>
      </c>
      <c r="Q87" s="29">
        <f t="shared" ref="Q87:Q150" si="15">J87/J86-1</f>
        <v>0.12223951228515362</v>
      </c>
    </row>
    <row r="88" spans="2:17" ht="13.95" customHeight="1" x14ac:dyDescent="0.3">
      <c r="B88" s="89">
        <v>43098</v>
      </c>
      <c r="C88" s="91">
        <f t="shared" si="8"/>
        <v>0</v>
      </c>
      <c r="D88" s="90">
        <v>3.831242338229079</v>
      </c>
      <c r="E88" s="90">
        <v>2.5553485987292408</v>
      </c>
      <c r="F88" s="90">
        <v>1.126868982719649</v>
      </c>
      <c r="G88" s="90">
        <v>1.328471104739088</v>
      </c>
      <c r="H88" s="90">
        <v>2.063277384212002</v>
      </c>
      <c r="I88" s="90">
        <v>1.1686031804562009</v>
      </c>
      <c r="J88" s="90">
        <v>1.633329127023629</v>
      </c>
      <c r="K88" s="29">
        <f t="shared" si="9"/>
        <v>1.1375381439410193E-2</v>
      </c>
      <c r="L88" s="29">
        <f t="shared" si="10"/>
        <v>2.223713016724238E-2</v>
      </c>
      <c r="M88" s="29">
        <f t="shared" si="11"/>
        <v>2.6496940036445871E-2</v>
      </c>
      <c r="N88" s="29">
        <f t="shared" si="12"/>
        <v>1.2979702904978963E-2</v>
      </c>
      <c r="O88" s="29">
        <f t="shared" si="13"/>
        <v>1.6738552158273023E-2</v>
      </c>
      <c r="P88" s="29">
        <f t="shared" si="14"/>
        <v>3.0750010106540326E-2</v>
      </c>
      <c r="Q88" s="29">
        <f t="shared" si="15"/>
        <v>1.4516570520104466E-3</v>
      </c>
    </row>
    <row r="89" spans="2:17" ht="13.95" customHeight="1" x14ac:dyDescent="0.3">
      <c r="B89" s="89">
        <v>43105</v>
      </c>
      <c r="C89" s="91">
        <f t="shared" si="8"/>
        <v>0</v>
      </c>
      <c r="D89" s="90">
        <v>4.029786182524159</v>
      </c>
      <c r="E89" s="90">
        <v>2.5840673266202279</v>
      </c>
      <c r="F89" s="90">
        <v>1.1441555364400151</v>
      </c>
      <c r="G89" s="90">
        <v>1.392963458570788</v>
      </c>
      <c r="H89" s="90">
        <v>2.1362478711583459</v>
      </c>
      <c r="I89" s="90">
        <v>1.1848137559675771</v>
      </c>
      <c r="J89" s="90">
        <v>1.673440011544101</v>
      </c>
      <c r="K89" s="29">
        <f t="shared" si="9"/>
        <v>5.1822314217495613E-2</v>
      </c>
      <c r="L89" s="29">
        <f t="shared" si="10"/>
        <v>1.1238673230442586E-2</v>
      </c>
      <c r="M89" s="29">
        <f t="shared" si="11"/>
        <v>1.5340340346085224E-2</v>
      </c>
      <c r="N89" s="29">
        <f t="shared" si="12"/>
        <v>4.8546297771652425E-2</v>
      </c>
      <c r="O89" s="29">
        <f t="shared" si="13"/>
        <v>3.5366299996649531E-2</v>
      </c>
      <c r="P89" s="29">
        <f t="shared" si="14"/>
        <v>1.3871753716302448E-2</v>
      </c>
      <c r="Q89" s="29">
        <f t="shared" si="15"/>
        <v>2.4557747643651595E-2</v>
      </c>
    </row>
    <row r="90" spans="2:17" ht="13.95" customHeight="1" x14ac:dyDescent="0.3">
      <c r="B90" s="89">
        <v>43112</v>
      </c>
      <c r="C90" s="91">
        <f t="shared" si="8"/>
        <v>0</v>
      </c>
      <c r="D90" s="90">
        <v>4.0384435396476812</v>
      </c>
      <c r="E90" s="90">
        <v>2.5606923896131319</v>
      </c>
      <c r="F90" s="90">
        <v>1.118687413983954</v>
      </c>
      <c r="G90" s="90">
        <v>1.436582428992951</v>
      </c>
      <c r="H90" s="90">
        <v>2.1443846130102542</v>
      </c>
      <c r="I90" s="90">
        <v>1.152086109913981</v>
      </c>
      <c r="J90" s="90">
        <v>1.691934256922311</v>
      </c>
      <c r="K90" s="29">
        <f t="shared" si="9"/>
        <v>2.148341557441924E-3</v>
      </c>
      <c r="L90" s="29">
        <f t="shared" si="10"/>
        <v>-9.0457925636436842E-3</v>
      </c>
      <c r="M90" s="29">
        <f t="shared" si="11"/>
        <v>-2.2259318462334199E-2</v>
      </c>
      <c r="N90" s="29">
        <f t="shared" si="12"/>
        <v>3.1313793735061157E-2</v>
      </c>
      <c r="O90" s="29">
        <f t="shared" si="13"/>
        <v>3.8088940715930164E-3</v>
      </c>
      <c r="P90" s="29">
        <f t="shared" si="14"/>
        <v>-2.7622608100856483E-2</v>
      </c>
      <c r="Q90" s="29">
        <f t="shared" si="15"/>
        <v>1.1051633312594955E-2</v>
      </c>
    </row>
    <row r="91" spans="2:17" ht="13.95" customHeight="1" x14ac:dyDescent="0.3">
      <c r="B91" s="89">
        <v>43119</v>
      </c>
      <c r="C91" s="91">
        <f t="shared" si="8"/>
        <v>0</v>
      </c>
      <c r="D91" s="90">
        <v>4.2083017812632413</v>
      </c>
      <c r="E91" s="90">
        <v>2.5671385175398922</v>
      </c>
      <c r="F91" s="90">
        <v>1.145999902039313</v>
      </c>
      <c r="G91" s="90">
        <v>1.462953022443807</v>
      </c>
      <c r="H91" s="90">
        <v>2.1947716393213228</v>
      </c>
      <c r="I91" s="90">
        <v>1.1864452676166719</v>
      </c>
      <c r="J91" s="90">
        <v>1.6785797513733141</v>
      </c>
      <c r="K91" s="29">
        <f t="shared" si="9"/>
        <v>4.2060323475607841E-2</v>
      </c>
      <c r="L91" s="29">
        <f t="shared" si="10"/>
        <v>2.5173378703773341E-3</v>
      </c>
      <c r="M91" s="29">
        <f t="shared" si="11"/>
        <v>2.4414762974843685E-2</v>
      </c>
      <c r="N91" s="29">
        <f t="shared" si="12"/>
        <v>1.8356477789681636E-2</v>
      </c>
      <c r="O91" s="29">
        <f t="shared" si="13"/>
        <v>2.3497196354312688E-2</v>
      </c>
      <c r="P91" s="29">
        <f t="shared" si="14"/>
        <v>2.9823428480755032E-2</v>
      </c>
      <c r="Q91" s="29">
        <f t="shared" si="15"/>
        <v>-7.8930404620385364E-3</v>
      </c>
    </row>
    <row r="92" spans="2:17" ht="13.95" customHeight="1" x14ac:dyDescent="0.3">
      <c r="B92" s="89">
        <v>43126</v>
      </c>
      <c r="C92" s="91">
        <f t="shared" si="8"/>
        <v>0</v>
      </c>
      <c r="D92" s="90">
        <v>4.6812448701954992</v>
      </c>
      <c r="E92" s="90">
        <v>2.6223575219572761</v>
      </c>
      <c r="F92" s="90">
        <v>1.166997935270963</v>
      </c>
      <c r="G92" s="90">
        <v>1.503393306709619</v>
      </c>
      <c r="H92" s="90">
        <v>2.311348006713303</v>
      </c>
      <c r="I92" s="90">
        <v>1.2144710396940011</v>
      </c>
      <c r="J92" s="90">
        <v>1.654187394674711</v>
      </c>
      <c r="K92" s="29">
        <f t="shared" si="9"/>
        <v>0.11238335877858319</v>
      </c>
      <c r="L92" s="29">
        <f t="shared" si="10"/>
        <v>2.1509943479910421E-2</v>
      </c>
      <c r="M92" s="29">
        <f t="shared" si="11"/>
        <v>1.832289269334475E-2</v>
      </c>
      <c r="N92" s="29">
        <f t="shared" si="12"/>
        <v>2.7642913781508849E-2</v>
      </c>
      <c r="O92" s="29">
        <f t="shared" si="13"/>
        <v>5.3115488328447924E-2</v>
      </c>
      <c r="P92" s="29">
        <f t="shared" si="14"/>
        <v>2.3621630801079707E-2</v>
      </c>
      <c r="Q92" s="29">
        <f t="shared" si="15"/>
        <v>-1.4531544705365773E-2</v>
      </c>
    </row>
    <row r="93" spans="2:17" ht="13.95" customHeight="1" x14ac:dyDescent="0.3">
      <c r="B93" s="89">
        <v>43133</v>
      </c>
      <c r="C93" s="91">
        <f t="shared" si="8"/>
        <v>0</v>
      </c>
      <c r="D93" s="90">
        <v>4.5281704371684546</v>
      </c>
      <c r="E93" s="90">
        <v>2.5906555570348431</v>
      </c>
      <c r="F93" s="90">
        <v>1.153994960118726</v>
      </c>
      <c r="G93" s="90">
        <v>1.496372428936334</v>
      </c>
      <c r="H93" s="90">
        <v>2.2718827895115878</v>
      </c>
      <c r="I93" s="90">
        <v>1.2000298056136089</v>
      </c>
      <c r="J93" s="90">
        <v>1.6446669155385081</v>
      </c>
      <c r="K93" s="29">
        <f t="shared" si="9"/>
        <v>-3.2699514182998102E-2</v>
      </c>
      <c r="L93" s="29">
        <f t="shared" si="10"/>
        <v>-1.2089108619625311E-2</v>
      </c>
      <c r="M93" s="29">
        <f t="shared" si="11"/>
        <v>-1.114224349438786E-2</v>
      </c>
      <c r="N93" s="29">
        <f t="shared" si="12"/>
        <v>-4.6700206406073974E-3</v>
      </c>
      <c r="O93" s="29">
        <f t="shared" si="13"/>
        <v>-1.7074545714054534E-2</v>
      </c>
      <c r="P93" s="29">
        <f t="shared" si="14"/>
        <v>-1.1890966197127817E-2</v>
      </c>
      <c r="Q93" s="29">
        <f t="shared" si="15"/>
        <v>-5.7553812626380818E-3</v>
      </c>
    </row>
    <row r="94" spans="2:17" ht="13.95" customHeight="1" x14ac:dyDescent="0.3">
      <c r="B94" s="89">
        <v>43140</v>
      </c>
      <c r="C94" s="91">
        <f t="shared" si="8"/>
        <v>0</v>
      </c>
      <c r="D94" s="90">
        <v>4.3652097611374803</v>
      </c>
      <c r="E94" s="90">
        <v>2.5020913680982799</v>
      </c>
      <c r="F94" s="90">
        <v>1.0791244790045309</v>
      </c>
      <c r="G94" s="90">
        <v>1.45598286796499</v>
      </c>
      <c r="H94" s="90">
        <v>2.1866633333995482</v>
      </c>
      <c r="I94" s="90">
        <v>1.112619778902419</v>
      </c>
      <c r="J94" s="90">
        <v>1.623847341174107</v>
      </c>
      <c r="K94" s="29">
        <f t="shared" si="9"/>
        <v>-3.5988193971973503E-2</v>
      </c>
      <c r="L94" s="29">
        <f t="shared" si="10"/>
        <v>-3.4186014692717426E-2</v>
      </c>
      <c r="M94" s="29">
        <f t="shared" si="11"/>
        <v>-6.4879383101025256E-2</v>
      </c>
      <c r="N94" s="29">
        <f t="shared" si="12"/>
        <v>-2.6991650066724437E-2</v>
      </c>
      <c r="O94" s="29">
        <f t="shared" si="13"/>
        <v>-3.7510498563334882E-2</v>
      </c>
      <c r="P94" s="29">
        <f t="shared" si="14"/>
        <v>-7.2839879728232804E-2</v>
      </c>
      <c r="Q94" s="29">
        <f t="shared" si="15"/>
        <v>-1.2658839408576705E-2</v>
      </c>
    </row>
    <row r="95" spans="2:17" ht="13.95" customHeight="1" x14ac:dyDescent="0.3">
      <c r="B95" s="89">
        <v>43147</v>
      </c>
      <c r="C95" s="91">
        <f t="shared" si="8"/>
        <v>0</v>
      </c>
      <c r="D95" s="90">
        <v>4.5862481776342916</v>
      </c>
      <c r="E95" s="90">
        <v>2.574318313898857</v>
      </c>
      <c r="F95" s="90">
        <v>1.110179443072997</v>
      </c>
      <c r="G95" s="90">
        <v>1.543294487343184</v>
      </c>
      <c r="H95" s="90">
        <v>2.2855944569330102</v>
      </c>
      <c r="I95" s="90">
        <v>1.143145349549215</v>
      </c>
      <c r="J95" s="90">
        <v>1.684004082973019</v>
      </c>
      <c r="K95" s="29">
        <f t="shared" si="9"/>
        <v>5.0636379141426158E-2</v>
      </c>
      <c r="L95" s="29">
        <f t="shared" si="10"/>
        <v>2.8866630020578876E-2</v>
      </c>
      <c r="M95" s="29">
        <f t="shared" si="11"/>
        <v>2.8777925691310102E-2</v>
      </c>
      <c r="N95" s="29">
        <f t="shared" si="12"/>
        <v>5.9967477158730853E-2</v>
      </c>
      <c r="O95" s="29">
        <f t="shared" si="13"/>
        <v>4.5242960826372913E-2</v>
      </c>
      <c r="P95" s="29">
        <f t="shared" si="14"/>
        <v>2.7435761277683657E-2</v>
      </c>
      <c r="Q95" s="29">
        <f t="shared" si="15"/>
        <v>3.7045811064614131E-2</v>
      </c>
    </row>
    <row r="96" spans="2:17" ht="13.95" customHeight="1" x14ac:dyDescent="0.3">
      <c r="B96" s="89">
        <v>43154</v>
      </c>
      <c r="C96" s="91">
        <f t="shared" si="8"/>
        <v>0</v>
      </c>
      <c r="D96" s="90">
        <v>4.8003328187236143</v>
      </c>
      <c r="E96" s="90">
        <v>2.5843347210174512</v>
      </c>
      <c r="F96" s="90">
        <v>1.141032347348319</v>
      </c>
      <c r="G96" s="90">
        <v>1.6067413875372989</v>
      </c>
      <c r="H96" s="90">
        <v>2.361035266694433</v>
      </c>
      <c r="I96" s="90">
        <v>1.174366521760515</v>
      </c>
      <c r="J96" s="90">
        <v>1.7357298958948291</v>
      </c>
      <c r="K96" s="29">
        <f t="shared" si="9"/>
        <v>4.66796895408641E-2</v>
      </c>
      <c r="L96" s="29">
        <f t="shared" si="10"/>
        <v>3.8908968889026507E-3</v>
      </c>
      <c r="M96" s="29">
        <f t="shared" si="11"/>
        <v>2.7790916565632484E-2</v>
      </c>
      <c r="N96" s="29">
        <f t="shared" si="12"/>
        <v>4.1111337281674709E-2</v>
      </c>
      <c r="O96" s="29">
        <f t="shared" si="13"/>
        <v>3.3007084670066522E-2</v>
      </c>
      <c r="P96" s="29">
        <f t="shared" si="14"/>
        <v>2.731163821259619E-2</v>
      </c>
      <c r="Q96" s="29">
        <f t="shared" si="15"/>
        <v>3.0715966454482047E-2</v>
      </c>
    </row>
    <row r="97" spans="2:17" ht="13.95" customHeight="1" x14ac:dyDescent="0.3">
      <c r="B97" s="89">
        <v>43161</v>
      </c>
      <c r="C97" s="91">
        <f t="shared" si="8"/>
        <v>0</v>
      </c>
      <c r="D97" s="90">
        <v>4.6763910257062973</v>
      </c>
      <c r="E97" s="90">
        <v>2.6075408641835049</v>
      </c>
      <c r="F97" s="90">
        <v>1.1063426655192941</v>
      </c>
      <c r="G97" s="90">
        <v>1.575295977892101</v>
      </c>
      <c r="H97" s="90">
        <v>2.3204394575038161</v>
      </c>
      <c r="I97" s="90">
        <v>1.1405327460850081</v>
      </c>
      <c r="J97" s="90">
        <v>1.6661386117759731</v>
      </c>
      <c r="K97" s="29">
        <f t="shared" si="9"/>
        <v>-2.5819416631672754E-2</v>
      </c>
      <c r="L97" s="29">
        <f t="shared" si="10"/>
        <v>8.9795423856386947E-3</v>
      </c>
      <c r="M97" s="29">
        <f t="shared" si="11"/>
        <v>-3.0402014377279851E-2</v>
      </c>
      <c r="N97" s="29">
        <f t="shared" si="12"/>
        <v>-1.9570921549108333E-2</v>
      </c>
      <c r="O97" s="29">
        <f t="shared" si="13"/>
        <v>-1.7194071500445274E-2</v>
      </c>
      <c r="P97" s="29">
        <f t="shared" si="14"/>
        <v>-2.8810235176651711E-2</v>
      </c>
      <c r="Q97" s="29">
        <f t="shared" si="15"/>
        <v>-4.0093383356158196E-2</v>
      </c>
    </row>
    <row r="98" spans="2:17" ht="13.95" customHeight="1" x14ac:dyDescent="0.3">
      <c r="B98" s="89">
        <v>43168</v>
      </c>
      <c r="C98" s="91">
        <f t="shared" si="8"/>
        <v>0</v>
      </c>
      <c r="D98" s="90">
        <v>4.7522355577105611</v>
      </c>
      <c r="E98" s="90">
        <v>2.6036136388590441</v>
      </c>
      <c r="F98" s="90">
        <v>1.10114209025132</v>
      </c>
      <c r="G98" s="90">
        <v>1.5896685722977471</v>
      </c>
      <c r="H98" s="90">
        <v>2.3372776470192251</v>
      </c>
      <c r="I98" s="90">
        <v>1.131271417986915</v>
      </c>
      <c r="J98" s="90">
        <v>1.6934160942892329</v>
      </c>
      <c r="K98" s="29">
        <f t="shared" si="9"/>
        <v>1.6218603531514608E-2</v>
      </c>
      <c r="L98" s="29">
        <f t="shared" si="10"/>
        <v>-1.5061030791134744E-3</v>
      </c>
      <c r="M98" s="29">
        <f t="shared" si="11"/>
        <v>-4.7006912325242567E-3</v>
      </c>
      <c r="N98" s="29">
        <f t="shared" si="12"/>
        <v>9.1237422093073395E-3</v>
      </c>
      <c r="O98" s="29">
        <f t="shared" si="13"/>
        <v>7.2564657789100373E-3</v>
      </c>
      <c r="P98" s="29">
        <f t="shared" si="14"/>
        <v>-8.120177285468988E-3</v>
      </c>
      <c r="Q98" s="29">
        <f t="shared" si="15"/>
        <v>1.6371676594292506E-2</v>
      </c>
    </row>
    <row r="99" spans="2:17" ht="13.95" customHeight="1" x14ac:dyDescent="0.3">
      <c r="B99" s="89">
        <v>43175</v>
      </c>
      <c r="C99" s="91">
        <f t="shared" si="8"/>
        <v>0</v>
      </c>
      <c r="D99" s="90">
        <v>4.6361144980718043</v>
      </c>
      <c r="E99" s="90">
        <v>2.5574240276779849</v>
      </c>
      <c r="F99" s="90">
        <v>1.09322243925702</v>
      </c>
      <c r="G99" s="90">
        <v>1.5691189059096311</v>
      </c>
      <c r="H99" s="90">
        <v>2.2970970575219041</v>
      </c>
      <c r="I99" s="90">
        <v>1.1276073630820289</v>
      </c>
      <c r="J99" s="90">
        <v>1.640975538966821</v>
      </c>
      <c r="K99" s="29">
        <f t="shared" si="9"/>
        <v>-2.4435038673608855E-2</v>
      </c>
      <c r="L99" s="29">
        <f t="shared" si="10"/>
        <v>-1.7740578130209905E-2</v>
      </c>
      <c r="M99" s="29">
        <f t="shared" si="11"/>
        <v>-7.1922153048318282E-3</v>
      </c>
      <c r="N99" s="29">
        <f t="shared" si="12"/>
        <v>-1.2927013055565983E-2</v>
      </c>
      <c r="O99" s="29">
        <f t="shared" si="13"/>
        <v>-1.7191192303817271E-2</v>
      </c>
      <c r="P99" s="29">
        <f t="shared" si="14"/>
        <v>-3.2388822404849638E-3</v>
      </c>
      <c r="Q99" s="29">
        <f t="shared" si="15"/>
        <v>-3.0967318368627206E-2</v>
      </c>
    </row>
    <row r="100" spans="2:17" ht="13.95" customHeight="1" x14ac:dyDescent="0.3">
      <c r="B100" s="89">
        <v>43182</v>
      </c>
      <c r="C100" s="91">
        <f t="shared" si="8"/>
        <v>0</v>
      </c>
      <c r="D100" s="90">
        <v>4.5982792423949199</v>
      </c>
      <c r="E100" s="90">
        <v>2.5401397992321249</v>
      </c>
      <c r="F100" s="90">
        <v>1.0797377841333009</v>
      </c>
      <c r="G100" s="90">
        <v>1.569176023150235</v>
      </c>
      <c r="H100" s="90">
        <v>2.2830964998588441</v>
      </c>
      <c r="I100" s="90">
        <v>1.1101294085322699</v>
      </c>
      <c r="J100" s="90">
        <v>1.652865378863881</v>
      </c>
      <c r="K100" s="29">
        <f t="shared" si="9"/>
        <v>-8.1609838783360811E-3</v>
      </c>
      <c r="L100" s="29">
        <f t="shared" si="10"/>
        <v>-6.7584523562771448E-3</v>
      </c>
      <c r="M100" s="29">
        <f t="shared" si="11"/>
        <v>-1.233477711350639E-2</v>
      </c>
      <c r="N100" s="29">
        <f t="shared" si="12"/>
        <v>3.640083641132108E-5</v>
      </c>
      <c r="O100" s="29">
        <f t="shared" si="13"/>
        <v>-6.0948916447456369E-3</v>
      </c>
      <c r="P100" s="29">
        <f t="shared" si="14"/>
        <v>-1.5500035847573201E-2</v>
      </c>
      <c r="Q100" s="29">
        <f t="shared" si="15"/>
        <v>7.2455924020329299E-3</v>
      </c>
    </row>
    <row r="101" spans="2:17" ht="13.95" customHeight="1" x14ac:dyDescent="0.3">
      <c r="B101" s="89">
        <v>43189</v>
      </c>
      <c r="C101" s="91">
        <f t="shared" si="8"/>
        <v>0</v>
      </c>
      <c r="D101" s="90">
        <v>4.715320905824548</v>
      </c>
      <c r="E101" s="90">
        <v>2.543442884038341</v>
      </c>
      <c r="F101" s="90">
        <v>1.0873895265149811</v>
      </c>
      <c r="G101" s="90">
        <v>1.577890721767027</v>
      </c>
      <c r="H101" s="90">
        <v>2.3099962360036068</v>
      </c>
      <c r="I101" s="90">
        <v>1.118977995710507</v>
      </c>
      <c r="J101" s="90">
        <v>1.6557431545788679</v>
      </c>
      <c r="K101" s="29">
        <f t="shared" si="9"/>
        <v>2.5453361411924558E-2</v>
      </c>
      <c r="L101" s="29">
        <f t="shared" si="10"/>
        <v>1.3003555187058868E-3</v>
      </c>
      <c r="M101" s="29">
        <f t="shared" si="11"/>
        <v>7.0866672391409757E-3</v>
      </c>
      <c r="N101" s="29">
        <f t="shared" si="12"/>
        <v>5.553678164987863E-3</v>
      </c>
      <c r="O101" s="29">
        <f t="shared" si="13"/>
        <v>1.1782128414819848E-2</v>
      </c>
      <c r="P101" s="29">
        <f t="shared" si="14"/>
        <v>7.9707708941212374E-3</v>
      </c>
      <c r="Q101" s="29">
        <f t="shared" si="15"/>
        <v>1.741082941046912E-3</v>
      </c>
    </row>
    <row r="102" spans="2:17" ht="13.95" customHeight="1" x14ac:dyDescent="0.3">
      <c r="B102" s="89">
        <v>43196</v>
      </c>
      <c r="C102" s="91">
        <f t="shared" si="8"/>
        <v>0</v>
      </c>
      <c r="D102" s="90">
        <v>4.6790295468851459</v>
      </c>
      <c r="E102" s="90">
        <v>2.4874338774133649</v>
      </c>
      <c r="F102" s="90">
        <v>1.075717637616139</v>
      </c>
      <c r="G102" s="90">
        <v>1.5921782328796441</v>
      </c>
      <c r="H102" s="90">
        <v>2.2955180858263891</v>
      </c>
      <c r="I102" s="90">
        <v>1.1076284614638621</v>
      </c>
      <c r="J102" s="90">
        <v>1.6320373310964129</v>
      </c>
      <c r="K102" s="29">
        <f t="shared" si="9"/>
        <v>-7.6964770085050649E-3</v>
      </c>
      <c r="L102" s="29">
        <f t="shared" si="10"/>
        <v>-2.202094136906585E-2</v>
      </c>
      <c r="M102" s="29">
        <f t="shared" si="11"/>
        <v>-1.0733861798586375E-2</v>
      </c>
      <c r="N102" s="29">
        <f t="shared" si="12"/>
        <v>9.0548166077160097E-3</v>
      </c>
      <c r="O102" s="29">
        <f t="shared" si="13"/>
        <v>-6.2676076919785384E-3</v>
      </c>
      <c r="P102" s="29">
        <f t="shared" si="14"/>
        <v>-1.0142768034896443E-2</v>
      </c>
      <c r="Q102" s="29">
        <f t="shared" si="15"/>
        <v>-1.4317331415140022E-2</v>
      </c>
    </row>
    <row r="103" spans="2:17" ht="13.95" customHeight="1" x14ac:dyDescent="0.3">
      <c r="B103" s="89">
        <v>43203</v>
      </c>
      <c r="C103" s="91">
        <f t="shared" si="8"/>
        <v>0</v>
      </c>
      <c r="D103" s="90">
        <v>4.533792309030293</v>
      </c>
      <c r="E103" s="90">
        <v>2.4940217738739481</v>
      </c>
      <c r="F103" s="90">
        <v>1.078502378505203</v>
      </c>
      <c r="G103" s="90">
        <v>1.615494372585609</v>
      </c>
      <c r="H103" s="90">
        <v>2.2827528928232179</v>
      </c>
      <c r="I103" s="90">
        <v>1.1032011218159821</v>
      </c>
      <c r="J103" s="90">
        <v>1.7016995597562119</v>
      </c>
      <c r="K103" s="29">
        <f t="shared" si="9"/>
        <v>-3.1040034348904233E-2</v>
      </c>
      <c r="L103" s="29">
        <f t="shared" si="10"/>
        <v>2.6484709886775981E-3</v>
      </c>
      <c r="M103" s="29">
        <f t="shared" si="11"/>
        <v>2.5887284838381763E-3</v>
      </c>
      <c r="N103" s="29">
        <f t="shared" si="12"/>
        <v>1.4644176904613726E-2</v>
      </c>
      <c r="O103" s="29">
        <f t="shared" si="13"/>
        <v>-5.5609202480213504E-3</v>
      </c>
      <c r="P103" s="29">
        <f t="shared" si="14"/>
        <v>-3.9971342394260478E-3</v>
      </c>
      <c r="Q103" s="29">
        <f t="shared" si="15"/>
        <v>4.2684212752045037E-2</v>
      </c>
    </row>
    <row r="104" spans="2:17" ht="13.95" customHeight="1" x14ac:dyDescent="0.3">
      <c r="B104" s="89">
        <v>43210</v>
      </c>
      <c r="C104" s="91">
        <f t="shared" si="8"/>
        <v>0</v>
      </c>
      <c r="D104" s="90">
        <v>4.5372791258088743</v>
      </c>
      <c r="E104" s="90">
        <v>2.5177463658973238</v>
      </c>
      <c r="F104" s="90">
        <v>1.08084930461867</v>
      </c>
      <c r="G104" s="90">
        <v>1.6789600811631571</v>
      </c>
      <c r="H104" s="90">
        <v>2.315916309976747</v>
      </c>
      <c r="I104" s="90">
        <v>1.1008334966669151</v>
      </c>
      <c r="J104" s="90">
        <v>1.7481768508045801</v>
      </c>
      <c r="K104" s="29">
        <f t="shared" si="9"/>
        <v>7.6907289547345492E-4</v>
      </c>
      <c r="L104" s="29">
        <f t="shared" si="10"/>
        <v>9.5125841610133044E-3</v>
      </c>
      <c r="M104" s="29">
        <f t="shared" si="11"/>
        <v>2.1760972995903405E-3</v>
      </c>
      <c r="N104" s="29">
        <f t="shared" si="12"/>
        <v>3.9285626526801787E-2</v>
      </c>
      <c r="O104" s="29">
        <f t="shared" si="13"/>
        <v>1.4527817381282171E-2</v>
      </c>
      <c r="P104" s="29">
        <f t="shared" si="14"/>
        <v>-2.1461409911999185E-3</v>
      </c>
      <c r="Q104" s="29">
        <f t="shared" si="15"/>
        <v>2.7312277764840243E-2</v>
      </c>
    </row>
    <row r="105" spans="2:17" ht="13.95" customHeight="1" x14ac:dyDescent="0.3">
      <c r="B105" s="89">
        <v>43217</v>
      </c>
      <c r="C105" s="91">
        <f t="shared" si="8"/>
        <v>0</v>
      </c>
      <c r="D105" s="90">
        <v>4.6081807160311534</v>
      </c>
      <c r="E105" s="90">
        <v>2.54215841713666</v>
      </c>
      <c r="F105" s="90">
        <v>1.081026710359837</v>
      </c>
      <c r="G105" s="90">
        <v>1.696337052339544</v>
      </c>
      <c r="H105" s="90">
        <v>2.3403130385107529</v>
      </c>
      <c r="I105" s="90">
        <v>1.1036020319069759</v>
      </c>
      <c r="J105" s="90">
        <v>1.7252493724463429</v>
      </c>
      <c r="K105" s="29">
        <f t="shared" si="9"/>
        <v>1.5626455471733802E-2</v>
      </c>
      <c r="L105" s="29">
        <f t="shared" si="10"/>
        <v>9.6959930396467442E-3</v>
      </c>
      <c r="M105" s="29">
        <f t="shared" si="11"/>
        <v>1.6413550011917799E-4</v>
      </c>
      <c r="N105" s="29">
        <f t="shared" si="12"/>
        <v>1.0349841768928947E-2</v>
      </c>
      <c r="O105" s="29">
        <f t="shared" si="13"/>
        <v>1.0534373987914458E-2</v>
      </c>
      <c r="P105" s="29">
        <f t="shared" si="14"/>
        <v>2.5149445837571172E-3</v>
      </c>
      <c r="Q105" s="29">
        <f t="shared" si="15"/>
        <v>-1.3115079488488224E-2</v>
      </c>
    </row>
    <row r="106" spans="2:17" ht="13.95" customHeight="1" x14ac:dyDescent="0.3">
      <c r="B106" s="89">
        <v>43224</v>
      </c>
      <c r="C106" s="91">
        <f t="shared" si="8"/>
        <v>0</v>
      </c>
      <c r="D106" s="90">
        <v>4.2748573891969812</v>
      </c>
      <c r="E106" s="90">
        <v>2.4609950789807762</v>
      </c>
      <c r="F106" s="90">
        <v>1.0408398537367121</v>
      </c>
      <c r="G106" s="90">
        <v>1.686518296097492</v>
      </c>
      <c r="H106" s="90">
        <v>2.2514407818999671</v>
      </c>
      <c r="I106" s="90">
        <v>1.0616879535826089</v>
      </c>
      <c r="J106" s="90">
        <v>1.668337756636856</v>
      </c>
      <c r="K106" s="29">
        <f t="shared" si="9"/>
        <v>-7.2332954667899907E-2</v>
      </c>
      <c r="L106" s="29">
        <f t="shared" si="10"/>
        <v>-3.1926939567873736E-2</v>
      </c>
      <c r="M106" s="29">
        <f t="shared" si="11"/>
        <v>-3.717471200110134E-2</v>
      </c>
      <c r="N106" s="29">
        <f t="shared" si="12"/>
        <v>-5.7882106793046839E-3</v>
      </c>
      <c r="O106" s="29">
        <f t="shared" si="13"/>
        <v>-3.7974516719925355E-2</v>
      </c>
      <c r="P106" s="29">
        <f t="shared" si="14"/>
        <v>-3.7979341386261578E-2</v>
      </c>
      <c r="Q106" s="29">
        <f t="shared" si="15"/>
        <v>-3.2987472256713946E-2</v>
      </c>
    </row>
    <row r="107" spans="2:17" ht="13.95" customHeight="1" x14ac:dyDescent="0.3">
      <c r="B107" s="89">
        <v>43231</v>
      </c>
      <c r="C107" s="91">
        <f t="shared" si="8"/>
        <v>0</v>
      </c>
      <c r="D107" s="90">
        <v>4.314693545750683</v>
      </c>
      <c r="E107" s="90">
        <v>2.4297494787360301</v>
      </c>
      <c r="F107" s="90">
        <v>1.02700815212457</v>
      </c>
      <c r="G107" s="90">
        <v>1.83903054441765</v>
      </c>
      <c r="H107" s="90">
        <v>2.3142203272841568</v>
      </c>
      <c r="I107" s="90">
        <v>1.0403063589116801</v>
      </c>
      <c r="J107" s="90">
        <v>1.709836683050221</v>
      </c>
      <c r="K107" s="29">
        <f t="shared" si="9"/>
        <v>9.3187100590470529E-3</v>
      </c>
      <c r="L107" s="29">
        <f t="shared" si="10"/>
        <v>-1.269632780317731E-2</v>
      </c>
      <c r="M107" s="29">
        <f t="shared" si="11"/>
        <v>-1.3288981549356538E-2</v>
      </c>
      <c r="N107" s="29">
        <f t="shared" si="12"/>
        <v>9.0430236465897096E-2</v>
      </c>
      <c r="O107" s="29">
        <f t="shared" si="13"/>
        <v>2.788416461534049E-2</v>
      </c>
      <c r="P107" s="29">
        <f t="shared" si="14"/>
        <v>-2.0139245810200435E-2</v>
      </c>
      <c r="Q107" s="29">
        <f t="shared" si="15"/>
        <v>2.4874415416348938E-2</v>
      </c>
    </row>
    <row r="108" spans="2:17" ht="13.95" customHeight="1" x14ac:dyDescent="0.3">
      <c r="B108" s="89">
        <v>43238</v>
      </c>
      <c r="C108" s="91">
        <f t="shared" si="8"/>
        <v>0</v>
      </c>
      <c r="D108" s="90">
        <v>4.0660895187185426</v>
      </c>
      <c r="E108" s="90">
        <v>2.3081322533679209</v>
      </c>
      <c r="F108" s="90">
        <v>0.98508850031920125</v>
      </c>
      <c r="G108" s="90">
        <v>1.893604401702857</v>
      </c>
      <c r="H108" s="90">
        <v>2.2595288489268008</v>
      </c>
      <c r="I108" s="90">
        <v>0.98495016262389001</v>
      </c>
      <c r="J108" s="90">
        <v>1.752922979983331</v>
      </c>
      <c r="K108" s="29">
        <f t="shared" si="9"/>
        <v>-5.761800331728717E-2</v>
      </c>
      <c r="L108" s="29">
        <f t="shared" si="10"/>
        <v>-5.0053401156145205E-2</v>
      </c>
      <c r="M108" s="29">
        <f t="shared" si="11"/>
        <v>-4.0817253221066996E-2</v>
      </c>
      <c r="N108" s="29">
        <f t="shared" si="12"/>
        <v>2.9675340331276834E-2</v>
      </c>
      <c r="O108" s="29">
        <f t="shared" si="13"/>
        <v>-2.3632787990216508E-2</v>
      </c>
      <c r="P108" s="29">
        <f t="shared" si="14"/>
        <v>-5.3211437009479723E-2</v>
      </c>
      <c r="Q108" s="29">
        <f t="shared" si="15"/>
        <v>2.5199071560593422E-2</v>
      </c>
    </row>
    <row r="109" spans="2:17" ht="13.95" customHeight="1" x14ac:dyDescent="0.3">
      <c r="B109" s="89">
        <v>43245</v>
      </c>
      <c r="C109" s="91">
        <f t="shared" si="8"/>
        <v>0</v>
      </c>
      <c r="D109" s="90">
        <v>3.9745385528889412</v>
      </c>
      <c r="E109" s="90">
        <v>2.2790916488746031</v>
      </c>
      <c r="F109" s="90">
        <v>1.0034582338326969</v>
      </c>
      <c r="G109" s="90">
        <v>1.6565500591061479</v>
      </c>
      <c r="H109" s="90">
        <v>2.1409998375822341</v>
      </c>
      <c r="I109" s="90">
        <v>1.0024807909658009</v>
      </c>
      <c r="J109" s="90">
        <v>1.792934422866592</v>
      </c>
      <c r="K109" s="29">
        <f t="shared" si="9"/>
        <v>-2.2515728049798178E-2</v>
      </c>
      <c r="L109" s="29">
        <f t="shared" si="10"/>
        <v>-1.2581863301352469E-2</v>
      </c>
      <c r="M109" s="29">
        <f t="shared" si="11"/>
        <v>1.8647800179926177E-2</v>
      </c>
      <c r="N109" s="29">
        <f t="shared" si="12"/>
        <v>-0.12518683542535802</v>
      </c>
      <c r="O109" s="29">
        <f t="shared" si="13"/>
        <v>-5.2457401197096409E-2</v>
      </c>
      <c r="P109" s="29">
        <f t="shared" si="14"/>
        <v>1.7798492763541951E-2</v>
      </c>
      <c r="Q109" s="29">
        <f t="shared" si="15"/>
        <v>2.2825556707369632E-2</v>
      </c>
    </row>
    <row r="110" spans="2:17" ht="13.95" customHeight="1" x14ac:dyDescent="0.3">
      <c r="B110" s="89">
        <v>43252</v>
      </c>
      <c r="C110" s="91">
        <f t="shared" si="8"/>
        <v>0</v>
      </c>
      <c r="D110" s="90">
        <v>3.9312035733480601</v>
      </c>
      <c r="E110" s="90">
        <v>2.28311585884228</v>
      </c>
      <c r="F110" s="90">
        <v>0.98905543282764319</v>
      </c>
      <c r="G110" s="90">
        <v>1.58670510432051</v>
      </c>
      <c r="H110" s="90">
        <v>2.10110575816207</v>
      </c>
      <c r="I110" s="90">
        <v>0.9957957474015311</v>
      </c>
      <c r="J110" s="90">
        <v>1.696264863516489</v>
      </c>
      <c r="K110" s="29">
        <f t="shared" si="9"/>
        <v>-1.090314736270015E-2</v>
      </c>
      <c r="L110" s="29">
        <f t="shared" si="10"/>
        <v>1.7657078291097861E-3</v>
      </c>
      <c r="M110" s="29">
        <f t="shared" si="11"/>
        <v>-1.4353164406297636E-2</v>
      </c>
      <c r="N110" s="29">
        <f t="shared" si="12"/>
        <v>-4.2162900180224727E-2</v>
      </c>
      <c r="O110" s="29">
        <f t="shared" si="13"/>
        <v>-1.8633387410816105E-2</v>
      </c>
      <c r="P110" s="29">
        <f t="shared" si="14"/>
        <v>-6.668500408700484E-3</v>
      </c>
      <c r="Q110" s="29">
        <f t="shared" si="15"/>
        <v>-5.3916952074323565E-2</v>
      </c>
    </row>
    <row r="111" spans="2:17" ht="13.95" customHeight="1" x14ac:dyDescent="0.3">
      <c r="B111" s="89">
        <v>43259</v>
      </c>
      <c r="C111" s="91">
        <f t="shared" si="8"/>
        <v>0</v>
      </c>
      <c r="D111" s="90">
        <v>3.6376222553609741</v>
      </c>
      <c r="E111" s="90">
        <v>2.1614603103208632</v>
      </c>
      <c r="F111" s="90">
        <v>0.93605539940738403</v>
      </c>
      <c r="G111" s="90">
        <v>1.5251442565143281</v>
      </c>
      <c r="H111" s="90">
        <v>1.984038458948171</v>
      </c>
      <c r="I111" s="90">
        <v>0.93631605439246068</v>
      </c>
      <c r="J111" s="90">
        <v>1.666160810338674</v>
      </c>
      <c r="K111" s="29">
        <f t="shared" si="9"/>
        <v>-7.4679754561032263E-2</v>
      </c>
      <c r="L111" s="29">
        <f t="shared" si="10"/>
        <v>-5.3284877353138693E-2</v>
      </c>
      <c r="M111" s="29">
        <f t="shared" si="11"/>
        <v>-5.3586514629150428E-2</v>
      </c>
      <c r="N111" s="29">
        <f t="shared" si="12"/>
        <v>-3.8797913763909397E-2</v>
      </c>
      <c r="O111" s="29">
        <f t="shared" si="13"/>
        <v>-5.5716995091338428E-2</v>
      </c>
      <c r="P111" s="29">
        <f t="shared" si="14"/>
        <v>-5.9730816449336199E-2</v>
      </c>
      <c r="Q111" s="29">
        <f t="shared" si="15"/>
        <v>-1.7747259773692958E-2</v>
      </c>
    </row>
    <row r="112" spans="2:17" ht="13.95" customHeight="1" x14ac:dyDescent="0.3">
      <c r="B112" s="89">
        <v>43266</v>
      </c>
      <c r="C112" s="91">
        <f t="shared" si="8"/>
        <v>0</v>
      </c>
      <c r="D112" s="90">
        <v>3.414269619015847</v>
      </c>
      <c r="E112" s="90">
        <v>2.1461742761407132</v>
      </c>
      <c r="F112" s="90">
        <v>0.91168826011775406</v>
      </c>
      <c r="G112" s="90">
        <v>1.4993473287574941</v>
      </c>
      <c r="H112" s="90">
        <v>1.924027788579092</v>
      </c>
      <c r="I112" s="90">
        <v>0.90448185804952907</v>
      </c>
      <c r="J112" s="90">
        <v>1.6969127266734261</v>
      </c>
      <c r="K112" s="29">
        <f t="shared" si="9"/>
        <v>-6.1400722962907772E-2</v>
      </c>
      <c r="L112" s="29">
        <f t="shared" si="10"/>
        <v>-7.0720864533851957E-3</v>
      </c>
      <c r="M112" s="29">
        <f t="shared" si="11"/>
        <v>-2.6031727721518183E-2</v>
      </c>
      <c r="N112" s="29">
        <f t="shared" si="12"/>
        <v>-1.6914418191359859E-2</v>
      </c>
      <c r="O112" s="29">
        <f t="shared" si="13"/>
        <v>-3.0246727374878324E-2</v>
      </c>
      <c r="P112" s="29">
        <f t="shared" si="14"/>
        <v>-3.3999413118669164E-2</v>
      </c>
      <c r="Q112" s="29">
        <f t="shared" si="15"/>
        <v>1.8456751679630123E-2</v>
      </c>
    </row>
    <row r="113" spans="2:17" ht="13.95" customHeight="1" x14ac:dyDescent="0.3">
      <c r="B113" s="89">
        <v>43273</v>
      </c>
      <c r="C113" s="91">
        <f t="shared" si="8"/>
        <v>0</v>
      </c>
      <c r="D113" s="90">
        <v>3.4736579544923969</v>
      </c>
      <c r="E113" s="90">
        <v>2.1313217245896059</v>
      </c>
      <c r="F113" s="90">
        <v>0.90995598327173566</v>
      </c>
      <c r="G113" s="90">
        <v>1.4743405427529901</v>
      </c>
      <c r="H113" s="90">
        <v>1.920480752916522</v>
      </c>
      <c r="I113" s="90">
        <v>0.90285202406230058</v>
      </c>
      <c r="J113" s="90">
        <v>1.6928066458684781</v>
      </c>
      <c r="K113" s="29">
        <f t="shared" si="9"/>
        <v>1.7394155149840884E-2</v>
      </c>
      <c r="L113" s="29">
        <f t="shared" si="10"/>
        <v>-6.920477855048901E-3</v>
      </c>
      <c r="M113" s="29">
        <f t="shared" si="11"/>
        <v>-1.9000758502634163E-3</v>
      </c>
      <c r="N113" s="29">
        <f t="shared" si="12"/>
        <v>-1.667844769845761E-2</v>
      </c>
      <c r="O113" s="29">
        <f t="shared" si="13"/>
        <v>-1.8435470026082479E-3</v>
      </c>
      <c r="P113" s="29">
        <f t="shared" si="14"/>
        <v>-1.8019532097007795E-3</v>
      </c>
      <c r="Q113" s="29">
        <f t="shared" si="15"/>
        <v>-2.4197359949073016E-3</v>
      </c>
    </row>
    <row r="114" spans="2:17" ht="13.95" customHeight="1" x14ac:dyDescent="0.3">
      <c r="B114" s="89">
        <v>43280</v>
      </c>
      <c r="C114" s="91">
        <f t="shared" si="8"/>
        <v>0</v>
      </c>
      <c r="D114" s="90">
        <v>3.581910167859939</v>
      </c>
      <c r="E114" s="90">
        <v>2.1247615623468321</v>
      </c>
      <c r="F114" s="90">
        <v>0.9421389274097286</v>
      </c>
      <c r="G114" s="90">
        <v>1.54018245465476</v>
      </c>
      <c r="H114" s="90">
        <v>1.9754636534884189</v>
      </c>
      <c r="I114" s="90">
        <v>0.93744728441251579</v>
      </c>
      <c r="J114" s="90">
        <v>1.726212040365849</v>
      </c>
      <c r="K114" s="29">
        <f t="shared" si="9"/>
        <v>3.1163751522380601E-2</v>
      </c>
      <c r="L114" s="29">
        <f t="shared" si="10"/>
        <v>-3.0779784051780945E-3</v>
      </c>
      <c r="M114" s="29">
        <f t="shared" si="11"/>
        <v>3.5367583410221171E-2</v>
      </c>
      <c r="N114" s="29">
        <f t="shared" si="12"/>
        <v>4.4658550716393686E-2</v>
      </c>
      <c r="O114" s="29">
        <f t="shared" si="13"/>
        <v>2.8629758714528997E-2</v>
      </c>
      <c r="P114" s="29">
        <f t="shared" si="14"/>
        <v>3.8317752442484476E-2</v>
      </c>
      <c r="Q114" s="29">
        <f t="shared" si="15"/>
        <v>1.9733733075127713E-2</v>
      </c>
    </row>
    <row r="115" spans="2:17" ht="13.95" customHeight="1" x14ac:dyDescent="0.3">
      <c r="B115" s="89">
        <v>43287</v>
      </c>
      <c r="C115" s="91">
        <f t="shared" si="8"/>
        <v>0</v>
      </c>
      <c r="D115" s="90">
        <v>3.748080723571992</v>
      </c>
      <c r="E115" s="90">
        <v>2.2000587833551069</v>
      </c>
      <c r="F115" s="90">
        <v>0.94955404350600148</v>
      </c>
      <c r="G115" s="90">
        <v>1.581338456672867</v>
      </c>
      <c r="H115" s="90">
        <v>2.038076564586456</v>
      </c>
      <c r="I115" s="90">
        <v>0.95281300728995943</v>
      </c>
      <c r="J115" s="90">
        <v>1.662577111516593</v>
      </c>
      <c r="K115" s="29">
        <f t="shared" si="9"/>
        <v>4.6391603341446652E-2</v>
      </c>
      <c r="L115" s="29">
        <f t="shared" si="10"/>
        <v>3.5437962707263848E-2</v>
      </c>
      <c r="M115" s="29">
        <f t="shared" si="11"/>
        <v>7.8705123846858349E-3</v>
      </c>
      <c r="N115" s="29">
        <f t="shared" si="12"/>
        <v>2.6721510749408095E-2</v>
      </c>
      <c r="O115" s="29">
        <f t="shared" si="13"/>
        <v>3.169529896815404E-2</v>
      </c>
      <c r="P115" s="29">
        <f t="shared" si="14"/>
        <v>1.6391026069346504E-2</v>
      </c>
      <c r="Q115" s="29">
        <f t="shared" si="15"/>
        <v>-3.6863912057854331E-2</v>
      </c>
    </row>
    <row r="116" spans="2:17" ht="13.95" customHeight="1" x14ac:dyDescent="0.3">
      <c r="B116" s="89">
        <v>43294</v>
      </c>
      <c r="C116" s="91">
        <f t="shared" si="8"/>
        <v>0</v>
      </c>
      <c r="D116" s="90">
        <v>3.93293423248504</v>
      </c>
      <c r="E116" s="90">
        <v>2.2181402931039771</v>
      </c>
      <c r="F116" s="90">
        <v>0.97442541044520936</v>
      </c>
      <c r="G116" s="90">
        <v>1.581384270763408</v>
      </c>
      <c r="H116" s="90">
        <v>2.081008402092213</v>
      </c>
      <c r="I116" s="90">
        <v>0.98781630308072355</v>
      </c>
      <c r="J116" s="90">
        <v>1.608997216837438</v>
      </c>
      <c r="K116" s="29">
        <f t="shared" si="9"/>
        <v>4.9319511116846737E-2</v>
      </c>
      <c r="L116" s="29">
        <f t="shared" si="10"/>
        <v>8.2186484677904126E-3</v>
      </c>
      <c r="M116" s="29">
        <f t="shared" si="11"/>
        <v>2.6192681827119868E-2</v>
      </c>
      <c r="N116" s="29">
        <f t="shared" si="12"/>
        <v>2.8971717185299894E-5</v>
      </c>
      <c r="O116" s="29">
        <f t="shared" si="13"/>
        <v>2.1064879628046818E-2</v>
      </c>
      <c r="P116" s="29">
        <f t="shared" si="14"/>
        <v>3.6736794652208138E-2</v>
      </c>
      <c r="Q116" s="29">
        <f t="shared" si="15"/>
        <v>-3.2227013296411755E-2</v>
      </c>
    </row>
    <row r="117" spans="2:17" ht="13.95" customHeight="1" x14ac:dyDescent="0.3">
      <c r="B117" s="89">
        <v>43301</v>
      </c>
      <c r="C117" s="91">
        <f t="shared" si="8"/>
        <v>0</v>
      </c>
      <c r="D117" s="90">
        <v>4.1065567057324959</v>
      </c>
      <c r="E117" s="90">
        <v>2.2727558707908582</v>
      </c>
      <c r="F117" s="90">
        <v>1.0108856940656921</v>
      </c>
      <c r="G117" s="90">
        <v>1.5870017145011019</v>
      </c>
      <c r="H117" s="90">
        <v>2.135267945105547</v>
      </c>
      <c r="I117" s="90">
        <v>1.0246046384319729</v>
      </c>
      <c r="J117" s="90">
        <v>1.6708739042658161</v>
      </c>
      <c r="K117" s="29">
        <f t="shared" si="9"/>
        <v>4.4145786068167103E-2</v>
      </c>
      <c r="L117" s="29">
        <f t="shared" si="10"/>
        <v>2.462223776227157E-2</v>
      </c>
      <c r="M117" s="29">
        <f t="shared" si="11"/>
        <v>3.7417213497977553E-2</v>
      </c>
      <c r="N117" s="29">
        <f t="shared" si="12"/>
        <v>3.5522319537060199E-3</v>
      </c>
      <c r="O117" s="29">
        <f t="shared" si="13"/>
        <v>2.607367801051752E-2</v>
      </c>
      <c r="P117" s="29">
        <f t="shared" si="14"/>
        <v>3.7242081585935338E-2</v>
      </c>
      <c r="Q117" s="29">
        <f t="shared" si="15"/>
        <v>3.8456677725024146E-2</v>
      </c>
    </row>
    <row r="118" spans="2:17" ht="13.95" customHeight="1" x14ac:dyDescent="0.3">
      <c r="B118" s="89">
        <v>43308</v>
      </c>
      <c r="C118" s="91">
        <f t="shared" si="8"/>
        <v>0</v>
      </c>
      <c r="D118" s="90">
        <v>4.1208320964986758</v>
      </c>
      <c r="E118" s="90">
        <v>2.293402509619789</v>
      </c>
      <c r="F118" s="90">
        <v>0.98260202422850929</v>
      </c>
      <c r="G118" s="90">
        <v>1.67575417348323</v>
      </c>
      <c r="H118" s="90">
        <v>2.1699464938824322</v>
      </c>
      <c r="I118" s="90">
        <v>0.99704056151750742</v>
      </c>
      <c r="J118" s="90">
        <v>1.6134566607074261</v>
      </c>
      <c r="K118" s="29">
        <f t="shared" si="9"/>
        <v>3.476243429501924E-3</v>
      </c>
      <c r="L118" s="29">
        <f t="shared" si="10"/>
        <v>9.0844067742947843E-3</v>
      </c>
      <c r="M118" s="29">
        <f t="shared" si="11"/>
        <v>-2.7979097936808639E-2</v>
      </c>
      <c r="N118" s="29">
        <f t="shared" si="12"/>
        <v>5.592461442930996E-2</v>
      </c>
      <c r="O118" s="29">
        <f t="shared" si="13"/>
        <v>1.6240841743714318E-2</v>
      </c>
      <c r="P118" s="29">
        <f t="shared" si="14"/>
        <v>-2.6902159018769245E-2</v>
      </c>
      <c r="Q118" s="29">
        <f t="shared" si="15"/>
        <v>-3.4363600635452629E-2</v>
      </c>
    </row>
    <row r="119" spans="2:17" ht="13.95" customHeight="1" x14ac:dyDescent="0.3">
      <c r="B119" s="89">
        <v>43315</v>
      </c>
      <c r="C119" s="91">
        <f t="shared" si="8"/>
        <v>0</v>
      </c>
      <c r="D119" s="90">
        <v>4.2455122763065161</v>
      </c>
      <c r="E119" s="90">
        <v>2.296757548224575</v>
      </c>
      <c r="F119" s="90">
        <v>0.99029195174348017</v>
      </c>
      <c r="G119" s="90">
        <v>1.7214339362216851</v>
      </c>
      <c r="H119" s="90">
        <v>2.21347781439925</v>
      </c>
      <c r="I119" s="90">
        <v>1.0103641311453411</v>
      </c>
      <c r="J119" s="90">
        <v>1.572386346045773</v>
      </c>
      <c r="K119" s="29">
        <f t="shared" si="9"/>
        <v>3.0256068892924981E-2</v>
      </c>
      <c r="L119" s="29">
        <f t="shared" si="10"/>
        <v>1.4629087526996098E-3</v>
      </c>
      <c r="M119" s="29">
        <f t="shared" si="11"/>
        <v>7.8260855619636249E-3</v>
      </c>
      <c r="N119" s="29">
        <f t="shared" si="12"/>
        <v>2.7259226598555841E-2</v>
      </c>
      <c r="O119" s="29">
        <f t="shared" si="13"/>
        <v>2.0061011015498398E-2</v>
      </c>
      <c r="P119" s="29">
        <f t="shared" si="14"/>
        <v>1.3363116950382725E-2</v>
      </c>
      <c r="Q119" s="29">
        <f t="shared" si="15"/>
        <v>-2.545486077304715E-2</v>
      </c>
    </row>
    <row r="120" spans="2:17" ht="13.95" customHeight="1" x14ac:dyDescent="0.3">
      <c r="B120" s="89">
        <v>43322</v>
      </c>
      <c r="C120" s="91">
        <f t="shared" si="8"/>
        <v>0</v>
      </c>
      <c r="D120" s="90">
        <v>3.880921997132734</v>
      </c>
      <c r="E120" s="90">
        <v>2.1718278318866391</v>
      </c>
      <c r="F120" s="90">
        <v>0.92219790962126869</v>
      </c>
      <c r="G120" s="90">
        <v>1.661543013443312</v>
      </c>
      <c r="H120" s="90">
        <v>2.0800806624468899</v>
      </c>
      <c r="I120" s="90">
        <v>0.9351567864100222</v>
      </c>
      <c r="J120" s="90">
        <v>1.519938162330601</v>
      </c>
      <c r="K120" s="29">
        <f t="shared" si="9"/>
        <v>-8.5876628177122161E-2</v>
      </c>
      <c r="L120" s="29">
        <f t="shared" si="10"/>
        <v>-5.4393950477928499E-2</v>
      </c>
      <c r="M120" s="29">
        <f t="shared" si="11"/>
        <v>-6.8761582887073902E-2</v>
      </c>
      <c r="N120" s="29">
        <f t="shared" si="12"/>
        <v>-3.4791298996826758E-2</v>
      </c>
      <c r="O120" s="29">
        <f t="shared" si="13"/>
        <v>-6.0265863558503607E-2</v>
      </c>
      <c r="P120" s="29">
        <f t="shared" si="14"/>
        <v>-7.4435881497559087E-2</v>
      </c>
      <c r="Q120" s="29">
        <f t="shared" si="15"/>
        <v>-3.3355786793155762E-2</v>
      </c>
    </row>
    <row r="121" spans="2:17" ht="13.95" customHeight="1" x14ac:dyDescent="0.3">
      <c r="B121" s="89">
        <v>43329</v>
      </c>
      <c r="C121" s="91">
        <f t="shared" si="8"/>
        <v>0</v>
      </c>
      <c r="D121" s="90">
        <v>3.8686834063925821</v>
      </c>
      <c r="E121" s="90">
        <v>2.2063045919997402</v>
      </c>
      <c r="F121" s="90">
        <v>0.91674311474325421</v>
      </c>
      <c r="G121" s="90">
        <v>1.623994603102908</v>
      </c>
      <c r="H121" s="90">
        <v>2.0669797082054648</v>
      </c>
      <c r="I121" s="90">
        <v>0.92336774487474116</v>
      </c>
      <c r="J121" s="90">
        <v>1.5717123834750459</v>
      </c>
      <c r="K121" s="29">
        <f t="shared" si="9"/>
        <v>-3.153526597337919E-3</v>
      </c>
      <c r="L121" s="29">
        <f t="shared" si="10"/>
        <v>1.5874536465052769E-2</v>
      </c>
      <c r="M121" s="29">
        <f t="shared" si="11"/>
        <v>-5.914993756876652E-3</v>
      </c>
      <c r="N121" s="29">
        <f t="shared" si="12"/>
        <v>-2.2598518387188959E-2</v>
      </c>
      <c r="O121" s="29">
        <f t="shared" si="13"/>
        <v>-6.298291445108628E-3</v>
      </c>
      <c r="P121" s="29">
        <f t="shared" si="14"/>
        <v>-1.260648664117392E-2</v>
      </c>
      <c r="Q121" s="29">
        <f t="shared" si="15"/>
        <v>3.4063373384254581E-2</v>
      </c>
    </row>
    <row r="122" spans="2:17" ht="13.95" customHeight="1" x14ac:dyDescent="0.3">
      <c r="B122" s="89">
        <v>43336</v>
      </c>
      <c r="C122" s="91">
        <f t="shared" si="8"/>
        <v>0</v>
      </c>
      <c r="D122" s="90">
        <v>3.768039563676238</v>
      </c>
      <c r="E122" s="90">
        <v>2.1997348230083911</v>
      </c>
      <c r="F122" s="90">
        <v>0.9043704707653869</v>
      </c>
      <c r="G122" s="90">
        <v>1.6915989374863021</v>
      </c>
      <c r="H122" s="90">
        <v>2.0732429398454921</v>
      </c>
      <c r="I122" s="90">
        <v>0.90714261828989196</v>
      </c>
      <c r="J122" s="90">
        <v>1.587041572981069</v>
      </c>
      <c r="K122" s="29">
        <f t="shared" si="9"/>
        <v>-2.6015011347281902E-2</v>
      </c>
      <c r="L122" s="29">
        <f t="shared" si="10"/>
        <v>-2.9777252946722177E-3</v>
      </c>
      <c r="M122" s="29">
        <f t="shared" si="11"/>
        <v>-1.3496304230583123E-2</v>
      </c>
      <c r="N122" s="29">
        <f t="shared" si="12"/>
        <v>4.1628423058934327E-2</v>
      </c>
      <c r="O122" s="29">
        <f t="shared" si="13"/>
        <v>3.0301369748158002E-3</v>
      </c>
      <c r="P122" s="29">
        <f t="shared" si="14"/>
        <v>-1.7571684385672581E-2</v>
      </c>
      <c r="Q122" s="29">
        <f t="shared" si="15"/>
        <v>9.7531772779764214E-3</v>
      </c>
    </row>
    <row r="123" spans="2:17" ht="13.95" customHeight="1" x14ac:dyDescent="0.3">
      <c r="B123" s="89">
        <v>43343</v>
      </c>
      <c r="C123" s="91">
        <f t="shared" si="8"/>
        <v>0</v>
      </c>
      <c r="D123" s="90">
        <v>3.8194465541139211</v>
      </c>
      <c r="E123" s="90">
        <v>2.1868184479827999</v>
      </c>
      <c r="F123" s="90">
        <v>0.91260609707164619</v>
      </c>
      <c r="G123" s="90">
        <v>1.6986313842962131</v>
      </c>
      <c r="H123" s="90">
        <v>2.0851242740418821</v>
      </c>
      <c r="I123" s="90">
        <v>0.91045980393755099</v>
      </c>
      <c r="J123" s="90">
        <v>1.649499793820097</v>
      </c>
      <c r="K123" s="29">
        <f t="shared" si="9"/>
        <v>1.364290092207221E-2</v>
      </c>
      <c r="L123" s="29">
        <f t="shared" si="10"/>
        <v>-5.8717873129482401E-3</v>
      </c>
      <c r="M123" s="29">
        <f t="shared" si="11"/>
        <v>9.1064741413873218E-3</v>
      </c>
      <c r="N123" s="29">
        <f t="shared" si="12"/>
        <v>4.157277859467845E-3</v>
      </c>
      <c r="O123" s="29">
        <f t="shared" si="13"/>
        <v>5.7307968921747054E-3</v>
      </c>
      <c r="P123" s="29">
        <f t="shared" si="14"/>
        <v>3.6567410468626438E-3</v>
      </c>
      <c r="Q123" s="29">
        <f t="shared" si="15"/>
        <v>3.9355125853261619E-2</v>
      </c>
    </row>
    <row r="124" spans="2:17" ht="13.95" customHeight="1" x14ac:dyDescent="0.3">
      <c r="B124" s="89">
        <v>43350</v>
      </c>
      <c r="C124" s="91">
        <f t="shared" si="8"/>
        <v>0</v>
      </c>
      <c r="D124" s="90">
        <v>3.828251182825352</v>
      </c>
      <c r="E124" s="90">
        <v>2.1672010453307089</v>
      </c>
      <c r="F124" s="90">
        <v>0.89717538001154429</v>
      </c>
      <c r="G124" s="90">
        <v>1.698976073233188</v>
      </c>
      <c r="H124" s="90">
        <v>2.078032152956343</v>
      </c>
      <c r="I124" s="90">
        <v>0.89017875211537156</v>
      </c>
      <c r="J124" s="90">
        <v>1.669133963271993</v>
      </c>
      <c r="K124" s="29">
        <f t="shared" si="9"/>
        <v>2.3052106075283074E-3</v>
      </c>
      <c r="L124" s="29">
        <f t="shared" si="10"/>
        <v>-8.9707504846535668E-3</v>
      </c>
      <c r="M124" s="29">
        <f t="shared" si="11"/>
        <v>-1.6908408906773364E-2</v>
      </c>
      <c r="N124" s="29">
        <f t="shared" si="12"/>
        <v>2.0292156389056792E-4</v>
      </c>
      <c r="O124" s="29">
        <f t="shared" si="13"/>
        <v>-3.4012941932671792E-3</v>
      </c>
      <c r="P124" s="29">
        <f t="shared" si="14"/>
        <v>-2.2275614732762516E-2</v>
      </c>
      <c r="Q124" s="29">
        <f t="shared" si="15"/>
        <v>1.1903105126448654E-2</v>
      </c>
    </row>
    <row r="125" spans="2:17" ht="13.95" customHeight="1" x14ac:dyDescent="0.3">
      <c r="B125" s="89">
        <v>43357</v>
      </c>
      <c r="C125" s="91">
        <f t="shared" si="8"/>
        <v>0</v>
      </c>
      <c r="D125" s="90">
        <v>3.7490048210469031</v>
      </c>
      <c r="E125" s="90">
        <v>2.1194029570384441</v>
      </c>
      <c r="F125" s="90">
        <v>0.87808218649089531</v>
      </c>
      <c r="G125" s="90">
        <v>1.703834073877561</v>
      </c>
      <c r="H125" s="90">
        <v>2.0512196764028161</v>
      </c>
      <c r="I125" s="90">
        <v>0.87129816060000131</v>
      </c>
      <c r="J125" s="90">
        <v>1.6329928255378181</v>
      </c>
      <c r="K125" s="29">
        <f t="shared" si="9"/>
        <v>-2.0700408095992051E-2</v>
      </c>
      <c r="L125" s="29">
        <f t="shared" si="10"/>
        <v>-2.2055216517750886E-2</v>
      </c>
      <c r="M125" s="29">
        <f t="shared" si="11"/>
        <v>-2.1281450590411088E-2</v>
      </c>
      <c r="N125" s="29">
        <f t="shared" si="12"/>
        <v>2.8593696644167998E-3</v>
      </c>
      <c r="O125" s="29">
        <f t="shared" si="13"/>
        <v>-1.2902820832383033E-2</v>
      </c>
      <c r="P125" s="29">
        <f t="shared" si="14"/>
        <v>-2.1209887868592125E-2</v>
      </c>
      <c r="Q125" s="29">
        <f t="shared" si="15"/>
        <v>-2.1652628566330101E-2</v>
      </c>
    </row>
    <row r="126" spans="2:17" ht="13.95" customHeight="1" x14ac:dyDescent="0.3">
      <c r="B126" s="89">
        <v>43364</v>
      </c>
      <c r="C126" s="91">
        <f t="shared" si="8"/>
        <v>0</v>
      </c>
      <c r="D126" s="90">
        <v>3.9500667037685591</v>
      </c>
      <c r="E126" s="90">
        <v>2.2037679334730571</v>
      </c>
      <c r="F126" s="90">
        <v>0.92552611224214554</v>
      </c>
      <c r="G126" s="90">
        <v>1.806292155229829</v>
      </c>
      <c r="H126" s="90">
        <v>2.1604673567504382</v>
      </c>
      <c r="I126" s="90">
        <v>0.92656620979817628</v>
      </c>
      <c r="J126" s="90">
        <v>1.641567645689517</v>
      </c>
      <c r="K126" s="29">
        <f t="shared" si="9"/>
        <v>5.3630734640002231E-2</v>
      </c>
      <c r="L126" s="29">
        <f t="shared" si="10"/>
        <v>3.9806010534448211E-2</v>
      </c>
      <c r="M126" s="29">
        <f t="shared" si="11"/>
        <v>5.4031304223186361E-2</v>
      </c>
      <c r="N126" s="29">
        <f t="shared" si="12"/>
        <v>6.0133837515701005E-2</v>
      </c>
      <c r="O126" s="29">
        <f t="shared" si="13"/>
        <v>5.3259863682278752E-2</v>
      </c>
      <c r="P126" s="29">
        <f t="shared" si="14"/>
        <v>6.3431844226683243E-2</v>
      </c>
      <c r="Q126" s="29">
        <f t="shared" si="15"/>
        <v>5.2509845833981217E-3</v>
      </c>
    </row>
    <row r="127" spans="2:17" ht="13.95" customHeight="1" x14ac:dyDescent="0.3">
      <c r="B127" s="89">
        <v>43371</v>
      </c>
      <c r="C127" s="91">
        <f t="shared" si="8"/>
        <v>0</v>
      </c>
      <c r="D127" s="90">
        <v>3.9423026738053122</v>
      </c>
      <c r="E127" s="90">
        <v>2.1607821001795049</v>
      </c>
      <c r="F127" s="90">
        <v>0.92742382652027755</v>
      </c>
      <c r="G127" s="90">
        <v>1.8210122182941231</v>
      </c>
      <c r="H127" s="90">
        <v>2.1578211424620202</v>
      </c>
      <c r="I127" s="90">
        <v>0.92408980792057716</v>
      </c>
      <c r="J127" s="90">
        <v>1.6874944945038659</v>
      </c>
      <c r="K127" s="29">
        <f t="shared" si="9"/>
        <v>-1.9655440136845392E-3</v>
      </c>
      <c r="L127" s="29">
        <f t="shared" si="10"/>
        <v>-1.9505607936588953E-2</v>
      </c>
      <c r="M127" s="29">
        <f t="shared" si="11"/>
        <v>2.0504167878470092E-3</v>
      </c>
      <c r="N127" s="29">
        <f t="shared" si="12"/>
        <v>8.1493256900189159E-3</v>
      </c>
      <c r="O127" s="29">
        <f t="shared" si="13"/>
        <v>-1.2248341916158978E-3</v>
      </c>
      <c r="P127" s="29">
        <f t="shared" si="14"/>
        <v>-2.6726658617720611E-3</v>
      </c>
      <c r="Q127" s="29">
        <f t="shared" si="15"/>
        <v>2.7977432995189178E-2</v>
      </c>
    </row>
    <row r="128" spans="2:17" ht="13.95" customHeight="1" x14ac:dyDescent="0.3">
      <c r="B128" s="89">
        <v>43378</v>
      </c>
      <c r="C128" s="91">
        <f t="shared" si="8"/>
        <v>0</v>
      </c>
      <c r="D128" s="90">
        <v>4.2604007152046837</v>
      </c>
      <c r="E128" s="90">
        <v>2.1706969820551278</v>
      </c>
      <c r="F128" s="90">
        <v>0.97155808443706315</v>
      </c>
      <c r="G128" s="90">
        <v>1.845464876180837</v>
      </c>
      <c r="H128" s="90">
        <v>2.2389043562386699</v>
      </c>
      <c r="I128" s="90">
        <v>0.9820695037243633</v>
      </c>
      <c r="J128" s="90">
        <v>1.6320684402124339</v>
      </c>
      <c r="K128" s="29">
        <f t="shared" si="9"/>
        <v>8.0688386387219424E-2</v>
      </c>
      <c r="L128" s="29">
        <f t="shared" si="10"/>
        <v>4.5885616484879765E-3</v>
      </c>
      <c r="M128" s="29">
        <f t="shared" si="11"/>
        <v>4.7588013866733059E-2</v>
      </c>
      <c r="N128" s="29">
        <f t="shared" si="12"/>
        <v>1.3428058110241947E-2</v>
      </c>
      <c r="O128" s="29">
        <f t="shared" si="13"/>
        <v>3.7576429381044996E-2</v>
      </c>
      <c r="P128" s="29">
        <f t="shared" si="14"/>
        <v>6.2742490293507647E-2</v>
      </c>
      <c r="Q128" s="29">
        <f t="shared" si="15"/>
        <v>-3.284517636765838E-2</v>
      </c>
    </row>
    <row r="129" spans="2:17" ht="13.95" customHeight="1" x14ac:dyDescent="0.3">
      <c r="B129" s="89">
        <v>43385</v>
      </c>
      <c r="C129" s="91">
        <f t="shared" si="8"/>
        <v>0</v>
      </c>
      <c r="D129" s="90">
        <v>4.3290535386658791</v>
      </c>
      <c r="E129" s="90">
        <v>2.1448902404244841</v>
      </c>
      <c r="F129" s="90">
        <v>0.97635589254554744</v>
      </c>
      <c r="G129" s="90">
        <v>1.8640865491456771</v>
      </c>
      <c r="H129" s="90">
        <v>2.255224855220535</v>
      </c>
      <c r="I129" s="90">
        <v>0.99390807588620411</v>
      </c>
      <c r="J129" s="90">
        <v>1.5723906047417191</v>
      </c>
      <c r="K129" s="29">
        <f t="shared" si="9"/>
        <v>1.6114170485462598E-2</v>
      </c>
      <c r="L129" s="29">
        <f t="shared" si="10"/>
        <v>-1.1888689137168784E-2</v>
      </c>
      <c r="M129" s="29">
        <f t="shared" si="11"/>
        <v>4.9382617316846567E-3</v>
      </c>
      <c r="N129" s="29">
        <f t="shared" si="12"/>
        <v>1.0090505219138901E-2</v>
      </c>
      <c r="O129" s="29">
        <f t="shared" si="13"/>
        <v>7.2895025356434218E-3</v>
      </c>
      <c r="P129" s="29">
        <f t="shared" si="14"/>
        <v>1.2054719260647717E-2</v>
      </c>
      <c r="Q129" s="29">
        <f t="shared" si="15"/>
        <v>-3.6565767709439312E-2</v>
      </c>
    </row>
    <row r="130" spans="2:17" ht="13.95" customHeight="1" x14ac:dyDescent="0.3">
      <c r="B130" s="89">
        <v>43392</v>
      </c>
      <c r="C130" s="91">
        <f t="shared" si="8"/>
        <v>0</v>
      </c>
      <c r="D130" s="90">
        <v>4.4103061409781654</v>
      </c>
      <c r="E130" s="90">
        <v>2.1637964483385419</v>
      </c>
      <c r="F130" s="90">
        <v>1.001998596906059</v>
      </c>
      <c r="G130" s="90">
        <v>1.886461324793824</v>
      </c>
      <c r="H130" s="90">
        <v>2.2905384806693112</v>
      </c>
      <c r="I130" s="90">
        <v>1.0221639291964939</v>
      </c>
      <c r="J130" s="90">
        <v>1.592828165917882</v>
      </c>
      <c r="K130" s="29">
        <f t="shared" si="9"/>
        <v>1.8769137777244094E-2</v>
      </c>
      <c r="L130" s="29">
        <f t="shared" si="10"/>
        <v>8.8145339830145719E-3</v>
      </c>
      <c r="M130" s="29">
        <f t="shared" si="11"/>
        <v>2.6263685768983303E-2</v>
      </c>
      <c r="N130" s="29">
        <f t="shared" si="12"/>
        <v>1.2003077678126806E-2</v>
      </c>
      <c r="O130" s="29">
        <f t="shared" si="13"/>
        <v>1.5658582942197574E-2</v>
      </c>
      <c r="P130" s="29">
        <f t="shared" si="14"/>
        <v>2.8429040869897282E-2</v>
      </c>
      <c r="Q130" s="29">
        <f t="shared" si="15"/>
        <v>1.2997763478445501E-2</v>
      </c>
    </row>
    <row r="131" spans="2:17" ht="13.95" customHeight="1" x14ac:dyDescent="0.3">
      <c r="B131" s="89">
        <v>43399</v>
      </c>
      <c r="C131" s="91">
        <f t="shared" si="8"/>
        <v>0</v>
      </c>
      <c r="D131" s="90">
        <v>4.5693292711021547</v>
      </c>
      <c r="E131" s="90">
        <v>2.1261144470785478</v>
      </c>
      <c r="F131" s="90">
        <v>1.0290053151371039</v>
      </c>
      <c r="G131" s="90">
        <v>1.91454019712003</v>
      </c>
      <c r="H131" s="90">
        <v>2.331312687415239</v>
      </c>
      <c r="I131" s="90">
        <v>1.0525883201956709</v>
      </c>
      <c r="J131" s="90">
        <v>1.607902484347441</v>
      </c>
      <c r="K131" s="29">
        <f t="shared" si="9"/>
        <v>3.6057163616473931E-2</v>
      </c>
      <c r="L131" s="29">
        <f t="shared" si="10"/>
        <v>-1.7414762506393844E-2</v>
      </c>
      <c r="M131" s="29">
        <f t="shared" si="11"/>
        <v>2.6952850347730539E-2</v>
      </c>
      <c r="N131" s="29">
        <f t="shared" si="12"/>
        <v>1.4884414515773159E-2</v>
      </c>
      <c r="O131" s="29">
        <f t="shared" si="13"/>
        <v>1.7801144617318743E-2</v>
      </c>
      <c r="P131" s="29">
        <f t="shared" si="14"/>
        <v>2.9764688549607898E-2</v>
      </c>
      <c r="Q131" s="29">
        <f t="shared" si="15"/>
        <v>9.4638698336126925E-3</v>
      </c>
    </row>
    <row r="132" spans="2:17" ht="13.95" customHeight="1" x14ac:dyDescent="0.3">
      <c r="B132" s="89">
        <v>43406</v>
      </c>
      <c r="C132" s="91">
        <f t="shared" si="8"/>
        <v>0</v>
      </c>
      <c r="D132" s="90">
        <v>4.7505360886766077</v>
      </c>
      <c r="E132" s="90">
        <v>2.2289214616677828</v>
      </c>
      <c r="F132" s="90">
        <v>1.0710475146312211</v>
      </c>
      <c r="G132" s="90">
        <v>1.936365891362994</v>
      </c>
      <c r="H132" s="90">
        <v>2.4047546432807789</v>
      </c>
      <c r="I132" s="90">
        <v>1.0946990112789119</v>
      </c>
      <c r="J132" s="90">
        <v>1.682218424563201</v>
      </c>
      <c r="K132" s="29">
        <f t="shared" si="9"/>
        <v>3.9657202802271474E-2</v>
      </c>
      <c r="L132" s="29">
        <f t="shared" si="10"/>
        <v>4.8354412308565964E-2</v>
      </c>
      <c r="M132" s="29">
        <f t="shared" si="11"/>
        <v>4.0857125687942197E-2</v>
      </c>
      <c r="N132" s="29">
        <f t="shared" si="12"/>
        <v>1.1399966569412001E-2</v>
      </c>
      <c r="O132" s="29">
        <f t="shared" si="13"/>
        <v>3.1502404744756074E-2</v>
      </c>
      <c r="P132" s="29">
        <f t="shared" si="14"/>
        <v>4.0006800641121387E-2</v>
      </c>
      <c r="Q132" s="29">
        <f t="shared" si="15"/>
        <v>4.6219183650257678E-2</v>
      </c>
    </row>
    <row r="133" spans="2:17" ht="13.95" customHeight="1" x14ac:dyDescent="0.3">
      <c r="B133" s="89">
        <v>43413</v>
      </c>
      <c r="C133" s="91">
        <f t="shared" si="8"/>
        <v>0</v>
      </c>
      <c r="D133" s="90">
        <v>4.7026986942312554</v>
      </c>
      <c r="E133" s="90">
        <v>2.2012798881428091</v>
      </c>
      <c r="F133" s="90">
        <v>1.00828540685108</v>
      </c>
      <c r="G133" s="90">
        <v>1.837973553537233</v>
      </c>
      <c r="H133" s="90">
        <v>2.3292631141854909</v>
      </c>
      <c r="I133" s="90">
        <v>1.0224893958200201</v>
      </c>
      <c r="J133" s="90">
        <v>1.661580671868649</v>
      </c>
      <c r="K133" s="29">
        <f t="shared" si="9"/>
        <v>-1.0069893913526418E-2</v>
      </c>
      <c r="L133" s="29">
        <f t="shared" si="10"/>
        <v>-1.2401322343718268E-2</v>
      </c>
      <c r="M133" s="29">
        <f t="shared" si="11"/>
        <v>-5.8598808103999978E-2</v>
      </c>
      <c r="N133" s="29">
        <f t="shared" si="12"/>
        <v>-5.0812885242728201E-2</v>
      </c>
      <c r="O133" s="29">
        <f t="shared" si="13"/>
        <v>-3.1392611843466867E-2</v>
      </c>
      <c r="P133" s="29">
        <f t="shared" si="14"/>
        <v>-6.5962985912018879E-2</v>
      </c>
      <c r="Q133" s="29">
        <f t="shared" si="15"/>
        <v>-1.2268176589440682E-2</v>
      </c>
    </row>
    <row r="134" spans="2:17" ht="13.95" customHeight="1" x14ac:dyDescent="0.3">
      <c r="B134" s="89">
        <v>43420</v>
      </c>
      <c r="C134" s="91">
        <f t="shared" si="8"/>
        <v>0</v>
      </c>
      <c r="D134" s="90">
        <v>4.900497358647935</v>
      </c>
      <c r="E134" s="90">
        <v>2.268783658270161</v>
      </c>
      <c r="F134" s="90">
        <v>1.0534515316808131</v>
      </c>
      <c r="G134" s="90">
        <v>1.877703021836953</v>
      </c>
      <c r="H134" s="90">
        <v>2.4074438503884998</v>
      </c>
      <c r="I134" s="90">
        <v>1.075202412086226</v>
      </c>
      <c r="J134" s="90">
        <v>1.6692000055696179</v>
      </c>
      <c r="K134" s="29">
        <f t="shared" si="9"/>
        <v>4.2060671388391757E-2</v>
      </c>
      <c r="L134" s="29">
        <f t="shared" si="10"/>
        <v>3.0665691578322551E-2</v>
      </c>
      <c r="M134" s="29">
        <f t="shared" si="11"/>
        <v>4.4794980193940237E-2</v>
      </c>
      <c r="N134" s="29">
        <f t="shared" si="12"/>
        <v>2.1615908576736231E-2</v>
      </c>
      <c r="O134" s="29">
        <f t="shared" si="13"/>
        <v>3.3564579169643283E-2</v>
      </c>
      <c r="P134" s="29">
        <f t="shared" si="14"/>
        <v>5.1553606796998608E-2</v>
      </c>
      <c r="Q134" s="29">
        <f t="shared" si="15"/>
        <v>4.5855936037100253E-3</v>
      </c>
    </row>
    <row r="135" spans="2:17" ht="13.95" customHeight="1" x14ac:dyDescent="0.3">
      <c r="B135" s="89">
        <v>43427</v>
      </c>
      <c r="C135" s="91">
        <f t="shared" si="8"/>
        <v>0</v>
      </c>
      <c r="D135" s="90">
        <v>4.8540017078778703</v>
      </c>
      <c r="E135" s="90">
        <v>2.254056531002322</v>
      </c>
      <c r="F135" s="90">
        <v>1.0510556550289221</v>
      </c>
      <c r="G135" s="90">
        <v>1.7590838732683931</v>
      </c>
      <c r="H135" s="90">
        <v>2.3456245151728998</v>
      </c>
      <c r="I135" s="90">
        <v>1.0750774836438659</v>
      </c>
      <c r="J135" s="90">
        <v>1.6429701984475089</v>
      </c>
      <c r="K135" s="29">
        <f t="shared" si="9"/>
        <v>-9.487945277230625E-3</v>
      </c>
      <c r="L135" s="29">
        <f t="shared" si="10"/>
        <v>-6.4911994645923121E-3</v>
      </c>
      <c r="M135" s="29">
        <f t="shared" si="11"/>
        <v>-2.2743112329698389E-3</v>
      </c>
      <c r="N135" s="29">
        <f t="shared" si="12"/>
        <v>-6.3172475726494315E-2</v>
      </c>
      <c r="O135" s="29">
        <f t="shared" si="13"/>
        <v>-2.5678412065819889E-2</v>
      </c>
      <c r="P135" s="29">
        <f t="shared" si="14"/>
        <v>-1.1619062695156224E-4</v>
      </c>
      <c r="Q135" s="29">
        <f t="shared" si="15"/>
        <v>-1.5713998942360474E-2</v>
      </c>
    </row>
    <row r="136" spans="2:17" ht="13.95" customHeight="1" x14ac:dyDescent="0.3">
      <c r="B136" s="89">
        <v>43434</v>
      </c>
      <c r="C136" s="91">
        <f t="shared" si="8"/>
        <v>0</v>
      </c>
      <c r="D136" s="90">
        <v>5.0420968113465046</v>
      </c>
      <c r="E136" s="90">
        <v>2.3302775817152308</v>
      </c>
      <c r="F136" s="90">
        <v>1.077123733733657</v>
      </c>
      <c r="G136" s="90">
        <v>1.838560049169214</v>
      </c>
      <c r="H136" s="90">
        <v>2.434451995272342</v>
      </c>
      <c r="I136" s="90">
        <v>1.1012535464036091</v>
      </c>
      <c r="J136" s="90">
        <v>1.688434829378056</v>
      </c>
      <c r="K136" s="29">
        <f t="shared" si="9"/>
        <v>3.8750522720946368E-2</v>
      </c>
      <c r="L136" s="29">
        <f t="shared" si="10"/>
        <v>3.3815057282088334E-2</v>
      </c>
      <c r="M136" s="29">
        <f t="shared" si="11"/>
        <v>2.4801806241190549E-2</v>
      </c>
      <c r="N136" s="29">
        <f t="shared" si="12"/>
        <v>4.5180435741903224E-2</v>
      </c>
      <c r="O136" s="29">
        <f t="shared" si="13"/>
        <v>3.7869437126382799E-2</v>
      </c>
      <c r="P136" s="29">
        <f t="shared" si="14"/>
        <v>2.4348070867433735E-2</v>
      </c>
      <c r="Q136" s="29">
        <f t="shared" si="15"/>
        <v>2.7672218871351406E-2</v>
      </c>
    </row>
    <row r="137" spans="2:17" ht="13.95" customHeight="1" x14ac:dyDescent="0.3">
      <c r="B137" s="89">
        <v>43441</v>
      </c>
      <c r="C137" s="91">
        <f t="shared" si="8"/>
        <v>0</v>
      </c>
      <c r="D137" s="90">
        <v>5.0008738394017431</v>
      </c>
      <c r="E137" s="90">
        <v>2.309259465348537</v>
      </c>
      <c r="F137" s="90">
        <v>1.052874622985549</v>
      </c>
      <c r="G137" s="90">
        <v>1.7940713913511801</v>
      </c>
      <c r="H137" s="90">
        <v>2.3966914958951602</v>
      </c>
      <c r="I137" s="90">
        <v>1.0789516216941171</v>
      </c>
      <c r="J137" s="90">
        <v>1.6264227710948129</v>
      </c>
      <c r="K137" s="29">
        <f t="shared" si="9"/>
        <v>-8.1757597061593579E-3</v>
      </c>
      <c r="L137" s="29">
        <f t="shared" si="10"/>
        <v>-9.0195762649113442E-3</v>
      </c>
      <c r="M137" s="29">
        <f t="shared" si="11"/>
        <v>-2.2512836723087348E-2</v>
      </c>
      <c r="N137" s="29">
        <f t="shared" si="12"/>
        <v>-2.4197554949666689E-2</v>
      </c>
      <c r="O137" s="29">
        <f t="shared" si="13"/>
        <v>-1.5510882716320507E-2</v>
      </c>
      <c r="P137" s="29">
        <f t="shared" si="14"/>
        <v>-2.025139876491111E-2</v>
      </c>
      <c r="Q137" s="29">
        <f t="shared" si="15"/>
        <v>-3.6727540325666941E-2</v>
      </c>
    </row>
    <row r="138" spans="2:17" ht="13.95" customHeight="1" x14ac:dyDescent="0.3">
      <c r="B138" s="89">
        <v>43448</v>
      </c>
      <c r="C138" s="91">
        <f t="shared" si="8"/>
        <v>0</v>
      </c>
      <c r="D138" s="90">
        <v>4.9976853624056012</v>
      </c>
      <c r="E138" s="90">
        <v>2.321718499926817</v>
      </c>
      <c r="F138" s="90">
        <v>1.0594888783837071</v>
      </c>
      <c r="G138" s="90">
        <v>1.7421519678373281</v>
      </c>
      <c r="H138" s="90">
        <v>2.3786489116876441</v>
      </c>
      <c r="I138" s="90">
        <v>1.087156048072675</v>
      </c>
      <c r="J138" s="90">
        <v>1.6228940849288349</v>
      </c>
      <c r="K138" s="29">
        <f t="shared" si="9"/>
        <v>-6.3758397002944278E-4</v>
      </c>
      <c r="L138" s="29">
        <f t="shared" si="10"/>
        <v>5.395251060018813E-3</v>
      </c>
      <c r="M138" s="29">
        <f t="shared" si="11"/>
        <v>6.2820921444592948E-3</v>
      </c>
      <c r="N138" s="29">
        <f t="shared" si="12"/>
        <v>-2.8939441186200288E-2</v>
      </c>
      <c r="O138" s="29">
        <f t="shared" si="13"/>
        <v>-7.5281212615048165E-3</v>
      </c>
      <c r="P138" s="29">
        <f t="shared" si="14"/>
        <v>7.6040725215054117E-3</v>
      </c>
      <c r="Q138" s="29">
        <f t="shared" si="15"/>
        <v>-2.1695995830178783E-3</v>
      </c>
    </row>
    <row r="139" spans="2:17" ht="13.95" customHeight="1" x14ac:dyDescent="0.3">
      <c r="B139" s="89">
        <v>43455</v>
      </c>
      <c r="C139" s="91">
        <f t="shared" si="8"/>
        <v>0</v>
      </c>
      <c r="D139" s="90">
        <v>4.8881740782966681</v>
      </c>
      <c r="E139" s="90">
        <v>2.2624131032196981</v>
      </c>
      <c r="F139" s="90">
        <v>1.070134081923598</v>
      </c>
      <c r="G139" s="90">
        <v>1.695148130216755</v>
      </c>
      <c r="H139" s="90">
        <v>2.3321534648087909</v>
      </c>
      <c r="I139" s="90">
        <v>1.0965569505802431</v>
      </c>
      <c r="J139" s="90">
        <v>1.653870651563712</v>
      </c>
      <c r="K139" s="29">
        <f t="shared" si="9"/>
        <v>-2.1912400675063837E-2</v>
      </c>
      <c r="L139" s="29">
        <f t="shared" si="10"/>
        <v>-2.5543749902922408E-2</v>
      </c>
      <c r="M139" s="29">
        <f t="shared" si="11"/>
        <v>1.004748965003821E-2</v>
      </c>
      <c r="N139" s="29">
        <f t="shared" si="12"/>
        <v>-2.6980331502838184E-2</v>
      </c>
      <c r="O139" s="29">
        <f t="shared" si="13"/>
        <v>-1.9546998571497776E-2</v>
      </c>
      <c r="P139" s="29">
        <f t="shared" si="14"/>
        <v>8.6472429824899777E-3</v>
      </c>
      <c r="Q139" s="29">
        <f t="shared" si="15"/>
        <v>1.9087238608202606E-2</v>
      </c>
    </row>
    <row r="140" spans="2:17" ht="13.95" customHeight="1" x14ac:dyDescent="0.3">
      <c r="B140" s="89">
        <v>43462</v>
      </c>
      <c r="C140" s="91">
        <f t="shared" si="8"/>
        <v>0</v>
      </c>
      <c r="D140" s="90">
        <v>5.0534074475412361</v>
      </c>
      <c r="E140" s="90">
        <v>2.2881020775943939</v>
      </c>
      <c r="F140" s="90">
        <v>1.086542850682366</v>
      </c>
      <c r="G140" s="90">
        <v>1.749688167995147</v>
      </c>
      <c r="H140" s="90">
        <v>2.393783328662459</v>
      </c>
      <c r="I140" s="90">
        <v>1.1139123182594719</v>
      </c>
      <c r="J140" s="90">
        <v>1.674012047764597</v>
      </c>
      <c r="K140" s="29">
        <f t="shared" si="9"/>
        <v>3.3802676950110744E-2</v>
      </c>
      <c r="L140" s="29">
        <f t="shared" si="10"/>
        <v>1.135467892143005E-2</v>
      </c>
      <c r="M140" s="29">
        <f t="shared" si="11"/>
        <v>1.5333376476780014E-2</v>
      </c>
      <c r="N140" s="29">
        <f t="shared" si="12"/>
        <v>3.2174201656004042E-2</v>
      </c>
      <c r="O140" s="29">
        <f t="shared" si="13"/>
        <v>2.6426161392737013E-2</v>
      </c>
      <c r="P140" s="29">
        <f t="shared" si="14"/>
        <v>1.582714666123386E-2</v>
      </c>
      <c r="Q140" s="29">
        <f t="shared" si="15"/>
        <v>1.2178338240564024E-2</v>
      </c>
    </row>
    <row r="141" spans="2:17" ht="13.95" customHeight="1" x14ac:dyDescent="0.3">
      <c r="B141" s="89">
        <v>43469</v>
      </c>
      <c r="C141" s="91">
        <f t="shared" si="8"/>
        <v>0</v>
      </c>
      <c r="D141" s="90">
        <v>5.2932715652782933</v>
      </c>
      <c r="E141" s="90">
        <v>2.425374480168816</v>
      </c>
      <c r="F141" s="90">
        <v>1.104303587791053</v>
      </c>
      <c r="G141" s="90">
        <v>1.8310675620463179</v>
      </c>
      <c r="H141" s="90">
        <v>2.5011440168023742</v>
      </c>
      <c r="I141" s="90">
        <v>1.134132758876774</v>
      </c>
      <c r="J141" s="90">
        <v>1.682077329674796</v>
      </c>
      <c r="K141" s="29">
        <f t="shared" si="9"/>
        <v>4.7465817911390484E-2</v>
      </c>
      <c r="L141" s="29">
        <f t="shared" si="10"/>
        <v>5.9994002854428574E-2</v>
      </c>
      <c r="M141" s="29">
        <f t="shared" si="11"/>
        <v>1.6346099095431832E-2</v>
      </c>
      <c r="N141" s="29">
        <f t="shared" si="12"/>
        <v>4.6510798632431793E-2</v>
      </c>
      <c r="O141" s="29">
        <f t="shared" si="13"/>
        <v>4.484979356920471E-2</v>
      </c>
      <c r="P141" s="29">
        <f t="shared" si="14"/>
        <v>1.8152632200797658E-2</v>
      </c>
      <c r="Q141" s="29">
        <f t="shared" si="15"/>
        <v>4.8179354031345767E-3</v>
      </c>
    </row>
    <row r="142" spans="2:17" ht="13.95" customHeight="1" x14ac:dyDescent="0.3">
      <c r="B142" s="89">
        <v>43476</v>
      </c>
      <c r="C142" s="91">
        <f t="shared" si="8"/>
        <v>0</v>
      </c>
      <c r="D142" s="90">
        <v>5.3862686043146013</v>
      </c>
      <c r="E142" s="90">
        <v>2.508965152461764</v>
      </c>
      <c r="F142" s="90">
        <v>1.1320476050632411</v>
      </c>
      <c r="G142" s="90">
        <v>1.8534735933858399</v>
      </c>
      <c r="H142" s="90">
        <v>2.551433227301354</v>
      </c>
      <c r="I142" s="90">
        <v>1.163394488827399</v>
      </c>
      <c r="J142" s="90">
        <v>1.71696903553586</v>
      </c>
      <c r="K142" s="29">
        <f t="shared" si="9"/>
        <v>1.756891515756176E-2</v>
      </c>
      <c r="L142" s="29">
        <f t="shared" si="10"/>
        <v>3.4465058066880383E-2</v>
      </c>
      <c r="M142" s="29">
        <f t="shared" si="11"/>
        <v>2.5123541731567389E-2</v>
      </c>
      <c r="N142" s="29">
        <f t="shared" si="12"/>
        <v>1.2236594544049462E-2</v>
      </c>
      <c r="O142" s="29">
        <f t="shared" si="13"/>
        <v>2.0106483337682057E-2</v>
      </c>
      <c r="P142" s="29">
        <f t="shared" si="14"/>
        <v>2.5800974111360064E-2</v>
      </c>
      <c r="Q142" s="29">
        <f t="shared" si="15"/>
        <v>2.0743223421131107E-2</v>
      </c>
    </row>
    <row r="143" spans="2:17" ht="13.95" customHeight="1" x14ac:dyDescent="0.3">
      <c r="B143" s="89">
        <v>43483</v>
      </c>
      <c r="C143" s="91">
        <f t="shared" si="8"/>
        <v>0</v>
      </c>
      <c r="D143" s="90">
        <v>5.4829602780014799</v>
      </c>
      <c r="E143" s="90">
        <v>2.5814211285013511</v>
      </c>
      <c r="F143" s="90">
        <v>1.154904120302199</v>
      </c>
      <c r="G143" s="90">
        <v>1.9162351953114261</v>
      </c>
      <c r="H143" s="90">
        <v>2.6157334620748509</v>
      </c>
      <c r="I143" s="90">
        <v>1.1979005973807471</v>
      </c>
      <c r="J143" s="90">
        <v>1.645984562410634</v>
      </c>
      <c r="K143" s="29">
        <f t="shared" si="9"/>
        <v>1.7951513522631357E-2</v>
      </c>
      <c r="L143" s="29">
        <f t="shared" si="10"/>
        <v>2.8878829173252685E-2</v>
      </c>
      <c r="M143" s="29">
        <f t="shared" si="11"/>
        <v>2.0190418792221276E-2</v>
      </c>
      <c r="N143" s="29">
        <f t="shared" si="12"/>
        <v>3.3861611058043861E-2</v>
      </c>
      <c r="O143" s="29">
        <f t="shared" si="13"/>
        <v>2.5201613777487308E-2</v>
      </c>
      <c r="P143" s="29">
        <f t="shared" si="14"/>
        <v>2.9659852169428014E-2</v>
      </c>
      <c r="Q143" s="29">
        <f t="shared" si="15"/>
        <v>-4.1342896497298831E-2</v>
      </c>
    </row>
    <row r="144" spans="2:17" ht="13.95" customHeight="1" x14ac:dyDescent="0.3">
      <c r="B144" s="89">
        <v>43490</v>
      </c>
      <c r="C144" s="91">
        <f t="shared" si="8"/>
        <v>0</v>
      </c>
      <c r="D144" s="90">
        <v>5.5420111410268698</v>
      </c>
      <c r="E144" s="90">
        <v>2.6039417997988572</v>
      </c>
      <c r="F144" s="90">
        <v>1.185334409669331</v>
      </c>
      <c r="G144" s="90">
        <v>1.9583220998612649</v>
      </c>
      <c r="H144" s="90">
        <v>2.6578267932418029</v>
      </c>
      <c r="I144" s="90">
        <v>1.234247204975734</v>
      </c>
      <c r="J144" s="90">
        <v>1.6434809315873651</v>
      </c>
      <c r="K144" s="29">
        <f t="shared" si="9"/>
        <v>1.0769887074015827E-2</v>
      </c>
      <c r="L144" s="29">
        <f t="shared" si="10"/>
        <v>8.7241368906672001E-3</v>
      </c>
      <c r="M144" s="29">
        <f t="shared" si="11"/>
        <v>2.6348758162858976E-2</v>
      </c>
      <c r="N144" s="29">
        <f t="shared" si="12"/>
        <v>2.1963329268148035E-2</v>
      </c>
      <c r="O144" s="29">
        <f t="shared" si="13"/>
        <v>1.6092362535119697E-2</v>
      </c>
      <c r="P144" s="29">
        <f t="shared" si="14"/>
        <v>3.0341922922870301E-2</v>
      </c>
      <c r="Q144" s="29">
        <f t="shared" si="15"/>
        <v>-1.5210536480380066E-3</v>
      </c>
    </row>
    <row r="145" spans="2:17" ht="13.95" customHeight="1" x14ac:dyDescent="0.3">
      <c r="B145" s="89">
        <v>43497</v>
      </c>
      <c r="C145" s="91">
        <f t="shared" si="8"/>
        <v>0</v>
      </c>
      <c r="D145" s="90">
        <v>5.7272328649681974</v>
      </c>
      <c r="E145" s="90">
        <v>2.6778549554054201</v>
      </c>
      <c r="F145" s="90">
        <v>1.217992739164679</v>
      </c>
      <c r="G145" s="90">
        <v>1.840762272285793</v>
      </c>
      <c r="H145" s="90">
        <v>2.664604643811558</v>
      </c>
      <c r="I145" s="90">
        <v>1.271120602057445</v>
      </c>
      <c r="J145" s="90">
        <v>1.6612260956209819</v>
      </c>
      <c r="K145" s="29">
        <f t="shared" si="9"/>
        <v>3.342139148190304E-2</v>
      </c>
      <c r="L145" s="29">
        <f t="shared" si="10"/>
        <v>2.8385102774675097E-2</v>
      </c>
      <c r="M145" s="29">
        <f t="shared" si="11"/>
        <v>2.7551996490558839E-2</v>
      </c>
      <c r="N145" s="29">
        <f t="shared" si="12"/>
        <v>-6.003089460298705E-2</v>
      </c>
      <c r="O145" s="29">
        <f t="shared" si="13"/>
        <v>2.5501475818474617E-3</v>
      </c>
      <c r="P145" s="29">
        <f t="shared" si="14"/>
        <v>2.9875212139885754E-2</v>
      </c>
      <c r="Q145" s="29">
        <f t="shared" si="15"/>
        <v>1.0797304484985837E-2</v>
      </c>
    </row>
    <row r="146" spans="2:17" ht="13.95" customHeight="1" x14ac:dyDescent="0.3">
      <c r="B146" s="89">
        <v>43504</v>
      </c>
      <c r="C146" s="91">
        <f t="shared" si="8"/>
        <v>0</v>
      </c>
      <c r="D146" s="90">
        <v>5.6263147767949642</v>
      </c>
      <c r="E146" s="90">
        <v>2.6204974240345051</v>
      </c>
      <c r="F146" s="90">
        <v>1.179136609405443</v>
      </c>
      <c r="G146" s="90">
        <v>1.7760056482407469</v>
      </c>
      <c r="H146" s="90">
        <v>2.5960599738188539</v>
      </c>
      <c r="I146" s="90">
        <v>1.2293230486758691</v>
      </c>
      <c r="J146" s="90">
        <v>1.6201722127803739</v>
      </c>
      <c r="K146" s="29">
        <f t="shared" si="9"/>
        <v>-1.7620741211784807E-2</v>
      </c>
      <c r="L146" s="29">
        <f t="shared" si="10"/>
        <v>-2.1419207659150841E-2</v>
      </c>
      <c r="M146" s="29">
        <f t="shared" si="11"/>
        <v>-3.1901774542501982E-2</v>
      </c>
      <c r="N146" s="29">
        <f t="shared" si="12"/>
        <v>-3.5179243414541372E-2</v>
      </c>
      <c r="O146" s="29">
        <f t="shared" si="13"/>
        <v>-2.572414266104972E-2</v>
      </c>
      <c r="P146" s="29">
        <f t="shared" si="14"/>
        <v>-3.2882445075567257E-2</v>
      </c>
      <c r="Q146" s="29">
        <f t="shared" si="15"/>
        <v>-2.4713001408313229E-2</v>
      </c>
    </row>
    <row r="147" spans="2:17" ht="13.95" customHeight="1" x14ac:dyDescent="0.3">
      <c r="B147" s="89">
        <v>43511</v>
      </c>
      <c r="C147" s="91">
        <f t="shared" si="8"/>
        <v>0</v>
      </c>
      <c r="D147" s="90">
        <v>5.7297993165931116</v>
      </c>
      <c r="E147" s="90">
        <v>2.6371610322414498</v>
      </c>
      <c r="F147" s="90">
        <v>1.1839186626333149</v>
      </c>
      <c r="G147" s="90">
        <v>1.862695595731938</v>
      </c>
      <c r="H147" s="90">
        <v>2.655481014812251</v>
      </c>
      <c r="I147" s="90">
        <v>1.2337118594259939</v>
      </c>
      <c r="J147" s="90">
        <v>1.6324601344302641</v>
      </c>
      <c r="K147" s="29">
        <f t="shared" si="9"/>
        <v>1.8392952385983818E-2</v>
      </c>
      <c r="L147" s="29">
        <f t="shared" si="10"/>
        <v>6.3589485164574633E-3</v>
      </c>
      <c r="M147" s="29">
        <f t="shared" si="11"/>
        <v>4.0555548778042905E-3</v>
      </c>
      <c r="N147" s="29">
        <f t="shared" si="12"/>
        <v>4.8811752134382713E-2</v>
      </c>
      <c r="O147" s="29">
        <f t="shared" si="13"/>
        <v>2.2888932302279397E-2</v>
      </c>
      <c r="P147" s="29">
        <f t="shared" si="14"/>
        <v>3.5701036882471726E-3</v>
      </c>
      <c r="Q147" s="29">
        <f t="shared" si="15"/>
        <v>7.5843305748362067E-3</v>
      </c>
    </row>
    <row r="148" spans="2:17" ht="13.95" customHeight="1" x14ac:dyDescent="0.3">
      <c r="B148" s="89">
        <v>43518</v>
      </c>
      <c r="C148" s="91">
        <f t="shared" si="8"/>
        <v>0</v>
      </c>
      <c r="D148" s="90">
        <v>5.7426679916348959</v>
      </c>
      <c r="E148" s="90">
        <v>2.6197685794274168</v>
      </c>
      <c r="F148" s="90">
        <v>1.1918899145008841</v>
      </c>
      <c r="G148" s="90">
        <v>1.885225393663488</v>
      </c>
      <c r="H148" s="90">
        <v>2.6666595440713041</v>
      </c>
      <c r="I148" s="90">
        <v>1.2416953100374</v>
      </c>
      <c r="J148" s="90">
        <v>1.6465463210803279</v>
      </c>
      <c r="K148" s="29">
        <f t="shared" si="9"/>
        <v>2.2459207261442682E-3</v>
      </c>
      <c r="L148" s="29">
        <f t="shared" si="10"/>
        <v>-6.595142504153495E-3</v>
      </c>
      <c r="M148" s="29">
        <f t="shared" si="11"/>
        <v>6.7329387728707335E-3</v>
      </c>
      <c r="N148" s="29">
        <f t="shared" si="12"/>
        <v>1.2095265583476511E-2</v>
      </c>
      <c r="O148" s="29">
        <f t="shared" si="13"/>
        <v>4.2096061680347852E-3</v>
      </c>
      <c r="P148" s="29">
        <f t="shared" si="14"/>
        <v>6.4710820037998662E-3</v>
      </c>
      <c r="Q148" s="29">
        <f t="shared" si="15"/>
        <v>8.6288089693411507E-3</v>
      </c>
    </row>
    <row r="149" spans="2:17" ht="13.95" customHeight="1" x14ac:dyDescent="0.3">
      <c r="B149" s="89">
        <v>43525</v>
      </c>
      <c r="C149" s="91">
        <f t="shared" si="8"/>
        <v>0</v>
      </c>
      <c r="D149" s="90">
        <v>5.4760569460657447</v>
      </c>
      <c r="E149" s="90">
        <v>2.510589658520602</v>
      </c>
      <c r="F149" s="90">
        <v>1.1634154422624561</v>
      </c>
      <c r="G149" s="90">
        <v>1.8506157914693531</v>
      </c>
      <c r="H149" s="90">
        <v>2.5769127625658879</v>
      </c>
      <c r="I149" s="90">
        <v>1.213191954691387</v>
      </c>
      <c r="J149" s="90">
        <v>1.5961444361656369</v>
      </c>
      <c r="K149" s="29">
        <f t="shared" si="9"/>
        <v>-4.64263380640344E-2</v>
      </c>
      <c r="L149" s="29">
        <f t="shared" si="10"/>
        <v>-4.1675024948454542E-2</v>
      </c>
      <c r="M149" s="29">
        <f t="shared" si="11"/>
        <v>-2.3890186410673642E-2</v>
      </c>
      <c r="N149" s="29">
        <f t="shared" si="12"/>
        <v>-1.8358336520642449E-2</v>
      </c>
      <c r="O149" s="29">
        <f t="shared" si="13"/>
        <v>-3.3655132956491363E-2</v>
      </c>
      <c r="P149" s="29">
        <f t="shared" si="14"/>
        <v>-2.295519288476211E-2</v>
      </c>
      <c r="Q149" s="29">
        <f t="shared" si="15"/>
        <v>-3.0610669295730086E-2</v>
      </c>
    </row>
    <row r="150" spans="2:17" ht="13.95" customHeight="1" x14ac:dyDescent="0.3">
      <c r="B150" s="89">
        <v>43532</v>
      </c>
      <c r="C150" s="91">
        <f t="shared" si="8"/>
        <v>0</v>
      </c>
      <c r="D150" s="90">
        <v>5.5545074003023043</v>
      </c>
      <c r="E150" s="90">
        <v>2.484717529284413</v>
      </c>
      <c r="F150" s="90">
        <v>1.1726424446334791</v>
      </c>
      <c r="G150" s="90">
        <v>1.8729146183194769</v>
      </c>
      <c r="H150" s="90">
        <v>2.5976641475480302</v>
      </c>
      <c r="I150" s="90">
        <v>1.2206258021819101</v>
      </c>
      <c r="J150" s="90">
        <v>1.629978041175663</v>
      </c>
      <c r="K150" s="29">
        <f t="shared" si="9"/>
        <v>1.4326084445290821E-2</v>
      </c>
      <c r="L150" s="29">
        <f t="shared" si="10"/>
        <v>-1.0305200273721504E-2</v>
      </c>
      <c r="M150" s="29">
        <f t="shared" si="11"/>
        <v>7.930960889671157E-3</v>
      </c>
      <c r="N150" s="29">
        <f t="shared" si="12"/>
        <v>1.2049409149599288E-2</v>
      </c>
      <c r="O150" s="29">
        <f t="shared" si="13"/>
        <v>8.0528084937883104E-3</v>
      </c>
      <c r="P150" s="29">
        <f t="shared" si="14"/>
        <v>6.1275113651855229E-3</v>
      </c>
      <c r="Q150" s="29">
        <f t="shared" si="15"/>
        <v>2.1197082321261274E-2</v>
      </c>
    </row>
    <row r="151" spans="2:17" ht="13.95" customHeight="1" x14ac:dyDescent="0.3">
      <c r="B151" s="89">
        <v>43539</v>
      </c>
      <c r="C151" s="91">
        <f t="shared" ref="C151:C214" si="16">IF(B151&gt;$C$17,1,0)</f>
        <v>0</v>
      </c>
      <c r="D151" s="90">
        <v>5.8090273028082517</v>
      </c>
      <c r="E151" s="90">
        <v>2.6004298172096072</v>
      </c>
      <c r="F151" s="90">
        <v>1.172164368431263</v>
      </c>
      <c r="G151" s="90">
        <v>1.962353886438079</v>
      </c>
      <c r="H151" s="90">
        <v>2.7004630036086898</v>
      </c>
      <c r="I151" s="90">
        <v>1.2159913079023259</v>
      </c>
      <c r="J151" s="90">
        <v>1.6693497282405729</v>
      </c>
      <c r="K151" s="29">
        <f t="shared" ref="K151:K214" si="17">D151/D150-1</f>
        <v>4.5822227636620916E-2</v>
      </c>
      <c r="L151" s="29">
        <f t="shared" ref="L151:L214" si="18">E151/E150-1</f>
        <v>4.6569594556093774E-2</v>
      </c>
      <c r="M151" s="29">
        <f t="shared" ref="M151:M214" si="19">F151/F150-1</f>
        <v>-4.0769136781970694E-4</v>
      </c>
      <c r="N151" s="29">
        <f t="shared" ref="N151:N214" si="20">G151/G150-1</f>
        <v>4.7754055226956194E-2</v>
      </c>
      <c r="O151" s="29">
        <f t="shared" ref="O151:O214" si="21">H151/H150-1</f>
        <v>3.9573574650785037E-2</v>
      </c>
      <c r="P151" s="29">
        <f t="shared" ref="P151:P214" si="22">I151/I150-1</f>
        <v>-3.7968182151317809E-3</v>
      </c>
      <c r="Q151" s="29">
        <f t="shared" ref="Q151:Q214" si="23">J151/J150-1</f>
        <v>2.4154734646923304E-2</v>
      </c>
    </row>
    <row r="152" spans="2:17" ht="13.95" customHeight="1" x14ac:dyDescent="0.3">
      <c r="B152" s="89">
        <v>43546</v>
      </c>
      <c r="C152" s="91">
        <f t="shared" si="16"/>
        <v>0</v>
      </c>
      <c r="D152" s="90">
        <v>5.312733647047855</v>
      </c>
      <c r="E152" s="90">
        <v>2.5122702451689589</v>
      </c>
      <c r="F152" s="90">
        <v>1.105363800477448</v>
      </c>
      <c r="G152" s="90">
        <v>1.9025617355152651</v>
      </c>
      <c r="H152" s="90">
        <v>2.5533278359736502</v>
      </c>
      <c r="I152" s="90">
        <v>1.146104687961147</v>
      </c>
      <c r="J152" s="90">
        <v>1.5799094729153991</v>
      </c>
      <c r="K152" s="29">
        <f t="shared" si="17"/>
        <v>-8.5434898114607583E-2</v>
      </c>
      <c r="L152" s="29">
        <f t="shared" si="18"/>
        <v>-3.390192323484742E-2</v>
      </c>
      <c r="M152" s="29">
        <f t="shared" si="19"/>
        <v>-5.6989079136756216E-2</v>
      </c>
      <c r="N152" s="29">
        <f t="shared" si="20"/>
        <v>-3.0469606596465693E-2</v>
      </c>
      <c r="O152" s="29">
        <f t="shared" si="21"/>
        <v>-5.448516326215902E-2</v>
      </c>
      <c r="P152" s="29">
        <f t="shared" si="22"/>
        <v>-5.747296011658054E-2</v>
      </c>
      <c r="Q152" s="29">
        <f t="shared" si="23"/>
        <v>-5.357790150985331E-2</v>
      </c>
    </row>
    <row r="153" spans="2:17" ht="13.95" customHeight="1" x14ac:dyDescent="0.3">
      <c r="B153" s="89">
        <v>43553</v>
      </c>
      <c r="C153" s="91">
        <f t="shared" si="16"/>
        <v>0</v>
      </c>
      <c r="D153" s="90">
        <v>5.4331729925565044</v>
      </c>
      <c r="E153" s="90">
        <v>2.567450002928727</v>
      </c>
      <c r="F153" s="90">
        <v>1.1113510078655211</v>
      </c>
      <c r="G153" s="90">
        <v>1.9336129465928209</v>
      </c>
      <c r="H153" s="90">
        <v>2.5992507209822389</v>
      </c>
      <c r="I153" s="90">
        <v>1.1550703223352561</v>
      </c>
      <c r="J153" s="90">
        <v>1.5617777002437421</v>
      </c>
      <c r="K153" s="29">
        <f t="shared" si="17"/>
        <v>2.2669938587185579E-2</v>
      </c>
      <c r="L153" s="29">
        <f t="shared" si="18"/>
        <v>2.196410114153835E-2</v>
      </c>
      <c r="M153" s="29">
        <f t="shared" si="19"/>
        <v>5.4165039469240561E-3</v>
      </c>
      <c r="N153" s="29">
        <f t="shared" si="20"/>
        <v>1.6320737717951728E-2</v>
      </c>
      <c r="O153" s="29">
        <f t="shared" si="21"/>
        <v>1.798550282560063E-2</v>
      </c>
      <c r="P153" s="29">
        <f t="shared" si="22"/>
        <v>7.8227010745923753E-3</v>
      </c>
      <c r="Q153" s="29">
        <f t="shared" si="23"/>
        <v>-1.1476463039492124E-2</v>
      </c>
    </row>
    <row r="154" spans="2:17" ht="13.95" customHeight="1" x14ac:dyDescent="0.3">
      <c r="B154" s="89">
        <v>43560</v>
      </c>
      <c r="C154" s="91">
        <f t="shared" si="16"/>
        <v>0</v>
      </c>
      <c r="D154" s="90">
        <v>5.5101480016221087</v>
      </c>
      <c r="E154" s="90">
        <v>2.6487095668191309</v>
      </c>
      <c r="F154" s="90">
        <v>1.116130018635499</v>
      </c>
      <c r="G154" s="90">
        <v>1.971174199608299</v>
      </c>
      <c r="H154" s="90">
        <v>2.645409292443599</v>
      </c>
      <c r="I154" s="90">
        <v>1.151872618254455</v>
      </c>
      <c r="J154" s="90">
        <v>1.647504383277022</v>
      </c>
      <c r="K154" s="29">
        <f t="shared" si="17"/>
        <v>1.4167597676543853E-2</v>
      </c>
      <c r="L154" s="29">
        <f t="shared" si="18"/>
        <v>3.1649910922397773E-2</v>
      </c>
      <c r="M154" s="29">
        <f t="shared" si="19"/>
        <v>4.3001812534066985E-3</v>
      </c>
      <c r="N154" s="29">
        <f t="shared" si="20"/>
        <v>1.9425424866783114E-2</v>
      </c>
      <c r="O154" s="29">
        <f t="shared" si="21"/>
        <v>1.775841441102588E-2</v>
      </c>
      <c r="P154" s="29">
        <f t="shared" si="22"/>
        <v>-2.7684064069243286E-3</v>
      </c>
      <c r="Q154" s="29">
        <f t="shared" si="23"/>
        <v>5.4890451451509836E-2</v>
      </c>
    </row>
    <row r="155" spans="2:17" ht="13.95" customHeight="1" x14ac:dyDescent="0.3">
      <c r="B155" s="89">
        <v>43567</v>
      </c>
      <c r="C155" s="91">
        <f t="shared" si="16"/>
        <v>0</v>
      </c>
      <c r="D155" s="90">
        <v>5.2581889380119637</v>
      </c>
      <c r="E155" s="90">
        <v>2.600239498219072</v>
      </c>
      <c r="F155" s="90">
        <v>1.0690323839810141</v>
      </c>
      <c r="G155" s="90">
        <v>1.859090017340197</v>
      </c>
      <c r="H155" s="90">
        <v>2.5301583469213509</v>
      </c>
      <c r="I155" s="90">
        <v>1.1033449727651219</v>
      </c>
      <c r="J155" s="90">
        <v>1.5772271725636919</v>
      </c>
      <c r="K155" s="29">
        <f t="shared" si="17"/>
        <v>-4.572636951602238E-2</v>
      </c>
      <c r="L155" s="29">
        <f t="shared" si="18"/>
        <v>-1.8299502975808402E-2</v>
      </c>
      <c r="M155" s="29">
        <f t="shared" si="19"/>
        <v>-4.2197265433343567E-2</v>
      </c>
      <c r="N155" s="29">
        <f t="shared" si="20"/>
        <v>-5.6861632163395237E-2</v>
      </c>
      <c r="O155" s="29">
        <f t="shared" si="21"/>
        <v>-4.356639475466173E-2</v>
      </c>
      <c r="P155" s="29">
        <f t="shared" si="22"/>
        <v>-4.2129350694065204E-2</v>
      </c>
      <c r="Q155" s="29">
        <f t="shared" si="23"/>
        <v>-4.2656767063370626E-2</v>
      </c>
    </row>
    <row r="156" spans="2:17" ht="13.95" customHeight="1" x14ac:dyDescent="0.3">
      <c r="B156" s="89">
        <v>43574</v>
      </c>
      <c r="C156" s="91">
        <f t="shared" si="16"/>
        <v>0</v>
      </c>
      <c r="D156" s="90">
        <v>5.3059071588768134</v>
      </c>
      <c r="E156" s="90">
        <v>2.6472189803673989</v>
      </c>
      <c r="F156" s="90">
        <v>1.0805420470156339</v>
      </c>
      <c r="G156" s="90">
        <v>1.9182599071833619</v>
      </c>
      <c r="H156" s="90">
        <v>2.576544668098443</v>
      </c>
      <c r="I156" s="90">
        <v>1.111938313459389</v>
      </c>
      <c r="J156" s="90">
        <v>1.6260047701920859</v>
      </c>
      <c r="K156" s="29">
        <f t="shared" si="17"/>
        <v>9.0750297160091531E-3</v>
      </c>
      <c r="L156" s="29">
        <f t="shared" si="18"/>
        <v>1.8067367325395933E-2</v>
      </c>
      <c r="M156" s="29">
        <f t="shared" si="19"/>
        <v>1.0766430659245874E-2</v>
      </c>
      <c r="N156" s="29">
        <f t="shared" si="20"/>
        <v>3.1827339876645322E-2</v>
      </c>
      <c r="O156" s="29">
        <f t="shared" si="21"/>
        <v>1.8333366855688649E-2</v>
      </c>
      <c r="P156" s="29">
        <f t="shared" si="22"/>
        <v>7.7884441461051335E-3</v>
      </c>
      <c r="Q156" s="29">
        <f t="shared" si="23"/>
        <v>3.0926171243365497E-2</v>
      </c>
    </row>
    <row r="157" spans="2:17" ht="13.95" customHeight="1" x14ac:dyDescent="0.3">
      <c r="B157" s="89">
        <v>43581</v>
      </c>
      <c r="C157" s="91">
        <f t="shared" si="16"/>
        <v>0</v>
      </c>
      <c r="D157" s="90">
        <v>5.4812803068306932</v>
      </c>
      <c r="E157" s="90">
        <v>2.7815916737193578</v>
      </c>
      <c r="F157" s="90">
        <v>1.1083032357470679</v>
      </c>
      <c r="G157" s="90">
        <v>1.874897401218675</v>
      </c>
      <c r="H157" s="90">
        <v>2.6217248137728779</v>
      </c>
      <c r="I157" s="90">
        <v>1.143217997180382</v>
      </c>
      <c r="J157" s="90">
        <v>1.6415369549078269</v>
      </c>
      <c r="K157" s="29">
        <f t="shared" si="17"/>
        <v>3.3052434334528424E-2</v>
      </c>
      <c r="L157" s="29">
        <f t="shared" si="18"/>
        <v>5.0759946324240079E-2</v>
      </c>
      <c r="M157" s="29">
        <f t="shared" si="19"/>
        <v>2.5691909730035878E-2</v>
      </c>
      <c r="N157" s="29">
        <f t="shared" si="20"/>
        <v>-2.2605125511045765E-2</v>
      </c>
      <c r="O157" s="29">
        <f t="shared" si="21"/>
        <v>1.7535168799452272E-2</v>
      </c>
      <c r="P157" s="29">
        <f t="shared" si="22"/>
        <v>2.8130772491935963E-2</v>
      </c>
      <c r="Q157" s="29">
        <f t="shared" si="23"/>
        <v>9.5523611003343056E-3</v>
      </c>
    </row>
    <row r="158" spans="2:17" ht="13.95" customHeight="1" x14ac:dyDescent="0.3">
      <c r="B158" s="89">
        <v>43588</v>
      </c>
      <c r="C158" s="91">
        <f t="shared" si="16"/>
        <v>0</v>
      </c>
      <c r="D158" s="90">
        <v>5.4773509988417048</v>
      </c>
      <c r="E158" s="90">
        <v>2.785065027076767</v>
      </c>
      <c r="F158" s="90">
        <v>1.108881665780207</v>
      </c>
      <c r="G158" s="90">
        <v>1.8607601066692141</v>
      </c>
      <c r="H158" s="90">
        <v>2.615834184516078</v>
      </c>
      <c r="I158" s="90">
        <v>1.1445788249563249</v>
      </c>
      <c r="J158" s="90">
        <v>1.634969610785266</v>
      </c>
      <c r="K158" s="29">
        <f t="shared" si="17"/>
        <v>-7.1685952351163706E-4</v>
      </c>
      <c r="L158" s="29">
        <f t="shared" si="18"/>
        <v>1.2486927503507772E-3</v>
      </c>
      <c r="M158" s="29">
        <f t="shared" si="19"/>
        <v>5.2190593195300394E-4</v>
      </c>
      <c r="N158" s="29">
        <f t="shared" si="20"/>
        <v>-7.5403030268599291E-3</v>
      </c>
      <c r="O158" s="29">
        <f t="shared" si="21"/>
        <v>-2.2468526162068292E-3</v>
      </c>
      <c r="P158" s="29">
        <f t="shared" si="22"/>
        <v>1.1903484543622778E-3</v>
      </c>
      <c r="Q158" s="29">
        <f t="shared" si="23"/>
        <v>-4.0007287700261074E-3</v>
      </c>
    </row>
    <row r="159" spans="2:17" ht="13.95" customHeight="1" x14ac:dyDescent="0.3">
      <c r="B159" s="89">
        <v>43595</v>
      </c>
      <c r="C159" s="91">
        <f t="shared" si="16"/>
        <v>0</v>
      </c>
      <c r="D159" s="90">
        <v>5.3162168617665682</v>
      </c>
      <c r="E159" s="90">
        <v>2.7210333662514108</v>
      </c>
      <c r="F159" s="90">
        <v>1.111518410875578</v>
      </c>
      <c r="G159" s="90">
        <v>1.836126193407192</v>
      </c>
      <c r="H159" s="90">
        <v>2.567159061658852</v>
      </c>
      <c r="I159" s="90">
        <v>1.14965733986838</v>
      </c>
      <c r="J159" s="90">
        <v>1.6161158114771439</v>
      </c>
      <c r="K159" s="29">
        <f t="shared" si="17"/>
        <v>-2.9418260233680771E-2</v>
      </c>
      <c r="L159" s="29">
        <f t="shared" si="18"/>
        <v>-2.2991082866228196E-2</v>
      </c>
      <c r="M159" s="29">
        <f t="shared" si="19"/>
        <v>2.3778417271564933E-3</v>
      </c>
      <c r="N159" s="29">
        <f t="shared" si="20"/>
        <v>-1.32386292965605E-2</v>
      </c>
      <c r="O159" s="29">
        <f t="shared" si="21"/>
        <v>-1.8607877802556794E-2</v>
      </c>
      <c r="P159" s="29">
        <f t="shared" si="22"/>
        <v>4.4370163079410219E-3</v>
      </c>
      <c r="Q159" s="29">
        <f t="shared" si="23"/>
        <v>-1.1531590057546559E-2</v>
      </c>
    </row>
    <row r="160" spans="2:17" ht="13.95" customHeight="1" x14ac:dyDescent="0.3">
      <c r="B160" s="89">
        <v>43602</v>
      </c>
      <c r="C160" s="91">
        <f t="shared" si="16"/>
        <v>0</v>
      </c>
      <c r="D160" s="90">
        <v>5.0734835963113154</v>
      </c>
      <c r="E160" s="90">
        <v>2.6869644907974162</v>
      </c>
      <c r="F160" s="90">
        <v>1.0395310127906701</v>
      </c>
      <c r="G160" s="90">
        <v>1.734273224290299</v>
      </c>
      <c r="H160" s="90">
        <v>2.4522108103757869</v>
      </c>
      <c r="I160" s="90">
        <v>1.0707300328448139</v>
      </c>
      <c r="J160" s="90">
        <v>1.5545775232064341</v>
      </c>
      <c r="K160" s="29">
        <f t="shared" si="17"/>
        <v>-4.5659022528022453E-2</v>
      </c>
      <c r="L160" s="29">
        <f t="shared" si="18"/>
        <v>-1.2520565119320537E-2</v>
      </c>
      <c r="M160" s="29">
        <f t="shared" si="19"/>
        <v>-6.4764917414369405E-2</v>
      </c>
      <c r="N160" s="29">
        <f t="shared" si="20"/>
        <v>-5.5471660653067856E-2</v>
      </c>
      <c r="O160" s="29">
        <f t="shared" si="21"/>
        <v>-4.4776442955890561E-2</v>
      </c>
      <c r="P160" s="29">
        <f t="shared" si="22"/>
        <v>-6.8652897073315899E-2</v>
      </c>
      <c r="Q160" s="29">
        <f t="shared" si="23"/>
        <v>-3.8077895057819666E-2</v>
      </c>
    </row>
    <row r="161" spans="2:17" ht="13.95" customHeight="1" x14ac:dyDescent="0.3">
      <c r="B161" s="89">
        <v>43609</v>
      </c>
      <c r="C161" s="91">
        <f t="shared" si="16"/>
        <v>0</v>
      </c>
      <c r="D161" s="90">
        <v>5.3544614756767057</v>
      </c>
      <c r="E161" s="90">
        <v>2.7705366703311829</v>
      </c>
      <c r="F161" s="90">
        <v>1.0926320422815441</v>
      </c>
      <c r="G161" s="90">
        <v>1.7824769027397001</v>
      </c>
      <c r="H161" s="90">
        <v>2.5533343370443728</v>
      </c>
      <c r="I161" s="90">
        <v>1.131795673667608</v>
      </c>
      <c r="J161" s="90">
        <v>1.572515383429459</v>
      </c>
      <c r="K161" s="29">
        <f t="shared" si="17"/>
        <v>5.5381647349697971E-2</v>
      </c>
      <c r="L161" s="29">
        <f t="shared" si="18"/>
        <v>3.110282246750673E-2</v>
      </c>
      <c r="M161" s="29">
        <f t="shared" si="19"/>
        <v>5.1081717464418697E-2</v>
      </c>
      <c r="N161" s="29">
        <f t="shared" si="20"/>
        <v>2.7794742935691064E-2</v>
      </c>
      <c r="O161" s="29">
        <f t="shared" si="21"/>
        <v>4.1237697118335914E-2</v>
      </c>
      <c r="P161" s="29">
        <f t="shared" si="22"/>
        <v>5.703178107421647E-2</v>
      </c>
      <c r="Q161" s="29">
        <f t="shared" si="23"/>
        <v>1.1538736380303893E-2</v>
      </c>
    </row>
    <row r="162" spans="2:17" ht="13.95" customHeight="1" x14ac:dyDescent="0.3">
      <c r="B162" s="89">
        <v>43616</v>
      </c>
      <c r="C162" s="91">
        <f t="shared" si="16"/>
        <v>0</v>
      </c>
      <c r="D162" s="90">
        <v>5.7101928692622961</v>
      </c>
      <c r="E162" s="90">
        <v>2.821966018733276</v>
      </c>
      <c r="F162" s="90">
        <v>1.15592470541543</v>
      </c>
      <c r="G162" s="90">
        <v>1.786994916225183</v>
      </c>
      <c r="H162" s="90">
        <v>2.645168233235303</v>
      </c>
      <c r="I162" s="90">
        <v>1.201015784851224</v>
      </c>
      <c r="J162" s="90">
        <v>1.6283023179863281</v>
      </c>
      <c r="K162" s="29">
        <f t="shared" si="17"/>
        <v>6.643644654117753E-2</v>
      </c>
      <c r="L162" s="29">
        <f t="shared" si="18"/>
        <v>1.8562955312172669E-2</v>
      </c>
      <c r="M162" s="29">
        <f t="shared" si="19"/>
        <v>5.7926786589310941E-2</v>
      </c>
      <c r="N162" s="29">
        <f t="shared" si="20"/>
        <v>2.5346827656160809E-3</v>
      </c>
      <c r="O162" s="29">
        <f t="shared" si="21"/>
        <v>3.5966263743287596E-2</v>
      </c>
      <c r="P162" s="29">
        <f t="shared" si="22"/>
        <v>6.1159547429004313E-2</v>
      </c>
      <c r="Q162" s="29">
        <f t="shared" si="23"/>
        <v>3.5476240897055478E-2</v>
      </c>
    </row>
    <row r="163" spans="2:17" ht="13.95" customHeight="1" x14ac:dyDescent="0.3">
      <c r="B163" s="89">
        <v>43623</v>
      </c>
      <c r="C163" s="91">
        <f t="shared" si="16"/>
        <v>0</v>
      </c>
      <c r="D163" s="90">
        <v>5.7476881974783023</v>
      </c>
      <c r="E163" s="90">
        <v>2.834069828237749</v>
      </c>
      <c r="F163" s="90">
        <v>1.1742442074071451</v>
      </c>
      <c r="G163" s="90">
        <v>1.8028015011839229</v>
      </c>
      <c r="H163" s="90">
        <v>2.6667555739270261</v>
      </c>
      <c r="I163" s="90">
        <v>1.223657192865409</v>
      </c>
      <c r="J163" s="90">
        <v>1.6172356487686139</v>
      </c>
      <c r="K163" s="29">
        <f t="shared" si="17"/>
        <v>6.5663855975586216E-3</v>
      </c>
      <c r="L163" s="29">
        <f t="shared" si="18"/>
        <v>4.2891407706979745E-3</v>
      </c>
      <c r="M163" s="29">
        <f t="shared" si="19"/>
        <v>1.5848352324238313E-2</v>
      </c>
      <c r="N163" s="29">
        <f t="shared" si="20"/>
        <v>8.8453441110674103E-3</v>
      </c>
      <c r="O163" s="29">
        <f t="shared" si="21"/>
        <v>8.1610464016950157E-3</v>
      </c>
      <c r="P163" s="29">
        <f t="shared" si="22"/>
        <v>1.8851882131582176E-2</v>
      </c>
      <c r="Q163" s="29">
        <f t="shared" si="23"/>
        <v>-6.7964462713533402E-3</v>
      </c>
    </row>
    <row r="164" spans="2:17" ht="13.95" customHeight="1" x14ac:dyDescent="0.3">
      <c r="B164" s="89">
        <v>43630</v>
      </c>
      <c r="C164" s="91">
        <f t="shared" si="16"/>
        <v>0</v>
      </c>
      <c r="D164" s="90">
        <v>5.5662195278361404</v>
      </c>
      <c r="E164" s="90">
        <v>2.843651974645133</v>
      </c>
      <c r="F164" s="90">
        <v>1.201808831002164</v>
      </c>
      <c r="G164" s="90">
        <v>1.8628009140094239</v>
      </c>
      <c r="H164" s="90">
        <v>2.6727595554547241</v>
      </c>
      <c r="I164" s="90">
        <v>1.2524828382866591</v>
      </c>
      <c r="J164" s="90">
        <v>1.6541659610322259</v>
      </c>
      <c r="K164" s="29">
        <f t="shared" si="17"/>
        <v>-3.1572462424419245E-2</v>
      </c>
      <c r="L164" s="29">
        <f t="shared" si="18"/>
        <v>3.3810551567610148E-3</v>
      </c>
      <c r="M164" s="29">
        <f t="shared" si="19"/>
        <v>2.347435347872362E-2</v>
      </c>
      <c r="N164" s="29">
        <f t="shared" si="20"/>
        <v>3.3281208600114187E-2</v>
      </c>
      <c r="O164" s="29">
        <f t="shared" si="21"/>
        <v>2.2514180101089742E-3</v>
      </c>
      <c r="P164" s="29">
        <f t="shared" si="22"/>
        <v>2.355696153246134E-2</v>
      </c>
      <c r="Q164" s="29">
        <f t="shared" si="23"/>
        <v>2.2835455236057456E-2</v>
      </c>
    </row>
    <row r="165" spans="2:17" ht="13.95" customHeight="1" x14ac:dyDescent="0.3">
      <c r="B165" s="89">
        <v>43637</v>
      </c>
      <c r="C165" s="91">
        <f t="shared" si="16"/>
        <v>0</v>
      </c>
      <c r="D165" s="90">
        <v>5.9000724282830479</v>
      </c>
      <c r="E165" s="90">
        <v>2.8978078995557319</v>
      </c>
      <c r="F165" s="90">
        <v>1.250342578026441</v>
      </c>
      <c r="G165" s="90">
        <v>1.921758029381992</v>
      </c>
      <c r="H165" s="90">
        <v>2.7810871140439088</v>
      </c>
      <c r="I165" s="90">
        <v>1.30136840420723</v>
      </c>
      <c r="J165" s="90">
        <v>1.7382893004976441</v>
      </c>
      <c r="K165" s="29">
        <f t="shared" si="17"/>
        <v>5.9978392655435364E-2</v>
      </c>
      <c r="L165" s="29">
        <f t="shared" si="18"/>
        <v>1.9044498199311866E-2</v>
      </c>
      <c r="M165" s="29">
        <f t="shared" si="19"/>
        <v>4.0383916120674268E-2</v>
      </c>
      <c r="N165" s="29">
        <f t="shared" si="20"/>
        <v>3.1649713573347338E-2</v>
      </c>
      <c r="O165" s="29">
        <f t="shared" si="21"/>
        <v>4.0530229652758543E-2</v>
      </c>
      <c r="P165" s="29">
        <f t="shared" si="22"/>
        <v>3.9030926753011785E-2</v>
      </c>
      <c r="Q165" s="29">
        <f t="shared" si="23"/>
        <v>5.0855441018097025E-2</v>
      </c>
    </row>
    <row r="166" spans="2:17" ht="13.95" customHeight="1" x14ac:dyDescent="0.3">
      <c r="B166" s="89">
        <v>43644</v>
      </c>
      <c r="C166" s="91">
        <f t="shared" si="16"/>
        <v>0</v>
      </c>
      <c r="D166" s="90">
        <v>5.8890415235876388</v>
      </c>
      <c r="E166" s="90">
        <v>2.8874765443000081</v>
      </c>
      <c r="F166" s="90">
        <v>1.23824610544253</v>
      </c>
      <c r="G166" s="90">
        <v>1.873906793544255</v>
      </c>
      <c r="H166" s="90">
        <v>2.7527577151517231</v>
      </c>
      <c r="I166" s="90">
        <v>1.286257254772017</v>
      </c>
      <c r="J166" s="90">
        <v>1.747241330077252</v>
      </c>
      <c r="K166" s="29">
        <f t="shared" si="17"/>
        <v>-1.8696219121870916E-3</v>
      </c>
      <c r="L166" s="29">
        <f t="shared" si="18"/>
        <v>-3.5652312416249998E-3</v>
      </c>
      <c r="M166" s="29">
        <f t="shared" si="19"/>
        <v>-9.6745266429335564E-3</v>
      </c>
      <c r="N166" s="29">
        <f t="shared" si="20"/>
        <v>-2.4899719478796767E-2</v>
      </c>
      <c r="O166" s="29">
        <f t="shared" si="21"/>
        <v>-1.0186447863904768E-2</v>
      </c>
      <c r="P166" s="29">
        <f t="shared" si="22"/>
        <v>-1.1611738371978042E-2</v>
      </c>
      <c r="Q166" s="29">
        <f t="shared" si="23"/>
        <v>5.1499077725698506E-3</v>
      </c>
    </row>
    <row r="167" spans="2:17" ht="13.95" customHeight="1" x14ac:dyDescent="0.3">
      <c r="B167" s="89">
        <v>43651</v>
      </c>
      <c r="C167" s="91">
        <f t="shared" si="16"/>
        <v>0</v>
      </c>
      <c r="D167" s="90">
        <v>6.1346425057046083</v>
      </c>
      <c r="E167" s="90">
        <v>3.0520005645385169</v>
      </c>
      <c r="F167" s="90">
        <v>1.2964658693165829</v>
      </c>
      <c r="G167" s="90">
        <v>1.8592378239936651</v>
      </c>
      <c r="H167" s="90">
        <v>2.8382410139479499</v>
      </c>
      <c r="I167" s="90">
        <v>1.3499229533220629</v>
      </c>
      <c r="J167" s="90">
        <v>1.796834915734985</v>
      </c>
      <c r="K167" s="29">
        <f t="shared" si="17"/>
        <v>4.1704746202459786E-2</v>
      </c>
      <c r="L167" s="29">
        <f t="shared" si="18"/>
        <v>5.6978478513803221E-2</v>
      </c>
      <c r="M167" s="29">
        <f t="shared" si="19"/>
        <v>4.7017926095754614E-2</v>
      </c>
      <c r="N167" s="29">
        <f t="shared" si="20"/>
        <v>-7.8280144995074297E-3</v>
      </c>
      <c r="O167" s="29">
        <f t="shared" si="21"/>
        <v>3.1053695109347856E-2</v>
      </c>
      <c r="P167" s="29">
        <f t="shared" si="22"/>
        <v>4.9496862555173937E-2</v>
      </c>
      <c r="Q167" s="29">
        <f t="shared" si="23"/>
        <v>2.8383935752904987E-2</v>
      </c>
    </row>
    <row r="168" spans="2:17" ht="13.95" customHeight="1" x14ac:dyDescent="0.3">
      <c r="B168" s="89">
        <v>43658</v>
      </c>
      <c r="C168" s="91">
        <f t="shared" si="16"/>
        <v>0</v>
      </c>
      <c r="D168" s="90">
        <v>5.9535409982892</v>
      </c>
      <c r="E168" s="90">
        <v>3.0426114673051279</v>
      </c>
      <c r="F168" s="90">
        <v>1.309903028751648</v>
      </c>
      <c r="G168" s="90">
        <v>1.912615613206931</v>
      </c>
      <c r="H168" s="90">
        <v>2.833233347293441</v>
      </c>
      <c r="I168" s="90">
        <v>1.363625583341322</v>
      </c>
      <c r="J168" s="90">
        <v>1.818404827365989</v>
      </c>
      <c r="K168" s="29">
        <f t="shared" si="17"/>
        <v>-2.9521118345038344E-2</v>
      </c>
      <c r="L168" s="29">
        <f t="shared" si="18"/>
        <v>-3.076374671250659E-3</v>
      </c>
      <c r="M168" s="29">
        <f t="shared" si="19"/>
        <v>1.0364452896973075E-2</v>
      </c>
      <c r="N168" s="29">
        <f t="shared" si="20"/>
        <v>2.8709500486930661E-2</v>
      </c>
      <c r="O168" s="29">
        <f t="shared" si="21"/>
        <v>-1.7643556801201221E-3</v>
      </c>
      <c r="P168" s="29">
        <f t="shared" si="22"/>
        <v>1.0150675625996142E-2</v>
      </c>
      <c r="Q168" s="29">
        <f t="shared" si="23"/>
        <v>1.2004392524942009E-2</v>
      </c>
    </row>
    <row r="169" spans="2:17" ht="13.95" customHeight="1" x14ac:dyDescent="0.3">
      <c r="B169" s="89">
        <v>43665</v>
      </c>
      <c r="C169" s="91">
        <f t="shared" si="16"/>
        <v>0</v>
      </c>
      <c r="D169" s="90">
        <v>5.9420049134613961</v>
      </c>
      <c r="E169" s="90">
        <v>3.0265781106629528</v>
      </c>
      <c r="F169" s="90">
        <v>1.3152425840971309</v>
      </c>
      <c r="G169" s="90">
        <v>1.8908898685190849</v>
      </c>
      <c r="H169" s="90">
        <v>2.8208610275248822</v>
      </c>
      <c r="I169" s="90">
        <v>1.3710069121323709</v>
      </c>
      <c r="J169" s="90">
        <v>1.8072048550321751</v>
      </c>
      <c r="K169" s="29">
        <f t="shared" si="17"/>
        <v>-1.9376846201477615E-3</v>
      </c>
      <c r="L169" s="29">
        <f t="shared" si="18"/>
        <v>-5.2696036988173489E-3</v>
      </c>
      <c r="M169" s="29">
        <f t="shared" si="19"/>
        <v>4.076298190234473E-3</v>
      </c>
      <c r="N169" s="29">
        <f t="shared" si="20"/>
        <v>-1.1359179825693233E-2</v>
      </c>
      <c r="O169" s="29">
        <f t="shared" si="21"/>
        <v>-4.3668551975706293E-3</v>
      </c>
      <c r="P169" s="29">
        <f t="shared" si="22"/>
        <v>5.4130172396460452E-3</v>
      </c>
      <c r="Q169" s="29">
        <f t="shared" si="23"/>
        <v>-6.1592293230090522E-3</v>
      </c>
    </row>
    <row r="170" spans="2:17" ht="13.95" customHeight="1" x14ac:dyDescent="0.3">
      <c r="B170" s="89">
        <v>43672</v>
      </c>
      <c r="C170" s="91">
        <f t="shared" si="16"/>
        <v>0</v>
      </c>
      <c r="D170" s="90">
        <v>5.9095127041653814</v>
      </c>
      <c r="E170" s="90">
        <v>3.1156724222078389</v>
      </c>
      <c r="F170" s="90">
        <v>1.3362167382885131</v>
      </c>
      <c r="G170" s="90">
        <v>1.808392842495592</v>
      </c>
      <c r="H170" s="90">
        <v>2.803641464658488</v>
      </c>
      <c r="I170" s="90">
        <v>1.393122999806381</v>
      </c>
      <c r="J170" s="90">
        <v>1.8334444236711991</v>
      </c>
      <c r="K170" s="29">
        <f t="shared" si="17"/>
        <v>-5.468223229234459E-3</v>
      </c>
      <c r="L170" s="29">
        <f t="shared" si="18"/>
        <v>2.9437307839833116E-2</v>
      </c>
      <c r="M170" s="29">
        <f t="shared" si="19"/>
        <v>1.5946985328018526E-2</v>
      </c>
      <c r="N170" s="29">
        <f t="shared" si="20"/>
        <v>-4.3628678431760437E-2</v>
      </c>
      <c r="O170" s="29">
        <f t="shared" si="21"/>
        <v>-6.1043641279638905E-3</v>
      </c>
      <c r="P170" s="29">
        <f t="shared" si="22"/>
        <v>1.6131273648804845E-2</v>
      </c>
      <c r="Q170" s="29">
        <f t="shared" si="23"/>
        <v>1.4519421285284606E-2</v>
      </c>
    </row>
    <row r="171" spans="2:17" ht="13.95" customHeight="1" x14ac:dyDescent="0.3">
      <c r="B171" s="89">
        <v>43679</v>
      </c>
      <c r="C171" s="91">
        <f t="shared" si="16"/>
        <v>0</v>
      </c>
      <c r="D171" s="90">
        <v>5.692427819140911</v>
      </c>
      <c r="E171" s="90">
        <v>3.231927078404321</v>
      </c>
      <c r="F171" s="90">
        <v>1.4017095200931129</v>
      </c>
      <c r="G171" s="90">
        <v>1.7832544838886051</v>
      </c>
      <c r="H171" s="90">
        <v>2.7997240896679099</v>
      </c>
      <c r="I171" s="90">
        <v>1.468043308279074</v>
      </c>
      <c r="J171" s="90">
        <v>1.8554353729136741</v>
      </c>
      <c r="K171" s="29">
        <f t="shared" si="17"/>
        <v>-3.6734819923723294E-2</v>
      </c>
      <c r="L171" s="29">
        <f t="shared" si="18"/>
        <v>3.7312862343243713E-2</v>
      </c>
      <c r="M171" s="29">
        <f t="shared" si="19"/>
        <v>4.901359182828835E-2</v>
      </c>
      <c r="N171" s="29">
        <f t="shared" si="20"/>
        <v>-1.3900939008526403E-2</v>
      </c>
      <c r="O171" s="29">
        <f t="shared" si="21"/>
        <v>-1.3972453467958612E-3</v>
      </c>
      <c r="P171" s="29">
        <f t="shared" si="22"/>
        <v>5.377867459162311E-2</v>
      </c>
      <c r="Q171" s="29">
        <f t="shared" si="23"/>
        <v>1.1994336429593799E-2</v>
      </c>
    </row>
    <row r="172" spans="2:17" ht="13.95" customHeight="1" x14ac:dyDescent="0.3">
      <c r="B172" s="89">
        <v>43686</v>
      </c>
      <c r="C172" s="91">
        <f t="shared" si="16"/>
        <v>0</v>
      </c>
      <c r="D172" s="90">
        <v>5.8957629022411107</v>
      </c>
      <c r="E172" s="90">
        <v>3.305401030648393</v>
      </c>
      <c r="F172" s="90">
        <v>1.426343936541564</v>
      </c>
      <c r="G172" s="90">
        <v>1.7361889849727841</v>
      </c>
      <c r="H172" s="90">
        <v>2.8362471305440149</v>
      </c>
      <c r="I172" s="90">
        <v>1.494590293555887</v>
      </c>
      <c r="J172" s="90">
        <v>1.880407389261961</v>
      </c>
      <c r="K172" s="29">
        <f t="shared" si="17"/>
        <v>3.5720274294296805E-2</v>
      </c>
      <c r="L172" s="29">
        <f t="shared" si="18"/>
        <v>2.2733790231538098E-2</v>
      </c>
      <c r="M172" s="29">
        <f t="shared" si="19"/>
        <v>1.7574551713692266E-2</v>
      </c>
      <c r="N172" s="29">
        <f t="shared" si="20"/>
        <v>-2.6393035509541529E-2</v>
      </c>
      <c r="O172" s="29">
        <f t="shared" si="21"/>
        <v>1.304522863909674E-2</v>
      </c>
      <c r="P172" s="29">
        <f t="shared" si="22"/>
        <v>1.8083243952750294E-2</v>
      </c>
      <c r="Q172" s="29">
        <f t="shared" si="23"/>
        <v>1.3458844599406383E-2</v>
      </c>
    </row>
    <row r="173" spans="2:17" ht="13.95" customHeight="1" x14ac:dyDescent="0.3">
      <c r="B173" s="89">
        <v>43693</v>
      </c>
      <c r="C173" s="91">
        <f t="shared" si="16"/>
        <v>0</v>
      </c>
      <c r="D173" s="90">
        <v>5.6928875628400304</v>
      </c>
      <c r="E173" s="90">
        <v>3.2263740260857312</v>
      </c>
      <c r="F173" s="90">
        <v>1.355179069630053</v>
      </c>
      <c r="G173" s="90">
        <v>1.638219052496565</v>
      </c>
      <c r="H173" s="90">
        <v>2.7212353360096069</v>
      </c>
      <c r="I173" s="90">
        <v>1.423160270483953</v>
      </c>
      <c r="J173" s="90">
        <v>1.754480200144203</v>
      </c>
      <c r="K173" s="29">
        <f t="shared" si="17"/>
        <v>-3.4410362622276258E-2</v>
      </c>
      <c r="L173" s="29">
        <f t="shared" si="18"/>
        <v>-2.3908446760289137E-2</v>
      </c>
      <c r="M173" s="29">
        <f t="shared" si="19"/>
        <v>-4.989320253575269E-2</v>
      </c>
      <c r="N173" s="29">
        <f t="shared" si="20"/>
        <v>-5.6428150002204358E-2</v>
      </c>
      <c r="O173" s="29">
        <f t="shared" si="21"/>
        <v>-4.0550695775352863E-2</v>
      </c>
      <c r="P173" s="29">
        <f t="shared" si="22"/>
        <v>-4.7792377201908431E-2</v>
      </c>
      <c r="Q173" s="29">
        <f t="shared" si="23"/>
        <v>-6.6968035669750847E-2</v>
      </c>
    </row>
    <row r="174" spans="2:17" ht="13.95" customHeight="1" x14ac:dyDescent="0.3">
      <c r="B174" s="89">
        <v>43700</v>
      </c>
      <c r="C174" s="91">
        <f t="shared" si="16"/>
        <v>0</v>
      </c>
      <c r="D174" s="90">
        <v>5.5149466438929249</v>
      </c>
      <c r="E174" s="90">
        <v>3.194122652494308</v>
      </c>
      <c r="F174" s="90">
        <v>1.308741501530579</v>
      </c>
      <c r="G174" s="90">
        <v>1.62212994879785</v>
      </c>
      <c r="H174" s="90">
        <v>2.6623093151207442</v>
      </c>
      <c r="I174" s="90">
        <v>1.3715882344387631</v>
      </c>
      <c r="J174" s="90">
        <v>1.723042921058874</v>
      </c>
      <c r="K174" s="29">
        <f t="shared" si="17"/>
        <v>-3.1256707072278012E-2</v>
      </c>
      <c r="L174" s="29">
        <f t="shared" si="18"/>
        <v>-9.9961670068832165E-3</v>
      </c>
      <c r="M174" s="29">
        <f t="shared" si="19"/>
        <v>-3.4266739459126172E-2</v>
      </c>
      <c r="N174" s="29">
        <f t="shared" si="20"/>
        <v>-9.8210942390127842E-3</v>
      </c>
      <c r="O174" s="29">
        <f t="shared" si="21"/>
        <v>-2.1654143656414271E-2</v>
      </c>
      <c r="P174" s="29">
        <f t="shared" si="22"/>
        <v>-3.6237686727758733E-2</v>
      </c>
      <c r="Q174" s="29">
        <f t="shared" si="23"/>
        <v>-1.7918286614317491E-2</v>
      </c>
    </row>
    <row r="175" spans="2:17" ht="13.95" customHeight="1" x14ac:dyDescent="0.3">
      <c r="B175" s="89">
        <v>43707</v>
      </c>
      <c r="C175" s="91">
        <f t="shared" si="16"/>
        <v>0</v>
      </c>
      <c r="D175" s="90">
        <v>5.6863635121152711</v>
      </c>
      <c r="E175" s="90">
        <v>3.2715547079310432</v>
      </c>
      <c r="F175" s="90">
        <v>1.3572600475408521</v>
      </c>
      <c r="G175" s="90">
        <v>1.7032501090930261</v>
      </c>
      <c r="H175" s="90">
        <v>2.756792038978721</v>
      </c>
      <c r="I175" s="90">
        <v>1.427083662239415</v>
      </c>
      <c r="J175" s="90">
        <v>1.739401692198592</v>
      </c>
      <c r="K175" s="29">
        <f t="shared" si="17"/>
        <v>3.1082235113220502E-2</v>
      </c>
      <c r="L175" s="29">
        <f t="shared" si="18"/>
        <v>2.4242041981784368E-2</v>
      </c>
      <c r="M175" s="29">
        <f t="shared" si="19"/>
        <v>3.7072673215856833E-2</v>
      </c>
      <c r="N175" s="29">
        <f t="shared" si="20"/>
        <v>5.0008422787147122E-2</v>
      </c>
      <c r="O175" s="29">
        <f t="shared" si="21"/>
        <v>3.5489010732658421E-2</v>
      </c>
      <c r="P175" s="29">
        <f t="shared" si="22"/>
        <v>4.0460705631059746E-2</v>
      </c>
      <c r="Q175" s="29">
        <f t="shared" si="23"/>
        <v>9.494117029693605E-3</v>
      </c>
    </row>
    <row r="176" spans="2:17" ht="13.95" customHeight="1" x14ac:dyDescent="0.3">
      <c r="B176" s="89">
        <v>43714</v>
      </c>
      <c r="C176" s="91">
        <f t="shared" si="16"/>
        <v>0</v>
      </c>
      <c r="D176" s="90">
        <v>5.8735989585694668</v>
      </c>
      <c r="E176" s="90">
        <v>3.2581934335306402</v>
      </c>
      <c r="F176" s="90">
        <v>1.36211826060415</v>
      </c>
      <c r="G176" s="90">
        <v>1.7457322414756911</v>
      </c>
      <c r="H176" s="90">
        <v>2.8059098935795088</v>
      </c>
      <c r="I176" s="90">
        <v>1.4311358472327369</v>
      </c>
      <c r="J176" s="90">
        <v>1.7566358025135631</v>
      </c>
      <c r="K176" s="29">
        <f t="shared" si="17"/>
        <v>3.2927097617884371E-2</v>
      </c>
      <c r="L176" s="29">
        <f t="shared" si="18"/>
        <v>-4.0840748797542625E-3</v>
      </c>
      <c r="M176" s="29">
        <f t="shared" si="19"/>
        <v>3.5794268549349528E-3</v>
      </c>
      <c r="N176" s="29">
        <f t="shared" si="20"/>
        <v>2.4941805173455345E-2</v>
      </c>
      <c r="O176" s="29">
        <f t="shared" si="21"/>
        <v>1.7817032952178735E-2</v>
      </c>
      <c r="P176" s="29">
        <f t="shared" si="22"/>
        <v>2.8394866401617591E-3</v>
      </c>
      <c r="Q176" s="29">
        <f t="shared" si="23"/>
        <v>9.9080680398713206E-3</v>
      </c>
    </row>
    <row r="177" spans="2:17" ht="13.95" customHeight="1" x14ac:dyDescent="0.3">
      <c r="B177" s="89">
        <v>43721</v>
      </c>
      <c r="C177" s="91">
        <f t="shared" si="16"/>
        <v>0</v>
      </c>
      <c r="D177" s="90">
        <v>5.8083823840167232</v>
      </c>
      <c r="E177" s="90">
        <v>3.268366619133428</v>
      </c>
      <c r="F177" s="90">
        <v>1.3497312341535761</v>
      </c>
      <c r="G177" s="90">
        <v>1.81279941641239</v>
      </c>
      <c r="H177" s="90">
        <v>2.821404454191617</v>
      </c>
      <c r="I177" s="90">
        <v>1.4069480048624179</v>
      </c>
      <c r="J177" s="90">
        <v>1.8571382375034711</v>
      </c>
      <c r="K177" s="29">
        <f t="shared" si="17"/>
        <v>-1.1103341411758061E-2</v>
      </c>
      <c r="L177" s="29">
        <f t="shared" si="18"/>
        <v>3.1223393608537098E-3</v>
      </c>
      <c r="M177" s="29">
        <f t="shared" si="19"/>
        <v>-9.0939434620601611E-3</v>
      </c>
      <c r="N177" s="29">
        <f t="shared" si="20"/>
        <v>3.8417790164662513E-2</v>
      </c>
      <c r="O177" s="29">
        <f t="shared" si="21"/>
        <v>5.5221162474115015E-3</v>
      </c>
      <c r="P177" s="29">
        <f t="shared" si="22"/>
        <v>-1.6901150521167474E-2</v>
      </c>
      <c r="Q177" s="29">
        <f t="shared" si="23"/>
        <v>5.7213017545298506E-2</v>
      </c>
    </row>
    <row r="178" spans="2:17" ht="13.95" customHeight="1" x14ac:dyDescent="0.3">
      <c r="B178" s="89">
        <v>43728</v>
      </c>
      <c r="C178" s="91">
        <f t="shared" si="16"/>
        <v>0</v>
      </c>
      <c r="D178" s="90">
        <v>5.8765025825361787</v>
      </c>
      <c r="E178" s="90">
        <v>3.3106018672107211</v>
      </c>
      <c r="F178" s="90">
        <v>1.4069898829462919</v>
      </c>
      <c r="G178" s="90">
        <v>1.8068489405511361</v>
      </c>
      <c r="H178" s="90">
        <v>2.85728532922885</v>
      </c>
      <c r="I178" s="90">
        <v>1.471172625088</v>
      </c>
      <c r="J178" s="90">
        <v>1.8886075022866311</v>
      </c>
      <c r="K178" s="29">
        <f t="shared" si="17"/>
        <v>1.1727912182039946E-2</v>
      </c>
      <c r="L178" s="29">
        <f t="shared" si="18"/>
        <v>1.2922432823185392E-2</v>
      </c>
      <c r="M178" s="29">
        <f t="shared" si="19"/>
        <v>4.2422259590534805E-2</v>
      </c>
      <c r="N178" s="29">
        <f t="shared" si="20"/>
        <v>-3.2824789148653277E-3</v>
      </c>
      <c r="O178" s="29">
        <f t="shared" si="21"/>
        <v>1.2717380871759332E-2</v>
      </c>
      <c r="P178" s="29">
        <f t="shared" si="22"/>
        <v>4.5648183162150691E-2</v>
      </c>
      <c r="Q178" s="29">
        <f t="shared" si="23"/>
        <v>1.6945030880126444E-2</v>
      </c>
    </row>
    <row r="179" spans="2:17" ht="13.95" customHeight="1" x14ac:dyDescent="0.3">
      <c r="B179" s="89">
        <v>43735</v>
      </c>
      <c r="C179" s="91">
        <f t="shared" si="16"/>
        <v>0</v>
      </c>
      <c r="D179" s="90">
        <v>5.9064497124123339</v>
      </c>
      <c r="E179" s="90">
        <v>3.3255621701206559</v>
      </c>
      <c r="F179" s="90">
        <v>1.398965693239278</v>
      </c>
      <c r="G179" s="90">
        <v>1.8114063311503801</v>
      </c>
      <c r="H179" s="90">
        <v>2.864456971372789</v>
      </c>
      <c r="I179" s="90">
        <v>1.468411114112508</v>
      </c>
      <c r="J179" s="90">
        <v>1.819158801795949</v>
      </c>
      <c r="K179" s="29">
        <f t="shared" si="17"/>
        <v>5.0960804416477767E-3</v>
      </c>
      <c r="L179" s="29">
        <f t="shared" si="18"/>
        <v>4.5189072893683235E-3</v>
      </c>
      <c r="M179" s="29">
        <f t="shared" si="19"/>
        <v>-5.7030898404265562E-3</v>
      </c>
      <c r="N179" s="29">
        <f t="shared" si="20"/>
        <v>2.522286449609723E-3</v>
      </c>
      <c r="O179" s="29">
        <f t="shared" si="21"/>
        <v>2.5099495911646841E-3</v>
      </c>
      <c r="P179" s="29">
        <f t="shared" si="22"/>
        <v>-1.8770815391747631E-3</v>
      </c>
      <c r="Q179" s="29">
        <f t="shared" si="23"/>
        <v>-3.6772437050364926E-2</v>
      </c>
    </row>
    <row r="180" spans="2:17" ht="13.95" customHeight="1" x14ac:dyDescent="0.3">
      <c r="B180" s="89">
        <v>43742</v>
      </c>
      <c r="C180" s="91">
        <f t="shared" si="16"/>
        <v>0</v>
      </c>
      <c r="D180" s="90">
        <v>5.6570965871430818</v>
      </c>
      <c r="E180" s="90">
        <v>3.3075215764277379</v>
      </c>
      <c r="F180" s="90">
        <v>1.4001371895754959</v>
      </c>
      <c r="G180" s="90">
        <v>1.7565370765095949</v>
      </c>
      <c r="H180" s="90">
        <v>2.795629622095881</v>
      </c>
      <c r="I180" s="90">
        <v>1.4736251836464791</v>
      </c>
      <c r="J180" s="90">
        <v>1.7791410731890229</v>
      </c>
      <c r="K180" s="29">
        <f t="shared" si="17"/>
        <v>-4.2217091046291233E-2</v>
      </c>
      <c r="L180" s="29">
        <f t="shared" si="18"/>
        <v>-5.4248252686442955E-3</v>
      </c>
      <c r="M180" s="29">
        <f t="shared" si="19"/>
        <v>8.3740176180113757E-4</v>
      </c>
      <c r="N180" s="29">
        <f t="shared" si="20"/>
        <v>-3.0290969892955544E-2</v>
      </c>
      <c r="O180" s="29">
        <f t="shared" si="21"/>
        <v>-2.4028061850732807E-2</v>
      </c>
      <c r="P180" s="29">
        <f t="shared" si="22"/>
        <v>3.5508240736261687E-3</v>
      </c>
      <c r="Q180" s="29">
        <f t="shared" si="23"/>
        <v>-2.1997930344189287E-2</v>
      </c>
    </row>
    <row r="181" spans="2:17" ht="13.95" customHeight="1" x14ac:dyDescent="0.3">
      <c r="B181" s="89">
        <v>43749</v>
      </c>
      <c r="C181" s="91">
        <f t="shared" si="16"/>
        <v>0</v>
      </c>
      <c r="D181" s="90">
        <v>5.7740182391748842</v>
      </c>
      <c r="E181" s="90">
        <v>3.2392098986352091</v>
      </c>
      <c r="F181" s="90">
        <v>1.4111493269919919</v>
      </c>
      <c r="G181" s="90">
        <v>1.8130828234823231</v>
      </c>
      <c r="H181" s="90">
        <v>2.8306077239590479</v>
      </c>
      <c r="I181" s="90">
        <v>1.4881597412376679</v>
      </c>
      <c r="J181" s="90">
        <v>1.762432233956525</v>
      </c>
      <c r="K181" s="29">
        <f t="shared" si="17"/>
        <v>2.0668137839034095E-2</v>
      </c>
      <c r="L181" s="29">
        <f t="shared" si="18"/>
        <v>-2.0653433761211648E-2</v>
      </c>
      <c r="M181" s="29">
        <f t="shared" si="19"/>
        <v>7.8650417248289362E-3</v>
      </c>
      <c r="N181" s="29">
        <f t="shared" si="20"/>
        <v>3.219160456612169E-2</v>
      </c>
      <c r="O181" s="29">
        <f t="shared" si="21"/>
        <v>1.2511708127110222E-2</v>
      </c>
      <c r="P181" s="29">
        <f t="shared" si="22"/>
        <v>9.8631305656864399E-3</v>
      </c>
      <c r="Q181" s="29">
        <f t="shared" si="23"/>
        <v>-9.3915201465998299E-3</v>
      </c>
    </row>
    <row r="182" spans="2:17" ht="13.95" customHeight="1" x14ac:dyDescent="0.3">
      <c r="B182" s="89">
        <v>43756</v>
      </c>
      <c r="C182" s="91">
        <f t="shared" si="16"/>
        <v>0</v>
      </c>
      <c r="D182" s="90">
        <v>5.8940780035361584</v>
      </c>
      <c r="E182" s="90">
        <v>3.2708779339973151</v>
      </c>
      <c r="F182" s="90">
        <v>1.4388074364519681</v>
      </c>
      <c r="G182" s="90">
        <v>1.7873820039844011</v>
      </c>
      <c r="H182" s="90">
        <v>2.8550263595797309</v>
      </c>
      <c r="I182" s="90">
        <v>1.5167141031732529</v>
      </c>
      <c r="J182" s="90">
        <v>1.8033685300804061</v>
      </c>
      <c r="K182" s="29">
        <f t="shared" si="17"/>
        <v>2.0793104453101119E-2</v>
      </c>
      <c r="L182" s="29">
        <f t="shared" si="18"/>
        <v>9.7764690628565631E-3</v>
      </c>
      <c r="M182" s="29">
        <f t="shared" si="19"/>
        <v>1.9599704248828287E-2</v>
      </c>
      <c r="N182" s="29">
        <f t="shared" si="20"/>
        <v>-1.417520433432784E-2</v>
      </c>
      <c r="O182" s="29">
        <f t="shared" si="21"/>
        <v>8.6266406376258598E-3</v>
      </c>
      <c r="P182" s="29">
        <f t="shared" si="22"/>
        <v>1.9187699508546707E-2</v>
      </c>
      <c r="Q182" s="29">
        <f t="shared" si="23"/>
        <v>2.3227160361214194E-2</v>
      </c>
    </row>
    <row r="183" spans="2:17" ht="13.95" customHeight="1" x14ac:dyDescent="0.3">
      <c r="B183" s="89">
        <v>43763</v>
      </c>
      <c r="C183" s="91">
        <f t="shared" si="16"/>
        <v>0</v>
      </c>
      <c r="D183" s="90">
        <v>6.2261164807524194</v>
      </c>
      <c r="E183" s="90">
        <v>3.2157576202867828</v>
      </c>
      <c r="F183" s="90">
        <v>1.4197556340796531</v>
      </c>
      <c r="G183" s="90">
        <v>1.862811701853343</v>
      </c>
      <c r="H183" s="90">
        <v>2.927083722257704</v>
      </c>
      <c r="I183" s="90">
        <v>1.4891710356833201</v>
      </c>
      <c r="J183" s="90">
        <v>1.857272063429088</v>
      </c>
      <c r="K183" s="29">
        <f t="shared" si="17"/>
        <v>5.633425228119715E-2</v>
      </c>
      <c r="L183" s="29">
        <f t="shared" si="18"/>
        <v>-1.6851840644254823E-2</v>
      </c>
      <c r="M183" s="29">
        <f t="shared" si="19"/>
        <v>-1.324138441993028E-2</v>
      </c>
      <c r="N183" s="29">
        <f t="shared" si="20"/>
        <v>4.2201218150790032E-2</v>
      </c>
      <c r="O183" s="29">
        <f t="shared" si="21"/>
        <v>2.5238773167957751E-2</v>
      </c>
      <c r="P183" s="29">
        <f t="shared" si="22"/>
        <v>-1.8159696301568995E-2</v>
      </c>
      <c r="Q183" s="29">
        <f t="shared" si="23"/>
        <v>2.9890470222566412E-2</v>
      </c>
    </row>
    <row r="184" spans="2:17" ht="13.95" customHeight="1" x14ac:dyDescent="0.3">
      <c r="B184" s="89">
        <v>43770</v>
      </c>
      <c r="C184" s="91">
        <f t="shared" si="16"/>
        <v>0</v>
      </c>
      <c r="D184" s="90">
        <v>6.171942419697384</v>
      </c>
      <c r="E184" s="90">
        <v>3.2424221132654432</v>
      </c>
      <c r="F184" s="90">
        <v>1.447778884578687</v>
      </c>
      <c r="G184" s="90">
        <v>1.9035719132545299</v>
      </c>
      <c r="H184" s="90">
        <v>2.9496898371614502</v>
      </c>
      <c r="I184" s="90">
        <v>1.5201772464360219</v>
      </c>
      <c r="J184" s="90">
        <v>1.877132074926158</v>
      </c>
      <c r="K184" s="29">
        <f t="shared" si="17"/>
        <v>-8.7010998304497544E-3</v>
      </c>
      <c r="L184" s="29">
        <f t="shared" si="18"/>
        <v>8.2918229938866439E-3</v>
      </c>
      <c r="M184" s="29">
        <f t="shared" si="19"/>
        <v>1.9738080150109694E-2</v>
      </c>
      <c r="N184" s="29">
        <f t="shared" si="20"/>
        <v>2.1881015327869013E-2</v>
      </c>
      <c r="O184" s="29">
        <f t="shared" si="21"/>
        <v>7.7230844925439968E-3</v>
      </c>
      <c r="P184" s="29">
        <f t="shared" si="22"/>
        <v>2.0821121288109312E-2</v>
      </c>
      <c r="Q184" s="29">
        <f t="shared" si="23"/>
        <v>1.0693108397055395E-2</v>
      </c>
    </row>
    <row r="185" spans="2:17" ht="13.95" customHeight="1" x14ac:dyDescent="0.3">
      <c r="B185" s="89">
        <v>43777</v>
      </c>
      <c r="C185" s="91">
        <f t="shared" si="16"/>
        <v>0</v>
      </c>
      <c r="D185" s="90">
        <v>6.0936997430356437</v>
      </c>
      <c r="E185" s="90">
        <v>3.2129294108311899</v>
      </c>
      <c r="F185" s="90">
        <v>1.4181295752617371</v>
      </c>
      <c r="G185" s="90">
        <v>1.934315392952187</v>
      </c>
      <c r="H185" s="90">
        <v>2.9343146435475469</v>
      </c>
      <c r="I185" s="90">
        <v>1.474078266458106</v>
      </c>
      <c r="J185" s="90">
        <v>1.9944471071668559</v>
      </c>
      <c r="K185" s="29">
        <f t="shared" si="17"/>
        <v>-1.2677155965038378E-2</v>
      </c>
      <c r="L185" s="29">
        <f t="shared" si="18"/>
        <v>-9.0958861628757104E-3</v>
      </c>
      <c r="M185" s="29">
        <f t="shared" si="19"/>
        <v>-2.0479169597488633E-2</v>
      </c>
      <c r="N185" s="29">
        <f t="shared" si="20"/>
        <v>1.6150416742120921E-2</v>
      </c>
      <c r="O185" s="29">
        <f t="shared" si="21"/>
        <v>-5.2124780782711877E-3</v>
      </c>
      <c r="P185" s="29">
        <f t="shared" si="22"/>
        <v>-3.0324740148553464E-2</v>
      </c>
      <c r="Q185" s="29">
        <f t="shared" si="23"/>
        <v>6.2496951497306164E-2</v>
      </c>
    </row>
    <row r="186" spans="2:17" ht="13.95" customHeight="1" x14ac:dyDescent="0.3">
      <c r="B186" s="89">
        <v>43784</v>
      </c>
      <c r="C186" s="91">
        <f t="shared" si="16"/>
        <v>0</v>
      </c>
      <c r="D186" s="90">
        <v>6.0538457938036068</v>
      </c>
      <c r="E186" s="90">
        <v>3.172519467708534</v>
      </c>
      <c r="F186" s="90">
        <v>1.444378343449759</v>
      </c>
      <c r="G186" s="90">
        <v>1.880059947887188</v>
      </c>
      <c r="H186" s="90">
        <v>2.9053947798969211</v>
      </c>
      <c r="I186" s="90">
        <v>1.5039345567725759</v>
      </c>
      <c r="J186" s="90">
        <v>2.0045977476839281</v>
      </c>
      <c r="K186" s="29">
        <f t="shared" si="17"/>
        <v>-6.5401891974715687E-3</v>
      </c>
      <c r="L186" s="29">
        <f t="shared" si="18"/>
        <v>-1.2577289431392025E-2</v>
      </c>
      <c r="M186" s="29">
        <f t="shared" si="19"/>
        <v>1.850942864877303E-2</v>
      </c>
      <c r="N186" s="29">
        <f t="shared" si="20"/>
        <v>-2.8048913461932057E-2</v>
      </c>
      <c r="O186" s="29">
        <f t="shared" si="21"/>
        <v>-9.8557473085647551E-3</v>
      </c>
      <c r="P186" s="29">
        <f t="shared" si="22"/>
        <v>2.0254209694176017E-2</v>
      </c>
      <c r="Q186" s="29">
        <f t="shared" si="23"/>
        <v>5.0894508461001298E-3</v>
      </c>
    </row>
    <row r="187" spans="2:17" ht="13.95" customHeight="1" x14ac:dyDescent="0.3">
      <c r="B187" s="89">
        <v>43791</v>
      </c>
      <c r="C187" s="91">
        <f t="shared" si="16"/>
        <v>0</v>
      </c>
      <c r="D187" s="90">
        <v>6.1015391181108418</v>
      </c>
      <c r="E187" s="90">
        <v>3.227719594350694</v>
      </c>
      <c r="F187" s="90">
        <v>1.4654427512834871</v>
      </c>
      <c r="G187" s="90">
        <v>1.957127569905539</v>
      </c>
      <c r="H187" s="90">
        <v>2.963910618860051</v>
      </c>
      <c r="I187" s="90">
        <v>1.5261270594602341</v>
      </c>
      <c r="J187" s="90">
        <v>2.0311312448407262</v>
      </c>
      <c r="K187" s="29">
        <f t="shared" si="17"/>
        <v>7.8781861863828073E-3</v>
      </c>
      <c r="L187" s="29">
        <f t="shared" si="18"/>
        <v>1.739946033555162E-2</v>
      </c>
      <c r="M187" s="29">
        <f t="shared" si="19"/>
        <v>1.4583718960655245E-2</v>
      </c>
      <c r="N187" s="29">
        <f t="shared" si="20"/>
        <v>4.0992108844699171E-2</v>
      </c>
      <c r="O187" s="29">
        <f t="shared" si="21"/>
        <v>2.0140408927562747E-2</v>
      </c>
      <c r="P187" s="29">
        <f t="shared" si="22"/>
        <v>1.475629547025159E-2</v>
      </c>
      <c r="Q187" s="29">
        <f t="shared" si="23"/>
        <v>1.3236319948705111E-2</v>
      </c>
    </row>
    <row r="188" spans="2:17" ht="13.95" customHeight="1" x14ac:dyDescent="0.3">
      <c r="B188" s="89">
        <v>43798</v>
      </c>
      <c r="C188" s="91">
        <f t="shared" si="16"/>
        <v>0</v>
      </c>
      <c r="D188" s="90">
        <v>5.9803818589332831</v>
      </c>
      <c r="E188" s="90">
        <v>3.2888655628334909</v>
      </c>
      <c r="F188" s="90">
        <v>1.4859165120644211</v>
      </c>
      <c r="G188" s="90">
        <v>1.933695058680742</v>
      </c>
      <c r="H188" s="90">
        <v>2.951535378552983</v>
      </c>
      <c r="I188" s="90">
        <v>1.5449873849850759</v>
      </c>
      <c r="J188" s="90">
        <v>2.0851218273040741</v>
      </c>
      <c r="K188" s="29">
        <f t="shared" si="17"/>
        <v>-1.9856835600370881E-2</v>
      </c>
      <c r="L188" s="29">
        <f t="shared" si="18"/>
        <v>1.8944015022190008E-2</v>
      </c>
      <c r="M188" s="29">
        <f t="shared" si="19"/>
        <v>1.397104101337443E-2</v>
      </c>
      <c r="N188" s="29">
        <f t="shared" si="20"/>
        <v>-1.1972909474637916E-2</v>
      </c>
      <c r="O188" s="29">
        <f t="shared" si="21"/>
        <v>-4.1753081986756202E-3</v>
      </c>
      <c r="P188" s="29">
        <f t="shared" si="22"/>
        <v>1.2358293110609209E-2</v>
      </c>
      <c r="Q188" s="29">
        <f t="shared" si="23"/>
        <v>2.6581533123715806E-2</v>
      </c>
    </row>
    <row r="189" spans="2:17" ht="13.95" customHeight="1" x14ac:dyDescent="0.3">
      <c r="B189" s="89">
        <v>43805</v>
      </c>
      <c r="C189" s="91">
        <f t="shared" si="16"/>
        <v>0</v>
      </c>
      <c r="D189" s="90">
        <v>6.1409186488472383</v>
      </c>
      <c r="E189" s="90">
        <v>3.3227579824246329</v>
      </c>
      <c r="F189" s="90">
        <v>1.5534072982534199</v>
      </c>
      <c r="G189" s="90">
        <v>1.9872402009384911</v>
      </c>
      <c r="H189" s="90">
        <v>3.030558913133568</v>
      </c>
      <c r="I189" s="90">
        <v>1.6123786641427871</v>
      </c>
      <c r="J189" s="90">
        <v>2.2092897976519552</v>
      </c>
      <c r="K189" s="29">
        <f t="shared" si="17"/>
        <v>2.6843902897964789E-2</v>
      </c>
      <c r="L189" s="29">
        <f t="shared" si="18"/>
        <v>1.0305200666804515E-2</v>
      </c>
      <c r="M189" s="29">
        <f t="shared" si="19"/>
        <v>4.5420308369298779E-2</v>
      </c>
      <c r="N189" s="29">
        <f t="shared" si="20"/>
        <v>2.769058234770494E-2</v>
      </c>
      <c r="O189" s="29">
        <f t="shared" si="21"/>
        <v>2.6773704003279386E-2</v>
      </c>
      <c r="P189" s="29">
        <f t="shared" si="22"/>
        <v>4.36193070653208E-2</v>
      </c>
      <c r="Q189" s="29">
        <f t="shared" si="23"/>
        <v>5.9549503881229926E-2</v>
      </c>
    </row>
    <row r="190" spans="2:17" ht="13.95" customHeight="1" x14ac:dyDescent="0.3">
      <c r="B190" s="89">
        <v>43812</v>
      </c>
      <c r="C190" s="91">
        <f t="shared" si="16"/>
        <v>0</v>
      </c>
      <c r="D190" s="90">
        <v>6.146187239617058</v>
      </c>
      <c r="E190" s="90">
        <v>3.325445814932535</v>
      </c>
      <c r="F190" s="90">
        <v>1.6277884575219279</v>
      </c>
      <c r="G190" s="90">
        <v>2.0177151050345579</v>
      </c>
      <c r="H190" s="90">
        <v>3.0699909372493819</v>
      </c>
      <c r="I190" s="90">
        <v>1.6923299796591049</v>
      </c>
      <c r="J190" s="90">
        <v>2.2859971145401849</v>
      </c>
      <c r="K190" s="29">
        <f t="shared" si="17"/>
        <v>8.5794830889174278E-4</v>
      </c>
      <c r="L190" s="29">
        <f t="shared" si="18"/>
        <v>8.0891612393041434E-4</v>
      </c>
      <c r="M190" s="29">
        <f t="shared" si="19"/>
        <v>4.7882586461476473E-2</v>
      </c>
      <c r="N190" s="29">
        <f t="shared" si="20"/>
        <v>1.5335289655309392E-2</v>
      </c>
      <c r="O190" s="29">
        <f t="shared" si="21"/>
        <v>1.3011469252396601E-2</v>
      </c>
      <c r="P190" s="29">
        <f t="shared" si="22"/>
        <v>4.9585942368459479E-2</v>
      </c>
      <c r="Q190" s="29">
        <f t="shared" si="23"/>
        <v>3.4720350842951664E-2</v>
      </c>
    </row>
    <row r="191" spans="2:17" ht="13.95" customHeight="1" x14ac:dyDescent="0.3">
      <c r="B191" s="89">
        <v>43819</v>
      </c>
      <c r="C191" s="91">
        <f t="shared" si="16"/>
        <v>0</v>
      </c>
      <c r="D191" s="90">
        <v>6.3437658700268846</v>
      </c>
      <c r="E191" s="90">
        <v>3.414670847107943</v>
      </c>
      <c r="F191" s="90">
        <v>1.635473236884923</v>
      </c>
      <c r="G191" s="90">
        <v>2.0604039980652908</v>
      </c>
      <c r="H191" s="90">
        <v>3.1408780829044032</v>
      </c>
      <c r="I191" s="90">
        <v>1.69947994809586</v>
      </c>
      <c r="J191" s="90">
        <v>2.30567795358483</v>
      </c>
      <c r="K191" s="29">
        <f t="shared" si="17"/>
        <v>3.2146536170631901E-2</v>
      </c>
      <c r="L191" s="29">
        <f t="shared" si="18"/>
        <v>2.6830998651294458E-2</v>
      </c>
      <c r="M191" s="29">
        <f t="shared" si="19"/>
        <v>4.7209938905046211E-3</v>
      </c>
      <c r="N191" s="29">
        <f t="shared" si="20"/>
        <v>2.115704686167863E-2</v>
      </c>
      <c r="O191" s="29">
        <f t="shared" si="21"/>
        <v>2.3090343621188003E-2</v>
      </c>
      <c r="P191" s="29">
        <f t="shared" si="22"/>
        <v>4.2249257075710478E-3</v>
      </c>
      <c r="Q191" s="29">
        <f t="shared" si="23"/>
        <v>8.6093017875936706E-3</v>
      </c>
    </row>
    <row r="192" spans="2:17" ht="13.95" customHeight="1" x14ac:dyDescent="0.3">
      <c r="B192" s="89">
        <v>43826</v>
      </c>
      <c r="C192" s="91">
        <f t="shared" si="16"/>
        <v>0</v>
      </c>
      <c r="D192" s="90">
        <v>6.3617462835149778</v>
      </c>
      <c r="E192" s="90">
        <v>3.4792731348344388</v>
      </c>
      <c r="F192" s="90">
        <v>1.6715172309706361</v>
      </c>
      <c r="G192" s="90">
        <v>2.0911259878062838</v>
      </c>
      <c r="H192" s="90">
        <v>3.181267950375505</v>
      </c>
      <c r="I192" s="90">
        <v>1.735375616916615</v>
      </c>
      <c r="J192" s="90">
        <v>2.3729986366102609</v>
      </c>
      <c r="K192" s="29">
        <f t="shared" si="17"/>
        <v>2.8343438040561164E-3</v>
      </c>
      <c r="L192" s="29">
        <f t="shared" si="18"/>
        <v>1.8919038062251481E-2</v>
      </c>
      <c r="M192" s="29">
        <f t="shared" si="19"/>
        <v>2.2038877355379904E-2</v>
      </c>
      <c r="N192" s="29">
        <f t="shared" si="20"/>
        <v>1.4910663039792604E-2</v>
      </c>
      <c r="O192" s="29">
        <f t="shared" si="21"/>
        <v>1.2859419055754273E-2</v>
      </c>
      <c r="P192" s="29">
        <f t="shared" si="22"/>
        <v>2.1121560663880379E-2</v>
      </c>
      <c r="Q192" s="29">
        <f t="shared" si="23"/>
        <v>2.9197782335890432E-2</v>
      </c>
    </row>
    <row r="193" spans="2:17" ht="13.95" customHeight="1" x14ac:dyDescent="0.3">
      <c r="B193" s="89">
        <v>43833</v>
      </c>
      <c r="C193" s="91">
        <f t="shared" si="16"/>
        <v>0</v>
      </c>
      <c r="D193" s="90">
        <v>6.4511369535814396</v>
      </c>
      <c r="E193" s="90">
        <v>3.529958129644557</v>
      </c>
      <c r="F193" s="90">
        <v>1.6794694837982631</v>
      </c>
      <c r="G193" s="90">
        <v>2.1027510672352152</v>
      </c>
      <c r="H193" s="90">
        <v>3.2135060193048579</v>
      </c>
      <c r="I193" s="90">
        <v>1.7441467377696731</v>
      </c>
      <c r="J193" s="90">
        <v>2.378837454749529</v>
      </c>
      <c r="K193" s="29">
        <f t="shared" si="17"/>
        <v>1.4051278702845726E-2</v>
      </c>
      <c r="L193" s="29">
        <f t="shared" si="18"/>
        <v>1.456769642563005E-2</v>
      </c>
      <c r="M193" s="29">
        <f t="shared" si="19"/>
        <v>4.7575057440534252E-3</v>
      </c>
      <c r="N193" s="29">
        <f t="shared" si="20"/>
        <v>5.5592439177358788E-3</v>
      </c>
      <c r="O193" s="29">
        <f t="shared" si="21"/>
        <v>1.0133716943128812E-2</v>
      </c>
      <c r="P193" s="29">
        <f t="shared" si="22"/>
        <v>5.0543068414448111E-3</v>
      </c>
      <c r="Q193" s="29">
        <f t="shared" si="23"/>
        <v>2.4605231748504597E-3</v>
      </c>
    </row>
    <row r="194" spans="2:17" ht="13.95" customHeight="1" x14ac:dyDescent="0.3">
      <c r="B194" s="89">
        <v>43840</v>
      </c>
      <c r="C194" s="91">
        <f t="shared" si="16"/>
        <v>0</v>
      </c>
      <c r="D194" s="90">
        <v>6.1090086618665982</v>
      </c>
      <c r="E194" s="90">
        <v>3.5560640364108251</v>
      </c>
      <c r="F194" s="90">
        <v>1.6738374654169439</v>
      </c>
      <c r="G194" s="90">
        <v>2.0969605080379199</v>
      </c>
      <c r="H194" s="90">
        <v>3.1562053112151021</v>
      </c>
      <c r="I194" s="90">
        <v>1.7419890518359931</v>
      </c>
      <c r="J194" s="90">
        <v>2.3318346537901768</v>
      </c>
      <c r="K194" s="29">
        <f t="shared" si="17"/>
        <v>-5.3033797635454683E-2</v>
      </c>
      <c r="L194" s="29">
        <f t="shared" si="18"/>
        <v>7.3955287307889694E-3</v>
      </c>
      <c r="M194" s="29">
        <f t="shared" si="19"/>
        <v>-3.3534508579351474E-3</v>
      </c>
      <c r="N194" s="29">
        <f t="shared" si="20"/>
        <v>-2.7538015733402643E-3</v>
      </c>
      <c r="O194" s="29">
        <f t="shared" si="21"/>
        <v>-1.7831212310021161E-2</v>
      </c>
      <c r="P194" s="29">
        <f t="shared" si="22"/>
        <v>-1.2371011492067208E-3</v>
      </c>
      <c r="Q194" s="29">
        <f t="shared" si="23"/>
        <v>-1.9758727468120019E-2</v>
      </c>
    </row>
    <row r="195" spans="2:17" ht="13.95" customHeight="1" x14ac:dyDescent="0.3">
      <c r="B195" s="89">
        <v>43847</v>
      </c>
      <c r="C195" s="91">
        <f t="shared" si="16"/>
        <v>0</v>
      </c>
      <c r="D195" s="90">
        <v>6.2247855699282226</v>
      </c>
      <c r="E195" s="90">
        <v>3.648622089876556</v>
      </c>
      <c r="F195" s="90">
        <v>1.7348022584271361</v>
      </c>
      <c r="G195" s="90">
        <v>2.1529093196353011</v>
      </c>
      <c r="H195" s="90">
        <v>3.2375144415228401</v>
      </c>
      <c r="I195" s="90">
        <v>1.804301247644259</v>
      </c>
      <c r="J195" s="90">
        <v>2.4287630839249048</v>
      </c>
      <c r="K195" s="29">
        <f t="shared" si="17"/>
        <v>1.8951832362642085E-2</v>
      </c>
      <c r="L195" s="29">
        <f t="shared" si="18"/>
        <v>2.6028230233770211E-2</v>
      </c>
      <c r="M195" s="29">
        <f t="shared" si="19"/>
        <v>3.6422170174692736E-2</v>
      </c>
      <c r="N195" s="29">
        <f t="shared" si="20"/>
        <v>2.6680908573586404E-2</v>
      </c>
      <c r="O195" s="29">
        <f t="shared" si="21"/>
        <v>2.5761673367324489E-2</v>
      </c>
      <c r="P195" s="29">
        <f t="shared" si="22"/>
        <v>3.5770716091809707E-2</v>
      </c>
      <c r="Q195" s="29">
        <f t="shared" si="23"/>
        <v>4.156745418341723E-2</v>
      </c>
    </row>
    <row r="196" spans="2:17" ht="13.95" customHeight="1" x14ac:dyDescent="0.3">
      <c r="B196" s="89">
        <v>43854</v>
      </c>
      <c r="C196" s="91">
        <f t="shared" si="16"/>
        <v>0</v>
      </c>
      <c r="D196" s="90">
        <v>6.2030731186677768</v>
      </c>
      <c r="E196" s="90">
        <v>3.662612047305295</v>
      </c>
      <c r="F196" s="90">
        <v>1.7754472846240941</v>
      </c>
      <c r="G196" s="90">
        <v>2.114360610127378</v>
      </c>
      <c r="H196" s="90">
        <v>3.2337947119105541</v>
      </c>
      <c r="I196" s="90">
        <v>1.8370973178259009</v>
      </c>
      <c r="J196" s="90">
        <v>2.5858654456350409</v>
      </c>
      <c r="K196" s="29">
        <f t="shared" si="17"/>
        <v>-3.4880641295240711E-3</v>
      </c>
      <c r="L196" s="29">
        <f t="shared" si="18"/>
        <v>3.8343125388500265E-3</v>
      </c>
      <c r="M196" s="29">
        <f t="shared" si="19"/>
        <v>2.3429198342068691E-2</v>
      </c>
      <c r="N196" s="29">
        <f t="shared" si="20"/>
        <v>-1.7905403240324635E-2</v>
      </c>
      <c r="O196" s="29">
        <f t="shared" si="21"/>
        <v>-1.1489461064878581E-3</v>
      </c>
      <c r="P196" s="29">
        <f t="shared" si="22"/>
        <v>1.8176604502414095E-2</v>
      </c>
      <c r="Q196" s="29">
        <f t="shared" si="23"/>
        <v>6.4684103093438416E-2</v>
      </c>
    </row>
    <row r="197" spans="2:17" ht="13.95" customHeight="1" x14ac:dyDescent="0.3">
      <c r="B197" s="89">
        <v>43861</v>
      </c>
      <c r="C197" s="91">
        <f t="shared" si="16"/>
        <v>0</v>
      </c>
      <c r="D197" s="90">
        <v>6.0026176761909031</v>
      </c>
      <c r="E197" s="90">
        <v>3.5250163850608551</v>
      </c>
      <c r="F197" s="90">
        <v>1.725267651230624</v>
      </c>
      <c r="G197" s="90">
        <v>2.0000384121045851</v>
      </c>
      <c r="H197" s="90">
        <v>3.1085473329487572</v>
      </c>
      <c r="I197" s="90">
        <v>1.7881807304323749</v>
      </c>
      <c r="J197" s="90">
        <v>2.4810055780769829</v>
      </c>
      <c r="K197" s="29">
        <f t="shared" si="17"/>
        <v>-3.2315505337767947E-2</v>
      </c>
      <c r="L197" s="29">
        <f t="shared" si="18"/>
        <v>-3.7567632189074884E-2</v>
      </c>
      <c r="M197" s="29">
        <f t="shared" si="19"/>
        <v>-2.8263093941476525E-2</v>
      </c>
      <c r="N197" s="29">
        <f t="shared" si="20"/>
        <v>-5.4069394537153093E-2</v>
      </c>
      <c r="O197" s="29">
        <f t="shared" si="21"/>
        <v>-3.8730776106625453E-2</v>
      </c>
      <c r="P197" s="29">
        <f t="shared" si="22"/>
        <v>-2.6627107295228103E-2</v>
      </c>
      <c r="Q197" s="29">
        <f t="shared" si="23"/>
        <v>-4.0551169332906478E-2</v>
      </c>
    </row>
    <row r="198" spans="2:17" ht="13.95" customHeight="1" x14ac:dyDescent="0.3">
      <c r="B198" s="89">
        <v>43868</v>
      </c>
      <c r="C198" s="91">
        <f t="shared" si="16"/>
        <v>0</v>
      </c>
      <c r="D198" s="90">
        <v>6.0527818612502298</v>
      </c>
      <c r="E198" s="90">
        <v>3.4642427086685532</v>
      </c>
      <c r="F198" s="90">
        <v>1.6991437171590671</v>
      </c>
      <c r="G198" s="90">
        <v>2.0324407535018691</v>
      </c>
      <c r="H198" s="90">
        <v>3.1088383703520321</v>
      </c>
      <c r="I198" s="90">
        <v>1.750026618921134</v>
      </c>
      <c r="J198" s="90">
        <v>2.564741501658895</v>
      </c>
      <c r="K198" s="29">
        <f t="shared" si="17"/>
        <v>8.3570515007644897E-3</v>
      </c>
      <c r="L198" s="29">
        <f t="shared" si="18"/>
        <v>-1.724067912134053E-2</v>
      </c>
      <c r="M198" s="29">
        <f t="shared" si="19"/>
        <v>-1.5141960178133962E-2</v>
      </c>
      <c r="N198" s="29">
        <f t="shared" si="20"/>
        <v>1.6200859544086343E-2</v>
      </c>
      <c r="O198" s="29">
        <f t="shared" si="21"/>
        <v>9.3624890375787473E-5</v>
      </c>
      <c r="P198" s="29">
        <f t="shared" si="22"/>
        <v>-2.1336831821253011E-2</v>
      </c>
      <c r="Q198" s="29">
        <f t="shared" si="23"/>
        <v>3.3750800208524945E-2</v>
      </c>
    </row>
    <row r="199" spans="2:17" ht="13.95" customHeight="1" x14ac:dyDescent="0.3">
      <c r="B199" s="89">
        <v>43875</v>
      </c>
      <c r="C199" s="91">
        <f t="shared" si="16"/>
        <v>0</v>
      </c>
      <c r="D199" s="90">
        <v>6.0117118984305593</v>
      </c>
      <c r="E199" s="90">
        <v>3.4730197677551971</v>
      </c>
      <c r="F199" s="90">
        <v>1.749012646228393</v>
      </c>
      <c r="G199" s="90">
        <v>2.043899331284456</v>
      </c>
      <c r="H199" s="90">
        <v>3.1254893759360529</v>
      </c>
      <c r="I199" s="90">
        <v>1.789962625576534</v>
      </c>
      <c r="J199" s="90">
        <v>2.7651374787954039</v>
      </c>
      <c r="K199" s="29">
        <f t="shared" si="17"/>
        <v>-6.7853036440317371E-3</v>
      </c>
      <c r="L199" s="29">
        <f t="shared" si="18"/>
        <v>2.5336155185320397E-3</v>
      </c>
      <c r="M199" s="29">
        <f t="shared" si="19"/>
        <v>2.9349447351461055E-2</v>
      </c>
      <c r="N199" s="29">
        <f t="shared" si="20"/>
        <v>5.6378409864317192E-3</v>
      </c>
      <c r="O199" s="29">
        <f t="shared" si="21"/>
        <v>5.3560216390842186E-3</v>
      </c>
      <c r="P199" s="29">
        <f t="shared" si="22"/>
        <v>2.2820228117455654E-2</v>
      </c>
      <c r="Q199" s="29">
        <f t="shared" si="23"/>
        <v>7.813496097243755E-2</v>
      </c>
    </row>
    <row r="200" spans="2:17" ht="13.95" customHeight="1" x14ac:dyDescent="0.3">
      <c r="B200" s="89">
        <v>43882</v>
      </c>
      <c r="C200" s="91">
        <f t="shared" si="16"/>
        <v>0</v>
      </c>
      <c r="D200" s="90">
        <v>5.9688130449439409</v>
      </c>
      <c r="E200" s="90">
        <v>3.4462967568326528</v>
      </c>
      <c r="F200" s="90">
        <v>1.7816835307068291</v>
      </c>
      <c r="G200" s="90">
        <v>2.0024870424797192</v>
      </c>
      <c r="H200" s="90">
        <v>3.1071160140325551</v>
      </c>
      <c r="I200" s="90">
        <v>1.8075871009222719</v>
      </c>
      <c r="J200" s="90">
        <v>2.9899291102088168</v>
      </c>
      <c r="K200" s="29">
        <f t="shared" si="17"/>
        <v>-7.1358797978688937E-3</v>
      </c>
      <c r="L200" s="29">
        <f t="shared" si="18"/>
        <v>-7.6944597812689253E-3</v>
      </c>
      <c r="M200" s="29">
        <f t="shared" si="19"/>
        <v>1.8679615924383608E-2</v>
      </c>
      <c r="N200" s="29">
        <f t="shared" si="20"/>
        <v>-2.0261413158108921E-2</v>
      </c>
      <c r="O200" s="29">
        <f t="shared" si="21"/>
        <v>-5.8785552256100937E-3</v>
      </c>
      <c r="P200" s="29">
        <f t="shared" si="22"/>
        <v>9.8462811982240606E-3</v>
      </c>
      <c r="Q200" s="29">
        <f t="shared" si="23"/>
        <v>8.1294920464981768E-2</v>
      </c>
    </row>
    <row r="201" spans="2:17" ht="13.95" customHeight="1" x14ac:dyDescent="0.3">
      <c r="B201" s="89">
        <v>43889</v>
      </c>
      <c r="C201" s="91">
        <f t="shared" si="16"/>
        <v>0</v>
      </c>
      <c r="D201" s="90">
        <v>5.7164835095911144</v>
      </c>
      <c r="E201" s="90">
        <v>3.1647377543014819</v>
      </c>
      <c r="F201" s="90">
        <v>1.5913117853872549</v>
      </c>
      <c r="G201" s="90">
        <v>1.76879809050061</v>
      </c>
      <c r="H201" s="90">
        <v>2.8480128642873321</v>
      </c>
      <c r="I201" s="90">
        <v>1.6210436407548741</v>
      </c>
      <c r="J201" s="90">
        <v>2.5982277811992009</v>
      </c>
      <c r="K201" s="29">
        <f t="shared" si="17"/>
        <v>-4.2274658873185822E-2</v>
      </c>
      <c r="L201" s="29">
        <f t="shared" si="18"/>
        <v>-8.1699001101094959E-2</v>
      </c>
      <c r="M201" s="29">
        <f t="shared" si="19"/>
        <v>-0.10684936019139712</v>
      </c>
      <c r="N201" s="29">
        <f t="shared" si="20"/>
        <v>-0.11669935785937846</v>
      </c>
      <c r="O201" s="29">
        <f t="shared" si="21"/>
        <v>-8.3390239880018924E-2</v>
      </c>
      <c r="P201" s="29">
        <f t="shared" si="22"/>
        <v>-0.10320026076321254</v>
      </c>
      <c r="Q201" s="29">
        <f t="shared" si="23"/>
        <v>-0.13100689500369433</v>
      </c>
    </row>
    <row r="202" spans="2:17" ht="13.95" customHeight="1" x14ac:dyDescent="0.3">
      <c r="B202" s="89">
        <v>43896</v>
      </c>
      <c r="C202" s="91">
        <f t="shared" si="16"/>
        <v>0</v>
      </c>
      <c r="D202" s="90">
        <v>5.2348162300797858</v>
      </c>
      <c r="E202" s="90">
        <v>3.0976818528067409</v>
      </c>
      <c r="F202" s="90">
        <v>1.459844040044084</v>
      </c>
      <c r="G202" s="90">
        <v>1.6859079280811251</v>
      </c>
      <c r="H202" s="90">
        <v>2.6769752407174132</v>
      </c>
      <c r="I202" s="90">
        <v>1.468351005500977</v>
      </c>
      <c r="J202" s="90">
        <v>2.591160170000173</v>
      </c>
      <c r="K202" s="29">
        <f t="shared" si="17"/>
        <v>-8.4259366567433824E-2</v>
      </c>
      <c r="L202" s="29">
        <f t="shared" si="18"/>
        <v>-2.1188454368327725E-2</v>
      </c>
      <c r="M202" s="29">
        <f t="shared" si="19"/>
        <v>-8.2615956565153859E-2</v>
      </c>
      <c r="N202" s="29">
        <f t="shared" si="20"/>
        <v>-4.6862421926306519E-2</v>
      </c>
      <c r="O202" s="29">
        <f t="shared" si="21"/>
        <v>-6.0055074088549931E-2</v>
      </c>
      <c r="P202" s="29">
        <f t="shared" si="22"/>
        <v>-9.4194031187705973E-2</v>
      </c>
      <c r="Q202" s="29">
        <f t="shared" si="23"/>
        <v>-2.7201661263763777E-3</v>
      </c>
    </row>
    <row r="203" spans="2:17" ht="13.95" customHeight="1" x14ac:dyDescent="0.3">
      <c r="B203" s="89">
        <v>43903</v>
      </c>
      <c r="C203" s="91">
        <f t="shared" si="16"/>
        <v>0</v>
      </c>
      <c r="D203" s="90">
        <v>4.5321119242224839</v>
      </c>
      <c r="E203" s="90">
        <v>2.6519133624946849</v>
      </c>
      <c r="F203" s="90">
        <v>1.229004853413425</v>
      </c>
      <c r="G203" s="90">
        <v>1.359877578873276</v>
      </c>
      <c r="H203" s="90">
        <v>2.2585932325736842</v>
      </c>
      <c r="I203" s="90">
        <v>1.2527700505778161</v>
      </c>
      <c r="J203" s="90">
        <v>1.9977906154620071</v>
      </c>
      <c r="K203" s="29">
        <f t="shared" si="17"/>
        <v>-0.13423667135046524</v>
      </c>
      <c r="L203" s="29">
        <f t="shared" si="18"/>
        <v>-0.14390389700871153</v>
      </c>
      <c r="M203" s="29">
        <f t="shared" si="19"/>
        <v>-0.15812592324840957</v>
      </c>
      <c r="N203" s="29">
        <f t="shared" si="20"/>
        <v>-0.19338561956875777</v>
      </c>
      <c r="O203" s="29">
        <f t="shared" si="21"/>
        <v>-0.15628908395566832</v>
      </c>
      <c r="P203" s="29">
        <f t="shared" si="22"/>
        <v>-0.14681840657684453</v>
      </c>
      <c r="Q203" s="29">
        <f t="shared" si="23"/>
        <v>-0.22899763642867599</v>
      </c>
    </row>
    <row r="204" spans="2:17" ht="13.95" customHeight="1" x14ac:dyDescent="0.3">
      <c r="B204" s="89">
        <v>43910</v>
      </c>
      <c r="C204" s="91">
        <f t="shared" si="16"/>
        <v>0</v>
      </c>
      <c r="D204" s="90">
        <v>3.5822045337360771</v>
      </c>
      <c r="E204" s="90">
        <v>2.3537677136081649</v>
      </c>
      <c r="F204" s="90">
        <v>0.94648614768032957</v>
      </c>
      <c r="G204" s="90">
        <v>1.0814992423443051</v>
      </c>
      <c r="H204" s="90">
        <v>1.832157622309452</v>
      </c>
      <c r="I204" s="90">
        <v>0.94448193593271546</v>
      </c>
      <c r="J204" s="90">
        <v>1.7631425991627829</v>
      </c>
      <c r="K204" s="29">
        <f t="shared" si="17"/>
        <v>-0.20959486578641151</v>
      </c>
      <c r="L204" s="29">
        <f t="shared" si="18"/>
        <v>-0.11242661736356685</v>
      </c>
      <c r="M204" s="29">
        <f t="shared" si="19"/>
        <v>-0.22987598864921566</v>
      </c>
      <c r="N204" s="29">
        <f t="shared" si="20"/>
        <v>-0.20470838026436233</v>
      </c>
      <c r="O204" s="29">
        <f t="shared" si="21"/>
        <v>-0.18880584786765942</v>
      </c>
      <c r="P204" s="29">
        <f t="shared" si="22"/>
        <v>-0.24608515705089584</v>
      </c>
      <c r="Q204" s="29">
        <f t="shared" si="23"/>
        <v>-0.11745375840849048</v>
      </c>
    </row>
    <row r="205" spans="2:17" ht="13.95" customHeight="1" x14ac:dyDescent="0.3">
      <c r="B205" s="89">
        <v>43917</v>
      </c>
      <c r="C205" s="91">
        <f t="shared" si="16"/>
        <v>0</v>
      </c>
      <c r="D205" s="90">
        <v>3.9049198462276888</v>
      </c>
      <c r="E205" s="90">
        <v>2.466528979201144</v>
      </c>
      <c r="F205" s="90">
        <v>1.0744359357447339</v>
      </c>
      <c r="G205" s="90">
        <v>1.214152820661681</v>
      </c>
      <c r="H205" s="90">
        <v>2.005969427265454</v>
      </c>
      <c r="I205" s="90">
        <v>1.079657346740289</v>
      </c>
      <c r="J205" s="90">
        <v>1.9185764695395799</v>
      </c>
      <c r="K205" s="29">
        <f t="shared" si="17"/>
        <v>9.0088466320775495E-2</v>
      </c>
      <c r="L205" s="29">
        <f t="shared" si="18"/>
        <v>4.7906709290409966E-2</v>
      </c>
      <c r="M205" s="29">
        <f t="shared" si="19"/>
        <v>0.13518400494078731</v>
      </c>
      <c r="N205" s="29">
        <f t="shared" si="20"/>
        <v>0.12265711627298992</v>
      </c>
      <c r="O205" s="29">
        <f t="shared" si="21"/>
        <v>9.4867277159762287E-2</v>
      </c>
      <c r="P205" s="29">
        <f t="shared" si="22"/>
        <v>0.14312122409634243</v>
      </c>
      <c r="Q205" s="29">
        <f t="shared" si="23"/>
        <v>8.815728827072955E-2</v>
      </c>
    </row>
    <row r="206" spans="2:17" ht="13.95" customHeight="1" x14ac:dyDescent="0.3">
      <c r="B206" s="89">
        <v>43924</v>
      </c>
      <c r="C206" s="91">
        <f t="shared" si="16"/>
        <v>0</v>
      </c>
      <c r="D206" s="90">
        <v>3.609502410219676</v>
      </c>
      <c r="E206" s="90">
        <v>2.29825006156041</v>
      </c>
      <c r="F206" s="90">
        <v>0.93477327452289816</v>
      </c>
      <c r="G206" s="90">
        <v>1.272295781265331</v>
      </c>
      <c r="H206" s="90">
        <v>1.8996402056360311</v>
      </c>
      <c r="I206" s="90">
        <v>0.92835730778728132</v>
      </c>
      <c r="J206" s="90">
        <v>1.790405064491412</v>
      </c>
      <c r="K206" s="29">
        <f t="shared" si="17"/>
        <v>-7.5652624801863189E-2</v>
      </c>
      <c r="L206" s="29">
        <f t="shared" si="18"/>
        <v>-6.8224991094666176E-2</v>
      </c>
      <c r="M206" s="29">
        <f t="shared" si="19"/>
        <v>-0.12998696020440725</v>
      </c>
      <c r="N206" s="29">
        <f t="shared" si="20"/>
        <v>4.7887679058360888E-2</v>
      </c>
      <c r="O206" s="29">
        <f t="shared" si="21"/>
        <v>-5.3006401884385324E-2</v>
      </c>
      <c r="P206" s="29">
        <f t="shared" si="22"/>
        <v>-0.14013709017014897</v>
      </c>
      <c r="Q206" s="29">
        <f t="shared" si="23"/>
        <v>-6.680547118297897E-2</v>
      </c>
    </row>
    <row r="207" spans="2:17" ht="13.95" customHeight="1" x14ac:dyDescent="0.3">
      <c r="B207" s="89">
        <v>43931</v>
      </c>
      <c r="C207" s="91">
        <f t="shared" si="16"/>
        <v>0</v>
      </c>
      <c r="D207" s="90">
        <v>4.1157987482826446</v>
      </c>
      <c r="E207" s="90">
        <v>2.522446443397615</v>
      </c>
      <c r="F207" s="90">
        <v>1.0875508988555671</v>
      </c>
      <c r="G207" s="90">
        <v>1.3747257962762069</v>
      </c>
      <c r="H207" s="90">
        <v>2.1221347140251021</v>
      </c>
      <c r="I207" s="90">
        <v>1.0808694016085629</v>
      </c>
      <c r="J207" s="90">
        <v>2.074362364004716</v>
      </c>
      <c r="K207" s="29">
        <f t="shared" si="17"/>
        <v>0.14026762709161211</v>
      </c>
      <c r="L207" s="29">
        <f t="shared" si="18"/>
        <v>9.7550908661777846E-2</v>
      </c>
      <c r="M207" s="29">
        <f t="shared" si="19"/>
        <v>0.16343816035032188</v>
      </c>
      <c r="N207" s="29">
        <f t="shared" si="20"/>
        <v>8.0508020634169286E-2</v>
      </c>
      <c r="O207" s="29">
        <f t="shared" si="21"/>
        <v>0.11712455218043583</v>
      </c>
      <c r="P207" s="29">
        <f t="shared" si="22"/>
        <v>0.16428167532260907</v>
      </c>
      <c r="Q207" s="29">
        <f t="shared" si="23"/>
        <v>0.15859947290417531</v>
      </c>
    </row>
    <row r="208" spans="2:17" ht="13.95" customHeight="1" x14ac:dyDescent="0.3">
      <c r="B208" s="89">
        <v>43938</v>
      </c>
      <c r="C208" s="91">
        <f t="shared" si="16"/>
        <v>0</v>
      </c>
      <c r="D208" s="90">
        <v>4.1201285063333994</v>
      </c>
      <c r="E208" s="90">
        <v>2.6018831846315629</v>
      </c>
      <c r="F208" s="90">
        <v>1.131914137406923</v>
      </c>
      <c r="G208" s="90">
        <v>1.3833666391148911</v>
      </c>
      <c r="H208" s="90">
        <v>2.1578711906726689</v>
      </c>
      <c r="I208" s="90">
        <v>1.132293386339118</v>
      </c>
      <c r="J208" s="90">
        <v>2.0778516003019978</v>
      </c>
      <c r="K208" s="29">
        <f t="shared" si="17"/>
        <v>1.0519848796206599E-3</v>
      </c>
      <c r="L208" s="29">
        <f t="shared" si="18"/>
        <v>3.149194364140806E-2</v>
      </c>
      <c r="M208" s="29">
        <f t="shared" si="19"/>
        <v>4.0791873371664344E-2</v>
      </c>
      <c r="N208" s="29">
        <f t="shared" si="20"/>
        <v>6.285502797787057E-3</v>
      </c>
      <c r="O208" s="29">
        <f t="shared" si="21"/>
        <v>1.683987185704372E-2</v>
      </c>
      <c r="P208" s="29">
        <f t="shared" si="22"/>
        <v>4.7576501521853887E-2</v>
      </c>
      <c r="Q208" s="29">
        <f t="shared" si="23"/>
        <v>1.6820765541396554E-3</v>
      </c>
    </row>
    <row r="209" spans="2:17" ht="13.95" customHeight="1" x14ac:dyDescent="0.3">
      <c r="B209" s="89">
        <v>43945</v>
      </c>
      <c r="C209" s="91">
        <f t="shared" si="16"/>
        <v>0</v>
      </c>
      <c r="D209" s="90">
        <v>3.671838386402317</v>
      </c>
      <c r="E209" s="90">
        <v>2.508198877657537</v>
      </c>
      <c r="F209" s="90">
        <v>1.126592797836566</v>
      </c>
      <c r="G209" s="90">
        <v>1.3680016967833899</v>
      </c>
      <c r="H209" s="90">
        <v>2.057880334238114</v>
      </c>
      <c r="I209" s="90">
        <v>1.1300506193147131</v>
      </c>
      <c r="J209" s="90">
        <v>2.034005416699018</v>
      </c>
      <c r="K209" s="29">
        <f t="shared" si="17"/>
        <v>-0.10880488781890607</v>
      </c>
      <c r="L209" s="29">
        <f t="shared" si="18"/>
        <v>-3.60063462984761E-2</v>
      </c>
      <c r="M209" s="29">
        <f t="shared" si="19"/>
        <v>-4.7011865957851118E-3</v>
      </c>
      <c r="N209" s="29">
        <f t="shared" si="20"/>
        <v>-1.1106919812185145E-2</v>
      </c>
      <c r="O209" s="29">
        <f t="shared" si="21"/>
        <v>-4.6337731773222757E-2</v>
      </c>
      <c r="P209" s="29">
        <f t="shared" si="22"/>
        <v>-1.9807295984092255E-3</v>
      </c>
      <c r="Q209" s="29">
        <f t="shared" si="23"/>
        <v>-2.1101691572491088E-2</v>
      </c>
    </row>
    <row r="210" spans="2:17" ht="13.95" customHeight="1" x14ac:dyDescent="0.3">
      <c r="B210" s="89">
        <v>43952</v>
      </c>
      <c r="C210" s="91">
        <f t="shared" si="16"/>
        <v>0</v>
      </c>
      <c r="D210" s="90">
        <v>3.9865167083198751</v>
      </c>
      <c r="E210" s="90">
        <v>2.618145319581286</v>
      </c>
      <c r="F210" s="90">
        <v>1.201031461786584</v>
      </c>
      <c r="G210" s="90">
        <v>1.471243076251969</v>
      </c>
      <c r="H210" s="90">
        <v>2.1993941657404381</v>
      </c>
      <c r="I210" s="90">
        <v>1.2106079017729681</v>
      </c>
      <c r="J210" s="90">
        <v>2.10323821639395</v>
      </c>
      <c r="K210" s="29">
        <f t="shared" si="17"/>
        <v>8.5700482647299125E-2</v>
      </c>
      <c r="L210" s="29">
        <f t="shared" si="18"/>
        <v>4.3834818244728124E-2</v>
      </c>
      <c r="M210" s="29">
        <f t="shared" si="19"/>
        <v>6.6074152163022148E-2</v>
      </c>
      <c r="N210" s="29">
        <f t="shared" si="20"/>
        <v>7.5468751033959114E-2</v>
      </c>
      <c r="O210" s="29">
        <f t="shared" si="21"/>
        <v>6.8766793261920478E-2</v>
      </c>
      <c r="P210" s="29">
        <f t="shared" si="22"/>
        <v>7.1286437157219273E-2</v>
      </c>
      <c r="Q210" s="29">
        <f t="shared" si="23"/>
        <v>3.4037667317174503E-2</v>
      </c>
    </row>
    <row r="211" spans="2:17" ht="13.95" customHeight="1" x14ac:dyDescent="0.3">
      <c r="B211" s="89">
        <v>43959</v>
      </c>
      <c r="C211" s="91">
        <f t="shared" si="16"/>
        <v>0</v>
      </c>
      <c r="D211" s="90">
        <v>3.803593480492494</v>
      </c>
      <c r="E211" s="90">
        <v>2.6029033070905001</v>
      </c>
      <c r="F211" s="90">
        <v>1.155727613683653</v>
      </c>
      <c r="G211" s="90">
        <v>1.570352568850893</v>
      </c>
      <c r="H211" s="90">
        <v>2.1928079605307631</v>
      </c>
      <c r="I211" s="90">
        <v>1.1686718938064169</v>
      </c>
      <c r="J211" s="90">
        <v>1.9798300368087749</v>
      </c>
      <c r="K211" s="29">
        <f t="shared" si="17"/>
        <v>-4.5885478780414934E-2</v>
      </c>
      <c r="L211" s="29">
        <f t="shared" si="18"/>
        <v>-5.8216831498197896E-3</v>
      </c>
      <c r="M211" s="29">
        <f t="shared" si="19"/>
        <v>-3.7720783796570734E-2</v>
      </c>
      <c r="N211" s="29">
        <f t="shared" si="20"/>
        <v>6.7364458122996185E-2</v>
      </c>
      <c r="O211" s="29">
        <f t="shared" si="21"/>
        <v>-2.9945542787496171E-3</v>
      </c>
      <c r="P211" s="29">
        <f t="shared" si="22"/>
        <v>-3.464045452300013E-2</v>
      </c>
      <c r="Q211" s="29">
        <f t="shared" si="23"/>
        <v>-5.8675321997886276E-2</v>
      </c>
    </row>
    <row r="212" spans="2:17" ht="13.95" customHeight="1" x14ac:dyDescent="0.3">
      <c r="B212" s="89">
        <v>43966</v>
      </c>
      <c r="C212" s="91">
        <f t="shared" si="16"/>
        <v>0</v>
      </c>
      <c r="D212" s="90">
        <v>3.7060201293664838</v>
      </c>
      <c r="E212" s="90">
        <v>2.5216731626328972</v>
      </c>
      <c r="F212" s="90">
        <v>1.118697563078574</v>
      </c>
      <c r="G212" s="90">
        <v>1.500519887071168</v>
      </c>
      <c r="H212" s="90">
        <v>2.1188419520399648</v>
      </c>
      <c r="I212" s="90">
        <v>1.1375450390595261</v>
      </c>
      <c r="J212" s="90">
        <v>1.841726216475887</v>
      </c>
      <c r="K212" s="29">
        <f t="shared" si="17"/>
        <v>-2.5652938892243626E-2</v>
      </c>
      <c r="L212" s="29">
        <f t="shared" si="18"/>
        <v>-3.1207515175967537E-2</v>
      </c>
      <c r="M212" s="29">
        <f t="shared" si="19"/>
        <v>-3.204046538877181E-2</v>
      </c>
      <c r="N212" s="29">
        <f t="shared" si="20"/>
        <v>-4.4469428818029844E-2</v>
      </c>
      <c r="O212" s="29">
        <f t="shared" si="21"/>
        <v>-3.3731183862035552E-2</v>
      </c>
      <c r="P212" s="29">
        <f t="shared" si="22"/>
        <v>-2.6634382936607803E-2</v>
      </c>
      <c r="Q212" s="29">
        <f t="shared" si="23"/>
        <v>-6.9755392011070394E-2</v>
      </c>
    </row>
    <row r="213" spans="2:17" ht="13.95" customHeight="1" x14ac:dyDescent="0.3">
      <c r="B213" s="89">
        <v>43973</v>
      </c>
      <c r="C213" s="91">
        <f t="shared" si="16"/>
        <v>0</v>
      </c>
      <c r="D213" s="90">
        <v>4.0284114294881883</v>
      </c>
      <c r="E213" s="90">
        <v>2.590031427497109</v>
      </c>
      <c r="F213" s="90">
        <v>1.2088980117521491</v>
      </c>
      <c r="G213" s="90">
        <v>1.57456116083619</v>
      </c>
      <c r="H213" s="90">
        <v>2.2449858192149841</v>
      </c>
      <c r="I213" s="90">
        <v>1.237898883664394</v>
      </c>
      <c r="J213" s="90">
        <v>1.8881858497340669</v>
      </c>
      <c r="K213" s="29">
        <f t="shared" si="17"/>
        <v>8.6991243670555773E-2</v>
      </c>
      <c r="L213" s="29">
        <f t="shared" si="18"/>
        <v>2.7108296934420517E-2</v>
      </c>
      <c r="M213" s="29">
        <f t="shared" si="19"/>
        <v>8.0629878575358527E-2</v>
      </c>
      <c r="N213" s="29">
        <f t="shared" si="20"/>
        <v>4.9343747059255261E-2</v>
      </c>
      <c r="O213" s="29">
        <f t="shared" si="21"/>
        <v>5.9534344717675269E-2</v>
      </c>
      <c r="P213" s="29">
        <f t="shared" si="22"/>
        <v>8.8219667054094231E-2</v>
      </c>
      <c r="Q213" s="29">
        <f t="shared" si="23"/>
        <v>2.5226134504986231E-2</v>
      </c>
    </row>
    <row r="214" spans="2:17" ht="13.95" customHeight="1" x14ac:dyDescent="0.3">
      <c r="B214" s="89">
        <v>43980</v>
      </c>
      <c r="C214" s="91">
        <f t="shared" si="16"/>
        <v>0</v>
      </c>
      <c r="D214" s="90">
        <v>4.1437295226717499</v>
      </c>
      <c r="E214" s="90">
        <v>2.801302478924669</v>
      </c>
      <c r="F214" s="90">
        <v>1.31967276127767</v>
      </c>
      <c r="G214" s="90">
        <v>1.676987571323967</v>
      </c>
      <c r="H214" s="90">
        <v>2.3877833446005341</v>
      </c>
      <c r="I214" s="90">
        <v>1.3467330320459181</v>
      </c>
      <c r="J214" s="90">
        <v>2.115547967943717</v>
      </c>
      <c r="K214" s="29">
        <f t="shared" si="17"/>
        <v>2.8626195512063912E-2</v>
      </c>
      <c r="L214" s="29">
        <f t="shared" si="18"/>
        <v>8.1570844733618975E-2</v>
      </c>
      <c r="M214" s="29">
        <f t="shared" si="19"/>
        <v>9.1632832917779794E-2</v>
      </c>
      <c r="N214" s="29">
        <f t="shared" si="20"/>
        <v>6.5050766547158023E-2</v>
      </c>
      <c r="O214" s="29">
        <f t="shared" si="21"/>
        <v>6.3607317321711543E-2</v>
      </c>
      <c r="P214" s="29">
        <f t="shared" si="22"/>
        <v>8.7918447797090016E-2</v>
      </c>
      <c r="Q214" s="29">
        <f t="shared" si="23"/>
        <v>0.12041299760914526</v>
      </c>
    </row>
    <row r="215" spans="2:17" ht="13.95" customHeight="1" x14ac:dyDescent="0.3">
      <c r="B215" s="89">
        <v>43987</v>
      </c>
      <c r="C215" s="91">
        <f t="shared" ref="C215:C278" si="24">IF(B215&gt;$C$17,1,0)</f>
        <v>0</v>
      </c>
      <c r="D215" s="90">
        <v>4.7693981711274906</v>
      </c>
      <c r="E215" s="90">
        <v>2.903345862988604</v>
      </c>
      <c r="F215" s="90">
        <v>1.434574348010808</v>
      </c>
      <c r="G215" s="90">
        <v>1.77094026092079</v>
      </c>
      <c r="H215" s="90">
        <v>2.5854473299208638</v>
      </c>
      <c r="I215" s="90">
        <v>1.4632256783959841</v>
      </c>
      <c r="J215" s="90">
        <v>2.308786838503774</v>
      </c>
      <c r="K215" s="29">
        <f t="shared" ref="K215:K278" si="25">D215/D214-1</f>
        <v>0.15099167188217644</v>
      </c>
      <c r="L215" s="29">
        <f t="shared" ref="L215:L278" si="26">E215/E214-1</f>
        <v>3.6427120895243803E-2</v>
      </c>
      <c r="M215" s="29">
        <f t="shared" ref="M215:M278" si="27">F215/F214-1</f>
        <v>8.706824154034476E-2</v>
      </c>
      <c r="N215" s="29">
        <f t="shared" ref="N215:N278" si="28">G215/G214-1</f>
        <v>5.6024678538701522E-2</v>
      </c>
      <c r="O215" s="29">
        <f t="shared" ref="O215:O278" si="29">H215/H214-1</f>
        <v>8.2781373681705572E-2</v>
      </c>
      <c r="P215" s="29">
        <f t="shared" ref="P215:P278" si="30">I215/I214-1</f>
        <v>8.6500177524489574E-2</v>
      </c>
      <c r="Q215" s="29">
        <f t="shared" ref="Q215:Q278" si="31">J215/J214-1</f>
        <v>9.1342230707197158E-2</v>
      </c>
    </row>
    <row r="216" spans="2:17" ht="13.95" customHeight="1" x14ac:dyDescent="0.3">
      <c r="B216" s="89">
        <v>43994</v>
      </c>
      <c r="C216" s="91">
        <f t="shared" si="24"/>
        <v>0</v>
      </c>
      <c r="D216" s="90">
        <v>4.6545665959912954</v>
      </c>
      <c r="E216" s="90">
        <v>2.8933611782446</v>
      </c>
      <c r="F216" s="90">
        <v>1.4380514471446799</v>
      </c>
      <c r="G216" s="90">
        <v>1.694941483145515</v>
      </c>
      <c r="H216" s="90">
        <v>2.5351181802386211</v>
      </c>
      <c r="I216" s="90">
        <v>1.4683853199689161</v>
      </c>
      <c r="J216" s="90">
        <v>2.2953177794398401</v>
      </c>
      <c r="K216" s="29">
        <f t="shared" si="25"/>
        <v>-2.4076743231745912E-2</v>
      </c>
      <c r="L216" s="29">
        <f t="shared" si="26"/>
        <v>-3.4390269761819248E-3</v>
      </c>
      <c r="M216" s="29">
        <f t="shared" si="27"/>
        <v>2.4237845453554119E-3</v>
      </c>
      <c r="N216" s="29">
        <f t="shared" si="28"/>
        <v>-4.2914365578746283E-2</v>
      </c>
      <c r="O216" s="29">
        <f t="shared" si="29"/>
        <v>-1.9466321784935792E-2</v>
      </c>
      <c r="P216" s="29">
        <f t="shared" si="30"/>
        <v>3.5262103782842669E-3</v>
      </c>
      <c r="Q216" s="29">
        <f t="shared" si="31"/>
        <v>-5.8338252970389082E-3</v>
      </c>
    </row>
    <row r="217" spans="2:17" ht="13.95" customHeight="1" x14ac:dyDescent="0.3">
      <c r="B217" s="89">
        <v>44001</v>
      </c>
      <c r="C217" s="91">
        <f t="shared" si="24"/>
        <v>0</v>
      </c>
      <c r="D217" s="90">
        <v>4.8627684357315388</v>
      </c>
      <c r="E217" s="90">
        <v>2.97987736209017</v>
      </c>
      <c r="F217" s="90">
        <v>1.503729796589486</v>
      </c>
      <c r="G217" s="90">
        <v>1.7674348053769109</v>
      </c>
      <c r="H217" s="90">
        <v>2.6383249872320489</v>
      </c>
      <c r="I217" s="90">
        <v>1.5374581766458779</v>
      </c>
      <c r="J217" s="90">
        <v>2.3764035529142862</v>
      </c>
      <c r="K217" s="29">
        <f t="shared" si="25"/>
        <v>4.4730660835222702E-2</v>
      </c>
      <c r="L217" s="29">
        <f t="shared" si="26"/>
        <v>2.990161909135014E-2</v>
      </c>
      <c r="M217" s="29">
        <f t="shared" si="27"/>
        <v>4.5671766177221018E-2</v>
      </c>
      <c r="N217" s="29">
        <f t="shared" si="28"/>
        <v>4.2770398242221841E-2</v>
      </c>
      <c r="O217" s="29">
        <f t="shared" si="29"/>
        <v>4.0710846459912631E-2</v>
      </c>
      <c r="P217" s="29">
        <f t="shared" si="30"/>
        <v>4.7040007644876258E-2</v>
      </c>
      <c r="Q217" s="29">
        <f t="shared" si="31"/>
        <v>3.532660017744238E-2</v>
      </c>
    </row>
    <row r="218" spans="2:17" ht="13.95" customHeight="1" x14ac:dyDescent="0.3">
      <c r="B218" s="89">
        <v>44008</v>
      </c>
      <c r="C218" s="91">
        <f t="shared" si="24"/>
        <v>0</v>
      </c>
      <c r="D218" s="90">
        <v>4.6603071959802298</v>
      </c>
      <c r="E218" s="90">
        <v>2.9130769776441481</v>
      </c>
      <c r="F218" s="90">
        <v>1.450813875245113</v>
      </c>
      <c r="G218" s="90">
        <v>1.741276097180076</v>
      </c>
      <c r="H218" s="90">
        <v>2.563560696542913</v>
      </c>
      <c r="I218" s="90">
        <v>1.4661589066322309</v>
      </c>
      <c r="J218" s="90">
        <v>2.496021816105376</v>
      </c>
      <c r="K218" s="29">
        <f t="shared" si="25"/>
        <v>-4.1634974485650456E-2</v>
      </c>
      <c r="L218" s="29">
        <f t="shared" si="26"/>
        <v>-2.2417158939442516E-2</v>
      </c>
      <c r="M218" s="29">
        <f t="shared" si="27"/>
        <v>-3.5189780414266125E-2</v>
      </c>
      <c r="N218" s="29">
        <f t="shared" si="28"/>
        <v>-1.4800380821546888E-2</v>
      </c>
      <c r="O218" s="29">
        <f t="shared" si="29"/>
        <v>-2.8337786683199195E-2</v>
      </c>
      <c r="P218" s="29">
        <f t="shared" si="30"/>
        <v>-4.6374770446890201E-2</v>
      </c>
      <c r="Q218" s="29">
        <f t="shared" si="31"/>
        <v>5.0335837549307039E-2</v>
      </c>
    </row>
    <row r="219" spans="2:17" ht="13.95" customHeight="1" x14ac:dyDescent="0.3">
      <c r="B219" s="89">
        <v>44015</v>
      </c>
      <c r="C219" s="91">
        <f t="shared" si="24"/>
        <v>0</v>
      </c>
      <c r="D219" s="90">
        <v>4.8216260095728707</v>
      </c>
      <c r="E219" s="90">
        <v>2.992497622787988</v>
      </c>
      <c r="F219" s="90">
        <v>1.520613647194532</v>
      </c>
      <c r="G219" s="90">
        <v>1.7752291529216591</v>
      </c>
      <c r="H219" s="90">
        <v>2.6434189486637369</v>
      </c>
      <c r="I219" s="90">
        <v>1.5309634769283189</v>
      </c>
      <c r="J219" s="90">
        <v>2.685286469095848</v>
      </c>
      <c r="K219" s="29">
        <f t="shared" si="25"/>
        <v>3.4615489238946973E-2</v>
      </c>
      <c r="L219" s="29">
        <f t="shared" si="26"/>
        <v>2.7263490032477078E-2</v>
      </c>
      <c r="M219" s="29">
        <f t="shared" si="27"/>
        <v>4.8110769506961359E-2</v>
      </c>
      <c r="N219" s="29">
        <f t="shared" si="28"/>
        <v>1.9498950107090129E-2</v>
      </c>
      <c r="O219" s="29">
        <f t="shared" si="29"/>
        <v>3.1151301480209392E-2</v>
      </c>
      <c r="P219" s="29">
        <f t="shared" si="30"/>
        <v>4.4200236415672167E-2</v>
      </c>
      <c r="Q219" s="29">
        <f t="shared" si="31"/>
        <v>7.5826521935528524E-2</v>
      </c>
    </row>
    <row r="220" spans="2:17" ht="13.95" customHeight="1" x14ac:dyDescent="0.3">
      <c r="B220" s="89">
        <v>44022</v>
      </c>
      <c r="C220" s="91">
        <f t="shared" si="24"/>
        <v>0</v>
      </c>
      <c r="D220" s="90">
        <v>4.9998435428954124</v>
      </c>
      <c r="E220" s="90">
        <v>3.0346156750362789</v>
      </c>
      <c r="F220" s="90">
        <v>1.629975553738328</v>
      </c>
      <c r="G220" s="90">
        <v>1.812553422680909</v>
      </c>
      <c r="H220" s="90">
        <v>2.7326764268089732</v>
      </c>
      <c r="I220" s="90">
        <v>1.6551515135896591</v>
      </c>
      <c r="J220" s="90">
        <v>2.709300285479213</v>
      </c>
      <c r="K220" s="29">
        <f t="shared" si="25"/>
        <v>3.6962122937097996E-2</v>
      </c>
      <c r="L220" s="29">
        <f t="shared" si="26"/>
        <v>1.4074548272840826E-2</v>
      </c>
      <c r="M220" s="29">
        <f t="shared" si="27"/>
        <v>7.1919587691169351E-2</v>
      </c>
      <c r="N220" s="29">
        <f t="shared" si="28"/>
        <v>2.1025043272763888E-2</v>
      </c>
      <c r="O220" s="29">
        <f t="shared" si="29"/>
        <v>3.3765922042117591E-2</v>
      </c>
      <c r="P220" s="29">
        <f t="shared" si="30"/>
        <v>8.1117569774105558E-2</v>
      </c>
      <c r="Q220" s="29">
        <f t="shared" si="31"/>
        <v>8.9427391303433801E-3</v>
      </c>
    </row>
    <row r="221" spans="2:17" ht="13.95" customHeight="1" x14ac:dyDescent="0.3">
      <c r="B221" s="89">
        <v>44029</v>
      </c>
      <c r="C221" s="91">
        <f t="shared" si="24"/>
        <v>0</v>
      </c>
      <c r="D221" s="90">
        <v>5.1209581203796093</v>
      </c>
      <c r="E221" s="90">
        <v>3.0848774520180982</v>
      </c>
      <c r="F221" s="90">
        <v>1.6645906845142351</v>
      </c>
      <c r="G221" s="90">
        <v>1.9008893881884079</v>
      </c>
      <c r="H221" s="90">
        <v>2.8104164619756502</v>
      </c>
      <c r="I221" s="90">
        <v>1.6817940546396399</v>
      </c>
      <c r="J221" s="90">
        <v>2.869001780793385</v>
      </c>
      <c r="K221" s="29">
        <f t="shared" si="25"/>
        <v>2.4223673490002762E-2</v>
      </c>
      <c r="L221" s="29">
        <f t="shared" si="26"/>
        <v>1.6562814657318459E-2</v>
      </c>
      <c r="M221" s="29">
        <f t="shared" si="27"/>
        <v>2.1236595049856755E-2</v>
      </c>
      <c r="N221" s="29">
        <f t="shared" si="28"/>
        <v>4.8735647955050698E-2</v>
      </c>
      <c r="O221" s="29">
        <f t="shared" si="29"/>
        <v>2.8448313310718731E-2</v>
      </c>
      <c r="P221" s="29">
        <f t="shared" si="30"/>
        <v>1.6096738474533412E-2</v>
      </c>
      <c r="Q221" s="29">
        <f t="shared" si="31"/>
        <v>5.8945660682246714E-2</v>
      </c>
    </row>
    <row r="222" spans="2:17" ht="13.95" customHeight="1" x14ac:dyDescent="0.3">
      <c r="B222" s="89">
        <v>44036</v>
      </c>
      <c r="C222" s="91">
        <f t="shared" si="24"/>
        <v>0</v>
      </c>
      <c r="D222" s="90">
        <v>5.1022310190947966</v>
      </c>
      <c r="E222" s="90">
        <v>3.1006608642376801</v>
      </c>
      <c r="F222" s="90">
        <v>1.6515003419004921</v>
      </c>
      <c r="G222" s="90">
        <v>1.877649093618595</v>
      </c>
      <c r="H222" s="90">
        <v>2.796943778116312</v>
      </c>
      <c r="I222" s="90">
        <v>1.6373427160390319</v>
      </c>
      <c r="J222" s="90">
        <v>3.2214357984636521</v>
      </c>
      <c r="K222" s="29">
        <f t="shared" si="25"/>
        <v>-3.6569526335873404E-3</v>
      </c>
      <c r="L222" s="29">
        <f t="shared" si="26"/>
        <v>5.1163822437279016E-3</v>
      </c>
      <c r="M222" s="29">
        <f t="shared" si="27"/>
        <v>-7.8640008835343389E-3</v>
      </c>
      <c r="N222" s="29">
        <f t="shared" si="28"/>
        <v>-1.2226011000020076E-2</v>
      </c>
      <c r="O222" s="29">
        <f t="shared" si="29"/>
        <v>-4.7938389351260824E-3</v>
      </c>
      <c r="P222" s="29">
        <f t="shared" si="30"/>
        <v>-2.6430904829267354E-2</v>
      </c>
      <c r="Q222" s="29">
        <f t="shared" si="31"/>
        <v>0.12284203517392256</v>
      </c>
    </row>
    <row r="223" spans="2:17" ht="13.95" customHeight="1" x14ac:dyDescent="0.3">
      <c r="B223" s="89">
        <v>44043</v>
      </c>
      <c r="C223" s="91">
        <f t="shared" si="24"/>
        <v>0</v>
      </c>
      <c r="D223" s="90">
        <v>5.0775931832493288</v>
      </c>
      <c r="E223" s="90">
        <v>3.1359602747976121</v>
      </c>
      <c r="F223" s="90">
        <v>1.6669593466651429</v>
      </c>
      <c r="G223" s="90">
        <v>1.8920793596838339</v>
      </c>
      <c r="H223" s="90">
        <v>2.811793693097179</v>
      </c>
      <c r="I223" s="90">
        <v>1.654003055837898</v>
      </c>
      <c r="J223" s="90">
        <v>3.2355717348363302</v>
      </c>
      <c r="K223" s="29">
        <f t="shared" si="25"/>
        <v>-4.8288358079557892E-3</v>
      </c>
      <c r="L223" s="29">
        <f t="shared" si="26"/>
        <v>1.1384479665953684E-2</v>
      </c>
      <c r="M223" s="29">
        <f t="shared" si="27"/>
        <v>9.3605822369138281E-3</v>
      </c>
      <c r="N223" s="29">
        <f t="shared" si="28"/>
        <v>7.6852837488547987E-3</v>
      </c>
      <c r="O223" s="29">
        <f t="shared" si="29"/>
        <v>5.3093362466041238E-3</v>
      </c>
      <c r="P223" s="29">
        <f t="shared" si="30"/>
        <v>1.0175230656151113E-2</v>
      </c>
      <c r="Q223" s="29">
        <f t="shared" si="31"/>
        <v>4.3880857037161825E-3</v>
      </c>
    </row>
    <row r="224" spans="2:17" ht="13.95" customHeight="1" x14ac:dyDescent="0.3">
      <c r="B224" s="89">
        <v>44050</v>
      </c>
      <c r="C224" s="91">
        <f t="shared" si="24"/>
        <v>0</v>
      </c>
      <c r="D224" s="90">
        <v>4.9601157960623103</v>
      </c>
      <c r="E224" s="90">
        <v>3.102108770588671</v>
      </c>
      <c r="F224" s="90">
        <v>1.692845982967264</v>
      </c>
      <c r="G224" s="90">
        <v>1.9247354461264441</v>
      </c>
      <c r="H224" s="90">
        <v>2.8080971228701128</v>
      </c>
      <c r="I224" s="90">
        <v>1.680351418804507</v>
      </c>
      <c r="J224" s="90">
        <v>3.2776886412163471</v>
      </c>
      <c r="K224" s="29">
        <f t="shared" si="25"/>
        <v>-2.3136431562609139E-2</v>
      </c>
      <c r="L224" s="29">
        <f t="shared" si="26"/>
        <v>-1.0794621501104884E-2</v>
      </c>
      <c r="M224" s="29">
        <f t="shared" si="27"/>
        <v>1.5529254719923946E-2</v>
      </c>
      <c r="N224" s="29">
        <f t="shared" si="28"/>
        <v>1.725936403009376E-2</v>
      </c>
      <c r="O224" s="29">
        <f t="shared" si="29"/>
        <v>-1.3146662346320559E-3</v>
      </c>
      <c r="P224" s="29">
        <f t="shared" si="30"/>
        <v>1.5930057005403286E-2</v>
      </c>
      <c r="Q224" s="29">
        <f t="shared" si="31"/>
        <v>1.3016835920081071E-2</v>
      </c>
    </row>
    <row r="225" spans="2:17" ht="13.95" customHeight="1" x14ac:dyDescent="0.3">
      <c r="B225" s="89">
        <v>44057</v>
      </c>
      <c r="C225" s="91">
        <f t="shared" si="24"/>
        <v>0</v>
      </c>
      <c r="D225" s="90">
        <v>4.8141504464354989</v>
      </c>
      <c r="E225" s="90">
        <v>3.0518460520176069</v>
      </c>
      <c r="F225" s="90">
        <v>1.649527285864036</v>
      </c>
      <c r="G225" s="90">
        <v>1.948606539872902</v>
      </c>
      <c r="H225" s="90">
        <v>2.7692162589038141</v>
      </c>
      <c r="I225" s="90">
        <v>1.627323411845973</v>
      </c>
      <c r="J225" s="90">
        <v>3.3167953418146858</v>
      </c>
      <c r="K225" s="29">
        <f t="shared" si="25"/>
        <v>-2.9427810887537986E-2</v>
      </c>
      <c r="L225" s="29">
        <f t="shared" si="26"/>
        <v>-1.6202758280950302E-2</v>
      </c>
      <c r="M225" s="29">
        <f t="shared" si="27"/>
        <v>-2.5589272467243518E-2</v>
      </c>
      <c r="N225" s="29">
        <f t="shared" si="28"/>
        <v>1.2402272631544697E-2</v>
      </c>
      <c r="O225" s="29">
        <f t="shared" si="29"/>
        <v>-1.384598262276604E-2</v>
      </c>
      <c r="P225" s="29">
        <f t="shared" si="30"/>
        <v>-3.1557688686489782E-2</v>
      </c>
      <c r="Q225" s="29">
        <f t="shared" si="31"/>
        <v>1.1931182268681395E-2</v>
      </c>
    </row>
    <row r="226" spans="2:17" ht="13.95" customHeight="1" x14ac:dyDescent="0.3">
      <c r="B226" s="89">
        <v>44064</v>
      </c>
      <c r="C226" s="91">
        <f t="shared" si="24"/>
        <v>0</v>
      </c>
      <c r="D226" s="90">
        <v>4.7627603185524539</v>
      </c>
      <c r="E226" s="90">
        <v>3.0250722509455539</v>
      </c>
      <c r="F226" s="90">
        <v>1.657914411003081</v>
      </c>
      <c r="G226" s="90">
        <v>1.987010549285714</v>
      </c>
      <c r="H226" s="90">
        <v>2.773857397106184</v>
      </c>
      <c r="I226" s="90">
        <v>1.644104423848729</v>
      </c>
      <c r="J226" s="90">
        <v>3.2293459475775572</v>
      </c>
      <c r="K226" s="29">
        <f t="shared" si="25"/>
        <v>-1.0674807207384895E-2</v>
      </c>
      <c r="L226" s="29">
        <f t="shared" si="26"/>
        <v>-8.7729854703361143E-3</v>
      </c>
      <c r="M226" s="29">
        <f t="shared" si="27"/>
        <v>5.0845628386508857E-3</v>
      </c>
      <c r="N226" s="29">
        <f t="shared" si="28"/>
        <v>1.9708447358139702E-2</v>
      </c>
      <c r="O226" s="29">
        <f t="shared" si="29"/>
        <v>1.6759753549211442E-3</v>
      </c>
      <c r="P226" s="29">
        <f t="shared" si="30"/>
        <v>1.0312032556405226E-2</v>
      </c>
      <c r="Q226" s="29">
        <f t="shared" si="31"/>
        <v>-2.6365628633958194E-2</v>
      </c>
    </row>
    <row r="227" spans="2:17" ht="13.95" customHeight="1" x14ac:dyDescent="0.3">
      <c r="B227" s="89">
        <v>44071</v>
      </c>
      <c r="C227" s="91">
        <f t="shared" si="24"/>
        <v>0</v>
      </c>
      <c r="D227" s="90">
        <v>4.8314915847134809</v>
      </c>
      <c r="E227" s="90">
        <v>3.046865980674915</v>
      </c>
      <c r="F227" s="90">
        <v>1.6854748149109</v>
      </c>
      <c r="G227" s="90">
        <v>1.96799041165385</v>
      </c>
      <c r="H227" s="90">
        <v>2.791040367817879</v>
      </c>
      <c r="I227" s="90">
        <v>1.6760514423550319</v>
      </c>
      <c r="J227" s="90">
        <v>3.2264234492489492</v>
      </c>
      <c r="K227" s="29">
        <f t="shared" si="25"/>
        <v>1.4430973125667768E-2</v>
      </c>
      <c r="L227" s="29">
        <f t="shared" si="26"/>
        <v>7.2043666800185591E-3</v>
      </c>
      <c r="M227" s="29">
        <f t="shared" si="27"/>
        <v>1.6623538419660688E-2</v>
      </c>
      <c r="N227" s="29">
        <f t="shared" si="28"/>
        <v>-9.5722378719635959E-3</v>
      </c>
      <c r="O227" s="29">
        <f t="shared" si="29"/>
        <v>6.194612141785294E-3</v>
      </c>
      <c r="P227" s="29">
        <f t="shared" si="30"/>
        <v>1.9431258770971072E-2</v>
      </c>
      <c r="Q227" s="29">
        <f t="shared" si="31"/>
        <v>-9.0498149657836091E-4</v>
      </c>
    </row>
    <row r="228" spans="2:17" ht="13.95" customHeight="1" x14ac:dyDescent="0.3">
      <c r="B228" s="89">
        <v>44078</v>
      </c>
      <c r="C228" s="91">
        <f t="shared" si="24"/>
        <v>0</v>
      </c>
      <c r="D228" s="90">
        <v>4.8240679909602271</v>
      </c>
      <c r="E228" s="90">
        <v>3.0265156398622302</v>
      </c>
      <c r="F228" s="90">
        <v>1.639688838566205</v>
      </c>
      <c r="G228" s="90">
        <v>1.95957337347924</v>
      </c>
      <c r="H228" s="90">
        <v>2.7664347865631922</v>
      </c>
      <c r="I228" s="90">
        <v>1.6333727671834211</v>
      </c>
      <c r="J228" s="90">
        <v>3.103812622190758</v>
      </c>
      <c r="K228" s="29">
        <f t="shared" si="25"/>
        <v>-1.5365014350312567E-3</v>
      </c>
      <c r="L228" s="29">
        <f t="shared" si="26"/>
        <v>-6.6791059868596125E-3</v>
      </c>
      <c r="M228" s="29">
        <f t="shared" si="27"/>
        <v>-2.7165031443745158E-2</v>
      </c>
      <c r="N228" s="29">
        <f t="shared" si="28"/>
        <v>-4.2769711299236457E-3</v>
      </c>
      <c r="O228" s="29">
        <f t="shared" si="29"/>
        <v>-8.8159173684485559E-3</v>
      </c>
      <c r="P228" s="29">
        <f t="shared" si="30"/>
        <v>-2.5463821749792337E-2</v>
      </c>
      <c r="Q228" s="29">
        <f t="shared" si="31"/>
        <v>-3.8002087756562997E-2</v>
      </c>
    </row>
    <row r="229" spans="2:17" ht="13.95" customHeight="1" x14ac:dyDescent="0.3">
      <c r="B229" s="89">
        <v>44085</v>
      </c>
      <c r="C229" s="91">
        <f t="shared" si="24"/>
        <v>0</v>
      </c>
      <c r="D229" s="90">
        <v>4.5615615190125389</v>
      </c>
      <c r="E229" s="90">
        <v>2.978195080566806</v>
      </c>
      <c r="F229" s="90">
        <v>1.588763537016185</v>
      </c>
      <c r="G229" s="90">
        <v>1.9395682981706239</v>
      </c>
      <c r="H229" s="90">
        <v>2.689159296225307</v>
      </c>
      <c r="I229" s="90">
        <v>1.5854128436279811</v>
      </c>
      <c r="J229" s="90">
        <v>2.9734602274557949</v>
      </c>
      <c r="K229" s="29">
        <f t="shared" si="25"/>
        <v>-5.441599754389792E-2</v>
      </c>
      <c r="L229" s="29">
        <f t="shared" si="26"/>
        <v>-1.5965739168499304E-2</v>
      </c>
      <c r="M229" s="29">
        <f t="shared" si="27"/>
        <v>-3.1057905836909039E-2</v>
      </c>
      <c r="N229" s="29">
        <f t="shared" si="28"/>
        <v>-1.020889321082008E-2</v>
      </c>
      <c r="O229" s="29">
        <f t="shared" si="29"/>
        <v>-2.7933241265335029E-2</v>
      </c>
      <c r="P229" s="29">
        <f t="shared" si="30"/>
        <v>-2.9362509599166309E-2</v>
      </c>
      <c r="Q229" s="29">
        <f t="shared" si="31"/>
        <v>-4.19975077757615E-2</v>
      </c>
    </row>
    <row r="230" spans="2:17" ht="13.95" customHeight="1" x14ac:dyDescent="0.3">
      <c r="B230" s="89">
        <v>44092</v>
      </c>
      <c r="C230" s="91">
        <f t="shared" si="24"/>
        <v>0</v>
      </c>
      <c r="D230" s="90">
        <v>4.4902167651525264</v>
      </c>
      <c r="E230" s="90">
        <v>3.001813407928168</v>
      </c>
      <c r="F230" s="90">
        <v>1.5842002423376611</v>
      </c>
      <c r="G230" s="90">
        <v>1.9562678356923131</v>
      </c>
      <c r="H230" s="90">
        <v>2.6882039769386932</v>
      </c>
      <c r="I230" s="90">
        <v>1.5809976452952801</v>
      </c>
      <c r="J230" s="90">
        <v>2.9632218981157021</v>
      </c>
      <c r="K230" s="29">
        <f t="shared" si="25"/>
        <v>-1.5640423473989862E-2</v>
      </c>
      <c r="L230" s="29">
        <f t="shared" si="26"/>
        <v>7.9304164846270009E-3</v>
      </c>
      <c r="M230" s="29">
        <f t="shared" si="27"/>
        <v>-2.8722302420749468E-3</v>
      </c>
      <c r="N230" s="29">
        <f t="shared" si="28"/>
        <v>8.6099249701285796E-3</v>
      </c>
      <c r="O230" s="29">
        <f t="shared" si="29"/>
        <v>-3.5524830676814112E-4</v>
      </c>
      <c r="P230" s="29">
        <f t="shared" si="30"/>
        <v>-2.7848887123921306E-3</v>
      </c>
      <c r="Q230" s="29">
        <f t="shared" si="31"/>
        <v>-3.4432373588036969E-3</v>
      </c>
    </row>
    <row r="231" spans="2:17" ht="13.95" customHeight="1" x14ac:dyDescent="0.3">
      <c r="B231" s="89">
        <v>44099</v>
      </c>
      <c r="C231" s="91">
        <f t="shared" si="24"/>
        <v>0</v>
      </c>
      <c r="D231" s="90">
        <v>4.5022494965026461</v>
      </c>
      <c r="E231" s="90">
        <v>2.946601425189145</v>
      </c>
      <c r="F231" s="90">
        <v>1.5958196529465289</v>
      </c>
      <c r="G231" s="90">
        <v>1.89379868985043</v>
      </c>
      <c r="H231" s="90">
        <v>2.6568027147859912</v>
      </c>
      <c r="I231" s="90">
        <v>1.588555595315972</v>
      </c>
      <c r="J231" s="90">
        <v>3.0344670506780491</v>
      </c>
      <c r="K231" s="29">
        <f t="shared" si="25"/>
        <v>2.6797662517104026E-3</v>
      </c>
      <c r="L231" s="29">
        <f t="shared" si="26"/>
        <v>-1.8392876317095852E-2</v>
      </c>
      <c r="M231" s="29">
        <f t="shared" si="27"/>
        <v>7.3345592926574721E-3</v>
      </c>
      <c r="N231" s="29">
        <f t="shared" si="28"/>
        <v>-3.1932818554866071E-2</v>
      </c>
      <c r="O231" s="29">
        <f t="shared" si="29"/>
        <v>-1.1681130755732849E-2</v>
      </c>
      <c r="P231" s="29">
        <f t="shared" si="30"/>
        <v>4.7804941665681167E-3</v>
      </c>
      <c r="Q231" s="29">
        <f t="shared" si="31"/>
        <v>2.404313784521217E-2</v>
      </c>
    </row>
    <row r="232" spans="2:17" ht="13.95" customHeight="1" x14ac:dyDescent="0.3">
      <c r="B232" s="89">
        <v>44106</v>
      </c>
      <c r="C232" s="91">
        <f t="shared" si="24"/>
        <v>0</v>
      </c>
      <c r="D232" s="90">
        <v>4.3996033066258811</v>
      </c>
      <c r="E232" s="90">
        <v>2.833560432322991</v>
      </c>
      <c r="F232" s="90">
        <v>1.5532067044212901</v>
      </c>
      <c r="G232" s="90">
        <v>1.8318429440873381</v>
      </c>
      <c r="H232" s="90">
        <v>2.5763894270595662</v>
      </c>
      <c r="I232" s="90">
        <v>1.528555227858458</v>
      </c>
      <c r="J232" s="90">
        <v>3.1730924626937052</v>
      </c>
      <c r="K232" s="29">
        <f t="shared" si="25"/>
        <v>-2.2798867534218337E-2</v>
      </c>
      <c r="L232" s="29">
        <f t="shared" si="26"/>
        <v>-3.8363177286150241E-2</v>
      </c>
      <c r="M232" s="29">
        <f t="shared" si="27"/>
        <v>-2.6702859841685855E-2</v>
      </c>
      <c r="N232" s="29">
        <f t="shared" si="28"/>
        <v>-3.2715064222578527E-2</v>
      </c>
      <c r="O232" s="29">
        <f t="shared" si="29"/>
        <v>-3.026693976142758E-2</v>
      </c>
      <c r="P232" s="29">
        <f t="shared" si="30"/>
        <v>-3.7770391942486325E-2</v>
      </c>
      <c r="Q232" s="29">
        <f t="shared" si="31"/>
        <v>4.5683610894598603E-2</v>
      </c>
    </row>
    <row r="233" spans="2:17" ht="13.95" customHeight="1" x14ac:dyDescent="0.3">
      <c r="B233" s="89">
        <v>44113</v>
      </c>
      <c r="C233" s="91">
        <f t="shared" si="24"/>
        <v>0</v>
      </c>
      <c r="D233" s="90">
        <v>4.5900041334639514</v>
      </c>
      <c r="E233" s="90">
        <v>2.8707228482293941</v>
      </c>
      <c r="F233" s="90">
        <v>1.6306693336394309</v>
      </c>
      <c r="G233" s="90">
        <v>1.90737974090381</v>
      </c>
      <c r="H233" s="90">
        <v>2.6714230244299411</v>
      </c>
      <c r="I233" s="90">
        <v>1.583992886179111</v>
      </c>
      <c r="J233" s="90">
        <v>3.604049567988524</v>
      </c>
      <c r="K233" s="29">
        <f t="shared" si="25"/>
        <v>4.3276816923772055E-2</v>
      </c>
      <c r="L233" s="29">
        <f t="shared" si="26"/>
        <v>1.3115095581687219E-2</v>
      </c>
      <c r="M233" s="29">
        <f t="shared" si="27"/>
        <v>4.9872711080656051E-2</v>
      </c>
      <c r="N233" s="29">
        <f t="shared" si="28"/>
        <v>4.1235411070737804E-2</v>
      </c>
      <c r="O233" s="29">
        <f t="shared" si="29"/>
        <v>3.6886348147623371E-2</v>
      </c>
      <c r="P233" s="29">
        <f t="shared" si="30"/>
        <v>3.6268011328790761E-2</v>
      </c>
      <c r="Q233" s="29">
        <f t="shared" si="31"/>
        <v>0.13581611956210393</v>
      </c>
    </row>
    <row r="234" spans="2:17" ht="13.95" customHeight="1" x14ac:dyDescent="0.3">
      <c r="B234" s="89">
        <v>44120</v>
      </c>
      <c r="C234" s="91">
        <f t="shared" si="24"/>
        <v>0</v>
      </c>
      <c r="D234" s="90">
        <v>4.4872603348906113</v>
      </c>
      <c r="E234" s="90">
        <v>2.9362236055280171</v>
      </c>
      <c r="F234" s="90">
        <v>1.6784345426693761</v>
      </c>
      <c r="G234" s="90">
        <v>1.92394018868946</v>
      </c>
      <c r="H234" s="90">
        <v>2.6940775231591769</v>
      </c>
      <c r="I234" s="90">
        <v>1.6224148254294291</v>
      </c>
      <c r="J234" s="90">
        <v>3.8142138997542552</v>
      </c>
      <c r="K234" s="29">
        <f t="shared" si="25"/>
        <v>-2.2384249683845558E-2</v>
      </c>
      <c r="L234" s="29">
        <f t="shared" si="26"/>
        <v>2.2816816795470984E-2</v>
      </c>
      <c r="M234" s="29">
        <f t="shared" si="27"/>
        <v>2.929178101567631E-2</v>
      </c>
      <c r="N234" s="29">
        <f t="shared" si="28"/>
        <v>8.6823024437718832E-3</v>
      </c>
      <c r="O234" s="29">
        <f t="shared" si="29"/>
        <v>8.4803112506190992E-3</v>
      </c>
      <c r="P234" s="29">
        <f t="shared" si="30"/>
        <v>2.4256383715837826E-2</v>
      </c>
      <c r="Q234" s="29">
        <f t="shared" si="31"/>
        <v>5.8313385485157854E-2</v>
      </c>
    </row>
    <row r="235" spans="2:17" ht="13.95" customHeight="1" x14ac:dyDescent="0.3">
      <c r="B235" s="89">
        <v>44127</v>
      </c>
      <c r="C235" s="91">
        <f t="shared" si="24"/>
        <v>0</v>
      </c>
      <c r="D235" s="90">
        <v>4.8397524929223579</v>
      </c>
      <c r="E235" s="90">
        <v>2.9498237206792428</v>
      </c>
      <c r="F235" s="90">
        <v>1.678751774443842</v>
      </c>
      <c r="G235" s="90">
        <v>1.9850389884826909</v>
      </c>
      <c r="H235" s="90">
        <v>2.774881493936264</v>
      </c>
      <c r="I235" s="90">
        <v>1.621808703772557</v>
      </c>
      <c r="J235" s="90">
        <v>3.826904534747321</v>
      </c>
      <c r="K235" s="29">
        <f t="shared" si="25"/>
        <v>7.8553979872963975E-2</v>
      </c>
      <c r="L235" s="29">
        <f t="shared" si="26"/>
        <v>4.6318390485047267E-3</v>
      </c>
      <c r="M235" s="29">
        <f t="shared" si="27"/>
        <v>1.8900455537651517E-4</v>
      </c>
      <c r="N235" s="29">
        <f t="shared" si="28"/>
        <v>3.1757120180981202E-2</v>
      </c>
      <c r="O235" s="29">
        <f t="shared" si="29"/>
        <v>2.999318693781805E-2</v>
      </c>
      <c r="P235" s="29">
        <f t="shared" si="30"/>
        <v>-3.7359228193167837E-4</v>
      </c>
      <c r="Q235" s="29">
        <f t="shared" si="31"/>
        <v>3.327195413420192E-3</v>
      </c>
    </row>
    <row r="236" spans="2:17" ht="13.95" customHeight="1" x14ac:dyDescent="0.3">
      <c r="B236" s="89">
        <v>44134</v>
      </c>
      <c r="C236" s="91">
        <f t="shared" si="24"/>
        <v>0</v>
      </c>
      <c r="D236" s="90">
        <v>4.4208179803263157</v>
      </c>
      <c r="E236" s="90">
        <v>2.7685231297093869</v>
      </c>
      <c r="F236" s="90">
        <v>1.5404353855155219</v>
      </c>
      <c r="G236" s="90">
        <v>1.8649636640278759</v>
      </c>
      <c r="H236" s="90">
        <v>2.5746642662293771</v>
      </c>
      <c r="I236" s="90">
        <v>1.4869769515695861</v>
      </c>
      <c r="J236" s="90">
        <v>3.5274254361635302</v>
      </c>
      <c r="K236" s="29">
        <f t="shared" si="25"/>
        <v>-8.6561144027239245E-2</v>
      </c>
      <c r="L236" s="29">
        <f t="shared" si="26"/>
        <v>-6.146150012249163E-2</v>
      </c>
      <c r="M236" s="29">
        <f t="shared" si="27"/>
        <v>-8.2392400731277404E-2</v>
      </c>
      <c r="N236" s="29">
        <f t="shared" si="28"/>
        <v>-6.049015921173273E-2</v>
      </c>
      <c r="O236" s="29">
        <f t="shared" si="29"/>
        <v>-7.2153433631096053E-2</v>
      </c>
      <c r="P236" s="29">
        <f t="shared" si="30"/>
        <v>-8.3136655938109816E-2</v>
      </c>
      <c r="Q236" s="29">
        <f t="shared" si="31"/>
        <v>-7.8256224022469456E-2</v>
      </c>
    </row>
    <row r="237" spans="2:17" ht="13.95" customHeight="1" x14ac:dyDescent="0.3">
      <c r="B237" s="89">
        <v>44141</v>
      </c>
      <c r="C237" s="91">
        <f t="shared" si="24"/>
        <v>0</v>
      </c>
      <c r="D237" s="90">
        <v>4.7450463485460963</v>
      </c>
      <c r="E237" s="90">
        <v>2.987640627059907</v>
      </c>
      <c r="F237" s="90">
        <v>1.704235273949726</v>
      </c>
      <c r="G237" s="90">
        <v>1.9555129680935059</v>
      </c>
      <c r="H237" s="90">
        <v>2.7657807150722271</v>
      </c>
      <c r="I237" s="90">
        <v>1.645175694312867</v>
      </c>
      <c r="J237" s="90">
        <v>3.9014178408595059</v>
      </c>
      <c r="K237" s="29">
        <f t="shared" si="25"/>
        <v>7.3341261653991019E-2</v>
      </c>
      <c r="L237" s="29">
        <f t="shared" si="26"/>
        <v>7.9145987620309777E-2</v>
      </c>
      <c r="M237" s="29">
        <f t="shared" si="27"/>
        <v>0.10633350153754528</v>
      </c>
      <c r="N237" s="29">
        <f t="shared" si="28"/>
        <v>4.8552851625036642E-2</v>
      </c>
      <c r="O237" s="29">
        <f t="shared" si="29"/>
        <v>7.4229658347937599E-2</v>
      </c>
      <c r="P237" s="29">
        <f t="shared" si="30"/>
        <v>0.10638950561829041</v>
      </c>
      <c r="Q237" s="29">
        <f t="shared" si="31"/>
        <v>0.10602418434186212</v>
      </c>
    </row>
    <row r="238" spans="2:17" ht="13.95" customHeight="1" x14ac:dyDescent="0.3">
      <c r="B238" s="89">
        <v>44148</v>
      </c>
      <c r="C238" s="91">
        <f t="shared" si="24"/>
        <v>0</v>
      </c>
      <c r="D238" s="90">
        <v>5.1031831607406692</v>
      </c>
      <c r="E238" s="90">
        <v>3.0838123530157069</v>
      </c>
      <c r="F238" s="90">
        <v>1.679458028329589</v>
      </c>
      <c r="G238" s="90">
        <v>2.0491085083688012</v>
      </c>
      <c r="H238" s="90">
        <v>2.8699086023311202</v>
      </c>
      <c r="I238" s="90">
        <v>1.6174116906451219</v>
      </c>
      <c r="J238" s="90">
        <v>3.895079093457229</v>
      </c>
      <c r="K238" s="29">
        <f t="shared" si="25"/>
        <v>7.5475935509946579E-2</v>
      </c>
      <c r="L238" s="29">
        <f t="shared" si="26"/>
        <v>3.2189857469718808E-2</v>
      </c>
      <c r="M238" s="29">
        <f t="shared" si="27"/>
        <v>-1.4538629729634267E-2</v>
      </c>
      <c r="N238" s="29">
        <f t="shared" si="28"/>
        <v>4.7862398154559171E-2</v>
      </c>
      <c r="O238" s="29">
        <f t="shared" si="29"/>
        <v>3.7648641734843391E-2</v>
      </c>
      <c r="P238" s="29">
        <f t="shared" si="30"/>
        <v>-1.6876011336492081E-2</v>
      </c>
      <c r="Q238" s="29">
        <f t="shared" si="31"/>
        <v>-1.6247291781699147E-3</v>
      </c>
    </row>
    <row r="239" spans="2:17" ht="13.95" customHeight="1" x14ac:dyDescent="0.3">
      <c r="B239" s="89">
        <v>44155</v>
      </c>
      <c r="C239" s="91">
        <f t="shared" si="24"/>
        <v>0</v>
      </c>
      <c r="D239" s="90">
        <v>5.1709901016938176</v>
      </c>
      <c r="E239" s="90">
        <v>3.0461533165775592</v>
      </c>
      <c r="F239" s="90">
        <v>1.666505849492522</v>
      </c>
      <c r="G239" s="90">
        <v>2.1435573867859179</v>
      </c>
      <c r="H239" s="90">
        <v>2.9062009778789148</v>
      </c>
      <c r="I239" s="90">
        <v>1.610417579295693</v>
      </c>
      <c r="J239" s="90">
        <v>3.793246537364944</v>
      </c>
      <c r="K239" s="29">
        <f t="shared" si="25"/>
        <v>1.3287185432573567E-2</v>
      </c>
      <c r="L239" s="29">
        <f t="shared" si="26"/>
        <v>-1.2211844343032241E-2</v>
      </c>
      <c r="M239" s="29">
        <f t="shared" si="27"/>
        <v>-7.712118206341545E-3</v>
      </c>
      <c r="N239" s="29">
        <f t="shared" si="28"/>
        <v>4.6092668119514624E-2</v>
      </c>
      <c r="O239" s="29">
        <f t="shared" si="29"/>
        <v>1.2645829737684133E-2</v>
      </c>
      <c r="P239" s="29">
        <f t="shared" si="30"/>
        <v>-4.3242616520468014E-3</v>
      </c>
      <c r="Q239" s="29">
        <f t="shared" si="31"/>
        <v>-2.6143899430267958E-2</v>
      </c>
    </row>
    <row r="240" spans="2:17" ht="13.95" customHeight="1" x14ac:dyDescent="0.3">
      <c r="B240" s="89">
        <v>44162</v>
      </c>
      <c r="C240" s="91">
        <f t="shared" si="24"/>
        <v>0</v>
      </c>
      <c r="D240" s="90">
        <v>5.2730909773300771</v>
      </c>
      <c r="E240" s="90">
        <v>3.0976634941748999</v>
      </c>
      <c r="F240" s="90">
        <v>1.6930060388122701</v>
      </c>
      <c r="G240" s="90">
        <v>2.3596558710228739</v>
      </c>
      <c r="H240" s="90">
        <v>3.0312818891407951</v>
      </c>
      <c r="I240" s="90">
        <v>1.6491830821544891</v>
      </c>
      <c r="J240" s="90">
        <v>3.6811794906655222</v>
      </c>
      <c r="K240" s="29">
        <f t="shared" si="25"/>
        <v>1.974493735789884E-2</v>
      </c>
      <c r="L240" s="29">
        <f t="shared" si="26"/>
        <v>1.690990972680706E-2</v>
      </c>
      <c r="M240" s="29">
        <f t="shared" si="27"/>
        <v>1.5901647946701125E-2</v>
      </c>
      <c r="N240" s="29">
        <f t="shared" si="28"/>
        <v>0.10081301558293121</v>
      </c>
      <c r="O240" s="29">
        <f t="shared" si="29"/>
        <v>4.3039319102139428E-2</v>
      </c>
      <c r="P240" s="29">
        <f t="shared" si="30"/>
        <v>2.4071708702875672E-2</v>
      </c>
      <c r="Q240" s="29">
        <f t="shared" si="31"/>
        <v>-2.9543834178853978E-2</v>
      </c>
    </row>
    <row r="241" spans="2:17" ht="13.95" customHeight="1" x14ac:dyDescent="0.3">
      <c r="B241" s="89">
        <v>44169</v>
      </c>
      <c r="C241" s="91">
        <f t="shared" si="24"/>
        <v>0</v>
      </c>
      <c r="D241" s="90">
        <v>5.469864111359179</v>
      </c>
      <c r="E241" s="90">
        <v>3.1269190625523482</v>
      </c>
      <c r="F241" s="90">
        <v>1.712068726566365</v>
      </c>
      <c r="G241" s="90">
        <v>2.466600707628416</v>
      </c>
      <c r="H241" s="90">
        <v>3.117785813072953</v>
      </c>
      <c r="I241" s="90">
        <v>1.6839124467078519</v>
      </c>
      <c r="J241" s="90">
        <v>3.5108955392985219</v>
      </c>
      <c r="K241" s="29">
        <f t="shared" si="25"/>
        <v>3.7316468628184829E-2</v>
      </c>
      <c r="L241" s="29">
        <f t="shared" si="26"/>
        <v>9.4443984740313347E-3</v>
      </c>
      <c r="M241" s="29">
        <f t="shared" si="27"/>
        <v>1.1259669083914403E-2</v>
      </c>
      <c r="N241" s="29">
        <f t="shared" si="28"/>
        <v>4.5322217497411277E-2</v>
      </c>
      <c r="O241" s="29">
        <f t="shared" si="29"/>
        <v>2.8537076753583301E-2</v>
      </c>
      <c r="P241" s="29">
        <f t="shared" si="30"/>
        <v>2.1058525841771703E-2</v>
      </c>
      <c r="Q241" s="29">
        <f t="shared" si="31"/>
        <v>-4.6257986549907315E-2</v>
      </c>
    </row>
    <row r="242" spans="2:17" ht="13.95" customHeight="1" x14ac:dyDescent="0.3">
      <c r="B242" s="89">
        <v>44176</v>
      </c>
      <c r="C242" s="91">
        <f t="shared" si="24"/>
        <v>0</v>
      </c>
      <c r="D242" s="90">
        <v>5.6325631138396357</v>
      </c>
      <c r="E242" s="90">
        <v>3.1967126675272319</v>
      </c>
      <c r="F242" s="90">
        <v>1.6651853776435059</v>
      </c>
      <c r="G242" s="90">
        <v>2.5030300562824248</v>
      </c>
      <c r="H242" s="90">
        <v>3.1557220481753299</v>
      </c>
      <c r="I242" s="90">
        <v>1.6342162845545889</v>
      </c>
      <c r="J242" s="90">
        <v>3.461709536979916</v>
      </c>
      <c r="K242" s="29">
        <f t="shared" si="25"/>
        <v>2.9744615070524727E-2</v>
      </c>
      <c r="L242" s="29">
        <f t="shared" si="26"/>
        <v>2.2320246728073201E-2</v>
      </c>
      <c r="M242" s="29">
        <f t="shared" si="27"/>
        <v>-2.7384034411332192E-2</v>
      </c>
      <c r="N242" s="29">
        <f t="shared" si="28"/>
        <v>1.476904978634952E-2</v>
      </c>
      <c r="O242" s="29">
        <f t="shared" si="29"/>
        <v>1.2167684817638635E-2</v>
      </c>
      <c r="P242" s="29">
        <f t="shared" si="30"/>
        <v>-2.9512319509498175E-2</v>
      </c>
      <c r="Q242" s="29">
        <f t="shared" si="31"/>
        <v>-1.400953169014918E-2</v>
      </c>
    </row>
    <row r="243" spans="2:17" ht="13.95" customHeight="1" x14ac:dyDescent="0.3">
      <c r="B243" s="89">
        <v>44183</v>
      </c>
      <c r="C243" s="91">
        <f t="shared" si="24"/>
        <v>0</v>
      </c>
      <c r="D243" s="90">
        <v>5.7432699448556992</v>
      </c>
      <c r="E243" s="90">
        <v>3.2487939591403152</v>
      </c>
      <c r="F243" s="90">
        <v>1.69652006348213</v>
      </c>
      <c r="G243" s="90">
        <v>2.6021716507278798</v>
      </c>
      <c r="H243" s="90">
        <v>3.2355522463797679</v>
      </c>
      <c r="I243" s="90">
        <v>1.6641871156864729</v>
      </c>
      <c r="J243" s="90">
        <v>3.537084460947443</v>
      </c>
      <c r="K243" s="29">
        <f t="shared" si="25"/>
        <v>1.9654787488141645E-2</v>
      </c>
      <c r="L243" s="29">
        <f t="shared" si="26"/>
        <v>1.6292140404777111E-2</v>
      </c>
      <c r="M243" s="29">
        <f t="shared" si="27"/>
        <v>1.8817536028912007E-2</v>
      </c>
      <c r="N243" s="29">
        <f t="shared" si="28"/>
        <v>3.9608631225428903E-2</v>
      </c>
      <c r="O243" s="29">
        <f t="shared" si="29"/>
        <v>2.5296967535717085E-2</v>
      </c>
      <c r="P243" s="29">
        <f t="shared" si="30"/>
        <v>1.8339574397309821E-2</v>
      </c>
      <c r="Q243" s="29">
        <f t="shared" si="31"/>
        <v>2.1773901929763362E-2</v>
      </c>
    </row>
    <row r="244" spans="2:17" ht="13.95" customHeight="1" x14ac:dyDescent="0.3">
      <c r="B244" s="89">
        <v>44190</v>
      </c>
      <c r="C244" s="91">
        <f t="shared" si="24"/>
        <v>0</v>
      </c>
      <c r="D244" s="90">
        <v>5.789279264015029</v>
      </c>
      <c r="E244" s="90">
        <v>3.245552096945969</v>
      </c>
      <c r="F244" s="90">
        <v>1.67615699547224</v>
      </c>
      <c r="G244" s="90">
        <v>2.5908289525529109</v>
      </c>
      <c r="H244" s="90">
        <v>3.2298000043946642</v>
      </c>
      <c r="I244" s="90">
        <v>1.6430583635846521</v>
      </c>
      <c r="J244" s="90">
        <v>3.5097463977101242</v>
      </c>
      <c r="K244" s="29">
        <f t="shared" si="25"/>
        <v>8.010997149897392E-3</v>
      </c>
      <c r="L244" s="29">
        <f t="shared" si="26"/>
        <v>-9.9786635752185937E-4</v>
      </c>
      <c r="M244" s="29">
        <f t="shared" si="27"/>
        <v>-1.2002845382267147E-2</v>
      </c>
      <c r="N244" s="29">
        <f t="shared" si="28"/>
        <v>-4.3589354191128082E-3</v>
      </c>
      <c r="O244" s="29">
        <f t="shared" si="29"/>
        <v>-1.7778238603749497E-3</v>
      </c>
      <c r="P244" s="29">
        <f t="shared" si="30"/>
        <v>-1.2696139696469988E-2</v>
      </c>
      <c r="Q244" s="29">
        <f t="shared" si="31"/>
        <v>-7.7289823127367763E-3</v>
      </c>
    </row>
    <row r="245" spans="2:17" ht="13.95" customHeight="1" x14ac:dyDescent="0.3">
      <c r="B245" s="89">
        <v>44197</v>
      </c>
      <c r="C245" s="91">
        <f t="shared" si="24"/>
        <v>0</v>
      </c>
      <c r="D245" s="90">
        <v>5.8155553418100601</v>
      </c>
      <c r="E245" s="90">
        <v>3.283792412518018</v>
      </c>
      <c r="F245" s="90">
        <v>1.705161985592146</v>
      </c>
      <c r="G245" s="90">
        <v>2.61805478946183</v>
      </c>
      <c r="H245" s="90">
        <v>3.2635353333328538</v>
      </c>
      <c r="I245" s="90">
        <v>1.664894412260455</v>
      </c>
      <c r="J245" s="90">
        <v>3.6569056298771718</v>
      </c>
      <c r="K245" s="29">
        <f t="shared" si="25"/>
        <v>4.5387476742326793E-3</v>
      </c>
      <c r="L245" s="29">
        <f t="shared" si="26"/>
        <v>1.178237613502886E-2</v>
      </c>
      <c r="M245" s="29">
        <f t="shared" si="27"/>
        <v>1.7304459068128164E-2</v>
      </c>
      <c r="N245" s="29">
        <f t="shared" si="28"/>
        <v>1.050854278978619E-2</v>
      </c>
      <c r="O245" s="29">
        <f t="shared" si="29"/>
        <v>1.0445021020585532E-2</v>
      </c>
      <c r="P245" s="29">
        <f t="shared" si="30"/>
        <v>1.3289880116104547E-2</v>
      </c>
      <c r="Q245" s="29">
        <f t="shared" si="31"/>
        <v>4.1928736578534354E-2</v>
      </c>
    </row>
    <row r="246" spans="2:17" ht="13.95" customHeight="1" x14ac:dyDescent="0.3">
      <c r="B246" s="89">
        <v>44204</v>
      </c>
      <c r="C246" s="91">
        <f t="shared" si="24"/>
        <v>0</v>
      </c>
      <c r="D246" s="90">
        <v>5.9521371232558273</v>
      </c>
      <c r="E246" s="90">
        <v>3.34965007164302</v>
      </c>
      <c r="F246" s="90">
        <v>1.712526074714205</v>
      </c>
      <c r="G246" s="90">
        <v>2.9513034015171971</v>
      </c>
      <c r="H246" s="90">
        <v>3.4380740723744032</v>
      </c>
      <c r="I246" s="90">
        <v>1.6278694113521051</v>
      </c>
      <c r="J246" s="90">
        <v>4.2574618698534268</v>
      </c>
      <c r="K246" s="29">
        <f t="shared" si="25"/>
        <v>2.3485595685734939E-2</v>
      </c>
      <c r="L246" s="29">
        <f t="shared" si="26"/>
        <v>2.005536612909764E-2</v>
      </c>
      <c r="M246" s="29">
        <f t="shared" si="27"/>
        <v>4.3187035509131277E-3</v>
      </c>
      <c r="N246" s="29">
        <f t="shared" si="28"/>
        <v>0.12728863177224414</v>
      </c>
      <c r="O246" s="29">
        <f t="shared" si="29"/>
        <v>5.3481492067469993E-2</v>
      </c>
      <c r="P246" s="29">
        <f t="shared" si="30"/>
        <v>-2.2238648070228351E-2</v>
      </c>
      <c r="Q246" s="29">
        <f t="shared" si="31"/>
        <v>0.16422524963993301</v>
      </c>
    </row>
    <row r="247" spans="2:17" ht="13.95" customHeight="1" x14ac:dyDescent="0.3">
      <c r="B247" s="89">
        <v>44211</v>
      </c>
      <c r="C247" s="91">
        <f t="shared" si="24"/>
        <v>0</v>
      </c>
      <c r="D247" s="90">
        <v>5.689907544861259</v>
      </c>
      <c r="E247" s="90">
        <v>3.3470654044144079</v>
      </c>
      <c r="F247" s="90">
        <v>1.715552168543641</v>
      </c>
      <c r="G247" s="90">
        <v>2.7177667654578901</v>
      </c>
      <c r="H247" s="90">
        <v>3.3033667829215139</v>
      </c>
      <c r="I247" s="90">
        <v>1.6405884950908041</v>
      </c>
      <c r="J247" s="90">
        <v>4.1348129650233849</v>
      </c>
      <c r="K247" s="29">
        <f t="shared" si="25"/>
        <v>-4.4056373864439502E-2</v>
      </c>
      <c r="L247" s="29">
        <f t="shared" si="26"/>
        <v>-7.716230571345184E-4</v>
      </c>
      <c r="M247" s="29">
        <f t="shared" si="27"/>
        <v>1.7670351851086785E-3</v>
      </c>
      <c r="N247" s="29">
        <f t="shared" si="28"/>
        <v>-7.9129999287518626E-2</v>
      </c>
      <c r="O247" s="29">
        <f t="shared" si="29"/>
        <v>-3.9181031768712793E-2</v>
      </c>
      <c r="P247" s="29">
        <f t="shared" si="30"/>
        <v>7.813331739021212E-3</v>
      </c>
      <c r="Q247" s="29">
        <f t="shared" si="31"/>
        <v>-2.8807986678284547E-2</v>
      </c>
    </row>
    <row r="248" spans="2:17" ht="13.95" customHeight="1" x14ac:dyDescent="0.3">
      <c r="B248" s="89">
        <v>44218</v>
      </c>
      <c r="C248" s="91">
        <f t="shared" si="24"/>
        <v>0</v>
      </c>
      <c r="D248" s="90">
        <v>5.3861747364892798</v>
      </c>
      <c r="E248" s="90">
        <v>3.2577418813901011</v>
      </c>
      <c r="F248" s="90">
        <v>1.722230720195028</v>
      </c>
      <c r="G248" s="90">
        <v>2.673344988602099</v>
      </c>
      <c r="H248" s="90">
        <v>3.222579922580938</v>
      </c>
      <c r="I248" s="90">
        <v>1.6420682514713349</v>
      </c>
      <c r="J248" s="90">
        <v>4.2158061109556941</v>
      </c>
      <c r="K248" s="29">
        <f t="shared" si="25"/>
        <v>-5.3380974291276528E-2</v>
      </c>
      <c r="L248" s="29">
        <f t="shared" si="26"/>
        <v>-2.6687116094743502E-2</v>
      </c>
      <c r="M248" s="29">
        <f t="shared" si="27"/>
        <v>3.8929458245833271E-3</v>
      </c>
      <c r="N248" s="29">
        <f t="shared" si="28"/>
        <v>-1.6344955505520287E-2</v>
      </c>
      <c r="O248" s="29">
        <f t="shared" si="29"/>
        <v>-2.4455915933479067E-2</v>
      </c>
      <c r="P248" s="29">
        <f t="shared" si="30"/>
        <v>9.0196681554144398E-4</v>
      </c>
      <c r="Q248" s="29">
        <f t="shared" si="31"/>
        <v>1.9588103891865272E-2</v>
      </c>
    </row>
    <row r="249" spans="2:17" ht="13.95" customHeight="1" x14ac:dyDescent="0.3">
      <c r="B249" s="89">
        <v>44225</v>
      </c>
      <c r="C249" s="91">
        <f t="shared" si="24"/>
        <v>0</v>
      </c>
      <c r="D249" s="90">
        <v>5.3390094781486814</v>
      </c>
      <c r="E249" s="90">
        <v>3.2312106796645712</v>
      </c>
      <c r="F249" s="90">
        <v>1.68755659949385</v>
      </c>
      <c r="G249" s="90">
        <v>2.5741025618658551</v>
      </c>
      <c r="H249" s="90">
        <v>3.1566999628406021</v>
      </c>
      <c r="I249" s="90">
        <v>1.618942896588961</v>
      </c>
      <c r="J249" s="90">
        <v>3.9995361181518652</v>
      </c>
      <c r="K249" s="29">
        <f t="shared" si="25"/>
        <v>-8.7567263685435215E-3</v>
      </c>
      <c r="L249" s="29">
        <f t="shared" si="26"/>
        <v>-8.1440466100429765E-3</v>
      </c>
      <c r="M249" s="29">
        <f t="shared" si="27"/>
        <v>-2.0133261063448815E-2</v>
      </c>
      <c r="N249" s="29">
        <f t="shared" si="28"/>
        <v>-3.7122940420846406E-2</v>
      </c>
      <c r="O249" s="29">
        <f t="shared" si="29"/>
        <v>-2.0443235334121068E-2</v>
      </c>
      <c r="P249" s="29">
        <f t="shared" si="30"/>
        <v>-1.4083065586130816E-2</v>
      </c>
      <c r="Q249" s="29">
        <f t="shared" si="31"/>
        <v>-5.1299795842556395E-2</v>
      </c>
    </row>
    <row r="250" spans="2:17" ht="13.95" customHeight="1" x14ac:dyDescent="0.3">
      <c r="B250" s="89">
        <v>44232</v>
      </c>
      <c r="C250" s="91">
        <f t="shared" si="24"/>
        <v>0</v>
      </c>
      <c r="D250" s="90">
        <v>5.5123505198005676</v>
      </c>
      <c r="E250" s="90">
        <v>3.377033033055068</v>
      </c>
      <c r="F250" s="90">
        <v>1.739247234199031</v>
      </c>
      <c r="G250" s="90">
        <v>2.7373513222969859</v>
      </c>
      <c r="H250" s="90">
        <v>3.2986267497691979</v>
      </c>
      <c r="I250" s="90">
        <v>1.6736293469605239</v>
      </c>
      <c r="J250" s="90">
        <v>4.059439405178332</v>
      </c>
      <c r="K250" s="29">
        <f t="shared" si="25"/>
        <v>3.246689153883886E-2</v>
      </c>
      <c r="L250" s="29">
        <f t="shared" si="26"/>
        <v>4.5129323912000308E-2</v>
      </c>
      <c r="M250" s="29">
        <f t="shared" si="27"/>
        <v>3.0630459873573823E-2</v>
      </c>
      <c r="N250" s="29">
        <f t="shared" si="28"/>
        <v>6.3419679871962398E-2</v>
      </c>
      <c r="O250" s="29">
        <f t="shared" si="29"/>
        <v>4.4960493109671651E-2</v>
      </c>
      <c r="P250" s="29">
        <f t="shared" si="30"/>
        <v>3.3779110113633326E-2</v>
      </c>
      <c r="Q250" s="29">
        <f t="shared" si="31"/>
        <v>1.4977558711020578E-2</v>
      </c>
    </row>
    <row r="251" spans="2:17" ht="13.95" customHeight="1" x14ac:dyDescent="0.3">
      <c r="B251" s="89">
        <v>44239</v>
      </c>
      <c r="C251" s="91">
        <f t="shared" si="24"/>
        <v>0</v>
      </c>
      <c r="D251" s="90">
        <v>5.3774400457993821</v>
      </c>
      <c r="E251" s="90">
        <v>3.382686156168432</v>
      </c>
      <c r="F251" s="90">
        <v>1.728594032660915</v>
      </c>
      <c r="G251" s="90">
        <v>2.7387141881599848</v>
      </c>
      <c r="H251" s="90">
        <v>3.276395020364145</v>
      </c>
      <c r="I251" s="90">
        <v>1.6515821111727871</v>
      </c>
      <c r="J251" s="90">
        <v>4.1794456719612496</v>
      </c>
      <c r="K251" s="29">
        <f t="shared" si="25"/>
        <v>-2.447421903171465E-2</v>
      </c>
      <c r="L251" s="29">
        <f t="shared" si="26"/>
        <v>1.6739910619856246E-3</v>
      </c>
      <c r="M251" s="29">
        <f t="shared" si="27"/>
        <v>-6.1251795194154912E-3</v>
      </c>
      <c r="N251" s="29">
        <f t="shared" si="28"/>
        <v>4.9787758403452287E-4</v>
      </c>
      <c r="O251" s="29">
        <f t="shared" si="29"/>
        <v>-6.7396923300304667E-3</v>
      </c>
      <c r="P251" s="29">
        <f t="shared" si="30"/>
        <v>-1.3173308551129748E-2</v>
      </c>
      <c r="Q251" s="29">
        <f t="shared" si="31"/>
        <v>2.9562275675265592E-2</v>
      </c>
    </row>
    <row r="252" spans="2:17" ht="13.95" customHeight="1" x14ac:dyDescent="0.3">
      <c r="B252" s="89">
        <v>44246</v>
      </c>
      <c r="C252" s="91">
        <f t="shared" si="24"/>
        <v>0</v>
      </c>
      <c r="D252" s="90">
        <v>5.2686119061862016</v>
      </c>
      <c r="E252" s="90">
        <v>3.315689652685438</v>
      </c>
      <c r="F252" s="90">
        <v>1.6951668561129369</v>
      </c>
      <c r="G252" s="90">
        <v>2.77944020328873</v>
      </c>
      <c r="H252" s="90">
        <v>3.2486582466534588</v>
      </c>
      <c r="I252" s="90">
        <v>1.6197489046924349</v>
      </c>
      <c r="J252" s="90">
        <v>4.097338222152147</v>
      </c>
      <c r="K252" s="29">
        <f t="shared" si="25"/>
        <v>-2.023790850038254E-2</v>
      </c>
      <c r="L252" s="29">
        <f t="shared" si="26"/>
        <v>-1.9805710725135928E-2</v>
      </c>
      <c r="M252" s="29">
        <f t="shared" si="27"/>
        <v>-1.9337783144213416E-2</v>
      </c>
      <c r="N252" s="29">
        <f t="shared" si="28"/>
        <v>1.4870487510092234E-2</v>
      </c>
      <c r="O252" s="29">
        <f t="shared" si="29"/>
        <v>-8.4656378544988309E-3</v>
      </c>
      <c r="P252" s="29">
        <f t="shared" si="30"/>
        <v>-1.9274371080313712E-2</v>
      </c>
      <c r="Q252" s="29">
        <f t="shared" si="31"/>
        <v>-1.9645535856570362E-2</v>
      </c>
    </row>
    <row r="253" spans="2:17" ht="13.95" customHeight="1" x14ac:dyDescent="0.3">
      <c r="B253" s="89">
        <v>44253</v>
      </c>
      <c r="C253" s="91">
        <f t="shared" si="24"/>
        <v>0</v>
      </c>
      <c r="D253" s="90">
        <v>4.9087101388064216</v>
      </c>
      <c r="E253" s="90">
        <v>3.1140994083107851</v>
      </c>
      <c r="F253" s="90">
        <v>1.579695693292168</v>
      </c>
      <c r="G253" s="90">
        <v>2.5540943734620019</v>
      </c>
      <c r="H253" s="90">
        <v>3.0186441771660859</v>
      </c>
      <c r="I253" s="90">
        <v>1.502822669636708</v>
      </c>
      <c r="J253" s="90">
        <v>3.8992000609175621</v>
      </c>
      <c r="K253" s="29">
        <f t="shared" si="25"/>
        <v>-6.8310548164915552E-2</v>
      </c>
      <c r="L253" s="29">
        <f t="shared" si="26"/>
        <v>-6.0798888162340914E-2</v>
      </c>
      <c r="M253" s="29">
        <f t="shared" si="27"/>
        <v>-6.8117874299139736E-2</v>
      </c>
      <c r="N253" s="29">
        <f t="shared" si="28"/>
        <v>-8.1075976939561811E-2</v>
      </c>
      <c r="O253" s="29">
        <f t="shared" si="29"/>
        <v>-7.0802790574944985E-2</v>
      </c>
      <c r="P253" s="29">
        <f t="shared" si="30"/>
        <v>-7.2187877217876228E-2</v>
      </c>
      <c r="Q253" s="29">
        <f t="shared" si="31"/>
        <v>-4.8357775338964348E-2</v>
      </c>
    </row>
    <row r="254" spans="2:17" ht="13.95" customHeight="1" x14ac:dyDescent="0.3">
      <c r="B254" s="89">
        <v>44260</v>
      </c>
      <c r="C254" s="91">
        <f t="shared" si="24"/>
        <v>0</v>
      </c>
      <c r="D254" s="90">
        <v>5.2102659058205667</v>
      </c>
      <c r="E254" s="90">
        <v>3.2291537286946479</v>
      </c>
      <c r="F254" s="90">
        <v>1.59726809661178</v>
      </c>
      <c r="G254" s="90">
        <v>2.7200643302078849</v>
      </c>
      <c r="H254" s="90">
        <v>3.161573889452197</v>
      </c>
      <c r="I254" s="90">
        <v>1.537400453719961</v>
      </c>
      <c r="J254" s="90">
        <v>3.7223191402385329</v>
      </c>
      <c r="K254" s="29">
        <f t="shared" si="25"/>
        <v>6.1432791606527815E-2</v>
      </c>
      <c r="L254" s="29">
        <f t="shared" si="26"/>
        <v>3.6946258066396398E-2</v>
      </c>
      <c r="M254" s="29">
        <f t="shared" si="27"/>
        <v>1.1123916710179982E-2</v>
      </c>
      <c r="N254" s="29">
        <f t="shared" si="28"/>
        <v>6.4981920194638443E-2</v>
      </c>
      <c r="O254" s="29">
        <f t="shared" si="29"/>
        <v>4.7348976526373487E-2</v>
      </c>
      <c r="P254" s="29">
        <f t="shared" si="30"/>
        <v>2.3008559014891627E-2</v>
      </c>
      <c r="Q254" s="29">
        <f t="shared" si="31"/>
        <v>-4.5363386826939411E-2</v>
      </c>
    </row>
    <row r="255" spans="2:17" ht="13.95" customHeight="1" x14ac:dyDescent="0.3">
      <c r="B255" s="89">
        <v>44267</v>
      </c>
      <c r="C255" s="91">
        <f t="shared" si="24"/>
        <v>0</v>
      </c>
      <c r="D255" s="90">
        <v>5.1303594951899099</v>
      </c>
      <c r="E255" s="90">
        <v>3.2076937214499939</v>
      </c>
      <c r="F255" s="90">
        <v>1.583970540245041</v>
      </c>
      <c r="G255" s="90">
        <v>2.702018824269071</v>
      </c>
      <c r="H255" s="90">
        <v>3.1328210690302569</v>
      </c>
      <c r="I255" s="90">
        <v>1.5232228006013151</v>
      </c>
      <c r="J255" s="90">
        <v>3.7083298333916082</v>
      </c>
      <c r="K255" s="29">
        <f t="shared" si="25"/>
        <v>-1.5336340231962176E-2</v>
      </c>
      <c r="L255" s="29">
        <f t="shared" si="26"/>
        <v>-6.6457062895327601E-3</v>
      </c>
      <c r="M255" s="29">
        <f t="shared" si="27"/>
        <v>-8.3251874841465678E-3</v>
      </c>
      <c r="N255" s="29">
        <f t="shared" si="28"/>
        <v>-6.6342202786926485E-3</v>
      </c>
      <c r="O255" s="29">
        <f t="shared" si="29"/>
        <v>-9.0944641584581598E-3</v>
      </c>
      <c r="P255" s="29">
        <f t="shared" si="30"/>
        <v>-9.2218348734977029E-3</v>
      </c>
      <c r="Q255" s="29">
        <f t="shared" si="31"/>
        <v>-3.758223387054449E-3</v>
      </c>
    </row>
    <row r="256" spans="2:17" ht="13.95" customHeight="1" x14ac:dyDescent="0.3">
      <c r="B256" s="89">
        <v>44274</v>
      </c>
      <c r="C256" s="91">
        <f t="shared" si="24"/>
        <v>0</v>
      </c>
      <c r="D256" s="90">
        <v>5.2966132549320522</v>
      </c>
      <c r="E256" s="90">
        <v>3.3417074472568649</v>
      </c>
      <c r="F256" s="90">
        <v>1.5783489572278171</v>
      </c>
      <c r="G256" s="90">
        <v>2.707724605120633</v>
      </c>
      <c r="H256" s="90">
        <v>3.188448645807378</v>
      </c>
      <c r="I256" s="90">
        <v>1.513549748461922</v>
      </c>
      <c r="J256" s="90">
        <v>3.7477901342339921</v>
      </c>
      <c r="K256" s="29">
        <f t="shared" si="25"/>
        <v>3.2405869393366649E-2</v>
      </c>
      <c r="L256" s="29">
        <f t="shared" si="26"/>
        <v>4.1778840950654095E-2</v>
      </c>
      <c r="M256" s="29">
        <f t="shared" si="27"/>
        <v>-3.5490451838544601E-3</v>
      </c>
      <c r="N256" s="29">
        <f t="shared" si="28"/>
        <v>2.111673242360057E-3</v>
      </c>
      <c r="O256" s="29">
        <f t="shared" si="29"/>
        <v>1.7756384916786994E-2</v>
      </c>
      <c r="P256" s="29">
        <f t="shared" si="30"/>
        <v>-6.3503856005664439E-3</v>
      </c>
      <c r="Q256" s="29">
        <f t="shared" si="31"/>
        <v>1.0640990045454934E-2</v>
      </c>
    </row>
    <row r="257" spans="2:17" ht="13.95" customHeight="1" x14ac:dyDescent="0.3">
      <c r="B257" s="89">
        <v>44281</v>
      </c>
      <c r="C257" s="91">
        <f t="shared" si="24"/>
        <v>0</v>
      </c>
      <c r="D257" s="90">
        <v>5.2596156471845932</v>
      </c>
      <c r="E257" s="90">
        <v>3.305310739333907</v>
      </c>
      <c r="F257" s="90">
        <v>1.5172174964710721</v>
      </c>
      <c r="G257" s="90">
        <v>2.7000203276535779</v>
      </c>
      <c r="H257" s="90">
        <v>3.1495031275042811</v>
      </c>
      <c r="I257" s="90">
        <v>1.4449515746313171</v>
      </c>
      <c r="J257" s="90">
        <v>3.7256629877236538</v>
      </c>
      <c r="K257" s="29">
        <f t="shared" si="25"/>
        <v>-6.9851442736559299E-3</v>
      </c>
      <c r="L257" s="29">
        <f t="shared" si="26"/>
        <v>-1.0891650001509046E-2</v>
      </c>
      <c r="M257" s="29">
        <f t="shared" si="27"/>
        <v>-3.8731270722359934E-2</v>
      </c>
      <c r="N257" s="29">
        <f t="shared" si="28"/>
        <v>-2.8452958075888546E-3</v>
      </c>
      <c r="O257" s="29">
        <f t="shared" si="29"/>
        <v>-1.2214566590027398E-2</v>
      </c>
      <c r="P257" s="29">
        <f t="shared" si="30"/>
        <v>-4.5322708355186037E-2</v>
      </c>
      <c r="Q257" s="29">
        <f t="shared" si="31"/>
        <v>-5.9040516458536141E-3</v>
      </c>
    </row>
    <row r="258" spans="2:17" ht="13.95" customHeight="1" x14ac:dyDescent="0.3">
      <c r="B258" s="89">
        <v>44288</v>
      </c>
      <c r="C258" s="91">
        <f t="shared" si="24"/>
        <v>0</v>
      </c>
      <c r="D258" s="90">
        <v>5.1484768386961131</v>
      </c>
      <c r="E258" s="90">
        <v>3.3087040643573551</v>
      </c>
      <c r="F258" s="90">
        <v>1.5616100775239929</v>
      </c>
      <c r="G258" s="90">
        <v>2.7335725692587691</v>
      </c>
      <c r="H258" s="90">
        <v>3.162834767780291</v>
      </c>
      <c r="I258" s="90">
        <v>1.4853372125038551</v>
      </c>
      <c r="J258" s="90">
        <v>3.858006579950326</v>
      </c>
      <c r="K258" s="29">
        <f t="shared" si="25"/>
        <v>-2.1130595074560499E-2</v>
      </c>
      <c r="L258" s="29">
        <f t="shared" si="26"/>
        <v>1.0266281421189571E-3</v>
      </c>
      <c r="M258" s="29">
        <f t="shared" si="27"/>
        <v>2.9259207171137058E-2</v>
      </c>
      <c r="N258" s="29">
        <f t="shared" si="28"/>
        <v>1.2426662592703197E-2</v>
      </c>
      <c r="O258" s="29">
        <f t="shared" si="29"/>
        <v>4.2329344459404172E-3</v>
      </c>
      <c r="P258" s="29">
        <f t="shared" si="30"/>
        <v>2.7949474973126609E-2</v>
      </c>
      <c r="Q258" s="29">
        <f t="shared" si="31"/>
        <v>3.5522158784289992E-2</v>
      </c>
    </row>
    <row r="259" spans="2:17" ht="13.95" customHeight="1" x14ac:dyDescent="0.3">
      <c r="B259" s="89">
        <v>44295</v>
      </c>
      <c r="C259" s="91">
        <f t="shared" si="24"/>
        <v>0</v>
      </c>
      <c r="D259" s="90">
        <v>5.1243344429877906</v>
      </c>
      <c r="E259" s="90">
        <v>3.3716297296883631</v>
      </c>
      <c r="F259" s="90">
        <v>1.6073282914310529</v>
      </c>
      <c r="G259" s="90">
        <v>2.833480155939875</v>
      </c>
      <c r="H259" s="90">
        <v>3.229165275694756</v>
      </c>
      <c r="I259" s="90">
        <v>1.529191311292909</v>
      </c>
      <c r="J259" s="90">
        <v>3.9664076205322578</v>
      </c>
      <c r="K259" s="29">
        <f t="shared" si="25"/>
        <v>-4.6892307112790244E-3</v>
      </c>
      <c r="L259" s="29">
        <f t="shared" si="26"/>
        <v>1.9018221063910712E-2</v>
      </c>
      <c r="M259" s="29">
        <f t="shared" si="27"/>
        <v>2.9276331246240739E-2</v>
      </c>
      <c r="N259" s="29">
        <f t="shared" si="28"/>
        <v>3.6548357195505865E-2</v>
      </c>
      <c r="O259" s="29">
        <f t="shared" si="29"/>
        <v>2.0971853664368378E-2</v>
      </c>
      <c r="P259" s="29">
        <f t="shared" si="30"/>
        <v>2.9524675218449703E-2</v>
      </c>
      <c r="Q259" s="29">
        <f t="shared" si="31"/>
        <v>2.809768162275339E-2</v>
      </c>
    </row>
    <row r="260" spans="2:17" ht="13.95" customHeight="1" x14ac:dyDescent="0.3">
      <c r="B260" s="89">
        <v>44302</v>
      </c>
      <c r="C260" s="91">
        <f t="shared" si="24"/>
        <v>0</v>
      </c>
      <c r="D260" s="90">
        <v>5.2675979665768491</v>
      </c>
      <c r="E260" s="90">
        <v>3.4309804163294628</v>
      </c>
      <c r="F260" s="90">
        <v>1.6538653419421969</v>
      </c>
      <c r="G260" s="90">
        <v>2.941670605235585</v>
      </c>
      <c r="H260" s="90">
        <v>3.3233313566905829</v>
      </c>
      <c r="I260" s="90">
        <v>1.577883774474689</v>
      </c>
      <c r="J260" s="90">
        <v>4.0267885604500977</v>
      </c>
      <c r="K260" s="29">
        <f t="shared" si="25"/>
        <v>2.7957488954512444E-2</v>
      </c>
      <c r="L260" s="29">
        <f t="shared" si="26"/>
        <v>1.7602966932725783E-2</v>
      </c>
      <c r="M260" s="29">
        <f t="shared" si="27"/>
        <v>2.8953046343575872E-2</v>
      </c>
      <c r="N260" s="29">
        <f t="shared" si="28"/>
        <v>3.8182885829960211E-2</v>
      </c>
      <c r="O260" s="29">
        <f t="shared" si="29"/>
        <v>2.9161121514775123E-2</v>
      </c>
      <c r="P260" s="29">
        <f t="shared" si="30"/>
        <v>3.1841969557498517E-2</v>
      </c>
      <c r="Q260" s="29">
        <f t="shared" si="31"/>
        <v>1.5223079848192045E-2</v>
      </c>
    </row>
    <row r="261" spans="2:17" ht="13.95" customHeight="1" x14ac:dyDescent="0.3">
      <c r="B261" s="89">
        <v>44309</v>
      </c>
      <c r="C261" s="91">
        <f t="shared" si="24"/>
        <v>0</v>
      </c>
      <c r="D261" s="90">
        <v>5.2010239058556076</v>
      </c>
      <c r="E261" s="90">
        <v>3.437227396194285</v>
      </c>
      <c r="F261" s="90">
        <v>1.6112320533776141</v>
      </c>
      <c r="G261" s="90">
        <v>2.9635897656031638</v>
      </c>
      <c r="H261" s="90">
        <v>3.3077951764825282</v>
      </c>
      <c r="I261" s="90">
        <v>1.536317958524317</v>
      </c>
      <c r="J261" s="90">
        <v>3.9339719747797952</v>
      </c>
      <c r="K261" s="29">
        <f t="shared" si="25"/>
        <v>-1.2638409602186207E-2</v>
      </c>
      <c r="L261" s="29">
        <f t="shared" si="26"/>
        <v>1.8207564913779173E-3</v>
      </c>
      <c r="M261" s="29">
        <f t="shared" si="27"/>
        <v>-2.5777968425480746E-2</v>
      </c>
      <c r="N261" s="29">
        <f t="shared" si="28"/>
        <v>7.4512626697791351E-3</v>
      </c>
      <c r="O261" s="29">
        <f t="shared" si="29"/>
        <v>-4.6748814790246174E-3</v>
      </c>
      <c r="P261" s="29">
        <f t="shared" si="30"/>
        <v>-2.634276150295678E-2</v>
      </c>
      <c r="Q261" s="29">
        <f t="shared" si="31"/>
        <v>-2.3049778819260291E-2</v>
      </c>
    </row>
    <row r="262" spans="2:17" ht="13.95" customHeight="1" x14ac:dyDescent="0.3">
      <c r="B262" s="89">
        <v>44316</v>
      </c>
      <c r="C262" s="91">
        <f t="shared" si="24"/>
        <v>0</v>
      </c>
      <c r="D262" s="90">
        <v>5.1710980420220016</v>
      </c>
      <c r="E262" s="90">
        <v>3.3470614670542331</v>
      </c>
      <c r="F262" s="90">
        <v>1.5608008990967901</v>
      </c>
      <c r="G262" s="90">
        <v>2.960484546269238</v>
      </c>
      <c r="H262" s="90">
        <v>3.2631216649933141</v>
      </c>
      <c r="I262" s="90">
        <v>1.4969043755440481</v>
      </c>
      <c r="J262" s="90">
        <v>3.7039274452179751</v>
      </c>
      <c r="K262" s="29">
        <f t="shared" si="25"/>
        <v>-5.7538408542813224E-3</v>
      </c>
      <c r="L262" s="29">
        <f t="shared" si="26"/>
        <v>-2.6232168764825925E-2</v>
      </c>
      <c r="M262" s="29">
        <f t="shared" si="27"/>
        <v>-3.1299746163257813E-2</v>
      </c>
      <c r="N262" s="29">
        <f t="shared" si="28"/>
        <v>-1.0477898695583354E-3</v>
      </c>
      <c r="O262" s="29">
        <f t="shared" si="29"/>
        <v>-1.3505525313909916E-2</v>
      </c>
      <c r="P262" s="29">
        <f t="shared" si="30"/>
        <v>-2.5654574146960374E-2</v>
      </c>
      <c r="Q262" s="29">
        <f t="shared" si="31"/>
        <v>-5.847640273916721E-2</v>
      </c>
    </row>
    <row r="263" spans="2:17" ht="13.95" customHeight="1" x14ac:dyDescent="0.3">
      <c r="B263" s="89">
        <v>44323</v>
      </c>
      <c r="C263" s="91">
        <f t="shared" si="24"/>
        <v>0</v>
      </c>
      <c r="D263" s="90">
        <v>5.2435017653252798</v>
      </c>
      <c r="E263" s="90">
        <v>3.4526513127624838</v>
      </c>
      <c r="F263" s="90">
        <v>1.580862778269257</v>
      </c>
      <c r="G263" s="90">
        <v>3.0761782853649229</v>
      </c>
      <c r="H263" s="90">
        <v>3.3494552544655258</v>
      </c>
      <c r="I263" s="90">
        <v>1.525300582710212</v>
      </c>
      <c r="J263" s="90">
        <v>3.6345143741034982</v>
      </c>
      <c r="K263" s="29">
        <f t="shared" si="25"/>
        <v>1.4001614882352298E-2</v>
      </c>
      <c r="L263" s="29">
        <f t="shared" si="26"/>
        <v>3.1547029162025231E-2</v>
      </c>
      <c r="M263" s="29">
        <f t="shared" si="27"/>
        <v>1.2853579969153373E-2</v>
      </c>
      <c r="N263" s="29">
        <f t="shared" si="28"/>
        <v>3.907932545754389E-2</v>
      </c>
      <c r="O263" s="29">
        <f t="shared" si="29"/>
        <v>2.6457361488661624E-2</v>
      </c>
      <c r="P263" s="29">
        <f t="shared" si="30"/>
        <v>1.8969954013156931E-2</v>
      </c>
      <c r="Q263" s="29">
        <f t="shared" si="31"/>
        <v>-1.874039708960662E-2</v>
      </c>
    </row>
    <row r="264" spans="2:17" ht="13.95" customHeight="1" x14ac:dyDescent="0.3">
      <c r="B264" s="89">
        <v>44330</v>
      </c>
      <c r="C264" s="91">
        <f t="shared" si="24"/>
        <v>0</v>
      </c>
      <c r="D264" s="90">
        <v>5.3689992108373463</v>
      </c>
      <c r="E264" s="90">
        <v>3.4606944270750448</v>
      </c>
      <c r="F264" s="90">
        <v>1.5379543354249361</v>
      </c>
      <c r="G264" s="90">
        <v>3.0519637793071959</v>
      </c>
      <c r="H264" s="90">
        <v>3.3452228240665991</v>
      </c>
      <c r="I264" s="90">
        <v>1.48852413750386</v>
      </c>
      <c r="J264" s="90">
        <v>3.4767648403721112</v>
      </c>
      <c r="K264" s="29">
        <f t="shared" si="25"/>
        <v>2.3933899735090636E-2</v>
      </c>
      <c r="L264" s="29">
        <f t="shared" si="26"/>
        <v>2.3295472331161804E-3</v>
      </c>
      <c r="M264" s="29">
        <f t="shared" si="27"/>
        <v>-2.714242085660179E-2</v>
      </c>
      <c r="N264" s="29">
        <f t="shared" si="28"/>
        <v>-7.8716198514660052E-3</v>
      </c>
      <c r="O264" s="29">
        <f t="shared" si="29"/>
        <v>-1.2636175369962199E-3</v>
      </c>
      <c r="P264" s="29">
        <f t="shared" si="30"/>
        <v>-2.4110949424149708E-2</v>
      </c>
      <c r="Q264" s="29">
        <f t="shared" si="31"/>
        <v>-4.3403194345681517E-2</v>
      </c>
    </row>
    <row r="265" spans="2:17" ht="13.95" customHeight="1" x14ac:dyDescent="0.3">
      <c r="B265" s="89">
        <v>44337</v>
      </c>
      <c r="C265" s="91">
        <f t="shared" si="24"/>
        <v>0</v>
      </c>
      <c r="D265" s="90">
        <v>5.4631388133238028</v>
      </c>
      <c r="E265" s="90">
        <v>3.553710911954048</v>
      </c>
      <c r="F265" s="90">
        <v>1.531305711259227</v>
      </c>
      <c r="G265" s="90">
        <v>3.0167267036174432</v>
      </c>
      <c r="H265" s="90">
        <v>3.3647401403507589</v>
      </c>
      <c r="I265" s="90">
        <v>1.481299914849215</v>
      </c>
      <c r="J265" s="90">
        <v>3.471822874028514</v>
      </c>
      <c r="K265" s="29">
        <f t="shared" si="25"/>
        <v>1.7533919970864398E-2</v>
      </c>
      <c r="L265" s="29">
        <f t="shared" si="26"/>
        <v>2.6877982682111501E-2</v>
      </c>
      <c r="M265" s="29">
        <f t="shared" si="27"/>
        <v>-4.3230309330817285E-3</v>
      </c>
      <c r="N265" s="29">
        <f t="shared" si="28"/>
        <v>-1.15457057284446E-2</v>
      </c>
      <c r="O265" s="29">
        <f t="shared" si="29"/>
        <v>5.8343845270174555E-3</v>
      </c>
      <c r="P265" s="29">
        <f t="shared" si="30"/>
        <v>-4.8532788099490132E-3</v>
      </c>
      <c r="Q265" s="29">
        <f t="shared" si="31"/>
        <v>-1.42142669133416E-3</v>
      </c>
    </row>
    <row r="266" spans="2:17" ht="13.95" customHeight="1" x14ac:dyDescent="0.3">
      <c r="B266" s="89">
        <v>44344</v>
      </c>
      <c r="C266" s="91">
        <f t="shared" si="24"/>
        <v>0</v>
      </c>
      <c r="D266" s="90">
        <v>5.5519163703128998</v>
      </c>
      <c r="E266" s="90">
        <v>3.6169474987060228</v>
      </c>
      <c r="F266" s="90">
        <v>1.626568039398548</v>
      </c>
      <c r="G266" s="90">
        <v>3.0624151759054432</v>
      </c>
      <c r="H266" s="90">
        <v>3.4460274400682831</v>
      </c>
      <c r="I266" s="90">
        <v>1.569478798771218</v>
      </c>
      <c r="J266" s="90">
        <v>3.7385798141079558</v>
      </c>
      <c r="K266" s="29">
        <f t="shared" si="25"/>
        <v>1.625028395262107E-2</v>
      </c>
      <c r="L266" s="29">
        <f t="shared" si="26"/>
        <v>1.77945219289668E-2</v>
      </c>
      <c r="M266" s="29">
        <f t="shared" si="27"/>
        <v>6.2209869289251651E-2</v>
      </c>
      <c r="N266" s="29">
        <f t="shared" si="28"/>
        <v>1.5145048516729709E-2</v>
      </c>
      <c r="O266" s="29">
        <f t="shared" si="29"/>
        <v>2.4158566880903454E-2</v>
      </c>
      <c r="P266" s="29">
        <f t="shared" si="30"/>
        <v>5.9528042254008318E-2</v>
      </c>
      <c r="Q266" s="29">
        <f t="shared" si="31"/>
        <v>7.683483569249927E-2</v>
      </c>
    </row>
    <row r="267" spans="2:17" ht="13.95" customHeight="1" x14ac:dyDescent="0.3">
      <c r="B267" s="89">
        <v>44351</v>
      </c>
      <c r="C267" s="91">
        <f t="shared" si="24"/>
        <v>0</v>
      </c>
      <c r="D267" s="90">
        <v>5.8348691133489012</v>
      </c>
      <c r="E267" s="90">
        <v>3.7102279264948841</v>
      </c>
      <c r="F267" s="90">
        <v>1.6837996680879559</v>
      </c>
      <c r="G267" s="90">
        <v>3.1655364527516912</v>
      </c>
      <c r="H267" s="90">
        <v>3.5714828202116742</v>
      </c>
      <c r="I267" s="90">
        <v>1.636646821130292</v>
      </c>
      <c r="J267" s="90">
        <v>3.715620049232617</v>
      </c>
      <c r="K267" s="29">
        <f t="shared" si="25"/>
        <v>5.0964878460525886E-2</v>
      </c>
      <c r="L267" s="29">
        <f t="shared" si="26"/>
        <v>2.5789820787344153E-2</v>
      </c>
      <c r="M267" s="29">
        <f t="shared" si="27"/>
        <v>3.5185511643626155E-2</v>
      </c>
      <c r="N267" s="29">
        <f t="shared" si="28"/>
        <v>3.3673186332666027E-2</v>
      </c>
      <c r="O267" s="29">
        <f t="shared" si="29"/>
        <v>3.6405798365002351E-2</v>
      </c>
      <c r="P267" s="29">
        <f t="shared" si="30"/>
        <v>4.2796387190232599E-2</v>
      </c>
      <c r="Q267" s="29">
        <f t="shared" si="31"/>
        <v>-6.1413065968787262E-3</v>
      </c>
    </row>
    <row r="268" spans="2:17" ht="13.95" customHeight="1" x14ac:dyDescent="0.3">
      <c r="B268" s="89">
        <v>44358</v>
      </c>
      <c r="C268" s="91">
        <f t="shared" si="24"/>
        <v>0</v>
      </c>
      <c r="D268" s="90">
        <v>5.7620853838492723</v>
      </c>
      <c r="E268" s="90">
        <v>3.666451574967986</v>
      </c>
      <c r="F268" s="90">
        <v>1.672075790369516</v>
      </c>
      <c r="G268" s="90">
        <v>3.1832666701922432</v>
      </c>
      <c r="H268" s="90">
        <v>3.5527185134606838</v>
      </c>
      <c r="I268" s="90">
        <v>1.6108202863195851</v>
      </c>
      <c r="J268" s="90">
        <v>3.8768058080692289</v>
      </c>
      <c r="K268" s="29">
        <f t="shared" si="25"/>
        <v>-1.2473926678683411E-2</v>
      </c>
      <c r="L268" s="29">
        <f t="shared" si="26"/>
        <v>-1.1798830798046001E-2</v>
      </c>
      <c r="M268" s="29">
        <f t="shared" si="27"/>
        <v>-6.9627509380334462E-3</v>
      </c>
      <c r="N268" s="29">
        <f t="shared" si="28"/>
        <v>5.6010150902352507E-3</v>
      </c>
      <c r="O268" s="29">
        <f t="shared" si="29"/>
        <v>-5.2539260849302494E-3</v>
      </c>
      <c r="P268" s="29">
        <f t="shared" si="30"/>
        <v>-1.5780151513000718E-2</v>
      </c>
      <c r="Q268" s="29">
        <f t="shared" si="31"/>
        <v>4.3380581625912296E-2</v>
      </c>
    </row>
    <row r="269" spans="2:17" ht="13.95" customHeight="1" x14ac:dyDescent="0.3">
      <c r="B269" s="89">
        <v>44365</v>
      </c>
      <c r="C269" s="91">
        <f t="shared" si="24"/>
        <v>0</v>
      </c>
      <c r="D269" s="90">
        <v>5.8050328676126659</v>
      </c>
      <c r="E269" s="90">
        <v>3.6746792552513692</v>
      </c>
      <c r="F269" s="90">
        <v>1.689667437738898</v>
      </c>
      <c r="G269" s="90">
        <v>3.0683401195748301</v>
      </c>
      <c r="H269" s="90">
        <v>3.5243760493557952</v>
      </c>
      <c r="I269" s="90">
        <v>1.6277400035195679</v>
      </c>
      <c r="J269" s="90">
        <v>3.9179491531876391</v>
      </c>
      <c r="K269" s="29">
        <f t="shared" si="25"/>
        <v>7.4534618809662945E-3</v>
      </c>
      <c r="L269" s="29">
        <f t="shared" si="26"/>
        <v>2.244044443285631E-3</v>
      </c>
      <c r="M269" s="29">
        <f t="shared" si="27"/>
        <v>1.0520843295921622E-2</v>
      </c>
      <c r="N269" s="29">
        <f t="shared" si="28"/>
        <v>-3.6103337396634849E-2</v>
      </c>
      <c r="O269" s="29">
        <f t="shared" si="29"/>
        <v>-7.9776835675282598E-3</v>
      </c>
      <c r="P269" s="29">
        <f t="shared" si="30"/>
        <v>1.0503789493886417E-2</v>
      </c>
      <c r="Q269" s="29">
        <f t="shared" si="31"/>
        <v>1.0612691776506811E-2</v>
      </c>
    </row>
    <row r="270" spans="2:17" ht="13.95" customHeight="1" x14ac:dyDescent="0.3">
      <c r="B270" s="89">
        <v>44372</v>
      </c>
      <c r="C270" s="91">
        <f t="shared" si="24"/>
        <v>0</v>
      </c>
      <c r="D270" s="90">
        <v>5.5751211526592046</v>
      </c>
      <c r="E270" s="90">
        <v>3.5551847821318292</v>
      </c>
      <c r="F270" s="90">
        <v>1.665788913637877</v>
      </c>
      <c r="G270" s="90">
        <v>3.1739420210863809</v>
      </c>
      <c r="H270" s="90">
        <v>3.4931217250775419</v>
      </c>
      <c r="I270" s="90">
        <v>1.61437798535752</v>
      </c>
      <c r="J270" s="90">
        <v>3.73760764506584</v>
      </c>
      <c r="K270" s="29">
        <f t="shared" si="25"/>
        <v>-3.9605583671400102E-2</v>
      </c>
      <c r="L270" s="29">
        <f t="shared" si="26"/>
        <v>-3.251834100861295E-2</v>
      </c>
      <c r="M270" s="29">
        <f t="shared" si="27"/>
        <v>-1.413208514746267E-2</v>
      </c>
      <c r="N270" s="29">
        <f t="shared" si="28"/>
        <v>3.441662182032923E-2</v>
      </c>
      <c r="O270" s="29">
        <f t="shared" si="29"/>
        <v>-8.8680446809772384E-3</v>
      </c>
      <c r="P270" s="29">
        <f t="shared" si="30"/>
        <v>-8.2089388558099774E-3</v>
      </c>
      <c r="Q270" s="29">
        <f t="shared" si="31"/>
        <v>-4.6029568294696621E-2</v>
      </c>
    </row>
    <row r="271" spans="2:17" ht="13.95" customHeight="1" x14ac:dyDescent="0.3">
      <c r="B271" s="89">
        <v>44379</v>
      </c>
      <c r="C271" s="91">
        <f t="shared" si="24"/>
        <v>0</v>
      </c>
      <c r="D271" s="90">
        <v>5.5190279395475601</v>
      </c>
      <c r="E271" s="90">
        <v>3.558124972359705</v>
      </c>
      <c r="F271" s="90">
        <v>1.66545765578565</v>
      </c>
      <c r="G271" s="90">
        <v>3.222312063383967</v>
      </c>
      <c r="H271" s="90">
        <v>3.5033198158538328</v>
      </c>
      <c r="I271" s="90">
        <v>1.6029980970600579</v>
      </c>
      <c r="J271" s="90">
        <v>3.880594119082414</v>
      </c>
      <c r="K271" s="29">
        <f t="shared" si="25"/>
        <v>-1.0061344242696779E-2</v>
      </c>
      <c r="L271" s="29">
        <f t="shared" si="26"/>
        <v>8.270147427085206E-4</v>
      </c>
      <c r="M271" s="29">
        <f t="shared" si="27"/>
        <v>-1.9885944102215891E-4</v>
      </c>
      <c r="N271" s="29">
        <f t="shared" si="28"/>
        <v>1.5239737202581205E-2</v>
      </c>
      <c r="O271" s="29">
        <f t="shared" si="29"/>
        <v>2.9194776417544865E-3</v>
      </c>
      <c r="P271" s="29">
        <f t="shared" si="30"/>
        <v>-7.0490854066880271E-3</v>
      </c>
      <c r="Q271" s="29">
        <f t="shared" si="31"/>
        <v>3.8256148744059804E-2</v>
      </c>
    </row>
    <row r="272" spans="2:17" ht="13.95" customHeight="1" x14ac:dyDescent="0.3">
      <c r="B272" s="89">
        <v>44386</v>
      </c>
      <c r="C272" s="91">
        <f t="shared" si="24"/>
        <v>0</v>
      </c>
      <c r="D272" s="90">
        <v>5.3895426329219447</v>
      </c>
      <c r="E272" s="90">
        <v>3.5238039462392212</v>
      </c>
      <c r="F272" s="90">
        <v>1.646989789079669</v>
      </c>
      <c r="G272" s="90">
        <v>3.15665971344542</v>
      </c>
      <c r="H272" s="90">
        <v>3.4437841927125299</v>
      </c>
      <c r="I272" s="90">
        <v>1.5879092775941821</v>
      </c>
      <c r="J272" s="90">
        <v>3.8026164293037099</v>
      </c>
      <c r="K272" s="29">
        <f t="shared" si="25"/>
        <v>-2.3461614625605698E-2</v>
      </c>
      <c r="L272" s="29">
        <f t="shared" si="26"/>
        <v>-9.6458180606631139E-3</v>
      </c>
      <c r="M272" s="29">
        <f t="shared" si="27"/>
        <v>-1.108876388530522E-2</v>
      </c>
      <c r="N272" s="29">
        <f t="shared" si="28"/>
        <v>-2.03742991513991E-2</v>
      </c>
      <c r="O272" s="29">
        <f t="shared" si="29"/>
        <v>-1.6994058855797856E-2</v>
      </c>
      <c r="P272" s="29">
        <f t="shared" si="30"/>
        <v>-9.4128742220899175E-3</v>
      </c>
      <c r="Q272" s="29">
        <f t="shared" si="31"/>
        <v>-2.0094265822662827E-2</v>
      </c>
    </row>
    <row r="273" spans="2:17" ht="13.95" customHeight="1" x14ac:dyDescent="0.3">
      <c r="B273" s="89">
        <v>44393</v>
      </c>
      <c r="C273" s="91">
        <f t="shared" si="24"/>
        <v>0</v>
      </c>
      <c r="D273" s="90">
        <v>5.4245216780907954</v>
      </c>
      <c r="E273" s="90">
        <v>3.5562502048827511</v>
      </c>
      <c r="F273" s="90">
        <v>1.6873746207334379</v>
      </c>
      <c r="G273" s="90">
        <v>3.119406085640736</v>
      </c>
      <c r="H273" s="90">
        <v>3.4579403616551678</v>
      </c>
      <c r="I273" s="90">
        <v>1.639174319026623</v>
      </c>
      <c r="J273" s="90">
        <v>3.7354775578451762</v>
      </c>
      <c r="K273" s="29">
        <f t="shared" si="25"/>
        <v>6.4901694914112351E-3</v>
      </c>
      <c r="L273" s="29">
        <f t="shared" si="26"/>
        <v>9.2077366217147016E-3</v>
      </c>
      <c r="M273" s="29">
        <f t="shared" si="27"/>
        <v>2.4520389817556776E-2</v>
      </c>
      <c r="N273" s="29">
        <f t="shared" si="28"/>
        <v>-1.1801597633728678E-2</v>
      </c>
      <c r="O273" s="29">
        <f t="shared" si="29"/>
        <v>4.1106434522215629E-3</v>
      </c>
      <c r="P273" s="29">
        <f t="shared" si="30"/>
        <v>3.2284616102320252E-2</v>
      </c>
      <c r="Q273" s="29">
        <f t="shared" si="31"/>
        <v>-1.7655967333741196E-2</v>
      </c>
    </row>
    <row r="274" spans="2:17" ht="13.95" customHeight="1" x14ac:dyDescent="0.3">
      <c r="B274" s="89">
        <v>44400</v>
      </c>
      <c r="C274" s="91">
        <f t="shared" si="24"/>
        <v>0</v>
      </c>
      <c r="D274" s="90">
        <v>5.3812496588076577</v>
      </c>
      <c r="E274" s="90">
        <v>3.5132881163721872</v>
      </c>
      <c r="F274" s="90">
        <v>1.650077489114933</v>
      </c>
      <c r="G274" s="90">
        <v>3.1399998380906671</v>
      </c>
      <c r="H274" s="90">
        <v>3.435062153102133</v>
      </c>
      <c r="I274" s="90">
        <v>1.5899713498862449</v>
      </c>
      <c r="J274" s="90">
        <v>3.8216464505064791</v>
      </c>
      <c r="K274" s="29">
        <f t="shared" si="25"/>
        <v>-7.9771124259507831E-3</v>
      </c>
      <c r="L274" s="29">
        <f t="shared" si="26"/>
        <v>-1.2080727180437623E-2</v>
      </c>
      <c r="M274" s="29">
        <f t="shared" si="27"/>
        <v>-2.2103646197009441E-2</v>
      </c>
      <c r="N274" s="29">
        <f t="shared" si="28"/>
        <v>6.6018183861114021E-3</v>
      </c>
      <c r="O274" s="29">
        <f t="shared" si="29"/>
        <v>-6.6161373998029349E-3</v>
      </c>
      <c r="P274" s="29">
        <f t="shared" si="30"/>
        <v>-3.0016922891761721E-2</v>
      </c>
      <c r="Q274" s="29">
        <f t="shared" si="31"/>
        <v>2.3067704551010593E-2</v>
      </c>
    </row>
    <row r="275" spans="2:17" ht="13.95" customHeight="1" x14ac:dyDescent="0.3">
      <c r="B275" s="89">
        <v>44407</v>
      </c>
      <c r="C275" s="91">
        <f t="shared" si="24"/>
        <v>0</v>
      </c>
      <c r="D275" s="90">
        <v>5.3372888968232282</v>
      </c>
      <c r="E275" s="90">
        <v>3.4303906392672721</v>
      </c>
      <c r="F275" s="90">
        <v>1.559959897121928</v>
      </c>
      <c r="G275" s="90">
        <v>3.0658603874698751</v>
      </c>
      <c r="H275" s="90">
        <v>3.3471485548658189</v>
      </c>
      <c r="I275" s="90">
        <v>1.4807503445829071</v>
      </c>
      <c r="J275" s="90">
        <v>3.904139835477372</v>
      </c>
      <c r="K275" s="29">
        <f t="shared" si="25"/>
        <v>-8.1692478089132603E-3</v>
      </c>
      <c r="L275" s="29">
        <f t="shared" si="26"/>
        <v>-2.3595411010730039E-2</v>
      </c>
      <c r="M275" s="29">
        <f t="shared" si="27"/>
        <v>-5.4614157569861876E-2</v>
      </c>
      <c r="N275" s="29">
        <f t="shared" si="28"/>
        <v>-2.3611291224101993E-2</v>
      </c>
      <c r="O275" s="29">
        <f t="shared" si="29"/>
        <v>-2.5593015298695954E-2</v>
      </c>
      <c r="P275" s="29">
        <f t="shared" si="30"/>
        <v>-6.8693693953134516E-2</v>
      </c>
      <c r="Q275" s="29">
        <f t="shared" si="31"/>
        <v>2.1585823293507556E-2</v>
      </c>
    </row>
    <row r="276" spans="2:17" ht="13.95" customHeight="1" x14ac:dyDescent="0.3">
      <c r="B276" s="89">
        <v>44414</v>
      </c>
      <c r="C276" s="91">
        <f t="shared" si="24"/>
        <v>0</v>
      </c>
      <c r="D276" s="90">
        <v>5.4127747439304859</v>
      </c>
      <c r="E276" s="90">
        <v>3.4577938352551838</v>
      </c>
      <c r="F276" s="90">
        <v>1.5414806926103619</v>
      </c>
      <c r="G276" s="90">
        <v>3.111440887645315</v>
      </c>
      <c r="H276" s="90">
        <v>3.3749198927428421</v>
      </c>
      <c r="I276" s="90">
        <v>1.4530393379871029</v>
      </c>
      <c r="J276" s="90">
        <v>3.9918391884438691</v>
      </c>
      <c r="K276" s="29">
        <f t="shared" si="25"/>
        <v>1.4143106840663444E-2</v>
      </c>
      <c r="L276" s="29">
        <f t="shared" si="26"/>
        <v>7.9883601809749294E-3</v>
      </c>
      <c r="M276" s="29">
        <f t="shared" si="27"/>
        <v>-1.1845948441148724E-2</v>
      </c>
      <c r="N276" s="29">
        <f t="shared" si="28"/>
        <v>1.4867115398250697E-2</v>
      </c>
      <c r="O276" s="29">
        <f t="shared" si="29"/>
        <v>8.2970138378386515E-3</v>
      </c>
      <c r="P276" s="29">
        <f t="shared" si="30"/>
        <v>-1.8714165218451928E-2</v>
      </c>
      <c r="Q276" s="29">
        <f t="shared" si="31"/>
        <v>2.2463169010895179E-2</v>
      </c>
    </row>
    <row r="277" spans="2:17" ht="13.95" customHeight="1" x14ac:dyDescent="0.3">
      <c r="B277" s="89">
        <v>44421</v>
      </c>
      <c r="C277" s="91">
        <f t="shared" si="24"/>
        <v>0</v>
      </c>
      <c r="D277" s="90">
        <v>5.2556506441260096</v>
      </c>
      <c r="E277" s="90">
        <v>3.4357836961719381</v>
      </c>
      <c r="F277" s="90">
        <v>1.4952096843455189</v>
      </c>
      <c r="G277" s="90">
        <v>3.118633874503943</v>
      </c>
      <c r="H277" s="90">
        <v>3.330525529844051</v>
      </c>
      <c r="I277" s="90">
        <v>1.3983092486515161</v>
      </c>
      <c r="J277" s="90">
        <v>4.0183923812846416</v>
      </c>
      <c r="K277" s="29">
        <f t="shared" si="25"/>
        <v>-2.902838326694912E-2</v>
      </c>
      <c r="L277" s="29">
        <f t="shared" si="26"/>
        <v>-6.3653705605097866E-3</v>
      </c>
      <c r="M277" s="29">
        <f t="shared" si="27"/>
        <v>-3.0017248017869869E-2</v>
      </c>
      <c r="N277" s="29">
        <f t="shared" si="28"/>
        <v>2.3117864418344958E-3</v>
      </c>
      <c r="O277" s="29">
        <f t="shared" si="29"/>
        <v>-1.3154197524585132E-2</v>
      </c>
      <c r="P277" s="29">
        <f t="shared" si="30"/>
        <v>-3.7665937806889982E-2</v>
      </c>
      <c r="Q277" s="29">
        <f t="shared" si="31"/>
        <v>6.6518693733059742E-3</v>
      </c>
    </row>
    <row r="278" spans="2:17" ht="13.95" customHeight="1" x14ac:dyDescent="0.3">
      <c r="B278" s="89">
        <v>44428</v>
      </c>
      <c r="C278" s="91">
        <f t="shared" si="24"/>
        <v>0</v>
      </c>
      <c r="D278" s="90">
        <v>5.1229926317075636</v>
      </c>
      <c r="E278" s="90">
        <v>3.5189597739954599</v>
      </c>
      <c r="F278" s="90">
        <v>1.4711802489067911</v>
      </c>
      <c r="G278" s="90">
        <v>2.9195818311848529</v>
      </c>
      <c r="H278" s="90">
        <v>3.2444591126308908</v>
      </c>
      <c r="I278" s="90">
        <v>1.3725674870924811</v>
      </c>
      <c r="J278" s="90">
        <v>3.99687605670101</v>
      </c>
      <c r="K278" s="29">
        <f t="shared" si="25"/>
        <v>-2.5241025593417565E-2</v>
      </c>
      <c r="L278" s="29">
        <f t="shared" si="26"/>
        <v>2.4208764339907152E-2</v>
      </c>
      <c r="M278" s="29">
        <f t="shared" si="27"/>
        <v>-1.6070946898157579E-2</v>
      </c>
      <c r="N278" s="29">
        <f t="shared" si="28"/>
        <v>-6.3826679029692746E-2</v>
      </c>
      <c r="O278" s="29">
        <f t="shared" si="29"/>
        <v>-2.5841692682412876E-2</v>
      </c>
      <c r="P278" s="29">
        <f t="shared" si="30"/>
        <v>-1.8409204962249626E-2</v>
      </c>
      <c r="Q278" s="29">
        <f t="shared" si="31"/>
        <v>-5.3544608246427483E-3</v>
      </c>
    </row>
    <row r="279" spans="2:17" ht="13.95" customHeight="1" x14ac:dyDescent="0.3">
      <c r="B279" s="89">
        <v>44435</v>
      </c>
      <c r="C279" s="91">
        <f t="shared" ref="C279:C342" si="32">IF(B279&gt;$C$17,1,0)</f>
        <v>0</v>
      </c>
      <c r="D279" s="90">
        <v>5.2375490966315628</v>
      </c>
      <c r="E279" s="90">
        <v>3.4685270702841708</v>
      </c>
      <c r="F279" s="90">
        <v>1.505941948363795</v>
      </c>
      <c r="G279" s="90">
        <v>3.0612455837294181</v>
      </c>
      <c r="H279" s="90">
        <v>3.317615163958751</v>
      </c>
      <c r="I279" s="90">
        <v>1.393557777541274</v>
      </c>
      <c r="J279" s="90">
        <v>4.2420065876697528</v>
      </c>
      <c r="K279" s="29">
        <f t="shared" ref="K279:K342" si="33">D279/D278-1</f>
        <v>2.2361239447228343E-2</v>
      </c>
      <c r="L279" s="29">
        <f t="shared" ref="L279:L342" si="34">E279/E278-1</f>
        <v>-1.433170793368499E-2</v>
      </c>
      <c r="M279" s="29">
        <f t="shared" ref="M279:M342" si="35">F279/F278-1</f>
        <v>2.3628443545809397E-2</v>
      </c>
      <c r="N279" s="29">
        <f t="shared" ref="N279:N342" si="36">G279/G278-1</f>
        <v>4.8521932501228715E-2</v>
      </c>
      <c r="O279" s="29">
        <f t="shared" ref="O279:O342" si="37">H279/H278-1</f>
        <v>2.254799607215241E-2</v>
      </c>
      <c r="P279" s="29">
        <f t="shared" ref="P279:P342" si="38">I279/I278-1</f>
        <v>1.5292720136666382E-2</v>
      </c>
      <c r="Q279" s="29">
        <f t="shared" ref="Q279:Q342" si="39">J279/J278-1</f>
        <v>6.1330531017534717E-2</v>
      </c>
    </row>
    <row r="280" spans="2:17" ht="13.95" customHeight="1" x14ac:dyDescent="0.3">
      <c r="B280" s="89">
        <v>44442</v>
      </c>
      <c r="C280" s="91">
        <f t="shared" si="32"/>
        <v>0</v>
      </c>
      <c r="D280" s="90">
        <v>5.0656240134421608</v>
      </c>
      <c r="E280" s="90">
        <v>3.4335748287393271</v>
      </c>
      <c r="F280" s="90">
        <v>1.4450796698196959</v>
      </c>
      <c r="G280" s="90">
        <v>2.940719427865345</v>
      </c>
      <c r="H280" s="90">
        <v>3.2143836055171962</v>
      </c>
      <c r="I280" s="90">
        <v>1.3348624904833979</v>
      </c>
      <c r="J280" s="90">
        <v>4.1022055598079268</v>
      </c>
      <c r="K280" s="29">
        <f t="shared" si="33"/>
        <v>-3.282548383173578E-2</v>
      </c>
      <c r="L280" s="29">
        <f t="shared" si="34"/>
        <v>-1.0076969513742373E-2</v>
      </c>
      <c r="M280" s="29">
        <f t="shared" si="35"/>
        <v>-4.0414757428216874E-2</v>
      </c>
      <c r="N280" s="29">
        <f t="shared" si="36"/>
        <v>-3.9371606284929306E-2</v>
      </c>
      <c r="O280" s="29">
        <f t="shared" si="37"/>
        <v>-3.1116194416706766E-2</v>
      </c>
      <c r="P280" s="29">
        <f t="shared" si="38"/>
        <v>-4.2119019393250579E-2</v>
      </c>
      <c r="Q280" s="29">
        <f t="shared" si="39"/>
        <v>-3.2956343884091521E-2</v>
      </c>
    </row>
    <row r="281" spans="2:17" ht="13.95" customHeight="1" x14ac:dyDescent="0.3">
      <c r="B281" s="89">
        <v>44449</v>
      </c>
      <c r="C281" s="91">
        <f t="shared" si="32"/>
        <v>0</v>
      </c>
      <c r="D281" s="90">
        <v>4.9083902414627314</v>
      </c>
      <c r="E281" s="90">
        <v>3.416303274392722</v>
      </c>
      <c r="F281" s="90">
        <v>1.4192289303962931</v>
      </c>
      <c r="G281" s="90">
        <v>2.8528860956627771</v>
      </c>
      <c r="H281" s="90">
        <v>3.1433688761800802</v>
      </c>
      <c r="I281" s="90">
        <v>1.2915652280418259</v>
      </c>
      <c r="J281" s="90">
        <v>4.2871815707017671</v>
      </c>
      <c r="K281" s="29">
        <f t="shared" si="33"/>
        <v>-3.1039368804750112E-2</v>
      </c>
      <c r="L281" s="29">
        <f t="shared" si="34"/>
        <v>-5.0301959934120344E-3</v>
      </c>
      <c r="M281" s="29">
        <f t="shared" si="35"/>
        <v>-1.7888798772339176E-2</v>
      </c>
      <c r="N281" s="29">
        <f t="shared" si="36"/>
        <v>-2.9867974268570685E-2</v>
      </c>
      <c r="O281" s="29">
        <f t="shared" si="37"/>
        <v>-2.2092798512046152E-2</v>
      </c>
      <c r="P281" s="29">
        <f t="shared" si="38"/>
        <v>-3.2435747314985663E-2</v>
      </c>
      <c r="Q281" s="29">
        <f t="shared" si="39"/>
        <v>4.5091843447869762E-2</v>
      </c>
    </row>
    <row r="282" spans="2:17" ht="13.95" customHeight="1" x14ac:dyDescent="0.3">
      <c r="B282" s="89">
        <v>44456</v>
      </c>
      <c r="C282" s="91">
        <f t="shared" si="32"/>
        <v>0</v>
      </c>
      <c r="D282" s="90">
        <v>4.8230050155834494</v>
      </c>
      <c r="E282" s="90">
        <v>3.426778225579846</v>
      </c>
      <c r="F282" s="90">
        <v>1.4077729454677159</v>
      </c>
      <c r="G282" s="90">
        <v>2.6964492357705869</v>
      </c>
      <c r="H282" s="90">
        <v>3.0698977553738671</v>
      </c>
      <c r="I282" s="90">
        <v>1.2760425141102829</v>
      </c>
      <c r="J282" s="90">
        <v>4.3203943344323479</v>
      </c>
      <c r="K282" s="29">
        <f t="shared" si="33"/>
        <v>-1.7395769626873947E-2</v>
      </c>
      <c r="L282" s="29">
        <f t="shared" si="34"/>
        <v>3.066165485260175E-3</v>
      </c>
      <c r="M282" s="29">
        <f t="shared" si="35"/>
        <v>-8.0719781588571848E-3</v>
      </c>
      <c r="N282" s="29">
        <f t="shared" si="36"/>
        <v>-5.4834597192653489E-2</v>
      </c>
      <c r="O282" s="29">
        <f t="shared" si="37"/>
        <v>-2.3373369050945558E-2</v>
      </c>
      <c r="P282" s="29">
        <f t="shared" si="38"/>
        <v>-1.2018528831933217E-2</v>
      </c>
      <c r="Q282" s="29">
        <f t="shared" si="39"/>
        <v>7.7469925597632994E-3</v>
      </c>
    </row>
    <row r="283" spans="2:17" ht="13.95" customHeight="1" x14ac:dyDescent="0.3">
      <c r="B283" s="89">
        <v>44463</v>
      </c>
      <c r="C283" s="91">
        <f t="shared" si="32"/>
        <v>0</v>
      </c>
      <c r="D283" s="90">
        <v>4.8543708547040483</v>
      </c>
      <c r="E283" s="90">
        <v>3.4514428818051992</v>
      </c>
      <c r="F283" s="90">
        <v>1.428165515764616</v>
      </c>
      <c r="G283" s="90">
        <v>2.7936487614708478</v>
      </c>
      <c r="H283" s="90">
        <v>3.1243886852160219</v>
      </c>
      <c r="I283" s="90">
        <v>1.2754463777011791</v>
      </c>
      <c r="J283" s="90">
        <v>4.636844998217569</v>
      </c>
      <c r="K283" s="29">
        <f t="shared" si="33"/>
        <v>6.5033809874246451E-3</v>
      </c>
      <c r="L283" s="29">
        <f t="shared" si="34"/>
        <v>7.1976225485614886E-3</v>
      </c>
      <c r="M283" s="29">
        <f t="shared" si="35"/>
        <v>1.448569555378465E-2</v>
      </c>
      <c r="N283" s="29">
        <f t="shared" si="36"/>
        <v>3.6047229968519501E-2</v>
      </c>
      <c r="O283" s="29">
        <f t="shared" si="37"/>
        <v>1.7750079704370592E-2</v>
      </c>
      <c r="P283" s="29">
        <f t="shared" si="38"/>
        <v>-4.6717597769030395E-4</v>
      </c>
      <c r="Q283" s="29">
        <f t="shared" si="39"/>
        <v>7.3245782511840885E-2</v>
      </c>
    </row>
    <row r="284" spans="2:17" ht="13.95" customHeight="1" x14ac:dyDescent="0.3">
      <c r="B284" s="89">
        <v>44470</v>
      </c>
      <c r="C284" s="91">
        <f t="shared" si="32"/>
        <v>1</v>
      </c>
      <c r="D284" s="90">
        <v>4.9526590753114323</v>
      </c>
      <c r="E284" s="90">
        <v>3.401941746898963</v>
      </c>
      <c r="F284" s="90">
        <v>1.389300472412913</v>
      </c>
      <c r="G284" s="90">
        <v>2.8191358799998412</v>
      </c>
      <c r="H284" s="90">
        <v>3.1228415860973171</v>
      </c>
      <c r="I284" s="90">
        <v>1.2372096672871311</v>
      </c>
      <c r="J284" s="90">
        <v>4.5542636541467711</v>
      </c>
      <c r="K284" s="29">
        <f t="shared" si="33"/>
        <v>2.0247365425766661E-2</v>
      </c>
      <c r="L284" s="29">
        <f t="shared" si="34"/>
        <v>-1.4342156773675452E-2</v>
      </c>
      <c r="M284" s="29">
        <f t="shared" si="35"/>
        <v>-2.7213262694482099E-2</v>
      </c>
      <c r="N284" s="29">
        <f t="shared" si="36"/>
        <v>9.1232365644902114E-3</v>
      </c>
      <c r="O284" s="29">
        <f t="shared" si="37"/>
        <v>-4.9516858322573576E-4</v>
      </c>
      <c r="P284" s="29">
        <f t="shared" si="38"/>
        <v>-2.9979081114303252E-2</v>
      </c>
      <c r="Q284" s="29">
        <f t="shared" si="39"/>
        <v>-1.7809813375806782E-2</v>
      </c>
    </row>
    <row r="285" spans="2:17" ht="13.95" customHeight="1" x14ac:dyDescent="0.3">
      <c r="B285" s="89">
        <v>44477</v>
      </c>
      <c r="C285" s="91">
        <f t="shared" si="32"/>
        <v>1</v>
      </c>
      <c r="D285" s="90">
        <v>4.8940302013044219</v>
      </c>
      <c r="E285" s="90">
        <v>3.3545715536065939</v>
      </c>
      <c r="F285" s="90">
        <v>1.3729317622519559</v>
      </c>
      <c r="G285" s="90">
        <v>2.884062607622353</v>
      </c>
      <c r="H285" s="90">
        <v>3.1208457898464528</v>
      </c>
      <c r="I285" s="90">
        <v>1.2266814715979091</v>
      </c>
      <c r="J285" s="90">
        <v>4.4423187164216547</v>
      </c>
      <c r="K285" s="29">
        <f t="shared" si="33"/>
        <v>-1.1837857828589482E-2</v>
      </c>
      <c r="L285" s="29">
        <f t="shared" si="34"/>
        <v>-1.3924457505937404E-2</v>
      </c>
      <c r="M285" s="29">
        <f t="shared" si="35"/>
        <v>-1.1781979842364954E-2</v>
      </c>
      <c r="N285" s="29">
        <f t="shared" si="36"/>
        <v>2.3030719477954209E-2</v>
      </c>
      <c r="O285" s="29">
        <f t="shared" si="37"/>
        <v>-6.3909621920932302E-4</v>
      </c>
      <c r="P285" s="29">
        <f t="shared" si="38"/>
        <v>-8.5096293438342574E-3</v>
      </c>
      <c r="Q285" s="29">
        <f t="shared" si="39"/>
        <v>-2.4580249679481692E-2</v>
      </c>
    </row>
    <row r="286" spans="2:17" ht="13.95" customHeight="1" x14ac:dyDescent="0.3">
      <c r="B286" s="89">
        <v>44484</v>
      </c>
      <c r="C286" s="91">
        <f t="shared" si="32"/>
        <v>1</v>
      </c>
      <c r="D286" s="90">
        <v>4.9836601165713637</v>
      </c>
      <c r="E286" s="90">
        <v>3.3959680050987049</v>
      </c>
      <c r="F286" s="90">
        <v>1.402500777443271</v>
      </c>
      <c r="G286" s="90">
        <v>2.924326480787526</v>
      </c>
      <c r="H286" s="90">
        <v>3.1705984494189079</v>
      </c>
      <c r="I286" s="90">
        <v>1.2480444612471391</v>
      </c>
      <c r="J286" s="90">
        <v>4.6107868803579297</v>
      </c>
      <c r="K286" s="29">
        <f t="shared" si="33"/>
        <v>1.8314132030295305E-2</v>
      </c>
      <c r="L286" s="29">
        <f t="shared" si="34"/>
        <v>1.234030958367982E-2</v>
      </c>
      <c r="M286" s="29">
        <f t="shared" si="35"/>
        <v>2.1537133894268923E-2</v>
      </c>
      <c r="N286" s="29">
        <f t="shared" si="36"/>
        <v>1.3960817999844721E-2</v>
      </c>
      <c r="O286" s="29">
        <f t="shared" si="37"/>
        <v>1.5942043574957543E-2</v>
      </c>
      <c r="P286" s="29">
        <f t="shared" si="38"/>
        <v>1.7415270503272628E-2</v>
      </c>
      <c r="Q286" s="29">
        <f t="shared" si="39"/>
        <v>3.7923475259330042E-2</v>
      </c>
    </row>
    <row r="287" spans="2:17" ht="13.95" customHeight="1" x14ac:dyDescent="0.3">
      <c r="B287" s="89">
        <v>44491</v>
      </c>
      <c r="C287" s="91">
        <f t="shared" si="32"/>
        <v>1</v>
      </c>
      <c r="D287" s="90">
        <v>4.6735727267824636</v>
      </c>
      <c r="E287" s="90">
        <v>3.1588922637866039</v>
      </c>
      <c r="F287" s="90">
        <v>1.2491204274198919</v>
      </c>
      <c r="G287" s="90">
        <v>2.7385234456636942</v>
      </c>
      <c r="H287" s="90">
        <v>2.9403734409675959</v>
      </c>
      <c r="I287" s="90">
        <v>1.088277426307201</v>
      </c>
      <c r="J287" s="90">
        <v>4.4416757223998786</v>
      </c>
      <c r="K287" s="29">
        <f t="shared" si="33"/>
        <v>-6.2220814127716406E-2</v>
      </c>
      <c r="L287" s="29">
        <f t="shared" si="34"/>
        <v>-6.9810946674454977E-2</v>
      </c>
      <c r="M287" s="29">
        <f t="shared" si="35"/>
        <v>-0.10936204278117279</v>
      </c>
      <c r="N287" s="29">
        <f t="shared" si="36"/>
        <v>-6.353703539756439E-2</v>
      </c>
      <c r="O287" s="29">
        <f t="shared" si="37"/>
        <v>-7.2612477462577041E-2</v>
      </c>
      <c r="P287" s="29">
        <f t="shared" si="38"/>
        <v>-0.12801389686092346</v>
      </c>
      <c r="Q287" s="29">
        <f t="shared" si="39"/>
        <v>-3.6677287922039725E-2</v>
      </c>
    </row>
    <row r="288" spans="2:17" ht="13.95" customHeight="1" x14ac:dyDescent="0.3">
      <c r="B288" s="89">
        <v>44498</v>
      </c>
      <c r="C288" s="91">
        <f t="shared" si="32"/>
        <v>1</v>
      </c>
      <c r="D288" s="90">
        <v>4.5400778258958248</v>
      </c>
      <c r="E288" s="90">
        <v>3.215953826492902</v>
      </c>
      <c r="F288" s="90">
        <v>1.1718011524362451</v>
      </c>
      <c r="G288" s="90">
        <v>2.635238421899289</v>
      </c>
      <c r="H288" s="90">
        <v>2.863644174710585</v>
      </c>
      <c r="I288" s="90">
        <v>1.0202345956142811</v>
      </c>
      <c r="J288" s="90">
        <v>4.1765242251021011</v>
      </c>
      <c r="K288" s="29">
        <f t="shared" si="33"/>
        <v>-2.8563779508903431E-2</v>
      </c>
      <c r="L288" s="29">
        <f t="shared" si="34"/>
        <v>1.8063788803578174E-2</v>
      </c>
      <c r="M288" s="29">
        <f t="shared" si="35"/>
        <v>-6.1898975700327763E-2</v>
      </c>
      <c r="N288" s="29">
        <f t="shared" si="36"/>
        <v>-3.7715588642467712E-2</v>
      </c>
      <c r="O288" s="29">
        <f t="shared" si="37"/>
        <v>-2.6095075267637213E-2</v>
      </c>
      <c r="P288" s="29">
        <f t="shared" si="38"/>
        <v>-6.2523423759515473E-2</v>
      </c>
      <c r="Q288" s="29">
        <f t="shared" si="39"/>
        <v>-5.9696275430596635E-2</v>
      </c>
    </row>
    <row r="289" spans="2:17" ht="13.95" customHeight="1" x14ac:dyDescent="0.3">
      <c r="B289" s="89">
        <v>44505</v>
      </c>
      <c r="C289" s="91">
        <f t="shared" si="32"/>
        <v>1</v>
      </c>
      <c r="D289" s="90">
        <v>4.6514243653892704</v>
      </c>
      <c r="E289" s="90">
        <v>3.33779672670798</v>
      </c>
      <c r="F289" s="90">
        <v>1.278892460123487</v>
      </c>
      <c r="G289" s="90">
        <v>2.502106569678137</v>
      </c>
      <c r="H289" s="90">
        <v>2.90031978050393</v>
      </c>
      <c r="I289" s="90">
        <v>1.1322036888367339</v>
      </c>
      <c r="J289" s="90">
        <v>4.2868270022111261</v>
      </c>
      <c r="K289" s="29">
        <f t="shared" si="33"/>
        <v>2.4525249073560795E-2</v>
      </c>
      <c r="L289" s="29">
        <f t="shared" si="34"/>
        <v>3.7887017907825893E-2</v>
      </c>
      <c r="M289" s="29">
        <f t="shared" si="35"/>
        <v>9.1390341667263897E-2</v>
      </c>
      <c r="N289" s="29">
        <f t="shared" si="36"/>
        <v>-5.0519850923090415E-2</v>
      </c>
      <c r="O289" s="29">
        <f t="shared" si="37"/>
        <v>1.2807319469798184E-2</v>
      </c>
      <c r="P289" s="29">
        <f t="shared" si="38"/>
        <v>0.10974837915100943</v>
      </c>
      <c r="Q289" s="29">
        <f t="shared" si="39"/>
        <v>2.641018492029179E-2</v>
      </c>
    </row>
    <row r="290" spans="2:17" ht="13.95" customHeight="1" x14ac:dyDescent="0.3">
      <c r="B290" s="89">
        <v>44512</v>
      </c>
      <c r="C290" s="91">
        <f t="shared" si="32"/>
        <v>1</v>
      </c>
      <c r="D290" s="90">
        <v>4.7285261558157412</v>
      </c>
      <c r="E290" s="90">
        <v>3.3147648732037061</v>
      </c>
      <c r="F290" s="90">
        <v>1.264769183950865</v>
      </c>
      <c r="G290" s="90">
        <v>2.612165533752945</v>
      </c>
      <c r="H290" s="90">
        <v>2.9425071912488669</v>
      </c>
      <c r="I290" s="90">
        <v>1.1320588697622089</v>
      </c>
      <c r="J290" s="90">
        <v>4.0604106166467204</v>
      </c>
      <c r="K290" s="29">
        <f t="shared" si="33"/>
        <v>1.6575952734000587E-2</v>
      </c>
      <c r="L290" s="29">
        <f t="shared" si="34"/>
        <v>-6.9003164033268893E-3</v>
      </c>
      <c r="M290" s="29">
        <f t="shared" si="35"/>
        <v>-1.1043364952873613E-2</v>
      </c>
      <c r="N290" s="29">
        <f t="shared" si="36"/>
        <v>4.3986521361064845E-2</v>
      </c>
      <c r="O290" s="29">
        <f t="shared" si="37"/>
        <v>1.4545779064957687E-2</v>
      </c>
      <c r="P290" s="29">
        <f t="shared" si="38"/>
        <v>-1.2790902904913359E-4</v>
      </c>
      <c r="Q290" s="29">
        <f t="shared" si="39"/>
        <v>-5.2816776941924881E-2</v>
      </c>
    </row>
    <row r="291" spans="2:17" ht="13.95" customHeight="1" x14ac:dyDescent="0.3">
      <c r="B291" s="89">
        <v>44519</v>
      </c>
      <c r="C291" s="91">
        <f t="shared" si="32"/>
        <v>1</v>
      </c>
      <c r="D291" s="90">
        <v>4.5574502618370154</v>
      </c>
      <c r="E291" s="90">
        <v>3.263881363310047</v>
      </c>
      <c r="F291" s="90">
        <v>1.2201833767659771</v>
      </c>
      <c r="G291" s="90">
        <v>2.5156255955326889</v>
      </c>
      <c r="H291" s="90">
        <v>2.851303519873861</v>
      </c>
      <c r="I291" s="90">
        <v>1.085154136049908</v>
      </c>
      <c r="J291" s="90">
        <v>4.018662865954326</v>
      </c>
      <c r="K291" s="29">
        <f t="shared" si="33"/>
        <v>-3.6179538473804396E-2</v>
      </c>
      <c r="L291" s="29">
        <f t="shared" si="34"/>
        <v>-1.535056386804301E-2</v>
      </c>
      <c r="M291" s="29">
        <f t="shared" si="35"/>
        <v>-3.5252129598549731E-2</v>
      </c>
      <c r="N291" s="29">
        <f t="shared" si="36"/>
        <v>-3.6957817937960269E-2</v>
      </c>
      <c r="O291" s="29">
        <f t="shared" si="37"/>
        <v>-3.0995224632330287E-2</v>
      </c>
      <c r="P291" s="29">
        <f t="shared" si="38"/>
        <v>-4.1433122397736666E-2</v>
      </c>
      <c r="Q291" s="29">
        <f t="shared" si="39"/>
        <v>-1.0281657357814611E-2</v>
      </c>
    </row>
    <row r="292" spans="2:17" ht="13.95" customHeight="1" x14ac:dyDescent="0.3">
      <c r="B292" s="89">
        <v>44526</v>
      </c>
      <c r="C292" s="91">
        <f t="shared" si="32"/>
        <v>1</v>
      </c>
      <c r="D292" s="90">
        <v>4.5447570805503172</v>
      </c>
      <c r="E292" s="90">
        <v>3.0905757626043289</v>
      </c>
      <c r="F292" s="90">
        <v>1.1367337425791759</v>
      </c>
      <c r="G292" s="90">
        <v>2.655204172686624</v>
      </c>
      <c r="H292" s="90">
        <v>2.8297058004247431</v>
      </c>
      <c r="I292" s="90">
        <v>1.0149668542504959</v>
      </c>
      <c r="J292" s="90">
        <v>3.68546277190348</v>
      </c>
      <c r="K292" s="29">
        <f t="shared" si="33"/>
        <v>-2.7851497125460645E-3</v>
      </c>
      <c r="L292" s="29">
        <f t="shared" si="34"/>
        <v>-5.3098008602237012E-2</v>
      </c>
      <c r="M292" s="29">
        <f t="shared" si="35"/>
        <v>-6.8391059717580638E-2</v>
      </c>
      <c r="N292" s="29">
        <f t="shared" si="36"/>
        <v>5.5484638652827378E-2</v>
      </c>
      <c r="O292" s="29">
        <f t="shared" si="37"/>
        <v>-7.5746827016414109E-3</v>
      </c>
      <c r="P292" s="29">
        <f t="shared" si="38"/>
        <v>-6.4679550552055431E-2</v>
      </c>
      <c r="Q292" s="29">
        <f t="shared" si="39"/>
        <v>-8.2913174148964042E-2</v>
      </c>
    </row>
    <row r="293" spans="2:17" ht="13.95" customHeight="1" x14ac:dyDescent="0.3">
      <c r="B293" s="89">
        <v>44533</v>
      </c>
      <c r="C293" s="91">
        <f t="shared" si="32"/>
        <v>1</v>
      </c>
      <c r="D293" s="90">
        <v>4.574807643287131</v>
      </c>
      <c r="E293" s="90">
        <v>3.075807297427589</v>
      </c>
      <c r="F293" s="90">
        <v>1.1330547040432279</v>
      </c>
      <c r="G293" s="90">
        <v>2.8774027096835448</v>
      </c>
      <c r="H293" s="90">
        <v>2.9128906168224749</v>
      </c>
      <c r="I293" s="90">
        <v>1.0106724502143429</v>
      </c>
      <c r="J293" s="90">
        <v>3.6881308294831059</v>
      </c>
      <c r="K293" s="29">
        <f t="shared" si="33"/>
        <v>6.6121383836812431E-3</v>
      </c>
      <c r="L293" s="29">
        <f t="shared" si="34"/>
        <v>-4.7785481771509541E-3</v>
      </c>
      <c r="M293" s="29">
        <f t="shared" si="35"/>
        <v>-3.2364998047832438E-3</v>
      </c>
      <c r="N293" s="29">
        <f t="shared" si="36"/>
        <v>8.3684162326429723E-2</v>
      </c>
      <c r="O293" s="29">
        <f t="shared" si="37"/>
        <v>2.9396984091153877E-2</v>
      </c>
      <c r="P293" s="29">
        <f t="shared" si="38"/>
        <v>-4.2310781068060077E-3</v>
      </c>
      <c r="Q293" s="29">
        <f t="shared" si="39"/>
        <v>7.2394099323602745E-4</v>
      </c>
    </row>
    <row r="294" spans="2:17" ht="13.95" customHeight="1" x14ac:dyDescent="0.3">
      <c r="B294" s="89">
        <v>44540</v>
      </c>
      <c r="C294" s="91">
        <f t="shared" si="32"/>
        <v>1</v>
      </c>
      <c r="D294" s="90">
        <v>4.5925842628812834</v>
      </c>
      <c r="E294" s="90">
        <v>3.1177054707474059</v>
      </c>
      <c r="F294" s="90">
        <v>1.179103519790637</v>
      </c>
      <c r="G294" s="90">
        <v>2.9957118273376411</v>
      </c>
      <c r="H294" s="90">
        <v>2.9877567881346918</v>
      </c>
      <c r="I294" s="90">
        <v>1.0371104670744971</v>
      </c>
      <c r="J294" s="90">
        <v>4.0497615335541166</v>
      </c>
      <c r="K294" s="29">
        <f t="shared" si="33"/>
        <v>3.8857632889193194E-3</v>
      </c>
      <c r="L294" s="29">
        <f t="shared" si="34"/>
        <v>1.3621845996287796E-2</v>
      </c>
      <c r="M294" s="29">
        <f t="shared" si="35"/>
        <v>4.064129965048191E-2</v>
      </c>
      <c r="N294" s="29">
        <f t="shared" si="36"/>
        <v>4.1116635240504129E-2</v>
      </c>
      <c r="O294" s="29">
        <f t="shared" si="37"/>
        <v>2.5701676156272724E-2</v>
      </c>
      <c r="P294" s="29">
        <f t="shared" si="38"/>
        <v>2.6158837964314952E-2</v>
      </c>
      <c r="Q294" s="29">
        <f t="shared" si="39"/>
        <v>9.8052569388297206E-2</v>
      </c>
    </row>
    <row r="295" spans="2:17" ht="13.95" customHeight="1" x14ac:dyDescent="0.3">
      <c r="B295" s="89">
        <v>44547</v>
      </c>
      <c r="C295" s="91">
        <f t="shared" si="32"/>
        <v>1</v>
      </c>
      <c r="D295" s="90">
        <v>4.4422871919196316</v>
      </c>
      <c r="E295" s="90">
        <v>3.1489053891028629</v>
      </c>
      <c r="F295" s="90">
        <v>1.1473477159963039</v>
      </c>
      <c r="G295" s="90">
        <v>3.029024433246839</v>
      </c>
      <c r="H295" s="90">
        <v>2.9720674765499711</v>
      </c>
      <c r="I295" s="90">
        <v>1.010416514972968</v>
      </c>
      <c r="J295" s="90">
        <v>3.9227884546885501</v>
      </c>
      <c r="K295" s="29">
        <f t="shared" si="33"/>
        <v>-3.2726034484854227E-2</v>
      </c>
      <c r="L295" s="29">
        <f t="shared" si="34"/>
        <v>1.0007333485538394E-2</v>
      </c>
      <c r="M295" s="29">
        <f t="shared" si="35"/>
        <v>-2.6932159272980316E-2</v>
      </c>
      <c r="N295" s="29">
        <f t="shared" si="36"/>
        <v>1.1120096934958967E-2</v>
      </c>
      <c r="O295" s="29">
        <f t="shared" si="37"/>
        <v>-5.2512010505767481E-3</v>
      </c>
      <c r="P295" s="29">
        <f t="shared" si="38"/>
        <v>-2.5738774170149803E-2</v>
      </c>
      <c r="Q295" s="29">
        <f t="shared" si="39"/>
        <v>-3.135322359441084E-2</v>
      </c>
    </row>
    <row r="296" spans="2:17" ht="13.95" customHeight="1" x14ac:dyDescent="0.3">
      <c r="B296" s="89">
        <v>44554</v>
      </c>
      <c r="C296" s="91">
        <f t="shared" si="32"/>
        <v>1</v>
      </c>
      <c r="D296" s="90">
        <v>4.3212266074111083</v>
      </c>
      <c r="E296" s="90">
        <v>3.0957450099857842</v>
      </c>
      <c r="F296" s="90">
        <v>1.113120100570534</v>
      </c>
      <c r="G296" s="90">
        <v>2.9802838505299798</v>
      </c>
      <c r="H296" s="90">
        <v>2.9099554139252701</v>
      </c>
      <c r="I296" s="90">
        <v>0.96852941811145365</v>
      </c>
      <c r="J296" s="90">
        <v>3.9756594709403181</v>
      </c>
      <c r="K296" s="29">
        <f t="shared" si="33"/>
        <v>-2.7251859071319884E-2</v>
      </c>
      <c r="L296" s="29">
        <f t="shared" si="34"/>
        <v>-1.6882177311851376E-2</v>
      </c>
      <c r="M296" s="29">
        <f t="shared" si="35"/>
        <v>-2.9831946277984467E-2</v>
      </c>
      <c r="N296" s="29">
        <f t="shared" si="36"/>
        <v>-1.6091181761981987E-2</v>
      </c>
      <c r="O296" s="29">
        <f t="shared" si="37"/>
        <v>-2.0898604461296322E-2</v>
      </c>
      <c r="P296" s="29">
        <f t="shared" si="38"/>
        <v>-4.1455277344348396E-2</v>
      </c>
      <c r="Q296" s="29">
        <f t="shared" si="39"/>
        <v>1.3477916758059205E-2</v>
      </c>
    </row>
    <row r="297" spans="2:17" ht="13.95" customHeight="1" x14ac:dyDescent="0.3">
      <c r="B297" s="89">
        <v>44561</v>
      </c>
      <c r="C297" s="91">
        <f t="shared" si="32"/>
        <v>1</v>
      </c>
      <c r="D297" s="90">
        <v>4.274144649673203</v>
      </c>
      <c r="E297" s="90">
        <v>3.096507804366543</v>
      </c>
      <c r="F297" s="90">
        <v>1.124821318464176</v>
      </c>
      <c r="G297" s="90">
        <v>2.9838284945388969</v>
      </c>
      <c r="H297" s="90">
        <v>2.9090280376478219</v>
      </c>
      <c r="I297" s="90">
        <v>0.98315519560436837</v>
      </c>
      <c r="J297" s="90">
        <v>3.9531573552437278</v>
      </c>
      <c r="K297" s="29">
        <f t="shared" si="33"/>
        <v>-1.0895507691533135E-2</v>
      </c>
      <c r="L297" s="29">
        <f t="shared" si="34"/>
        <v>2.4640090779382007E-4</v>
      </c>
      <c r="M297" s="29">
        <f t="shared" si="35"/>
        <v>1.0512089295346083E-2</v>
      </c>
      <c r="N297" s="29">
        <f t="shared" si="36"/>
        <v>1.1893645661593677E-3</v>
      </c>
      <c r="O297" s="29">
        <f t="shared" si="37"/>
        <v>-3.1869088887426233E-4</v>
      </c>
      <c r="P297" s="29">
        <f t="shared" si="38"/>
        <v>1.5101015229288306E-2</v>
      </c>
      <c r="Q297" s="29">
        <f t="shared" si="39"/>
        <v>-5.6599705938266132E-3</v>
      </c>
    </row>
    <row r="298" spans="2:17" ht="13.95" customHeight="1" x14ac:dyDescent="0.3">
      <c r="B298" s="89">
        <v>44568</v>
      </c>
      <c r="C298" s="91">
        <f t="shared" si="32"/>
        <v>1</v>
      </c>
      <c r="D298" s="90">
        <v>4.3737119742238137</v>
      </c>
      <c r="E298" s="90">
        <v>2.892185405117714</v>
      </c>
      <c r="F298" s="90">
        <v>1.0111181070142541</v>
      </c>
      <c r="G298" s="90">
        <v>3.0341903271843629</v>
      </c>
      <c r="H298" s="90">
        <v>2.8509219429153059</v>
      </c>
      <c r="I298" s="90">
        <v>0.87990867674616824</v>
      </c>
      <c r="J298" s="90">
        <v>3.6089485838045041</v>
      </c>
      <c r="K298" s="29">
        <f t="shared" si="33"/>
        <v>2.3295263195695526E-2</v>
      </c>
      <c r="L298" s="29">
        <f t="shared" si="34"/>
        <v>-6.5984784201319813E-2</v>
      </c>
      <c r="M298" s="29">
        <f t="shared" si="35"/>
        <v>-0.10108557651198469</v>
      </c>
      <c r="N298" s="29">
        <f t="shared" si="36"/>
        <v>1.687825983887481E-2</v>
      </c>
      <c r="O298" s="29">
        <f t="shared" si="37"/>
        <v>-1.9974401752242743E-2</v>
      </c>
      <c r="P298" s="29">
        <f t="shared" si="38"/>
        <v>-0.10501548414717177</v>
      </c>
      <c r="Q298" s="29">
        <f t="shared" si="39"/>
        <v>-8.7071861934016503E-2</v>
      </c>
    </row>
    <row r="299" spans="2:17" ht="13.95" customHeight="1" x14ac:dyDescent="0.3">
      <c r="B299" s="89">
        <v>44575</v>
      </c>
      <c r="C299" s="91">
        <f t="shared" si="32"/>
        <v>1</v>
      </c>
      <c r="D299" s="90">
        <v>4.5557864926819764</v>
      </c>
      <c r="E299" s="90">
        <v>2.9783407668675599</v>
      </c>
      <c r="F299" s="90">
        <v>1.04157192743712</v>
      </c>
      <c r="G299" s="90">
        <v>3.188940473856118</v>
      </c>
      <c r="H299" s="90">
        <v>2.9677401770863061</v>
      </c>
      <c r="I299" s="90">
        <v>0.91234396340114643</v>
      </c>
      <c r="J299" s="90">
        <v>3.6325730119319388</v>
      </c>
      <c r="K299" s="29">
        <f t="shared" si="33"/>
        <v>4.1629288698297184E-2</v>
      </c>
      <c r="L299" s="29">
        <f t="shared" si="34"/>
        <v>2.9789017535803319E-2</v>
      </c>
      <c r="M299" s="29">
        <f t="shared" si="35"/>
        <v>3.011895466177883E-2</v>
      </c>
      <c r="N299" s="29">
        <f t="shared" si="36"/>
        <v>5.1002122472441735E-2</v>
      </c>
      <c r="O299" s="29">
        <f t="shared" si="37"/>
        <v>4.0975598950121928E-2</v>
      </c>
      <c r="P299" s="29">
        <f t="shared" si="38"/>
        <v>3.6862105707289095E-2</v>
      </c>
      <c r="Q299" s="29">
        <f t="shared" si="39"/>
        <v>6.5460694656198637E-3</v>
      </c>
    </row>
    <row r="300" spans="2:17" ht="13.95" customHeight="1" x14ac:dyDescent="0.3">
      <c r="B300" s="89">
        <v>44582</v>
      </c>
      <c r="C300" s="91">
        <f t="shared" si="32"/>
        <v>1</v>
      </c>
      <c r="D300" s="90">
        <v>4.6731324952365387</v>
      </c>
      <c r="E300" s="90">
        <v>3.0324180120585931</v>
      </c>
      <c r="F300" s="90">
        <v>1.1010897560033051</v>
      </c>
      <c r="G300" s="90">
        <v>3.195051319430485</v>
      </c>
      <c r="H300" s="90">
        <v>3.0237257404233802</v>
      </c>
      <c r="I300" s="90">
        <v>0.98396418106723882</v>
      </c>
      <c r="J300" s="90">
        <v>3.5607424588531842</v>
      </c>
      <c r="K300" s="29">
        <f t="shared" si="33"/>
        <v>2.5757572867617151E-2</v>
      </c>
      <c r="L300" s="29">
        <f t="shared" si="34"/>
        <v>1.8156836112446673E-2</v>
      </c>
      <c r="M300" s="29">
        <f t="shared" si="35"/>
        <v>5.7142312497451719E-2</v>
      </c>
      <c r="N300" s="29">
        <f t="shared" si="36"/>
        <v>1.916262038901495E-3</v>
      </c>
      <c r="O300" s="29">
        <f t="shared" si="37"/>
        <v>1.8864711867074613E-2</v>
      </c>
      <c r="P300" s="29">
        <f t="shared" si="38"/>
        <v>7.8501333421550745E-2</v>
      </c>
      <c r="Q300" s="29">
        <f t="shared" si="39"/>
        <v>-1.9774014959317299E-2</v>
      </c>
    </row>
    <row r="301" spans="2:17" ht="13.95" customHeight="1" x14ac:dyDescent="0.3">
      <c r="B301" s="89">
        <v>44589</v>
      </c>
      <c r="C301" s="91">
        <f t="shared" si="32"/>
        <v>1</v>
      </c>
      <c r="D301" s="90">
        <v>4.9837357036295007</v>
      </c>
      <c r="E301" s="90">
        <v>3.0971975275652222</v>
      </c>
      <c r="F301" s="90">
        <v>1.1239896522463151</v>
      </c>
      <c r="G301" s="90">
        <v>3.2285058842321659</v>
      </c>
      <c r="H301" s="90">
        <v>3.1069105023961292</v>
      </c>
      <c r="I301" s="90">
        <v>1.005611385644523</v>
      </c>
      <c r="J301" s="90">
        <v>3.617831683091012</v>
      </c>
      <c r="K301" s="29">
        <f t="shared" si="33"/>
        <v>6.6465739781521149E-2</v>
      </c>
      <c r="L301" s="29">
        <f t="shared" si="34"/>
        <v>2.1362330407295183E-2</v>
      </c>
      <c r="M301" s="29">
        <f t="shared" si="35"/>
        <v>2.0797483691185281E-2</v>
      </c>
      <c r="N301" s="29">
        <f t="shared" si="36"/>
        <v>1.0470744115510522E-2</v>
      </c>
      <c r="O301" s="29">
        <f t="shared" si="37"/>
        <v>2.7510683545360681E-2</v>
      </c>
      <c r="P301" s="29">
        <f t="shared" si="38"/>
        <v>2.1999992473104912E-2</v>
      </c>
      <c r="Q301" s="29">
        <f t="shared" si="39"/>
        <v>1.6032955176492836E-2</v>
      </c>
    </row>
    <row r="302" spans="2:17" ht="13.95" customHeight="1" x14ac:dyDescent="0.3">
      <c r="B302" s="89">
        <v>44596</v>
      </c>
      <c r="C302" s="91">
        <f t="shared" si="32"/>
        <v>1</v>
      </c>
      <c r="D302" s="90">
        <v>4.9836571719549712</v>
      </c>
      <c r="E302" s="90">
        <v>3.0533548772749488</v>
      </c>
      <c r="F302" s="90">
        <v>1.096330781672213</v>
      </c>
      <c r="G302" s="90">
        <v>3.3101247361937962</v>
      </c>
      <c r="H302" s="90">
        <v>3.116288279369519</v>
      </c>
      <c r="I302" s="90">
        <v>0.98187869787529281</v>
      </c>
      <c r="J302" s="90">
        <v>3.51428666384344</v>
      </c>
      <c r="K302" s="29">
        <f t="shared" si="33"/>
        <v>-1.5757592135567933E-5</v>
      </c>
      <c r="L302" s="29">
        <f t="shared" si="34"/>
        <v>-1.4155587397985281E-2</v>
      </c>
      <c r="M302" s="29">
        <f t="shared" si="35"/>
        <v>-2.4607762641609132E-2</v>
      </c>
      <c r="N302" s="29">
        <f t="shared" si="36"/>
        <v>2.5280688618302349E-2</v>
      </c>
      <c r="O302" s="29">
        <f t="shared" si="37"/>
        <v>3.0183608334251044E-3</v>
      </c>
      <c r="P302" s="29">
        <f t="shared" si="38"/>
        <v>-2.3600257622400811E-2</v>
      </c>
      <c r="Q302" s="29">
        <f t="shared" si="39"/>
        <v>-2.8620739801555661E-2</v>
      </c>
    </row>
    <row r="303" spans="2:17" ht="13.95" customHeight="1" x14ac:dyDescent="0.3">
      <c r="B303" s="89">
        <v>44603</v>
      </c>
      <c r="C303" s="91">
        <f t="shared" si="32"/>
        <v>1</v>
      </c>
      <c r="D303" s="90">
        <v>4.9696705996622033</v>
      </c>
      <c r="E303" s="90">
        <v>3.1101106043080371</v>
      </c>
      <c r="F303" s="90">
        <v>1.0865438033314589</v>
      </c>
      <c r="G303" s="90">
        <v>3.3904062848083791</v>
      </c>
      <c r="H303" s="90">
        <v>3.153141879598536</v>
      </c>
      <c r="I303" s="90">
        <v>0.97876428665962256</v>
      </c>
      <c r="J303" s="90">
        <v>3.4020076999135851</v>
      </c>
      <c r="K303" s="29">
        <f t="shared" si="33"/>
        <v>-2.8064876475605294E-3</v>
      </c>
      <c r="L303" s="29">
        <f t="shared" si="34"/>
        <v>1.8587989052796017E-2</v>
      </c>
      <c r="M303" s="29">
        <f t="shared" si="35"/>
        <v>-8.9270305133877237E-3</v>
      </c>
      <c r="N303" s="29">
        <f t="shared" si="36"/>
        <v>2.4253330316154731E-2</v>
      </c>
      <c r="O303" s="29">
        <f t="shared" si="37"/>
        <v>1.1826120347400382E-2</v>
      </c>
      <c r="P303" s="29">
        <f t="shared" si="38"/>
        <v>-3.1718899925312627E-3</v>
      </c>
      <c r="Q303" s="29">
        <f t="shared" si="39"/>
        <v>-3.1949290046549561E-2</v>
      </c>
    </row>
    <row r="304" spans="2:17" ht="13.95" customHeight="1" x14ac:dyDescent="0.3">
      <c r="B304" s="89">
        <v>44610</v>
      </c>
      <c r="C304" s="91">
        <f t="shared" si="32"/>
        <v>1</v>
      </c>
      <c r="D304" s="90">
        <v>5.0671294387161794</v>
      </c>
      <c r="E304" s="90">
        <v>3.1427036348828441</v>
      </c>
      <c r="F304" s="90">
        <v>1.1208917920088359</v>
      </c>
      <c r="G304" s="90">
        <v>3.2339401323687951</v>
      </c>
      <c r="H304" s="90">
        <v>3.130676758640544</v>
      </c>
      <c r="I304" s="90">
        <v>1.0151461491884599</v>
      </c>
      <c r="J304" s="90">
        <v>3.4316499870788348</v>
      </c>
      <c r="K304" s="29">
        <f t="shared" si="33"/>
        <v>1.9610724111292388E-2</v>
      </c>
      <c r="L304" s="29">
        <f t="shared" si="34"/>
        <v>1.0479701438804057E-2</v>
      </c>
      <c r="M304" s="29">
        <f t="shared" si="35"/>
        <v>3.1612152747144018E-2</v>
      </c>
      <c r="N304" s="29">
        <f t="shared" si="36"/>
        <v>-4.6149676261713068E-2</v>
      </c>
      <c r="O304" s="29">
        <f t="shared" si="37"/>
        <v>-7.1246781197338294E-3</v>
      </c>
      <c r="P304" s="29">
        <f t="shared" si="38"/>
        <v>3.7171219899127417E-2</v>
      </c>
      <c r="Q304" s="29">
        <f t="shared" si="39"/>
        <v>8.7131746250905806E-3</v>
      </c>
    </row>
    <row r="305" spans="2:17" ht="13.95" customHeight="1" x14ac:dyDescent="0.3">
      <c r="B305" s="89">
        <v>44617</v>
      </c>
      <c r="C305" s="91">
        <f t="shared" si="32"/>
        <v>1</v>
      </c>
      <c r="D305" s="90">
        <v>4.9221990043723576</v>
      </c>
      <c r="E305" s="90">
        <v>3.1706162457372922</v>
      </c>
      <c r="F305" s="90">
        <v>1.075855815409807</v>
      </c>
      <c r="G305" s="90">
        <v>3.345696855202009</v>
      </c>
      <c r="H305" s="90">
        <v>3.1389209057280918</v>
      </c>
      <c r="I305" s="90">
        <v>0.97069396292923738</v>
      </c>
      <c r="J305" s="90">
        <v>3.3462439182986108</v>
      </c>
      <c r="K305" s="29">
        <f t="shared" si="33"/>
        <v>-2.8602078572625089E-2</v>
      </c>
      <c r="L305" s="29">
        <f t="shared" si="34"/>
        <v>8.8817190856396167E-3</v>
      </c>
      <c r="M305" s="29">
        <f t="shared" si="35"/>
        <v>-4.0178701387683868E-2</v>
      </c>
      <c r="N305" s="29">
        <f t="shared" si="36"/>
        <v>3.4557449507067517E-2</v>
      </c>
      <c r="O305" s="29">
        <f t="shared" si="37"/>
        <v>2.6333434343850382E-3</v>
      </c>
      <c r="P305" s="29">
        <f t="shared" si="38"/>
        <v>-4.378895225555357E-2</v>
      </c>
      <c r="Q305" s="29">
        <f t="shared" si="39"/>
        <v>-2.4887756356797075E-2</v>
      </c>
    </row>
    <row r="306" spans="2:17" ht="13.95" customHeight="1" x14ac:dyDescent="0.3">
      <c r="B306" s="89">
        <v>44624</v>
      </c>
      <c r="C306" s="91">
        <f t="shared" si="32"/>
        <v>1</v>
      </c>
      <c r="D306" s="90">
        <v>4.8081168894107904</v>
      </c>
      <c r="E306" s="90">
        <v>3.1032583694640001</v>
      </c>
      <c r="F306" s="90">
        <v>1.0498781962407171</v>
      </c>
      <c r="G306" s="90">
        <v>3.5611487283394112</v>
      </c>
      <c r="H306" s="90">
        <v>3.1760187190526881</v>
      </c>
      <c r="I306" s="90">
        <v>0.93230127870231461</v>
      </c>
      <c r="J306" s="90">
        <v>3.480701551838179</v>
      </c>
      <c r="K306" s="29">
        <f t="shared" si="33"/>
        <v>-2.3177062703118811E-2</v>
      </c>
      <c r="L306" s="29">
        <f t="shared" si="34"/>
        <v>-2.1244411512699068E-2</v>
      </c>
      <c r="M306" s="29">
        <f t="shared" si="35"/>
        <v>-2.4146004322330827E-2</v>
      </c>
      <c r="N306" s="29">
        <f t="shared" si="36"/>
        <v>6.4396710898182441E-2</v>
      </c>
      <c r="O306" s="29">
        <f t="shared" si="37"/>
        <v>1.1818651835698635E-2</v>
      </c>
      <c r="P306" s="29">
        <f t="shared" si="38"/>
        <v>-3.95517904644902E-2</v>
      </c>
      <c r="Q306" s="29">
        <f t="shared" si="39"/>
        <v>4.0181659443383477E-2</v>
      </c>
    </row>
    <row r="307" spans="2:17" ht="13.95" customHeight="1" x14ac:dyDescent="0.3">
      <c r="B307" s="89">
        <v>44631</v>
      </c>
      <c r="C307" s="91">
        <f t="shared" si="32"/>
        <v>1</v>
      </c>
      <c r="D307" s="90">
        <v>4.7680572862985731</v>
      </c>
      <c r="E307" s="90">
        <v>3.0331166011915109</v>
      </c>
      <c r="F307" s="90">
        <v>1.004625377487655</v>
      </c>
      <c r="G307" s="90">
        <v>3.4632279728778461</v>
      </c>
      <c r="H307" s="90">
        <v>3.0995187952083678</v>
      </c>
      <c r="I307" s="90">
        <v>0.8922339740458175</v>
      </c>
      <c r="J307" s="90">
        <v>3.3289803011239401</v>
      </c>
      <c r="K307" s="29">
        <f t="shared" si="33"/>
        <v>-8.3316616533268828E-3</v>
      </c>
      <c r="L307" s="29">
        <f t="shared" si="34"/>
        <v>-2.2602619544245139E-2</v>
      </c>
      <c r="M307" s="29">
        <f t="shared" si="35"/>
        <v>-4.3102922715318903E-2</v>
      </c>
      <c r="N307" s="29">
        <f t="shared" si="36"/>
        <v>-2.7496957563810098E-2</v>
      </c>
      <c r="O307" s="29">
        <f t="shared" si="37"/>
        <v>-2.4086735819723981E-2</v>
      </c>
      <c r="P307" s="29">
        <f t="shared" si="38"/>
        <v>-4.2976777541555489E-2</v>
      </c>
      <c r="Q307" s="29">
        <f t="shared" si="39"/>
        <v>-4.3589273155037911E-2</v>
      </c>
    </row>
    <row r="308" spans="2:17" ht="13.95" customHeight="1" x14ac:dyDescent="0.3">
      <c r="B308" s="89">
        <v>44638</v>
      </c>
      <c r="C308" s="91">
        <f t="shared" si="32"/>
        <v>1</v>
      </c>
      <c r="D308" s="90">
        <v>5.0025898779977496</v>
      </c>
      <c r="E308" s="90">
        <v>3.2234358472569951</v>
      </c>
      <c r="F308" s="90">
        <v>1.0773183982894059</v>
      </c>
      <c r="G308" s="90">
        <v>3.4388397395285981</v>
      </c>
      <c r="H308" s="90">
        <v>3.198340954976167</v>
      </c>
      <c r="I308" s="90">
        <v>0.95620389003050443</v>
      </c>
      <c r="J308" s="90">
        <v>3.578361741411519</v>
      </c>
      <c r="K308" s="29">
        <f t="shared" si="33"/>
        <v>4.9188291502521686E-2</v>
      </c>
      <c r="L308" s="29">
        <f t="shared" si="34"/>
        <v>6.2747091882560779E-2</v>
      </c>
      <c r="M308" s="29">
        <f t="shared" si="35"/>
        <v>7.235833618252796E-2</v>
      </c>
      <c r="N308" s="29">
        <f t="shared" si="36"/>
        <v>-7.0420525418031232E-3</v>
      </c>
      <c r="O308" s="29">
        <f t="shared" si="37"/>
        <v>3.1883065177914505E-2</v>
      </c>
      <c r="P308" s="29">
        <f t="shared" si="38"/>
        <v>7.1696346300978098E-2</v>
      </c>
      <c r="Q308" s="29">
        <f t="shared" si="39"/>
        <v>7.4912260731426317E-2</v>
      </c>
    </row>
    <row r="309" spans="2:17" ht="13.95" customHeight="1" x14ac:dyDescent="0.3">
      <c r="B309" s="89">
        <v>44645</v>
      </c>
      <c r="C309" s="91">
        <f t="shared" si="32"/>
        <v>1</v>
      </c>
      <c r="D309" s="90">
        <v>5.2854802391723226</v>
      </c>
      <c r="E309" s="90">
        <v>3.2925368765554772</v>
      </c>
      <c r="F309" s="90">
        <v>1.1662787029317641</v>
      </c>
      <c r="G309" s="90">
        <v>3.4669395880319018</v>
      </c>
      <c r="H309" s="90">
        <v>3.3024307981043441</v>
      </c>
      <c r="I309" s="90">
        <v>1.0578603423504009</v>
      </c>
      <c r="J309" s="90">
        <v>3.5471372570603341</v>
      </c>
      <c r="K309" s="29">
        <f t="shared" si="33"/>
        <v>5.654878134599306E-2</v>
      </c>
      <c r="L309" s="29">
        <f t="shared" si="34"/>
        <v>2.143707291624386E-2</v>
      </c>
      <c r="M309" s="29">
        <f t="shared" si="35"/>
        <v>8.2575684944777406E-2</v>
      </c>
      <c r="N309" s="29">
        <f t="shared" si="36"/>
        <v>8.171316674139506E-3</v>
      </c>
      <c r="O309" s="29">
        <f t="shared" si="37"/>
        <v>3.2544948957436315E-2</v>
      </c>
      <c r="P309" s="29">
        <f t="shared" si="38"/>
        <v>0.10631252746383768</v>
      </c>
      <c r="Q309" s="29">
        <f t="shared" si="39"/>
        <v>-8.7259161056388868E-3</v>
      </c>
    </row>
    <row r="310" spans="2:17" ht="13.95" customHeight="1" x14ac:dyDescent="0.3">
      <c r="B310" s="89">
        <v>44652</v>
      </c>
      <c r="C310" s="91">
        <f t="shared" si="32"/>
        <v>1</v>
      </c>
      <c r="D310" s="90">
        <v>5.3338298795793024</v>
      </c>
      <c r="E310" s="90">
        <v>3.4274646041351029</v>
      </c>
      <c r="F310" s="90">
        <v>1.223398887982198</v>
      </c>
      <c r="G310" s="90">
        <v>3.488112578387728</v>
      </c>
      <c r="H310" s="90">
        <v>3.3715250399668708</v>
      </c>
      <c r="I310" s="90">
        <v>1.106614770383338</v>
      </c>
      <c r="J310" s="90">
        <v>3.7644912964129782</v>
      </c>
      <c r="K310" s="29">
        <f t="shared" si="33"/>
        <v>9.1476343149758943E-3</v>
      </c>
      <c r="L310" s="29">
        <f t="shared" si="34"/>
        <v>4.0979868301667111E-2</v>
      </c>
      <c r="M310" s="29">
        <f t="shared" si="35"/>
        <v>4.8976445258621659E-2</v>
      </c>
      <c r="N310" s="29">
        <f t="shared" si="36"/>
        <v>6.1071125752858446E-3</v>
      </c>
      <c r="O310" s="29">
        <f t="shared" si="37"/>
        <v>2.0922237614241057E-2</v>
      </c>
      <c r="P310" s="29">
        <f t="shared" si="38"/>
        <v>4.6087773670210774E-2</v>
      </c>
      <c r="Q310" s="29">
        <f t="shared" si="39"/>
        <v>6.1275903242823615E-2</v>
      </c>
    </row>
    <row r="311" spans="2:17" ht="13.95" customHeight="1" x14ac:dyDescent="0.3">
      <c r="B311" s="89">
        <v>44659</v>
      </c>
      <c r="C311" s="91">
        <f t="shared" si="32"/>
        <v>1</v>
      </c>
      <c r="D311" s="90">
        <v>5.1675365715193946</v>
      </c>
      <c r="E311" s="90">
        <v>3.3356985773531509</v>
      </c>
      <c r="F311" s="90">
        <v>1.1293785607313369</v>
      </c>
      <c r="G311" s="90">
        <v>3.4715701871560518</v>
      </c>
      <c r="H311" s="90">
        <v>3.281469489827185</v>
      </c>
      <c r="I311" s="90">
        <v>1.012470484632132</v>
      </c>
      <c r="J311" s="90">
        <v>3.606793894474924</v>
      </c>
      <c r="K311" s="29">
        <f t="shared" si="33"/>
        <v>-3.117709259842838E-2</v>
      </c>
      <c r="L311" s="29">
        <f t="shared" si="34"/>
        <v>-2.6773734343234268E-2</v>
      </c>
      <c r="M311" s="29">
        <f t="shared" si="35"/>
        <v>-7.6851735091841289E-2</v>
      </c>
      <c r="N311" s="29">
        <f t="shared" si="36"/>
        <v>-4.7425049679223896E-3</v>
      </c>
      <c r="O311" s="29">
        <f t="shared" si="37"/>
        <v>-2.6710627704716883E-2</v>
      </c>
      <c r="P311" s="29">
        <f t="shared" si="38"/>
        <v>-8.5074127212845574E-2</v>
      </c>
      <c r="Q311" s="29">
        <f t="shared" si="39"/>
        <v>-4.189076013758275E-2</v>
      </c>
    </row>
    <row r="312" spans="2:17" ht="13.95" customHeight="1" x14ac:dyDescent="0.3">
      <c r="B312" s="89">
        <v>44666</v>
      </c>
      <c r="C312" s="91">
        <f t="shared" si="32"/>
        <v>1</v>
      </c>
      <c r="D312" s="90">
        <v>5.0554302914137628</v>
      </c>
      <c r="E312" s="90">
        <v>3.2588929846572001</v>
      </c>
      <c r="F312" s="90">
        <v>1.1001123268930539</v>
      </c>
      <c r="G312" s="90">
        <v>3.43689750052385</v>
      </c>
      <c r="H312" s="90">
        <v>3.2223059189997438</v>
      </c>
      <c r="I312" s="90">
        <v>0.99173444378312237</v>
      </c>
      <c r="J312" s="90">
        <v>3.433765799601193</v>
      </c>
      <c r="K312" s="29">
        <f t="shared" si="33"/>
        <v>-2.1694337050946033E-2</v>
      </c>
      <c r="L312" s="29">
        <f t="shared" si="34"/>
        <v>-2.3025339644715537E-2</v>
      </c>
      <c r="M312" s="29">
        <f t="shared" si="35"/>
        <v>-2.5913573053247485E-2</v>
      </c>
      <c r="N312" s="29">
        <f t="shared" si="36"/>
        <v>-9.9876092842605679E-3</v>
      </c>
      <c r="O312" s="29">
        <f t="shared" si="37"/>
        <v>-1.8029596499633094E-2</v>
      </c>
      <c r="P312" s="29">
        <f t="shared" si="38"/>
        <v>-2.0480637375363875E-2</v>
      </c>
      <c r="Q312" s="29">
        <f t="shared" si="39"/>
        <v>-4.7972825710608125E-2</v>
      </c>
    </row>
    <row r="313" spans="2:17" ht="13.95" customHeight="1" x14ac:dyDescent="0.3">
      <c r="B313" s="89">
        <v>44673</v>
      </c>
      <c r="C313" s="91">
        <f t="shared" si="32"/>
        <v>1</v>
      </c>
      <c r="D313" s="90">
        <v>4.9836916333074122</v>
      </c>
      <c r="E313" s="90">
        <v>3.1530014082536209</v>
      </c>
      <c r="F313" s="90">
        <v>1.06966481778958</v>
      </c>
      <c r="G313" s="90">
        <v>3.182936355146166</v>
      </c>
      <c r="H313" s="90">
        <v>3.0812346712891459</v>
      </c>
      <c r="I313" s="90">
        <v>0.9636706446939225</v>
      </c>
      <c r="J313" s="90">
        <v>3.3476379773836711</v>
      </c>
      <c r="K313" s="29">
        <f t="shared" si="33"/>
        <v>-1.4190415844165249E-2</v>
      </c>
      <c r="L313" s="29">
        <f t="shared" si="34"/>
        <v>-3.2493112508485078E-2</v>
      </c>
      <c r="M313" s="29">
        <f t="shared" si="35"/>
        <v>-2.7676727511511512E-2</v>
      </c>
      <c r="N313" s="29">
        <f t="shared" si="36"/>
        <v>-7.3892557266830194E-2</v>
      </c>
      <c r="O313" s="29">
        <f t="shared" si="37"/>
        <v>-4.3779594879181705E-2</v>
      </c>
      <c r="P313" s="29">
        <f t="shared" si="38"/>
        <v>-2.8297695280347646E-2</v>
      </c>
      <c r="Q313" s="29">
        <f t="shared" si="39"/>
        <v>-2.5082614029042105E-2</v>
      </c>
    </row>
    <row r="314" spans="2:17" ht="13.95" customHeight="1" x14ac:dyDescent="0.3">
      <c r="B314" s="89">
        <v>44680</v>
      </c>
      <c r="C314" s="91">
        <f t="shared" si="32"/>
        <v>1</v>
      </c>
      <c r="D314" s="90">
        <v>4.6546838485656599</v>
      </c>
      <c r="E314" s="90">
        <v>3.0550151314576728</v>
      </c>
      <c r="F314" s="90">
        <v>1.01278815586451</v>
      </c>
      <c r="G314" s="90">
        <v>3.202077874895231</v>
      </c>
      <c r="H314" s="90">
        <v>2.9933141993434051</v>
      </c>
      <c r="I314" s="90">
        <v>0.90594185864183163</v>
      </c>
      <c r="J314" s="90">
        <v>3.2634811824216472</v>
      </c>
      <c r="K314" s="29">
        <f t="shared" si="33"/>
        <v>-6.6016882453741932E-2</v>
      </c>
      <c r="L314" s="29">
        <f t="shared" si="34"/>
        <v>-3.1077143365508486E-2</v>
      </c>
      <c r="M314" s="29">
        <f t="shared" si="35"/>
        <v>-5.3172415301648734E-2</v>
      </c>
      <c r="N314" s="29">
        <f t="shared" si="36"/>
        <v>6.0137928042818256E-3</v>
      </c>
      <c r="O314" s="29">
        <f t="shared" si="37"/>
        <v>-2.8534169359114681E-2</v>
      </c>
      <c r="P314" s="29">
        <f t="shared" si="38"/>
        <v>-5.9905099703879139E-2</v>
      </c>
      <c r="Q314" s="29">
        <f t="shared" si="39"/>
        <v>-2.5139156483042435E-2</v>
      </c>
    </row>
    <row r="315" spans="2:17" ht="13.95" customHeight="1" x14ac:dyDescent="0.3">
      <c r="B315" s="89">
        <v>44687</v>
      </c>
      <c r="C315" s="91">
        <f t="shared" si="32"/>
        <v>1</v>
      </c>
      <c r="D315" s="90">
        <v>4.532227119023494</v>
      </c>
      <c r="E315" s="90">
        <v>2.8996115265615048</v>
      </c>
      <c r="F315" s="90">
        <v>0.9518821858224753</v>
      </c>
      <c r="G315" s="90">
        <v>3.213816731011427</v>
      </c>
      <c r="H315" s="90">
        <v>2.917322479877686</v>
      </c>
      <c r="I315" s="90">
        <v>0.85557658578012286</v>
      </c>
      <c r="J315" s="90">
        <v>3.0077486249686349</v>
      </c>
      <c r="K315" s="29">
        <f t="shared" si="33"/>
        <v>-2.6308280761087821E-2</v>
      </c>
      <c r="L315" s="29">
        <f t="shared" si="34"/>
        <v>-5.0868358488954102E-2</v>
      </c>
      <c r="M315" s="29">
        <f t="shared" si="35"/>
        <v>-6.0136929612931489E-2</v>
      </c>
      <c r="N315" s="29">
        <f t="shared" si="36"/>
        <v>3.6660120630513937E-3</v>
      </c>
      <c r="O315" s="29">
        <f t="shared" si="37"/>
        <v>-2.5387150965437644E-2</v>
      </c>
      <c r="P315" s="29">
        <f t="shared" si="38"/>
        <v>-5.5594376594117478E-2</v>
      </c>
      <c r="Q315" s="29">
        <f t="shared" si="39"/>
        <v>-7.8361891231512271E-2</v>
      </c>
    </row>
    <row r="316" spans="2:17" ht="13.95" customHeight="1" x14ac:dyDescent="0.3">
      <c r="B316" s="89">
        <v>44694</v>
      </c>
      <c r="C316" s="91">
        <f t="shared" si="32"/>
        <v>1</v>
      </c>
      <c r="D316" s="90">
        <v>4.7053463145951788</v>
      </c>
      <c r="E316" s="90">
        <v>2.9567070458032818</v>
      </c>
      <c r="F316" s="90">
        <v>0.97668369663710142</v>
      </c>
      <c r="G316" s="90">
        <v>3.2130028202421652</v>
      </c>
      <c r="H316" s="90">
        <v>2.966913223966678</v>
      </c>
      <c r="I316" s="90">
        <v>0.88853830250263399</v>
      </c>
      <c r="J316" s="90">
        <v>2.931914116426968</v>
      </c>
      <c r="K316" s="29">
        <f t="shared" si="33"/>
        <v>3.8197378689394768E-2</v>
      </c>
      <c r="L316" s="29">
        <f t="shared" si="34"/>
        <v>1.9690747784232965E-2</v>
      </c>
      <c r="M316" s="29">
        <f t="shared" si="35"/>
        <v>2.6055231607466478E-2</v>
      </c>
      <c r="N316" s="29">
        <f t="shared" si="36"/>
        <v>-2.5325363497175069E-4</v>
      </c>
      <c r="O316" s="29">
        <f t="shared" si="37"/>
        <v>1.6998718664475998E-2</v>
      </c>
      <c r="P316" s="29">
        <f t="shared" si="38"/>
        <v>3.8525734890765273E-2</v>
      </c>
      <c r="Q316" s="29">
        <f t="shared" si="39"/>
        <v>-2.5213047364441188E-2</v>
      </c>
    </row>
    <row r="317" spans="2:17" ht="13.95" customHeight="1" x14ac:dyDescent="0.3">
      <c r="B317" s="89">
        <v>44701</v>
      </c>
      <c r="C317" s="91">
        <f t="shared" si="32"/>
        <v>1</v>
      </c>
      <c r="D317" s="90">
        <v>4.8282703894374768</v>
      </c>
      <c r="E317" s="90">
        <v>2.9404235891079922</v>
      </c>
      <c r="F317" s="90">
        <v>0.9723265570202978</v>
      </c>
      <c r="G317" s="90">
        <v>3.297824520834201</v>
      </c>
      <c r="H317" s="90">
        <v>3.0103945439151132</v>
      </c>
      <c r="I317" s="90">
        <v>0.89032441025809328</v>
      </c>
      <c r="J317" s="90">
        <v>2.8357314201669421</v>
      </c>
      <c r="K317" s="29">
        <f t="shared" si="33"/>
        <v>2.6124341679380381E-2</v>
      </c>
      <c r="L317" s="29">
        <f t="shared" si="34"/>
        <v>-5.5072945824653496E-3</v>
      </c>
      <c r="M317" s="29">
        <f t="shared" si="35"/>
        <v>-4.4611573140884708E-3</v>
      </c>
      <c r="N317" s="29">
        <f t="shared" si="36"/>
        <v>2.6399510158426454E-2</v>
      </c>
      <c r="O317" s="29">
        <f t="shared" si="37"/>
        <v>1.4655406702559937E-2</v>
      </c>
      <c r="P317" s="29">
        <f t="shared" si="38"/>
        <v>2.0101640530616471E-3</v>
      </c>
      <c r="Q317" s="29">
        <f t="shared" si="39"/>
        <v>-3.2805427594598369E-2</v>
      </c>
    </row>
    <row r="318" spans="2:17" ht="13.95" customHeight="1" x14ac:dyDescent="0.3">
      <c r="B318" s="89">
        <v>44708</v>
      </c>
      <c r="C318" s="91">
        <f t="shared" si="32"/>
        <v>1</v>
      </c>
      <c r="D318" s="90">
        <v>4.9850351472334609</v>
      </c>
      <c r="E318" s="90">
        <v>3.025140633333943</v>
      </c>
      <c r="F318" s="90">
        <v>0.99431146501477286</v>
      </c>
      <c r="G318" s="90">
        <v>3.4127658333768038</v>
      </c>
      <c r="H318" s="90">
        <v>3.1045199313658118</v>
      </c>
      <c r="I318" s="90">
        <v>0.91349323389210335</v>
      </c>
      <c r="J318" s="90">
        <v>2.8559414200514501</v>
      </c>
      <c r="K318" s="29">
        <f t="shared" si="33"/>
        <v>3.2468098335778572E-2</v>
      </c>
      <c r="L318" s="29">
        <f t="shared" si="34"/>
        <v>2.8811170111599615E-2</v>
      </c>
      <c r="M318" s="29">
        <f t="shared" si="35"/>
        <v>2.2610621746101511E-2</v>
      </c>
      <c r="N318" s="29">
        <f t="shared" si="36"/>
        <v>3.4853677573337905E-2</v>
      </c>
      <c r="O318" s="29">
        <f t="shared" si="37"/>
        <v>3.1266794460863556E-2</v>
      </c>
      <c r="P318" s="29">
        <f t="shared" si="38"/>
        <v>2.6022900604616428E-2</v>
      </c>
      <c r="Q318" s="29">
        <f t="shared" si="39"/>
        <v>7.126909036864415E-3</v>
      </c>
    </row>
    <row r="319" spans="2:17" ht="13.95" customHeight="1" x14ac:dyDescent="0.3">
      <c r="B319" s="89">
        <v>44715</v>
      </c>
      <c r="C319" s="91">
        <f t="shared" si="32"/>
        <v>1</v>
      </c>
      <c r="D319" s="90">
        <v>4.8824429417752153</v>
      </c>
      <c r="E319" s="90">
        <v>2.9714430581773099</v>
      </c>
      <c r="F319" s="90">
        <v>0.97762506154563</v>
      </c>
      <c r="G319" s="90">
        <v>3.4466392249166962</v>
      </c>
      <c r="H319" s="90">
        <v>3.080951035127256</v>
      </c>
      <c r="I319" s="90">
        <v>0.89576814670871341</v>
      </c>
      <c r="J319" s="90">
        <v>2.842643334629853</v>
      </c>
      <c r="K319" s="29">
        <f t="shared" si="33"/>
        <v>-2.0580036534984303E-2</v>
      </c>
      <c r="L319" s="29">
        <f t="shared" si="34"/>
        <v>-1.7750439290306397E-2</v>
      </c>
      <c r="M319" s="29">
        <f t="shared" si="35"/>
        <v>-1.6781867710732756E-2</v>
      </c>
      <c r="N319" s="29">
        <f t="shared" si="36"/>
        <v>9.9254953881133812E-3</v>
      </c>
      <c r="O319" s="29">
        <f t="shared" si="37"/>
        <v>-7.5918005874057171E-3</v>
      </c>
      <c r="P319" s="29">
        <f t="shared" si="38"/>
        <v>-1.9403632698918871E-2</v>
      </c>
      <c r="Q319" s="29">
        <f t="shared" si="39"/>
        <v>-4.656287880497767E-3</v>
      </c>
    </row>
    <row r="320" spans="2:17" ht="13.95" customHeight="1" x14ac:dyDescent="0.3">
      <c r="B320" s="89">
        <v>44722</v>
      </c>
      <c r="C320" s="91">
        <f t="shared" si="32"/>
        <v>1</v>
      </c>
      <c r="D320" s="90">
        <v>4.6042829034809021</v>
      </c>
      <c r="E320" s="90">
        <v>2.864067762308919</v>
      </c>
      <c r="F320" s="90">
        <v>0.89233823288605352</v>
      </c>
      <c r="G320" s="90">
        <v>3.2984032813254789</v>
      </c>
      <c r="H320" s="90">
        <v>2.9250777836767732</v>
      </c>
      <c r="I320" s="90">
        <v>0.81493909354036431</v>
      </c>
      <c r="J320" s="90">
        <v>2.633445205376717</v>
      </c>
      <c r="K320" s="29">
        <f t="shared" si="33"/>
        <v>-5.6971487759604367E-2</v>
      </c>
      <c r="L320" s="29">
        <f t="shared" si="34"/>
        <v>-3.6135740704469455E-2</v>
      </c>
      <c r="M320" s="29">
        <f t="shared" si="35"/>
        <v>-8.7238791244505953E-2</v>
      </c>
      <c r="N320" s="29">
        <f t="shared" si="36"/>
        <v>-4.3008836700858977E-2</v>
      </c>
      <c r="O320" s="29">
        <f t="shared" si="37"/>
        <v>-5.0592576666524169E-2</v>
      </c>
      <c r="P320" s="29">
        <f t="shared" si="38"/>
        <v>-9.0234346315323011E-2</v>
      </c>
      <c r="Q320" s="29">
        <f t="shared" si="39"/>
        <v>-7.3592816483386225E-2</v>
      </c>
    </row>
    <row r="321" spans="2:17" ht="13.95" customHeight="1" x14ac:dyDescent="0.3">
      <c r="B321" s="89">
        <v>44729</v>
      </c>
      <c r="C321" s="91">
        <f t="shared" si="32"/>
        <v>1</v>
      </c>
      <c r="D321" s="90">
        <v>4.489747104649723</v>
      </c>
      <c r="E321" s="90">
        <v>2.7815604925540871</v>
      </c>
      <c r="F321" s="90">
        <v>0.85176584806396705</v>
      </c>
      <c r="G321" s="90">
        <v>3.0072011745586411</v>
      </c>
      <c r="H321" s="90">
        <v>2.768337632124009</v>
      </c>
      <c r="I321" s="90">
        <v>0.77813079988621636</v>
      </c>
      <c r="J321" s="90">
        <v>2.5101680575511138</v>
      </c>
      <c r="K321" s="29">
        <f t="shared" si="33"/>
        <v>-2.4875925574553315E-2</v>
      </c>
      <c r="L321" s="29">
        <f t="shared" si="34"/>
        <v>-2.8807722652594348E-2</v>
      </c>
      <c r="M321" s="29">
        <f t="shared" si="35"/>
        <v>-4.5467495762077648E-2</v>
      </c>
      <c r="N321" s="29">
        <f t="shared" si="36"/>
        <v>-8.8285780097155597E-2</v>
      </c>
      <c r="O321" s="29">
        <f t="shared" si="37"/>
        <v>-5.3584951630156086E-2</v>
      </c>
      <c r="P321" s="29">
        <f t="shared" si="38"/>
        <v>-4.5166925903923127E-2</v>
      </c>
      <c r="Q321" s="29">
        <f t="shared" si="39"/>
        <v>-4.6812118047456441E-2</v>
      </c>
    </row>
    <row r="322" spans="2:17" ht="13.95" customHeight="1" x14ac:dyDescent="0.3">
      <c r="B322" s="89">
        <v>44736</v>
      </c>
      <c r="C322" s="91">
        <f t="shared" si="32"/>
        <v>1</v>
      </c>
      <c r="D322" s="90">
        <v>4.4567019587614611</v>
      </c>
      <c r="E322" s="90">
        <v>2.7762865221616919</v>
      </c>
      <c r="F322" s="90">
        <v>0.87080034675352835</v>
      </c>
      <c r="G322" s="90">
        <v>2.9127707858903591</v>
      </c>
      <c r="H322" s="90">
        <v>2.736555298446361</v>
      </c>
      <c r="I322" s="90">
        <v>0.77456043012476983</v>
      </c>
      <c r="J322" s="90">
        <v>2.8692553350941741</v>
      </c>
      <c r="K322" s="29">
        <f t="shared" si="33"/>
        <v>-7.3601352410338494E-3</v>
      </c>
      <c r="L322" s="29">
        <f t="shared" si="34"/>
        <v>-1.8960473469884498E-3</v>
      </c>
      <c r="M322" s="29">
        <f t="shared" si="35"/>
        <v>2.2347102472852098E-2</v>
      </c>
      <c r="N322" s="29">
        <f t="shared" si="36"/>
        <v>-3.1401420519244549E-2</v>
      </c>
      <c r="O322" s="29">
        <f t="shared" si="37"/>
        <v>-1.1480656589298643E-2</v>
      </c>
      <c r="P322" s="29">
        <f t="shared" si="38"/>
        <v>-4.5883928023008336E-3</v>
      </c>
      <c r="Q322" s="29">
        <f t="shared" si="39"/>
        <v>0.14305308222804047</v>
      </c>
    </row>
    <row r="323" spans="2:17" ht="13.95" customHeight="1" x14ac:dyDescent="0.3">
      <c r="B323" s="89">
        <v>44743</v>
      </c>
      <c r="C323" s="91">
        <f t="shared" si="32"/>
        <v>1</v>
      </c>
      <c r="D323" s="90">
        <v>4.3763166808721872</v>
      </c>
      <c r="E323" s="90">
        <v>2.7688152910170869</v>
      </c>
      <c r="F323" s="90">
        <v>0.85552760416362517</v>
      </c>
      <c r="G323" s="90">
        <v>2.987687491088364</v>
      </c>
      <c r="H323" s="90">
        <v>2.7427312498428069</v>
      </c>
      <c r="I323" s="90">
        <v>0.75896895379923668</v>
      </c>
      <c r="J323" s="90">
        <v>2.8479364561617189</v>
      </c>
      <c r="K323" s="29">
        <f t="shared" si="33"/>
        <v>-1.8036942706308623E-2</v>
      </c>
      <c r="L323" s="29">
        <f t="shared" si="34"/>
        <v>-2.6910879280528377E-3</v>
      </c>
      <c r="M323" s="29">
        <f t="shared" si="35"/>
        <v>-1.7538741970926197E-2</v>
      </c>
      <c r="N323" s="29">
        <f t="shared" si="36"/>
        <v>2.5720082596579763E-2</v>
      </c>
      <c r="O323" s="29">
        <f t="shared" si="37"/>
        <v>2.2568341301021366E-3</v>
      </c>
      <c r="P323" s="29">
        <f t="shared" si="38"/>
        <v>-2.0129451130135312E-2</v>
      </c>
      <c r="Q323" s="29">
        <f t="shared" si="39"/>
        <v>-7.4301086667686311E-3</v>
      </c>
    </row>
    <row r="324" spans="2:17" ht="13.95" customHeight="1" x14ac:dyDescent="0.3">
      <c r="B324" s="89">
        <v>44750</v>
      </c>
      <c r="C324" s="91">
        <f t="shared" si="32"/>
        <v>1</v>
      </c>
      <c r="D324" s="90">
        <v>4.4011351171153832</v>
      </c>
      <c r="E324" s="90">
        <v>2.8256633295118969</v>
      </c>
      <c r="F324" s="90">
        <v>0.90284396230893071</v>
      </c>
      <c r="G324" s="90">
        <v>2.98473209343849</v>
      </c>
      <c r="H324" s="90">
        <v>2.7790281071540242</v>
      </c>
      <c r="I324" s="90">
        <v>0.8082703729156091</v>
      </c>
      <c r="J324" s="90">
        <v>2.8996074072424101</v>
      </c>
      <c r="K324" s="29">
        <f t="shared" si="33"/>
        <v>5.6710786839697658E-3</v>
      </c>
      <c r="L324" s="29">
        <f t="shared" si="34"/>
        <v>2.0531538770117042E-2</v>
      </c>
      <c r="M324" s="29">
        <f t="shared" si="35"/>
        <v>5.5306641089112096E-2</v>
      </c>
      <c r="N324" s="29">
        <f t="shared" si="36"/>
        <v>-9.8919236322048132E-4</v>
      </c>
      <c r="O324" s="29">
        <f t="shared" si="37"/>
        <v>1.3233836641230345E-2</v>
      </c>
      <c r="P324" s="29">
        <f t="shared" si="38"/>
        <v>6.4958413476045473E-2</v>
      </c>
      <c r="Q324" s="29">
        <f t="shared" si="39"/>
        <v>1.8143294935144105E-2</v>
      </c>
    </row>
    <row r="325" spans="2:17" ht="13.95" customHeight="1" x14ac:dyDescent="0.3">
      <c r="B325" s="89">
        <v>44757</v>
      </c>
      <c r="C325" s="91">
        <f t="shared" si="32"/>
        <v>1</v>
      </c>
      <c r="D325" s="90">
        <v>4.2301821147326786</v>
      </c>
      <c r="E325" s="90">
        <v>2.7900248475329872</v>
      </c>
      <c r="F325" s="90">
        <v>0.88217464222402531</v>
      </c>
      <c r="G325" s="90">
        <v>2.8114935657286781</v>
      </c>
      <c r="H325" s="90">
        <v>2.6757249145290301</v>
      </c>
      <c r="I325" s="90">
        <v>0.79049199060689901</v>
      </c>
      <c r="J325" s="90">
        <v>2.8227383797242052</v>
      </c>
      <c r="K325" s="29">
        <f t="shared" si="33"/>
        <v>-3.8842934341618562E-2</v>
      </c>
      <c r="L325" s="29">
        <f t="shared" si="34"/>
        <v>-1.2612430365179339E-2</v>
      </c>
      <c r="M325" s="29">
        <f t="shared" si="35"/>
        <v>-2.2893568487788007E-2</v>
      </c>
      <c r="N325" s="29">
        <f t="shared" si="36"/>
        <v>-5.8041566977033554E-2</v>
      </c>
      <c r="O325" s="29">
        <f t="shared" si="37"/>
        <v>-3.7172417349454534E-2</v>
      </c>
      <c r="P325" s="29">
        <f t="shared" si="38"/>
        <v>-2.1995588239340669E-2</v>
      </c>
      <c r="Q325" s="29">
        <f t="shared" si="39"/>
        <v>-2.6510150072802108E-2</v>
      </c>
    </row>
    <row r="326" spans="2:17" ht="13.95" customHeight="1" x14ac:dyDescent="0.3">
      <c r="B326" s="89">
        <v>44764</v>
      </c>
      <c r="C326" s="91">
        <f t="shared" si="32"/>
        <v>1</v>
      </c>
      <c r="D326" s="90">
        <v>4.3854276838735862</v>
      </c>
      <c r="E326" s="90">
        <v>2.8266840181026289</v>
      </c>
      <c r="F326" s="90">
        <v>0.89225424166265588</v>
      </c>
      <c r="G326" s="90">
        <v>2.8960950116522381</v>
      </c>
      <c r="H326" s="90">
        <v>2.7417362701023311</v>
      </c>
      <c r="I326" s="90">
        <v>0.80394273758829593</v>
      </c>
      <c r="J326" s="90">
        <v>2.791148273483901</v>
      </c>
      <c r="K326" s="29">
        <f t="shared" si="33"/>
        <v>3.6699500146867292E-2</v>
      </c>
      <c r="L326" s="29">
        <f t="shared" si="34"/>
        <v>1.3139370641109815E-2</v>
      </c>
      <c r="M326" s="29">
        <f t="shared" si="35"/>
        <v>1.142585487746417E-2</v>
      </c>
      <c r="N326" s="29">
        <f t="shared" si="36"/>
        <v>3.0091282069725445E-2</v>
      </c>
      <c r="O326" s="29">
        <f t="shared" si="37"/>
        <v>2.4670456673204111E-2</v>
      </c>
      <c r="P326" s="29">
        <f t="shared" si="38"/>
        <v>1.701566510632202E-2</v>
      </c>
      <c r="Q326" s="29">
        <f t="shared" si="39"/>
        <v>-1.119129794925966E-2</v>
      </c>
    </row>
    <row r="327" spans="2:17" ht="13.95" customHeight="1" x14ac:dyDescent="0.3">
      <c r="B327" s="89">
        <v>44771</v>
      </c>
      <c r="C327" s="91">
        <f t="shared" si="32"/>
        <v>1</v>
      </c>
      <c r="D327" s="90">
        <v>4.4835396627403954</v>
      </c>
      <c r="E327" s="90">
        <v>2.9184500420071222</v>
      </c>
      <c r="F327" s="90">
        <v>0.92059724763586082</v>
      </c>
      <c r="G327" s="90">
        <v>3.0899447774877551</v>
      </c>
      <c r="H327" s="90">
        <v>2.858704296280064</v>
      </c>
      <c r="I327" s="90">
        <v>0.82169898557695231</v>
      </c>
      <c r="J327" s="90">
        <v>2.9922393947604902</v>
      </c>
      <c r="K327" s="29">
        <f t="shared" si="33"/>
        <v>2.2372271518144915E-2</v>
      </c>
      <c r="L327" s="29">
        <f t="shared" si="34"/>
        <v>3.2464195968423093E-2</v>
      </c>
      <c r="M327" s="29">
        <f t="shared" si="35"/>
        <v>3.1765616401430163E-2</v>
      </c>
      <c r="N327" s="29">
        <f t="shared" si="36"/>
        <v>6.6934877846056784E-2</v>
      </c>
      <c r="O327" s="29">
        <f t="shared" si="37"/>
        <v>4.2662026779609619E-2</v>
      </c>
      <c r="P327" s="29">
        <f t="shared" si="38"/>
        <v>2.2086458597688763E-2</v>
      </c>
      <c r="Q327" s="29">
        <f t="shared" si="39"/>
        <v>7.2046018904466047E-2</v>
      </c>
    </row>
    <row r="328" spans="2:17" ht="13.95" customHeight="1" x14ac:dyDescent="0.3">
      <c r="B328" s="89">
        <v>44778</v>
      </c>
      <c r="C328" s="91">
        <f t="shared" si="32"/>
        <v>1</v>
      </c>
      <c r="D328" s="90">
        <v>4.7596067354187772</v>
      </c>
      <c r="E328" s="90">
        <v>2.9905508002153001</v>
      </c>
      <c r="F328" s="90">
        <v>0.99173664960127683</v>
      </c>
      <c r="G328" s="90">
        <v>3.100001513354282</v>
      </c>
      <c r="H328" s="90">
        <v>2.9505018390057192</v>
      </c>
      <c r="I328" s="90">
        <v>0.89144606549811012</v>
      </c>
      <c r="J328" s="90">
        <v>3.1325045419110888</v>
      </c>
      <c r="K328" s="29">
        <f t="shared" si="33"/>
        <v>6.1573465039817643E-2</v>
      </c>
      <c r="L328" s="29">
        <f t="shared" si="34"/>
        <v>2.4705154164157417E-2</v>
      </c>
      <c r="M328" s="29">
        <f t="shared" si="35"/>
        <v>7.7275271187379202E-2</v>
      </c>
      <c r="N328" s="29">
        <f t="shared" si="36"/>
        <v>3.254665241850585E-3</v>
      </c>
      <c r="O328" s="29">
        <f t="shared" si="37"/>
        <v>3.2111590850830041E-2</v>
      </c>
      <c r="P328" s="29">
        <f t="shared" si="38"/>
        <v>8.4881545609047038E-2</v>
      </c>
      <c r="Q328" s="29">
        <f t="shared" si="39"/>
        <v>4.6876311900781564E-2</v>
      </c>
    </row>
    <row r="329" spans="2:17" ht="13.95" customHeight="1" x14ac:dyDescent="0.3">
      <c r="B329" s="89">
        <v>44785</v>
      </c>
      <c r="C329" s="91">
        <f t="shared" si="32"/>
        <v>1</v>
      </c>
      <c r="D329" s="90">
        <v>5.1256924804891231</v>
      </c>
      <c r="E329" s="90">
        <v>3.02989617972346</v>
      </c>
      <c r="F329" s="90">
        <v>1.0440094711389969</v>
      </c>
      <c r="G329" s="90">
        <v>3.3704875108715768</v>
      </c>
      <c r="H329" s="90">
        <v>3.1302418814079429</v>
      </c>
      <c r="I329" s="90">
        <v>0.93320875379726409</v>
      </c>
      <c r="J329" s="90">
        <v>3.3736414432440109</v>
      </c>
      <c r="K329" s="29">
        <f t="shared" si="33"/>
        <v>7.6915124593405215E-2</v>
      </c>
      <c r="L329" s="29">
        <f t="shared" si="34"/>
        <v>1.3156566176815154E-2</v>
      </c>
      <c r="M329" s="29">
        <f t="shared" si="35"/>
        <v>5.2708369261876165E-2</v>
      </c>
      <c r="N329" s="29">
        <f t="shared" si="36"/>
        <v>8.7253504990912667E-2</v>
      </c>
      <c r="O329" s="29">
        <f t="shared" si="37"/>
        <v>6.091846479336338E-2</v>
      </c>
      <c r="P329" s="29">
        <f t="shared" si="38"/>
        <v>4.6848250180809847E-2</v>
      </c>
      <c r="Q329" s="29">
        <f t="shared" si="39"/>
        <v>7.6978947071472792E-2</v>
      </c>
    </row>
    <row r="330" spans="2:17" ht="13.95" customHeight="1" x14ac:dyDescent="0.3">
      <c r="B330" s="89">
        <v>44792</v>
      </c>
      <c r="C330" s="91">
        <f t="shared" si="32"/>
        <v>1</v>
      </c>
      <c r="D330" s="90">
        <v>5.0456013503413484</v>
      </c>
      <c r="E330" s="90">
        <v>3.0723225610866689</v>
      </c>
      <c r="F330" s="90">
        <v>1.026035737058604</v>
      </c>
      <c r="G330" s="90">
        <v>3.2966421820628722</v>
      </c>
      <c r="H330" s="90">
        <v>3.0961653750594991</v>
      </c>
      <c r="I330" s="90">
        <v>0.91985865856520932</v>
      </c>
      <c r="J330" s="90">
        <v>3.276031789039294</v>
      </c>
      <c r="K330" s="29">
        <f t="shared" si="33"/>
        <v>-1.5625426311203894E-2</v>
      </c>
      <c r="L330" s="29">
        <f t="shared" si="34"/>
        <v>1.40025858467141E-2</v>
      </c>
      <c r="M330" s="29">
        <f t="shared" si="35"/>
        <v>-1.7216064199861991E-2</v>
      </c>
      <c r="N330" s="29">
        <f t="shared" si="36"/>
        <v>-2.1909391021481373E-2</v>
      </c>
      <c r="O330" s="29">
        <f t="shared" si="37"/>
        <v>-1.0886221461300138E-2</v>
      </c>
      <c r="P330" s="29">
        <f t="shared" si="38"/>
        <v>-1.4305582944579842E-2</v>
      </c>
      <c r="Q330" s="29">
        <f t="shared" si="39"/>
        <v>-2.8933025588770866E-2</v>
      </c>
    </row>
    <row r="331" spans="2:17" ht="13.95" customHeight="1" x14ac:dyDescent="0.3">
      <c r="B331" s="89">
        <v>44799</v>
      </c>
      <c r="C331" s="91">
        <f t="shared" si="32"/>
        <v>1</v>
      </c>
      <c r="D331" s="90">
        <v>5.0408920851685917</v>
      </c>
      <c r="E331" s="90">
        <v>3.0252340336975361</v>
      </c>
      <c r="F331" s="90">
        <v>1.0469557355322181</v>
      </c>
      <c r="G331" s="90">
        <v>3.3857744062773709</v>
      </c>
      <c r="H331" s="90">
        <v>3.1229684205708961</v>
      </c>
      <c r="I331" s="90">
        <v>0.94969927661547049</v>
      </c>
      <c r="J331" s="90">
        <v>3.181493700436576</v>
      </c>
      <c r="K331" s="29">
        <f t="shared" si="33"/>
        <v>-9.3334071516337769E-4</v>
      </c>
      <c r="L331" s="29">
        <f t="shared" si="34"/>
        <v>-1.5326687368554803E-2</v>
      </c>
      <c r="M331" s="29">
        <f t="shared" si="35"/>
        <v>2.0389151876509359E-2</v>
      </c>
      <c r="N331" s="29">
        <f t="shared" si="36"/>
        <v>2.7037275898327717E-2</v>
      </c>
      <c r="O331" s="29">
        <f t="shared" si="37"/>
        <v>8.6568520297085616E-3</v>
      </c>
      <c r="P331" s="29">
        <f t="shared" si="38"/>
        <v>3.2440438291689633E-2</v>
      </c>
      <c r="Q331" s="29">
        <f t="shared" si="39"/>
        <v>-2.8857500381716861E-2</v>
      </c>
    </row>
    <row r="332" spans="2:17" ht="13.95" customHeight="1" x14ac:dyDescent="0.3">
      <c r="B332" s="89">
        <v>44806</v>
      </c>
      <c r="C332" s="91">
        <f t="shared" si="32"/>
        <v>1</v>
      </c>
      <c r="D332" s="90">
        <v>5.0525271982433804</v>
      </c>
      <c r="E332" s="90">
        <v>3.027612471264983</v>
      </c>
      <c r="F332" s="90">
        <v>1.0391677925565961</v>
      </c>
      <c r="G332" s="90">
        <v>3.270920087224328</v>
      </c>
      <c r="H332" s="90">
        <v>3.083846822720965</v>
      </c>
      <c r="I332" s="90">
        <v>0.93601686198945688</v>
      </c>
      <c r="J332" s="90">
        <v>3.2540907127783498</v>
      </c>
      <c r="K332" s="29">
        <f t="shared" si="33"/>
        <v>2.3081456373608145E-3</v>
      </c>
      <c r="L332" s="29">
        <f t="shared" si="34"/>
        <v>7.8619952736014298E-4</v>
      </c>
      <c r="M332" s="29">
        <f t="shared" si="35"/>
        <v>-7.4386554381528081E-3</v>
      </c>
      <c r="N332" s="29">
        <f t="shared" si="36"/>
        <v>-3.3922614229730752E-2</v>
      </c>
      <c r="O332" s="29">
        <f t="shared" si="37"/>
        <v>-1.2527055218438443E-2</v>
      </c>
      <c r="P332" s="29">
        <f t="shared" si="38"/>
        <v>-1.4407102293238383E-2</v>
      </c>
      <c r="Q332" s="29">
        <f t="shared" si="39"/>
        <v>2.2818530909494372E-2</v>
      </c>
    </row>
    <row r="333" spans="2:17" ht="13.95" customHeight="1" x14ac:dyDescent="0.3">
      <c r="B333" s="89">
        <v>44813</v>
      </c>
      <c r="C333" s="91">
        <f t="shared" si="32"/>
        <v>1</v>
      </c>
      <c r="D333" s="90">
        <v>5.0660707612313409</v>
      </c>
      <c r="E333" s="90">
        <v>3.0401216679550802</v>
      </c>
      <c r="F333" s="90">
        <v>1.0578392929721789</v>
      </c>
      <c r="G333" s="90">
        <v>3.336513472828623</v>
      </c>
      <c r="H333" s="90">
        <v>3.1186321396330232</v>
      </c>
      <c r="I333" s="90">
        <v>0.9545848165349855</v>
      </c>
      <c r="J333" s="90">
        <v>3.2871086166397139</v>
      </c>
      <c r="K333" s="29">
        <f t="shared" si="33"/>
        <v>2.6805522180404218E-3</v>
      </c>
      <c r="L333" s="29">
        <f t="shared" si="34"/>
        <v>4.1317033830523542E-3</v>
      </c>
      <c r="M333" s="29">
        <f t="shared" si="35"/>
        <v>1.796774356299724E-2</v>
      </c>
      <c r="N333" s="29">
        <f t="shared" si="36"/>
        <v>2.0053496831210271E-2</v>
      </c>
      <c r="O333" s="29">
        <f t="shared" si="37"/>
        <v>1.1279845891102314E-2</v>
      </c>
      <c r="P333" s="29">
        <f t="shared" si="38"/>
        <v>1.9837200909034181E-2</v>
      </c>
      <c r="Q333" s="29">
        <f t="shared" si="39"/>
        <v>1.0146583723590563E-2</v>
      </c>
    </row>
    <row r="334" spans="2:17" ht="13.95" customHeight="1" x14ac:dyDescent="0.3">
      <c r="B334" s="89">
        <v>44820</v>
      </c>
      <c r="C334" s="91">
        <f t="shared" si="32"/>
        <v>1</v>
      </c>
      <c r="D334" s="90">
        <v>4.9938264933376058</v>
      </c>
      <c r="E334" s="90">
        <v>2.921204181604836</v>
      </c>
      <c r="F334" s="90">
        <v>1.0339383712161421</v>
      </c>
      <c r="G334" s="90">
        <v>3.2398197872348331</v>
      </c>
      <c r="H334" s="90">
        <v>3.0343663407352022</v>
      </c>
      <c r="I334" s="90">
        <v>0.9288401616572789</v>
      </c>
      <c r="J334" s="90">
        <v>3.2735874050784042</v>
      </c>
      <c r="K334" s="29">
        <f t="shared" si="33"/>
        <v>-1.4260414293182033E-2</v>
      </c>
      <c r="L334" s="29">
        <f t="shared" si="34"/>
        <v>-3.9116028678626291E-2</v>
      </c>
      <c r="M334" s="29">
        <f t="shared" si="35"/>
        <v>-2.2594095260805802E-2</v>
      </c>
      <c r="N334" s="29">
        <f t="shared" si="36"/>
        <v>-2.8980457109263558E-2</v>
      </c>
      <c r="O334" s="29">
        <f t="shared" si="37"/>
        <v>-2.702011494941392E-2</v>
      </c>
      <c r="P334" s="29">
        <f t="shared" si="38"/>
        <v>-2.6969478700862082E-2</v>
      </c>
      <c r="Q334" s="29">
        <f t="shared" si="39"/>
        <v>-4.1134057733486218E-3</v>
      </c>
    </row>
    <row r="335" spans="2:17" ht="13.95" customHeight="1" x14ac:dyDescent="0.3">
      <c r="B335" s="89">
        <v>44827</v>
      </c>
      <c r="C335" s="91">
        <f t="shared" si="32"/>
        <v>1</v>
      </c>
      <c r="D335" s="90">
        <v>5.2381802646834839</v>
      </c>
      <c r="E335" s="90">
        <v>3.0098815874902298</v>
      </c>
      <c r="F335" s="90">
        <v>1.0659626699212379</v>
      </c>
      <c r="G335" s="90">
        <v>3.2175683118226921</v>
      </c>
      <c r="H335" s="90">
        <v>3.1013208758596549</v>
      </c>
      <c r="I335" s="90">
        <v>0.96580657979357665</v>
      </c>
      <c r="J335" s="90">
        <v>3.2557536622678009</v>
      </c>
      <c r="K335" s="29">
        <f t="shared" si="33"/>
        <v>4.8931169649541584E-2</v>
      </c>
      <c r="L335" s="29">
        <f t="shared" si="34"/>
        <v>3.0356455890281797E-2</v>
      </c>
      <c r="M335" s="29">
        <f t="shared" si="35"/>
        <v>3.0973121412863458E-2</v>
      </c>
      <c r="N335" s="29">
        <f t="shared" si="36"/>
        <v>-6.868121338049038E-3</v>
      </c>
      <c r="O335" s="29">
        <f t="shared" si="37"/>
        <v>2.2065409250562107E-2</v>
      </c>
      <c r="P335" s="29">
        <f t="shared" si="38"/>
        <v>3.9798470891203364E-2</v>
      </c>
      <c r="Q335" s="29">
        <f t="shared" si="39"/>
        <v>-5.4477674196012904E-3</v>
      </c>
    </row>
    <row r="336" spans="2:17" ht="13.95" customHeight="1" x14ac:dyDescent="0.3">
      <c r="B336" s="89">
        <v>44834</v>
      </c>
      <c r="C336" s="91">
        <f t="shared" si="32"/>
        <v>1</v>
      </c>
      <c r="D336" s="90">
        <v>5.1240423922158733</v>
      </c>
      <c r="E336" s="90">
        <v>2.8725579332006741</v>
      </c>
      <c r="F336" s="90">
        <v>1.044747009037162</v>
      </c>
      <c r="G336" s="90">
        <v>3.2621330690034229</v>
      </c>
      <c r="H336" s="90">
        <v>3.0533147796156839</v>
      </c>
      <c r="I336" s="90">
        <v>0.93534003259416731</v>
      </c>
      <c r="J336" s="90">
        <v>3.354498393810156</v>
      </c>
      <c r="K336" s="29">
        <f t="shared" si="33"/>
        <v>-2.1789603774643562E-2</v>
      </c>
      <c r="L336" s="29">
        <f t="shared" si="34"/>
        <v>-4.5624271353499335E-2</v>
      </c>
      <c r="M336" s="29">
        <f t="shared" si="35"/>
        <v>-1.990281787789383E-2</v>
      </c>
      <c r="N336" s="29">
        <f t="shared" si="36"/>
        <v>1.385044631903587E-2</v>
      </c>
      <c r="O336" s="29">
        <f t="shared" si="37"/>
        <v>-1.5479241963527568E-2</v>
      </c>
      <c r="P336" s="29">
        <f t="shared" si="38"/>
        <v>-3.1545184964385964E-2</v>
      </c>
      <c r="Q336" s="29">
        <f t="shared" si="39"/>
        <v>3.0329300612250254E-2</v>
      </c>
    </row>
    <row r="337" spans="2:17" ht="13.95" customHeight="1" x14ac:dyDescent="0.3">
      <c r="B337" s="89">
        <v>44841</v>
      </c>
      <c r="C337" s="91">
        <f t="shared" si="32"/>
        <v>1</v>
      </c>
      <c r="D337" s="90">
        <v>5.4264646500514608</v>
      </c>
      <c r="E337" s="90">
        <v>2.9367424619096201</v>
      </c>
      <c r="F337" s="90">
        <v>1.118742145161481</v>
      </c>
      <c r="G337" s="90">
        <v>3.5099965459451048</v>
      </c>
      <c r="H337" s="90">
        <v>3.2292599879805448</v>
      </c>
      <c r="I337" s="90">
        <v>1.0080598676331931</v>
      </c>
      <c r="J337" s="90">
        <v>3.492697455325994</v>
      </c>
      <c r="K337" s="29">
        <f t="shared" si="33"/>
        <v>5.9020248992281754E-2</v>
      </c>
      <c r="L337" s="29">
        <f t="shared" si="34"/>
        <v>2.2344032810307946E-2</v>
      </c>
      <c r="M337" s="29">
        <f t="shared" si="35"/>
        <v>7.0825889410789378E-2</v>
      </c>
      <c r="N337" s="29">
        <f t="shared" si="36"/>
        <v>7.5982025165332701E-2</v>
      </c>
      <c r="O337" s="29">
        <f t="shared" si="37"/>
        <v>5.7624326695528971E-2</v>
      </c>
      <c r="P337" s="29">
        <f t="shared" si="38"/>
        <v>7.7746950312109764E-2</v>
      </c>
      <c r="Q337" s="29">
        <f t="shared" si="39"/>
        <v>4.1198130179715742E-2</v>
      </c>
    </row>
    <row r="338" spans="2:17" ht="13.95" customHeight="1" x14ac:dyDescent="0.3">
      <c r="B338" s="89">
        <v>44848</v>
      </c>
      <c r="C338" s="91">
        <f t="shared" si="32"/>
        <v>1</v>
      </c>
      <c r="D338" s="90">
        <v>5.2407352759228054</v>
      </c>
      <c r="E338" s="90">
        <v>2.845448123479358</v>
      </c>
      <c r="F338" s="90">
        <v>1.0645302677069921</v>
      </c>
      <c r="G338" s="90">
        <v>3.3760284004566889</v>
      </c>
      <c r="H338" s="90">
        <v>3.109852424195358</v>
      </c>
      <c r="I338" s="90">
        <v>0.95375475936509369</v>
      </c>
      <c r="J338" s="90">
        <v>3.4072230787862199</v>
      </c>
      <c r="K338" s="29">
        <f t="shared" si="33"/>
        <v>-3.4226588784079581E-2</v>
      </c>
      <c r="L338" s="29">
        <f t="shared" si="34"/>
        <v>-3.1086940586168343E-2</v>
      </c>
      <c r="M338" s="29">
        <f t="shared" si="35"/>
        <v>-4.8457884320308509E-2</v>
      </c>
      <c r="N338" s="29">
        <f t="shared" si="36"/>
        <v>-3.8167600376468047E-2</v>
      </c>
      <c r="O338" s="29">
        <f t="shared" si="37"/>
        <v>-3.6976757594503806E-2</v>
      </c>
      <c r="P338" s="29">
        <f t="shared" si="38"/>
        <v>-5.3870915817332832E-2</v>
      </c>
      <c r="Q338" s="29">
        <f t="shared" si="39"/>
        <v>-2.4472310480094572E-2</v>
      </c>
    </row>
    <row r="339" spans="2:17" ht="13.95" customHeight="1" x14ac:dyDescent="0.3">
      <c r="B339" s="89">
        <v>44855</v>
      </c>
      <c r="C339" s="91">
        <f t="shared" si="32"/>
        <v>1</v>
      </c>
      <c r="D339" s="90">
        <v>5.6440941687727193</v>
      </c>
      <c r="E339" s="90">
        <v>3.0209460504605121</v>
      </c>
      <c r="F339" s="90">
        <v>1.102717605724145</v>
      </c>
      <c r="G339" s="90">
        <v>3.6613175971539551</v>
      </c>
      <c r="H339" s="90">
        <v>3.3279004579705478</v>
      </c>
      <c r="I339" s="90">
        <v>0.97921610752318833</v>
      </c>
      <c r="J339" s="90">
        <v>3.663818307165891</v>
      </c>
      <c r="K339" s="29">
        <f t="shared" si="33"/>
        <v>7.6966088079861938E-2</v>
      </c>
      <c r="L339" s="29">
        <f t="shared" si="34"/>
        <v>6.167672695665205E-2</v>
      </c>
      <c r="M339" s="29">
        <f t="shared" si="35"/>
        <v>3.5872477444355511E-2</v>
      </c>
      <c r="N339" s="29">
        <f t="shared" si="36"/>
        <v>8.4504382918897836E-2</v>
      </c>
      <c r="O339" s="29">
        <f t="shared" si="37"/>
        <v>7.0115235076342097E-2</v>
      </c>
      <c r="P339" s="29">
        <f t="shared" si="38"/>
        <v>2.6695906791641022E-2</v>
      </c>
      <c r="Q339" s="29">
        <f t="shared" si="39"/>
        <v>7.5309195331900503E-2</v>
      </c>
    </row>
    <row r="340" spans="2:17" ht="13.95" customHeight="1" x14ac:dyDescent="0.3">
      <c r="B340" s="89">
        <v>44862</v>
      </c>
      <c r="C340" s="91">
        <f t="shared" si="32"/>
        <v>1</v>
      </c>
      <c r="D340" s="90">
        <v>5.3196204665646398</v>
      </c>
      <c r="E340" s="90">
        <v>3.0106068439170528</v>
      </c>
      <c r="F340" s="90">
        <v>1.117427744165908</v>
      </c>
      <c r="G340" s="90">
        <v>3.3485978533859408</v>
      </c>
      <c r="H340" s="90">
        <v>3.178279092475933</v>
      </c>
      <c r="I340" s="90">
        <v>0.97490485440563968</v>
      </c>
      <c r="J340" s="90">
        <v>3.9794291063981762</v>
      </c>
      <c r="K340" s="29">
        <f t="shared" si="33"/>
        <v>-5.7489066005189438E-2</v>
      </c>
      <c r="L340" s="29">
        <f t="shared" si="34"/>
        <v>-3.4225061853995209E-3</v>
      </c>
      <c r="M340" s="29">
        <f t="shared" si="35"/>
        <v>1.3339896239439319E-2</v>
      </c>
      <c r="N340" s="29">
        <f t="shared" si="36"/>
        <v>-8.5411804758784182E-2</v>
      </c>
      <c r="O340" s="29">
        <f t="shared" si="37"/>
        <v>-4.4959687762373246E-2</v>
      </c>
      <c r="P340" s="29">
        <f t="shared" si="38"/>
        <v>-4.4027595996694036E-3</v>
      </c>
      <c r="Q340" s="29">
        <f t="shared" si="39"/>
        <v>8.6142590263004193E-2</v>
      </c>
    </row>
    <row r="341" spans="2:17" ht="13.95" customHeight="1" x14ac:dyDescent="0.3">
      <c r="B341" s="89">
        <v>44869</v>
      </c>
      <c r="C341" s="91">
        <f t="shared" si="32"/>
        <v>1</v>
      </c>
      <c r="D341" s="90">
        <v>5.5092988754401144</v>
      </c>
      <c r="E341" s="90">
        <v>3.1546305746149672</v>
      </c>
      <c r="F341" s="90">
        <v>1.1731509289265081</v>
      </c>
      <c r="G341" s="90">
        <v>3.3813575316610871</v>
      </c>
      <c r="H341" s="90">
        <v>3.2786687680019391</v>
      </c>
      <c r="I341" s="90">
        <v>1.0218541588889201</v>
      </c>
      <c r="J341" s="90">
        <v>4.2035477369109966</v>
      </c>
      <c r="K341" s="29">
        <f t="shared" si="33"/>
        <v>3.5656380012006217E-2</v>
      </c>
      <c r="L341" s="29">
        <f t="shared" si="34"/>
        <v>4.7838770774375705E-2</v>
      </c>
      <c r="M341" s="29">
        <f t="shared" si="35"/>
        <v>4.986737178446754E-2</v>
      </c>
      <c r="N341" s="29">
        <f t="shared" si="36"/>
        <v>9.7831031701884896E-3</v>
      </c>
      <c r="O341" s="29">
        <f t="shared" si="37"/>
        <v>3.1586173713838539E-2</v>
      </c>
      <c r="P341" s="29">
        <f t="shared" si="38"/>
        <v>4.8157832296263914E-2</v>
      </c>
      <c r="Q341" s="29">
        <f t="shared" si="39"/>
        <v>5.631929216994469E-2</v>
      </c>
    </row>
    <row r="342" spans="2:17" ht="13.95" customHeight="1" x14ac:dyDescent="0.3">
      <c r="B342" s="89">
        <v>44876</v>
      </c>
      <c r="C342" s="91">
        <f t="shared" si="32"/>
        <v>1</v>
      </c>
      <c r="D342" s="90">
        <v>4.7210020531147112</v>
      </c>
      <c r="E342" s="90">
        <v>2.9505067292388731</v>
      </c>
      <c r="F342" s="90">
        <v>1.037327586021336</v>
      </c>
      <c r="G342" s="90">
        <v>3.5645598468339901</v>
      </c>
      <c r="H342" s="90">
        <v>3.1149704024199121</v>
      </c>
      <c r="I342" s="90">
        <v>0.87548300933943224</v>
      </c>
      <c r="J342" s="90">
        <v>4.1489997640627498</v>
      </c>
      <c r="K342" s="29">
        <f t="shared" si="33"/>
        <v>-0.1430847808674075</v>
      </c>
      <c r="L342" s="29">
        <f t="shared" si="34"/>
        <v>-6.4706101252761772E-2</v>
      </c>
      <c r="M342" s="29">
        <f t="shared" si="35"/>
        <v>-0.11577652930766313</v>
      </c>
      <c r="N342" s="29">
        <f t="shared" si="36"/>
        <v>5.4180107680865452E-2</v>
      </c>
      <c r="O342" s="29">
        <f t="shared" si="37"/>
        <v>-4.9928302358455912E-2</v>
      </c>
      <c r="P342" s="29">
        <f t="shared" si="38"/>
        <v>-0.14324074357992511</v>
      </c>
      <c r="Q342" s="29">
        <f t="shared" si="39"/>
        <v>-1.2976651215178436E-2</v>
      </c>
    </row>
    <row r="343" spans="2:17" ht="13.95" customHeight="1" x14ac:dyDescent="0.3">
      <c r="B343" s="89">
        <v>44883</v>
      </c>
      <c r="C343" s="91">
        <f t="shared" ref="C343:C406" si="40">IF(B343&gt;$C$17,1,0)</f>
        <v>1</v>
      </c>
      <c r="D343" s="90">
        <v>4.6701718018276006</v>
      </c>
      <c r="E343" s="90">
        <v>2.8038585289791089</v>
      </c>
      <c r="F343" s="90">
        <v>0.99510453453723613</v>
      </c>
      <c r="G343" s="90">
        <v>3.477143418938935</v>
      </c>
      <c r="H343" s="90">
        <v>3.0210603748800029</v>
      </c>
      <c r="I343" s="90">
        <v>0.83218970700200456</v>
      </c>
      <c r="J343" s="90">
        <v>4.0980336550279093</v>
      </c>
      <c r="K343" s="29">
        <f t="shared" ref="K343:K406" si="41">D343/D342-1</f>
        <v>-1.076683524286437E-2</v>
      </c>
      <c r="L343" s="29">
        <f t="shared" ref="L343:L406" si="42">E343/E342-1</f>
        <v>-4.9702716759298604E-2</v>
      </c>
      <c r="M343" s="29">
        <f t="shared" ref="M343:M406" si="43">F343/F342-1</f>
        <v>-4.0703681318305818E-2</v>
      </c>
      <c r="N343" s="29">
        <f t="shared" ref="N343:N406" si="44">G343/G342-1</f>
        <v>-2.4523764967138262E-2</v>
      </c>
      <c r="O343" s="29">
        <f t="shared" ref="O343:O406" si="45">H343/H342-1</f>
        <v>-3.0147967848090595E-2</v>
      </c>
      <c r="P343" s="29">
        <f t="shared" ref="P343:P406" si="46">I343/I342-1</f>
        <v>-4.9450762465502618E-2</v>
      </c>
      <c r="Q343" s="29">
        <f t="shared" ref="Q343:Q406" si="47">J343/J342-1</f>
        <v>-1.2283950815397016E-2</v>
      </c>
    </row>
    <row r="344" spans="2:17" ht="13.95" customHeight="1" x14ac:dyDescent="0.3">
      <c r="B344" s="89">
        <v>44890</v>
      </c>
      <c r="C344" s="91">
        <f t="shared" si="40"/>
        <v>1</v>
      </c>
      <c r="D344" s="90">
        <v>4.6452231977726184</v>
      </c>
      <c r="E344" s="90">
        <v>2.833409158149053</v>
      </c>
      <c r="F344" s="90">
        <v>0.9880097103715989</v>
      </c>
      <c r="G344" s="90">
        <v>3.4896497400059809</v>
      </c>
      <c r="H344" s="90">
        <v>3.0266200123725069</v>
      </c>
      <c r="I344" s="90">
        <v>0.82507962418099556</v>
      </c>
      <c r="J344" s="90">
        <v>4.086935618224369</v>
      </c>
      <c r="K344" s="29">
        <f t="shared" si="41"/>
        <v>-5.3421169742018382E-3</v>
      </c>
      <c r="L344" s="29">
        <f t="shared" si="42"/>
        <v>1.0539272529097143E-2</v>
      </c>
      <c r="M344" s="29">
        <f t="shared" si="43"/>
        <v>-7.1297275003742167E-3</v>
      </c>
      <c r="N344" s="29">
        <f t="shared" si="44"/>
        <v>3.5967228153224173E-3</v>
      </c>
      <c r="O344" s="29">
        <f t="shared" si="45"/>
        <v>1.8402934078154409E-3</v>
      </c>
      <c r="P344" s="29">
        <f t="shared" si="46"/>
        <v>-8.5438245164355386E-3</v>
      </c>
      <c r="Q344" s="29">
        <f t="shared" si="47"/>
        <v>-2.708137057372384E-3</v>
      </c>
    </row>
    <row r="345" spans="2:17" ht="13.95" customHeight="1" x14ac:dyDescent="0.3">
      <c r="B345" s="89">
        <v>44897</v>
      </c>
      <c r="C345" s="91">
        <f t="shared" si="40"/>
        <v>1</v>
      </c>
      <c r="D345" s="90">
        <v>4.7544978638301556</v>
      </c>
      <c r="E345" s="90">
        <v>2.835565902352188</v>
      </c>
      <c r="F345" s="90">
        <v>0.98163720920476871</v>
      </c>
      <c r="G345" s="90">
        <v>3.6999914001291421</v>
      </c>
      <c r="H345" s="90">
        <v>3.111487077995776</v>
      </c>
      <c r="I345" s="90">
        <v>0.82150800768822019</v>
      </c>
      <c r="J345" s="90">
        <v>4.0335336947039737</v>
      </c>
      <c r="K345" s="29">
        <f t="shared" si="41"/>
        <v>2.3524093763661158E-2</v>
      </c>
      <c r="L345" s="29">
        <f t="shared" si="42"/>
        <v>7.6118346583720076E-4</v>
      </c>
      <c r="M345" s="29">
        <f t="shared" si="43"/>
        <v>-6.4498365754254161E-3</v>
      </c>
      <c r="N345" s="29">
        <f t="shared" si="44"/>
        <v>6.0275866002185152E-2</v>
      </c>
      <c r="O345" s="29">
        <f t="shared" si="45"/>
        <v>2.8040211614388744E-2</v>
      </c>
      <c r="P345" s="29">
        <f t="shared" si="46"/>
        <v>-4.3288143205822971E-3</v>
      </c>
      <c r="Q345" s="29">
        <f t="shared" si="47"/>
        <v>-1.3066494926483929E-2</v>
      </c>
    </row>
    <row r="346" spans="2:17" ht="13.95" customHeight="1" x14ac:dyDescent="0.3">
      <c r="B346" s="89">
        <v>44904</v>
      </c>
      <c r="C346" s="91">
        <f t="shared" si="40"/>
        <v>1</v>
      </c>
      <c r="D346" s="90">
        <v>4.4748644362854062</v>
      </c>
      <c r="E346" s="90">
        <v>2.6913831767699379</v>
      </c>
      <c r="F346" s="90">
        <v>0.90167837875086088</v>
      </c>
      <c r="G346" s="90">
        <v>3.6773073140178072</v>
      </c>
      <c r="H346" s="90">
        <v>2.9897503678619999</v>
      </c>
      <c r="I346" s="90">
        <v>0.74468108624953477</v>
      </c>
      <c r="J346" s="90">
        <v>3.8573516517330422</v>
      </c>
      <c r="K346" s="29">
        <f t="shared" si="41"/>
        <v>-5.881450272005817E-2</v>
      </c>
      <c r="L346" s="29">
        <f t="shared" si="42"/>
        <v>-5.0847954358121616E-2</v>
      </c>
      <c r="M346" s="29">
        <f t="shared" si="43"/>
        <v>-8.1454563563949534E-2</v>
      </c>
      <c r="N346" s="29">
        <f t="shared" si="44"/>
        <v>-6.1308483340104525E-3</v>
      </c>
      <c r="O346" s="29">
        <f t="shared" si="45"/>
        <v>-3.9124928718068497E-2</v>
      </c>
      <c r="P346" s="29">
        <f t="shared" si="46"/>
        <v>-9.3519382306304744E-2</v>
      </c>
      <c r="Q346" s="29">
        <f t="shared" si="47"/>
        <v>-4.3679328426649455E-2</v>
      </c>
    </row>
    <row r="347" spans="2:17" ht="13.95" customHeight="1" x14ac:dyDescent="0.3">
      <c r="B347" s="89">
        <v>44911</v>
      </c>
      <c r="C347" s="91">
        <f t="shared" si="40"/>
        <v>1</v>
      </c>
      <c r="D347" s="90">
        <v>4.3239281238828911</v>
      </c>
      <c r="E347" s="90">
        <v>2.584699162129128</v>
      </c>
      <c r="F347" s="90">
        <v>0.86389021105805086</v>
      </c>
      <c r="G347" s="90">
        <v>3.4903562793470759</v>
      </c>
      <c r="H347" s="90">
        <v>2.8606001310918052</v>
      </c>
      <c r="I347" s="90">
        <v>0.69968689228653835</v>
      </c>
      <c r="J347" s="90">
        <v>3.9076215597106541</v>
      </c>
      <c r="K347" s="29">
        <f t="shared" si="41"/>
        <v>-3.3729806690592778E-2</v>
      </c>
      <c r="L347" s="29">
        <f t="shared" si="42"/>
        <v>-3.9639102882721655E-2</v>
      </c>
      <c r="M347" s="29">
        <f t="shared" si="43"/>
        <v>-4.190869891452853E-2</v>
      </c>
      <c r="N347" s="29">
        <f t="shared" si="44"/>
        <v>-5.0839110987019875E-2</v>
      </c>
      <c r="O347" s="29">
        <f t="shared" si="45"/>
        <v>-4.3197665650778538E-2</v>
      </c>
      <c r="P347" s="29">
        <f t="shared" si="46"/>
        <v>-6.0420755668177839E-2</v>
      </c>
      <c r="Q347" s="29">
        <f t="shared" si="47"/>
        <v>1.303223364533701E-2</v>
      </c>
    </row>
    <row r="348" spans="2:17" ht="13.95" customHeight="1" x14ac:dyDescent="0.3">
      <c r="B348" s="89">
        <v>44918</v>
      </c>
      <c r="C348" s="91">
        <f t="shared" si="40"/>
        <v>1</v>
      </c>
      <c r="D348" s="90">
        <v>4.7515587756342796</v>
      </c>
      <c r="E348" s="90">
        <v>2.7578363011466949</v>
      </c>
      <c r="F348" s="90">
        <v>0.95425763431439681</v>
      </c>
      <c r="G348" s="90">
        <v>3.6198980002234342</v>
      </c>
      <c r="H348" s="90">
        <v>3.0517584146920642</v>
      </c>
      <c r="I348" s="90">
        <v>0.79150423676243609</v>
      </c>
      <c r="J348" s="90">
        <v>4.0300337437047293</v>
      </c>
      <c r="K348" s="29">
        <f t="shared" si="41"/>
        <v>9.8898649445489761E-2</v>
      </c>
      <c r="L348" s="29">
        <f t="shared" si="42"/>
        <v>6.698541228873478E-2</v>
      </c>
      <c r="M348" s="29">
        <f t="shared" si="43"/>
        <v>0.10460521730610695</v>
      </c>
      <c r="N348" s="29">
        <f t="shared" si="44"/>
        <v>3.7114182767780557E-2</v>
      </c>
      <c r="O348" s="29">
        <f t="shared" si="45"/>
        <v>6.6824538502450403E-2</v>
      </c>
      <c r="P348" s="29">
        <f t="shared" si="46"/>
        <v>0.13122633207525691</v>
      </c>
      <c r="Q348" s="29">
        <f t="shared" si="47"/>
        <v>3.1326519757235438E-2</v>
      </c>
    </row>
    <row r="349" spans="2:17" ht="13.95" customHeight="1" x14ac:dyDescent="0.3">
      <c r="B349" s="89">
        <v>44925</v>
      </c>
      <c r="C349" s="91">
        <f t="shared" si="40"/>
        <v>1</v>
      </c>
      <c r="D349" s="90">
        <v>4.7116003292708104</v>
      </c>
      <c r="E349" s="90">
        <v>2.7515934880738571</v>
      </c>
      <c r="F349" s="90">
        <v>0.93246446869238164</v>
      </c>
      <c r="G349" s="90">
        <v>3.6745418112082882</v>
      </c>
      <c r="H349" s="90">
        <v>3.053027737518732</v>
      </c>
      <c r="I349" s="90">
        <v>0.7668126049982481</v>
      </c>
      <c r="J349" s="90">
        <v>4.0396954669465321</v>
      </c>
      <c r="K349" s="29">
        <f t="shared" si="41"/>
        <v>-8.4095447936736178E-3</v>
      </c>
      <c r="L349" s="29">
        <f t="shared" si="42"/>
        <v>-2.263663390840831E-3</v>
      </c>
      <c r="M349" s="29">
        <f t="shared" si="43"/>
        <v>-2.2837821609541398E-2</v>
      </c>
      <c r="N349" s="29">
        <f t="shared" si="44"/>
        <v>1.5095400749270071E-2</v>
      </c>
      <c r="O349" s="29">
        <f t="shared" si="45"/>
        <v>4.1593162176822851E-4</v>
      </c>
      <c r="P349" s="29">
        <f t="shared" si="46"/>
        <v>-3.1195830189344909E-2</v>
      </c>
      <c r="Q349" s="29">
        <f t="shared" si="47"/>
        <v>2.3974298619446888E-3</v>
      </c>
    </row>
    <row r="350" spans="2:17" ht="13.95" customHeight="1" x14ac:dyDescent="0.3">
      <c r="B350" s="89">
        <v>44932</v>
      </c>
      <c r="C350" s="91">
        <f t="shared" si="40"/>
        <v>1</v>
      </c>
      <c r="D350" s="90">
        <v>4.6791680358941683</v>
      </c>
      <c r="E350" s="90">
        <v>2.6932614853992289</v>
      </c>
      <c r="F350" s="90">
        <v>0.91693701006823281</v>
      </c>
      <c r="G350" s="90">
        <v>3.6982673863224469</v>
      </c>
      <c r="H350" s="90">
        <v>3.0318984613856799</v>
      </c>
      <c r="I350" s="90">
        <v>0.751745533966788</v>
      </c>
      <c r="J350" s="90">
        <v>4.0095834276551079</v>
      </c>
      <c r="K350" s="29">
        <f t="shared" si="41"/>
        <v>-6.883498410329203E-3</v>
      </c>
      <c r="L350" s="29">
        <f t="shared" si="42"/>
        <v>-2.1199353366496365E-2</v>
      </c>
      <c r="M350" s="29">
        <f t="shared" si="43"/>
        <v>-1.6652064658209897E-2</v>
      </c>
      <c r="N350" s="29">
        <f t="shared" si="44"/>
        <v>6.4567438154574663E-3</v>
      </c>
      <c r="O350" s="29">
        <f t="shared" si="45"/>
        <v>-6.9207612736019719E-3</v>
      </c>
      <c r="P350" s="29">
        <f t="shared" si="46"/>
        <v>-1.9648961080255711E-2</v>
      </c>
      <c r="Q350" s="29">
        <f t="shared" si="47"/>
        <v>-7.4540369534797923E-3</v>
      </c>
    </row>
    <row r="351" spans="2:17" ht="13.95" customHeight="1" x14ac:dyDescent="0.3">
      <c r="B351" s="89">
        <v>44939</v>
      </c>
      <c r="C351" s="91">
        <f t="shared" si="40"/>
        <v>1</v>
      </c>
      <c r="D351" s="90">
        <v>4.7910544455055897</v>
      </c>
      <c r="E351" s="90">
        <v>2.6908840541658341</v>
      </c>
      <c r="F351" s="90">
        <v>0.92975759758218368</v>
      </c>
      <c r="G351" s="90">
        <v>3.8047674551156669</v>
      </c>
      <c r="H351" s="90">
        <v>3.086645453368654</v>
      </c>
      <c r="I351" s="90">
        <v>0.75707983784847033</v>
      </c>
      <c r="J351" s="90">
        <v>4.1493452959193382</v>
      </c>
      <c r="K351" s="29">
        <f t="shared" si="41"/>
        <v>2.3911603249367142E-2</v>
      </c>
      <c r="L351" s="29">
        <f t="shared" si="42"/>
        <v>-8.8273316433751248E-4</v>
      </c>
      <c r="M351" s="29">
        <f t="shared" si="43"/>
        <v>1.3981971905569379E-2</v>
      </c>
      <c r="N351" s="29">
        <f t="shared" si="44"/>
        <v>2.8797287396551186E-2</v>
      </c>
      <c r="O351" s="29">
        <f t="shared" si="45"/>
        <v>1.805700048343728E-2</v>
      </c>
      <c r="P351" s="29">
        <f t="shared" si="46"/>
        <v>7.0958903520641492E-3</v>
      </c>
      <c r="Q351" s="29">
        <f t="shared" si="47"/>
        <v>3.4856954789930894E-2</v>
      </c>
    </row>
    <row r="352" spans="2:17" ht="13.95" customHeight="1" x14ac:dyDescent="0.3">
      <c r="B352" s="89">
        <v>44946</v>
      </c>
      <c r="C352" s="91">
        <f t="shared" si="40"/>
        <v>1</v>
      </c>
      <c r="D352" s="90">
        <v>4.8105201877448804</v>
      </c>
      <c r="E352" s="90">
        <v>2.692036233990422</v>
      </c>
      <c r="F352" s="90">
        <v>0.93034253477533213</v>
      </c>
      <c r="G352" s="90">
        <v>3.8937681945454021</v>
      </c>
      <c r="H352" s="90">
        <v>3.1178474197900812</v>
      </c>
      <c r="I352" s="90">
        <v>0.76512779098140582</v>
      </c>
      <c r="J352" s="90">
        <v>4.0295299440099672</v>
      </c>
      <c r="K352" s="29">
        <f t="shared" si="41"/>
        <v>4.0629348843137514E-3</v>
      </c>
      <c r="L352" s="29">
        <f t="shared" si="42"/>
        <v>4.2817891867330538E-4</v>
      </c>
      <c r="M352" s="29">
        <f t="shared" si="43"/>
        <v>6.2912870480391625E-4</v>
      </c>
      <c r="N352" s="29">
        <f t="shared" si="44"/>
        <v>2.3391899893926427E-2</v>
      </c>
      <c r="O352" s="29">
        <f t="shared" si="45"/>
        <v>1.0108697902888153E-2</v>
      </c>
      <c r="P352" s="29">
        <f t="shared" si="46"/>
        <v>1.0630256850858499E-2</v>
      </c>
      <c r="Q352" s="29">
        <f t="shared" si="47"/>
        <v>-2.887572456965759E-2</v>
      </c>
    </row>
    <row r="353" spans="2:17" ht="13.95" customHeight="1" x14ac:dyDescent="0.3">
      <c r="B353" s="89">
        <v>44953</v>
      </c>
      <c r="C353" s="91">
        <f t="shared" si="40"/>
        <v>1</v>
      </c>
      <c r="D353" s="90">
        <v>4.6943923010162836</v>
      </c>
      <c r="E353" s="90">
        <v>2.7416784228527802</v>
      </c>
      <c r="F353" s="90">
        <v>0.96340384777205357</v>
      </c>
      <c r="G353" s="90">
        <v>3.8834342429135251</v>
      </c>
      <c r="H353" s="90">
        <v>3.1254519511424519</v>
      </c>
      <c r="I353" s="90">
        <v>0.79763724053799578</v>
      </c>
      <c r="J353" s="90">
        <v>4.0867181732574842</v>
      </c>
      <c r="K353" s="29">
        <f t="shared" si="41"/>
        <v>-2.4140401078544538E-2</v>
      </c>
      <c r="L353" s="29">
        <f t="shared" si="42"/>
        <v>1.8440386587506463E-2</v>
      </c>
      <c r="M353" s="29">
        <f t="shared" si="43"/>
        <v>3.5536710148059036E-2</v>
      </c>
      <c r="N353" s="29">
        <f t="shared" si="44"/>
        <v>-2.6539719663726258E-3</v>
      </c>
      <c r="O353" s="29">
        <f t="shared" si="45"/>
        <v>2.4390325530692092E-3</v>
      </c>
      <c r="P353" s="29">
        <f t="shared" si="46"/>
        <v>4.2488914845049797E-2</v>
      </c>
      <c r="Q353" s="29">
        <f t="shared" si="47"/>
        <v>1.4192282981425386E-2</v>
      </c>
    </row>
    <row r="354" spans="2:17" ht="13.95" customHeight="1" x14ac:dyDescent="0.3">
      <c r="B354" s="89">
        <v>44960</v>
      </c>
      <c r="C354" s="91">
        <f t="shared" si="40"/>
        <v>1</v>
      </c>
      <c r="D354" s="90">
        <v>4.6135934655147004</v>
      </c>
      <c r="E354" s="90">
        <v>2.6410167842655041</v>
      </c>
      <c r="F354" s="90">
        <v>0.94789448556395361</v>
      </c>
      <c r="G354" s="90">
        <v>3.7009841322411638</v>
      </c>
      <c r="H354" s="90">
        <v>3.020407523222516</v>
      </c>
      <c r="I354" s="90">
        <v>0.78034134569785241</v>
      </c>
      <c r="J354" s="90">
        <v>4.0920444268246454</v>
      </c>
      <c r="K354" s="29">
        <f t="shared" si="41"/>
        <v>-1.7211777440094056E-2</v>
      </c>
      <c r="L354" s="29">
        <f t="shared" si="42"/>
        <v>-3.6715333843761022E-2</v>
      </c>
      <c r="M354" s="29">
        <f t="shared" si="43"/>
        <v>-1.609850556852821E-2</v>
      </c>
      <c r="N354" s="29">
        <f t="shared" si="44"/>
        <v>-4.6981640285346793E-2</v>
      </c>
      <c r="O354" s="29">
        <f t="shared" si="45"/>
        <v>-3.3609356202561003E-2</v>
      </c>
      <c r="P354" s="29">
        <f t="shared" si="46"/>
        <v>-2.1683910882191904E-2</v>
      </c>
      <c r="Q354" s="29">
        <f t="shared" si="47"/>
        <v>1.3033082638325144E-3</v>
      </c>
    </row>
    <row r="355" spans="2:17" ht="13.95" customHeight="1" x14ac:dyDescent="0.3">
      <c r="B355" s="89">
        <v>44967</v>
      </c>
      <c r="C355" s="91">
        <f t="shared" si="40"/>
        <v>1</v>
      </c>
      <c r="D355" s="90">
        <v>4.6083872574749138</v>
      </c>
      <c r="E355" s="90">
        <v>2.593062892392914</v>
      </c>
      <c r="F355" s="90">
        <v>0.9252972718099256</v>
      </c>
      <c r="G355" s="90">
        <v>3.7391379474161641</v>
      </c>
      <c r="H355" s="90">
        <v>3.0080089800418319</v>
      </c>
      <c r="I355" s="90">
        <v>0.75295627404752852</v>
      </c>
      <c r="J355" s="90">
        <v>4.1350772388530608</v>
      </c>
      <c r="K355" s="29">
        <f t="shared" si="41"/>
        <v>-1.1284496734923488E-3</v>
      </c>
      <c r="L355" s="29">
        <f t="shared" si="42"/>
        <v>-1.8157359755639257E-2</v>
      </c>
      <c r="M355" s="29">
        <f t="shared" si="43"/>
        <v>-2.3839376743059915E-2</v>
      </c>
      <c r="N355" s="29">
        <f t="shared" si="44"/>
        <v>1.0309099907406472E-2</v>
      </c>
      <c r="O355" s="29">
        <f t="shared" si="45"/>
        <v>-4.104923949949657E-3</v>
      </c>
      <c r="P355" s="29">
        <f t="shared" si="46"/>
        <v>-3.5093708415300795E-2</v>
      </c>
      <c r="Q355" s="29">
        <f t="shared" si="47"/>
        <v>1.0516213300696853E-2</v>
      </c>
    </row>
    <row r="356" spans="2:17" ht="13.95" customHeight="1" x14ac:dyDescent="0.3">
      <c r="B356" s="89">
        <v>44974</v>
      </c>
      <c r="C356" s="91">
        <f t="shared" si="40"/>
        <v>1</v>
      </c>
      <c r="D356" s="90">
        <v>4.7571584974848102</v>
      </c>
      <c r="E356" s="90">
        <v>2.6216744376712628</v>
      </c>
      <c r="F356" s="90">
        <v>0.93517202777844</v>
      </c>
      <c r="G356" s="90">
        <v>3.725332807941848</v>
      </c>
      <c r="H356" s="90">
        <v>3.0386294874901059</v>
      </c>
      <c r="I356" s="90">
        <v>0.75688017725626333</v>
      </c>
      <c r="J356" s="90">
        <v>4.2450251722705623</v>
      </c>
      <c r="K356" s="29">
        <f t="shared" si="41"/>
        <v>3.2282712302136973E-2</v>
      </c>
      <c r="L356" s="29">
        <f t="shared" si="42"/>
        <v>1.1033880189440959E-2</v>
      </c>
      <c r="M356" s="29">
        <f t="shared" si="43"/>
        <v>1.0671982150340709E-2</v>
      </c>
      <c r="N356" s="29">
        <f t="shared" si="44"/>
        <v>-3.6920647669219653E-3</v>
      </c>
      <c r="O356" s="29">
        <f t="shared" si="45"/>
        <v>1.0179659585939138E-2</v>
      </c>
      <c r="P356" s="29">
        <f t="shared" si="46"/>
        <v>5.2113294542879274E-3</v>
      </c>
      <c r="Q356" s="29">
        <f t="shared" si="47"/>
        <v>2.6589088199957756E-2</v>
      </c>
    </row>
    <row r="357" spans="2:17" ht="13.95" customHeight="1" x14ac:dyDescent="0.3">
      <c r="B357" s="89">
        <v>44981</v>
      </c>
      <c r="C357" s="91">
        <f t="shared" si="40"/>
        <v>1</v>
      </c>
      <c r="D357" s="90">
        <v>4.5516972738386396</v>
      </c>
      <c r="E357" s="90">
        <v>2.5403330241189508</v>
      </c>
      <c r="F357" s="90">
        <v>0.90881476296529873</v>
      </c>
      <c r="G357" s="90">
        <v>3.6354986507680289</v>
      </c>
      <c r="H357" s="90">
        <v>2.944781194151163</v>
      </c>
      <c r="I357" s="90">
        <v>0.73243946181255815</v>
      </c>
      <c r="J357" s="90">
        <v>4.1751421223335896</v>
      </c>
      <c r="K357" s="29">
        <f t="shared" si="41"/>
        <v>-4.3189905014685004E-2</v>
      </c>
      <c r="L357" s="29">
        <f t="shared" si="42"/>
        <v>-3.1026512057906297E-2</v>
      </c>
      <c r="M357" s="29">
        <f t="shared" si="43"/>
        <v>-2.8184402473793613E-2</v>
      </c>
      <c r="N357" s="29">
        <f t="shared" si="44"/>
        <v>-2.4114397774691709E-2</v>
      </c>
      <c r="O357" s="29">
        <f t="shared" si="45"/>
        <v>-3.0885072933476088E-2</v>
      </c>
      <c r="P357" s="29">
        <f t="shared" si="46"/>
        <v>-3.2291393245763467E-2</v>
      </c>
      <c r="Q357" s="29">
        <f t="shared" si="47"/>
        <v>-1.6462340528264452E-2</v>
      </c>
    </row>
    <row r="358" spans="2:17" ht="13.95" customHeight="1" x14ac:dyDescent="0.3">
      <c r="B358" s="89">
        <v>44988</v>
      </c>
      <c r="C358" s="91">
        <f t="shared" si="40"/>
        <v>1</v>
      </c>
      <c r="D358" s="90">
        <v>4.3783769742072609</v>
      </c>
      <c r="E358" s="90">
        <v>2.4165450804489081</v>
      </c>
      <c r="F358" s="90">
        <v>0.88149700709187995</v>
      </c>
      <c r="G358" s="90">
        <v>3.6999051411681072</v>
      </c>
      <c r="H358" s="90">
        <v>2.891124883661405</v>
      </c>
      <c r="I358" s="90">
        <v>0.69706617976196705</v>
      </c>
      <c r="J358" s="90">
        <v>4.264218055672643</v>
      </c>
      <c r="K358" s="29">
        <f t="shared" si="41"/>
        <v>-3.8078169351805413E-2</v>
      </c>
      <c r="L358" s="29">
        <f t="shared" si="42"/>
        <v>-4.8729021941119388E-2</v>
      </c>
      <c r="M358" s="29">
        <f t="shared" si="43"/>
        <v>-3.0058662102149247E-2</v>
      </c>
      <c r="N358" s="29">
        <f t="shared" si="44"/>
        <v>1.7715998983102832E-2</v>
      </c>
      <c r="O358" s="29">
        <f t="shared" si="45"/>
        <v>-1.8220814027313348E-2</v>
      </c>
      <c r="P358" s="29">
        <f t="shared" si="46"/>
        <v>-4.8295161436350376E-2</v>
      </c>
      <c r="Q358" s="29">
        <f t="shared" si="47"/>
        <v>2.1334826630827752E-2</v>
      </c>
    </row>
    <row r="359" spans="2:17" ht="13.95" customHeight="1" x14ac:dyDescent="0.3">
      <c r="B359" s="89">
        <v>44995</v>
      </c>
      <c r="C359" s="91">
        <f t="shared" si="40"/>
        <v>1</v>
      </c>
      <c r="D359" s="90">
        <v>4.4848775925724036</v>
      </c>
      <c r="E359" s="90">
        <v>2.429201676253177</v>
      </c>
      <c r="F359" s="90">
        <v>0.93144135460309785</v>
      </c>
      <c r="G359" s="90">
        <v>3.5480174754373039</v>
      </c>
      <c r="H359" s="90">
        <v>2.8842545730447942</v>
      </c>
      <c r="I359" s="90">
        <v>0.74460679560119314</v>
      </c>
      <c r="J359" s="90">
        <v>4.3763871521144999</v>
      </c>
      <c r="K359" s="29">
        <f t="shared" si="41"/>
        <v>2.4324223106537257E-2</v>
      </c>
      <c r="L359" s="29">
        <f t="shared" si="42"/>
        <v>5.2374755623916247E-3</v>
      </c>
      <c r="M359" s="29">
        <f t="shared" si="43"/>
        <v>5.6658555967181057E-2</v>
      </c>
      <c r="N359" s="29">
        <f t="shared" si="44"/>
        <v>-4.1051772933521802E-2</v>
      </c>
      <c r="O359" s="29">
        <f t="shared" si="45"/>
        <v>-2.3763451573596273E-3</v>
      </c>
      <c r="P359" s="29">
        <f t="shared" si="46"/>
        <v>6.820100762234671E-2</v>
      </c>
      <c r="Q359" s="29">
        <f t="shared" si="47"/>
        <v>2.6304728083180295E-2</v>
      </c>
    </row>
    <row r="360" spans="2:17" ht="13.95" customHeight="1" x14ac:dyDescent="0.3">
      <c r="B360" s="89">
        <v>45002</v>
      </c>
      <c r="C360" s="91">
        <f t="shared" si="40"/>
        <v>1</v>
      </c>
      <c r="D360" s="90">
        <v>4.396196732262335</v>
      </c>
      <c r="E360" s="90">
        <v>2.4298722353274438</v>
      </c>
      <c r="F360" s="90">
        <v>0.93899577543150081</v>
      </c>
      <c r="G360" s="90">
        <v>3.434439335007998</v>
      </c>
      <c r="H360" s="90">
        <v>2.8388393994224681</v>
      </c>
      <c r="I360" s="90">
        <v>0.74752550174779575</v>
      </c>
      <c r="J360" s="90">
        <v>4.4620802144514249</v>
      </c>
      <c r="K360" s="29">
        <f t="shared" si="41"/>
        <v>-1.9773306735714868E-2</v>
      </c>
      <c r="L360" s="29">
        <f t="shared" si="42"/>
        <v>2.7604092357669252E-4</v>
      </c>
      <c r="M360" s="29">
        <f t="shared" si="43"/>
        <v>8.1104631988579978E-3</v>
      </c>
      <c r="N360" s="29">
        <f t="shared" si="44"/>
        <v>-3.2011719563277308E-2</v>
      </c>
      <c r="O360" s="29">
        <f t="shared" si="45"/>
        <v>-1.5745896373627999E-2</v>
      </c>
      <c r="P360" s="29">
        <f t="shared" si="46"/>
        <v>3.9197952044556228E-3</v>
      </c>
      <c r="Q360" s="29">
        <f t="shared" si="47"/>
        <v>1.9580777330342247E-2</v>
      </c>
    </row>
    <row r="361" spans="2:17" ht="13.95" customHeight="1" x14ac:dyDescent="0.3">
      <c r="B361" s="89">
        <v>45009</v>
      </c>
      <c r="C361" s="91">
        <f t="shared" si="40"/>
        <v>1</v>
      </c>
      <c r="D361" s="90">
        <v>4.3150039795628068</v>
      </c>
      <c r="E361" s="90">
        <v>2.3550723156345059</v>
      </c>
      <c r="F361" s="90">
        <v>0.9051397969063798</v>
      </c>
      <c r="G361" s="90">
        <v>3.3093788468000689</v>
      </c>
      <c r="H361" s="90">
        <v>2.7514518623779818</v>
      </c>
      <c r="I361" s="90">
        <v>0.70580725401704625</v>
      </c>
      <c r="J361" s="90">
        <v>4.538738630697142</v>
      </c>
      <c r="K361" s="29">
        <f t="shared" si="41"/>
        <v>-1.8468862438225209E-2</v>
      </c>
      <c r="L361" s="29">
        <f t="shared" si="42"/>
        <v>-3.0783478491352878E-2</v>
      </c>
      <c r="M361" s="29">
        <f t="shared" si="43"/>
        <v>-3.6055517405882975E-2</v>
      </c>
      <c r="N361" s="29">
        <f t="shared" si="44"/>
        <v>-3.6413654750910851E-2</v>
      </c>
      <c r="O361" s="29">
        <f t="shared" si="45"/>
        <v>-3.0782839304775211E-2</v>
      </c>
      <c r="P361" s="29">
        <f t="shared" si="46"/>
        <v>-5.5808460892916356E-2</v>
      </c>
      <c r="Q361" s="29">
        <f t="shared" si="47"/>
        <v>1.7179972694673307E-2</v>
      </c>
    </row>
    <row r="362" spans="2:17" ht="13.95" customHeight="1" x14ac:dyDescent="0.3">
      <c r="B362" s="89">
        <v>45016</v>
      </c>
      <c r="C362" s="91">
        <f t="shared" si="40"/>
        <v>1</v>
      </c>
      <c r="D362" s="90">
        <v>4.4736367864877069</v>
      </c>
      <c r="E362" s="90">
        <v>2.434539636235979</v>
      </c>
      <c r="F362" s="90">
        <v>0.92436610172168543</v>
      </c>
      <c r="G362" s="90">
        <v>3.4055364758004831</v>
      </c>
      <c r="H362" s="90">
        <v>2.8366668657337022</v>
      </c>
      <c r="I362" s="90">
        <v>0.72569861438919092</v>
      </c>
      <c r="J362" s="90">
        <v>4.5563338070881416</v>
      </c>
      <c r="K362" s="29">
        <f t="shared" si="41"/>
        <v>3.6763073145757108E-2</v>
      </c>
      <c r="L362" s="29">
        <f t="shared" si="42"/>
        <v>3.3743049023979843E-2</v>
      </c>
      <c r="M362" s="29">
        <f t="shared" si="43"/>
        <v>2.1241254534402287E-2</v>
      </c>
      <c r="N362" s="29">
        <f t="shared" si="44"/>
        <v>2.905609585720037E-2</v>
      </c>
      <c r="O362" s="29">
        <f t="shared" si="45"/>
        <v>3.0970922850190208E-2</v>
      </c>
      <c r="P362" s="29">
        <f t="shared" si="46"/>
        <v>2.8182425526139809E-2</v>
      </c>
      <c r="Q362" s="29">
        <f t="shared" si="47"/>
        <v>3.8766665857330462E-3</v>
      </c>
    </row>
    <row r="363" spans="2:17" ht="13.95" customHeight="1" x14ac:dyDescent="0.3">
      <c r="B363" s="89">
        <v>45023</v>
      </c>
      <c r="C363" s="91">
        <f t="shared" si="40"/>
        <v>1</v>
      </c>
      <c r="D363" s="90">
        <v>4.4797216611043726</v>
      </c>
      <c r="E363" s="90">
        <v>2.4163815454276709</v>
      </c>
      <c r="F363" s="90">
        <v>0.89865809647173756</v>
      </c>
      <c r="G363" s="90">
        <v>3.3598801045481288</v>
      </c>
      <c r="H363" s="90">
        <v>2.80722946853425</v>
      </c>
      <c r="I363" s="90">
        <v>0.71164035835501882</v>
      </c>
      <c r="J363" s="90">
        <v>4.3312685739971766</v>
      </c>
      <c r="K363" s="29">
        <f t="shared" si="41"/>
        <v>1.3601628623594042E-3</v>
      </c>
      <c r="L363" s="29">
        <f t="shared" si="42"/>
        <v>-7.4585315999956547E-3</v>
      </c>
      <c r="M363" s="29">
        <f t="shared" si="43"/>
        <v>-2.7811497200151747E-2</v>
      </c>
      <c r="N363" s="29">
        <f t="shared" si="44"/>
        <v>-1.3406513651163521E-2</v>
      </c>
      <c r="O363" s="29">
        <f t="shared" si="45"/>
        <v>-1.0377460094115887E-2</v>
      </c>
      <c r="P363" s="29">
        <f t="shared" si="46"/>
        <v>-1.9372030971844589E-2</v>
      </c>
      <c r="Q363" s="29">
        <f t="shared" si="47"/>
        <v>-4.939612473977173E-2</v>
      </c>
    </row>
    <row r="364" spans="2:17" ht="13.95" customHeight="1" x14ac:dyDescent="0.3">
      <c r="B364" s="89">
        <v>45030</v>
      </c>
      <c r="C364" s="91">
        <f t="shared" si="40"/>
        <v>1</v>
      </c>
      <c r="D364" s="90">
        <v>4.8391540158475159</v>
      </c>
      <c r="E364" s="90">
        <v>2.4936768145405681</v>
      </c>
      <c r="F364" s="90">
        <v>0.94356658534113746</v>
      </c>
      <c r="G364" s="90">
        <v>3.541744380931513</v>
      </c>
      <c r="H364" s="90">
        <v>2.9591964301805032</v>
      </c>
      <c r="I364" s="90">
        <v>0.75737847865521846</v>
      </c>
      <c r="J364" s="90">
        <v>4.3843181456803828</v>
      </c>
      <c r="K364" s="29">
        <f t="shared" si="41"/>
        <v>8.0235421290556941E-2</v>
      </c>
      <c r="L364" s="29">
        <f t="shared" si="42"/>
        <v>3.1988023273541888E-2</v>
      </c>
      <c r="M364" s="29">
        <f t="shared" si="43"/>
        <v>4.997283065241076E-2</v>
      </c>
      <c r="N364" s="29">
        <f t="shared" si="44"/>
        <v>5.412820419907316E-2</v>
      </c>
      <c r="O364" s="29">
        <f t="shared" si="45"/>
        <v>5.4134143057995354E-2</v>
      </c>
      <c r="P364" s="29">
        <f t="shared" si="46"/>
        <v>6.4271397431597155E-2</v>
      </c>
      <c r="Q364" s="29">
        <f t="shared" si="47"/>
        <v>1.2248044834183291E-2</v>
      </c>
    </row>
    <row r="365" spans="2:17" ht="13.95" customHeight="1" x14ac:dyDescent="0.3">
      <c r="B365" s="89">
        <v>45037</v>
      </c>
      <c r="C365" s="91">
        <f t="shared" si="40"/>
        <v>1</v>
      </c>
      <c r="D365" s="90">
        <v>4.7659529012502606</v>
      </c>
      <c r="E365" s="90">
        <v>2.468687568016521</v>
      </c>
      <c r="F365" s="90">
        <v>0.93038546213318762</v>
      </c>
      <c r="G365" s="90">
        <v>3.447190741923956</v>
      </c>
      <c r="H365" s="90">
        <v>2.905945409254056</v>
      </c>
      <c r="I365" s="90">
        <v>0.73554263108620654</v>
      </c>
      <c r="J365" s="90">
        <v>4.5038140569716818</v>
      </c>
      <c r="K365" s="29">
        <f t="shared" si="41"/>
        <v>-1.5126841253147227E-2</v>
      </c>
      <c r="L365" s="29">
        <f t="shared" si="42"/>
        <v>-1.0021044578966909E-2</v>
      </c>
      <c r="M365" s="29">
        <f t="shared" si="43"/>
        <v>-1.3969467987449247E-2</v>
      </c>
      <c r="N365" s="29">
        <f t="shared" si="44"/>
        <v>-2.6696912266347295E-2</v>
      </c>
      <c r="O365" s="29">
        <f t="shared" si="45"/>
        <v>-1.7995095014087692E-2</v>
      </c>
      <c r="P365" s="29">
        <f t="shared" si="46"/>
        <v>-2.8830826574030799E-2</v>
      </c>
      <c r="Q365" s="29">
        <f t="shared" si="47"/>
        <v>2.725530112567931E-2</v>
      </c>
    </row>
    <row r="366" spans="2:17" ht="13.95" customHeight="1" x14ac:dyDescent="0.3">
      <c r="B366" s="89">
        <v>45044</v>
      </c>
      <c r="C366" s="91">
        <f t="shared" si="40"/>
        <v>1</v>
      </c>
      <c r="D366" s="90">
        <v>4.8109909367370731</v>
      </c>
      <c r="E366" s="90">
        <v>2.4734155043020851</v>
      </c>
      <c r="F366" s="90">
        <v>0.94909090650568995</v>
      </c>
      <c r="G366" s="90">
        <v>3.4029540950527801</v>
      </c>
      <c r="H366" s="90">
        <v>2.9081771729453232</v>
      </c>
      <c r="I366" s="90">
        <v>0.75375260401061306</v>
      </c>
      <c r="J366" s="90">
        <v>4.5394156722128489</v>
      </c>
      <c r="K366" s="29">
        <f t="shared" si="41"/>
        <v>9.4499539588395187E-3</v>
      </c>
      <c r="L366" s="29">
        <f t="shared" si="42"/>
        <v>1.9151618644730473E-3</v>
      </c>
      <c r="M366" s="29">
        <f t="shared" si="43"/>
        <v>2.0105047997648784E-2</v>
      </c>
      <c r="N366" s="29">
        <f t="shared" si="44"/>
        <v>-1.2832665838063417E-2</v>
      </c>
      <c r="O366" s="29">
        <f t="shared" si="45"/>
        <v>7.6799917994341271E-4</v>
      </c>
      <c r="P366" s="29">
        <f t="shared" si="46"/>
        <v>2.4757195782812769E-2</v>
      </c>
      <c r="Q366" s="29">
        <f t="shared" si="47"/>
        <v>7.9047702215986337E-3</v>
      </c>
    </row>
    <row r="367" spans="2:17" ht="13.95" customHeight="1" x14ac:dyDescent="0.3">
      <c r="B367" s="89">
        <v>45051</v>
      </c>
      <c r="C367" s="91">
        <f t="shared" si="40"/>
        <v>1</v>
      </c>
      <c r="D367" s="90">
        <v>4.9395149589779548</v>
      </c>
      <c r="E367" s="90">
        <v>2.4922294238115139</v>
      </c>
      <c r="F367" s="90">
        <v>0.96588913752771888</v>
      </c>
      <c r="G367" s="90">
        <v>3.3684048215239528</v>
      </c>
      <c r="H367" s="90">
        <v>2.928918950385957</v>
      </c>
      <c r="I367" s="90">
        <v>0.79051430438308257</v>
      </c>
      <c r="J367" s="90">
        <v>4.2276668848705334</v>
      </c>
      <c r="K367" s="29">
        <f t="shared" si="41"/>
        <v>2.6714667296390715E-2</v>
      </c>
      <c r="L367" s="29">
        <f t="shared" si="42"/>
        <v>7.6064532937167861E-3</v>
      </c>
      <c r="M367" s="29">
        <f t="shared" si="43"/>
        <v>1.769928560781997E-2</v>
      </c>
      <c r="N367" s="29">
        <f t="shared" si="44"/>
        <v>-1.0152729823495132E-2</v>
      </c>
      <c r="O367" s="29">
        <f t="shared" si="45"/>
        <v>7.1322262046460416E-3</v>
      </c>
      <c r="P367" s="29">
        <f t="shared" si="46"/>
        <v>4.8771573294560611E-2</v>
      </c>
      <c r="Q367" s="29">
        <f t="shared" si="47"/>
        <v>-6.8675972824129183E-2</v>
      </c>
    </row>
    <row r="368" spans="2:17" ht="13.95" customHeight="1" x14ac:dyDescent="0.3">
      <c r="B368" s="89">
        <v>45058</v>
      </c>
      <c r="C368" s="91">
        <f t="shared" si="40"/>
        <v>1</v>
      </c>
      <c r="D368" s="90">
        <v>5.1175691427227239</v>
      </c>
      <c r="E368" s="90">
        <v>2.5770959763880441</v>
      </c>
      <c r="F368" s="90">
        <v>0.99756014784155467</v>
      </c>
      <c r="G368" s="90">
        <v>3.45640403596733</v>
      </c>
      <c r="H368" s="90">
        <v>3.0212187142520048</v>
      </c>
      <c r="I368" s="90">
        <v>0.82315557226553471</v>
      </c>
      <c r="J368" s="90">
        <v>4.2537770170783276</v>
      </c>
      <c r="K368" s="29">
        <f t="shared" si="41"/>
        <v>3.6046896349841262E-2</v>
      </c>
      <c r="L368" s="29">
        <f t="shared" si="42"/>
        <v>3.405246393678274E-2</v>
      </c>
      <c r="M368" s="29">
        <f t="shared" si="43"/>
        <v>3.2789488030583458E-2</v>
      </c>
      <c r="N368" s="29">
        <f t="shared" si="44"/>
        <v>2.6124892673548672E-2</v>
      </c>
      <c r="O368" s="29">
        <f t="shared" si="45"/>
        <v>3.151325298840546E-2</v>
      </c>
      <c r="P368" s="29">
        <f t="shared" si="46"/>
        <v>4.1291179301208736E-2</v>
      </c>
      <c r="Q368" s="29">
        <f t="shared" si="47"/>
        <v>6.1760145533777955E-3</v>
      </c>
    </row>
    <row r="369" spans="2:17" ht="13.95" customHeight="1" x14ac:dyDescent="0.3">
      <c r="B369" s="89">
        <v>45065</v>
      </c>
      <c r="C369" s="91">
        <f t="shared" si="40"/>
        <v>1</v>
      </c>
      <c r="D369" s="90">
        <v>5.1817038390377528</v>
      </c>
      <c r="E369" s="90">
        <v>2.637122431292116</v>
      </c>
      <c r="F369" s="90">
        <v>1.028185424738072</v>
      </c>
      <c r="G369" s="90">
        <v>3.532010354518845</v>
      </c>
      <c r="H369" s="90">
        <v>3.0849748082588881</v>
      </c>
      <c r="I369" s="90">
        <v>0.84850215409111018</v>
      </c>
      <c r="J369" s="90">
        <v>4.3831038249208003</v>
      </c>
      <c r="K369" s="29">
        <f t="shared" si="41"/>
        <v>1.2532257899481314E-2</v>
      </c>
      <c r="L369" s="29">
        <f t="shared" si="42"/>
        <v>2.3292285368511134E-2</v>
      </c>
      <c r="M369" s="29">
        <f t="shared" si="43"/>
        <v>3.0700180798904242E-2</v>
      </c>
      <c r="N369" s="29">
        <f t="shared" si="44"/>
        <v>2.1874270995160261E-2</v>
      </c>
      <c r="O369" s="29">
        <f t="shared" si="45"/>
        <v>2.1102773429188204E-2</v>
      </c>
      <c r="P369" s="29">
        <f t="shared" si="46"/>
        <v>3.0791970168913663E-2</v>
      </c>
      <c r="Q369" s="29">
        <f t="shared" si="47"/>
        <v>3.0402817854166653E-2</v>
      </c>
    </row>
    <row r="370" spans="2:17" ht="13.95" customHeight="1" x14ac:dyDescent="0.3">
      <c r="B370" s="89">
        <v>45072</v>
      </c>
      <c r="C370" s="91">
        <f t="shared" si="40"/>
        <v>1</v>
      </c>
      <c r="D370" s="90">
        <v>5.221461581120951</v>
      </c>
      <c r="E370" s="90">
        <v>2.6572084088355918</v>
      </c>
      <c r="F370" s="90">
        <v>1.0443670572342501</v>
      </c>
      <c r="G370" s="90">
        <v>3.487016218629877</v>
      </c>
      <c r="H370" s="90">
        <v>3.0894104668231641</v>
      </c>
      <c r="I370" s="90">
        <v>0.86779713665020486</v>
      </c>
      <c r="J370" s="90">
        <v>4.3526221185826746</v>
      </c>
      <c r="K370" s="29">
        <f t="shared" si="41"/>
        <v>7.672716025117543E-3</v>
      </c>
      <c r="L370" s="29">
        <f t="shared" si="42"/>
        <v>7.6166268600712517E-3</v>
      </c>
      <c r="M370" s="29">
        <f t="shared" si="43"/>
        <v>1.5738048903290336E-2</v>
      </c>
      <c r="N370" s="29">
        <f t="shared" si="44"/>
        <v>-1.273895922513435E-2</v>
      </c>
      <c r="O370" s="29">
        <f t="shared" si="45"/>
        <v>1.437826510738871E-3</v>
      </c>
      <c r="P370" s="29">
        <f t="shared" si="46"/>
        <v>2.274005135527668E-2</v>
      </c>
      <c r="Q370" s="29">
        <f t="shared" si="47"/>
        <v>-6.9543655719076503E-3</v>
      </c>
    </row>
    <row r="371" spans="2:17" ht="13.95" customHeight="1" x14ac:dyDescent="0.3">
      <c r="B371" s="89">
        <v>45079</v>
      </c>
      <c r="C371" s="91">
        <f t="shared" si="40"/>
        <v>1</v>
      </c>
      <c r="D371" s="90">
        <v>5.3082391117800869</v>
      </c>
      <c r="E371" s="90">
        <v>2.669298705009902</v>
      </c>
      <c r="F371" s="90">
        <v>1.0623219422101291</v>
      </c>
      <c r="G371" s="90">
        <v>3.5584913287811242</v>
      </c>
      <c r="H371" s="90">
        <v>3.1357422557681169</v>
      </c>
      <c r="I371" s="90">
        <v>0.89367182206056583</v>
      </c>
      <c r="J371" s="90">
        <v>4.244256215827491</v>
      </c>
      <c r="K371" s="29">
        <f t="shared" si="41"/>
        <v>1.6619394648596852E-2</v>
      </c>
      <c r="L371" s="29">
        <f t="shared" si="42"/>
        <v>4.5499992150062063E-3</v>
      </c>
      <c r="M371" s="29">
        <f t="shared" si="43"/>
        <v>1.7192121152718176E-2</v>
      </c>
      <c r="N371" s="29">
        <f t="shared" si="44"/>
        <v>2.0497498626298682E-2</v>
      </c>
      <c r="O371" s="29">
        <f t="shared" si="45"/>
        <v>1.4996967687688212E-2</v>
      </c>
      <c r="P371" s="29">
        <f t="shared" si="46"/>
        <v>2.9816513926561372E-2</v>
      </c>
      <c r="Q371" s="29">
        <f t="shared" si="47"/>
        <v>-2.4896694406926878E-2</v>
      </c>
    </row>
    <row r="372" spans="2:17" ht="13.95" customHeight="1" x14ac:dyDescent="0.3">
      <c r="B372" s="89">
        <v>45086</v>
      </c>
      <c r="C372" s="91">
        <f t="shared" si="40"/>
        <v>1</v>
      </c>
      <c r="D372" s="90">
        <v>5.4868589898751532</v>
      </c>
      <c r="E372" s="90">
        <v>2.812037929717643</v>
      </c>
      <c r="F372" s="90">
        <v>1.092573260113969</v>
      </c>
      <c r="G372" s="90">
        <v>3.6956149059379468</v>
      </c>
      <c r="H372" s="90">
        <v>3.260076095870621</v>
      </c>
      <c r="I372" s="90">
        <v>0.92561858016918863</v>
      </c>
      <c r="J372" s="90">
        <v>4.2565193405624706</v>
      </c>
      <c r="K372" s="29">
        <f t="shared" si="41"/>
        <v>3.3649553897953099E-2</v>
      </c>
      <c r="L372" s="29">
        <f t="shared" si="42"/>
        <v>5.347442923485457E-2</v>
      </c>
      <c r="M372" s="29">
        <f t="shared" si="43"/>
        <v>2.8476600832420873E-2</v>
      </c>
      <c r="N372" s="29">
        <f t="shared" si="44"/>
        <v>3.8534188926572677E-2</v>
      </c>
      <c r="O372" s="29">
        <f t="shared" si="45"/>
        <v>3.9650529272230672E-2</v>
      </c>
      <c r="P372" s="29">
        <f t="shared" si="46"/>
        <v>3.5747751378086612E-2</v>
      </c>
      <c r="Q372" s="29">
        <f t="shared" si="47"/>
        <v>2.8893460034877805E-3</v>
      </c>
    </row>
    <row r="373" spans="2:17" ht="13.95" customHeight="1" x14ac:dyDescent="0.3">
      <c r="B373" s="89">
        <v>45093</v>
      </c>
      <c r="C373" s="91">
        <f t="shared" si="40"/>
        <v>1</v>
      </c>
      <c r="D373" s="90">
        <v>5.5891421475991523</v>
      </c>
      <c r="E373" s="90">
        <v>2.8274121644503811</v>
      </c>
      <c r="F373" s="90">
        <v>1.0783967846592351</v>
      </c>
      <c r="G373" s="90">
        <v>3.811652976062387</v>
      </c>
      <c r="H373" s="90">
        <v>3.3102782082638682</v>
      </c>
      <c r="I373" s="90">
        <v>0.90817344713935844</v>
      </c>
      <c r="J373" s="90">
        <v>4.2921217820707867</v>
      </c>
      <c r="K373" s="29">
        <f t="shared" si="41"/>
        <v>1.864147737580657E-2</v>
      </c>
      <c r="L373" s="29">
        <f t="shared" si="42"/>
        <v>5.4672928022283518E-3</v>
      </c>
      <c r="M373" s="29">
        <f t="shared" si="43"/>
        <v>-1.2975308816596143E-2</v>
      </c>
      <c r="N373" s="29">
        <f t="shared" si="44"/>
        <v>3.1398853256597636E-2</v>
      </c>
      <c r="O373" s="29">
        <f t="shared" si="45"/>
        <v>1.5399061530139146E-2</v>
      </c>
      <c r="P373" s="29">
        <f t="shared" si="46"/>
        <v>-1.8846999621206284E-2</v>
      </c>
      <c r="Q373" s="29">
        <f t="shared" si="47"/>
        <v>8.3642146692586294E-3</v>
      </c>
    </row>
    <row r="374" spans="2:17" ht="13.95" customHeight="1" x14ac:dyDescent="0.3">
      <c r="B374" s="89">
        <v>45100</v>
      </c>
      <c r="C374" s="91">
        <f t="shared" si="40"/>
        <v>1</v>
      </c>
      <c r="D374" s="90">
        <v>5.6166820327245199</v>
      </c>
      <c r="E374" s="90">
        <v>2.8898821344123808</v>
      </c>
      <c r="F374" s="90">
        <v>1.0841446678864191</v>
      </c>
      <c r="G374" s="90">
        <v>3.7542646147737679</v>
      </c>
      <c r="H374" s="90">
        <v>3.3172372943573372</v>
      </c>
      <c r="I374" s="90">
        <v>0.92936918478169395</v>
      </c>
      <c r="J374" s="90">
        <v>4.0416617936048871</v>
      </c>
      <c r="K374" s="29">
        <f t="shared" si="41"/>
        <v>4.9273903576056988E-3</v>
      </c>
      <c r="L374" s="29">
        <f t="shared" si="42"/>
        <v>2.209439810277658E-2</v>
      </c>
      <c r="M374" s="29">
        <f t="shared" si="43"/>
        <v>5.3300263028883688E-3</v>
      </c>
      <c r="N374" s="29">
        <f t="shared" si="44"/>
        <v>-1.5056029929540915E-2</v>
      </c>
      <c r="O374" s="29">
        <f t="shared" si="45"/>
        <v>2.1022662313083806E-3</v>
      </c>
      <c r="P374" s="29">
        <f t="shared" si="46"/>
        <v>2.3338865179443058E-2</v>
      </c>
      <c r="Q374" s="29">
        <f t="shared" si="47"/>
        <v>-5.8353420798107458E-2</v>
      </c>
    </row>
    <row r="375" spans="2:17" ht="13.95" customHeight="1" x14ac:dyDescent="0.3">
      <c r="B375" s="89">
        <v>45107</v>
      </c>
      <c r="C375" s="91">
        <f t="shared" si="40"/>
        <v>1</v>
      </c>
      <c r="D375" s="90">
        <v>5.6179237866698806</v>
      </c>
      <c r="E375" s="90">
        <v>2.8930010446951901</v>
      </c>
      <c r="F375" s="90">
        <v>1.0858506971192401</v>
      </c>
      <c r="G375" s="90">
        <v>3.6700933762716939</v>
      </c>
      <c r="H375" s="90">
        <v>3.2926525118129168</v>
      </c>
      <c r="I375" s="90">
        <v>0.92123088075368198</v>
      </c>
      <c r="J375" s="90">
        <v>4.2084757751141826</v>
      </c>
      <c r="K375" s="29">
        <f t="shared" si="41"/>
        <v>2.2108318365288149E-4</v>
      </c>
      <c r="L375" s="29">
        <f t="shared" si="42"/>
        <v>1.0792517264526236E-3</v>
      </c>
      <c r="M375" s="29">
        <f t="shared" si="43"/>
        <v>1.5736176945342351E-3</v>
      </c>
      <c r="N375" s="29">
        <f t="shared" si="44"/>
        <v>-2.242016670078173E-2</v>
      </c>
      <c r="O375" s="29">
        <f t="shared" si="45"/>
        <v>-7.4112221595480365E-3</v>
      </c>
      <c r="P375" s="29">
        <f t="shared" si="46"/>
        <v>-8.7568042509647004E-3</v>
      </c>
      <c r="Q375" s="29">
        <f t="shared" si="47"/>
        <v>4.1273612199131726E-2</v>
      </c>
    </row>
    <row r="376" spans="2:17" ht="13.95" customHeight="1" x14ac:dyDescent="0.3">
      <c r="B376" s="89">
        <v>45114</v>
      </c>
      <c r="C376" s="91">
        <f t="shared" si="40"/>
        <v>1</v>
      </c>
      <c r="D376" s="90">
        <v>5.662991258379094</v>
      </c>
      <c r="E376" s="90">
        <v>2.8763533810681721</v>
      </c>
      <c r="F376" s="90">
        <v>1.0925490889068179</v>
      </c>
      <c r="G376" s="90">
        <v>3.7288059682952381</v>
      </c>
      <c r="H376" s="90">
        <v>3.3154318279625619</v>
      </c>
      <c r="I376" s="90">
        <v>0.93330020192482943</v>
      </c>
      <c r="J376" s="90">
        <v>4.1278102067795013</v>
      </c>
      <c r="K376" s="29">
        <f t="shared" si="41"/>
        <v>8.0220867033029553E-3</v>
      </c>
      <c r="L376" s="29">
        <f t="shared" si="42"/>
        <v>-5.7544616713998131E-3</v>
      </c>
      <c r="M376" s="29">
        <f t="shared" si="43"/>
        <v>6.1687963228724829E-3</v>
      </c>
      <c r="N376" s="29">
        <f t="shared" si="44"/>
        <v>1.599757444950578E-2</v>
      </c>
      <c r="O376" s="29">
        <f t="shared" si="45"/>
        <v>6.9182265872029802E-3</v>
      </c>
      <c r="P376" s="29">
        <f t="shared" si="46"/>
        <v>1.3101298950457752E-2</v>
      </c>
      <c r="Q376" s="29">
        <f t="shared" si="47"/>
        <v>-1.9167407072099074E-2</v>
      </c>
    </row>
    <row r="377" spans="2:17" ht="13.95" customHeight="1" x14ac:dyDescent="0.3">
      <c r="B377" s="89">
        <v>45121</v>
      </c>
      <c r="C377" s="91">
        <f t="shared" si="40"/>
        <v>1</v>
      </c>
      <c r="D377" s="90">
        <v>5.5736258729641959</v>
      </c>
      <c r="E377" s="90">
        <v>2.8169718044251839</v>
      </c>
      <c r="F377" s="90">
        <v>1.0448838646032099</v>
      </c>
      <c r="G377" s="90">
        <v>3.7869842730818042</v>
      </c>
      <c r="H377" s="90">
        <v>3.2825068840373159</v>
      </c>
      <c r="I377" s="90">
        <v>0.88934740172138693</v>
      </c>
      <c r="J377" s="90">
        <v>4.0017385541056818</v>
      </c>
      <c r="K377" s="29">
        <f t="shared" si="41"/>
        <v>-1.5780597450626654E-2</v>
      </c>
      <c r="L377" s="29">
        <f t="shared" si="42"/>
        <v>-2.064474310904596E-2</v>
      </c>
      <c r="M377" s="29">
        <f t="shared" si="43"/>
        <v>-4.3627535629818581E-2</v>
      </c>
      <c r="N377" s="29">
        <f t="shared" si="44"/>
        <v>1.5602395319369355E-2</v>
      </c>
      <c r="O377" s="29">
        <f t="shared" si="45"/>
        <v>-9.9308161451412413E-3</v>
      </c>
      <c r="P377" s="29">
        <f t="shared" si="46"/>
        <v>-4.7093957670634401E-2</v>
      </c>
      <c r="Q377" s="29">
        <f t="shared" si="47"/>
        <v>-3.0542017766892471E-2</v>
      </c>
    </row>
    <row r="378" spans="2:17" ht="13.95" customHeight="1" x14ac:dyDescent="0.3">
      <c r="B378" s="89">
        <v>45128</v>
      </c>
      <c r="C378" s="91">
        <f t="shared" si="40"/>
        <v>1</v>
      </c>
      <c r="D378" s="90">
        <v>5.7674251108274852</v>
      </c>
      <c r="E378" s="90">
        <v>2.8791631422470858</v>
      </c>
      <c r="F378" s="90">
        <v>1.0826999290121231</v>
      </c>
      <c r="G378" s="90">
        <v>3.8092620746032981</v>
      </c>
      <c r="H378" s="90">
        <v>3.3526104942868491</v>
      </c>
      <c r="I378" s="90">
        <v>0.91472094303492568</v>
      </c>
      <c r="J378" s="90">
        <v>4.2603234194383353</v>
      </c>
      <c r="K378" s="29">
        <f t="shared" si="41"/>
        <v>3.477076543715385E-2</v>
      </c>
      <c r="L378" s="29">
        <f t="shared" si="42"/>
        <v>2.2077373200614092E-2</v>
      </c>
      <c r="M378" s="29">
        <f t="shared" si="43"/>
        <v>3.6191643578756594E-2</v>
      </c>
      <c r="N378" s="29">
        <f t="shared" si="44"/>
        <v>5.8827288192999649E-3</v>
      </c>
      <c r="O378" s="29">
        <f t="shared" si="45"/>
        <v>2.1356729087285142E-2</v>
      </c>
      <c r="P378" s="29">
        <f t="shared" si="46"/>
        <v>2.8530517168461555E-2</v>
      </c>
      <c r="Q378" s="29">
        <f t="shared" si="47"/>
        <v>6.4618130804010576E-2</v>
      </c>
    </row>
    <row r="379" spans="2:17" ht="13.95" customHeight="1" x14ac:dyDescent="0.3">
      <c r="B379" s="89">
        <v>45135</v>
      </c>
      <c r="C379" s="91">
        <f t="shared" si="40"/>
        <v>1</v>
      </c>
      <c r="D379" s="90">
        <v>5.6466748321267728</v>
      </c>
      <c r="E379" s="90">
        <v>2.908036653951156</v>
      </c>
      <c r="F379" s="90">
        <v>1.085511841758815</v>
      </c>
      <c r="G379" s="90">
        <v>3.8306575832025809</v>
      </c>
      <c r="H379" s="90">
        <v>3.3511492563387688</v>
      </c>
      <c r="I379" s="90">
        <v>0.90725179024734648</v>
      </c>
      <c r="J379" s="90">
        <v>4.4357551120482386</v>
      </c>
      <c r="K379" s="29">
        <f t="shared" si="41"/>
        <v>-2.0936601062061744E-2</v>
      </c>
      <c r="L379" s="29">
        <f t="shared" si="42"/>
        <v>1.002843891698868E-2</v>
      </c>
      <c r="M379" s="29">
        <f t="shared" si="43"/>
        <v>2.5971302586651479E-3</v>
      </c>
      <c r="N379" s="29">
        <f t="shared" si="44"/>
        <v>5.6167069054997576E-3</v>
      </c>
      <c r="O379" s="29">
        <f t="shared" si="45"/>
        <v>-4.3585079464802945E-4</v>
      </c>
      <c r="P379" s="29">
        <f t="shared" si="46"/>
        <v>-8.1654988272134021E-3</v>
      </c>
      <c r="Q379" s="29">
        <f t="shared" si="47"/>
        <v>4.1178022262223335E-2</v>
      </c>
    </row>
    <row r="380" spans="2:17" ht="13.95" customHeight="1" x14ac:dyDescent="0.3">
      <c r="B380" s="89">
        <v>45142</v>
      </c>
      <c r="C380" s="91">
        <f t="shared" si="40"/>
        <v>1</v>
      </c>
      <c r="D380" s="90">
        <v>5.5270501055141548</v>
      </c>
      <c r="E380" s="90">
        <v>2.8739010945999128</v>
      </c>
      <c r="F380" s="90">
        <v>1.086491487577572</v>
      </c>
      <c r="G380" s="90">
        <v>3.856964286829474</v>
      </c>
      <c r="H380" s="90">
        <v>3.331983655890268</v>
      </c>
      <c r="I380" s="90">
        <v>0.90826943807660632</v>
      </c>
      <c r="J380" s="90">
        <v>4.4376908288948416</v>
      </c>
      <c r="K380" s="29">
        <f t="shared" si="41"/>
        <v>-2.1184985884438179E-2</v>
      </c>
      <c r="L380" s="29">
        <f t="shared" si="42"/>
        <v>-1.173835250833688E-2</v>
      </c>
      <c r="M380" s="29">
        <f t="shared" si="43"/>
        <v>9.0247363600348685E-4</v>
      </c>
      <c r="N380" s="29">
        <f t="shared" si="44"/>
        <v>6.8674119405107703E-3</v>
      </c>
      <c r="O380" s="29">
        <f t="shared" si="45"/>
        <v>-5.7191127528112284E-3</v>
      </c>
      <c r="P380" s="29">
        <f t="shared" si="46"/>
        <v>1.121681808952335E-3</v>
      </c>
      <c r="Q380" s="29">
        <f t="shared" si="47"/>
        <v>4.3638947545709961E-4</v>
      </c>
    </row>
    <row r="381" spans="2:17" ht="13.95" customHeight="1" x14ac:dyDescent="0.3">
      <c r="B381" s="89">
        <v>45149</v>
      </c>
      <c r="C381" s="91">
        <f t="shared" si="40"/>
        <v>1</v>
      </c>
      <c r="D381" s="90">
        <v>5.467131984736632</v>
      </c>
      <c r="E381" s="90">
        <v>2.854610060732869</v>
      </c>
      <c r="F381" s="90">
        <v>1.066907106740264</v>
      </c>
      <c r="G381" s="90">
        <v>3.8018491441815021</v>
      </c>
      <c r="H381" s="90">
        <v>3.2919235827725348</v>
      </c>
      <c r="I381" s="90">
        <v>0.88972396276593158</v>
      </c>
      <c r="J381" s="90">
        <v>4.3950588800187989</v>
      </c>
      <c r="K381" s="29">
        <f t="shared" si="41"/>
        <v>-1.0840886120743631E-2</v>
      </c>
      <c r="L381" s="29">
        <f t="shared" si="42"/>
        <v>-6.7124905249146272E-3</v>
      </c>
      <c r="M381" s="29">
        <f t="shared" si="43"/>
        <v>-1.802534217821905E-2</v>
      </c>
      <c r="N381" s="29">
        <f t="shared" si="44"/>
        <v>-1.4289772616297158E-2</v>
      </c>
      <c r="O381" s="29">
        <f t="shared" si="45"/>
        <v>-1.2022890042367118E-2</v>
      </c>
      <c r="P381" s="29">
        <f t="shared" si="46"/>
        <v>-2.0418473344151589E-2</v>
      </c>
      <c r="Q381" s="29">
        <f t="shared" si="47"/>
        <v>-9.6067866193958462E-3</v>
      </c>
    </row>
    <row r="382" spans="2:17" ht="13.95" customHeight="1" x14ac:dyDescent="0.3">
      <c r="B382" s="89">
        <v>45156</v>
      </c>
      <c r="C382" s="91">
        <f t="shared" si="40"/>
        <v>1</v>
      </c>
      <c r="D382" s="90">
        <v>5.348618648976168</v>
      </c>
      <c r="E382" s="90">
        <v>2.7775874203878552</v>
      </c>
      <c r="F382" s="90">
        <v>1.017681311127776</v>
      </c>
      <c r="G382" s="90">
        <v>3.766397708979254</v>
      </c>
      <c r="H382" s="90">
        <v>3.2194499130036678</v>
      </c>
      <c r="I382" s="90">
        <v>0.85410077578302823</v>
      </c>
      <c r="J382" s="90">
        <v>4.0989892876781777</v>
      </c>
      <c r="K382" s="29">
        <f t="shared" si="41"/>
        <v>-2.1677423572603383E-2</v>
      </c>
      <c r="L382" s="29">
        <f t="shared" si="42"/>
        <v>-2.6981842950991264E-2</v>
      </c>
      <c r="M382" s="29">
        <f t="shared" si="43"/>
        <v>-4.6138783125072802E-2</v>
      </c>
      <c r="N382" s="29">
        <f t="shared" si="44"/>
        <v>-9.3247874541535491E-3</v>
      </c>
      <c r="O382" s="29">
        <f t="shared" si="45"/>
        <v>-2.2015599070446257E-2</v>
      </c>
      <c r="P382" s="29">
        <f t="shared" si="46"/>
        <v>-4.003847088951018E-2</v>
      </c>
      <c r="Q382" s="29">
        <f t="shared" si="47"/>
        <v>-6.736419247683767E-2</v>
      </c>
    </row>
    <row r="383" spans="2:17" ht="13.95" customHeight="1" x14ac:dyDescent="0.3">
      <c r="B383" s="89">
        <v>45163</v>
      </c>
      <c r="C383" s="91">
        <f t="shared" si="40"/>
        <v>1</v>
      </c>
      <c r="D383" s="90">
        <v>5.3337067143998222</v>
      </c>
      <c r="E383" s="90">
        <v>2.7504124803825012</v>
      </c>
      <c r="F383" s="90">
        <v>1.0069040794316571</v>
      </c>
      <c r="G383" s="90">
        <v>3.854453494912331</v>
      </c>
      <c r="H383" s="90">
        <v>3.2318551131916782</v>
      </c>
      <c r="I383" s="90">
        <v>0.84261413249645711</v>
      </c>
      <c r="J383" s="90">
        <v>4.0975483017029877</v>
      </c>
      <c r="K383" s="29">
        <f t="shared" si="41"/>
        <v>-2.7879973419305815E-3</v>
      </c>
      <c r="L383" s="29">
        <f t="shared" si="42"/>
        <v>-9.7836488622775608E-3</v>
      </c>
      <c r="M383" s="29">
        <f t="shared" si="43"/>
        <v>-1.0589986843893118E-2</v>
      </c>
      <c r="N383" s="29">
        <f t="shared" si="44"/>
        <v>2.3379311675755465E-2</v>
      </c>
      <c r="O383" s="29">
        <f t="shared" si="45"/>
        <v>3.8532049024599946E-3</v>
      </c>
      <c r="P383" s="29">
        <f t="shared" si="46"/>
        <v>-1.3448814955167698E-2</v>
      </c>
      <c r="Q383" s="29">
        <f t="shared" si="47"/>
        <v>-3.5154665554304465E-4</v>
      </c>
    </row>
    <row r="384" spans="2:17" ht="13.95" customHeight="1" x14ac:dyDescent="0.3">
      <c r="B384" s="89">
        <v>45170</v>
      </c>
      <c r="C384" s="91">
        <f t="shared" si="40"/>
        <v>1</v>
      </c>
      <c r="D384" s="90">
        <v>5.365874696242849</v>
      </c>
      <c r="E384" s="90">
        <v>2.7214267241932939</v>
      </c>
      <c r="F384" s="90">
        <v>1.0065466413363009</v>
      </c>
      <c r="G384" s="90">
        <v>4.053791324890855</v>
      </c>
      <c r="H384" s="90">
        <v>3.289251322583743</v>
      </c>
      <c r="I384" s="90">
        <v>0.84044330040259141</v>
      </c>
      <c r="J384" s="90">
        <v>4.1282818105601651</v>
      </c>
      <c r="K384" s="29">
        <f t="shared" si="41"/>
        <v>6.0310743663838373E-3</v>
      </c>
      <c r="L384" s="29">
        <f t="shared" si="42"/>
        <v>-1.0538694248935387E-2</v>
      </c>
      <c r="M384" s="29">
        <f t="shared" si="43"/>
        <v>-3.5498723528648579E-4</v>
      </c>
      <c r="N384" s="29">
        <f t="shared" si="44"/>
        <v>5.171623687810456E-2</v>
      </c>
      <c r="O384" s="29">
        <f t="shared" si="45"/>
        <v>1.7759524292344286E-2</v>
      </c>
      <c r="P384" s="29">
        <f t="shared" si="46"/>
        <v>-2.5763062950701077E-3</v>
      </c>
      <c r="Q384" s="29">
        <f t="shared" si="47"/>
        <v>7.5004628607804325E-3</v>
      </c>
    </row>
    <row r="385" spans="2:17" ht="13.95" customHeight="1" x14ac:dyDescent="0.3">
      <c r="B385" s="89">
        <v>45177</v>
      </c>
      <c r="C385" s="91">
        <f t="shared" si="40"/>
        <v>1</v>
      </c>
      <c r="D385" s="90">
        <v>5.1968969599499584</v>
      </c>
      <c r="E385" s="90">
        <v>2.6711019843775938</v>
      </c>
      <c r="F385" s="90">
        <v>0.96569937918308646</v>
      </c>
      <c r="G385" s="90">
        <v>4.0162552454991207</v>
      </c>
      <c r="H385" s="90">
        <v>3.2198947438767012</v>
      </c>
      <c r="I385" s="90">
        <v>0.80337874239289397</v>
      </c>
      <c r="J385" s="90">
        <v>4.0115708099158063</v>
      </c>
      <c r="K385" s="29">
        <f t="shared" si="41"/>
        <v>-3.1491181933713031E-2</v>
      </c>
      <c r="L385" s="29">
        <f t="shared" si="42"/>
        <v>-1.8492042930392638E-2</v>
      </c>
      <c r="M385" s="29">
        <f t="shared" si="43"/>
        <v>-4.0581589044880406E-2</v>
      </c>
      <c r="N385" s="29">
        <f t="shared" si="44"/>
        <v>-9.25949965930839E-3</v>
      </c>
      <c r="O385" s="29">
        <f t="shared" si="45"/>
        <v>-2.1085825285178106E-2</v>
      </c>
      <c r="P385" s="29">
        <f t="shared" si="46"/>
        <v>-4.4101199916690037E-2</v>
      </c>
      <c r="Q385" s="29">
        <f t="shared" si="47"/>
        <v>-2.8271083709889067E-2</v>
      </c>
    </row>
    <row r="386" spans="2:17" ht="13.95" customHeight="1" x14ac:dyDescent="0.3">
      <c r="B386" s="89">
        <v>45184</v>
      </c>
      <c r="C386" s="91">
        <f t="shared" si="40"/>
        <v>1</v>
      </c>
      <c r="D386" s="90">
        <v>5.3834245097193536</v>
      </c>
      <c r="E386" s="90">
        <v>2.74899655539835</v>
      </c>
      <c r="F386" s="90">
        <v>0.97818291962980641</v>
      </c>
      <c r="G386" s="90">
        <v>4.1444017141654834</v>
      </c>
      <c r="H386" s="90">
        <v>3.315581621477691</v>
      </c>
      <c r="I386" s="90">
        <v>0.81536347755227445</v>
      </c>
      <c r="J386" s="90">
        <v>4.0359474707876339</v>
      </c>
      <c r="K386" s="29">
        <f t="shared" si="41"/>
        <v>3.5892100845345887E-2</v>
      </c>
      <c r="L386" s="29">
        <f t="shared" si="42"/>
        <v>2.9161960672537512E-2</v>
      </c>
      <c r="M386" s="29">
        <f t="shared" si="43"/>
        <v>1.2926942603276981E-2</v>
      </c>
      <c r="N386" s="29">
        <f t="shared" si="44"/>
        <v>3.1906953326726883E-2</v>
      </c>
      <c r="O386" s="29">
        <f t="shared" si="45"/>
        <v>2.9717393024401906E-2</v>
      </c>
      <c r="P386" s="29">
        <f t="shared" si="46"/>
        <v>1.4917914212770222E-2</v>
      </c>
      <c r="Q386" s="29">
        <f t="shared" si="47"/>
        <v>6.0765874583526003E-3</v>
      </c>
    </row>
    <row r="387" spans="2:17" ht="13.95" customHeight="1" x14ac:dyDescent="0.3">
      <c r="B387" s="89">
        <v>45191</v>
      </c>
      <c r="C387" s="91">
        <f t="shared" si="40"/>
        <v>1</v>
      </c>
      <c r="D387" s="90">
        <v>5.2141304082990523</v>
      </c>
      <c r="E387" s="90">
        <v>2.700480268231467</v>
      </c>
      <c r="F387" s="90">
        <v>0.93470900063043005</v>
      </c>
      <c r="G387" s="90">
        <v>4.0951716912587646</v>
      </c>
      <c r="H387" s="90">
        <v>3.2420063617498531</v>
      </c>
      <c r="I387" s="90">
        <v>0.77682719165183312</v>
      </c>
      <c r="J387" s="90">
        <v>3.8960680182235201</v>
      </c>
      <c r="K387" s="29">
        <f t="shared" si="41"/>
        <v>-3.1447288081156155E-2</v>
      </c>
      <c r="L387" s="29">
        <f t="shared" si="42"/>
        <v>-1.7648726067556852E-2</v>
      </c>
      <c r="M387" s="29">
        <f t="shared" si="43"/>
        <v>-4.4443547445940923E-2</v>
      </c>
      <c r="N387" s="29">
        <f t="shared" si="44"/>
        <v>-1.1878680278133213E-2</v>
      </c>
      <c r="O387" s="29">
        <f t="shared" si="45"/>
        <v>-2.2190755085391811E-2</v>
      </c>
      <c r="P387" s="29">
        <f t="shared" si="46"/>
        <v>-4.7262707935027293E-2</v>
      </c>
      <c r="Q387" s="29">
        <f t="shared" si="47"/>
        <v>-3.4658392750789635E-2</v>
      </c>
    </row>
    <row r="388" spans="2:17" ht="13.95" customHeight="1" x14ac:dyDescent="0.3">
      <c r="B388" s="89">
        <v>45198</v>
      </c>
      <c r="C388" s="91">
        <f t="shared" si="40"/>
        <v>1</v>
      </c>
      <c r="D388" s="90">
        <v>5.2476929792625358</v>
      </c>
      <c r="E388" s="90">
        <v>2.7159617176031938</v>
      </c>
      <c r="F388" s="90">
        <v>0.94253851884367224</v>
      </c>
      <c r="G388" s="90">
        <v>4.1050795089102898</v>
      </c>
      <c r="H388" s="90">
        <v>3.258055022530908</v>
      </c>
      <c r="I388" s="90">
        <v>0.77738832395468438</v>
      </c>
      <c r="J388" s="90">
        <v>4.0308581791626574</v>
      </c>
      <c r="K388" s="29">
        <f t="shared" si="41"/>
        <v>6.4368491647357473E-3</v>
      </c>
      <c r="L388" s="29">
        <f t="shared" si="42"/>
        <v>5.7328503947431386E-3</v>
      </c>
      <c r="M388" s="29">
        <f t="shared" si="43"/>
        <v>8.3764232589622623E-3</v>
      </c>
      <c r="N388" s="29">
        <f t="shared" si="44"/>
        <v>2.4193900521127798E-3</v>
      </c>
      <c r="O388" s="29">
        <f t="shared" si="45"/>
        <v>4.9502249503274864E-3</v>
      </c>
      <c r="P388" s="29">
        <f t="shared" si="46"/>
        <v>7.2233864736137576E-4</v>
      </c>
      <c r="Q388" s="29">
        <f t="shared" si="47"/>
        <v>3.4596459894608689E-2</v>
      </c>
    </row>
    <row r="389" spans="2:17" ht="13.95" customHeight="1" x14ac:dyDescent="0.3">
      <c r="B389" s="89">
        <v>45205</v>
      </c>
      <c r="C389" s="91">
        <f t="shared" si="40"/>
        <v>1</v>
      </c>
      <c r="D389" s="90">
        <v>5.2978014594418603</v>
      </c>
      <c r="E389" s="90">
        <v>2.6483811665879471</v>
      </c>
      <c r="F389" s="90">
        <v>0.89390057696372061</v>
      </c>
      <c r="G389" s="90">
        <v>4.0024503249036369</v>
      </c>
      <c r="H389" s="90">
        <v>3.1917717170791842</v>
      </c>
      <c r="I389" s="90">
        <v>0.73381401632425192</v>
      </c>
      <c r="J389" s="90">
        <v>3.8763232694448631</v>
      </c>
      <c r="K389" s="29">
        <f t="shared" si="41"/>
        <v>9.5486684105452468E-3</v>
      </c>
      <c r="L389" s="29">
        <f t="shared" si="42"/>
        <v>-2.488273327905588E-2</v>
      </c>
      <c r="M389" s="29">
        <f t="shared" si="43"/>
        <v>-5.1603134415792118E-2</v>
      </c>
      <c r="N389" s="29">
        <f t="shared" si="44"/>
        <v>-2.5000535016164949E-2</v>
      </c>
      <c r="O389" s="29">
        <f t="shared" si="45"/>
        <v>-2.0344440162411326E-2</v>
      </c>
      <c r="P389" s="29">
        <f t="shared" si="46"/>
        <v>-5.6052176612022886E-2</v>
      </c>
      <c r="Q389" s="29">
        <f t="shared" si="47"/>
        <v>-3.83379674622778E-2</v>
      </c>
    </row>
    <row r="390" spans="2:17" ht="13.95" customHeight="1" x14ac:dyDescent="0.3">
      <c r="B390" s="89">
        <v>45212</v>
      </c>
      <c r="C390" s="91">
        <f t="shared" si="40"/>
        <v>1</v>
      </c>
      <c r="D390" s="90">
        <v>5.2634286915462454</v>
      </c>
      <c r="E390" s="90">
        <v>2.648779525659072</v>
      </c>
      <c r="F390" s="90">
        <v>0.89944882503815993</v>
      </c>
      <c r="G390" s="90">
        <v>4.1542267312074914</v>
      </c>
      <c r="H390" s="90">
        <v>3.236052697744725</v>
      </c>
      <c r="I390" s="90">
        <v>0.74060036851455824</v>
      </c>
      <c r="J390" s="90">
        <v>3.865880575529562</v>
      </c>
      <c r="K390" s="29">
        <f t="shared" si="41"/>
        <v>-6.4881192998191839E-3</v>
      </c>
      <c r="L390" s="29">
        <f t="shared" si="42"/>
        <v>1.5041606402843577E-4</v>
      </c>
      <c r="M390" s="29">
        <f t="shared" si="43"/>
        <v>6.2067843084796515E-3</v>
      </c>
      <c r="N390" s="29">
        <f t="shared" si="44"/>
        <v>3.7920871961729663E-2</v>
      </c>
      <c r="O390" s="29">
        <f t="shared" si="45"/>
        <v>1.387347986968912E-2</v>
      </c>
      <c r="P390" s="29">
        <f t="shared" si="46"/>
        <v>9.2480547377655764E-3</v>
      </c>
      <c r="Q390" s="29">
        <f t="shared" si="47"/>
        <v>-2.6939687919259603E-3</v>
      </c>
    </row>
    <row r="391" spans="2:17" ht="13.95" customHeight="1" x14ac:dyDescent="0.3">
      <c r="B391" s="89">
        <v>45219</v>
      </c>
      <c r="C391" s="91">
        <f t="shared" si="40"/>
        <v>1</v>
      </c>
      <c r="D391" s="90">
        <v>5.1502034064490037</v>
      </c>
      <c r="E391" s="90">
        <v>2.5886737660135459</v>
      </c>
      <c r="F391" s="90">
        <v>0.86257228828907984</v>
      </c>
      <c r="G391" s="90">
        <v>4.0841230350201734</v>
      </c>
      <c r="H391" s="90">
        <v>3.163569970261213</v>
      </c>
      <c r="I391" s="90">
        <v>0.70209509399417014</v>
      </c>
      <c r="J391" s="90">
        <v>3.8332476985757178</v>
      </c>
      <c r="K391" s="29">
        <f t="shared" si="41"/>
        <v>-2.1511697361663917E-2</v>
      </c>
      <c r="L391" s="29">
        <f t="shared" si="42"/>
        <v>-2.2691869618922111E-2</v>
      </c>
      <c r="M391" s="29">
        <f t="shared" si="43"/>
        <v>-4.0999038213781147E-2</v>
      </c>
      <c r="N391" s="29">
        <f t="shared" si="44"/>
        <v>-1.6875269628564893E-2</v>
      </c>
      <c r="O391" s="29">
        <f t="shared" si="45"/>
        <v>-2.2398500350141681E-2</v>
      </c>
      <c r="P391" s="29">
        <f t="shared" si="46"/>
        <v>-5.1991973211705456E-2</v>
      </c>
      <c r="Q391" s="29">
        <f t="shared" si="47"/>
        <v>-8.4412532452258215E-3</v>
      </c>
    </row>
    <row r="392" spans="2:17" ht="13.95" customHeight="1" x14ac:dyDescent="0.3">
      <c r="B392" s="89">
        <v>45226</v>
      </c>
      <c r="C392" s="91">
        <f t="shared" si="40"/>
        <v>1</v>
      </c>
      <c r="D392" s="90">
        <v>5.1865126057724931</v>
      </c>
      <c r="E392" s="90">
        <v>2.5768671770175038</v>
      </c>
      <c r="F392" s="90">
        <v>0.85379633490961226</v>
      </c>
      <c r="G392" s="90">
        <v>4.1045877835470099</v>
      </c>
      <c r="H392" s="90">
        <v>3.1676687096482721</v>
      </c>
      <c r="I392" s="90">
        <v>0.70620940598271309</v>
      </c>
      <c r="J392" s="90">
        <v>3.6202074926335359</v>
      </c>
      <c r="K392" s="29">
        <f t="shared" si="41"/>
        <v>7.0500515140865527E-3</v>
      </c>
      <c r="L392" s="29">
        <f t="shared" si="42"/>
        <v>-4.5608640034328074E-3</v>
      </c>
      <c r="M392" s="29">
        <f t="shared" si="43"/>
        <v>-1.0174165688622727E-2</v>
      </c>
      <c r="N392" s="29">
        <f t="shared" si="44"/>
        <v>5.0108060779161523E-3</v>
      </c>
      <c r="O392" s="29">
        <f t="shared" si="45"/>
        <v>1.2956057320017145E-3</v>
      </c>
      <c r="P392" s="29">
        <f t="shared" si="46"/>
        <v>5.8600494772538259E-3</v>
      </c>
      <c r="Q392" s="29">
        <f t="shared" si="47"/>
        <v>-5.557694745928865E-2</v>
      </c>
    </row>
    <row r="393" spans="2:17" ht="13.95" customHeight="1" x14ac:dyDescent="0.3">
      <c r="B393" s="89">
        <v>45233</v>
      </c>
      <c r="C393" s="91">
        <f t="shared" si="40"/>
        <v>1</v>
      </c>
      <c r="D393" s="90">
        <v>5.3876465607634749</v>
      </c>
      <c r="E393" s="90">
        <v>2.7150851874156561</v>
      </c>
      <c r="F393" s="90">
        <v>0.91327059021408985</v>
      </c>
      <c r="G393" s="90">
        <v>4.2307394456637901</v>
      </c>
      <c r="H393" s="90">
        <v>3.303602635151361</v>
      </c>
      <c r="I393" s="90">
        <v>0.75694309518287117</v>
      </c>
      <c r="J393" s="90">
        <v>3.848639297082157</v>
      </c>
      <c r="K393" s="29">
        <f t="shared" si="41"/>
        <v>3.8780192063376795E-2</v>
      </c>
      <c r="L393" s="29">
        <f t="shared" si="42"/>
        <v>5.3638003398424061E-2</v>
      </c>
      <c r="M393" s="29">
        <f t="shared" si="43"/>
        <v>6.9658597574998815E-2</v>
      </c>
      <c r="N393" s="29">
        <f t="shared" si="44"/>
        <v>3.0734307260390725E-2</v>
      </c>
      <c r="O393" s="29">
        <f t="shared" si="45"/>
        <v>4.291292365551147E-2</v>
      </c>
      <c r="P393" s="29">
        <f t="shared" si="46"/>
        <v>7.1839441347514299E-2</v>
      </c>
      <c r="Q393" s="29">
        <f t="shared" si="47"/>
        <v>6.3099091671800167E-2</v>
      </c>
    </row>
    <row r="394" spans="2:17" ht="13.95" customHeight="1" x14ac:dyDescent="0.3">
      <c r="B394" s="89">
        <v>45240</v>
      </c>
      <c r="C394" s="91">
        <f t="shared" si="40"/>
        <v>1</v>
      </c>
      <c r="D394" s="90">
        <v>5.5989771027202444</v>
      </c>
      <c r="E394" s="90">
        <v>2.7936345809983898</v>
      </c>
      <c r="F394" s="90">
        <v>0.93699415604226</v>
      </c>
      <c r="G394" s="90">
        <v>4.2392003454205707</v>
      </c>
      <c r="H394" s="90">
        <v>3.3709620001331482</v>
      </c>
      <c r="I394" s="90">
        <v>0.78346949074244787</v>
      </c>
      <c r="J394" s="90">
        <v>3.842553846050222</v>
      </c>
      <c r="K394" s="29">
        <f t="shared" si="41"/>
        <v>3.9225019602403544E-2</v>
      </c>
      <c r="L394" s="29">
        <f t="shared" si="42"/>
        <v>2.8930728931382266E-2</v>
      </c>
      <c r="M394" s="29">
        <f t="shared" si="43"/>
        <v>2.5976491614176256E-2</v>
      </c>
      <c r="N394" s="29">
        <f t="shared" si="44"/>
        <v>1.9998631126887378E-3</v>
      </c>
      <c r="O394" s="29">
        <f t="shared" si="45"/>
        <v>2.0389669225064244E-2</v>
      </c>
      <c r="P394" s="29">
        <f t="shared" si="46"/>
        <v>3.504410797639701E-2</v>
      </c>
      <c r="Q394" s="29">
        <f t="shared" si="47"/>
        <v>-1.5811954725267752E-3</v>
      </c>
    </row>
    <row r="395" spans="2:17" ht="13.95" customHeight="1" x14ac:dyDescent="0.3">
      <c r="B395" s="89">
        <v>45247</v>
      </c>
      <c r="C395" s="91">
        <f t="shared" si="40"/>
        <v>1</v>
      </c>
      <c r="D395" s="90">
        <v>5.6900402095369067</v>
      </c>
      <c r="E395" s="90">
        <v>2.912886800133236</v>
      </c>
      <c r="F395" s="90">
        <v>0.97715719399416634</v>
      </c>
      <c r="G395" s="90">
        <v>4.4042128463360406</v>
      </c>
      <c r="H395" s="90">
        <v>3.4885676874543159</v>
      </c>
      <c r="I395" s="90">
        <v>0.82534032953704572</v>
      </c>
      <c r="J395" s="90">
        <v>3.8791843837596551</v>
      </c>
      <c r="K395" s="29">
        <f t="shared" si="41"/>
        <v>1.6264239904181688E-2</v>
      </c>
      <c r="L395" s="29">
        <f t="shared" si="42"/>
        <v>4.2687121624986446E-2</v>
      </c>
      <c r="M395" s="29">
        <f t="shared" si="43"/>
        <v>4.2863701649484831E-2</v>
      </c>
      <c r="N395" s="29">
        <f t="shared" si="44"/>
        <v>3.8925383909662603E-2</v>
      </c>
      <c r="O395" s="29">
        <f t="shared" si="45"/>
        <v>3.4887870974672053E-2</v>
      </c>
      <c r="P395" s="29">
        <f t="shared" si="46"/>
        <v>5.3442845304568776E-2</v>
      </c>
      <c r="Q395" s="29">
        <f t="shared" si="47"/>
        <v>9.5328625640693776E-3</v>
      </c>
    </row>
    <row r="396" spans="2:17" ht="13.95" customHeight="1" x14ac:dyDescent="0.3">
      <c r="B396" s="89">
        <v>45254</v>
      </c>
      <c r="C396" s="91">
        <f t="shared" si="40"/>
        <v>1</v>
      </c>
      <c r="D396" s="90">
        <v>5.7882638275490361</v>
      </c>
      <c r="E396" s="90">
        <v>2.9250571271350561</v>
      </c>
      <c r="F396" s="90">
        <v>0.96467983932089929</v>
      </c>
      <c r="G396" s="90">
        <v>4.4363311294015553</v>
      </c>
      <c r="H396" s="90">
        <v>3.5107377986469568</v>
      </c>
      <c r="I396" s="90">
        <v>0.80854254702084039</v>
      </c>
      <c r="J396" s="90">
        <v>3.9263667261100732</v>
      </c>
      <c r="K396" s="29">
        <f t="shared" si="41"/>
        <v>1.7262376783822919E-2</v>
      </c>
      <c r="L396" s="29">
        <f t="shared" si="42"/>
        <v>4.1780981675165751E-3</v>
      </c>
      <c r="M396" s="29">
        <f t="shared" si="43"/>
        <v>-1.2769035268793805E-2</v>
      </c>
      <c r="N396" s="29">
        <f t="shared" si="44"/>
        <v>7.2926273516127349E-3</v>
      </c>
      <c r="O396" s="29">
        <f t="shared" si="45"/>
        <v>6.3550755435732853E-3</v>
      </c>
      <c r="P396" s="29">
        <f t="shared" si="46"/>
        <v>-2.0352552656220824E-2</v>
      </c>
      <c r="Q396" s="29">
        <f t="shared" si="47"/>
        <v>1.2162954292131323E-2</v>
      </c>
    </row>
    <row r="397" spans="2:17" ht="13.95" customHeight="1" x14ac:dyDescent="0.3">
      <c r="B397" s="89">
        <v>45261</v>
      </c>
      <c r="C397" s="91">
        <f t="shared" si="40"/>
        <v>1</v>
      </c>
      <c r="D397" s="90">
        <v>5.9780462540432726</v>
      </c>
      <c r="E397" s="90">
        <v>2.9818175043985282</v>
      </c>
      <c r="F397" s="90">
        <v>1.0070165770496231</v>
      </c>
      <c r="G397" s="90">
        <v>4.4717093187731933</v>
      </c>
      <c r="H397" s="90">
        <v>3.585224839292517</v>
      </c>
      <c r="I397" s="90">
        <v>0.84086537063508437</v>
      </c>
      <c r="J397" s="90">
        <v>4.1474738941787974</v>
      </c>
      <c r="K397" s="29">
        <f t="shared" si="41"/>
        <v>3.2787452705761888E-2</v>
      </c>
      <c r="L397" s="29">
        <f t="shared" si="42"/>
        <v>1.9404878194316133E-2</v>
      </c>
      <c r="M397" s="29">
        <f t="shared" si="43"/>
        <v>4.388682752873474E-2</v>
      </c>
      <c r="N397" s="29">
        <f t="shared" si="44"/>
        <v>7.9746502999225033E-3</v>
      </c>
      <c r="O397" s="29">
        <f t="shared" si="45"/>
        <v>2.1216919325125261E-2</v>
      </c>
      <c r="P397" s="29">
        <f t="shared" si="46"/>
        <v>3.9976651486481218E-2</v>
      </c>
      <c r="Q397" s="29">
        <f t="shared" si="47"/>
        <v>5.6313427525344517E-2</v>
      </c>
    </row>
    <row r="398" spans="2:17" ht="13.95" customHeight="1" x14ac:dyDescent="0.3">
      <c r="B398" s="89">
        <v>45268</v>
      </c>
      <c r="C398" s="91">
        <f t="shared" si="40"/>
        <v>1</v>
      </c>
      <c r="D398" s="90">
        <v>6.0318337170490306</v>
      </c>
      <c r="E398" s="90">
        <v>2.961037735003853</v>
      </c>
      <c r="F398" s="90">
        <v>1.0071462736543171</v>
      </c>
      <c r="G398" s="90">
        <v>4.3678224045359233</v>
      </c>
      <c r="H398" s="90">
        <v>3.5553966605815051</v>
      </c>
      <c r="I398" s="90">
        <v>0.84089913874162192</v>
      </c>
      <c r="J398" s="90">
        <v>4.1491580959805816</v>
      </c>
      <c r="K398" s="29">
        <f t="shared" si="41"/>
        <v>8.9974986341696539E-3</v>
      </c>
      <c r="L398" s="29">
        <f t="shared" si="42"/>
        <v>-6.9688266850747027E-3</v>
      </c>
      <c r="M398" s="29">
        <f t="shared" si="43"/>
        <v>1.2879291925260716E-4</v>
      </c>
      <c r="N398" s="29">
        <f t="shared" si="44"/>
        <v>-2.323203652820871E-2</v>
      </c>
      <c r="O398" s="29">
        <f t="shared" si="45"/>
        <v>-8.3197512145146701E-3</v>
      </c>
      <c r="P398" s="29">
        <f t="shared" si="46"/>
        <v>4.0158755154839909E-5</v>
      </c>
      <c r="Q398" s="29">
        <f t="shared" si="47"/>
        <v>4.060789397970499E-4</v>
      </c>
    </row>
    <row r="399" spans="2:17" ht="13.95" customHeight="1" x14ac:dyDescent="0.3">
      <c r="B399" s="89">
        <v>45275</v>
      </c>
      <c r="C399" s="91">
        <f t="shared" si="40"/>
        <v>1</v>
      </c>
      <c r="D399" s="90">
        <v>6.2697389875197711</v>
      </c>
      <c r="E399" s="90">
        <v>3.0016321835264712</v>
      </c>
      <c r="F399" s="90">
        <v>1.0435924809873509</v>
      </c>
      <c r="G399" s="90">
        <v>4.4450488259514342</v>
      </c>
      <c r="H399" s="90">
        <v>3.642340946271025</v>
      </c>
      <c r="I399" s="90">
        <v>0.87090444270953349</v>
      </c>
      <c r="J399" s="90">
        <v>4.3058613940142614</v>
      </c>
      <c r="K399" s="29">
        <f t="shared" si="41"/>
        <v>3.9441616203427454E-2</v>
      </c>
      <c r="L399" s="29">
        <f t="shared" si="42"/>
        <v>1.3709534344237273E-2</v>
      </c>
      <c r="M399" s="29">
        <f t="shared" si="43"/>
        <v>3.6187600834576727E-2</v>
      </c>
      <c r="N399" s="29">
        <f t="shared" si="44"/>
        <v>1.768076040255484E-2</v>
      </c>
      <c r="O399" s="29">
        <f t="shared" si="45"/>
        <v>2.4454173187894002E-2</v>
      </c>
      <c r="P399" s="29">
        <f t="shared" si="46"/>
        <v>3.5682405398599348E-2</v>
      </c>
      <c r="Q399" s="29">
        <f t="shared" si="47"/>
        <v>3.7767492683752568E-2</v>
      </c>
    </row>
    <row r="400" spans="2:17" ht="13.95" customHeight="1" x14ac:dyDescent="0.3">
      <c r="B400" s="89">
        <v>45282</v>
      </c>
      <c r="C400" s="91">
        <f t="shared" si="40"/>
        <v>1</v>
      </c>
      <c r="D400" s="90">
        <v>6.3210606027984646</v>
      </c>
      <c r="E400" s="90">
        <v>3.0589436934295602</v>
      </c>
      <c r="F400" s="90">
        <v>1.046775654496426</v>
      </c>
      <c r="G400" s="90">
        <v>4.6026130164979424</v>
      </c>
      <c r="H400" s="90">
        <v>3.7163312594954538</v>
      </c>
      <c r="I400" s="90">
        <v>0.87445364656600022</v>
      </c>
      <c r="J400" s="90">
        <v>4.305219231504263</v>
      </c>
      <c r="K400" s="29">
        <f t="shared" si="41"/>
        <v>8.1856063515326483E-3</v>
      </c>
      <c r="L400" s="29">
        <f t="shared" si="42"/>
        <v>1.9093448630256971E-2</v>
      </c>
      <c r="M400" s="29">
        <f t="shared" si="43"/>
        <v>3.0502074009419733E-3</v>
      </c>
      <c r="N400" s="29">
        <f t="shared" si="44"/>
        <v>3.544712256625937E-2</v>
      </c>
      <c r="O400" s="29">
        <f t="shared" si="45"/>
        <v>2.0313944882117463E-2</v>
      </c>
      <c r="P400" s="29">
        <f t="shared" si="46"/>
        <v>4.07530801591105E-3</v>
      </c>
      <c r="Q400" s="29">
        <f t="shared" si="47"/>
        <v>-1.4913682797390582E-4</v>
      </c>
    </row>
    <row r="401" spans="2:17" ht="13.95" customHeight="1" x14ac:dyDescent="0.3">
      <c r="B401" s="89">
        <v>45289</v>
      </c>
      <c r="C401" s="91">
        <f t="shared" si="40"/>
        <v>1</v>
      </c>
      <c r="D401" s="90">
        <v>6.4149248788360023</v>
      </c>
      <c r="E401" s="90">
        <v>3.0909674555870472</v>
      </c>
      <c r="F401" s="90">
        <v>1.0481946678321949</v>
      </c>
      <c r="G401" s="90">
        <v>4.656747191507149</v>
      </c>
      <c r="H401" s="90">
        <v>3.7567691661478562</v>
      </c>
      <c r="I401" s="90">
        <v>0.87469215046171833</v>
      </c>
      <c r="J401" s="90">
        <v>4.3256668190571563</v>
      </c>
      <c r="K401" s="29">
        <f t="shared" si="41"/>
        <v>1.484945042228869E-2</v>
      </c>
      <c r="L401" s="29">
        <f t="shared" si="42"/>
        <v>1.046889559499653E-2</v>
      </c>
      <c r="M401" s="29">
        <f t="shared" si="43"/>
        <v>1.3556040682392023E-3</v>
      </c>
      <c r="N401" s="29">
        <f t="shared" si="44"/>
        <v>1.1761617762597876E-2</v>
      </c>
      <c r="O401" s="29">
        <f t="shared" si="45"/>
        <v>1.08811362143999E-2</v>
      </c>
      <c r="P401" s="29">
        <f t="shared" si="46"/>
        <v>2.7274618460881861E-4</v>
      </c>
      <c r="Q401" s="29">
        <f t="shared" si="47"/>
        <v>4.7494881104461761E-3</v>
      </c>
    </row>
    <row r="402" spans="2:17" ht="13.95" customHeight="1" x14ac:dyDescent="0.3">
      <c r="B402" s="89">
        <v>45296</v>
      </c>
      <c r="C402" s="91">
        <f t="shared" si="40"/>
        <v>1</v>
      </c>
      <c r="D402" s="90">
        <v>6.3284546879488097</v>
      </c>
      <c r="E402" s="90">
        <v>3.0163513488322669</v>
      </c>
      <c r="F402" s="90">
        <v>1.0061241101490419</v>
      </c>
      <c r="G402" s="90">
        <v>4.6385636385597637</v>
      </c>
      <c r="H402" s="90">
        <v>3.6964516056156351</v>
      </c>
      <c r="I402" s="90">
        <v>0.83676370177195314</v>
      </c>
      <c r="J402" s="90">
        <v>4.1954073769681273</v>
      </c>
      <c r="K402" s="29">
        <f t="shared" si="41"/>
        <v>-1.3479532889383194E-2</v>
      </c>
      <c r="L402" s="29">
        <f t="shared" si="42"/>
        <v>-2.4140049297480926E-2</v>
      </c>
      <c r="M402" s="29">
        <f t="shared" si="43"/>
        <v>-4.0136206540871355E-2</v>
      </c>
      <c r="N402" s="29">
        <f t="shared" si="44"/>
        <v>-3.9047756297674319E-3</v>
      </c>
      <c r="O402" s="29">
        <f t="shared" si="45"/>
        <v>-1.6055700487466962E-2</v>
      </c>
      <c r="P402" s="29">
        <f t="shared" si="46"/>
        <v>-4.3362054489392787E-2</v>
      </c>
      <c r="Q402" s="29">
        <f t="shared" si="47"/>
        <v>-3.0113147299084209E-2</v>
      </c>
    </row>
    <row r="403" spans="2:17" ht="13.95" customHeight="1" x14ac:dyDescent="0.3">
      <c r="B403" s="89">
        <v>45303</v>
      </c>
      <c r="C403" s="91">
        <f t="shared" si="40"/>
        <v>1</v>
      </c>
      <c r="D403" s="90">
        <v>6.2533629891074733</v>
      </c>
      <c r="E403" s="90">
        <v>3.056091577948453</v>
      </c>
      <c r="F403" s="90">
        <v>1.009913374909406</v>
      </c>
      <c r="G403" s="90">
        <v>4.5310486865341133</v>
      </c>
      <c r="H403" s="90">
        <v>3.6674739660457218</v>
      </c>
      <c r="I403" s="90">
        <v>0.84760599295576433</v>
      </c>
      <c r="J403" s="90">
        <v>4.0930319803361286</v>
      </c>
      <c r="K403" s="29">
        <f t="shared" si="41"/>
        <v>-1.18657243425212E-2</v>
      </c>
      <c r="L403" s="29">
        <f t="shared" si="42"/>
        <v>1.3174933726328275E-2</v>
      </c>
      <c r="M403" s="29">
        <f t="shared" si="43"/>
        <v>3.7662001358886865E-3</v>
      </c>
      <c r="N403" s="29">
        <f t="shared" si="44"/>
        <v>-2.3178501019559761E-2</v>
      </c>
      <c r="O403" s="29">
        <f t="shared" si="45"/>
        <v>-7.8393125790935381E-3</v>
      </c>
      <c r="P403" s="29">
        <f t="shared" si="46"/>
        <v>1.2957410988133633E-2</v>
      </c>
      <c r="Q403" s="29">
        <f t="shared" si="47"/>
        <v>-2.4401777332522578E-2</v>
      </c>
    </row>
    <row r="404" spans="2:17" ht="13.95" customHeight="1" x14ac:dyDescent="0.3">
      <c r="B404" s="89">
        <v>45310</v>
      </c>
      <c r="C404" s="91">
        <f t="shared" si="40"/>
        <v>1</v>
      </c>
      <c r="D404" s="90">
        <v>6.185435826167101</v>
      </c>
      <c r="E404" s="90">
        <v>2.9751838625347191</v>
      </c>
      <c r="F404" s="90">
        <v>0.97578518641401113</v>
      </c>
      <c r="G404" s="90">
        <v>4.3855272568881114</v>
      </c>
      <c r="H404" s="90">
        <v>3.5736236176348242</v>
      </c>
      <c r="I404" s="90">
        <v>0.81801410246549466</v>
      </c>
      <c r="J404" s="90">
        <v>3.9692911368528092</v>
      </c>
      <c r="K404" s="29">
        <f t="shared" si="41"/>
        <v>-1.0862501194747964E-2</v>
      </c>
      <c r="L404" s="29">
        <f t="shared" si="42"/>
        <v>-2.6474244423017934E-2</v>
      </c>
      <c r="M404" s="29">
        <f t="shared" si="43"/>
        <v>-3.3793183993088838E-2</v>
      </c>
      <c r="N404" s="29">
        <f t="shared" si="44"/>
        <v>-3.2116500994235464E-2</v>
      </c>
      <c r="O404" s="29">
        <f t="shared" si="45"/>
        <v>-2.5589915369484517E-2</v>
      </c>
      <c r="P404" s="29">
        <f t="shared" si="46"/>
        <v>-3.4912318619972349E-2</v>
      </c>
      <c r="Q404" s="29">
        <f t="shared" si="47"/>
        <v>-3.0232073455032649E-2</v>
      </c>
    </row>
    <row r="405" spans="2:17" ht="13.95" customHeight="1" x14ac:dyDescent="0.3">
      <c r="B405" s="89">
        <v>45317</v>
      </c>
      <c r="C405" s="91">
        <f t="shared" si="40"/>
        <v>1</v>
      </c>
      <c r="D405" s="90">
        <v>6.1456952364623358</v>
      </c>
      <c r="E405" s="90">
        <v>2.975678645341282</v>
      </c>
      <c r="F405" s="90">
        <v>0.96069235213944904</v>
      </c>
      <c r="G405" s="90">
        <v>4.5528677971090667</v>
      </c>
      <c r="H405" s="90">
        <v>3.6109180123852642</v>
      </c>
      <c r="I405" s="90">
        <v>0.80007235207028549</v>
      </c>
      <c r="J405" s="90">
        <v>3.9891695555383362</v>
      </c>
      <c r="K405" s="29">
        <f t="shared" si="41"/>
        <v>-6.4248649281340997E-3</v>
      </c>
      <c r="L405" s="29">
        <f t="shared" si="42"/>
        <v>1.6630327046129878E-4</v>
      </c>
      <c r="M405" s="29">
        <f t="shared" si="43"/>
        <v>-1.5467373848979893E-2</v>
      </c>
      <c r="N405" s="29">
        <f t="shared" si="44"/>
        <v>3.8157450727987818E-2</v>
      </c>
      <c r="O405" s="29">
        <f t="shared" si="45"/>
        <v>1.0436016419413274E-2</v>
      </c>
      <c r="P405" s="29">
        <f t="shared" si="46"/>
        <v>-2.1933302055713644E-2</v>
      </c>
      <c r="Q405" s="29">
        <f t="shared" si="47"/>
        <v>5.0080525716458268E-3</v>
      </c>
    </row>
    <row r="406" spans="2:17" ht="13.95" customHeight="1" x14ac:dyDescent="0.3">
      <c r="B406" s="89">
        <v>45324</v>
      </c>
      <c r="C406" s="91">
        <f t="shared" si="40"/>
        <v>1</v>
      </c>
      <c r="D406" s="90">
        <v>6.1332196894891817</v>
      </c>
      <c r="E406" s="90">
        <v>2.9388148455492198</v>
      </c>
      <c r="F406" s="90">
        <v>0.94242318864813268</v>
      </c>
      <c r="G406" s="90">
        <v>4.4576245053075114</v>
      </c>
      <c r="H406" s="90">
        <v>3.5609794805012811</v>
      </c>
      <c r="I406" s="90">
        <v>0.78320455569534486</v>
      </c>
      <c r="J406" s="90">
        <v>3.9387150239810271</v>
      </c>
      <c r="K406" s="29">
        <f t="shared" si="41"/>
        <v>-2.0299651208112168E-3</v>
      </c>
      <c r="L406" s="29">
        <f t="shared" si="42"/>
        <v>-1.2388367221634056E-2</v>
      </c>
      <c r="M406" s="29">
        <f t="shared" si="43"/>
        <v>-1.9016663816081358E-2</v>
      </c>
      <c r="N406" s="29">
        <f t="shared" si="44"/>
        <v>-2.091940641501433E-2</v>
      </c>
      <c r="O406" s="29">
        <f t="shared" si="45"/>
        <v>-1.3829871437871621E-2</v>
      </c>
      <c r="P406" s="29">
        <f t="shared" si="46"/>
        <v>-2.1082838734888365E-2</v>
      </c>
      <c r="Q406" s="29">
        <f t="shared" si="47"/>
        <v>-1.2647878425538717E-2</v>
      </c>
    </row>
    <row r="407" spans="2:17" ht="13.95" customHeight="1" x14ac:dyDescent="0.3">
      <c r="B407" s="89">
        <v>45331</v>
      </c>
      <c r="C407" s="91">
        <f t="shared" ref="C407:C470" si="48">IF(B407&gt;$C$17,1,0)</f>
        <v>1</v>
      </c>
      <c r="D407" s="90">
        <v>6.1233519673637362</v>
      </c>
      <c r="E407" s="90">
        <v>2.9822975876816509</v>
      </c>
      <c r="F407" s="90">
        <v>0.94315493162039987</v>
      </c>
      <c r="G407" s="90">
        <v>4.4954160611926488</v>
      </c>
      <c r="H407" s="90">
        <v>3.584561556278326</v>
      </c>
      <c r="I407" s="90">
        <v>0.7790894476199699</v>
      </c>
      <c r="J407" s="90">
        <v>4.0143579980668136</v>
      </c>
      <c r="K407" s="29">
        <f t="shared" ref="K407:K470" si="49">D407/D406-1</f>
        <v>-1.6088975489262358E-3</v>
      </c>
      <c r="L407" s="29">
        <f t="shared" ref="L407:L470" si="50">E407/E406-1</f>
        <v>1.4796012820707194E-2</v>
      </c>
      <c r="M407" s="29">
        <f t="shared" ref="M407:M470" si="51">F407/F406-1</f>
        <v>7.7644839503232532E-4</v>
      </c>
      <c r="N407" s="29">
        <f t="shared" ref="N407:N470" si="52">G407/G406-1</f>
        <v>8.4779585719121364E-3</v>
      </c>
      <c r="O407" s="29">
        <f t="shared" ref="O407:O470" si="53">H407/H406-1</f>
        <v>6.6223565471725809E-3</v>
      </c>
      <c r="P407" s="29">
        <f t="shared" ref="P407:P470" si="54">I407/I406-1</f>
        <v>-5.2541932314495998E-3</v>
      </c>
      <c r="Q407" s="29">
        <f t="shared" ref="Q407:Q470" si="55">J407/J406-1</f>
        <v>1.9204987826037412E-2</v>
      </c>
    </row>
    <row r="408" spans="2:17" ht="13.95" customHeight="1" x14ac:dyDescent="0.3">
      <c r="B408" s="89">
        <v>45338</v>
      </c>
      <c r="C408" s="91">
        <f t="shared" si="48"/>
        <v>1</v>
      </c>
      <c r="D408" s="90">
        <v>6.1007936872273731</v>
      </c>
      <c r="E408" s="90">
        <v>2.9453223030930968</v>
      </c>
      <c r="F408" s="90">
        <v>0.93361014627645922</v>
      </c>
      <c r="G408" s="90">
        <v>4.6254061193983471</v>
      </c>
      <c r="H408" s="90">
        <v>3.6042186907741649</v>
      </c>
      <c r="I408" s="90">
        <v>0.76853082528299588</v>
      </c>
      <c r="J408" s="90">
        <v>4.0148283944455141</v>
      </c>
      <c r="K408" s="29">
        <f t="shared" si="49"/>
        <v>-3.6839757467143075E-3</v>
      </c>
      <c r="L408" s="29">
        <f t="shared" si="50"/>
        <v>-1.2398254534114916E-2</v>
      </c>
      <c r="M408" s="29">
        <f t="shared" si="51"/>
        <v>-1.0120060897674699E-2</v>
      </c>
      <c r="N408" s="29">
        <f t="shared" si="52"/>
        <v>2.8916135111020536E-2</v>
      </c>
      <c r="O408" s="29">
        <f t="shared" si="53"/>
        <v>5.4838323145574019E-3</v>
      </c>
      <c r="P408" s="29">
        <f t="shared" si="54"/>
        <v>-1.3552516170292628E-2</v>
      </c>
      <c r="Q408" s="29">
        <f t="shared" si="55"/>
        <v>1.1717848256864727E-4</v>
      </c>
    </row>
    <row r="409" spans="2:17" ht="13.95" customHeight="1" x14ac:dyDescent="0.3">
      <c r="B409" s="89">
        <v>45345</v>
      </c>
      <c r="C409" s="91">
        <f t="shared" si="48"/>
        <v>1</v>
      </c>
      <c r="D409" s="90">
        <v>6.1748201160314187</v>
      </c>
      <c r="E409" s="90">
        <v>2.9567016905590302</v>
      </c>
      <c r="F409" s="90">
        <v>0.9609756939734232</v>
      </c>
      <c r="G409" s="90">
        <v>4.6012968566456633</v>
      </c>
      <c r="H409" s="90">
        <v>3.6238659896730381</v>
      </c>
      <c r="I409" s="90">
        <v>0.78294825366192777</v>
      </c>
      <c r="J409" s="90">
        <v>4.2571312582837253</v>
      </c>
      <c r="K409" s="29">
        <f t="shared" si="49"/>
        <v>1.2133901357626264E-2</v>
      </c>
      <c r="L409" s="29">
        <f t="shared" si="50"/>
        <v>3.8635457498090719E-3</v>
      </c>
      <c r="M409" s="29">
        <f t="shared" si="51"/>
        <v>2.931153630464145E-2</v>
      </c>
      <c r="N409" s="29">
        <f t="shared" si="52"/>
        <v>-5.2123558732654063E-3</v>
      </c>
      <c r="O409" s="29">
        <f t="shared" si="53"/>
        <v>5.4511949980073915E-3</v>
      </c>
      <c r="P409" s="29">
        <f t="shared" si="54"/>
        <v>1.8759726877087823E-2</v>
      </c>
      <c r="Q409" s="29">
        <f t="shared" si="55"/>
        <v>6.0351985199027514E-2</v>
      </c>
    </row>
    <row r="410" spans="2:17" ht="13.95" customHeight="1" x14ac:dyDescent="0.3">
      <c r="B410" s="89">
        <v>45352</v>
      </c>
      <c r="C410" s="91">
        <f t="shared" si="48"/>
        <v>1</v>
      </c>
      <c r="D410" s="90">
        <v>6.158823396405813</v>
      </c>
      <c r="E410" s="90">
        <v>2.9843394671714569</v>
      </c>
      <c r="F410" s="90">
        <v>0.9865689036954266</v>
      </c>
      <c r="G410" s="90">
        <v>4.5187617474615926</v>
      </c>
      <c r="H410" s="90">
        <v>3.617240419364308</v>
      </c>
      <c r="I410" s="90">
        <v>0.79252464468017525</v>
      </c>
      <c r="J410" s="90">
        <v>4.5442056639681994</v>
      </c>
      <c r="K410" s="29">
        <f t="shared" si="49"/>
        <v>-2.5906373505640845E-3</v>
      </c>
      <c r="L410" s="29">
        <f t="shared" si="50"/>
        <v>9.3475025568783288E-3</v>
      </c>
      <c r="M410" s="29">
        <f t="shared" si="51"/>
        <v>2.6632525549299846E-2</v>
      </c>
      <c r="N410" s="29">
        <f t="shared" si="52"/>
        <v>-1.7937358043931706E-2</v>
      </c>
      <c r="O410" s="29">
        <f t="shared" si="53"/>
        <v>-1.8283154861716833E-3</v>
      </c>
      <c r="P410" s="29">
        <f t="shared" si="54"/>
        <v>1.2231192768433541E-2</v>
      </c>
      <c r="Q410" s="29">
        <f t="shared" si="55"/>
        <v>6.7433768955531104E-2</v>
      </c>
    </row>
    <row r="411" spans="2:17" ht="13.95" customHeight="1" x14ac:dyDescent="0.3">
      <c r="B411" s="89">
        <v>45359</v>
      </c>
      <c r="C411" s="91">
        <f t="shared" si="48"/>
        <v>1</v>
      </c>
      <c r="D411" s="90">
        <v>6.1674429302053104</v>
      </c>
      <c r="E411" s="90">
        <v>2.9988641557002489</v>
      </c>
      <c r="F411" s="90">
        <v>0.98265641748665955</v>
      </c>
      <c r="G411" s="90">
        <v>4.3081572872848168</v>
      </c>
      <c r="H411" s="90">
        <v>3.558212718384238</v>
      </c>
      <c r="I411" s="90">
        <v>0.78759421154863041</v>
      </c>
      <c r="J411" s="90">
        <v>4.5538108074458634</v>
      </c>
      <c r="K411" s="29">
        <f t="shared" si="49"/>
        <v>1.3995422899328869E-3</v>
      </c>
      <c r="L411" s="29">
        <f t="shared" si="50"/>
        <v>4.8669692870288994E-3</v>
      </c>
      <c r="M411" s="29">
        <f t="shared" si="51"/>
        <v>-3.9657505868185838E-3</v>
      </c>
      <c r="N411" s="29">
        <f t="shared" si="52"/>
        <v>-4.6606675002301756E-2</v>
      </c>
      <c r="O411" s="29">
        <f t="shared" si="53"/>
        <v>-1.6318434534811299E-2</v>
      </c>
      <c r="P411" s="29">
        <f t="shared" si="54"/>
        <v>-6.2211732652610596E-3</v>
      </c>
      <c r="Q411" s="29">
        <f t="shared" si="55"/>
        <v>2.1137123158454507E-3</v>
      </c>
    </row>
    <row r="412" spans="2:17" ht="13.95" customHeight="1" x14ac:dyDescent="0.3">
      <c r="B412" s="89">
        <v>45366</v>
      </c>
      <c r="C412" s="91">
        <f t="shared" si="48"/>
        <v>1</v>
      </c>
      <c r="D412" s="90">
        <v>6.2265024006076324</v>
      </c>
      <c r="E412" s="90">
        <v>2.9869137006743229</v>
      </c>
      <c r="F412" s="90">
        <v>0.99021184800678674</v>
      </c>
      <c r="G412" s="90">
        <v>4.2484701422133053</v>
      </c>
      <c r="H412" s="90">
        <v>3.5486017633219298</v>
      </c>
      <c r="I412" s="90">
        <v>0.7830069579262614</v>
      </c>
      <c r="J412" s="90">
        <v>4.7533150813031604</v>
      </c>
      <c r="K412" s="29">
        <f t="shared" si="49"/>
        <v>9.5760059834644196E-3</v>
      </c>
      <c r="L412" s="29">
        <f t="shared" si="50"/>
        <v>-3.98499378613415E-3</v>
      </c>
      <c r="M412" s="29">
        <f t="shared" si="51"/>
        <v>7.6887815371435853E-3</v>
      </c>
      <c r="N412" s="29">
        <f t="shared" si="52"/>
        <v>-1.3854448918955042E-2</v>
      </c>
      <c r="O412" s="29">
        <f t="shared" si="53"/>
        <v>-2.701062534190668E-3</v>
      </c>
      <c r="P412" s="29">
        <f t="shared" si="54"/>
        <v>-5.8243871718522966E-3</v>
      </c>
      <c r="Q412" s="29">
        <f t="shared" si="55"/>
        <v>4.3810400188582843E-2</v>
      </c>
    </row>
    <row r="413" spans="2:17" ht="13.95" customHeight="1" x14ac:dyDescent="0.3">
      <c r="B413" s="89">
        <v>45373</v>
      </c>
      <c r="C413" s="91">
        <f t="shared" si="48"/>
        <v>1</v>
      </c>
      <c r="D413" s="90">
        <v>6.1137077507718169</v>
      </c>
      <c r="E413" s="90">
        <v>2.999378787680735</v>
      </c>
      <c r="F413" s="90">
        <v>1.0091191694563599</v>
      </c>
      <c r="G413" s="90">
        <v>4.2898960058262601</v>
      </c>
      <c r="H413" s="90">
        <v>3.557322657788446</v>
      </c>
      <c r="I413" s="90">
        <v>0.78126269229705869</v>
      </c>
      <c r="J413" s="90">
        <v>5.1021077944778952</v>
      </c>
      <c r="K413" s="29">
        <f t="shared" si="49"/>
        <v>-1.8115250357055634E-2</v>
      </c>
      <c r="L413" s="29">
        <f t="shared" si="50"/>
        <v>4.1732330611352619E-3</v>
      </c>
      <c r="M413" s="29">
        <f t="shared" si="51"/>
        <v>1.9094218563060039E-2</v>
      </c>
      <c r="N413" s="29">
        <f t="shared" si="52"/>
        <v>9.7507719782099489E-3</v>
      </c>
      <c r="O413" s="29">
        <f t="shared" si="53"/>
        <v>2.4575579476555642E-3</v>
      </c>
      <c r="P413" s="29">
        <f t="shared" si="54"/>
        <v>-2.2276502290889955E-3</v>
      </c>
      <c r="Q413" s="29">
        <f t="shared" si="55"/>
        <v>7.3378832921614512E-2</v>
      </c>
    </row>
    <row r="414" spans="2:17" ht="13.95" customHeight="1" x14ac:dyDescent="0.3">
      <c r="B414" s="89">
        <v>45380</v>
      </c>
      <c r="C414" s="91">
        <f t="shared" si="48"/>
        <v>1</v>
      </c>
      <c r="D414" s="90">
        <v>6.2168766488226472</v>
      </c>
      <c r="E414" s="90">
        <v>2.9790358501613161</v>
      </c>
      <c r="F414" s="90">
        <v>1.005355263802137</v>
      </c>
      <c r="G414" s="90">
        <v>4.3687580948892961</v>
      </c>
      <c r="H414" s="90">
        <v>3.587690126902495</v>
      </c>
      <c r="I414" s="90">
        <v>0.7859415008804852</v>
      </c>
      <c r="J414" s="90">
        <v>4.965726593110845</v>
      </c>
      <c r="K414" s="29">
        <f t="shared" si="49"/>
        <v>1.6875013045529741E-2</v>
      </c>
      <c r="L414" s="29">
        <f t="shared" si="50"/>
        <v>-6.7823836065563636E-3</v>
      </c>
      <c r="M414" s="29">
        <f t="shared" si="51"/>
        <v>-3.7298921357827863E-3</v>
      </c>
      <c r="N414" s="29">
        <f t="shared" si="52"/>
        <v>1.8383216972143623E-2</v>
      </c>
      <c r="O414" s="29">
        <f t="shared" si="53"/>
        <v>8.5366080154585244E-3</v>
      </c>
      <c r="P414" s="29">
        <f t="shared" si="54"/>
        <v>5.9887776922638025E-3</v>
      </c>
      <c r="Q414" s="29">
        <f t="shared" si="55"/>
        <v>-2.6730364559262809E-2</v>
      </c>
    </row>
    <row r="415" spans="2:17" ht="13.95" customHeight="1" x14ac:dyDescent="0.3">
      <c r="B415" s="89">
        <v>45387</v>
      </c>
      <c r="C415" s="91">
        <f t="shared" si="48"/>
        <v>1</v>
      </c>
      <c r="D415" s="90">
        <v>6.0997772125848213</v>
      </c>
      <c r="E415" s="90">
        <v>2.9519922416974018</v>
      </c>
      <c r="F415" s="90">
        <v>0.98628779862412885</v>
      </c>
      <c r="G415" s="90">
        <v>4.3607200833313708</v>
      </c>
      <c r="H415" s="90">
        <v>3.5511749268481538</v>
      </c>
      <c r="I415" s="90">
        <v>0.76888139782729858</v>
      </c>
      <c r="J415" s="90">
        <v>4.9048147595246814</v>
      </c>
      <c r="K415" s="29">
        <f t="shared" si="49"/>
        <v>-1.8835734220334244E-2</v>
      </c>
      <c r="L415" s="29">
        <f t="shared" si="50"/>
        <v>-9.0779734867741935E-3</v>
      </c>
      <c r="M415" s="29">
        <f t="shared" si="51"/>
        <v>-1.8965897792087127E-2</v>
      </c>
      <c r="N415" s="29">
        <f t="shared" si="52"/>
        <v>-1.8398847872416191E-3</v>
      </c>
      <c r="O415" s="29">
        <f t="shared" si="53"/>
        <v>-1.0177913577465891E-2</v>
      </c>
      <c r="P415" s="29">
        <f t="shared" si="54"/>
        <v>-2.1706581258368884E-2</v>
      </c>
      <c r="Q415" s="29">
        <f t="shared" si="55"/>
        <v>-1.2266449318951489E-2</v>
      </c>
    </row>
    <row r="416" spans="2:17" ht="13.95" customHeight="1" x14ac:dyDescent="0.3">
      <c r="B416" s="89">
        <v>45394</v>
      </c>
      <c r="C416" s="91">
        <f t="shared" si="48"/>
        <v>1</v>
      </c>
      <c r="D416" s="90">
        <v>6.0152508134291107</v>
      </c>
      <c r="E416" s="90">
        <v>2.8938369071178709</v>
      </c>
      <c r="F416" s="90">
        <v>0.96160124049921858</v>
      </c>
      <c r="G416" s="90">
        <v>4.4212067534918758</v>
      </c>
      <c r="H416" s="90">
        <v>3.5273551297918431</v>
      </c>
      <c r="I416" s="90">
        <v>0.74355300434269345</v>
      </c>
      <c r="J416" s="90">
        <v>4.8760042490669306</v>
      </c>
      <c r="K416" s="29">
        <f t="shared" si="49"/>
        <v>-1.3857292850191105E-2</v>
      </c>
      <c r="L416" s="29">
        <f t="shared" si="50"/>
        <v>-1.970036836753053E-2</v>
      </c>
      <c r="M416" s="29">
        <f t="shared" si="51"/>
        <v>-2.5029771390610356E-2</v>
      </c>
      <c r="N416" s="29">
        <f t="shared" si="52"/>
        <v>1.387079863064633E-2</v>
      </c>
      <c r="O416" s="29">
        <f t="shared" si="53"/>
        <v>-6.7075820107380668E-3</v>
      </c>
      <c r="P416" s="29">
        <f t="shared" si="54"/>
        <v>-3.2941873162984581E-2</v>
      </c>
      <c r="Q416" s="29">
        <f t="shared" si="55"/>
        <v>-5.87392427039235E-3</v>
      </c>
    </row>
    <row r="417" spans="2:17" ht="13.95" customHeight="1" x14ac:dyDescent="0.3">
      <c r="B417" s="89">
        <v>45401</v>
      </c>
      <c r="C417" s="91">
        <f t="shared" si="48"/>
        <v>1</v>
      </c>
      <c r="D417" s="90">
        <v>5.8178872072454393</v>
      </c>
      <c r="E417" s="90">
        <v>2.852821358359757</v>
      </c>
      <c r="F417" s="90">
        <v>0.9391509866153166</v>
      </c>
      <c r="G417" s="90">
        <v>4.5175119706422242</v>
      </c>
      <c r="H417" s="90">
        <v>3.50429635648281</v>
      </c>
      <c r="I417" s="90">
        <v>0.7179211357624169</v>
      </c>
      <c r="J417" s="90">
        <v>4.8899271259831174</v>
      </c>
      <c r="K417" s="29">
        <f t="shared" si="49"/>
        <v>-3.2810536468912521E-2</v>
      </c>
      <c r="L417" s="29">
        <f t="shared" si="50"/>
        <v>-1.4173414077769619E-2</v>
      </c>
      <c r="M417" s="29">
        <f t="shared" si="51"/>
        <v>-2.3346739727838628E-2</v>
      </c>
      <c r="N417" s="29">
        <f t="shared" si="52"/>
        <v>2.1782563566900892E-2</v>
      </c>
      <c r="O417" s="29">
        <f t="shared" si="53"/>
        <v>-6.5371283753881126E-3</v>
      </c>
      <c r="P417" s="29">
        <f t="shared" si="54"/>
        <v>-3.4472147151009547E-2</v>
      </c>
      <c r="Q417" s="29">
        <f t="shared" si="55"/>
        <v>2.855386542957028E-3</v>
      </c>
    </row>
    <row r="418" spans="2:17" ht="13.95" customHeight="1" x14ac:dyDescent="0.3">
      <c r="B418" s="89">
        <v>45408</v>
      </c>
      <c r="C418" s="91">
        <f t="shared" si="48"/>
        <v>1</v>
      </c>
      <c r="D418" s="90">
        <v>5.8959773234382649</v>
      </c>
      <c r="E418" s="90">
        <v>2.8784066264847041</v>
      </c>
      <c r="F418" s="90">
        <v>0.94977155642640809</v>
      </c>
      <c r="G418" s="90">
        <v>4.5694987611302711</v>
      </c>
      <c r="H418" s="90">
        <v>3.5438753064729869</v>
      </c>
      <c r="I418" s="90">
        <v>0.71903968638022686</v>
      </c>
      <c r="J418" s="90">
        <v>5.0533401056192808</v>
      </c>
      <c r="K418" s="29">
        <f t="shared" si="49"/>
        <v>1.3422418381637602E-2</v>
      </c>
      <c r="L418" s="29">
        <f t="shared" si="50"/>
        <v>8.968408782405346E-3</v>
      </c>
      <c r="M418" s="29">
        <f t="shared" si="51"/>
        <v>1.1308692598373193E-2</v>
      </c>
      <c r="N418" s="29">
        <f t="shared" si="52"/>
        <v>1.1507836797310489E-2</v>
      </c>
      <c r="O418" s="29">
        <f t="shared" si="53"/>
        <v>1.1294407197312895E-2</v>
      </c>
      <c r="P418" s="29">
        <f t="shared" si="54"/>
        <v>1.5580410745563711E-3</v>
      </c>
      <c r="Q418" s="29">
        <f t="shared" si="55"/>
        <v>3.3418285268067116E-2</v>
      </c>
    </row>
    <row r="419" spans="2:17" ht="13.95" customHeight="1" x14ac:dyDescent="0.3">
      <c r="B419" s="89">
        <v>45415</v>
      </c>
      <c r="C419" s="91">
        <f t="shared" si="48"/>
        <v>1</v>
      </c>
      <c r="D419" s="90">
        <v>5.9706037646843804</v>
      </c>
      <c r="E419" s="90">
        <v>2.9636024562047778</v>
      </c>
      <c r="F419" s="90">
        <v>0.96422544593414328</v>
      </c>
      <c r="G419" s="90">
        <v>4.6084494869115922</v>
      </c>
      <c r="H419" s="90">
        <v>3.599611025804121</v>
      </c>
      <c r="I419" s="90">
        <v>0.73470139486889818</v>
      </c>
      <c r="J419" s="90">
        <v>5.0597772885695917</v>
      </c>
      <c r="K419" s="29">
        <f t="shared" si="49"/>
        <v>1.2657179149833775E-2</v>
      </c>
      <c r="L419" s="29">
        <f t="shared" si="50"/>
        <v>2.9598260696099166E-2</v>
      </c>
      <c r="M419" s="29">
        <f t="shared" si="51"/>
        <v>1.5218280027377462E-2</v>
      </c>
      <c r="N419" s="29">
        <f t="shared" si="52"/>
        <v>8.5240696666009086E-3</v>
      </c>
      <c r="O419" s="29">
        <f t="shared" si="53"/>
        <v>1.5727336463935648E-2</v>
      </c>
      <c r="P419" s="29">
        <f t="shared" si="54"/>
        <v>2.1781424287601103E-2</v>
      </c>
      <c r="Q419" s="29">
        <f t="shared" si="55"/>
        <v>1.273847161633368E-3</v>
      </c>
    </row>
    <row r="420" spans="2:17" ht="13.95" customHeight="1" x14ac:dyDescent="0.3">
      <c r="B420" s="89">
        <v>45422</v>
      </c>
      <c r="C420" s="91">
        <f t="shared" si="48"/>
        <v>1</v>
      </c>
      <c r="D420" s="90">
        <v>5.8953151889846014</v>
      </c>
      <c r="E420" s="90">
        <v>2.9426183429481578</v>
      </c>
      <c r="F420" s="90">
        <v>0.94240679487973167</v>
      </c>
      <c r="G420" s="90">
        <v>4.628164446389988</v>
      </c>
      <c r="H420" s="90">
        <v>3.577894763641241</v>
      </c>
      <c r="I420" s="90">
        <v>0.71158909042446694</v>
      </c>
      <c r="J420" s="90">
        <v>5.0441621562039671</v>
      </c>
      <c r="K420" s="29">
        <f t="shared" si="49"/>
        <v>-1.2609876432448042E-2</v>
      </c>
      <c r="L420" s="29">
        <f t="shared" si="50"/>
        <v>-7.0806100233472558E-3</v>
      </c>
      <c r="M420" s="29">
        <f t="shared" si="51"/>
        <v>-2.2628163513433996E-2</v>
      </c>
      <c r="N420" s="29">
        <f t="shared" si="52"/>
        <v>4.2780027283337851E-3</v>
      </c>
      <c r="O420" s="29">
        <f t="shared" si="53"/>
        <v>-6.0329468954297694E-3</v>
      </c>
      <c r="P420" s="29">
        <f t="shared" si="54"/>
        <v>-3.1458092506487567E-2</v>
      </c>
      <c r="Q420" s="29">
        <f t="shared" si="55"/>
        <v>-3.0861303719632582E-3</v>
      </c>
    </row>
    <row r="421" spans="2:17" ht="13.95" customHeight="1" x14ac:dyDescent="0.3">
      <c r="B421" s="89">
        <v>45429</v>
      </c>
      <c r="C421" s="91">
        <f t="shared" si="48"/>
        <v>1</v>
      </c>
      <c r="D421" s="90">
        <v>6.0030556740414118</v>
      </c>
      <c r="E421" s="90">
        <v>3.038618767156565</v>
      </c>
      <c r="F421" s="90">
        <v>0.96370797134578545</v>
      </c>
      <c r="G421" s="90">
        <v>4.4790801923284178</v>
      </c>
      <c r="H421" s="90">
        <v>3.5893265419637732</v>
      </c>
      <c r="I421" s="90">
        <v>0.71326617214919508</v>
      </c>
      <c r="J421" s="90">
        <v>5.3777610963768492</v>
      </c>
      <c r="K421" s="29">
        <f t="shared" si="49"/>
        <v>1.8275610650660967E-2</v>
      </c>
      <c r="L421" s="29">
        <f t="shared" si="50"/>
        <v>3.262415067807467E-2</v>
      </c>
      <c r="M421" s="29">
        <f t="shared" si="51"/>
        <v>2.2602952972948565E-2</v>
      </c>
      <c r="N421" s="29">
        <f t="shared" si="52"/>
        <v>-3.2212393442038856E-2</v>
      </c>
      <c r="O421" s="29">
        <f t="shared" si="53"/>
        <v>3.1951130700385022E-3</v>
      </c>
      <c r="P421" s="29">
        <f t="shared" si="54"/>
        <v>2.3568120243773194E-3</v>
      </c>
      <c r="Q421" s="29">
        <f t="shared" si="55"/>
        <v>6.6135649458171963E-2</v>
      </c>
    </row>
    <row r="422" spans="2:17" ht="13.95" customHeight="1" x14ac:dyDescent="0.3">
      <c r="B422" s="89">
        <v>45436</v>
      </c>
      <c r="C422" s="91">
        <f t="shared" si="48"/>
        <v>1</v>
      </c>
      <c r="D422" s="90">
        <v>5.7834726576123749</v>
      </c>
      <c r="E422" s="90">
        <v>2.9463301549668439</v>
      </c>
      <c r="F422" s="90">
        <v>0.92618269311174428</v>
      </c>
      <c r="G422" s="90">
        <v>4.3822296847041224</v>
      </c>
      <c r="H422" s="90">
        <v>3.482682229029642</v>
      </c>
      <c r="I422" s="90">
        <v>0.68504596909361304</v>
      </c>
      <c r="J422" s="90">
        <v>5.1751685177015947</v>
      </c>
      <c r="K422" s="29">
        <f t="shared" si="49"/>
        <v>-3.6578540721946662E-2</v>
      </c>
      <c r="L422" s="29">
        <f t="shared" si="50"/>
        <v>-3.0371895674191962E-2</v>
      </c>
      <c r="M422" s="29">
        <f t="shared" si="51"/>
        <v>-3.8938432958729563E-2</v>
      </c>
      <c r="N422" s="29">
        <f t="shared" si="52"/>
        <v>-2.1622856360146603E-2</v>
      </c>
      <c r="O422" s="29">
        <f t="shared" si="53"/>
        <v>-2.9711510414927145E-2</v>
      </c>
      <c r="P422" s="29">
        <f t="shared" si="54"/>
        <v>-3.9564757390007199E-2</v>
      </c>
      <c r="Q422" s="29">
        <f t="shared" si="55"/>
        <v>-3.7672290576788003E-2</v>
      </c>
    </row>
    <row r="423" spans="2:17" ht="13.95" customHeight="1" x14ac:dyDescent="0.3">
      <c r="B423" s="89">
        <v>45443</v>
      </c>
      <c r="C423" s="91">
        <f t="shared" si="48"/>
        <v>1</v>
      </c>
      <c r="D423" s="90">
        <v>5.6623709647058718</v>
      </c>
      <c r="E423" s="90">
        <v>2.8399052311537738</v>
      </c>
      <c r="F423" s="90">
        <v>0.89911254081442271</v>
      </c>
      <c r="G423" s="90">
        <v>4.3958488172424106</v>
      </c>
      <c r="H423" s="90">
        <v>3.4233630085389599</v>
      </c>
      <c r="I423" s="90">
        <v>0.66408548867059247</v>
      </c>
      <c r="J423" s="90">
        <v>5.0382100568242656</v>
      </c>
      <c r="K423" s="29">
        <f t="shared" si="49"/>
        <v>-2.0939269548911121E-2</v>
      </c>
      <c r="L423" s="29">
        <f t="shared" si="50"/>
        <v>-3.6121180660511509E-2</v>
      </c>
      <c r="M423" s="29">
        <f t="shared" si="51"/>
        <v>-2.9227659400946626E-2</v>
      </c>
      <c r="N423" s="29">
        <f t="shared" si="52"/>
        <v>3.1078089279128474E-3</v>
      </c>
      <c r="O423" s="29">
        <f t="shared" si="53"/>
        <v>-1.7032625025685921E-2</v>
      </c>
      <c r="P423" s="29">
        <f t="shared" si="54"/>
        <v>-3.0597188172281964E-2</v>
      </c>
      <c r="Q423" s="29">
        <f t="shared" si="55"/>
        <v>-2.6464541281866372E-2</v>
      </c>
    </row>
    <row r="424" spans="2:17" ht="13.95" customHeight="1" x14ac:dyDescent="0.3">
      <c r="B424" s="89">
        <v>45450</v>
      </c>
      <c r="C424" s="91">
        <f t="shared" si="48"/>
        <v>1</v>
      </c>
      <c r="D424" s="90">
        <v>5.7254055717374337</v>
      </c>
      <c r="E424" s="90">
        <v>2.8641432249951202</v>
      </c>
      <c r="F424" s="90">
        <v>0.90471538965777776</v>
      </c>
      <c r="G424" s="90">
        <v>4.2045752739102253</v>
      </c>
      <c r="H424" s="90">
        <v>3.3862365426431471</v>
      </c>
      <c r="I424" s="90">
        <v>0.66223452123561255</v>
      </c>
      <c r="J424" s="90">
        <v>5.1630840608902497</v>
      </c>
      <c r="K424" s="29">
        <f t="shared" si="49"/>
        <v>1.1132193108587041E-2</v>
      </c>
      <c r="L424" s="29">
        <f t="shared" si="50"/>
        <v>8.534789673773524E-3</v>
      </c>
      <c r="M424" s="29">
        <f t="shared" si="51"/>
        <v>6.2315323043764526E-3</v>
      </c>
      <c r="N424" s="29">
        <f t="shared" si="52"/>
        <v>-4.3512311565841011E-2</v>
      </c>
      <c r="O424" s="29">
        <f t="shared" si="53"/>
        <v>-1.0845027478303515E-2</v>
      </c>
      <c r="P424" s="29">
        <f t="shared" si="54"/>
        <v>-2.7872427067866523E-3</v>
      </c>
      <c r="Q424" s="29">
        <f t="shared" si="55"/>
        <v>2.478539057672724E-2</v>
      </c>
    </row>
    <row r="425" spans="2:17" ht="13.95" customHeight="1" x14ac:dyDescent="0.3">
      <c r="B425" s="89">
        <v>45457</v>
      </c>
      <c r="C425" s="91">
        <f t="shared" si="48"/>
        <v>1</v>
      </c>
      <c r="D425" s="90">
        <v>5.6515137591132421</v>
      </c>
      <c r="E425" s="90">
        <v>2.848194988477335</v>
      </c>
      <c r="F425" s="90">
        <v>0.89515755252962348</v>
      </c>
      <c r="G425" s="90">
        <v>4.1713964090135267</v>
      </c>
      <c r="H425" s="90">
        <v>3.3561964831738371</v>
      </c>
      <c r="I425" s="90">
        <v>0.64947885280740592</v>
      </c>
      <c r="J425" s="90">
        <v>5.1984315810479682</v>
      </c>
      <c r="K425" s="29">
        <f t="shared" si="49"/>
        <v>-1.2905952547527244E-2</v>
      </c>
      <c r="L425" s="29">
        <f t="shared" si="50"/>
        <v>-5.5682398766256913E-3</v>
      </c>
      <c r="M425" s="29">
        <f t="shared" si="51"/>
        <v>-1.0564468381343284E-2</v>
      </c>
      <c r="N425" s="29">
        <f t="shared" si="52"/>
        <v>-7.8911335236585556E-3</v>
      </c>
      <c r="O425" s="29">
        <f t="shared" si="53"/>
        <v>-8.8712229907784712E-3</v>
      </c>
      <c r="P425" s="29">
        <f t="shared" si="54"/>
        <v>-1.9261557679606911E-2</v>
      </c>
      <c r="Q425" s="29">
        <f t="shared" si="55"/>
        <v>6.846202723188588E-3</v>
      </c>
    </row>
    <row r="426" spans="2:17" ht="13.95" customHeight="1" x14ac:dyDescent="0.3">
      <c r="B426" s="89">
        <v>45464</v>
      </c>
      <c r="C426" s="91">
        <f t="shared" si="48"/>
        <v>1</v>
      </c>
      <c r="D426" s="90">
        <v>5.7435187025177408</v>
      </c>
      <c r="E426" s="90">
        <v>2.8513485218458872</v>
      </c>
      <c r="F426" s="90">
        <v>0.90961979121273873</v>
      </c>
      <c r="G426" s="90">
        <v>4.2637162318092319</v>
      </c>
      <c r="H426" s="90">
        <v>3.404751277615444</v>
      </c>
      <c r="I426" s="90">
        <v>0.65036376591800082</v>
      </c>
      <c r="J426" s="90">
        <v>5.4323785462115639</v>
      </c>
      <c r="K426" s="29">
        <f t="shared" si="49"/>
        <v>1.6279699090555599E-2</v>
      </c>
      <c r="L426" s="29">
        <f t="shared" si="50"/>
        <v>1.1072041701183366E-3</v>
      </c>
      <c r="M426" s="29">
        <f t="shared" si="51"/>
        <v>1.6156081845309256E-2</v>
      </c>
      <c r="N426" s="29">
        <f t="shared" si="52"/>
        <v>2.2131635007457184E-2</v>
      </c>
      <c r="O426" s="29">
        <f t="shared" si="53"/>
        <v>1.4467208545457577E-2</v>
      </c>
      <c r="P426" s="29">
        <f t="shared" si="54"/>
        <v>1.3624971879682146E-3</v>
      </c>
      <c r="Q426" s="29">
        <f t="shared" si="55"/>
        <v>4.5003374867238932E-2</v>
      </c>
    </row>
    <row r="427" spans="2:17" ht="13.95" customHeight="1" x14ac:dyDescent="0.3">
      <c r="B427" s="89">
        <v>45471</v>
      </c>
      <c r="C427" s="91">
        <f t="shared" si="48"/>
        <v>1</v>
      </c>
      <c r="D427" s="90">
        <v>5.754114507273707</v>
      </c>
      <c r="E427" s="90">
        <v>2.9112024299115919</v>
      </c>
      <c r="F427" s="90">
        <v>0.92073927305915737</v>
      </c>
      <c r="G427" s="90">
        <v>4.4233970609474929</v>
      </c>
      <c r="H427" s="90">
        <v>3.4770281068844331</v>
      </c>
      <c r="I427" s="90">
        <v>0.66107323194217371</v>
      </c>
      <c r="J427" s="90">
        <v>5.4557207067454234</v>
      </c>
      <c r="K427" s="29">
        <f t="shared" si="49"/>
        <v>1.8448281105660769E-3</v>
      </c>
      <c r="L427" s="29">
        <f t="shared" si="50"/>
        <v>2.0991438825218367E-2</v>
      </c>
      <c r="M427" s="29">
        <f t="shared" si="51"/>
        <v>1.222431828532855E-2</v>
      </c>
      <c r="N427" s="29">
        <f t="shared" si="52"/>
        <v>3.7451092065407865E-2</v>
      </c>
      <c r="O427" s="29">
        <f t="shared" si="53"/>
        <v>2.1228225904245557E-2</v>
      </c>
      <c r="P427" s="29">
        <f t="shared" si="54"/>
        <v>1.6466886049619101E-2</v>
      </c>
      <c r="Q427" s="29">
        <f t="shared" si="55"/>
        <v>4.2968582427191926E-3</v>
      </c>
    </row>
    <row r="428" spans="2:17" ht="13.95" customHeight="1" x14ac:dyDescent="0.3">
      <c r="B428" s="89">
        <v>45478</v>
      </c>
      <c r="C428" s="91">
        <f t="shared" si="48"/>
        <v>1</v>
      </c>
      <c r="D428" s="90">
        <v>5.8474924227121932</v>
      </c>
      <c r="E428" s="90">
        <v>2.9947763376383012</v>
      </c>
      <c r="F428" s="90">
        <v>0.94874487506616623</v>
      </c>
      <c r="G428" s="90">
        <v>4.4707021986374738</v>
      </c>
      <c r="H428" s="90">
        <v>3.543688924351224</v>
      </c>
      <c r="I428" s="90">
        <v>0.69240675938750373</v>
      </c>
      <c r="J428" s="90">
        <v>5.4465663551938954</v>
      </c>
      <c r="K428" s="29">
        <f t="shared" si="49"/>
        <v>1.6228025236628252E-2</v>
      </c>
      <c r="L428" s="29">
        <f t="shared" si="50"/>
        <v>2.8707693724083327E-2</v>
      </c>
      <c r="M428" s="29">
        <f t="shared" si="51"/>
        <v>3.0416430390723059E-2</v>
      </c>
      <c r="N428" s="29">
        <f t="shared" si="52"/>
        <v>1.0694300565422976E-2</v>
      </c>
      <c r="O428" s="29">
        <f t="shared" si="53"/>
        <v>1.9171779869942451E-2</v>
      </c>
      <c r="P428" s="29">
        <f t="shared" si="54"/>
        <v>4.739796732243251E-2</v>
      </c>
      <c r="Q428" s="29">
        <f t="shared" si="55"/>
        <v>-1.677936251430423E-3</v>
      </c>
    </row>
    <row r="429" spans="2:17" ht="13.95" customHeight="1" x14ac:dyDescent="0.3">
      <c r="B429" s="89">
        <v>45485</v>
      </c>
      <c r="C429" s="91">
        <f t="shared" si="48"/>
        <v>1</v>
      </c>
      <c r="D429" s="90">
        <v>5.9887402666809066</v>
      </c>
      <c r="E429" s="90">
        <v>3.0772850017873661</v>
      </c>
      <c r="F429" s="90">
        <v>1.0022055682694639</v>
      </c>
      <c r="G429" s="90">
        <v>4.4783599441205553</v>
      </c>
      <c r="H429" s="90">
        <v>3.617480816008686</v>
      </c>
      <c r="I429" s="90">
        <v>0.71681441792215272</v>
      </c>
      <c r="J429" s="90">
        <v>5.9813326297780582</v>
      </c>
      <c r="K429" s="29">
        <f t="shared" si="49"/>
        <v>2.4155284651604436E-2</v>
      </c>
      <c r="L429" s="29">
        <f t="shared" si="50"/>
        <v>2.7550860180140191E-2</v>
      </c>
      <c r="M429" s="29">
        <f t="shared" si="51"/>
        <v>5.6348861119876137E-2</v>
      </c>
      <c r="N429" s="29">
        <f t="shared" si="52"/>
        <v>1.7128730885755949E-3</v>
      </c>
      <c r="O429" s="29">
        <f t="shared" si="53"/>
        <v>2.082346764423515E-2</v>
      </c>
      <c r="P429" s="29">
        <f t="shared" si="54"/>
        <v>3.5250462540602268E-2</v>
      </c>
      <c r="Q429" s="29">
        <f t="shared" si="55"/>
        <v>9.8184110815836334E-2</v>
      </c>
    </row>
    <row r="430" spans="2:17" ht="13.95" customHeight="1" x14ac:dyDescent="0.3">
      <c r="B430" s="89">
        <v>45492</v>
      </c>
      <c r="C430" s="91">
        <f t="shared" si="48"/>
        <v>1</v>
      </c>
      <c r="D430" s="90">
        <v>6.0111762145837391</v>
      </c>
      <c r="E430" s="90">
        <v>2.9858689983031881</v>
      </c>
      <c r="F430" s="90">
        <v>0.98715187913933344</v>
      </c>
      <c r="G430" s="90">
        <v>4.465272747375761</v>
      </c>
      <c r="H430" s="90">
        <v>3.5815299311301989</v>
      </c>
      <c r="I430" s="90">
        <v>0.68840678028386271</v>
      </c>
      <c r="J430" s="90">
        <v>6.166639829537754</v>
      </c>
      <c r="K430" s="29">
        <f t="shared" si="49"/>
        <v>3.7463551437784126E-3</v>
      </c>
      <c r="L430" s="29">
        <f t="shared" si="50"/>
        <v>-2.9706706863706578E-2</v>
      </c>
      <c r="M430" s="29">
        <f t="shared" si="51"/>
        <v>-1.5020560259033644E-2</v>
      </c>
      <c r="N430" s="29">
        <f t="shared" si="52"/>
        <v>-2.9223190873649552E-3</v>
      </c>
      <c r="O430" s="29">
        <f t="shared" si="53"/>
        <v>-9.9380996630006324E-3</v>
      </c>
      <c r="P430" s="29">
        <f t="shared" si="54"/>
        <v>-3.96303937644501E-2</v>
      </c>
      <c r="Q430" s="29">
        <f t="shared" si="55"/>
        <v>3.0980922016800028E-2</v>
      </c>
    </row>
    <row r="431" spans="2:17" ht="13.95" customHeight="1" x14ac:dyDescent="0.3">
      <c r="B431" s="89">
        <v>45499</v>
      </c>
      <c r="C431" s="91">
        <f t="shared" si="48"/>
        <v>1</v>
      </c>
      <c r="D431" s="90">
        <v>5.9992125045464766</v>
      </c>
      <c r="E431" s="90">
        <v>3.0303366325820189</v>
      </c>
      <c r="F431" s="90">
        <v>0.98449479226332626</v>
      </c>
      <c r="G431" s="90">
        <v>4.4172901866501526</v>
      </c>
      <c r="H431" s="90">
        <v>3.5781172979075402</v>
      </c>
      <c r="I431" s="90">
        <v>0.6876452409019036</v>
      </c>
      <c r="J431" s="90">
        <v>6.1330178046895147</v>
      </c>
      <c r="K431" s="29">
        <f t="shared" si="49"/>
        <v>-1.9902444397216223E-3</v>
      </c>
      <c r="L431" s="29">
        <f t="shared" si="50"/>
        <v>1.4892694322524269E-2</v>
      </c>
      <c r="M431" s="29">
        <f t="shared" si="51"/>
        <v>-2.6916697745881235E-3</v>
      </c>
      <c r="N431" s="29">
        <f t="shared" si="52"/>
        <v>-1.0745717773636088E-2</v>
      </c>
      <c r="O431" s="29">
        <f t="shared" si="53"/>
        <v>-9.5284230155290306E-4</v>
      </c>
      <c r="P431" s="29">
        <f t="shared" si="54"/>
        <v>-1.1062345749196512E-3</v>
      </c>
      <c r="Q431" s="29">
        <f t="shared" si="55"/>
        <v>-5.4522439736454098E-3</v>
      </c>
    </row>
    <row r="432" spans="2:17" ht="13.95" customHeight="1" x14ac:dyDescent="0.3">
      <c r="B432" s="89">
        <v>45506</v>
      </c>
      <c r="C432" s="91">
        <f t="shared" si="48"/>
        <v>1</v>
      </c>
      <c r="D432" s="90">
        <v>5.8789134286587359</v>
      </c>
      <c r="E432" s="90">
        <v>3.0545624653174879</v>
      </c>
      <c r="F432" s="90">
        <v>1.0032132361753729</v>
      </c>
      <c r="G432" s="90">
        <v>4.2634973683634696</v>
      </c>
      <c r="H432" s="90">
        <v>3.532298850908052</v>
      </c>
      <c r="I432" s="90">
        <v>0.69785569733459596</v>
      </c>
      <c r="J432" s="90">
        <v>6.2943339015619042</v>
      </c>
      <c r="K432" s="29">
        <f t="shared" si="49"/>
        <v>-2.0052477853813699E-2</v>
      </c>
      <c r="L432" s="29">
        <f t="shared" si="50"/>
        <v>7.9944361543844433E-3</v>
      </c>
      <c r="M432" s="29">
        <f t="shared" si="51"/>
        <v>1.9013248276319894E-2</v>
      </c>
      <c r="N432" s="29">
        <f t="shared" si="52"/>
        <v>-3.4816100321294896E-2</v>
      </c>
      <c r="O432" s="29">
        <f t="shared" si="53"/>
        <v>-1.2805183057101766E-2</v>
      </c>
      <c r="P432" s="29">
        <f t="shared" si="54"/>
        <v>1.484843611991038E-2</v>
      </c>
      <c r="Q432" s="29">
        <f t="shared" si="55"/>
        <v>2.630289068279601E-2</v>
      </c>
    </row>
    <row r="433" spans="2:17" ht="13.95" customHeight="1" x14ac:dyDescent="0.3">
      <c r="B433" s="89">
        <v>45513</v>
      </c>
      <c r="C433" s="91">
        <f t="shared" si="48"/>
        <v>1</v>
      </c>
      <c r="D433" s="90">
        <v>6.2747178283289511</v>
      </c>
      <c r="E433" s="90">
        <v>3.174413221109623</v>
      </c>
      <c r="F433" s="90">
        <v>1.0492524458534369</v>
      </c>
      <c r="G433" s="90">
        <v>4.3273563622747746</v>
      </c>
      <c r="H433" s="90">
        <v>3.667721078703158</v>
      </c>
      <c r="I433" s="90">
        <v>0.73646022411692824</v>
      </c>
      <c r="J433" s="90">
        <v>6.4805944755175702</v>
      </c>
      <c r="K433" s="29">
        <f t="shared" si="49"/>
        <v>6.7326114676350635E-2</v>
      </c>
      <c r="L433" s="29">
        <f t="shared" si="50"/>
        <v>3.9236636065872021E-2</v>
      </c>
      <c r="M433" s="29">
        <f t="shared" si="51"/>
        <v>4.589174865114698E-2</v>
      </c>
      <c r="N433" s="29">
        <f t="shared" si="52"/>
        <v>1.4978077478166041E-2</v>
      </c>
      <c r="O433" s="29">
        <f t="shared" si="53"/>
        <v>3.8338270206184077E-2</v>
      </c>
      <c r="P433" s="29">
        <f t="shared" si="54"/>
        <v>5.5318781418248975E-2</v>
      </c>
      <c r="Q433" s="29">
        <f t="shared" si="55"/>
        <v>2.9591784749367411E-2</v>
      </c>
    </row>
    <row r="434" spans="2:17" ht="13.95" customHeight="1" x14ac:dyDescent="0.3">
      <c r="B434" s="89">
        <v>45520</v>
      </c>
      <c r="C434" s="91">
        <f t="shared" si="48"/>
        <v>1</v>
      </c>
      <c r="D434" s="90">
        <v>6.6045884867954108</v>
      </c>
      <c r="E434" s="90">
        <v>3.2527203086728971</v>
      </c>
      <c r="F434" s="90">
        <v>1.048651222415055</v>
      </c>
      <c r="G434" s="90">
        <v>4.3994276475359424</v>
      </c>
      <c r="H434" s="90">
        <v>3.7608356465952011</v>
      </c>
      <c r="I434" s="90">
        <v>0.71160161510262832</v>
      </c>
      <c r="J434" s="90">
        <v>6.8579792337116574</v>
      </c>
      <c r="K434" s="29">
        <f t="shared" si="49"/>
        <v>5.2571393246906961E-2</v>
      </c>
      <c r="L434" s="29">
        <f t="shared" si="50"/>
        <v>2.4668208613339182E-2</v>
      </c>
      <c r="M434" s="29">
        <f t="shared" si="51"/>
        <v>-5.7300170302942988E-4</v>
      </c>
      <c r="N434" s="29">
        <f t="shared" si="52"/>
        <v>1.6654807052516984E-2</v>
      </c>
      <c r="O434" s="29">
        <f t="shared" si="53"/>
        <v>2.5387581523774738E-2</v>
      </c>
      <c r="P434" s="29">
        <f t="shared" si="54"/>
        <v>-3.375417734760533E-2</v>
      </c>
      <c r="Q434" s="29">
        <f t="shared" si="55"/>
        <v>5.8233046307676561E-2</v>
      </c>
    </row>
    <row r="435" spans="2:17" ht="13.95" customHeight="1" x14ac:dyDescent="0.3">
      <c r="B435" s="89">
        <v>45527</v>
      </c>
      <c r="C435" s="91">
        <f t="shared" si="48"/>
        <v>1</v>
      </c>
      <c r="D435" s="90">
        <v>6.6938382011969182</v>
      </c>
      <c r="E435" s="90">
        <v>3.2981327756705601</v>
      </c>
      <c r="F435" s="90">
        <v>1.075874864259464</v>
      </c>
      <c r="G435" s="90">
        <v>4.4245024447940411</v>
      </c>
      <c r="H435" s="90">
        <v>3.8082593941078291</v>
      </c>
      <c r="I435" s="90">
        <v>0.73362558258774402</v>
      </c>
      <c r="J435" s="90">
        <v>6.980647720256731</v>
      </c>
      <c r="K435" s="29">
        <f t="shared" si="49"/>
        <v>1.3513289220054236E-2</v>
      </c>
      <c r="L435" s="29">
        <f t="shared" si="50"/>
        <v>1.3961380840700421E-2</v>
      </c>
      <c r="M435" s="29">
        <f t="shared" si="51"/>
        <v>2.596062567086177E-2</v>
      </c>
      <c r="N435" s="29">
        <f t="shared" si="52"/>
        <v>5.6995589578892059E-3</v>
      </c>
      <c r="O435" s="29">
        <f t="shared" si="53"/>
        <v>1.2609896302052448E-2</v>
      </c>
      <c r="P435" s="29">
        <f t="shared" si="54"/>
        <v>3.0949855955483496E-2</v>
      </c>
      <c r="Q435" s="29">
        <f t="shared" si="55"/>
        <v>1.7886972585462901E-2</v>
      </c>
    </row>
    <row r="436" spans="2:17" ht="13.95" customHeight="1" x14ac:dyDescent="0.3">
      <c r="B436" s="89">
        <v>45534</v>
      </c>
      <c r="C436" s="91">
        <f t="shared" si="48"/>
        <v>1</v>
      </c>
      <c r="D436" s="90">
        <v>6.6856760405293123</v>
      </c>
      <c r="E436" s="90">
        <v>3.2406327884084809</v>
      </c>
      <c r="F436" s="90">
        <v>1.0477117393203439</v>
      </c>
      <c r="G436" s="90">
        <v>4.5794027466476841</v>
      </c>
      <c r="H436" s="90">
        <v>3.8208364135528639</v>
      </c>
      <c r="I436" s="90">
        <v>0.69840622430604893</v>
      </c>
      <c r="J436" s="90">
        <v>7.047679853139706</v>
      </c>
      <c r="K436" s="29">
        <f t="shared" si="49"/>
        <v>-1.2193543408542951E-3</v>
      </c>
      <c r="L436" s="29">
        <f t="shared" si="50"/>
        <v>-1.7434103225388964E-2</v>
      </c>
      <c r="M436" s="29">
        <f t="shared" si="51"/>
        <v>-2.6176952241100171E-2</v>
      </c>
      <c r="N436" s="29">
        <f t="shared" si="52"/>
        <v>3.5009654483500574E-2</v>
      </c>
      <c r="O436" s="29">
        <f t="shared" si="53"/>
        <v>3.302563755109178E-3</v>
      </c>
      <c r="P436" s="29">
        <f t="shared" si="54"/>
        <v>-4.8007265719203218E-2</v>
      </c>
      <c r="Q436" s="29">
        <f t="shared" si="55"/>
        <v>9.6025663475982626E-3</v>
      </c>
    </row>
    <row r="437" spans="2:17" ht="13.95" customHeight="1" x14ac:dyDescent="0.3">
      <c r="B437" s="89">
        <v>45541</v>
      </c>
      <c r="C437" s="91">
        <f t="shared" si="48"/>
        <v>1</v>
      </c>
      <c r="D437" s="90">
        <v>6.6988063607725854</v>
      </c>
      <c r="E437" s="90">
        <v>3.275951258340259</v>
      </c>
      <c r="F437" s="90">
        <v>1.0478826855088119</v>
      </c>
      <c r="G437" s="90">
        <v>4.3920900968387793</v>
      </c>
      <c r="H437" s="90">
        <v>3.7807007667558041</v>
      </c>
      <c r="I437" s="90">
        <v>0.70183619929393859</v>
      </c>
      <c r="J437" s="90">
        <v>6.987719036536471</v>
      </c>
      <c r="K437" s="29">
        <f t="shared" si="49"/>
        <v>1.9639480231581352E-3</v>
      </c>
      <c r="L437" s="29">
        <f t="shared" si="50"/>
        <v>1.0898633766253774E-2</v>
      </c>
      <c r="M437" s="29">
        <f t="shared" si="51"/>
        <v>1.6316147090122968E-4</v>
      </c>
      <c r="N437" s="29">
        <f t="shared" si="52"/>
        <v>-4.0903292453590256E-2</v>
      </c>
      <c r="O437" s="29">
        <f t="shared" si="53"/>
        <v>-1.0504413812299052E-2</v>
      </c>
      <c r="P437" s="29">
        <f t="shared" si="54"/>
        <v>4.9111460759070358E-3</v>
      </c>
      <c r="Q437" s="29">
        <f t="shared" si="55"/>
        <v>-8.5078803028378891E-3</v>
      </c>
    </row>
    <row r="438" spans="2:17" ht="13.95" customHeight="1" x14ac:dyDescent="0.3">
      <c r="B438" s="89">
        <v>45548</v>
      </c>
      <c r="C438" s="91">
        <f t="shared" si="48"/>
        <v>1</v>
      </c>
      <c r="D438" s="90">
        <v>6.6673220824868196</v>
      </c>
      <c r="E438" s="90">
        <v>3.2545563309080392</v>
      </c>
      <c r="F438" s="90">
        <v>1.07729211451097</v>
      </c>
      <c r="G438" s="90">
        <v>4.4144156364228104</v>
      </c>
      <c r="H438" s="90">
        <v>3.7895273672261611</v>
      </c>
      <c r="I438" s="90">
        <v>0.7175245381180948</v>
      </c>
      <c r="J438" s="90">
        <v>7.2577167353627736</v>
      </c>
      <c r="K438" s="29">
        <f t="shared" si="49"/>
        <v>-4.6999833388429169E-3</v>
      </c>
      <c r="L438" s="29">
        <f t="shared" si="50"/>
        <v>-6.5309052989571681E-3</v>
      </c>
      <c r="M438" s="29">
        <f t="shared" si="51"/>
        <v>2.806557395103626E-2</v>
      </c>
      <c r="N438" s="29">
        <f t="shared" si="52"/>
        <v>5.083124228280278E-3</v>
      </c>
      <c r="O438" s="29">
        <f t="shared" si="53"/>
        <v>2.3346466739633254E-3</v>
      </c>
      <c r="P438" s="29">
        <f t="shared" si="54"/>
        <v>2.2353276790138432E-2</v>
      </c>
      <c r="Q438" s="29">
        <f t="shared" si="55"/>
        <v>3.8638888801134419E-2</v>
      </c>
    </row>
    <row r="439" spans="2:17" ht="13.95" customHeight="1" x14ac:dyDescent="0.3">
      <c r="B439" s="89">
        <v>45555</v>
      </c>
      <c r="C439" s="91">
        <f t="shared" si="48"/>
        <v>1</v>
      </c>
      <c r="D439" s="90">
        <v>6.4438687368017034</v>
      </c>
      <c r="E439" s="90">
        <v>3.1815152506645741</v>
      </c>
      <c r="F439" s="90">
        <v>1.029965157948477</v>
      </c>
      <c r="G439" s="90">
        <v>4.3147450077660006</v>
      </c>
      <c r="H439" s="90">
        <v>3.6826855331912438</v>
      </c>
      <c r="I439" s="90">
        <v>0.68390266284919188</v>
      </c>
      <c r="J439" s="90">
        <v>6.9775760424687139</v>
      </c>
      <c r="K439" s="29">
        <f t="shared" si="49"/>
        <v>-3.3514706942396777E-2</v>
      </c>
      <c r="L439" s="29">
        <f t="shared" si="50"/>
        <v>-2.2442715017652271E-2</v>
      </c>
      <c r="M439" s="29">
        <f t="shared" si="51"/>
        <v>-4.3931405349585062E-2</v>
      </c>
      <c r="N439" s="29">
        <f t="shared" si="52"/>
        <v>-2.2578442282244482E-2</v>
      </c>
      <c r="O439" s="29">
        <f t="shared" si="53"/>
        <v>-2.8193973464591404E-2</v>
      </c>
      <c r="P439" s="29">
        <f t="shared" si="54"/>
        <v>-4.685815394841486E-2</v>
      </c>
      <c r="Q439" s="29">
        <f t="shared" si="55"/>
        <v>-3.8599011660112259E-2</v>
      </c>
    </row>
    <row r="440" spans="2:17" ht="13.95" customHeight="1" x14ac:dyDescent="0.3">
      <c r="B440" s="89">
        <v>45562</v>
      </c>
      <c r="C440" s="91">
        <f t="shared" si="48"/>
        <v>1</v>
      </c>
      <c r="D440" s="90">
        <v>6.4644590275790357</v>
      </c>
      <c r="E440" s="90">
        <v>3.127962551215187</v>
      </c>
      <c r="F440" s="90">
        <v>1.044288836221517</v>
      </c>
      <c r="G440" s="90">
        <v>4.5062907624596482</v>
      </c>
      <c r="H440" s="90">
        <v>3.7298579237585709</v>
      </c>
      <c r="I440" s="90">
        <v>0.68210420957408424</v>
      </c>
      <c r="J440" s="90">
        <v>7.2830340137613421</v>
      </c>
      <c r="K440" s="29">
        <f t="shared" si="49"/>
        <v>3.1953305721046377E-3</v>
      </c>
      <c r="L440" s="29">
        <f t="shared" si="50"/>
        <v>-1.6832450964426648E-2</v>
      </c>
      <c r="M440" s="29">
        <f t="shared" si="51"/>
        <v>1.3906954194033538E-2</v>
      </c>
      <c r="N440" s="29">
        <f t="shared" si="52"/>
        <v>4.4393296556086037E-2</v>
      </c>
      <c r="O440" s="29">
        <f t="shared" si="53"/>
        <v>1.2809236667690627E-2</v>
      </c>
      <c r="P440" s="29">
        <f t="shared" si="54"/>
        <v>-2.6296918740089659E-3</v>
      </c>
      <c r="Q440" s="29">
        <f t="shared" si="55"/>
        <v>4.3777089555666837E-2</v>
      </c>
    </row>
    <row r="441" spans="2:17" ht="13.95" customHeight="1" x14ac:dyDescent="0.3">
      <c r="B441" s="89">
        <v>45569</v>
      </c>
      <c r="C441" s="91">
        <f t="shared" si="48"/>
        <v>1</v>
      </c>
      <c r="D441" s="90">
        <v>6.316587610168904</v>
      </c>
      <c r="E441" s="90">
        <v>3.094404399102348</v>
      </c>
      <c r="F441" s="90">
        <v>1.032597730683761</v>
      </c>
      <c r="G441" s="90">
        <v>4.5473841398060362</v>
      </c>
      <c r="H441" s="90">
        <v>3.7039197674869069</v>
      </c>
      <c r="I441" s="90">
        <v>0.68328599495814091</v>
      </c>
      <c r="J441" s="90">
        <v>7.039174777523896</v>
      </c>
      <c r="K441" s="29">
        <f t="shared" si="49"/>
        <v>-2.2874523108472711E-2</v>
      </c>
      <c r="L441" s="29">
        <f t="shared" si="50"/>
        <v>-1.0728437941113445E-2</v>
      </c>
      <c r="M441" s="29">
        <f t="shared" si="51"/>
        <v>-1.1195279631693866E-2</v>
      </c>
      <c r="N441" s="29">
        <f t="shared" si="52"/>
        <v>9.1191135930959177E-3</v>
      </c>
      <c r="O441" s="29">
        <f t="shared" si="53"/>
        <v>-6.9541941816181341E-3</v>
      </c>
      <c r="P441" s="29">
        <f t="shared" si="54"/>
        <v>1.7325584089189494E-3</v>
      </c>
      <c r="Q441" s="29">
        <f t="shared" si="55"/>
        <v>-3.3483193374721609E-2</v>
      </c>
    </row>
    <row r="442" spans="2:17" ht="13.95" customHeight="1" x14ac:dyDescent="0.3">
      <c r="B442" s="89">
        <v>45576</v>
      </c>
      <c r="C442" s="91">
        <f t="shared" si="48"/>
        <v>1</v>
      </c>
      <c r="D442" s="90">
        <v>6.2318332548571123</v>
      </c>
      <c r="E442" s="90">
        <v>3.0367229134831759</v>
      </c>
      <c r="F442" s="90">
        <v>1.0253367510149951</v>
      </c>
      <c r="G442" s="90">
        <v>4.4905113563881311</v>
      </c>
      <c r="H442" s="90">
        <v>3.6532906137328371</v>
      </c>
      <c r="I442" s="90">
        <v>0.67890480704789713</v>
      </c>
      <c r="J442" s="90">
        <v>6.9818884320940864</v>
      </c>
      <c r="K442" s="29">
        <f t="shared" si="49"/>
        <v>-1.3417743969124762E-2</v>
      </c>
      <c r="L442" s="29">
        <f t="shared" si="50"/>
        <v>-1.8640577694339133E-2</v>
      </c>
      <c r="M442" s="29">
        <f t="shared" si="51"/>
        <v>-7.0317602421592351E-3</v>
      </c>
      <c r="N442" s="29">
        <f t="shared" si="52"/>
        <v>-1.2506703121925145E-2</v>
      </c>
      <c r="O442" s="29">
        <f t="shared" si="53"/>
        <v>-1.3669074097795941E-2</v>
      </c>
      <c r="P442" s="29">
        <f t="shared" si="54"/>
        <v>-6.4119386941513534E-3</v>
      </c>
      <c r="Q442" s="29">
        <f t="shared" si="55"/>
        <v>-8.1382189305378994E-3</v>
      </c>
    </row>
    <row r="443" spans="2:17" ht="13.95" customHeight="1" x14ac:dyDescent="0.3">
      <c r="B443" s="89">
        <v>45583</v>
      </c>
      <c r="C443" s="91">
        <f t="shared" si="48"/>
        <v>1</v>
      </c>
      <c r="D443" s="90">
        <v>6.3390090962649488</v>
      </c>
      <c r="E443" s="90">
        <v>3.0893544002181978</v>
      </c>
      <c r="F443" s="90">
        <v>1.041112978393766</v>
      </c>
      <c r="G443" s="90">
        <v>4.4011034994963296</v>
      </c>
      <c r="H443" s="90">
        <v>3.6676227523360621</v>
      </c>
      <c r="I443" s="90">
        <v>0.68310477838425876</v>
      </c>
      <c r="J443" s="90">
        <v>7.2041785350821792</v>
      </c>
      <c r="K443" s="29">
        <f t="shared" si="49"/>
        <v>1.7198124055117114E-2</v>
      </c>
      <c r="L443" s="29">
        <f t="shared" si="50"/>
        <v>1.7331672409536036E-2</v>
      </c>
      <c r="M443" s="29">
        <f t="shared" si="51"/>
        <v>1.5386386339077296E-2</v>
      </c>
      <c r="N443" s="29">
        <f t="shared" si="52"/>
        <v>-1.9910395452983565E-2</v>
      </c>
      <c r="O443" s="29">
        <f t="shared" si="53"/>
        <v>3.9230765133630996E-3</v>
      </c>
      <c r="P443" s="29">
        <f t="shared" si="54"/>
        <v>6.1863921020453017E-3</v>
      </c>
      <c r="Q443" s="29">
        <f t="shared" si="55"/>
        <v>3.18381058577617E-2</v>
      </c>
    </row>
    <row r="444" spans="2:17" ht="13.95" customHeight="1" x14ac:dyDescent="0.3">
      <c r="B444" s="89">
        <v>45590</v>
      </c>
      <c r="C444" s="91">
        <f t="shared" si="48"/>
        <v>1</v>
      </c>
      <c r="D444" s="90">
        <v>6.3027384537930979</v>
      </c>
      <c r="E444" s="90">
        <v>3.0529090483578849</v>
      </c>
      <c r="F444" s="90">
        <v>1.0439486866931511</v>
      </c>
      <c r="G444" s="90">
        <v>4.3970825209710016</v>
      </c>
      <c r="H444" s="90">
        <v>3.6507787622286592</v>
      </c>
      <c r="I444" s="90">
        <v>0.68053531090659469</v>
      </c>
      <c r="J444" s="90">
        <v>7.3052706711367703</v>
      </c>
      <c r="K444" s="29">
        <f t="shared" si="49"/>
        <v>-5.7218158108058859E-3</v>
      </c>
      <c r="L444" s="29">
        <f t="shared" si="50"/>
        <v>-1.1797077039053527E-2</v>
      </c>
      <c r="M444" s="29">
        <f t="shared" si="51"/>
        <v>2.7237277396734427E-3</v>
      </c>
      <c r="N444" s="29">
        <f t="shared" si="52"/>
        <v>-9.1362962170471462E-4</v>
      </c>
      <c r="O444" s="29">
        <f t="shared" si="53"/>
        <v>-4.5926179557791436E-3</v>
      </c>
      <c r="P444" s="29">
        <f t="shared" si="54"/>
        <v>-3.761454404903497E-3</v>
      </c>
      <c r="Q444" s="29">
        <f t="shared" si="55"/>
        <v>1.403243070147453E-2</v>
      </c>
    </row>
    <row r="445" spans="2:17" ht="13.95" customHeight="1" x14ac:dyDescent="0.3">
      <c r="B445" s="89">
        <v>45597</v>
      </c>
      <c r="C445" s="91">
        <f t="shared" si="48"/>
        <v>1</v>
      </c>
      <c r="D445" s="90">
        <v>6.1592455507817068</v>
      </c>
      <c r="E445" s="90">
        <v>3.0066494881575712</v>
      </c>
      <c r="F445" s="90">
        <v>1.0319748843765819</v>
      </c>
      <c r="G445" s="90">
        <v>4.3680788104433876</v>
      </c>
      <c r="H445" s="90">
        <v>3.6011240101548729</v>
      </c>
      <c r="I445" s="90">
        <v>0.67471972515794176</v>
      </c>
      <c r="J445" s="90">
        <v>7.1836552904921396</v>
      </c>
      <c r="K445" s="29">
        <f t="shared" si="49"/>
        <v>-2.2766755127691329E-2</v>
      </c>
      <c r="L445" s="29">
        <f t="shared" si="50"/>
        <v>-1.5152616559342302E-2</v>
      </c>
      <c r="M445" s="29">
        <f t="shared" si="51"/>
        <v>-1.1469723051712233E-2</v>
      </c>
      <c r="N445" s="29">
        <f t="shared" si="52"/>
        <v>-6.5961260425035917E-3</v>
      </c>
      <c r="O445" s="29">
        <f t="shared" si="53"/>
        <v>-1.3601139731478584E-2</v>
      </c>
      <c r="P445" s="29">
        <f t="shared" si="54"/>
        <v>-8.5456046959643261E-3</v>
      </c>
      <c r="Q445" s="29">
        <f t="shared" si="55"/>
        <v>-1.6647621439289662E-2</v>
      </c>
    </row>
    <row r="446" spans="2:17" ht="13.95" customHeight="1" x14ac:dyDescent="0.3">
      <c r="B446" s="89">
        <v>45604</v>
      </c>
      <c r="C446" s="91">
        <f t="shared" si="48"/>
        <v>1</v>
      </c>
      <c r="D446" s="90">
        <v>6.1409075634675014</v>
      </c>
      <c r="E446" s="90">
        <v>2.9659282539082952</v>
      </c>
      <c r="F446" s="90">
        <v>1.0457678234046579</v>
      </c>
      <c r="G446" s="90">
        <v>4.3724436681527079</v>
      </c>
      <c r="H446" s="90">
        <v>3.5929624904237132</v>
      </c>
      <c r="I446" s="90">
        <v>0.67247044333670347</v>
      </c>
      <c r="J446" s="90">
        <v>7.4848875195250031</v>
      </c>
      <c r="K446" s="29">
        <f t="shared" si="49"/>
        <v>-2.9773106402419813E-3</v>
      </c>
      <c r="L446" s="29">
        <f t="shared" si="50"/>
        <v>-1.3543725136457185E-2</v>
      </c>
      <c r="M446" s="29">
        <f t="shared" si="51"/>
        <v>1.3365576272147628E-2</v>
      </c>
      <c r="N446" s="29">
        <f t="shared" si="52"/>
        <v>9.9926258172922111E-4</v>
      </c>
      <c r="O446" s="29">
        <f t="shared" si="53"/>
        <v>-2.2663811932455147E-3</v>
      </c>
      <c r="P446" s="29">
        <f t="shared" si="54"/>
        <v>-3.3336535710613013E-3</v>
      </c>
      <c r="Q446" s="29">
        <f t="shared" si="55"/>
        <v>4.1933001633799982E-2</v>
      </c>
    </row>
    <row r="447" spans="2:17" ht="13.95" customHeight="1" x14ac:dyDescent="0.3">
      <c r="B447" s="89">
        <v>45611</v>
      </c>
      <c r="C447" s="91">
        <f t="shared" si="48"/>
        <v>1</v>
      </c>
      <c r="D447" s="90">
        <v>6.0790257598776707</v>
      </c>
      <c r="E447" s="90">
        <v>3.0238092642643561</v>
      </c>
      <c r="F447" s="90">
        <v>1.0611501504931951</v>
      </c>
      <c r="G447" s="90">
        <v>4.3090593993581781</v>
      </c>
      <c r="H447" s="90">
        <v>3.5920210787627109</v>
      </c>
      <c r="I447" s="90">
        <v>0.68743495181349967</v>
      </c>
      <c r="J447" s="90">
        <v>7.5025847922248721</v>
      </c>
      <c r="K447" s="29">
        <f t="shared" si="49"/>
        <v>-1.0076980145079517E-2</v>
      </c>
      <c r="L447" s="29">
        <f t="shared" si="50"/>
        <v>1.9515310351755577E-2</v>
      </c>
      <c r="M447" s="29">
        <f t="shared" si="51"/>
        <v>1.4709122564564581E-2</v>
      </c>
      <c r="N447" s="29">
        <f t="shared" si="52"/>
        <v>-1.4496303121340981E-2</v>
      </c>
      <c r="O447" s="29">
        <f t="shared" si="53"/>
        <v>-2.6201544366555307E-4</v>
      </c>
      <c r="P447" s="29">
        <f t="shared" si="54"/>
        <v>2.2253035245005659E-2</v>
      </c>
      <c r="Q447" s="29">
        <f t="shared" si="55"/>
        <v>2.3644006210787882E-3</v>
      </c>
    </row>
    <row r="448" spans="2:17" ht="13.95" customHeight="1" x14ac:dyDescent="0.3">
      <c r="B448" s="89">
        <v>45618</v>
      </c>
      <c r="C448" s="91">
        <f t="shared" si="48"/>
        <v>1</v>
      </c>
      <c r="D448" s="90">
        <v>6.0593446661848427</v>
      </c>
      <c r="E448" s="90">
        <v>3.0205945096638702</v>
      </c>
      <c r="F448" s="90">
        <v>1.0612624343817381</v>
      </c>
      <c r="G448" s="90">
        <v>4.4534566228998642</v>
      </c>
      <c r="H448" s="90">
        <v>3.6295466011112261</v>
      </c>
      <c r="I448" s="90">
        <v>0.68508744880714756</v>
      </c>
      <c r="J448" s="90">
        <v>7.5474600964681882</v>
      </c>
      <c r="K448" s="29">
        <f t="shared" si="49"/>
        <v>-3.2375407623250751E-3</v>
      </c>
      <c r="L448" s="29">
        <f t="shared" si="50"/>
        <v>-1.0631472819658816E-3</v>
      </c>
      <c r="M448" s="29">
        <f t="shared" si="51"/>
        <v>1.0581338417647856E-4</v>
      </c>
      <c r="N448" s="29">
        <f t="shared" si="52"/>
        <v>3.3510149236558151E-2</v>
      </c>
      <c r="O448" s="29">
        <f t="shared" si="53"/>
        <v>1.0446910395481623E-2</v>
      </c>
      <c r="P448" s="29">
        <f t="shared" si="54"/>
        <v>-3.4148729274809941E-3</v>
      </c>
      <c r="Q448" s="29">
        <f t="shared" si="55"/>
        <v>5.9813125057674998E-3</v>
      </c>
    </row>
    <row r="449" spans="2:17" ht="13.95" customHeight="1" x14ac:dyDescent="0.3">
      <c r="B449" s="89">
        <v>45625</v>
      </c>
      <c r="C449" s="91">
        <f t="shared" si="48"/>
        <v>1</v>
      </c>
      <c r="D449" s="90">
        <v>5.7403015482863768</v>
      </c>
      <c r="E449" s="90">
        <v>2.9488567157489469</v>
      </c>
      <c r="F449" s="90">
        <v>1.0080459483911071</v>
      </c>
      <c r="G449" s="90">
        <v>4.4459675508610914</v>
      </c>
      <c r="H449" s="90">
        <v>3.5331409998441119</v>
      </c>
      <c r="I449" s="90">
        <v>0.62689435723481113</v>
      </c>
      <c r="J449" s="90">
        <v>7.6032043990853229</v>
      </c>
      <c r="K449" s="29">
        <f t="shared" si="49"/>
        <v>-5.265307314154577E-2</v>
      </c>
      <c r="L449" s="29">
        <f t="shared" si="50"/>
        <v>-2.3749561116333417E-2</v>
      </c>
      <c r="M449" s="29">
        <f t="shared" si="51"/>
        <v>-5.0144511165735817E-2</v>
      </c>
      <c r="N449" s="29">
        <f t="shared" si="52"/>
        <v>-1.6816312974204939E-3</v>
      </c>
      <c r="O449" s="29">
        <f t="shared" si="53"/>
        <v>-2.6561334475661114E-2</v>
      </c>
      <c r="P449" s="29">
        <f t="shared" si="54"/>
        <v>-8.4942574373038648E-2</v>
      </c>
      <c r="Q449" s="29">
        <f t="shared" si="55"/>
        <v>7.3858360169694048E-3</v>
      </c>
    </row>
    <row r="450" spans="2:17" ht="13.95" customHeight="1" x14ac:dyDescent="0.3">
      <c r="B450" s="89">
        <v>45632</v>
      </c>
      <c r="C450" s="91">
        <f t="shared" si="48"/>
        <v>1</v>
      </c>
      <c r="D450" s="90">
        <v>5.7964199447606051</v>
      </c>
      <c r="E450" s="90">
        <v>3.0109109155813059</v>
      </c>
      <c r="F450" s="90">
        <v>0.995944520722573</v>
      </c>
      <c r="G450" s="90">
        <v>4.3951163033790639</v>
      </c>
      <c r="H450" s="90">
        <v>3.5411385997906031</v>
      </c>
      <c r="I450" s="90">
        <v>0.60864878855845772</v>
      </c>
      <c r="J450" s="90">
        <v>7.7065995155129707</v>
      </c>
      <c r="K450" s="29">
        <f t="shared" si="49"/>
        <v>9.7762105356609119E-3</v>
      </c>
      <c r="L450" s="29">
        <f t="shared" si="50"/>
        <v>2.1043477460585436E-2</v>
      </c>
      <c r="M450" s="29">
        <f t="shared" si="51"/>
        <v>-1.2004837366638488E-2</v>
      </c>
      <c r="N450" s="29">
        <f t="shared" si="52"/>
        <v>-1.1437611026238526E-2</v>
      </c>
      <c r="O450" s="29">
        <f t="shared" si="53"/>
        <v>2.2635948995084476E-3</v>
      </c>
      <c r="P450" s="29">
        <f t="shared" si="54"/>
        <v>-2.9104694380777896E-2</v>
      </c>
      <c r="Q450" s="29">
        <f t="shared" si="55"/>
        <v>1.3598886864081505E-2</v>
      </c>
    </row>
    <row r="451" spans="2:17" ht="13.95" customHeight="1" x14ac:dyDescent="0.3">
      <c r="B451" s="89">
        <v>45639</v>
      </c>
      <c r="C451" s="91">
        <f t="shared" si="48"/>
        <v>1</v>
      </c>
      <c r="D451" s="90">
        <v>5.7788361903207548</v>
      </c>
      <c r="E451" s="90">
        <v>2.9316824619551158</v>
      </c>
      <c r="F451" s="90">
        <v>0.986830218106727</v>
      </c>
      <c r="G451" s="90">
        <v>4.383198777297947</v>
      </c>
      <c r="H451" s="90">
        <v>3.5051018007728429</v>
      </c>
      <c r="I451" s="90">
        <v>0.59455023130855955</v>
      </c>
      <c r="J451" s="90">
        <v>7.7909508227420181</v>
      </c>
      <c r="K451" s="29">
        <f t="shared" si="49"/>
        <v>-3.0335542640840263E-3</v>
      </c>
      <c r="L451" s="29">
        <f t="shared" si="50"/>
        <v>-2.6313782057179713E-2</v>
      </c>
      <c r="M451" s="29">
        <f t="shared" si="51"/>
        <v>-9.1514159937678974E-3</v>
      </c>
      <c r="N451" s="29">
        <f t="shared" si="52"/>
        <v>-2.7115382753248873E-3</v>
      </c>
      <c r="O451" s="29">
        <f t="shared" si="53"/>
        <v>-1.0176613538902757E-2</v>
      </c>
      <c r="P451" s="29">
        <f t="shared" si="54"/>
        <v>-2.3163698860371729E-2</v>
      </c>
      <c r="Q451" s="29">
        <f t="shared" si="55"/>
        <v>1.0945334198209311E-2</v>
      </c>
    </row>
    <row r="452" spans="2:17" ht="13.95" customHeight="1" x14ac:dyDescent="0.3">
      <c r="B452" s="89">
        <v>45646</v>
      </c>
      <c r="C452" s="91">
        <f t="shared" si="48"/>
        <v>1</v>
      </c>
      <c r="D452" s="90">
        <v>5.67100686164863</v>
      </c>
      <c r="E452" s="90">
        <v>2.893069913076717</v>
      </c>
      <c r="F452" s="90">
        <v>0.97366245297466192</v>
      </c>
      <c r="G452" s="90">
        <v>4.2584758410835386</v>
      </c>
      <c r="H452" s="90">
        <v>3.4351112337950549</v>
      </c>
      <c r="I452" s="90">
        <v>0.59235408128782441</v>
      </c>
      <c r="J452" s="90">
        <v>7.5828049189878346</v>
      </c>
      <c r="K452" s="29">
        <f t="shared" si="49"/>
        <v>-1.8659350277610121E-2</v>
      </c>
      <c r="L452" s="29">
        <f t="shared" si="50"/>
        <v>-1.3170781412884858E-2</v>
      </c>
      <c r="M452" s="29">
        <f t="shared" si="51"/>
        <v>-1.3343496064934013E-2</v>
      </c>
      <c r="N452" s="29">
        <f t="shared" si="52"/>
        <v>-2.8454775279731837E-2</v>
      </c>
      <c r="O452" s="29">
        <f t="shared" si="53"/>
        <v>-1.9968198059855391E-2</v>
      </c>
      <c r="P452" s="29">
        <f t="shared" si="54"/>
        <v>-3.6938006329617634E-3</v>
      </c>
      <c r="Q452" s="29">
        <f t="shared" si="55"/>
        <v>-2.6716367294553955E-2</v>
      </c>
    </row>
    <row r="453" spans="2:17" ht="13.95" customHeight="1" x14ac:dyDescent="0.3">
      <c r="B453" s="89">
        <v>45653</v>
      </c>
      <c r="C453" s="91">
        <f t="shared" si="48"/>
        <v>1</v>
      </c>
      <c r="D453" s="90">
        <v>5.5974211639907043</v>
      </c>
      <c r="E453" s="90">
        <v>2.8156123600175391</v>
      </c>
      <c r="F453" s="90">
        <v>0.94646248139662825</v>
      </c>
      <c r="G453" s="90">
        <v>4.2558926296954516</v>
      </c>
      <c r="H453" s="90">
        <v>3.3857639388860981</v>
      </c>
      <c r="I453" s="90">
        <v>0.56887249587677879</v>
      </c>
      <c r="J453" s="90">
        <v>7.4968896404381153</v>
      </c>
      <c r="K453" s="29">
        <f t="shared" si="49"/>
        <v>-1.2975772989372358E-2</v>
      </c>
      <c r="L453" s="29">
        <f t="shared" si="50"/>
        <v>-2.6773481245326525E-2</v>
      </c>
      <c r="M453" s="29">
        <f t="shared" si="51"/>
        <v>-2.79357301854809E-2</v>
      </c>
      <c r="N453" s="29">
        <f t="shared" si="52"/>
        <v>-6.066046831041394E-4</v>
      </c>
      <c r="O453" s="29">
        <f t="shared" si="53"/>
        <v>-1.4365559526419935E-2</v>
      </c>
      <c r="P453" s="29">
        <f t="shared" si="54"/>
        <v>-3.9641130453587525E-2</v>
      </c>
      <c r="Q453" s="29">
        <f t="shared" si="55"/>
        <v>-1.1330276786441051E-2</v>
      </c>
    </row>
    <row r="454" spans="2:17" ht="13.95" customHeight="1" x14ac:dyDescent="0.3">
      <c r="B454" s="89">
        <v>45660</v>
      </c>
      <c r="C454" s="91">
        <f t="shared" si="48"/>
        <v>1</v>
      </c>
      <c r="D454" s="90">
        <v>5.4780166878038283</v>
      </c>
      <c r="E454" s="90">
        <v>2.7447046093281782</v>
      </c>
      <c r="F454" s="90">
        <v>0.93538929536179027</v>
      </c>
      <c r="G454" s="90">
        <v>4.2480877874435743</v>
      </c>
      <c r="H454" s="90">
        <v>3.3379452158401191</v>
      </c>
      <c r="I454" s="90">
        <v>0.56127140787565877</v>
      </c>
      <c r="J454" s="90">
        <v>7.4260565595726842</v>
      </c>
      <c r="K454" s="29">
        <f t="shared" si="49"/>
        <v>-2.1332051437370492E-2</v>
      </c>
      <c r="L454" s="29">
        <f t="shared" si="50"/>
        <v>-2.5183775897659189E-2</v>
      </c>
      <c r="M454" s="29">
        <f t="shared" si="51"/>
        <v>-1.1699550962123828E-2</v>
      </c>
      <c r="N454" s="29">
        <f t="shared" si="52"/>
        <v>-1.8338907794381853E-3</v>
      </c>
      <c r="O454" s="29">
        <f t="shared" si="53"/>
        <v>-1.4123466345888014E-2</v>
      </c>
      <c r="P454" s="29">
        <f t="shared" si="54"/>
        <v>-1.3361672529807911E-2</v>
      </c>
      <c r="Q454" s="29">
        <f t="shared" si="55"/>
        <v>-9.4483291421763038E-3</v>
      </c>
    </row>
    <row r="455" spans="2:17" ht="13.95" customHeight="1" x14ac:dyDescent="0.3">
      <c r="B455" s="89">
        <v>45667</v>
      </c>
      <c r="C455" s="91">
        <f t="shared" si="48"/>
        <v>1</v>
      </c>
      <c r="D455" s="90">
        <v>5.5516570685181144</v>
      </c>
      <c r="E455" s="90">
        <v>2.7628389581207009</v>
      </c>
      <c r="F455" s="90">
        <v>0.93256122928039908</v>
      </c>
      <c r="G455" s="90">
        <v>4.2231022349978939</v>
      </c>
      <c r="H455" s="90">
        <v>3.3461348462299338</v>
      </c>
      <c r="I455" s="90">
        <v>0.55329787876639125</v>
      </c>
      <c r="J455" s="90">
        <v>7.5169637334409174</v>
      </c>
      <c r="K455" s="29">
        <f t="shared" si="49"/>
        <v>1.3442890905797755E-2</v>
      </c>
      <c r="L455" s="29">
        <f t="shared" si="50"/>
        <v>6.6070311285562067E-3</v>
      </c>
      <c r="M455" s="29">
        <f t="shared" si="51"/>
        <v>-3.0234107824564926E-3</v>
      </c>
      <c r="N455" s="29">
        <f t="shared" si="52"/>
        <v>-5.8815998387632407E-3</v>
      </c>
      <c r="O455" s="29">
        <f t="shared" si="53"/>
        <v>2.4534945483680737E-3</v>
      </c>
      <c r="P455" s="29">
        <f t="shared" si="54"/>
        <v>-1.4206191509819277E-2</v>
      </c>
      <c r="Q455" s="29">
        <f t="shared" si="55"/>
        <v>1.2241648462944621E-2</v>
      </c>
    </row>
    <row r="456" spans="2:17" ht="13.95" customHeight="1" x14ac:dyDescent="0.3">
      <c r="B456" s="89">
        <v>45674</v>
      </c>
      <c r="C456" s="91">
        <f t="shared" si="48"/>
        <v>1</v>
      </c>
      <c r="D456" s="90">
        <v>5.8393093869934507</v>
      </c>
      <c r="E456" s="90">
        <v>2.8029089669212248</v>
      </c>
      <c r="F456" s="90">
        <v>0.95511418520248414</v>
      </c>
      <c r="G456" s="90">
        <v>4.3364255104569311</v>
      </c>
      <c r="H456" s="90">
        <v>3.4436875060092151</v>
      </c>
      <c r="I456" s="90">
        <v>0.56561550800172034</v>
      </c>
      <c r="J456" s="90">
        <v>7.7179564148685111</v>
      </c>
      <c r="K456" s="29">
        <f t="shared" si="49"/>
        <v>5.1813776486039131E-2</v>
      </c>
      <c r="L456" s="29">
        <f t="shared" si="50"/>
        <v>1.4503201021814016E-2</v>
      </c>
      <c r="M456" s="29">
        <f t="shared" si="51"/>
        <v>2.4183887571101126E-2</v>
      </c>
      <c r="N456" s="29">
        <f t="shared" si="52"/>
        <v>2.6834130256165434E-2</v>
      </c>
      <c r="O456" s="29">
        <f t="shared" si="53"/>
        <v>2.915383397928295E-2</v>
      </c>
      <c r="P456" s="29">
        <f t="shared" si="54"/>
        <v>2.2262202166384526E-2</v>
      </c>
      <c r="Q456" s="29">
        <f t="shared" si="55"/>
        <v>2.6738546114494666E-2</v>
      </c>
    </row>
    <row r="457" spans="2:17" ht="13.95" customHeight="1" x14ac:dyDescent="0.3">
      <c r="B457" s="89">
        <v>45681</v>
      </c>
      <c r="C457" s="91">
        <f t="shared" si="48"/>
        <v>1</v>
      </c>
      <c r="D457" s="90">
        <v>5.8903005788633633</v>
      </c>
      <c r="E457" s="90">
        <v>2.8078925506145511</v>
      </c>
      <c r="F457" s="90">
        <v>0.98492978039689605</v>
      </c>
      <c r="G457" s="90">
        <v>4.2597858925380931</v>
      </c>
      <c r="H457" s="90">
        <v>3.445319499299214</v>
      </c>
      <c r="I457" s="90">
        <v>0.5757771423933965</v>
      </c>
      <c r="J457" s="90">
        <v>8.0942521354973795</v>
      </c>
      <c r="K457" s="29">
        <f t="shared" si="49"/>
        <v>8.7324011266625146E-3</v>
      </c>
      <c r="L457" s="29">
        <f t="shared" si="50"/>
        <v>1.7780041207688946E-3</v>
      </c>
      <c r="M457" s="29">
        <f t="shared" si="51"/>
        <v>3.1216786072642222E-2</v>
      </c>
      <c r="N457" s="29">
        <f t="shared" si="52"/>
        <v>-1.7673454261817212E-2</v>
      </c>
      <c r="O457" s="29">
        <f t="shared" si="53"/>
        <v>4.7390864796859056E-4</v>
      </c>
      <c r="P457" s="29">
        <f t="shared" si="54"/>
        <v>1.7965621960360556E-2</v>
      </c>
      <c r="Q457" s="29">
        <f t="shared" si="55"/>
        <v>4.8755875312270547E-2</v>
      </c>
    </row>
    <row r="458" spans="2:17" ht="13.95" customHeight="1" x14ac:dyDescent="0.3">
      <c r="B458" s="89">
        <v>45688</v>
      </c>
      <c r="C458" s="91">
        <f t="shared" si="48"/>
        <v>1</v>
      </c>
      <c r="D458" s="90">
        <v>6.1773988909145743</v>
      </c>
      <c r="E458" s="90">
        <v>2.904188645138928</v>
      </c>
      <c r="F458" s="90">
        <v>1.0027762066406301</v>
      </c>
      <c r="G458" s="90">
        <v>4.3359351256302814</v>
      </c>
      <c r="H458" s="90">
        <v>3.5484337943561188</v>
      </c>
      <c r="I458" s="90">
        <v>0.61148141254493049</v>
      </c>
      <c r="J458" s="90">
        <v>7.7844958080401554</v>
      </c>
      <c r="K458" s="29">
        <f t="shared" si="49"/>
        <v>4.8740859351291688E-2</v>
      </c>
      <c r="L458" s="29">
        <f t="shared" si="50"/>
        <v>3.4294793261694156E-2</v>
      </c>
      <c r="M458" s="29">
        <f t="shared" si="51"/>
        <v>1.8119490951469031E-2</v>
      </c>
      <c r="N458" s="29">
        <f t="shared" si="52"/>
        <v>1.7876305291676609E-2</v>
      </c>
      <c r="O458" s="29">
        <f t="shared" si="53"/>
        <v>2.992880488380778E-2</v>
      </c>
      <c r="P458" s="29">
        <f t="shared" si="54"/>
        <v>6.2010572359850968E-2</v>
      </c>
      <c r="Q458" s="29">
        <f t="shared" si="55"/>
        <v>-3.8268677855831323E-2</v>
      </c>
    </row>
    <row r="459" spans="2:17" ht="13.95" customHeight="1" x14ac:dyDescent="0.3">
      <c r="B459" s="89">
        <v>45695</v>
      </c>
      <c r="C459" s="91">
        <f t="shared" si="48"/>
        <v>1</v>
      </c>
      <c r="D459" s="90">
        <v>6.165233767831773</v>
      </c>
      <c r="E459" s="90">
        <v>2.8695115915505331</v>
      </c>
      <c r="F459" s="90">
        <v>0.99220919564373289</v>
      </c>
      <c r="G459" s="90">
        <v>4.2481287683109601</v>
      </c>
      <c r="H459" s="90">
        <v>3.505861878224354</v>
      </c>
      <c r="I459" s="90">
        <v>0.59859517986884825</v>
      </c>
      <c r="J459" s="90">
        <v>7.8221476089396731</v>
      </c>
      <c r="K459" s="29">
        <f t="shared" si="49"/>
        <v>-1.9692953778156497E-3</v>
      </c>
      <c r="L459" s="29">
        <f t="shared" si="50"/>
        <v>-1.1940358504754056E-2</v>
      </c>
      <c r="M459" s="29">
        <f t="shared" si="51"/>
        <v>-1.0537756008688448E-2</v>
      </c>
      <c r="N459" s="29">
        <f t="shared" si="52"/>
        <v>-2.0250846651345467E-2</v>
      </c>
      <c r="O459" s="29">
        <f t="shared" si="53"/>
        <v>-1.1997382112490462E-2</v>
      </c>
      <c r="P459" s="29">
        <f t="shared" si="54"/>
        <v>-2.1073792942373992E-2</v>
      </c>
      <c r="Q459" s="29">
        <f t="shared" si="55"/>
        <v>4.8367680872316576E-3</v>
      </c>
    </row>
    <row r="460" spans="2:17" ht="13.95" customHeight="1" x14ac:dyDescent="0.3">
      <c r="B460" s="89">
        <v>45702</v>
      </c>
      <c r="C460" s="91">
        <f t="shared" si="48"/>
        <v>1</v>
      </c>
      <c r="D460" s="90">
        <v>6.3354709724791318</v>
      </c>
      <c r="E460" s="90">
        <v>2.990725034240393</v>
      </c>
      <c r="F460" s="90">
        <v>1.0149974559792461</v>
      </c>
      <c r="G460" s="90">
        <v>4.3400038850479934</v>
      </c>
      <c r="H460" s="90">
        <v>3.6071940171258028</v>
      </c>
      <c r="I460" s="90">
        <v>0.62801081698563366</v>
      </c>
      <c r="J460" s="90">
        <v>7.7107462911271982</v>
      </c>
      <c r="K460" s="29">
        <f t="shared" si="49"/>
        <v>2.761244926925599E-2</v>
      </c>
      <c r="L460" s="29">
        <f t="shared" si="50"/>
        <v>4.2241837616819877E-2</v>
      </c>
      <c r="M460" s="29">
        <f t="shared" si="51"/>
        <v>2.2967193244695094E-2</v>
      </c>
      <c r="N460" s="29">
        <f t="shared" si="52"/>
        <v>2.1627196760695799E-2</v>
      </c>
      <c r="O460" s="29">
        <f t="shared" si="53"/>
        <v>2.8903631238539118E-2</v>
      </c>
      <c r="P460" s="29">
        <f t="shared" si="54"/>
        <v>4.9141119250626808E-2</v>
      </c>
      <c r="Q460" s="29">
        <f t="shared" si="55"/>
        <v>-1.4241781590155322E-2</v>
      </c>
    </row>
    <row r="461" spans="2:17" ht="13.95" customHeight="1" x14ac:dyDescent="0.3">
      <c r="B461" s="89">
        <v>45709</v>
      </c>
      <c r="C461" s="91">
        <f t="shared" si="48"/>
        <v>1</v>
      </c>
      <c r="D461" s="90">
        <v>6.2332646863935226</v>
      </c>
      <c r="E461" s="90">
        <v>2.9380752225804301</v>
      </c>
      <c r="F461" s="90">
        <v>0.98106521940681468</v>
      </c>
      <c r="G461" s="90">
        <v>4.4060906597916709</v>
      </c>
      <c r="H461" s="90">
        <v>3.576958758548185</v>
      </c>
      <c r="I461" s="90">
        <v>0.60083964283874292</v>
      </c>
      <c r="J461" s="90">
        <v>7.567704261063291</v>
      </c>
      <c r="K461" s="29">
        <f t="shared" si="49"/>
        <v>-1.6132389609168185E-2</v>
      </c>
      <c r="L461" s="29">
        <f t="shared" si="50"/>
        <v>-1.7604363843945037E-2</v>
      </c>
      <c r="M461" s="29">
        <f t="shared" si="51"/>
        <v>-3.3430858740127967E-2</v>
      </c>
      <c r="N461" s="29">
        <f t="shared" si="52"/>
        <v>1.5227353821354095E-2</v>
      </c>
      <c r="O461" s="29">
        <f t="shared" si="53"/>
        <v>-8.3819330022367744E-3</v>
      </c>
      <c r="P461" s="29">
        <f t="shared" si="54"/>
        <v>-4.3265455645029594E-2</v>
      </c>
      <c r="Q461" s="29">
        <f t="shared" si="55"/>
        <v>-1.8550996837816691E-2</v>
      </c>
    </row>
    <row r="462" spans="2:17" ht="13.95" customHeight="1" x14ac:dyDescent="0.3">
      <c r="B462" s="89">
        <v>45716</v>
      </c>
      <c r="C462" s="91">
        <f t="shared" si="48"/>
        <v>1</v>
      </c>
      <c r="D462" s="90">
        <v>6.0143322951575531</v>
      </c>
      <c r="E462" s="90">
        <v>2.8754007686158269</v>
      </c>
      <c r="F462" s="90">
        <v>0.96158685216158934</v>
      </c>
      <c r="G462" s="90">
        <v>4.1925050246442632</v>
      </c>
      <c r="H462" s="90">
        <v>3.4554295814037621</v>
      </c>
      <c r="I462" s="90">
        <v>0.57238573879730181</v>
      </c>
      <c r="J462" s="90">
        <v>7.7244284057381201</v>
      </c>
      <c r="K462" s="29">
        <f t="shared" si="49"/>
        <v>-3.5123230321643995E-2</v>
      </c>
      <c r="L462" s="29">
        <f t="shared" si="50"/>
        <v>-2.1331807124242985E-2</v>
      </c>
      <c r="M462" s="29">
        <f t="shared" si="51"/>
        <v>-1.9854304137907008E-2</v>
      </c>
      <c r="N462" s="29">
        <f t="shared" si="52"/>
        <v>-4.8475088607801475E-2</v>
      </c>
      <c r="O462" s="29">
        <f t="shared" si="53"/>
        <v>-3.3975560063138399E-2</v>
      </c>
      <c r="P462" s="29">
        <f t="shared" si="54"/>
        <v>-4.7356901929784478E-2</v>
      </c>
      <c r="Q462" s="29">
        <f t="shared" si="55"/>
        <v>2.070960218162754E-2</v>
      </c>
    </row>
    <row r="463" spans="2:17" ht="13.95" customHeight="1" x14ac:dyDescent="0.3">
      <c r="B463" s="89">
        <v>45723</v>
      </c>
      <c r="C463" s="91">
        <f t="shared" si="48"/>
        <v>1</v>
      </c>
      <c r="D463" s="90">
        <v>6.1727137710545597</v>
      </c>
      <c r="E463" s="90">
        <v>2.9600206049628341</v>
      </c>
      <c r="F463" s="90">
        <v>0.98860055062069785</v>
      </c>
      <c r="G463" s="90">
        <v>4.1894403743728974</v>
      </c>
      <c r="H463" s="90">
        <v>3.518462226221621</v>
      </c>
      <c r="I463" s="90">
        <v>0.59030896677850309</v>
      </c>
      <c r="J463" s="90">
        <v>7.9071134097290212</v>
      </c>
      <c r="K463" s="29">
        <f t="shared" si="49"/>
        <v>2.6334008186499336E-2</v>
      </c>
      <c r="L463" s="29">
        <f t="shared" si="50"/>
        <v>2.9428884234367736E-2</v>
      </c>
      <c r="M463" s="29">
        <f t="shared" si="51"/>
        <v>2.809283259061135E-2</v>
      </c>
      <c r="N463" s="29">
        <f t="shared" si="52"/>
        <v>-7.3098308847607818E-4</v>
      </c>
      <c r="O463" s="29">
        <f t="shared" si="53"/>
        <v>1.8241623315689681E-2</v>
      </c>
      <c r="P463" s="29">
        <f t="shared" si="54"/>
        <v>3.1313198017234978E-2</v>
      </c>
      <c r="Q463" s="29">
        <f t="shared" si="55"/>
        <v>2.3650294157065765E-2</v>
      </c>
    </row>
    <row r="464" spans="2:17" ht="13.95" customHeight="1" x14ac:dyDescent="0.3">
      <c r="B464" s="89">
        <v>45730</v>
      </c>
      <c r="C464" s="91">
        <f t="shared" si="48"/>
        <v>1</v>
      </c>
      <c r="D464" s="90">
        <v>6.5201954018663608</v>
      </c>
      <c r="E464" s="90">
        <v>3.0313998287227362</v>
      </c>
      <c r="F464" s="90">
        <v>1.0034658754986909</v>
      </c>
      <c r="G464" s="90">
        <v>4.2948323035251876</v>
      </c>
      <c r="H464" s="90">
        <v>3.629178215102844</v>
      </c>
      <c r="I464" s="90">
        <v>0.60762109443736201</v>
      </c>
      <c r="J464" s="90">
        <v>7.8689633559663381</v>
      </c>
      <c r="K464" s="29">
        <f t="shared" si="49"/>
        <v>5.6293170832127704E-2</v>
      </c>
      <c r="L464" s="29">
        <f t="shared" si="50"/>
        <v>2.4114434757726455E-2</v>
      </c>
      <c r="M464" s="29">
        <f t="shared" si="51"/>
        <v>1.5036735381807942E-2</v>
      </c>
      <c r="N464" s="29">
        <f t="shared" si="52"/>
        <v>2.5156565014501808E-2</v>
      </c>
      <c r="O464" s="29">
        <f t="shared" si="53"/>
        <v>3.1467152910184204E-2</v>
      </c>
      <c r="P464" s="29">
        <f t="shared" si="54"/>
        <v>2.9327231387550334E-2</v>
      </c>
      <c r="Q464" s="29">
        <f t="shared" si="55"/>
        <v>-4.824776348312243E-3</v>
      </c>
    </row>
    <row r="465" spans="2:17" ht="13.95" customHeight="1" x14ac:dyDescent="0.3">
      <c r="B465" s="89">
        <v>45737</v>
      </c>
      <c r="C465" s="91">
        <f t="shared" si="48"/>
        <v>1</v>
      </c>
      <c r="D465" s="90">
        <v>6.6669700239256686</v>
      </c>
      <c r="E465" s="90">
        <v>3.138454343472513</v>
      </c>
      <c r="F465" s="90">
        <v>1.019258162586073</v>
      </c>
      <c r="G465" s="90">
        <v>4.4056443917589307</v>
      </c>
      <c r="H465" s="90">
        <v>3.724364434402982</v>
      </c>
      <c r="I465" s="90">
        <v>0.61900801973327446</v>
      </c>
      <c r="J465" s="90">
        <v>7.9588397881823552</v>
      </c>
      <c r="K465" s="29">
        <f t="shared" si="49"/>
        <v>2.2510770462077723E-2</v>
      </c>
      <c r="L465" s="29">
        <f t="shared" si="50"/>
        <v>3.5315207758286338E-2</v>
      </c>
      <c r="M465" s="29">
        <f t="shared" si="51"/>
        <v>1.5737742032865709E-2</v>
      </c>
      <c r="N465" s="29">
        <f t="shared" si="52"/>
        <v>2.5801260771646239E-2</v>
      </c>
      <c r="O465" s="29">
        <f t="shared" si="53"/>
        <v>2.6228036667921062E-2</v>
      </c>
      <c r="P465" s="29">
        <f t="shared" si="54"/>
        <v>1.8740174428039547E-2</v>
      </c>
      <c r="Q465" s="29">
        <f t="shared" si="55"/>
        <v>1.1421635627248294E-2</v>
      </c>
    </row>
    <row r="466" spans="2:17" ht="13.95" customHeight="1" x14ac:dyDescent="0.3">
      <c r="B466" s="89">
        <v>45744</v>
      </c>
      <c r="C466" s="91">
        <f t="shared" si="48"/>
        <v>1</v>
      </c>
      <c r="D466" s="90">
        <v>6.6454606707680277</v>
      </c>
      <c r="E466" s="90">
        <v>3.1189155782399842</v>
      </c>
      <c r="F466" s="90">
        <v>0.99115830281970296</v>
      </c>
      <c r="G466" s="90">
        <v>4.4459247291709234</v>
      </c>
      <c r="H466" s="90">
        <v>3.7126043818221679</v>
      </c>
      <c r="I466" s="90">
        <v>0.62214468961748459</v>
      </c>
      <c r="J466" s="90">
        <v>7.3633266049756072</v>
      </c>
      <c r="K466" s="29">
        <f t="shared" si="49"/>
        <v>-3.2262561674120116E-3</v>
      </c>
      <c r="L466" s="29">
        <f t="shared" si="50"/>
        <v>-6.2256012336665556E-3</v>
      </c>
      <c r="M466" s="29">
        <f t="shared" si="51"/>
        <v>-2.7568932776633193E-2</v>
      </c>
      <c r="N466" s="29">
        <f t="shared" si="52"/>
        <v>9.142893486214998E-3</v>
      </c>
      <c r="O466" s="29">
        <f t="shared" si="53"/>
        <v>-3.1575998503753366E-3</v>
      </c>
      <c r="P466" s="29">
        <f t="shared" si="54"/>
        <v>5.0672524171200273E-3</v>
      </c>
      <c r="Q466" s="29">
        <f t="shared" si="55"/>
        <v>-7.4824119979270409E-2</v>
      </c>
    </row>
    <row r="467" spans="2:17" ht="13.95" customHeight="1" x14ac:dyDescent="0.3">
      <c r="B467" s="89">
        <v>45751</v>
      </c>
      <c r="C467" s="91">
        <f t="shared" si="48"/>
        <v>1</v>
      </c>
      <c r="D467" s="90">
        <v>6.5178598042839182</v>
      </c>
      <c r="E467" s="90">
        <v>3.1221558841590809</v>
      </c>
      <c r="F467" s="90">
        <v>0.96995281375158549</v>
      </c>
      <c r="G467" s="90">
        <v>4.0762542263963519</v>
      </c>
      <c r="H467" s="90">
        <v>3.5822632869787681</v>
      </c>
      <c r="I467" s="90">
        <v>0.62784375382667978</v>
      </c>
      <c r="J467" s="90">
        <v>6.8541023092591962</v>
      </c>
      <c r="K467" s="29">
        <f t="shared" si="49"/>
        <v>-1.9201207080405847E-2</v>
      </c>
      <c r="L467" s="29">
        <f t="shared" si="50"/>
        <v>1.038920688236411E-3</v>
      </c>
      <c r="M467" s="29">
        <f t="shared" si="51"/>
        <v>-2.1394654121133727E-2</v>
      </c>
      <c r="N467" s="29">
        <f t="shared" si="52"/>
        <v>-8.3148169457090138E-2</v>
      </c>
      <c r="O467" s="29">
        <f t="shared" si="53"/>
        <v>-3.5107725315840832E-2</v>
      </c>
      <c r="P467" s="29">
        <f t="shared" si="54"/>
        <v>9.1603517707419257E-3</v>
      </c>
      <c r="Q467" s="29">
        <f t="shared" si="55"/>
        <v>-6.9156825852640269E-2</v>
      </c>
    </row>
    <row r="468" spans="2:17" ht="13.95" customHeight="1" x14ac:dyDescent="0.3">
      <c r="B468" s="89">
        <v>45758</v>
      </c>
      <c r="C468" s="91">
        <f t="shared" si="48"/>
        <v>1</v>
      </c>
      <c r="D468" s="90">
        <v>6.5724332257180889</v>
      </c>
      <c r="E468" s="90">
        <v>3.1830862160393689</v>
      </c>
      <c r="F468" s="90">
        <v>0.99770055710918792</v>
      </c>
      <c r="G468" s="90">
        <v>3.9701653881900931</v>
      </c>
      <c r="H468" s="90">
        <v>3.594290791139878</v>
      </c>
      <c r="I468" s="90">
        <v>0.64791614266294961</v>
      </c>
      <c r="J468" s="90">
        <v>7.0110877304831156</v>
      </c>
      <c r="K468" s="29">
        <f t="shared" si="49"/>
        <v>8.3729050751140122E-3</v>
      </c>
      <c r="L468" s="29">
        <f t="shared" si="50"/>
        <v>1.9515467561831645E-2</v>
      </c>
      <c r="M468" s="29">
        <f t="shared" si="51"/>
        <v>2.8607312607589197E-2</v>
      </c>
      <c r="N468" s="29">
        <f t="shared" si="52"/>
        <v>-2.6026060278396268E-2</v>
      </c>
      <c r="O468" s="29">
        <f t="shared" si="53"/>
        <v>3.3575154022957854E-3</v>
      </c>
      <c r="P468" s="29">
        <f t="shared" si="54"/>
        <v>3.1970356818761925E-2</v>
      </c>
      <c r="Q468" s="29">
        <f t="shared" si="55"/>
        <v>2.2903863137824443E-2</v>
      </c>
    </row>
    <row r="469" spans="2:17" ht="13.95" customHeight="1" x14ac:dyDescent="0.3">
      <c r="B469" s="89">
        <v>45765</v>
      </c>
      <c r="C469" s="91">
        <f t="shared" si="48"/>
        <v>1</v>
      </c>
      <c r="D469" s="90">
        <v>6.7040137446744543</v>
      </c>
      <c r="E469" s="90">
        <v>3.2481757727499319</v>
      </c>
      <c r="F469" s="90">
        <v>1.0356099946061861</v>
      </c>
      <c r="G469" s="90">
        <v>3.9578662420837238</v>
      </c>
      <c r="H469" s="90">
        <v>3.6498412454657752</v>
      </c>
      <c r="I469" s="90">
        <v>0.67630143214479954</v>
      </c>
      <c r="J469" s="90">
        <v>7.2077522993178631</v>
      </c>
      <c r="K469" s="29">
        <f t="shared" si="49"/>
        <v>2.0020061739309591E-2</v>
      </c>
      <c r="L469" s="29">
        <f t="shared" si="50"/>
        <v>2.044856855669841E-2</v>
      </c>
      <c r="M469" s="29">
        <f t="shared" si="51"/>
        <v>3.7996808989302133E-2</v>
      </c>
      <c r="N469" s="29">
        <f t="shared" si="52"/>
        <v>-3.097892632623056E-3</v>
      </c>
      <c r="O469" s="29">
        <f t="shared" si="53"/>
        <v>1.5455192012519436E-2</v>
      </c>
      <c r="P469" s="29">
        <f t="shared" si="54"/>
        <v>4.3810128522474789E-2</v>
      </c>
      <c r="Q469" s="29">
        <f t="shared" si="55"/>
        <v>2.8050507481125919E-2</v>
      </c>
    </row>
    <row r="470" spans="2:17" ht="13.95" customHeight="1" x14ac:dyDescent="0.3">
      <c r="B470" s="89">
        <v>45772</v>
      </c>
      <c r="C470" s="91">
        <f t="shared" si="48"/>
        <v>1</v>
      </c>
      <c r="D470" s="90">
        <v>7.0674027169088838</v>
      </c>
      <c r="E470" s="90">
        <v>3.411744435122114</v>
      </c>
      <c r="F470" s="90">
        <v>1.084287639831123</v>
      </c>
      <c r="G470" s="90">
        <v>4.0021538844118849</v>
      </c>
      <c r="H470" s="90">
        <v>3.7927070533627032</v>
      </c>
      <c r="I470" s="90">
        <v>0.70694743542766947</v>
      </c>
      <c r="J470" s="90">
        <v>7.5677015722110426</v>
      </c>
      <c r="K470" s="29">
        <f t="shared" si="49"/>
        <v>5.4204687829451315E-2</v>
      </c>
      <c r="L470" s="29">
        <f t="shared" si="50"/>
        <v>5.0357084657922879E-2</v>
      </c>
      <c r="M470" s="29">
        <f t="shared" si="51"/>
        <v>4.7003838779527962E-2</v>
      </c>
      <c r="N470" s="29">
        <f t="shared" si="52"/>
        <v>1.1189777425334224E-2</v>
      </c>
      <c r="O470" s="29">
        <f t="shared" si="53"/>
        <v>3.9143019733916207E-2</v>
      </c>
      <c r="P470" s="29">
        <f t="shared" si="54"/>
        <v>4.5314118566450734E-2</v>
      </c>
      <c r="Q470" s="29">
        <f t="shared" si="55"/>
        <v>4.9939184636969891E-2</v>
      </c>
    </row>
    <row r="471" spans="2:17" ht="13.95" customHeight="1" x14ac:dyDescent="0.3">
      <c r="B471" s="89">
        <v>45779</v>
      </c>
      <c r="C471" s="91">
        <f t="shared" ref="C471:C534" si="56">IF(B471&gt;$C$17,1,0)</f>
        <v>1</v>
      </c>
      <c r="D471" s="90">
        <v>7.1719726621840678</v>
      </c>
      <c r="E471" s="90">
        <v>3.4348642816158832</v>
      </c>
      <c r="F471" s="90">
        <v>1.0757527992240199</v>
      </c>
      <c r="G471" s="90">
        <v>3.9762641705098858</v>
      </c>
      <c r="H471" s="90">
        <v>3.804288179403664</v>
      </c>
      <c r="I471" s="90">
        <v>0.71655561222950337</v>
      </c>
      <c r="J471" s="90">
        <v>7.2272402502768829</v>
      </c>
      <c r="K471" s="29">
        <f t="shared" ref="K471:K534" si="57">D471/D470-1</f>
        <v>1.4796092633153402E-2</v>
      </c>
      <c r="L471" s="29">
        <f t="shared" ref="L471:L534" si="58">E471/E470-1</f>
        <v>6.7765469933100952E-3</v>
      </c>
      <c r="M471" s="29">
        <f t="shared" ref="M471:M534" si="59">F471/F470-1</f>
        <v>-7.8713805207927257E-3</v>
      </c>
      <c r="N471" s="29">
        <f t="shared" ref="N471:N534" si="60">G471/G470-1</f>
        <v>-6.4689451354775773E-3</v>
      </c>
      <c r="O471" s="29">
        <f t="shared" ref="O471:O534" si="61">H471/H470-1</f>
        <v>3.0535250621828158E-3</v>
      </c>
      <c r="P471" s="29">
        <f t="shared" ref="P471:P534" si="62">I471/I470-1</f>
        <v>1.3591076677463843E-2</v>
      </c>
      <c r="Q471" s="29">
        <f t="shared" ref="Q471:Q534" si="63">J471/J470-1</f>
        <v>-4.4988735177448058E-2</v>
      </c>
    </row>
    <row r="472" spans="2:17" ht="13.95" customHeight="1" x14ac:dyDescent="0.3">
      <c r="B472" s="89">
        <v>45786</v>
      </c>
      <c r="C472" s="91">
        <f t="shared" si="56"/>
        <v>1</v>
      </c>
      <c r="D472" s="90">
        <v>7.5717516082021064</v>
      </c>
      <c r="E472" s="90">
        <v>3.406527119064759</v>
      </c>
      <c r="F472" s="90">
        <v>1.061496314704915</v>
      </c>
      <c r="G472" s="90">
        <v>3.9761938795250988</v>
      </c>
      <c r="H472" s="90">
        <v>3.8469234532477361</v>
      </c>
      <c r="I472" s="90">
        <v>0.70983812212094788</v>
      </c>
      <c r="J472" s="90">
        <v>7.0803486583194628</v>
      </c>
      <c r="K472" s="29">
        <f t="shared" si="57"/>
        <v>5.5741839079500144E-2</v>
      </c>
      <c r="L472" s="29">
        <f t="shared" si="58"/>
        <v>-8.2498638163931437E-3</v>
      </c>
      <c r="M472" s="29">
        <f t="shared" si="59"/>
        <v>-1.3252565579553788E-2</v>
      </c>
      <c r="N472" s="29">
        <f t="shared" si="60"/>
        <v>-1.7677644586155949E-5</v>
      </c>
      <c r="O472" s="29">
        <f t="shared" si="61"/>
        <v>1.1207161979709834E-2</v>
      </c>
      <c r="P472" s="29">
        <f t="shared" si="62"/>
        <v>-9.3746947116283286E-3</v>
      </c>
      <c r="Q472" s="29">
        <f t="shared" si="63"/>
        <v>-2.0324714119167808E-2</v>
      </c>
    </row>
    <row r="473" spans="2:17" ht="13.95" customHeight="1" x14ac:dyDescent="0.3">
      <c r="B473" s="89">
        <v>45793</v>
      </c>
      <c r="C473" s="91">
        <f t="shared" si="56"/>
        <v>1</v>
      </c>
      <c r="D473" s="90">
        <v>7.5228136950825526</v>
      </c>
      <c r="E473" s="90">
        <v>3.4394476589246672</v>
      </c>
      <c r="F473" s="90">
        <v>1.1067072401395881</v>
      </c>
      <c r="G473" s="90">
        <v>4.1498738484396842</v>
      </c>
      <c r="H473" s="90">
        <v>3.9204683139926599</v>
      </c>
      <c r="I473" s="90">
        <v>0.73824094189874934</v>
      </c>
      <c r="J473" s="90">
        <v>7.4155811935850178</v>
      </c>
      <c r="K473" s="29">
        <f t="shared" si="57"/>
        <v>-6.46322220429707E-3</v>
      </c>
      <c r="L473" s="29">
        <f t="shared" si="58"/>
        <v>9.6639594253240535E-3</v>
      </c>
      <c r="M473" s="29">
        <f t="shared" si="59"/>
        <v>4.259169326201695E-2</v>
      </c>
      <c r="N473" s="29">
        <f t="shared" si="60"/>
        <v>4.3679954795194487E-2</v>
      </c>
      <c r="O473" s="29">
        <f t="shared" si="61"/>
        <v>1.9117838355435568E-2</v>
      </c>
      <c r="P473" s="29">
        <f t="shared" si="62"/>
        <v>4.0013094384020675E-2</v>
      </c>
      <c r="Q473" s="29">
        <f t="shared" si="63"/>
        <v>4.7346896522059589E-2</v>
      </c>
    </row>
    <row r="474" spans="2:17" ht="13.95" customHeight="1" x14ac:dyDescent="0.3">
      <c r="B474" s="89">
        <v>45800</v>
      </c>
      <c r="C474" s="91">
        <f t="shared" si="56"/>
        <v>1</v>
      </c>
      <c r="D474" s="90">
        <v>7.4495835823824548</v>
      </c>
      <c r="E474" s="90">
        <v>3.4567962452169079</v>
      </c>
      <c r="F474" s="90">
        <v>1.084821144779011</v>
      </c>
      <c r="G474" s="90">
        <v>4.0706471223969647</v>
      </c>
      <c r="H474" s="90">
        <v>3.882878408044288</v>
      </c>
      <c r="I474" s="90">
        <v>0.7263435895700473</v>
      </c>
      <c r="J474" s="90">
        <v>7.2192305036920184</v>
      </c>
      <c r="K474" s="29">
        <f t="shared" si="57"/>
        <v>-9.7344046613790924E-3</v>
      </c>
      <c r="L474" s="29">
        <f t="shared" si="58"/>
        <v>5.0440035763372748E-3</v>
      </c>
      <c r="M474" s="29">
        <f t="shared" si="59"/>
        <v>-1.9775867155090276E-2</v>
      </c>
      <c r="N474" s="29">
        <f t="shared" si="60"/>
        <v>-1.9091357698140188E-2</v>
      </c>
      <c r="O474" s="29">
        <f t="shared" si="61"/>
        <v>-9.5881162498390182E-3</v>
      </c>
      <c r="P474" s="29">
        <f t="shared" si="62"/>
        <v>-1.6115812133234098E-2</v>
      </c>
      <c r="Q474" s="29">
        <f t="shared" si="63"/>
        <v>-2.6478125553106469E-2</v>
      </c>
    </row>
    <row r="475" spans="2:17" ht="13.95" customHeight="1" x14ac:dyDescent="0.3">
      <c r="B475" s="89">
        <v>45807</v>
      </c>
      <c r="C475" s="91">
        <f t="shared" si="56"/>
        <v>1</v>
      </c>
      <c r="D475" s="90">
        <v>7.4056612474430343</v>
      </c>
      <c r="E475" s="90">
        <v>3.4777092460628669</v>
      </c>
      <c r="F475" s="90">
        <v>1.097604841945153</v>
      </c>
      <c r="G475" s="90">
        <v>3.96678472420892</v>
      </c>
      <c r="H475" s="90">
        <v>3.860657963349595</v>
      </c>
      <c r="I475" s="90">
        <v>0.75039937044910399</v>
      </c>
      <c r="J475" s="90">
        <v>7.0192586247158619</v>
      </c>
      <c r="K475" s="29">
        <f t="shared" si="57"/>
        <v>-5.8959449818500875E-3</v>
      </c>
      <c r="L475" s="29">
        <f t="shared" si="58"/>
        <v>6.0498216737234767E-3</v>
      </c>
      <c r="M475" s="29">
        <f t="shared" si="59"/>
        <v>1.1784151910816609E-2</v>
      </c>
      <c r="N475" s="29">
        <f t="shared" si="60"/>
        <v>-2.551495992285524E-2</v>
      </c>
      <c r="O475" s="29">
        <f t="shared" si="61"/>
        <v>-5.7226733262257801E-3</v>
      </c>
      <c r="P475" s="29">
        <f t="shared" si="62"/>
        <v>3.3119010375373792E-2</v>
      </c>
      <c r="Q475" s="29">
        <f t="shared" si="63"/>
        <v>-2.769988835706072E-2</v>
      </c>
    </row>
    <row r="476" spans="2:17" ht="13.95" customHeight="1" x14ac:dyDescent="0.3">
      <c r="B476" s="89">
        <v>45814</v>
      </c>
      <c r="C476" s="91">
        <f t="shared" si="56"/>
        <v>1</v>
      </c>
      <c r="D476" s="90">
        <v>7.2450136796227937</v>
      </c>
      <c r="E476" s="90">
        <v>3.4314347896689519</v>
      </c>
      <c r="F476" s="90">
        <v>1.094437483254262</v>
      </c>
      <c r="G476" s="90">
        <v>4.0175651320028134</v>
      </c>
      <c r="H476" s="90">
        <v>3.8359211731840719</v>
      </c>
      <c r="I476" s="90">
        <v>0.74851126479336383</v>
      </c>
      <c r="J476" s="90">
        <v>6.9943221061976901</v>
      </c>
      <c r="K476" s="29">
        <f t="shared" si="57"/>
        <v>-2.1692535271675806E-2</v>
      </c>
      <c r="L476" s="29">
        <f t="shared" si="58"/>
        <v>-1.330601643777507E-2</v>
      </c>
      <c r="M476" s="29">
        <f t="shared" si="59"/>
        <v>-2.8857003630539113E-3</v>
      </c>
      <c r="N476" s="29">
        <f t="shared" si="60"/>
        <v>1.2801402476919188E-2</v>
      </c>
      <c r="O476" s="29">
        <f t="shared" si="61"/>
        <v>-6.4074026760093661E-3</v>
      </c>
      <c r="P476" s="29">
        <f t="shared" si="62"/>
        <v>-2.5161343813629999E-3</v>
      </c>
      <c r="Q476" s="29">
        <f t="shared" si="63"/>
        <v>-3.5525858002106725E-3</v>
      </c>
    </row>
    <row r="477" spans="2:17" ht="13.95" customHeight="1" x14ac:dyDescent="0.3">
      <c r="B477" s="89">
        <v>45821</v>
      </c>
      <c r="C477" s="91">
        <f t="shared" si="56"/>
        <v>1</v>
      </c>
      <c r="D477" s="90">
        <v>7.2239476295377374</v>
      </c>
      <c r="E477" s="90">
        <v>3.409429841251165</v>
      </c>
      <c r="F477" s="90">
        <v>1.0969781363352631</v>
      </c>
      <c r="G477" s="90">
        <v>4.160116724972589</v>
      </c>
      <c r="H477" s="90">
        <v>3.86803325603241</v>
      </c>
      <c r="I477" s="90">
        <v>0.74689359457226201</v>
      </c>
      <c r="J477" s="90">
        <v>7.0671941714861868</v>
      </c>
      <c r="K477" s="29">
        <f t="shared" si="57"/>
        <v>-2.9076618784455999E-3</v>
      </c>
      <c r="L477" s="29">
        <f t="shared" si="58"/>
        <v>-6.4127543627048311E-3</v>
      </c>
      <c r="M477" s="29">
        <f t="shared" si="59"/>
        <v>2.3214236718633874E-3</v>
      </c>
      <c r="N477" s="29">
        <f t="shared" si="60"/>
        <v>3.5482086359782672E-2</v>
      </c>
      <c r="O477" s="29">
        <f t="shared" si="61"/>
        <v>8.3714136444787979E-3</v>
      </c>
      <c r="P477" s="29">
        <f t="shared" si="62"/>
        <v>-2.1611835348241959E-3</v>
      </c>
      <c r="Q477" s="29">
        <f t="shared" si="63"/>
        <v>1.0418745974527521E-2</v>
      </c>
    </row>
    <row r="478" spans="2:17" ht="13.95" customHeight="1" x14ac:dyDescent="0.3">
      <c r="B478" s="89">
        <v>45828</v>
      </c>
      <c r="C478" s="91">
        <f t="shared" si="56"/>
        <v>1</v>
      </c>
      <c r="D478" s="90">
        <v>7.3276330733996149</v>
      </c>
      <c r="E478" s="90">
        <v>3.3952280526222021</v>
      </c>
      <c r="F478" s="90">
        <v>1.10710758662499</v>
      </c>
      <c r="G478" s="90">
        <v>4.0984524305937553</v>
      </c>
      <c r="H478" s="90">
        <v>3.8656222032706209</v>
      </c>
      <c r="I478" s="90">
        <v>0.74504557723499565</v>
      </c>
      <c r="J478" s="90">
        <v>7.2800596993527824</v>
      </c>
      <c r="K478" s="29">
        <f t="shared" si="57"/>
        <v>1.4353017100777743E-2</v>
      </c>
      <c r="L478" s="29">
        <f t="shared" si="58"/>
        <v>-4.1654438689816553E-3</v>
      </c>
      <c r="M478" s="29">
        <f t="shared" si="59"/>
        <v>9.2339582296205869E-3</v>
      </c>
      <c r="N478" s="29">
        <f t="shared" si="60"/>
        <v>-1.4822731777854092E-2</v>
      </c>
      <c r="O478" s="29">
        <f t="shared" si="61"/>
        <v>-6.2332782636476125E-4</v>
      </c>
      <c r="P478" s="29">
        <f t="shared" si="62"/>
        <v>-2.474271235817338E-3</v>
      </c>
      <c r="Q478" s="29">
        <f t="shared" si="63"/>
        <v>3.0120231976282552E-2</v>
      </c>
    </row>
    <row r="479" spans="2:17" ht="13.95" customHeight="1" x14ac:dyDescent="0.3">
      <c r="B479" s="89">
        <v>45835</v>
      </c>
      <c r="C479" s="91">
        <f t="shared" si="56"/>
        <v>1</v>
      </c>
      <c r="D479" s="90">
        <v>7.3479685890830018</v>
      </c>
      <c r="E479" s="90">
        <v>3.37750164286865</v>
      </c>
      <c r="F479" s="90">
        <v>1.118788423399006</v>
      </c>
      <c r="G479" s="90">
        <v>4.0630754792374342</v>
      </c>
      <c r="H479" s="90">
        <v>3.8585469842346751</v>
      </c>
      <c r="I479" s="90">
        <v>0.74716374367409011</v>
      </c>
      <c r="J479" s="90">
        <v>7.4538024354979351</v>
      </c>
      <c r="K479" s="29">
        <f t="shared" si="57"/>
        <v>2.7751820375951919E-3</v>
      </c>
      <c r="L479" s="29">
        <f t="shared" si="58"/>
        <v>-5.2209776423889354E-3</v>
      </c>
      <c r="M479" s="29">
        <f t="shared" si="59"/>
        <v>1.0550769333651511E-2</v>
      </c>
      <c r="N479" s="29">
        <f t="shared" si="60"/>
        <v>-8.6317828388692286E-3</v>
      </c>
      <c r="O479" s="29">
        <f t="shared" si="61"/>
        <v>-1.830292424841562E-3</v>
      </c>
      <c r="P479" s="29">
        <f t="shared" si="62"/>
        <v>2.843002500538816E-3</v>
      </c>
      <c r="Q479" s="29">
        <f t="shared" si="63"/>
        <v>2.3865564750876755E-2</v>
      </c>
    </row>
    <row r="480" spans="2:17" ht="13.95" customHeight="1" x14ac:dyDescent="0.3">
      <c r="B480" s="89">
        <v>45842</v>
      </c>
      <c r="C480" s="91">
        <f t="shared" si="56"/>
        <v>1</v>
      </c>
      <c r="D480" s="90">
        <v>7.5999429051784846</v>
      </c>
      <c r="E480" s="90">
        <v>3.4490714511330092</v>
      </c>
      <c r="F480" s="90">
        <v>1.151660693272061</v>
      </c>
      <c r="G480" s="90">
        <v>4.2278723951648347</v>
      </c>
      <c r="H480" s="90">
        <v>3.9821507710233748</v>
      </c>
      <c r="I480" s="90">
        <v>0.75395181346686135</v>
      </c>
      <c r="J480" s="90">
        <v>7.9268272687071999</v>
      </c>
      <c r="K480" s="29">
        <f t="shared" si="57"/>
        <v>3.4291697499883922E-2</v>
      </c>
      <c r="L480" s="29">
        <f t="shared" si="58"/>
        <v>2.1190162383924793E-2</v>
      </c>
      <c r="M480" s="29">
        <f t="shared" si="59"/>
        <v>2.9382025399570466E-2</v>
      </c>
      <c r="N480" s="29">
        <f t="shared" si="60"/>
        <v>4.0559649154814581E-2</v>
      </c>
      <c r="O480" s="29">
        <f t="shared" si="61"/>
        <v>3.203376485856535E-2</v>
      </c>
      <c r="P480" s="29">
        <f t="shared" si="62"/>
        <v>9.0851166832477404E-3</v>
      </c>
      <c r="Q480" s="29">
        <f t="shared" si="63"/>
        <v>6.3460876150477796E-2</v>
      </c>
    </row>
    <row r="481" spans="2:17" ht="13.95" customHeight="1" x14ac:dyDescent="0.3">
      <c r="B481" s="89">
        <v>45849</v>
      </c>
      <c r="C481" s="91">
        <f t="shared" si="56"/>
        <v>1</v>
      </c>
      <c r="D481" s="90">
        <v>7.1658307235763177</v>
      </c>
      <c r="E481" s="90">
        <v>3.314750020868138</v>
      </c>
      <c r="F481" s="90">
        <v>1.0707135119817759</v>
      </c>
      <c r="G481" s="90">
        <v>4.2363699931944376</v>
      </c>
      <c r="H481" s="90">
        <v>3.839044328063804</v>
      </c>
      <c r="I481" s="90">
        <v>0.7114722965402841</v>
      </c>
      <c r="J481" s="90">
        <v>7.1936325545293363</v>
      </c>
      <c r="K481" s="29">
        <f t="shared" si="57"/>
        <v>-5.7120453011083705E-2</v>
      </c>
      <c r="L481" s="29">
        <f t="shared" si="58"/>
        <v>-3.8944229531906904E-2</v>
      </c>
      <c r="M481" s="29">
        <f t="shared" si="59"/>
        <v>-7.0287352657926183E-2</v>
      </c>
      <c r="N481" s="29">
        <f t="shared" si="60"/>
        <v>2.009899361986589E-3</v>
      </c>
      <c r="O481" s="29">
        <f t="shared" si="61"/>
        <v>-3.5936972552848334E-2</v>
      </c>
      <c r="P481" s="29">
        <f t="shared" si="62"/>
        <v>-5.6342482593477294E-2</v>
      </c>
      <c r="Q481" s="29">
        <f t="shared" si="63"/>
        <v>-9.2495356505660542E-2</v>
      </c>
    </row>
    <row r="482" spans="2:17" ht="13.95" customHeight="1" x14ac:dyDescent="0.3">
      <c r="B482" s="89">
        <v>45856</v>
      </c>
      <c r="C482" s="91">
        <f t="shared" si="56"/>
        <v>1</v>
      </c>
      <c r="D482" s="90">
        <v>7.033035373476058</v>
      </c>
      <c r="E482" s="90">
        <v>3.2779661236322881</v>
      </c>
      <c r="F482" s="90">
        <v>1.058330191380711</v>
      </c>
      <c r="G482" s="90">
        <v>4.0917491046711154</v>
      </c>
      <c r="H482" s="90">
        <v>3.7599796981075841</v>
      </c>
      <c r="I482" s="90">
        <v>0.70025831301879704</v>
      </c>
      <c r="J482" s="90">
        <v>7.160422316059635</v>
      </c>
      <c r="K482" s="29">
        <f t="shared" si="57"/>
        <v>-1.853174533740376E-2</v>
      </c>
      <c r="L482" s="29">
        <f t="shared" si="58"/>
        <v>-1.1097035071807926E-2</v>
      </c>
      <c r="M482" s="29">
        <f t="shared" si="59"/>
        <v>-1.1565484569392104E-2</v>
      </c>
      <c r="N482" s="29">
        <f t="shared" si="60"/>
        <v>-3.4137926752302095E-2</v>
      </c>
      <c r="O482" s="29">
        <f t="shared" si="61"/>
        <v>-2.0594872890174587E-2</v>
      </c>
      <c r="P482" s="29">
        <f t="shared" si="62"/>
        <v>-1.576165871252877E-2</v>
      </c>
      <c r="Q482" s="29">
        <f t="shared" si="63"/>
        <v>-4.6166159055192058E-3</v>
      </c>
    </row>
    <row r="483" spans="2:17" ht="13.95" customHeight="1" x14ac:dyDescent="0.3">
      <c r="B483" s="89">
        <v>45863</v>
      </c>
      <c r="C483" s="91">
        <f t="shared" si="56"/>
        <v>1</v>
      </c>
      <c r="D483" s="90">
        <v>7.0131930682621411</v>
      </c>
      <c r="E483" s="90">
        <v>3.260712925719726</v>
      </c>
      <c r="F483" s="90">
        <v>1.016796196283456</v>
      </c>
      <c r="G483" s="90">
        <v>4.206526071249872</v>
      </c>
      <c r="H483" s="90">
        <v>3.7639816812021198</v>
      </c>
      <c r="I483" s="90">
        <v>0.69659253124437548</v>
      </c>
      <c r="J483" s="90">
        <v>6.4806496208365276</v>
      </c>
      <c r="K483" s="29">
        <f t="shared" si="57"/>
        <v>-2.8213003575595641E-3</v>
      </c>
      <c r="L483" s="29">
        <f t="shared" si="58"/>
        <v>-5.2633850570255047E-3</v>
      </c>
      <c r="M483" s="29">
        <f t="shared" si="59"/>
        <v>-3.9244836285988738E-2</v>
      </c>
      <c r="N483" s="29">
        <f t="shared" si="60"/>
        <v>2.8050831965168221E-2</v>
      </c>
      <c r="O483" s="29">
        <f t="shared" si="61"/>
        <v>1.0643629529569765E-3</v>
      </c>
      <c r="P483" s="29">
        <f t="shared" si="62"/>
        <v>-5.2348993311032155E-3</v>
      </c>
      <c r="Q483" s="29">
        <f t="shared" si="63"/>
        <v>-9.4934721056674332E-2</v>
      </c>
    </row>
    <row r="484" spans="2:17" ht="13.95" customHeight="1" x14ac:dyDescent="0.3">
      <c r="B484" s="89">
        <v>45870</v>
      </c>
      <c r="C484" s="91">
        <f t="shared" si="56"/>
        <v>1</v>
      </c>
      <c r="D484" s="90">
        <v>6.8851851281884091</v>
      </c>
      <c r="E484" s="90">
        <v>3.2277018178753552</v>
      </c>
      <c r="F484" s="90">
        <v>1.052008888430787</v>
      </c>
      <c r="G484" s="90">
        <v>4.1380609437017482</v>
      </c>
      <c r="H484" s="90">
        <v>3.7334435221106328</v>
      </c>
      <c r="I484" s="90">
        <v>0.69176362050100948</v>
      </c>
      <c r="J484" s="90">
        <v>7.1898001224353179</v>
      </c>
      <c r="K484" s="29">
        <f t="shared" si="57"/>
        <v>-1.825244775493573E-2</v>
      </c>
      <c r="L484" s="29">
        <f t="shared" si="58"/>
        <v>-1.0123892718057803E-2</v>
      </c>
      <c r="M484" s="29">
        <f t="shared" si="59"/>
        <v>3.4631022692687807E-2</v>
      </c>
      <c r="N484" s="29">
        <f t="shared" si="60"/>
        <v>-1.6275930872284072E-2</v>
      </c>
      <c r="O484" s="29">
        <f t="shared" si="61"/>
        <v>-8.11325922333761E-3</v>
      </c>
      <c r="P484" s="29">
        <f t="shared" si="62"/>
        <v>-6.9321885130461114E-3</v>
      </c>
      <c r="Q484" s="29">
        <f t="shared" si="63"/>
        <v>0.10942583584811238</v>
      </c>
    </row>
    <row r="485" spans="2:17" ht="13.95" customHeight="1" x14ac:dyDescent="0.3">
      <c r="B485" s="89">
        <v>45877</v>
      </c>
      <c r="C485" s="91">
        <f t="shared" si="56"/>
        <v>1</v>
      </c>
      <c r="D485" s="90">
        <v>7.1721096941521996</v>
      </c>
      <c r="E485" s="90">
        <v>3.4219702851308429</v>
      </c>
      <c r="F485" s="90">
        <v>1.0686474679250171</v>
      </c>
      <c r="G485" s="90">
        <v>4.0985852355497476</v>
      </c>
      <c r="H485" s="90">
        <v>3.8314530345209858</v>
      </c>
      <c r="I485" s="90">
        <v>0.70412526410192888</v>
      </c>
      <c r="J485" s="90">
        <v>7.2797064018816764</v>
      </c>
      <c r="K485" s="29">
        <f t="shared" si="57"/>
        <v>4.1672745267095523E-2</v>
      </c>
      <c r="L485" s="29">
        <f t="shared" si="58"/>
        <v>6.018786065664683E-2</v>
      </c>
      <c r="M485" s="29">
        <f t="shared" si="59"/>
        <v>1.5816006572956676E-2</v>
      </c>
      <c r="N485" s="29">
        <f t="shared" si="60"/>
        <v>-9.5396633082660554E-3</v>
      </c>
      <c r="O485" s="29">
        <f t="shared" si="61"/>
        <v>2.6251773149884139E-2</v>
      </c>
      <c r="P485" s="29">
        <f t="shared" si="62"/>
        <v>1.7869750930189943E-2</v>
      </c>
      <c r="Q485" s="29">
        <f t="shared" si="63"/>
        <v>1.2504698032677064E-2</v>
      </c>
    </row>
    <row r="486" spans="2:17" ht="13.95" customHeight="1" x14ac:dyDescent="0.3">
      <c r="B486" s="89">
        <v>45884</v>
      </c>
      <c r="C486" s="91">
        <f t="shared" si="56"/>
        <v>1</v>
      </c>
      <c r="D486" s="90">
        <v>7.3667074925171336</v>
      </c>
      <c r="E486" s="90">
        <v>3.4499155353813489</v>
      </c>
      <c r="F486" s="90">
        <v>1.0480799548847051</v>
      </c>
      <c r="G486" s="90">
        <v>4.0587922514844701</v>
      </c>
      <c r="H486" s="90">
        <v>3.8459993218543471</v>
      </c>
      <c r="I486" s="90">
        <v>0.69927812955551671</v>
      </c>
      <c r="J486" s="90">
        <v>6.9937293436230457</v>
      </c>
      <c r="K486" s="29">
        <f t="shared" si="57"/>
        <v>2.7132574188540426E-2</v>
      </c>
      <c r="L486" s="29">
        <f t="shared" si="58"/>
        <v>8.1664210738281451E-3</v>
      </c>
      <c r="M486" s="29">
        <f t="shared" si="59"/>
        <v>-1.9246303067790738E-2</v>
      </c>
      <c r="N486" s="29">
        <f t="shared" si="60"/>
        <v>-9.708956085657694E-3</v>
      </c>
      <c r="O486" s="29">
        <f t="shared" si="61"/>
        <v>3.7965459062920814E-3</v>
      </c>
      <c r="P486" s="29">
        <f t="shared" si="62"/>
        <v>-6.8839094313628557E-3</v>
      </c>
      <c r="Q486" s="29">
        <f t="shared" si="63"/>
        <v>-3.9284147254168178E-2</v>
      </c>
    </row>
    <row r="487" spans="2:17" ht="13.95" customHeight="1" x14ac:dyDescent="0.3">
      <c r="B487" s="89">
        <v>45891</v>
      </c>
      <c r="C487" s="91">
        <f t="shared" si="56"/>
        <v>1</v>
      </c>
      <c r="D487" s="90">
        <v>7.3402354267259344</v>
      </c>
      <c r="E487" s="90">
        <v>3.4993553890402649</v>
      </c>
      <c r="F487" s="90">
        <v>1.059917108761316</v>
      </c>
      <c r="G487" s="90">
        <v>4.1627495681070217</v>
      </c>
      <c r="H487" s="90">
        <v>3.8937375995201138</v>
      </c>
      <c r="I487" s="90">
        <v>0.70242802629186663</v>
      </c>
      <c r="J487" s="90">
        <v>7.1522800049191693</v>
      </c>
      <c r="K487" s="29">
        <f t="shared" si="57"/>
        <v>-3.5934731789050156E-3</v>
      </c>
      <c r="L487" s="29">
        <f t="shared" si="58"/>
        <v>1.4330743217297659E-2</v>
      </c>
      <c r="M487" s="29">
        <f t="shared" si="59"/>
        <v>1.1294132495753173E-2</v>
      </c>
      <c r="N487" s="29">
        <f t="shared" si="60"/>
        <v>2.5612869588121923E-2</v>
      </c>
      <c r="O487" s="29">
        <f t="shared" si="61"/>
        <v>1.2412450879671466E-2</v>
      </c>
      <c r="P487" s="29">
        <f t="shared" si="62"/>
        <v>4.5044977144532705E-3</v>
      </c>
      <c r="Q487" s="29">
        <f t="shared" si="63"/>
        <v>2.2670402800287315E-2</v>
      </c>
    </row>
    <row r="488" spans="2:17" ht="13.95" customHeight="1" x14ac:dyDescent="0.3">
      <c r="B488" s="89">
        <v>45898</v>
      </c>
      <c r="C488" s="91">
        <f t="shared" si="56"/>
        <v>1</v>
      </c>
      <c r="D488" s="90">
        <v>7.5724133190884926</v>
      </c>
      <c r="E488" s="90">
        <v>3.5936525656547951</v>
      </c>
      <c r="F488" s="90">
        <v>1.0759424213738329</v>
      </c>
      <c r="G488" s="90">
        <v>4.2547267509562721</v>
      </c>
      <c r="H488" s="90">
        <v>3.9913051166236042</v>
      </c>
      <c r="I488" s="90">
        <v>0.72250032794483943</v>
      </c>
      <c r="J488" s="90">
        <v>7.1020249967495541</v>
      </c>
      <c r="K488" s="29">
        <f t="shared" si="57"/>
        <v>3.1630850901211538E-2</v>
      </c>
      <c r="L488" s="29">
        <f t="shared" si="58"/>
        <v>2.6947013415631549E-2</v>
      </c>
      <c r="M488" s="29">
        <f t="shared" si="59"/>
        <v>1.5119401772130114E-2</v>
      </c>
      <c r="N488" s="29">
        <f t="shared" si="60"/>
        <v>2.2095295752099897E-2</v>
      </c>
      <c r="O488" s="29">
        <f t="shared" si="61"/>
        <v>2.5057548078102343E-2</v>
      </c>
      <c r="P488" s="29">
        <f t="shared" si="62"/>
        <v>2.8575599067330648E-2</v>
      </c>
      <c r="Q488" s="29">
        <f t="shared" si="63"/>
        <v>-7.0264318699841954E-3</v>
      </c>
    </row>
    <row r="489" spans="2:17" ht="13.95" customHeight="1" x14ac:dyDescent="0.3">
      <c r="B489" s="89">
        <v>45905</v>
      </c>
      <c r="C489" s="91">
        <f t="shared" si="56"/>
        <v>1</v>
      </c>
      <c r="D489" s="90">
        <v>7.6360678683691594</v>
      </c>
      <c r="E489" s="90">
        <v>3.604715019697291</v>
      </c>
      <c r="F489" s="90">
        <v>1.109826232863437</v>
      </c>
      <c r="G489" s="90">
        <v>4.2671070828501909</v>
      </c>
      <c r="H489" s="90">
        <v>4.025775127010661</v>
      </c>
      <c r="I489" s="90">
        <v>0.74145751517404646</v>
      </c>
      <c r="J489" s="90">
        <v>7.3918972965918011</v>
      </c>
      <c r="K489" s="29">
        <f t="shared" si="57"/>
        <v>8.4061113146329802E-3</v>
      </c>
      <c r="L489" s="29">
        <f t="shared" si="58"/>
        <v>3.0783315416247348E-3</v>
      </c>
      <c r="M489" s="29">
        <f t="shared" si="59"/>
        <v>3.1492216327281719E-2</v>
      </c>
      <c r="N489" s="29">
        <f t="shared" si="60"/>
        <v>2.9097830762307986E-3</v>
      </c>
      <c r="O489" s="29">
        <f t="shared" si="61"/>
        <v>8.6362754487223636E-3</v>
      </c>
      <c r="P489" s="29">
        <f t="shared" si="62"/>
        <v>2.62383095148635E-2</v>
      </c>
      <c r="Q489" s="29">
        <f t="shared" si="63"/>
        <v>4.0815443479136571E-2</v>
      </c>
    </row>
    <row r="490" spans="2:17" ht="13.95" customHeight="1" x14ac:dyDescent="0.3">
      <c r="B490" s="89">
        <v>45912</v>
      </c>
      <c r="C490" s="91">
        <f t="shared" si="56"/>
        <v>1</v>
      </c>
      <c r="D490" s="90">
        <v>7.5277513597548031</v>
      </c>
      <c r="E490" s="90">
        <v>3.6299518597934739</v>
      </c>
      <c r="F490" s="90">
        <v>1.08635797914475</v>
      </c>
      <c r="G490" s="90">
        <v>4.3039185460637004</v>
      </c>
      <c r="H490" s="90">
        <v>4.0154313572268148</v>
      </c>
      <c r="I490" s="90">
        <v>0.73588853968586709</v>
      </c>
      <c r="J490" s="90">
        <v>7.0592411354100442</v>
      </c>
      <c r="K490" s="29">
        <f t="shared" si="57"/>
        <v>-1.4184854100503075E-2</v>
      </c>
      <c r="L490" s="29">
        <f t="shared" si="58"/>
        <v>7.0010638728112973E-3</v>
      </c>
      <c r="M490" s="29">
        <f t="shared" si="59"/>
        <v>-2.1145881241369735E-2</v>
      </c>
      <c r="N490" s="29">
        <f t="shared" si="60"/>
        <v>8.6267962108232954E-3</v>
      </c>
      <c r="O490" s="29">
        <f t="shared" si="61"/>
        <v>-2.5693858840861727E-3</v>
      </c>
      <c r="P490" s="29">
        <f t="shared" si="62"/>
        <v>-7.5108490698514441E-3</v>
      </c>
      <c r="Q490" s="29">
        <f t="shared" si="63"/>
        <v>-4.5002811569789469E-2</v>
      </c>
    </row>
    <row r="491" spans="2:17" ht="13.95" customHeight="1" x14ac:dyDescent="0.3">
      <c r="B491" s="89">
        <v>45919</v>
      </c>
      <c r="C491" s="91">
        <f t="shared" si="56"/>
        <v>1</v>
      </c>
      <c r="D491" s="90">
        <v>7.8008410270452693</v>
      </c>
      <c r="E491" s="90">
        <v>3.772422030769083</v>
      </c>
      <c r="F491" s="90">
        <v>1.1083057423653879</v>
      </c>
      <c r="G491" s="90">
        <v>4.3275081319670639</v>
      </c>
      <c r="H491" s="90">
        <v>4.1165102957682906</v>
      </c>
      <c r="I491" s="90">
        <v>0.76209761555161648</v>
      </c>
      <c r="J491" s="90">
        <v>7.0040200868112574</v>
      </c>
      <c r="K491" s="29">
        <f t="shared" si="57"/>
        <v>3.6277721492034232E-2</v>
      </c>
      <c r="L491" s="29">
        <f t="shared" si="58"/>
        <v>3.9248501489415055E-2</v>
      </c>
      <c r="M491" s="29">
        <f t="shared" si="59"/>
        <v>2.0203067167524846E-2</v>
      </c>
      <c r="N491" s="29">
        <f t="shared" si="60"/>
        <v>5.4809554713663999E-3</v>
      </c>
      <c r="O491" s="29">
        <f t="shared" si="61"/>
        <v>2.5172622702056113E-2</v>
      </c>
      <c r="P491" s="29">
        <f t="shared" si="62"/>
        <v>3.5615551068287399E-2</v>
      </c>
      <c r="Q491" s="29">
        <f t="shared" si="63"/>
        <v>-7.8225190979510639E-3</v>
      </c>
    </row>
    <row r="492" spans="2:17" ht="13.95" customHeight="1" x14ac:dyDescent="0.3">
      <c r="B492" s="89">
        <v>45926</v>
      </c>
      <c r="C492" s="91">
        <f t="shared" si="56"/>
        <v>1</v>
      </c>
      <c r="D492" s="90">
        <v>7.769700580797692</v>
      </c>
      <c r="E492" s="90">
        <v>3.7203321638170919</v>
      </c>
      <c r="F492" s="90">
        <v>1.114490706272361</v>
      </c>
      <c r="G492" s="90">
        <v>4.3515492742393516</v>
      </c>
      <c r="H492" s="90">
        <v>4.1067388967662106</v>
      </c>
      <c r="I492" s="90">
        <v>0.75794194383766289</v>
      </c>
      <c r="J492" s="90">
        <v>7.1897799746741482</v>
      </c>
      <c r="K492" s="29">
        <f t="shared" si="57"/>
        <v>-3.9919344772716414E-3</v>
      </c>
      <c r="L492" s="29">
        <f t="shared" si="58"/>
        <v>-1.3808069862578876E-2</v>
      </c>
      <c r="M492" s="29">
        <f t="shared" si="59"/>
        <v>5.5805574856744311E-3</v>
      </c>
      <c r="N492" s="29">
        <f t="shared" si="60"/>
        <v>5.5554239389401516E-3</v>
      </c>
      <c r="O492" s="29">
        <f t="shared" si="61"/>
        <v>-2.3737093557435474E-3</v>
      </c>
      <c r="P492" s="29">
        <f t="shared" si="62"/>
        <v>-5.4529388744323226E-3</v>
      </c>
      <c r="Q492" s="29">
        <f t="shared" si="63"/>
        <v>2.6521895363018855E-2</v>
      </c>
    </row>
    <row r="493" spans="2:17" ht="13.95" customHeight="1" x14ac:dyDescent="0.3">
      <c r="B493" s="89">
        <v>45933</v>
      </c>
      <c r="C493" s="91">
        <f t="shared" si="56"/>
        <v>1</v>
      </c>
      <c r="D493" s="90">
        <v>7.6629165181395464</v>
      </c>
      <c r="E493" s="90">
        <v>3.7197745370611628</v>
      </c>
      <c r="F493" s="90">
        <v>1.090784298680705</v>
      </c>
      <c r="G493" s="90">
        <v>4.3304098065108674</v>
      </c>
      <c r="H493" s="90">
        <v>4.0722164370779614</v>
      </c>
      <c r="I493" s="90">
        <v>0.74301479051865793</v>
      </c>
      <c r="J493" s="90">
        <v>7.0165980783278794</v>
      </c>
      <c r="K493" s="29">
        <f t="shared" si="57"/>
        <v>-1.3743652222848235E-2</v>
      </c>
      <c r="L493" s="29">
        <f t="shared" si="58"/>
        <v>-1.4988628202405874E-4</v>
      </c>
      <c r="M493" s="29">
        <f t="shared" si="59"/>
        <v>-2.1271067993870352E-2</v>
      </c>
      <c r="N493" s="29">
        <f t="shared" si="60"/>
        <v>-4.8579175820500087E-3</v>
      </c>
      <c r="O493" s="29">
        <f t="shared" si="61"/>
        <v>-8.4062952517953704E-3</v>
      </c>
      <c r="P493" s="29">
        <f t="shared" si="62"/>
        <v>-1.9694322817688126E-2</v>
      </c>
      <c r="Q493" s="29">
        <f t="shared" si="63"/>
        <v>-2.4087231731193204E-2</v>
      </c>
    </row>
    <row r="494" spans="2:17" ht="13.95" customHeight="1" x14ac:dyDescent="0.3">
      <c r="B494" s="89">
        <v>45940</v>
      </c>
      <c r="C494" s="91">
        <f t="shared" si="56"/>
        <v>1</v>
      </c>
      <c r="D494" s="90">
        <v>7.4858873381313424</v>
      </c>
      <c r="E494" s="90">
        <v>3.6191775617049289</v>
      </c>
      <c r="F494" s="90">
        <v>1.0548809407860109</v>
      </c>
      <c r="G494" s="90">
        <v>4.2466604797443024</v>
      </c>
      <c r="H494" s="90">
        <v>3.9728450626762171</v>
      </c>
      <c r="I494" s="90">
        <v>0.70187482759867292</v>
      </c>
      <c r="J494" s="90">
        <v>7.0673180295651044</v>
      </c>
      <c r="K494" s="29">
        <f t="shared" si="57"/>
        <v>-2.3102062979433846E-2</v>
      </c>
      <c r="L494" s="29">
        <f t="shared" si="58"/>
        <v>-2.7043836757835171E-2</v>
      </c>
      <c r="M494" s="29">
        <f t="shared" si="59"/>
        <v>-3.2915176665193058E-2</v>
      </c>
      <c r="N494" s="29">
        <f t="shared" si="60"/>
        <v>-1.9339815515992509E-2</v>
      </c>
      <c r="O494" s="29">
        <f t="shared" si="61"/>
        <v>-2.4402282132392927E-2</v>
      </c>
      <c r="P494" s="29">
        <f t="shared" si="62"/>
        <v>-5.5368969023170345E-2</v>
      </c>
      <c r="Q494" s="29">
        <f t="shared" si="63"/>
        <v>7.2285672730612038E-3</v>
      </c>
    </row>
    <row r="495" spans="2:17" ht="13.95" customHeight="1" x14ac:dyDescent="0.3">
      <c r="B495" s="89">
        <v>45947</v>
      </c>
      <c r="C495" s="91">
        <f t="shared" si="56"/>
        <v>1</v>
      </c>
      <c r="D495" s="90">
        <v>7.5666342701271718</v>
      </c>
      <c r="E495" s="90">
        <v>3.745743550054224</v>
      </c>
      <c r="F495" s="90">
        <v>1.0885039135705421</v>
      </c>
      <c r="G495" s="90">
        <v>4.278941118284008</v>
      </c>
      <c r="H495" s="90">
        <v>4.0496150451453303</v>
      </c>
      <c r="I495" s="90">
        <v>0.70880701396071211</v>
      </c>
      <c r="J495" s="90">
        <v>7.5532438355171347</v>
      </c>
      <c r="K495" s="29">
        <f t="shared" si="57"/>
        <v>1.0786554532356218E-2</v>
      </c>
      <c r="L495" s="29">
        <f t="shared" si="58"/>
        <v>3.4970925352906024E-2</v>
      </c>
      <c r="M495" s="29">
        <f t="shared" si="59"/>
        <v>3.1873713406441961E-2</v>
      </c>
      <c r="N495" s="29">
        <f t="shared" si="60"/>
        <v>7.6014173239602467E-3</v>
      </c>
      <c r="O495" s="29">
        <f t="shared" si="61"/>
        <v>1.9323678939897837E-2</v>
      </c>
      <c r="P495" s="29">
        <f t="shared" si="62"/>
        <v>9.8766704395942817E-3</v>
      </c>
      <c r="Q495" s="29">
        <f t="shared" si="63"/>
        <v>6.8756748163763204E-2</v>
      </c>
    </row>
    <row r="496" spans="2:17" ht="13.95" customHeight="1" x14ac:dyDescent="0.3">
      <c r="B496" s="89">
        <v>45954</v>
      </c>
      <c r="C496" s="91">
        <f t="shared" si="56"/>
        <v>1</v>
      </c>
      <c r="D496" s="90">
        <v>7.6698632795190944</v>
      </c>
      <c r="E496" s="90">
        <v>3.794062512658364</v>
      </c>
      <c r="F496" s="90">
        <v>1.1389130592747501</v>
      </c>
      <c r="G496" s="90">
        <v>4.3548869104623993</v>
      </c>
      <c r="H496" s="90">
        <v>4.1280101185502858</v>
      </c>
      <c r="I496" s="90">
        <v>0.73958136948103648</v>
      </c>
      <c r="J496" s="90">
        <v>7.9376632115491574</v>
      </c>
      <c r="K496" s="29">
        <f t="shared" si="57"/>
        <v>1.3642658770950167E-2</v>
      </c>
      <c r="L496" s="29">
        <f t="shared" si="58"/>
        <v>1.2899698540077775E-2</v>
      </c>
      <c r="M496" s="29">
        <f t="shared" si="59"/>
        <v>4.6310486416952346E-2</v>
      </c>
      <c r="N496" s="29">
        <f t="shared" si="60"/>
        <v>1.7748735044255115E-2</v>
      </c>
      <c r="O496" s="29">
        <f t="shared" si="61"/>
        <v>1.9358648298912984E-2</v>
      </c>
      <c r="P496" s="29">
        <f t="shared" si="62"/>
        <v>4.3417114834066961E-2</v>
      </c>
      <c r="Q496" s="29">
        <f t="shared" si="63"/>
        <v>5.0894606926946029E-2</v>
      </c>
    </row>
    <row r="497" spans="2:17" ht="13.95" customHeight="1" x14ac:dyDescent="0.3">
      <c r="B497" s="89">
        <v>45961</v>
      </c>
      <c r="C497" s="91">
        <f t="shared" si="56"/>
        <v>1</v>
      </c>
      <c r="D497" s="90">
        <v>7.8890719059290824</v>
      </c>
      <c r="E497" s="90">
        <v>3.8689150855002601</v>
      </c>
      <c r="F497" s="90">
        <v>1.1583723657267351</v>
      </c>
      <c r="G497" s="90">
        <v>4.459166790421583</v>
      </c>
      <c r="H497" s="90">
        <v>4.2231670143789799</v>
      </c>
      <c r="I497" s="90">
        <v>0.75448068499742393</v>
      </c>
      <c r="J497" s="90">
        <v>8.0350792127998147</v>
      </c>
      <c r="K497" s="29">
        <f t="shared" si="57"/>
        <v>2.8580512901102528E-2</v>
      </c>
      <c r="L497" s="29">
        <f t="shared" si="58"/>
        <v>1.9728871781147683E-2</v>
      </c>
      <c r="M497" s="29">
        <f t="shared" si="59"/>
        <v>1.7085857689942197E-2</v>
      </c>
      <c r="N497" s="29">
        <f t="shared" si="60"/>
        <v>2.3945485176355863E-2</v>
      </c>
      <c r="O497" s="29">
        <f t="shared" si="61"/>
        <v>2.3051517098052088E-2</v>
      </c>
      <c r="P497" s="29">
        <f t="shared" si="62"/>
        <v>2.0145606867899124E-2</v>
      </c>
      <c r="Q497" s="29">
        <f t="shared" si="63"/>
        <v>1.2272629696472803E-2</v>
      </c>
    </row>
    <row r="498" spans="2:17" ht="13.95" customHeight="1" x14ac:dyDescent="0.3">
      <c r="B498" s="89">
        <v>45968</v>
      </c>
      <c r="C498" s="91">
        <f t="shared" si="56"/>
        <v>1</v>
      </c>
      <c r="D498" s="90">
        <v>8.1078842369532271</v>
      </c>
      <c r="E498" s="90">
        <v>4.0440699290906643</v>
      </c>
      <c r="F498" s="90">
        <v>1.177422333505638</v>
      </c>
      <c r="G498" s="90">
        <v>4.5758210357443181</v>
      </c>
      <c r="H498" s="90">
        <v>4.3515176354751066</v>
      </c>
      <c r="I498" s="90">
        <v>0.76039146783256928</v>
      </c>
      <c r="J498" s="90">
        <v>8.2768841963593864</v>
      </c>
      <c r="K498" s="29">
        <f t="shared" si="57"/>
        <v>2.7736130895155808E-2</v>
      </c>
      <c r="L498" s="29">
        <f t="shared" si="58"/>
        <v>4.5272341139468653E-2</v>
      </c>
      <c r="M498" s="29">
        <f t="shared" si="59"/>
        <v>1.6445461185489618E-2</v>
      </c>
      <c r="N498" s="29">
        <f t="shared" si="60"/>
        <v>2.6160547655071253E-2</v>
      </c>
      <c r="O498" s="29">
        <f t="shared" si="61"/>
        <v>3.0392030591998909E-2</v>
      </c>
      <c r="P498" s="29">
        <f t="shared" si="62"/>
        <v>7.8342400974327209E-3</v>
      </c>
      <c r="Q498" s="29">
        <f t="shared" si="63"/>
        <v>3.0093665184330431E-2</v>
      </c>
    </row>
    <row r="499" spans="2:17" ht="13.95" customHeight="1" x14ac:dyDescent="0.3">
      <c r="B499" s="89">
        <v>45975</v>
      </c>
      <c r="C499" s="91">
        <f t="shared" si="56"/>
        <v>1</v>
      </c>
      <c r="D499" s="90">
        <v>8.3345230581577798</v>
      </c>
      <c r="E499" s="90">
        <v>4.1732723243912622</v>
      </c>
      <c r="F499" s="90">
        <v>1.206200771796653</v>
      </c>
      <c r="G499" s="90">
        <v>4.6303261269768656</v>
      </c>
      <c r="H499" s="90">
        <v>4.4543797917518546</v>
      </c>
      <c r="I499" s="90">
        <v>0.80238678816050923</v>
      </c>
      <c r="J499" s="90">
        <v>8.0840455818113455</v>
      </c>
      <c r="K499" s="29">
        <f t="shared" si="57"/>
        <v>2.7952893082957786E-2</v>
      </c>
      <c r="L499" s="29">
        <f t="shared" si="58"/>
        <v>3.1948605628995708E-2</v>
      </c>
      <c r="M499" s="29">
        <f t="shared" si="59"/>
        <v>2.4441899454489269E-2</v>
      </c>
      <c r="N499" s="29">
        <f t="shared" si="60"/>
        <v>1.1911543481875064E-2</v>
      </c>
      <c r="O499" s="29">
        <f t="shared" si="61"/>
        <v>2.3638225762474097E-2</v>
      </c>
      <c r="P499" s="29">
        <f t="shared" si="62"/>
        <v>5.5228552797474295E-2</v>
      </c>
      <c r="Q499" s="29">
        <f t="shared" si="63"/>
        <v>-2.3298455067531476E-2</v>
      </c>
    </row>
    <row r="500" spans="2:17" ht="13.95" customHeight="1" x14ac:dyDescent="0.3">
      <c r="B500" s="89">
        <v>45982</v>
      </c>
      <c r="C500" s="91">
        <f t="shared" si="56"/>
        <v>1</v>
      </c>
      <c r="D500" s="90">
        <v>8.1290788039483832</v>
      </c>
      <c r="E500" s="90">
        <v>4.0984998233277583</v>
      </c>
      <c r="F500" s="90">
        <v>1.170350080463392</v>
      </c>
      <c r="G500" s="90">
        <v>4.5978407911279247</v>
      </c>
      <c r="H500" s="90">
        <v>4.3734995668222938</v>
      </c>
      <c r="I500" s="90">
        <v>0.77292832143873769</v>
      </c>
      <c r="J500" s="90">
        <v>7.9384630013016766</v>
      </c>
      <c r="K500" s="29">
        <f t="shared" si="57"/>
        <v>-2.4649791328888226E-2</v>
      </c>
      <c r="L500" s="29">
        <f t="shared" si="58"/>
        <v>-1.7916995405855896E-2</v>
      </c>
      <c r="M500" s="29">
        <f t="shared" si="59"/>
        <v>-2.9721993362565091E-2</v>
      </c>
      <c r="N500" s="29">
        <f t="shared" si="60"/>
        <v>-7.0157770658263452E-3</v>
      </c>
      <c r="O500" s="29">
        <f t="shared" si="61"/>
        <v>-1.8157460457082331E-2</v>
      </c>
      <c r="P500" s="29">
        <f t="shared" si="62"/>
        <v>-3.6713549071895613E-2</v>
      </c>
      <c r="Q500" s="29">
        <f t="shared" si="63"/>
        <v>-1.8008629347318617E-2</v>
      </c>
    </row>
    <row r="501" spans="2:17" ht="13.95" customHeight="1" x14ac:dyDescent="0.3">
      <c r="B501" s="89">
        <v>45989</v>
      </c>
      <c r="C501" s="91">
        <f t="shared" si="56"/>
        <v>1</v>
      </c>
      <c r="D501" s="90">
        <v>8.4968968062580714</v>
      </c>
      <c r="E501" s="90">
        <v>4.2088559285707996</v>
      </c>
      <c r="F501" s="90">
        <v>1.215057791685098</v>
      </c>
      <c r="G501" s="90">
        <v>4.6280497172628809</v>
      </c>
      <c r="H501" s="90">
        <v>4.4928253693341134</v>
      </c>
      <c r="I501" s="90">
        <v>0.81081401670437636</v>
      </c>
      <c r="J501" s="90">
        <v>8.1006107450368656</v>
      </c>
      <c r="K501" s="29">
        <f t="shared" si="57"/>
        <v>4.5247193584964984E-2</v>
      </c>
      <c r="L501" s="29">
        <f t="shared" si="58"/>
        <v>2.6925975356865584E-2</v>
      </c>
      <c r="M501" s="29">
        <f t="shared" si="59"/>
        <v>3.8200288928936788E-2</v>
      </c>
      <c r="N501" s="29">
        <f t="shared" si="60"/>
        <v>6.5702418825044351E-3</v>
      </c>
      <c r="O501" s="29">
        <f t="shared" si="61"/>
        <v>2.7283826301718328E-2</v>
      </c>
      <c r="P501" s="29">
        <f t="shared" si="62"/>
        <v>4.9015793851514999E-2</v>
      </c>
      <c r="Q501" s="29">
        <f t="shared" si="63"/>
        <v>2.0425584109745376E-2</v>
      </c>
    </row>
    <row r="502" spans="2:17" ht="13.95" customHeight="1" x14ac:dyDescent="0.3">
      <c r="B502" s="89">
        <v>45996</v>
      </c>
      <c r="C502" s="91">
        <f t="shared" si="56"/>
        <v>1</v>
      </c>
      <c r="D502" s="90">
        <v>8.2170030699151226</v>
      </c>
      <c r="E502" s="90">
        <v>4.1102362115335493</v>
      </c>
      <c r="F502" s="90">
        <v>1.2104451286197171</v>
      </c>
      <c r="G502" s="90">
        <v>4.7114688711959403</v>
      </c>
      <c r="H502" s="90">
        <v>4.4450350428665164</v>
      </c>
      <c r="I502" s="90">
        <v>0.78855621259770936</v>
      </c>
      <c r="J502" s="90">
        <v>8.3922700541888826</v>
      </c>
      <c r="K502" s="29">
        <f t="shared" si="57"/>
        <v>-3.29407009082191E-2</v>
      </c>
      <c r="L502" s="29">
        <f t="shared" si="58"/>
        <v>-2.3431478461354405E-2</v>
      </c>
      <c r="M502" s="29">
        <f t="shared" si="59"/>
        <v>-3.7962499372016234E-3</v>
      </c>
      <c r="N502" s="29">
        <f t="shared" si="60"/>
        <v>1.8024688374003617E-2</v>
      </c>
      <c r="O502" s="29">
        <f t="shared" si="61"/>
        <v>-1.0637031831637778E-2</v>
      </c>
      <c r="P502" s="29">
        <f t="shared" si="62"/>
        <v>-2.7451183191351092E-2</v>
      </c>
      <c r="Q502" s="29">
        <f t="shared" si="63"/>
        <v>3.6004607347750017E-2</v>
      </c>
    </row>
    <row r="503" spans="2:17" ht="13.95" customHeight="1" x14ac:dyDescent="0.3">
      <c r="B503" s="89">
        <v>46003</v>
      </c>
      <c r="C503" s="91">
        <f t="shared" si="56"/>
        <v>1</v>
      </c>
      <c r="D503" s="90">
        <v>8.4359529007172913</v>
      </c>
      <c r="E503" s="90">
        <v>4.1793275897281248</v>
      </c>
      <c r="F503" s="90">
        <v>1.2497997552935161</v>
      </c>
      <c r="G503" s="90">
        <v>4.7971278764231773</v>
      </c>
      <c r="H503" s="90">
        <v>4.5435377501869114</v>
      </c>
      <c r="I503" s="90">
        <v>0.80525514097900441</v>
      </c>
      <c r="J503" s="90">
        <v>8.8153887705091805</v>
      </c>
      <c r="K503" s="29">
        <f t="shared" si="57"/>
        <v>2.6645947304535955E-2</v>
      </c>
      <c r="L503" s="29">
        <f t="shared" si="58"/>
        <v>1.6809588217996163E-2</v>
      </c>
      <c r="M503" s="29">
        <f t="shared" si="59"/>
        <v>3.2512524312998448E-2</v>
      </c>
      <c r="N503" s="29">
        <f t="shared" si="60"/>
        <v>1.8180955359998752E-2</v>
      </c>
      <c r="O503" s="29">
        <f t="shared" si="61"/>
        <v>2.2160164401509919E-2</v>
      </c>
      <c r="P503" s="29">
        <f t="shared" si="62"/>
        <v>2.1176585910450685E-2</v>
      </c>
      <c r="Q503" s="29">
        <f t="shared" si="63"/>
        <v>5.0417671689330756E-2</v>
      </c>
    </row>
    <row r="504" spans="2:17" ht="13.95" customHeight="1" x14ac:dyDescent="0.3">
      <c r="B504" s="89">
        <v>46010</v>
      </c>
      <c r="C504" s="91">
        <f t="shared" si="56"/>
        <v>1</v>
      </c>
      <c r="D504" s="90">
        <v>8.2704770444684108</v>
      </c>
      <c r="E504" s="90">
        <v>4.0942813618767779</v>
      </c>
      <c r="F504" s="90">
        <v>1.207523263632494</v>
      </c>
      <c r="G504" s="90">
        <v>4.8276047943155582</v>
      </c>
      <c r="H504" s="90">
        <v>4.4809436693268836</v>
      </c>
      <c r="I504" s="90">
        <v>0.7561633023371479</v>
      </c>
      <c r="J504" s="90">
        <v>8.8845389321497095</v>
      </c>
      <c r="K504" s="29">
        <f t="shared" si="57"/>
        <v>-1.9615550038788232E-2</v>
      </c>
      <c r="L504" s="29">
        <f t="shared" si="58"/>
        <v>-2.0349260981687989E-2</v>
      </c>
      <c r="M504" s="29">
        <f t="shared" si="59"/>
        <v>-3.3826612208844198E-2</v>
      </c>
      <c r="N504" s="29">
        <f t="shared" si="60"/>
        <v>6.353159364829164E-3</v>
      </c>
      <c r="O504" s="29">
        <f t="shared" si="61"/>
        <v>-1.377650727287405E-2</v>
      </c>
      <c r="P504" s="29">
        <f t="shared" si="62"/>
        <v>-6.0964328128563339E-2</v>
      </c>
      <c r="Q504" s="29">
        <f t="shared" si="63"/>
        <v>7.844255476498363E-3</v>
      </c>
    </row>
    <row r="505" spans="2:17" ht="13.95" customHeight="1" x14ac:dyDescent="0.3">
      <c r="B505" s="89">
        <v>46017</v>
      </c>
      <c r="C505" s="91">
        <f t="shared" si="56"/>
        <v>1</v>
      </c>
      <c r="D505" s="90">
        <v>8.3841713637269173</v>
      </c>
      <c r="E505" s="90">
        <v>4.1451662718762883</v>
      </c>
      <c r="F505" s="90">
        <v>1.2195365157648119</v>
      </c>
      <c r="G505" s="90">
        <v>4.9394611752340269</v>
      </c>
      <c r="H505" s="90">
        <v>4.5519746354555446</v>
      </c>
      <c r="I505" s="90">
        <v>0.76407961484153675</v>
      </c>
      <c r="J505" s="90">
        <v>8.9663136923492619</v>
      </c>
      <c r="K505" s="29">
        <f t="shared" si="57"/>
        <v>1.3747008624436008E-2</v>
      </c>
      <c r="L505" s="29">
        <f t="shared" si="58"/>
        <v>1.242828850828781E-2</v>
      </c>
      <c r="M505" s="29">
        <f t="shared" si="59"/>
        <v>9.9486713789509462E-3</v>
      </c>
      <c r="N505" s="29">
        <f t="shared" si="60"/>
        <v>2.3170161122173516E-2</v>
      </c>
      <c r="O505" s="29">
        <f t="shared" si="61"/>
        <v>1.5851787339993706E-2</v>
      </c>
      <c r="P505" s="29">
        <f t="shared" si="62"/>
        <v>1.0469051433626975E-2</v>
      </c>
      <c r="Q505" s="29">
        <f t="shared" si="63"/>
        <v>9.204164765786782E-3</v>
      </c>
    </row>
    <row r="506" spans="2:17" ht="13.95" customHeight="1" x14ac:dyDescent="0.3">
      <c r="B506" s="89">
        <v>46024</v>
      </c>
      <c r="C506" s="91">
        <f t="shared" si="56"/>
        <v>1</v>
      </c>
      <c r="D506" s="90">
        <v>8.400937535101539</v>
      </c>
      <c r="E506" s="90">
        <v>4.1318003160704126</v>
      </c>
      <c r="F506" s="90">
        <v>1.2092713104017261</v>
      </c>
      <c r="G506" s="90">
        <v>4.9347854851506323</v>
      </c>
      <c r="H506" s="90">
        <v>4.5436151423611193</v>
      </c>
      <c r="I506" s="90">
        <v>0.75775485648346841</v>
      </c>
      <c r="J506" s="90">
        <v>8.8890060676988867</v>
      </c>
      <c r="K506" s="29">
        <f t="shared" si="57"/>
        <v>1.9997410175986996E-3</v>
      </c>
      <c r="L506" s="29">
        <f t="shared" si="58"/>
        <v>-3.2244679535678999E-3</v>
      </c>
      <c r="M506" s="29">
        <f t="shared" si="59"/>
        <v>-8.4173005321190875E-3</v>
      </c>
      <c r="N506" s="29">
        <f t="shared" si="60"/>
        <v>-9.465992175093918E-4</v>
      </c>
      <c r="O506" s="29">
        <f t="shared" si="61"/>
        <v>-1.8364542344574408E-3</v>
      </c>
      <c r="P506" s="29">
        <f t="shared" si="62"/>
        <v>-8.2776169331255645E-3</v>
      </c>
      <c r="Q506" s="29">
        <f t="shared" si="63"/>
        <v>-8.622007583377278E-3</v>
      </c>
    </row>
    <row r="507" spans="2:17" ht="13.95" customHeight="1" x14ac:dyDescent="0.3">
      <c r="B507" s="89">
        <v>46031</v>
      </c>
      <c r="C507" s="91">
        <f t="shared" si="56"/>
        <v>1</v>
      </c>
      <c r="D507" s="90">
        <v>8.6297358335413143</v>
      </c>
      <c r="E507" s="90">
        <v>4.1869472737129376</v>
      </c>
      <c r="F507" s="90">
        <v>1.23474624579223</v>
      </c>
      <c r="G507" s="90">
        <v>4.9988800882676374</v>
      </c>
      <c r="H507" s="90">
        <v>4.6257154971411474</v>
      </c>
      <c r="I507" s="90">
        <v>0.77661380162214866</v>
      </c>
      <c r="J507" s="90">
        <v>9.027642627605843</v>
      </c>
      <c r="K507" s="29">
        <f t="shared" si="57"/>
        <v>2.7234852953469835E-2</v>
      </c>
      <c r="L507" s="29">
        <f t="shared" si="58"/>
        <v>1.3346956150817268E-2</v>
      </c>
      <c r="M507" s="29">
        <f t="shared" si="59"/>
        <v>2.1066352249803355E-2</v>
      </c>
      <c r="N507" s="29">
        <f t="shared" si="60"/>
        <v>1.2988326100470626E-2</v>
      </c>
      <c r="O507" s="29">
        <f t="shared" si="61"/>
        <v>1.8069390167883892E-2</v>
      </c>
      <c r="P507" s="29">
        <f t="shared" si="62"/>
        <v>2.4887923815096968E-2</v>
      </c>
      <c r="Q507" s="29">
        <f t="shared" si="63"/>
        <v>1.5596407388080991E-2</v>
      </c>
    </row>
    <row r="508" spans="2:17" ht="13.95" customHeight="1" x14ac:dyDescent="0.3">
      <c r="B508" s="89">
        <v>46038</v>
      </c>
      <c r="C508" s="91">
        <f t="shared" si="56"/>
        <v>1</v>
      </c>
      <c r="D508" s="90">
        <v>8.6630566196073211</v>
      </c>
      <c r="E508" s="90">
        <v>4.1224003084417431</v>
      </c>
      <c r="F508" s="90">
        <v>1.216666443730489</v>
      </c>
      <c r="G508" s="90">
        <v>5.2301014809587976</v>
      </c>
      <c r="H508" s="90">
        <v>4.6698604218122686</v>
      </c>
      <c r="I508" s="90">
        <v>0.74630005154712353</v>
      </c>
      <c r="J508" s="90">
        <v>9.2135048623235605</v>
      </c>
      <c r="K508" s="29">
        <f t="shared" si="57"/>
        <v>3.8611594501536395E-3</v>
      </c>
      <c r="L508" s="29">
        <f t="shared" si="58"/>
        <v>-1.5416235517567212E-2</v>
      </c>
      <c r="M508" s="29">
        <f t="shared" si="59"/>
        <v>-1.4642524424231529E-2</v>
      </c>
      <c r="N508" s="29">
        <f t="shared" si="60"/>
        <v>4.6254638760756972E-2</v>
      </c>
      <c r="O508" s="29">
        <f t="shared" si="61"/>
        <v>9.5433721979667485E-3</v>
      </c>
      <c r="P508" s="29">
        <f t="shared" si="62"/>
        <v>-3.9033236354681589E-2</v>
      </c>
      <c r="Q508" s="29">
        <f t="shared" si="63"/>
        <v>2.0588124982857003E-2</v>
      </c>
    </row>
    <row r="509" spans="2:17" ht="13.95" customHeight="1" x14ac:dyDescent="0.3">
      <c r="B509" s="89">
        <v>46045</v>
      </c>
      <c r="C509" s="91">
        <f t="shared" si="56"/>
        <v>1</v>
      </c>
      <c r="D509" s="90">
        <v>9.4614284605043046</v>
      </c>
      <c r="E509" s="90">
        <v>4.4635558000433662</v>
      </c>
      <c r="F509" s="90">
        <v>1.313597586968781</v>
      </c>
      <c r="G509" s="90">
        <v>5.6641302510708869</v>
      </c>
      <c r="H509" s="90">
        <v>5.066558131125265</v>
      </c>
      <c r="I509" s="90">
        <v>0.81580311143067885</v>
      </c>
      <c r="J509" s="90">
        <v>9.7788658873399346</v>
      </c>
      <c r="K509" s="29">
        <f t="shared" si="57"/>
        <v>9.2158215737619509E-2</v>
      </c>
      <c r="L509" s="29">
        <f t="shared" si="58"/>
        <v>8.2756517095880611E-2</v>
      </c>
      <c r="M509" s="29">
        <f t="shared" si="59"/>
        <v>7.9669447396844451E-2</v>
      </c>
      <c r="N509" s="29">
        <f t="shared" si="60"/>
        <v>8.298668232198847E-2</v>
      </c>
      <c r="O509" s="29">
        <f t="shared" si="61"/>
        <v>8.4948515261842994E-2</v>
      </c>
      <c r="P509" s="29">
        <f t="shared" si="62"/>
        <v>9.3130182343511114E-2</v>
      </c>
      <c r="Q509" s="29">
        <f t="shared" si="63"/>
        <v>6.1362210522977412E-2</v>
      </c>
    </row>
    <row r="510" spans="2:17" ht="13.95" customHeight="1" x14ac:dyDescent="0.3">
      <c r="B510" s="89">
        <v>46052</v>
      </c>
      <c r="C510" s="91">
        <f t="shared" si="56"/>
        <v>1</v>
      </c>
      <c r="D510" s="90">
        <v>9.7401700350980001</v>
      </c>
      <c r="E510" s="90">
        <v>4.4230878205406174</v>
      </c>
      <c r="F510" s="90">
        <v>1.3242628288798619</v>
      </c>
      <c r="G510" s="90">
        <v>5.7752751192407468</v>
      </c>
      <c r="H510" s="90">
        <v>5.1335861223182766</v>
      </c>
      <c r="I510" s="90">
        <v>0.83642816650425333</v>
      </c>
      <c r="J510" s="90">
        <v>9.6231690656044346</v>
      </c>
      <c r="K510" s="29">
        <f t="shared" si="57"/>
        <v>2.9460834139080738E-2</v>
      </c>
      <c r="L510" s="29">
        <f t="shared" si="58"/>
        <v>-9.0663097574260609E-3</v>
      </c>
      <c r="M510" s="29">
        <f t="shared" si="59"/>
        <v>8.1191089393606308E-3</v>
      </c>
      <c r="N510" s="29">
        <f t="shared" si="60"/>
        <v>1.9622583387598924E-2</v>
      </c>
      <c r="O510" s="29">
        <f t="shared" si="61"/>
        <v>1.3229492183508107E-2</v>
      </c>
      <c r="P510" s="29">
        <f t="shared" si="62"/>
        <v>2.5281902930480715E-2</v>
      </c>
      <c r="Q510" s="29">
        <f t="shared" si="63"/>
        <v>-1.5921766749769084E-2</v>
      </c>
    </row>
    <row r="511" spans="2:17" ht="13.95" customHeight="1" x14ac:dyDescent="0.3">
      <c r="B511" s="89">
        <v>46059</v>
      </c>
      <c r="C511" s="91">
        <f t="shared" si="56"/>
        <v>1</v>
      </c>
      <c r="D511" s="90">
        <v>9.840801516823598</v>
      </c>
      <c r="E511" s="90">
        <v>4.5422179629892074</v>
      </c>
      <c r="F511" s="90">
        <v>1.3168086411602249</v>
      </c>
      <c r="G511" s="90">
        <v>5.7659975587857284</v>
      </c>
      <c r="H511" s="90">
        <v>5.1785408103840336</v>
      </c>
      <c r="I511" s="90">
        <v>0.84224309586792812</v>
      </c>
      <c r="J511" s="90">
        <v>9.3896154751652698</v>
      </c>
      <c r="K511" s="29">
        <f t="shared" si="57"/>
        <v>1.0331593941684813E-2</v>
      </c>
      <c r="L511" s="29">
        <f t="shared" si="58"/>
        <v>2.6933704977630146E-2</v>
      </c>
      <c r="M511" s="29">
        <f t="shared" si="59"/>
        <v>-5.6289337411533635E-3</v>
      </c>
      <c r="N511" s="29">
        <f t="shared" si="60"/>
        <v>-1.6064274451808025E-3</v>
      </c>
      <c r="O511" s="29">
        <f t="shared" si="61"/>
        <v>8.7569755322338683E-3</v>
      </c>
      <c r="P511" s="29">
        <f t="shared" si="62"/>
        <v>6.9520965416283165E-3</v>
      </c>
      <c r="Q511" s="29">
        <f t="shared" si="63"/>
        <v>-2.4269924891368921E-2</v>
      </c>
    </row>
    <row r="512" spans="2:17" ht="13.95" customHeight="1" x14ac:dyDescent="0.3">
      <c r="B512" s="89">
        <v>46066</v>
      </c>
      <c r="C512" s="91">
        <f t="shared" si="56"/>
        <v>1</v>
      </c>
      <c r="D512" s="90">
        <v>10.021542999007711</v>
      </c>
      <c r="E512" s="90">
        <v>4.6627610558085051</v>
      </c>
      <c r="F512" s="90">
        <v>1.328524947329673</v>
      </c>
      <c r="G512" s="90">
        <v>5.8705012567996944</v>
      </c>
      <c r="H512" s="90">
        <v>5.2779735837465527</v>
      </c>
      <c r="I512" s="90">
        <v>0.84047895714579623</v>
      </c>
      <c r="J512" s="90">
        <v>9.6309785991699322</v>
      </c>
      <c r="K512" s="29">
        <f t="shared" si="57"/>
        <v>1.8366540761453276E-2</v>
      </c>
      <c r="L512" s="29">
        <f t="shared" si="58"/>
        <v>2.653837702230577E-2</v>
      </c>
      <c r="M512" s="29">
        <f t="shared" si="59"/>
        <v>8.8975009756353529E-3</v>
      </c>
      <c r="N512" s="29">
        <f t="shared" si="60"/>
        <v>1.8124131505177665E-2</v>
      </c>
      <c r="O512" s="29">
        <f t="shared" si="61"/>
        <v>1.9200924932972541E-2</v>
      </c>
      <c r="P512" s="29">
        <f t="shared" si="62"/>
        <v>-2.094571900662423E-3</v>
      </c>
      <c r="Q512" s="29">
        <f t="shared" si="63"/>
        <v>2.5705325701893544E-2</v>
      </c>
    </row>
    <row r="513" spans="2:17" ht="13.95" customHeight="1" x14ac:dyDescent="0.3">
      <c r="B513" s="89">
        <v>46073</v>
      </c>
      <c r="C513" s="91">
        <f t="shared" si="56"/>
        <v>1</v>
      </c>
      <c r="D513" s="90">
        <v>10.379504682708189</v>
      </c>
      <c r="E513" s="90">
        <v>4.7593838404642028</v>
      </c>
      <c r="F513" s="90">
        <v>1.35095322708442</v>
      </c>
      <c r="G513" s="90">
        <v>5.9426326055358691</v>
      </c>
      <c r="H513" s="90">
        <v>5.3931422384864796</v>
      </c>
      <c r="I513" s="90">
        <v>0.86656684752464452</v>
      </c>
      <c r="J513" s="90">
        <v>9.5907326677358888</v>
      </c>
      <c r="K513" s="29">
        <f t="shared" si="57"/>
        <v>3.5719218461261137E-2</v>
      </c>
      <c r="L513" s="29">
        <f t="shared" si="58"/>
        <v>2.0722225200738631E-2</v>
      </c>
      <c r="M513" s="29">
        <f t="shared" si="59"/>
        <v>1.6882091525513232E-2</v>
      </c>
      <c r="N513" s="29">
        <f t="shared" si="60"/>
        <v>1.2287085136490905E-2</v>
      </c>
      <c r="O513" s="29">
        <f t="shared" si="61"/>
        <v>2.1820619772441985E-2</v>
      </c>
      <c r="P513" s="29">
        <f t="shared" si="62"/>
        <v>3.1039314139928997E-2</v>
      </c>
      <c r="Q513" s="29">
        <f t="shared" si="63"/>
        <v>-4.1787997989645165E-3</v>
      </c>
    </row>
    <row r="514" spans="2:17" ht="13.95" customHeight="1" x14ac:dyDescent="0.3">
      <c r="B514" s="89">
        <v>46080</v>
      </c>
      <c r="C514" s="91">
        <f t="shared" si="56"/>
        <v>1</v>
      </c>
      <c r="D514" s="90">
        <v>10.07918057207889</v>
      </c>
      <c r="E514" s="90">
        <v>4.7309885989254488</v>
      </c>
      <c r="F514" s="90">
        <v>1.3117642499956901</v>
      </c>
      <c r="G514" s="90">
        <v>6.033308922296067</v>
      </c>
      <c r="H514" s="90">
        <v>5.3440861330472487</v>
      </c>
      <c r="I514" s="90">
        <v>0.847318821740493</v>
      </c>
      <c r="J514" s="90">
        <v>9.2121208591916748</v>
      </c>
      <c r="K514" s="29">
        <f t="shared" si="57"/>
        <v>-2.8934339336021186E-2</v>
      </c>
      <c r="L514" s="29">
        <f t="shared" si="58"/>
        <v>-5.9661591690374216E-3</v>
      </c>
      <c r="M514" s="29">
        <f t="shared" si="59"/>
        <v>-2.9008389264005952E-2</v>
      </c>
      <c r="N514" s="29">
        <f t="shared" si="60"/>
        <v>1.5258610582072452E-2</v>
      </c>
      <c r="O514" s="29">
        <f t="shared" si="61"/>
        <v>-9.0960155082054905E-3</v>
      </c>
      <c r="P514" s="29">
        <f t="shared" si="62"/>
        <v>-2.2211818787129523E-2</v>
      </c>
      <c r="Q514" s="29">
        <f t="shared" si="63"/>
        <v>-3.9476838909075163E-2</v>
      </c>
    </row>
    <row r="515" spans="2:17" ht="13.95" customHeight="1" x14ac:dyDescent="0.3">
      <c r="B515" s="89">
        <v>46087</v>
      </c>
      <c r="C515" s="91">
        <f t="shared" si="56"/>
        <v>1</v>
      </c>
      <c r="D515" s="90">
        <v>9.3695831740975386</v>
      </c>
      <c r="E515" s="90">
        <v>4.5019933986410168</v>
      </c>
      <c r="F515" s="90">
        <v>1.2055806262323889</v>
      </c>
      <c r="G515" s="90">
        <v>5.9123443126205597</v>
      </c>
      <c r="H515" s="90">
        <v>5.0775261541756249</v>
      </c>
      <c r="I515" s="90">
        <v>0.78668305760309631</v>
      </c>
      <c r="J515" s="90">
        <v>8.3310425380211708</v>
      </c>
      <c r="K515" s="29">
        <f t="shared" si="57"/>
        <v>-7.0402290434905201E-2</v>
      </c>
      <c r="L515" s="29">
        <f t="shared" si="58"/>
        <v>-4.8403245008124429E-2</v>
      </c>
      <c r="M515" s="29">
        <f t="shared" si="59"/>
        <v>-8.0947185261109222E-2</v>
      </c>
      <c r="N515" s="29">
        <f t="shared" si="60"/>
        <v>-2.004946393984286E-2</v>
      </c>
      <c r="O515" s="29">
        <f t="shared" si="61"/>
        <v>-4.9879431625034165E-2</v>
      </c>
      <c r="P515" s="29">
        <f t="shared" si="62"/>
        <v>-7.1561922834245117E-2</v>
      </c>
      <c r="Q515" s="29">
        <f t="shared" si="63"/>
        <v>-9.5643374054453667E-2</v>
      </c>
    </row>
    <row r="516" spans="2:17" ht="13.95" customHeight="1" x14ac:dyDescent="0.3">
      <c r="B516" s="89">
        <v>46094</v>
      </c>
      <c r="C516" s="91">
        <f t="shared" si="56"/>
        <v>1</v>
      </c>
      <c r="D516" s="90">
        <v>9.205323432066935</v>
      </c>
      <c r="E516" s="90">
        <v>4.4370384770813649</v>
      </c>
      <c r="F516" s="90">
        <v>1.1591150149209959</v>
      </c>
      <c r="G516" s="90">
        <v>5.9857183882214313</v>
      </c>
      <c r="H516" s="90">
        <v>5.0288291431086307</v>
      </c>
      <c r="I516" s="90">
        <v>0.75730785189536631</v>
      </c>
      <c r="J516" s="90">
        <v>7.9938549937556767</v>
      </c>
      <c r="K516" s="29">
        <f t="shared" si="57"/>
        <v>-1.753116856731729E-2</v>
      </c>
      <c r="L516" s="29">
        <f t="shared" si="58"/>
        <v>-1.442803571841289E-2</v>
      </c>
      <c r="M516" s="29">
        <f t="shared" si="59"/>
        <v>-3.8542101872194756E-2</v>
      </c>
      <c r="N516" s="29">
        <f t="shared" si="60"/>
        <v>1.2410318432275025E-2</v>
      </c>
      <c r="O516" s="29">
        <f t="shared" si="61"/>
        <v>-9.5906962541093543E-3</v>
      </c>
      <c r="P516" s="29">
        <f t="shared" si="62"/>
        <v>-3.7340585161744544E-2</v>
      </c>
      <c r="Q516" s="29">
        <f t="shared" si="63"/>
        <v>-4.0473631328448945E-2</v>
      </c>
    </row>
    <row r="517" spans="2:17" ht="13.95" customHeight="1" x14ac:dyDescent="0.3">
      <c r="B517" s="89">
        <v>46101</v>
      </c>
      <c r="C517" s="91">
        <f t="shared" si="56"/>
        <v>1</v>
      </c>
      <c r="D517" s="90">
        <v>8.9848280291793312</v>
      </c>
      <c r="E517" s="90">
        <v>4.4463017326857148</v>
      </c>
      <c r="F517" s="90">
        <v>1.141131314243752</v>
      </c>
      <c r="G517" s="90">
        <v>5.9855456752922187</v>
      </c>
      <c r="H517" s="90">
        <v>4.9892316099589964</v>
      </c>
      <c r="I517" s="90">
        <v>0.74395662233220428</v>
      </c>
      <c r="J517" s="90">
        <v>7.8970959736122683</v>
      </c>
      <c r="K517" s="29">
        <f t="shared" si="57"/>
        <v>-2.3953031581650186E-2</v>
      </c>
      <c r="L517" s="29">
        <f t="shared" si="58"/>
        <v>2.087711353461863E-3</v>
      </c>
      <c r="M517" s="29">
        <f t="shared" si="59"/>
        <v>-1.5515026934984189E-2</v>
      </c>
      <c r="N517" s="29">
        <f t="shared" si="60"/>
        <v>-2.885416887510317E-5</v>
      </c>
      <c r="O517" s="29">
        <f t="shared" si="61"/>
        <v>-7.8741058848454948E-3</v>
      </c>
      <c r="P517" s="29">
        <f t="shared" si="62"/>
        <v>-1.7629857566836216E-2</v>
      </c>
      <c r="Q517" s="29">
        <f t="shared" si="63"/>
        <v>-1.21041750468317E-2</v>
      </c>
    </row>
    <row r="518" spans="2:17" ht="13.95" customHeight="1" x14ac:dyDescent="0.3">
      <c r="B518" s="89">
        <v>46108</v>
      </c>
      <c r="C518" s="91">
        <f t="shared" si="56"/>
        <v>1</v>
      </c>
      <c r="D518" s="90">
        <v>9.0784124031600726</v>
      </c>
      <c r="E518" s="90">
        <v>4.5207923595631234</v>
      </c>
      <c r="F518" s="90">
        <v>1.168048666266309</v>
      </c>
      <c r="G518" s="90">
        <v>6.34410635249652</v>
      </c>
      <c r="H518" s="90">
        <v>5.1408866914404303</v>
      </c>
      <c r="I518" s="90">
        <v>0.76059072560972385</v>
      </c>
      <c r="J518" s="90">
        <v>8.0989450761717325</v>
      </c>
      <c r="K518" s="29">
        <f t="shared" si="57"/>
        <v>1.0415822503982763E-2</v>
      </c>
      <c r="L518" s="29">
        <f t="shared" si="58"/>
        <v>1.6753389975721289E-2</v>
      </c>
      <c r="M518" s="29">
        <f t="shared" si="59"/>
        <v>2.3588303718047987E-2</v>
      </c>
      <c r="N518" s="29">
        <f t="shared" si="60"/>
        <v>5.9904425871212919E-2</v>
      </c>
      <c r="O518" s="29">
        <f t="shared" si="61"/>
        <v>3.0396480527926428E-2</v>
      </c>
      <c r="P518" s="29">
        <f t="shared" si="62"/>
        <v>2.2358969297664011E-2</v>
      </c>
      <c r="Q518" s="29">
        <f t="shared" si="63"/>
        <v>2.5559915092070895E-2</v>
      </c>
    </row>
    <row r="519" spans="2:17" ht="13.95" customHeight="1" x14ac:dyDescent="0.3">
      <c r="B519" s="89">
        <v>46115</v>
      </c>
      <c r="C519" s="91">
        <f t="shared" si="56"/>
        <v>1</v>
      </c>
      <c r="D519" s="90">
        <v>9.5368832478174763</v>
      </c>
      <c r="E519" s="90">
        <v>4.7057306290091372</v>
      </c>
      <c r="F519" s="90">
        <v>1.2358098074260111</v>
      </c>
      <c r="G519" s="90">
        <v>6.4265558565381742</v>
      </c>
      <c r="H519" s="90">
        <v>5.325215537511836</v>
      </c>
      <c r="I519" s="90">
        <v>0.79461700829615434</v>
      </c>
      <c r="J519" s="90">
        <v>8.7404859935314896</v>
      </c>
      <c r="K519" s="29">
        <f t="shared" si="57"/>
        <v>5.0501213681129586E-2</v>
      </c>
      <c r="L519" s="29">
        <f t="shared" si="58"/>
        <v>4.090837506721634E-2</v>
      </c>
      <c r="M519" s="29">
        <f t="shared" si="59"/>
        <v>5.8012258492877722E-2</v>
      </c>
      <c r="N519" s="29">
        <f t="shared" si="60"/>
        <v>1.2996236106478376E-2</v>
      </c>
      <c r="O519" s="29">
        <f t="shared" si="61"/>
        <v>3.5855457848995798E-2</v>
      </c>
      <c r="P519" s="29">
        <f t="shared" si="62"/>
        <v>4.473665210570843E-2</v>
      </c>
      <c r="Q519" s="29">
        <f t="shared" si="63"/>
        <v>7.9212898880776761E-2</v>
      </c>
    </row>
    <row r="520" spans="2:17" ht="13.95" customHeight="1" x14ac:dyDescent="0.3">
      <c r="B520" s="89">
        <v>46122</v>
      </c>
      <c r="C520" s="91">
        <f t="shared" si="56"/>
        <v>1</v>
      </c>
      <c r="D520" s="90">
        <v>10.168720158220699</v>
      </c>
      <c r="E520" s="90">
        <v>5.047018417157811</v>
      </c>
      <c r="F520" s="90">
        <v>1.284740267861354</v>
      </c>
      <c r="G520" s="90">
        <v>6.5642721958885426</v>
      </c>
      <c r="H520" s="90">
        <v>5.5886146830743098</v>
      </c>
      <c r="I520" s="90">
        <v>0.81592678458695655</v>
      </c>
      <c r="J520" s="90">
        <v>9.258736389679699</v>
      </c>
      <c r="K520" s="29">
        <f t="shared" si="57"/>
        <v>6.6251928851893904E-2</v>
      </c>
      <c r="L520" s="29">
        <f t="shared" si="58"/>
        <v>7.2525993316480353E-2</v>
      </c>
      <c r="M520" s="29">
        <f t="shared" si="59"/>
        <v>3.9593843762461223E-2</v>
      </c>
      <c r="N520" s="29">
        <f t="shared" si="60"/>
        <v>2.1429260466204525E-2</v>
      </c>
      <c r="O520" s="29">
        <f t="shared" si="61"/>
        <v>4.9462626199266557E-2</v>
      </c>
      <c r="P520" s="29">
        <f t="shared" si="62"/>
        <v>2.6817669478904627E-2</v>
      </c>
      <c r="Q520" s="29">
        <f t="shared" si="63"/>
        <v>5.9293086966988762E-2</v>
      </c>
    </row>
    <row r="521" spans="2:17" ht="13.95" customHeight="1" x14ac:dyDescent="0.3">
      <c r="B521" s="89">
        <v>46129</v>
      </c>
      <c r="C521" s="91">
        <f t="shared" si="56"/>
        <v>1</v>
      </c>
      <c r="D521" s="90">
        <v>10.26720708167311</v>
      </c>
      <c r="E521" s="90">
        <v>4.9534596583650199</v>
      </c>
      <c r="F521" s="90">
        <v>1.275819902247386</v>
      </c>
      <c r="G521" s="90">
        <v>6.4718948026193663</v>
      </c>
      <c r="H521" s="90">
        <v>5.5437801760585641</v>
      </c>
      <c r="I521" s="90">
        <v>0.83655956370905793</v>
      </c>
      <c r="J521" s="90">
        <v>8.7484349451792216</v>
      </c>
      <c r="K521" s="29">
        <f t="shared" si="57"/>
        <v>9.6852821122028754E-3</v>
      </c>
      <c r="L521" s="29">
        <f t="shared" si="58"/>
        <v>-1.8537431619969791E-2</v>
      </c>
      <c r="M521" s="29">
        <f t="shared" si="59"/>
        <v>-6.943322192910939E-3</v>
      </c>
      <c r="N521" s="29">
        <f t="shared" si="60"/>
        <v>-1.4072754832902268E-2</v>
      </c>
      <c r="O521" s="29">
        <f t="shared" si="61"/>
        <v>-8.0224723940141018E-3</v>
      </c>
      <c r="P521" s="29">
        <f t="shared" si="62"/>
        <v>2.528753745049106E-2</v>
      </c>
      <c r="Q521" s="29">
        <f t="shared" si="63"/>
        <v>-5.5115668383137861E-2</v>
      </c>
    </row>
    <row r="522" spans="2:17" ht="13.95" customHeight="1" x14ac:dyDescent="0.3">
      <c r="B522" s="89">
        <v>46136</v>
      </c>
      <c r="C522" s="91">
        <f t="shared" si="56"/>
        <v>1</v>
      </c>
      <c r="D522" s="90">
        <v>9.7739450453112848</v>
      </c>
      <c r="E522" s="90">
        <v>4.8772771253882707</v>
      </c>
      <c r="F522" s="90">
        <v>1.2101417276723241</v>
      </c>
      <c r="G522" s="90">
        <v>6.4436715233741211</v>
      </c>
      <c r="H522" s="90">
        <v>5.4041395393619718</v>
      </c>
      <c r="I522" s="90">
        <v>0.78915218771163875</v>
      </c>
      <c r="J522" s="90">
        <v>8.3717124759797361</v>
      </c>
      <c r="K522" s="29">
        <f t="shared" si="57"/>
        <v>-4.8042474690346393E-2</v>
      </c>
      <c r="L522" s="29">
        <f t="shared" si="58"/>
        <v>-1.5379661535770861E-2</v>
      </c>
      <c r="M522" s="29">
        <f t="shared" si="59"/>
        <v>-5.1479189546556059E-2</v>
      </c>
      <c r="N522" s="29">
        <f t="shared" si="60"/>
        <v>-4.3608989493807426E-3</v>
      </c>
      <c r="O522" s="29">
        <f t="shared" si="61"/>
        <v>-2.5188703783682875E-2</v>
      </c>
      <c r="P522" s="29">
        <f t="shared" si="62"/>
        <v>-5.6669456729690482E-2</v>
      </c>
      <c r="Q522" s="29">
        <f t="shared" si="63"/>
        <v>-4.3061698642118396E-2</v>
      </c>
    </row>
    <row r="523" spans="2:17" ht="13.95" customHeight="1" x14ac:dyDescent="0.3">
      <c r="B523" s="89">
        <v>46143</v>
      </c>
      <c r="C523" s="91">
        <f t="shared" si="56"/>
        <v>1</v>
      </c>
      <c r="D523" s="90">
        <v>9.4978322968277045</v>
      </c>
      <c r="E523" s="90">
        <v>4.7725392337187911</v>
      </c>
      <c r="F523" s="90">
        <v>1.158624823061521</v>
      </c>
      <c r="G523" s="90">
        <v>6.4592973888884622</v>
      </c>
      <c r="H523" s="90">
        <v>5.3078203003211932</v>
      </c>
      <c r="I523" s="90">
        <v>0.75509635808201803</v>
      </c>
      <c r="J523" s="90">
        <v>8.0231367218620502</v>
      </c>
      <c r="K523" s="29">
        <f t="shared" si="57"/>
        <v>-2.8249877322160333E-2</v>
      </c>
      <c r="L523" s="29">
        <f t="shared" si="58"/>
        <v>-2.1474664854345682E-2</v>
      </c>
      <c r="M523" s="29">
        <f t="shared" si="59"/>
        <v>-4.2570967873237886E-2</v>
      </c>
      <c r="N523" s="29">
        <f t="shared" si="60"/>
        <v>2.4249941136289532E-3</v>
      </c>
      <c r="O523" s="29">
        <f t="shared" si="61"/>
        <v>-1.7823233160287777E-2</v>
      </c>
      <c r="P523" s="29">
        <f t="shared" si="62"/>
        <v>-4.3154958143593158E-2</v>
      </c>
      <c r="Q523" s="29">
        <f t="shared" si="63"/>
        <v>-4.1637329891324626E-2</v>
      </c>
    </row>
    <row r="524" spans="2:17" ht="13.95" customHeight="1" x14ac:dyDescent="0.3">
      <c r="B524" s="89">
        <v>46150</v>
      </c>
      <c r="C524" s="91">
        <f t="shared" si="56"/>
        <v>1</v>
      </c>
      <c r="D524" s="90">
        <v>9.2451859045990261</v>
      </c>
      <c r="E524" s="90">
        <v>4.7069878521567867</v>
      </c>
      <c r="F524" s="90">
        <v>1.1869708083027459</v>
      </c>
      <c r="G524" s="90">
        <v>6.2827512687830884</v>
      </c>
      <c r="H524" s="90">
        <v>5.2169518084229116</v>
      </c>
      <c r="I524" s="90">
        <v>0.79033286851910134</v>
      </c>
      <c r="J524" s="90">
        <v>7.9346829769193281</v>
      </c>
      <c r="K524" s="29">
        <f t="shared" si="57"/>
        <v>-2.660042674295926E-2</v>
      </c>
      <c r="L524" s="29">
        <f t="shared" si="58"/>
        <v>-1.3735116329452679E-2</v>
      </c>
      <c r="M524" s="29">
        <f t="shared" si="59"/>
        <v>2.4465197600655797E-2</v>
      </c>
      <c r="N524" s="29">
        <f t="shared" si="60"/>
        <v>-2.7332093488848352E-2</v>
      </c>
      <c r="O524" s="29">
        <f t="shared" si="61"/>
        <v>-1.7119737812672953E-2</v>
      </c>
      <c r="P524" s="29">
        <f t="shared" si="62"/>
        <v>4.6664919066204735E-2</v>
      </c>
      <c r="Q524" s="29">
        <f t="shared" si="63"/>
        <v>-1.1024833305120718E-2</v>
      </c>
    </row>
    <row r="525" spans="2:17" ht="13.95" customHeight="1" x14ac:dyDescent="0.3">
      <c r="B525" s="89">
        <v>46157</v>
      </c>
      <c r="C525" s="91">
        <f t="shared" si="56"/>
        <v>1</v>
      </c>
      <c r="D525" s="90">
        <v>8.800296089711054</v>
      </c>
      <c r="E525" s="90">
        <v>4.4112742352884977</v>
      </c>
      <c r="F525" s="90">
        <v>1.099033320507893</v>
      </c>
      <c r="G525" s="90">
        <v>6.3286047040305142</v>
      </c>
      <c r="H525" s="90">
        <v>5.0235944023201906</v>
      </c>
      <c r="I525" s="90">
        <v>0.71795288540644053</v>
      </c>
      <c r="J525" s="90">
        <v>7.5817188978942891</v>
      </c>
      <c r="K525" s="29">
        <f t="shared" si="57"/>
        <v>-4.8121240554682809E-2</v>
      </c>
      <c r="L525" s="29">
        <f t="shared" si="58"/>
        <v>-6.2824384968996672E-2</v>
      </c>
      <c r="M525" s="29">
        <f t="shared" si="59"/>
        <v>-7.4085636461940441E-2</v>
      </c>
      <c r="N525" s="29">
        <f t="shared" si="60"/>
        <v>7.2983050395860616E-3</v>
      </c>
      <c r="O525" s="29">
        <f t="shared" si="61"/>
        <v>-3.7063291593098513E-2</v>
      </c>
      <c r="P525" s="29">
        <f t="shared" si="62"/>
        <v>-9.1581643628568687E-2</v>
      </c>
      <c r="Q525" s="29">
        <f t="shared" si="63"/>
        <v>-4.448370275810043E-2</v>
      </c>
    </row>
    <row r="526" spans="2:17" ht="13.95" customHeight="1" x14ac:dyDescent="0.3">
      <c r="B526" s="89">
        <v>46164</v>
      </c>
      <c r="C526" s="91">
        <f t="shared" si="56"/>
        <v>1</v>
      </c>
      <c r="D526" s="90">
        <v>8.7756989517095914</v>
      </c>
      <c r="E526" s="90">
        <v>4.3585956608691179</v>
      </c>
      <c r="F526" s="90">
        <v>1.1010932958596811</v>
      </c>
      <c r="G526" s="90">
        <v>6.2861733455168158</v>
      </c>
      <c r="H526" s="90">
        <v>4.9932358969092911</v>
      </c>
      <c r="I526" s="90">
        <v>0.71945730294722821</v>
      </c>
      <c r="J526" s="90">
        <v>7.5932336126349966</v>
      </c>
      <c r="K526" s="29">
        <f t="shared" si="57"/>
        <v>-2.7950352750313323E-3</v>
      </c>
      <c r="L526" s="29">
        <f t="shared" si="58"/>
        <v>-1.1941804478617923E-2</v>
      </c>
      <c r="M526" s="29">
        <f t="shared" si="59"/>
        <v>1.8743520449735485E-3</v>
      </c>
      <c r="N526" s="29">
        <f t="shared" si="60"/>
        <v>-6.7046940831483326E-3</v>
      </c>
      <c r="O526" s="29">
        <f t="shared" si="61"/>
        <v>-6.0431840191712549E-3</v>
      </c>
      <c r="P526" s="29">
        <f t="shared" si="62"/>
        <v>2.0954265542592054E-3</v>
      </c>
      <c r="Q526" s="29">
        <f t="shared" si="63"/>
        <v>1.5187472518805034E-3</v>
      </c>
    </row>
    <row r="527" spans="2:17" ht="13.95" customHeight="1" x14ac:dyDescent="0.3">
      <c r="B527" s="89">
        <v>46171</v>
      </c>
      <c r="C527" s="91">
        <f t="shared" si="56"/>
        <v>1</v>
      </c>
      <c r="D527" s="90">
        <v>8.798121371807234</v>
      </c>
      <c r="E527" s="90">
        <v>4.3368971742911651</v>
      </c>
      <c r="F527" s="90">
        <v>1.1064574137548351</v>
      </c>
      <c r="G527" s="90">
        <v>6.0386063129937622</v>
      </c>
      <c r="H527" s="90">
        <v>4.9247000084727883</v>
      </c>
      <c r="I527" s="90">
        <v>0.7143195548240624</v>
      </c>
      <c r="J527" s="90">
        <v>7.7770327700326769</v>
      </c>
      <c r="K527" s="29">
        <f t="shared" si="57"/>
        <v>2.5550580325313099E-3</v>
      </c>
      <c r="L527" s="29">
        <f t="shared" si="58"/>
        <v>-4.9783206028397586E-3</v>
      </c>
      <c r="M527" s="29">
        <f t="shared" si="59"/>
        <v>4.8716288758854365E-3</v>
      </c>
      <c r="N527" s="29">
        <f t="shared" si="60"/>
        <v>-3.9382788051750772E-2</v>
      </c>
      <c r="O527" s="29">
        <f t="shared" si="61"/>
        <v>-1.3725746159704788E-2</v>
      </c>
      <c r="P527" s="29">
        <f t="shared" si="62"/>
        <v>-7.1411438901505253E-3</v>
      </c>
      <c r="Q527" s="29">
        <f t="shared" si="63"/>
        <v>2.4205650289995218E-2</v>
      </c>
    </row>
    <row r="528" spans="2:17" ht="13.95" customHeight="1" x14ac:dyDescent="0.3">
      <c r="B528" s="89">
        <v>46178</v>
      </c>
      <c r="C528" s="91">
        <f t="shared" si="56"/>
        <v>1</v>
      </c>
      <c r="D528" s="90">
        <v>8.4984866511501966</v>
      </c>
      <c r="E528" s="90">
        <v>4.2439338007695868</v>
      </c>
      <c r="F528" s="90">
        <v>1.074218616854969</v>
      </c>
      <c r="G528" s="90">
        <v>5.8864072071029758</v>
      </c>
      <c r="H528" s="90">
        <v>4.7914731789584888</v>
      </c>
      <c r="I528" s="90">
        <v>0.69254574393886437</v>
      </c>
      <c r="J528" s="90">
        <v>7.5667293090243959</v>
      </c>
      <c r="K528" s="29">
        <f t="shared" si="57"/>
        <v>-3.4056670508909925E-2</v>
      </c>
      <c r="L528" s="29">
        <f t="shared" si="58"/>
        <v>-2.1435457144951209E-2</v>
      </c>
      <c r="M528" s="29">
        <f t="shared" si="59"/>
        <v>-2.9136952312029507E-2</v>
      </c>
      <c r="N528" s="29">
        <f t="shared" si="60"/>
        <v>-2.5204343188143796E-2</v>
      </c>
      <c r="O528" s="29">
        <f t="shared" si="61"/>
        <v>-2.7052780734884818E-2</v>
      </c>
      <c r="P528" s="29">
        <f t="shared" si="62"/>
        <v>-3.0481891106230341E-2</v>
      </c>
      <c r="Q528" s="29">
        <f t="shared" si="63"/>
        <v>-2.704160664188604E-2</v>
      </c>
    </row>
    <row r="529" spans="2:17" ht="13.95" customHeight="1" x14ac:dyDescent="0.3">
      <c r="B529" s="89">
        <v>46185</v>
      </c>
      <c r="C529" s="91">
        <f t="shared" si="56"/>
        <v>1</v>
      </c>
      <c r="D529" s="90">
        <v>8.7119625171626165</v>
      </c>
      <c r="E529" s="90">
        <v>4.3030686107195022</v>
      </c>
      <c r="F529" s="90">
        <v>1.074706354994255</v>
      </c>
      <c r="G529" s="90">
        <v>5.9181256597240051</v>
      </c>
      <c r="H529" s="90">
        <v>4.8505899271579116</v>
      </c>
      <c r="I529" s="90">
        <v>0.69075389952546151</v>
      </c>
      <c r="J529" s="90">
        <v>7.6058915538356802</v>
      </c>
      <c r="K529" s="29">
        <f t="shared" si="57"/>
        <v>2.5119280028936375E-2</v>
      </c>
      <c r="L529" s="29">
        <f t="shared" si="58"/>
        <v>1.3933961443788778E-2</v>
      </c>
      <c r="M529" s="29">
        <f t="shared" si="59"/>
        <v>4.5403992412085259E-4</v>
      </c>
      <c r="N529" s="29">
        <f t="shared" si="60"/>
        <v>5.3884231085399303E-3</v>
      </c>
      <c r="O529" s="29">
        <f t="shared" si="61"/>
        <v>1.2337906525081044E-2</v>
      </c>
      <c r="P529" s="29">
        <f t="shared" si="62"/>
        <v>-2.5873300487152529E-3</v>
      </c>
      <c r="Q529" s="29">
        <f t="shared" si="63"/>
        <v>5.1755842203284885E-3</v>
      </c>
    </row>
    <row r="530" spans="2:17" ht="13.95" customHeight="1" x14ac:dyDescent="0.3">
      <c r="B530" s="89">
        <v>46192</v>
      </c>
      <c r="C530" s="91">
        <f t="shared" si="56"/>
        <v>1</v>
      </c>
      <c r="D530" s="90">
        <v>8.6266352736569445</v>
      </c>
      <c r="E530" s="90">
        <v>4.1999436547409958</v>
      </c>
      <c r="F530" s="90">
        <v>1.0850162221857469</v>
      </c>
      <c r="G530" s="90">
        <v>5.7727104039488957</v>
      </c>
      <c r="H530" s="90">
        <v>4.7718931370488491</v>
      </c>
      <c r="I530" s="90">
        <v>0.66933180517587665</v>
      </c>
      <c r="J530" s="90">
        <v>8.1546144784384254</v>
      </c>
      <c r="K530" s="29">
        <f t="shared" si="57"/>
        <v>-9.7942620089993548E-3</v>
      </c>
      <c r="L530" s="29">
        <f t="shared" si="58"/>
        <v>-2.396544543157153E-2</v>
      </c>
      <c r="M530" s="29">
        <f t="shared" si="59"/>
        <v>9.5931945908582783E-3</v>
      </c>
      <c r="N530" s="29">
        <f t="shared" si="60"/>
        <v>-2.4571167314803355E-2</v>
      </c>
      <c r="O530" s="29">
        <f t="shared" si="61"/>
        <v>-1.6224168872418621E-2</v>
      </c>
      <c r="P530" s="29">
        <f t="shared" si="62"/>
        <v>-3.101262890343659E-2</v>
      </c>
      <c r="Q530" s="29">
        <f t="shared" si="63"/>
        <v>7.2144458111031318E-2</v>
      </c>
    </row>
    <row r="531" spans="2:17" ht="13.95" customHeight="1" x14ac:dyDescent="0.3">
      <c r="B531" s="89">
        <v>46199</v>
      </c>
      <c r="C531" s="91">
        <f t="shared" si="56"/>
        <v>1</v>
      </c>
      <c r="D531" s="90">
        <v>9.0400338981383825</v>
      </c>
      <c r="E531" s="90">
        <v>4.472276693403793</v>
      </c>
      <c r="F531" s="90">
        <v>1.143629483384355</v>
      </c>
      <c r="G531" s="90">
        <v>5.6322601595640638</v>
      </c>
      <c r="H531" s="90">
        <v>4.9109518967333194</v>
      </c>
      <c r="I531" s="90">
        <v>0.71247011622062095</v>
      </c>
      <c r="J531" s="90">
        <v>8.4767279112240121</v>
      </c>
      <c r="K531" s="29">
        <f t="shared" si="57"/>
        <v>4.7921189591013436E-2</v>
      </c>
      <c r="L531" s="29">
        <f t="shared" si="58"/>
        <v>6.4842069572857541E-2</v>
      </c>
      <c r="M531" s="29">
        <f t="shared" si="59"/>
        <v>5.4020631212805981E-2</v>
      </c>
      <c r="N531" s="29">
        <f t="shared" si="60"/>
        <v>-2.433003469024797E-2</v>
      </c>
      <c r="O531" s="29">
        <f t="shared" si="61"/>
        <v>2.9141214124185133E-2</v>
      </c>
      <c r="P531" s="29">
        <f t="shared" si="62"/>
        <v>6.4449815041150105E-2</v>
      </c>
      <c r="Q531" s="29">
        <f t="shared" si="63"/>
        <v>3.9500755509323637E-2</v>
      </c>
    </row>
    <row r="532" spans="2:17" ht="13.95" customHeight="1" x14ac:dyDescent="0.3">
      <c r="B532" s="89">
        <v>46206</v>
      </c>
      <c r="C532" s="91">
        <f t="shared" si="56"/>
        <v>1</v>
      </c>
      <c r="D532" s="90">
        <v>9.1198947157630581</v>
      </c>
      <c r="E532" s="90">
        <v>4.4541083638044077</v>
      </c>
      <c r="F532" s="90">
        <v>1.149304446798125</v>
      </c>
      <c r="G532" s="90">
        <v>5.6812362470415882</v>
      </c>
      <c r="H532" s="90">
        <v>4.9338675273091841</v>
      </c>
      <c r="I532" s="90">
        <v>0.71277884199764086</v>
      </c>
      <c r="J532" s="90">
        <v>8.5735122819439376</v>
      </c>
      <c r="K532" s="29">
        <f t="shared" si="57"/>
        <v>8.8341281155064344E-3</v>
      </c>
      <c r="L532" s="29">
        <f t="shared" si="58"/>
        <v>-4.0624341571222633E-3</v>
      </c>
      <c r="M532" s="29">
        <f t="shared" si="59"/>
        <v>4.9622395157005172E-3</v>
      </c>
      <c r="N532" s="29">
        <f t="shared" si="60"/>
        <v>8.6956365810550995E-3</v>
      </c>
      <c r="O532" s="29">
        <f t="shared" si="61"/>
        <v>4.6662298995654439E-3</v>
      </c>
      <c r="P532" s="29">
        <f t="shared" si="62"/>
        <v>4.3331751043473865E-4</v>
      </c>
      <c r="Q532" s="29">
        <f t="shared" si="63"/>
        <v>1.1417656875806204E-2</v>
      </c>
    </row>
    <row r="533" spans="2:17" ht="13.95" customHeight="1" x14ac:dyDescent="0.3">
      <c r="B533" s="89">
        <v>46213</v>
      </c>
      <c r="C533" s="91">
        <f t="shared" si="56"/>
        <v>1</v>
      </c>
      <c r="D533" s="90">
        <v>9.5078378488251527</v>
      </c>
      <c r="E533" s="90">
        <v>4.5515436081299727</v>
      </c>
      <c r="F533" s="90">
        <v>1.1557594240989939</v>
      </c>
      <c r="G533" s="90">
        <v>5.7433366846621059</v>
      </c>
      <c r="H533" s="90">
        <v>5.0425096382917918</v>
      </c>
      <c r="I533" s="90">
        <v>0.7200968658453627</v>
      </c>
      <c r="J533" s="90">
        <v>8.565622481711598</v>
      </c>
      <c r="K533" s="29">
        <f t="shared" si="57"/>
        <v>4.2538115313059954E-2</v>
      </c>
      <c r="L533" s="29">
        <f t="shared" si="58"/>
        <v>2.1875364577421896E-2</v>
      </c>
      <c r="M533" s="29">
        <f t="shared" si="59"/>
        <v>5.6164207132860522E-3</v>
      </c>
      <c r="N533" s="29">
        <f t="shared" si="60"/>
        <v>1.0930796559086131E-2</v>
      </c>
      <c r="O533" s="29">
        <f t="shared" si="61"/>
        <v>2.201966517772691E-2</v>
      </c>
      <c r="P533" s="29">
        <f t="shared" si="62"/>
        <v>1.0266892641218606E-2</v>
      </c>
      <c r="Q533" s="29">
        <f t="shared" si="63"/>
        <v>-9.2025298067810457E-4</v>
      </c>
    </row>
    <row r="534" spans="2:17" ht="13.95" customHeight="1" x14ac:dyDescent="0.3">
      <c r="B534" s="89">
        <v>46220</v>
      </c>
      <c r="C534" s="91">
        <f t="shared" si="56"/>
        <v>1</v>
      </c>
      <c r="D534" s="90">
        <v>9.1910701285204315</v>
      </c>
      <c r="E534" s="90">
        <v>4.3579791593848283</v>
      </c>
      <c r="F534" s="90">
        <v>1.094006603262963</v>
      </c>
      <c r="G534" s="90">
        <v>5.8296874100426406</v>
      </c>
      <c r="H534" s="90">
        <v>4.924759578053628</v>
      </c>
      <c r="I534" s="90">
        <v>0.67926380154117627</v>
      </c>
      <c r="J534" s="90">
        <v>8.1478219297525172</v>
      </c>
      <c r="K534" s="29">
        <f t="shared" si="57"/>
        <v>-3.3316483236392469E-2</v>
      </c>
      <c r="L534" s="29">
        <f t="shared" si="58"/>
        <v>-4.2527209538188226E-2</v>
      </c>
      <c r="M534" s="29">
        <f t="shared" si="59"/>
        <v>-5.343051464553028E-2</v>
      </c>
      <c r="N534" s="29">
        <f t="shared" si="60"/>
        <v>1.5034940509606409E-2</v>
      </c>
      <c r="O534" s="29">
        <f t="shared" si="61"/>
        <v>-2.335147945856042E-2</v>
      </c>
      <c r="P534" s="29">
        <f t="shared" si="62"/>
        <v>-5.6704960458688003E-2</v>
      </c>
      <c r="Q534" s="29">
        <f t="shared" si="63"/>
        <v>-4.8776437772167003E-2</v>
      </c>
    </row>
    <row r="535" spans="2:17" ht="13.95" customHeight="1" x14ac:dyDescent="0.3">
      <c r="B535" s="89">
        <v>46227</v>
      </c>
      <c r="C535" s="91">
        <f t="shared" ref="C535:C598" si="64">IF(B535&gt;$C$17,1,0)</f>
        <v>1</v>
      </c>
      <c r="D535" s="90">
        <v>9.1873885954603605</v>
      </c>
      <c r="E535" s="90">
        <v>4.2616228110559602</v>
      </c>
      <c r="F535" s="90">
        <v>1.0880369354888919</v>
      </c>
      <c r="G535" s="90">
        <v>5.9871239540672399</v>
      </c>
      <c r="H535" s="90">
        <v>4.9341490991572092</v>
      </c>
      <c r="I535" s="90">
        <v>0.65709812041741633</v>
      </c>
      <c r="J535" s="90">
        <v>8.4154483828637758</v>
      </c>
      <c r="K535" s="29">
        <f t="shared" ref="K535:K544" si="65">D535/D534-1</f>
        <v>-4.0055543136885419E-4</v>
      </c>
      <c r="L535" s="29">
        <f t="shared" ref="L535:L544" si="66">E535/E534-1</f>
        <v>-2.2110327930634166E-2</v>
      </c>
      <c r="M535" s="29">
        <f t="shared" ref="M535:M544" si="67">F535/F534-1</f>
        <v>-5.4567017751684377E-3</v>
      </c>
      <c r="N535" s="29">
        <f t="shared" ref="N535:N544" si="68">G535/G534-1</f>
        <v>2.7006000999880042E-2</v>
      </c>
      <c r="O535" s="29">
        <f t="shared" ref="O535:O544" si="69">H535/H534-1</f>
        <v>1.9065948204708416E-3</v>
      </c>
      <c r="P535" s="29">
        <f t="shared" ref="P535:P544" si="70">I535/I534-1</f>
        <v>-3.2631918664690174E-2</v>
      </c>
      <c r="Q535" s="29">
        <f t="shared" ref="Q535:Q544" si="71">J535/J534-1</f>
        <v>3.2846379734195796E-2</v>
      </c>
    </row>
    <row r="536" spans="2:17" ht="13.95" customHeight="1" x14ac:dyDescent="0.3">
      <c r="B536" s="89">
        <v>46234</v>
      </c>
      <c r="C536" s="91">
        <f t="shared" si="64"/>
        <v>1</v>
      </c>
      <c r="D536" s="90">
        <v>9.3611219925772122</v>
      </c>
      <c r="E536" s="90">
        <v>4.3516025399019442</v>
      </c>
      <c r="F536" s="90">
        <v>1.1291591741696849</v>
      </c>
      <c r="G536" s="90">
        <v>6.1172945126744969</v>
      </c>
      <c r="H536" s="90">
        <v>5.0463711864789991</v>
      </c>
      <c r="I536" s="90">
        <v>0.68146135017999032</v>
      </c>
      <c r="J536" s="90">
        <v>8.7414847142527954</v>
      </c>
      <c r="K536" s="29">
        <f t="shared" si="65"/>
        <v>1.8909986805466739E-2</v>
      </c>
      <c r="L536" s="29">
        <f t="shared" si="66"/>
        <v>2.1113958892032603E-2</v>
      </c>
      <c r="M536" s="29">
        <f t="shared" si="67"/>
        <v>3.7794892194827456E-2</v>
      </c>
      <c r="N536" s="29">
        <f t="shared" si="68"/>
        <v>2.1741751065438963E-2</v>
      </c>
      <c r="O536" s="29">
        <f t="shared" si="69"/>
        <v>2.2743959508835676E-2</v>
      </c>
      <c r="P536" s="29">
        <f t="shared" si="70"/>
        <v>3.707700418789428E-2</v>
      </c>
      <c r="Q536" s="29">
        <f t="shared" si="71"/>
        <v>3.874259772692823E-2</v>
      </c>
    </row>
    <row r="537" spans="2:17" ht="13.95" customHeight="1" x14ac:dyDescent="0.3">
      <c r="B537" s="89">
        <v>46241</v>
      </c>
      <c r="C537" s="91">
        <f t="shared" si="64"/>
        <v>1</v>
      </c>
      <c r="D537" s="90">
        <v>8.9013054822693807</v>
      </c>
      <c r="E537" s="90">
        <v>4.2791150408749203</v>
      </c>
      <c r="F537" s="90">
        <v>1.1351820067679621</v>
      </c>
      <c r="G537" s="90">
        <v>5.8668021014384344</v>
      </c>
      <c r="H537" s="90">
        <v>4.8901818962959496</v>
      </c>
      <c r="I537" s="90">
        <v>0.66678795529329804</v>
      </c>
      <c r="J537" s="90">
        <v>9.097444024779076</v>
      </c>
      <c r="K537" s="29">
        <f t="shared" si="65"/>
        <v>-4.9119807505172752E-2</v>
      </c>
      <c r="L537" s="29">
        <f t="shared" si="66"/>
        <v>-1.6657656199607129E-2</v>
      </c>
      <c r="M537" s="29">
        <f t="shared" si="67"/>
        <v>5.3339092805104737E-3</v>
      </c>
      <c r="N537" s="29">
        <f t="shared" si="68"/>
        <v>-4.0948234667640082E-2</v>
      </c>
      <c r="O537" s="29">
        <f t="shared" si="69"/>
        <v>-3.0950812853706711E-2</v>
      </c>
      <c r="P537" s="29">
        <f t="shared" si="70"/>
        <v>-2.1532248135300192E-2</v>
      </c>
      <c r="Q537" s="29">
        <f t="shared" si="71"/>
        <v>4.0720692440941564E-2</v>
      </c>
    </row>
    <row r="538" spans="2:17" ht="13.95" customHeight="1" x14ac:dyDescent="0.3">
      <c r="B538" s="89">
        <v>46248</v>
      </c>
      <c r="C538" s="91">
        <f t="shared" si="64"/>
        <v>1</v>
      </c>
      <c r="D538" s="90">
        <v>8.5026864575000065</v>
      </c>
      <c r="E538" s="90">
        <v>4.0075753545751978</v>
      </c>
      <c r="F538" s="90">
        <v>1.110011911410185</v>
      </c>
      <c r="G538" s="90">
        <v>5.8741103489458313</v>
      </c>
      <c r="H538" s="90">
        <v>4.7344963618157916</v>
      </c>
      <c r="I538" s="90">
        <v>0.62553950863173391</v>
      </c>
      <c r="J538" s="90">
        <v>9.3428588111142812</v>
      </c>
      <c r="K538" s="29">
        <f t="shared" si="65"/>
        <v>-4.4782085679835215E-2</v>
      </c>
      <c r="L538" s="29">
        <f t="shared" si="66"/>
        <v>-6.3456972693167635E-2</v>
      </c>
      <c r="M538" s="29">
        <f t="shared" si="67"/>
        <v>-2.2172739884628978E-2</v>
      </c>
      <c r="N538" s="29">
        <f t="shared" si="68"/>
        <v>1.2456952494792617E-3</v>
      </c>
      <c r="O538" s="29">
        <f t="shared" si="69"/>
        <v>-3.1836348377568768E-2</v>
      </c>
      <c r="P538" s="29">
        <f t="shared" si="70"/>
        <v>-6.1861415363179906E-2</v>
      </c>
      <c r="Q538" s="29">
        <f t="shared" si="71"/>
        <v>2.697623482670064E-2</v>
      </c>
    </row>
    <row r="539" spans="2:17" ht="13.95" customHeight="1" x14ac:dyDescent="0.3">
      <c r="B539" s="89">
        <v>46255</v>
      </c>
      <c r="C539" s="91">
        <f t="shared" si="64"/>
        <v>1</v>
      </c>
      <c r="D539" s="90">
        <v>8.4990555199728455</v>
      </c>
      <c r="E539" s="90">
        <v>4.1093666527604737</v>
      </c>
      <c r="F539" s="90">
        <v>1.1295110217951769</v>
      </c>
      <c r="G539" s="90">
        <v>6.148058867559647</v>
      </c>
      <c r="H539" s="90">
        <v>4.8515445776476742</v>
      </c>
      <c r="I539" s="90">
        <v>0.64081485036775243</v>
      </c>
      <c r="J539" s="90">
        <v>9.4345526132905491</v>
      </c>
      <c r="K539" s="29">
        <f t="shared" si="65"/>
        <v>-4.2703415506495368E-4</v>
      </c>
      <c r="L539" s="29">
        <f t="shared" si="66"/>
        <v>2.5399721572064049E-2</v>
      </c>
      <c r="M539" s="29">
        <f t="shared" si="67"/>
        <v>1.7566577605658162E-2</v>
      </c>
      <c r="N539" s="29">
        <f t="shared" si="68"/>
        <v>4.6636597261571433E-2</v>
      </c>
      <c r="O539" s="29">
        <f t="shared" si="69"/>
        <v>2.4722421750260182E-2</v>
      </c>
      <c r="P539" s="29">
        <f t="shared" si="70"/>
        <v>2.4419467555983454E-2</v>
      </c>
      <c r="Q539" s="29">
        <f t="shared" si="71"/>
        <v>9.8143195814099915E-3</v>
      </c>
    </row>
    <row r="540" spans="2:17" ht="13.95" customHeight="1" x14ac:dyDescent="0.3">
      <c r="B540" s="89">
        <v>46262</v>
      </c>
      <c r="C540" s="91">
        <f t="shared" si="64"/>
        <v>1</v>
      </c>
      <c r="D540" s="90">
        <v>8.8541975794075505</v>
      </c>
      <c r="E540" s="90">
        <v>4.2259660064963809</v>
      </c>
      <c r="F540" s="90">
        <v>1.1464591696361079</v>
      </c>
      <c r="G540" s="90">
        <v>6.2743110610072907</v>
      </c>
      <c r="H540" s="90">
        <v>4.9845708977382266</v>
      </c>
      <c r="I540" s="90">
        <v>0.66039319492850312</v>
      </c>
      <c r="J540" s="90">
        <v>9.407783361351731</v>
      </c>
      <c r="K540" s="29">
        <f t="shared" si="65"/>
        <v>4.1786061827707721E-2</v>
      </c>
      <c r="L540" s="29">
        <f t="shared" si="66"/>
        <v>2.8374044856177782E-2</v>
      </c>
      <c r="M540" s="29">
        <f t="shared" si="67"/>
        <v>1.5004853882695679E-2</v>
      </c>
      <c r="N540" s="29">
        <f t="shared" si="68"/>
        <v>2.0535293523914699E-2</v>
      </c>
      <c r="O540" s="29">
        <f t="shared" si="69"/>
        <v>2.7419374997282198E-2</v>
      </c>
      <c r="P540" s="29">
        <f t="shared" si="70"/>
        <v>3.0552264120463191E-2</v>
      </c>
      <c r="Q540" s="29">
        <f t="shared" si="71"/>
        <v>-2.8373631518158193E-3</v>
      </c>
    </row>
    <row r="541" spans="2:17" ht="13.95" customHeight="1" x14ac:dyDescent="0.3">
      <c r="B541" s="89">
        <v>46269</v>
      </c>
      <c r="C541" s="91">
        <f t="shared" si="64"/>
        <v>1</v>
      </c>
      <c r="D541" s="90">
        <v>9.5194126288775003</v>
      </c>
      <c r="E541" s="90">
        <v>4.4308569744685142</v>
      </c>
      <c r="F541" s="90">
        <v>1.193081632706033</v>
      </c>
      <c r="G541" s="90">
        <v>6.5685509552833734</v>
      </c>
      <c r="H541" s="90">
        <v>5.2542781317250631</v>
      </c>
      <c r="I541" s="90">
        <v>0.70032383651673258</v>
      </c>
      <c r="J541" s="90">
        <v>9.5696730471172025</v>
      </c>
      <c r="K541" s="29">
        <f t="shared" si="65"/>
        <v>7.5129907990426847E-2</v>
      </c>
      <c r="L541" s="29">
        <f t="shared" si="66"/>
        <v>4.8483818293181713E-2</v>
      </c>
      <c r="M541" s="29">
        <f t="shared" si="67"/>
        <v>4.0666483643480467E-2</v>
      </c>
      <c r="N541" s="29">
        <f t="shared" si="68"/>
        <v>4.6895968563733348E-2</v>
      </c>
      <c r="O541" s="29">
        <f t="shared" si="69"/>
        <v>5.4108415653034037E-2</v>
      </c>
      <c r="P541" s="29">
        <f t="shared" si="70"/>
        <v>6.0464950115896476E-2</v>
      </c>
      <c r="Q541" s="29">
        <f t="shared" si="71"/>
        <v>1.7208058428570316E-2</v>
      </c>
    </row>
    <row r="542" spans="2:17" ht="13.95" customHeight="1" x14ac:dyDescent="0.3">
      <c r="B542" s="89">
        <v>46276</v>
      </c>
      <c r="C542" s="91">
        <f t="shared" si="64"/>
        <v>1</v>
      </c>
      <c r="D542" s="90">
        <v>9.6499435076563138</v>
      </c>
      <c r="E542" s="90">
        <v>4.4420243701117386</v>
      </c>
      <c r="F542" s="90">
        <v>1.188515177578827</v>
      </c>
      <c r="G542" s="90">
        <v>6.7140555701127793</v>
      </c>
      <c r="H542" s="90">
        <v>5.3140373440764694</v>
      </c>
      <c r="I542" s="90">
        <v>0.69144837336460352</v>
      </c>
      <c r="J542" s="90">
        <v>9.6374810696505833</v>
      </c>
      <c r="K542" s="29">
        <f t="shared" si="65"/>
        <v>1.3712072778822915E-2</v>
      </c>
      <c r="L542" s="29">
        <f t="shared" si="66"/>
        <v>2.5203692440476377E-3</v>
      </c>
      <c r="M542" s="29">
        <f t="shared" si="67"/>
        <v>-3.8274456684483926E-3</v>
      </c>
      <c r="N542" s="29">
        <f t="shared" si="68"/>
        <v>2.2151706794992565E-2</v>
      </c>
      <c r="O542" s="29">
        <f t="shared" si="69"/>
        <v>1.1373439101098004E-2</v>
      </c>
      <c r="P542" s="29">
        <f t="shared" si="70"/>
        <v>-1.2673370074441248E-2</v>
      </c>
      <c r="Q542" s="29">
        <f t="shared" si="71"/>
        <v>7.0857198777347641E-3</v>
      </c>
    </row>
    <row r="543" spans="2:17" ht="13.95" customHeight="1" x14ac:dyDescent="0.3">
      <c r="B543" s="89">
        <v>46283</v>
      </c>
      <c r="C543" s="91">
        <f t="shared" si="64"/>
        <v>1</v>
      </c>
      <c r="D543" s="90">
        <v>9.6208835389120004</v>
      </c>
      <c r="E543" s="90">
        <v>4.4318525952694774</v>
      </c>
      <c r="F543" s="90">
        <v>1.190430880842611</v>
      </c>
      <c r="G543" s="90">
        <v>6.5313079602639057</v>
      </c>
      <c r="H543" s="90">
        <v>5.2583483996041052</v>
      </c>
      <c r="I543" s="90">
        <v>0.69139995746961325</v>
      </c>
      <c r="J543" s="90">
        <v>9.6726197626177068</v>
      </c>
      <c r="K543" s="29">
        <f t="shared" si="65"/>
        <v>-3.0114133540012356E-3</v>
      </c>
      <c r="L543" s="29">
        <f t="shared" si="66"/>
        <v>-2.2898962263021572E-3</v>
      </c>
      <c r="M543" s="29">
        <f t="shared" si="67"/>
        <v>1.61184585600882E-3</v>
      </c>
      <c r="N543" s="29">
        <f t="shared" si="68"/>
        <v>-2.7218662094839363E-2</v>
      </c>
      <c r="O543" s="29">
        <f t="shared" si="69"/>
        <v>-1.0479592232154777E-2</v>
      </c>
      <c r="P543" s="29">
        <f t="shared" si="70"/>
        <v>-7.0020983279905913E-5</v>
      </c>
      <c r="Q543" s="29">
        <f t="shared" si="71"/>
        <v>3.6460453424680406E-3</v>
      </c>
    </row>
    <row r="544" spans="2:17" ht="13.95" customHeight="1" x14ac:dyDescent="0.3">
      <c r="B544" s="89">
        <v>46290</v>
      </c>
      <c r="C544" s="91">
        <f t="shared" si="64"/>
        <v>1</v>
      </c>
      <c r="D544" s="90">
        <v>9.5756116035727263</v>
      </c>
      <c r="E544" s="90">
        <v>4.4061861654048871</v>
      </c>
      <c r="F544" s="90">
        <v>1.219640106103465</v>
      </c>
      <c r="G544" s="90">
        <v>6.3449697090499244</v>
      </c>
      <c r="H544" s="90">
        <v>5.2095644688741487</v>
      </c>
      <c r="I544" s="90">
        <v>0.71292612866509619</v>
      </c>
      <c r="J544" s="90">
        <v>9.8330559002247568</v>
      </c>
      <c r="K544" s="29">
        <f t="shared" si="65"/>
        <v>-4.7055902044932374E-3</v>
      </c>
      <c r="L544" s="29">
        <f t="shared" si="66"/>
        <v>-5.7913545888206297E-3</v>
      </c>
      <c r="M544" s="29">
        <f t="shared" si="67"/>
        <v>2.4536683087538202E-2</v>
      </c>
      <c r="N544" s="29">
        <f t="shared" si="68"/>
        <v>-2.8530005375286605E-2</v>
      </c>
      <c r="O544" s="29">
        <f t="shared" si="69"/>
        <v>-9.2774245870869132E-3</v>
      </c>
      <c r="P544" s="29">
        <f t="shared" si="70"/>
        <v>3.1134180676354761E-2</v>
      </c>
      <c r="Q544" s="29">
        <f t="shared" si="71"/>
        <v>1.6586627154216993E-2</v>
      </c>
    </row>
  </sheetData>
  <mergeCells count="2">
    <mergeCell ref="B5:I5"/>
    <mergeCell ref="B20:Q20"/>
  </mergeCells>
  <pageMargins left="0.4" right="0.4" top="1.25" bottom="0.5" header="0.3" footer="0.3"/>
  <pageSetup paperSize="9" fitToHeight="0" orientation="landscape"/>
  <headerFooter>
    <oddHeader>&amp;L&amp;G</oddHeader>
    <oddFooter>&amp;R&amp;"Calibri"&amp;10&amp;K008000[ CLASSIFICAÇÃO: PÚBLICA ]</oddFooter>
  </headerFooter>
  <legacyDrawingHF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R39"/>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13.95" customHeight="1" x14ac:dyDescent="0.3"/>
  <cols>
    <col min="1" max="1" width="2.6640625" customWidth="1"/>
    <col min="2" max="2" width="58.6640625" customWidth="1"/>
    <col min="3" max="18" width="11.33203125" customWidth="1"/>
  </cols>
  <sheetData>
    <row r="1" spans="2:18" ht="30" customHeight="1" x14ac:dyDescent="0.3">
      <c r="B1" s="15" t="s">
        <v>420</v>
      </c>
    </row>
    <row r="2" spans="2:18" ht="13.95" customHeight="1" x14ac:dyDescent="0.3">
      <c r="B2" s="14" t="s">
        <v>421</v>
      </c>
    </row>
    <row r="3" spans="2:18" ht="13.95" customHeight="1" x14ac:dyDescent="0.3">
      <c r="B3" s="14" t="s">
        <v>2</v>
      </c>
      <c r="C3" s="38" t="s">
        <v>3</v>
      </c>
      <c r="D3" s="39" t="s">
        <v>4</v>
      </c>
      <c r="E3" s="40" t="s">
        <v>5</v>
      </c>
    </row>
    <row r="5" spans="2:18" ht="13.95" customHeight="1" x14ac:dyDescent="0.3">
      <c r="B5" s="120" t="s">
        <v>422</v>
      </c>
      <c r="C5" s="120"/>
      <c r="D5" s="120"/>
      <c r="E5" s="120"/>
      <c r="F5" s="120"/>
      <c r="G5" s="120"/>
      <c r="H5" s="120"/>
      <c r="I5" s="120"/>
      <c r="J5" s="120"/>
      <c r="K5" s="120"/>
      <c r="L5" s="120"/>
      <c r="M5" s="120"/>
      <c r="N5" s="120"/>
      <c r="O5" s="120"/>
      <c r="P5" s="120"/>
      <c r="Q5" s="120"/>
      <c r="R5" s="120"/>
    </row>
    <row r="6" spans="2:18" ht="30" customHeight="1" x14ac:dyDescent="0.3">
      <c r="B6" s="17" t="s">
        <v>423</v>
      </c>
      <c r="C6" s="18" t="s">
        <v>218</v>
      </c>
      <c r="D6" s="18" t="s">
        <v>424</v>
      </c>
      <c r="E6" s="18" t="s">
        <v>425</v>
      </c>
      <c r="F6" s="18" t="s">
        <v>426</v>
      </c>
      <c r="G6" s="18" t="s">
        <v>427</v>
      </c>
      <c r="H6" s="18" t="s">
        <v>428</v>
      </c>
      <c r="I6" s="18" t="s">
        <v>429</v>
      </c>
      <c r="J6" s="18" t="s">
        <v>430</v>
      </c>
      <c r="K6" s="18" t="s">
        <v>431</v>
      </c>
      <c r="L6" s="18" t="s">
        <v>432</v>
      </c>
      <c r="M6" s="18" t="s">
        <v>433</v>
      </c>
      <c r="N6" s="18" t="s">
        <v>434</v>
      </c>
      <c r="O6" s="18" t="s">
        <v>435</v>
      </c>
      <c r="P6" s="18" t="s">
        <v>436</v>
      </c>
      <c r="Q6" s="18" t="s">
        <v>437</v>
      </c>
      <c r="R6" s="18" t="s">
        <v>438</v>
      </c>
    </row>
    <row r="7" spans="2:18" ht="13.95" customHeight="1" x14ac:dyDescent="0.3">
      <c r="B7" s="8" t="s">
        <v>256</v>
      </c>
      <c r="C7" s="20">
        <f>SUMIFS(Members!$J$6:$J$81,Members!$C$6:$C$81,"Financials")</f>
        <v>60927.303521809401</v>
      </c>
      <c r="D7" s="20">
        <f>SUMIFS(Members!$AA$6:$AA$81,Members!$C$6:$C$81,"Financials")</f>
        <v>23202.292112263502</v>
      </c>
      <c r="E7" s="20">
        <f>SUMIFS(Members!$AB$6:$AB$81,Members!$C$6:$C$81,"Financials")</f>
        <v>24843.531843209908</v>
      </c>
      <c r="F7" s="20">
        <f>SUMIFS(Members!$AC$6:$AC$81,Members!$C$6:$C$81,"Financials")</f>
        <v>26614.282858462779</v>
      </c>
      <c r="G7" s="20">
        <f>SUMIFS(Members!$AD$6:$AD$81,Members!$C$6:$C$81,"Financials")</f>
        <v>5850.9177851873501</v>
      </c>
      <c r="H7" s="20">
        <f>SUMIFS(Members!$AE$6:$AE$81,Members!$C$6:$C$81,"Financials")</f>
        <v>6776.2881263904173</v>
      </c>
      <c r="I7" s="20">
        <f>SUMIFS(Members!$AF$6:$AF$81,Members!$C$6:$C$81,"Financials")</f>
        <v>7553.6721453099708</v>
      </c>
      <c r="J7" s="20">
        <f>SUMIFS(Members!$AG$6:$AG$81,Members!$C$6:$C$81,"Financials")</f>
        <v>1489.4528763735759</v>
      </c>
      <c r="K7" s="20">
        <f>SUMIFS(Members!$AH$6:$AH$81,Members!$C$6:$C$81,"Financials")</f>
        <v>4304.3334484721518</v>
      </c>
      <c r="L7" s="20">
        <f>SUMIFS(Members!$AI$6:$AI$81,Members!$C$6:$C$81,"Financials")</f>
        <v>4975.2096887344478</v>
      </c>
      <c r="M7" s="20">
        <f>SUMIFS(Members!$AJ$6:$AJ$81,Members!$C$6:$C$81,"Financials")</f>
        <v>5708.1180707928834</v>
      </c>
      <c r="N7" s="20">
        <f>SUMIFS(Members!$AK$6:$AK$81,Members!$C$6:$C$81,"Financials")</f>
        <v>6447.8434518249696</v>
      </c>
      <c r="O7" s="20">
        <f>SUMIFS(Members!$AL$6:$AL$81,Members!$C$6:$C$81,"Financials")</f>
        <v>7167.1074217837486</v>
      </c>
      <c r="P7" s="20">
        <f>SUMIFS(Members!$AM$6:$AM$81,Members!$C$6:$C$81,"Financials")</f>
        <v>-38.325055839502042</v>
      </c>
      <c r="Q7" s="20">
        <f>SUMIFS(Members!$AN$6:$AN$81,Members!$C$6:$C$81,"Financials")</f>
        <v>-40.957338968722084</v>
      </c>
      <c r="R7" s="20">
        <f>SUMIFS(Members!$AO$6:$AO$81,Members!$C$6:$C$81,"Financials")</f>
        <v>-42.548671870159879</v>
      </c>
    </row>
    <row r="8" spans="2:18" ht="13.95" customHeight="1" x14ac:dyDescent="0.3">
      <c r="B8" s="8" t="s">
        <v>284</v>
      </c>
      <c r="C8" s="20">
        <f>SUMIFS(Members!$J$6:$J$81,Members!$C$6:$C$81,"Defensives")</f>
        <v>55822.367361651384</v>
      </c>
      <c r="D8" s="20">
        <f>SUMIFS(Members!$AA$6:$AA$81,Members!$C$6:$C$81,"Defensives")</f>
        <v>40617.342777633901</v>
      </c>
      <c r="E8" s="20">
        <f>SUMIFS(Members!$AB$6:$AB$81,Members!$C$6:$C$81,"Defensives")</f>
        <v>43046.203108659291</v>
      </c>
      <c r="F8" s="20">
        <f>SUMIFS(Members!$AC$6:$AC$81,Members!$C$6:$C$81,"Defensives")</f>
        <v>45622.953200295924</v>
      </c>
      <c r="G8" s="20">
        <f>SUMIFS(Members!$AD$6:$AD$81,Members!$C$6:$C$81,"Defensives")</f>
        <v>6963.6385289895934</v>
      </c>
      <c r="H8" s="20">
        <f>SUMIFS(Members!$AE$6:$AE$81,Members!$C$6:$C$81,"Defensives")</f>
        <v>8214.8510771452075</v>
      </c>
      <c r="I8" s="20">
        <f>SUMIFS(Members!$AF$6:$AF$81,Members!$C$6:$C$81,"Defensives")</f>
        <v>9038.7162913502198</v>
      </c>
      <c r="J8" s="20">
        <f>SUMIFS(Members!$AG$6:$AG$81,Members!$C$6:$C$81,"Defensives")</f>
        <v>9723.9969661141658</v>
      </c>
      <c r="K8" s="20">
        <f>SUMIFS(Members!$AH$6:$AH$81,Members!$C$6:$C$81,"Defensives")</f>
        <v>11076.936271764416</v>
      </c>
      <c r="L8" s="20">
        <f>SUMIFS(Members!$AI$6:$AI$81,Members!$C$6:$C$81,"Defensives")</f>
        <v>12045.12926904714</v>
      </c>
      <c r="M8" s="20">
        <f>SUMIFS(Members!$AJ$6:$AJ$81,Members!$C$6:$C$81,"Defensives")</f>
        <v>2976.1707298282354</v>
      </c>
      <c r="N8" s="20">
        <f>SUMIFS(Members!$AK$6:$AK$81,Members!$C$6:$C$81,"Defensives")</f>
        <v>3846.4715295273368</v>
      </c>
      <c r="O8" s="20">
        <f>SUMIFS(Members!$AL$6:$AL$81,Members!$C$6:$C$81,"Defensives")</f>
        <v>4531.2546570420473</v>
      </c>
      <c r="P8" s="20">
        <f>SUMIFS(Members!$AM$6:$AM$81,Members!$C$6:$C$81,"Defensives")</f>
        <v>-5321.2516603388094</v>
      </c>
      <c r="Q8" s="20">
        <f>SUMIFS(Members!$AN$6:$AN$81,Members!$C$6:$C$81,"Defensives")</f>
        <v>-5151.0639036565362</v>
      </c>
      <c r="R8" s="20">
        <f>SUMIFS(Members!$AO$6:$AO$81,Members!$C$6:$C$81,"Defensives")</f>
        <v>-5194.9342760781492</v>
      </c>
    </row>
    <row r="9" spans="2:18" ht="13.95" customHeight="1" x14ac:dyDescent="0.3">
      <c r="B9" s="8" t="s">
        <v>335</v>
      </c>
      <c r="C9" s="20">
        <f>SUMIFS(Members!$J$6:$J$81,Members!$C$6:$C$81,"Cyclicals")</f>
        <v>26271.074646272005</v>
      </c>
      <c r="D9" s="20">
        <f>SUMIFS(Members!$AA$6:$AA$81,Members!$C$6:$C$81,"Cyclicals")</f>
        <v>16936.602449212252</v>
      </c>
      <c r="E9" s="20">
        <f>SUMIFS(Members!$AB$6:$AB$81,Members!$C$6:$C$81,"Cyclicals")</f>
        <v>18538.663708024458</v>
      </c>
      <c r="F9" s="20">
        <f>SUMIFS(Members!$AC$6:$AC$81,Members!$C$6:$C$81,"Cyclicals")</f>
        <v>20107.220437921791</v>
      </c>
      <c r="G9" s="20">
        <f>SUMIFS(Members!$AD$6:$AD$81,Members!$C$6:$C$81,"Cyclicals")</f>
        <v>3109.1240651045423</v>
      </c>
      <c r="H9" s="20">
        <f>SUMIFS(Members!$AE$6:$AE$81,Members!$C$6:$C$81,"Cyclicals")</f>
        <v>3528.4140335683428</v>
      </c>
      <c r="I9" s="20">
        <f>SUMIFS(Members!$AF$6:$AF$81,Members!$C$6:$C$81,"Cyclicals")</f>
        <v>3924.0971955765713</v>
      </c>
      <c r="J9" s="20">
        <f>SUMIFS(Members!$AG$6:$AG$81,Members!$C$6:$C$81,"Cyclicals")</f>
        <v>4335.4894405988107</v>
      </c>
      <c r="K9" s="20">
        <f>SUMIFS(Members!$AH$6:$AH$81,Members!$C$6:$C$81,"Cyclicals")</f>
        <v>4818.2194611800624</v>
      </c>
      <c r="L9" s="20">
        <f>SUMIFS(Members!$AI$6:$AI$81,Members!$C$6:$C$81,"Cyclicals")</f>
        <v>5281.4012165967924</v>
      </c>
      <c r="M9" s="20">
        <f>SUMIFS(Members!$AJ$6:$AJ$81,Members!$C$6:$C$81,"Cyclicals")</f>
        <v>1607.0454959194587</v>
      </c>
      <c r="N9" s="20">
        <f>SUMIFS(Members!$AK$6:$AK$81,Members!$C$6:$C$81,"Cyclicals")</f>
        <v>1944.9106632706325</v>
      </c>
      <c r="O9" s="20">
        <f>SUMIFS(Members!$AL$6:$AL$81,Members!$C$6:$C$81,"Cyclicals")</f>
        <v>2304.3006419052717</v>
      </c>
      <c r="P9" s="20">
        <f>SUMIFS(Members!$AM$6:$AM$81,Members!$C$6:$C$81,"Cyclicals")</f>
        <v>-2939.1740794275843</v>
      </c>
      <c r="Q9" s="20">
        <f>SUMIFS(Members!$AN$6:$AN$81,Members!$C$6:$C$81,"Cyclicals")</f>
        <v>-3016.8976203840884</v>
      </c>
      <c r="R9" s="20">
        <f>SUMIFS(Members!$AO$6:$AO$81,Members!$C$6:$C$81,"Cyclicals")</f>
        <v>-3046.1844193282441</v>
      </c>
    </row>
    <row r="10" spans="2:18" ht="13.95" customHeight="1" x14ac:dyDescent="0.3">
      <c r="B10" s="8" t="s">
        <v>386</v>
      </c>
      <c r="C10" s="20">
        <f>SUMIFS(Members!$J$6:$J$81,Members!$C$6:$C$81,"Commodities")</f>
        <v>65411.174470267266</v>
      </c>
      <c r="D10" s="20">
        <f>SUMIFS(Members!$AA$6:$AA$81,Members!$C$6:$C$81,"Commodities")</f>
        <v>77175.120922916118</v>
      </c>
      <c r="E10" s="20">
        <f>SUMIFS(Members!$AB$6:$AB$81,Members!$C$6:$C$81,"Commodities")</f>
        <v>76522.298928192511</v>
      </c>
      <c r="F10" s="20">
        <f>SUMIFS(Members!$AC$6:$AC$81,Members!$C$6:$C$81,"Commodities")</f>
        <v>76672.759348819978</v>
      </c>
      <c r="G10" s="20">
        <f>SUMIFS(Members!$AD$6:$AD$81,Members!$C$6:$C$81,"Commodities")</f>
        <v>16297.836522930565</v>
      </c>
      <c r="H10" s="20">
        <f>SUMIFS(Members!$AE$6:$AE$81,Members!$C$6:$C$81,"Commodities")</f>
        <v>15588.904395132024</v>
      </c>
      <c r="I10" s="20">
        <f>SUMIFS(Members!$AF$6:$AF$81,Members!$C$6:$C$81,"Commodities")</f>
        <v>15548.029421179623</v>
      </c>
      <c r="J10" s="20">
        <f>SUMIFS(Members!$AG$6:$AG$81,Members!$C$6:$C$81,"Commodities")</f>
        <v>23879.774082669228</v>
      </c>
      <c r="K10" s="20">
        <f>SUMIFS(Members!$AH$6:$AH$81,Members!$C$6:$C$81,"Commodities")</f>
        <v>23390.500270293647</v>
      </c>
      <c r="L10" s="20">
        <f>SUMIFS(Members!$AI$6:$AI$81,Members!$C$6:$C$81,"Commodities")</f>
        <v>23022.676105146351</v>
      </c>
      <c r="M10" s="20">
        <f>SUMIFS(Members!$AJ$6:$AJ$81,Members!$C$6:$C$81,"Commodities")</f>
        <v>10671.972549948501</v>
      </c>
      <c r="N10" s="20">
        <f>SUMIFS(Members!$AK$6:$AK$81,Members!$C$6:$C$81,"Commodities")</f>
        <v>9633.4894190418345</v>
      </c>
      <c r="O10" s="20">
        <f>SUMIFS(Members!$AL$6:$AL$81,Members!$C$6:$C$81,"Commodities")</f>
        <v>9381.2463979418426</v>
      </c>
      <c r="P10" s="20">
        <f>SUMIFS(Members!$AM$6:$AM$81,Members!$C$6:$C$81,"Commodities")</f>
        <v>-7883.0991632300729</v>
      </c>
      <c r="Q10" s="20">
        <f>SUMIFS(Members!$AN$6:$AN$81,Members!$C$6:$C$81,"Commodities")</f>
        <v>-7856.0221967833295</v>
      </c>
      <c r="R10" s="20">
        <f>SUMIFS(Members!$AO$6:$AO$81,Members!$C$6:$C$81,"Commodities")</f>
        <v>-8084.3149336263177</v>
      </c>
    </row>
    <row r="11" spans="2:18" ht="13.95" customHeight="1" x14ac:dyDescent="0.3">
      <c r="B11" s="11" t="s">
        <v>439</v>
      </c>
      <c r="C11" s="22">
        <f t="shared" ref="C11:R11" si="0">SUM(C7:C10)</f>
        <v>208431.92000000004</v>
      </c>
      <c r="D11" s="22">
        <f t="shared" si="0"/>
        <v>157931.35826202575</v>
      </c>
      <c r="E11" s="22">
        <f t="shared" si="0"/>
        <v>162950.69758808619</v>
      </c>
      <c r="F11" s="22">
        <f t="shared" si="0"/>
        <v>169017.21584550047</v>
      </c>
      <c r="G11" s="22">
        <f t="shared" si="0"/>
        <v>32221.516902212054</v>
      </c>
      <c r="H11" s="22">
        <f t="shared" si="0"/>
        <v>34108.457632235994</v>
      </c>
      <c r="I11" s="22">
        <f t="shared" si="0"/>
        <v>36064.515053416384</v>
      </c>
      <c r="J11" s="22">
        <f t="shared" si="0"/>
        <v>39428.713365755779</v>
      </c>
      <c r="K11" s="22">
        <f t="shared" si="0"/>
        <v>43589.98945171028</v>
      </c>
      <c r="L11" s="22">
        <f t="shared" si="0"/>
        <v>45324.416279524725</v>
      </c>
      <c r="M11" s="22">
        <f t="shared" si="0"/>
        <v>20963.306846489078</v>
      </c>
      <c r="N11" s="22">
        <f t="shared" si="0"/>
        <v>21872.715063664775</v>
      </c>
      <c r="O11" s="22">
        <f t="shared" si="0"/>
        <v>23383.909118672909</v>
      </c>
      <c r="P11" s="22">
        <f t="shared" si="0"/>
        <v>-16181.84995883597</v>
      </c>
      <c r="Q11" s="22">
        <f t="shared" si="0"/>
        <v>-16064.941059792676</v>
      </c>
      <c r="R11" s="22">
        <f t="shared" si="0"/>
        <v>-16367.982300902871</v>
      </c>
    </row>
    <row r="12" spans="2:18" ht="13.95" customHeight="1" x14ac:dyDescent="0.3">
      <c r="B12" s="5" t="s">
        <v>440</v>
      </c>
      <c r="C12" s="20">
        <f>Assumptions!$D$7</f>
        <v>208431.92</v>
      </c>
      <c r="D12" s="37">
        <v>160409.72528696421</v>
      </c>
      <c r="E12" s="37">
        <v>165250.9379697011</v>
      </c>
      <c r="F12" s="37">
        <v>171865.56743318599</v>
      </c>
      <c r="G12" s="37">
        <v>33247.221440465793</v>
      </c>
      <c r="H12" s="37">
        <v>35095.030312105133</v>
      </c>
      <c r="I12" s="37">
        <v>37020.13347390596</v>
      </c>
      <c r="J12" s="37">
        <v>50718.55301075591</v>
      </c>
      <c r="K12" s="37">
        <v>52448.439720156202</v>
      </c>
      <c r="L12" s="37">
        <v>54198.89347905945</v>
      </c>
      <c r="M12" s="92" t="s">
        <v>441</v>
      </c>
      <c r="N12" s="92" t="s">
        <v>441</v>
      </c>
      <c r="O12" s="92" t="s">
        <v>441</v>
      </c>
      <c r="P12" s="37">
        <v>-21468.224949255218</v>
      </c>
      <c r="Q12" s="37">
        <v>-21347.898543469651</v>
      </c>
      <c r="R12" s="37">
        <v>-21866.047787552321</v>
      </c>
    </row>
    <row r="13" spans="2:18" ht="13.95" customHeight="1" x14ac:dyDescent="0.3">
      <c r="B13" s="14" t="s">
        <v>444</v>
      </c>
    </row>
    <row r="14" spans="2:18" ht="13.95" customHeight="1" x14ac:dyDescent="0.3">
      <c r="B14" s="8" t="s">
        <v>442</v>
      </c>
      <c r="C14" s="20">
        <f>SUMIFS(Members!$J$6:$J$81,Members!$D$6:$D$81,"Cyclicals ex-WEG &amp; Embraer")</f>
        <v>16066.51953698895</v>
      </c>
      <c r="D14" s="20">
        <f>SUMIFS(Members!$AA$6:$AA$81,Members!$D$6:$D$81,"Cyclicals ex-WEG &amp; Embraer")</f>
        <v>12657.226971408994</v>
      </c>
      <c r="E14" s="20">
        <f>SUMIFS(Members!$AB$6:$AB$81,Members!$D$6:$D$81,"Cyclicals ex-WEG &amp; Embraer")</f>
        <v>13704.692245389615</v>
      </c>
      <c r="F14" s="20">
        <f>SUMIFS(Members!$AC$6:$AC$81,Members!$D$6:$D$81,"Cyclicals ex-WEG &amp; Embraer")</f>
        <v>14680.717672312303</v>
      </c>
      <c r="G14" s="20">
        <f>SUMIFS(Members!$AD$6:$AD$81,Members!$D$6:$D$81,"Cyclicals ex-WEG &amp; Embraer")</f>
        <v>2576.2818802040456</v>
      </c>
      <c r="H14" s="20">
        <f>SUMIFS(Members!$AE$6:$AE$81,Members!$D$6:$D$81,"Cyclicals ex-WEG &amp; Embraer")</f>
        <v>2902.4362370882859</v>
      </c>
      <c r="I14" s="20">
        <f>SUMIFS(Members!$AF$6:$AF$81,Members!$D$6:$D$81,"Cyclicals ex-WEG &amp; Embraer")</f>
        <v>3198.3139688975375</v>
      </c>
      <c r="J14" s="20">
        <f>SUMIFS(Members!$AG$6:$AG$81,Members!$D$6:$D$81,"Cyclicals ex-WEG &amp; Embraer")</f>
        <v>3683.3442736667057</v>
      </c>
      <c r="K14" s="20">
        <f>SUMIFS(Members!$AH$6:$AH$81,Members!$D$6:$D$81,"Cyclicals ex-WEG &amp; Embraer")</f>
        <v>4066.1866780309333</v>
      </c>
      <c r="L14" s="20">
        <f>SUMIFS(Members!$AI$6:$AI$81,Members!$D$6:$D$81,"Cyclicals ex-WEG &amp; Embraer")</f>
        <v>4413.0871491048774</v>
      </c>
      <c r="M14" s="20">
        <f>SUMIFS(Members!$AJ$6:$AJ$81,Members!$D$6:$D$81,"Cyclicals ex-WEG &amp; Embraer")</f>
        <v>1231.4675927815181</v>
      </c>
      <c r="N14" s="20">
        <f>SUMIFS(Members!$AK$6:$AK$81,Members!$D$6:$D$81,"Cyclicals ex-WEG &amp; Embraer")</f>
        <v>1493.1316494796217</v>
      </c>
      <c r="O14" s="20">
        <f>SUMIFS(Members!$AL$6:$AL$81,Members!$D$6:$D$81,"Cyclicals ex-WEG &amp; Embraer")</f>
        <v>1766.5305307486244</v>
      </c>
      <c r="P14" s="20">
        <f>SUMIFS(Members!$AM$6:$AM$81,Members!$D$6:$D$81,"Cyclicals ex-WEG &amp; Embraer")</f>
        <v>-2719.5338065795681</v>
      </c>
      <c r="Q14" s="20">
        <f>SUMIFS(Members!$AN$6:$AN$81,Members!$D$6:$D$81,"Cyclicals ex-WEG &amp; Embraer")</f>
        <v>-2794.0286697270644</v>
      </c>
      <c r="R14" s="20">
        <f>SUMIFS(Members!$AO$6:$AO$81,Members!$D$6:$D$81,"Cyclicals ex-WEG &amp; Embraer")</f>
        <v>-2813.5172573470791</v>
      </c>
    </row>
    <row r="15" spans="2:18" ht="13.95" customHeight="1" x14ac:dyDescent="0.3">
      <c r="B15" s="8" t="s">
        <v>443</v>
      </c>
      <c r="C15" s="20">
        <f>SUMIFS(Members!$J$6:$J$81,Members!$D$6:$D$81,"WEG &amp; Embraer")</f>
        <v>10204.555109283054</v>
      </c>
      <c r="D15" s="20">
        <f>SUMIFS(Members!$AA$6:$AA$81,Members!$D$6:$D$81,"WEG &amp; Embraer")</f>
        <v>4279.3754778032589</v>
      </c>
      <c r="E15" s="20">
        <f>SUMIFS(Members!$AB$6:$AB$81,Members!$D$6:$D$81,"WEG &amp; Embraer")</f>
        <v>4833.9714626348414</v>
      </c>
      <c r="F15" s="20">
        <f>SUMIFS(Members!$AC$6:$AC$81,Members!$D$6:$D$81,"WEG &amp; Embraer")</f>
        <v>5426.5027656094881</v>
      </c>
      <c r="G15" s="20">
        <f>SUMIFS(Members!$AD$6:$AD$81,Members!$D$6:$D$81,"WEG &amp; Embraer")</f>
        <v>532.84218490049693</v>
      </c>
      <c r="H15" s="20">
        <f>SUMIFS(Members!$AE$6:$AE$81,Members!$D$6:$D$81,"WEG &amp; Embraer")</f>
        <v>625.97779648005701</v>
      </c>
      <c r="I15" s="20">
        <f>SUMIFS(Members!$AF$6:$AF$81,Members!$D$6:$D$81,"WEG &amp; Embraer")</f>
        <v>725.78322667903365</v>
      </c>
      <c r="J15" s="20">
        <f>SUMIFS(Members!$AG$6:$AG$81,Members!$D$6:$D$81,"WEG &amp; Embraer")</f>
        <v>652.14516693210498</v>
      </c>
      <c r="K15" s="20">
        <f>SUMIFS(Members!$AH$6:$AH$81,Members!$D$6:$D$81,"WEG &amp; Embraer")</f>
        <v>752.03278314912859</v>
      </c>
      <c r="L15" s="20">
        <f>SUMIFS(Members!$AI$6:$AI$81,Members!$D$6:$D$81,"WEG &amp; Embraer")</f>
        <v>868.31406749191524</v>
      </c>
      <c r="M15" s="20">
        <f>SUMIFS(Members!$AJ$6:$AJ$81,Members!$D$6:$D$81,"WEG &amp; Embraer")</f>
        <v>375.57790313794072</v>
      </c>
      <c r="N15" s="20">
        <f>SUMIFS(Members!$AK$6:$AK$81,Members!$D$6:$D$81,"WEG &amp; Embraer")</f>
        <v>451.7790137910107</v>
      </c>
      <c r="O15" s="20">
        <f>SUMIFS(Members!$AL$6:$AL$81,Members!$D$6:$D$81,"WEG &amp; Embraer")</f>
        <v>537.77011115664732</v>
      </c>
      <c r="P15" s="20">
        <f>SUMIFS(Members!$AM$6:$AM$81,Members!$D$6:$D$81,"WEG &amp; Embraer")</f>
        <v>-219.64027284801608</v>
      </c>
      <c r="Q15" s="20">
        <f>SUMIFS(Members!$AN$6:$AN$81,Members!$D$6:$D$81,"WEG &amp; Embraer")</f>
        <v>-222.86895065702402</v>
      </c>
      <c r="R15" s="20">
        <f>SUMIFS(Members!$AO$6:$AO$81,Members!$D$6:$D$81,"WEG &amp; Embraer")</f>
        <v>-232.66716198116472</v>
      </c>
    </row>
    <row r="17" spans="2:18" ht="13.95" customHeight="1" x14ac:dyDescent="0.3">
      <c r="B17" s="120" t="s">
        <v>445</v>
      </c>
      <c r="C17" s="120"/>
      <c r="D17" s="120"/>
      <c r="E17" s="120"/>
      <c r="F17" s="120"/>
      <c r="G17" s="120"/>
      <c r="H17" s="120"/>
      <c r="I17" s="120"/>
      <c r="J17" s="120"/>
      <c r="K17" s="120"/>
      <c r="L17" s="120"/>
      <c r="M17" s="120"/>
      <c r="N17" s="120"/>
      <c r="O17" s="120"/>
      <c r="P17" s="120"/>
      <c r="Q17" s="120"/>
      <c r="R17" s="120"/>
    </row>
    <row r="18" spans="2:18" ht="30" customHeight="1" x14ac:dyDescent="0.3">
      <c r="B18" s="17" t="s">
        <v>423</v>
      </c>
      <c r="C18" s="18" t="s">
        <v>218</v>
      </c>
      <c r="D18" s="18" t="s">
        <v>424</v>
      </c>
      <c r="E18" s="18" t="s">
        <v>425</v>
      </c>
      <c r="F18" s="18" t="s">
        <v>426</v>
      </c>
      <c r="G18" s="18" t="s">
        <v>427</v>
      </c>
      <c r="H18" s="18" t="s">
        <v>428</v>
      </c>
      <c r="I18" s="18" t="s">
        <v>429</v>
      </c>
      <c r="J18" s="18" t="s">
        <v>430</v>
      </c>
      <c r="K18" s="18" t="s">
        <v>431</v>
      </c>
      <c r="L18" s="18" t="s">
        <v>432</v>
      </c>
      <c r="M18" s="18" t="s">
        <v>433</v>
      </c>
      <c r="N18" s="18" t="s">
        <v>434</v>
      </c>
      <c r="O18" s="18" t="s">
        <v>435</v>
      </c>
      <c r="P18" s="18" t="s">
        <v>436</v>
      </c>
      <c r="Q18" s="18" t="s">
        <v>437</v>
      </c>
      <c r="R18" s="18" t="s">
        <v>438</v>
      </c>
    </row>
    <row r="19" spans="2:18" ht="13.95" customHeight="1" x14ac:dyDescent="0.3">
      <c r="B19" s="8" t="s">
        <v>256</v>
      </c>
      <c r="C19" s="36">
        <f>C7/$C$11</f>
        <v>0.29231272984391926</v>
      </c>
      <c r="D19" s="93">
        <f t="shared" ref="D19:L19" si="1">1-SUM(D20:D22)</f>
        <v>0.16009415321459253</v>
      </c>
      <c r="E19" s="93">
        <f t="shared" si="1"/>
        <v>0.16425790109464722</v>
      </c>
      <c r="F19" s="93">
        <f t="shared" si="1"/>
        <v>0.17142837210601902</v>
      </c>
      <c r="G19" s="93">
        <f t="shared" si="1"/>
        <v>0.20683299311958225</v>
      </c>
      <c r="H19" s="93">
        <f t="shared" si="1"/>
        <v>0.22119544383416478</v>
      </c>
      <c r="I19" s="93">
        <f t="shared" si="1"/>
        <v>0.22985575056873886</v>
      </c>
      <c r="J19" s="93">
        <f t="shared" si="1"/>
        <v>0.25196484841875511</v>
      </c>
      <c r="K19" s="93">
        <f t="shared" si="1"/>
        <v>0.25096616385824633</v>
      </c>
      <c r="L19" s="93">
        <f t="shared" si="1"/>
        <v>0.25553449524980065</v>
      </c>
      <c r="M19" s="93">
        <f t="shared" ref="M19:O22" si="2">M7/M$11</f>
        <v>0.27229091825027957</v>
      </c>
      <c r="N19" s="93">
        <f t="shared" si="2"/>
        <v>0.2947893497929851</v>
      </c>
      <c r="O19" s="93">
        <f t="shared" si="2"/>
        <v>0.30649740321050728</v>
      </c>
      <c r="P19" s="93">
        <f>1-SUM(P20:P22)</f>
        <v>0.24802702872942817</v>
      </c>
      <c r="Q19" s="93">
        <f>1-SUM(Q20:Q22)</f>
        <v>0.2493882389315687</v>
      </c>
      <c r="R19" s="93">
        <f>1-SUM(R20:R22)</f>
        <v>0.25338891656834828</v>
      </c>
    </row>
    <row r="20" spans="2:18" ht="13.95" customHeight="1" x14ac:dyDescent="0.3">
      <c r="B20" s="8" t="s">
        <v>284</v>
      </c>
      <c r="C20" s="36">
        <f>C8/$C$11</f>
        <v>0.26782062633041703</v>
      </c>
      <c r="D20" s="94">
        <f t="shared" ref="D20:L20" si="3">D8/D$12</f>
        <v>0.25320997654582167</v>
      </c>
      <c r="E20" s="94">
        <f t="shared" si="3"/>
        <v>0.26048991695618606</v>
      </c>
      <c r="F20" s="94">
        <f t="shared" si="3"/>
        <v>0.2654572051963357</v>
      </c>
      <c r="G20" s="94">
        <f t="shared" si="3"/>
        <v>0.20945024056999914</v>
      </c>
      <c r="H20" s="94">
        <f t="shared" si="3"/>
        <v>0.23407448302763553</v>
      </c>
      <c r="I20" s="94">
        <f t="shared" si="3"/>
        <v>0.24415677209055056</v>
      </c>
      <c r="J20" s="94">
        <f t="shared" si="3"/>
        <v>0.19172465279228279</v>
      </c>
      <c r="K20" s="94">
        <f t="shared" si="3"/>
        <v>0.21119667869752651</v>
      </c>
      <c r="L20" s="94">
        <f t="shared" si="3"/>
        <v>0.22223939449429822</v>
      </c>
      <c r="M20" s="94">
        <f t="shared" si="2"/>
        <v>0.14197047973500815</v>
      </c>
      <c r="N20" s="94">
        <f t="shared" si="2"/>
        <v>0.17585706750768873</v>
      </c>
      <c r="O20" s="94">
        <f t="shared" si="2"/>
        <v>0.19377661083294556</v>
      </c>
      <c r="P20" s="94">
        <f t="shared" ref="P20:R22" si="4">P8/P$12</f>
        <v>0.2478664012938534</v>
      </c>
      <c r="Q20" s="94">
        <f t="shared" si="4"/>
        <v>0.24129138018750107</v>
      </c>
      <c r="R20" s="94">
        <f t="shared" si="4"/>
        <v>0.23757993792712134</v>
      </c>
    </row>
    <row r="21" spans="2:18" ht="13.95" customHeight="1" x14ac:dyDescent="0.3">
      <c r="B21" s="8" t="s">
        <v>335</v>
      </c>
      <c r="C21" s="36">
        <f>C9/$C$11</f>
        <v>0.12604151344128098</v>
      </c>
      <c r="D21" s="94">
        <f t="shared" ref="D21:L21" si="5">D9/D$12</f>
        <v>0.10558338915495054</v>
      </c>
      <c r="E21" s="94">
        <f t="shared" si="5"/>
        <v>0.11218492273504395</v>
      </c>
      <c r="F21" s="94">
        <f t="shared" si="5"/>
        <v>0.11699388503598093</v>
      </c>
      <c r="G21" s="94">
        <f t="shared" si="5"/>
        <v>9.3515305351814196E-2</v>
      </c>
      <c r="H21" s="94">
        <f t="shared" si="5"/>
        <v>0.10053885129004453</v>
      </c>
      <c r="I21" s="94">
        <f t="shared" si="5"/>
        <v>0.10599900182268422</v>
      </c>
      <c r="J21" s="94">
        <f t="shared" si="5"/>
        <v>8.5481331450433559E-2</v>
      </c>
      <c r="K21" s="94">
        <f t="shared" si="5"/>
        <v>9.1865830268510279E-2</v>
      </c>
      <c r="L21" s="94">
        <f t="shared" si="5"/>
        <v>9.744481626063714E-2</v>
      </c>
      <c r="M21" s="94">
        <f t="shared" si="2"/>
        <v>7.6659923345471892E-2</v>
      </c>
      <c r="N21" s="94">
        <f t="shared" si="2"/>
        <v>8.891948976656959E-2</v>
      </c>
      <c r="O21" s="94">
        <f t="shared" si="2"/>
        <v>9.8542148372668933E-2</v>
      </c>
      <c r="P21" s="94">
        <f t="shared" si="4"/>
        <v>0.1369081089086292</v>
      </c>
      <c r="Q21" s="94">
        <f t="shared" si="4"/>
        <v>0.14132059013869358</v>
      </c>
      <c r="R21" s="94">
        <f t="shared" si="4"/>
        <v>0.13931115713843562</v>
      </c>
    </row>
    <row r="22" spans="2:18" ht="13.95" customHeight="1" x14ac:dyDescent="0.3">
      <c r="B22" s="8" t="s">
        <v>386</v>
      </c>
      <c r="C22" s="36">
        <f>C10/$C$11</f>
        <v>0.31382513038438281</v>
      </c>
      <c r="D22" s="94">
        <f t="shared" ref="D22:L22" si="6">D10/D$12</f>
        <v>0.48111248108463534</v>
      </c>
      <c r="E22" s="94">
        <f t="shared" si="6"/>
        <v>0.46306725921412284</v>
      </c>
      <c r="F22" s="94">
        <f t="shared" si="6"/>
        <v>0.44612053766166443</v>
      </c>
      <c r="G22" s="94">
        <f t="shared" si="6"/>
        <v>0.49020146095860434</v>
      </c>
      <c r="H22" s="94">
        <f t="shared" si="6"/>
        <v>0.44419122184815524</v>
      </c>
      <c r="I22" s="94">
        <f t="shared" si="6"/>
        <v>0.41998847551802637</v>
      </c>
      <c r="J22" s="94">
        <f t="shared" si="6"/>
        <v>0.47082916733852859</v>
      </c>
      <c r="K22" s="94">
        <f t="shared" si="6"/>
        <v>0.44597132717571691</v>
      </c>
      <c r="L22" s="94">
        <f t="shared" si="6"/>
        <v>0.42478129399526404</v>
      </c>
      <c r="M22" s="94">
        <f t="shared" si="2"/>
        <v>0.50907867866924039</v>
      </c>
      <c r="N22" s="94">
        <f t="shared" si="2"/>
        <v>0.44043409293275648</v>
      </c>
      <c r="O22" s="94">
        <f t="shared" si="2"/>
        <v>0.40118383758387827</v>
      </c>
      <c r="P22" s="94">
        <f t="shared" si="4"/>
        <v>0.36719846106808918</v>
      </c>
      <c r="Q22" s="94">
        <f t="shared" si="4"/>
        <v>0.3679997907422366</v>
      </c>
      <c r="R22" s="94">
        <f t="shared" si="4"/>
        <v>0.36971998836609482</v>
      </c>
    </row>
    <row r="23" spans="2:18" ht="13.95" customHeight="1" x14ac:dyDescent="0.3">
      <c r="B23" s="11" t="s">
        <v>417</v>
      </c>
      <c r="D23" s="27">
        <f t="shared" ref="D23:R23" si="7">SUM(D19:D22)</f>
        <v>1</v>
      </c>
      <c r="E23" s="27">
        <f t="shared" si="7"/>
        <v>1</v>
      </c>
      <c r="F23" s="27">
        <f t="shared" si="7"/>
        <v>1</v>
      </c>
      <c r="G23" s="27">
        <f t="shared" si="7"/>
        <v>1</v>
      </c>
      <c r="H23" s="27">
        <f t="shared" si="7"/>
        <v>1</v>
      </c>
      <c r="I23" s="27">
        <f t="shared" si="7"/>
        <v>1</v>
      </c>
      <c r="J23" s="27">
        <f t="shared" si="7"/>
        <v>1</v>
      </c>
      <c r="K23" s="27">
        <f t="shared" si="7"/>
        <v>1</v>
      </c>
      <c r="L23" s="27">
        <f t="shared" si="7"/>
        <v>1</v>
      </c>
      <c r="M23" s="27">
        <f t="shared" si="7"/>
        <v>1</v>
      </c>
      <c r="N23" s="27">
        <f t="shared" si="7"/>
        <v>0.99999999999999989</v>
      </c>
      <c r="O23" s="27">
        <f t="shared" si="7"/>
        <v>1</v>
      </c>
      <c r="P23" s="27">
        <f t="shared" si="7"/>
        <v>1</v>
      </c>
      <c r="Q23" s="27">
        <f t="shared" si="7"/>
        <v>1</v>
      </c>
      <c r="R23" s="27">
        <f t="shared" si="7"/>
        <v>1</v>
      </c>
    </row>
    <row r="24" spans="2:18" ht="13.95" customHeight="1" x14ac:dyDescent="0.3">
      <c r="B24" s="14" t="s">
        <v>444</v>
      </c>
    </row>
    <row r="25" spans="2:18" ht="13.95" customHeight="1" x14ac:dyDescent="0.3">
      <c r="B25" s="8" t="s">
        <v>442</v>
      </c>
      <c r="C25" s="36">
        <f>C14/$C$11</f>
        <v>7.7082816955238651E-2</v>
      </c>
      <c r="D25" s="94">
        <f t="shared" ref="D25:L25" si="8">D14/D$12</f>
        <v>7.8905608427206703E-2</v>
      </c>
      <c r="E25" s="94">
        <f t="shared" si="8"/>
        <v>8.2932613961334251E-2</v>
      </c>
      <c r="F25" s="94">
        <f t="shared" si="8"/>
        <v>8.5419772509228997E-2</v>
      </c>
      <c r="G25" s="94">
        <f t="shared" si="8"/>
        <v>7.7488637202879351E-2</v>
      </c>
      <c r="H25" s="94">
        <f t="shared" si="8"/>
        <v>8.2702200604373458E-2</v>
      </c>
      <c r="I25" s="94">
        <f t="shared" si="8"/>
        <v>8.6393907011488857E-2</v>
      </c>
      <c r="J25" s="94">
        <f t="shared" si="8"/>
        <v>7.2623212907623316E-2</v>
      </c>
      <c r="K25" s="94">
        <f t="shared" si="8"/>
        <v>7.7527314439218231E-2</v>
      </c>
      <c r="L25" s="94">
        <f t="shared" si="8"/>
        <v>8.1423934435302436E-2</v>
      </c>
      <c r="M25" s="94">
        <f t="shared" ref="M25:O26" si="9">M14/M$11</f>
        <v>5.8743956847999081E-2</v>
      </c>
      <c r="N25" s="94">
        <f t="shared" si="9"/>
        <v>6.826457735738671E-2</v>
      </c>
      <c r="O25" s="94">
        <f t="shared" si="9"/>
        <v>7.5544705625715289E-2</v>
      </c>
      <c r="P25" s="94">
        <f t="shared" ref="P25:R26" si="10">P14/P$12</f>
        <v>0.12667716185235495</v>
      </c>
      <c r="Q25" s="94">
        <f t="shared" si="10"/>
        <v>0.13088073582688828</v>
      </c>
      <c r="R25" s="94">
        <f t="shared" si="10"/>
        <v>0.12867058943083118</v>
      </c>
    </row>
    <row r="26" spans="2:18" ht="13.95" customHeight="1" x14ac:dyDescent="0.3">
      <c r="B26" s="8" t="s">
        <v>443</v>
      </c>
      <c r="C26" s="36">
        <f>C15/$C$11</f>
        <v>4.8958696486042307E-2</v>
      </c>
      <c r="D26" s="94">
        <f t="shared" ref="D26:L26" si="11">D15/D$12</f>
        <v>2.6677780727743849E-2</v>
      </c>
      <c r="E26" s="94">
        <f t="shared" si="11"/>
        <v>2.9252308773709677E-2</v>
      </c>
      <c r="F26" s="94">
        <f t="shared" si="11"/>
        <v>3.1574112526751942E-2</v>
      </c>
      <c r="G26" s="94">
        <f t="shared" si="11"/>
        <v>1.6026668148934848E-2</v>
      </c>
      <c r="H26" s="94">
        <f t="shared" si="11"/>
        <v>1.7836650685671071E-2</v>
      </c>
      <c r="I26" s="94">
        <f t="shared" si="11"/>
        <v>1.9605094811195368E-2</v>
      </c>
      <c r="J26" s="94">
        <f t="shared" si="11"/>
        <v>1.2858118542810246E-2</v>
      </c>
      <c r="K26" s="94">
        <f t="shared" si="11"/>
        <v>1.433851582929203E-2</v>
      </c>
      <c r="L26" s="94">
        <f t="shared" si="11"/>
        <v>1.6020881825334704E-2</v>
      </c>
      <c r="M26" s="94">
        <f t="shared" si="9"/>
        <v>1.7915966497472811E-2</v>
      </c>
      <c r="N26" s="94">
        <f t="shared" si="9"/>
        <v>2.0654912409182873E-2</v>
      </c>
      <c r="O26" s="94">
        <f t="shared" si="9"/>
        <v>2.2997442746953638E-2</v>
      </c>
      <c r="P26" s="94">
        <f t="shared" si="10"/>
        <v>1.023094705627425E-2</v>
      </c>
      <c r="Q26" s="94">
        <f t="shared" si="10"/>
        <v>1.0439854311805314E-2</v>
      </c>
      <c r="R26" s="94">
        <f t="shared" si="10"/>
        <v>1.0640567707604439E-2</v>
      </c>
    </row>
    <row r="27" spans="2:18" ht="13.95" customHeight="1" x14ac:dyDescent="0.3">
      <c r="B27" s="14" t="s">
        <v>446</v>
      </c>
    </row>
    <row r="29" spans="2:18" ht="13.95" customHeight="1" x14ac:dyDescent="0.3">
      <c r="B29" s="120" t="s">
        <v>447</v>
      </c>
      <c r="C29" s="120"/>
      <c r="D29" s="120"/>
      <c r="E29" s="120"/>
      <c r="F29" s="120"/>
      <c r="G29" s="120"/>
      <c r="H29" s="120"/>
      <c r="I29" s="120"/>
      <c r="J29" s="120"/>
      <c r="K29" s="120"/>
      <c r="L29" s="120"/>
      <c r="M29" s="120"/>
      <c r="N29" s="120"/>
      <c r="O29" s="120"/>
      <c r="P29" s="120"/>
      <c r="Q29" s="120"/>
      <c r="R29" s="120"/>
    </row>
    <row r="30" spans="2:18" ht="30" customHeight="1" x14ac:dyDescent="0.3">
      <c r="B30" s="17" t="s">
        <v>423</v>
      </c>
      <c r="C30" s="18" t="s">
        <v>218</v>
      </c>
      <c r="D30" s="18" t="s">
        <v>424</v>
      </c>
      <c r="E30" s="18" t="s">
        <v>425</v>
      </c>
      <c r="F30" s="18" t="s">
        <v>426</v>
      </c>
      <c r="G30" s="18" t="s">
        <v>427</v>
      </c>
      <c r="H30" s="18" t="s">
        <v>428</v>
      </c>
      <c r="I30" s="18" t="s">
        <v>429</v>
      </c>
      <c r="J30" s="18" t="s">
        <v>430</v>
      </c>
      <c r="K30" s="18" t="s">
        <v>431</v>
      </c>
      <c r="L30" s="18" t="s">
        <v>432</v>
      </c>
      <c r="M30" s="18" t="s">
        <v>433</v>
      </c>
      <c r="N30" s="18" t="s">
        <v>434</v>
      </c>
      <c r="O30" s="18" t="s">
        <v>435</v>
      </c>
      <c r="P30" s="18" t="s">
        <v>436</v>
      </c>
      <c r="Q30" s="18" t="s">
        <v>437</v>
      </c>
      <c r="R30" s="18" t="s">
        <v>438</v>
      </c>
    </row>
    <row r="31" spans="2:18" ht="13.95" customHeight="1" x14ac:dyDescent="0.3">
      <c r="B31" s="8" t="s">
        <v>448</v>
      </c>
      <c r="D31" s="34">
        <f t="shared" ref="D31:L31" si="12">D7</f>
        <v>23202.292112263502</v>
      </c>
      <c r="E31" s="34">
        <f t="shared" si="12"/>
        <v>24843.531843209908</v>
      </c>
      <c r="F31" s="34">
        <f t="shared" si="12"/>
        <v>26614.282858462779</v>
      </c>
      <c r="G31" s="34">
        <f t="shared" si="12"/>
        <v>5850.9177851873501</v>
      </c>
      <c r="H31" s="34">
        <f t="shared" si="12"/>
        <v>6776.2881263904173</v>
      </c>
      <c r="I31" s="34">
        <f t="shared" si="12"/>
        <v>7553.6721453099708</v>
      </c>
      <c r="J31" s="34">
        <f t="shared" si="12"/>
        <v>1489.4528763735759</v>
      </c>
      <c r="K31" s="34">
        <f t="shared" si="12"/>
        <v>4304.3334484721518</v>
      </c>
      <c r="L31" s="34">
        <f t="shared" si="12"/>
        <v>4975.2096887344478</v>
      </c>
      <c r="M31" s="92" t="s">
        <v>441</v>
      </c>
      <c r="N31" s="92" t="s">
        <v>441</v>
      </c>
      <c r="O31" s="92" t="s">
        <v>441</v>
      </c>
      <c r="P31" s="34">
        <f>P7</f>
        <v>-38.325055839502042</v>
      </c>
      <c r="Q31" s="34">
        <f>Q7</f>
        <v>-40.957338968722084</v>
      </c>
      <c r="R31" s="34">
        <f>R7</f>
        <v>-42.548671870159879</v>
      </c>
    </row>
    <row r="32" spans="2:18" ht="13.95" customHeight="1" x14ac:dyDescent="0.3">
      <c r="B32" s="8" t="s">
        <v>449</v>
      </c>
      <c r="D32" s="34">
        <f t="shared" ref="D32:L32" si="13">D19*D12</f>
        <v>25680.659137201947</v>
      </c>
      <c r="E32" s="34">
        <f t="shared" si="13"/>
        <v>27143.772224824846</v>
      </c>
      <c r="F32" s="34">
        <f t="shared" si="13"/>
        <v>29462.634446148313</v>
      </c>
      <c r="G32" s="34">
        <f t="shared" si="13"/>
        <v>6876.6223234410891</v>
      </c>
      <c r="H32" s="34">
        <f t="shared" si="13"/>
        <v>7762.8608062595613</v>
      </c>
      <c r="I32" s="34">
        <f t="shared" si="13"/>
        <v>8509.2905657995489</v>
      </c>
      <c r="J32" s="34">
        <f t="shared" si="13"/>
        <v>12779.292521373709</v>
      </c>
      <c r="K32" s="34">
        <f t="shared" si="13"/>
        <v>13162.783716918077</v>
      </c>
      <c r="L32" s="34">
        <f t="shared" si="13"/>
        <v>13849.686888269169</v>
      </c>
      <c r="M32" s="92" t="s">
        <v>441</v>
      </c>
      <c r="N32" s="92" t="s">
        <v>441</v>
      </c>
      <c r="O32" s="92" t="s">
        <v>441</v>
      </c>
      <c r="P32" s="34">
        <f>P19*P12</f>
        <v>-5324.7000462587503</v>
      </c>
      <c r="Q32" s="34">
        <f>Q19*Q12</f>
        <v>-5323.9148226456964</v>
      </c>
      <c r="R32" s="34">
        <f>R19*R12</f>
        <v>-5540.6141585196119</v>
      </c>
    </row>
    <row r="33" spans="2:18" ht="13.95" customHeight="1" x14ac:dyDescent="0.3">
      <c r="B33" s="5" t="s">
        <v>450</v>
      </c>
      <c r="D33" s="16">
        <f t="shared" ref="D33:L33" si="14">D32-D31</f>
        <v>2478.367024938445</v>
      </c>
      <c r="E33" s="16">
        <f t="shared" si="14"/>
        <v>2300.2403816149381</v>
      </c>
      <c r="F33" s="16">
        <f t="shared" si="14"/>
        <v>2848.3515876855345</v>
      </c>
      <c r="G33" s="16">
        <f t="shared" si="14"/>
        <v>1025.704538253739</v>
      </c>
      <c r="H33" s="16">
        <f t="shared" si="14"/>
        <v>986.57267986914394</v>
      </c>
      <c r="I33" s="16">
        <f t="shared" si="14"/>
        <v>955.61842048957806</v>
      </c>
      <c r="J33" s="16">
        <f t="shared" si="14"/>
        <v>11289.839645000133</v>
      </c>
      <c r="K33" s="16">
        <f t="shared" si="14"/>
        <v>8858.4502684459258</v>
      </c>
      <c r="L33" s="16">
        <f t="shared" si="14"/>
        <v>8874.4771995347219</v>
      </c>
      <c r="M33" s="92" t="s">
        <v>441</v>
      </c>
      <c r="N33" s="92" t="s">
        <v>441</v>
      </c>
      <c r="O33" s="92" t="s">
        <v>441</v>
      </c>
      <c r="P33" s="16">
        <f>P32-P31</f>
        <v>-5286.3749904192482</v>
      </c>
      <c r="Q33" s="16">
        <f>Q32-Q31</f>
        <v>-5282.9574836769743</v>
      </c>
      <c r="R33" s="16">
        <f>R32-R31</f>
        <v>-5498.0654866494524</v>
      </c>
    </row>
    <row r="35" spans="2:18" ht="13.95" customHeight="1" x14ac:dyDescent="0.3">
      <c r="B35" s="120" t="s">
        <v>451</v>
      </c>
      <c r="C35" s="120"/>
      <c r="D35" s="120"/>
      <c r="E35" s="120"/>
      <c r="F35" s="120"/>
      <c r="G35" s="120"/>
      <c r="H35" s="120"/>
      <c r="I35" s="120"/>
      <c r="J35" s="120"/>
      <c r="K35" s="120"/>
      <c r="L35" s="120"/>
      <c r="M35" s="120"/>
      <c r="N35" s="120"/>
      <c r="O35" s="120"/>
      <c r="P35" s="120"/>
      <c r="Q35" s="120"/>
      <c r="R35" s="120"/>
    </row>
    <row r="36" spans="2:18" ht="13.95" customHeight="1" x14ac:dyDescent="0.3">
      <c r="B36" s="8" t="s">
        <v>452</v>
      </c>
      <c r="C36" s="34">
        <f>SUMIFS(Members!$AQ$6:$AQ$81,Members!$C$6:$C$81,"Financials")</f>
        <v>6265.5495133615841</v>
      </c>
    </row>
    <row r="37" spans="2:18" ht="13.95" customHeight="1" x14ac:dyDescent="0.3">
      <c r="B37" s="8" t="s">
        <v>453</v>
      </c>
      <c r="C37" s="34">
        <f>SUMIFS(Members!$AR$6:$AR$81,Members!$C$6:$C$81,"Financials")</f>
        <v>31531.729390467419</v>
      </c>
    </row>
    <row r="38" spans="2:18" ht="13.95" customHeight="1" x14ac:dyDescent="0.3">
      <c r="B38" s="8" t="s">
        <v>454</v>
      </c>
      <c r="C38" s="94">
        <f>C36/C37</f>
        <v>0.19870618055144693</v>
      </c>
    </row>
    <row r="39" spans="2:18" ht="13.95" customHeight="1" x14ac:dyDescent="0.3">
      <c r="B39" s="5" t="s">
        <v>455</v>
      </c>
      <c r="C39" s="93">
        <f>IF(ISNUMBER(FinROEovr),FinROEovr,C38)</f>
        <v>0.19870618055144693</v>
      </c>
    </row>
  </sheetData>
  <mergeCells count="4">
    <mergeCell ref="B5:R5"/>
    <mergeCell ref="B17:R17"/>
    <mergeCell ref="B29:R29"/>
    <mergeCell ref="B35:R35"/>
  </mergeCells>
  <pageMargins left="0.4" right="0.4" top="1.25" bottom="0.5" header="0.3" footer="0.3"/>
  <pageSetup paperSize="9" fitToHeight="0" orientation="landscape"/>
  <headerFooter>
    <oddHeader>&amp;L&amp;G</oddHeader>
    <oddFooter>&amp;R&amp;"Calibri"&amp;10&amp;K008000[ CLASSIFICAÇÃO: PÚBLICA ]</oddFooter>
  </headerFooter>
  <legacyDrawingHF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S86"/>
  <sheetViews>
    <sheetView showGridLines="0" zoomScale="85" zoomScaleNormal="85" workbookViewId="0">
      <pane xSplit="2" ySplit="5" topLeftCell="C6" activePane="bottomRight" state="frozen"/>
      <selection pane="topRight" activeCell="C1" sqref="C1"/>
      <selection pane="bottomLeft" activeCell="A6" sqref="A6"/>
      <selection pane="bottomRight"/>
    </sheetView>
  </sheetViews>
  <sheetFormatPr defaultRowHeight="13.95" customHeight="1" x14ac:dyDescent="0.3"/>
  <cols>
    <col min="1" max="1" width="8.6640625" customWidth="1"/>
    <col min="2" max="2" width="18.6640625" customWidth="1"/>
    <col min="3" max="3" width="12.6640625" customWidth="1"/>
    <col min="4" max="4" width="24.6640625" customWidth="1"/>
    <col min="5" max="7" width="9.6640625" customWidth="1"/>
    <col min="8" max="8" width="10.6640625" customWidth="1"/>
    <col min="9" max="9" width="9.6640625" customWidth="1"/>
    <col min="10" max="10" width="10.6640625" customWidth="1"/>
    <col min="11" max="11" width="12.6640625" customWidth="1"/>
    <col min="12" max="41" width="10.6640625" customWidth="1"/>
    <col min="42" max="42" width="8.6640625" customWidth="1"/>
    <col min="43" max="44" width="10.6640625" customWidth="1"/>
    <col min="45" max="45" width="30.6640625" customWidth="1"/>
  </cols>
  <sheetData>
    <row r="1" spans="1:45" ht="30" customHeight="1" x14ac:dyDescent="0.3">
      <c r="B1" s="15" t="s">
        <v>202</v>
      </c>
    </row>
    <row r="2" spans="1:45" ht="13.95" customHeight="1" x14ac:dyDescent="0.3">
      <c r="B2" s="14" t="s">
        <v>203</v>
      </c>
    </row>
    <row r="3" spans="1:45" ht="13.95" customHeight="1" x14ac:dyDescent="0.3">
      <c r="B3" s="14" t="s">
        <v>2</v>
      </c>
      <c r="C3" s="38" t="s">
        <v>3</v>
      </c>
      <c r="D3" s="39" t="s">
        <v>4</v>
      </c>
      <c r="E3" s="40" t="s">
        <v>5</v>
      </c>
    </row>
    <row r="4" spans="1:45" ht="13.95" customHeight="1" x14ac:dyDescent="0.3">
      <c r="A4" s="122" t="s">
        <v>204</v>
      </c>
      <c r="B4" s="122"/>
      <c r="C4" s="122"/>
      <c r="D4" s="122"/>
      <c r="E4" s="122" t="s">
        <v>205</v>
      </c>
      <c r="F4" s="122"/>
      <c r="G4" s="122"/>
      <c r="H4" s="122"/>
      <c r="I4" s="122"/>
      <c r="J4" s="122"/>
      <c r="K4" s="122"/>
      <c r="L4" s="122" t="s">
        <v>206</v>
      </c>
      <c r="M4" s="122"/>
      <c r="N4" s="122"/>
      <c r="O4" s="122"/>
      <c r="P4" s="122"/>
      <c r="Q4" s="122"/>
      <c r="R4" s="122"/>
      <c r="S4" s="122"/>
      <c r="T4" s="122"/>
      <c r="U4" s="122"/>
      <c r="V4" s="122"/>
      <c r="W4" s="122"/>
      <c r="X4" s="122"/>
      <c r="Y4" s="122"/>
      <c r="Z4" s="122"/>
      <c r="AA4" s="122" t="s">
        <v>207</v>
      </c>
      <c r="AB4" s="122"/>
      <c r="AC4" s="122"/>
      <c r="AD4" s="122"/>
      <c r="AE4" s="122"/>
      <c r="AF4" s="122"/>
      <c r="AG4" s="122"/>
      <c r="AH4" s="122"/>
      <c r="AI4" s="122"/>
      <c r="AJ4" s="122"/>
      <c r="AK4" s="122"/>
      <c r="AL4" s="122"/>
      <c r="AM4" s="122"/>
      <c r="AN4" s="122"/>
      <c r="AO4" s="122"/>
      <c r="AP4" s="122" t="s">
        <v>208</v>
      </c>
      <c r="AQ4" s="122"/>
      <c r="AR4" s="122"/>
      <c r="AS4" s="95"/>
    </row>
    <row r="5" spans="1:45" ht="54" customHeight="1" x14ac:dyDescent="0.3">
      <c r="A5" s="18" t="s">
        <v>209</v>
      </c>
      <c r="B5" s="18" t="s">
        <v>210</v>
      </c>
      <c r="C5" s="18" t="s">
        <v>211</v>
      </c>
      <c r="D5" s="18" t="s">
        <v>212</v>
      </c>
      <c r="E5" s="18" t="s">
        <v>213</v>
      </c>
      <c r="F5" s="18" t="s">
        <v>214</v>
      </c>
      <c r="G5" s="18" t="s">
        <v>215</v>
      </c>
      <c r="H5" s="18" t="s">
        <v>216</v>
      </c>
      <c r="I5" s="18" t="s">
        <v>217</v>
      </c>
      <c r="J5" s="18" t="s">
        <v>218</v>
      </c>
      <c r="K5" s="18" t="s">
        <v>219</v>
      </c>
      <c r="L5" s="18" t="s">
        <v>220</v>
      </c>
      <c r="M5" s="18" t="s">
        <v>222</v>
      </c>
      <c r="N5" s="18" t="s">
        <v>224</v>
      </c>
      <c r="O5" s="18" t="s">
        <v>226</v>
      </c>
      <c r="P5" s="18" t="s">
        <v>228</v>
      </c>
      <c r="Q5" s="18" t="s">
        <v>230</v>
      </c>
      <c r="R5" s="18" t="s">
        <v>232</v>
      </c>
      <c r="S5" s="18" t="s">
        <v>234</v>
      </c>
      <c r="T5" s="18" t="s">
        <v>236</v>
      </c>
      <c r="U5" s="18" t="s">
        <v>238</v>
      </c>
      <c r="V5" s="18" t="s">
        <v>240</v>
      </c>
      <c r="W5" s="18" t="s">
        <v>242</v>
      </c>
      <c r="X5" s="18" t="s">
        <v>244</v>
      </c>
      <c r="Y5" s="18" t="s">
        <v>246</v>
      </c>
      <c r="Z5" s="18" t="s">
        <v>248</v>
      </c>
      <c r="AA5" s="18" t="s">
        <v>221</v>
      </c>
      <c r="AB5" s="18" t="s">
        <v>223</v>
      </c>
      <c r="AC5" s="18" t="s">
        <v>225</v>
      </c>
      <c r="AD5" s="18" t="s">
        <v>227</v>
      </c>
      <c r="AE5" s="18" t="s">
        <v>229</v>
      </c>
      <c r="AF5" s="18" t="s">
        <v>231</v>
      </c>
      <c r="AG5" s="18" t="s">
        <v>233</v>
      </c>
      <c r="AH5" s="18" t="s">
        <v>235</v>
      </c>
      <c r="AI5" s="18" t="s">
        <v>237</v>
      </c>
      <c r="AJ5" s="18" t="s">
        <v>239</v>
      </c>
      <c r="AK5" s="18" t="s">
        <v>241</v>
      </c>
      <c r="AL5" s="18" t="s">
        <v>243</v>
      </c>
      <c r="AM5" s="18" t="s">
        <v>245</v>
      </c>
      <c r="AN5" s="18" t="s">
        <v>247</v>
      </c>
      <c r="AO5" s="18" t="s">
        <v>249</v>
      </c>
      <c r="AP5" s="18" t="s">
        <v>250</v>
      </c>
      <c r="AQ5" s="18" t="s">
        <v>251</v>
      </c>
      <c r="AR5" s="18" t="s">
        <v>252</v>
      </c>
      <c r="AS5" s="18" t="s">
        <v>253</v>
      </c>
    </row>
    <row r="6" spans="1:45" ht="13.95" customHeight="1" x14ac:dyDescent="0.3">
      <c r="A6" s="96" t="s">
        <v>254</v>
      </c>
      <c r="B6" s="97" t="s">
        <v>255</v>
      </c>
      <c r="C6" s="97" t="s">
        <v>256</v>
      </c>
      <c r="D6" s="97" t="s">
        <v>256</v>
      </c>
      <c r="E6" s="43">
        <v>9.0500000000000011E-2</v>
      </c>
      <c r="F6" s="41">
        <v>44.28</v>
      </c>
      <c r="G6" s="41">
        <v>49.82</v>
      </c>
      <c r="H6" s="82">
        <f t="shared" ref="H6:H37" si="0">E6*G6/F6</f>
        <v>0.10182271906052395</v>
      </c>
      <c r="I6" s="29">
        <f t="shared" ref="I6:I37" si="1">H6/SUM($H$6:$H$81)</f>
        <v>9.1585132884777751E-2</v>
      </c>
      <c r="J6" s="20">
        <f>I6*Assumptions!$D$7</f>
        <v>19089.265090629367</v>
      </c>
      <c r="K6" s="37">
        <v>564225.22764619999</v>
      </c>
      <c r="L6" s="37">
        <v>192256.7</v>
      </c>
      <c r="M6" s="37">
        <v>206472.4</v>
      </c>
      <c r="N6" s="37">
        <v>221026.11111111109</v>
      </c>
      <c r="O6" s="37">
        <v>55944</v>
      </c>
      <c r="P6" s="37">
        <v>69756</v>
      </c>
      <c r="Q6" s="37">
        <v>75870</v>
      </c>
      <c r="S6" s="37">
        <v>78354</v>
      </c>
      <c r="T6" s="37">
        <v>87509</v>
      </c>
      <c r="U6" s="37">
        <v>50677.332999999999</v>
      </c>
      <c r="V6" s="37">
        <v>55448.917000000001</v>
      </c>
      <c r="W6" s="37">
        <v>60687.635999999999</v>
      </c>
      <c r="AA6" s="98">
        <f t="shared" ref="AA6:AA37" si="2">IF(ISNUMBER(L6),$J6*L6/$K6,0)</f>
        <v>6504.5640143742703</v>
      </c>
      <c r="AB6" s="98">
        <f t="shared" ref="AB6:AB37" si="3">IF(ISNUMBER(M6),$J6*M6/$K6,0)</f>
        <v>6985.5195839806365</v>
      </c>
      <c r="AC6" s="98">
        <f t="shared" ref="AC6:AC37" si="4">IF(ISNUMBER(N6),$J6*N6/$K6,0)</f>
        <v>7477.9109834425653</v>
      </c>
      <c r="AD6" s="98">
        <f t="shared" ref="AD6:AD37" si="5">IF(ISNUMBER(O6),$J6*O6/$K6,0)</f>
        <v>1892.7367900320467</v>
      </c>
      <c r="AE6" s="98">
        <f t="shared" ref="AE6:AE37" si="6">IF(ISNUMBER(P6),$J6*P6/$K6,0)</f>
        <v>2360.034097051971</v>
      </c>
      <c r="AF6" s="98">
        <f t="shared" ref="AF6:AF37" si="7">IF(ISNUMBER(Q6),$J6*Q6/$K6,0)</f>
        <v>2566.8872490299477</v>
      </c>
      <c r="AG6" s="98">
        <f t="shared" ref="AG6:AG37" si="8">IF(ISNUMBER(R6),$J6*R6/$K6,0)</f>
        <v>0</v>
      </c>
      <c r="AH6" s="98">
        <f t="shared" ref="AH6:AH37" si="9">IF(ISNUMBER(S6),$J6*S6/$K6,0)</f>
        <v>2650.9276856529918</v>
      </c>
      <c r="AI6" s="98">
        <f t="shared" ref="AI6:AI37" si="10">IF(ISNUMBER(T6),$J6*T6/$K6,0)</f>
        <v>2960.6660903566849</v>
      </c>
      <c r="AJ6" s="98">
        <f t="shared" ref="AJ6:AJ37" si="11">IF(ISNUMBER(U6),$J6*U6/$K6,0)</f>
        <v>1714.5512045939709</v>
      </c>
      <c r="AK6" s="98">
        <f t="shared" ref="AK6:AK37" si="12">IF(ISNUMBER(V6),$J6*V6/$K6,0)</f>
        <v>1875.9867934601275</v>
      </c>
      <c r="AL6" s="98">
        <f t="shared" ref="AL6:AL37" si="13">IF(ISNUMBER(W6),$J6*W6/$K6,0)</f>
        <v>2053.2268224880822</v>
      </c>
      <c r="AM6" s="98">
        <f t="shared" ref="AM6:AM37" si="14">IF(ISNUMBER(X6),$J6*X6/$K6,0)</f>
        <v>0</v>
      </c>
      <c r="AN6" s="98">
        <f t="shared" ref="AN6:AN37" si="15">IF(ISNUMBER(Y6),$J6*Y6/$K6,0)</f>
        <v>0</v>
      </c>
      <c r="AO6" s="98">
        <f t="shared" ref="AO6:AO37" si="16">IF(ISNUMBER(Z6),$J6*Z6/$K6,0)</f>
        <v>0</v>
      </c>
      <c r="AP6" s="61">
        <v>0.24343000000000001</v>
      </c>
      <c r="AQ6" s="98">
        <f t="shared" ref="AQ6:AQ37" si="17">IF(AND(ISNUMBER(AP6),N(AP6)&gt;0),AL6,0)</f>
        <v>2053.2268224880822</v>
      </c>
      <c r="AR6" s="98">
        <f t="shared" ref="AR6:AR37" si="18">IF(AQ6&lt;&gt;0,AQ6/AP6,0)</f>
        <v>8434.5677298939409</v>
      </c>
      <c r="AS6" s="99" t="s">
        <v>257</v>
      </c>
    </row>
    <row r="7" spans="1:45" ht="13.95" customHeight="1" x14ac:dyDescent="0.3">
      <c r="A7" s="96" t="s">
        <v>258</v>
      </c>
      <c r="B7" s="97" t="s">
        <v>259</v>
      </c>
      <c r="C7" s="97" t="s">
        <v>256</v>
      </c>
      <c r="D7" s="97" t="s">
        <v>256</v>
      </c>
      <c r="E7" s="43">
        <v>3.6159999999999998E-2</v>
      </c>
      <c r="F7" s="41">
        <v>18.510000000000002</v>
      </c>
      <c r="G7" s="41">
        <v>21.85</v>
      </c>
      <c r="H7" s="82">
        <f t="shared" si="0"/>
        <v>4.2684819016747699E-2</v>
      </c>
      <c r="I7" s="29">
        <f t="shared" si="1"/>
        <v>3.8393148973833842E-2</v>
      </c>
      <c r="J7" s="20">
        <f>I7*Assumptions!$D$7</f>
        <v>8002.3577554622179</v>
      </c>
      <c r="K7" s="37">
        <v>226447.75534606999</v>
      </c>
      <c r="L7" s="37">
        <v>150490.36363636359</v>
      </c>
      <c r="M7" s="37">
        <v>162160.18181818179</v>
      </c>
      <c r="N7" s="37">
        <v>174205.3</v>
      </c>
      <c r="O7" s="37">
        <v>35753.199999999997</v>
      </c>
      <c r="P7" s="37">
        <v>41429.199999999997</v>
      </c>
      <c r="Q7" s="37">
        <v>47109.599999999999</v>
      </c>
      <c r="U7" s="37">
        <v>27739.922999999999</v>
      </c>
      <c r="V7" s="37">
        <v>30648.077000000001</v>
      </c>
      <c r="W7" s="37">
        <v>33619.082999999999</v>
      </c>
      <c r="AA7" s="98">
        <f t="shared" si="2"/>
        <v>5318.126146701431</v>
      </c>
      <c r="AB7" s="98">
        <f t="shared" si="3"/>
        <v>5730.5217559641023</v>
      </c>
      <c r="AC7" s="98">
        <f t="shared" si="4"/>
        <v>6156.1799602171068</v>
      </c>
      <c r="AD7" s="98">
        <f t="shared" si="5"/>
        <v>1263.4697873924285</v>
      </c>
      <c r="AE7" s="98">
        <f t="shared" si="6"/>
        <v>1464.0519594284822</v>
      </c>
      <c r="AF7" s="98">
        <f t="shared" si="7"/>
        <v>1664.7896215203775</v>
      </c>
      <c r="AG7" s="98">
        <f t="shared" si="8"/>
        <v>0</v>
      </c>
      <c r="AH7" s="98">
        <f t="shared" si="9"/>
        <v>0</v>
      </c>
      <c r="AI7" s="98">
        <f t="shared" si="10"/>
        <v>0</v>
      </c>
      <c r="AJ7" s="98">
        <f t="shared" si="11"/>
        <v>980.2914037091042</v>
      </c>
      <c r="AK7" s="98">
        <f t="shared" si="12"/>
        <v>1083.061637312934</v>
      </c>
      <c r="AL7" s="98">
        <f t="shared" si="13"/>
        <v>1188.052975687167</v>
      </c>
      <c r="AM7" s="98">
        <f t="shared" si="14"/>
        <v>0</v>
      </c>
      <c r="AN7" s="98">
        <f t="shared" si="15"/>
        <v>0</v>
      </c>
      <c r="AO7" s="98">
        <f t="shared" si="16"/>
        <v>0</v>
      </c>
      <c r="AP7" s="61">
        <v>0.1615</v>
      </c>
      <c r="AQ7" s="98">
        <f t="shared" si="17"/>
        <v>1188.052975687167</v>
      </c>
      <c r="AR7" s="98">
        <f t="shared" si="18"/>
        <v>7356.365174533541</v>
      </c>
      <c r="AS7" s="99" t="s">
        <v>260</v>
      </c>
    </row>
    <row r="8" spans="1:45" ht="13.95" customHeight="1" x14ac:dyDescent="0.3">
      <c r="A8" s="96" t="s">
        <v>261</v>
      </c>
      <c r="B8" s="97" t="s">
        <v>262</v>
      </c>
      <c r="C8" s="97" t="s">
        <v>256</v>
      </c>
      <c r="D8" s="97" t="s">
        <v>256</v>
      </c>
      <c r="E8" s="43">
        <v>3.5020000000000003E-2</v>
      </c>
      <c r="F8" s="41">
        <v>18.34</v>
      </c>
      <c r="G8" s="41">
        <v>23.29</v>
      </c>
      <c r="H8" s="82">
        <f t="shared" si="0"/>
        <v>4.4471962922573612E-2</v>
      </c>
      <c r="I8" s="29">
        <f t="shared" si="1"/>
        <v>4.0000607639340477E-2</v>
      </c>
      <c r="J8" s="20">
        <f>I8*Assumptions!$D$7</f>
        <v>8337.4034514344039</v>
      </c>
      <c r="K8" s="37">
        <v>112688.345</v>
      </c>
      <c r="L8" s="37">
        <v>11412.69230769231</v>
      </c>
      <c r="M8" s="37">
        <v>12420.30769230769</v>
      </c>
      <c r="N8" s="37">
        <v>13564.58333333333</v>
      </c>
      <c r="O8" s="37">
        <v>7483.454545454545</v>
      </c>
      <c r="P8" s="37">
        <v>8323.0909090909081</v>
      </c>
      <c r="Q8" s="37">
        <v>9206.818181818182</v>
      </c>
      <c r="R8" s="37">
        <v>7884.7777777777774</v>
      </c>
      <c r="S8" s="37">
        <v>8662.1111111111113</v>
      </c>
      <c r="T8" s="37">
        <v>9591.25</v>
      </c>
      <c r="U8" s="37">
        <v>5982</v>
      </c>
      <c r="V8" s="37">
        <v>6425.4000000000005</v>
      </c>
      <c r="W8" s="37">
        <v>6561.2219999999998</v>
      </c>
      <c r="X8" s="37">
        <v>-314.5</v>
      </c>
      <c r="Y8" s="37">
        <v>-319.5</v>
      </c>
      <c r="Z8" s="37">
        <v>-336</v>
      </c>
      <c r="AA8" s="98">
        <f t="shared" si="2"/>
        <v>844.38386450979249</v>
      </c>
      <c r="AB8" s="98">
        <f t="shared" si="3"/>
        <v>918.93368583701715</v>
      </c>
      <c r="AC8" s="98">
        <f t="shared" si="4"/>
        <v>1003.5945057193172</v>
      </c>
      <c r="AD8" s="98">
        <f t="shared" si="5"/>
        <v>553.67376063536301</v>
      </c>
      <c r="AE8" s="98">
        <f t="shared" si="6"/>
        <v>615.79542118625352</v>
      </c>
      <c r="AF8" s="98">
        <f t="shared" si="7"/>
        <v>681.1792087799314</v>
      </c>
      <c r="AG8" s="98">
        <f t="shared" si="8"/>
        <v>583.36621642848445</v>
      </c>
      <c r="AH8" s="98">
        <f t="shared" si="9"/>
        <v>640.87830089692125</v>
      </c>
      <c r="AI8" s="98">
        <f t="shared" si="10"/>
        <v>709.62192987722221</v>
      </c>
      <c r="AJ8" s="98">
        <f t="shared" si="11"/>
        <v>442.58656426696655</v>
      </c>
      <c r="AK8" s="98">
        <f t="shared" si="12"/>
        <v>475.39212805766755</v>
      </c>
      <c r="AL8" s="98">
        <f t="shared" si="13"/>
        <v>485.44110704995569</v>
      </c>
      <c r="AM8" s="98">
        <f t="shared" si="14"/>
        <v>-23.268718566024905</v>
      </c>
      <c r="AN8" s="98">
        <f t="shared" si="15"/>
        <v>-23.638650498712106</v>
      </c>
      <c r="AO8" s="98">
        <f t="shared" si="16"/>
        <v>-24.85942587657987</v>
      </c>
      <c r="AP8" s="61">
        <v>0.37808999999999998</v>
      </c>
      <c r="AQ8" s="98">
        <f t="shared" si="17"/>
        <v>485.44110704995569</v>
      </c>
      <c r="AR8" s="98">
        <f t="shared" si="18"/>
        <v>1283.9300353089363</v>
      </c>
    </row>
    <row r="9" spans="1:45" ht="13.95" customHeight="1" x14ac:dyDescent="0.3">
      <c r="A9" s="96" t="s">
        <v>263</v>
      </c>
      <c r="B9" s="97" t="s">
        <v>264</v>
      </c>
      <c r="C9" s="97" t="s">
        <v>256</v>
      </c>
      <c r="D9" s="97" t="s">
        <v>256</v>
      </c>
      <c r="E9" s="43">
        <v>3.3439999999999998E-2</v>
      </c>
      <c r="F9" s="41">
        <v>14.6</v>
      </c>
      <c r="G9" s="41">
        <v>16.350000000000001</v>
      </c>
      <c r="H9" s="82">
        <f t="shared" si="0"/>
        <v>3.7448219178082193E-2</v>
      </c>
      <c r="I9" s="29">
        <f t="shared" si="1"/>
        <v>3.3683053854457655E-2</v>
      </c>
      <c r="J9" s="20">
        <f>I9*Assumptions!$D$7</f>
        <v>7020.6235863480097</v>
      </c>
      <c r="K9" s="37">
        <v>179573.1348910488</v>
      </c>
      <c r="L9" s="37">
        <v>19414</v>
      </c>
      <c r="M9" s="37">
        <v>20412</v>
      </c>
      <c r="N9" s="37">
        <v>23060</v>
      </c>
      <c r="O9" s="37">
        <v>19414</v>
      </c>
      <c r="P9" s="37">
        <v>20412</v>
      </c>
      <c r="Q9" s="37">
        <v>23060</v>
      </c>
      <c r="U9" s="37">
        <v>19414</v>
      </c>
      <c r="V9" s="37">
        <v>20412</v>
      </c>
      <c r="W9" s="37">
        <v>23060</v>
      </c>
      <c r="AA9" s="98">
        <f t="shared" si="2"/>
        <v>759.01323651812208</v>
      </c>
      <c r="AB9" s="98">
        <f t="shared" si="3"/>
        <v>798.0312240552131</v>
      </c>
      <c r="AC9" s="98">
        <f t="shared" si="4"/>
        <v>901.55790842216413</v>
      </c>
      <c r="AD9" s="98">
        <f t="shared" si="5"/>
        <v>759.01323651812208</v>
      </c>
      <c r="AE9" s="98">
        <f t="shared" si="6"/>
        <v>798.0312240552131</v>
      </c>
      <c r="AF9" s="98">
        <f t="shared" si="7"/>
        <v>901.55790842216413</v>
      </c>
      <c r="AG9" s="98">
        <f t="shared" si="8"/>
        <v>0</v>
      </c>
      <c r="AH9" s="98">
        <f t="shared" si="9"/>
        <v>0</v>
      </c>
      <c r="AI9" s="98">
        <f t="shared" si="10"/>
        <v>0</v>
      </c>
      <c r="AJ9" s="98">
        <f t="shared" si="11"/>
        <v>759.01323651812208</v>
      </c>
      <c r="AK9" s="98">
        <f t="shared" si="12"/>
        <v>798.0312240552131</v>
      </c>
      <c r="AL9" s="98">
        <f t="shared" si="13"/>
        <v>901.55790842216413</v>
      </c>
      <c r="AM9" s="98">
        <f t="shared" si="14"/>
        <v>0</v>
      </c>
      <c r="AN9" s="98">
        <f t="shared" si="15"/>
        <v>0</v>
      </c>
      <c r="AO9" s="98">
        <f t="shared" si="16"/>
        <v>0</v>
      </c>
      <c r="AQ9" s="98">
        <f t="shared" si="17"/>
        <v>0</v>
      </c>
      <c r="AR9" s="98">
        <f t="shared" si="18"/>
        <v>0</v>
      </c>
      <c r="AS9" s="99" t="s">
        <v>260</v>
      </c>
    </row>
    <row r="10" spans="1:45" ht="13.95" customHeight="1" x14ac:dyDescent="0.3">
      <c r="A10" s="96" t="s">
        <v>265</v>
      </c>
      <c r="B10" s="97" t="s">
        <v>266</v>
      </c>
      <c r="C10" s="97" t="s">
        <v>256</v>
      </c>
      <c r="D10" s="97" t="s">
        <v>256</v>
      </c>
      <c r="E10" s="43">
        <v>2.9329999999999998E-2</v>
      </c>
      <c r="F10" s="41">
        <v>64.099999999999994</v>
      </c>
      <c r="G10" s="41">
        <v>80.73</v>
      </c>
      <c r="H10" s="82">
        <f t="shared" si="0"/>
        <v>3.6939327613104526E-2</v>
      </c>
      <c r="I10" s="29">
        <f t="shared" si="1"/>
        <v>3.3225327896710261E-2</v>
      </c>
      <c r="J10" s="20">
        <f>I10*Assumptions!$D$7</f>
        <v>6925.2188861408813</v>
      </c>
      <c r="K10" s="37">
        <v>305584.14447699999</v>
      </c>
      <c r="L10" s="37">
        <v>42383</v>
      </c>
      <c r="M10" s="37">
        <v>48877.2</v>
      </c>
      <c r="N10" s="37">
        <v>55529.888888888883</v>
      </c>
      <c r="O10" s="37">
        <v>25071.666666666672</v>
      </c>
      <c r="P10" s="37">
        <v>28280.333333333328</v>
      </c>
      <c r="Q10" s="37">
        <v>32011</v>
      </c>
      <c r="R10" s="37">
        <v>25522</v>
      </c>
      <c r="S10" s="37">
        <v>30252.5</v>
      </c>
      <c r="T10" s="37">
        <v>34882</v>
      </c>
      <c r="U10" s="37">
        <v>20474.182000000001</v>
      </c>
      <c r="V10" s="37">
        <v>23359.364000000001</v>
      </c>
      <c r="W10" s="37">
        <v>26673.599999999999</v>
      </c>
      <c r="AA10" s="98">
        <f t="shared" si="2"/>
        <v>960.49339390185651</v>
      </c>
      <c r="AB10" s="98">
        <f t="shared" si="3"/>
        <v>1107.6664632616807</v>
      </c>
      <c r="AC10" s="98">
        <f t="shared" si="4"/>
        <v>1258.4312446471904</v>
      </c>
      <c r="AD10" s="98">
        <f t="shared" si="5"/>
        <v>568.17993552704422</v>
      </c>
      <c r="AE10" s="98">
        <f t="shared" si="6"/>
        <v>640.8954850767791</v>
      </c>
      <c r="AF10" s="98">
        <f t="shared" si="7"/>
        <v>725.44071991582302</v>
      </c>
      <c r="AG10" s="98">
        <f t="shared" si="8"/>
        <v>578.38549416424462</v>
      </c>
      <c r="AH10" s="98">
        <f t="shared" si="9"/>
        <v>685.58918431955999</v>
      </c>
      <c r="AI10" s="98">
        <f t="shared" si="10"/>
        <v>790.50398900702066</v>
      </c>
      <c r="AJ10" s="98">
        <f t="shared" si="11"/>
        <v>463.99066976250617</v>
      </c>
      <c r="AK10" s="98">
        <f t="shared" si="12"/>
        <v>529.37533463296245</v>
      </c>
      <c r="AL10" s="98">
        <f t="shared" si="13"/>
        <v>604.48332094425973</v>
      </c>
      <c r="AM10" s="98">
        <f t="shared" si="14"/>
        <v>0</v>
      </c>
      <c r="AN10" s="98">
        <f t="shared" si="15"/>
        <v>0</v>
      </c>
      <c r="AO10" s="98">
        <f t="shared" si="16"/>
        <v>0</v>
      </c>
      <c r="AP10" s="61">
        <v>0.24859999999999999</v>
      </c>
      <c r="AQ10" s="98">
        <f t="shared" si="17"/>
        <v>604.48332094425973</v>
      </c>
      <c r="AR10" s="98">
        <f t="shared" si="18"/>
        <v>2431.549963573048</v>
      </c>
      <c r="AS10" s="99" t="s">
        <v>267</v>
      </c>
    </row>
    <row r="11" spans="1:45" ht="13.95" customHeight="1" x14ac:dyDescent="0.3">
      <c r="A11" s="96" t="s">
        <v>268</v>
      </c>
      <c r="B11" s="97" t="s">
        <v>269</v>
      </c>
      <c r="C11" s="97" t="s">
        <v>256</v>
      </c>
      <c r="D11" s="97" t="s">
        <v>256</v>
      </c>
      <c r="E11" s="43">
        <v>2.512E-2</v>
      </c>
      <c r="F11" s="41">
        <v>23.07</v>
      </c>
      <c r="G11" s="41">
        <v>26.44</v>
      </c>
      <c r="H11" s="82">
        <f t="shared" si="0"/>
        <v>2.8789458170784567E-2</v>
      </c>
      <c r="I11" s="29">
        <f t="shared" si="1"/>
        <v>2.5894872741365267E-2</v>
      </c>
      <c r="J11" s="20">
        <f>I11*Assumptions!$D$7</f>
        <v>5397.3180436384264</v>
      </c>
      <c r="K11" s="37">
        <v>138571.5670872</v>
      </c>
      <c r="L11" s="37">
        <v>149736.625</v>
      </c>
      <c r="M11" s="37">
        <v>156547.5</v>
      </c>
      <c r="N11" s="37">
        <v>163578.875</v>
      </c>
      <c r="U11" s="37">
        <v>17093.5</v>
      </c>
      <c r="V11" s="37">
        <v>24478.75</v>
      </c>
      <c r="W11" s="37">
        <v>29169</v>
      </c>
      <c r="AA11" s="98">
        <f t="shared" si="2"/>
        <v>5832.1934643161921</v>
      </c>
      <c r="AB11" s="98">
        <f t="shared" si="3"/>
        <v>6097.4748586395563</v>
      </c>
      <c r="AC11" s="98">
        <f t="shared" si="4"/>
        <v>6371.344657161836</v>
      </c>
      <c r="AD11" s="98">
        <f t="shared" si="5"/>
        <v>0</v>
      </c>
      <c r="AE11" s="98">
        <f t="shared" si="6"/>
        <v>0</v>
      </c>
      <c r="AF11" s="98">
        <f t="shared" si="7"/>
        <v>0</v>
      </c>
      <c r="AG11" s="98">
        <f t="shared" si="8"/>
        <v>0</v>
      </c>
      <c r="AH11" s="98">
        <f t="shared" si="9"/>
        <v>0</v>
      </c>
      <c r="AI11" s="98">
        <f t="shared" si="10"/>
        <v>0</v>
      </c>
      <c r="AJ11" s="98">
        <f t="shared" si="11"/>
        <v>665.78633639090526</v>
      </c>
      <c r="AK11" s="98">
        <f t="shared" si="12"/>
        <v>953.43945253627828</v>
      </c>
      <c r="AL11" s="98">
        <f t="shared" si="13"/>
        <v>1136.1231840282164</v>
      </c>
      <c r="AM11" s="98">
        <f t="shared" si="14"/>
        <v>0</v>
      </c>
      <c r="AN11" s="98">
        <f t="shared" si="15"/>
        <v>0</v>
      </c>
      <c r="AO11" s="98">
        <f t="shared" si="16"/>
        <v>0</v>
      </c>
      <c r="AP11" s="61">
        <v>0.13250999999999999</v>
      </c>
      <c r="AQ11" s="98">
        <f t="shared" si="17"/>
        <v>1136.1231840282164</v>
      </c>
      <c r="AR11" s="98">
        <f t="shared" si="18"/>
        <v>8573.8675120988337</v>
      </c>
      <c r="AS11" s="99" t="s">
        <v>270</v>
      </c>
    </row>
    <row r="12" spans="1:45" ht="13.95" customHeight="1" x14ac:dyDescent="0.3">
      <c r="A12" s="96" t="s">
        <v>271</v>
      </c>
      <c r="B12" s="97" t="s">
        <v>272</v>
      </c>
      <c r="C12" s="97" t="s">
        <v>256</v>
      </c>
      <c r="D12" s="97" t="s">
        <v>256</v>
      </c>
      <c r="E12" s="43">
        <v>9.2500000000000013E-3</v>
      </c>
      <c r="F12" s="41">
        <v>39.18</v>
      </c>
      <c r="G12" s="41">
        <v>41.2</v>
      </c>
      <c r="H12" s="82">
        <f t="shared" si="0"/>
        <v>9.7269014803471193E-3</v>
      </c>
      <c r="I12" s="29">
        <f t="shared" si="1"/>
        <v>8.7489272812014841E-3</v>
      </c>
      <c r="J12" s="20">
        <f>I12*Assumptions!$D$7</f>
        <v>1823.5557111612054</v>
      </c>
      <c r="K12" s="37">
        <v>78199.592000000004</v>
      </c>
      <c r="L12" s="37">
        <v>9682.5714285714275</v>
      </c>
      <c r="M12" s="37">
        <v>9166.875</v>
      </c>
      <c r="N12" s="37">
        <v>9647.1428571428569</v>
      </c>
      <c r="O12" s="37">
        <v>9490</v>
      </c>
      <c r="P12" s="37">
        <v>9306.25</v>
      </c>
      <c r="Q12" s="37">
        <v>9782.5</v>
      </c>
      <c r="R12" s="37">
        <v>10880.5</v>
      </c>
      <c r="S12" s="37">
        <v>10610.5</v>
      </c>
      <c r="T12" s="37">
        <v>10965</v>
      </c>
      <c r="U12" s="37">
        <v>8662.5</v>
      </c>
      <c r="V12" s="37">
        <v>8582.6</v>
      </c>
      <c r="W12" s="37">
        <v>8977.125</v>
      </c>
      <c r="AA12" s="98">
        <f t="shared" si="2"/>
        <v>225.79028835978755</v>
      </c>
      <c r="AB12" s="98">
        <f t="shared" si="3"/>
        <v>213.76463523941243</v>
      </c>
      <c r="AC12" s="98">
        <f t="shared" si="4"/>
        <v>224.9641207019454</v>
      </c>
      <c r="AD12" s="98">
        <f t="shared" si="5"/>
        <v>221.29966738087123</v>
      </c>
      <c r="AE12" s="98">
        <f t="shared" si="6"/>
        <v>217.01475548611515</v>
      </c>
      <c r="AF12" s="98">
        <f t="shared" si="7"/>
        <v>228.12054753987067</v>
      </c>
      <c r="AG12" s="98">
        <f t="shared" si="8"/>
        <v>253.72508229057632</v>
      </c>
      <c r="AH12" s="98">
        <f t="shared" si="9"/>
        <v>247.42888522073068</v>
      </c>
      <c r="AI12" s="98">
        <f t="shared" si="10"/>
        <v>255.69555878095392</v>
      </c>
      <c r="AJ12" s="98">
        <f t="shared" si="11"/>
        <v>202.00298932421467</v>
      </c>
      <c r="AK12" s="98">
        <f t="shared" si="12"/>
        <v>200.13978137650847</v>
      </c>
      <c r="AL12" s="98">
        <f t="shared" si="13"/>
        <v>209.33980785421534</v>
      </c>
      <c r="AM12" s="98">
        <f t="shared" si="14"/>
        <v>0</v>
      </c>
      <c r="AN12" s="98">
        <f t="shared" si="15"/>
        <v>0</v>
      </c>
      <c r="AO12" s="98">
        <f t="shared" si="16"/>
        <v>0</v>
      </c>
      <c r="AP12" s="61">
        <v>0.81662999999999997</v>
      </c>
      <c r="AQ12" s="98">
        <f t="shared" si="17"/>
        <v>209.33980785421534</v>
      </c>
      <c r="AR12" s="98">
        <f t="shared" si="18"/>
        <v>256.3459680078069</v>
      </c>
      <c r="AS12" s="99" t="s">
        <v>267</v>
      </c>
    </row>
    <row r="13" spans="1:45" ht="13.95" customHeight="1" x14ac:dyDescent="0.3">
      <c r="A13" s="96" t="s">
        <v>273</v>
      </c>
      <c r="B13" s="97" t="s">
        <v>259</v>
      </c>
      <c r="C13" s="97" t="s">
        <v>256</v>
      </c>
      <c r="D13" s="97" t="s">
        <v>256</v>
      </c>
      <c r="E13" s="43">
        <v>9.1000000000000004E-3</v>
      </c>
      <c r="F13" s="41">
        <v>16.22</v>
      </c>
      <c r="G13" s="41">
        <v>19.37</v>
      </c>
      <c r="H13" s="82">
        <f t="shared" si="0"/>
        <v>1.0867262638717633E-2</v>
      </c>
      <c r="I13" s="29">
        <f t="shared" si="1"/>
        <v>9.7746328328664599E-3</v>
      </c>
      <c r="J13" s="20">
        <f>I13*Assumptions!$D$7</f>
        <v>2037.3454886493955</v>
      </c>
      <c r="K13" s="37">
        <v>226447.75534606999</v>
      </c>
      <c r="L13" s="37">
        <v>150490.36363636359</v>
      </c>
      <c r="M13" s="37">
        <v>162160.18181818179</v>
      </c>
      <c r="N13" s="37">
        <v>174205.3</v>
      </c>
      <c r="O13" s="37">
        <v>35753.199999999997</v>
      </c>
      <c r="P13" s="37">
        <v>41429.199999999997</v>
      </c>
      <c r="Q13" s="37">
        <v>47109.599999999999</v>
      </c>
      <c r="U13" s="37">
        <v>27739.922999999999</v>
      </c>
      <c r="V13" s="37">
        <v>30648.077000000001</v>
      </c>
      <c r="W13" s="37">
        <v>33619.082999999999</v>
      </c>
      <c r="AA13" s="98">
        <f t="shared" si="2"/>
        <v>1353.9585012498269</v>
      </c>
      <c r="AB13" s="98">
        <f t="shared" si="3"/>
        <v>1458.9515995022298</v>
      </c>
      <c r="AC13" s="98">
        <f t="shared" si="4"/>
        <v>1567.3212636239723</v>
      </c>
      <c r="AD13" s="98">
        <f t="shared" si="5"/>
        <v>321.67075630075897</v>
      </c>
      <c r="AE13" s="98">
        <f t="shared" si="6"/>
        <v>372.73760382106781</v>
      </c>
      <c r="AF13" s="98">
        <f t="shared" si="7"/>
        <v>423.8440380448809</v>
      </c>
      <c r="AG13" s="98">
        <f t="shared" si="8"/>
        <v>0</v>
      </c>
      <c r="AH13" s="98">
        <f t="shared" si="9"/>
        <v>0</v>
      </c>
      <c r="AI13" s="98">
        <f t="shared" si="10"/>
        <v>0</v>
      </c>
      <c r="AJ13" s="98">
        <f t="shared" si="11"/>
        <v>249.57547886999816</v>
      </c>
      <c r="AK13" s="98">
        <f t="shared" si="12"/>
        <v>275.74007662961344</v>
      </c>
      <c r="AL13" s="98">
        <f t="shared" si="13"/>
        <v>302.47015245482891</v>
      </c>
      <c r="AM13" s="98">
        <f t="shared" si="14"/>
        <v>0</v>
      </c>
      <c r="AN13" s="98">
        <f t="shared" si="15"/>
        <v>0</v>
      </c>
      <c r="AO13" s="98">
        <f t="shared" si="16"/>
        <v>0</v>
      </c>
      <c r="AP13" s="61">
        <v>0.1615</v>
      </c>
      <c r="AQ13" s="98">
        <f t="shared" si="17"/>
        <v>302.47015245482891</v>
      </c>
      <c r="AR13" s="98">
        <f t="shared" si="18"/>
        <v>1872.880200958693</v>
      </c>
      <c r="AS13" s="99" t="s">
        <v>260</v>
      </c>
    </row>
    <row r="14" spans="1:45" ht="13.95" customHeight="1" x14ac:dyDescent="0.3">
      <c r="A14" s="96" t="s">
        <v>274</v>
      </c>
      <c r="B14" s="97" t="s">
        <v>275</v>
      </c>
      <c r="C14" s="97" t="s">
        <v>256</v>
      </c>
      <c r="D14" s="97" t="s">
        <v>256</v>
      </c>
      <c r="E14" s="43">
        <v>4.5700000000000003E-3</v>
      </c>
      <c r="F14" s="41">
        <v>19.88</v>
      </c>
      <c r="G14" s="41">
        <v>20.77</v>
      </c>
      <c r="H14" s="82">
        <f t="shared" si="0"/>
        <v>4.7745925553319924E-3</v>
      </c>
      <c r="I14" s="29">
        <f t="shared" si="1"/>
        <v>4.29453954564726E-3</v>
      </c>
      <c r="J14" s="20">
        <f>I14*Assumptions!$D$7</f>
        <v>895.11912301518612</v>
      </c>
      <c r="K14" s="37">
        <v>63090</v>
      </c>
      <c r="L14" s="37">
        <v>6236.666666666667</v>
      </c>
      <c r="M14" s="37">
        <v>6932.5</v>
      </c>
      <c r="N14" s="37">
        <v>7628.2</v>
      </c>
      <c r="O14" s="37">
        <v>5141</v>
      </c>
      <c r="P14" s="37">
        <v>5629.4</v>
      </c>
      <c r="Q14" s="37">
        <v>6133</v>
      </c>
      <c r="R14" s="37">
        <v>5214</v>
      </c>
      <c r="S14" s="37">
        <v>5604</v>
      </c>
      <c r="T14" s="37">
        <v>6111</v>
      </c>
      <c r="U14" s="37">
        <v>4676.4440000000004</v>
      </c>
      <c r="V14" s="37">
        <v>5099.8890000000001</v>
      </c>
      <c r="W14" s="37">
        <v>5562.143</v>
      </c>
      <c r="AA14" s="98">
        <f t="shared" si="2"/>
        <v>88.485649028446844</v>
      </c>
      <c r="AB14" s="98">
        <f t="shared" si="3"/>
        <v>98.358112542443777</v>
      </c>
      <c r="AC14" s="98">
        <f t="shared" si="4"/>
        <v>108.22868432690511</v>
      </c>
      <c r="AD14" s="98">
        <f t="shared" si="5"/>
        <v>72.940361569520874</v>
      </c>
      <c r="AE14" s="98">
        <f t="shared" si="6"/>
        <v>79.869766858482933</v>
      </c>
      <c r="AF14" s="98">
        <f t="shared" si="7"/>
        <v>87.014829314505263</v>
      </c>
      <c r="AG14" s="98">
        <f t="shared" si="8"/>
        <v>73.976083490270724</v>
      </c>
      <c r="AH14" s="98">
        <f t="shared" si="9"/>
        <v>79.509392381948061</v>
      </c>
      <c r="AI14" s="98">
        <f t="shared" si="10"/>
        <v>86.702693941128587</v>
      </c>
      <c r="AJ14" s="98">
        <f t="shared" si="11"/>
        <v>66.349254273413052</v>
      </c>
      <c r="AK14" s="98">
        <f t="shared" si="12"/>
        <v>72.357079872480497</v>
      </c>
      <c r="AL14" s="98">
        <f t="shared" si="13"/>
        <v>78.915526458155909</v>
      </c>
      <c r="AM14" s="98">
        <f t="shared" si="14"/>
        <v>0</v>
      </c>
      <c r="AN14" s="98">
        <f t="shared" si="15"/>
        <v>0</v>
      </c>
      <c r="AO14" s="98">
        <f t="shared" si="16"/>
        <v>0</v>
      </c>
      <c r="AP14" s="61">
        <v>0.42340000000000011</v>
      </c>
      <c r="AQ14" s="98">
        <f t="shared" si="17"/>
        <v>78.915526458155909</v>
      </c>
      <c r="AR14" s="98">
        <f t="shared" si="18"/>
        <v>186.38527741652311</v>
      </c>
      <c r="AS14" s="99" t="s">
        <v>267</v>
      </c>
    </row>
    <row r="15" spans="1:45" ht="13.95" customHeight="1" x14ac:dyDescent="0.3">
      <c r="A15" s="96" t="s">
        <v>276</v>
      </c>
      <c r="B15" s="97" t="s">
        <v>277</v>
      </c>
      <c r="C15" s="97" t="s">
        <v>256</v>
      </c>
      <c r="D15" s="97" t="s">
        <v>256</v>
      </c>
      <c r="E15" s="43">
        <v>3.9199999999999999E-3</v>
      </c>
      <c r="F15" s="41">
        <v>28.75</v>
      </c>
      <c r="G15" s="41">
        <v>28.76</v>
      </c>
      <c r="H15" s="82">
        <f t="shared" si="0"/>
        <v>3.9213634782608699E-3</v>
      </c>
      <c r="I15" s="29">
        <f t="shared" si="1"/>
        <v>3.5270968852497667E-3</v>
      </c>
      <c r="J15" s="20">
        <f>I15*Assumptions!$D$7</f>
        <v>735.15957581862858</v>
      </c>
      <c r="K15" s="37">
        <v>109308.4474447</v>
      </c>
      <c r="L15" s="37">
        <v>83362.111111111109</v>
      </c>
      <c r="M15" s="37">
        <v>91025.333333333328</v>
      </c>
      <c r="N15" s="37">
        <v>97332.555555555562</v>
      </c>
      <c r="O15" s="37">
        <v>15347</v>
      </c>
      <c r="P15" s="37">
        <v>17953.5</v>
      </c>
      <c r="Q15" s="37">
        <v>22791.5</v>
      </c>
      <c r="T15" s="37">
        <v>25577</v>
      </c>
      <c r="U15" s="37">
        <v>13604.778</v>
      </c>
      <c r="V15" s="37">
        <v>15814.1</v>
      </c>
      <c r="W15" s="37">
        <v>18082.900000000001</v>
      </c>
      <c r="AA15" s="98">
        <f t="shared" si="2"/>
        <v>560.65615857177113</v>
      </c>
      <c r="AB15" s="98">
        <f t="shared" si="3"/>
        <v>612.19555310157546</v>
      </c>
      <c r="AC15" s="98">
        <f t="shared" si="4"/>
        <v>654.61510000647979</v>
      </c>
      <c r="AD15" s="98">
        <f t="shared" si="5"/>
        <v>103.21703650393896</v>
      </c>
      <c r="AE15" s="98">
        <f t="shared" si="6"/>
        <v>120.74718608675754</v>
      </c>
      <c r="AF15" s="98">
        <f t="shared" si="7"/>
        <v>153.28540349772103</v>
      </c>
      <c r="AG15" s="98">
        <f t="shared" si="8"/>
        <v>0</v>
      </c>
      <c r="AH15" s="98">
        <f t="shared" si="9"/>
        <v>0</v>
      </c>
      <c r="AI15" s="98">
        <f t="shared" si="10"/>
        <v>172.01942677143722</v>
      </c>
      <c r="AJ15" s="98">
        <f t="shared" si="11"/>
        <v>91.499632987162684</v>
      </c>
      <c r="AK15" s="98">
        <f t="shared" si="12"/>
        <v>106.35854153756051</v>
      </c>
      <c r="AL15" s="98">
        <f t="shared" si="13"/>
        <v>121.61747243090362</v>
      </c>
      <c r="AM15" s="98">
        <f t="shared" si="14"/>
        <v>0</v>
      </c>
      <c r="AN15" s="98">
        <f t="shared" si="15"/>
        <v>0</v>
      </c>
      <c r="AO15" s="98">
        <f t="shared" si="16"/>
        <v>0</v>
      </c>
      <c r="AP15" s="61">
        <v>0.15956999999999999</v>
      </c>
      <c r="AQ15" s="98">
        <f t="shared" si="17"/>
        <v>121.61747243090362</v>
      </c>
      <c r="AR15" s="98">
        <f t="shared" si="18"/>
        <v>762.15750097702346</v>
      </c>
      <c r="AS15" s="99" t="s">
        <v>278</v>
      </c>
    </row>
    <row r="16" spans="1:45" ht="13.95" customHeight="1" x14ac:dyDescent="0.3">
      <c r="A16" s="96" t="s">
        <v>279</v>
      </c>
      <c r="B16" s="97" t="s">
        <v>280</v>
      </c>
      <c r="C16" s="97" t="s">
        <v>256</v>
      </c>
      <c r="D16" s="97" t="s">
        <v>256</v>
      </c>
      <c r="E16" s="43">
        <v>3.2399999999999998E-3</v>
      </c>
      <c r="F16" s="41">
        <v>47.29</v>
      </c>
      <c r="G16" s="41">
        <v>51.69</v>
      </c>
      <c r="H16" s="82">
        <f t="shared" si="0"/>
        <v>3.5414590822584052E-3</v>
      </c>
      <c r="I16" s="29">
        <f t="shared" si="1"/>
        <v>3.185389308469034E-3</v>
      </c>
      <c r="J16" s="20">
        <f>I16*Assumptions!$D$7</f>
        <v>663.936809511673</v>
      </c>
      <c r="K16" s="37">
        <v>34042.756059000007</v>
      </c>
      <c r="L16" s="37">
        <v>38692.833333333343</v>
      </c>
      <c r="M16" s="37">
        <v>42153.166666666657</v>
      </c>
      <c r="N16" s="37">
        <v>45640.833333333343</v>
      </c>
      <c r="O16" s="37">
        <v>4856.5</v>
      </c>
      <c r="P16" s="37">
        <v>5492</v>
      </c>
      <c r="Q16" s="37">
        <v>6232.5</v>
      </c>
      <c r="U16" s="37">
        <v>3715.9</v>
      </c>
      <c r="V16" s="37">
        <v>3997.4</v>
      </c>
      <c r="W16" s="37">
        <v>4403.375</v>
      </c>
      <c r="X16" s="37">
        <v>-772</v>
      </c>
      <c r="Y16" s="37">
        <v>-888</v>
      </c>
      <c r="Z16" s="37">
        <v>-907</v>
      </c>
      <c r="AA16" s="98">
        <f t="shared" si="2"/>
        <v>754.62739473200202</v>
      </c>
      <c r="AB16" s="98">
        <f t="shared" si="3"/>
        <v>822.11437108604582</v>
      </c>
      <c r="AC16" s="98">
        <f t="shared" si="4"/>
        <v>890.13443019329623</v>
      </c>
      <c r="AD16" s="98">
        <f t="shared" si="5"/>
        <v>94.716453327256119</v>
      </c>
      <c r="AE16" s="98">
        <f t="shared" si="6"/>
        <v>107.11062733929593</v>
      </c>
      <c r="AF16" s="98">
        <f t="shared" si="7"/>
        <v>121.55261924474907</v>
      </c>
      <c r="AG16" s="98">
        <f t="shared" si="8"/>
        <v>0</v>
      </c>
      <c r="AH16" s="98">
        <f t="shared" si="9"/>
        <v>0</v>
      </c>
      <c r="AI16" s="98">
        <f t="shared" si="10"/>
        <v>0</v>
      </c>
      <c r="AJ16" s="98">
        <f t="shared" si="11"/>
        <v>72.471300096520352</v>
      </c>
      <c r="AK16" s="98">
        <f t="shared" si="12"/>
        <v>77.96140235362374</v>
      </c>
      <c r="AL16" s="98">
        <f t="shared" si="13"/>
        <v>85.879143965799742</v>
      </c>
      <c r="AM16" s="98">
        <f t="shared" si="14"/>
        <v>-15.056337273477141</v>
      </c>
      <c r="AN16" s="98">
        <f t="shared" si="15"/>
        <v>-17.318688470009974</v>
      </c>
      <c r="AO16" s="98">
        <f t="shared" si="16"/>
        <v>-17.689245993580009</v>
      </c>
      <c r="AP16" s="61">
        <v>0.22982</v>
      </c>
      <c r="AQ16" s="98">
        <f t="shared" si="17"/>
        <v>85.879143965799742</v>
      </c>
      <c r="AR16" s="98">
        <f t="shared" si="18"/>
        <v>373.68002769906769</v>
      </c>
      <c r="AS16" s="99" t="s">
        <v>281</v>
      </c>
    </row>
    <row r="17" spans="1:44" ht="13.95" customHeight="1" x14ac:dyDescent="0.3">
      <c r="A17" s="96" t="s">
        <v>282</v>
      </c>
      <c r="B17" s="97" t="s">
        <v>283</v>
      </c>
      <c r="C17" s="97" t="s">
        <v>284</v>
      </c>
      <c r="D17" s="97" t="s">
        <v>284</v>
      </c>
      <c r="E17" s="43">
        <v>4.8300000000000003E-2</v>
      </c>
      <c r="F17" s="41">
        <v>55.35</v>
      </c>
      <c r="G17" s="41">
        <v>61.49</v>
      </c>
      <c r="H17" s="82">
        <f t="shared" si="0"/>
        <v>5.3657940379403801E-2</v>
      </c>
      <c r="I17" s="29">
        <f t="shared" si="1"/>
        <v>4.8262997151452144E-2</v>
      </c>
      <c r="J17" s="20">
        <f>I17*Assumptions!$D$7</f>
        <v>10059.549161231702</v>
      </c>
      <c r="K17" s="37">
        <v>169405.09948465999</v>
      </c>
      <c r="L17" s="37">
        <v>44513.545454545463</v>
      </c>
      <c r="M17" s="37">
        <v>51510.727272727272</v>
      </c>
      <c r="N17" s="37">
        <v>50594.3</v>
      </c>
      <c r="O17" s="37">
        <v>21767.200000000001</v>
      </c>
      <c r="P17" s="37">
        <v>29362</v>
      </c>
      <c r="Q17" s="37">
        <v>28773.8</v>
      </c>
      <c r="R17" s="37">
        <v>28674.444444444442</v>
      </c>
      <c r="S17" s="37">
        <v>35952.666666666657</v>
      </c>
      <c r="T17" s="37">
        <v>35675</v>
      </c>
      <c r="U17" s="37">
        <v>9732.9089999999997</v>
      </c>
      <c r="V17" s="37">
        <v>15666.636</v>
      </c>
      <c r="W17" s="37">
        <v>15374.8</v>
      </c>
      <c r="X17" s="37">
        <v>-10141.25</v>
      </c>
      <c r="Y17" s="37">
        <v>-11373.5</v>
      </c>
      <c r="Z17" s="37">
        <v>-10673</v>
      </c>
      <c r="AA17" s="98">
        <f t="shared" si="2"/>
        <v>2643.2864193752921</v>
      </c>
      <c r="AB17" s="98">
        <f t="shared" si="3"/>
        <v>3058.7904077688077</v>
      </c>
      <c r="AC17" s="98">
        <f t="shared" si="4"/>
        <v>3004.3714721479928</v>
      </c>
      <c r="AD17" s="98">
        <f t="shared" si="5"/>
        <v>1292.5715882725876</v>
      </c>
      <c r="AE17" s="98">
        <f t="shared" si="6"/>
        <v>1743.5631121531351</v>
      </c>
      <c r="AF17" s="98">
        <f t="shared" si="7"/>
        <v>1708.6348435553393</v>
      </c>
      <c r="AG17" s="98">
        <f t="shared" si="8"/>
        <v>1702.7349497587945</v>
      </c>
      <c r="AH17" s="98">
        <f t="shared" si="9"/>
        <v>2134.9275724929362</v>
      </c>
      <c r="AI17" s="98">
        <f t="shared" si="10"/>
        <v>2118.4392761413765</v>
      </c>
      <c r="AJ17" s="98">
        <f t="shared" si="11"/>
        <v>577.95589899677327</v>
      </c>
      <c r="AK17" s="98">
        <f t="shared" si="12"/>
        <v>930.31021800730002</v>
      </c>
      <c r="AL17" s="98">
        <f t="shared" si="13"/>
        <v>912.98052369498043</v>
      </c>
      <c r="AM17" s="98">
        <f t="shared" si="14"/>
        <v>-602.2038488905041</v>
      </c>
      <c r="AN17" s="98">
        <f t="shared" si="15"/>
        <v>-675.37684953591997</v>
      </c>
      <c r="AO17" s="98">
        <f t="shared" si="16"/>
        <v>-633.78002506676694</v>
      </c>
      <c r="AP17" s="61">
        <v>0.12197</v>
      </c>
      <c r="AQ17" s="98">
        <f t="shared" si="17"/>
        <v>912.98052369498043</v>
      </c>
      <c r="AR17" s="98">
        <f t="shared" si="18"/>
        <v>7485.2875600145981</v>
      </c>
    </row>
    <row r="18" spans="1:44" ht="13.95" customHeight="1" x14ac:dyDescent="0.3">
      <c r="A18" s="96" t="s">
        <v>285</v>
      </c>
      <c r="B18" s="97" t="s">
        <v>286</v>
      </c>
      <c r="C18" s="97" t="s">
        <v>284</v>
      </c>
      <c r="D18" s="97" t="s">
        <v>284</v>
      </c>
      <c r="E18" s="43">
        <v>3.7019999999999997E-2</v>
      </c>
      <c r="F18" s="41">
        <v>27.43</v>
      </c>
      <c r="G18" s="41">
        <v>31.5</v>
      </c>
      <c r="H18" s="82">
        <f t="shared" si="0"/>
        <v>4.2512942034269044E-2</v>
      </c>
      <c r="I18" s="29">
        <f t="shared" si="1"/>
        <v>3.8238553060216708E-2</v>
      </c>
      <c r="J18" s="20">
        <f>I18*Assumptions!$D$7</f>
        <v>7970.1350323628449</v>
      </c>
      <c r="K18" s="37">
        <v>113143.16047074999</v>
      </c>
      <c r="L18" s="37">
        <v>31193.916666666672</v>
      </c>
      <c r="M18" s="37">
        <v>35866</v>
      </c>
      <c r="N18" s="37">
        <v>40763.222222222219</v>
      </c>
      <c r="O18" s="37">
        <v>12232.7</v>
      </c>
      <c r="P18" s="37">
        <v>16728.099999999999</v>
      </c>
      <c r="Q18" s="37">
        <v>19678.111111111109</v>
      </c>
      <c r="R18" s="37">
        <v>15095.75</v>
      </c>
      <c r="S18" s="37">
        <v>20130.36363636364</v>
      </c>
      <c r="T18" s="37">
        <v>23678.111111111109</v>
      </c>
      <c r="U18" s="37">
        <v>5579.1819999999998</v>
      </c>
      <c r="V18" s="37">
        <v>7501.7</v>
      </c>
      <c r="W18" s="37">
        <v>9525.2219999999998</v>
      </c>
      <c r="X18" s="37">
        <v>-18050</v>
      </c>
      <c r="Y18" s="37">
        <v>-16230</v>
      </c>
      <c r="Z18" s="37">
        <v>-17124</v>
      </c>
      <c r="AA18" s="98">
        <f t="shared" si="2"/>
        <v>2197.3906950025575</v>
      </c>
      <c r="AB18" s="98">
        <f t="shared" si="3"/>
        <v>2526.5059052741071</v>
      </c>
      <c r="AC18" s="98">
        <f t="shared" si="4"/>
        <v>2871.4805571417264</v>
      </c>
      <c r="AD18" s="98">
        <f t="shared" si="5"/>
        <v>861.70715405806538</v>
      </c>
      <c r="AE18" s="98">
        <f t="shared" si="6"/>
        <v>1178.3762737415877</v>
      </c>
      <c r="AF18" s="98">
        <f t="shared" si="7"/>
        <v>1386.1836816723983</v>
      </c>
      <c r="AG18" s="98">
        <f t="shared" si="8"/>
        <v>1063.3887670646743</v>
      </c>
      <c r="AH18" s="98">
        <f t="shared" si="9"/>
        <v>1418.04167185044</v>
      </c>
      <c r="AI18" s="98">
        <f t="shared" si="10"/>
        <v>1667.9553769017641</v>
      </c>
      <c r="AJ18" s="98">
        <f t="shared" si="11"/>
        <v>393.01389253329069</v>
      </c>
      <c r="AK18" s="98">
        <f t="shared" si="12"/>
        <v>528.44168152553311</v>
      </c>
      <c r="AL18" s="98">
        <f t="shared" si="13"/>
        <v>670.98448759401219</v>
      </c>
      <c r="AM18" s="98">
        <f t="shared" si="14"/>
        <v>-1271.4947747225126</v>
      </c>
      <c r="AN18" s="98">
        <f t="shared" si="15"/>
        <v>-1143.2886533931512</v>
      </c>
      <c r="AO18" s="98">
        <f t="shared" si="16"/>
        <v>-1206.2646272769143</v>
      </c>
      <c r="AP18" s="61">
        <v>0.18357000000000001</v>
      </c>
      <c r="AQ18" s="98">
        <f t="shared" si="17"/>
        <v>670.98448759401219</v>
      </c>
      <c r="AR18" s="98">
        <f t="shared" si="18"/>
        <v>3655.196860020767</v>
      </c>
    </row>
    <row r="19" spans="1:44" ht="13.95" customHeight="1" x14ac:dyDescent="0.3">
      <c r="A19" s="96" t="s">
        <v>287</v>
      </c>
      <c r="B19" s="97" t="s">
        <v>288</v>
      </c>
      <c r="C19" s="97" t="s">
        <v>284</v>
      </c>
      <c r="D19" s="97" t="s">
        <v>284</v>
      </c>
      <c r="E19" s="43">
        <v>2.3789999999999999E-2</v>
      </c>
      <c r="F19" s="41">
        <v>15.36</v>
      </c>
      <c r="G19" s="41">
        <v>16.52</v>
      </c>
      <c r="H19" s="82">
        <f t="shared" si="0"/>
        <v>2.5586640625E-2</v>
      </c>
      <c r="I19" s="29">
        <f t="shared" si="1"/>
        <v>2.3014076851775832E-2</v>
      </c>
      <c r="J19" s="20">
        <f>I19*Assumptions!$D$7</f>
        <v>4796.8682252431927</v>
      </c>
      <c r="K19" s="37">
        <v>247290.09827732999</v>
      </c>
      <c r="L19" s="37">
        <v>90144.76470588235</v>
      </c>
      <c r="M19" s="37">
        <v>94600.4375</v>
      </c>
      <c r="N19" s="37">
        <v>100036.93333333331</v>
      </c>
      <c r="O19" s="37">
        <v>23899.71428571429</v>
      </c>
      <c r="P19" s="37">
        <v>24745.4</v>
      </c>
      <c r="Q19" s="37">
        <v>26343.933333333331</v>
      </c>
      <c r="R19" s="37">
        <v>30427.4375</v>
      </c>
      <c r="S19" s="37">
        <v>31638</v>
      </c>
      <c r="T19" s="37">
        <v>33437.428571428572</v>
      </c>
      <c r="U19" s="37">
        <v>16365.5</v>
      </c>
      <c r="V19" s="37">
        <v>17242.167000000001</v>
      </c>
      <c r="W19" s="37">
        <v>18564.5</v>
      </c>
      <c r="X19" s="37">
        <v>-4425.1000000000004</v>
      </c>
      <c r="Y19" s="37">
        <v>-5124.1000000000004</v>
      </c>
      <c r="Z19" s="37">
        <v>-5499.4</v>
      </c>
      <c r="AA19" s="98">
        <f t="shared" si="2"/>
        <v>1748.6044144182863</v>
      </c>
      <c r="AB19" s="98">
        <f t="shared" si="3"/>
        <v>1835.0343822862835</v>
      </c>
      <c r="AC19" s="98">
        <f t="shared" si="4"/>
        <v>1940.4900972593007</v>
      </c>
      <c r="AD19" s="98">
        <f t="shared" si="5"/>
        <v>463.60036591907289</v>
      </c>
      <c r="AE19" s="98">
        <f t="shared" si="6"/>
        <v>480.00475477110768</v>
      </c>
      <c r="AF19" s="98">
        <f t="shared" si="7"/>
        <v>511.01268354413645</v>
      </c>
      <c r="AG19" s="98">
        <f t="shared" si="8"/>
        <v>590.22342235327392</v>
      </c>
      <c r="AH19" s="98">
        <f t="shared" si="9"/>
        <v>613.70559503779714</v>
      </c>
      <c r="AI19" s="98">
        <f t="shared" si="10"/>
        <v>648.61043675208327</v>
      </c>
      <c r="AJ19" s="98">
        <f t="shared" si="11"/>
        <v>317.45366064830483</v>
      </c>
      <c r="AK19" s="98">
        <f t="shared" si="12"/>
        <v>334.4590163245486</v>
      </c>
      <c r="AL19" s="98">
        <f t="shared" si="13"/>
        <v>360.10928374357366</v>
      </c>
      <c r="AM19" s="98">
        <f t="shared" si="14"/>
        <v>-85.836924856241112</v>
      </c>
      <c r="AN19" s="98">
        <f t="shared" si="15"/>
        <v>-99.395942838775412</v>
      </c>
      <c r="AO19" s="98">
        <f t="shared" si="16"/>
        <v>-106.67591343798158</v>
      </c>
      <c r="AP19" s="61">
        <v>0.20658000000000001</v>
      </c>
      <c r="AQ19" s="98">
        <f t="shared" si="17"/>
        <v>360.10928374357366</v>
      </c>
      <c r="AR19" s="98">
        <f t="shared" si="18"/>
        <v>1743.1952935597524</v>
      </c>
    </row>
    <row r="20" spans="1:44" ht="13.95" customHeight="1" x14ac:dyDescent="0.3">
      <c r="A20" s="96" t="s">
        <v>289</v>
      </c>
      <c r="B20" s="97" t="s">
        <v>290</v>
      </c>
      <c r="C20" s="97" t="s">
        <v>284</v>
      </c>
      <c r="D20" s="97" t="s">
        <v>284</v>
      </c>
      <c r="E20" s="43">
        <v>2.0459999999999999E-2</v>
      </c>
      <c r="F20" s="41">
        <v>27.87</v>
      </c>
      <c r="G20" s="41">
        <v>30.29</v>
      </c>
      <c r="H20" s="82">
        <f t="shared" si="0"/>
        <v>2.2236576964477932E-2</v>
      </c>
      <c r="I20" s="29">
        <f t="shared" si="1"/>
        <v>2.0000839449040537E-2</v>
      </c>
      <c r="J20" s="20">
        <f>I20*Assumptions!$D$7</f>
        <v>4168.8133679752618</v>
      </c>
      <c r="K20" s="37">
        <v>59109.494455999993</v>
      </c>
      <c r="L20" s="37">
        <v>14114.625</v>
      </c>
      <c r="M20" s="37">
        <v>14654.777777777779</v>
      </c>
      <c r="N20" s="37">
        <v>16601.111111111109</v>
      </c>
      <c r="O20" s="37">
        <v>3244.6</v>
      </c>
      <c r="P20" s="37">
        <v>4234.6000000000004</v>
      </c>
      <c r="Q20" s="37">
        <v>5458.7777777777774</v>
      </c>
      <c r="R20" s="37">
        <v>5643</v>
      </c>
      <c r="S20" s="37">
        <v>6975</v>
      </c>
      <c r="T20" s="37">
        <v>8367.5555555555547</v>
      </c>
      <c r="U20" s="37">
        <v>763.88900000000001</v>
      </c>
      <c r="V20" s="37">
        <v>1493</v>
      </c>
      <c r="W20" s="37">
        <v>2556.556</v>
      </c>
      <c r="X20" s="37">
        <v>-5965.666666666667</v>
      </c>
      <c r="Y20" s="37">
        <v>-3718</v>
      </c>
      <c r="Z20" s="37">
        <v>-5316.25</v>
      </c>
      <c r="AA20" s="98">
        <f t="shared" si="2"/>
        <v>995.46169233029309</v>
      </c>
      <c r="AB20" s="98">
        <f t="shared" si="3"/>
        <v>1033.5570294918243</v>
      </c>
      <c r="AC20" s="98">
        <f t="shared" si="4"/>
        <v>1170.8260163645791</v>
      </c>
      <c r="AD20" s="98">
        <f t="shared" si="5"/>
        <v>228.83179729782893</v>
      </c>
      <c r="AE20" s="98">
        <f t="shared" si="6"/>
        <v>298.65349467958652</v>
      </c>
      <c r="AF20" s="98">
        <f t="shared" si="7"/>
        <v>384.99104047905365</v>
      </c>
      <c r="AG20" s="98">
        <f t="shared" si="8"/>
        <v>397.98367507601824</v>
      </c>
      <c r="AH20" s="98">
        <f t="shared" si="9"/>
        <v>491.92559518965572</v>
      </c>
      <c r="AI20" s="98">
        <f t="shared" si="10"/>
        <v>590.13831497479237</v>
      </c>
      <c r="AJ20" s="98">
        <f t="shared" si="11"/>
        <v>53.874774334599415</v>
      </c>
      <c r="AK20" s="98">
        <f t="shared" si="12"/>
        <v>105.29676180905463</v>
      </c>
      <c r="AL20" s="98">
        <f t="shared" si="13"/>
        <v>180.30614077930974</v>
      </c>
      <c r="AM20" s="98">
        <f t="shared" si="14"/>
        <v>-420.74037644488737</v>
      </c>
      <c r="AN20" s="98">
        <f t="shared" si="15"/>
        <v>-262.21926350037847</v>
      </c>
      <c r="AO20" s="98">
        <f t="shared" si="16"/>
        <v>-374.93898859168564</v>
      </c>
      <c r="AP20" s="61">
        <v>8.0070000000000002E-2</v>
      </c>
      <c r="AQ20" s="98">
        <f t="shared" si="17"/>
        <v>180.30614077930974</v>
      </c>
      <c r="AR20" s="98">
        <f t="shared" si="18"/>
        <v>2251.8563854041431</v>
      </c>
    </row>
    <row r="21" spans="1:44" ht="13.95" customHeight="1" x14ac:dyDescent="0.3">
      <c r="A21" s="96" t="s">
        <v>291</v>
      </c>
      <c r="B21" s="97" t="s">
        <v>292</v>
      </c>
      <c r="C21" s="97" t="s">
        <v>284</v>
      </c>
      <c r="D21" s="97" t="s">
        <v>284</v>
      </c>
      <c r="E21" s="43">
        <v>1.9400000000000001E-2</v>
      </c>
      <c r="F21" s="41">
        <v>40.65</v>
      </c>
      <c r="G21" s="41">
        <v>47.91</v>
      </c>
      <c r="H21" s="82">
        <f t="shared" si="0"/>
        <v>2.2864797047970481E-2</v>
      </c>
      <c r="I21" s="29">
        <f t="shared" si="1"/>
        <v>2.0565896249314666E-2</v>
      </c>
      <c r="J21" s="20">
        <f>I21*Assumptions!$D$7</f>
        <v>4286.589241765455</v>
      </c>
      <c r="K21" s="37">
        <v>61712.488803</v>
      </c>
      <c r="L21" s="37">
        <v>43275.63636363636</v>
      </c>
      <c r="M21" s="37">
        <v>44801.2</v>
      </c>
      <c r="N21" s="37">
        <v>47535.111111111117</v>
      </c>
      <c r="O21" s="37">
        <v>8571</v>
      </c>
      <c r="P21" s="37">
        <v>9456.181818181818</v>
      </c>
      <c r="Q21" s="37">
        <v>10666.888888888891</v>
      </c>
      <c r="R21" s="37">
        <v>11958.66666666667</v>
      </c>
      <c r="S21" s="37">
        <v>12902.18181818182</v>
      </c>
      <c r="T21" s="37">
        <v>14327.777777777779</v>
      </c>
      <c r="U21" s="37">
        <v>2174.0830000000001</v>
      </c>
      <c r="V21" s="37">
        <v>3031.636</v>
      </c>
      <c r="W21" s="37">
        <v>4594.2219999999998</v>
      </c>
      <c r="X21" s="37">
        <v>-11704</v>
      </c>
      <c r="Y21" s="37">
        <v>-9861.6666666666661</v>
      </c>
      <c r="Z21" s="37">
        <v>-9002.75</v>
      </c>
      <c r="AA21" s="98">
        <f t="shared" si="2"/>
        <v>3005.953590027626</v>
      </c>
      <c r="AB21" s="98">
        <f t="shared" si="3"/>
        <v>3111.9202233316305</v>
      </c>
      <c r="AC21" s="98">
        <f t="shared" si="4"/>
        <v>3301.8194509295013</v>
      </c>
      <c r="AD21" s="98">
        <f t="shared" si="5"/>
        <v>595.34718342757344</v>
      </c>
      <c r="AE21" s="98">
        <f t="shared" si="6"/>
        <v>656.83248295806516</v>
      </c>
      <c r="AF21" s="98">
        <f t="shared" si="7"/>
        <v>740.92897630788468</v>
      </c>
      <c r="AG21" s="98">
        <f t="shared" si="8"/>
        <v>830.65669321540202</v>
      </c>
      <c r="AH21" s="98">
        <f t="shared" si="9"/>
        <v>896.19386367109962</v>
      </c>
      <c r="AI21" s="98">
        <f t="shared" si="10"/>
        <v>995.21667772444039</v>
      </c>
      <c r="AJ21" s="98">
        <f t="shared" si="11"/>
        <v>151.01320622888454</v>
      </c>
      <c r="AK21" s="98">
        <f t="shared" si="12"/>
        <v>210.57939024356961</v>
      </c>
      <c r="AL21" s="98">
        <f t="shared" si="13"/>
        <v>319.11762078415506</v>
      </c>
      <c r="AM21" s="98">
        <f t="shared" si="14"/>
        <v>-812.96738243335892</v>
      </c>
      <c r="AN21" s="98">
        <f t="shared" si="15"/>
        <v>-684.9977218412771</v>
      </c>
      <c r="AO21" s="98">
        <f t="shared" si="16"/>
        <v>-625.33681666113489</v>
      </c>
      <c r="AP21" s="61">
        <v>0.15329999999999999</v>
      </c>
      <c r="AQ21" s="98">
        <f t="shared" si="17"/>
        <v>319.11762078415506</v>
      </c>
      <c r="AR21" s="98">
        <f t="shared" si="18"/>
        <v>2081.6544082462824</v>
      </c>
    </row>
    <row r="22" spans="1:44" ht="13.95" customHeight="1" x14ac:dyDescent="0.3">
      <c r="A22" s="96" t="s">
        <v>293</v>
      </c>
      <c r="B22" s="97" t="s">
        <v>294</v>
      </c>
      <c r="C22" s="97" t="s">
        <v>284</v>
      </c>
      <c r="D22" s="97" t="s">
        <v>284</v>
      </c>
      <c r="E22" s="43">
        <v>1.8200000000000001E-2</v>
      </c>
      <c r="F22" s="41">
        <v>16</v>
      </c>
      <c r="G22" s="41">
        <v>17.39</v>
      </c>
      <c r="H22" s="82">
        <f t="shared" si="0"/>
        <v>1.9781125E-2</v>
      </c>
      <c r="I22" s="29">
        <f t="shared" si="1"/>
        <v>1.7792266583045589E-2</v>
      </c>
      <c r="J22" s="20">
        <f>I22*Assumptions!$D$7</f>
        <v>3708.4762850560319</v>
      </c>
      <c r="K22" s="37">
        <v>52079.872901400013</v>
      </c>
      <c r="L22" s="37">
        <v>25592.777777777781</v>
      </c>
      <c r="M22" s="37">
        <v>26138.555555555558</v>
      </c>
      <c r="N22" s="37">
        <v>28340.428571428569</v>
      </c>
      <c r="O22" s="37">
        <v>5774.166666666667</v>
      </c>
      <c r="P22" s="37">
        <v>6455.833333333333</v>
      </c>
      <c r="Q22" s="37">
        <v>7047.666666666667</v>
      </c>
      <c r="R22" s="37">
        <v>7300.125</v>
      </c>
      <c r="S22" s="37">
        <v>8171.75</v>
      </c>
      <c r="T22" s="37">
        <v>8811.75</v>
      </c>
      <c r="U22" s="37">
        <v>2881.5</v>
      </c>
      <c r="V22" s="37">
        <v>3125.375</v>
      </c>
      <c r="W22" s="37">
        <v>3391.4290000000001</v>
      </c>
      <c r="X22" s="37">
        <v>-3424.8</v>
      </c>
      <c r="Y22" s="37">
        <v>-4747.2</v>
      </c>
      <c r="Z22" s="37">
        <v>-4984.6000000000004</v>
      </c>
      <c r="AA22" s="98">
        <f t="shared" si="2"/>
        <v>1822.3971021835296</v>
      </c>
      <c r="AB22" s="98">
        <f t="shared" si="3"/>
        <v>1861.2605600424113</v>
      </c>
      <c r="AC22" s="98">
        <f t="shared" si="4"/>
        <v>2018.0503793557059</v>
      </c>
      <c r="AD22" s="98">
        <f t="shared" si="5"/>
        <v>411.16383271201761</v>
      </c>
      <c r="AE22" s="98">
        <f t="shared" si="6"/>
        <v>459.70359532688695</v>
      </c>
      <c r="AF22" s="98">
        <f t="shared" si="7"/>
        <v>501.84655303969907</v>
      </c>
      <c r="AG22" s="98">
        <f t="shared" si="8"/>
        <v>519.82347368049943</v>
      </c>
      <c r="AH22" s="98">
        <f t="shared" si="9"/>
        <v>581.88968970375458</v>
      </c>
      <c r="AI22" s="98">
        <f t="shared" si="10"/>
        <v>627.46247416368089</v>
      </c>
      <c r="AJ22" s="98">
        <f t="shared" si="11"/>
        <v>205.1843412832464</v>
      </c>
      <c r="AK22" s="98">
        <f t="shared" si="12"/>
        <v>222.55006442412846</v>
      </c>
      <c r="AL22" s="98">
        <f t="shared" si="13"/>
        <v>241.49509816897415</v>
      </c>
      <c r="AM22" s="98">
        <f t="shared" si="14"/>
        <v>-243.87136284118074</v>
      </c>
      <c r="AN22" s="98">
        <f t="shared" si="15"/>
        <v>-338.03612873150348</v>
      </c>
      <c r="AO22" s="98">
        <f t="shared" si="16"/>
        <v>-354.94078346710739</v>
      </c>
      <c r="AP22" s="61">
        <v>0.13286999999999999</v>
      </c>
      <c r="AQ22" s="98">
        <f t="shared" si="17"/>
        <v>241.49509816897415</v>
      </c>
      <c r="AR22" s="98">
        <f t="shared" si="18"/>
        <v>1817.5291500637779</v>
      </c>
    </row>
    <row r="23" spans="1:44" ht="13.95" customHeight="1" x14ac:dyDescent="0.3">
      <c r="A23" s="96" t="s">
        <v>295</v>
      </c>
      <c r="B23" s="97" t="s">
        <v>296</v>
      </c>
      <c r="C23" s="97" t="s">
        <v>284</v>
      </c>
      <c r="D23" s="97" t="s">
        <v>284</v>
      </c>
      <c r="E23" s="43">
        <v>1.511E-2</v>
      </c>
      <c r="F23" s="41">
        <v>38.29</v>
      </c>
      <c r="G23" s="41">
        <v>43.87</v>
      </c>
      <c r="H23" s="82">
        <f t="shared" si="0"/>
        <v>1.731197962914599E-2</v>
      </c>
      <c r="I23" s="29">
        <f t="shared" si="1"/>
        <v>1.5571377090131131E-2</v>
      </c>
      <c r="J23" s="20">
        <f>I23*Assumptions!$D$7</f>
        <v>3245.5720239400448</v>
      </c>
      <c r="K23" s="37">
        <v>101621.6980701</v>
      </c>
      <c r="L23" s="37">
        <v>62171.083333333343</v>
      </c>
      <c r="M23" s="37">
        <v>69044.538461538468</v>
      </c>
      <c r="N23" s="37">
        <v>75743.272727272721</v>
      </c>
      <c r="O23" s="37">
        <v>9701.9</v>
      </c>
      <c r="P23" s="37">
        <v>10997.3</v>
      </c>
      <c r="Q23" s="37">
        <v>12588.7</v>
      </c>
      <c r="R23" s="37">
        <v>12344.92307692308</v>
      </c>
      <c r="S23" s="37">
        <v>13828.461538461541</v>
      </c>
      <c r="T23" s="37">
        <v>15456.18181818182</v>
      </c>
      <c r="U23" s="37">
        <v>4997.8330000000014</v>
      </c>
      <c r="V23" s="37">
        <v>6056.6670000000004</v>
      </c>
      <c r="W23" s="37">
        <v>7141.5450000000001</v>
      </c>
      <c r="X23" s="37">
        <v>-2663</v>
      </c>
      <c r="Y23" s="37">
        <v>-2544</v>
      </c>
      <c r="Z23" s="37">
        <v>-2175.666666666667</v>
      </c>
      <c r="AA23" s="98">
        <f t="shared" si="2"/>
        <v>1985.6067414413883</v>
      </c>
      <c r="AB23" s="98">
        <f t="shared" si="3"/>
        <v>2205.1296789199691</v>
      </c>
      <c r="AC23" s="98">
        <f t="shared" si="4"/>
        <v>2419.0724189210096</v>
      </c>
      <c r="AD23" s="98">
        <f t="shared" si="5"/>
        <v>309.85720389500801</v>
      </c>
      <c r="AE23" s="98">
        <f t="shared" si="6"/>
        <v>351.22941159923027</v>
      </c>
      <c r="AF23" s="98">
        <f t="shared" si="7"/>
        <v>402.05520389543159</v>
      </c>
      <c r="AG23" s="98">
        <f t="shared" si="8"/>
        <v>394.26950874718813</v>
      </c>
      <c r="AH23" s="98">
        <f t="shared" si="9"/>
        <v>441.6504423337031</v>
      </c>
      <c r="AI23" s="98">
        <f t="shared" si="10"/>
        <v>493.63622394321527</v>
      </c>
      <c r="AJ23" s="98">
        <f t="shared" si="11"/>
        <v>159.61971973677322</v>
      </c>
      <c r="AK23" s="98">
        <f t="shared" si="12"/>
        <v>193.43653320928547</v>
      </c>
      <c r="AL23" s="98">
        <f t="shared" si="13"/>
        <v>228.08513437474878</v>
      </c>
      <c r="AM23" s="98">
        <f t="shared" si="14"/>
        <v>-85.050323542028522</v>
      </c>
      <c r="AN23" s="98">
        <f t="shared" si="15"/>
        <v>-81.249727033766632</v>
      </c>
      <c r="AO23" s="98">
        <f t="shared" si="16"/>
        <v>-69.48597593676557</v>
      </c>
      <c r="AP23" s="61">
        <v>0.25745000000000001</v>
      </c>
      <c r="AQ23" s="98">
        <f t="shared" si="17"/>
        <v>228.08513437474878</v>
      </c>
      <c r="AR23" s="98">
        <f t="shared" si="18"/>
        <v>885.93953922994274</v>
      </c>
    </row>
    <row r="24" spans="1:44" ht="13.95" customHeight="1" x14ac:dyDescent="0.3">
      <c r="A24" s="96" t="s">
        <v>297</v>
      </c>
      <c r="B24" s="97" t="s">
        <v>298</v>
      </c>
      <c r="C24" s="97" t="s">
        <v>284</v>
      </c>
      <c r="D24" s="97" t="s">
        <v>284</v>
      </c>
      <c r="E24" s="43">
        <v>9.2399999999999999E-3</v>
      </c>
      <c r="F24" s="41">
        <v>18.37</v>
      </c>
      <c r="G24" s="41">
        <v>21.05</v>
      </c>
      <c r="H24" s="82">
        <f t="shared" si="0"/>
        <v>1.0588023952095809E-2</v>
      </c>
      <c r="I24" s="29">
        <f t="shared" si="1"/>
        <v>9.5234697087936363E-3</v>
      </c>
      <c r="J24" s="20">
        <f>I24*Assumptions!$D$7</f>
        <v>1984.9950764656987</v>
      </c>
      <c r="K24" s="37">
        <v>36957.427284960002</v>
      </c>
      <c r="L24" s="37">
        <v>46876.307692307702</v>
      </c>
      <c r="M24" s="37">
        <v>53062</v>
      </c>
      <c r="N24" s="37">
        <v>59054.916666666657</v>
      </c>
      <c r="O24" s="37">
        <v>2695.666666666667</v>
      </c>
      <c r="P24" s="37">
        <v>3325.333333333333</v>
      </c>
      <c r="Q24" s="37">
        <v>3869.7777777777778</v>
      </c>
      <c r="R24" s="37">
        <v>3923.666666666667</v>
      </c>
      <c r="S24" s="37">
        <v>4569.2222222222226</v>
      </c>
      <c r="T24" s="37">
        <v>5097.875</v>
      </c>
      <c r="U24" s="37">
        <v>1595</v>
      </c>
      <c r="V24" s="37">
        <v>2026.4169999999999</v>
      </c>
      <c r="W24" s="37">
        <v>2484.636</v>
      </c>
      <c r="X24" s="37">
        <v>-1487.5555555555561</v>
      </c>
      <c r="Y24" s="37">
        <v>-1644.666666666667</v>
      </c>
      <c r="Z24" s="37">
        <v>-1767.333333333333</v>
      </c>
      <c r="AA24" s="98">
        <f t="shared" si="2"/>
        <v>2517.7412717250691</v>
      </c>
      <c r="AB24" s="98">
        <f t="shared" si="3"/>
        <v>2849.976756642001</v>
      </c>
      <c r="AC24" s="98">
        <f t="shared" si="4"/>
        <v>3171.8582010747859</v>
      </c>
      <c r="AD24" s="98">
        <f t="shared" si="5"/>
        <v>144.78510692500512</v>
      </c>
      <c r="AE24" s="98">
        <f t="shared" si="6"/>
        <v>178.60470219906651</v>
      </c>
      <c r="AF24" s="98">
        <f t="shared" si="7"/>
        <v>207.84698503705857</v>
      </c>
      <c r="AG24" s="98">
        <f t="shared" si="8"/>
        <v>210.7413742567374</v>
      </c>
      <c r="AH24" s="98">
        <f t="shared" si="9"/>
        <v>245.41436676464227</v>
      </c>
      <c r="AI24" s="98">
        <f t="shared" si="10"/>
        <v>273.80847420501192</v>
      </c>
      <c r="AJ24" s="98">
        <f t="shared" si="11"/>
        <v>85.667953089668529</v>
      </c>
      <c r="AK24" s="98">
        <f t="shared" si="12"/>
        <v>108.83949623580367</v>
      </c>
      <c r="AL24" s="98">
        <f t="shared" si="13"/>
        <v>133.45058325573774</v>
      </c>
      <c r="AM24" s="98">
        <f t="shared" si="14"/>
        <v>-79.897078088783189</v>
      </c>
      <c r="AN24" s="98">
        <f t="shared" si="15"/>
        <v>-88.335565422032317</v>
      </c>
      <c r="AO24" s="98">
        <f t="shared" si="16"/>
        <v>-94.924030779816619</v>
      </c>
      <c r="AP24" s="61">
        <v>0.25263999999999998</v>
      </c>
      <c r="AQ24" s="98">
        <f t="shared" si="17"/>
        <v>133.45058325573774</v>
      </c>
      <c r="AR24" s="98">
        <f t="shared" si="18"/>
        <v>528.22428457780939</v>
      </c>
    </row>
    <row r="25" spans="1:44" ht="13.95" customHeight="1" x14ac:dyDescent="0.3">
      <c r="A25" s="96" t="s">
        <v>299</v>
      </c>
      <c r="B25" s="97" t="s">
        <v>300</v>
      </c>
      <c r="C25" s="97" t="s">
        <v>284</v>
      </c>
      <c r="D25" s="97" t="s">
        <v>284</v>
      </c>
      <c r="E25" s="43">
        <v>8.1799999999999998E-3</v>
      </c>
      <c r="F25" s="41">
        <v>56.31</v>
      </c>
      <c r="G25" s="41">
        <v>61.56</v>
      </c>
      <c r="H25" s="82">
        <f t="shared" si="0"/>
        <v>8.9426531699520508E-3</v>
      </c>
      <c r="I25" s="29">
        <f t="shared" si="1"/>
        <v>8.0435298376358554E-3</v>
      </c>
      <c r="J25" s="20">
        <f>I25*Assumptions!$D$7</f>
        <v>1676.5283676357296</v>
      </c>
      <c r="K25" s="37">
        <v>23902.707917340002</v>
      </c>
      <c r="L25" s="37">
        <v>8582.8333333333321</v>
      </c>
      <c r="M25" s="37">
        <v>9979.4</v>
      </c>
      <c r="N25" s="37">
        <v>10840.2</v>
      </c>
      <c r="O25" s="37">
        <v>2148.25</v>
      </c>
      <c r="P25" s="37">
        <v>2613.25</v>
      </c>
      <c r="Q25" s="37">
        <v>3629.1428571428569</v>
      </c>
      <c r="R25" s="37">
        <v>3224.125</v>
      </c>
      <c r="S25" s="37">
        <v>3866</v>
      </c>
      <c r="T25" s="37">
        <v>5225.5714285714284</v>
      </c>
      <c r="U25" s="37">
        <v>1108.25</v>
      </c>
      <c r="V25" s="37">
        <v>1148.5709999999999</v>
      </c>
      <c r="W25" s="37">
        <v>1718</v>
      </c>
      <c r="X25" s="37">
        <v>-3633</v>
      </c>
      <c r="Y25" s="37">
        <v>-4410</v>
      </c>
      <c r="Z25" s="37">
        <v>-5241.75</v>
      </c>
      <c r="AA25" s="98">
        <f t="shared" si="2"/>
        <v>601.99721336109474</v>
      </c>
      <c r="AB25" s="98">
        <f t="shared" si="3"/>
        <v>699.9519573197324</v>
      </c>
      <c r="AC25" s="98">
        <f t="shared" si="4"/>
        <v>760.32819685926654</v>
      </c>
      <c r="AD25" s="98">
        <f t="shared" si="5"/>
        <v>150.67757503578525</v>
      </c>
      <c r="AE25" s="98">
        <f t="shared" si="6"/>
        <v>183.29252785395826</v>
      </c>
      <c r="AF25" s="98">
        <f t="shared" si="7"/>
        <v>254.54693130349207</v>
      </c>
      <c r="AG25" s="98">
        <f t="shared" si="8"/>
        <v>226.13910699976776</v>
      </c>
      <c r="AH25" s="98">
        <f t="shared" si="9"/>
        <v>271.16001633345547</v>
      </c>
      <c r="AI25" s="98">
        <f t="shared" si="10"/>
        <v>366.51992600182797</v>
      </c>
      <c r="AJ25" s="98">
        <f t="shared" si="11"/>
        <v>77.732304216645645</v>
      </c>
      <c r="AK25" s="98">
        <f t="shared" si="12"/>
        <v>80.560406394240374</v>
      </c>
      <c r="AL25" s="98">
        <f t="shared" si="13"/>
        <v>120.49997621854024</v>
      </c>
      <c r="AM25" s="98">
        <f t="shared" si="14"/>
        <v>-254.81747008262903</v>
      </c>
      <c r="AN25" s="98">
        <f t="shared" si="15"/>
        <v>-309.31600414654389</v>
      </c>
      <c r="AO25" s="98">
        <f t="shared" si="16"/>
        <v>-367.6546858809856</v>
      </c>
      <c r="AP25" s="61">
        <v>0.17802000000000001</v>
      </c>
      <c r="AQ25" s="98">
        <f t="shared" si="17"/>
        <v>120.49997621854024</v>
      </c>
      <c r="AR25" s="98">
        <f t="shared" si="18"/>
        <v>676.89010346332009</v>
      </c>
    </row>
    <row r="26" spans="1:44" ht="13.95" customHeight="1" x14ac:dyDescent="0.3">
      <c r="A26" s="96" t="s">
        <v>301</v>
      </c>
      <c r="B26" s="97" t="s">
        <v>302</v>
      </c>
      <c r="C26" s="97" t="s">
        <v>284</v>
      </c>
      <c r="D26" s="97" t="s">
        <v>284</v>
      </c>
      <c r="E26" s="43">
        <v>8.0700000000000008E-3</v>
      </c>
      <c r="F26" s="41">
        <v>29.81</v>
      </c>
      <c r="G26" s="41">
        <v>31.69</v>
      </c>
      <c r="H26" s="82">
        <f t="shared" si="0"/>
        <v>8.5789433076148957E-3</v>
      </c>
      <c r="I26" s="29">
        <f t="shared" si="1"/>
        <v>7.7163885436201986E-3</v>
      </c>
      <c r="J26" s="20">
        <f>I26*Assumptions!$D$7</f>
        <v>1608.3416796127619</v>
      </c>
      <c r="K26" s="37">
        <v>101875.93050176</v>
      </c>
      <c r="L26" s="37">
        <v>63659.866666666661</v>
      </c>
      <c r="M26" s="37">
        <v>67188.2</v>
      </c>
      <c r="N26" s="37">
        <v>70950.166666666672</v>
      </c>
      <c r="O26" s="37">
        <v>12017.83333333333</v>
      </c>
      <c r="P26" s="37">
        <v>14286.75</v>
      </c>
      <c r="Q26" s="37">
        <v>15152.18181818182</v>
      </c>
      <c r="R26" s="37">
        <v>27121.8</v>
      </c>
      <c r="S26" s="37">
        <v>29157.4</v>
      </c>
      <c r="T26" s="37">
        <v>30271.166666666672</v>
      </c>
      <c r="U26" s="37">
        <v>7265.0910000000003</v>
      </c>
      <c r="V26" s="37">
        <v>9591.357</v>
      </c>
      <c r="W26" s="37">
        <v>10439.166999999999</v>
      </c>
      <c r="X26" s="37">
        <v>-9612.8888888888887</v>
      </c>
      <c r="Y26" s="37">
        <v>-10092.555555555549</v>
      </c>
      <c r="Z26" s="37">
        <v>-10413.111111111109</v>
      </c>
      <c r="AA26" s="98">
        <f t="shared" si="2"/>
        <v>1005.0147897969119</v>
      </c>
      <c r="AB26" s="98">
        <f t="shared" si="3"/>
        <v>1060.717501238345</v>
      </c>
      <c r="AC26" s="98">
        <f t="shared" si="4"/>
        <v>1120.1086425757915</v>
      </c>
      <c r="AD26" s="98">
        <f t="shared" si="5"/>
        <v>189.72864496492272</v>
      </c>
      <c r="AE26" s="98">
        <f t="shared" si="6"/>
        <v>225.54861956142486</v>
      </c>
      <c r="AF26" s="98">
        <f t="shared" si="7"/>
        <v>239.21141564279</v>
      </c>
      <c r="AG26" s="98">
        <f t="shared" si="8"/>
        <v>428.17887553299755</v>
      </c>
      <c r="AH26" s="98">
        <f t="shared" si="9"/>
        <v>460.31541953210422</v>
      </c>
      <c r="AI26" s="98">
        <f t="shared" si="10"/>
        <v>477.89874213382944</v>
      </c>
      <c r="AJ26" s="98">
        <f t="shared" si="11"/>
        <v>114.69587177196577</v>
      </c>
      <c r="AK26" s="98">
        <f t="shared" si="12"/>
        <v>151.42123513540935</v>
      </c>
      <c r="AL26" s="98">
        <f t="shared" si="13"/>
        <v>164.80583101273427</v>
      </c>
      <c r="AM26" s="98">
        <f t="shared" si="14"/>
        <v>-151.76116463760115</v>
      </c>
      <c r="AN26" s="98">
        <f t="shared" si="15"/>
        <v>-159.33378643866124</v>
      </c>
      <c r="AO26" s="98">
        <f t="shared" si="16"/>
        <v>-164.39447995176272</v>
      </c>
      <c r="AP26" s="61">
        <v>0.15648000000000001</v>
      </c>
      <c r="AQ26" s="98">
        <f t="shared" si="17"/>
        <v>164.80583101273427</v>
      </c>
      <c r="AR26" s="98">
        <f t="shared" si="18"/>
        <v>1053.206997780766</v>
      </c>
    </row>
    <row r="27" spans="1:44" ht="13.95" customHeight="1" x14ac:dyDescent="0.3">
      <c r="A27" s="96" t="s">
        <v>303</v>
      </c>
      <c r="B27" s="97" t="s">
        <v>304</v>
      </c>
      <c r="C27" s="97" t="s">
        <v>284</v>
      </c>
      <c r="D27" s="97" t="s">
        <v>284</v>
      </c>
      <c r="E27" s="43">
        <v>7.79E-3</v>
      </c>
      <c r="F27" s="41">
        <v>11.16</v>
      </c>
      <c r="G27" s="41">
        <v>12.08</v>
      </c>
      <c r="H27" s="82">
        <f t="shared" si="0"/>
        <v>8.4321863799283157E-3</v>
      </c>
      <c r="I27" s="29">
        <f t="shared" si="1"/>
        <v>7.5843870330737371E-3</v>
      </c>
      <c r="J27" s="20">
        <f>I27*Assumptions!$D$7</f>
        <v>1580.8283513266626</v>
      </c>
      <c r="K27" s="37">
        <v>39737.660620559996</v>
      </c>
      <c r="L27" s="37">
        <v>39365.28571428571</v>
      </c>
      <c r="M27" s="37">
        <v>35664</v>
      </c>
      <c r="N27" s="37">
        <v>37164.142857142862</v>
      </c>
      <c r="O27" s="37">
        <v>5924.2857142857138</v>
      </c>
      <c r="P27" s="37">
        <v>6179.1428571428578</v>
      </c>
      <c r="Q27" s="37">
        <v>7732.2857142857138</v>
      </c>
      <c r="R27" s="37">
        <v>7518.125</v>
      </c>
      <c r="S27" s="37">
        <v>7949.375</v>
      </c>
      <c r="T27" s="37">
        <v>9589.1428571428569</v>
      </c>
      <c r="U27" s="37">
        <v>3611.375</v>
      </c>
      <c r="V27" s="37">
        <v>3740.625</v>
      </c>
      <c r="W27" s="37">
        <v>4638.857</v>
      </c>
      <c r="X27" s="37">
        <v>-5508</v>
      </c>
      <c r="Y27" s="37">
        <v>-5924.75</v>
      </c>
      <c r="Z27" s="37">
        <v>-5536.5</v>
      </c>
      <c r="AA27" s="98">
        <f t="shared" si="2"/>
        <v>1566.0146758367564</v>
      </c>
      <c r="AB27" s="98">
        <f t="shared" si="3"/>
        <v>1418.7715492377063</v>
      </c>
      <c r="AC27" s="98">
        <f t="shared" si="4"/>
        <v>1478.4496561664428</v>
      </c>
      <c r="AD27" s="98">
        <f t="shared" si="5"/>
        <v>235.677658731044</v>
      </c>
      <c r="AE27" s="98">
        <f t="shared" si="6"/>
        <v>245.81628769598697</v>
      </c>
      <c r="AF27" s="98">
        <f t="shared" si="7"/>
        <v>307.60282026709643</v>
      </c>
      <c r="AG27" s="98">
        <f t="shared" si="8"/>
        <v>299.08316099183298</v>
      </c>
      <c r="AH27" s="98">
        <f t="shared" si="9"/>
        <v>316.238982846049</v>
      </c>
      <c r="AI27" s="98">
        <f t="shared" si="10"/>
        <v>381.47159789396187</v>
      </c>
      <c r="AJ27" s="98">
        <f t="shared" si="11"/>
        <v>143.6663330985958</v>
      </c>
      <c r="AK27" s="98">
        <f t="shared" si="12"/>
        <v>148.80810695287391</v>
      </c>
      <c r="AL27" s="98">
        <f t="shared" si="13"/>
        <v>184.54122736042447</v>
      </c>
      <c r="AM27" s="98">
        <f t="shared" si="14"/>
        <v>-219.11714034323927</v>
      </c>
      <c r="AN27" s="98">
        <f t="shared" si="15"/>
        <v>-235.69612876699475</v>
      </c>
      <c r="AO27" s="98">
        <f t="shared" si="16"/>
        <v>-220.25091639621354</v>
      </c>
      <c r="AP27" s="61">
        <v>0.14308000000000001</v>
      </c>
      <c r="AQ27" s="98">
        <f t="shared" si="17"/>
        <v>184.54122736042447</v>
      </c>
      <c r="AR27" s="98">
        <f t="shared" si="18"/>
        <v>1289.7765401203833</v>
      </c>
    </row>
    <row r="28" spans="1:44" ht="13.95" customHeight="1" x14ac:dyDescent="0.3">
      <c r="A28" s="96" t="s">
        <v>305</v>
      </c>
      <c r="B28" s="97" t="s">
        <v>306</v>
      </c>
      <c r="C28" s="97" t="s">
        <v>284</v>
      </c>
      <c r="D28" s="97" t="s">
        <v>284</v>
      </c>
      <c r="E28" s="43">
        <v>7.26E-3</v>
      </c>
      <c r="F28" s="41">
        <v>52.97</v>
      </c>
      <c r="G28" s="41">
        <v>63.21</v>
      </c>
      <c r="H28" s="82">
        <f t="shared" si="0"/>
        <v>8.6634812157825192E-3</v>
      </c>
      <c r="I28" s="29">
        <f t="shared" si="1"/>
        <v>7.7924267365182959E-3</v>
      </c>
      <c r="J28" s="20">
        <f>I28*Assumptions!$D$7</f>
        <v>1624.1904661518427</v>
      </c>
      <c r="K28" s="37">
        <v>32974.913162999997</v>
      </c>
      <c r="L28" s="37">
        <v>31721.28571428571</v>
      </c>
      <c r="M28" s="37">
        <v>32853.833333333328</v>
      </c>
      <c r="N28" s="37">
        <v>35095</v>
      </c>
      <c r="O28" s="37">
        <v>6636.8571428571422</v>
      </c>
      <c r="P28" s="37">
        <v>7111.875</v>
      </c>
      <c r="Q28" s="37">
        <v>7853.166666666667</v>
      </c>
      <c r="R28" s="37">
        <v>9002.875</v>
      </c>
      <c r="S28" s="37">
        <v>9485.8571428571431</v>
      </c>
      <c r="T28" s="37">
        <v>10440</v>
      </c>
      <c r="U28" s="37">
        <v>1552.125</v>
      </c>
      <c r="V28" s="37">
        <v>1897.7139999999999</v>
      </c>
      <c r="W28" s="37">
        <v>2613.5</v>
      </c>
      <c r="X28" s="37">
        <v>-6128.5</v>
      </c>
      <c r="Y28" s="37">
        <v>-6467.5</v>
      </c>
      <c r="Z28" s="37">
        <v>-6184</v>
      </c>
      <c r="AA28" s="98">
        <f t="shared" si="2"/>
        <v>1562.4426234738921</v>
      </c>
      <c r="AB28" s="98">
        <f t="shared" si="3"/>
        <v>1618.226638316549</v>
      </c>
      <c r="AC28" s="98">
        <f t="shared" si="4"/>
        <v>1728.6160581480383</v>
      </c>
      <c r="AD28" s="98">
        <f t="shared" si="5"/>
        <v>326.90063635211186</v>
      </c>
      <c r="AE28" s="98">
        <f t="shared" si="6"/>
        <v>350.29780106971305</v>
      </c>
      <c r="AF28" s="98">
        <f t="shared" si="7"/>
        <v>386.81037205621612</v>
      </c>
      <c r="AG28" s="98">
        <f t="shared" si="8"/>
        <v>443.4396436671754</v>
      </c>
      <c r="AH28" s="98">
        <f t="shared" si="9"/>
        <v>467.2290919629898</v>
      </c>
      <c r="AI28" s="98">
        <f t="shared" si="10"/>
        <v>514.2257201044456</v>
      </c>
      <c r="AJ28" s="98">
        <f t="shared" si="11"/>
        <v>76.450440212367113</v>
      </c>
      <c r="AK28" s="98">
        <f t="shared" si="12"/>
        <v>93.472542931253628</v>
      </c>
      <c r="AL28" s="98">
        <f t="shared" si="13"/>
        <v>128.72882370622307</v>
      </c>
      <c r="AM28" s="98">
        <f t="shared" si="14"/>
        <v>-301.86133387548801</v>
      </c>
      <c r="AN28" s="98">
        <f t="shared" si="15"/>
        <v>-318.55889317773011</v>
      </c>
      <c r="AO28" s="98">
        <f t="shared" si="16"/>
        <v>-304.59500508868695</v>
      </c>
      <c r="AP28" s="61">
        <v>0.12330000000000001</v>
      </c>
      <c r="AQ28" s="98">
        <f t="shared" si="17"/>
        <v>128.72882370622307</v>
      </c>
      <c r="AR28" s="98">
        <f t="shared" si="18"/>
        <v>1044.0293893448747</v>
      </c>
    </row>
    <row r="29" spans="1:44" ht="13.95" customHeight="1" x14ac:dyDescent="0.3">
      <c r="A29" s="96" t="s">
        <v>307</v>
      </c>
      <c r="B29" s="97" t="s">
        <v>308</v>
      </c>
      <c r="C29" s="97" t="s">
        <v>284</v>
      </c>
      <c r="D29" s="97" t="s">
        <v>284</v>
      </c>
      <c r="E29" s="43">
        <v>5.5900000000000004E-3</v>
      </c>
      <c r="F29" s="41">
        <v>10.93</v>
      </c>
      <c r="G29" s="41">
        <v>12.92</v>
      </c>
      <c r="H29" s="82">
        <f t="shared" si="0"/>
        <v>6.607758462946021E-3</v>
      </c>
      <c r="I29" s="29">
        <f t="shared" si="1"/>
        <v>5.9433930117276526E-3</v>
      </c>
      <c r="J29" s="20">
        <f>I29*Assumptions!$D$7</f>
        <v>1238.7928167489772</v>
      </c>
      <c r="K29" s="37">
        <v>16225.007868180001</v>
      </c>
      <c r="L29" s="37">
        <v>78892.399999999994</v>
      </c>
      <c r="M29" s="37">
        <v>83026</v>
      </c>
      <c r="N29" s="37">
        <v>87555.625</v>
      </c>
      <c r="O29" s="37">
        <v>5502.666666666667</v>
      </c>
      <c r="P29" s="37">
        <v>5037.333333333333</v>
      </c>
      <c r="Q29" s="37">
        <v>5054.666666666667</v>
      </c>
      <c r="R29" s="37">
        <v>6595.2857142857138</v>
      </c>
      <c r="S29" s="37">
        <v>6182.25</v>
      </c>
      <c r="T29" s="37">
        <v>6074</v>
      </c>
      <c r="U29" s="37">
        <v>1356.875</v>
      </c>
      <c r="V29" s="37">
        <v>1390.75</v>
      </c>
      <c r="W29" s="37">
        <v>1566</v>
      </c>
      <c r="X29" s="37">
        <v>-722.66666666666663</v>
      </c>
      <c r="Y29" s="37">
        <v>-1452.5</v>
      </c>
      <c r="Z29" s="37">
        <v>-1779</v>
      </c>
      <c r="AA29" s="98">
        <f t="shared" si="2"/>
        <v>6023.5002170787711</v>
      </c>
      <c r="AB29" s="98">
        <f t="shared" si="3"/>
        <v>6339.1040077774551</v>
      </c>
      <c r="AC29" s="98">
        <f t="shared" si="4"/>
        <v>6684.9446359087506</v>
      </c>
      <c r="AD29" s="98">
        <f t="shared" si="5"/>
        <v>420.13316696131426</v>
      </c>
      <c r="AE29" s="98">
        <f t="shared" si="6"/>
        <v>384.60458075595955</v>
      </c>
      <c r="AF29" s="98">
        <f t="shared" si="7"/>
        <v>385.92799514183241</v>
      </c>
      <c r="AG29" s="98">
        <f t="shared" si="8"/>
        <v>503.55553807079667</v>
      </c>
      <c r="AH29" s="98">
        <f t="shared" si="9"/>
        <v>472.01991848435637</v>
      </c>
      <c r="AI29" s="98">
        <f t="shared" si="10"/>
        <v>463.75494114181413</v>
      </c>
      <c r="AJ29" s="98">
        <f t="shared" si="11"/>
        <v>103.59853239410586</v>
      </c>
      <c r="AK29" s="98">
        <f t="shared" si="12"/>
        <v>106.18491675880442</v>
      </c>
      <c r="AL29" s="98">
        <f t="shared" si="13"/>
        <v>119.56539970827805</v>
      </c>
      <c r="AM29" s="98">
        <f t="shared" si="14"/>
        <v>-55.176199780235592</v>
      </c>
      <c r="AN29" s="98">
        <f t="shared" si="15"/>
        <v>-110.8995805084763</v>
      </c>
      <c r="AO29" s="98">
        <f t="shared" si="16"/>
        <v>-135.82812648852277</v>
      </c>
      <c r="AP29" s="61">
        <v>0.17027</v>
      </c>
      <c r="AQ29" s="98">
        <f t="shared" si="17"/>
        <v>119.56539970827805</v>
      </c>
      <c r="AR29" s="98">
        <f t="shared" si="18"/>
        <v>702.21060497021233</v>
      </c>
    </row>
    <row r="30" spans="1:44" ht="13.95" customHeight="1" x14ac:dyDescent="0.3">
      <c r="A30" s="96" t="s">
        <v>309</v>
      </c>
      <c r="B30" s="97" t="s">
        <v>310</v>
      </c>
      <c r="C30" s="97" t="s">
        <v>284</v>
      </c>
      <c r="D30" s="97" t="s">
        <v>284</v>
      </c>
      <c r="E30" s="43">
        <v>5.45E-3</v>
      </c>
      <c r="F30" s="41">
        <v>18.329999999999998</v>
      </c>
      <c r="G30" s="41">
        <v>19.37</v>
      </c>
      <c r="H30" s="82">
        <f t="shared" si="0"/>
        <v>5.7592198581560292E-3</v>
      </c>
      <c r="I30" s="29">
        <f t="shared" si="1"/>
        <v>5.1801692283266025E-3</v>
      </c>
      <c r="J30" s="20">
        <f>I30*Assumptions!$D$7</f>
        <v>1079.7126181850322</v>
      </c>
      <c r="K30" s="37">
        <v>45742.998366299988</v>
      </c>
      <c r="L30" s="37">
        <v>28065.066666666669</v>
      </c>
      <c r="M30" s="37">
        <v>29338.400000000001</v>
      </c>
      <c r="N30" s="37">
        <v>30645.461538461539</v>
      </c>
      <c r="O30" s="37">
        <v>7180.333333333333</v>
      </c>
      <c r="P30" s="37">
        <v>7951.5</v>
      </c>
      <c r="Q30" s="37">
        <v>8705.75</v>
      </c>
      <c r="R30" s="37">
        <v>14401.785714285719</v>
      </c>
      <c r="S30" s="37">
        <v>15274.642857142861</v>
      </c>
      <c r="T30" s="37">
        <v>16185.18181818182</v>
      </c>
      <c r="U30" s="37">
        <v>4410.4290000000001</v>
      </c>
      <c r="V30" s="37">
        <v>5093.5</v>
      </c>
      <c r="W30" s="37">
        <v>5621.8459999999995</v>
      </c>
      <c r="X30" s="37">
        <v>-4633</v>
      </c>
      <c r="Y30" s="37">
        <v>-4776.1111111111104</v>
      </c>
      <c r="Z30" s="37">
        <v>-4922.5555555555557</v>
      </c>
      <c r="AA30" s="98">
        <f t="shared" si="2"/>
        <v>662.44469519795484</v>
      </c>
      <c r="AB30" s="98">
        <f t="shared" si="3"/>
        <v>692.50031280627672</v>
      </c>
      <c r="AC30" s="98">
        <f t="shared" si="4"/>
        <v>723.3520471967571</v>
      </c>
      <c r="AD30" s="98">
        <f t="shared" si="5"/>
        <v>169.48378505258191</v>
      </c>
      <c r="AE30" s="98">
        <f t="shared" si="6"/>
        <v>187.68631681615594</v>
      </c>
      <c r="AF30" s="98">
        <f t="shared" si="7"/>
        <v>205.48954947145188</v>
      </c>
      <c r="AG30" s="98">
        <f t="shared" si="8"/>
        <v>339.93813950698842</v>
      </c>
      <c r="AH30" s="98">
        <f t="shared" si="9"/>
        <v>360.54096189893085</v>
      </c>
      <c r="AI30" s="98">
        <f t="shared" si="10"/>
        <v>382.03322171343268</v>
      </c>
      <c r="AJ30" s="98">
        <f t="shared" si="11"/>
        <v>104.10327291569665</v>
      </c>
      <c r="AK30" s="98">
        <f t="shared" si="12"/>
        <v>120.22640441465009</v>
      </c>
      <c r="AL30" s="98">
        <f t="shared" si="13"/>
        <v>132.69742431586985</v>
      </c>
      <c r="AM30" s="98">
        <f t="shared" si="14"/>
        <v>-109.35681391048865</v>
      </c>
      <c r="AN30" s="98">
        <f t="shared" si="15"/>
        <v>-112.73479257362288</v>
      </c>
      <c r="AO30" s="98">
        <f t="shared" si="16"/>
        <v>-116.1914508640041</v>
      </c>
      <c r="AP30" s="61">
        <v>0.22244</v>
      </c>
      <c r="AQ30" s="98">
        <f t="shared" si="17"/>
        <v>132.69742431586985</v>
      </c>
      <c r="AR30" s="98">
        <f t="shared" si="18"/>
        <v>596.55378671043809</v>
      </c>
    </row>
    <row r="31" spans="1:44" ht="13.95" customHeight="1" x14ac:dyDescent="0.3">
      <c r="A31" s="96" t="s">
        <v>311</v>
      </c>
      <c r="B31" s="97" t="s">
        <v>312</v>
      </c>
      <c r="C31" s="97" t="s">
        <v>284</v>
      </c>
      <c r="D31" s="97" t="s">
        <v>284</v>
      </c>
      <c r="E31" s="43">
        <v>5.0000000000000001E-3</v>
      </c>
      <c r="F31" s="41">
        <v>29.46</v>
      </c>
      <c r="G31" s="41">
        <v>31.9</v>
      </c>
      <c r="H31" s="82">
        <f t="shared" si="0"/>
        <v>5.414120841819416E-3</v>
      </c>
      <c r="I31" s="29">
        <f t="shared" si="1"/>
        <v>4.8697675855379433E-3</v>
      </c>
      <c r="J31" s="20">
        <f>I31*Assumptions!$D$7</f>
        <v>1015.0150078074378</v>
      </c>
      <c r="K31" s="37">
        <v>44318.577760800013</v>
      </c>
      <c r="L31" s="37">
        <v>12848.3</v>
      </c>
      <c r="M31" s="37">
        <v>12479.3</v>
      </c>
      <c r="N31" s="37">
        <v>13340.888888888891</v>
      </c>
      <c r="O31" s="37">
        <v>6624.666666666667</v>
      </c>
      <c r="P31" s="37">
        <v>6740.8888888888896</v>
      </c>
      <c r="Q31" s="37">
        <v>7610.666666666667</v>
      </c>
      <c r="R31" s="37">
        <v>7916</v>
      </c>
      <c r="S31" s="37">
        <v>8439.4545454545441</v>
      </c>
      <c r="T31" s="37">
        <v>9455.2222222222208</v>
      </c>
      <c r="U31" s="37">
        <v>3752.4549999999999</v>
      </c>
      <c r="V31" s="37">
        <v>3514.1819999999998</v>
      </c>
      <c r="W31" s="37">
        <v>4398.4440000000004</v>
      </c>
      <c r="X31" s="37">
        <v>-2049.5</v>
      </c>
      <c r="Y31" s="37">
        <v>-2873</v>
      </c>
      <c r="Z31" s="37">
        <v>-1263.75</v>
      </c>
      <c r="AA31" s="98">
        <f t="shared" si="2"/>
        <v>294.26073632595944</v>
      </c>
      <c r="AB31" s="98">
        <f t="shared" si="3"/>
        <v>285.80964071764714</v>
      </c>
      <c r="AC31" s="98">
        <f t="shared" si="4"/>
        <v>305.5423509481609</v>
      </c>
      <c r="AD31" s="98">
        <f t="shared" si="5"/>
        <v>151.72274084877944</v>
      </c>
      <c r="AE31" s="98">
        <f t="shared" si="6"/>
        <v>154.38454331981066</v>
      </c>
      <c r="AF31" s="98">
        <f t="shared" si="7"/>
        <v>174.30480120052994</v>
      </c>
      <c r="AG31" s="98">
        <f t="shared" si="8"/>
        <v>181.29775836151825</v>
      </c>
      <c r="AH31" s="98">
        <f t="shared" si="9"/>
        <v>193.28627979848847</v>
      </c>
      <c r="AI31" s="98">
        <f t="shared" si="10"/>
        <v>216.55010026514674</v>
      </c>
      <c r="AJ31" s="98">
        <f t="shared" si="11"/>
        <v>85.941344094551667</v>
      </c>
      <c r="AK31" s="98">
        <f t="shared" si="12"/>
        <v>80.484249504092588</v>
      </c>
      <c r="AL31" s="98">
        <f t="shared" si="13"/>
        <v>100.73623515395022</v>
      </c>
      <c r="AM31" s="98">
        <f t="shared" si="14"/>
        <v>-46.939079808227845</v>
      </c>
      <c r="AN31" s="98">
        <f t="shared" si="15"/>
        <v>-65.79945171458337</v>
      </c>
      <c r="AO31" s="98">
        <f t="shared" si="16"/>
        <v>-28.943284756110245</v>
      </c>
      <c r="AP31" s="61">
        <v>0.23894000000000001</v>
      </c>
      <c r="AQ31" s="98">
        <f t="shared" si="17"/>
        <v>100.73623515395022</v>
      </c>
      <c r="AR31" s="98">
        <f t="shared" si="18"/>
        <v>421.59636374801295</v>
      </c>
    </row>
    <row r="32" spans="1:44" ht="13.95" customHeight="1" x14ac:dyDescent="0.3">
      <c r="A32" s="96" t="s">
        <v>313</v>
      </c>
      <c r="B32" s="97" t="s">
        <v>314</v>
      </c>
      <c r="C32" s="97" t="s">
        <v>284</v>
      </c>
      <c r="D32" s="97" t="s">
        <v>284</v>
      </c>
      <c r="E32" s="43">
        <v>4.8599999999999997E-3</v>
      </c>
      <c r="F32" s="41">
        <v>27.59</v>
      </c>
      <c r="G32" s="41">
        <v>29.42</v>
      </c>
      <c r="H32" s="82">
        <f t="shared" si="0"/>
        <v>5.1823559260601665E-3</v>
      </c>
      <c r="I32" s="29">
        <f t="shared" si="1"/>
        <v>4.6613050655454919E-3</v>
      </c>
      <c r="J32" s="20">
        <f>I32*Assumptions!$D$7</f>
        <v>971.56476451737274</v>
      </c>
      <c r="K32" s="37">
        <v>22026.884417599998</v>
      </c>
      <c r="L32" s="37">
        <v>5221.2307692307704</v>
      </c>
      <c r="M32" s="37">
        <v>5994.166666666667</v>
      </c>
      <c r="N32" s="37">
        <v>6166.916666666667</v>
      </c>
      <c r="O32" s="37">
        <v>3602.181818181818</v>
      </c>
      <c r="P32" s="37">
        <v>4261.090909090909</v>
      </c>
      <c r="Q32" s="37">
        <v>4071.7</v>
      </c>
      <c r="R32" s="37">
        <v>4260.6923076923076</v>
      </c>
      <c r="S32" s="37">
        <v>4987.333333333333</v>
      </c>
      <c r="T32" s="37">
        <v>5099</v>
      </c>
      <c r="U32" s="37">
        <v>1563.077</v>
      </c>
      <c r="V32" s="37">
        <v>1828.5830000000001</v>
      </c>
      <c r="W32" s="37">
        <v>1850.0830000000001</v>
      </c>
      <c r="X32" s="37">
        <v>-3967.625</v>
      </c>
      <c r="Y32" s="37">
        <v>-3541.25</v>
      </c>
      <c r="Z32" s="37">
        <v>-1512.428571428572</v>
      </c>
      <c r="AA32" s="98">
        <f t="shared" si="2"/>
        <v>230.29874523449612</v>
      </c>
      <c r="AB32" s="98">
        <f t="shared" si="3"/>
        <v>264.39150519737575</v>
      </c>
      <c r="AC32" s="98">
        <f t="shared" si="4"/>
        <v>272.0111853068455</v>
      </c>
      <c r="AD32" s="98">
        <f t="shared" si="5"/>
        <v>158.88551751486898</v>
      </c>
      <c r="AE32" s="98">
        <f t="shared" si="6"/>
        <v>187.94876784163486</v>
      </c>
      <c r="AF32" s="98">
        <f t="shared" si="7"/>
        <v>179.59508828786124</v>
      </c>
      <c r="AG32" s="98">
        <f t="shared" si="8"/>
        <v>187.93118627782283</v>
      </c>
      <c r="AH32" s="98">
        <f t="shared" si="9"/>
        <v>219.98196584252111</v>
      </c>
      <c r="AI32" s="98">
        <f t="shared" si="10"/>
        <v>224.90737411395841</v>
      </c>
      <c r="AJ32" s="98">
        <f t="shared" si="11"/>
        <v>68.944409415164486</v>
      </c>
      <c r="AK32" s="98">
        <f t="shared" si="12"/>
        <v>80.65538358098145</v>
      </c>
      <c r="AL32" s="98">
        <f t="shared" si="13"/>
        <v>81.603708457123858</v>
      </c>
      <c r="AM32" s="98">
        <f t="shared" si="14"/>
        <v>-175.00453426532539</v>
      </c>
      <c r="AN32" s="98">
        <f t="shared" si="15"/>
        <v>-156.19792872740837</v>
      </c>
      <c r="AO32" s="98">
        <f t="shared" si="16"/>
        <v>-66.710401752289769</v>
      </c>
      <c r="AP32" s="61">
        <v>0.15032999999999999</v>
      </c>
      <c r="AQ32" s="98">
        <f t="shared" si="17"/>
        <v>81.603708457123858</v>
      </c>
      <c r="AR32" s="98">
        <f t="shared" si="18"/>
        <v>542.8304959563884</v>
      </c>
    </row>
    <row r="33" spans="1:44" ht="13.95" customHeight="1" x14ac:dyDescent="0.3">
      <c r="A33" s="96" t="s">
        <v>315</v>
      </c>
      <c r="B33" s="97" t="s">
        <v>316</v>
      </c>
      <c r="C33" s="97" t="s">
        <v>284</v>
      </c>
      <c r="D33" s="97" t="s">
        <v>284</v>
      </c>
      <c r="E33" s="43">
        <v>4.7299999999999998E-3</v>
      </c>
      <c r="F33" s="41">
        <v>16.78</v>
      </c>
      <c r="G33" s="41">
        <v>17.8</v>
      </c>
      <c r="H33" s="82">
        <f t="shared" si="0"/>
        <v>5.0175208581644815E-3</v>
      </c>
      <c r="I33" s="29">
        <f t="shared" si="1"/>
        <v>4.5130430495967308E-3</v>
      </c>
      <c r="J33" s="20">
        <f>I33*Assumptions!$D$7</f>
        <v>940.6622278701019</v>
      </c>
      <c r="K33" s="37">
        <v>25579.54473179</v>
      </c>
      <c r="L33" s="37">
        <v>165140.33333333331</v>
      </c>
      <c r="M33" s="37">
        <v>170893.91666666669</v>
      </c>
      <c r="N33" s="37">
        <v>176039.1</v>
      </c>
      <c r="O33" s="37">
        <v>6036.5555555555557</v>
      </c>
      <c r="P33" s="37">
        <v>6010.1</v>
      </c>
      <c r="Q33" s="37">
        <v>7152</v>
      </c>
      <c r="R33" s="37">
        <v>12890</v>
      </c>
      <c r="S33" s="37">
        <v>12856.36363636364</v>
      </c>
      <c r="T33" s="37">
        <v>14184.2</v>
      </c>
      <c r="U33" s="37">
        <v>394.7</v>
      </c>
      <c r="V33" s="37">
        <v>445.04</v>
      </c>
      <c r="W33" s="37">
        <v>1627.222</v>
      </c>
      <c r="X33" s="37">
        <v>-5478.8</v>
      </c>
      <c r="Y33" s="37">
        <v>-4844.3999999999996</v>
      </c>
      <c r="Z33" s="37">
        <v>-5258</v>
      </c>
      <c r="AA33" s="98">
        <f t="shared" si="2"/>
        <v>6072.8709401730675</v>
      </c>
      <c r="AB33" s="98">
        <f t="shared" si="3"/>
        <v>6284.4532248977621</v>
      </c>
      <c r="AC33" s="98">
        <f t="shared" si="4"/>
        <v>6473.6622068355236</v>
      </c>
      <c r="AD33" s="98">
        <f t="shared" si="5"/>
        <v>221.98830577674516</v>
      </c>
      <c r="AE33" s="98">
        <f t="shared" si="6"/>
        <v>221.01542912513293</v>
      </c>
      <c r="AF33" s="98">
        <f t="shared" si="7"/>
        <v>263.0076619528711</v>
      </c>
      <c r="AG33" s="98">
        <f t="shared" si="8"/>
        <v>474.01688514716278</v>
      </c>
      <c r="AH33" s="98">
        <f t="shared" si="9"/>
        <v>472.77994144517794</v>
      </c>
      <c r="AI33" s="98">
        <f t="shared" si="10"/>
        <v>521.60979847202384</v>
      </c>
      <c r="AJ33" s="98">
        <f t="shared" si="11"/>
        <v>14.514698570022121</v>
      </c>
      <c r="AK33" s="98">
        <f t="shared" si="12"/>
        <v>16.365901828230669</v>
      </c>
      <c r="AL33" s="98">
        <f t="shared" si="13"/>
        <v>59.839465002555201</v>
      </c>
      <c r="AM33" s="98">
        <f t="shared" si="14"/>
        <v>-201.47740188861721</v>
      </c>
      <c r="AN33" s="98">
        <f t="shared" si="15"/>
        <v>-178.14797505096317</v>
      </c>
      <c r="AO33" s="98">
        <f t="shared" si="16"/>
        <v>-193.3577022578574</v>
      </c>
      <c r="AP33" s="61">
        <v>0.18737000000000001</v>
      </c>
      <c r="AQ33" s="98">
        <f t="shared" si="17"/>
        <v>59.839465002555201</v>
      </c>
      <c r="AR33" s="98">
        <f t="shared" si="18"/>
        <v>319.36523991330097</v>
      </c>
    </row>
    <row r="34" spans="1:44" ht="13.95" customHeight="1" x14ac:dyDescent="0.3">
      <c r="A34" s="96" t="s">
        <v>317</v>
      </c>
      <c r="B34" s="97" t="s">
        <v>318</v>
      </c>
      <c r="C34" s="97" t="s">
        <v>284</v>
      </c>
      <c r="D34" s="97" t="s">
        <v>284</v>
      </c>
      <c r="E34" s="43">
        <v>3.8800000000000002E-3</v>
      </c>
      <c r="F34" s="41">
        <v>22.79</v>
      </c>
      <c r="G34" s="41">
        <v>24.37</v>
      </c>
      <c r="H34" s="82">
        <f t="shared" si="0"/>
        <v>4.148995173321633E-3</v>
      </c>
      <c r="I34" s="29">
        <f t="shared" si="1"/>
        <v>3.7318417519482802E-3</v>
      </c>
      <c r="J34" s="20">
        <f>I34*Assumptions!$D$7</f>
        <v>777.83494149474382</v>
      </c>
      <c r="K34" s="37">
        <v>14095.640829759999</v>
      </c>
      <c r="L34" s="37">
        <v>9265.636363636364</v>
      </c>
      <c r="M34" s="37">
        <v>9982.545454545454</v>
      </c>
      <c r="N34" s="37">
        <v>10616.7</v>
      </c>
      <c r="O34" s="37">
        <v>1479.3</v>
      </c>
      <c r="P34" s="37">
        <v>1653.6</v>
      </c>
      <c r="Q34" s="37">
        <v>1784.9</v>
      </c>
      <c r="R34" s="37">
        <v>2376.454545454545</v>
      </c>
      <c r="S34" s="37">
        <v>2555.636363636364</v>
      </c>
      <c r="T34" s="37">
        <v>2716.3</v>
      </c>
      <c r="U34" s="37">
        <v>796</v>
      </c>
      <c r="V34" s="37">
        <v>915.18200000000002</v>
      </c>
      <c r="W34" s="37">
        <v>1042.8</v>
      </c>
      <c r="X34" s="37">
        <v>-495.5</v>
      </c>
      <c r="Y34" s="37">
        <v>-518.5</v>
      </c>
      <c r="Z34" s="37">
        <v>-548.25</v>
      </c>
      <c r="AA34" s="98">
        <f t="shared" si="2"/>
        <v>511.3024520037643</v>
      </c>
      <c r="AB34" s="98">
        <f t="shared" si="3"/>
        <v>550.86340191155341</v>
      </c>
      <c r="AC34" s="98">
        <f t="shared" si="4"/>
        <v>585.8577359556524</v>
      </c>
      <c r="AD34" s="98">
        <f t="shared" si="5"/>
        <v>81.631707479649663</v>
      </c>
      <c r="AE34" s="98">
        <f t="shared" si="6"/>
        <v>91.250044945818075</v>
      </c>
      <c r="AF34" s="98">
        <f t="shared" si="7"/>
        <v>98.495528074377532</v>
      </c>
      <c r="AG34" s="98">
        <f t="shared" si="8"/>
        <v>131.13908084447323</v>
      </c>
      <c r="AH34" s="98">
        <f t="shared" si="9"/>
        <v>141.02681001873808</v>
      </c>
      <c r="AI34" s="98">
        <f t="shared" si="10"/>
        <v>149.89265668016793</v>
      </c>
      <c r="AJ34" s="98">
        <f t="shared" si="11"/>
        <v>43.925396575272856</v>
      </c>
      <c r="AK34" s="98">
        <f t="shared" si="12"/>
        <v>50.502176241898695</v>
      </c>
      <c r="AL34" s="98">
        <f t="shared" si="13"/>
        <v>57.544476819968004</v>
      </c>
      <c r="AM34" s="98">
        <f t="shared" si="14"/>
        <v>-27.34300754151721</v>
      </c>
      <c r="AN34" s="98">
        <f t="shared" si="15"/>
        <v>-28.612208698842934</v>
      </c>
      <c r="AO34" s="98">
        <f t="shared" si="16"/>
        <v>-30.253892804514251</v>
      </c>
      <c r="AP34" s="61">
        <v>0.18076999999999999</v>
      </c>
      <c r="AQ34" s="98">
        <f t="shared" si="17"/>
        <v>57.544476819968004</v>
      </c>
      <c r="AR34" s="98">
        <f t="shared" si="18"/>
        <v>318.32979377091334</v>
      </c>
    </row>
    <row r="35" spans="1:44" ht="13.95" customHeight="1" x14ac:dyDescent="0.3">
      <c r="A35" s="96" t="s">
        <v>319</v>
      </c>
      <c r="B35" s="97" t="s">
        <v>320</v>
      </c>
      <c r="C35" s="97" t="s">
        <v>284</v>
      </c>
      <c r="D35" s="97" t="s">
        <v>284</v>
      </c>
      <c r="E35" s="43">
        <v>3.5000000000000001E-3</v>
      </c>
      <c r="F35" s="41">
        <v>41.81</v>
      </c>
      <c r="G35" s="41">
        <v>44.15</v>
      </c>
      <c r="H35" s="82">
        <f t="shared" si="0"/>
        <v>3.6958861516383635E-3</v>
      </c>
      <c r="I35" s="29">
        <f t="shared" si="1"/>
        <v>3.3242897798045467E-3</v>
      </c>
      <c r="J35" s="20">
        <f>I35*Assumptions!$D$7</f>
        <v>692.88810144103888</v>
      </c>
      <c r="K35" s="37">
        <v>15195.319963080001</v>
      </c>
      <c r="L35" s="37">
        <v>3229.875</v>
      </c>
      <c r="M35" s="37">
        <v>3605.875</v>
      </c>
      <c r="N35" s="37">
        <v>3660.25</v>
      </c>
      <c r="O35" s="37">
        <v>1990.272727272727</v>
      </c>
      <c r="P35" s="37">
        <v>2328.8000000000002</v>
      </c>
      <c r="Q35" s="37">
        <v>2501.3000000000002</v>
      </c>
      <c r="R35" s="37">
        <v>2507.125</v>
      </c>
      <c r="S35" s="37">
        <v>2873.375</v>
      </c>
      <c r="T35" s="37">
        <v>3031.5714285714289</v>
      </c>
      <c r="U35" s="37">
        <v>1269.8</v>
      </c>
      <c r="V35" s="37">
        <v>1437.8</v>
      </c>
      <c r="W35" s="37">
        <v>1669.1</v>
      </c>
      <c r="X35" s="37">
        <v>-1766</v>
      </c>
      <c r="Y35" s="37">
        <v>-225</v>
      </c>
      <c r="Z35" s="37">
        <v>-72.05</v>
      </c>
      <c r="AA35" s="98">
        <f t="shared" si="2"/>
        <v>147.27837005600361</v>
      </c>
      <c r="AB35" s="98">
        <f t="shared" si="3"/>
        <v>164.42351255874982</v>
      </c>
      <c r="AC35" s="98">
        <f t="shared" si="4"/>
        <v>166.90294639807647</v>
      </c>
      <c r="AD35" s="98">
        <f t="shared" si="5"/>
        <v>90.754014703245232</v>
      </c>
      <c r="AE35" s="98">
        <f t="shared" si="6"/>
        <v>106.19044643722164</v>
      </c>
      <c r="AF35" s="98">
        <f t="shared" si="7"/>
        <v>114.05623654818898</v>
      </c>
      <c r="AG35" s="98">
        <f t="shared" si="8"/>
        <v>114.32184946063177</v>
      </c>
      <c r="AH35" s="98">
        <f t="shared" si="9"/>
        <v>131.02240382667111</v>
      </c>
      <c r="AI35" s="98">
        <f t="shared" si="10"/>
        <v>138.23596848433777</v>
      </c>
      <c r="AJ35" s="98">
        <f t="shared" si="11"/>
        <v>57.901334973369984</v>
      </c>
      <c r="AK35" s="98">
        <f t="shared" si="12"/>
        <v>65.561930559703384</v>
      </c>
      <c r="AL35" s="98">
        <f t="shared" si="13"/>
        <v>76.108929125887414</v>
      </c>
      <c r="AM35" s="98">
        <f t="shared" si="14"/>
        <v>-80.527451223004732</v>
      </c>
      <c r="AN35" s="98">
        <f t="shared" si="15"/>
        <v>-10.259726231696524</v>
      </c>
      <c r="AO35" s="98">
        <f t="shared" si="16"/>
        <v>-3.2853923333054866</v>
      </c>
      <c r="AP35" s="61">
        <v>1.2756000000000001</v>
      </c>
      <c r="AQ35" s="98">
        <f t="shared" si="17"/>
        <v>76.108929125887414</v>
      </c>
      <c r="AR35" s="98">
        <f t="shared" si="18"/>
        <v>59.665200004615407</v>
      </c>
    </row>
    <row r="36" spans="1:44" ht="13.95" customHeight="1" x14ac:dyDescent="0.3">
      <c r="A36" s="96" t="s">
        <v>321</v>
      </c>
      <c r="B36" s="97" t="s">
        <v>322</v>
      </c>
      <c r="C36" s="97" t="s">
        <v>284</v>
      </c>
      <c r="D36" s="97" t="s">
        <v>284</v>
      </c>
      <c r="E36" s="43">
        <v>3.2699999999999999E-3</v>
      </c>
      <c r="F36" s="41">
        <v>45.51</v>
      </c>
      <c r="G36" s="41">
        <v>50.37</v>
      </c>
      <c r="H36" s="82">
        <f t="shared" si="0"/>
        <v>3.619202373104812E-3</v>
      </c>
      <c r="I36" s="29">
        <f t="shared" si="1"/>
        <v>3.2553160368923423E-3</v>
      </c>
      <c r="J36" s="20">
        <f>I36*Assumptions!$D$7</f>
        <v>678.51177177626175</v>
      </c>
      <c r="K36" s="37">
        <v>57716.42489960001</v>
      </c>
      <c r="L36" s="37">
        <v>41567.142857142862</v>
      </c>
      <c r="M36" s="37">
        <v>41153.28571428571</v>
      </c>
      <c r="N36" s="37">
        <v>43083.142857142862</v>
      </c>
      <c r="O36" s="37">
        <v>10724.5</v>
      </c>
      <c r="P36" s="37">
        <v>10289.66666666667</v>
      </c>
      <c r="Q36" s="37">
        <v>11209.16666666667</v>
      </c>
      <c r="R36" s="37">
        <v>13135.857142857139</v>
      </c>
      <c r="S36" s="37">
        <v>13277.142857142861</v>
      </c>
      <c r="T36" s="37">
        <v>14313.428571428571</v>
      </c>
      <c r="U36" s="37">
        <v>5381.75</v>
      </c>
      <c r="V36" s="37">
        <v>5009.25</v>
      </c>
      <c r="W36" s="37">
        <v>4945.143</v>
      </c>
      <c r="X36" s="37">
        <v>-771</v>
      </c>
      <c r="Y36" s="37">
        <v>-655</v>
      </c>
      <c r="Z36" s="37">
        <v>-630</v>
      </c>
      <c r="AA36" s="98">
        <f t="shared" si="2"/>
        <v>488.66151700730944</v>
      </c>
      <c r="AB36" s="98">
        <f t="shared" si="3"/>
        <v>483.79623050089913</v>
      </c>
      <c r="AC36" s="98">
        <f t="shared" si="4"/>
        <v>506.48354683334497</v>
      </c>
      <c r="AD36" s="98">
        <f t="shared" si="5"/>
        <v>126.07675387158203</v>
      </c>
      <c r="AE36" s="98">
        <f t="shared" si="6"/>
        <v>120.9648721855523</v>
      </c>
      <c r="AF36" s="98">
        <f t="shared" si="7"/>
        <v>131.77447404903495</v>
      </c>
      <c r="AG36" s="98">
        <f t="shared" si="8"/>
        <v>154.42456318637346</v>
      </c>
      <c r="AH36" s="98">
        <f t="shared" si="9"/>
        <v>156.08551187634237</v>
      </c>
      <c r="AI36" s="98">
        <f t="shared" si="10"/>
        <v>168.26804149922793</v>
      </c>
      <c r="AJ36" s="98">
        <f t="shared" si="11"/>
        <v>63.267618084608756</v>
      </c>
      <c r="AK36" s="98">
        <f t="shared" si="12"/>
        <v>58.888524344372449</v>
      </c>
      <c r="AL36" s="98">
        <f t="shared" si="13"/>
        <v>58.134885250666862</v>
      </c>
      <c r="AM36" s="98">
        <f t="shared" si="14"/>
        <v>-9.0638423455629393</v>
      </c>
      <c r="AN36" s="98">
        <f t="shared" si="15"/>
        <v>-7.7001514090061285</v>
      </c>
      <c r="AO36" s="98">
        <f t="shared" si="16"/>
        <v>-7.4062525002654365</v>
      </c>
      <c r="AP36" s="61">
        <v>0.2228</v>
      </c>
      <c r="AQ36" s="98">
        <f t="shared" si="17"/>
        <v>58.134885250666862</v>
      </c>
      <c r="AR36" s="98">
        <f t="shared" si="18"/>
        <v>260.92856934769685</v>
      </c>
    </row>
    <row r="37" spans="1:44" ht="13.95" customHeight="1" x14ac:dyDescent="0.3">
      <c r="A37" s="96" t="s">
        <v>323</v>
      </c>
      <c r="B37" s="97" t="s">
        <v>324</v>
      </c>
      <c r="C37" s="97" t="s">
        <v>284</v>
      </c>
      <c r="D37" s="97" t="s">
        <v>284</v>
      </c>
      <c r="E37" s="43">
        <v>2.7799999999999999E-3</v>
      </c>
      <c r="F37" s="41">
        <v>24.48</v>
      </c>
      <c r="G37" s="41">
        <v>27.16</v>
      </c>
      <c r="H37" s="82">
        <f t="shared" si="0"/>
        <v>3.0843464052287581E-3</v>
      </c>
      <c r="I37" s="29">
        <f t="shared" si="1"/>
        <v>2.7742362214630573E-3</v>
      </c>
      <c r="J37" s="20">
        <f>I37*Assumptions!$D$7</f>
        <v>578.23938217309023</v>
      </c>
      <c r="K37" s="37">
        <v>19233.527491879999</v>
      </c>
      <c r="L37" s="37">
        <v>9244</v>
      </c>
      <c r="M37" s="37">
        <v>10407.428571428571</v>
      </c>
      <c r="N37" s="37">
        <v>11155.75</v>
      </c>
      <c r="O37" s="37">
        <v>2618.3846153846148</v>
      </c>
      <c r="P37" s="37">
        <v>2965.6923076923081</v>
      </c>
      <c r="Q37" s="37">
        <v>3262.3846153846148</v>
      </c>
      <c r="R37" s="37">
        <v>2991.8</v>
      </c>
      <c r="S37" s="37">
        <v>3375.9333333333329</v>
      </c>
      <c r="T37" s="37">
        <v>3648.8461538461538</v>
      </c>
      <c r="U37" s="37">
        <v>1889.769</v>
      </c>
      <c r="V37" s="37">
        <v>2226.5</v>
      </c>
      <c r="W37" s="37">
        <v>2589.364</v>
      </c>
      <c r="X37" s="37">
        <v>-478.66666666666669</v>
      </c>
      <c r="Y37" s="37">
        <v>-368.33333333333331</v>
      </c>
      <c r="Z37" s="37">
        <v>-377.66666666666669</v>
      </c>
      <c r="AA37" s="98">
        <f t="shared" si="2"/>
        <v>277.91287121224639</v>
      </c>
      <c r="AB37" s="98">
        <f t="shared" si="3"/>
        <v>312.89034576180029</v>
      </c>
      <c r="AC37" s="98">
        <f t="shared" si="4"/>
        <v>335.38798280246834</v>
      </c>
      <c r="AD37" s="98">
        <f t="shared" si="5"/>
        <v>78.71947061872693</v>
      </c>
      <c r="AE37" s="98">
        <f t="shared" si="6"/>
        <v>89.160976240030536</v>
      </c>
      <c r="AF37" s="98">
        <f t="shared" si="7"/>
        <v>98.08077406536114</v>
      </c>
      <c r="AG37" s="98">
        <f t="shared" si="8"/>
        <v>89.945881446646339</v>
      </c>
      <c r="AH37" s="98">
        <f t="shared" si="9"/>
        <v>101.49451814017699</v>
      </c>
      <c r="AI37" s="98">
        <f t="shared" si="10"/>
        <v>109.69940623400549</v>
      </c>
      <c r="AJ37" s="98">
        <f t="shared" si="11"/>
        <v>56.814271821494543</v>
      </c>
      <c r="AK37" s="98">
        <f t="shared" si="12"/>
        <v>66.937798329085524</v>
      </c>
      <c r="AL37" s="98">
        <f t="shared" si="13"/>
        <v>77.84699089719031</v>
      </c>
      <c r="AM37" s="98">
        <f t="shared" si="14"/>
        <v>-14.390699663233296</v>
      </c>
      <c r="AN37" s="98">
        <f t="shared" si="15"/>
        <v>-11.073623348100829</v>
      </c>
      <c r="AO37" s="98">
        <f t="shared" si="16"/>
        <v>-11.35422194877669</v>
      </c>
      <c r="AP37" s="61">
        <v>0.14591999999999999</v>
      </c>
      <c r="AQ37" s="98">
        <f t="shared" si="17"/>
        <v>77.84699089719031</v>
      </c>
      <c r="AR37" s="98">
        <f t="shared" si="18"/>
        <v>533.49089156517482</v>
      </c>
    </row>
    <row r="38" spans="1:44" ht="13.95" customHeight="1" x14ac:dyDescent="0.3">
      <c r="A38" s="96" t="s">
        <v>325</v>
      </c>
      <c r="B38" s="97" t="s">
        <v>326</v>
      </c>
      <c r="C38" s="97" t="s">
        <v>284</v>
      </c>
      <c r="D38" s="97" t="s">
        <v>284</v>
      </c>
      <c r="E38" s="43">
        <v>2.16E-3</v>
      </c>
      <c r="F38" s="41">
        <v>6.75</v>
      </c>
      <c r="G38" s="41">
        <v>7.84</v>
      </c>
      <c r="H38" s="82">
        <f t="shared" ref="H38:H69" si="19">E38*G38/F38</f>
        <v>2.5087999999999998E-3</v>
      </c>
      <c r="I38" s="29">
        <f t="shared" ref="I38:I69" si="20">H38/SUM($H$6:$H$81)</f>
        <v>2.2565571171278059E-3</v>
      </c>
      <c r="J38" s="20">
        <f>I38*Assumptions!$D$7</f>
        <v>470.33853251261348</v>
      </c>
      <c r="K38" s="37">
        <v>10102.998778949999</v>
      </c>
      <c r="L38" s="37">
        <v>21872.875</v>
      </c>
      <c r="M38" s="37">
        <v>22959.875</v>
      </c>
      <c r="N38" s="37">
        <v>24545.5</v>
      </c>
      <c r="O38" s="37">
        <v>1851.666666666667</v>
      </c>
      <c r="P38" s="37">
        <v>2318.5</v>
      </c>
      <c r="Q38" s="37">
        <v>2548</v>
      </c>
      <c r="R38" s="37">
        <v>2766.1428571428569</v>
      </c>
      <c r="S38" s="37">
        <v>3225.7142857142858</v>
      </c>
      <c r="T38" s="37">
        <v>3460</v>
      </c>
      <c r="U38" s="37">
        <v>413.5</v>
      </c>
      <c r="V38" s="37">
        <v>1281.4000000000001</v>
      </c>
      <c r="W38" s="37">
        <v>1452.75</v>
      </c>
      <c r="X38" s="37">
        <v>-306</v>
      </c>
      <c r="Y38" s="37">
        <v>-422</v>
      </c>
      <c r="Z38" s="37">
        <v>-470.5</v>
      </c>
      <c r="AA38" s="98">
        <f t="shared" ref="AA38:AA69" si="21">IF(ISNUMBER(L38),$J38*L38/$K38,0)</f>
        <v>1018.2774594377435</v>
      </c>
      <c r="AB38" s="98">
        <f t="shared" ref="AB38:AB69" si="22">IF(ISNUMBER(M38),$J38*M38/$K38,0)</f>
        <v>1068.8820369525342</v>
      </c>
      <c r="AC38" s="98">
        <f t="shared" ref="AC38:AC69" si="23">IF(ISNUMBER(N38),$J38*N38/$K38,0)</f>
        <v>1142.6997768070789</v>
      </c>
      <c r="AD38" s="98">
        <f t="shared" ref="AD38:AD69" si="24">IF(ISNUMBER(O38),$J38*O38/$K38,0)</f>
        <v>86.203136490236815</v>
      </c>
      <c r="AE38" s="98">
        <f t="shared" ref="AE38:AE69" si="25">IF(ISNUMBER(P38),$J38*P38/$K38,0)</f>
        <v>107.93625848025961</v>
      </c>
      <c r="AF38" s="98">
        <f t="shared" ref="AF38:AF69" si="26">IF(ISNUMBER(Q38),$J38*Q38/$K38,0)</f>
        <v>118.62048160780742</v>
      </c>
      <c r="AG38" s="98">
        <f t="shared" ref="AG38:AG69" si="27">IF(ISNUMBER(R38),$J38*R38/$K38,0)</f>
        <v>128.775980341555</v>
      </c>
      <c r="AH38" s="98">
        <f t="shared" ref="AH38:AH69" si="28">IF(ISNUMBER(S38),$J38*S38/$K38,0)</f>
        <v>150.17102908187326</v>
      </c>
      <c r="AI38" s="98">
        <f t="shared" ref="AI38:AI69" si="29">IF(ISNUMBER(T38),$J38*T38/$K38,0)</f>
        <v>161.07804802316076</v>
      </c>
      <c r="AJ38" s="98">
        <f t="shared" ref="AJ38:AJ69" si="30">IF(ISNUMBER(U38),$J38*U38/$K38,0)</f>
        <v>19.250223369241905</v>
      </c>
      <c r="AK38" s="98">
        <f t="shared" ref="AK38:AK69" si="31">IF(ISNUMBER(V38),$J38*V38/$K38,0)</f>
        <v>59.654742987537063</v>
      </c>
      <c r="AL38" s="98">
        <f t="shared" ref="AL38:AL69" si="32">IF(ISNUMBER(W38),$J38*W38/$K38,0)</f>
        <v>67.631830712614686</v>
      </c>
      <c r="AM38" s="98">
        <f t="shared" ref="AM38:AM69" si="33">IF(ISNUMBER(X38),$J38*X38/$K38,0)</f>
        <v>-14.245630836730404</v>
      </c>
      <c r="AN38" s="98">
        <f t="shared" ref="AN38:AN69" si="34">IF(ISNUMBER(Y38),$J38*Y38/$K38,0)</f>
        <v>-19.645935336928858</v>
      </c>
      <c r="AO38" s="98">
        <f t="shared" ref="AO38:AO69" si="35">IF(ISNUMBER(Z38),$J38*Z38/$K38,0)</f>
        <v>-21.903821270201487</v>
      </c>
      <c r="AP38" s="61">
        <v>0.10363</v>
      </c>
      <c r="AQ38" s="98">
        <f t="shared" ref="AQ38:AQ69" si="36">IF(AND(ISNUMBER(AP38),N(AP38)&gt;0),AL38,0)</f>
        <v>67.631830712614686</v>
      </c>
      <c r="AR38" s="98">
        <f t="shared" ref="AR38:AR69" si="37">IF(AQ38&lt;&gt;0,AQ38/AP38,0)</f>
        <v>652.62791385327307</v>
      </c>
    </row>
    <row r="39" spans="1:44" ht="13.95" customHeight="1" x14ac:dyDescent="0.3">
      <c r="A39" s="96" t="s">
        <v>327</v>
      </c>
      <c r="B39" s="97" t="s">
        <v>328</v>
      </c>
      <c r="C39" s="97" t="s">
        <v>284</v>
      </c>
      <c r="D39" s="97" t="s">
        <v>284</v>
      </c>
      <c r="E39" s="43">
        <v>1.5900000000000001E-3</v>
      </c>
      <c r="F39" s="41">
        <v>13.02</v>
      </c>
      <c r="G39" s="41">
        <v>15.66</v>
      </c>
      <c r="H39" s="82">
        <f t="shared" si="19"/>
        <v>1.9123963133640554E-3</v>
      </c>
      <c r="I39" s="29">
        <f t="shared" si="20"/>
        <v>1.7201177900552603E-3</v>
      </c>
      <c r="J39" s="20">
        <f>I39*Assumptions!$D$7</f>
        <v>358.52745360737481</v>
      </c>
      <c r="K39" s="37">
        <v>16574.964429719999</v>
      </c>
      <c r="L39" s="37">
        <v>12132.888888888891</v>
      </c>
      <c r="M39" s="37">
        <v>11190.5</v>
      </c>
      <c r="N39" s="37">
        <v>11629</v>
      </c>
      <c r="O39" s="37">
        <v>1179.75</v>
      </c>
      <c r="P39" s="37">
        <v>1992.375</v>
      </c>
      <c r="Q39" s="37">
        <v>2306.375</v>
      </c>
      <c r="R39" s="37">
        <v>3106.2</v>
      </c>
      <c r="S39" s="37">
        <v>3853.5555555555552</v>
      </c>
      <c r="T39" s="37">
        <v>3994.75</v>
      </c>
      <c r="U39" s="37">
        <v>-969.33299999999997</v>
      </c>
      <c r="V39" s="37">
        <v>-227.667</v>
      </c>
      <c r="W39" s="37">
        <v>280.214</v>
      </c>
      <c r="X39" s="37">
        <v>-533.33333333333326</v>
      </c>
      <c r="Y39" s="37">
        <v>-232</v>
      </c>
      <c r="Z39" s="37">
        <v>-232.75</v>
      </c>
      <c r="AA39" s="98">
        <f t="shared" si="21"/>
        <v>262.44241890708111</v>
      </c>
      <c r="AB39" s="98">
        <f t="shared" si="22"/>
        <v>242.05792335815616</v>
      </c>
      <c r="AC39" s="98">
        <f t="shared" si="23"/>
        <v>251.54296865484096</v>
      </c>
      <c r="AD39" s="98">
        <f t="shared" si="24"/>
        <v>25.518773520556248</v>
      </c>
      <c r="AE39" s="98">
        <f t="shared" si="25"/>
        <v>43.096390246254082</v>
      </c>
      <c r="AF39" s="98">
        <f t="shared" si="26"/>
        <v>49.888418121189169</v>
      </c>
      <c r="AG39" s="98">
        <f t="shared" si="27"/>
        <v>67.189162373004294</v>
      </c>
      <c r="AH39" s="98">
        <f t="shared" si="28"/>
        <v>83.354957805555017</v>
      </c>
      <c r="AI39" s="98">
        <f t="shared" si="29"/>
        <v>86.40908711272904</v>
      </c>
      <c r="AJ39" s="98">
        <f t="shared" si="30"/>
        <v>-20.967314509854926</v>
      </c>
      <c r="AK39" s="98">
        <f t="shared" si="31"/>
        <v>-4.9245879305823097</v>
      </c>
      <c r="AL39" s="98">
        <f t="shared" si="32"/>
        <v>6.0612143278568755</v>
      </c>
      <c r="AM39" s="98">
        <f t="shared" si="33"/>
        <v>-11.536353078445996</v>
      </c>
      <c r="AN39" s="98">
        <f t="shared" si="34"/>
        <v>-5.0183135891240092</v>
      </c>
      <c r="AO39" s="98">
        <f t="shared" si="35"/>
        <v>-5.0345365856405735</v>
      </c>
      <c r="AP39" s="61">
        <v>2.46E-2</v>
      </c>
      <c r="AQ39" s="98">
        <f t="shared" si="36"/>
        <v>6.0612143278568755</v>
      </c>
      <c r="AR39" s="98">
        <f t="shared" si="37"/>
        <v>246.39082633564536</v>
      </c>
    </row>
    <row r="40" spans="1:44" ht="13.95" customHeight="1" x14ac:dyDescent="0.3">
      <c r="A40" s="96" t="s">
        <v>329</v>
      </c>
      <c r="B40" s="97" t="s">
        <v>330</v>
      </c>
      <c r="C40" s="97" t="s">
        <v>284</v>
      </c>
      <c r="D40" s="97" t="s">
        <v>284</v>
      </c>
      <c r="E40" s="43">
        <v>7.0999999999999991E-4</v>
      </c>
      <c r="F40" s="41">
        <v>6.67</v>
      </c>
      <c r="G40" s="41">
        <v>8.81</v>
      </c>
      <c r="H40" s="82">
        <f t="shared" si="19"/>
        <v>9.3779610194902547E-4</v>
      </c>
      <c r="I40" s="29">
        <f t="shared" si="20"/>
        <v>8.4350704251745338E-4</v>
      </c>
      <c r="J40" s="20">
        <f>I40*Assumptions!$D$7</f>
        <v>175.81379240543444</v>
      </c>
      <c r="K40" s="37">
        <v>4282.4204822399997</v>
      </c>
      <c r="L40" s="37">
        <v>32502</v>
      </c>
      <c r="M40" s="37">
        <v>33710.9</v>
      </c>
      <c r="N40" s="37">
        <v>34711</v>
      </c>
      <c r="O40" s="37">
        <v>784.85714285714278</v>
      </c>
      <c r="P40" s="37">
        <v>1440</v>
      </c>
      <c r="Q40" s="37">
        <v>1846.2</v>
      </c>
      <c r="R40" s="37">
        <v>2549.333333333333</v>
      </c>
      <c r="S40" s="37">
        <v>2813.666666666667</v>
      </c>
      <c r="T40" s="37">
        <v>3003</v>
      </c>
      <c r="U40" s="37">
        <v>155.87100000000001</v>
      </c>
      <c r="V40" s="37">
        <v>529.75</v>
      </c>
      <c r="W40" s="37">
        <v>587.5</v>
      </c>
      <c r="X40" s="37">
        <v>-410</v>
      </c>
      <c r="Y40" s="37">
        <v>-441</v>
      </c>
      <c r="Z40" s="37">
        <v>-453</v>
      </c>
      <c r="AA40" s="98">
        <f t="shared" si="21"/>
        <v>1334.3621684184686</v>
      </c>
      <c r="AB40" s="98">
        <f t="shared" si="22"/>
        <v>1383.9932811315659</v>
      </c>
      <c r="AC40" s="98">
        <f t="shared" si="23"/>
        <v>1425.0521576510203</v>
      </c>
      <c r="AD40" s="98">
        <f t="shared" si="24"/>
        <v>32.222130300953197</v>
      </c>
      <c r="AE40" s="98">
        <f t="shared" si="25"/>
        <v>59.118870300984398</v>
      </c>
      <c r="AF40" s="98">
        <f t="shared" si="26"/>
        <v>75.795318298387087</v>
      </c>
      <c r="AG40" s="98">
        <f t="shared" si="27"/>
        <v>104.66229631063162</v>
      </c>
      <c r="AH40" s="98">
        <f t="shared" si="28"/>
        <v>115.51444078949291</v>
      </c>
      <c r="AI40" s="98">
        <f t="shared" si="29"/>
        <v>123.28747744017788</v>
      </c>
      <c r="AJ40" s="98">
        <f t="shared" si="30"/>
        <v>6.3992482171421798</v>
      </c>
      <c r="AK40" s="98">
        <f t="shared" si="31"/>
        <v>21.748764959685058</v>
      </c>
      <c r="AL40" s="98">
        <f t="shared" si="32"/>
        <v>24.11967798738079</v>
      </c>
      <c r="AM40" s="98">
        <f t="shared" si="33"/>
        <v>-16.832456127363614</v>
      </c>
      <c r="AN40" s="98">
        <f t="shared" si="34"/>
        <v>-18.105154029676473</v>
      </c>
      <c r="AO40" s="98">
        <f t="shared" si="35"/>
        <v>-18.597811282184676</v>
      </c>
      <c r="AP40" s="61">
        <v>9.7800000000000005E-3</v>
      </c>
      <c r="AQ40" s="98">
        <f t="shared" si="36"/>
        <v>24.11967798738079</v>
      </c>
      <c r="AR40" s="98">
        <f t="shared" si="37"/>
        <v>2466.2247430859702</v>
      </c>
    </row>
    <row r="41" spans="1:44" ht="13.95" customHeight="1" x14ac:dyDescent="0.3">
      <c r="A41" s="96" t="s">
        <v>331</v>
      </c>
      <c r="B41" s="97" t="s">
        <v>332</v>
      </c>
      <c r="C41" s="97" t="s">
        <v>284</v>
      </c>
      <c r="D41" s="97" t="s">
        <v>284</v>
      </c>
      <c r="E41" s="43">
        <v>6.7000000000000002E-4</v>
      </c>
      <c r="F41" s="41">
        <v>3.94</v>
      </c>
      <c r="G41" s="41">
        <v>4.1900000000000004</v>
      </c>
      <c r="H41" s="82">
        <f t="shared" si="19"/>
        <v>7.1251269035533008E-4</v>
      </c>
      <c r="I41" s="29">
        <f t="shared" si="20"/>
        <v>6.4087435525558064E-4</v>
      </c>
      <c r="J41" s="20">
        <f>I41*Assumptions!$D$7</f>
        <v>133.57867234468276</v>
      </c>
      <c r="K41" s="37">
        <v>4602.4940647999993</v>
      </c>
      <c r="L41" s="37">
        <v>56569.375</v>
      </c>
      <c r="M41" s="37">
        <v>58339.555555555547</v>
      </c>
      <c r="N41" s="37">
        <v>60780.625</v>
      </c>
      <c r="O41" s="37">
        <v>3771.1428571428569</v>
      </c>
      <c r="P41" s="37">
        <v>3775.2857142857142</v>
      </c>
      <c r="Q41" s="37">
        <v>3859.2857142857142</v>
      </c>
      <c r="R41" s="37">
        <v>4828.4285714285716</v>
      </c>
      <c r="S41" s="37">
        <v>4857</v>
      </c>
      <c r="T41" s="37">
        <v>4962.25</v>
      </c>
      <c r="U41" s="37">
        <v>556.42899999999997</v>
      </c>
      <c r="V41" s="37">
        <v>551.625</v>
      </c>
      <c r="W41" s="37">
        <v>835.875</v>
      </c>
      <c r="X41" s="37">
        <v>-1024.666666666667</v>
      </c>
      <c r="Y41" s="37">
        <v>-1070.333333333333</v>
      </c>
      <c r="Z41" s="37">
        <v>-1131</v>
      </c>
      <c r="AA41" s="98">
        <f t="shared" si="21"/>
        <v>1641.8189576083362</v>
      </c>
      <c r="AB41" s="98">
        <f t="shared" si="22"/>
        <v>1693.1950952181426</v>
      </c>
      <c r="AC41" s="98">
        <f t="shared" si="23"/>
        <v>1764.042512053265</v>
      </c>
      <c r="AD41" s="98">
        <f t="shared" si="24"/>
        <v>109.45027825933037</v>
      </c>
      <c r="AE41" s="98">
        <f t="shared" si="25"/>
        <v>109.57051684064413</v>
      </c>
      <c r="AF41" s="98">
        <f t="shared" si="26"/>
        <v>112.00845773073</v>
      </c>
      <c r="AG41" s="98">
        <f t="shared" si="27"/>
        <v>140.13599344219668</v>
      </c>
      <c r="AH41" s="98">
        <f t="shared" si="28"/>
        <v>140.96522503746397</v>
      </c>
      <c r="AI41" s="98">
        <f t="shared" si="29"/>
        <v>144.01990692652987</v>
      </c>
      <c r="AJ41" s="98">
        <f t="shared" si="30"/>
        <v>16.149297756304517</v>
      </c>
      <c r="AK41" s="98">
        <f t="shared" si="31"/>
        <v>16.009870755876275</v>
      </c>
      <c r="AL41" s="98">
        <f t="shared" si="32"/>
        <v>24.259688589291784</v>
      </c>
      <c r="AM41" s="98">
        <f t="shared" si="33"/>
        <v>-29.739009111602797</v>
      </c>
      <c r="AN41" s="98">
        <f t="shared" si="34"/>
        <v>-31.064397611371675</v>
      </c>
      <c r="AO41" s="98">
        <f t="shared" si="35"/>
        <v>-32.825132698655906</v>
      </c>
      <c r="AP41" s="61">
        <v>0.36725999999999998</v>
      </c>
      <c r="AQ41" s="98">
        <f t="shared" si="36"/>
        <v>24.259688589291784</v>
      </c>
      <c r="AR41" s="98">
        <f t="shared" si="37"/>
        <v>66.055896610825528</v>
      </c>
    </row>
    <row r="42" spans="1:44" ht="13.95" customHeight="1" x14ac:dyDescent="0.3">
      <c r="A42" s="96" t="s">
        <v>333</v>
      </c>
      <c r="B42" s="97" t="s">
        <v>334</v>
      </c>
      <c r="C42" s="97" t="s">
        <v>335</v>
      </c>
      <c r="D42" s="97" t="s">
        <v>336</v>
      </c>
      <c r="E42" s="43">
        <v>1.515E-2</v>
      </c>
      <c r="F42" s="41">
        <v>40.5</v>
      </c>
      <c r="G42" s="41">
        <v>50.32</v>
      </c>
      <c r="H42" s="82">
        <f t="shared" si="19"/>
        <v>1.8823407407407407E-2</v>
      </c>
      <c r="I42" s="29">
        <f t="shared" si="20"/>
        <v>1.6930841021118241E-2</v>
      </c>
      <c r="J42" s="20">
        <f>I42*Assumptions!$D$7</f>
        <v>3528.9277012464358</v>
      </c>
      <c r="K42" s="37">
        <v>56927.496925200001</v>
      </c>
      <c r="L42" s="37">
        <v>50013.25</v>
      </c>
      <c r="M42" s="37">
        <v>53487.75</v>
      </c>
      <c r="N42" s="37">
        <v>57020.166666666657</v>
      </c>
      <c r="O42" s="37">
        <v>10127</v>
      </c>
      <c r="P42" s="37">
        <v>10959.09090909091</v>
      </c>
      <c r="Q42" s="37">
        <v>12195.63636363636</v>
      </c>
      <c r="R42" s="37">
        <v>15815.75</v>
      </c>
      <c r="S42" s="37">
        <v>17033.5</v>
      </c>
      <c r="T42" s="37">
        <v>18414.666666666672</v>
      </c>
      <c r="U42" s="37">
        <v>4288.8330000000014</v>
      </c>
      <c r="V42" s="37">
        <v>4771.2730000000001</v>
      </c>
      <c r="W42" s="37">
        <v>5818.4549999999999</v>
      </c>
      <c r="X42" s="37">
        <v>-23848</v>
      </c>
      <c r="Y42" s="37">
        <v>-26666.799999999999</v>
      </c>
      <c r="Z42" s="37">
        <v>-26482.5</v>
      </c>
      <c r="AA42" s="98">
        <f t="shared" si="21"/>
        <v>3100.314485744329</v>
      </c>
      <c r="AB42" s="98">
        <f t="shared" si="22"/>
        <v>3315.6982626578201</v>
      </c>
      <c r="AC42" s="98">
        <f t="shared" si="23"/>
        <v>3534.6722857687223</v>
      </c>
      <c r="AD42" s="98">
        <f t="shared" si="24"/>
        <v>627.77133653847375</v>
      </c>
      <c r="AE42" s="98">
        <f t="shared" si="25"/>
        <v>679.35253749843355</v>
      </c>
      <c r="AF42" s="98">
        <f t="shared" si="26"/>
        <v>756.00582007872117</v>
      </c>
      <c r="AG42" s="98">
        <f t="shared" si="27"/>
        <v>980.41616627415476</v>
      </c>
      <c r="AH42" s="98">
        <f t="shared" si="28"/>
        <v>1055.904321213399</v>
      </c>
      <c r="AI42" s="98">
        <f t="shared" si="29"/>
        <v>1141.5226528333974</v>
      </c>
      <c r="AJ42" s="98">
        <f t="shared" si="30"/>
        <v>265.86416753237017</v>
      </c>
      <c r="AK42" s="98">
        <f t="shared" si="31"/>
        <v>295.77055674927749</v>
      </c>
      <c r="AL42" s="98">
        <f t="shared" si="32"/>
        <v>360.68522483844816</v>
      </c>
      <c r="AM42" s="98">
        <f t="shared" si="33"/>
        <v>-1478.3342385474</v>
      </c>
      <c r="AN42" s="98">
        <f t="shared" si="34"/>
        <v>-1653.071262684326</v>
      </c>
      <c r="AO42" s="98">
        <f t="shared" si="35"/>
        <v>-1641.6465310437572</v>
      </c>
      <c r="AP42" s="61">
        <v>0.18642</v>
      </c>
      <c r="AQ42" s="98">
        <f t="shared" si="36"/>
        <v>360.68522483844816</v>
      </c>
      <c r="AR42" s="98">
        <f t="shared" si="37"/>
        <v>1934.7989745652192</v>
      </c>
    </row>
    <row r="43" spans="1:44" ht="13.95" customHeight="1" x14ac:dyDescent="0.3">
      <c r="A43" s="96" t="s">
        <v>337</v>
      </c>
      <c r="B43" s="97" t="s">
        <v>338</v>
      </c>
      <c r="C43" s="97" t="s">
        <v>335</v>
      </c>
      <c r="D43" s="97" t="s">
        <v>336</v>
      </c>
      <c r="E43" s="43">
        <v>8.7799999999999996E-3</v>
      </c>
      <c r="F43" s="41">
        <v>16.29</v>
      </c>
      <c r="G43" s="41">
        <v>18.78</v>
      </c>
      <c r="H43" s="82">
        <f t="shared" si="19"/>
        <v>1.0122062615101289E-2</v>
      </c>
      <c r="I43" s="29">
        <f t="shared" si="20"/>
        <v>9.1043576347736386E-3</v>
      </c>
      <c r="J43" s="20">
        <f>I43*Assumptions!$D$7</f>
        <v>1897.6387421825284</v>
      </c>
      <c r="K43" s="37">
        <v>34406.917700669997</v>
      </c>
      <c r="L43" s="37">
        <v>14779.91666666667</v>
      </c>
      <c r="M43" s="37">
        <v>15642.18181818182</v>
      </c>
      <c r="N43" s="37">
        <v>16416.5</v>
      </c>
      <c r="O43" s="37">
        <v>5803.1</v>
      </c>
      <c r="P43" s="37">
        <v>6618</v>
      </c>
      <c r="Q43" s="37">
        <v>6974.8</v>
      </c>
      <c r="R43" s="37">
        <v>8140.181818181818</v>
      </c>
      <c r="S43" s="37">
        <v>8991.9</v>
      </c>
      <c r="T43" s="37">
        <v>9504.7777777777792</v>
      </c>
      <c r="U43" s="37">
        <v>1917.7270000000001</v>
      </c>
      <c r="V43" s="37">
        <v>2669.7</v>
      </c>
      <c r="W43" s="37">
        <v>3229.4</v>
      </c>
      <c r="X43" s="37">
        <v>-5817.666666666667</v>
      </c>
      <c r="Y43" s="37">
        <v>-4786.5</v>
      </c>
      <c r="Z43" s="37">
        <v>-4930.833333333333</v>
      </c>
      <c r="AA43" s="98">
        <f t="shared" si="21"/>
        <v>815.15417094015879</v>
      </c>
      <c r="AB43" s="98">
        <f t="shared" si="22"/>
        <v>862.71053073338646</v>
      </c>
      <c r="AC43" s="98">
        <f t="shared" si="23"/>
        <v>905.41636661725306</v>
      </c>
      <c r="AD43" s="98">
        <f t="shared" si="24"/>
        <v>320.05736406155887</v>
      </c>
      <c r="AE43" s="98">
        <f t="shared" si="25"/>
        <v>365.00140189888106</v>
      </c>
      <c r="AF43" s="98">
        <f t="shared" si="26"/>
        <v>384.67993018499777</v>
      </c>
      <c r="AG43" s="98">
        <f t="shared" si="27"/>
        <v>448.9540307265255</v>
      </c>
      <c r="AH43" s="98">
        <f t="shared" si="28"/>
        <v>495.92869533613595</v>
      </c>
      <c r="AI43" s="98">
        <f t="shared" si="29"/>
        <v>524.21535412907531</v>
      </c>
      <c r="AJ43" s="98">
        <f t="shared" si="30"/>
        <v>105.7680633815859</v>
      </c>
      <c r="AK43" s="98">
        <f t="shared" si="31"/>
        <v>147.24149934261752</v>
      </c>
      <c r="AL43" s="98">
        <f t="shared" si="32"/>
        <v>178.11053600668578</v>
      </c>
      <c r="AM43" s="98">
        <f t="shared" si="33"/>
        <v>-320.86075689237288</v>
      </c>
      <c r="AN43" s="98">
        <f t="shared" si="34"/>
        <v>-263.98900123738196</v>
      </c>
      <c r="AO43" s="98">
        <f t="shared" si="35"/>
        <v>-271.94939244430327</v>
      </c>
      <c r="AP43" s="61">
        <v>0.16495000000000001</v>
      </c>
      <c r="AQ43" s="98">
        <f t="shared" si="36"/>
        <v>178.11053600668578</v>
      </c>
      <c r="AR43" s="98">
        <f t="shared" si="37"/>
        <v>1079.7850015561428</v>
      </c>
    </row>
    <row r="44" spans="1:44" ht="13.95" customHeight="1" x14ac:dyDescent="0.3">
      <c r="A44" s="96" t="s">
        <v>339</v>
      </c>
      <c r="B44" s="97" t="s">
        <v>340</v>
      </c>
      <c r="C44" s="97" t="s">
        <v>335</v>
      </c>
      <c r="D44" s="97" t="s">
        <v>336</v>
      </c>
      <c r="E44" s="43">
        <v>6.6E-3</v>
      </c>
      <c r="F44" s="41">
        <v>33.43</v>
      </c>
      <c r="G44" s="41">
        <v>37.24</v>
      </c>
      <c r="H44" s="82">
        <f t="shared" si="19"/>
        <v>7.3521986239904278E-3</v>
      </c>
      <c r="I44" s="29">
        <f t="shared" si="20"/>
        <v>6.6129847462941893E-3</v>
      </c>
      <c r="J44" s="20">
        <f>I44*Assumptions!$D$7</f>
        <v>1378.3571076008109</v>
      </c>
      <c r="K44" s="37">
        <v>23568.47016492</v>
      </c>
      <c r="L44" s="37">
        <v>7675.8461538461543</v>
      </c>
      <c r="M44" s="37">
        <v>8856.5</v>
      </c>
      <c r="N44" s="37">
        <v>9997.75</v>
      </c>
      <c r="O44" s="37">
        <v>1487.2</v>
      </c>
      <c r="P44" s="37">
        <v>1881.818181818182</v>
      </c>
      <c r="Q44" s="37">
        <v>2259.5</v>
      </c>
      <c r="R44" s="37">
        <v>2001.909090909091</v>
      </c>
      <c r="S44" s="37">
        <v>2357.083333333333</v>
      </c>
      <c r="T44" s="37">
        <v>2763.7142857142858</v>
      </c>
      <c r="U44" s="37">
        <v>1078</v>
      </c>
      <c r="V44" s="37">
        <v>1223.182</v>
      </c>
      <c r="W44" s="37">
        <v>1570.5</v>
      </c>
      <c r="X44" s="37">
        <v>-393.33333333333331</v>
      </c>
      <c r="Y44" s="37">
        <v>-432.33333333333331</v>
      </c>
      <c r="Z44" s="37">
        <v>-473.66666666666669</v>
      </c>
      <c r="AA44" s="98">
        <f t="shared" si="21"/>
        <v>448.90724892071535</v>
      </c>
      <c r="AB44" s="98">
        <f t="shared" si="22"/>
        <v>517.95554136714657</v>
      </c>
      <c r="AC44" s="98">
        <f t="shared" si="23"/>
        <v>584.69937488888274</v>
      </c>
      <c r="AD44" s="98">
        <f t="shared" si="24"/>
        <v>86.976060647120249</v>
      </c>
      <c r="AE44" s="98">
        <f t="shared" si="25"/>
        <v>110.05455373095195</v>
      </c>
      <c r="AF44" s="98">
        <f t="shared" si="26"/>
        <v>132.14255583120507</v>
      </c>
      <c r="AG44" s="98">
        <f t="shared" si="27"/>
        <v>117.07784191832333</v>
      </c>
      <c r="AH44" s="98">
        <f t="shared" si="28"/>
        <v>137.84953130064301</v>
      </c>
      <c r="AI44" s="98">
        <f t="shared" si="29"/>
        <v>161.63056840075197</v>
      </c>
      <c r="AJ44" s="98">
        <f t="shared" si="30"/>
        <v>63.044777688001354</v>
      </c>
      <c r="AK44" s="98">
        <f t="shared" si="31"/>
        <v>71.535470558408974</v>
      </c>
      <c r="AL44" s="98">
        <f t="shared" si="32"/>
        <v>91.847702559374895</v>
      </c>
      <c r="AM44" s="98">
        <f t="shared" si="33"/>
        <v>-23.003351166308473</v>
      </c>
      <c r="AN44" s="98">
        <f t="shared" si="34"/>
        <v>-25.284191917544145</v>
      </c>
      <c r="AO44" s="98">
        <f t="shared" si="35"/>
        <v>-27.701493226546052</v>
      </c>
      <c r="AP44" s="61">
        <v>0.22056999999999999</v>
      </c>
      <c r="AQ44" s="98">
        <f t="shared" si="36"/>
        <v>91.847702559374895</v>
      </c>
      <c r="AR44" s="98">
        <f t="shared" si="37"/>
        <v>416.41067488495668</v>
      </c>
    </row>
    <row r="45" spans="1:44" ht="13.95" customHeight="1" x14ac:dyDescent="0.3">
      <c r="A45" s="96" t="s">
        <v>341</v>
      </c>
      <c r="B45" s="97" t="s">
        <v>342</v>
      </c>
      <c r="C45" s="97" t="s">
        <v>335</v>
      </c>
      <c r="D45" s="97" t="s">
        <v>336</v>
      </c>
      <c r="E45" s="43">
        <v>6.43E-3</v>
      </c>
      <c r="F45" s="41">
        <v>16.75</v>
      </c>
      <c r="G45" s="41">
        <v>19.55</v>
      </c>
      <c r="H45" s="82">
        <f t="shared" si="19"/>
        <v>7.5048656716417911E-3</v>
      </c>
      <c r="I45" s="29">
        <f t="shared" si="20"/>
        <v>6.7503021541898264E-3</v>
      </c>
      <c r="J45" s="20">
        <f>I45*Assumptions!$D$7</f>
        <v>1406.9784385779217</v>
      </c>
      <c r="K45" s="37">
        <v>39895</v>
      </c>
      <c r="L45" s="37">
        <v>18179.28571428571</v>
      </c>
      <c r="M45" s="37">
        <v>19255</v>
      </c>
      <c r="N45" s="37">
        <v>21238.666666666672</v>
      </c>
      <c r="O45" s="37">
        <v>7972.1111111111104</v>
      </c>
      <c r="P45" s="37">
        <v>8459.8888888888887</v>
      </c>
      <c r="Q45" s="37">
        <v>9510.75</v>
      </c>
      <c r="R45" s="37">
        <v>10278.111111111109</v>
      </c>
      <c r="S45" s="37">
        <v>11125.222222222221</v>
      </c>
      <c r="T45" s="37">
        <v>12640.571428571429</v>
      </c>
      <c r="U45" s="37">
        <v>2759.5</v>
      </c>
      <c r="V45" s="37">
        <v>2858.556</v>
      </c>
      <c r="W45" s="37">
        <v>3504.4290000000001</v>
      </c>
      <c r="X45" s="37">
        <v>-9351</v>
      </c>
      <c r="Y45" s="37">
        <v>-7625</v>
      </c>
      <c r="Z45" s="37">
        <v>-8095</v>
      </c>
      <c r="AA45" s="98">
        <f t="shared" si="21"/>
        <v>641.12954076319397</v>
      </c>
      <c r="AB45" s="98">
        <f t="shared" si="22"/>
        <v>679.06679621049966</v>
      </c>
      <c r="AC45" s="98">
        <f t="shared" si="23"/>
        <v>749.02484181335069</v>
      </c>
      <c r="AD45" s="98">
        <f t="shared" si="24"/>
        <v>281.15273701668906</v>
      </c>
      <c r="AE45" s="98">
        <f t="shared" si="25"/>
        <v>298.35521392233608</v>
      </c>
      <c r="AF45" s="98">
        <f t="shared" si="26"/>
        <v>335.41597154292441</v>
      </c>
      <c r="AG45" s="98">
        <f t="shared" si="27"/>
        <v>362.4785241920415</v>
      </c>
      <c r="AH45" s="98">
        <f t="shared" si="28"/>
        <v>392.35362303683706</v>
      </c>
      <c r="AI45" s="98">
        <f t="shared" si="29"/>
        <v>445.79549946870833</v>
      </c>
      <c r="AJ45" s="98">
        <f t="shared" si="30"/>
        <v>97.319388426012651</v>
      </c>
      <c r="AK45" s="98">
        <f t="shared" si="31"/>
        <v>100.8128000367853</v>
      </c>
      <c r="AL45" s="98">
        <f t="shared" si="32"/>
        <v>123.59082698401272</v>
      </c>
      <c r="AM45" s="98">
        <f t="shared" si="33"/>
        <v>-329.7820623923335</v>
      </c>
      <c r="AN45" s="98">
        <f t="shared" si="34"/>
        <v>-268.91115664009658</v>
      </c>
      <c r="AO45" s="98">
        <f t="shared" si="35"/>
        <v>-285.48666400020744</v>
      </c>
      <c r="AP45" s="61">
        <v>0.17485000000000001</v>
      </c>
      <c r="AQ45" s="98">
        <f t="shared" si="36"/>
        <v>123.59082698401272</v>
      </c>
      <c r="AR45" s="98">
        <f t="shared" si="37"/>
        <v>706.8391591879481</v>
      </c>
    </row>
    <row r="46" spans="1:44" ht="13.95" customHeight="1" x14ac:dyDescent="0.3">
      <c r="A46" s="96" t="s">
        <v>343</v>
      </c>
      <c r="B46" s="97" t="s">
        <v>344</v>
      </c>
      <c r="C46" s="97" t="s">
        <v>335</v>
      </c>
      <c r="D46" s="97" t="s">
        <v>336</v>
      </c>
      <c r="E46" s="43">
        <v>5.4100000000000007E-3</v>
      </c>
      <c r="F46" s="41">
        <v>29.49</v>
      </c>
      <c r="G46" s="41">
        <v>33.19</v>
      </c>
      <c r="H46" s="82">
        <f t="shared" si="19"/>
        <v>6.0887724652424558E-3</v>
      </c>
      <c r="I46" s="29">
        <f t="shared" si="20"/>
        <v>5.4765875482360813E-3</v>
      </c>
      <c r="J46" s="20">
        <f>I46*Assumptions!$D$7</f>
        <v>1141.495657726939</v>
      </c>
      <c r="K46" s="37">
        <v>17374.420033620001</v>
      </c>
      <c r="L46" s="37">
        <v>2994.875</v>
      </c>
      <c r="M46" s="37">
        <v>3153</v>
      </c>
      <c r="N46" s="37">
        <v>3296</v>
      </c>
      <c r="O46" s="37">
        <v>1619.25</v>
      </c>
      <c r="P46" s="37">
        <v>1754.75</v>
      </c>
      <c r="Q46" s="37">
        <v>1841.8571428571429</v>
      </c>
      <c r="R46" s="37">
        <v>2219.4</v>
      </c>
      <c r="S46" s="37">
        <v>2344.6</v>
      </c>
      <c r="T46" s="37">
        <v>2453.25</v>
      </c>
      <c r="U46" s="37">
        <v>916.22199999999998</v>
      </c>
      <c r="V46" s="37">
        <v>960</v>
      </c>
      <c r="W46" s="37">
        <v>1078.7139999999999</v>
      </c>
      <c r="X46" s="37">
        <v>-331</v>
      </c>
      <c r="Y46" s="37">
        <v>-436</v>
      </c>
      <c r="Z46" s="37">
        <v>-257</v>
      </c>
      <c r="AA46" s="98">
        <f t="shared" si="21"/>
        <v>196.76264308793077</v>
      </c>
      <c r="AB46" s="98">
        <f t="shared" si="22"/>
        <v>207.15142156392028</v>
      </c>
      <c r="AC46" s="98">
        <f t="shared" si="23"/>
        <v>216.54649079438036</v>
      </c>
      <c r="AD46" s="98">
        <f t="shared" si="24"/>
        <v>106.38437658337389</v>
      </c>
      <c r="AE46" s="98">
        <f t="shared" si="25"/>
        <v>115.28669742762104</v>
      </c>
      <c r="AF46" s="98">
        <f t="shared" si="26"/>
        <v>121.00961797035133</v>
      </c>
      <c r="AG46" s="98">
        <f t="shared" si="27"/>
        <v>145.81410244813344</v>
      </c>
      <c r="AH46" s="98">
        <f t="shared" si="28"/>
        <v>154.0397155086481</v>
      </c>
      <c r="AI46" s="98">
        <f t="shared" si="29"/>
        <v>161.17799713025292</v>
      </c>
      <c r="AJ46" s="98">
        <f t="shared" si="30"/>
        <v>60.195588255039056</v>
      </c>
      <c r="AK46" s="98">
        <f t="shared" si="31"/>
        <v>63.07179343525641</v>
      </c>
      <c r="AL46" s="98">
        <f t="shared" si="32"/>
        <v>70.871277691374146</v>
      </c>
      <c r="AM46" s="98">
        <f t="shared" si="33"/>
        <v>-21.746628778197785</v>
      </c>
      <c r="AN46" s="98">
        <f t="shared" si="34"/>
        <v>-28.645106185178953</v>
      </c>
      <c r="AO46" s="98">
        <f t="shared" si="35"/>
        <v>-16.884844700896771</v>
      </c>
      <c r="AP46" s="61">
        <v>9.3900000000000011E-2</v>
      </c>
      <c r="AQ46" s="98">
        <f t="shared" si="36"/>
        <v>70.871277691374146</v>
      </c>
      <c r="AR46" s="98">
        <f t="shared" si="37"/>
        <v>754.75269106894712</v>
      </c>
    </row>
    <row r="47" spans="1:44" ht="13.95" customHeight="1" x14ac:dyDescent="0.3">
      <c r="A47" s="96" t="s">
        <v>345</v>
      </c>
      <c r="B47" s="97" t="s">
        <v>346</v>
      </c>
      <c r="C47" s="97" t="s">
        <v>335</v>
      </c>
      <c r="D47" s="97" t="s">
        <v>336</v>
      </c>
      <c r="E47" s="43">
        <v>4.3400000000000001E-3</v>
      </c>
      <c r="F47" s="41">
        <v>11.6</v>
      </c>
      <c r="G47" s="41">
        <v>13.56</v>
      </c>
      <c r="H47" s="82">
        <f t="shared" si="19"/>
        <v>5.0733103448275868E-3</v>
      </c>
      <c r="I47" s="29">
        <f t="shared" si="20"/>
        <v>4.5632232804603051E-3</v>
      </c>
      <c r="J47" s="20">
        <f>I47*Assumptions!$D$7</f>
        <v>951.12138973503988</v>
      </c>
      <c r="K47" s="37">
        <v>13521.92962585</v>
      </c>
      <c r="L47" s="37">
        <v>16650.076923076918</v>
      </c>
      <c r="M47" s="37">
        <v>17782.571428571431</v>
      </c>
      <c r="N47" s="37">
        <v>19255.384615384621</v>
      </c>
      <c r="O47" s="37">
        <v>1955.4666666666669</v>
      </c>
      <c r="P47" s="37">
        <v>2136.333333333333</v>
      </c>
      <c r="Q47" s="37">
        <v>2373.0666666666671</v>
      </c>
      <c r="R47" s="37">
        <v>3261.3</v>
      </c>
      <c r="S47" s="37">
        <v>3505.9</v>
      </c>
      <c r="T47" s="37">
        <v>3808.4</v>
      </c>
      <c r="U47" s="37">
        <v>1553.2</v>
      </c>
      <c r="V47" s="37">
        <v>1645</v>
      </c>
      <c r="W47" s="37">
        <v>1797.143</v>
      </c>
      <c r="X47" s="37">
        <v>-968.44444444444446</v>
      </c>
      <c r="Y47" s="37">
        <v>-1016.333333333333</v>
      </c>
      <c r="Z47" s="37">
        <v>-1078</v>
      </c>
      <c r="AA47" s="98">
        <f t="shared" si="21"/>
        <v>1171.1526934734181</v>
      </c>
      <c r="AB47" s="98">
        <f t="shared" si="22"/>
        <v>1250.8114239754657</v>
      </c>
      <c r="AC47" s="98">
        <f t="shared" si="23"/>
        <v>1354.4078901472674</v>
      </c>
      <c r="AD47" s="98">
        <f t="shared" si="24"/>
        <v>137.54591430685932</v>
      </c>
      <c r="AE47" s="98">
        <f t="shared" si="25"/>
        <v>150.26792663177778</v>
      </c>
      <c r="AF47" s="98">
        <f t="shared" si="26"/>
        <v>166.9195542638403</v>
      </c>
      <c r="AG47" s="98">
        <f t="shared" si="27"/>
        <v>229.39715515254341</v>
      </c>
      <c r="AH47" s="98">
        <f t="shared" si="28"/>
        <v>246.60211763692453</v>
      </c>
      <c r="AI47" s="98">
        <f t="shared" si="29"/>
        <v>267.87971841993874</v>
      </c>
      <c r="AJ47" s="98">
        <f t="shared" si="30"/>
        <v>109.25080838405863</v>
      </c>
      <c r="AK47" s="98">
        <f t="shared" si="31"/>
        <v>115.7079447539122</v>
      </c>
      <c r="AL47" s="98">
        <f t="shared" si="32"/>
        <v>126.40955802971432</v>
      </c>
      <c r="AM47" s="98">
        <f t="shared" si="33"/>
        <v>-68.119584361708803</v>
      </c>
      <c r="AN47" s="98">
        <f t="shared" si="34"/>
        <v>-71.488049352518388</v>
      </c>
      <c r="AO47" s="98">
        <f t="shared" si="35"/>
        <v>-75.825631881287151</v>
      </c>
      <c r="AP47" s="61">
        <v>0.15145</v>
      </c>
      <c r="AQ47" s="98">
        <f t="shared" si="36"/>
        <v>126.40955802971432</v>
      </c>
      <c r="AR47" s="98">
        <f t="shared" si="37"/>
        <v>834.66198765080435</v>
      </c>
    </row>
    <row r="48" spans="1:44" ht="13.95" customHeight="1" x14ac:dyDescent="0.3">
      <c r="A48" s="96" t="s">
        <v>347</v>
      </c>
      <c r="B48" s="97" t="s">
        <v>348</v>
      </c>
      <c r="C48" s="97" t="s">
        <v>335</v>
      </c>
      <c r="D48" s="97" t="s">
        <v>336</v>
      </c>
      <c r="E48" s="43">
        <v>3.8800000000000002E-3</v>
      </c>
      <c r="F48" s="41">
        <v>31.72</v>
      </c>
      <c r="G48" s="41">
        <v>36.270000000000003</v>
      </c>
      <c r="H48" s="82">
        <f t="shared" si="19"/>
        <v>4.4365573770491808E-3</v>
      </c>
      <c r="I48" s="29">
        <f t="shared" si="20"/>
        <v>3.9904915197409912E-3</v>
      </c>
      <c r="J48" s="20">
        <f>I48*Assumptions!$D$7</f>
        <v>831.74580920333278</v>
      </c>
      <c r="K48" s="37">
        <v>18807.449641650001</v>
      </c>
      <c r="L48" s="37">
        <v>2912.363636363636</v>
      </c>
      <c r="M48" s="37">
        <v>2769.545454545455</v>
      </c>
      <c r="N48" s="37">
        <v>2903.272727272727</v>
      </c>
      <c r="O48" s="37">
        <v>2057.090909090909</v>
      </c>
      <c r="P48" s="37">
        <v>1940.272727272727</v>
      </c>
      <c r="Q48" s="37">
        <v>2066.727272727273</v>
      </c>
      <c r="R48" s="37">
        <v>2158.166666666667</v>
      </c>
      <c r="S48" s="37">
        <v>2094.166666666667</v>
      </c>
      <c r="T48" s="37">
        <v>2243.909090909091</v>
      </c>
      <c r="U48" s="37">
        <v>1249.9090000000001</v>
      </c>
      <c r="V48" s="37">
        <v>1304.182</v>
      </c>
      <c r="W48" s="37">
        <v>1490</v>
      </c>
      <c r="X48" s="37">
        <v>-358.25</v>
      </c>
      <c r="Y48" s="37">
        <v>-317.50125000000003</v>
      </c>
      <c r="Z48" s="37">
        <v>-320.6875</v>
      </c>
      <c r="AA48" s="98">
        <f t="shared" si="21"/>
        <v>128.79716790825435</v>
      </c>
      <c r="AB48" s="98">
        <f t="shared" si="22"/>
        <v>122.48113748048976</v>
      </c>
      <c r="AC48" s="98">
        <f t="shared" si="23"/>
        <v>128.39512905225408</v>
      </c>
      <c r="AD48" s="98">
        <f t="shared" si="24"/>
        <v>90.97335233574664</v>
      </c>
      <c r="AE48" s="98">
        <f t="shared" si="25"/>
        <v>85.807153036142864</v>
      </c>
      <c r="AF48" s="98">
        <f t="shared" si="26"/>
        <v>91.399513523106975</v>
      </c>
      <c r="AG48" s="98">
        <f t="shared" si="27"/>
        <v>95.443354349709949</v>
      </c>
      <c r="AH48" s="98">
        <f t="shared" si="28"/>
        <v>92.61300080346787</v>
      </c>
      <c r="AI48" s="98">
        <f t="shared" si="29"/>
        <v>99.235250826552715</v>
      </c>
      <c r="AJ48" s="98">
        <f t="shared" si="30"/>
        <v>55.27631829109194</v>
      </c>
      <c r="AK48" s="98">
        <f t="shared" si="31"/>
        <v>57.676502322579374</v>
      </c>
      <c r="AL48" s="98">
        <f t="shared" si="32"/>
        <v>65.894168498448281</v>
      </c>
      <c r="AM48" s="98">
        <f t="shared" si="33"/>
        <v>-15.843346217831607</v>
      </c>
      <c r="AN48" s="98">
        <f t="shared" si="34"/>
        <v>-14.041262326152989</v>
      </c>
      <c r="AO48" s="98">
        <f t="shared" si="35"/>
        <v>-14.182171919695392</v>
      </c>
      <c r="AP48" s="61">
        <v>0.18486</v>
      </c>
      <c r="AQ48" s="98">
        <f t="shared" si="36"/>
        <v>65.894168498448281</v>
      </c>
      <c r="AR48" s="98">
        <f t="shared" si="37"/>
        <v>356.4544438951005</v>
      </c>
    </row>
    <row r="49" spans="1:44" ht="13.95" customHeight="1" x14ac:dyDescent="0.3">
      <c r="A49" s="96" t="s">
        <v>349</v>
      </c>
      <c r="B49" s="97" t="s">
        <v>350</v>
      </c>
      <c r="C49" s="97" t="s">
        <v>335</v>
      </c>
      <c r="D49" s="97" t="s">
        <v>336</v>
      </c>
      <c r="E49" s="43">
        <v>3.7399999999999998E-3</v>
      </c>
      <c r="F49" s="41">
        <v>17.559999999999999</v>
      </c>
      <c r="G49" s="41">
        <v>20.83</v>
      </c>
      <c r="H49" s="82">
        <f t="shared" si="19"/>
        <v>4.4364578587699315E-3</v>
      </c>
      <c r="I49" s="29">
        <f t="shared" si="20"/>
        <v>3.9904020073520709E-3</v>
      </c>
      <c r="J49" s="20">
        <f>I49*Assumptions!$D$7</f>
        <v>831.72715196424633</v>
      </c>
      <c r="K49" s="37">
        <v>13764.340714960001</v>
      </c>
      <c r="L49" s="37">
        <v>8963.363636363636</v>
      </c>
      <c r="M49" s="37">
        <v>10786.36363636364</v>
      </c>
      <c r="N49" s="37">
        <v>12481.2</v>
      </c>
      <c r="O49" s="37">
        <v>1845.636363636364</v>
      </c>
      <c r="P49" s="37">
        <v>2303</v>
      </c>
      <c r="Q49" s="37">
        <v>2748</v>
      </c>
      <c r="R49" s="37">
        <v>2917.8</v>
      </c>
      <c r="S49" s="37">
        <v>3546.7</v>
      </c>
      <c r="T49" s="37">
        <v>4144.4444444444443</v>
      </c>
      <c r="U49" s="37">
        <v>945.63599999999997</v>
      </c>
      <c r="V49" s="37">
        <v>1245.4549999999999</v>
      </c>
      <c r="W49" s="37">
        <v>1540</v>
      </c>
      <c r="X49" s="37">
        <v>-2710.5</v>
      </c>
      <c r="Y49" s="37">
        <v>-2494.5</v>
      </c>
      <c r="Z49" s="37">
        <v>-2363.75</v>
      </c>
      <c r="AA49" s="98">
        <f t="shared" si="21"/>
        <v>541.62222976578516</v>
      </c>
      <c r="AB49" s="98">
        <f t="shared" si="22"/>
        <v>651.77923833088676</v>
      </c>
      <c r="AC49" s="98">
        <f t="shared" si="23"/>
        <v>754.19180214083497</v>
      </c>
      <c r="AD49" s="98">
        <f t="shared" si="24"/>
        <v>111.52483857221794</v>
      </c>
      <c r="AE49" s="98">
        <f t="shared" si="25"/>
        <v>139.16159666781581</v>
      </c>
      <c r="AF49" s="98">
        <f t="shared" si="26"/>
        <v>166.05126688804077</v>
      </c>
      <c r="AG49" s="98">
        <f t="shared" si="27"/>
        <v>176.31163992937604</v>
      </c>
      <c r="AH49" s="98">
        <f t="shared" si="28"/>
        <v>214.31369296645349</v>
      </c>
      <c r="AI49" s="98">
        <f t="shared" si="29"/>
        <v>250.433133386864</v>
      </c>
      <c r="AJ49" s="98">
        <f t="shared" si="30"/>
        <v>57.141213906455356</v>
      </c>
      <c r="AK49" s="98">
        <f t="shared" si="31"/>
        <v>75.258144323888217</v>
      </c>
      <c r="AL49" s="98">
        <f t="shared" si="32"/>
        <v>93.056386829542504</v>
      </c>
      <c r="AM49" s="98">
        <f t="shared" si="33"/>
        <v>-163.7852834425162</v>
      </c>
      <c r="AN49" s="98">
        <f t="shared" si="34"/>
        <v>-150.73321879629464</v>
      </c>
      <c r="AO49" s="98">
        <f t="shared" si="35"/>
        <v>-142.83248984956563</v>
      </c>
      <c r="AP49" s="61">
        <v>0.20321</v>
      </c>
      <c r="AQ49" s="98">
        <f t="shared" si="36"/>
        <v>93.056386829542504</v>
      </c>
      <c r="AR49" s="98">
        <f t="shared" si="37"/>
        <v>457.93212356450226</v>
      </c>
    </row>
    <row r="50" spans="1:44" ht="13.95" customHeight="1" x14ac:dyDescent="0.3">
      <c r="A50" s="96" t="s">
        <v>351</v>
      </c>
      <c r="B50" s="97" t="s">
        <v>352</v>
      </c>
      <c r="C50" s="97" t="s">
        <v>335</v>
      </c>
      <c r="D50" s="97" t="s">
        <v>336</v>
      </c>
      <c r="E50" s="43">
        <v>2.66E-3</v>
      </c>
      <c r="F50" s="41">
        <v>27.18</v>
      </c>
      <c r="G50" s="41">
        <v>33.5</v>
      </c>
      <c r="H50" s="82">
        <f t="shared" si="19"/>
        <v>3.2785136129506987E-3</v>
      </c>
      <c r="I50" s="29">
        <f t="shared" si="20"/>
        <v>2.9488812288362152E-3</v>
      </c>
      <c r="J50" s="20">
        <f>I50*Assumptions!$D$7</f>
        <v>614.64097637829173</v>
      </c>
      <c r="K50" s="37">
        <v>14967.384</v>
      </c>
      <c r="L50" s="37">
        <v>10125</v>
      </c>
      <c r="M50" s="37">
        <v>11799.8</v>
      </c>
      <c r="N50" s="37">
        <v>12516.777777777779</v>
      </c>
      <c r="O50" s="37">
        <v>2099.333333333333</v>
      </c>
      <c r="P50" s="37">
        <v>2576.1111111111109</v>
      </c>
      <c r="Q50" s="37">
        <v>2830.5555555555552</v>
      </c>
      <c r="R50" s="37">
        <v>2474.125</v>
      </c>
      <c r="S50" s="37">
        <v>2797.333333333333</v>
      </c>
      <c r="T50" s="37">
        <v>3031.625</v>
      </c>
      <c r="U50" s="37">
        <v>1949.1110000000001</v>
      </c>
      <c r="V50" s="37">
        <v>2310.5</v>
      </c>
      <c r="W50" s="37">
        <v>2554.1109999999999</v>
      </c>
      <c r="X50" s="37">
        <v>-162</v>
      </c>
      <c r="Y50" s="37">
        <v>-229</v>
      </c>
      <c r="Z50" s="37">
        <v>-235</v>
      </c>
      <c r="AA50" s="98">
        <f t="shared" si="21"/>
        <v>415.78674575531727</v>
      </c>
      <c r="AB50" s="98">
        <f t="shared" si="22"/>
        <v>484.56300667294738</v>
      </c>
      <c r="AC50" s="98">
        <f t="shared" si="23"/>
        <v>514.00595551256242</v>
      </c>
      <c r="AD50" s="98">
        <f t="shared" si="24"/>
        <v>86.20987406640289</v>
      </c>
      <c r="AE50" s="98">
        <f t="shared" si="25"/>
        <v>105.78892400918552</v>
      </c>
      <c r="AF50" s="98">
        <f t="shared" si="26"/>
        <v>116.2377761110201</v>
      </c>
      <c r="AG50" s="98">
        <f t="shared" si="27"/>
        <v>101.60082788561721</v>
      </c>
      <c r="AH50" s="98">
        <f t="shared" si="28"/>
        <v>114.87349367501638</v>
      </c>
      <c r="AI50" s="98">
        <f t="shared" si="29"/>
        <v>124.49476475066309</v>
      </c>
      <c r="AJ50" s="98">
        <f t="shared" si="30"/>
        <v>80.040940227742453</v>
      </c>
      <c r="AK50" s="98">
        <f t="shared" si="31"/>
        <v>94.881508747423268</v>
      </c>
      <c r="AL50" s="98">
        <f t="shared" si="32"/>
        <v>104.88548157904781</v>
      </c>
      <c r="AM50" s="98">
        <f t="shared" si="33"/>
        <v>-6.6525879320850771</v>
      </c>
      <c r="AN50" s="98">
        <f t="shared" si="34"/>
        <v>-9.403966891651125</v>
      </c>
      <c r="AO50" s="98">
        <f t="shared" si="35"/>
        <v>-9.6503590372839056</v>
      </c>
      <c r="AP50" s="61">
        <v>0.18665999999999999</v>
      </c>
      <c r="AQ50" s="98">
        <f t="shared" si="36"/>
        <v>104.88548157904781</v>
      </c>
      <c r="AR50" s="98">
        <f t="shared" si="37"/>
        <v>561.90657655120435</v>
      </c>
    </row>
    <row r="51" spans="1:44" ht="13.95" customHeight="1" x14ac:dyDescent="0.3">
      <c r="A51" s="96" t="s">
        <v>353</v>
      </c>
      <c r="B51" s="97" t="s">
        <v>354</v>
      </c>
      <c r="C51" s="97" t="s">
        <v>335</v>
      </c>
      <c r="D51" s="97" t="s">
        <v>336</v>
      </c>
      <c r="E51" s="43">
        <v>2.2799999999999999E-3</v>
      </c>
      <c r="F51" s="41">
        <v>27.02</v>
      </c>
      <c r="G51" s="41">
        <v>30.9</v>
      </c>
      <c r="H51" s="82">
        <f t="shared" si="19"/>
        <v>2.60740192450037E-3</v>
      </c>
      <c r="I51" s="29">
        <f t="shared" si="20"/>
        <v>2.345245284575912E-3</v>
      </c>
      <c r="J51" s="20">
        <f>I51*Assumptions!$D$7</f>
        <v>488.82397753510378</v>
      </c>
      <c r="K51" s="37">
        <v>9053.5089273499998</v>
      </c>
      <c r="L51" s="37">
        <v>1645.5</v>
      </c>
      <c r="M51" s="37">
        <v>1822.75</v>
      </c>
      <c r="N51" s="37">
        <v>2047.5</v>
      </c>
      <c r="O51" s="37">
        <v>1048.333333333333</v>
      </c>
      <c r="P51" s="37">
        <v>1132.333333333333</v>
      </c>
      <c r="Q51" s="37">
        <v>1345</v>
      </c>
      <c r="R51" s="37">
        <v>1242.5</v>
      </c>
      <c r="S51" s="37">
        <v>1361.5</v>
      </c>
      <c r="T51" s="37">
        <v>1524</v>
      </c>
      <c r="U51" s="37">
        <v>576.85699999999997</v>
      </c>
      <c r="V51" s="37">
        <v>672.14300000000003</v>
      </c>
      <c r="W51" s="37">
        <v>778.6</v>
      </c>
      <c r="X51" s="37">
        <v>-512.5</v>
      </c>
      <c r="Y51" s="37">
        <v>-343</v>
      </c>
      <c r="Z51" s="37">
        <v>-255</v>
      </c>
      <c r="AA51" s="98">
        <f t="shared" si="21"/>
        <v>88.845094370437963</v>
      </c>
      <c r="AB51" s="98">
        <f t="shared" si="22"/>
        <v>98.415311919608499</v>
      </c>
      <c r="AC51" s="98">
        <f t="shared" si="23"/>
        <v>110.55018579366255</v>
      </c>
      <c r="AD51" s="98">
        <f t="shared" si="24"/>
        <v>56.602415029885002</v>
      </c>
      <c r="AE51" s="98">
        <f t="shared" si="25"/>
        <v>61.137807267573713</v>
      </c>
      <c r="AF51" s="98">
        <f t="shared" si="26"/>
        <v>72.620268567753897</v>
      </c>
      <c r="AG51" s="98">
        <f t="shared" si="27"/>
        <v>67.086010182478987</v>
      </c>
      <c r="AH51" s="98">
        <f t="shared" si="28"/>
        <v>73.511149185871332</v>
      </c>
      <c r="AI51" s="98">
        <f t="shared" si="29"/>
        <v>82.284973455209638</v>
      </c>
      <c r="AJ51" s="98">
        <f t="shared" si="30"/>
        <v>31.146104286385736</v>
      </c>
      <c r="AK51" s="98">
        <f t="shared" si="31"/>
        <v>36.290858866866778</v>
      </c>
      <c r="AL51" s="98">
        <f t="shared" si="32"/>
        <v>42.038766622195688</v>
      </c>
      <c r="AM51" s="98">
        <f t="shared" si="33"/>
        <v>-27.671291926374632</v>
      </c>
      <c r="AN51" s="98">
        <f t="shared" si="34"/>
        <v>-18.519518303895605</v>
      </c>
      <c r="AO51" s="98">
        <f t="shared" si="35"/>
        <v>-13.768155007269327</v>
      </c>
      <c r="AP51" s="61">
        <v>0.1411</v>
      </c>
      <c r="AQ51" s="98">
        <f t="shared" si="36"/>
        <v>42.038766622195688</v>
      </c>
      <c r="AR51" s="98">
        <f t="shared" si="37"/>
        <v>297.93597889578803</v>
      </c>
    </row>
    <row r="52" spans="1:44" ht="13.95" customHeight="1" x14ac:dyDescent="0.3">
      <c r="A52" s="96" t="s">
        <v>355</v>
      </c>
      <c r="B52" s="97" t="s">
        <v>356</v>
      </c>
      <c r="C52" s="97" t="s">
        <v>335</v>
      </c>
      <c r="D52" s="97" t="s">
        <v>336</v>
      </c>
      <c r="E52" s="43">
        <v>1.7099999999999999E-3</v>
      </c>
      <c r="F52" s="41">
        <v>2.3199999999999998</v>
      </c>
      <c r="G52" s="41">
        <v>2.7</v>
      </c>
      <c r="H52" s="82">
        <f t="shared" si="19"/>
        <v>1.9900862068965523E-3</v>
      </c>
      <c r="I52" s="29">
        <f t="shared" si="20"/>
        <v>1.7899964899036568E-3</v>
      </c>
      <c r="J52" s="20">
        <f>I52*Assumptions!$D$7</f>
        <v>373.09240518387981</v>
      </c>
      <c r="K52" s="37">
        <v>6048.3018148299998</v>
      </c>
      <c r="L52" s="37">
        <v>7984.727272727273</v>
      </c>
      <c r="M52" s="37">
        <v>8404</v>
      </c>
      <c r="N52" s="37">
        <v>8772.2222222222208</v>
      </c>
      <c r="O52" s="37">
        <v>1460.6</v>
      </c>
      <c r="P52" s="37">
        <v>1530.4</v>
      </c>
      <c r="Q52" s="37">
        <v>1659</v>
      </c>
      <c r="R52" s="37">
        <v>2465.181818181818</v>
      </c>
      <c r="S52" s="37">
        <v>2553.545454545455</v>
      </c>
      <c r="T52" s="37">
        <v>2652.333333333333</v>
      </c>
      <c r="U52" s="37">
        <v>724.90899999999999</v>
      </c>
      <c r="V52" s="37">
        <v>877.18200000000002</v>
      </c>
      <c r="W52" s="37">
        <v>978.77800000000002</v>
      </c>
      <c r="X52" s="37">
        <v>-580</v>
      </c>
      <c r="Y52" s="37">
        <v>-597.16666666666663</v>
      </c>
      <c r="Z52" s="37">
        <v>-580.4</v>
      </c>
      <c r="AA52" s="98">
        <f t="shared" si="21"/>
        <v>492.54174049561243</v>
      </c>
      <c r="AB52" s="98">
        <f t="shared" si="22"/>
        <v>518.40478024383356</v>
      </c>
      <c r="AC52" s="98">
        <f t="shared" si="23"/>
        <v>541.1187450453574</v>
      </c>
      <c r="AD52" s="98">
        <f t="shared" si="24"/>
        <v>90.097813187070841</v>
      </c>
      <c r="AE52" s="98">
        <f t="shared" si="25"/>
        <v>94.403459743593871</v>
      </c>
      <c r="AF52" s="98">
        <f t="shared" si="26"/>
        <v>102.33621256836268</v>
      </c>
      <c r="AG52" s="98">
        <f t="shared" si="27"/>
        <v>152.06592559681573</v>
      </c>
      <c r="AH52" s="98">
        <f t="shared" si="28"/>
        <v>157.51667898694393</v>
      </c>
      <c r="AI52" s="98">
        <f t="shared" si="29"/>
        <v>163.61045678249181</v>
      </c>
      <c r="AJ52" s="98">
        <f t="shared" si="30"/>
        <v>44.716360166798808</v>
      </c>
      <c r="AK52" s="98">
        <f t="shared" si="31"/>
        <v>54.109393377421043</v>
      </c>
      <c r="AL52" s="98">
        <f t="shared" si="32"/>
        <v>60.376391479949895</v>
      </c>
      <c r="AM52" s="98">
        <f t="shared" si="33"/>
        <v>-35.777578836437826</v>
      </c>
      <c r="AN52" s="98">
        <f t="shared" si="34"/>
        <v>-36.836512922688712</v>
      </c>
      <c r="AO52" s="98">
        <f t="shared" si="35"/>
        <v>-35.802253028738811</v>
      </c>
      <c r="AP52" s="61">
        <v>0.10335999999999999</v>
      </c>
      <c r="AQ52" s="98">
        <f t="shared" si="36"/>
        <v>60.376391479949895</v>
      </c>
      <c r="AR52" s="98">
        <f t="shared" si="37"/>
        <v>584.13691447319945</v>
      </c>
    </row>
    <row r="53" spans="1:44" ht="13.95" customHeight="1" x14ac:dyDescent="0.3">
      <c r="A53" s="96" t="s">
        <v>357</v>
      </c>
      <c r="B53" s="97" t="s">
        <v>358</v>
      </c>
      <c r="C53" s="97" t="s">
        <v>335</v>
      </c>
      <c r="D53" s="97" t="s">
        <v>336</v>
      </c>
      <c r="E53" s="43">
        <v>1.7099999999999999E-3</v>
      </c>
      <c r="F53" s="41">
        <v>27.74</v>
      </c>
      <c r="G53" s="41">
        <v>30.43</v>
      </c>
      <c r="H53" s="82">
        <f t="shared" si="19"/>
        <v>1.8758219178082194E-3</v>
      </c>
      <c r="I53" s="29">
        <f t="shared" si="20"/>
        <v>1.6872207027640576E-3</v>
      </c>
      <c r="J53" s="20">
        <f>I53*Assumptions!$D$7</f>
        <v>351.67065054086186</v>
      </c>
      <c r="K53" s="37">
        <v>9940.6958583800006</v>
      </c>
      <c r="L53" s="37">
        <v>6833.818181818182</v>
      </c>
      <c r="M53" s="37">
        <v>7942.090909090909</v>
      </c>
      <c r="N53" s="37">
        <v>8683.7999999999993</v>
      </c>
      <c r="O53" s="37">
        <v>1626.1</v>
      </c>
      <c r="P53" s="37">
        <v>1893.3</v>
      </c>
      <c r="Q53" s="37">
        <v>2037.2</v>
      </c>
      <c r="R53" s="37">
        <v>1644.2</v>
      </c>
      <c r="S53" s="37">
        <v>1920.1</v>
      </c>
      <c r="T53" s="37">
        <v>2066.5555555555561</v>
      </c>
      <c r="U53" s="37">
        <v>1230.182</v>
      </c>
      <c r="V53" s="37">
        <v>1453.9090000000001</v>
      </c>
      <c r="W53" s="37">
        <v>1584.5</v>
      </c>
      <c r="X53" s="37">
        <v>-54.666666666666657</v>
      </c>
      <c r="Y53" s="37">
        <v>-89.466666666666669</v>
      </c>
      <c r="Z53" s="37">
        <v>-94.4</v>
      </c>
      <c r="AA53" s="98">
        <f t="shared" si="21"/>
        <v>241.75905992054157</v>
      </c>
      <c r="AB53" s="98">
        <f t="shared" si="22"/>
        <v>280.96627403605424</v>
      </c>
      <c r="AC53" s="98">
        <f t="shared" si="23"/>
        <v>307.20561605275878</v>
      </c>
      <c r="AD53" s="98">
        <f t="shared" si="24"/>
        <v>57.526319383609838</v>
      </c>
      <c r="AE53" s="98">
        <f t="shared" si="25"/>
        <v>66.979017581322495</v>
      </c>
      <c r="AF53" s="98">
        <f t="shared" si="26"/>
        <v>72.069748384656521</v>
      </c>
      <c r="AG53" s="98">
        <f t="shared" si="27"/>
        <v>58.166640631284238</v>
      </c>
      <c r="AH53" s="98">
        <f t="shared" si="28"/>
        <v>67.927117550254749</v>
      </c>
      <c r="AI53" s="98">
        <f t="shared" si="29"/>
        <v>73.108255896231583</v>
      </c>
      <c r="AJ53" s="98">
        <f t="shared" si="30"/>
        <v>43.51998193959038</v>
      </c>
      <c r="AK53" s="98">
        <f t="shared" si="31"/>
        <v>51.434741706355574</v>
      </c>
      <c r="AL53" s="98">
        <f t="shared" si="32"/>
        <v>56.054641819894094</v>
      </c>
      <c r="AM53" s="98">
        <f t="shared" si="33"/>
        <v>-1.9339352600110717</v>
      </c>
      <c r="AN53" s="98">
        <f t="shared" si="34"/>
        <v>-3.1650501450425108</v>
      </c>
      <c r="AO53" s="98">
        <f t="shared" si="35"/>
        <v>-3.3395760099703393</v>
      </c>
      <c r="AP53" s="61">
        <v>0.71633999999999998</v>
      </c>
      <c r="AQ53" s="98">
        <f t="shared" si="36"/>
        <v>56.054641819894094</v>
      </c>
      <c r="AR53" s="98">
        <f t="shared" si="37"/>
        <v>78.251447385171986</v>
      </c>
    </row>
    <row r="54" spans="1:44" ht="13.95" customHeight="1" x14ac:dyDescent="0.3">
      <c r="A54" s="96" t="s">
        <v>359</v>
      </c>
      <c r="B54" s="97" t="s">
        <v>360</v>
      </c>
      <c r="C54" s="97" t="s">
        <v>335</v>
      </c>
      <c r="D54" s="97" t="s">
        <v>336</v>
      </c>
      <c r="E54" s="43">
        <v>1.2700000000000001E-3</v>
      </c>
      <c r="F54" s="41">
        <v>10.11</v>
      </c>
      <c r="G54" s="41">
        <v>11.39</v>
      </c>
      <c r="H54" s="82">
        <f t="shared" si="19"/>
        <v>1.4307912957467856E-3</v>
      </c>
      <c r="I54" s="29">
        <f t="shared" si="20"/>
        <v>1.2869349017625657E-3</v>
      </c>
      <c r="J54" s="20">
        <f>I54*Assumptions!$D$7</f>
        <v>268.23831248938296</v>
      </c>
      <c r="K54" s="37">
        <v>6063.8249999999998</v>
      </c>
      <c r="L54" s="37">
        <v>5291.181818181818</v>
      </c>
      <c r="M54" s="37">
        <v>6236.363636363636</v>
      </c>
      <c r="N54" s="37">
        <v>6622.8</v>
      </c>
      <c r="O54" s="37">
        <v>1275.3</v>
      </c>
      <c r="P54" s="37">
        <v>1497.1</v>
      </c>
      <c r="Q54" s="37">
        <v>1584.9</v>
      </c>
      <c r="R54" s="37">
        <v>1398.9</v>
      </c>
      <c r="S54" s="37">
        <v>1624.6</v>
      </c>
      <c r="T54" s="37">
        <v>1709.333333333333</v>
      </c>
      <c r="U54" s="37">
        <v>919.81799999999998</v>
      </c>
      <c r="V54" s="37">
        <v>1113.364</v>
      </c>
      <c r="W54" s="37">
        <v>1200</v>
      </c>
      <c r="X54" s="37">
        <v>-115.8</v>
      </c>
      <c r="Y54" s="37">
        <v>-122.5</v>
      </c>
      <c r="Z54" s="37">
        <v>-128.75</v>
      </c>
      <c r="AA54" s="98">
        <f t="shared" si="21"/>
        <v>234.05980251468273</v>
      </c>
      <c r="AB54" s="98">
        <f t="shared" si="22"/>
        <v>275.87070172512131</v>
      </c>
      <c r="AC54" s="98">
        <f t="shared" si="23"/>
        <v>292.96503377895726</v>
      </c>
      <c r="AD54" s="98">
        <f t="shared" si="24"/>
        <v>56.413949927267048</v>
      </c>
      <c r="AE54" s="98">
        <f t="shared" si="25"/>
        <v>66.22545631311182</v>
      </c>
      <c r="AF54" s="98">
        <f t="shared" si="26"/>
        <v>70.109361906787072</v>
      </c>
      <c r="AG54" s="98">
        <f t="shared" si="27"/>
        <v>61.881498120641318</v>
      </c>
      <c r="AH54" s="98">
        <f t="shared" si="28"/>
        <v>71.8655242310343</v>
      </c>
      <c r="AI54" s="98">
        <f t="shared" si="29"/>
        <v>75.613773289167355</v>
      </c>
      <c r="AJ54" s="98">
        <f t="shared" si="30"/>
        <v>40.688909742177465</v>
      </c>
      <c r="AK54" s="98">
        <f t="shared" si="31"/>
        <v>49.250577077410611</v>
      </c>
      <c r="AL54" s="98">
        <f t="shared" si="32"/>
        <v>53.082992168682232</v>
      </c>
      <c r="AM54" s="98">
        <f t="shared" si="33"/>
        <v>-5.1225087442778356</v>
      </c>
      <c r="AN54" s="98">
        <f t="shared" si="34"/>
        <v>-5.4188887838863113</v>
      </c>
      <c r="AO54" s="98">
        <f t="shared" si="35"/>
        <v>-5.6953627014315318</v>
      </c>
      <c r="AP54" s="61">
        <v>0.36248000000000002</v>
      </c>
      <c r="AQ54" s="98">
        <f t="shared" si="36"/>
        <v>53.082992168682232</v>
      </c>
      <c r="AR54" s="98">
        <f t="shared" si="37"/>
        <v>146.44392012988916</v>
      </c>
    </row>
    <row r="55" spans="1:44" ht="13.95" customHeight="1" x14ac:dyDescent="0.3">
      <c r="A55" s="96" t="s">
        <v>361</v>
      </c>
      <c r="B55" s="97" t="s">
        <v>362</v>
      </c>
      <c r="C55" s="97" t="s">
        <v>335</v>
      </c>
      <c r="D55" s="97" t="s">
        <v>336</v>
      </c>
      <c r="E55" s="43">
        <v>1.23E-3</v>
      </c>
      <c r="F55" s="41">
        <v>27.01</v>
      </c>
      <c r="G55" s="41">
        <v>29.41</v>
      </c>
      <c r="H55" s="82">
        <f t="shared" si="19"/>
        <v>1.3392928544983338E-3</v>
      </c>
      <c r="I55" s="29">
        <f t="shared" si="20"/>
        <v>1.2046360103382613E-3</v>
      </c>
      <c r="J55" s="20">
        <f>I55*Assumptions!$D$7</f>
        <v>251.08459653594366</v>
      </c>
      <c r="K55" s="37">
        <v>3709.2148795200001</v>
      </c>
      <c r="L55" s="37">
        <v>5199.75</v>
      </c>
      <c r="M55" s="37">
        <v>6120.75</v>
      </c>
      <c r="N55" s="37">
        <v>6827</v>
      </c>
      <c r="O55" s="37">
        <v>835.42857142857144</v>
      </c>
      <c r="P55" s="37">
        <v>1018.285714285714</v>
      </c>
      <c r="Q55" s="37">
        <v>1164.1428571428571</v>
      </c>
      <c r="R55" s="37">
        <v>910.14285714285722</v>
      </c>
      <c r="S55" s="37">
        <v>1107.571428571428</v>
      </c>
      <c r="T55" s="37">
        <v>1252.166666666667</v>
      </c>
      <c r="U55" s="37">
        <v>665.125</v>
      </c>
      <c r="V55" s="37">
        <v>839</v>
      </c>
      <c r="W55" s="37">
        <v>978.85699999999997</v>
      </c>
      <c r="X55" s="37">
        <v>-96.4</v>
      </c>
      <c r="Y55" s="37">
        <v>-93.066666666666677</v>
      </c>
      <c r="Z55" s="37">
        <v>-104.26666666666669</v>
      </c>
      <c r="AA55" s="98">
        <f t="shared" si="21"/>
        <v>351.98206985698397</v>
      </c>
      <c r="AB55" s="98">
        <f t="shared" si="22"/>
        <v>414.32650686612521</v>
      </c>
      <c r="AC55" s="98">
        <f t="shared" si="23"/>
        <v>462.13406239023595</v>
      </c>
      <c r="AD55" s="98">
        <f t="shared" si="24"/>
        <v>56.551926109734453</v>
      </c>
      <c r="AE55" s="98">
        <f t="shared" si="25"/>
        <v>68.929912672740613</v>
      </c>
      <c r="AF55" s="98">
        <f t="shared" si="26"/>
        <v>78.803291017138534</v>
      </c>
      <c r="AG55" s="98">
        <f t="shared" si="27"/>
        <v>61.609494056962767</v>
      </c>
      <c r="AH55" s="98">
        <f t="shared" si="28"/>
        <v>74.973851424208448</v>
      </c>
      <c r="AI55" s="98">
        <f t="shared" si="29"/>
        <v>84.761808767585663</v>
      </c>
      <c r="AJ55" s="98">
        <f t="shared" si="30"/>
        <v>45.023717335184664</v>
      </c>
      <c r="AK55" s="98">
        <f t="shared" si="31"/>
        <v>56.793683659793167</v>
      </c>
      <c r="AL55" s="98">
        <f t="shared" si="32"/>
        <v>66.260899649790417</v>
      </c>
      <c r="AM55" s="98">
        <f t="shared" si="33"/>
        <v>-6.5255197911848182</v>
      </c>
      <c r="AN55" s="98">
        <f t="shared" si="34"/>
        <v>-6.2998794111300187</v>
      </c>
      <c r="AO55" s="98">
        <f t="shared" si="35"/>
        <v>-7.0580310881141477</v>
      </c>
      <c r="AP55" s="61">
        <v>0.38013999999999998</v>
      </c>
      <c r="AQ55" s="98">
        <f t="shared" si="36"/>
        <v>66.260899649790417</v>
      </c>
      <c r="AR55" s="98">
        <f t="shared" si="37"/>
        <v>174.30657034195409</v>
      </c>
    </row>
    <row r="56" spans="1:44" ht="13.95" customHeight="1" x14ac:dyDescent="0.3">
      <c r="A56" s="96" t="s">
        <v>363</v>
      </c>
      <c r="B56" s="97" t="s">
        <v>364</v>
      </c>
      <c r="C56" s="97" t="s">
        <v>335</v>
      </c>
      <c r="D56" s="97" t="s">
        <v>336</v>
      </c>
      <c r="E56" s="43">
        <v>1.17E-3</v>
      </c>
      <c r="F56" s="41">
        <v>4.18</v>
      </c>
      <c r="G56" s="41">
        <v>4.7</v>
      </c>
      <c r="H56" s="82">
        <f t="shared" si="19"/>
        <v>1.3155502392344499E-3</v>
      </c>
      <c r="I56" s="29">
        <f t="shared" si="20"/>
        <v>1.1832805545614181E-3</v>
      </c>
      <c r="J56" s="20">
        <f>I56*Assumptions!$D$7</f>
        <v>246.63343788590115</v>
      </c>
      <c r="K56" s="37">
        <v>5792.7156500099991</v>
      </c>
      <c r="L56" s="37">
        <v>8959.125</v>
      </c>
      <c r="M56" s="37">
        <v>9651.75</v>
      </c>
      <c r="N56" s="37">
        <v>10269.875</v>
      </c>
      <c r="O56" s="37">
        <v>1239.125</v>
      </c>
      <c r="P56" s="37">
        <v>1366.625</v>
      </c>
      <c r="Q56" s="37">
        <v>1460</v>
      </c>
      <c r="R56" s="37">
        <v>1432.875</v>
      </c>
      <c r="S56" s="37">
        <v>1585.625</v>
      </c>
      <c r="T56" s="37">
        <v>1695.625</v>
      </c>
      <c r="U56" s="37">
        <v>1081.5</v>
      </c>
      <c r="V56" s="37">
        <v>1122.5</v>
      </c>
      <c r="W56" s="37">
        <v>1198.625</v>
      </c>
      <c r="X56" s="37">
        <v>-307.85714285714289</v>
      </c>
      <c r="Y56" s="37">
        <v>-327.57142857142861</v>
      </c>
      <c r="Z56" s="37">
        <v>-352.42857142857139</v>
      </c>
      <c r="AA56" s="98">
        <f t="shared" si="21"/>
        <v>381.44799998869439</v>
      </c>
      <c r="AB56" s="98">
        <f t="shared" si="22"/>
        <v>410.93753395458612</v>
      </c>
      <c r="AC56" s="98">
        <f t="shared" si="23"/>
        <v>437.25512021362499</v>
      </c>
      <c r="AD56" s="98">
        <f t="shared" si="24"/>
        <v>52.757579896026783</v>
      </c>
      <c r="AE56" s="98">
        <f t="shared" si="25"/>
        <v>58.1860810050702</v>
      </c>
      <c r="AF56" s="98">
        <f t="shared" si="26"/>
        <v>62.161659758457866</v>
      </c>
      <c r="AG56" s="98">
        <f t="shared" si="27"/>
        <v>61.006772757808442</v>
      </c>
      <c r="AH56" s="98">
        <f t="shared" si="28"/>
        <v>67.510329968838874</v>
      </c>
      <c r="AI56" s="98">
        <f t="shared" si="29"/>
        <v>72.19374269036652</v>
      </c>
      <c r="AJ56" s="98">
        <f t="shared" si="30"/>
        <v>46.046462348474101</v>
      </c>
      <c r="AK56" s="98">
        <f t="shared" si="31"/>
        <v>47.792097999225319</v>
      </c>
      <c r="AL56" s="98">
        <f t="shared" si="32"/>
        <v>51.033232484918877</v>
      </c>
      <c r="AM56" s="98">
        <f t="shared" si="33"/>
        <v>-13.107473266093614</v>
      </c>
      <c r="AN56" s="98">
        <f t="shared" si="34"/>
        <v>-13.94683814345831</v>
      </c>
      <c r="AO56" s="98">
        <f t="shared" si="35"/>
        <v>-15.005167771439877</v>
      </c>
      <c r="AP56" s="61">
        <v>0.23971999999999999</v>
      </c>
      <c r="AQ56" s="98">
        <f t="shared" si="36"/>
        <v>51.033232484918877</v>
      </c>
      <c r="AR56" s="98">
        <f t="shared" si="37"/>
        <v>212.88683666326915</v>
      </c>
    </row>
    <row r="57" spans="1:44" ht="13.95" customHeight="1" x14ac:dyDescent="0.3">
      <c r="A57" s="96" t="s">
        <v>365</v>
      </c>
      <c r="B57" s="97" t="s">
        <v>366</v>
      </c>
      <c r="C57" s="97" t="s">
        <v>335</v>
      </c>
      <c r="D57" s="97" t="s">
        <v>336</v>
      </c>
      <c r="E57" s="43">
        <v>1.1199999999999999E-3</v>
      </c>
      <c r="F57" s="41">
        <v>23.6</v>
      </c>
      <c r="G57" s="41">
        <v>27.72</v>
      </c>
      <c r="H57" s="82">
        <f t="shared" si="19"/>
        <v>1.3155254237288132E-3</v>
      </c>
      <c r="I57" s="29">
        <f t="shared" si="20"/>
        <v>1.1832582340871437E-3</v>
      </c>
      <c r="J57" s="20">
        <f>I57*Assumptions!$D$7</f>
        <v>246.62878558659284</v>
      </c>
      <c r="K57" s="37">
        <v>6632.4333535199994</v>
      </c>
      <c r="L57" s="37">
        <v>3356.4285714285711</v>
      </c>
      <c r="M57" s="37">
        <v>3771.1428571428569</v>
      </c>
      <c r="N57" s="37">
        <v>4169.2307692307704</v>
      </c>
      <c r="O57" s="37">
        <v>788.07692307692309</v>
      </c>
      <c r="P57" s="37">
        <v>895.07692307692309</v>
      </c>
      <c r="Q57" s="37">
        <v>1003.846153846154</v>
      </c>
      <c r="R57" s="37">
        <v>904.07692307692309</v>
      </c>
      <c r="S57" s="37">
        <v>1020.384615384615</v>
      </c>
      <c r="T57" s="37">
        <v>1169.5</v>
      </c>
      <c r="U57" s="37">
        <v>623.14300000000003</v>
      </c>
      <c r="V57" s="37">
        <v>735.14300000000003</v>
      </c>
      <c r="W57" s="37">
        <v>843.923</v>
      </c>
      <c r="X57" s="37">
        <v>-128.30000000000001</v>
      </c>
      <c r="Y57" s="37">
        <v>-142</v>
      </c>
      <c r="Z57" s="37">
        <v>-141.9</v>
      </c>
      <c r="AA57" s="98">
        <f t="shared" si="21"/>
        <v>124.80968271475223</v>
      </c>
      <c r="AB57" s="98">
        <f t="shared" si="22"/>
        <v>140.23094293696656</v>
      </c>
      <c r="AC57" s="98">
        <f t="shared" si="23"/>
        <v>155.03394706558518</v>
      </c>
      <c r="AD57" s="98">
        <f t="shared" si="24"/>
        <v>29.304848481308483</v>
      </c>
      <c r="AE57" s="98">
        <f t="shared" si="25"/>
        <v>33.283671735334842</v>
      </c>
      <c r="AF57" s="98">
        <f t="shared" si="26"/>
        <v>37.328284302691635</v>
      </c>
      <c r="AG57" s="98">
        <f t="shared" si="27"/>
        <v>33.618339111841742</v>
      </c>
      <c r="AH57" s="98">
        <f t="shared" si="28"/>
        <v>37.943271362084616</v>
      </c>
      <c r="AI57" s="98">
        <f t="shared" si="29"/>
        <v>43.488166313867595</v>
      </c>
      <c r="AJ57" s="98">
        <f t="shared" si="30"/>
        <v>23.171736999848136</v>
      </c>
      <c r="AK57" s="98">
        <f t="shared" si="31"/>
        <v>27.336486574156108</v>
      </c>
      <c r="AL57" s="98">
        <f t="shared" si="32"/>
        <v>31.381499598202723</v>
      </c>
      <c r="AM57" s="98">
        <f t="shared" si="33"/>
        <v>-4.7708693784260054</v>
      </c>
      <c r="AN57" s="98">
        <f t="shared" si="34"/>
        <v>-5.2803074959976044</v>
      </c>
      <c r="AO57" s="98">
        <f t="shared" si="35"/>
        <v>-5.2765889695919732</v>
      </c>
      <c r="AP57" s="61">
        <v>0.20180999999999999</v>
      </c>
      <c r="AQ57" s="98">
        <f t="shared" si="36"/>
        <v>31.381499598202723</v>
      </c>
      <c r="AR57" s="98">
        <f t="shared" si="37"/>
        <v>155.50022099104467</v>
      </c>
    </row>
    <row r="58" spans="1:44" ht="13.95" customHeight="1" x14ac:dyDescent="0.3">
      <c r="A58" s="96" t="s">
        <v>367</v>
      </c>
      <c r="B58" s="97" t="s">
        <v>368</v>
      </c>
      <c r="C58" s="97" t="s">
        <v>335</v>
      </c>
      <c r="D58" s="97" t="s">
        <v>336</v>
      </c>
      <c r="E58" s="43">
        <v>1.1100000000000001E-3</v>
      </c>
      <c r="F58" s="41">
        <v>7.46</v>
      </c>
      <c r="G58" s="41">
        <v>9.41</v>
      </c>
      <c r="H58" s="82">
        <f t="shared" si="19"/>
        <v>1.4001474530831099E-3</v>
      </c>
      <c r="I58" s="29">
        <f t="shared" si="20"/>
        <v>1.2593720903551747E-3</v>
      </c>
      <c r="J58" s="20">
        <f>I58*Assumptions!$D$7</f>
        <v>262.49334278714252</v>
      </c>
      <c r="K58" s="37">
        <v>7911.148704000002</v>
      </c>
      <c r="L58" s="37">
        <v>39297.833333333343</v>
      </c>
      <c r="M58" s="37">
        <v>41804.846153846163</v>
      </c>
      <c r="N58" s="37">
        <v>43576.545454545463</v>
      </c>
      <c r="O58" s="37">
        <v>1760.5</v>
      </c>
      <c r="P58" s="37">
        <v>1983.75</v>
      </c>
      <c r="Q58" s="37">
        <v>2157.333333333333</v>
      </c>
      <c r="R58" s="37">
        <v>2989.7777777777778</v>
      </c>
      <c r="S58" s="37">
        <v>3277.333333333333</v>
      </c>
      <c r="T58" s="37">
        <v>3455</v>
      </c>
      <c r="U58" s="37">
        <v>151.82499999999999</v>
      </c>
      <c r="V58" s="37">
        <v>437.5</v>
      </c>
      <c r="W58" s="37">
        <v>651.27300000000002</v>
      </c>
      <c r="X58" s="37">
        <v>-914.85714285714278</v>
      </c>
      <c r="Y58" s="37">
        <v>-975</v>
      </c>
      <c r="Z58" s="37">
        <v>-1019.428571428571</v>
      </c>
      <c r="AA58" s="98">
        <f t="shared" si="21"/>
        <v>1303.9092073623929</v>
      </c>
      <c r="AB58" s="98">
        <f t="shared" si="22"/>
        <v>1387.0923455246045</v>
      </c>
      <c r="AC58" s="98">
        <f t="shared" si="23"/>
        <v>1445.8776482985318</v>
      </c>
      <c r="AD58" s="98">
        <f t="shared" si="24"/>
        <v>58.413707954081239</v>
      </c>
      <c r="AE58" s="98">
        <f t="shared" si="25"/>
        <v>65.821183274017983</v>
      </c>
      <c r="AF58" s="98">
        <f t="shared" si="26"/>
        <v>71.580709623935192</v>
      </c>
      <c r="AG58" s="98">
        <f t="shared" si="27"/>
        <v>99.201366633747867</v>
      </c>
      <c r="AH58" s="98">
        <f t="shared" si="28"/>
        <v>108.74251190088549</v>
      </c>
      <c r="AI58" s="98">
        <f t="shared" si="29"/>
        <v>114.63752398827077</v>
      </c>
      <c r="AJ58" s="98">
        <f t="shared" si="30"/>
        <v>5.037580920266052</v>
      </c>
      <c r="AK58" s="98">
        <f t="shared" si="31"/>
        <v>14.516329014433706</v>
      </c>
      <c r="AL58" s="98">
        <f t="shared" si="32"/>
        <v>21.609355762782364</v>
      </c>
      <c r="AM58" s="98">
        <f t="shared" si="33"/>
        <v>-30.35512522724358</v>
      </c>
      <c r="AN58" s="98">
        <f t="shared" si="34"/>
        <v>-32.350676089309403</v>
      </c>
      <c r="AO58" s="98">
        <f t="shared" si="35"/>
        <v>-33.824824113305759</v>
      </c>
      <c r="AP58" s="61">
        <v>4.9050000000000003E-2</v>
      </c>
      <c r="AQ58" s="98">
        <f t="shared" si="36"/>
        <v>21.609355762782364</v>
      </c>
      <c r="AR58" s="98">
        <f t="shared" si="37"/>
        <v>440.55771177945695</v>
      </c>
    </row>
    <row r="59" spans="1:44" ht="13.95" customHeight="1" x14ac:dyDescent="0.3">
      <c r="A59" s="96" t="s">
        <v>369</v>
      </c>
      <c r="B59" s="97" t="s">
        <v>370</v>
      </c>
      <c r="C59" s="97" t="s">
        <v>335</v>
      </c>
      <c r="D59" s="97" t="s">
        <v>336</v>
      </c>
      <c r="E59" s="43">
        <v>1.0499999999999999E-3</v>
      </c>
      <c r="F59" s="41">
        <v>11.14</v>
      </c>
      <c r="G59" s="41">
        <v>12.43</v>
      </c>
      <c r="H59" s="82">
        <f t="shared" si="19"/>
        <v>1.1715888689407539E-3</v>
      </c>
      <c r="I59" s="29">
        <f t="shared" si="20"/>
        <v>1.053793527007324E-3</v>
      </c>
      <c r="J59" s="20">
        <f>I59*Assumptions!$D$7</f>
        <v>219.64420811770842</v>
      </c>
      <c r="K59" s="37">
        <v>3626.1954987300001</v>
      </c>
      <c r="L59" s="37">
        <v>5699.0769230769238</v>
      </c>
      <c r="M59" s="37">
        <v>5999.2307692307704</v>
      </c>
      <c r="N59" s="37">
        <v>6283.5</v>
      </c>
      <c r="O59" s="37">
        <v>1008.4</v>
      </c>
      <c r="P59" s="37">
        <v>1148.818181818182</v>
      </c>
      <c r="Q59" s="37">
        <v>1231.818181818182</v>
      </c>
      <c r="R59" s="37">
        <v>1850.461538461539</v>
      </c>
      <c r="S59" s="37">
        <v>1932.153846153846</v>
      </c>
      <c r="T59" s="37">
        <v>2008.166666666667</v>
      </c>
      <c r="U59" s="37">
        <v>354.22199999999998</v>
      </c>
      <c r="V59" s="37">
        <v>515.27300000000002</v>
      </c>
      <c r="W59" s="37">
        <v>637.36400000000003</v>
      </c>
      <c r="X59" s="37">
        <v>-427.4</v>
      </c>
      <c r="Y59" s="37">
        <v>-429.8</v>
      </c>
      <c r="Z59" s="37">
        <v>-441.8</v>
      </c>
      <c r="AA59" s="98">
        <f t="shared" si="21"/>
        <v>345.20180674471175</v>
      </c>
      <c r="AB59" s="98">
        <f t="shared" si="22"/>
        <v>363.38258433241646</v>
      </c>
      <c r="AC59" s="98">
        <f t="shared" si="23"/>
        <v>380.60120646859343</v>
      </c>
      <c r="AD59" s="98">
        <f t="shared" si="24"/>
        <v>61.080330485068764</v>
      </c>
      <c r="AE59" s="98">
        <f t="shared" si="25"/>
        <v>69.585674546519613</v>
      </c>
      <c r="AF59" s="98">
        <f t="shared" si="26"/>
        <v>74.613111506318006</v>
      </c>
      <c r="AG59" s="98">
        <f t="shared" si="27"/>
        <v>112.08528591743315</v>
      </c>
      <c r="AH59" s="98">
        <f t="shared" si="28"/>
        <v>117.0335139538612</v>
      </c>
      <c r="AI59" s="98">
        <f t="shared" si="29"/>
        <v>121.63772676427901</v>
      </c>
      <c r="AJ59" s="98">
        <f t="shared" si="30"/>
        <v>21.455768370767579</v>
      </c>
      <c r="AK59" s="98">
        <f t="shared" si="31"/>
        <v>31.210873790195201</v>
      </c>
      <c r="AL59" s="98">
        <f t="shared" si="32"/>
        <v>38.60611241499938</v>
      </c>
      <c r="AM59" s="98">
        <f t="shared" si="33"/>
        <v>-25.88827176647996</v>
      </c>
      <c r="AN59" s="98">
        <f t="shared" si="34"/>
        <v>-26.03364343760666</v>
      </c>
      <c r="AO59" s="98">
        <f t="shared" si="35"/>
        <v>-26.760501793240163</v>
      </c>
      <c r="AP59" s="61">
        <v>0.16766</v>
      </c>
      <c r="AQ59" s="98">
        <f t="shared" si="36"/>
        <v>38.60611241499938</v>
      </c>
      <c r="AR59" s="98">
        <f t="shared" si="37"/>
        <v>230.26429926636871</v>
      </c>
    </row>
    <row r="60" spans="1:44" ht="13.95" customHeight="1" x14ac:dyDescent="0.3">
      <c r="A60" s="96" t="s">
        <v>371</v>
      </c>
      <c r="B60" s="97" t="s">
        <v>372</v>
      </c>
      <c r="C60" s="97" t="s">
        <v>335</v>
      </c>
      <c r="D60" s="97" t="s">
        <v>336</v>
      </c>
      <c r="E60" s="43">
        <v>8.699999999999999E-4</v>
      </c>
      <c r="F60" s="41">
        <v>17.38</v>
      </c>
      <c r="G60" s="41">
        <v>22.2</v>
      </c>
      <c r="H60" s="82">
        <f t="shared" si="19"/>
        <v>1.1112773302646719E-3</v>
      </c>
      <c r="I60" s="29">
        <f t="shared" si="20"/>
        <v>9.9954590589585975E-4</v>
      </c>
      <c r="J60" s="20">
        <f>I60*Assumptions!$D$7</f>
        <v>208.33727229401339</v>
      </c>
      <c r="K60" s="37">
        <v>4846.3159111099994</v>
      </c>
      <c r="L60" s="37">
        <v>11464</v>
      </c>
      <c r="M60" s="37">
        <v>12169.777777777779</v>
      </c>
      <c r="N60" s="37">
        <v>12871.625</v>
      </c>
      <c r="O60" s="37">
        <v>1049.333333333333</v>
      </c>
      <c r="P60" s="37">
        <v>1218.375</v>
      </c>
      <c r="Q60" s="37">
        <v>1417.375</v>
      </c>
      <c r="R60" s="37">
        <v>1614.428571428572</v>
      </c>
      <c r="S60" s="37">
        <v>1817.285714285714</v>
      </c>
      <c r="T60" s="37">
        <v>1959.5</v>
      </c>
      <c r="U60" s="37">
        <v>399.1</v>
      </c>
      <c r="V60" s="37">
        <v>575.9</v>
      </c>
      <c r="W60" s="37">
        <v>710.55600000000004</v>
      </c>
      <c r="X60" s="37">
        <v>-375.5</v>
      </c>
      <c r="Y60" s="37">
        <v>-375</v>
      </c>
      <c r="Z60" s="37">
        <v>-407</v>
      </c>
      <c r="AA60" s="98">
        <f t="shared" si="21"/>
        <v>492.82352479401936</v>
      </c>
      <c r="AB60" s="98">
        <f t="shared" si="22"/>
        <v>523.16405970031167</v>
      </c>
      <c r="AC60" s="98">
        <f t="shared" si="23"/>
        <v>553.33562476681959</v>
      </c>
      <c r="AD60" s="98">
        <f t="shared" si="24"/>
        <v>45.109573623272055</v>
      </c>
      <c r="AE60" s="98">
        <f t="shared" si="25"/>
        <v>52.376470867141776</v>
      </c>
      <c r="AF60" s="98">
        <f t="shared" si="26"/>
        <v>60.931240706116824</v>
      </c>
      <c r="AG60" s="98">
        <f t="shared" si="27"/>
        <v>69.402335929832702</v>
      </c>
      <c r="AH60" s="98">
        <f t="shared" si="28"/>
        <v>78.122919685284614</v>
      </c>
      <c r="AI60" s="98">
        <f t="shared" si="29"/>
        <v>84.236540198349701</v>
      </c>
      <c r="AJ60" s="98">
        <f t="shared" si="30"/>
        <v>17.156827350426827</v>
      </c>
      <c r="AK60" s="98">
        <f t="shared" si="31"/>
        <v>24.757245981234799</v>
      </c>
      <c r="AL60" s="98">
        <f t="shared" si="32"/>
        <v>30.545944913079136</v>
      </c>
      <c r="AM60" s="98">
        <f t="shared" si="33"/>
        <v>-16.142291831834811</v>
      </c>
      <c r="AN60" s="98">
        <f t="shared" si="34"/>
        <v>-16.12079743525447</v>
      </c>
      <c r="AO60" s="98">
        <f t="shared" si="35"/>
        <v>-17.496438816396186</v>
      </c>
      <c r="AP60" s="61">
        <v>9.1159999999999991E-2</v>
      </c>
      <c r="AQ60" s="98">
        <f t="shared" si="36"/>
        <v>30.545944913079136</v>
      </c>
      <c r="AR60" s="98">
        <f t="shared" si="37"/>
        <v>335.08057166607216</v>
      </c>
    </row>
    <row r="61" spans="1:44" ht="13.95" customHeight="1" x14ac:dyDescent="0.3">
      <c r="A61" s="96" t="s">
        <v>373</v>
      </c>
      <c r="B61" s="97" t="s">
        <v>374</v>
      </c>
      <c r="C61" s="97" t="s">
        <v>335</v>
      </c>
      <c r="D61" s="97" t="s">
        <v>336</v>
      </c>
      <c r="E61" s="43">
        <v>8.699999999999999E-4</v>
      </c>
      <c r="F61" s="41">
        <v>4.3</v>
      </c>
      <c r="G61" s="41">
        <v>5.77</v>
      </c>
      <c r="H61" s="82">
        <f t="shared" si="19"/>
        <v>1.1674186046511626E-3</v>
      </c>
      <c r="I61" s="29">
        <f t="shared" si="20"/>
        <v>1.0500425546049877E-3</v>
      </c>
      <c r="J61" s="20">
        <f>I61*Assumptions!$D$7</f>
        <v>218.86238573802245</v>
      </c>
      <c r="K61" s="37">
        <v>7404.2708018999992</v>
      </c>
      <c r="L61" s="37">
        <v>6636.1</v>
      </c>
      <c r="M61" s="37">
        <v>7336.2</v>
      </c>
      <c r="N61" s="37">
        <v>7785.1111111111104</v>
      </c>
      <c r="O61" s="37">
        <v>2732.7777777777778</v>
      </c>
      <c r="P61" s="37">
        <v>2898.1111111111109</v>
      </c>
      <c r="Q61" s="37">
        <v>3023.2222222222222</v>
      </c>
      <c r="R61" s="37">
        <v>3936.9</v>
      </c>
      <c r="S61" s="37">
        <v>4261.8</v>
      </c>
      <c r="T61" s="37">
        <v>4599.5555555555557</v>
      </c>
      <c r="U61" s="37">
        <v>473.2</v>
      </c>
      <c r="V61" s="37">
        <v>731.9</v>
      </c>
      <c r="W61" s="37">
        <v>1081.3330000000001</v>
      </c>
      <c r="X61" s="37">
        <v>-2967.833333333333</v>
      </c>
      <c r="Y61" s="37">
        <v>-3416.5</v>
      </c>
      <c r="Z61" s="37">
        <v>-3910.833333333333</v>
      </c>
      <c r="AA61" s="98">
        <f t="shared" si="21"/>
        <v>196.15607219868221</v>
      </c>
      <c r="AB61" s="98">
        <f t="shared" si="22"/>
        <v>216.85028508671846</v>
      </c>
      <c r="AC61" s="98">
        <f t="shared" si="23"/>
        <v>230.11962104035109</v>
      </c>
      <c r="AD61" s="98">
        <f t="shared" si="24"/>
        <v>80.778010439977095</v>
      </c>
      <c r="AE61" s="98">
        <f t="shared" si="25"/>
        <v>85.665088282411986</v>
      </c>
      <c r="AF61" s="98">
        <f t="shared" si="26"/>
        <v>89.363239929308278</v>
      </c>
      <c r="AG61" s="98">
        <f t="shared" si="27"/>
        <v>116.37058522912433</v>
      </c>
      <c r="AH61" s="98">
        <f t="shared" si="28"/>
        <v>125.97428436828015</v>
      </c>
      <c r="AI61" s="98">
        <f t="shared" si="29"/>
        <v>135.9579800842973</v>
      </c>
      <c r="AJ61" s="98">
        <f t="shared" si="30"/>
        <v>13.987289728065644</v>
      </c>
      <c r="AK61" s="98">
        <f t="shared" si="31"/>
        <v>21.634187134343286</v>
      </c>
      <c r="AL61" s="98">
        <f t="shared" si="32"/>
        <v>31.96305571326798</v>
      </c>
      <c r="AM61" s="98">
        <f t="shared" si="33"/>
        <v>-87.726003165562446</v>
      </c>
      <c r="AN61" s="98">
        <f t="shared" si="34"/>
        <v>-100.9881136008797</v>
      </c>
      <c r="AO61" s="98">
        <f t="shared" si="35"/>
        <v>-115.60008223057915</v>
      </c>
      <c r="AP61" s="61">
        <v>0.26423000000000002</v>
      </c>
      <c r="AQ61" s="98">
        <f t="shared" si="36"/>
        <v>31.96305571326798</v>
      </c>
      <c r="AR61" s="98">
        <f t="shared" si="37"/>
        <v>120.96679299575362</v>
      </c>
    </row>
    <row r="62" spans="1:44" ht="13.95" customHeight="1" x14ac:dyDescent="0.3">
      <c r="A62" s="96" t="s">
        <v>375</v>
      </c>
      <c r="B62" s="97" t="s">
        <v>376</v>
      </c>
      <c r="C62" s="97" t="s">
        <v>335</v>
      </c>
      <c r="D62" s="97" t="s">
        <v>336</v>
      </c>
      <c r="E62" s="43">
        <v>7.7999999999999999E-4</v>
      </c>
      <c r="F62" s="41">
        <v>10.029999999999999</v>
      </c>
      <c r="G62" s="41">
        <v>12.38</v>
      </c>
      <c r="H62" s="82">
        <f t="shared" si="19"/>
        <v>9.6275174476570307E-4</v>
      </c>
      <c r="I62" s="29">
        <f t="shared" si="20"/>
        <v>8.65953564125582E-4</v>
      </c>
      <c r="J62" s="20">
        <f>I62*Assumptions!$D$7</f>
        <v>180.49236400153819</v>
      </c>
      <c r="K62" s="37">
        <v>3868.4756034000002</v>
      </c>
      <c r="L62" s="37">
        <v>8396.75</v>
      </c>
      <c r="M62" s="37">
        <v>9055.75</v>
      </c>
      <c r="N62" s="37">
        <v>9749.5</v>
      </c>
      <c r="O62" s="37">
        <v>955.1</v>
      </c>
      <c r="P62" s="37">
        <v>1021.7</v>
      </c>
      <c r="Q62" s="37">
        <v>1110.5999999999999</v>
      </c>
      <c r="R62" s="37">
        <v>1651.2222222222219</v>
      </c>
      <c r="S62" s="37">
        <v>1699.545454545455</v>
      </c>
      <c r="T62" s="37">
        <v>1842.090909090909</v>
      </c>
      <c r="U62" s="37">
        <v>517.63599999999997</v>
      </c>
      <c r="V62" s="37">
        <v>547.6</v>
      </c>
      <c r="W62" s="37">
        <v>586.1</v>
      </c>
      <c r="X62" s="37">
        <v>-632.14285714285722</v>
      </c>
      <c r="Y62" s="37">
        <v>-701.25</v>
      </c>
      <c r="Z62" s="37">
        <v>-751.125</v>
      </c>
      <c r="AA62" s="98">
        <f t="shared" si="21"/>
        <v>391.76911341974102</v>
      </c>
      <c r="AB62" s="98">
        <f t="shared" si="22"/>
        <v>422.51622935669394</v>
      </c>
      <c r="AC62" s="98">
        <f t="shared" si="23"/>
        <v>454.88468410822821</v>
      </c>
      <c r="AD62" s="98">
        <f t="shared" si="24"/>
        <v>44.562322354148293</v>
      </c>
      <c r="AE62" s="98">
        <f t="shared" si="25"/>
        <v>47.669694010295586</v>
      </c>
      <c r="AF62" s="98">
        <f t="shared" si="26"/>
        <v>51.81752194169939</v>
      </c>
      <c r="AG62" s="98">
        <f t="shared" si="27"/>
        <v>77.041458428436542</v>
      </c>
      <c r="AH62" s="98">
        <f t="shared" si="28"/>
        <v>79.296086693521133</v>
      </c>
      <c r="AI62" s="98">
        <f t="shared" si="29"/>
        <v>85.946863047382635</v>
      </c>
      <c r="AJ62" s="98">
        <f t="shared" si="30"/>
        <v>24.151462982003878</v>
      </c>
      <c r="AK62" s="98">
        <f t="shared" si="31"/>
        <v>25.549500283877716</v>
      </c>
      <c r="AL62" s="98">
        <f t="shared" si="32"/>
        <v>27.345803718737635</v>
      </c>
      <c r="AM62" s="98">
        <f t="shared" si="33"/>
        <v>-29.494035989815011</v>
      </c>
      <c r="AN62" s="98">
        <f t="shared" si="34"/>
        <v>-32.71838399209139</v>
      </c>
      <c r="AO62" s="98">
        <f t="shared" si="35"/>
        <v>-35.045413441796285</v>
      </c>
      <c r="AP62" s="61">
        <v>0.12422999999999999</v>
      </c>
      <c r="AQ62" s="98">
        <f t="shared" si="36"/>
        <v>27.345803718737635</v>
      </c>
      <c r="AR62" s="98">
        <f t="shared" si="37"/>
        <v>220.12238363308086</v>
      </c>
    </row>
    <row r="63" spans="1:44" ht="13.95" customHeight="1" x14ac:dyDescent="0.3">
      <c r="A63" s="96" t="s">
        <v>377</v>
      </c>
      <c r="B63" s="97" t="s">
        <v>378</v>
      </c>
      <c r="C63" s="97" t="s">
        <v>335</v>
      </c>
      <c r="D63" s="97" t="s">
        <v>336</v>
      </c>
      <c r="E63" s="43">
        <v>7.7999999999999999E-4</v>
      </c>
      <c r="F63" s="41">
        <v>5.47</v>
      </c>
      <c r="G63" s="41">
        <v>6.28</v>
      </c>
      <c r="H63" s="82">
        <f t="shared" si="19"/>
        <v>8.9550274223034734E-4</v>
      </c>
      <c r="I63" s="29">
        <f t="shared" si="20"/>
        <v>8.0546599425516474E-4</v>
      </c>
      <c r="J63" s="20">
        <f>I63*Assumptions!$D$7</f>
        <v>167.88482367731297</v>
      </c>
      <c r="K63" s="37">
        <v>3574.0071458500001</v>
      </c>
      <c r="L63" s="37">
        <v>11757.5</v>
      </c>
      <c r="M63" s="37">
        <v>11928.285714285719</v>
      </c>
      <c r="N63" s="37">
        <v>12097.714285714281</v>
      </c>
      <c r="O63" s="37">
        <v>819.33333333333337</v>
      </c>
      <c r="P63" s="37">
        <v>1769</v>
      </c>
      <c r="Q63" s="37">
        <v>1803.5</v>
      </c>
      <c r="R63" s="37">
        <v>1198.8571428571429</v>
      </c>
      <c r="S63" s="37">
        <v>2156.333333333333</v>
      </c>
      <c r="T63" s="37">
        <v>2112.333333333333</v>
      </c>
      <c r="U63" s="37">
        <v>-394.6</v>
      </c>
      <c r="V63" s="37">
        <v>649.28600000000006</v>
      </c>
      <c r="W63" s="37">
        <v>870.28600000000006</v>
      </c>
      <c r="X63" s="37">
        <v>-146.69999999999999</v>
      </c>
      <c r="Y63" s="37">
        <v>-229.55</v>
      </c>
      <c r="Z63" s="37">
        <v>-270.05</v>
      </c>
      <c r="AA63" s="98">
        <f t="shared" si="21"/>
        <v>552.29487066863612</v>
      </c>
      <c r="AB63" s="98">
        <f t="shared" si="22"/>
        <v>560.31733071400993</v>
      </c>
      <c r="AC63" s="98">
        <f t="shared" si="23"/>
        <v>568.27604055408722</v>
      </c>
      <c r="AD63" s="98">
        <f t="shared" si="24"/>
        <v>38.4872292041536</v>
      </c>
      <c r="AE63" s="98">
        <f t="shared" si="25"/>
        <v>83.096714966006147</v>
      </c>
      <c r="AF63" s="98">
        <f t="shared" si="26"/>
        <v>84.717312290102939</v>
      </c>
      <c r="AG63" s="98">
        <f t="shared" si="27"/>
        <v>56.314918193872536</v>
      </c>
      <c r="AH63" s="98">
        <f t="shared" si="28"/>
        <v>101.29124724233913</v>
      </c>
      <c r="AI63" s="98">
        <f t="shared" si="29"/>
        <v>99.224398481172216</v>
      </c>
      <c r="AJ63" s="98">
        <f t="shared" si="30"/>
        <v>-18.535875480828732</v>
      </c>
      <c r="AK63" s="98">
        <f t="shared" si="31"/>
        <v>30.49945374415957</v>
      </c>
      <c r="AL63" s="98">
        <f t="shared" si="32"/>
        <v>40.880671385475203</v>
      </c>
      <c r="AM63" s="98">
        <f t="shared" si="33"/>
        <v>-6.8910616650724146</v>
      </c>
      <c r="AN63" s="98">
        <f t="shared" si="34"/>
        <v>-10.782843934678752</v>
      </c>
      <c r="AO63" s="98">
        <f t="shared" si="35"/>
        <v>-12.685284271661933</v>
      </c>
      <c r="AP63" s="61">
        <v>0.14757999999999999</v>
      </c>
      <c r="AQ63" s="98">
        <f t="shared" si="36"/>
        <v>40.880671385475203</v>
      </c>
      <c r="AR63" s="98">
        <f t="shared" si="37"/>
        <v>277.00685313372549</v>
      </c>
    </row>
    <row r="64" spans="1:44" ht="13.95" customHeight="1" x14ac:dyDescent="0.3">
      <c r="A64" s="96" t="s">
        <v>379</v>
      </c>
      <c r="B64" s="97" t="s">
        <v>380</v>
      </c>
      <c r="C64" s="97" t="s">
        <v>335</v>
      </c>
      <c r="D64" s="97" t="s">
        <v>381</v>
      </c>
      <c r="E64" s="43">
        <v>2.767E-2</v>
      </c>
      <c r="F64" s="41">
        <v>49.46</v>
      </c>
      <c r="G64" s="41">
        <v>51.36</v>
      </c>
      <c r="H64" s="82">
        <f t="shared" si="19"/>
        <v>2.8732939749292356E-2</v>
      </c>
      <c r="I64" s="29">
        <f t="shared" si="20"/>
        <v>2.5844036865142739E-2</v>
      </c>
      <c r="J64" s="20">
        <f>I64*Assumptions!$D$7</f>
        <v>5386.722224352483</v>
      </c>
      <c r="K64" s="37">
        <v>215196.49375746</v>
      </c>
      <c r="L64" s="37">
        <v>41713.1875</v>
      </c>
      <c r="M64" s="37">
        <v>48520.5</v>
      </c>
      <c r="N64" s="37">
        <v>56448.21428571429</v>
      </c>
      <c r="O64" s="37">
        <v>8084.6</v>
      </c>
      <c r="P64" s="37">
        <v>9588.0666666666657</v>
      </c>
      <c r="Q64" s="37">
        <v>11394.533333333329</v>
      </c>
      <c r="R64" s="37">
        <v>9170.4666666666653</v>
      </c>
      <c r="S64" s="37">
        <v>10852.26666666667</v>
      </c>
      <c r="T64" s="37">
        <v>12863.5</v>
      </c>
      <c r="U64" s="37">
        <v>6440.25</v>
      </c>
      <c r="V64" s="37">
        <v>7619.5</v>
      </c>
      <c r="W64" s="37">
        <v>8928.143</v>
      </c>
      <c r="X64" s="37">
        <v>-3553</v>
      </c>
      <c r="Y64" s="37">
        <v>-3328</v>
      </c>
      <c r="Z64" s="37">
        <v>-3328.1111111111109</v>
      </c>
      <c r="AA64" s="98">
        <f t="shared" si="21"/>
        <v>1044.1496988704669</v>
      </c>
      <c r="AB64" s="98">
        <f t="shared" si="22"/>
        <v>1214.5479283750371</v>
      </c>
      <c r="AC64" s="98">
        <f t="shared" si="23"/>
        <v>1412.9916575712218</v>
      </c>
      <c r="AD64" s="98">
        <f t="shared" si="24"/>
        <v>202.37083669254903</v>
      </c>
      <c r="AE64" s="98">
        <f t="shared" si="25"/>
        <v>240.00508047365022</v>
      </c>
      <c r="AF64" s="98">
        <f t="shared" si="26"/>
        <v>285.22391267196957</v>
      </c>
      <c r="AG64" s="98">
        <f t="shared" si="27"/>
        <v>229.55186554615742</v>
      </c>
      <c r="AH64" s="98">
        <f t="shared" si="28"/>
        <v>271.65008600845982</v>
      </c>
      <c r="AI64" s="98">
        <f t="shared" si="29"/>
        <v>321.9945647025956</v>
      </c>
      <c r="AJ64" s="98">
        <f t="shared" si="30"/>
        <v>161.21005133329899</v>
      </c>
      <c r="AK64" s="98">
        <f t="shared" si="31"/>
        <v>190.72861863034379</v>
      </c>
      <c r="AL64" s="98">
        <f t="shared" si="32"/>
        <v>223.48610556128003</v>
      </c>
      <c r="AM64" s="98">
        <f t="shared" si="33"/>
        <v>-88.937434476489472</v>
      </c>
      <c r="AN64" s="98">
        <f t="shared" si="34"/>
        <v>-83.305314364693757</v>
      </c>
      <c r="AO64" s="98">
        <f t="shared" si="35"/>
        <v>-83.308095658576121</v>
      </c>
      <c r="AP64" s="61">
        <v>0.31405</v>
      </c>
      <c r="AQ64" s="98">
        <f t="shared" si="36"/>
        <v>223.48610556128003</v>
      </c>
      <c r="AR64" s="98">
        <f t="shared" si="37"/>
        <v>711.62587346371606</v>
      </c>
    </row>
    <row r="65" spans="1:45" ht="13.95" customHeight="1" x14ac:dyDescent="0.3">
      <c r="A65" s="96" t="s">
        <v>382</v>
      </c>
      <c r="B65" s="97" t="s">
        <v>383</v>
      </c>
      <c r="C65" s="97" t="s">
        <v>335</v>
      </c>
      <c r="D65" s="97" t="s">
        <v>381</v>
      </c>
      <c r="E65" s="43">
        <v>2.6530000000000001E-2</v>
      </c>
      <c r="F65" s="41">
        <v>97.31</v>
      </c>
      <c r="G65" s="41">
        <v>94.26</v>
      </c>
      <c r="H65" s="82">
        <f t="shared" si="19"/>
        <v>2.5698466755729114E-2</v>
      </c>
      <c r="I65" s="29">
        <f t="shared" si="20"/>
        <v>2.3114659620899574E-2</v>
      </c>
      <c r="J65" s="20">
        <f>I65*Assumptions!$D$7</f>
        <v>4817.8328849305708</v>
      </c>
      <c r="K65" s="37">
        <v>66153.147030959997</v>
      </c>
      <c r="L65" s="37">
        <v>44422.538461538461</v>
      </c>
      <c r="M65" s="37">
        <v>49697.916666666657</v>
      </c>
      <c r="N65" s="37">
        <v>55109.090909090912</v>
      </c>
      <c r="O65" s="37">
        <v>4537.666666666667</v>
      </c>
      <c r="P65" s="37">
        <v>5299.75</v>
      </c>
      <c r="Q65" s="37">
        <v>6049.272727272727</v>
      </c>
      <c r="R65" s="37">
        <v>5802.583333333333</v>
      </c>
      <c r="S65" s="37">
        <v>6596.083333333333</v>
      </c>
      <c r="T65" s="37">
        <v>7501.454545454545</v>
      </c>
      <c r="U65" s="37">
        <v>2943.462</v>
      </c>
      <c r="V65" s="37">
        <v>3584.4549999999999</v>
      </c>
      <c r="W65" s="37">
        <v>4315.3999999999996</v>
      </c>
      <c r="X65" s="37">
        <v>-1794.666666666667</v>
      </c>
      <c r="Y65" s="37">
        <v>-1916.333333333333</v>
      </c>
      <c r="Z65" s="37">
        <v>-2050.833333333333</v>
      </c>
      <c r="AA65" s="98">
        <f t="shared" si="21"/>
        <v>3235.2257789327919</v>
      </c>
      <c r="AB65" s="98">
        <f t="shared" si="22"/>
        <v>3619.4235342598045</v>
      </c>
      <c r="AC65" s="98">
        <f t="shared" si="23"/>
        <v>4013.5111080382658</v>
      </c>
      <c r="AD65" s="98">
        <f t="shared" si="24"/>
        <v>330.47134820794793</v>
      </c>
      <c r="AE65" s="98">
        <f t="shared" si="25"/>
        <v>385.97271600640676</v>
      </c>
      <c r="AF65" s="98">
        <f t="shared" si="26"/>
        <v>440.55931400706407</v>
      </c>
      <c r="AG65" s="98">
        <f t="shared" si="27"/>
        <v>422.59330138594754</v>
      </c>
      <c r="AH65" s="98">
        <f t="shared" si="28"/>
        <v>480.38269714066877</v>
      </c>
      <c r="AI65" s="98">
        <f t="shared" si="29"/>
        <v>546.31950278931959</v>
      </c>
      <c r="AJ65" s="98">
        <f t="shared" si="30"/>
        <v>214.36785180464173</v>
      </c>
      <c r="AK65" s="98">
        <f t="shared" si="31"/>
        <v>261.05039516066694</v>
      </c>
      <c r="AL65" s="98">
        <f t="shared" si="32"/>
        <v>314.28400559536726</v>
      </c>
      <c r="AM65" s="98">
        <f t="shared" si="33"/>
        <v>-130.70283837152661</v>
      </c>
      <c r="AN65" s="98">
        <f t="shared" si="34"/>
        <v>-139.56363629233024</v>
      </c>
      <c r="AO65" s="98">
        <f t="shared" si="35"/>
        <v>-149.3590663225886</v>
      </c>
      <c r="AP65" s="61">
        <v>0.17657999999999999</v>
      </c>
      <c r="AQ65" s="98">
        <f t="shared" si="36"/>
        <v>314.28400559536726</v>
      </c>
      <c r="AR65" s="98">
        <f t="shared" si="37"/>
        <v>1779.8391980709439</v>
      </c>
    </row>
    <row r="66" spans="1:45" ht="13.95" customHeight="1" x14ac:dyDescent="0.3">
      <c r="A66" s="96" t="s">
        <v>384</v>
      </c>
      <c r="B66" s="97" t="s">
        <v>385</v>
      </c>
      <c r="C66" s="97" t="s">
        <v>386</v>
      </c>
      <c r="D66" s="97" t="s">
        <v>386</v>
      </c>
      <c r="E66" s="43">
        <v>9.8729999999999998E-2</v>
      </c>
      <c r="F66" s="41">
        <v>69.91</v>
      </c>
      <c r="G66" s="41">
        <v>71.239999999999995</v>
      </c>
      <c r="H66" s="82">
        <f t="shared" si="19"/>
        <v>0.10060828493777714</v>
      </c>
      <c r="I66" s="29">
        <f t="shared" si="20"/>
        <v>9.0492801904640957E-2</v>
      </c>
      <c r="J66" s="20">
        <f>I66*Assumptions!$D$7</f>
        <v>18861.588447163973</v>
      </c>
      <c r="K66" s="37">
        <v>292583.69298124989</v>
      </c>
      <c r="L66" s="37">
        <v>210241.45454545459</v>
      </c>
      <c r="M66" s="37">
        <v>211218.5</v>
      </c>
      <c r="N66" s="37">
        <v>216317.90476190479</v>
      </c>
      <c r="O66" s="37">
        <v>53667.86363636364</v>
      </c>
      <c r="P66" s="37">
        <v>58140.090909090912</v>
      </c>
      <c r="Q66" s="37">
        <v>61076.904761904763</v>
      </c>
      <c r="R66" s="37">
        <v>80791.272727272721</v>
      </c>
      <c r="S66" s="37">
        <v>82896.954545454544</v>
      </c>
      <c r="T66" s="37">
        <v>85768.380952380947</v>
      </c>
      <c r="U66" s="37">
        <v>37349.381000000001</v>
      </c>
      <c r="V66" s="37">
        <v>38936.048000000003</v>
      </c>
      <c r="W66" s="37">
        <v>39670.894999999997</v>
      </c>
      <c r="X66" s="37">
        <v>-28356.611111111109</v>
      </c>
      <c r="Y66" s="37">
        <v>-29763</v>
      </c>
      <c r="Z66" s="37">
        <v>-29912.555555555558</v>
      </c>
      <c r="AA66" s="98">
        <f t="shared" si="21"/>
        <v>13553.345197620505</v>
      </c>
      <c r="AB66" s="98">
        <f t="shared" si="22"/>
        <v>13616.331036202389</v>
      </c>
      <c r="AC66" s="98">
        <f t="shared" si="23"/>
        <v>13945.067313212605</v>
      </c>
      <c r="AD66" s="98">
        <f t="shared" si="24"/>
        <v>3459.7319708192977</v>
      </c>
      <c r="AE66" s="98">
        <f t="shared" si="25"/>
        <v>3748.0368636889425</v>
      </c>
      <c r="AF66" s="98">
        <f t="shared" si="26"/>
        <v>3937.3603822804412</v>
      </c>
      <c r="AG66" s="98">
        <f t="shared" si="27"/>
        <v>5208.2592873761296</v>
      </c>
      <c r="AH66" s="98">
        <f t="shared" si="28"/>
        <v>5344.0033661063371</v>
      </c>
      <c r="AI66" s="98">
        <f t="shared" si="29"/>
        <v>5529.1116426200088</v>
      </c>
      <c r="AJ66" s="98">
        <f t="shared" si="30"/>
        <v>2407.7509105180079</v>
      </c>
      <c r="AK66" s="98">
        <f t="shared" si="31"/>
        <v>2510.0363784870451</v>
      </c>
      <c r="AL66" s="98">
        <f t="shared" si="32"/>
        <v>2557.4087441319111</v>
      </c>
      <c r="AM66" s="98">
        <f t="shared" si="33"/>
        <v>-1828.0264463280616</v>
      </c>
      <c r="AN66" s="98">
        <f t="shared" si="34"/>
        <v>-1918.6901745372288</v>
      </c>
      <c r="AO66" s="98">
        <f t="shared" si="35"/>
        <v>-1928.3313657811191</v>
      </c>
      <c r="AP66" s="61">
        <v>0.16600999999999999</v>
      </c>
      <c r="AQ66" s="98">
        <f t="shared" si="36"/>
        <v>2557.4087441319111</v>
      </c>
      <c r="AR66" s="98">
        <f t="shared" si="37"/>
        <v>15405.148750869896</v>
      </c>
    </row>
    <row r="67" spans="1:45" ht="13.95" customHeight="1" x14ac:dyDescent="0.3">
      <c r="A67" s="96" t="s">
        <v>387</v>
      </c>
      <c r="B67" s="97" t="s">
        <v>388</v>
      </c>
      <c r="C67" s="97" t="s">
        <v>386</v>
      </c>
      <c r="D67" s="97" t="s">
        <v>386</v>
      </c>
      <c r="E67" s="43">
        <v>8.2979999999999998E-2</v>
      </c>
      <c r="F67" s="41">
        <v>49.12</v>
      </c>
      <c r="G67" s="41">
        <v>55.31</v>
      </c>
      <c r="H67" s="82">
        <f t="shared" si="19"/>
        <v>9.3436966612377853E-2</v>
      </c>
      <c r="I67" s="29">
        <f t="shared" si="20"/>
        <v>8.4042511165495229E-2</v>
      </c>
      <c r="J67" s="20">
        <f>I67*Assumptions!$D$7</f>
        <v>17517.14196384561</v>
      </c>
      <c r="K67" s="37">
        <v>742814.41441016982</v>
      </c>
      <c r="L67" s="37">
        <v>603798.14285714284</v>
      </c>
      <c r="M67" s="37">
        <v>576794.64285714284</v>
      </c>
      <c r="N67" s="37">
        <v>560041.4615384615</v>
      </c>
      <c r="O67" s="37">
        <v>226311.33333333331</v>
      </c>
      <c r="P67" s="37">
        <v>197993.5</v>
      </c>
      <c r="Q67" s="37">
        <v>181539.63636363641</v>
      </c>
      <c r="R67" s="37">
        <v>324852.5</v>
      </c>
      <c r="S67" s="37">
        <v>306271.1428571429</v>
      </c>
      <c r="T67" s="37">
        <v>292163</v>
      </c>
      <c r="U67" s="37">
        <v>159783.85699999999</v>
      </c>
      <c r="V67" s="37">
        <v>134066.28599999999</v>
      </c>
      <c r="W67" s="37">
        <v>123997.15399999999</v>
      </c>
      <c r="X67" s="37">
        <v>-96257.714285714275</v>
      </c>
      <c r="Y67" s="37">
        <v>-102580.7142857143</v>
      </c>
      <c r="Z67" s="37">
        <v>-103080.7142857143</v>
      </c>
      <c r="AA67" s="98">
        <f t="shared" si="21"/>
        <v>14238.842947512541</v>
      </c>
      <c r="AB67" s="98">
        <f t="shared" si="22"/>
        <v>13602.043049928014</v>
      </c>
      <c r="AC67" s="98">
        <f t="shared" si="23"/>
        <v>13206.967443138108</v>
      </c>
      <c r="AD67" s="98">
        <f t="shared" si="24"/>
        <v>5336.9020271032987</v>
      </c>
      <c r="AE67" s="98">
        <f t="shared" si="25"/>
        <v>4669.1073572833748</v>
      </c>
      <c r="AF67" s="98">
        <f t="shared" si="26"/>
        <v>4281.090297327959</v>
      </c>
      <c r="AG67" s="98">
        <f t="shared" si="27"/>
        <v>7660.7120828809911</v>
      </c>
      <c r="AH67" s="98">
        <f t="shared" si="28"/>
        <v>7222.524206288962</v>
      </c>
      <c r="AI67" s="98">
        <f t="shared" si="29"/>
        <v>6889.8242256739877</v>
      </c>
      <c r="AJ67" s="98">
        <f t="shared" si="30"/>
        <v>3768.0428008687891</v>
      </c>
      <c r="AK67" s="98">
        <f t="shared" si="31"/>
        <v>3161.5678409960783</v>
      </c>
      <c r="AL67" s="98">
        <f t="shared" si="32"/>
        <v>2924.1163170689929</v>
      </c>
      <c r="AM67" s="98">
        <f t="shared" si="33"/>
        <v>-2269.9613975545135</v>
      </c>
      <c r="AN67" s="98">
        <f t="shared" si="34"/>
        <v>-2419.0711704516184</v>
      </c>
      <c r="AO67" s="98">
        <f t="shared" si="35"/>
        <v>-2430.862232676599</v>
      </c>
      <c r="AP67" s="61">
        <v>0.18461</v>
      </c>
      <c r="AQ67" s="98">
        <f t="shared" si="36"/>
        <v>2924.1163170689929</v>
      </c>
      <c r="AR67" s="98">
        <f t="shared" si="37"/>
        <v>15839.425367363594</v>
      </c>
    </row>
    <row r="68" spans="1:45" ht="13.95" customHeight="1" x14ac:dyDescent="0.3">
      <c r="A68" s="96" t="s">
        <v>389</v>
      </c>
      <c r="B68" s="97" t="s">
        <v>388</v>
      </c>
      <c r="C68" s="97" t="s">
        <v>386</v>
      </c>
      <c r="D68" s="97" t="s">
        <v>386</v>
      </c>
      <c r="E68" s="43">
        <v>5.0389999999999997E-2</v>
      </c>
      <c r="F68" s="41">
        <v>53.87</v>
      </c>
      <c r="G68" s="41">
        <v>60.52</v>
      </c>
      <c r="H68" s="82">
        <f t="shared" si="19"/>
        <v>5.6610410246890668E-2</v>
      </c>
      <c r="I68" s="29">
        <f t="shared" si="20"/>
        <v>5.0918616129681925E-2</v>
      </c>
      <c r="J68" s="20">
        <f>I68*Assumptions!$D$7</f>
        <v>10613.064923652573</v>
      </c>
      <c r="K68" s="37">
        <v>742814.41441016982</v>
      </c>
      <c r="L68" s="37">
        <v>603798.14285714284</v>
      </c>
      <c r="M68" s="37">
        <v>576794.64285714284</v>
      </c>
      <c r="N68" s="37">
        <v>560041.4615384615</v>
      </c>
      <c r="O68" s="37">
        <v>226311.33333333331</v>
      </c>
      <c r="P68" s="37">
        <v>197993.5</v>
      </c>
      <c r="Q68" s="37">
        <v>181539.63636363641</v>
      </c>
      <c r="R68" s="37">
        <v>324852.5</v>
      </c>
      <c r="S68" s="37">
        <v>306271.1428571429</v>
      </c>
      <c r="T68" s="37">
        <v>292163</v>
      </c>
      <c r="U68" s="37">
        <v>159783.85699999999</v>
      </c>
      <c r="V68" s="37">
        <v>134066.28599999999</v>
      </c>
      <c r="W68" s="37">
        <v>123997.15399999999</v>
      </c>
      <c r="X68" s="37">
        <v>-96257.714285714275</v>
      </c>
      <c r="Y68" s="37">
        <v>-102580.7142857143</v>
      </c>
      <c r="Z68" s="37">
        <v>-103080.7142857143</v>
      </c>
      <c r="AA68" s="98">
        <f t="shared" si="21"/>
        <v>8626.8504846019787</v>
      </c>
      <c r="AB68" s="98">
        <f t="shared" si="22"/>
        <v>8241.0341984527422</v>
      </c>
      <c r="AC68" s="98">
        <f t="shared" si="23"/>
        <v>8001.6707752832108</v>
      </c>
      <c r="AD68" s="98">
        <f t="shared" si="24"/>
        <v>3233.4548536355942</v>
      </c>
      <c r="AE68" s="98">
        <f t="shared" si="25"/>
        <v>2828.8598460084445</v>
      </c>
      <c r="AF68" s="98">
        <f t="shared" si="26"/>
        <v>2593.7729661229559</v>
      </c>
      <c r="AG68" s="98">
        <f t="shared" si="27"/>
        <v>4641.3755659931167</v>
      </c>
      <c r="AH68" s="98">
        <f t="shared" si="28"/>
        <v>4375.8918248310547</v>
      </c>
      <c r="AI68" s="98">
        <f t="shared" si="29"/>
        <v>4174.3197589282736</v>
      </c>
      <c r="AJ68" s="98">
        <f t="shared" si="30"/>
        <v>2282.9342231318465</v>
      </c>
      <c r="AK68" s="98">
        <f t="shared" si="31"/>
        <v>1915.4908275720368</v>
      </c>
      <c r="AL68" s="98">
        <f t="shared" si="32"/>
        <v>1771.6266946638418</v>
      </c>
      <c r="AM68" s="98">
        <f t="shared" si="33"/>
        <v>-1375.2955668312875</v>
      </c>
      <c r="AN68" s="98">
        <f t="shared" si="34"/>
        <v>-1465.6363144129577</v>
      </c>
      <c r="AO68" s="98">
        <f t="shared" si="35"/>
        <v>-1472.7801344020193</v>
      </c>
      <c r="AP68" s="61">
        <v>0.18461</v>
      </c>
      <c r="AQ68" s="98">
        <f t="shared" si="36"/>
        <v>1771.6266946638418</v>
      </c>
      <c r="AR68" s="98">
        <f t="shared" si="37"/>
        <v>9596.5911633380747</v>
      </c>
    </row>
    <row r="69" spans="1:45" ht="13.95" customHeight="1" x14ac:dyDescent="0.3">
      <c r="A69" s="96" t="s">
        <v>390</v>
      </c>
      <c r="B69" s="97" t="s">
        <v>391</v>
      </c>
      <c r="C69" s="97" t="s">
        <v>386</v>
      </c>
      <c r="D69" s="97" t="s">
        <v>386</v>
      </c>
      <c r="E69" s="43">
        <v>1.7579999999999998E-2</v>
      </c>
      <c r="F69" s="41">
        <v>60.9</v>
      </c>
      <c r="G69" s="41">
        <v>64.05</v>
      </c>
      <c r="H69" s="82">
        <f t="shared" si="19"/>
        <v>1.8489310344827582E-2</v>
      </c>
      <c r="I69" s="29">
        <f t="shared" si="20"/>
        <v>1.6630335159998982E-2</v>
      </c>
      <c r="J69" s="20">
        <f>I69*Assumptions!$D$7</f>
        <v>3466.2926876420952</v>
      </c>
      <c r="K69" s="37">
        <v>54626.928416429997</v>
      </c>
      <c r="L69" s="37">
        <v>26514.1</v>
      </c>
      <c r="M69" s="37">
        <v>27631.8</v>
      </c>
      <c r="N69" s="37">
        <v>27316.444444444442</v>
      </c>
      <c r="O69" s="37">
        <v>10905</v>
      </c>
      <c r="P69" s="37">
        <v>13060.1</v>
      </c>
      <c r="Q69" s="37">
        <v>13365.222222222221</v>
      </c>
      <c r="R69" s="37">
        <v>17826.166666666672</v>
      </c>
      <c r="S69" s="37">
        <v>20450.599999999999</v>
      </c>
      <c r="T69" s="37">
        <v>20080.666666666672</v>
      </c>
      <c r="U69" s="37">
        <v>7814.3</v>
      </c>
      <c r="V69" s="37">
        <v>7794.3639999999996</v>
      </c>
      <c r="W69" s="37">
        <v>7817.4549999999999</v>
      </c>
      <c r="X69" s="37">
        <v>-5500</v>
      </c>
      <c r="Y69" s="37">
        <v>-3260</v>
      </c>
      <c r="Z69" s="37">
        <v>-5061</v>
      </c>
      <c r="AA69" s="98">
        <f t="shared" si="21"/>
        <v>1682.4235521499513</v>
      </c>
      <c r="AB69" s="98">
        <f t="shared" si="22"/>
        <v>1753.3459973484685</v>
      </c>
      <c r="AC69" s="98">
        <f t="shared" si="23"/>
        <v>1733.3354514891707</v>
      </c>
      <c r="AD69" s="98">
        <f t="shared" si="24"/>
        <v>691.96498603366592</v>
      </c>
      <c r="AE69" s="98">
        <f t="shared" si="25"/>
        <v>828.71452673986971</v>
      </c>
      <c r="AF69" s="98">
        <f t="shared" si="26"/>
        <v>848.0757274953545</v>
      </c>
      <c r="AG69" s="98">
        <f t="shared" si="27"/>
        <v>1131.1401346660984</v>
      </c>
      <c r="AH69" s="98">
        <f t="shared" si="28"/>
        <v>1297.6707146611725</v>
      </c>
      <c r="AI69" s="98">
        <f t="shared" si="29"/>
        <v>1274.1969949148743</v>
      </c>
      <c r="AJ69" s="98">
        <f t="shared" si="30"/>
        <v>495.84795876780146</v>
      </c>
      <c r="AK69" s="98">
        <f t="shared" si="31"/>
        <v>494.58294143982653</v>
      </c>
      <c r="AL69" s="98">
        <f t="shared" si="32"/>
        <v>496.04815588205514</v>
      </c>
      <c r="AM69" s="98">
        <f t="shared" si="33"/>
        <v>-348.99655416645231</v>
      </c>
      <c r="AN69" s="98">
        <f t="shared" si="34"/>
        <v>-206.85977574229716</v>
      </c>
      <c r="AO69" s="98">
        <f t="shared" si="35"/>
        <v>-321.14028375207545</v>
      </c>
      <c r="AP69" s="61">
        <v>0.27792</v>
      </c>
      <c r="AQ69" s="98">
        <f t="shared" si="36"/>
        <v>496.04815588205514</v>
      </c>
      <c r="AR69" s="98">
        <f t="shared" si="37"/>
        <v>1784.8595131046889</v>
      </c>
    </row>
    <row r="70" spans="1:45" ht="13.95" customHeight="1" x14ac:dyDescent="0.3">
      <c r="A70" s="96" t="s">
        <v>392</v>
      </c>
      <c r="B70" s="97" t="s">
        <v>393</v>
      </c>
      <c r="C70" s="97" t="s">
        <v>386</v>
      </c>
      <c r="D70" s="97" t="s">
        <v>386</v>
      </c>
      <c r="E70" s="43">
        <v>1.6990000000000002E-2</v>
      </c>
      <c r="F70" s="41">
        <v>37.159999999999997</v>
      </c>
      <c r="G70" s="41">
        <v>38.5</v>
      </c>
      <c r="H70" s="82">
        <f t="shared" ref="H70:H101" si="38">E70*G70/F70</f>
        <v>1.7602664155005388E-2</v>
      </c>
      <c r="I70" s="29">
        <f t="shared" ref="I70:I101" si="39">H70/SUM($H$6:$H$81)</f>
        <v>1.5832835251669293E-2</v>
      </c>
      <c r="J70" s="20">
        <f>I70*Assumptions!$D$7</f>
        <v>3300.0682505491141</v>
      </c>
      <c r="K70" s="37">
        <v>45006.060626600003</v>
      </c>
      <c r="L70" s="37">
        <v>221191.64285714281</v>
      </c>
      <c r="M70" s="37">
        <v>215452.57142857139</v>
      </c>
      <c r="N70" s="37">
        <v>216420.46153846159</v>
      </c>
      <c r="O70" s="37">
        <v>11578.777777777779</v>
      </c>
      <c r="P70" s="37">
        <v>7133.1111111111104</v>
      </c>
      <c r="Q70" s="37">
        <v>7570.7777777777774</v>
      </c>
      <c r="R70" s="37">
        <v>13223</v>
      </c>
      <c r="S70" s="37">
        <v>8845.3333333333339</v>
      </c>
      <c r="T70" s="37">
        <v>9329.75</v>
      </c>
      <c r="U70" s="37">
        <v>6856.0709999999999</v>
      </c>
      <c r="V70" s="37">
        <v>4105.0709999999999</v>
      </c>
      <c r="W70" s="37">
        <v>4567.308</v>
      </c>
      <c r="X70" s="37">
        <v>-1588.666666666667</v>
      </c>
      <c r="Y70" s="37">
        <v>-1503</v>
      </c>
      <c r="Z70" s="37">
        <v>-1594</v>
      </c>
      <c r="AA70" s="98">
        <f t="shared" ref="AA70:AA81" si="40">IF(ISNUMBER(L70),$J70*L70/$K70,0)</f>
        <v>16218.871585668923</v>
      </c>
      <c r="AB70" s="98">
        <f t="shared" ref="AB70:AB81" si="41">IF(ISNUMBER(M70),$J70*M70/$K70,0)</f>
        <v>15798.054319163524</v>
      </c>
      <c r="AC70" s="98">
        <f t="shared" ref="AC70:AC81" si="42">IF(ISNUMBER(N70),$J70*N70/$K70,0)</f>
        <v>15869.024836849345</v>
      </c>
      <c r="AD70" s="98">
        <f t="shared" ref="AD70:AD81" si="43">IF(ISNUMBER(O70),$J70*O70/$K70,0)</f>
        <v>849.0135860063325</v>
      </c>
      <c r="AE70" s="98">
        <f t="shared" ref="AE70:AE81" si="44">IF(ISNUMBER(P70),$J70*P70/$K70,0)</f>
        <v>523.03519076504449</v>
      </c>
      <c r="AF70" s="98">
        <f t="shared" ref="AF70:AF81" si="45">IF(ISNUMBER(Q70),$J70*Q70/$K70,0)</f>
        <v>555.12708796470042</v>
      </c>
      <c r="AG70" s="98">
        <f t="shared" ref="AG70:AG81" si="46">IF(ISNUMBER(R70),$J70*R70/$K70,0)</f>
        <v>969.576138623877</v>
      </c>
      <c r="AH70" s="98">
        <f t="shared" ref="AH70:AH81" si="47">IF(ISNUMBER(S70),$J70*S70/$K70,0)</f>
        <v>648.58384165275652</v>
      </c>
      <c r="AI70" s="98">
        <f t="shared" ref="AI70:AI81" si="48">IF(ISNUMBER(T70),$J70*T70/$K70,0)</f>
        <v>684.10368141315257</v>
      </c>
      <c r="AJ70" s="98">
        <f t="shared" ref="AJ70:AJ81" si="49">IF(ISNUMBER(U70),$J70*U70/$K70,0)</f>
        <v>502.72123166536664</v>
      </c>
      <c r="AK70" s="98">
        <f t="shared" ref="AK70:AK81" si="50">IF(ISNUMBER(V70),$J70*V70/$K70,0)</f>
        <v>301.00422664727046</v>
      </c>
      <c r="AL70" s="98">
        <f t="shared" ref="AL70:AL81" si="51">IF(ISNUMBER(W70),$J70*W70/$K70,0)</f>
        <v>334.89774291355536</v>
      </c>
      <c r="AM70" s="98">
        <f t="shared" ref="AM70:AM81" si="52">IF(ISNUMBER(X70),$J70*X70/$K70,0)</f>
        <v>-116.48894291969545</v>
      </c>
      <c r="AN70" s="98">
        <f t="shared" ref="AN70:AN81" si="53">IF(ISNUMBER(Y70),$J70*Y70/$K70,0)</f>
        <v>-110.20743676561196</v>
      </c>
      <c r="AO70" s="98">
        <f t="shared" ref="AO70:AO81" si="54">IF(ISNUMBER(Z70),$J70*Z70/$K70,0)</f>
        <v>-116.88000945068895</v>
      </c>
      <c r="AP70" s="61">
        <v>0.17702999999999999</v>
      </c>
      <c r="AQ70" s="98">
        <f t="shared" ref="AQ70:AQ101" si="55">IF(AND(ISNUMBER(AP70),N(AP70)&gt;0),AL70,0)</f>
        <v>334.89774291355536</v>
      </c>
      <c r="AR70" s="98">
        <f t="shared" ref="AR70:AR101" si="56">IF(AQ70&lt;&gt;0,AQ70/AP70,0)</f>
        <v>1891.7570067985955</v>
      </c>
    </row>
    <row r="71" spans="1:45" ht="13.95" customHeight="1" x14ac:dyDescent="0.3">
      <c r="A71" s="96" t="s">
        <v>394</v>
      </c>
      <c r="B71" s="97" t="s">
        <v>395</v>
      </c>
      <c r="C71" s="97" t="s">
        <v>386</v>
      </c>
      <c r="D71" s="97" t="s">
        <v>386</v>
      </c>
      <c r="E71" s="43">
        <v>1.54E-2</v>
      </c>
      <c r="F71" s="41">
        <v>37.65</v>
      </c>
      <c r="G71" s="41">
        <v>38.93</v>
      </c>
      <c r="H71" s="82">
        <f t="shared" si="38"/>
        <v>1.5923559096945553E-2</v>
      </c>
      <c r="I71" s="29">
        <f t="shared" si="39"/>
        <v>1.4322552858026827E-2</v>
      </c>
      <c r="J71" s="20">
        <f>I71*Assumptions!$D$7</f>
        <v>2985.2771915000194</v>
      </c>
      <c r="K71" s="37">
        <v>43216.865581289989</v>
      </c>
      <c r="L71" s="37">
        <v>163149.23076923081</v>
      </c>
      <c r="M71" s="37">
        <v>160150.46153846159</v>
      </c>
      <c r="N71" s="37">
        <v>161947.27272727271</v>
      </c>
      <c r="O71" s="37">
        <v>8992.7999999999993</v>
      </c>
      <c r="P71" s="37">
        <v>6362.1</v>
      </c>
      <c r="Q71" s="37">
        <v>6883.333333333333</v>
      </c>
      <c r="R71" s="37">
        <v>11213.72727272727</v>
      </c>
      <c r="S71" s="37">
        <v>8694.545454545454</v>
      </c>
      <c r="T71" s="37">
        <v>9270.4</v>
      </c>
      <c r="U71" s="37">
        <v>5020.2730000000001</v>
      </c>
      <c r="V71" s="37">
        <v>3493.364</v>
      </c>
      <c r="W71" s="37">
        <v>3939.2</v>
      </c>
      <c r="X71" s="37">
        <v>-2424.5714285714289</v>
      </c>
      <c r="Y71" s="37">
        <v>-2483.2857142857142</v>
      </c>
      <c r="Z71" s="37">
        <v>-2376.7142857142858</v>
      </c>
      <c r="AA71" s="98">
        <f t="shared" si="40"/>
        <v>11269.805685237296</v>
      </c>
      <c r="AB71" s="98">
        <f t="shared" si="41"/>
        <v>11062.660690643723</v>
      </c>
      <c r="AC71" s="98">
        <f t="shared" si="42"/>
        <v>11186.778425404018</v>
      </c>
      <c r="AD71" s="98">
        <f t="shared" si="43"/>
        <v>621.19268407433719</v>
      </c>
      <c r="AE71" s="98">
        <f t="shared" si="44"/>
        <v>439.47268652136614</v>
      </c>
      <c r="AF71" s="98">
        <f t="shared" si="45"/>
        <v>475.47774983449966</v>
      </c>
      <c r="AG71" s="98">
        <f t="shared" si="46"/>
        <v>774.60694589260868</v>
      </c>
      <c r="AH71" s="98">
        <f t="shared" si="47"/>
        <v>600.59025305971659</v>
      </c>
      <c r="AI71" s="98">
        <f t="shared" si="48"/>
        <v>640.36836785458775</v>
      </c>
      <c r="AJ71" s="98">
        <f t="shared" si="49"/>
        <v>346.78374473533557</v>
      </c>
      <c r="AK71" s="98">
        <f t="shared" si="50"/>
        <v>241.30995458685427</v>
      </c>
      <c r="AL71" s="98">
        <f t="shared" si="51"/>
        <v>272.10682113531152</v>
      </c>
      <c r="AM71" s="98">
        <f t="shared" si="52"/>
        <v>-167.48132210704523</v>
      </c>
      <c r="AN71" s="98">
        <f t="shared" si="53"/>
        <v>-171.53710948543289</v>
      </c>
      <c r="AO71" s="98">
        <f t="shared" si="54"/>
        <v>-164.17551001030586</v>
      </c>
      <c r="AP71" s="61">
        <v>0.19763</v>
      </c>
      <c r="AQ71" s="98">
        <f t="shared" si="55"/>
        <v>272.10682113531152</v>
      </c>
      <c r="AR71" s="98">
        <f t="shared" si="56"/>
        <v>1376.8497755164274</v>
      </c>
    </row>
    <row r="72" spans="1:45" ht="13.95" customHeight="1" x14ac:dyDescent="0.3">
      <c r="A72" s="96" t="s">
        <v>396</v>
      </c>
      <c r="B72" s="97" t="s">
        <v>397</v>
      </c>
      <c r="C72" s="97" t="s">
        <v>386</v>
      </c>
      <c r="D72" s="97" t="s">
        <v>386</v>
      </c>
      <c r="E72" s="43">
        <v>1.1560000000000001E-2</v>
      </c>
      <c r="F72" s="41">
        <v>24.27</v>
      </c>
      <c r="G72" s="41">
        <v>25.85</v>
      </c>
      <c r="H72" s="82">
        <f t="shared" si="38"/>
        <v>1.2312566955088589E-2</v>
      </c>
      <c r="I72" s="29">
        <f t="shared" si="39"/>
        <v>1.1074621569123802E-2</v>
      </c>
      <c r="J72" s="20">
        <f>I72*Assumptions!$D$7</f>
        <v>2308.3046369258868</v>
      </c>
      <c r="K72" s="37">
        <v>47327.830392279997</v>
      </c>
      <c r="L72" s="37">
        <v>71120.538461538468</v>
      </c>
      <c r="M72" s="37">
        <v>73508.307692307688</v>
      </c>
      <c r="N72" s="37">
        <v>75563.399999999994</v>
      </c>
      <c r="O72" s="37">
        <v>8593.75</v>
      </c>
      <c r="P72" s="37">
        <v>8796.4166666666661</v>
      </c>
      <c r="Q72" s="37">
        <v>8362.181818181818</v>
      </c>
      <c r="R72" s="37">
        <v>12889</v>
      </c>
      <c r="S72" s="37">
        <v>13312.30769230769</v>
      </c>
      <c r="T72" s="37">
        <v>13170</v>
      </c>
      <c r="U72" s="37">
        <v>5373.0770000000002</v>
      </c>
      <c r="V72" s="37">
        <v>5819.5379999999996</v>
      </c>
      <c r="W72" s="37">
        <v>5690.7</v>
      </c>
      <c r="X72" s="37">
        <v>-4696.2</v>
      </c>
      <c r="Y72" s="37">
        <v>-4223.2857142857138</v>
      </c>
      <c r="Z72" s="37">
        <v>-4169.1666666666661</v>
      </c>
      <c r="AA72" s="98">
        <f t="shared" si="40"/>
        <v>3468.7385276425807</v>
      </c>
      <c r="AB72" s="98">
        <f t="shared" si="41"/>
        <v>3585.1964075329001</v>
      </c>
      <c r="AC72" s="98">
        <f t="shared" si="42"/>
        <v>3685.4287457541491</v>
      </c>
      <c r="AD72" s="98">
        <f t="shared" si="43"/>
        <v>419.1401297959689</v>
      </c>
      <c r="AE72" s="98">
        <f t="shared" si="44"/>
        <v>429.02472417816324</v>
      </c>
      <c r="AF72" s="98">
        <f t="shared" si="45"/>
        <v>407.84593136293449</v>
      </c>
      <c r="AG72" s="98">
        <f t="shared" si="46"/>
        <v>628.63093910577379</v>
      </c>
      <c r="AH72" s="98">
        <f t="shared" si="47"/>
        <v>649.27678534257109</v>
      </c>
      <c r="AI72" s="98">
        <f t="shared" si="48"/>
        <v>642.3360592771387</v>
      </c>
      <c r="AJ72" s="98">
        <f t="shared" si="49"/>
        <v>262.05930951956191</v>
      </c>
      <c r="AK72" s="98">
        <f t="shared" si="50"/>
        <v>283.83440438371758</v>
      </c>
      <c r="AL72" s="98">
        <f t="shared" si="51"/>
        <v>277.5506311714816</v>
      </c>
      <c r="AM72" s="98">
        <f t="shared" si="52"/>
        <v>-229.04621120556558</v>
      </c>
      <c r="AN72" s="98">
        <f t="shared" si="53"/>
        <v>-205.98091897613676</v>
      </c>
      <c r="AO72" s="98">
        <f t="shared" si="54"/>
        <v>-203.34138854489524</v>
      </c>
      <c r="AP72" s="61">
        <v>9.8830000000000015E-2</v>
      </c>
      <c r="AQ72" s="98">
        <f t="shared" si="55"/>
        <v>277.5506311714816</v>
      </c>
      <c r="AR72" s="98">
        <f t="shared" si="56"/>
        <v>2808.3641725334569</v>
      </c>
    </row>
    <row r="73" spans="1:45" ht="13.95" customHeight="1" x14ac:dyDescent="0.3">
      <c r="A73" s="96" t="s">
        <v>398</v>
      </c>
      <c r="B73" s="97" t="s">
        <v>399</v>
      </c>
      <c r="C73" s="97" t="s">
        <v>386</v>
      </c>
      <c r="D73" s="97" t="s">
        <v>386</v>
      </c>
      <c r="E73" s="43">
        <v>1.03E-2</v>
      </c>
      <c r="F73" s="41">
        <v>44.2</v>
      </c>
      <c r="G73" s="41">
        <v>41.99</v>
      </c>
      <c r="H73" s="82">
        <f t="shared" si="38"/>
        <v>9.7850000000000003E-3</v>
      </c>
      <c r="I73" s="29">
        <f t="shared" si="39"/>
        <v>8.8011843873946043E-3</v>
      </c>
      <c r="J73" s="20">
        <f>I73*Assumptions!$D$7</f>
        <v>1834.4477601386814</v>
      </c>
      <c r="K73" s="37">
        <v>53320.481000699998</v>
      </c>
      <c r="L73" s="37">
        <v>54433.533333333333</v>
      </c>
      <c r="M73" s="37">
        <v>62460.066666666673</v>
      </c>
      <c r="N73" s="37">
        <v>63804.153846153837</v>
      </c>
      <c r="O73" s="37">
        <v>11374.9375</v>
      </c>
      <c r="P73" s="37">
        <v>13838.625</v>
      </c>
      <c r="Q73" s="37">
        <v>14174.066666666669</v>
      </c>
      <c r="R73" s="37">
        <v>22602.875</v>
      </c>
      <c r="S73" s="37">
        <v>25683.625</v>
      </c>
      <c r="T73" s="37">
        <v>26069.571428571431</v>
      </c>
      <c r="U73" s="37">
        <v>9407.2139999999999</v>
      </c>
      <c r="V73" s="37">
        <v>6888.4000000000005</v>
      </c>
      <c r="W73" s="37">
        <v>7008</v>
      </c>
      <c r="X73" s="37">
        <v>-14489.72727272727</v>
      </c>
      <c r="Y73" s="37">
        <v>-10735.90909090909</v>
      </c>
      <c r="Z73" s="37">
        <v>-10806.4</v>
      </c>
      <c r="AA73" s="98">
        <f t="shared" si="40"/>
        <v>1872.7414199143602</v>
      </c>
      <c r="AB73" s="98">
        <f t="shared" si="41"/>
        <v>2148.8877677843002</v>
      </c>
      <c r="AC73" s="98">
        <f t="shared" si="42"/>
        <v>2195.1299934650656</v>
      </c>
      <c r="AD73" s="98">
        <f t="shared" si="43"/>
        <v>391.34546851365712</v>
      </c>
      <c r="AE73" s="98">
        <f t="shared" si="44"/>
        <v>476.10663216477519</v>
      </c>
      <c r="AF73" s="98">
        <f t="shared" si="45"/>
        <v>487.64722974613949</v>
      </c>
      <c r="AG73" s="98">
        <f t="shared" si="46"/>
        <v>777.63352164621801</v>
      </c>
      <c r="AH73" s="98">
        <f t="shared" si="47"/>
        <v>883.62421848507529</v>
      </c>
      <c r="AI73" s="98">
        <f t="shared" si="48"/>
        <v>896.90239130232897</v>
      </c>
      <c r="AJ73" s="98">
        <f t="shared" si="49"/>
        <v>323.64754269974969</v>
      </c>
      <c r="AK73" s="98">
        <f t="shared" si="50"/>
        <v>236.98979667444112</v>
      </c>
      <c r="AL73" s="98">
        <f t="shared" si="51"/>
        <v>241.10453735184996</v>
      </c>
      <c r="AM73" s="98">
        <f t="shared" si="52"/>
        <v>-498.50727603387435</v>
      </c>
      <c r="AN73" s="98">
        <f t="shared" si="53"/>
        <v>-369.36021609805312</v>
      </c>
      <c r="AO73" s="98">
        <f t="shared" si="54"/>
        <v>-371.78539846447364</v>
      </c>
      <c r="AP73" s="61">
        <v>0.10178</v>
      </c>
      <c r="AQ73" s="98">
        <f t="shared" si="55"/>
        <v>241.10453735184996</v>
      </c>
      <c r="AR73" s="98">
        <f t="shared" si="56"/>
        <v>2368.8793215941241</v>
      </c>
    </row>
    <row r="74" spans="1:45" ht="13.95" customHeight="1" x14ac:dyDescent="0.3">
      <c r="A74" s="96" t="s">
        <v>400</v>
      </c>
      <c r="B74" s="97" t="s">
        <v>401</v>
      </c>
      <c r="C74" s="97" t="s">
        <v>386</v>
      </c>
      <c r="D74" s="97" t="s">
        <v>386</v>
      </c>
      <c r="E74" s="43">
        <v>5.45E-3</v>
      </c>
      <c r="F74" s="41">
        <v>18.11</v>
      </c>
      <c r="G74" s="41">
        <v>18.47</v>
      </c>
      <c r="H74" s="82">
        <f t="shared" si="38"/>
        <v>5.5583379348426278E-3</v>
      </c>
      <c r="I74" s="29">
        <f t="shared" si="39"/>
        <v>4.9994846246295454E-3</v>
      </c>
      <c r="J74" s="20">
        <f>I74*Assumptions!$D$7</f>
        <v>1042.0521793220155</v>
      </c>
      <c r="K74" s="37">
        <v>23199.922219775799</v>
      </c>
      <c r="L74" s="37">
        <v>21123.928571428569</v>
      </c>
      <c r="M74" s="37">
        <v>22132.78571428571</v>
      </c>
      <c r="N74" s="37">
        <v>22840.75</v>
      </c>
      <c r="O74" s="37">
        <v>3463.636363636364</v>
      </c>
      <c r="P74" s="37">
        <v>4265.6363636363631</v>
      </c>
      <c r="Q74" s="37">
        <v>4616.454545454545</v>
      </c>
      <c r="R74" s="37">
        <v>7594.3571428571422</v>
      </c>
      <c r="S74" s="37">
        <v>8069.0714285714284</v>
      </c>
      <c r="T74" s="37">
        <v>8357</v>
      </c>
      <c r="U74" s="37">
        <v>1009.727</v>
      </c>
      <c r="V74" s="37">
        <v>1680.5830000000001</v>
      </c>
      <c r="W74" s="37">
        <v>1980.5450000000001</v>
      </c>
      <c r="X74" s="37">
        <v>-3249.5</v>
      </c>
      <c r="Y74" s="37">
        <v>-2873</v>
      </c>
      <c r="Z74" s="37">
        <v>-2698.4285714285711</v>
      </c>
      <c r="AA74" s="98">
        <f t="shared" si="40"/>
        <v>948.80644836543127</v>
      </c>
      <c r="AB74" s="98">
        <f t="shared" si="41"/>
        <v>994.12047029964049</v>
      </c>
      <c r="AC74" s="98">
        <f t="shared" si="42"/>
        <v>1025.9195306508807</v>
      </c>
      <c r="AD74" s="98">
        <f t="shared" si="43"/>
        <v>155.57335869124884</v>
      </c>
      <c r="AE74" s="98">
        <f t="shared" si="44"/>
        <v>191.59614531524343</v>
      </c>
      <c r="AF74" s="98">
        <f t="shared" si="45"/>
        <v>207.35356240683214</v>
      </c>
      <c r="AG74" s="98">
        <f t="shared" si="46"/>
        <v>341.10960960542724</v>
      </c>
      <c r="AH74" s="98">
        <f t="shared" si="47"/>
        <v>362.43196798653423</v>
      </c>
      <c r="AI74" s="98">
        <f t="shared" si="48"/>
        <v>375.36462321287217</v>
      </c>
      <c r="AJ74" s="98">
        <f t="shared" si="49"/>
        <v>45.353092605344472</v>
      </c>
      <c r="AK74" s="98">
        <f t="shared" si="50"/>
        <v>75.485390041038457</v>
      </c>
      <c r="AL74" s="98">
        <f t="shared" si="51"/>
        <v>88.958541065111632</v>
      </c>
      <c r="AM74" s="98">
        <f t="shared" si="52"/>
        <v>-145.95516849709563</v>
      </c>
      <c r="AN74" s="98">
        <f t="shared" si="53"/>
        <v>-129.04422190864923</v>
      </c>
      <c r="AO74" s="98">
        <f t="shared" si="54"/>
        <v>-121.20313796591294</v>
      </c>
      <c r="AP74" s="61">
        <v>0.30386999999999997</v>
      </c>
      <c r="AQ74" s="98">
        <f t="shared" si="55"/>
        <v>88.958541065111632</v>
      </c>
      <c r="AR74" s="98">
        <f t="shared" si="56"/>
        <v>292.75196980653448</v>
      </c>
    </row>
    <row r="75" spans="1:45" ht="13.95" customHeight="1" x14ac:dyDescent="0.3">
      <c r="A75" s="96" t="s">
        <v>402</v>
      </c>
      <c r="B75" s="97" t="s">
        <v>403</v>
      </c>
      <c r="C75" s="97" t="s">
        <v>386</v>
      </c>
      <c r="D75" s="97" t="s">
        <v>386</v>
      </c>
      <c r="E75" s="43">
        <v>3.47E-3</v>
      </c>
      <c r="F75" s="41">
        <v>10.94</v>
      </c>
      <c r="G75" s="41">
        <v>11.77</v>
      </c>
      <c r="H75" s="82">
        <f t="shared" si="38"/>
        <v>3.7332632541133459E-3</v>
      </c>
      <c r="I75" s="29">
        <f t="shared" si="39"/>
        <v>3.3579088672597191E-3</v>
      </c>
      <c r="J75" s="20">
        <f>I75*Assumptions!$D$7</f>
        <v>699.8953923879684</v>
      </c>
      <c r="K75" s="37">
        <v>14527.91584475166</v>
      </c>
      <c r="L75" s="37">
        <v>1924</v>
      </c>
      <c r="M75" s="37">
        <v>1671</v>
      </c>
      <c r="O75" s="37">
        <v>1701</v>
      </c>
      <c r="P75" s="37">
        <v>1945</v>
      </c>
      <c r="Q75" s="37">
        <v>1725</v>
      </c>
      <c r="R75" s="37">
        <v>1925</v>
      </c>
      <c r="S75" s="37">
        <v>1672</v>
      </c>
      <c r="U75" s="37">
        <v>1932</v>
      </c>
      <c r="V75" s="37">
        <v>1686</v>
      </c>
      <c r="AA75" s="98">
        <f t="shared" si="40"/>
        <v>92.690427818035715</v>
      </c>
      <c r="AB75" s="98">
        <f t="shared" si="41"/>
        <v>80.501925615352235</v>
      </c>
      <c r="AC75" s="98">
        <f t="shared" si="42"/>
        <v>0</v>
      </c>
      <c r="AD75" s="98">
        <f t="shared" si="43"/>
        <v>81.947202556381896</v>
      </c>
      <c r="AE75" s="98">
        <f t="shared" si="44"/>
        <v>93.702121676756491</v>
      </c>
      <c r="AF75" s="98">
        <f t="shared" si="45"/>
        <v>83.103424109205619</v>
      </c>
      <c r="AG75" s="98">
        <f t="shared" si="46"/>
        <v>92.738603716070031</v>
      </c>
      <c r="AH75" s="98">
        <f t="shared" si="47"/>
        <v>80.550101513386551</v>
      </c>
      <c r="AI75" s="98">
        <f t="shared" si="48"/>
        <v>0</v>
      </c>
      <c r="AJ75" s="98">
        <f t="shared" si="49"/>
        <v>93.075835002310299</v>
      </c>
      <c r="AK75" s="98">
        <f t="shared" si="50"/>
        <v>81.224564085867058</v>
      </c>
      <c r="AL75" s="98">
        <f t="shared" si="51"/>
        <v>0</v>
      </c>
      <c r="AM75" s="98">
        <f t="shared" si="52"/>
        <v>0</v>
      </c>
      <c r="AN75" s="98">
        <f t="shared" si="53"/>
        <v>0</v>
      </c>
      <c r="AO75" s="98">
        <f t="shared" si="54"/>
        <v>0</v>
      </c>
      <c r="AQ75" s="98">
        <f t="shared" si="55"/>
        <v>0</v>
      </c>
      <c r="AR75" s="98">
        <f t="shared" si="56"/>
        <v>0</v>
      </c>
      <c r="AS75" s="99" t="s">
        <v>404</v>
      </c>
    </row>
    <row r="76" spans="1:45" ht="13.95" customHeight="1" x14ac:dyDescent="0.3">
      <c r="A76" s="96" t="s">
        <v>405</v>
      </c>
      <c r="B76" s="97" t="s">
        <v>406</v>
      </c>
      <c r="C76" s="97" t="s">
        <v>386</v>
      </c>
      <c r="D76" s="97" t="s">
        <v>386</v>
      </c>
      <c r="E76" s="43">
        <v>3.46E-3</v>
      </c>
      <c r="F76" s="41">
        <v>3.96</v>
      </c>
      <c r="G76" s="41">
        <v>5.12</v>
      </c>
      <c r="H76" s="82">
        <f t="shared" si="38"/>
        <v>4.4735353535353536E-3</v>
      </c>
      <c r="I76" s="29">
        <f t="shared" si="39"/>
        <v>4.023751610627813E-3</v>
      </c>
      <c r="J76" s="20">
        <f>I76*Assumptions!$D$7</f>
        <v>838.67827380624749</v>
      </c>
      <c r="K76" s="37">
        <v>20031.183206599999</v>
      </c>
      <c r="L76" s="37">
        <v>39894.199999999997</v>
      </c>
      <c r="M76" s="37">
        <v>46724</v>
      </c>
      <c r="N76" s="37">
        <v>52061.25</v>
      </c>
      <c r="O76" s="37">
        <v>12235.4</v>
      </c>
      <c r="P76" s="37">
        <v>13142.6</v>
      </c>
      <c r="Q76" s="37">
        <v>14606</v>
      </c>
      <c r="R76" s="37">
        <v>17435.857142857141</v>
      </c>
      <c r="S76" s="37">
        <v>17310.555555555558</v>
      </c>
      <c r="T76" s="37">
        <v>20075.666666666672</v>
      </c>
      <c r="U76" s="37">
        <v>-856.55000000000007</v>
      </c>
      <c r="V76" s="37">
        <v>2196.857</v>
      </c>
      <c r="W76" s="37">
        <v>3607.1669999999999</v>
      </c>
      <c r="X76" s="37">
        <v>-11294.66666666667</v>
      </c>
      <c r="Y76" s="37">
        <v>-10044</v>
      </c>
      <c r="Z76" s="37">
        <v>-11243.33333333333</v>
      </c>
      <c r="AA76" s="98">
        <f t="shared" si="40"/>
        <v>1670.3156496445561</v>
      </c>
      <c r="AB76" s="98">
        <f t="shared" si="41"/>
        <v>1956.2700446178201</v>
      </c>
      <c r="AC76" s="98">
        <f t="shared" si="42"/>
        <v>2179.7334102465434</v>
      </c>
      <c r="AD76" s="98">
        <f t="shared" si="43"/>
        <v>512.27948172067624</v>
      </c>
      <c r="AE76" s="98">
        <f t="shared" si="44"/>
        <v>550.26270628358373</v>
      </c>
      <c r="AF76" s="98">
        <f t="shared" si="45"/>
        <v>611.53326495351166</v>
      </c>
      <c r="AG76" s="98">
        <f t="shared" si="46"/>
        <v>730.01551731031327</v>
      </c>
      <c r="AH76" s="98">
        <f t="shared" si="47"/>
        <v>724.76931103984953</v>
      </c>
      <c r="AI76" s="98">
        <f t="shared" si="48"/>
        <v>840.54073550493308</v>
      </c>
      <c r="AJ76" s="98">
        <f t="shared" si="49"/>
        <v>-35.862578262079317</v>
      </c>
      <c r="AK76" s="98">
        <f t="shared" si="50"/>
        <v>91.979401194439049</v>
      </c>
      <c r="AL76" s="98">
        <f t="shared" si="51"/>
        <v>151.02715409712198</v>
      </c>
      <c r="AM76" s="98">
        <f t="shared" si="52"/>
        <v>-472.89226230509826</v>
      </c>
      <c r="AN76" s="98">
        <f t="shared" si="53"/>
        <v>-420.52855766076078</v>
      </c>
      <c r="AO76" s="98">
        <f t="shared" si="54"/>
        <v>-470.74300577118868</v>
      </c>
      <c r="AP76" s="61">
        <v>0.21346999999999999</v>
      </c>
      <c r="AQ76" s="98">
        <f t="shared" si="55"/>
        <v>151.02715409712198</v>
      </c>
      <c r="AR76" s="98">
        <f t="shared" si="56"/>
        <v>707.48655125835944</v>
      </c>
    </row>
    <row r="77" spans="1:45" ht="13.95" customHeight="1" x14ac:dyDescent="0.3">
      <c r="A77" s="96" t="s">
        <v>407</v>
      </c>
      <c r="B77" s="97" t="s">
        <v>408</v>
      </c>
      <c r="C77" s="97" t="s">
        <v>386</v>
      </c>
      <c r="D77" s="97" t="s">
        <v>386</v>
      </c>
      <c r="E77" s="43">
        <v>3.0200000000000001E-3</v>
      </c>
      <c r="F77" s="41">
        <v>5.01</v>
      </c>
      <c r="G77" s="41">
        <v>5.04</v>
      </c>
      <c r="H77" s="82">
        <f t="shared" si="38"/>
        <v>3.0380838323353296E-3</v>
      </c>
      <c r="I77" s="29">
        <f t="shared" si="39"/>
        <v>2.7326250375825922E-3</v>
      </c>
      <c r="J77" s="20">
        <f>I77*Assumptions!$D$7</f>
        <v>569.56628322341192</v>
      </c>
      <c r="K77" s="37">
        <v>26997.261353860002</v>
      </c>
      <c r="L77" s="37">
        <v>14636.2</v>
      </c>
      <c r="M77" s="37">
        <v>14279.4</v>
      </c>
      <c r="N77" s="37">
        <v>16155.25</v>
      </c>
      <c r="O77" s="37">
        <v>3309</v>
      </c>
      <c r="P77" s="37">
        <v>3156.2</v>
      </c>
      <c r="Q77" s="37">
        <v>4810.7777777777774</v>
      </c>
      <c r="R77" s="37">
        <v>4729.818181818182</v>
      </c>
      <c r="S77" s="37">
        <v>4618.272727272727</v>
      </c>
      <c r="T77" s="37">
        <v>5805.1111111111104</v>
      </c>
      <c r="U77" s="37">
        <v>1535.0909999999999</v>
      </c>
      <c r="V77" s="37">
        <v>1364.7</v>
      </c>
      <c r="W77" s="37">
        <v>1844</v>
      </c>
      <c r="X77" s="37">
        <v>-2891.2857142857142</v>
      </c>
      <c r="Y77" s="37">
        <v>-3586.1428571428569</v>
      </c>
      <c r="Z77" s="37">
        <v>-4009.5</v>
      </c>
      <c r="AA77" s="98">
        <f t="shared" si="40"/>
        <v>308.78265484964089</v>
      </c>
      <c r="AB77" s="98">
        <f t="shared" si="41"/>
        <v>301.25517837006612</v>
      </c>
      <c r="AC77" s="98">
        <f t="shared" si="42"/>
        <v>340.83033743455684</v>
      </c>
      <c r="AD77" s="98">
        <f t="shared" si="43"/>
        <v>69.810593248074071</v>
      </c>
      <c r="AE77" s="98">
        <f t="shared" si="44"/>
        <v>66.586943006821201</v>
      </c>
      <c r="AF77" s="98">
        <f t="shared" si="45"/>
        <v>101.4938805232149</v>
      </c>
      <c r="AG77" s="98">
        <f t="shared" si="46"/>
        <v>99.785860751965657</v>
      </c>
      <c r="AH77" s="98">
        <f t="shared" si="47"/>
        <v>97.432565389032959</v>
      </c>
      <c r="AI77" s="98">
        <f t="shared" si="48"/>
        <v>122.47151723712693</v>
      </c>
      <c r="AJ77" s="98">
        <f t="shared" si="49"/>
        <v>32.386102568685182</v>
      </c>
      <c r="AK77" s="98">
        <f t="shared" si="50"/>
        <v>28.791331703126829</v>
      </c>
      <c r="AL77" s="98">
        <f t="shared" si="51"/>
        <v>38.903213644438978</v>
      </c>
      <c r="AM77" s="98">
        <f t="shared" si="52"/>
        <v>-60.997996664843541</v>
      </c>
      <c r="AN77" s="98">
        <f t="shared" si="53"/>
        <v>-75.657528053637407</v>
      </c>
      <c r="AO77" s="98">
        <f t="shared" si="54"/>
        <v>-84.589173051723478</v>
      </c>
      <c r="AP77" s="61">
        <v>0.33770000000000011</v>
      </c>
      <c r="AQ77" s="98">
        <f t="shared" si="55"/>
        <v>38.903213644438978</v>
      </c>
      <c r="AR77" s="98">
        <f t="shared" si="56"/>
        <v>115.20051419733184</v>
      </c>
    </row>
    <row r="78" spans="1:45" ht="13.95" customHeight="1" x14ac:dyDescent="0.3">
      <c r="A78" s="96" t="s">
        <v>409</v>
      </c>
      <c r="B78" s="97" t="s">
        <v>410</v>
      </c>
      <c r="C78" s="97" t="s">
        <v>386</v>
      </c>
      <c r="D78" s="97" t="s">
        <v>386</v>
      </c>
      <c r="E78" s="43">
        <v>1.9400000000000001E-3</v>
      </c>
      <c r="F78" s="41">
        <v>20.23</v>
      </c>
      <c r="G78" s="41">
        <v>21.15</v>
      </c>
      <c r="H78" s="82">
        <f t="shared" si="38"/>
        <v>2.0282254078101826E-3</v>
      </c>
      <c r="I78" s="29">
        <f t="shared" si="39"/>
        <v>1.8243010519505398E-3</v>
      </c>
      <c r="J78" s="20">
        <f>I78*Assumptions!$D$7</f>
        <v>380.24257091607075</v>
      </c>
      <c r="K78" s="37">
        <v>7940.74808734</v>
      </c>
      <c r="L78" s="37">
        <v>1719.5</v>
      </c>
      <c r="M78" s="37">
        <v>5737</v>
      </c>
      <c r="N78" s="37">
        <v>1656</v>
      </c>
      <c r="O78" s="37">
        <v>1082</v>
      </c>
      <c r="P78" s="37">
        <v>5669.5</v>
      </c>
      <c r="Q78" s="37">
        <v>9389</v>
      </c>
      <c r="R78" s="37">
        <v>1082</v>
      </c>
      <c r="S78" s="37">
        <v>5669.5</v>
      </c>
      <c r="T78" s="37">
        <v>1548</v>
      </c>
      <c r="U78" s="37">
        <v>1660</v>
      </c>
      <c r="V78" s="37">
        <v>1663.5</v>
      </c>
      <c r="W78" s="37">
        <v>1533</v>
      </c>
      <c r="AA78" s="98">
        <f t="shared" si="40"/>
        <v>82.338224748948477</v>
      </c>
      <c r="AB78" s="98">
        <f t="shared" si="41"/>
        <v>274.71613572824509</v>
      </c>
      <c r="AC78" s="98">
        <f t="shared" si="42"/>
        <v>79.297528458423187</v>
      </c>
      <c r="AD78" s="98">
        <f t="shared" si="43"/>
        <v>51.811549391312731</v>
      </c>
      <c r="AE78" s="98">
        <f t="shared" si="44"/>
        <v>271.48389951390715</v>
      </c>
      <c r="AF78" s="98">
        <f t="shared" si="45"/>
        <v>449.59208616916385</v>
      </c>
      <c r="AG78" s="98">
        <f t="shared" si="46"/>
        <v>51.811549391312731</v>
      </c>
      <c r="AH78" s="98">
        <f t="shared" si="47"/>
        <v>271.48389951390715</v>
      </c>
      <c r="AI78" s="98">
        <f t="shared" si="48"/>
        <v>74.125950515482543</v>
      </c>
      <c r="AJ78" s="98">
        <f t="shared" si="49"/>
        <v>79.4890683822358</v>
      </c>
      <c r="AK78" s="98">
        <f t="shared" si="50"/>
        <v>79.656665815571841</v>
      </c>
      <c r="AL78" s="98">
        <f t="shared" si="51"/>
        <v>73.407675801185235</v>
      </c>
      <c r="AM78" s="98">
        <f t="shared" si="52"/>
        <v>0</v>
      </c>
      <c r="AN78" s="98">
        <f t="shared" si="53"/>
        <v>0</v>
      </c>
      <c r="AO78" s="98">
        <f t="shared" si="54"/>
        <v>0</v>
      </c>
      <c r="AP78" s="61">
        <v>0.158</v>
      </c>
      <c r="AQ78" s="98">
        <f t="shared" si="55"/>
        <v>73.407675801185235</v>
      </c>
      <c r="AR78" s="98">
        <f t="shared" si="56"/>
        <v>464.60554304547617</v>
      </c>
      <c r="AS78" s="99" t="s">
        <v>267</v>
      </c>
    </row>
    <row r="79" spans="1:45" ht="13.95" customHeight="1" x14ac:dyDescent="0.3">
      <c r="A79" s="96" t="s">
        <v>411</v>
      </c>
      <c r="B79" s="97" t="s">
        <v>412</v>
      </c>
      <c r="C79" s="97" t="s">
        <v>386</v>
      </c>
      <c r="D79" s="97" t="s">
        <v>386</v>
      </c>
      <c r="E79" s="43">
        <v>1.9300000000000001E-3</v>
      </c>
      <c r="F79" s="41">
        <v>18.12</v>
      </c>
      <c r="G79" s="41">
        <v>19.100000000000001</v>
      </c>
      <c r="H79" s="82">
        <f t="shared" si="38"/>
        <v>2.0343818984547464E-3</v>
      </c>
      <c r="I79" s="29">
        <f t="shared" si="39"/>
        <v>1.8298385490728777E-3</v>
      </c>
      <c r="J79" s="20">
        <f>I79*Assumptions!$D$7</f>
        <v>381.39676207327415</v>
      </c>
      <c r="K79" s="37">
        <v>9240.0440605200001</v>
      </c>
      <c r="L79" s="37">
        <v>13491.1</v>
      </c>
      <c r="M79" s="37">
        <v>13712.18181818182</v>
      </c>
      <c r="N79" s="37">
        <v>13075.33333333333</v>
      </c>
      <c r="O79" s="37">
        <v>4110.3</v>
      </c>
      <c r="P79" s="37">
        <v>4262.2727272727279</v>
      </c>
      <c r="Q79" s="37">
        <v>3471.8</v>
      </c>
      <c r="R79" s="37">
        <v>6799.4</v>
      </c>
      <c r="S79" s="37">
        <v>7196.727272727273</v>
      </c>
      <c r="T79" s="37">
        <v>6561.8888888888896</v>
      </c>
      <c r="U79" s="37">
        <v>911</v>
      </c>
      <c r="V79" s="37">
        <v>1804.5450000000001</v>
      </c>
      <c r="W79" s="37">
        <v>1734.778</v>
      </c>
      <c r="X79" s="37">
        <v>-3101.166666666667</v>
      </c>
      <c r="Y79" s="37">
        <v>-2098</v>
      </c>
      <c r="Z79" s="37">
        <v>-2040.666666666667</v>
      </c>
      <c r="AA79" s="98">
        <f t="shared" si="40"/>
        <v>556.86551093319986</v>
      </c>
      <c r="AB79" s="98">
        <f t="shared" si="41"/>
        <v>565.99099659707167</v>
      </c>
      <c r="AC79" s="98">
        <f t="shared" si="42"/>
        <v>539.70411436343693</v>
      </c>
      <c r="AD79" s="98">
        <f t="shared" si="43"/>
        <v>169.6588350533857</v>
      </c>
      <c r="AE79" s="98">
        <f t="shared" si="44"/>
        <v>175.93173870250544</v>
      </c>
      <c r="AF79" s="98">
        <f t="shared" si="45"/>
        <v>143.30378403969161</v>
      </c>
      <c r="AG79" s="98">
        <f t="shared" si="46"/>
        <v>280.65549547770001</v>
      </c>
      <c r="AH79" s="98">
        <f t="shared" si="47"/>
        <v>297.05577823707239</v>
      </c>
      <c r="AI79" s="98">
        <f t="shared" si="48"/>
        <v>270.85186595592643</v>
      </c>
      <c r="AJ79" s="98">
        <f t="shared" si="49"/>
        <v>37.602899723532182</v>
      </c>
      <c r="AK79" s="98">
        <f t="shared" si="50"/>
        <v>74.48531798199933</v>
      </c>
      <c r="AL79" s="98">
        <f t="shared" si="51"/>
        <v>71.60557977671759</v>
      </c>
      <c r="AM79" s="98">
        <f t="shared" si="52"/>
        <v>-128.00533391067756</v>
      </c>
      <c r="AN79" s="98">
        <f t="shared" si="53"/>
        <v>-86.598115938496747</v>
      </c>
      <c r="AO79" s="98">
        <f t="shared" si="54"/>
        <v>-84.231596087619508</v>
      </c>
      <c r="AP79" s="61">
        <v>0.10748000000000001</v>
      </c>
      <c r="AQ79" s="98">
        <f t="shared" si="55"/>
        <v>71.60557977671759</v>
      </c>
      <c r="AR79" s="98">
        <f t="shared" si="56"/>
        <v>666.22236487455882</v>
      </c>
    </row>
    <row r="80" spans="1:45" ht="13.95" customHeight="1" x14ac:dyDescent="0.3">
      <c r="A80" s="96" t="s">
        <v>413</v>
      </c>
      <c r="B80" s="97" t="s">
        <v>414</v>
      </c>
      <c r="C80" s="97" t="s">
        <v>386</v>
      </c>
      <c r="D80" s="97" t="s">
        <v>386</v>
      </c>
      <c r="E80" s="43">
        <v>1.6100000000000001E-3</v>
      </c>
      <c r="F80" s="41">
        <v>5.77</v>
      </c>
      <c r="G80" s="41">
        <v>6.42</v>
      </c>
      <c r="H80" s="82">
        <f t="shared" si="38"/>
        <v>1.7913691507798963E-3</v>
      </c>
      <c r="I80" s="29">
        <f t="shared" si="39"/>
        <v>1.6112590906391777E-3</v>
      </c>
      <c r="J80" s="20">
        <f>I80*Assumptions!$D$7</f>
        <v>335.83782587937787</v>
      </c>
      <c r="K80" s="37">
        <v>8420.6965634499993</v>
      </c>
      <c r="L80" s="37">
        <v>45041.333333333343</v>
      </c>
      <c r="M80" s="37">
        <v>43164.800000000003</v>
      </c>
      <c r="N80" s="37">
        <v>45946.5</v>
      </c>
      <c r="O80" s="37">
        <v>5127.1111111111104</v>
      </c>
      <c r="P80" s="37">
        <v>5876.8888888888896</v>
      </c>
      <c r="Q80" s="37">
        <v>7499.25</v>
      </c>
      <c r="R80" s="37">
        <v>10237.6</v>
      </c>
      <c r="S80" s="37">
        <v>11015.2</v>
      </c>
      <c r="T80" s="37">
        <v>12622.625</v>
      </c>
      <c r="U80" s="37">
        <v>-504.44400000000002</v>
      </c>
      <c r="V80" s="37">
        <v>310.10000000000002</v>
      </c>
      <c r="W80" s="37">
        <v>803.46299999999997</v>
      </c>
      <c r="X80" s="37">
        <v>-5019</v>
      </c>
      <c r="Y80" s="37">
        <v>-5630</v>
      </c>
      <c r="Z80" s="37">
        <v>-6095.75</v>
      </c>
      <c r="AA80" s="98">
        <f t="shared" si="40"/>
        <v>1796.3577415949055</v>
      </c>
      <c r="AB80" s="98">
        <f t="shared" si="41"/>
        <v>1721.5170357093282</v>
      </c>
      <c r="AC80" s="98">
        <f t="shared" si="42"/>
        <v>1832.4579861650848</v>
      </c>
      <c r="AD80" s="98">
        <f t="shared" si="43"/>
        <v>204.48164063663819</v>
      </c>
      <c r="AE80" s="98">
        <f t="shared" si="44"/>
        <v>234.38459900643787</v>
      </c>
      <c r="AF80" s="98">
        <f t="shared" si="45"/>
        <v>299.08829949503252</v>
      </c>
      <c r="AG80" s="98">
        <f t="shared" si="46"/>
        <v>408.30034668938163</v>
      </c>
      <c r="AH80" s="98">
        <f t="shared" si="47"/>
        <v>439.3129228386415</v>
      </c>
      <c r="AI80" s="98">
        <f t="shared" si="48"/>
        <v>503.42093494862621</v>
      </c>
      <c r="AJ80" s="98">
        <f t="shared" si="49"/>
        <v>-20.118451598556149</v>
      </c>
      <c r="AK80" s="98">
        <f t="shared" si="50"/>
        <v>12.367540977219001</v>
      </c>
      <c r="AL80" s="98">
        <f t="shared" si="51"/>
        <v>32.044055389162558</v>
      </c>
      <c r="AM80" s="98">
        <f t="shared" si="52"/>
        <v>-200.16990701277706</v>
      </c>
      <c r="AN80" s="98">
        <f t="shared" si="53"/>
        <v>-224.53807062800053</v>
      </c>
      <c r="AO80" s="98">
        <f t="shared" si="54"/>
        <v>-243.11331155073435</v>
      </c>
      <c r="AP80" s="61">
        <v>7.7780000000000002E-2</v>
      </c>
      <c r="AQ80" s="98">
        <f t="shared" si="55"/>
        <v>32.044055389162558</v>
      </c>
      <c r="AR80" s="98">
        <f t="shared" si="56"/>
        <v>411.98322691132114</v>
      </c>
    </row>
    <row r="81" spans="1:44" ht="13.95" customHeight="1" x14ac:dyDescent="0.3">
      <c r="A81" s="96" t="s">
        <v>415</v>
      </c>
      <c r="B81" s="97" t="s">
        <v>416</v>
      </c>
      <c r="C81" s="97" t="s">
        <v>386</v>
      </c>
      <c r="D81" s="97" t="s">
        <v>386</v>
      </c>
      <c r="E81" s="43">
        <v>1.39E-3</v>
      </c>
      <c r="F81" s="41">
        <v>7.01</v>
      </c>
      <c r="G81" s="41">
        <v>7.46</v>
      </c>
      <c r="H81" s="82">
        <f t="shared" si="38"/>
        <v>1.4792296718972894E-3</v>
      </c>
      <c r="I81" s="29">
        <f t="shared" si="39"/>
        <v>1.3305031265889897E-3</v>
      </c>
      <c r="J81" s="20">
        <f>I81*Assumptions!$D$7</f>
        <v>277.31932124094618</v>
      </c>
      <c r="K81" s="37">
        <v>8789.3845187400002</v>
      </c>
      <c r="L81" s="37">
        <v>24954.18181818182</v>
      </c>
      <c r="M81" s="37">
        <v>26001</v>
      </c>
      <c r="N81" s="37">
        <v>26984.777777777781</v>
      </c>
      <c r="O81" s="37">
        <v>1569.75</v>
      </c>
      <c r="P81" s="37">
        <v>1984</v>
      </c>
      <c r="Q81" s="37">
        <v>2097</v>
      </c>
      <c r="R81" s="37">
        <v>2644</v>
      </c>
      <c r="S81" s="37">
        <v>3020.4</v>
      </c>
      <c r="T81" s="37">
        <v>3319.5555555555552</v>
      </c>
      <c r="U81" s="37">
        <v>1592.9090000000001</v>
      </c>
      <c r="V81" s="37">
        <v>1416.182</v>
      </c>
      <c r="W81" s="37">
        <v>1598.6669999999999</v>
      </c>
      <c r="X81" s="37">
        <v>-1308.166666666667</v>
      </c>
      <c r="Y81" s="37">
        <v>-1658</v>
      </c>
      <c r="Z81" s="37">
        <v>-2254.666666666667</v>
      </c>
      <c r="AA81" s="98">
        <f t="shared" si="40"/>
        <v>787.34486461327299</v>
      </c>
      <c r="AB81" s="98">
        <f t="shared" si="41"/>
        <v>820.37367419892018</v>
      </c>
      <c r="AC81" s="98">
        <f t="shared" si="42"/>
        <v>851.41345690538549</v>
      </c>
      <c r="AD81" s="98">
        <f t="shared" si="43"/>
        <v>49.528155650696313</v>
      </c>
      <c r="AE81" s="98">
        <f t="shared" si="44"/>
        <v>62.598414276783878</v>
      </c>
      <c r="AF81" s="98">
        <f t="shared" si="45"/>
        <v>66.16374734799183</v>
      </c>
      <c r="AG81" s="98">
        <f t="shared" si="46"/>
        <v>83.422483542246255</v>
      </c>
      <c r="AH81" s="98">
        <f t="shared" si="47"/>
        <v>95.298513347579643</v>
      </c>
      <c r="AI81" s="98">
        <f t="shared" si="48"/>
        <v>104.73735578702929</v>
      </c>
      <c r="AJ81" s="98">
        <f t="shared" si="49"/>
        <v>50.258859620573354</v>
      </c>
      <c r="AK81" s="98">
        <f t="shared" si="50"/>
        <v>44.68283645530461</v>
      </c>
      <c r="AL81" s="98">
        <f t="shared" si="51"/>
        <v>50.440533849104462</v>
      </c>
      <c r="AM81" s="98">
        <f t="shared" si="52"/>
        <v>-41.27477769308441</v>
      </c>
      <c r="AN81" s="98">
        <f t="shared" si="53"/>
        <v>-52.312586124449432</v>
      </c>
      <c r="AO81" s="98">
        <f t="shared" si="54"/>
        <v>-71.138386116963417</v>
      </c>
      <c r="AP81" s="61">
        <v>6.6540000000000002E-2</v>
      </c>
      <c r="AQ81" s="98">
        <f t="shared" si="55"/>
        <v>50.440533849104462</v>
      </c>
      <c r="AR81" s="98">
        <f t="shared" si="56"/>
        <v>758.0482995056276</v>
      </c>
    </row>
    <row r="83" spans="1:44" ht="13.95" customHeight="1" x14ac:dyDescent="0.3">
      <c r="A83" s="5" t="s">
        <v>417</v>
      </c>
      <c r="E83" s="32">
        <f>SUM(E6:E81)</f>
        <v>1</v>
      </c>
      <c r="I83" s="32">
        <f>SUM(I6:I81)</f>
        <v>1.0000000000000002</v>
      </c>
      <c r="J83" s="22">
        <f>SUM(J6:J81)</f>
        <v>208431.92000000007</v>
      </c>
      <c r="AA83" s="22">
        <f t="shared" ref="AA83:AO83" si="57">SUM(AA6:AA81)</f>
        <v>157931.35826202569</v>
      </c>
      <c r="AB83" s="22">
        <f t="shared" si="57"/>
        <v>162950.69758808613</v>
      </c>
      <c r="AC83" s="22">
        <f t="shared" si="57"/>
        <v>169017.21584550047</v>
      </c>
      <c r="AD83" s="22">
        <f t="shared" si="57"/>
        <v>32221.516902212046</v>
      </c>
      <c r="AE83" s="22">
        <f t="shared" si="57"/>
        <v>34108.457632235986</v>
      </c>
      <c r="AF83" s="22">
        <f t="shared" si="57"/>
        <v>36064.515053416384</v>
      </c>
      <c r="AG83" s="22">
        <f t="shared" si="57"/>
        <v>39428.713365755772</v>
      </c>
      <c r="AH83" s="22">
        <f t="shared" si="57"/>
        <v>43589.989451710273</v>
      </c>
      <c r="AI83" s="22">
        <f t="shared" si="57"/>
        <v>45324.416279524739</v>
      </c>
      <c r="AJ83" s="22">
        <f t="shared" si="57"/>
        <v>20963.306846489082</v>
      </c>
      <c r="AK83" s="22">
        <f t="shared" si="57"/>
        <v>21872.715063664771</v>
      </c>
      <c r="AL83" s="22">
        <f t="shared" si="57"/>
        <v>23383.90911867292</v>
      </c>
      <c r="AM83" s="22">
        <f t="shared" si="57"/>
        <v>-16181.849958835968</v>
      </c>
      <c r="AN83" s="22">
        <f t="shared" si="57"/>
        <v>-16064.941059792678</v>
      </c>
      <c r="AO83" s="22">
        <f t="shared" si="57"/>
        <v>-16367.982300902873</v>
      </c>
      <c r="AQ83" s="22">
        <f>SUM(AQ6:AQ81)</f>
        <v>22482.351210250756</v>
      </c>
      <c r="AR83" s="22">
        <f>SUM(AR6:AR81)</f>
        <v>130587.42697469864</v>
      </c>
    </row>
    <row r="85" spans="1:44" ht="13.95" customHeight="1" x14ac:dyDescent="0.3">
      <c r="A85" s="14" t="s">
        <v>418</v>
      </c>
    </row>
    <row r="86" spans="1:44" ht="13.95" customHeight="1" x14ac:dyDescent="0.3">
      <c r="A86" s="14" t="s">
        <v>419</v>
      </c>
    </row>
  </sheetData>
  <autoFilter ref="A5:AS81" xr:uid="{00000000-0009-0000-0000-00000A000000}"/>
  <mergeCells count="5">
    <mergeCell ref="A4:D4"/>
    <mergeCell ref="E4:K4"/>
    <mergeCell ref="L4:Z4"/>
    <mergeCell ref="AA4:AO4"/>
    <mergeCell ref="AP4:AR4"/>
  </mergeCells>
  <pageMargins left="0.4" right="0.4" top="1.25" bottom="0.5" header="0.3" footer="0.3"/>
  <pageSetup paperSize="9" fitToHeight="0" orientation="landscape"/>
  <headerFooter>
    <oddHeader>&amp;L&amp;G</oddHeader>
    <oddFooter>&amp;R&amp;"Calibri"&amp;10&amp;K008000[ CLASSIFICAÇÃO: PÚBLICA ]</oddFooter>
  </headerFooter>
  <legacyDrawingHF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G56"/>
  <sheetViews>
    <sheetView showGridLines="0" zoomScale="85" zoomScaleNormal="85" workbookViewId="0">
      <pane ySplit="7" topLeftCell="A8" activePane="bottomLeft" state="frozen"/>
      <selection pane="bottomLeft"/>
    </sheetView>
  </sheetViews>
  <sheetFormatPr defaultRowHeight="13.95" customHeight="1" x14ac:dyDescent="0.3"/>
  <cols>
    <col min="1" max="1" width="2.6640625" customWidth="1"/>
    <col min="2" max="2" width="78.6640625" customWidth="1"/>
    <col min="3" max="6" width="15.6640625" customWidth="1"/>
    <col min="7" max="7" width="80.6640625" customWidth="1"/>
  </cols>
  <sheetData>
    <row r="1" spans="2:7" ht="30" customHeight="1" x14ac:dyDescent="0.3">
      <c r="B1" s="15" t="s">
        <v>617</v>
      </c>
    </row>
    <row r="2" spans="2:7" ht="13.95" customHeight="1" x14ac:dyDescent="0.3">
      <c r="B2" s="14" t="s">
        <v>618</v>
      </c>
    </row>
    <row r="5" spans="2:7" ht="13.95" customHeight="1" x14ac:dyDescent="0.3">
      <c r="B5" s="5" t="s">
        <v>619</v>
      </c>
      <c r="C5" s="100" t="str">
        <f>IF(COUNTIF(F8:F43,"CHECK")=0,"All checks OK","Some checks need attention")</f>
        <v>All checks OK</v>
      </c>
    </row>
    <row r="7" spans="2:7" ht="13.95" customHeight="1" x14ac:dyDescent="0.3">
      <c r="B7" s="17" t="s">
        <v>620</v>
      </c>
      <c r="C7" s="18" t="s">
        <v>20</v>
      </c>
      <c r="D7" s="18" t="s">
        <v>621</v>
      </c>
      <c r="E7" s="18" t="s">
        <v>195</v>
      </c>
      <c r="F7" s="18" t="s">
        <v>622</v>
      </c>
      <c r="G7" s="18" t="s">
        <v>623</v>
      </c>
    </row>
    <row r="8" spans="2:7" ht="13.95" customHeight="1" x14ac:dyDescent="0.3">
      <c r="B8" s="101" t="s">
        <v>624</v>
      </c>
      <c r="C8" s="101"/>
      <c r="D8" s="101"/>
      <c r="E8" s="101"/>
      <c r="F8" s="101"/>
      <c r="G8" s="101"/>
    </row>
    <row r="9" spans="2:7" ht="13.95" customHeight="1" x14ac:dyDescent="0.3">
      <c r="B9" s="19" t="s">
        <v>625</v>
      </c>
      <c r="C9" s="71">
        <f>DCF!M35</f>
        <v>3970.3599999999988</v>
      </c>
      <c r="D9" s="71">
        <f>3970.35999999999</f>
        <v>3970.3599999999901</v>
      </c>
      <c r="E9" s="71">
        <f t="shared" ref="E9:E20" si="0">IFERROR(C9-D9,"")</f>
        <v>8.6401996668428183E-12</v>
      </c>
      <c r="F9" s="102" t="str">
        <f t="shared" ref="F9:F19" si="1">IF(ABS(C9-D9)&lt;=0.01,"OK","CHECK")</f>
        <v>OK</v>
      </c>
      <c r="G9" s="14" t="s">
        <v>626</v>
      </c>
    </row>
    <row r="10" spans="2:7" ht="13.95" customHeight="1" x14ac:dyDescent="0.3">
      <c r="B10" s="19" t="s">
        <v>627</v>
      </c>
      <c r="C10" s="71">
        <f>DCF!N35</f>
        <v>15868.960000000003</v>
      </c>
      <c r="D10" s="71">
        <f>15868.96</f>
        <v>15868.96</v>
      </c>
      <c r="E10" s="71">
        <f t="shared" si="0"/>
        <v>3.637978807091713E-12</v>
      </c>
      <c r="F10" s="102" t="str">
        <f t="shared" si="1"/>
        <v>OK</v>
      </c>
      <c r="G10" s="14" t="s">
        <v>626</v>
      </c>
    </row>
    <row r="11" spans="2:7" ht="13.95" customHeight="1" x14ac:dyDescent="0.3">
      <c r="B11" s="19" t="s">
        <v>628</v>
      </c>
      <c r="C11" s="71">
        <f>DCF!O35</f>
        <v>16461.32</v>
      </c>
      <c r="D11" s="71">
        <f>16461.32</f>
        <v>16461.32</v>
      </c>
      <c r="E11" s="71">
        <f t="shared" si="0"/>
        <v>0</v>
      </c>
      <c r="F11" s="102" t="str">
        <f t="shared" si="1"/>
        <v>OK</v>
      </c>
      <c r="G11" s="14" t="s">
        <v>626</v>
      </c>
    </row>
    <row r="12" spans="2:7" ht="13.95" customHeight="1" x14ac:dyDescent="0.3">
      <c r="B12" s="19" t="s">
        <v>629</v>
      </c>
      <c r="C12" s="71">
        <f>DCF!P35</f>
        <v>16980.784319999995</v>
      </c>
      <c r="D12" s="71">
        <f>16980.7843199999</f>
        <v>16980.784319999901</v>
      </c>
      <c r="E12" s="71">
        <f t="shared" si="0"/>
        <v>9.4587448984384537E-11</v>
      </c>
      <c r="F12" s="102" t="str">
        <f t="shared" si="1"/>
        <v>OK</v>
      </c>
      <c r="G12" s="14" t="s">
        <v>626</v>
      </c>
    </row>
    <row r="13" spans="2:7" ht="13.95" customHeight="1" x14ac:dyDescent="0.3">
      <c r="B13" s="19" t="s">
        <v>630</v>
      </c>
      <c r="C13" s="71">
        <f>DCF!Q35</f>
        <v>18141.420645503993</v>
      </c>
      <c r="D13" s="71">
        <f>18141.4206455039</f>
        <v>18141.420645503898</v>
      </c>
      <c r="E13" s="71">
        <f t="shared" si="0"/>
        <v>9.4587448984384537E-11</v>
      </c>
      <c r="F13" s="102" t="str">
        <f t="shared" si="1"/>
        <v>OK</v>
      </c>
      <c r="G13" s="14" t="s">
        <v>626</v>
      </c>
    </row>
    <row r="14" spans="2:7" ht="13.95" customHeight="1" x14ac:dyDescent="0.3">
      <c r="B14" s="19" t="s">
        <v>631</v>
      </c>
      <c r="C14" s="71">
        <f>DCF!R35</f>
        <v>23154.288195284214</v>
      </c>
      <c r="D14" s="71">
        <f>23154.2881952842</f>
        <v>23154.2881952842</v>
      </c>
      <c r="E14" s="71">
        <f t="shared" si="0"/>
        <v>1.4551915228366852E-11</v>
      </c>
      <c r="F14" s="102" t="str">
        <f t="shared" si="1"/>
        <v>OK</v>
      </c>
      <c r="G14" s="14" t="s">
        <v>626</v>
      </c>
    </row>
    <row r="15" spans="2:7" ht="13.95" customHeight="1" x14ac:dyDescent="0.3">
      <c r="B15" s="19" t="s">
        <v>632</v>
      </c>
      <c r="C15" s="71">
        <f>DCF!R35*(1+Checks!$C$54)/(Checks!$C$52+Checks!$C$53-Checks!$C$54)</f>
        <v>278010.77684016712</v>
      </c>
      <c r="D15" s="71">
        <f>278010.776840167</f>
        <v>278010.776840167</v>
      </c>
      <c r="E15" s="71">
        <f t="shared" si="0"/>
        <v>1.1641532182693481E-10</v>
      </c>
      <c r="F15" s="102" t="str">
        <f t="shared" si="1"/>
        <v>OK</v>
      </c>
      <c r="G15" s="14"/>
    </row>
    <row r="16" spans="2:7" ht="13.95" customHeight="1" x14ac:dyDescent="0.3">
      <c r="B16" s="19" t="s">
        <v>633</v>
      </c>
      <c r="C16" s="71">
        <f>NPV((Checks!$C$52+Checks!$C$53),DCF!$M$35:$R$35)+DCF!$R$35*(1+Checks!$C$54)/((Checks!$C$52+Checks!$C$53)-Checks!$C$54)/(1+(Checks!$C$52+Checks!$C$53))^7-0</f>
        <v>173064.08782560608</v>
      </c>
      <c r="D16" s="71">
        <f>173064.087825606</f>
        <v>173064.087825606</v>
      </c>
      <c r="E16" s="71">
        <f t="shared" si="0"/>
        <v>8.7311491370201111E-11</v>
      </c>
      <c r="F16" s="102" t="str">
        <f t="shared" si="1"/>
        <v>OK</v>
      </c>
      <c r="G16" s="14"/>
    </row>
    <row r="17" spans="2:7" ht="13.95" customHeight="1" x14ac:dyDescent="0.3">
      <c r="B17" s="19" t="s">
        <v>634</v>
      </c>
      <c r="C17" s="71">
        <f>NPV((Checks!$C$52+Checks!$C$53),DCF!$O$35:$R$35)+DCF!$R$35*(1+Checks!$C$54)/((Checks!$C$52+Checks!$C$53)-Checks!$C$54)/(1+(Checks!$C$52+Checks!$C$53))^5-0</f>
        <v>202259.16860466625</v>
      </c>
      <c r="D17" s="71">
        <f>202259.168604666</f>
        <v>202259.16860466599</v>
      </c>
      <c r="E17" s="71">
        <f t="shared" si="0"/>
        <v>2.6193447411060333E-10</v>
      </c>
      <c r="F17" s="102" t="str">
        <f t="shared" si="1"/>
        <v>OK</v>
      </c>
      <c r="G17" s="14"/>
    </row>
    <row r="18" spans="2:7" ht="13.95" customHeight="1" x14ac:dyDescent="0.3">
      <c r="B18" s="19" t="s">
        <v>635</v>
      </c>
      <c r="C18" s="71">
        <f>NPV((Checks!$C$52+Checks!$C$53),DCF!$P$35:$R$35)+DCF!$R$35*(1+Checks!$C$54)/((Checks!$C$52+Checks!$C$53)-Checks!$C$54)/(1+(Checks!$C$52+Checks!$C$53))^4-0</f>
        <v>212941.02903141244</v>
      </c>
      <c r="D18" s="71">
        <f>212941.029031412</f>
        <v>212941.02903141201</v>
      </c>
      <c r="E18" s="71">
        <f t="shared" si="0"/>
        <v>4.3655745685100555E-10</v>
      </c>
      <c r="F18" s="102" t="str">
        <f t="shared" si="1"/>
        <v>OK</v>
      </c>
      <c r="G18" s="14"/>
    </row>
    <row r="19" spans="2:7" ht="13.95" customHeight="1" x14ac:dyDescent="0.3">
      <c r="B19" s="19" t="s">
        <v>636</v>
      </c>
      <c r="C19" s="71">
        <f>MAX(MAX(Sensitivity!E7:E14),-MIN(Sensitivity!E7:E14))</f>
        <v>0</v>
      </c>
      <c r="D19" s="71">
        <f>0</f>
        <v>0</v>
      </c>
      <c r="E19" s="71">
        <f t="shared" si="0"/>
        <v>0</v>
      </c>
      <c r="F19" s="102" t="str">
        <f t="shared" si="1"/>
        <v>OK</v>
      </c>
      <c r="G19" s="14"/>
    </row>
    <row r="20" spans="2:7" ht="13.95" customHeight="1" x14ac:dyDescent="0.3">
      <c r="B20" s="19" t="s">
        <v>637</v>
      </c>
      <c r="C20" s="29">
        <f>IRR(Checks!C56:G56)</f>
        <v>0.1737916070343033</v>
      </c>
      <c r="D20" s="29">
        <f>0.173791607034303</f>
        <v>0.17379160703430299</v>
      </c>
      <c r="E20" s="29">
        <f t="shared" si="0"/>
        <v>3.0531133177191805E-16</v>
      </c>
      <c r="F20" s="102" t="str">
        <f>IF(ABS(C20-D20)&lt;=0.000001,"OK","CHECK")</f>
        <v>OK</v>
      </c>
      <c r="G20" s="14" t="s">
        <v>638</v>
      </c>
    </row>
    <row r="21" spans="2:7" ht="13.95" customHeight="1" x14ac:dyDescent="0.3">
      <c r="B21" s="101" t="s">
        <v>639</v>
      </c>
      <c r="C21" s="101"/>
      <c r="D21" s="101"/>
      <c r="E21" s="101"/>
      <c r="F21" s="101"/>
      <c r="G21" s="101"/>
    </row>
    <row r="22" spans="2:7" ht="13.95" customHeight="1" x14ac:dyDescent="0.3">
      <c r="B22" s="19" t="s">
        <v>640</v>
      </c>
      <c r="C22" s="103">
        <f>Members!I83</f>
        <v>1.0000000000000002</v>
      </c>
      <c r="D22" s="103">
        <f>1</f>
        <v>1</v>
      </c>
      <c r="E22" s="103">
        <f t="shared" ref="E22:E38" si="2">IFERROR(C22-D22,"")</f>
        <v>2.2204460492503131E-16</v>
      </c>
      <c r="F22" s="102" t="str">
        <f>IF(ABS(C22-D22)&lt;=0.000000001,"OK","CHECK")</f>
        <v>OK</v>
      </c>
      <c r="G22" s="14"/>
    </row>
    <row r="23" spans="2:7" ht="13.95" customHeight="1" x14ac:dyDescent="0.3">
      <c r="B23" s="19" t="s">
        <v>641</v>
      </c>
      <c r="C23" s="71">
        <f>Members!J83</f>
        <v>208431.92000000007</v>
      </c>
      <c r="D23" s="71">
        <f>Assumptions!$D$7</f>
        <v>208431.92</v>
      </c>
      <c r="E23" s="71">
        <f t="shared" si="2"/>
        <v>5.8207660913467407E-11</v>
      </c>
      <c r="F23" s="102" t="str">
        <f>IF(ABS(C23-D23)&lt;=0.01,"OK","CHECK")</f>
        <v>OK</v>
      </c>
      <c r="G23" s="14"/>
    </row>
    <row r="24" spans="2:7" ht="13.95" customHeight="1" x14ac:dyDescent="0.3">
      <c r="B24" s="19" t="s">
        <v>642</v>
      </c>
      <c r="C24" s="83">
        <f>SUMPRODUCT(ABS('Box Shares'!D23:R23-1))</f>
        <v>1.1102230246251565E-16</v>
      </c>
      <c r="D24" s="83">
        <f>0</f>
        <v>0</v>
      </c>
      <c r="E24" s="83">
        <f t="shared" si="2"/>
        <v>1.1102230246251565E-16</v>
      </c>
      <c r="F24" s="102" t="str">
        <f>IF(ABS(C24-D24)&lt;=0.000000001,"OK","CHECK")</f>
        <v>OK</v>
      </c>
      <c r="G24" s="14"/>
    </row>
    <row r="25" spans="2:7" ht="13.95" customHeight="1" x14ac:dyDescent="0.3">
      <c r="B25" s="19" t="s">
        <v>643</v>
      </c>
      <c r="C25" s="71">
        <f>'Box Shares'!C14+'Box Shares'!C15</f>
        <v>26271.074646272005</v>
      </c>
      <c r="D25" s="71">
        <f>'Box Shares'!C9</f>
        <v>26271.074646272005</v>
      </c>
      <c r="E25" s="71">
        <f t="shared" si="2"/>
        <v>0</v>
      </c>
      <c r="F25" s="102" t="str">
        <f t="shared" ref="F25:F31" si="3">IF(ABS(C25-D25)&lt;=0.01,"OK","CHECK")</f>
        <v>OK</v>
      </c>
      <c r="G25" s="14"/>
    </row>
    <row r="26" spans="2:7" ht="13.95" customHeight="1" x14ac:dyDescent="0.3">
      <c r="B26" s="19" t="s">
        <v>644</v>
      </c>
      <c r="C26" s="71">
        <f>SUMPRODUCT(ABS('DCF by Box'!E35:H35+'DCF by Box'!E83:H83+'DCF by Box'!E124:H124+'DCF by Box'!E165:H165-DCF!P37:S37))</f>
        <v>2.9103830456733704E-11</v>
      </c>
      <c r="D26" s="71">
        <f>0</f>
        <v>0</v>
      </c>
      <c r="E26" s="71">
        <f t="shared" si="2"/>
        <v>2.9103830456733704E-11</v>
      </c>
      <c r="F26" s="102" t="str">
        <f t="shared" si="3"/>
        <v>OK</v>
      </c>
      <c r="G26" s="14"/>
    </row>
    <row r="27" spans="2:7" ht="13.95" customHeight="1" x14ac:dyDescent="0.3">
      <c r="B27" s="19" t="s">
        <v>645</v>
      </c>
      <c r="C27" s="71">
        <f>'DCF by Box'!C12</f>
        <v>191722.24091712025</v>
      </c>
      <c r="D27" s="71">
        <f>'DCF by Box'!C8</f>
        <v>191722.24091712022</v>
      </c>
      <c r="E27" s="71">
        <f t="shared" si="2"/>
        <v>2.9103830456733704E-11</v>
      </c>
      <c r="F27" s="102" t="str">
        <f t="shared" si="3"/>
        <v>OK</v>
      </c>
      <c r="G27" s="14"/>
    </row>
    <row r="28" spans="2:7" ht="13.95" customHeight="1" x14ac:dyDescent="0.3">
      <c r="B28" s="19" t="s">
        <v>646</v>
      </c>
      <c r="C28" s="71">
        <f>'DCF by Box'!D12</f>
        <v>235695.43773555561</v>
      </c>
      <c r="D28" s="71">
        <f>'DCF by Box'!D8</f>
        <v>235695.43773555552</v>
      </c>
      <c r="E28" s="71">
        <f t="shared" si="2"/>
        <v>8.7311491370201111E-11</v>
      </c>
      <c r="F28" s="102" t="str">
        <f t="shared" si="3"/>
        <v>OK</v>
      </c>
      <c r="G28" s="14"/>
    </row>
    <row r="29" spans="2:7" ht="13.95" customHeight="1" x14ac:dyDescent="0.3">
      <c r="B29" s="19" t="s">
        <v>647</v>
      </c>
      <c r="C29" s="71">
        <f>'DCF by Box'!E12</f>
        <v>261607.53937690472</v>
      </c>
      <c r="D29" s="71">
        <f>'DCF by Box'!E8</f>
        <v>261607.53937690461</v>
      </c>
      <c r="E29" s="71">
        <f t="shared" si="2"/>
        <v>1.1641532182693481E-10</v>
      </c>
      <c r="F29" s="102" t="str">
        <f t="shared" si="3"/>
        <v>OK</v>
      </c>
      <c r="G29" s="14"/>
    </row>
    <row r="30" spans="2:7" ht="13.95" customHeight="1" x14ac:dyDescent="0.3">
      <c r="B30" s="19" t="s">
        <v>648</v>
      </c>
      <c r="C30" s="71">
        <f>'DCF by Box'!D225+'DCF by Box'!D266</f>
        <v>12539.859391789698</v>
      </c>
      <c r="D30" s="71">
        <f>'DCF by Box'!D143</f>
        <v>12539.859391789703</v>
      </c>
      <c r="E30" s="71">
        <f t="shared" si="2"/>
        <v>-5.4569682106375694E-12</v>
      </c>
      <c r="F30" s="102" t="str">
        <f t="shared" si="3"/>
        <v>OK</v>
      </c>
      <c r="G30" s="14" t="s">
        <v>649</v>
      </c>
    </row>
    <row r="31" spans="2:7" ht="13.95" customHeight="1" x14ac:dyDescent="0.3">
      <c r="B31" s="19" t="s">
        <v>650</v>
      </c>
      <c r="C31" s="71">
        <f>'DCF by Box'!D11</f>
        <v>235695.43773555552</v>
      </c>
      <c r="D31" s="71">
        <f>IF(ScaleBox=1,'DCF by Box'!D8,'DCF by Box'!D7)</f>
        <v>235695.43773555552</v>
      </c>
      <c r="E31" s="71">
        <f t="shared" si="2"/>
        <v>0</v>
      </c>
      <c r="F31" s="102" t="str">
        <f t="shared" si="3"/>
        <v>OK</v>
      </c>
      <c r="G31" s="14"/>
    </row>
    <row r="32" spans="2:7" ht="13.95" customHeight="1" x14ac:dyDescent="0.3">
      <c r="B32" s="19" t="s">
        <v>651</v>
      </c>
      <c r="C32" s="28">
        <f>'DCF by Box'!D9</f>
        <v>0.92993330018785292</v>
      </c>
      <c r="D32" s="28">
        <f>1</f>
        <v>1</v>
      </c>
      <c r="E32" s="28">
        <f t="shared" si="2"/>
        <v>-7.0066699812147082E-2</v>
      </c>
      <c r="F32" s="104" t="str">
        <f>"Info"</f>
        <v>Info</v>
      </c>
      <c r="G32" s="14" t="s">
        <v>652</v>
      </c>
    </row>
    <row r="33" spans="2:7" ht="13.95" customHeight="1" x14ac:dyDescent="0.3">
      <c r="B33" s="19" t="s">
        <v>653</v>
      </c>
      <c r="C33" s="21">
        <f>'DCF by Box'!D53/'DCF by Box'!D48-1</f>
        <v>-0.11063948443104166</v>
      </c>
      <c r="D33" s="21">
        <f>0</f>
        <v>0</v>
      </c>
      <c r="E33" s="21">
        <f t="shared" si="2"/>
        <v>-0.11063948443104166</v>
      </c>
      <c r="F33" s="104" t="str">
        <f>"Info"</f>
        <v>Info</v>
      </c>
      <c r="G33" s="14" t="s">
        <v>654</v>
      </c>
    </row>
    <row r="34" spans="2:7" ht="13.95" customHeight="1" x14ac:dyDescent="0.3">
      <c r="B34" s="19" t="s">
        <v>655</v>
      </c>
      <c r="C34" s="55">
        <f>COUNT('Box Rates'!C32:C151)</f>
        <v>120</v>
      </c>
      <c r="D34" s="55">
        <f>120</f>
        <v>120</v>
      </c>
      <c r="E34" s="55">
        <f t="shared" si="2"/>
        <v>0</v>
      </c>
      <c r="F34" s="102" t="str">
        <f>IF(ABS(C34-D34)&lt;=0,"OK","CHECK")</f>
        <v>OK</v>
      </c>
      <c r="G34" s="14"/>
    </row>
    <row r="35" spans="2:7" ht="13.95" customHeight="1" x14ac:dyDescent="0.3">
      <c r="B35" s="19" t="s">
        <v>656</v>
      </c>
      <c r="C35" s="55">
        <f>BoxRate</f>
        <v>1</v>
      </c>
      <c r="D35" s="55">
        <f>1</f>
        <v>1</v>
      </c>
      <c r="E35" s="55">
        <f t="shared" si="2"/>
        <v>0</v>
      </c>
      <c r="F35" s="104" t="str">
        <f>"Info"</f>
        <v>Info</v>
      </c>
      <c r="G35" s="14" t="s">
        <v>654</v>
      </c>
    </row>
    <row r="36" spans="2:7" ht="13.95" customHeight="1" x14ac:dyDescent="0.3">
      <c r="B36" s="19" t="s">
        <v>657</v>
      </c>
      <c r="C36" s="30">
        <f>'Box Betas'!C16</f>
        <v>1.0031654974990483</v>
      </c>
      <c r="D36" s="30">
        <f>1</f>
        <v>1</v>
      </c>
      <c r="E36" s="30">
        <f t="shared" si="2"/>
        <v>3.1654974990482643E-3</v>
      </c>
      <c r="F36" s="104" t="str">
        <f>"Info"</f>
        <v>Info</v>
      </c>
      <c r="G36" s="14" t="s">
        <v>658</v>
      </c>
    </row>
    <row r="37" spans="2:7" ht="13.95" customHeight="1" x14ac:dyDescent="0.3">
      <c r="B37" s="19" t="s">
        <v>659</v>
      </c>
      <c r="C37" s="105">
        <f>Summary!F26*100</f>
        <v>15.653624516058184</v>
      </c>
      <c r="D37" s="105">
        <f>0</f>
        <v>0</v>
      </c>
      <c r="E37" s="105">
        <f t="shared" si="2"/>
        <v>15.653624516058184</v>
      </c>
      <c r="F37" s="104" t="str">
        <f>"Info"</f>
        <v>Info</v>
      </c>
      <c r="G37" s="14" t="s">
        <v>660</v>
      </c>
    </row>
    <row r="38" spans="2:7" ht="13.95" customHeight="1" x14ac:dyDescent="0.3">
      <c r="B38" s="19" t="s">
        <v>661</v>
      </c>
      <c r="C38" s="55">
        <f>COUNTIF(Members!AS6:AS81,"?*")</f>
        <v>12</v>
      </c>
      <c r="D38" s="55">
        <f>0</f>
        <v>0</v>
      </c>
      <c r="E38" s="55">
        <f t="shared" si="2"/>
        <v>12</v>
      </c>
      <c r="F38" s="104" t="str">
        <f>"Info"</f>
        <v>Info</v>
      </c>
      <c r="G38" s="14" t="s">
        <v>662</v>
      </c>
    </row>
    <row r="39" spans="2:7" ht="13.95" customHeight="1" x14ac:dyDescent="0.3">
      <c r="B39" s="101" t="s">
        <v>663</v>
      </c>
      <c r="C39" s="101"/>
      <c r="D39" s="101"/>
      <c r="E39" s="101"/>
      <c r="F39" s="101"/>
      <c r="G39" s="101"/>
    </row>
    <row r="40" spans="2:7" ht="13.95" customHeight="1" x14ac:dyDescent="0.3">
      <c r="B40" s="19" t="s">
        <v>664</v>
      </c>
      <c r="C40" s="55">
        <f>FixNWC+FixND+FixTV+FixInfl</f>
        <v>0</v>
      </c>
      <c r="D40" s="55">
        <f>0</f>
        <v>0</v>
      </c>
      <c r="E40" s="55">
        <f>IFERROR(C40-D40,"")</f>
        <v>0</v>
      </c>
      <c r="F40" s="104" t="str">
        <f>"Info"</f>
        <v>Info</v>
      </c>
      <c r="G40" s="14" t="s">
        <v>665</v>
      </c>
    </row>
    <row r="41" spans="2:7" ht="13.95" customHeight="1" x14ac:dyDescent="0.3">
      <c r="B41" s="19" t="s">
        <v>666</v>
      </c>
      <c r="C41" s="55">
        <f>Vintage</f>
        <v>2</v>
      </c>
      <c r="D41" s="55">
        <f>2</f>
        <v>2</v>
      </c>
      <c r="E41" s="55">
        <f>IFERROR(C41-D41,"")</f>
        <v>0</v>
      </c>
      <c r="F41" s="104" t="str">
        <f>"Info"</f>
        <v>Info</v>
      </c>
      <c r="G41" s="14" t="s">
        <v>654</v>
      </c>
    </row>
    <row r="42" spans="2:7" ht="13.95" customHeight="1" x14ac:dyDescent="0.3">
      <c r="B42" s="19" t="s">
        <v>667</v>
      </c>
      <c r="C42" s="55">
        <f>SUMPRODUCT(--ISERROR(DCF!C8:S90))+SUMPRODUCT(--ISERROR('DCF by Box'!C5:H269))+SUMPRODUCT(--ISERROR(Summary!C4:J75))+SUMPRODUCT(--ISERROR(Sensitivity!C7:G60))+SUMPRODUCT(--ISERROR('Box Shares'!C7:R40))+SUMPRODUCT(--ISERROR('Box Rates'!C7:I151))+SUMPRODUCT(--ISERROR('Box Betas'!C7:Q600))+SUMPRODUCT(--ISERROR(Members!E6:AR83))</f>
        <v>0</v>
      </c>
      <c r="D42" s="55">
        <f>0</f>
        <v>0</v>
      </c>
      <c r="E42" s="55">
        <f>IFERROR(C42-D42,"")</f>
        <v>0</v>
      </c>
      <c r="F42" s="102" t="str">
        <f>IF(ABS(C42-D42)&lt;=0,"OK","CHECK")</f>
        <v>OK</v>
      </c>
      <c r="G42" s="14"/>
    </row>
    <row r="51" spans="2:7" ht="13.95" customHeight="1" x14ac:dyDescent="0.3">
      <c r="B51" s="120" t="s">
        <v>668</v>
      </c>
      <c r="C51" s="120"/>
      <c r="D51" s="120"/>
      <c r="E51" s="120"/>
      <c r="F51" s="120"/>
      <c r="G51" s="120"/>
    </row>
    <row r="52" spans="2:7" ht="13.95" customHeight="1" x14ac:dyDescent="0.3">
      <c r="B52" s="19" t="s">
        <v>669</v>
      </c>
      <c r="C52" s="43">
        <v>7.4200000000000002E-2</v>
      </c>
    </row>
    <row r="53" spans="2:7" ht="13.95" customHeight="1" x14ac:dyDescent="0.3">
      <c r="B53" s="19" t="s">
        <v>670</v>
      </c>
      <c r="C53" s="43">
        <v>0.06</v>
      </c>
    </row>
    <row r="54" spans="2:7" ht="13.95" customHeight="1" x14ac:dyDescent="0.3">
      <c r="B54" s="19" t="s">
        <v>671</v>
      </c>
      <c r="C54" s="43">
        <v>4.7E-2</v>
      </c>
    </row>
    <row r="55" spans="2:7" ht="13.95" customHeight="1" x14ac:dyDescent="0.3">
      <c r="B55" s="19" t="s">
        <v>672</v>
      </c>
      <c r="C55" s="41">
        <v>182419.73</v>
      </c>
    </row>
    <row r="56" spans="2:7" ht="13.95" customHeight="1" x14ac:dyDescent="0.3">
      <c r="B56" s="14" t="s">
        <v>673</v>
      </c>
      <c r="C56" s="20">
        <f>-C55</f>
        <v>-182419.73</v>
      </c>
      <c r="D56" s="20">
        <f>DCF!N35</f>
        <v>15868.960000000003</v>
      </c>
      <c r="E56" s="20">
        <f>DCF!O35</f>
        <v>16461.32</v>
      </c>
      <c r="F56" s="20">
        <f>DCF!P35</f>
        <v>16980.784319999995</v>
      </c>
      <c r="G56" s="20">
        <f>DCF!R35*(1+C54)/(C52+C53-C54)</f>
        <v>278010.77684016712</v>
      </c>
    </row>
  </sheetData>
  <mergeCells count="1">
    <mergeCell ref="B51:G51"/>
  </mergeCells>
  <conditionalFormatting sqref="F8:F43">
    <cfRule type="cellIs" dxfId="0" priority="1" operator="equal">
      <formula>"CHECK"</formula>
    </cfRule>
  </conditionalFormatting>
  <pageMargins left="0.4" right="0.4" top="1.25" bottom="0.5" header="0.3" footer="0.3"/>
  <pageSetup paperSize="9" fitToHeight="0" orientation="landscape"/>
  <headerFooter>
    <oddHeader>&amp;L&amp;G</oddHeader>
    <oddFooter>&amp;R&amp;"Calibri"&amp;10&amp;K008000[ CLASSIFICAÇÃO: PÚBLICA ]</oddFooter>
  </headerFooter>
  <legacyDrawingHF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C30"/>
  <sheetViews>
    <sheetView showGridLines="0" zoomScale="85" zoomScaleNormal="85" workbookViewId="0"/>
  </sheetViews>
  <sheetFormatPr defaultRowHeight="13.95" customHeight="1" x14ac:dyDescent="0.3"/>
  <cols>
    <col min="1" max="1" width="2.6640625" customWidth="1"/>
    <col min="2" max="2" width="26.6640625" customWidth="1"/>
    <col min="3" max="3" width="130.6640625" customWidth="1"/>
  </cols>
  <sheetData>
    <row r="1" spans="2:3" ht="25.95" customHeight="1" x14ac:dyDescent="0.3">
      <c r="B1" s="106" t="s">
        <v>674</v>
      </c>
    </row>
    <row r="2" spans="2:3" ht="13.95" customHeight="1" x14ac:dyDescent="0.3">
      <c r="B2" s="14" t="s">
        <v>675</v>
      </c>
    </row>
    <row r="4" spans="2:3" ht="13.95" customHeight="1" x14ac:dyDescent="0.3">
      <c r="B4" s="120" t="s">
        <v>676</v>
      </c>
      <c r="C4" s="120"/>
    </row>
    <row r="5" spans="2:3" ht="28.05" customHeight="1" x14ac:dyDescent="0.3">
      <c r="B5" s="107" t="s">
        <v>677</v>
      </c>
      <c r="C5" s="108" t="s">
        <v>678</v>
      </c>
    </row>
    <row r="6" spans="2:3" ht="28.05" customHeight="1" x14ac:dyDescent="0.3">
      <c r="B6" s="107" t="s">
        <v>679</v>
      </c>
      <c r="C6" s="108" t="s">
        <v>680</v>
      </c>
    </row>
    <row r="8" spans="2:3" ht="13.95" customHeight="1" x14ac:dyDescent="0.3">
      <c r="B8" s="120" t="s">
        <v>681</v>
      </c>
      <c r="C8" s="120"/>
    </row>
    <row r="9" spans="2:3" ht="13.95" customHeight="1" x14ac:dyDescent="0.3">
      <c r="B9" s="107" t="s">
        <v>218</v>
      </c>
      <c r="C9" s="108" t="s">
        <v>682</v>
      </c>
    </row>
    <row r="10" spans="2:3" ht="13.95" customHeight="1" x14ac:dyDescent="0.3">
      <c r="B10" s="107" t="s">
        <v>683</v>
      </c>
      <c r="C10" s="108" t="s">
        <v>684</v>
      </c>
    </row>
    <row r="11" spans="2:3" ht="28.05" customHeight="1" x14ac:dyDescent="0.3">
      <c r="B11" s="107" t="s">
        <v>685</v>
      </c>
      <c r="C11" s="108" t="s">
        <v>686</v>
      </c>
    </row>
    <row r="12" spans="2:3" ht="13.95" customHeight="1" x14ac:dyDescent="0.3">
      <c r="B12" s="107" t="s">
        <v>687</v>
      </c>
      <c r="C12" s="108" t="s">
        <v>688</v>
      </c>
    </row>
    <row r="14" spans="2:3" ht="13.95" customHeight="1" x14ac:dyDescent="0.3">
      <c r="B14" s="120" t="s">
        <v>689</v>
      </c>
      <c r="C14" s="120"/>
    </row>
    <row r="15" spans="2:3" ht="13.95" customHeight="1" x14ac:dyDescent="0.3">
      <c r="B15" s="107" t="s">
        <v>690</v>
      </c>
      <c r="C15" s="108" t="s">
        <v>691</v>
      </c>
    </row>
    <row r="16" spans="2:3" ht="13.95" customHeight="1" x14ac:dyDescent="0.3">
      <c r="B16" s="107" t="s">
        <v>256</v>
      </c>
      <c r="C16" s="108" t="s">
        <v>692</v>
      </c>
    </row>
    <row r="17" spans="2:3" ht="40.950000000000003" customHeight="1" x14ac:dyDescent="0.3">
      <c r="B17" s="107" t="s">
        <v>693</v>
      </c>
      <c r="C17" s="108" t="s">
        <v>694</v>
      </c>
    </row>
    <row r="18" spans="2:3" ht="28.05" customHeight="1" x14ac:dyDescent="0.3">
      <c r="B18" s="107" t="s">
        <v>695</v>
      </c>
      <c r="C18" s="108" t="s">
        <v>696</v>
      </c>
    </row>
    <row r="19" spans="2:3" ht="28.05" customHeight="1" x14ac:dyDescent="0.3">
      <c r="B19" s="107" t="s">
        <v>697</v>
      </c>
      <c r="C19" s="108" t="s">
        <v>698</v>
      </c>
    </row>
    <row r="21" spans="2:3" ht="13.95" customHeight="1" x14ac:dyDescent="0.3">
      <c r="B21" s="120" t="s">
        <v>699</v>
      </c>
      <c r="C21" s="120"/>
    </row>
    <row r="22" spans="2:3" ht="13.95" customHeight="1" x14ac:dyDescent="0.3">
      <c r="B22" s="107" t="s">
        <v>700</v>
      </c>
      <c r="C22" s="108" t="s">
        <v>701</v>
      </c>
    </row>
    <row r="23" spans="2:3" ht="13.95" customHeight="1" x14ac:dyDescent="0.3">
      <c r="B23" s="107" t="s">
        <v>702</v>
      </c>
      <c r="C23" s="108" t="s">
        <v>703</v>
      </c>
    </row>
    <row r="24" spans="2:3" ht="13.95" customHeight="1" x14ac:dyDescent="0.3">
      <c r="B24" s="107" t="s">
        <v>704</v>
      </c>
      <c r="C24" s="108" t="s">
        <v>705</v>
      </c>
    </row>
    <row r="26" spans="2:3" ht="13.95" customHeight="1" x14ac:dyDescent="0.3">
      <c r="B26" s="120" t="s">
        <v>706</v>
      </c>
      <c r="C26" s="120"/>
    </row>
    <row r="27" spans="2:3" ht="13.95" customHeight="1" x14ac:dyDescent="0.3">
      <c r="B27" s="107" t="s">
        <v>8</v>
      </c>
      <c r="C27" s="108" t="s">
        <v>707</v>
      </c>
    </row>
    <row r="28" spans="2:3" ht="28.05" customHeight="1" x14ac:dyDescent="0.3">
      <c r="B28" s="107" t="s">
        <v>708</v>
      </c>
      <c r="C28" s="108" t="s">
        <v>709</v>
      </c>
    </row>
    <row r="29" spans="2:3" ht="13.95" customHeight="1" x14ac:dyDescent="0.3">
      <c r="B29" s="107" t="s">
        <v>710</v>
      </c>
      <c r="C29" s="108" t="s">
        <v>711</v>
      </c>
    </row>
    <row r="30" spans="2:3" ht="13.95" customHeight="1" x14ac:dyDescent="0.3">
      <c r="B30" s="107" t="s">
        <v>712</v>
      </c>
      <c r="C30" s="108" t="s">
        <v>713</v>
      </c>
    </row>
  </sheetData>
  <mergeCells count="5">
    <mergeCell ref="B4:C4"/>
    <mergeCell ref="B8:C8"/>
    <mergeCell ref="B14:C14"/>
    <mergeCell ref="B21:C21"/>
    <mergeCell ref="B26:C26"/>
  </mergeCells>
  <pageMargins left="0.4" right="0.4" top="1.25" bottom="0.5" header="0.3" footer="0.3"/>
  <pageSetup paperSize="9" fitToHeight="0" orientation="landscape"/>
  <headerFooter>
    <oddHeader>&amp;L&amp;G</oddHeader>
    <oddFooter>&amp;R&amp;"Calibri"&amp;10&amp;K008000[ CLASSIFICAÇÃO: PÚBLICA ]</oddFoot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21</vt:i4>
      </vt:variant>
    </vt:vector>
  </HeadingPairs>
  <TitlesOfParts>
    <vt:vector size="34" baseType="lpstr">
      <vt:lpstr>Cover</vt:lpstr>
      <vt:lpstr>Summary</vt:lpstr>
      <vt:lpstr>Assumptions</vt:lpstr>
      <vt:lpstr>DCF by Box</vt:lpstr>
      <vt:lpstr>DCF</vt:lpstr>
      <vt:lpstr>Sensitivity</vt:lpstr>
      <vt:lpstr>Support &gt;</vt:lpstr>
      <vt:lpstr>Box Rates</vt:lpstr>
      <vt:lpstr>Box Betas</vt:lpstr>
      <vt:lpstr>Box Shares</vt:lpstr>
      <vt:lpstr>Members</vt:lpstr>
      <vt:lpstr>Checks</vt:lpstr>
      <vt:lpstr>Read Me</vt:lpstr>
      <vt:lpstr>BetaAdj</vt:lpstr>
      <vt:lpstr>BetaYears</vt:lpstr>
      <vt:lpstr>BoxRate</vt:lpstr>
      <vt:lpstr>ERPfloor</vt:lpstr>
      <vt:lpstr>FinROE</vt:lpstr>
      <vt:lpstr>FinROEovr</vt:lpstr>
      <vt:lpstr>FixInfl</vt:lpstr>
      <vt:lpstr>FixND</vt:lpstr>
      <vt:lpstr>FixNWC</vt:lpstr>
      <vt:lpstr>FixTV</vt:lpstr>
      <vt:lpstr>FV27Base</vt:lpstr>
      <vt:lpstr>FV27Bear</vt:lpstr>
      <vt:lpstr>FV27Bull</vt:lpstr>
      <vt:lpstr>gLT</vt:lpstr>
      <vt:lpstr>IbovUsed</vt:lpstr>
      <vt:lpstr>InflLT</vt:lpstr>
      <vt:lpstr>NDmult</vt:lpstr>
      <vt:lpstr>NWCpct</vt:lpstr>
      <vt:lpstr>RRUsed</vt:lpstr>
      <vt:lpstr>ScaleBox</vt:lpstr>
      <vt:lpstr>Vintage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Caio Lopes de Souza</cp:lastModifiedBy>
  <dcterms:created xsi:type="dcterms:W3CDTF">2026-10-07T21:51:43Z</dcterms:created>
  <dcterms:modified xsi:type="dcterms:W3CDTF">2026-10-07T21:52:01Z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SR_MIGRATION_STATUS">
    <vt:lpwstr>2</vt:lpwstr>
  </property>
</Properties>
</file>