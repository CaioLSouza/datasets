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Caio\Documents\Documentos\XP\Brazil Bull Case\"/>
    </mc:Choice>
  </mc:AlternateContent>
  <xr:revisionPtr revIDLastSave="0" documentId="13_ncr:1_{762E70E3-D6EC-4028-8274-F05A8F29B4E4}" xr6:coauthVersionLast="47" xr6:coauthVersionMax="47" xr10:uidLastSave="{00000000-0000-0000-0000-000000000000}"/>
  <bookViews>
    <workbookView xWindow="-108" yWindow="-108" windowWidth="23256" windowHeight="12456" xr2:uid="{00000000-000D-0000-FFFF-FFFF00000000}"/>
  </bookViews>
  <sheets>
    <sheet name="Cover" sheetId="1" r:id="rId1"/>
    <sheet name="Summary" sheetId="2" r:id="rId2"/>
    <sheet name="Assumptions" sheetId="3" r:id="rId3"/>
    <sheet name="DCF by Box" sheetId="4" r:id="rId4"/>
    <sheet name="Multiples by Box" sheetId="5" r:id="rId5"/>
    <sheet name="DCF" sheetId="6" r:id="rId6"/>
    <sheet name="Sensitivity" sheetId="7" r:id="rId7"/>
    <sheet name="Support &gt;" sheetId="8" r:id="rId8"/>
    <sheet name="Box Rates" sheetId="9" r:id="rId9"/>
    <sheet name="Box Betas" sheetId="10" r:id="rId10"/>
    <sheet name="Box Earnings" sheetId="11" r:id="rId11"/>
    <sheet name="Box Fade" sheetId="12" r:id="rId12"/>
    <sheet name="Box Shares" sheetId="13" r:id="rId13"/>
    <sheet name="Members" sheetId="14" r:id="rId14"/>
    <sheet name="Checks" sheetId="15" r:id="rId15"/>
    <sheet name="Read Me" sheetId="16" r:id="rId16"/>
  </sheets>
  <definedNames>
    <definedName name="_xlnm._FilterDatabase" localSheetId="13" hidden="1">Members!$A$5:$AW$81</definedName>
    <definedName name="BetaAdj">Assumptions!$C$45</definedName>
    <definedName name="BetaYears">Assumptions!$C$44</definedName>
    <definedName name="BoxCF">Assumptions!$C$46</definedName>
    <definedName name="BoxGrowth">Assumptions!$C$47</definedName>
    <definedName name="BoxRate">Assumptions!$C$42</definedName>
    <definedName name="EBNorm">Assumptions!$C$65</definedName>
    <definedName name="EBStart">Assumptions!$C$68</definedName>
    <definedName name="ERPfloor">Assumptions!$C$43</definedName>
    <definedName name="FadeMode">Assumptions!$C$67</definedName>
    <definedName name="FadeYears">Assumptions!$C$48</definedName>
    <definedName name="FinROE">'Box Shares'!$C$39</definedName>
    <definedName name="FinROEovr">Assumptions!$C$40</definedName>
    <definedName name="FixInfl">Assumptions!$C$29</definedName>
    <definedName name="FixND">Assumptions!$C$27</definedName>
    <definedName name="FixNWC">Assumptions!$C$26</definedName>
    <definedName name="FixTV">Assumptions!$C$28</definedName>
    <definedName name="FV27Base">DCF!$D$57</definedName>
    <definedName name="FV27Bear">DCF!$C$57</definedName>
    <definedName name="FV27Bull">DCF!$E$57</definedName>
    <definedName name="gLT">Assumptions!$C$13</definedName>
    <definedName name="GrowthCap">Assumptions!$C$49</definedName>
    <definedName name="IbovUsed">Assumptions!$E$7</definedName>
    <definedName name="InflLT">Assumptions!$C$14</definedName>
    <definedName name="NDmult">Assumptions!$C$16</definedName>
    <definedName name="NWCpct">Assumptions!$C$15</definedName>
    <definedName name="RateShock">Assumptions!$C$64</definedName>
    <definedName name="RelMult">Assumptions!$C$56</definedName>
    <definedName name="RRUsed">Assumptions!$E$8</definedName>
    <definedName name="ScaleBox">Assumptions!$C$39</definedName>
    <definedName name="ScaleScen">Assumptions!$C$66</definedName>
    <definedName name="Vintage">Assumptions!$C$9</definedName>
    <definedName name="WBU">Assumptions!$F$57</definedName>
    <definedName name="WDCF">Assumptions!$C$57</definedName>
    <definedName name="WEV">Assumptions!$E$57</definedName>
    <definedName name="WPE">Assumptions!$D$57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4" i="15" l="1"/>
  <c r="D67" i="15"/>
  <c r="F66" i="15"/>
  <c r="D66" i="15"/>
  <c r="C66" i="15"/>
  <c r="E66" i="15" s="1"/>
  <c r="F65" i="15"/>
  <c r="D65" i="15"/>
  <c r="C65" i="15"/>
  <c r="E65" i="15" s="1"/>
  <c r="F63" i="15"/>
  <c r="D63" i="15"/>
  <c r="D62" i="15"/>
  <c r="C62" i="15"/>
  <c r="F62" i="15" s="1"/>
  <c r="D52" i="15"/>
  <c r="C52" i="15"/>
  <c r="F52" i="15" s="1"/>
  <c r="D51" i="15"/>
  <c r="C51" i="15"/>
  <c r="F49" i="15"/>
  <c r="D49" i="15"/>
  <c r="C49" i="15"/>
  <c r="E49" i="15" s="1"/>
  <c r="F48" i="15"/>
  <c r="D48" i="15"/>
  <c r="F47" i="15"/>
  <c r="D47" i="15"/>
  <c r="F46" i="15"/>
  <c r="D46" i="15"/>
  <c r="F45" i="15"/>
  <c r="D45" i="15"/>
  <c r="C45" i="15"/>
  <c r="E45" i="15" s="1"/>
  <c r="D44" i="15"/>
  <c r="C44" i="15"/>
  <c r="F43" i="15"/>
  <c r="D43" i="15"/>
  <c r="F42" i="15"/>
  <c r="D42" i="15"/>
  <c r="D41" i="15"/>
  <c r="F40" i="15"/>
  <c r="D40" i="15"/>
  <c r="F39" i="15"/>
  <c r="D39" i="15"/>
  <c r="F38" i="15"/>
  <c r="D38" i="15"/>
  <c r="C38" i="15"/>
  <c r="E38" i="15" s="1"/>
  <c r="D37" i="15"/>
  <c r="C37" i="15"/>
  <c r="F36" i="15"/>
  <c r="D36" i="15"/>
  <c r="C36" i="15"/>
  <c r="E36" i="15" s="1"/>
  <c r="F35" i="15"/>
  <c r="D35" i="15"/>
  <c r="F34" i="15"/>
  <c r="D34" i="15"/>
  <c r="F33" i="15"/>
  <c r="D33" i="15"/>
  <c r="F32" i="15"/>
  <c r="D32" i="15"/>
  <c r="D26" i="15"/>
  <c r="D24" i="15"/>
  <c r="D23" i="15"/>
  <c r="D22" i="15"/>
  <c r="D20" i="15"/>
  <c r="D19" i="15"/>
  <c r="D18" i="15"/>
  <c r="D17" i="15"/>
  <c r="D16" i="15"/>
  <c r="D15" i="15"/>
  <c r="D14" i="15"/>
  <c r="D13" i="15"/>
  <c r="D12" i="15"/>
  <c r="D11" i="15"/>
  <c r="D10" i="15"/>
  <c r="D9" i="15"/>
  <c r="E83" i="14"/>
  <c r="H81" i="14"/>
  <c r="H80" i="14"/>
  <c r="H79" i="14"/>
  <c r="AO78" i="14"/>
  <c r="AN78" i="14"/>
  <c r="AM78" i="14"/>
  <c r="H78" i="14"/>
  <c r="H77" i="14"/>
  <c r="H76" i="14"/>
  <c r="AQ75" i="14"/>
  <c r="AR75" i="14" s="1"/>
  <c r="AO75" i="14"/>
  <c r="AN75" i="14"/>
  <c r="AM75" i="14"/>
  <c r="AL75" i="14"/>
  <c r="AI75" i="14"/>
  <c r="AC75"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AI16" i="14"/>
  <c r="AH16" i="14"/>
  <c r="AG16" i="14"/>
  <c r="H16" i="14"/>
  <c r="AO15" i="14"/>
  <c r="AN15" i="14"/>
  <c r="AM15" i="14"/>
  <c r="AH15" i="14"/>
  <c r="AG15" i="14"/>
  <c r="H15" i="14"/>
  <c r="AO14" i="14"/>
  <c r="AN14" i="14"/>
  <c r="AM14" i="14"/>
  <c r="H14" i="14"/>
  <c r="AO13" i="14"/>
  <c r="AN13" i="14"/>
  <c r="AM13" i="14"/>
  <c r="AI13" i="14"/>
  <c r="AH13" i="14"/>
  <c r="AG13" i="14"/>
  <c r="H13" i="14"/>
  <c r="AO12" i="14"/>
  <c r="AN12" i="14"/>
  <c r="AM12" i="14"/>
  <c r="H12" i="14"/>
  <c r="AO11" i="14"/>
  <c r="AN11" i="14"/>
  <c r="AM11" i="14"/>
  <c r="AI11" i="14"/>
  <c r="AH11" i="14"/>
  <c r="AG11" i="14"/>
  <c r="AF11" i="14"/>
  <c r="AE11" i="14"/>
  <c r="AD11" i="14"/>
  <c r="H11" i="14"/>
  <c r="AO10" i="14"/>
  <c r="AN10" i="14"/>
  <c r="AM10" i="14"/>
  <c r="H10" i="14"/>
  <c r="AQ9" i="14"/>
  <c r="AR9" i="14" s="1"/>
  <c r="AO9" i="14"/>
  <c r="AN9" i="14"/>
  <c r="AM9" i="14"/>
  <c r="AI9" i="14"/>
  <c r="AH9" i="14"/>
  <c r="AG9" i="14"/>
  <c r="H9" i="14"/>
  <c r="H8" i="14"/>
  <c r="AO7" i="14"/>
  <c r="AN7" i="14"/>
  <c r="AM7" i="14"/>
  <c r="AI7" i="14"/>
  <c r="AH7" i="14"/>
  <c r="AG7" i="14"/>
  <c r="H7" i="14"/>
  <c r="AO6" i="14"/>
  <c r="AN6" i="14"/>
  <c r="AM6" i="14"/>
  <c r="AG6" i="14"/>
  <c r="H6" i="14"/>
  <c r="C12" i="13"/>
  <c r="N190" i="12"/>
  <c r="N180" i="12"/>
  <c r="N170" i="12"/>
  <c r="N160" i="12"/>
  <c r="N150" i="12"/>
  <c r="N140" i="12"/>
  <c r="N130" i="12"/>
  <c r="N120" i="12"/>
  <c r="N110" i="12"/>
  <c r="N100" i="12"/>
  <c r="N90" i="12"/>
  <c r="N80" i="12"/>
  <c r="N70" i="12"/>
  <c r="N60" i="12"/>
  <c r="N50" i="12"/>
  <c r="N40" i="12"/>
  <c r="N30" i="12"/>
  <c r="N20" i="12"/>
  <c r="C14" i="12"/>
  <c r="AD271" i="11"/>
  <c r="AB271" i="11"/>
  <c r="AA271" i="11"/>
  <c r="Z271" i="11"/>
  <c r="Y271" i="11"/>
  <c r="X271" i="11"/>
  <c r="W271" i="11"/>
  <c r="V271" i="11"/>
  <c r="U271" i="11"/>
  <c r="T271" i="11"/>
  <c r="S271" i="11"/>
  <c r="R271" i="11"/>
  <c r="Q271" i="11"/>
  <c r="P271" i="11"/>
  <c r="O271" i="11"/>
  <c r="N271" i="11"/>
  <c r="M271" i="11"/>
  <c r="D271" i="11"/>
  <c r="C271" i="11"/>
  <c r="AD270" i="11"/>
  <c r="AB270" i="11"/>
  <c r="AA270" i="11"/>
  <c r="Z270" i="11"/>
  <c r="Y270" i="11"/>
  <c r="X270" i="11"/>
  <c r="W270" i="11"/>
  <c r="V270" i="11"/>
  <c r="U270" i="11"/>
  <c r="T270" i="11"/>
  <c r="S270" i="11"/>
  <c r="R270" i="11"/>
  <c r="Q270" i="11"/>
  <c r="P270" i="11"/>
  <c r="O270" i="11"/>
  <c r="N270" i="11"/>
  <c r="M270" i="11"/>
  <c r="D270" i="11"/>
  <c r="C270" i="11"/>
  <c r="AD269" i="11"/>
  <c r="AB269" i="11"/>
  <c r="AA269" i="11"/>
  <c r="Z269" i="11"/>
  <c r="Y269" i="11"/>
  <c r="X269" i="11"/>
  <c r="W269" i="11"/>
  <c r="V269" i="11"/>
  <c r="U269" i="11"/>
  <c r="T269" i="11"/>
  <c r="S269" i="11"/>
  <c r="R269" i="11"/>
  <c r="Q269" i="11"/>
  <c r="P269" i="11"/>
  <c r="O269" i="11"/>
  <c r="N269" i="11"/>
  <c r="M269" i="11"/>
  <c r="D269" i="11"/>
  <c r="C269" i="11"/>
  <c r="AD268" i="11"/>
  <c r="AB268" i="11"/>
  <c r="AA268" i="11"/>
  <c r="Z268" i="11"/>
  <c r="Y268" i="11"/>
  <c r="X268" i="11"/>
  <c r="W268" i="11"/>
  <c r="V268" i="11"/>
  <c r="U268" i="11"/>
  <c r="T268" i="11"/>
  <c r="S268" i="11"/>
  <c r="R268" i="11"/>
  <c r="Q268" i="11"/>
  <c r="P268" i="11"/>
  <c r="O268" i="11"/>
  <c r="N268" i="11"/>
  <c r="M268" i="11"/>
  <c r="D268" i="11"/>
  <c r="C268" i="11"/>
  <c r="AD267" i="11"/>
  <c r="AB267" i="11"/>
  <c r="AA267" i="11"/>
  <c r="Z267" i="11"/>
  <c r="Y267" i="11"/>
  <c r="X267" i="11"/>
  <c r="W267" i="11"/>
  <c r="V267" i="11"/>
  <c r="U267" i="11"/>
  <c r="T267" i="11"/>
  <c r="S267" i="11"/>
  <c r="R267" i="11"/>
  <c r="Q267" i="11"/>
  <c r="P267" i="11"/>
  <c r="O267" i="11"/>
  <c r="N267" i="11"/>
  <c r="M267" i="11"/>
  <c r="D267" i="11"/>
  <c r="C267" i="11"/>
  <c r="AD266" i="11"/>
  <c r="AB266" i="11"/>
  <c r="AA266" i="11"/>
  <c r="Z266" i="11"/>
  <c r="Y266" i="11"/>
  <c r="X266" i="11"/>
  <c r="W266" i="11"/>
  <c r="V266" i="11"/>
  <c r="U266" i="11"/>
  <c r="T266" i="11"/>
  <c r="S266" i="11"/>
  <c r="R266" i="11"/>
  <c r="Q266" i="11"/>
  <c r="P266" i="11"/>
  <c r="O266" i="11"/>
  <c r="N266" i="11"/>
  <c r="M266" i="11"/>
  <c r="D266" i="11"/>
  <c r="C266" i="11"/>
  <c r="AD265" i="11"/>
  <c r="AB265" i="11"/>
  <c r="AA265" i="11"/>
  <c r="Z265" i="11"/>
  <c r="Y265" i="11"/>
  <c r="X265" i="11"/>
  <c r="W265" i="11"/>
  <c r="V265" i="11"/>
  <c r="U265" i="11"/>
  <c r="T265" i="11"/>
  <c r="S265" i="11"/>
  <c r="R265" i="11"/>
  <c r="Q265" i="11"/>
  <c r="P265" i="11"/>
  <c r="O265" i="11"/>
  <c r="N265" i="11"/>
  <c r="M265" i="11"/>
  <c r="D265" i="11"/>
  <c r="C265" i="11"/>
  <c r="AD264" i="11"/>
  <c r="AB264" i="11"/>
  <c r="AA264" i="11"/>
  <c r="Z264" i="11"/>
  <c r="Y264" i="11"/>
  <c r="X264" i="11"/>
  <c r="W264" i="11"/>
  <c r="V264" i="11"/>
  <c r="U264" i="11"/>
  <c r="T264" i="11"/>
  <c r="S264" i="11"/>
  <c r="R264" i="11"/>
  <c r="Q264" i="11"/>
  <c r="P264" i="11"/>
  <c r="O264" i="11"/>
  <c r="N264" i="11"/>
  <c r="M264" i="11"/>
  <c r="D264" i="11"/>
  <c r="C264" i="11"/>
  <c r="AD263" i="11"/>
  <c r="AB263" i="11"/>
  <c r="AA263" i="11"/>
  <c r="Z263" i="11"/>
  <c r="Y263" i="11"/>
  <c r="X263" i="11"/>
  <c r="W263" i="11"/>
  <c r="V263" i="11"/>
  <c r="U263" i="11"/>
  <c r="T263" i="11"/>
  <c r="S263" i="11"/>
  <c r="R263" i="11"/>
  <c r="Q263" i="11"/>
  <c r="P263" i="11"/>
  <c r="O263" i="11"/>
  <c r="N263" i="11"/>
  <c r="M263" i="11"/>
  <c r="D263" i="11"/>
  <c r="C263" i="11"/>
  <c r="AD262" i="11"/>
  <c r="AB262" i="11"/>
  <c r="AA262" i="11"/>
  <c r="Z262" i="11"/>
  <c r="Y262" i="11"/>
  <c r="X262" i="11"/>
  <c r="W262" i="11"/>
  <c r="V262" i="11"/>
  <c r="U262" i="11"/>
  <c r="T262" i="11"/>
  <c r="S262" i="11"/>
  <c r="R262" i="11"/>
  <c r="Q262" i="11"/>
  <c r="P262" i="11"/>
  <c r="O262" i="11"/>
  <c r="N262" i="11"/>
  <c r="M262" i="11"/>
  <c r="D262" i="11"/>
  <c r="C262" i="11"/>
  <c r="AD261" i="11"/>
  <c r="AB261" i="11"/>
  <c r="AA261" i="11"/>
  <c r="Z261" i="11"/>
  <c r="Y261" i="11"/>
  <c r="X261" i="11"/>
  <c r="W261" i="11"/>
  <c r="V261" i="11"/>
  <c r="U261" i="11"/>
  <c r="T261" i="11"/>
  <c r="S261" i="11"/>
  <c r="R261" i="11"/>
  <c r="Q261" i="11"/>
  <c r="P261" i="11"/>
  <c r="O261" i="11"/>
  <c r="N261" i="11"/>
  <c r="M261" i="11"/>
  <c r="D261" i="11"/>
  <c r="C261" i="11"/>
  <c r="AD260" i="11"/>
  <c r="AB260" i="11"/>
  <c r="AA260" i="11"/>
  <c r="Z260" i="11"/>
  <c r="Y260" i="11"/>
  <c r="X260" i="11"/>
  <c r="W260" i="11"/>
  <c r="V260" i="11"/>
  <c r="U260" i="11"/>
  <c r="T260" i="11"/>
  <c r="S260" i="11"/>
  <c r="R260" i="11"/>
  <c r="Q260" i="11"/>
  <c r="P260" i="11"/>
  <c r="O260" i="11"/>
  <c r="N260" i="11"/>
  <c r="M260" i="11"/>
  <c r="D260" i="11"/>
  <c r="C260" i="11"/>
  <c r="AD259" i="11"/>
  <c r="AB259" i="11"/>
  <c r="AA259" i="11"/>
  <c r="Z259" i="11"/>
  <c r="Y259" i="11"/>
  <c r="X259" i="11"/>
  <c r="W259" i="11"/>
  <c r="V259" i="11"/>
  <c r="U259" i="11"/>
  <c r="T259" i="11"/>
  <c r="S259" i="11"/>
  <c r="R259" i="11"/>
  <c r="Q259" i="11"/>
  <c r="P259" i="11"/>
  <c r="O259" i="11"/>
  <c r="N259" i="11"/>
  <c r="M259" i="11"/>
  <c r="D259" i="11"/>
  <c r="C259" i="11"/>
  <c r="AD258" i="11"/>
  <c r="AB258" i="11"/>
  <c r="AA258" i="11"/>
  <c r="Z258" i="11"/>
  <c r="Y258" i="11"/>
  <c r="X258" i="11"/>
  <c r="W258" i="11"/>
  <c r="V258" i="11"/>
  <c r="U258" i="11"/>
  <c r="T258" i="11"/>
  <c r="S258" i="11"/>
  <c r="R258" i="11"/>
  <c r="Q258" i="11"/>
  <c r="P258" i="11"/>
  <c r="O258" i="11"/>
  <c r="N258" i="11"/>
  <c r="M258" i="11"/>
  <c r="D258" i="11"/>
  <c r="C258" i="11"/>
  <c r="AD257" i="11"/>
  <c r="AB257" i="11"/>
  <c r="AA257" i="11"/>
  <c r="Z257" i="11"/>
  <c r="Y257" i="11"/>
  <c r="X257" i="11"/>
  <c r="W257" i="11"/>
  <c r="V257" i="11"/>
  <c r="U257" i="11"/>
  <c r="T257" i="11"/>
  <c r="S257" i="11"/>
  <c r="R257" i="11"/>
  <c r="Q257" i="11"/>
  <c r="P257" i="11"/>
  <c r="O257" i="11"/>
  <c r="N257" i="11"/>
  <c r="M257" i="11"/>
  <c r="D257" i="11"/>
  <c r="C257" i="11"/>
  <c r="AD256" i="11"/>
  <c r="AB256" i="11"/>
  <c r="AA256" i="11"/>
  <c r="Z256" i="11"/>
  <c r="Y256" i="11"/>
  <c r="X256" i="11"/>
  <c r="W256" i="11"/>
  <c r="V256" i="11"/>
  <c r="U256" i="11"/>
  <c r="T256" i="11"/>
  <c r="S256" i="11"/>
  <c r="R256" i="11"/>
  <c r="Q256" i="11"/>
  <c r="P256" i="11"/>
  <c r="O256" i="11"/>
  <c r="N256" i="11"/>
  <c r="M256" i="11"/>
  <c r="D256" i="11"/>
  <c r="C256" i="11"/>
  <c r="AD255" i="11"/>
  <c r="AB255" i="11"/>
  <c r="AA255" i="11"/>
  <c r="Z255" i="11"/>
  <c r="Y255" i="11"/>
  <c r="X255" i="11"/>
  <c r="W255" i="11"/>
  <c r="V255" i="11"/>
  <c r="U255" i="11"/>
  <c r="T255" i="11"/>
  <c r="S255" i="11"/>
  <c r="R255" i="11"/>
  <c r="Q255" i="11"/>
  <c r="P255" i="11"/>
  <c r="O255" i="11"/>
  <c r="N255" i="11"/>
  <c r="M255" i="11"/>
  <c r="D255" i="11"/>
  <c r="C255" i="11"/>
  <c r="AD254" i="11"/>
  <c r="AB254" i="11"/>
  <c r="AA254" i="11"/>
  <c r="Z254" i="11"/>
  <c r="Y254" i="11"/>
  <c r="X254" i="11"/>
  <c r="W254" i="11"/>
  <c r="V254" i="11"/>
  <c r="U254" i="11"/>
  <c r="T254" i="11"/>
  <c r="S254" i="11"/>
  <c r="R254" i="11"/>
  <c r="Q254" i="11"/>
  <c r="P254" i="11"/>
  <c r="O254" i="11"/>
  <c r="N254" i="11"/>
  <c r="M254" i="11"/>
  <c r="D254" i="11"/>
  <c r="C254" i="11"/>
  <c r="AD253" i="11"/>
  <c r="AB253" i="11"/>
  <c r="AA253" i="11"/>
  <c r="Z253" i="11"/>
  <c r="Y253" i="11"/>
  <c r="X253" i="11"/>
  <c r="W253" i="11"/>
  <c r="V253" i="11"/>
  <c r="U253" i="11"/>
  <c r="T253" i="11"/>
  <c r="S253" i="11"/>
  <c r="R253" i="11"/>
  <c r="Q253" i="11"/>
  <c r="P253" i="11"/>
  <c r="O253" i="11"/>
  <c r="N253" i="11"/>
  <c r="M253" i="11"/>
  <c r="D253" i="11"/>
  <c r="C253" i="11"/>
  <c r="AD252" i="11"/>
  <c r="AB252" i="11"/>
  <c r="AA252" i="11"/>
  <c r="Z252" i="11"/>
  <c r="Y252" i="11"/>
  <c r="X252" i="11"/>
  <c r="W252" i="11"/>
  <c r="V252" i="11"/>
  <c r="U252" i="11"/>
  <c r="T252" i="11"/>
  <c r="S252" i="11"/>
  <c r="R252" i="11"/>
  <c r="Q252" i="11"/>
  <c r="P252" i="11"/>
  <c r="O252" i="11"/>
  <c r="N252" i="11"/>
  <c r="M252" i="11"/>
  <c r="D252" i="11"/>
  <c r="C252" i="11"/>
  <c r="AD251" i="11"/>
  <c r="AB251" i="11"/>
  <c r="AA251" i="11"/>
  <c r="Z251" i="11"/>
  <c r="Y251" i="11"/>
  <c r="X251" i="11"/>
  <c r="W251" i="11"/>
  <c r="V251" i="11"/>
  <c r="U251" i="11"/>
  <c r="T251" i="11"/>
  <c r="S251" i="11"/>
  <c r="R251" i="11"/>
  <c r="Q251" i="11"/>
  <c r="P251" i="11"/>
  <c r="O251" i="11"/>
  <c r="N251" i="11"/>
  <c r="M251" i="11"/>
  <c r="D251" i="11"/>
  <c r="C251" i="11"/>
  <c r="AD250" i="11"/>
  <c r="AB250" i="11"/>
  <c r="AA250" i="11"/>
  <c r="Z250" i="11"/>
  <c r="Y250" i="11"/>
  <c r="X250" i="11"/>
  <c r="W250" i="11"/>
  <c r="V250" i="11"/>
  <c r="U250" i="11"/>
  <c r="T250" i="11"/>
  <c r="S250" i="11"/>
  <c r="R250" i="11"/>
  <c r="Q250" i="11"/>
  <c r="P250" i="11"/>
  <c r="O250" i="11"/>
  <c r="N250" i="11"/>
  <c r="M250" i="11"/>
  <c r="D250" i="11"/>
  <c r="C250" i="11"/>
  <c r="AD249" i="11"/>
  <c r="AB249" i="11"/>
  <c r="AA249" i="11"/>
  <c r="Z249" i="11"/>
  <c r="Y249" i="11"/>
  <c r="X249" i="11"/>
  <c r="W249" i="11"/>
  <c r="V249" i="11"/>
  <c r="U249" i="11"/>
  <c r="T249" i="11"/>
  <c r="S249" i="11"/>
  <c r="R249" i="11"/>
  <c r="Q249" i="11"/>
  <c r="P249" i="11"/>
  <c r="O249" i="11"/>
  <c r="N249" i="11"/>
  <c r="M249" i="11"/>
  <c r="D249" i="11"/>
  <c r="C249" i="11"/>
  <c r="AD248" i="11"/>
  <c r="AB248" i="11"/>
  <c r="AA248" i="11"/>
  <c r="Z248" i="11"/>
  <c r="Y248" i="11"/>
  <c r="X248" i="11"/>
  <c r="W248" i="11"/>
  <c r="V248" i="11"/>
  <c r="U248" i="11"/>
  <c r="T248" i="11"/>
  <c r="S248" i="11"/>
  <c r="R248" i="11"/>
  <c r="Q248" i="11"/>
  <c r="P248" i="11"/>
  <c r="O248" i="11"/>
  <c r="N248" i="11"/>
  <c r="M248" i="11"/>
  <c r="D248" i="11"/>
  <c r="C248" i="11"/>
  <c r="AD247" i="11"/>
  <c r="AB247" i="11"/>
  <c r="AA247" i="11"/>
  <c r="Z247" i="11"/>
  <c r="Y247" i="11"/>
  <c r="X247" i="11"/>
  <c r="W247" i="11"/>
  <c r="V247" i="11"/>
  <c r="U247" i="11"/>
  <c r="T247" i="11"/>
  <c r="S247" i="11"/>
  <c r="R247" i="11"/>
  <c r="Q247" i="11"/>
  <c r="P247" i="11"/>
  <c r="O247" i="11"/>
  <c r="N247" i="11"/>
  <c r="M247" i="11"/>
  <c r="D247" i="11"/>
  <c r="C247" i="11"/>
  <c r="AD246" i="11"/>
  <c r="AB246" i="11"/>
  <c r="AA246" i="11"/>
  <c r="Z246" i="11"/>
  <c r="Y246" i="11"/>
  <c r="X246" i="11"/>
  <c r="W246" i="11"/>
  <c r="V246" i="11"/>
  <c r="U246" i="11"/>
  <c r="T246" i="11"/>
  <c r="S246" i="11"/>
  <c r="R246" i="11"/>
  <c r="Q246" i="11"/>
  <c r="P246" i="11"/>
  <c r="O246" i="11"/>
  <c r="N246" i="11"/>
  <c r="M246" i="11"/>
  <c r="D246" i="11"/>
  <c r="C246" i="11"/>
  <c r="AD245" i="11"/>
  <c r="AB245" i="11"/>
  <c r="AA245" i="11"/>
  <c r="Z245" i="11"/>
  <c r="Y245" i="11"/>
  <c r="X245" i="11"/>
  <c r="W245" i="11"/>
  <c r="V245" i="11"/>
  <c r="U245" i="11"/>
  <c r="T245" i="11"/>
  <c r="S245" i="11"/>
  <c r="R245" i="11"/>
  <c r="Q245" i="11"/>
  <c r="P245" i="11"/>
  <c r="O245" i="11"/>
  <c r="N245" i="11"/>
  <c r="M245" i="11"/>
  <c r="D245" i="11"/>
  <c r="C245" i="11"/>
  <c r="AD244" i="11"/>
  <c r="AB244" i="11"/>
  <c r="AA244" i="11"/>
  <c r="Z244" i="11"/>
  <c r="Y244" i="11"/>
  <c r="X244" i="11"/>
  <c r="W244" i="11"/>
  <c r="V244" i="11"/>
  <c r="U244" i="11"/>
  <c r="T244" i="11"/>
  <c r="S244" i="11"/>
  <c r="R244" i="11"/>
  <c r="Q244" i="11"/>
  <c r="P244" i="11"/>
  <c r="O244" i="11"/>
  <c r="N244" i="11"/>
  <c r="M244" i="11"/>
  <c r="D244" i="11"/>
  <c r="C244" i="11"/>
  <c r="AD243" i="11"/>
  <c r="AB243" i="11"/>
  <c r="AA243" i="11"/>
  <c r="Z243" i="11"/>
  <c r="Y243" i="11"/>
  <c r="X243" i="11"/>
  <c r="W243" i="11"/>
  <c r="V243" i="11"/>
  <c r="U243" i="11"/>
  <c r="T243" i="11"/>
  <c r="S243" i="11"/>
  <c r="R243" i="11"/>
  <c r="Q243" i="11"/>
  <c r="P243" i="11"/>
  <c r="O243" i="11"/>
  <c r="N243" i="11"/>
  <c r="M243" i="11"/>
  <c r="D243" i="11"/>
  <c r="C243" i="11"/>
  <c r="AD242" i="11"/>
  <c r="AB242" i="11"/>
  <c r="AA242" i="11"/>
  <c r="Z242" i="11"/>
  <c r="Y242" i="11"/>
  <c r="X242" i="11"/>
  <c r="W242" i="11"/>
  <c r="V242" i="11"/>
  <c r="U242" i="11"/>
  <c r="T242" i="11"/>
  <c r="S242" i="11"/>
  <c r="R242" i="11"/>
  <c r="Q242" i="11"/>
  <c r="P242" i="11"/>
  <c r="O242" i="11"/>
  <c r="N242" i="11"/>
  <c r="M242" i="11"/>
  <c r="D242" i="11"/>
  <c r="C242" i="11"/>
  <c r="AD241" i="11"/>
  <c r="AB241" i="11"/>
  <c r="AA241" i="11"/>
  <c r="Z241" i="11"/>
  <c r="Y241" i="11"/>
  <c r="X241" i="11"/>
  <c r="W241" i="11"/>
  <c r="V241" i="11"/>
  <c r="U241" i="11"/>
  <c r="T241" i="11"/>
  <c r="S241" i="11"/>
  <c r="R241" i="11"/>
  <c r="Q241" i="11"/>
  <c r="P241" i="11"/>
  <c r="O241" i="11"/>
  <c r="N241" i="11"/>
  <c r="M241" i="11"/>
  <c r="D241" i="11"/>
  <c r="C241" i="11"/>
  <c r="AD240" i="11"/>
  <c r="AB240" i="11"/>
  <c r="AA240" i="11"/>
  <c r="Z240" i="11"/>
  <c r="Y240" i="11"/>
  <c r="X240" i="11"/>
  <c r="W240" i="11"/>
  <c r="V240" i="11"/>
  <c r="U240" i="11"/>
  <c r="T240" i="11"/>
  <c r="S240" i="11"/>
  <c r="R240" i="11"/>
  <c r="Q240" i="11"/>
  <c r="P240" i="11"/>
  <c r="O240" i="11"/>
  <c r="N240" i="11"/>
  <c r="M240" i="11"/>
  <c r="D240" i="11"/>
  <c r="C240" i="11"/>
  <c r="AD239" i="11"/>
  <c r="AB239" i="11"/>
  <c r="AA239" i="11"/>
  <c r="Z239" i="11"/>
  <c r="Y239" i="11"/>
  <c r="X239" i="11"/>
  <c r="W239" i="11"/>
  <c r="V239" i="11"/>
  <c r="U239" i="11"/>
  <c r="T239" i="11"/>
  <c r="S239" i="11"/>
  <c r="R239" i="11"/>
  <c r="Q239" i="11"/>
  <c r="P239" i="11"/>
  <c r="O239" i="11"/>
  <c r="N239" i="11"/>
  <c r="M239" i="11"/>
  <c r="D239" i="11"/>
  <c r="C239" i="11"/>
  <c r="AD238" i="11"/>
  <c r="AB238" i="11"/>
  <c r="AA238" i="11"/>
  <c r="Z238" i="11"/>
  <c r="Y238" i="11"/>
  <c r="X238" i="11"/>
  <c r="W238" i="11"/>
  <c r="V238" i="11"/>
  <c r="U238" i="11"/>
  <c r="T238" i="11"/>
  <c r="S238" i="11"/>
  <c r="R238" i="11"/>
  <c r="Q238" i="11"/>
  <c r="P238" i="11"/>
  <c r="O238" i="11"/>
  <c r="N238" i="11"/>
  <c r="M238" i="11"/>
  <c r="D238" i="11"/>
  <c r="C238" i="11"/>
  <c r="AD237" i="11"/>
  <c r="AB237" i="11"/>
  <c r="AA237" i="11"/>
  <c r="Z237" i="11"/>
  <c r="Y237" i="11"/>
  <c r="X237" i="11"/>
  <c r="W237" i="11"/>
  <c r="V237" i="11"/>
  <c r="U237" i="11"/>
  <c r="T237" i="11"/>
  <c r="S237" i="11"/>
  <c r="R237" i="11"/>
  <c r="Q237" i="11"/>
  <c r="P237" i="11"/>
  <c r="O237" i="11"/>
  <c r="N237" i="11"/>
  <c r="M237" i="11"/>
  <c r="D237" i="11"/>
  <c r="C237" i="11"/>
  <c r="AD236" i="11"/>
  <c r="AB236" i="11"/>
  <c r="AA236" i="11"/>
  <c r="Z236" i="11"/>
  <c r="Y236" i="11"/>
  <c r="X236" i="11"/>
  <c r="W236" i="11"/>
  <c r="V236" i="11"/>
  <c r="U236" i="11"/>
  <c r="T236" i="11"/>
  <c r="S236" i="11"/>
  <c r="R236" i="11"/>
  <c r="Q236" i="11"/>
  <c r="P236" i="11"/>
  <c r="O236" i="11"/>
  <c r="N236" i="11"/>
  <c r="M236" i="11"/>
  <c r="D236" i="11"/>
  <c r="C236" i="11"/>
  <c r="AD235" i="11"/>
  <c r="AB235" i="11"/>
  <c r="AA235" i="11"/>
  <c r="Z235" i="11"/>
  <c r="Y235" i="11"/>
  <c r="X235" i="11"/>
  <c r="W235" i="11"/>
  <c r="V235" i="11"/>
  <c r="U235" i="11"/>
  <c r="T235" i="11"/>
  <c r="S235" i="11"/>
  <c r="R235" i="11"/>
  <c r="Q235" i="11"/>
  <c r="P235" i="11"/>
  <c r="O235" i="11"/>
  <c r="N235" i="11"/>
  <c r="M235" i="11"/>
  <c r="D235" i="11"/>
  <c r="C235" i="11"/>
  <c r="AD234" i="11"/>
  <c r="AB234" i="11"/>
  <c r="AA234" i="11"/>
  <c r="Z234" i="11"/>
  <c r="Y234" i="11"/>
  <c r="X234" i="11"/>
  <c r="W234" i="11"/>
  <c r="V234" i="11"/>
  <c r="U234" i="11"/>
  <c r="T234" i="11"/>
  <c r="S234" i="11"/>
  <c r="R234" i="11"/>
  <c r="Q234" i="11"/>
  <c r="P234" i="11"/>
  <c r="O234" i="11"/>
  <c r="N234" i="11"/>
  <c r="M234" i="11"/>
  <c r="D234" i="11"/>
  <c r="C234" i="11"/>
  <c r="AD233" i="11"/>
  <c r="AB233" i="11"/>
  <c r="AA233" i="11"/>
  <c r="Z233" i="11"/>
  <c r="Y233" i="11"/>
  <c r="X233" i="11"/>
  <c r="W233" i="11"/>
  <c r="V233" i="11"/>
  <c r="U233" i="11"/>
  <c r="T233" i="11"/>
  <c r="S233" i="11"/>
  <c r="R233" i="11"/>
  <c r="Q233" i="11"/>
  <c r="P233" i="11"/>
  <c r="O233" i="11"/>
  <c r="N233" i="11"/>
  <c r="M233" i="11"/>
  <c r="D233" i="11"/>
  <c r="C233" i="11"/>
  <c r="AD232" i="11"/>
  <c r="AB232" i="11"/>
  <c r="AA232" i="11"/>
  <c r="Z232" i="11"/>
  <c r="Y232" i="11"/>
  <c r="X232" i="11"/>
  <c r="W232" i="11"/>
  <c r="V232" i="11"/>
  <c r="U232" i="11"/>
  <c r="T232" i="11"/>
  <c r="S232" i="11"/>
  <c r="R232" i="11"/>
  <c r="Q232" i="11"/>
  <c r="P232" i="11"/>
  <c r="O232" i="11"/>
  <c r="N232" i="11"/>
  <c r="M232" i="11"/>
  <c r="D232" i="11"/>
  <c r="C232" i="11"/>
  <c r="AD231" i="11"/>
  <c r="AB231" i="11"/>
  <c r="AA231" i="11"/>
  <c r="Z231" i="11"/>
  <c r="Y231" i="11"/>
  <c r="X231" i="11"/>
  <c r="W231" i="11"/>
  <c r="V231" i="11"/>
  <c r="U231" i="11"/>
  <c r="T231" i="11"/>
  <c r="S231" i="11"/>
  <c r="R231" i="11"/>
  <c r="Q231" i="11"/>
  <c r="P231" i="11"/>
  <c r="O231" i="11"/>
  <c r="N231" i="11"/>
  <c r="M231" i="11"/>
  <c r="D231" i="11"/>
  <c r="C231" i="11"/>
  <c r="AD230" i="11"/>
  <c r="AB230" i="11"/>
  <c r="AA230" i="11"/>
  <c r="Z230" i="11"/>
  <c r="Y230" i="11"/>
  <c r="X230" i="11"/>
  <c r="W230" i="11"/>
  <c r="V230" i="11"/>
  <c r="U230" i="11"/>
  <c r="T230" i="11"/>
  <c r="S230" i="11"/>
  <c r="R230" i="11"/>
  <c r="Q230" i="11"/>
  <c r="P230" i="11"/>
  <c r="O230" i="11"/>
  <c r="N230" i="11"/>
  <c r="M230" i="11"/>
  <c r="D230" i="11"/>
  <c r="C230" i="11"/>
  <c r="AD229" i="11"/>
  <c r="AB229" i="11"/>
  <c r="AA229" i="11"/>
  <c r="Z229" i="11"/>
  <c r="Y229" i="11"/>
  <c r="X229" i="11"/>
  <c r="W229" i="11"/>
  <c r="V229" i="11"/>
  <c r="U229" i="11"/>
  <c r="T229" i="11"/>
  <c r="S229" i="11"/>
  <c r="R229" i="11"/>
  <c r="Q229" i="11"/>
  <c r="P229" i="11"/>
  <c r="O229" i="11"/>
  <c r="N229" i="11"/>
  <c r="M229" i="11"/>
  <c r="D229" i="11"/>
  <c r="C229" i="11"/>
  <c r="AD228" i="11"/>
  <c r="AB228" i="11"/>
  <c r="AA228" i="11"/>
  <c r="Z228" i="11"/>
  <c r="Y228" i="11"/>
  <c r="X228" i="11"/>
  <c r="W228" i="11"/>
  <c r="V228" i="11"/>
  <c r="U228" i="11"/>
  <c r="T228" i="11"/>
  <c r="S228" i="11"/>
  <c r="R228" i="11"/>
  <c r="Q228" i="11"/>
  <c r="P228" i="11"/>
  <c r="O228" i="11"/>
  <c r="N228" i="11"/>
  <c r="M228" i="11"/>
  <c r="D228" i="11"/>
  <c r="C228" i="11"/>
  <c r="AD227" i="11"/>
  <c r="AB227" i="11"/>
  <c r="AA227" i="11"/>
  <c r="Z227" i="11"/>
  <c r="Y227" i="11"/>
  <c r="X227" i="11"/>
  <c r="W227" i="11"/>
  <c r="V227" i="11"/>
  <c r="U227" i="11"/>
  <c r="T227" i="11"/>
  <c r="S227" i="11"/>
  <c r="R227" i="11"/>
  <c r="Q227" i="11"/>
  <c r="P227" i="11"/>
  <c r="O227" i="11"/>
  <c r="N227" i="11"/>
  <c r="M227" i="11"/>
  <c r="D227" i="11"/>
  <c r="C227" i="11"/>
  <c r="AD226" i="11"/>
  <c r="AB226" i="11"/>
  <c r="AA226" i="11"/>
  <c r="Z226" i="11"/>
  <c r="Y226" i="11"/>
  <c r="X226" i="11"/>
  <c r="W226" i="11"/>
  <c r="V226" i="11"/>
  <c r="U226" i="11"/>
  <c r="T226" i="11"/>
  <c r="S226" i="11"/>
  <c r="R226" i="11"/>
  <c r="Q226" i="11"/>
  <c r="P226" i="11"/>
  <c r="O226" i="11"/>
  <c r="N226" i="11"/>
  <c r="M226" i="11"/>
  <c r="D226" i="11"/>
  <c r="C226" i="11"/>
  <c r="AD225" i="11"/>
  <c r="AB225" i="11"/>
  <c r="AA225" i="11"/>
  <c r="Z225" i="11"/>
  <c r="Y225" i="11"/>
  <c r="X225" i="11"/>
  <c r="W225" i="11"/>
  <c r="V225" i="11"/>
  <c r="U225" i="11"/>
  <c r="T225" i="11"/>
  <c r="S225" i="11"/>
  <c r="R225" i="11"/>
  <c r="Q225" i="11"/>
  <c r="P225" i="11"/>
  <c r="O225" i="11"/>
  <c r="N225" i="11"/>
  <c r="M225" i="11"/>
  <c r="D225" i="11"/>
  <c r="C225" i="11"/>
  <c r="AD224" i="11"/>
  <c r="AB224" i="11"/>
  <c r="AA224" i="11"/>
  <c r="Z224" i="11"/>
  <c r="Y224" i="11"/>
  <c r="X224" i="11"/>
  <c r="W224" i="11"/>
  <c r="V224" i="11"/>
  <c r="U224" i="11"/>
  <c r="T224" i="11"/>
  <c r="S224" i="11"/>
  <c r="R224" i="11"/>
  <c r="Q224" i="11"/>
  <c r="P224" i="11"/>
  <c r="O224" i="11"/>
  <c r="N224" i="11"/>
  <c r="M224" i="11"/>
  <c r="D224" i="11"/>
  <c r="C224" i="11"/>
  <c r="AD223" i="11"/>
  <c r="AB223" i="11"/>
  <c r="AA223" i="11"/>
  <c r="Z223" i="11"/>
  <c r="Y223" i="11"/>
  <c r="X223" i="11"/>
  <c r="W223" i="11"/>
  <c r="V223" i="11"/>
  <c r="U223" i="11"/>
  <c r="T223" i="11"/>
  <c r="S223" i="11"/>
  <c r="R223" i="11"/>
  <c r="Q223" i="11"/>
  <c r="P223" i="11"/>
  <c r="O223" i="11"/>
  <c r="N223" i="11"/>
  <c r="M223" i="11"/>
  <c r="D223" i="11"/>
  <c r="C223" i="11"/>
  <c r="AD222" i="11"/>
  <c r="AB222" i="11"/>
  <c r="AA222" i="11"/>
  <c r="Z222" i="11"/>
  <c r="Y222" i="11"/>
  <c r="X222" i="11"/>
  <c r="W222" i="11"/>
  <c r="V222" i="11"/>
  <c r="U222" i="11"/>
  <c r="T222" i="11"/>
  <c r="S222" i="11"/>
  <c r="R222" i="11"/>
  <c r="Q222" i="11"/>
  <c r="P222" i="11"/>
  <c r="O222" i="11"/>
  <c r="N222" i="11"/>
  <c r="M222" i="11"/>
  <c r="D222" i="11"/>
  <c r="C222" i="11"/>
  <c r="AD221" i="11"/>
  <c r="AB221" i="11"/>
  <c r="AA221" i="11"/>
  <c r="Z221" i="11"/>
  <c r="Y221" i="11"/>
  <c r="X221" i="11"/>
  <c r="W221" i="11"/>
  <c r="V221" i="11"/>
  <c r="U221" i="11"/>
  <c r="T221" i="11"/>
  <c r="S221" i="11"/>
  <c r="R221" i="11"/>
  <c r="Q221" i="11"/>
  <c r="P221" i="11"/>
  <c r="O221" i="11"/>
  <c r="N221" i="11"/>
  <c r="M221" i="11"/>
  <c r="D221" i="11"/>
  <c r="C221" i="11"/>
  <c r="AD220" i="11"/>
  <c r="AB220" i="11"/>
  <c r="AA220" i="11"/>
  <c r="Z220" i="11"/>
  <c r="Y220" i="11"/>
  <c r="X220" i="11"/>
  <c r="W220" i="11"/>
  <c r="V220" i="11"/>
  <c r="U220" i="11"/>
  <c r="T220" i="11"/>
  <c r="S220" i="11"/>
  <c r="R220" i="11"/>
  <c r="Q220" i="11"/>
  <c r="P220" i="11"/>
  <c r="O220" i="11"/>
  <c r="N220" i="11"/>
  <c r="M220" i="11"/>
  <c r="D220" i="11"/>
  <c r="C220" i="11"/>
  <c r="AD219" i="11"/>
  <c r="AB219" i="11"/>
  <c r="AA219" i="11"/>
  <c r="Z219" i="11"/>
  <c r="Y219" i="11"/>
  <c r="X219" i="11"/>
  <c r="W219" i="11"/>
  <c r="V219" i="11"/>
  <c r="U219" i="11"/>
  <c r="T219" i="11"/>
  <c r="S219" i="11"/>
  <c r="R219" i="11"/>
  <c r="Q219" i="11"/>
  <c r="P219" i="11"/>
  <c r="O219" i="11"/>
  <c r="N219" i="11"/>
  <c r="M219" i="11"/>
  <c r="D219" i="11"/>
  <c r="C219" i="11"/>
  <c r="AD218" i="11"/>
  <c r="AB218" i="11"/>
  <c r="AA218" i="11"/>
  <c r="Z218" i="11"/>
  <c r="Y218" i="11"/>
  <c r="X218" i="11"/>
  <c r="W218" i="11"/>
  <c r="V218" i="11"/>
  <c r="U218" i="11"/>
  <c r="T218" i="11"/>
  <c r="S218" i="11"/>
  <c r="R218" i="11"/>
  <c r="Q218" i="11"/>
  <c r="P218" i="11"/>
  <c r="O218" i="11"/>
  <c r="N218" i="11"/>
  <c r="M218" i="11"/>
  <c r="D218" i="11"/>
  <c r="C218" i="11"/>
  <c r="AD217" i="11"/>
  <c r="AB217" i="11"/>
  <c r="AA217" i="11"/>
  <c r="Z217" i="11"/>
  <c r="Y217" i="11"/>
  <c r="X217" i="11"/>
  <c r="W217" i="11"/>
  <c r="V217" i="11"/>
  <c r="U217" i="11"/>
  <c r="T217" i="11"/>
  <c r="S217" i="11"/>
  <c r="R217" i="11"/>
  <c r="Q217" i="11"/>
  <c r="P217" i="11"/>
  <c r="O217" i="11"/>
  <c r="N217" i="11"/>
  <c r="M217" i="11"/>
  <c r="D217" i="11"/>
  <c r="C217" i="11"/>
  <c r="AD216" i="11"/>
  <c r="AB216" i="11"/>
  <c r="AA216" i="11"/>
  <c r="Z216" i="11"/>
  <c r="Y216" i="11"/>
  <c r="X216" i="11"/>
  <c r="W216" i="11"/>
  <c r="V216" i="11"/>
  <c r="U216" i="11"/>
  <c r="T216" i="11"/>
  <c r="S216" i="11"/>
  <c r="R216" i="11"/>
  <c r="Q216" i="11"/>
  <c r="P216" i="11"/>
  <c r="O216" i="11"/>
  <c r="N216" i="11"/>
  <c r="M216" i="11"/>
  <c r="D216" i="11"/>
  <c r="C216" i="11"/>
  <c r="AD215" i="11"/>
  <c r="AB215" i="11"/>
  <c r="AA215" i="11"/>
  <c r="Z215" i="11"/>
  <c r="Y215" i="11"/>
  <c r="X215" i="11"/>
  <c r="W215" i="11"/>
  <c r="V215" i="11"/>
  <c r="U215" i="11"/>
  <c r="T215" i="11"/>
  <c r="S215" i="11"/>
  <c r="R215" i="11"/>
  <c r="Q215" i="11"/>
  <c r="P215" i="11"/>
  <c r="O215" i="11"/>
  <c r="N215" i="11"/>
  <c r="M215" i="11"/>
  <c r="D215" i="11"/>
  <c r="C215" i="11"/>
  <c r="AD214" i="11"/>
  <c r="AB214" i="11"/>
  <c r="AA214" i="11"/>
  <c r="Z214" i="11"/>
  <c r="Y214" i="11"/>
  <c r="X214" i="11"/>
  <c r="W214" i="11"/>
  <c r="V214" i="11"/>
  <c r="U214" i="11"/>
  <c r="T214" i="11"/>
  <c r="S214" i="11"/>
  <c r="R214" i="11"/>
  <c r="Q214" i="11"/>
  <c r="P214" i="11"/>
  <c r="O214" i="11"/>
  <c r="N214" i="11"/>
  <c r="M214" i="11"/>
  <c r="D214" i="11"/>
  <c r="C214" i="11"/>
  <c r="AD213" i="11"/>
  <c r="AB213" i="11"/>
  <c r="AA213" i="11"/>
  <c r="Z213" i="11"/>
  <c r="Y213" i="11"/>
  <c r="X213" i="11"/>
  <c r="W213" i="11"/>
  <c r="V213" i="11"/>
  <c r="U213" i="11"/>
  <c r="T213" i="11"/>
  <c r="S213" i="11"/>
  <c r="R213" i="11"/>
  <c r="Q213" i="11"/>
  <c r="P213" i="11"/>
  <c r="O213" i="11"/>
  <c r="N213" i="11"/>
  <c r="M213" i="11"/>
  <c r="D213" i="11"/>
  <c r="C213" i="11"/>
  <c r="AD212" i="11"/>
  <c r="AB212" i="11"/>
  <c r="AA212" i="11"/>
  <c r="Z212" i="11"/>
  <c r="Y212" i="11"/>
  <c r="X212" i="11"/>
  <c r="W212" i="11"/>
  <c r="V212" i="11"/>
  <c r="U212" i="11"/>
  <c r="T212" i="11"/>
  <c r="S212" i="11"/>
  <c r="R212" i="11"/>
  <c r="Q212" i="11"/>
  <c r="P212" i="11"/>
  <c r="O212" i="11"/>
  <c r="N212" i="11"/>
  <c r="M212" i="11"/>
  <c r="D212" i="11"/>
  <c r="C212" i="11"/>
  <c r="AD211" i="11"/>
  <c r="AB211" i="11"/>
  <c r="AA211" i="11"/>
  <c r="Z211" i="11"/>
  <c r="Y211" i="11"/>
  <c r="X211" i="11"/>
  <c r="W211" i="11"/>
  <c r="V211" i="11"/>
  <c r="U211" i="11"/>
  <c r="T211" i="11"/>
  <c r="S211" i="11"/>
  <c r="R211" i="11"/>
  <c r="Q211" i="11"/>
  <c r="P211" i="11"/>
  <c r="O211" i="11"/>
  <c r="N211" i="11"/>
  <c r="M211" i="11"/>
  <c r="D211" i="11"/>
  <c r="C211" i="11"/>
  <c r="AD210" i="11"/>
  <c r="AB210" i="11"/>
  <c r="AA210" i="11"/>
  <c r="Z210" i="11"/>
  <c r="Y210" i="11"/>
  <c r="X210" i="11"/>
  <c r="W210" i="11"/>
  <c r="V210" i="11"/>
  <c r="U210" i="11"/>
  <c r="T210" i="11"/>
  <c r="S210" i="11"/>
  <c r="R210" i="11"/>
  <c r="Q210" i="11"/>
  <c r="P210" i="11"/>
  <c r="O210" i="11"/>
  <c r="N210" i="11"/>
  <c r="M210" i="11"/>
  <c r="D210" i="11"/>
  <c r="C210" i="11"/>
  <c r="AD209" i="11"/>
  <c r="AB209" i="11"/>
  <c r="AA209" i="11"/>
  <c r="Z209" i="11"/>
  <c r="Y209" i="11"/>
  <c r="X209" i="11"/>
  <c r="W209" i="11"/>
  <c r="V209" i="11"/>
  <c r="U209" i="11"/>
  <c r="T209" i="11"/>
  <c r="S209" i="11"/>
  <c r="R209" i="11"/>
  <c r="Q209" i="11"/>
  <c r="P209" i="11"/>
  <c r="O209" i="11"/>
  <c r="N209" i="11"/>
  <c r="M209" i="11"/>
  <c r="D209" i="11"/>
  <c r="C209" i="11"/>
  <c r="AD208" i="11"/>
  <c r="AB208" i="11"/>
  <c r="AA208" i="11"/>
  <c r="Z208" i="11"/>
  <c r="Y208" i="11"/>
  <c r="X208" i="11"/>
  <c r="W208" i="11"/>
  <c r="V208" i="11"/>
  <c r="U208" i="11"/>
  <c r="T208" i="11"/>
  <c r="S208" i="11"/>
  <c r="R208" i="11"/>
  <c r="Q208" i="11"/>
  <c r="P208" i="11"/>
  <c r="O208" i="11"/>
  <c r="N208" i="11"/>
  <c r="M208" i="11"/>
  <c r="D208" i="11"/>
  <c r="C208" i="11"/>
  <c r="AD207" i="11"/>
  <c r="AB207" i="11"/>
  <c r="AA207" i="11"/>
  <c r="Z207" i="11"/>
  <c r="Y207" i="11"/>
  <c r="X207" i="11"/>
  <c r="W207" i="11"/>
  <c r="V207" i="11"/>
  <c r="U207" i="11"/>
  <c r="T207" i="11"/>
  <c r="S207" i="11"/>
  <c r="R207" i="11"/>
  <c r="Q207" i="11"/>
  <c r="P207" i="11"/>
  <c r="O207" i="11"/>
  <c r="N207" i="11"/>
  <c r="M207" i="11"/>
  <c r="D207" i="11"/>
  <c r="C207" i="11"/>
  <c r="AD206" i="11"/>
  <c r="AB206" i="11"/>
  <c r="AA206" i="11"/>
  <c r="Z206" i="11"/>
  <c r="Y206" i="11"/>
  <c r="X206" i="11"/>
  <c r="W206" i="11"/>
  <c r="V206" i="11"/>
  <c r="U206" i="11"/>
  <c r="T206" i="11"/>
  <c r="S206" i="11"/>
  <c r="R206" i="11"/>
  <c r="Q206" i="11"/>
  <c r="P206" i="11"/>
  <c r="O206" i="11"/>
  <c r="N206" i="11"/>
  <c r="M206" i="11"/>
  <c r="D206" i="11"/>
  <c r="C206" i="11"/>
  <c r="AD205" i="11"/>
  <c r="AB205" i="11"/>
  <c r="AA205" i="11"/>
  <c r="Z205" i="11"/>
  <c r="Y205" i="11"/>
  <c r="X205" i="11"/>
  <c r="W205" i="11"/>
  <c r="V205" i="11"/>
  <c r="U205" i="11"/>
  <c r="T205" i="11"/>
  <c r="S205" i="11"/>
  <c r="R205" i="11"/>
  <c r="Q205" i="11"/>
  <c r="P205" i="11"/>
  <c r="O205" i="11"/>
  <c r="N205" i="11"/>
  <c r="M205" i="11"/>
  <c r="D205" i="11"/>
  <c r="C205" i="11"/>
  <c r="AD204" i="11"/>
  <c r="AB204" i="11"/>
  <c r="AA204" i="11"/>
  <c r="Z204" i="11"/>
  <c r="Y204" i="11"/>
  <c r="X204" i="11"/>
  <c r="W204" i="11"/>
  <c r="V204" i="11"/>
  <c r="U204" i="11"/>
  <c r="T204" i="11"/>
  <c r="S204" i="11"/>
  <c r="R204" i="11"/>
  <c r="Q204" i="11"/>
  <c r="P204" i="11"/>
  <c r="O204" i="11"/>
  <c r="N204" i="11"/>
  <c r="M204" i="11"/>
  <c r="D204" i="11"/>
  <c r="C204" i="11"/>
  <c r="AD203" i="11"/>
  <c r="AB203" i="11"/>
  <c r="AA203" i="11"/>
  <c r="Z203" i="11"/>
  <c r="Y203" i="11"/>
  <c r="X203" i="11"/>
  <c r="W203" i="11"/>
  <c r="V203" i="11"/>
  <c r="U203" i="11"/>
  <c r="T203" i="11"/>
  <c r="S203" i="11"/>
  <c r="R203" i="11"/>
  <c r="Q203" i="11"/>
  <c r="P203" i="11"/>
  <c r="O203" i="11"/>
  <c r="N203" i="11"/>
  <c r="M203" i="11"/>
  <c r="D203" i="11"/>
  <c r="C203" i="11"/>
  <c r="AD202" i="11"/>
  <c r="AB202" i="11"/>
  <c r="AA202" i="11"/>
  <c r="Z202" i="11"/>
  <c r="Y202" i="11"/>
  <c r="X202" i="11"/>
  <c r="W202" i="11"/>
  <c r="V202" i="11"/>
  <c r="U202" i="11"/>
  <c r="T202" i="11"/>
  <c r="S202" i="11"/>
  <c r="R202" i="11"/>
  <c r="Q202" i="11"/>
  <c r="P202" i="11"/>
  <c r="O202" i="11"/>
  <c r="N202" i="11"/>
  <c r="M202" i="11"/>
  <c r="D202" i="11"/>
  <c r="C202" i="11"/>
  <c r="AD201" i="11"/>
  <c r="AB201" i="11"/>
  <c r="AA201" i="11"/>
  <c r="Z201" i="11"/>
  <c r="Y201" i="11"/>
  <c r="X201" i="11"/>
  <c r="W201" i="11"/>
  <c r="V201" i="11"/>
  <c r="U201" i="11"/>
  <c r="T201" i="11"/>
  <c r="S201" i="11"/>
  <c r="R201" i="11"/>
  <c r="Q201" i="11"/>
  <c r="P201" i="11"/>
  <c r="O201" i="11"/>
  <c r="N201" i="11"/>
  <c r="M201" i="11"/>
  <c r="D201" i="11"/>
  <c r="C201" i="11"/>
  <c r="AD200" i="11"/>
  <c r="AB200" i="11"/>
  <c r="AA200" i="11"/>
  <c r="Z200" i="11"/>
  <c r="Y200" i="11"/>
  <c r="X200" i="11"/>
  <c r="W200" i="11"/>
  <c r="V200" i="11"/>
  <c r="U200" i="11"/>
  <c r="T200" i="11"/>
  <c r="S200" i="11"/>
  <c r="R200" i="11"/>
  <c r="Q200" i="11"/>
  <c r="P200" i="11"/>
  <c r="O200" i="11"/>
  <c r="N200" i="11"/>
  <c r="M200" i="11"/>
  <c r="D200" i="11"/>
  <c r="C200" i="11"/>
  <c r="AD199" i="11"/>
  <c r="AB199" i="11"/>
  <c r="AA199" i="11"/>
  <c r="Z199" i="11"/>
  <c r="Y199" i="11"/>
  <c r="X199" i="11"/>
  <c r="W199" i="11"/>
  <c r="V199" i="11"/>
  <c r="U199" i="11"/>
  <c r="T199" i="11"/>
  <c r="S199" i="11"/>
  <c r="R199" i="11"/>
  <c r="Q199" i="11"/>
  <c r="P199" i="11"/>
  <c r="O199" i="11"/>
  <c r="N199" i="11"/>
  <c r="M199" i="11"/>
  <c r="D199" i="11"/>
  <c r="C199" i="11"/>
  <c r="AD198" i="11"/>
  <c r="AB198" i="11"/>
  <c r="AA198" i="11"/>
  <c r="Z198" i="11"/>
  <c r="Y198" i="11"/>
  <c r="X198" i="11"/>
  <c r="W198" i="11"/>
  <c r="V198" i="11"/>
  <c r="U198" i="11"/>
  <c r="T198" i="11"/>
  <c r="S198" i="11"/>
  <c r="R198" i="11"/>
  <c r="Q198" i="11"/>
  <c r="P198" i="11"/>
  <c r="O198" i="11"/>
  <c r="N198" i="11"/>
  <c r="M198" i="11"/>
  <c r="D198" i="11"/>
  <c r="C198" i="11"/>
  <c r="AD197" i="11"/>
  <c r="AB197" i="11"/>
  <c r="AA197" i="11"/>
  <c r="Z197" i="11"/>
  <c r="Y197" i="11"/>
  <c r="X197" i="11"/>
  <c r="W197" i="11"/>
  <c r="V197" i="11"/>
  <c r="U197" i="11"/>
  <c r="T197" i="11"/>
  <c r="S197" i="11"/>
  <c r="R197" i="11"/>
  <c r="Q197" i="11"/>
  <c r="P197" i="11"/>
  <c r="O197" i="11"/>
  <c r="N197" i="11"/>
  <c r="M197" i="11"/>
  <c r="D197" i="11"/>
  <c r="C197" i="11"/>
  <c r="AD196" i="11"/>
  <c r="AB196" i="11"/>
  <c r="AA196" i="11"/>
  <c r="Z196" i="11"/>
  <c r="Y196" i="11"/>
  <c r="X196" i="11"/>
  <c r="W196" i="11"/>
  <c r="V196" i="11"/>
  <c r="U196" i="11"/>
  <c r="T196" i="11"/>
  <c r="S196" i="11"/>
  <c r="R196" i="11"/>
  <c r="Q196" i="11"/>
  <c r="P196" i="11"/>
  <c r="O196" i="11"/>
  <c r="N196" i="11"/>
  <c r="M196" i="11"/>
  <c r="D196" i="11"/>
  <c r="C196" i="11"/>
  <c r="AD195" i="11"/>
  <c r="AB195" i="11"/>
  <c r="AA195" i="11"/>
  <c r="Z195" i="11"/>
  <c r="Y195" i="11"/>
  <c r="X195" i="11"/>
  <c r="W195" i="11"/>
  <c r="V195" i="11"/>
  <c r="U195" i="11"/>
  <c r="T195" i="11"/>
  <c r="S195" i="11"/>
  <c r="R195" i="11"/>
  <c r="Q195" i="11"/>
  <c r="P195" i="11"/>
  <c r="O195" i="11"/>
  <c r="N195" i="11"/>
  <c r="M195" i="11"/>
  <c r="D195" i="11"/>
  <c r="C195" i="11"/>
  <c r="AD194" i="11"/>
  <c r="AB194" i="11"/>
  <c r="AA194" i="11"/>
  <c r="Z194" i="11"/>
  <c r="Y194" i="11"/>
  <c r="X194" i="11"/>
  <c r="W194" i="11"/>
  <c r="V194" i="11"/>
  <c r="U194" i="11"/>
  <c r="T194" i="11"/>
  <c r="S194" i="11"/>
  <c r="R194" i="11"/>
  <c r="Q194" i="11"/>
  <c r="P194" i="11"/>
  <c r="O194" i="11"/>
  <c r="N194" i="11"/>
  <c r="M194" i="11"/>
  <c r="D194" i="11"/>
  <c r="C194" i="11"/>
  <c r="AD193" i="11"/>
  <c r="AB193" i="11"/>
  <c r="AA193" i="11"/>
  <c r="Z193" i="11"/>
  <c r="Y193" i="11"/>
  <c r="X193" i="11"/>
  <c r="W193" i="11"/>
  <c r="V193" i="11"/>
  <c r="U193" i="11"/>
  <c r="T193" i="11"/>
  <c r="S193" i="11"/>
  <c r="R193" i="11"/>
  <c r="Q193" i="11"/>
  <c r="P193" i="11"/>
  <c r="O193" i="11"/>
  <c r="N193" i="11"/>
  <c r="M193" i="11"/>
  <c r="D193" i="11"/>
  <c r="C193" i="11"/>
  <c r="AD192" i="11"/>
  <c r="AB192" i="11"/>
  <c r="AA192" i="11"/>
  <c r="Z192" i="11"/>
  <c r="Y192" i="11"/>
  <c r="X192" i="11"/>
  <c r="W192" i="11"/>
  <c r="V192" i="11"/>
  <c r="U192" i="11"/>
  <c r="T192" i="11"/>
  <c r="S192" i="11"/>
  <c r="R192" i="11"/>
  <c r="Q192" i="11"/>
  <c r="P192" i="11"/>
  <c r="O192" i="11"/>
  <c r="N192" i="11"/>
  <c r="M192" i="11"/>
  <c r="D192" i="11"/>
  <c r="C192" i="11"/>
  <c r="AD191" i="11"/>
  <c r="AB191" i="11"/>
  <c r="AA191" i="11"/>
  <c r="Z191" i="11"/>
  <c r="Y191" i="11"/>
  <c r="X191" i="11"/>
  <c r="W191" i="11"/>
  <c r="V191" i="11"/>
  <c r="U191" i="11"/>
  <c r="T191" i="11"/>
  <c r="S191" i="11"/>
  <c r="R191" i="11"/>
  <c r="Q191" i="11"/>
  <c r="P191" i="11"/>
  <c r="O191" i="11"/>
  <c r="N191" i="11"/>
  <c r="M191" i="11"/>
  <c r="D191" i="11"/>
  <c r="C191" i="11"/>
  <c r="AD190" i="11"/>
  <c r="AB190" i="11"/>
  <c r="AA190" i="11"/>
  <c r="Z190" i="11"/>
  <c r="Y190" i="11"/>
  <c r="X190" i="11"/>
  <c r="W190" i="11"/>
  <c r="V190" i="11"/>
  <c r="U190" i="11"/>
  <c r="T190" i="11"/>
  <c r="S190" i="11"/>
  <c r="R190" i="11"/>
  <c r="Q190" i="11"/>
  <c r="P190" i="11"/>
  <c r="O190" i="11"/>
  <c r="N190" i="11"/>
  <c r="M190" i="11"/>
  <c r="D190" i="11"/>
  <c r="C190" i="11"/>
  <c r="AD189" i="11"/>
  <c r="AB189" i="11"/>
  <c r="AA189" i="11"/>
  <c r="Z189" i="11"/>
  <c r="Y189" i="11"/>
  <c r="X189" i="11"/>
  <c r="W189" i="11"/>
  <c r="V189" i="11"/>
  <c r="U189" i="11"/>
  <c r="T189" i="11"/>
  <c r="S189" i="11"/>
  <c r="R189" i="11"/>
  <c r="Q189" i="11"/>
  <c r="P189" i="11"/>
  <c r="O189" i="11"/>
  <c r="N189" i="11"/>
  <c r="M189" i="11"/>
  <c r="D189" i="11"/>
  <c r="C189" i="11"/>
  <c r="AD188" i="11"/>
  <c r="AB188" i="11"/>
  <c r="AA188" i="11"/>
  <c r="Z188" i="11"/>
  <c r="Y188" i="11"/>
  <c r="X188" i="11"/>
  <c r="W188" i="11"/>
  <c r="V188" i="11"/>
  <c r="U188" i="11"/>
  <c r="T188" i="11"/>
  <c r="S188" i="11"/>
  <c r="R188" i="11"/>
  <c r="Q188" i="11"/>
  <c r="P188" i="11"/>
  <c r="O188" i="11"/>
  <c r="N188" i="11"/>
  <c r="M188" i="11"/>
  <c r="D188" i="11"/>
  <c r="C188" i="11"/>
  <c r="AD187" i="11"/>
  <c r="AB187" i="11"/>
  <c r="AA187" i="11"/>
  <c r="Z187" i="11"/>
  <c r="Y187" i="11"/>
  <c r="X187" i="11"/>
  <c r="W187" i="11"/>
  <c r="V187" i="11"/>
  <c r="U187" i="11"/>
  <c r="T187" i="11"/>
  <c r="S187" i="11"/>
  <c r="R187" i="11"/>
  <c r="Q187" i="11"/>
  <c r="P187" i="11"/>
  <c r="O187" i="11"/>
  <c r="N187" i="11"/>
  <c r="M187" i="11"/>
  <c r="D187" i="11"/>
  <c r="C187" i="11"/>
  <c r="AD186" i="11"/>
  <c r="AB186" i="11"/>
  <c r="AA186" i="11"/>
  <c r="Z186" i="11"/>
  <c r="Y186" i="11"/>
  <c r="X186" i="11"/>
  <c r="W186" i="11"/>
  <c r="V186" i="11"/>
  <c r="U186" i="11"/>
  <c r="T186" i="11"/>
  <c r="S186" i="11"/>
  <c r="R186" i="11"/>
  <c r="Q186" i="11"/>
  <c r="P186" i="11"/>
  <c r="O186" i="11"/>
  <c r="N186" i="11"/>
  <c r="M186" i="11"/>
  <c r="D186" i="11"/>
  <c r="C186" i="11"/>
  <c r="AD185" i="11"/>
  <c r="AB185" i="11"/>
  <c r="AA185" i="11"/>
  <c r="Z185" i="11"/>
  <c r="Y185" i="11"/>
  <c r="X185" i="11"/>
  <c r="W185" i="11"/>
  <c r="V185" i="11"/>
  <c r="U185" i="11"/>
  <c r="T185" i="11"/>
  <c r="S185" i="11"/>
  <c r="R185" i="11"/>
  <c r="Q185" i="11"/>
  <c r="P185" i="11"/>
  <c r="O185" i="11"/>
  <c r="N185" i="11"/>
  <c r="M185" i="11"/>
  <c r="D185" i="11"/>
  <c r="C185" i="11"/>
  <c r="AD184" i="11"/>
  <c r="AB184" i="11"/>
  <c r="AA184" i="11"/>
  <c r="Z184" i="11"/>
  <c r="Y184" i="11"/>
  <c r="X184" i="11"/>
  <c r="W184" i="11"/>
  <c r="V184" i="11"/>
  <c r="U184" i="11"/>
  <c r="T184" i="11"/>
  <c r="S184" i="11"/>
  <c r="R184" i="11"/>
  <c r="Q184" i="11"/>
  <c r="P184" i="11"/>
  <c r="O184" i="11"/>
  <c r="N184" i="11"/>
  <c r="M184" i="11"/>
  <c r="D184" i="11"/>
  <c r="C184" i="11"/>
  <c r="AD183" i="11"/>
  <c r="AB183" i="11"/>
  <c r="AA183" i="11"/>
  <c r="Z183" i="11"/>
  <c r="Y183" i="11"/>
  <c r="X183" i="11"/>
  <c r="W183" i="11"/>
  <c r="V183" i="11"/>
  <c r="U183" i="11"/>
  <c r="T183" i="11"/>
  <c r="S183" i="11"/>
  <c r="R183" i="11"/>
  <c r="Q183" i="11"/>
  <c r="P183" i="11"/>
  <c r="O183" i="11"/>
  <c r="N183" i="11"/>
  <c r="M183" i="11"/>
  <c r="D183" i="11"/>
  <c r="C183" i="11"/>
  <c r="AD182" i="11"/>
  <c r="AB182" i="11"/>
  <c r="AA182" i="11"/>
  <c r="Z182" i="11"/>
  <c r="Y182" i="11"/>
  <c r="X182" i="11"/>
  <c r="W182" i="11"/>
  <c r="V182" i="11"/>
  <c r="U182" i="11"/>
  <c r="T182" i="11"/>
  <c r="S182" i="11"/>
  <c r="R182" i="11"/>
  <c r="Q182" i="11"/>
  <c r="P182" i="11"/>
  <c r="O182" i="11"/>
  <c r="N182" i="11"/>
  <c r="M182" i="11"/>
  <c r="D182" i="11"/>
  <c r="C182" i="11"/>
  <c r="AD181" i="11"/>
  <c r="AB181" i="11"/>
  <c r="AA181" i="11"/>
  <c r="Z181" i="11"/>
  <c r="Y181" i="11"/>
  <c r="X181" i="11"/>
  <c r="W181" i="11"/>
  <c r="V181" i="11"/>
  <c r="U181" i="11"/>
  <c r="T181" i="11"/>
  <c r="S181" i="11"/>
  <c r="R181" i="11"/>
  <c r="Q181" i="11"/>
  <c r="P181" i="11"/>
  <c r="O181" i="11"/>
  <c r="N181" i="11"/>
  <c r="M181" i="11"/>
  <c r="D181" i="11"/>
  <c r="C181" i="11"/>
  <c r="AD180" i="11"/>
  <c r="AB180" i="11"/>
  <c r="AA180" i="11"/>
  <c r="Z180" i="11"/>
  <c r="Y180" i="11"/>
  <c r="X180" i="11"/>
  <c r="W180" i="11"/>
  <c r="V180" i="11"/>
  <c r="U180" i="11"/>
  <c r="T180" i="11"/>
  <c r="S180" i="11"/>
  <c r="R180" i="11"/>
  <c r="Q180" i="11"/>
  <c r="P180" i="11"/>
  <c r="O180" i="11"/>
  <c r="N180" i="11"/>
  <c r="M180" i="11"/>
  <c r="D180" i="11"/>
  <c r="C180" i="11"/>
  <c r="AD179" i="11"/>
  <c r="AB179" i="11"/>
  <c r="AA179" i="11"/>
  <c r="Z179" i="11"/>
  <c r="Y179" i="11"/>
  <c r="X179" i="11"/>
  <c r="W179" i="11"/>
  <c r="V179" i="11"/>
  <c r="U179" i="11"/>
  <c r="T179" i="11"/>
  <c r="S179" i="11"/>
  <c r="R179" i="11"/>
  <c r="Q179" i="11"/>
  <c r="P179" i="11"/>
  <c r="O179" i="11"/>
  <c r="N179" i="11"/>
  <c r="M179" i="11"/>
  <c r="D179" i="11"/>
  <c r="C179" i="11"/>
  <c r="AD178" i="11"/>
  <c r="AB178" i="11"/>
  <c r="AA178" i="11"/>
  <c r="Z178" i="11"/>
  <c r="Y178" i="11"/>
  <c r="X178" i="11"/>
  <c r="W178" i="11"/>
  <c r="V178" i="11"/>
  <c r="U178" i="11"/>
  <c r="T178" i="11"/>
  <c r="S178" i="11"/>
  <c r="R178" i="11"/>
  <c r="Q178" i="11"/>
  <c r="P178" i="11"/>
  <c r="O178" i="11"/>
  <c r="N178" i="11"/>
  <c r="M178" i="11"/>
  <c r="D178" i="11"/>
  <c r="C178" i="11"/>
  <c r="AD177" i="11"/>
  <c r="AB177" i="11"/>
  <c r="AA177" i="11"/>
  <c r="Z177" i="11"/>
  <c r="Y177" i="11"/>
  <c r="X177" i="11"/>
  <c r="W177" i="11"/>
  <c r="V177" i="11"/>
  <c r="U177" i="11"/>
  <c r="T177" i="11"/>
  <c r="S177" i="11"/>
  <c r="R177" i="11"/>
  <c r="Q177" i="11"/>
  <c r="P177" i="11"/>
  <c r="O177" i="11"/>
  <c r="N177" i="11"/>
  <c r="M177" i="11"/>
  <c r="D177" i="11"/>
  <c r="C177" i="11"/>
  <c r="AD176" i="11"/>
  <c r="AB176" i="11"/>
  <c r="AA176" i="11"/>
  <c r="Z176" i="11"/>
  <c r="Y176" i="11"/>
  <c r="X176" i="11"/>
  <c r="W176" i="11"/>
  <c r="V176" i="11"/>
  <c r="U176" i="11"/>
  <c r="T176" i="11"/>
  <c r="S176" i="11"/>
  <c r="R176" i="11"/>
  <c r="Q176" i="11"/>
  <c r="P176" i="11"/>
  <c r="O176" i="11"/>
  <c r="N176" i="11"/>
  <c r="M176" i="11"/>
  <c r="D176" i="11"/>
  <c r="C176" i="11"/>
  <c r="AD175" i="11"/>
  <c r="AB175" i="11"/>
  <c r="AA175" i="11"/>
  <c r="Z175" i="11"/>
  <c r="Y175" i="11"/>
  <c r="X175" i="11"/>
  <c r="W175" i="11"/>
  <c r="V175" i="11"/>
  <c r="U175" i="11"/>
  <c r="T175" i="11"/>
  <c r="S175" i="11"/>
  <c r="R175" i="11"/>
  <c r="Q175" i="11"/>
  <c r="P175" i="11"/>
  <c r="O175" i="11"/>
  <c r="N175" i="11"/>
  <c r="M175" i="11"/>
  <c r="D175" i="11"/>
  <c r="C175" i="11"/>
  <c r="AD174" i="11"/>
  <c r="AB174" i="11"/>
  <c r="AA174" i="11"/>
  <c r="Z174" i="11"/>
  <c r="Y174" i="11"/>
  <c r="X174" i="11"/>
  <c r="W174" i="11"/>
  <c r="V174" i="11"/>
  <c r="U174" i="11"/>
  <c r="T174" i="11"/>
  <c r="S174" i="11"/>
  <c r="R174" i="11"/>
  <c r="Q174" i="11"/>
  <c r="P174" i="11"/>
  <c r="O174" i="11"/>
  <c r="N174" i="11"/>
  <c r="M174" i="11"/>
  <c r="D174" i="11"/>
  <c r="C174" i="11"/>
  <c r="AD173" i="11"/>
  <c r="AB173" i="11"/>
  <c r="AA173" i="11"/>
  <c r="Z173" i="11"/>
  <c r="Y173" i="11"/>
  <c r="X173" i="11"/>
  <c r="W173" i="11"/>
  <c r="V173" i="11"/>
  <c r="U173" i="11"/>
  <c r="T173" i="11"/>
  <c r="S173" i="11"/>
  <c r="R173" i="11"/>
  <c r="Q173" i="11"/>
  <c r="P173" i="11"/>
  <c r="O173" i="11"/>
  <c r="N173" i="11"/>
  <c r="M173" i="11"/>
  <c r="D173" i="11"/>
  <c r="C173" i="11"/>
  <c r="AD172" i="11"/>
  <c r="AB172" i="11"/>
  <c r="AA172" i="11"/>
  <c r="Z172" i="11"/>
  <c r="Y172" i="11"/>
  <c r="X172" i="11"/>
  <c r="W172" i="11"/>
  <c r="V172" i="11"/>
  <c r="U172" i="11"/>
  <c r="T172" i="11"/>
  <c r="S172" i="11"/>
  <c r="R172" i="11"/>
  <c r="Q172" i="11"/>
  <c r="P172" i="11"/>
  <c r="O172" i="11"/>
  <c r="N172" i="11"/>
  <c r="M172" i="11"/>
  <c r="D172" i="11"/>
  <c r="C172" i="11"/>
  <c r="AD171" i="11"/>
  <c r="AB171" i="11"/>
  <c r="AA171" i="11"/>
  <c r="Z171" i="11"/>
  <c r="Y171" i="11"/>
  <c r="X171" i="11"/>
  <c r="W171" i="11"/>
  <c r="V171" i="11"/>
  <c r="U171" i="11"/>
  <c r="T171" i="11"/>
  <c r="S171" i="11"/>
  <c r="R171" i="11"/>
  <c r="Q171" i="11"/>
  <c r="P171" i="11"/>
  <c r="O171" i="11"/>
  <c r="N171" i="11"/>
  <c r="M171" i="11"/>
  <c r="D171" i="11"/>
  <c r="C171" i="11"/>
  <c r="AD170" i="11"/>
  <c r="AB170" i="11"/>
  <c r="AA170" i="11"/>
  <c r="Z170" i="11"/>
  <c r="Y170" i="11"/>
  <c r="X170" i="11"/>
  <c r="W170" i="11"/>
  <c r="V170" i="11"/>
  <c r="U170" i="11"/>
  <c r="T170" i="11"/>
  <c r="S170" i="11"/>
  <c r="R170" i="11"/>
  <c r="Q170" i="11"/>
  <c r="P170" i="11"/>
  <c r="O170" i="11"/>
  <c r="N170" i="11"/>
  <c r="M170" i="11"/>
  <c r="D170" i="11"/>
  <c r="C170" i="11"/>
  <c r="AD169" i="11"/>
  <c r="AB169" i="11"/>
  <c r="AA169" i="11"/>
  <c r="Z169" i="11"/>
  <c r="Y169" i="11"/>
  <c r="X169" i="11"/>
  <c r="W169" i="11"/>
  <c r="V169" i="11"/>
  <c r="U169" i="11"/>
  <c r="T169" i="11"/>
  <c r="S169" i="11"/>
  <c r="R169" i="11"/>
  <c r="Q169" i="11"/>
  <c r="P169" i="11"/>
  <c r="O169" i="11"/>
  <c r="N169" i="11"/>
  <c r="M169" i="11"/>
  <c r="D169" i="11"/>
  <c r="C169" i="11"/>
  <c r="AD168" i="11"/>
  <c r="AB168" i="11"/>
  <c r="AA168" i="11"/>
  <c r="Z168" i="11"/>
  <c r="Y168" i="11"/>
  <c r="X168" i="11"/>
  <c r="W168" i="11"/>
  <c r="V168" i="11"/>
  <c r="U168" i="11"/>
  <c r="T168" i="11"/>
  <c r="S168" i="11"/>
  <c r="R168" i="11"/>
  <c r="Q168" i="11"/>
  <c r="P168" i="11"/>
  <c r="O168" i="11"/>
  <c r="N168" i="11"/>
  <c r="M168" i="11"/>
  <c r="D168" i="11"/>
  <c r="C168" i="11"/>
  <c r="AD167" i="11"/>
  <c r="AB167" i="11"/>
  <c r="AA167" i="11"/>
  <c r="Z167" i="11"/>
  <c r="Y167" i="11"/>
  <c r="X167" i="11"/>
  <c r="W167" i="11"/>
  <c r="V167" i="11"/>
  <c r="U167" i="11"/>
  <c r="T167" i="11"/>
  <c r="S167" i="11"/>
  <c r="R167" i="11"/>
  <c r="Q167" i="11"/>
  <c r="P167" i="11"/>
  <c r="O167" i="11"/>
  <c r="N167" i="11"/>
  <c r="M167" i="11"/>
  <c r="D167" i="11"/>
  <c r="C167" i="11"/>
  <c r="AD166" i="11"/>
  <c r="AB166" i="11"/>
  <c r="AA166" i="11"/>
  <c r="Z166" i="11"/>
  <c r="Y166" i="11"/>
  <c r="X166" i="11"/>
  <c r="W166" i="11"/>
  <c r="V166" i="11"/>
  <c r="U166" i="11"/>
  <c r="T166" i="11"/>
  <c r="S166" i="11"/>
  <c r="R166" i="11"/>
  <c r="Q166" i="11"/>
  <c r="P166" i="11"/>
  <c r="O166" i="11"/>
  <c r="N166" i="11"/>
  <c r="M166" i="11"/>
  <c r="D166" i="11"/>
  <c r="C166" i="11"/>
  <c r="AD165" i="11"/>
  <c r="AB165" i="11"/>
  <c r="AA165" i="11"/>
  <c r="Z165" i="11"/>
  <c r="Y165" i="11"/>
  <c r="X165" i="11"/>
  <c r="W165" i="11"/>
  <c r="V165" i="11"/>
  <c r="U165" i="11"/>
  <c r="T165" i="11"/>
  <c r="S165" i="11"/>
  <c r="R165" i="11"/>
  <c r="Q165" i="11"/>
  <c r="P165" i="11"/>
  <c r="O165" i="11"/>
  <c r="N165" i="11"/>
  <c r="M165" i="11"/>
  <c r="D165" i="11"/>
  <c r="C165" i="11"/>
  <c r="AD164" i="11"/>
  <c r="AB164" i="11"/>
  <c r="AA164" i="11"/>
  <c r="Z164" i="11"/>
  <c r="Y164" i="11"/>
  <c r="X164" i="11"/>
  <c r="W164" i="11"/>
  <c r="V164" i="11"/>
  <c r="U164" i="11"/>
  <c r="T164" i="11"/>
  <c r="S164" i="11"/>
  <c r="R164" i="11"/>
  <c r="Q164" i="11"/>
  <c r="P164" i="11"/>
  <c r="O164" i="11"/>
  <c r="N164" i="11"/>
  <c r="M164" i="11"/>
  <c r="D164" i="11"/>
  <c r="C164" i="11"/>
  <c r="AD163" i="11"/>
  <c r="AB163" i="11"/>
  <c r="AA163" i="11"/>
  <c r="Z163" i="11"/>
  <c r="Y163" i="11"/>
  <c r="X163" i="11"/>
  <c r="W163" i="11"/>
  <c r="V163" i="11"/>
  <c r="U163" i="11"/>
  <c r="T163" i="11"/>
  <c r="S163" i="11"/>
  <c r="R163" i="11"/>
  <c r="Q163" i="11"/>
  <c r="P163" i="11"/>
  <c r="O163" i="11"/>
  <c r="N163" i="11"/>
  <c r="M163" i="11"/>
  <c r="D163" i="11"/>
  <c r="C163" i="11"/>
  <c r="AD162" i="11"/>
  <c r="AB162" i="11"/>
  <c r="AA162" i="11"/>
  <c r="Z162" i="11"/>
  <c r="Y162" i="11"/>
  <c r="X162" i="11"/>
  <c r="W162" i="11"/>
  <c r="V162" i="11"/>
  <c r="U162" i="11"/>
  <c r="T162" i="11"/>
  <c r="S162" i="11"/>
  <c r="R162" i="11"/>
  <c r="Q162" i="11"/>
  <c r="P162" i="11"/>
  <c r="O162" i="11"/>
  <c r="N162" i="11"/>
  <c r="M162" i="11"/>
  <c r="D162" i="11"/>
  <c r="C162" i="11"/>
  <c r="AD161" i="11"/>
  <c r="AB161" i="11"/>
  <c r="AA161" i="11"/>
  <c r="Z161" i="11"/>
  <c r="Y161" i="11"/>
  <c r="X161" i="11"/>
  <c r="W161" i="11"/>
  <c r="V161" i="11"/>
  <c r="U161" i="11"/>
  <c r="T161" i="11"/>
  <c r="S161" i="11"/>
  <c r="R161" i="11"/>
  <c r="Q161" i="11"/>
  <c r="P161" i="11"/>
  <c r="O161" i="11"/>
  <c r="N161" i="11"/>
  <c r="M161" i="11"/>
  <c r="D161" i="11"/>
  <c r="C161" i="11"/>
  <c r="AD160" i="11"/>
  <c r="AB160" i="11"/>
  <c r="AA160" i="11"/>
  <c r="Z160" i="11"/>
  <c r="Y160" i="11"/>
  <c r="X160" i="11"/>
  <c r="W160" i="11"/>
  <c r="V160" i="11"/>
  <c r="U160" i="11"/>
  <c r="T160" i="11"/>
  <c r="S160" i="11"/>
  <c r="R160" i="11"/>
  <c r="Q160" i="11"/>
  <c r="P160" i="11"/>
  <c r="O160" i="11"/>
  <c r="N160" i="11"/>
  <c r="M160" i="11"/>
  <c r="D160" i="11"/>
  <c r="C160" i="11"/>
  <c r="AD159" i="11"/>
  <c r="AB159" i="11"/>
  <c r="AA159" i="11"/>
  <c r="Z159" i="11"/>
  <c r="Y159" i="11"/>
  <c r="X159" i="11"/>
  <c r="W159" i="11"/>
  <c r="V159" i="11"/>
  <c r="U159" i="11"/>
  <c r="T159" i="11"/>
  <c r="S159" i="11"/>
  <c r="R159" i="11"/>
  <c r="Q159" i="11"/>
  <c r="P159" i="11"/>
  <c r="O159" i="11"/>
  <c r="N159" i="11"/>
  <c r="M159" i="11"/>
  <c r="D159" i="11"/>
  <c r="C159" i="11"/>
  <c r="AD158" i="11"/>
  <c r="AB158" i="11"/>
  <c r="AA158" i="11"/>
  <c r="Z158" i="11"/>
  <c r="Y158" i="11"/>
  <c r="X158" i="11"/>
  <c r="W158" i="11"/>
  <c r="V158" i="11"/>
  <c r="U158" i="11"/>
  <c r="T158" i="11"/>
  <c r="S158" i="11"/>
  <c r="R158" i="11"/>
  <c r="Q158" i="11"/>
  <c r="P158" i="11"/>
  <c r="O158" i="11"/>
  <c r="N158" i="11"/>
  <c r="M158" i="11"/>
  <c r="D158" i="11"/>
  <c r="C158" i="11"/>
  <c r="AD157" i="11"/>
  <c r="AB157" i="11"/>
  <c r="AA157" i="11"/>
  <c r="Z157" i="11"/>
  <c r="Y157" i="11"/>
  <c r="X157" i="11"/>
  <c r="W157" i="11"/>
  <c r="V157" i="11"/>
  <c r="U157" i="11"/>
  <c r="T157" i="11"/>
  <c r="S157" i="11"/>
  <c r="R157" i="11"/>
  <c r="Q157" i="11"/>
  <c r="P157" i="11"/>
  <c r="O157" i="11"/>
  <c r="N157" i="11"/>
  <c r="M157" i="11"/>
  <c r="D157" i="11"/>
  <c r="C157" i="11"/>
  <c r="AD156" i="11"/>
  <c r="AB156" i="11"/>
  <c r="AA156" i="11"/>
  <c r="Z156" i="11"/>
  <c r="Y156" i="11"/>
  <c r="X156" i="11"/>
  <c r="W156" i="11"/>
  <c r="V156" i="11"/>
  <c r="U156" i="11"/>
  <c r="T156" i="11"/>
  <c r="S156" i="11"/>
  <c r="R156" i="11"/>
  <c r="Q156" i="11"/>
  <c r="P156" i="11"/>
  <c r="O156" i="11"/>
  <c r="N156" i="11"/>
  <c r="M156" i="11"/>
  <c r="D156" i="11"/>
  <c r="C156" i="11"/>
  <c r="AD155" i="11"/>
  <c r="AB155" i="11"/>
  <c r="AA155" i="11"/>
  <c r="Z155" i="11"/>
  <c r="Y155" i="11"/>
  <c r="X155" i="11"/>
  <c r="W155" i="11"/>
  <c r="V155" i="11"/>
  <c r="U155" i="11"/>
  <c r="T155" i="11"/>
  <c r="S155" i="11"/>
  <c r="R155" i="11"/>
  <c r="Q155" i="11"/>
  <c r="P155" i="11"/>
  <c r="O155" i="11"/>
  <c r="N155" i="11"/>
  <c r="M155" i="11"/>
  <c r="D155" i="11"/>
  <c r="C155" i="11"/>
  <c r="AD154" i="11"/>
  <c r="AB154" i="11"/>
  <c r="AA154" i="11"/>
  <c r="Z154" i="11"/>
  <c r="Y154" i="11"/>
  <c r="X154" i="11"/>
  <c r="W154" i="11"/>
  <c r="V154" i="11"/>
  <c r="U154" i="11"/>
  <c r="T154" i="11"/>
  <c r="S154" i="11"/>
  <c r="R154" i="11"/>
  <c r="Q154" i="11"/>
  <c r="P154" i="11"/>
  <c r="O154" i="11"/>
  <c r="N154" i="11"/>
  <c r="M154" i="11"/>
  <c r="D154" i="11"/>
  <c r="C154" i="11"/>
  <c r="AD153" i="11"/>
  <c r="AB153" i="11"/>
  <c r="AA153" i="11"/>
  <c r="Z153" i="11"/>
  <c r="Y153" i="11"/>
  <c r="X153" i="11"/>
  <c r="W153" i="11"/>
  <c r="V153" i="11"/>
  <c r="U153" i="11"/>
  <c r="T153" i="11"/>
  <c r="S153" i="11"/>
  <c r="R153" i="11"/>
  <c r="Q153" i="11"/>
  <c r="P153" i="11"/>
  <c r="O153" i="11"/>
  <c r="N153" i="11"/>
  <c r="M153" i="11"/>
  <c r="D153" i="11"/>
  <c r="C153" i="11"/>
  <c r="AD152" i="11"/>
  <c r="AB152" i="11"/>
  <c r="AA152" i="11"/>
  <c r="Z152" i="11"/>
  <c r="Y152" i="11"/>
  <c r="X152" i="11"/>
  <c r="W152" i="11"/>
  <c r="V152" i="11"/>
  <c r="U152" i="11"/>
  <c r="T152" i="11"/>
  <c r="S152" i="11"/>
  <c r="R152" i="11"/>
  <c r="Q152" i="11"/>
  <c r="P152" i="11"/>
  <c r="O152" i="11"/>
  <c r="N152" i="11"/>
  <c r="M152" i="11"/>
  <c r="D152" i="11"/>
  <c r="C152" i="11"/>
  <c r="AD151" i="11"/>
  <c r="AB151" i="11"/>
  <c r="AA151" i="11"/>
  <c r="Z151" i="11"/>
  <c r="Y151" i="11"/>
  <c r="X151" i="11"/>
  <c r="W151" i="11"/>
  <c r="V151" i="11"/>
  <c r="U151" i="11"/>
  <c r="T151" i="11"/>
  <c r="S151" i="11"/>
  <c r="R151" i="11"/>
  <c r="Q151" i="11"/>
  <c r="P151" i="11"/>
  <c r="O151" i="11"/>
  <c r="N151" i="11"/>
  <c r="M151" i="11"/>
  <c r="D151" i="11"/>
  <c r="C151" i="11"/>
  <c r="AD150" i="11"/>
  <c r="AB150" i="11"/>
  <c r="AA150" i="11"/>
  <c r="Z150" i="11"/>
  <c r="Y150" i="11"/>
  <c r="X150" i="11"/>
  <c r="W150" i="11"/>
  <c r="V150" i="11"/>
  <c r="U150" i="11"/>
  <c r="T150" i="11"/>
  <c r="S150" i="11"/>
  <c r="R150" i="11"/>
  <c r="Q150" i="11"/>
  <c r="P150" i="11"/>
  <c r="O150" i="11"/>
  <c r="N150" i="11"/>
  <c r="M150" i="11"/>
  <c r="D150" i="11"/>
  <c r="C150" i="11"/>
  <c r="AD149" i="11"/>
  <c r="AB149" i="11"/>
  <c r="AA149" i="11"/>
  <c r="Z149" i="11"/>
  <c r="Y149" i="11"/>
  <c r="X149" i="11"/>
  <c r="W149" i="11"/>
  <c r="V149" i="11"/>
  <c r="U149" i="11"/>
  <c r="T149" i="11"/>
  <c r="S149" i="11"/>
  <c r="R149" i="11"/>
  <c r="Q149" i="11"/>
  <c r="P149" i="11"/>
  <c r="O149" i="11"/>
  <c r="N149" i="11"/>
  <c r="M149" i="11"/>
  <c r="D149" i="11"/>
  <c r="C149" i="11"/>
  <c r="AD148" i="11"/>
  <c r="AB148" i="11"/>
  <c r="AA148" i="11"/>
  <c r="Z148" i="11"/>
  <c r="Y148" i="11"/>
  <c r="X148" i="11"/>
  <c r="W148" i="11"/>
  <c r="V148" i="11"/>
  <c r="U148" i="11"/>
  <c r="T148" i="11"/>
  <c r="S148" i="11"/>
  <c r="R148" i="11"/>
  <c r="Q148" i="11"/>
  <c r="P148" i="11"/>
  <c r="O148" i="11"/>
  <c r="N148" i="11"/>
  <c r="M148" i="11"/>
  <c r="D148" i="11"/>
  <c r="C148" i="11"/>
  <c r="AD147" i="11"/>
  <c r="AB147" i="11"/>
  <c r="AA147" i="11"/>
  <c r="Z147" i="11"/>
  <c r="Y147" i="11"/>
  <c r="X147" i="11"/>
  <c r="W147" i="11"/>
  <c r="V147" i="11"/>
  <c r="U147" i="11"/>
  <c r="T147" i="11"/>
  <c r="S147" i="11"/>
  <c r="R147" i="11"/>
  <c r="Q147" i="11"/>
  <c r="P147" i="11"/>
  <c r="O147" i="11"/>
  <c r="N147" i="11"/>
  <c r="M147" i="11"/>
  <c r="D147" i="11"/>
  <c r="C147" i="11"/>
  <c r="AD146" i="11"/>
  <c r="AB146" i="11"/>
  <c r="AA146" i="11"/>
  <c r="Z146" i="11"/>
  <c r="Y146" i="11"/>
  <c r="X146" i="11"/>
  <c r="W146" i="11"/>
  <c r="V146" i="11"/>
  <c r="U146" i="11"/>
  <c r="T146" i="11"/>
  <c r="S146" i="11"/>
  <c r="R146" i="11"/>
  <c r="Q146" i="11"/>
  <c r="P146" i="11"/>
  <c r="O146" i="11"/>
  <c r="N146" i="11"/>
  <c r="M146" i="11"/>
  <c r="D146" i="11"/>
  <c r="C146" i="11"/>
  <c r="AD145" i="11"/>
  <c r="AB145" i="11"/>
  <c r="AA145" i="11"/>
  <c r="Z145" i="11"/>
  <c r="Y145" i="11"/>
  <c r="X145" i="11"/>
  <c r="W145" i="11"/>
  <c r="V145" i="11"/>
  <c r="U145" i="11"/>
  <c r="T145" i="11"/>
  <c r="S145" i="11"/>
  <c r="R145" i="11"/>
  <c r="Q145" i="11"/>
  <c r="P145" i="11"/>
  <c r="O145" i="11"/>
  <c r="N145" i="11"/>
  <c r="M145" i="11"/>
  <c r="D145" i="11"/>
  <c r="C145" i="11"/>
  <c r="AD144" i="11"/>
  <c r="AB144" i="11"/>
  <c r="AA144" i="11"/>
  <c r="Z144" i="11"/>
  <c r="Y144" i="11"/>
  <c r="X144" i="11"/>
  <c r="W144" i="11"/>
  <c r="V144" i="11"/>
  <c r="U144" i="11"/>
  <c r="T144" i="11"/>
  <c r="S144" i="11"/>
  <c r="R144" i="11"/>
  <c r="Q144" i="11"/>
  <c r="P144" i="11"/>
  <c r="O144" i="11"/>
  <c r="N144" i="11"/>
  <c r="M144" i="11"/>
  <c r="D144" i="11"/>
  <c r="C144" i="11"/>
  <c r="AD143" i="11"/>
  <c r="AB143" i="11"/>
  <c r="AA143" i="11"/>
  <c r="Z143" i="11"/>
  <c r="Y143" i="11"/>
  <c r="X143" i="11"/>
  <c r="W143" i="11"/>
  <c r="V143" i="11"/>
  <c r="U143" i="11"/>
  <c r="T143" i="11"/>
  <c r="S143" i="11"/>
  <c r="R143" i="11"/>
  <c r="Q143" i="11"/>
  <c r="P143" i="11"/>
  <c r="O143" i="11"/>
  <c r="N143" i="11"/>
  <c r="M143" i="11"/>
  <c r="D143" i="11"/>
  <c r="C143" i="11"/>
  <c r="AD142" i="11"/>
  <c r="AB142" i="11"/>
  <c r="AA142" i="11"/>
  <c r="Z142" i="11"/>
  <c r="Y142" i="11"/>
  <c r="X142" i="11"/>
  <c r="W142" i="11"/>
  <c r="V142" i="11"/>
  <c r="U142" i="11"/>
  <c r="T142" i="11"/>
  <c r="S142" i="11"/>
  <c r="R142" i="11"/>
  <c r="Q142" i="11"/>
  <c r="P142" i="11"/>
  <c r="O142" i="11"/>
  <c r="N142" i="11"/>
  <c r="M142" i="11"/>
  <c r="D142" i="11"/>
  <c r="C142" i="11"/>
  <c r="AD141" i="11"/>
  <c r="AB141" i="11"/>
  <c r="AA141" i="11"/>
  <c r="Z141" i="11"/>
  <c r="Y141" i="11"/>
  <c r="X141" i="11"/>
  <c r="W141" i="11"/>
  <c r="V141" i="11"/>
  <c r="U141" i="11"/>
  <c r="T141" i="11"/>
  <c r="S141" i="11"/>
  <c r="R141" i="11"/>
  <c r="Q141" i="11"/>
  <c r="P141" i="11"/>
  <c r="O141" i="11"/>
  <c r="N141" i="11"/>
  <c r="M141" i="11"/>
  <c r="D141" i="11"/>
  <c r="C141" i="11"/>
  <c r="AD140" i="11"/>
  <c r="AB140" i="11"/>
  <c r="AA140" i="11"/>
  <c r="Z140" i="11"/>
  <c r="Y140" i="11"/>
  <c r="X140" i="11"/>
  <c r="W140" i="11"/>
  <c r="V140" i="11"/>
  <c r="U140" i="11"/>
  <c r="T140" i="11"/>
  <c r="S140" i="11"/>
  <c r="R140" i="11"/>
  <c r="Q140" i="11"/>
  <c r="P140" i="11"/>
  <c r="O140" i="11"/>
  <c r="N140" i="11"/>
  <c r="M140" i="11"/>
  <c r="D140" i="11"/>
  <c r="C140" i="11"/>
  <c r="AD139" i="11"/>
  <c r="AB139" i="11"/>
  <c r="AA139" i="11"/>
  <c r="Z139" i="11"/>
  <c r="Y139" i="11"/>
  <c r="X139" i="11"/>
  <c r="W139" i="11"/>
  <c r="V139" i="11"/>
  <c r="U139" i="11"/>
  <c r="T139" i="11"/>
  <c r="S139" i="11"/>
  <c r="R139" i="11"/>
  <c r="Q139" i="11"/>
  <c r="P139" i="11"/>
  <c r="O139" i="11"/>
  <c r="N139" i="11"/>
  <c r="M139" i="11"/>
  <c r="D139" i="11"/>
  <c r="C139" i="11"/>
  <c r="AD138" i="11"/>
  <c r="AB138" i="11"/>
  <c r="AA138" i="11"/>
  <c r="Z138" i="11"/>
  <c r="Y138" i="11"/>
  <c r="X138" i="11"/>
  <c r="W138" i="11"/>
  <c r="V138" i="11"/>
  <c r="U138" i="11"/>
  <c r="T138" i="11"/>
  <c r="S138" i="11"/>
  <c r="R138" i="11"/>
  <c r="Q138" i="11"/>
  <c r="P138" i="11"/>
  <c r="O138" i="11"/>
  <c r="N138" i="11"/>
  <c r="M138" i="11"/>
  <c r="D138" i="11"/>
  <c r="C138" i="11"/>
  <c r="AD137" i="11"/>
  <c r="AB137" i="11"/>
  <c r="AA137" i="11"/>
  <c r="Z137" i="11"/>
  <c r="Y137" i="11"/>
  <c r="X137" i="11"/>
  <c r="W137" i="11"/>
  <c r="V137" i="11"/>
  <c r="U137" i="11"/>
  <c r="T137" i="11"/>
  <c r="S137" i="11"/>
  <c r="R137" i="11"/>
  <c r="Q137" i="11"/>
  <c r="P137" i="11"/>
  <c r="O137" i="11"/>
  <c r="N137" i="11"/>
  <c r="M137" i="11"/>
  <c r="D137" i="11"/>
  <c r="C137" i="11"/>
  <c r="AD136" i="11"/>
  <c r="AB136" i="11"/>
  <c r="AA136" i="11"/>
  <c r="Z136" i="11"/>
  <c r="Y136" i="11"/>
  <c r="X136" i="11"/>
  <c r="W136" i="11"/>
  <c r="V136" i="11"/>
  <c r="U136" i="11"/>
  <c r="T136" i="11"/>
  <c r="S136" i="11"/>
  <c r="R136" i="11"/>
  <c r="Q136" i="11"/>
  <c r="P136" i="11"/>
  <c r="O136" i="11"/>
  <c r="N136" i="11"/>
  <c r="M136" i="11"/>
  <c r="D136" i="11"/>
  <c r="C136" i="11"/>
  <c r="AD135" i="11"/>
  <c r="AB135" i="11"/>
  <c r="AA135" i="11"/>
  <c r="Z135" i="11"/>
  <c r="Y135" i="11"/>
  <c r="X135" i="11"/>
  <c r="W135" i="11"/>
  <c r="V135" i="11"/>
  <c r="U135" i="11"/>
  <c r="T135" i="11"/>
  <c r="S135" i="11"/>
  <c r="R135" i="11"/>
  <c r="Q135" i="11"/>
  <c r="P135" i="11"/>
  <c r="O135" i="11"/>
  <c r="N135" i="11"/>
  <c r="M135" i="11"/>
  <c r="D135" i="11"/>
  <c r="C135" i="11"/>
  <c r="AD134" i="11"/>
  <c r="AB134" i="11"/>
  <c r="AA134" i="11"/>
  <c r="Z134" i="11"/>
  <c r="Y134" i="11"/>
  <c r="X134" i="11"/>
  <c r="W134" i="11"/>
  <c r="V134" i="11"/>
  <c r="U134" i="11"/>
  <c r="T134" i="11"/>
  <c r="S134" i="11"/>
  <c r="R134" i="11"/>
  <c r="Q134" i="11"/>
  <c r="P134" i="11"/>
  <c r="O134" i="11"/>
  <c r="N134" i="11"/>
  <c r="M134" i="11"/>
  <c r="D134" i="11"/>
  <c r="C134" i="11"/>
  <c r="AD133" i="11"/>
  <c r="AB133" i="11"/>
  <c r="AA133" i="11"/>
  <c r="Z133" i="11"/>
  <c r="Y133" i="11"/>
  <c r="X133" i="11"/>
  <c r="W133" i="11"/>
  <c r="V133" i="11"/>
  <c r="U133" i="11"/>
  <c r="T133" i="11"/>
  <c r="S133" i="11"/>
  <c r="R133" i="11"/>
  <c r="Q133" i="11"/>
  <c r="P133" i="11"/>
  <c r="O133" i="11"/>
  <c r="N133" i="11"/>
  <c r="M133" i="11"/>
  <c r="D133" i="11"/>
  <c r="C133" i="11"/>
  <c r="AD132" i="11"/>
  <c r="AB132" i="11"/>
  <c r="AA132" i="11"/>
  <c r="Z132" i="11"/>
  <c r="Y132" i="11"/>
  <c r="X132" i="11"/>
  <c r="W132" i="11"/>
  <c r="V132" i="11"/>
  <c r="U132" i="11"/>
  <c r="T132" i="11"/>
  <c r="S132" i="11"/>
  <c r="R132" i="11"/>
  <c r="Q132" i="11"/>
  <c r="P132" i="11"/>
  <c r="O132" i="11"/>
  <c r="N132" i="11"/>
  <c r="M132" i="11"/>
  <c r="D132" i="11"/>
  <c r="C132" i="11"/>
  <c r="AD131" i="11"/>
  <c r="AB131" i="11"/>
  <c r="AA131" i="11"/>
  <c r="Z131" i="11"/>
  <c r="Y131" i="11"/>
  <c r="X131" i="11"/>
  <c r="W131" i="11"/>
  <c r="V131" i="11"/>
  <c r="U131" i="11"/>
  <c r="T131" i="11"/>
  <c r="S131" i="11"/>
  <c r="R131" i="11"/>
  <c r="Q131" i="11"/>
  <c r="P131" i="11"/>
  <c r="O131" i="11"/>
  <c r="N131" i="11"/>
  <c r="M131" i="11"/>
  <c r="D131" i="11"/>
  <c r="C131" i="11"/>
  <c r="AD130" i="11"/>
  <c r="AB130" i="11"/>
  <c r="AA130" i="11"/>
  <c r="Z130" i="11"/>
  <c r="Y130" i="11"/>
  <c r="X130" i="11"/>
  <c r="W130" i="11"/>
  <c r="V130" i="11"/>
  <c r="U130" i="11"/>
  <c r="T130" i="11"/>
  <c r="S130" i="11"/>
  <c r="R130" i="11"/>
  <c r="Q130" i="11"/>
  <c r="P130" i="11"/>
  <c r="O130" i="11"/>
  <c r="N130" i="11"/>
  <c r="M130" i="11"/>
  <c r="D130" i="11"/>
  <c r="C130" i="11"/>
  <c r="AD129" i="11"/>
  <c r="AB129" i="11"/>
  <c r="AA129" i="11"/>
  <c r="Z129" i="11"/>
  <c r="Y129" i="11"/>
  <c r="X129" i="11"/>
  <c r="W129" i="11"/>
  <c r="V129" i="11"/>
  <c r="U129" i="11"/>
  <c r="T129" i="11"/>
  <c r="S129" i="11"/>
  <c r="R129" i="11"/>
  <c r="Q129" i="11"/>
  <c r="P129" i="11"/>
  <c r="O129" i="11"/>
  <c r="N129" i="11"/>
  <c r="M129" i="11"/>
  <c r="D129" i="11"/>
  <c r="C129" i="11"/>
  <c r="AD128" i="11"/>
  <c r="AB128" i="11"/>
  <c r="AA128" i="11"/>
  <c r="Z128" i="11"/>
  <c r="Y128" i="11"/>
  <c r="X128" i="11"/>
  <c r="W128" i="11"/>
  <c r="V128" i="11"/>
  <c r="U128" i="11"/>
  <c r="T128" i="11"/>
  <c r="S128" i="11"/>
  <c r="R128" i="11"/>
  <c r="Q128" i="11"/>
  <c r="P128" i="11"/>
  <c r="O128" i="11"/>
  <c r="N128" i="11"/>
  <c r="M128" i="11"/>
  <c r="D128" i="11"/>
  <c r="C128" i="11"/>
  <c r="AD127" i="11"/>
  <c r="AB127" i="11"/>
  <c r="AA127" i="11"/>
  <c r="Z127" i="11"/>
  <c r="Y127" i="11"/>
  <c r="X127" i="11"/>
  <c r="W127" i="11"/>
  <c r="V127" i="11"/>
  <c r="U127" i="11"/>
  <c r="T127" i="11"/>
  <c r="S127" i="11"/>
  <c r="R127" i="11"/>
  <c r="Q127" i="11"/>
  <c r="P127" i="11"/>
  <c r="O127" i="11"/>
  <c r="N127" i="11"/>
  <c r="M127" i="11"/>
  <c r="D127" i="11"/>
  <c r="C127" i="11"/>
  <c r="AD126" i="11"/>
  <c r="AB126" i="11"/>
  <c r="AA126" i="11"/>
  <c r="Z126" i="11"/>
  <c r="Y126" i="11"/>
  <c r="X126" i="11"/>
  <c r="W126" i="11"/>
  <c r="V126" i="11"/>
  <c r="U126" i="11"/>
  <c r="T126" i="11"/>
  <c r="S126" i="11"/>
  <c r="R126" i="11"/>
  <c r="Q126" i="11"/>
  <c r="P126" i="11"/>
  <c r="O126" i="11"/>
  <c r="N126" i="11"/>
  <c r="M126" i="11"/>
  <c r="D126" i="11"/>
  <c r="C126" i="11"/>
  <c r="AD125" i="11"/>
  <c r="AB125" i="11"/>
  <c r="AA125" i="11"/>
  <c r="Z125" i="11"/>
  <c r="Y125" i="11"/>
  <c r="X125" i="11"/>
  <c r="W125" i="11"/>
  <c r="V125" i="11"/>
  <c r="U125" i="11"/>
  <c r="T125" i="11"/>
  <c r="S125" i="11"/>
  <c r="R125" i="11"/>
  <c r="Q125" i="11"/>
  <c r="P125" i="11"/>
  <c r="O125" i="11"/>
  <c r="N125" i="11"/>
  <c r="M125" i="11"/>
  <c r="D125" i="11"/>
  <c r="C125" i="11"/>
  <c r="AD124" i="11"/>
  <c r="AB124" i="11"/>
  <c r="AA124" i="11"/>
  <c r="Z124" i="11"/>
  <c r="Y124" i="11"/>
  <c r="X124" i="11"/>
  <c r="W124" i="11"/>
  <c r="V124" i="11"/>
  <c r="U124" i="11"/>
  <c r="T124" i="11"/>
  <c r="S124" i="11"/>
  <c r="R124" i="11"/>
  <c r="Q124" i="11"/>
  <c r="P124" i="11"/>
  <c r="O124" i="11"/>
  <c r="N124" i="11"/>
  <c r="M124" i="11"/>
  <c r="D124" i="11"/>
  <c r="C124" i="11"/>
  <c r="AD123" i="11"/>
  <c r="AB123" i="11"/>
  <c r="AA123" i="11"/>
  <c r="Z123" i="11"/>
  <c r="Y123" i="11"/>
  <c r="X123" i="11"/>
  <c r="W123" i="11"/>
  <c r="V123" i="11"/>
  <c r="U123" i="11"/>
  <c r="T123" i="11"/>
  <c r="S123" i="11"/>
  <c r="R123" i="11"/>
  <c r="Q123" i="11"/>
  <c r="P123" i="11"/>
  <c r="O123" i="11"/>
  <c r="N123" i="11"/>
  <c r="M123" i="11"/>
  <c r="D123" i="11"/>
  <c r="C123" i="11"/>
  <c r="AD122" i="11"/>
  <c r="AB122" i="11"/>
  <c r="AA122" i="11"/>
  <c r="Z122" i="11"/>
  <c r="Y122" i="11"/>
  <c r="X122" i="11"/>
  <c r="W122" i="11"/>
  <c r="V122" i="11"/>
  <c r="U122" i="11"/>
  <c r="T122" i="11"/>
  <c r="S122" i="11"/>
  <c r="R122" i="11"/>
  <c r="Q122" i="11"/>
  <c r="P122" i="11"/>
  <c r="O122" i="11"/>
  <c r="N122" i="11"/>
  <c r="M122" i="11"/>
  <c r="D122" i="11"/>
  <c r="C122" i="11"/>
  <c r="AD121" i="11"/>
  <c r="AB121" i="11"/>
  <c r="AA121" i="11"/>
  <c r="Z121" i="11"/>
  <c r="Y121" i="11"/>
  <c r="X121" i="11"/>
  <c r="W121" i="11"/>
  <c r="V121" i="11"/>
  <c r="U121" i="11"/>
  <c r="T121" i="11"/>
  <c r="S121" i="11"/>
  <c r="R121" i="11"/>
  <c r="Q121" i="11"/>
  <c r="P121" i="11"/>
  <c r="O121" i="11"/>
  <c r="N121" i="11"/>
  <c r="M121" i="11"/>
  <c r="D121" i="11"/>
  <c r="C121" i="11"/>
  <c r="AD120" i="11"/>
  <c r="AB120" i="11"/>
  <c r="AA120" i="11"/>
  <c r="Z120" i="11"/>
  <c r="Y120" i="11"/>
  <c r="X120" i="11"/>
  <c r="W120" i="11"/>
  <c r="V120" i="11"/>
  <c r="U120" i="11"/>
  <c r="T120" i="11"/>
  <c r="S120" i="11"/>
  <c r="R120" i="11"/>
  <c r="Q120" i="11"/>
  <c r="P120" i="11"/>
  <c r="O120" i="11"/>
  <c r="N120" i="11"/>
  <c r="M120" i="11"/>
  <c r="D120" i="11"/>
  <c r="C120" i="11"/>
  <c r="AD119" i="11"/>
  <c r="AB119" i="11"/>
  <c r="AA119" i="11"/>
  <c r="Z119" i="11"/>
  <c r="Y119" i="11"/>
  <c r="X119" i="11"/>
  <c r="W119" i="11"/>
  <c r="V119" i="11"/>
  <c r="U119" i="11"/>
  <c r="T119" i="11"/>
  <c r="S119" i="11"/>
  <c r="R119" i="11"/>
  <c r="Q119" i="11"/>
  <c r="P119" i="11"/>
  <c r="O119" i="11"/>
  <c r="N119" i="11"/>
  <c r="M119" i="11"/>
  <c r="D119" i="11"/>
  <c r="C119" i="11"/>
  <c r="AD118" i="11"/>
  <c r="AB118" i="11"/>
  <c r="AA118" i="11"/>
  <c r="Z118" i="11"/>
  <c r="Y118" i="11"/>
  <c r="X118" i="11"/>
  <c r="W118" i="11"/>
  <c r="V118" i="11"/>
  <c r="U118" i="11"/>
  <c r="T118" i="11"/>
  <c r="S118" i="11"/>
  <c r="R118" i="11"/>
  <c r="Q118" i="11"/>
  <c r="P118" i="11"/>
  <c r="O118" i="11"/>
  <c r="N118" i="11"/>
  <c r="M118" i="11"/>
  <c r="D118" i="11"/>
  <c r="C118" i="11"/>
  <c r="AD117" i="11"/>
  <c r="AB117" i="11"/>
  <c r="AA117" i="11"/>
  <c r="Z117" i="11"/>
  <c r="Y117" i="11"/>
  <c r="X117" i="11"/>
  <c r="W117" i="11"/>
  <c r="V117" i="11"/>
  <c r="U117" i="11"/>
  <c r="T117" i="11"/>
  <c r="S117" i="11"/>
  <c r="R117" i="11"/>
  <c r="Q117" i="11"/>
  <c r="P117" i="11"/>
  <c r="O117" i="11"/>
  <c r="N117" i="11"/>
  <c r="M117" i="11"/>
  <c r="D117" i="11"/>
  <c r="C117" i="11"/>
  <c r="AD116" i="11"/>
  <c r="AB116" i="11"/>
  <c r="AA116" i="11"/>
  <c r="Z116" i="11"/>
  <c r="Y116" i="11"/>
  <c r="X116" i="11"/>
  <c r="W116" i="11"/>
  <c r="V116" i="11"/>
  <c r="U116" i="11"/>
  <c r="T116" i="11"/>
  <c r="S116" i="11"/>
  <c r="R116" i="11"/>
  <c r="Q116" i="11"/>
  <c r="P116" i="11"/>
  <c r="O116" i="11"/>
  <c r="N116" i="11"/>
  <c r="M116" i="11"/>
  <c r="D116" i="11"/>
  <c r="C116" i="11"/>
  <c r="AD115" i="11"/>
  <c r="AB115" i="11"/>
  <c r="AA115" i="11"/>
  <c r="Z115" i="11"/>
  <c r="Y115" i="11"/>
  <c r="X115" i="11"/>
  <c r="W115" i="11"/>
  <c r="V115" i="11"/>
  <c r="U115" i="11"/>
  <c r="T115" i="11"/>
  <c r="S115" i="11"/>
  <c r="R115" i="11"/>
  <c r="Q115" i="11"/>
  <c r="P115" i="11"/>
  <c r="O115" i="11"/>
  <c r="N115" i="11"/>
  <c r="M115" i="11"/>
  <c r="D115" i="11"/>
  <c r="C115" i="11"/>
  <c r="AD114" i="11"/>
  <c r="AB114" i="11"/>
  <c r="AA114" i="11"/>
  <c r="Z114" i="11"/>
  <c r="Y114" i="11"/>
  <c r="X114" i="11"/>
  <c r="W114" i="11"/>
  <c r="V114" i="11"/>
  <c r="U114" i="11"/>
  <c r="T114" i="11"/>
  <c r="S114" i="11"/>
  <c r="R114" i="11"/>
  <c r="Q114" i="11"/>
  <c r="P114" i="11"/>
  <c r="O114" i="11"/>
  <c r="N114" i="11"/>
  <c r="M114" i="11"/>
  <c r="D114" i="11"/>
  <c r="C114" i="11"/>
  <c r="AD113" i="11"/>
  <c r="AB113" i="11"/>
  <c r="AA113" i="11"/>
  <c r="Z113" i="11"/>
  <c r="Y113" i="11"/>
  <c r="X113" i="11"/>
  <c r="W113" i="11"/>
  <c r="V113" i="11"/>
  <c r="U113" i="11"/>
  <c r="T113" i="11"/>
  <c r="S113" i="11"/>
  <c r="R113" i="11"/>
  <c r="Q113" i="11"/>
  <c r="P113" i="11"/>
  <c r="O113" i="11"/>
  <c r="N113" i="11"/>
  <c r="M113" i="11"/>
  <c r="D113" i="11"/>
  <c r="C113" i="11"/>
  <c r="AD112" i="11"/>
  <c r="AB112" i="11"/>
  <c r="AA112" i="11"/>
  <c r="Z112" i="11"/>
  <c r="Y112" i="11"/>
  <c r="X112" i="11"/>
  <c r="W112" i="11"/>
  <c r="V112" i="11"/>
  <c r="U112" i="11"/>
  <c r="T112" i="11"/>
  <c r="S112" i="11"/>
  <c r="R112" i="11"/>
  <c r="Q112" i="11"/>
  <c r="P112" i="11"/>
  <c r="O112" i="11"/>
  <c r="N112" i="11"/>
  <c r="M112" i="11"/>
  <c r="D112" i="11"/>
  <c r="C112" i="11"/>
  <c r="AD111" i="11"/>
  <c r="AB111" i="11"/>
  <c r="AA111" i="11"/>
  <c r="Z111" i="11"/>
  <c r="Y111" i="11"/>
  <c r="X111" i="11"/>
  <c r="W111" i="11"/>
  <c r="V111" i="11"/>
  <c r="U111" i="11"/>
  <c r="T111" i="11"/>
  <c r="S111" i="11"/>
  <c r="R111" i="11"/>
  <c r="Q111" i="11"/>
  <c r="P111" i="11"/>
  <c r="O111" i="11"/>
  <c r="N111" i="11"/>
  <c r="M111" i="11"/>
  <c r="D111" i="11"/>
  <c r="C111" i="11"/>
  <c r="AD110" i="11"/>
  <c r="AB110" i="11"/>
  <c r="AA110" i="11"/>
  <c r="Z110" i="11"/>
  <c r="Y110" i="11"/>
  <c r="X110" i="11"/>
  <c r="W110" i="11"/>
  <c r="V110" i="11"/>
  <c r="U110" i="11"/>
  <c r="T110" i="11"/>
  <c r="S110" i="11"/>
  <c r="R110" i="11"/>
  <c r="Q110" i="11"/>
  <c r="P110" i="11"/>
  <c r="O110" i="11"/>
  <c r="N110" i="11"/>
  <c r="M110" i="11"/>
  <c r="D110" i="11"/>
  <c r="C110" i="11"/>
  <c r="AD109" i="11"/>
  <c r="AB109" i="11"/>
  <c r="AA109" i="11"/>
  <c r="Z109" i="11"/>
  <c r="Y109" i="11"/>
  <c r="X109" i="11"/>
  <c r="W109" i="11"/>
  <c r="V109" i="11"/>
  <c r="U109" i="11"/>
  <c r="T109" i="11"/>
  <c r="S109" i="11"/>
  <c r="R109" i="11"/>
  <c r="Q109" i="11"/>
  <c r="P109" i="11"/>
  <c r="O109" i="11"/>
  <c r="N109" i="11"/>
  <c r="M109" i="11"/>
  <c r="D109" i="11"/>
  <c r="C109" i="11"/>
  <c r="AD108" i="11"/>
  <c r="AB108" i="11"/>
  <c r="AA108" i="11"/>
  <c r="Z108" i="11"/>
  <c r="Y108" i="11"/>
  <c r="X108" i="11"/>
  <c r="W108" i="11"/>
  <c r="V108" i="11"/>
  <c r="U108" i="11"/>
  <c r="T108" i="11"/>
  <c r="S108" i="11"/>
  <c r="R108" i="11"/>
  <c r="Q108" i="11"/>
  <c r="P108" i="11"/>
  <c r="O108" i="11"/>
  <c r="N108" i="11"/>
  <c r="M108" i="11"/>
  <c r="D108" i="11"/>
  <c r="C108" i="11"/>
  <c r="AD107" i="11"/>
  <c r="AB107" i="11"/>
  <c r="AA107" i="11"/>
  <c r="Z107" i="11"/>
  <c r="Y107" i="11"/>
  <c r="X107" i="11"/>
  <c r="W107" i="11"/>
  <c r="V107" i="11"/>
  <c r="U107" i="11"/>
  <c r="T107" i="11"/>
  <c r="S107" i="11"/>
  <c r="R107" i="11"/>
  <c r="Q107" i="11"/>
  <c r="P107" i="11"/>
  <c r="O107" i="11"/>
  <c r="N107" i="11"/>
  <c r="M107" i="11"/>
  <c r="D107" i="11"/>
  <c r="C107" i="11"/>
  <c r="AD106" i="11"/>
  <c r="AB106" i="11"/>
  <c r="AA106" i="11"/>
  <c r="Z106" i="11"/>
  <c r="Y106" i="11"/>
  <c r="X106" i="11"/>
  <c r="W106" i="11"/>
  <c r="V106" i="11"/>
  <c r="U106" i="11"/>
  <c r="T106" i="11"/>
  <c r="S106" i="11"/>
  <c r="R106" i="11"/>
  <c r="Q106" i="11"/>
  <c r="P106" i="11"/>
  <c r="O106" i="11"/>
  <c r="N106" i="11"/>
  <c r="M106" i="11"/>
  <c r="D106" i="11"/>
  <c r="C106" i="11"/>
  <c r="AD105" i="11"/>
  <c r="AB105" i="11"/>
  <c r="AA105" i="11"/>
  <c r="Z105" i="11"/>
  <c r="Y105" i="11"/>
  <c r="X105" i="11"/>
  <c r="W105" i="11"/>
  <c r="V105" i="11"/>
  <c r="U105" i="11"/>
  <c r="T105" i="11"/>
  <c r="S105" i="11"/>
  <c r="R105" i="11"/>
  <c r="Q105" i="11"/>
  <c r="P105" i="11"/>
  <c r="O105" i="11"/>
  <c r="N105" i="11"/>
  <c r="M105" i="11"/>
  <c r="D105" i="11"/>
  <c r="C105" i="11"/>
  <c r="AD104" i="11"/>
  <c r="AB104" i="11"/>
  <c r="AA104" i="11"/>
  <c r="Z104" i="11"/>
  <c r="Y104" i="11"/>
  <c r="X104" i="11"/>
  <c r="W104" i="11"/>
  <c r="V104" i="11"/>
  <c r="U104" i="11"/>
  <c r="T104" i="11"/>
  <c r="S104" i="11"/>
  <c r="R104" i="11"/>
  <c r="Q104" i="11"/>
  <c r="P104" i="11"/>
  <c r="O104" i="11"/>
  <c r="N104" i="11"/>
  <c r="M104" i="11"/>
  <c r="D104" i="11"/>
  <c r="C104" i="11"/>
  <c r="AD103" i="11"/>
  <c r="AB103" i="11"/>
  <c r="AA103" i="11"/>
  <c r="Z103" i="11"/>
  <c r="Y103" i="11"/>
  <c r="X103" i="11"/>
  <c r="W103" i="11"/>
  <c r="V103" i="11"/>
  <c r="U103" i="11"/>
  <c r="T103" i="11"/>
  <c r="S103" i="11"/>
  <c r="R103" i="11"/>
  <c r="Q103" i="11"/>
  <c r="P103" i="11"/>
  <c r="O103" i="11"/>
  <c r="N103" i="11"/>
  <c r="M103" i="11"/>
  <c r="D103" i="11"/>
  <c r="C103" i="11"/>
  <c r="AD102" i="11"/>
  <c r="AB102" i="11"/>
  <c r="AA102" i="11"/>
  <c r="Z102" i="11"/>
  <c r="Y102" i="11"/>
  <c r="X102" i="11"/>
  <c r="W102" i="11"/>
  <c r="V102" i="11"/>
  <c r="U102" i="11"/>
  <c r="T102" i="11"/>
  <c r="S102" i="11"/>
  <c r="R102" i="11"/>
  <c r="Q102" i="11"/>
  <c r="P102" i="11"/>
  <c r="O102" i="11"/>
  <c r="N102" i="11"/>
  <c r="M102" i="11"/>
  <c r="D102" i="11"/>
  <c r="C102" i="11"/>
  <c r="AD101" i="11"/>
  <c r="AB101" i="11"/>
  <c r="AA101" i="11"/>
  <c r="Z101" i="11"/>
  <c r="Y101" i="11"/>
  <c r="X101" i="11"/>
  <c r="W101" i="11"/>
  <c r="V101" i="11"/>
  <c r="U101" i="11"/>
  <c r="T101" i="11"/>
  <c r="S101" i="11"/>
  <c r="R101" i="11"/>
  <c r="Q101" i="11"/>
  <c r="P101" i="11"/>
  <c r="O101" i="11"/>
  <c r="N101" i="11"/>
  <c r="M101" i="11"/>
  <c r="D101" i="11"/>
  <c r="C101" i="11"/>
  <c r="AD100" i="11"/>
  <c r="AB100" i="11"/>
  <c r="AA100" i="11"/>
  <c r="Z100" i="11"/>
  <c r="Y100" i="11"/>
  <c r="X100" i="11"/>
  <c r="W100" i="11"/>
  <c r="V100" i="11"/>
  <c r="U100" i="11"/>
  <c r="T100" i="11"/>
  <c r="S100" i="11"/>
  <c r="R100" i="11"/>
  <c r="Q100" i="11"/>
  <c r="P100" i="11"/>
  <c r="O100" i="11"/>
  <c r="N100" i="11"/>
  <c r="M100" i="11"/>
  <c r="D100" i="11"/>
  <c r="C100" i="11"/>
  <c r="AD99" i="11"/>
  <c r="AB99" i="11"/>
  <c r="AA99" i="11"/>
  <c r="Z99" i="11"/>
  <c r="Y99" i="11"/>
  <c r="X99" i="11"/>
  <c r="W99" i="11"/>
  <c r="V99" i="11"/>
  <c r="U99" i="11"/>
  <c r="T99" i="11"/>
  <c r="S99" i="11"/>
  <c r="R99" i="11"/>
  <c r="Q99" i="11"/>
  <c r="P99" i="11"/>
  <c r="O99" i="11"/>
  <c r="N99" i="11"/>
  <c r="M99" i="11"/>
  <c r="D99" i="11"/>
  <c r="C99" i="11"/>
  <c r="AD98" i="11"/>
  <c r="AB98" i="11"/>
  <c r="AA98" i="11"/>
  <c r="Z98" i="11"/>
  <c r="Y98" i="11"/>
  <c r="X98" i="11"/>
  <c r="W98" i="11"/>
  <c r="V98" i="11"/>
  <c r="U98" i="11"/>
  <c r="T98" i="11"/>
  <c r="S98" i="11"/>
  <c r="R98" i="11"/>
  <c r="Q98" i="11"/>
  <c r="P98" i="11"/>
  <c r="O98" i="11"/>
  <c r="N98" i="11"/>
  <c r="M98" i="11"/>
  <c r="D98" i="11"/>
  <c r="C98" i="11"/>
  <c r="AD97" i="11"/>
  <c r="AB97" i="11"/>
  <c r="AA97" i="11"/>
  <c r="Z97" i="11"/>
  <c r="Y97" i="11"/>
  <c r="X97" i="11"/>
  <c r="W97" i="11"/>
  <c r="V97" i="11"/>
  <c r="U97" i="11"/>
  <c r="T97" i="11"/>
  <c r="S97" i="11"/>
  <c r="R97" i="11"/>
  <c r="Q97" i="11"/>
  <c r="P97" i="11"/>
  <c r="O97" i="11"/>
  <c r="N97" i="11"/>
  <c r="M97" i="11"/>
  <c r="D97" i="11"/>
  <c r="C97" i="11"/>
  <c r="AD96" i="11"/>
  <c r="AB96" i="11"/>
  <c r="AA96" i="11"/>
  <c r="Z96" i="11"/>
  <c r="Y96" i="11"/>
  <c r="X96" i="11"/>
  <c r="W96" i="11"/>
  <c r="V96" i="11"/>
  <c r="U96" i="11"/>
  <c r="T96" i="11"/>
  <c r="S96" i="11"/>
  <c r="R96" i="11"/>
  <c r="Q96" i="11"/>
  <c r="P96" i="11"/>
  <c r="O96" i="11"/>
  <c r="N96" i="11"/>
  <c r="M96" i="11"/>
  <c r="D96" i="11"/>
  <c r="C96" i="11"/>
  <c r="AD95" i="11"/>
  <c r="AB95" i="11"/>
  <c r="AA95" i="11"/>
  <c r="Z95" i="11"/>
  <c r="Y95" i="11"/>
  <c r="X95" i="11"/>
  <c r="W95" i="11"/>
  <c r="V95" i="11"/>
  <c r="U95" i="11"/>
  <c r="T95" i="11"/>
  <c r="S95" i="11"/>
  <c r="R95" i="11"/>
  <c r="Q95" i="11"/>
  <c r="P95" i="11"/>
  <c r="O95" i="11"/>
  <c r="N95" i="11"/>
  <c r="M95" i="11"/>
  <c r="D95" i="11"/>
  <c r="C95" i="11"/>
  <c r="AD94" i="11"/>
  <c r="AB94" i="11"/>
  <c r="AA94" i="11"/>
  <c r="Z94" i="11"/>
  <c r="Y94" i="11"/>
  <c r="X94" i="11"/>
  <c r="W94" i="11"/>
  <c r="V94" i="11"/>
  <c r="U94" i="11"/>
  <c r="T94" i="11"/>
  <c r="S94" i="11"/>
  <c r="R94" i="11"/>
  <c r="Q94" i="11"/>
  <c r="P94" i="11"/>
  <c r="O94" i="11"/>
  <c r="N94" i="11"/>
  <c r="M94" i="11"/>
  <c r="D94" i="11"/>
  <c r="C94" i="11"/>
  <c r="AD93" i="11"/>
  <c r="AB93" i="11"/>
  <c r="AA93" i="11"/>
  <c r="Z93" i="11"/>
  <c r="Y93" i="11"/>
  <c r="X93" i="11"/>
  <c r="W93" i="11"/>
  <c r="V93" i="11"/>
  <c r="U93" i="11"/>
  <c r="T93" i="11"/>
  <c r="S93" i="11"/>
  <c r="R93" i="11"/>
  <c r="Q93" i="11"/>
  <c r="P93" i="11"/>
  <c r="O93" i="11"/>
  <c r="N93" i="11"/>
  <c r="M93" i="11"/>
  <c r="D93" i="11"/>
  <c r="C93" i="11"/>
  <c r="AD92" i="11"/>
  <c r="AB92" i="11"/>
  <c r="AA92" i="11"/>
  <c r="Z92" i="11"/>
  <c r="Y92" i="11"/>
  <c r="X92" i="11"/>
  <c r="W92" i="11"/>
  <c r="V92" i="11"/>
  <c r="U92" i="11"/>
  <c r="T92" i="11"/>
  <c r="S92" i="11"/>
  <c r="R92" i="11"/>
  <c r="Q92" i="11"/>
  <c r="P92" i="11"/>
  <c r="O92" i="11"/>
  <c r="N92" i="11"/>
  <c r="M92" i="11"/>
  <c r="D92" i="11"/>
  <c r="C92" i="11"/>
  <c r="AD91" i="11"/>
  <c r="AB91" i="11"/>
  <c r="AA91" i="11"/>
  <c r="Z91" i="11"/>
  <c r="Y91" i="11"/>
  <c r="X91" i="11"/>
  <c r="W91" i="11"/>
  <c r="V91" i="11"/>
  <c r="U91" i="11"/>
  <c r="T91" i="11"/>
  <c r="S91" i="11"/>
  <c r="R91" i="11"/>
  <c r="Q91" i="11"/>
  <c r="P91" i="11"/>
  <c r="O91" i="11"/>
  <c r="N91" i="11"/>
  <c r="M91" i="11"/>
  <c r="D91" i="11"/>
  <c r="C91" i="11"/>
  <c r="AD90" i="11"/>
  <c r="AB90" i="11"/>
  <c r="AA90" i="11"/>
  <c r="Z90" i="11"/>
  <c r="Y90" i="11"/>
  <c r="X90" i="11"/>
  <c r="W90" i="11"/>
  <c r="V90" i="11"/>
  <c r="U90" i="11"/>
  <c r="T90" i="11"/>
  <c r="S90" i="11"/>
  <c r="R90" i="11"/>
  <c r="Q90" i="11"/>
  <c r="P90" i="11"/>
  <c r="O90" i="11"/>
  <c r="N90" i="11"/>
  <c r="M90" i="11"/>
  <c r="D90" i="11"/>
  <c r="C90" i="11"/>
  <c r="AD89" i="11"/>
  <c r="AB89" i="11"/>
  <c r="AA89" i="11"/>
  <c r="Z89" i="11"/>
  <c r="Y89" i="11"/>
  <c r="X89" i="11"/>
  <c r="W89" i="11"/>
  <c r="V89" i="11"/>
  <c r="U89" i="11"/>
  <c r="T89" i="11"/>
  <c r="S89" i="11"/>
  <c r="R89" i="11"/>
  <c r="Q89" i="11"/>
  <c r="P89" i="11"/>
  <c r="O89" i="11"/>
  <c r="N89" i="11"/>
  <c r="M89" i="11"/>
  <c r="D89" i="11"/>
  <c r="C89" i="11"/>
  <c r="AD88" i="11"/>
  <c r="AB88" i="11"/>
  <c r="AA88" i="11"/>
  <c r="Z88" i="11"/>
  <c r="Y88" i="11"/>
  <c r="X88" i="11"/>
  <c r="W88" i="11"/>
  <c r="V88" i="11"/>
  <c r="U88" i="11"/>
  <c r="T88" i="11"/>
  <c r="S88" i="11"/>
  <c r="R88" i="11"/>
  <c r="Q88" i="11"/>
  <c r="P88" i="11"/>
  <c r="O88" i="11"/>
  <c r="N88" i="11"/>
  <c r="M88" i="11"/>
  <c r="D88" i="11"/>
  <c r="C88" i="11"/>
  <c r="AD87" i="11"/>
  <c r="AB87" i="11"/>
  <c r="AA87" i="11"/>
  <c r="Z87" i="11"/>
  <c r="Y87" i="11"/>
  <c r="X87" i="11"/>
  <c r="W87" i="11"/>
  <c r="V87" i="11"/>
  <c r="U87" i="11"/>
  <c r="T87" i="11"/>
  <c r="S87" i="11"/>
  <c r="R87" i="11"/>
  <c r="Q87" i="11"/>
  <c r="P87" i="11"/>
  <c r="O87" i="11"/>
  <c r="N87" i="11"/>
  <c r="M87" i="11"/>
  <c r="D87" i="11"/>
  <c r="C87" i="11"/>
  <c r="AD86" i="11"/>
  <c r="AB86" i="11"/>
  <c r="AA86" i="11"/>
  <c r="Z86" i="11"/>
  <c r="Y86" i="11"/>
  <c r="X86" i="11"/>
  <c r="W86" i="11"/>
  <c r="V86" i="11"/>
  <c r="U86" i="11"/>
  <c r="T86" i="11"/>
  <c r="S86" i="11"/>
  <c r="R86" i="11"/>
  <c r="Q86" i="11"/>
  <c r="P86" i="11"/>
  <c r="O86" i="11"/>
  <c r="N86" i="11"/>
  <c r="M86" i="11"/>
  <c r="D86" i="11"/>
  <c r="C86" i="11"/>
  <c r="AD85" i="11"/>
  <c r="AB85" i="11"/>
  <c r="AA85" i="11"/>
  <c r="Z85" i="11"/>
  <c r="Y85" i="11"/>
  <c r="X85" i="11"/>
  <c r="W85" i="11"/>
  <c r="V85" i="11"/>
  <c r="U85" i="11"/>
  <c r="T85" i="11"/>
  <c r="S85" i="11"/>
  <c r="R85" i="11"/>
  <c r="Q85" i="11"/>
  <c r="P85" i="11"/>
  <c r="O85" i="11"/>
  <c r="N85" i="11"/>
  <c r="M85" i="11"/>
  <c r="D85" i="11"/>
  <c r="C85" i="11"/>
  <c r="AD84" i="11"/>
  <c r="AB84" i="11"/>
  <c r="AA84" i="11"/>
  <c r="Z84" i="11"/>
  <c r="Y84" i="11"/>
  <c r="X84" i="11"/>
  <c r="W84" i="11"/>
  <c r="V84" i="11"/>
  <c r="U84" i="11"/>
  <c r="T84" i="11"/>
  <c r="S84" i="11"/>
  <c r="R84" i="11"/>
  <c r="Q84" i="11"/>
  <c r="P84" i="11"/>
  <c r="O84" i="11"/>
  <c r="N84" i="11"/>
  <c r="M84" i="11"/>
  <c r="D84" i="11"/>
  <c r="C84" i="11"/>
  <c r="AD83" i="11"/>
  <c r="AB83" i="11"/>
  <c r="AA83" i="11"/>
  <c r="Z83" i="11"/>
  <c r="Y83" i="11"/>
  <c r="X83" i="11"/>
  <c r="W83" i="11"/>
  <c r="V83" i="11"/>
  <c r="U83" i="11"/>
  <c r="T83" i="11"/>
  <c r="S83" i="11"/>
  <c r="R83" i="11"/>
  <c r="Q83" i="11"/>
  <c r="P83" i="11"/>
  <c r="O83" i="11"/>
  <c r="N83" i="11"/>
  <c r="M83" i="11"/>
  <c r="D83" i="11"/>
  <c r="C83" i="11"/>
  <c r="AD82" i="11"/>
  <c r="AB82" i="11"/>
  <c r="AA82" i="11"/>
  <c r="Z82" i="11"/>
  <c r="Y82" i="11"/>
  <c r="X82" i="11"/>
  <c r="W82" i="11"/>
  <c r="V82" i="11"/>
  <c r="U82" i="11"/>
  <c r="T82" i="11"/>
  <c r="S82" i="11"/>
  <c r="R82" i="11"/>
  <c r="Q82" i="11"/>
  <c r="P82" i="11"/>
  <c r="O82" i="11"/>
  <c r="N82" i="11"/>
  <c r="M82" i="11"/>
  <c r="D82" i="11"/>
  <c r="C82" i="11"/>
  <c r="AD81" i="11"/>
  <c r="AB81" i="11"/>
  <c r="AA81" i="11"/>
  <c r="Z81" i="11"/>
  <c r="Y81" i="11"/>
  <c r="X81" i="11"/>
  <c r="W81" i="11"/>
  <c r="V81" i="11"/>
  <c r="U81" i="11"/>
  <c r="T81" i="11"/>
  <c r="S81" i="11"/>
  <c r="R81" i="11"/>
  <c r="Q81" i="11"/>
  <c r="P81" i="11"/>
  <c r="O81" i="11"/>
  <c r="N81" i="11"/>
  <c r="M81" i="11"/>
  <c r="D81" i="11"/>
  <c r="C81" i="11"/>
  <c r="AD80" i="11"/>
  <c r="AB80" i="11"/>
  <c r="AA80" i="11"/>
  <c r="Z80" i="11"/>
  <c r="Y80" i="11"/>
  <c r="X80" i="11"/>
  <c r="W80" i="11"/>
  <c r="V80" i="11"/>
  <c r="U80" i="11"/>
  <c r="T80" i="11"/>
  <c r="S80" i="11"/>
  <c r="R80" i="11"/>
  <c r="Q80" i="11"/>
  <c r="P80" i="11"/>
  <c r="O80" i="11"/>
  <c r="N80" i="11"/>
  <c r="M80" i="11"/>
  <c r="D80" i="11"/>
  <c r="L7" i="11" s="1"/>
  <c r="C80" i="11"/>
  <c r="AD79" i="11"/>
  <c r="T79" i="11"/>
  <c r="S79" i="11"/>
  <c r="R79" i="11"/>
  <c r="Q79" i="11"/>
  <c r="P79" i="11"/>
  <c r="O79" i="11"/>
  <c r="N79" i="11"/>
  <c r="M79" i="11"/>
  <c r="C79" i="11"/>
  <c r="AD78" i="11"/>
  <c r="T78" i="11"/>
  <c r="S78" i="11"/>
  <c r="R78" i="11"/>
  <c r="Q78" i="11"/>
  <c r="P78" i="11"/>
  <c r="O78" i="11"/>
  <c r="N78" i="11"/>
  <c r="M78" i="11"/>
  <c r="C78" i="11"/>
  <c r="AD77" i="11"/>
  <c r="T77" i="11"/>
  <c r="S77" i="11"/>
  <c r="R77" i="11"/>
  <c r="Q77" i="11"/>
  <c r="P77" i="11"/>
  <c r="O77" i="11"/>
  <c r="N77" i="11"/>
  <c r="M77" i="11"/>
  <c r="C77" i="11"/>
  <c r="AD76" i="11"/>
  <c r="T76" i="11"/>
  <c r="S76" i="11"/>
  <c r="R76" i="11"/>
  <c r="Q76" i="11"/>
  <c r="P76" i="11"/>
  <c r="O76" i="11"/>
  <c r="N76" i="11"/>
  <c r="M76" i="11"/>
  <c r="C76" i="11"/>
  <c r="AD75" i="11"/>
  <c r="T75" i="11"/>
  <c r="S75" i="11"/>
  <c r="R75" i="11"/>
  <c r="Q75" i="11"/>
  <c r="P75" i="11"/>
  <c r="O75" i="11"/>
  <c r="N75" i="11"/>
  <c r="M75" i="11"/>
  <c r="C75" i="11"/>
  <c r="AD74" i="11"/>
  <c r="T74" i="11"/>
  <c r="S74" i="11"/>
  <c r="R74" i="11"/>
  <c r="Q74" i="11"/>
  <c r="P74" i="11"/>
  <c r="O74" i="11"/>
  <c r="N74" i="11"/>
  <c r="M74" i="11"/>
  <c r="C74" i="11"/>
  <c r="AD73" i="11"/>
  <c r="T73" i="11"/>
  <c r="S73" i="11"/>
  <c r="R73" i="11"/>
  <c r="Q73" i="11"/>
  <c r="P73" i="11"/>
  <c r="O73" i="11"/>
  <c r="N73" i="11"/>
  <c r="M73" i="11"/>
  <c r="C73" i="11"/>
  <c r="AD72" i="11"/>
  <c r="T72" i="11"/>
  <c r="S72" i="11"/>
  <c r="R72" i="11"/>
  <c r="Q72" i="11"/>
  <c r="P72" i="11"/>
  <c r="O72" i="11"/>
  <c r="N72" i="11"/>
  <c r="M72" i="11"/>
  <c r="C72" i="11"/>
  <c r="AD71" i="11"/>
  <c r="T71" i="11"/>
  <c r="S71" i="11"/>
  <c r="R71" i="11"/>
  <c r="Q71" i="11"/>
  <c r="P71" i="11"/>
  <c r="O71" i="11"/>
  <c r="N71" i="11"/>
  <c r="M71" i="11"/>
  <c r="C71" i="11"/>
  <c r="AD70" i="11"/>
  <c r="T70" i="11"/>
  <c r="S70" i="11"/>
  <c r="R70" i="11"/>
  <c r="Q70" i="11"/>
  <c r="P70" i="11"/>
  <c r="O70" i="11"/>
  <c r="N70" i="11"/>
  <c r="M70" i="11"/>
  <c r="C70" i="11"/>
  <c r="AD69" i="11"/>
  <c r="T69" i="11"/>
  <c r="S69" i="11"/>
  <c r="R69" i="11"/>
  <c r="Q69" i="11"/>
  <c r="P69" i="11"/>
  <c r="O69" i="11"/>
  <c r="N69" i="11"/>
  <c r="M69" i="11"/>
  <c r="C69" i="11"/>
  <c r="AD68" i="11"/>
  <c r="T68" i="11"/>
  <c r="S68" i="11"/>
  <c r="R68" i="11"/>
  <c r="Q68" i="11"/>
  <c r="P68" i="11"/>
  <c r="O68" i="11"/>
  <c r="N68" i="11"/>
  <c r="M68" i="11"/>
  <c r="C68" i="11"/>
  <c r="AD67" i="11"/>
  <c r="T67" i="11"/>
  <c r="S67" i="11"/>
  <c r="R67" i="11"/>
  <c r="Q67" i="11"/>
  <c r="P67" i="11"/>
  <c r="O67" i="11"/>
  <c r="N67" i="11"/>
  <c r="M67" i="11"/>
  <c r="C67" i="11"/>
  <c r="AD66" i="11"/>
  <c r="T66" i="11"/>
  <c r="S66" i="11"/>
  <c r="R66" i="11"/>
  <c r="Q66" i="11"/>
  <c r="P66" i="11"/>
  <c r="O66" i="11"/>
  <c r="N66" i="11"/>
  <c r="M66" i="11"/>
  <c r="C66" i="11"/>
  <c r="AD65" i="11"/>
  <c r="T65" i="11"/>
  <c r="S65" i="11"/>
  <c r="R65" i="11"/>
  <c r="Q65" i="11"/>
  <c r="P65" i="11"/>
  <c r="O65" i="11"/>
  <c r="N65" i="11"/>
  <c r="M65" i="11"/>
  <c r="C65" i="11"/>
  <c r="AD64" i="11"/>
  <c r="T64" i="11"/>
  <c r="S64" i="11"/>
  <c r="R64" i="11"/>
  <c r="Q64" i="11"/>
  <c r="P64" i="11"/>
  <c r="O64" i="11"/>
  <c r="N64" i="11"/>
  <c r="M64" i="11"/>
  <c r="C64" i="11"/>
  <c r="AD63" i="11"/>
  <c r="T63" i="11"/>
  <c r="S63" i="11"/>
  <c r="R63" i="11"/>
  <c r="Q63" i="11"/>
  <c r="P63" i="11"/>
  <c r="O63" i="11"/>
  <c r="N63" i="11"/>
  <c r="M63" i="11"/>
  <c r="C63" i="11"/>
  <c r="AD62" i="11"/>
  <c r="T62" i="11"/>
  <c r="S62" i="11"/>
  <c r="R62" i="11"/>
  <c r="Q62" i="11"/>
  <c r="P62" i="11"/>
  <c r="O62" i="11"/>
  <c r="N62" i="11"/>
  <c r="M62" i="11"/>
  <c r="C62" i="11"/>
  <c r="AD61" i="11"/>
  <c r="T61" i="11"/>
  <c r="S61" i="11"/>
  <c r="R61" i="11"/>
  <c r="Q61" i="11"/>
  <c r="P61" i="11"/>
  <c r="O61" i="11"/>
  <c r="N61" i="11"/>
  <c r="M61" i="11"/>
  <c r="C61" i="11"/>
  <c r="AD60" i="11"/>
  <c r="T60" i="11"/>
  <c r="S60" i="11"/>
  <c r="R60" i="11"/>
  <c r="Q60" i="11"/>
  <c r="P60" i="11"/>
  <c r="O60" i="11"/>
  <c r="N60" i="11"/>
  <c r="M60" i="11"/>
  <c r="C60" i="11"/>
  <c r="AD59" i="11"/>
  <c r="T59" i="11"/>
  <c r="S59" i="11"/>
  <c r="R59" i="11"/>
  <c r="Q59" i="11"/>
  <c r="P59" i="11"/>
  <c r="O59" i="11"/>
  <c r="N59" i="11"/>
  <c r="M59" i="11"/>
  <c r="C59" i="11"/>
  <c r="AD58" i="11"/>
  <c r="T58" i="11"/>
  <c r="S58" i="11"/>
  <c r="R58" i="11"/>
  <c r="Q58" i="11"/>
  <c r="P58" i="11"/>
  <c r="O58" i="11"/>
  <c r="N58" i="11"/>
  <c r="M58" i="11"/>
  <c r="C58" i="11"/>
  <c r="AD57" i="11"/>
  <c r="T57" i="11"/>
  <c r="S57" i="11"/>
  <c r="R57" i="11"/>
  <c r="Q57" i="11"/>
  <c r="P57" i="11"/>
  <c r="O57" i="11"/>
  <c r="N57" i="11"/>
  <c r="M57" i="11"/>
  <c r="C57" i="11"/>
  <c r="AD56" i="11"/>
  <c r="T56" i="11"/>
  <c r="S56" i="11"/>
  <c r="R56" i="11"/>
  <c r="Q56" i="11"/>
  <c r="P56" i="11"/>
  <c r="O56" i="11"/>
  <c r="N56" i="11"/>
  <c r="M56" i="11"/>
  <c r="C56" i="11"/>
  <c r="AD55" i="11"/>
  <c r="T55" i="11"/>
  <c r="S55" i="11"/>
  <c r="R55" i="11"/>
  <c r="Q55" i="11"/>
  <c r="P55" i="11"/>
  <c r="O55" i="11"/>
  <c r="N55" i="11"/>
  <c r="M55" i="11"/>
  <c r="C55" i="11"/>
  <c r="AD54" i="11"/>
  <c r="T54" i="11"/>
  <c r="S54" i="11"/>
  <c r="R54" i="11"/>
  <c r="Q54" i="11"/>
  <c r="P54" i="11"/>
  <c r="O54" i="11"/>
  <c r="N54" i="11"/>
  <c r="M54" i="11"/>
  <c r="C54" i="11"/>
  <c r="AD53" i="11"/>
  <c r="T53" i="11"/>
  <c r="S53" i="11"/>
  <c r="R53" i="11"/>
  <c r="Q53" i="11"/>
  <c r="P53" i="11"/>
  <c r="O53" i="11"/>
  <c r="N53" i="11"/>
  <c r="M53" i="11"/>
  <c r="C53" i="11"/>
  <c r="AD52" i="11"/>
  <c r="T52" i="11"/>
  <c r="S52" i="11"/>
  <c r="R52" i="11"/>
  <c r="Q52" i="11"/>
  <c r="P52" i="11"/>
  <c r="O52" i="11"/>
  <c r="N52" i="11"/>
  <c r="M52" i="11"/>
  <c r="C52" i="11"/>
  <c r="AD51" i="11"/>
  <c r="T51" i="11"/>
  <c r="S51" i="11"/>
  <c r="R51" i="11"/>
  <c r="Q51" i="11"/>
  <c r="P51" i="11"/>
  <c r="O51" i="11"/>
  <c r="N51" i="11"/>
  <c r="M51" i="11"/>
  <c r="C51" i="11"/>
  <c r="AD50" i="11"/>
  <c r="T50" i="11"/>
  <c r="S50" i="11"/>
  <c r="R50" i="11"/>
  <c r="Q50" i="11"/>
  <c r="P50" i="11"/>
  <c r="O50" i="11"/>
  <c r="N50" i="11"/>
  <c r="M50" i="11"/>
  <c r="C50" i="11"/>
  <c r="AD49" i="11"/>
  <c r="T49" i="11"/>
  <c r="S49" i="11"/>
  <c r="R49" i="11"/>
  <c r="Q49" i="11"/>
  <c r="P49" i="11"/>
  <c r="O49" i="11"/>
  <c r="N49" i="11"/>
  <c r="M49" i="11"/>
  <c r="C49" i="11"/>
  <c r="AD48" i="11"/>
  <c r="T48" i="11"/>
  <c r="S48" i="11"/>
  <c r="R48" i="11"/>
  <c r="Q48" i="11"/>
  <c r="P48" i="11"/>
  <c r="O48" i="11"/>
  <c r="N48" i="11"/>
  <c r="M48" i="11"/>
  <c r="C48" i="11"/>
  <c r="AD47" i="11"/>
  <c r="T47" i="11"/>
  <c r="S47" i="11"/>
  <c r="R47" i="11"/>
  <c r="Q47" i="11"/>
  <c r="P47" i="11"/>
  <c r="O47" i="11"/>
  <c r="N47" i="11"/>
  <c r="M47" i="11"/>
  <c r="C47" i="11"/>
  <c r="AD46" i="11"/>
  <c r="T46" i="11"/>
  <c r="S46" i="11"/>
  <c r="R46" i="11"/>
  <c r="Q46" i="11"/>
  <c r="P46" i="11"/>
  <c r="O46" i="11"/>
  <c r="N46" i="11"/>
  <c r="M46" i="11"/>
  <c r="C46" i="11"/>
  <c r="AD45" i="11"/>
  <c r="T45" i="11"/>
  <c r="S45" i="11"/>
  <c r="R45" i="11"/>
  <c r="Q45" i="11"/>
  <c r="P45" i="11"/>
  <c r="O45" i="11"/>
  <c r="N45" i="11"/>
  <c r="M45" i="11"/>
  <c r="C45" i="11"/>
  <c r="AD44" i="11"/>
  <c r="T44" i="11"/>
  <c r="S44" i="11"/>
  <c r="R44" i="11"/>
  <c r="Q44" i="11"/>
  <c r="P44" i="11"/>
  <c r="O44" i="11"/>
  <c r="N44" i="11"/>
  <c r="M44" i="11"/>
  <c r="C44" i="11"/>
  <c r="C9" i="11" s="1"/>
  <c r="C17" i="11"/>
  <c r="I10" i="11"/>
  <c r="Q544" i="10"/>
  <c r="P544" i="10"/>
  <c r="O544" i="10"/>
  <c r="N544" i="10"/>
  <c r="M544" i="10"/>
  <c r="L544" i="10"/>
  <c r="K544" i="10"/>
  <c r="Q543" i="10"/>
  <c r="P543" i="10"/>
  <c r="O543" i="10"/>
  <c r="N543" i="10"/>
  <c r="M543" i="10"/>
  <c r="L543" i="10"/>
  <c r="K543" i="10"/>
  <c r="Q542" i="10"/>
  <c r="P542" i="10"/>
  <c r="O542" i="10"/>
  <c r="N542" i="10"/>
  <c r="M542" i="10"/>
  <c r="L542" i="10"/>
  <c r="K542" i="10"/>
  <c r="Q541" i="10"/>
  <c r="P541" i="10"/>
  <c r="O541" i="10"/>
  <c r="N541" i="10"/>
  <c r="M541" i="10"/>
  <c r="L541" i="10"/>
  <c r="K541" i="10"/>
  <c r="Q540" i="10"/>
  <c r="P540" i="10"/>
  <c r="O540" i="10"/>
  <c r="N540" i="10"/>
  <c r="M540" i="10"/>
  <c r="L540" i="10"/>
  <c r="K540" i="10"/>
  <c r="Q539" i="10"/>
  <c r="P539" i="10"/>
  <c r="O539" i="10"/>
  <c r="N539" i="10"/>
  <c r="M539" i="10"/>
  <c r="L539" i="10"/>
  <c r="K539" i="10"/>
  <c r="Q538" i="10"/>
  <c r="P538" i="10"/>
  <c r="O538" i="10"/>
  <c r="N538" i="10"/>
  <c r="M538" i="10"/>
  <c r="L538" i="10"/>
  <c r="K538" i="10"/>
  <c r="Q537" i="10"/>
  <c r="P537" i="10"/>
  <c r="O537" i="10"/>
  <c r="N537" i="10"/>
  <c r="M537" i="10"/>
  <c r="L537" i="10"/>
  <c r="K537" i="10"/>
  <c r="Q536" i="10"/>
  <c r="P536" i="10"/>
  <c r="O536" i="10"/>
  <c r="N536" i="10"/>
  <c r="M536" i="10"/>
  <c r="L536" i="10"/>
  <c r="K536" i="10"/>
  <c r="Q535" i="10"/>
  <c r="P535" i="10"/>
  <c r="O535" i="10"/>
  <c r="N535" i="10"/>
  <c r="M535" i="10"/>
  <c r="L535" i="10"/>
  <c r="K535" i="10"/>
  <c r="Q534" i="10"/>
  <c r="P534" i="10"/>
  <c r="O534" i="10"/>
  <c r="N534" i="10"/>
  <c r="M534" i="10"/>
  <c r="L534" i="10"/>
  <c r="K534" i="10"/>
  <c r="Q533" i="10"/>
  <c r="P533" i="10"/>
  <c r="O533" i="10"/>
  <c r="N533" i="10"/>
  <c r="M533" i="10"/>
  <c r="L533" i="10"/>
  <c r="K533" i="10"/>
  <c r="Q532" i="10"/>
  <c r="P532" i="10"/>
  <c r="O532" i="10"/>
  <c r="N532" i="10"/>
  <c r="M532" i="10"/>
  <c r="L532" i="10"/>
  <c r="K532" i="10"/>
  <c r="Q531" i="10"/>
  <c r="P531" i="10"/>
  <c r="O531" i="10"/>
  <c r="N531" i="10"/>
  <c r="M531" i="10"/>
  <c r="L531" i="10"/>
  <c r="K531" i="10"/>
  <c r="Q530" i="10"/>
  <c r="P530" i="10"/>
  <c r="O530" i="10"/>
  <c r="N530" i="10"/>
  <c r="M530" i="10"/>
  <c r="L530" i="10"/>
  <c r="K530" i="10"/>
  <c r="Q529" i="10"/>
  <c r="P529" i="10"/>
  <c r="O529" i="10"/>
  <c r="N529" i="10"/>
  <c r="M529" i="10"/>
  <c r="L529" i="10"/>
  <c r="K529" i="10"/>
  <c r="Q528" i="10"/>
  <c r="P528" i="10"/>
  <c r="O528" i="10"/>
  <c r="N528" i="10"/>
  <c r="M528" i="10"/>
  <c r="L528" i="10"/>
  <c r="K528" i="10"/>
  <c r="Q527" i="10"/>
  <c r="P527" i="10"/>
  <c r="O527" i="10"/>
  <c r="N527" i="10"/>
  <c r="M527" i="10"/>
  <c r="L527" i="10"/>
  <c r="K527" i="10"/>
  <c r="Q526" i="10"/>
  <c r="P526" i="10"/>
  <c r="O526" i="10"/>
  <c r="N526" i="10"/>
  <c r="M526" i="10"/>
  <c r="L526" i="10"/>
  <c r="K526" i="10"/>
  <c r="Q525" i="10"/>
  <c r="P525" i="10"/>
  <c r="O525" i="10"/>
  <c r="N525" i="10"/>
  <c r="M525" i="10"/>
  <c r="L525" i="10"/>
  <c r="K525" i="10"/>
  <c r="Q524" i="10"/>
  <c r="P524" i="10"/>
  <c r="O524" i="10"/>
  <c r="N524" i="10"/>
  <c r="M524" i="10"/>
  <c r="L524" i="10"/>
  <c r="K524" i="10"/>
  <c r="Q523" i="10"/>
  <c r="P523" i="10"/>
  <c r="O523" i="10"/>
  <c r="N523" i="10"/>
  <c r="M523" i="10"/>
  <c r="L523" i="10"/>
  <c r="K523" i="10"/>
  <c r="Q522" i="10"/>
  <c r="P522" i="10"/>
  <c r="O522" i="10"/>
  <c r="N522" i="10"/>
  <c r="M522" i="10"/>
  <c r="L522" i="10"/>
  <c r="K522" i="10"/>
  <c r="Q521" i="10"/>
  <c r="P521" i="10"/>
  <c r="O521" i="10"/>
  <c r="N521" i="10"/>
  <c r="M521" i="10"/>
  <c r="L521" i="10"/>
  <c r="K521" i="10"/>
  <c r="Q520" i="10"/>
  <c r="P520" i="10"/>
  <c r="O520" i="10"/>
  <c r="N520" i="10"/>
  <c r="M520" i="10"/>
  <c r="L520" i="10"/>
  <c r="K520" i="10"/>
  <c r="Q519" i="10"/>
  <c r="P519" i="10"/>
  <c r="O519" i="10"/>
  <c r="N519" i="10"/>
  <c r="M519" i="10"/>
  <c r="L519" i="10"/>
  <c r="K519" i="10"/>
  <c r="Q518" i="10"/>
  <c r="P518" i="10"/>
  <c r="O518" i="10"/>
  <c r="N518" i="10"/>
  <c r="M518" i="10"/>
  <c r="L518" i="10"/>
  <c r="K518" i="10"/>
  <c r="Q517" i="10"/>
  <c r="P517" i="10"/>
  <c r="O517" i="10"/>
  <c r="N517" i="10"/>
  <c r="M517" i="10"/>
  <c r="L517" i="10"/>
  <c r="K517" i="10"/>
  <c r="Q516" i="10"/>
  <c r="P516" i="10"/>
  <c r="O516" i="10"/>
  <c r="N516" i="10"/>
  <c r="M516" i="10"/>
  <c r="L516" i="10"/>
  <c r="K516" i="10"/>
  <c r="Q515" i="10"/>
  <c r="P515" i="10"/>
  <c r="O515" i="10"/>
  <c r="N515" i="10"/>
  <c r="M515" i="10"/>
  <c r="L515" i="10"/>
  <c r="K515" i="10"/>
  <c r="Q514" i="10"/>
  <c r="P514" i="10"/>
  <c r="O514" i="10"/>
  <c r="N514" i="10"/>
  <c r="M514" i="10"/>
  <c r="L514" i="10"/>
  <c r="K514" i="10"/>
  <c r="Q513" i="10"/>
  <c r="P513" i="10"/>
  <c r="O513" i="10"/>
  <c r="N513" i="10"/>
  <c r="M513" i="10"/>
  <c r="L513" i="10"/>
  <c r="K513" i="10"/>
  <c r="Q512" i="10"/>
  <c r="P512" i="10"/>
  <c r="O512" i="10"/>
  <c r="N512" i="10"/>
  <c r="M512" i="10"/>
  <c r="L512" i="10"/>
  <c r="K512" i="10"/>
  <c r="Q511" i="10"/>
  <c r="P511" i="10"/>
  <c r="O511" i="10"/>
  <c r="N511" i="10"/>
  <c r="M511" i="10"/>
  <c r="L511" i="10"/>
  <c r="K511" i="10"/>
  <c r="Q510" i="10"/>
  <c r="P510" i="10"/>
  <c r="O510" i="10"/>
  <c r="N510" i="10"/>
  <c r="M510" i="10"/>
  <c r="L510" i="10"/>
  <c r="K510" i="10"/>
  <c r="Q509" i="10"/>
  <c r="P509" i="10"/>
  <c r="O509" i="10"/>
  <c r="N509" i="10"/>
  <c r="M509" i="10"/>
  <c r="L509" i="10"/>
  <c r="K509" i="10"/>
  <c r="Q508" i="10"/>
  <c r="P508" i="10"/>
  <c r="O508" i="10"/>
  <c r="N508" i="10"/>
  <c r="M508" i="10"/>
  <c r="L508" i="10"/>
  <c r="K508" i="10"/>
  <c r="Q507" i="10"/>
  <c r="P507" i="10"/>
  <c r="O507" i="10"/>
  <c r="N507" i="10"/>
  <c r="M507" i="10"/>
  <c r="L507" i="10"/>
  <c r="K507" i="10"/>
  <c r="Q506" i="10"/>
  <c r="P506" i="10"/>
  <c r="O506" i="10"/>
  <c r="N506" i="10"/>
  <c r="M506" i="10"/>
  <c r="L506" i="10"/>
  <c r="K506" i="10"/>
  <c r="Q505" i="10"/>
  <c r="P505" i="10"/>
  <c r="O505" i="10"/>
  <c r="N505" i="10"/>
  <c r="M505" i="10"/>
  <c r="L505" i="10"/>
  <c r="K505" i="10"/>
  <c r="Q504" i="10"/>
  <c r="P504" i="10"/>
  <c r="O504" i="10"/>
  <c r="N504" i="10"/>
  <c r="M504" i="10"/>
  <c r="L504" i="10"/>
  <c r="K504" i="10"/>
  <c r="Q503" i="10"/>
  <c r="P503" i="10"/>
  <c r="O503" i="10"/>
  <c r="N503" i="10"/>
  <c r="M503" i="10"/>
  <c r="L503" i="10"/>
  <c r="K503" i="10"/>
  <c r="Q502" i="10"/>
  <c r="P502" i="10"/>
  <c r="O502" i="10"/>
  <c r="N502" i="10"/>
  <c r="M502" i="10"/>
  <c r="L502" i="10"/>
  <c r="K502" i="10"/>
  <c r="Q501" i="10"/>
  <c r="P501" i="10"/>
  <c r="O501" i="10"/>
  <c r="N501" i="10"/>
  <c r="M501" i="10"/>
  <c r="L501" i="10"/>
  <c r="K501" i="10"/>
  <c r="Q500" i="10"/>
  <c r="P500" i="10"/>
  <c r="O500" i="10"/>
  <c r="N500" i="10"/>
  <c r="M500" i="10"/>
  <c r="L500" i="10"/>
  <c r="K500" i="10"/>
  <c r="Q499" i="10"/>
  <c r="P499" i="10"/>
  <c r="O499" i="10"/>
  <c r="N499" i="10"/>
  <c r="M499" i="10"/>
  <c r="L499" i="10"/>
  <c r="K499" i="10"/>
  <c r="Q498" i="10"/>
  <c r="P498" i="10"/>
  <c r="O498" i="10"/>
  <c r="N498" i="10"/>
  <c r="M498" i="10"/>
  <c r="L498" i="10"/>
  <c r="K498" i="10"/>
  <c r="Q497" i="10"/>
  <c r="P497" i="10"/>
  <c r="O497" i="10"/>
  <c r="N497" i="10"/>
  <c r="M497" i="10"/>
  <c r="L497" i="10"/>
  <c r="K497" i="10"/>
  <c r="Q496" i="10"/>
  <c r="P496" i="10"/>
  <c r="O496" i="10"/>
  <c r="N496" i="10"/>
  <c r="M496" i="10"/>
  <c r="L496" i="10"/>
  <c r="K496" i="10"/>
  <c r="Q495" i="10"/>
  <c r="P495" i="10"/>
  <c r="O495" i="10"/>
  <c r="N495" i="10"/>
  <c r="M495" i="10"/>
  <c r="L495" i="10"/>
  <c r="K495" i="10"/>
  <c r="Q494" i="10"/>
  <c r="P494" i="10"/>
  <c r="O494" i="10"/>
  <c r="N494" i="10"/>
  <c r="M494" i="10"/>
  <c r="L494" i="10"/>
  <c r="K494" i="10"/>
  <c r="Q493" i="10"/>
  <c r="P493" i="10"/>
  <c r="O493" i="10"/>
  <c r="N493" i="10"/>
  <c r="M493" i="10"/>
  <c r="L493" i="10"/>
  <c r="K493" i="10"/>
  <c r="Q492" i="10"/>
  <c r="P492" i="10"/>
  <c r="O492" i="10"/>
  <c r="N492" i="10"/>
  <c r="M492" i="10"/>
  <c r="L492" i="10"/>
  <c r="K492" i="10"/>
  <c r="Q491" i="10"/>
  <c r="P491" i="10"/>
  <c r="O491" i="10"/>
  <c r="N491" i="10"/>
  <c r="M491" i="10"/>
  <c r="L491" i="10"/>
  <c r="K491" i="10"/>
  <c r="Q490" i="10"/>
  <c r="P490" i="10"/>
  <c r="O490" i="10"/>
  <c r="N490" i="10"/>
  <c r="M490" i="10"/>
  <c r="L490" i="10"/>
  <c r="K490" i="10"/>
  <c r="Q489" i="10"/>
  <c r="P489" i="10"/>
  <c r="O489" i="10"/>
  <c r="N489" i="10"/>
  <c r="M489" i="10"/>
  <c r="L489" i="10"/>
  <c r="K489" i="10"/>
  <c r="Q488" i="10"/>
  <c r="P488" i="10"/>
  <c r="O488" i="10"/>
  <c r="N488" i="10"/>
  <c r="M488" i="10"/>
  <c r="L488" i="10"/>
  <c r="K488" i="10"/>
  <c r="Q487" i="10"/>
  <c r="P487" i="10"/>
  <c r="O487" i="10"/>
  <c r="N487" i="10"/>
  <c r="M487" i="10"/>
  <c r="L487" i="10"/>
  <c r="K487" i="10"/>
  <c r="Q486" i="10"/>
  <c r="P486" i="10"/>
  <c r="O486" i="10"/>
  <c r="N486" i="10"/>
  <c r="M486" i="10"/>
  <c r="L486" i="10"/>
  <c r="K486" i="10"/>
  <c r="Q485" i="10"/>
  <c r="P485" i="10"/>
  <c r="O485" i="10"/>
  <c r="N485" i="10"/>
  <c r="M485" i="10"/>
  <c r="L485" i="10"/>
  <c r="K485" i="10"/>
  <c r="Q484" i="10"/>
  <c r="P484" i="10"/>
  <c r="O484" i="10"/>
  <c r="N484" i="10"/>
  <c r="M484" i="10"/>
  <c r="L484" i="10"/>
  <c r="K484" i="10"/>
  <c r="Q483" i="10"/>
  <c r="P483" i="10"/>
  <c r="O483" i="10"/>
  <c r="N483" i="10"/>
  <c r="M483" i="10"/>
  <c r="L483" i="10"/>
  <c r="K483" i="10"/>
  <c r="Q482" i="10"/>
  <c r="P482" i="10"/>
  <c r="O482" i="10"/>
  <c r="N482" i="10"/>
  <c r="M482" i="10"/>
  <c r="L482" i="10"/>
  <c r="K482" i="10"/>
  <c r="Q481" i="10"/>
  <c r="P481" i="10"/>
  <c r="O481" i="10"/>
  <c r="N481" i="10"/>
  <c r="M481" i="10"/>
  <c r="L481" i="10"/>
  <c r="K481" i="10"/>
  <c r="Q480" i="10"/>
  <c r="P480" i="10"/>
  <c r="O480" i="10"/>
  <c r="N480" i="10"/>
  <c r="M480" i="10"/>
  <c r="L480" i="10"/>
  <c r="K480" i="10"/>
  <c r="Q479" i="10"/>
  <c r="P479" i="10"/>
  <c r="O479" i="10"/>
  <c r="N479" i="10"/>
  <c r="M479" i="10"/>
  <c r="L479" i="10"/>
  <c r="K479" i="10"/>
  <c r="Q478" i="10"/>
  <c r="P478" i="10"/>
  <c r="O478" i="10"/>
  <c r="N478" i="10"/>
  <c r="M478" i="10"/>
  <c r="L478" i="10"/>
  <c r="K478" i="10"/>
  <c r="Q477" i="10"/>
  <c r="P477" i="10"/>
  <c r="O477" i="10"/>
  <c r="N477" i="10"/>
  <c r="M477" i="10"/>
  <c r="L477" i="10"/>
  <c r="K477" i="10"/>
  <c r="Q476" i="10"/>
  <c r="P476" i="10"/>
  <c r="O476" i="10"/>
  <c r="N476" i="10"/>
  <c r="M476" i="10"/>
  <c r="L476" i="10"/>
  <c r="K476" i="10"/>
  <c r="Q475" i="10"/>
  <c r="P475" i="10"/>
  <c r="O475" i="10"/>
  <c r="N475" i="10"/>
  <c r="M475" i="10"/>
  <c r="L475" i="10"/>
  <c r="K475" i="10"/>
  <c r="Q474" i="10"/>
  <c r="P474" i="10"/>
  <c r="O474" i="10"/>
  <c r="N474" i="10"/>
  <c r="M474" i="10"/>
  <c r="L474" i="10"/>
  <c r="K474" i="10"/>
  <c r="Q473" i="10"/>
  <c r="P473" i="10"/>
  <c r="O473" i="10"/>
  <c r="N473" i="10"/>
  <c r="M473" i="10"/>
  <c r="L473" i="10"/>
  <c r="K473" i="10"/>
  <c r="Q472" i="10"/>
  <c r="P472" i="10"/>
  <c r="O472" i="10"/>
  <c r="N472" i="10"/>
  <c r="M472" i="10"/>
  <c r="L472" i="10"/>
  <c r="K472" i="10"/>
  <c r="Q471" i="10"/>
  <c r="P471" i="10"/>
  <c r="O471" i="10"/>
  <c r="N471" i="10"/>
  <c r="M471" i="10"/>
  <c r="L471" i="10"/>
  <c r="K471" i="10"/>
  <c r="Q470" i="10"/>
  <c r="P470" i="10"/>
  <c r="O470" i="10"/>
  <c r="N470" i="10"/>
  <c r="M470" i="10"/>
  <c r="L470" i="10"/>
  <c r="K470" i="10"/>
  <c r="Q469" i="10"/>
  <c r="P469" i="10"/>
  <c r="O469" i="10"/>
  <c r="N469" i="10"/>
  <c r="M469" i="10"/>
  <c r="L469" i="10"/>
  <c r="K469" i="10"/>
  <c r="Q468" i="10"/>
  <c r="P468" i="10"/>
  <c r="O468" i="10"/>
  <c r="N468" i="10"/>
  <c r="M468" i="10"/>
  <c r="L468" i="10"/>
  <c r="K468" i="10"/>
  <c r="Q467" i="10"/>
  <c r="P467" i="10"/>
  <c r="O467" i="10"/>
  <c r="N467" i="10"/>
  <c r="M467" i="10"/>
  <c r="L467" i="10"/>
  <c r="K467" i="10"/>
  <c r="Q466" i="10"/>
  <c r="P466" i="10"/>
  <c r="O466" i="10"/>
  <c r="N466" i="10"/>
  <c r="M466" i="10"/>
  <c r="L466" i="10"/>
  <c r="K466" i="10"/>
  <c r="Q465" i="10"/>
  <c r="P465" i="10"/>
  <c r="O465" i="10"/>
  <c r="N465" i="10"/>
  <c r="M465" i="10"/>
  <c r="L465" i="10"/>
  <c r="K465" i="10"/>
  <c r="Q464" i="10"/>
  <c r="P464" i="10"/>
  <c r="O464" i="10"/>
  <c r="N464" i="10"/>
  <c r="M464" i="10"/>
  <c r="L464" i="10"/>
  <c r="K464" i="10"/>
  <c r="Q463" i="10"/>
  <c r="P463" i="10"/>
  <c r="O463" i="10"/>
  <c r="N463" i="10"/>
  <c r="M463" i="10"/>
  <c r="L463" i="10"/>
  <c r="K463" i="10"/>
  <c r="Q462" i="10"/>
  <c r="P462" i="10"/>
  <c r="O462" i="10"/>
  <c r="N462" i="10"/>
  <c r="M462" i="10"/>
  <c r="L462" i="10"/>
  <c r="K462" i="10"/>
  <c r="Q461" i="10"/>
  <c r="P461" i="10"/>
  <c r="O461" i="10"/>
  <c r="N461" i="10"/>
  <c r="M461" i="10"/>
  <c r="L461" i="10"/>
  <c r="K461" i="10"/>
  <c r="Q460" i="10"/>
  <c r="P460" i="10"/>
  <c r="O460" i="10"/>
  <c r="N460" i="10"/>
  <c r="M460" i="10"/>
  <c r="L460" i="10"/>
  <c r="K460" i="10"/>
  <c r="Q459" i="10"/>
  <c r="P459" i="10"/>
  <c r="O459" i="10"/>
  <c r="N459" i="10"/>
  <c r="M459" i="10"/>
  <c r="L459" i="10"/>
  <c r="K459" i="10"/>
  <c r="Q458" i="10"/>
  <c r="P458" i="10"/>
  <c r="O458" i="10"/>
  <c r="N458" i="10"/>
  <c r="M458" i="10"/>
  <c r="L458" i="10"/>
  <c r="K458" i="10"/>
  <c r="Q457" i="10"/>
  <c r="P457" i="10"/>
  <c r="O457" i="10"/>
  <c r="N457" i="10"/>
  <c r="M457" i="10"/>
  <c r="L457" i="10"/>
  <c r="K457" i="10"/>
  <c r="Q456" i="10"/>
  <c r="P456" i="10"/>
  <c r="O456" i="10"/>
  <c r="N456" i="10"/>
  <c r="M456" i="10"/>
  <c r="L456" i="10"/>
  <c r="K456" i="10"/>
  <c r="Q455" i="10"/>
  <c r="P455" i="10"/>
  <c r="O455" i="10"/>
  <c r="N455" i="10"/>
  <c r="M455" i="10"/>
  <c r="L455" i="10"/>
  <c r="K455" i="10"/>
  <c r="Q454" i="10"/>
  <c r="P454" i="10"/>
  <c r="O454" i="10"/>
  <c r="N454" i="10"/>
  <c r="M454" i="10"/>
  <c r="L454" i="10"/>
  <c r="K454" i="10"/>
  <c r="Q453" i="10"/>
  <c r="P453" i="10"/>
  <c r="O453" i="10"/>
  <c r="N453" i="10"/>
  <c r="M453" i="10"/>
  <c r="L453" i="10"/>
  <c r="K453" i="10"/>
  <c r="Q452" i="10"/>
  <c r="P452" i="10"/>
  <c r="O452" i="10"/>
  <c r="N452" i="10"/>
  <c r="M452" i="10"/>
  <c r="L452" i="10"/>
  <c r="K452" i="10"/>
  <c r="Q451" i="10"/>
  <c r="P451" i="10"/>
  <c r="O451" i="10"/>
  <c r="N451" i="10"/>
  <c r="M451" i="10"/>
  <c r="L451" i="10"/>
  <c r="K451" i="10"/>
  <c r="Q450" i="10"/>
  <c r="P450" i="10"/>
  <c r="O450" i="10"/>
  <c r="N450" i="10"/>
  <c r="M450" i="10"/>
  <c r="L450" i="10"/>
  <c r="K450" i="10"/>
  <c r="Q449" i="10"/>
  <c r="P449" i="10"/>
  <c r="O449" i="10"/>
  <c r="N449" i="10"/>
  <c r="M449" i="10"/>
  <c r="L449" i="10"/>
  <c r="K449" i="10"/>
  <c r="Q448" i="10"/>
  <c r="P448" i="10"/>
  <c r="O448" i="10"/>
  <c r="N448" i="10"/>
  <c r="M448" i="10"/>
  <c r="L448" i="10"/>
  <c r="K448" i="10"/>
  <c r="Q447" i="10"/>
  <c r="P447" i="10"/>
  <c r="O447" i="10"/>
  <c r="N447" i="10"/>
  <c r="M447" i="10"/>
  <c r="L447" i="10"/>
  <c r="K447" i="10"/>
  <c r="Q446" i="10"/>
  <c r="P446" i="10"/>
  <c r="O446" i="10"/>
  <c r="N446" i="10"/>
  <c r="M446" i="10"/>
  <c r="L446" i="10"/>
  <c r="K446" i="10"/>
  <c r="Q445" i="10"/>
  <c r="P445" i="10"/>
  <c r="O445" i="10"/>
  <c r="N445" i="10"/>
  <c r="M445" i="10"/>
  <c r="L445" i="10"/>
  <c r="K445" i="10"/>
  <c r="Q444" i="10"/>
  <c r="P444" i="10"/>
  <c r="O444" i="10"/>
  <c r="N444" i="10"/>
  <c r="M444" i="10"/>
  <c r="L444" i="10"/>
  <c r="K444" i="10"/>
  <c r="Q443" i="10"/>
  <c r="P443" i="10"/>
  <c r="O443" i="10"/>
  <c r="N443" i="10"/>
  <c r="M443" i="10"/>
  <c r="L443" i="10"/>
  <c r="K443" i="10"/>
  <c r="Q442" i="10"/>
  <c r="P442" i="10"/>
  <c r="O442" i="10"/>
  <c r="N442" i="10"/>
  <c r="M442" i="10"/>
  <c r="L442" i="10"/>
  <c r="K442" i="10"/>
  <c r="Q441" i="10"/>
  <c r="P441" i="10"/>
  <c r="O441" i="10"/>
  <c r="N441" i="10"/>
  <c r="M441" i="10"/>
  <c r="L441" i="10"/>
  <c r="K441" i="10"/>
  <c r="Q440" i="10"/>
  <c r="P440" i="10"/>
  <c r="O440" i="10"/>
  <c r="N440" i="10"/>
  <c r="M440" i="10"/>
  <c r="L440" i="10"/>
  <c r="K440" i="10"/>
  <c r="Q439" i="10"/>
  <c r="P439" i="10"/>
  <c r="O439" i="10"/>
  <c r="N439" i="10"/>
  <c r="M439" i="10"/>
  <c r="L439" i="10"/>
  <c r="K439" i="10"/>
  <c r="Q438" i="10"/>
  <c r="P438" i="10"/>
  <c r="O438" i="10"/>
  <c r="N438" i="10"/>
  <c r="M438" i="10"/>
  <c r="L438" i="10"/>
  <c r="K438" i="10"/>
  <c r="Q437" i="10"/>
  <c r="P437" i="10"/>
  <c r="O437" i="10"/>
  <c r="N437" i="10"/>
  <c r="M437" i="10"/>
  <c r="L437" i="10"/>
  <c r="K437" i="10"/>
  <c r="Q436" i="10"/>
  <c r="P436" i="10"/>
  <c r="O436" i="10"/>
  <c r="N436" i="10"/>
  <c r="M436" i="10"/>
  <c r="L436" i="10"/>
  <c r="K436" i="10"/>
  <c r="Q435" i="10"/>
  <c r="P435" i="10"/>
  <c r="O435" i="10"/>
  <c r="N435" i="10"/>
  <c r="M435" i="10"/>
  <c r="L435" i="10"/>
  <c r="K435" i="10"/>
  <c r="Q434" i="10"/>
  <c r="P434" i="10"/>
  <c r="O434" i="10"/>
  <c r="N434" i="10"/>
  <c r="M434" i="10"/>
  <c r="L434" i="10"/>
  <c r="K434" i="10"/>
  <c r="Q433" i="10"/>
  <c r="P433" i="10"/>
  <c r="O433" i="10"/>
  <c r="N433" i="10"/>
  <c r="M433" i="10"/>
  <c r="L433" i="10"/>
  <c r="K433" i="10"/>
  <c r="Q432" i="10"/>
  <c r="P432" i="10"/>
  <c r="O432" i="10"/>
  <c r="N432" i="10"/>
  <c r="M432" i="10"/>
  <c r="L432" i="10"/>
  <c r="K432" i="10"/>
  <c r="Q431" i="10"/>
  <c r="P431" i="10"/>
  <c r="O431" i="10"/>
  <c r="N431" i="10"/>
  <c r="M431" i="10"/>
  <c r="L431" i="10"/>
  <c r="K431" i="10"/>
  <c r="Q430" i="10"/>
  <c r="P430" i="10"/>
  <c r="O430" i="10"/>
  <c r="N430" i="10"/>
  <c r="M430" i="10"/>
  <c r="L430" i="10"/>
  <c r="K430" i="10"/>
  <c r="Q429" i="10"/>
  <c r="P429" i="10"/>
  <c r="O429" i="10"/>
  <c r="N429" i="10"/>
  <c r="M429" i="10"/>
  <c r="L429" i="10"/>
  <c r="K429" i="10"/>
  <c r="Q428" i="10"/>
  <c r="P428" i="10"/>
  <c r="O428" i="10"/>
  <c r="N428" i="10"/>
  <c r="M428" i="10"/>
  <c r="L428" i="10"/>
  <c r="K428" i="10"/>
  <c r="Q427" i="10"/>
  <c r="P427" i="10"/>
  <c r="O427" i="10"/>
  <c r="N427" i="10"/>
  <c r="M427" i="10"/>
  <c r="L427" i="10"/>
  <c r="K427" i="10"/>
  <c r="Q426" i="10"/>
  <c r="P426" i="10"/>
  <c r="O426" i="10"/>
  <c r="N426" i="10"/>
  <c r="M426" i="10"/>
  <c r="L426" i="10"/>
  <c r="K426" i="10"/>
  <c r="Q425" i="10"/>
  <c r="P425" i="10"/>
  <c r="O425" i="10"/>
  <c r="N425" i="10"/>
  <c r="M425" i="10"/>
  <c r="L425" i="10"/>
  <c r="K425" i="10"/>
  <c r="Q424" i="10"/>
  <c r="P424" i="10"/>
  <c r="O424" i="10"/>
  <c r="N424" i="10"/>
  <c r="M424" i="10"/>
  <c r="L424" i="10"/>
  <c r="K424" i="10"/>
  <c r="Q423" i="10"/>
  <c r="P423" i="10"/>
  <c r="O423" i="10"/>
  <c r="N423" i="10"/>
  <c r="M423" i="10"/>
  <c r="L423" i="10"/>
  <c r="K423" i="10"/>
  <c r="Q422" i="10"/>
  <c r="P422" i="10"/>
  <c r="O422" i="10"/>
  <c r="N422" i="10"/>
  <c r="M422" i="10"/>
  <c r="L422" i="10"/>
  <c r="K422" i="10"/>
  <c r="Q421" i="10"/>
  <c r="P421" i="10"/>
  <c r="O421" i="10"/>
  <c r="N421" i="10"/>
  <c r="M421" i="10"/>
  <c r="L421" i="10"/>
  <c r="K421" i="10"/>
  <c r="Q420" i="10"/>
  <c r="P420" i="10"/>
  <c r="O420" i="10"/>
  <c r="N420" i="10"/>
  <c r="M420" i="10"/>
  <c r="L420" i="10"/>
  <c r="K420" i="10"/>
  <c r="Q419" i="10"/>
  <c r="P419" i="10"/>
  <c r="O419" i="10"/>
  <c r="N419" i="10"/>
  <c r="M419" i="10"/>
  <c r="L419" i="10"/>
  <c r="K419" i="10"/>
  <c r="Q418" i="10"/>
  <c r="P418" i="10"/>
  <c r="O418" i="10"/>
  <c r="N418" i="10"/>
  <c r="M418" i="10"/>
  <c r="L418" i="10"/>
  <c r="K418" i="10"/>
  <c r="Q417" i="10"/>
  <c r="P417" i="10"/>
  <c r="O417" i="10"/>
  <c r="N417" i="10"/>
  <c r="M417" i="10"/>
  <c r="L417" i="10"/>
  <c r="K417" i="10"/>
  <c r="Q416" i="10"/>
  <c r="P416" i="10"/>
  <c r="O416" i="10"/>
  <c r="N416" i="10"/>
  <c r="M416" i="10"/>
  <c r="L416" i="10"/>
  <c r="K416" i="10"/>
  <c r="Q415" i="10"/>
  <c r="P415" i="10"/>
  <c r="O415" i="10"/>
  <c r="N415" i="10"/>
  <c r="M415" i="10"/>
  <c r="L415" i="10"/>
  <c r="K415" i="10"/>
  <c r="Q414" i="10"/>
  <c r="P414" i="10"/>
  <c r="O414" i="10"/>
  <c r="N414" i="10"/>
  <c r="M414" i="10"/>
  <c r="L414" i="10"/>
  <c r="K414" i="10"/>
  <c r="Q413" i="10"/>
  <c r="P413" i="10"/>
  <c r="O413" i="10"/>
  <c r="N413" i="10"/>
  <c r="M413" i="10"/>
  <c r="L413" i="10"/>
  <c r="K413" i="10"/>
  <c r="Q412" i="10"/>
  <c r="P412" i="10"/>
  <c r="O412" i="10"/>
  <c r="N412" i="10"/>
  <c r="M412" i="10"/>
  <c r="L412" i="10"/>
  <c r="K412" i="10"/>
  <c r="Q411" i="10"/>
  <c r="P411" i="10"/>
  <c r="O411" i="10"/>
  <c r="N411" i="10"/>
  <c r="M411" i="10"/>
  <c r="L411" i="10"/>
  <c r="K411" i="10"/>
  <c r="Q410" i="10"/>
  <c r="P410" i="10"/>
  <c r="O410" i="10"/>
  <c r="N410" i="10"/>
  <c r="M410" i="10"/>
  <c r="L410" i="10"/>
  <c r="K410" i="10"/>
  <c r="Q409" i="10"/>
  <c r="P409" i="10"/>
  <c r="O409" i="10"/>
  <c r="N409" i="10"/>
  <c r="M409" i="10"/>
  <c r="L409" i="10"/>
  <c r="K409" i="10"/>
  <c r="Q408" i="10"/>
  <c r="P408" i="10"/>
  <c r="O408" i="10"/>
  <c r="N408" i="10"/>
  <c r="M408" i="10"/>
  <c r="L408" i="10"/>
  <c r="K408" i="10"/>
  <c r="Q407" i="10"/>
  <c r="P407" i="10"/>
  <c r="O407" i="10"/>
  <c r="N407" i="10"/>
  <c r="M407" i="10"/>
  <c r="L407" i="10"/>
  <c r="K407" i="10"/>
  <c r="Q406" i="10"/>
  <c r="P406" i="10"/>
  <c r="O406" i="10"/>
  <c r="N406" i="10"/>
  <c r="M406" i="10"/>
  <c r="L406" i="10"/>
  <c r="K406" i="10"/>
  <c r="Q405" i="10"/>
  <c r="P405" i="10"/>
  <c r="O405" i="10"/>
  <c r="N405" i="10"/>
  <c r="M405" i="10"/>
  <c r="L405" i="10"/>
  <c r="K405" i="10"/>
  <c r="Q404" i="10"/>
  <c r="P404" i="10"/>
  <c r="O404" i="10"/>
  <c r="N404" i="10"/>
  <c r="M404" i="10"/>
  <c r="L404" i="10"/>
  <c r="K404" i="10"/>
  <c r="Q403" i="10"/>
  <c r="P403" i="10"/>
  <c r="O403" i="10"/>
  <c r="N403" i="10"/>
  <c r="M403" i="10"/>
  <c r="L403" i="10"/>
  <c r="K403" i="10"/>
  <c r="Q402" i="10"/>
  <c r="P402" i="10"/>
  <c r="O402" i="10"/>
  <c r="N402" i="10"/>
  <c r="M402" i="10"/>
  <c r="L402" i="10"/>
  <c r="K402" i="10"/>
  <c r="Q401" i="10"/>
  <c r="P401" i="10"/>
  <c r="O401" i="10"/>
  <c r="N401" i="10"/>
  <c r="M401" i="10"/>
  <c r="L401" i="10"/>
  <c r="K401" i="10"/>
  <c r="Q400" i="10"/>
  <c r="P400" i="10"/>
  <c r="O400" i="10"/>
  <c r="N400" i="10"/>
  <c r="M400" i="10"/>
  <c r="L400" i="10"/>
  <c r="K400" i="10"/>
  <c r="Q399" i="10"/>
  <c r="P399" i="10"/>
  <c r="O399" i="10"/>
  <c r="N399" i="10"/>
  <c r="M399" i="10"/>
  <c r="L399" i="10"/>
  <c r="K399" i="10"/>
  <c r="Q398" i="10"/>
  <c r="P398" i="10"/>
  <c r="O398" i="10"/>
  <c r="N398" i="10"/>
  <c r="M398" i="10"/>
  <c r="L398" i="10"/>
  <c r="K398" i="10"/>
  <c r="Q397" i="10"/>
  <c r="P397" i="10"/>
  <c r="O397" i="10"/>
  <c r="N397" i="10"/>
  <c r="M397" i="10"/>
  <c r="L397" i="10"/>
  <c r="K397" i="10"/>
  <c r="Q396" i="10"/>
  <c r="P396" i="10"/>
  <c r="O396" i="10"/>
  <c r="N396" i="10"/>
  <c r="M396" i="10"/>
  <c r="L396" i="10"/>
  <c r="K396" i="10"/>
  <c r="Q395" i="10"/>
  <c r="P395" i="10"/>
  <c r="O395" i="10"/>
  <c r="N395" i="10"/>
  <c r="M395" i="10"/>
  <c r="L395" i="10"/>
  <c r="K395" i="10"/>
  <c r="Q394" i="10"/>
  <c r="P394" i="10"/>
  <c r="O394" i="10"/>
  <c r="N394" i="10"/>
  <c r="M394" i="10"/>
  <c r="L394" i="10"/>
  <c r="K394" i="10"/>
  <c r="Q393" i="10"/>
  <c r="P393" i="10"/>
  <c r="O393" i="10"/>
  <c r="N393" i="10"/>
  <c r="M393" i="10"/>
  <c r="L393" i="10"/>
  <c r="K393" i="10"/>
  <c r="Q392" i="10"/>
  <c r="P392" i="10"/>
  <c r="O392" i="10"/>
  <c r="N392" i="10"/>
  <c r="M392" i="10"/>
  <c r="L392" i="10"/>
  <c r="K392" i="10"/>
  <c r="Q391" i="10"/>
  <c r="P391" i="10"/>
  <c r="O391" i="10"/>
  <c r="N391" i="10"/>
  <c r="M391" i="10"/>
  <c r="L391" i="10"/>
  <c r="K391" i="10"/>
  <c r="Q390" i="10"/>
  <c r="P390" i="10"/>
  <c r="O390" i="10"/>
  <c r="N390" i="10"/>
  <c r="M390" i="10"/>
  <c r="L390" i="10"/>
  <c r="K390" i="10"/>
  <c r="Q389" i="10"/>
  <c r="P389" i="10"/>
  <c r="O389" i="10"/>
  <c r="N389" i="10"/>
  <c r="M389" i="10"/>
  <c r="L389" i="10"/>
  <c r="K389" i="10"/>
  <c r="Q388" i="10"/>
  <c r="P388" i="10"/>
  <c r="O388" i="10"/>
  <c r="N388" i="10"/>
  <c r="M388" i="10"/>
  <c r="L388" i="10"/>
  <c r="K388" i="10"/>
  <c r="Q387" i="10"/>
  <c r="P387" i="10"/>
  <c r="O387" i="10"/>
  <c r="N387" i="10"/>
  <c r="M387" i="10"/>
  <c r="L387" i="10"/>
  <c r="K387" i="10"/>
  <c r="Q386" i="10"/>
  <c r="P386" i="10"/>
  <c r="O386" i="10"/>
  <c r="N386" i="10"/>
  <c r="M386" i="10"/>
  <c r="L386" i="10"/>
  <c r="K386" i="10"/>
  <c r="Q385" i="10"/>
  <c r="P385" i="10"/>
  <c r="O385" i="10"/>
  <c r="N385" i="10"/>
  <c r="M385" i="10"/>
  <c r="L385" i="10"/>
  <c r="K385" i="10"/>
  <c r="Q384" i="10"/>
  <c r="P384" i="10"/>
  <c r="O384" i="10"/>
  <c r="N384" i="10"/>
  <c r="M384" i="10"/>
  <c r="L384" i="10"/>
  <c r="K384" i="10"/>
  <c r="Q383" i="10"/>
  <c r="P383" i="10"/>
  <c r="O383" i="10"/>
  <c r="N383" i="10"/>
  <c r="M383" i="10"/>
  <c r="L383" i="10"/>
  <c r="K383" i="10"/>
  <c r="Q382" i="10"/>
  <c r="P382" i="10"/>
  <c r="O382" i="10"/>
  <c r="N382" i="10"/>
  <c r="M382" i="10"/>
  <c r="L382" i="10"/>
  <c r="K382" i="10"/>
  <c r="Q381" i="10"/>
  <c r="P381" i="10"/>
  <c r="O381" i="10"/>
  <c r="N381" i="10"/>
  <c r="M381" i="10"/>
  <c r="L381" i="10"/>
  <c r="K381" i="10"/>
  <c r="Q380" i="10"/>
  <c r="P380" i="10"/>
  <c r="O380" i="10"/>
  <c r="N380" i="10"/>
  <c r="M380" i="10"/>
  <c r="L380" i="10"/>
  <c r="K380" i="10"/>
  <c r="Q379" i="10"/>
  <c r="P379" i="10"/>
  <c r="O379" i="10"/>
  <c r="N379" i="10"/>
  <c r="M379" i="10"/>
  <c r="L379" i="10"/>
  <c r="K379" i="10"/>
  <c r="Q378" i="10"/>
  <c r="P378" i="10"/>
  <c r="O378" i="10"/>
  <c r="N378" i="10"/>
  <c r="M378" i="10"/>
  <c r="L378" i="10"/>
  <c r="K378" i="10"/>
  <c r="Q377" i="10"/>
  <c r="P377" i="10"/>
  <c r="O377" i="10"/>
  <c r="N377" i="10"/>
  <c r="M377" i="10"/>
  <c r="L377" i="10"/>
  <c r="K377" i="10"/>
  <c r="Q376" i="10"/>
  <c r="P376" i="10"/>
  <c r="O376" i="10"/>
  <c r="N376" i="10"/>
  <c r="M376" i="10"/>
  <c r="L376" i="10"/>
  <c r="K376" i="10"/>
  <c r="Q375" i="10"/>
  <c r="P375" i="10"/>
  <c r="O375" i="10"/>
  <c r="N375" i="10"/>
  <c r="M375" i="10"/>
  <c r="L375" i="10"/>
  <c r="K375" i="10"/>
  <c r="Q374" i="10"/>
  <c r="P374" i="10"/>
  <c r="O374" i="10"/>
  <c r="N374" i="10"/>
  <c r="M374" i="10"/>
  <c r="L374" i="10"/>
  <c r="K374" i="10"/>
  <c r="Q373" i="10"/>
  <c r="P373" i="10"/>
  <c r="O373" i="10"/>
  <c r="N373" i="10"/>
  <c r="M373" i="10"/>
  <c r="L373" i="10"/>
  <c r="K373" i="10"/>
  <c r="Q372" i="10"/>
  <c r="P372" i="10"/>
  <c r="O372" i="10"/>
  <c r="N372" i="10"/>
  <c r="M372" i="10"/>
  <c r="L372" i="10"/>
  <c r="K372" i="10"/>
  <c r="Q371" i="10"/>
  <c r="P371" i="10"/>
  <c r="O371" i="10"/>
  <c r="N371" i="10"/>
  <c r="M371" i="10"/>
  <c r="L371" i="10"/>
  <c r="K371" i="10"/>
  <c r="Q370" i="10"/>
  <c r="P370" i="10"/>
  <c r="O370" i="10"/>
  <c r="N370" i="10"/>
  <c r="M370" i="10"/>
  <c r="L370" i="10"/>
  <c r="K370" i="10"/>
  <c r="Q369" i="10"/>
  <c r="P369" i="10"/>
  <c r="O369" i="10"/>
  <c r="N369" i="10"/>
  <c r="M369" i="10"/>
  <c r="L369" i="10"/>
  <c r="K369" i="10"/>
  <c r="Q368" i="10"/>
  <c r="P368" i="10"/>
  <c r="O368" i="10"/>
  <c r="N368" i="10"/>
  <c r="M368" i="10"/>
  <c r="L368" i="10"/>
  <c r="K368" i="10"/>
  <c r="Q367" i="10"/>
  <c r="P367" i="10"/>
  <c r="O367" i="10"/>
  <c r="N367" i="10"/>
  <c r="M367" i="10"/>
  <c r="L367" i="10"/>
  <c r="K367" i="10"/>
  <c r="Q366" i="10"/>
  <c r="P366" i="10"/>
  <c r="O366" i="10"/>
  <c r="N366" i="10"/>
  <c r="M366" i="10"/>
  <c r="L366" i="10"/>
  <c r="K366" i="10"/>
  <c r="Q365" i="10"/>
  <c r="P365" i="10"/>
  <c r="O365" i="10"/>
  <c r="N365" i="10"/>
  <c r="M365" i="10"/>
  <c r="L365" i="10"/>
  <c r="K365" i="10"/>
  <c r="Q364" i="10"/>
  <c r="P364" i="10"/>
  <c r="O364" i="10"/>
  <c r="N364" i="10"/>
  <c r="M364" i="10"/>
  <c r="L364" i="10"/>
  <c r="K364" i="10"/>
  <c r="Q363" i="10"/>
  <c r="P363" i="10"/>
  <c r="O363" i="10"/>
  <c r="N363" i="10"/>
  <c r="M363" i="10"/>
  <c r="L363" i="10"/>
  <c r="K363" i="10"/>
  <c r="Q362" i="10"/>
  <c r="P362" i="10"/>
  <c r="O362" i="10"/>
  <c r="N362" i="10"/>
  <c r="M362" i="10"/>
  <c r="L362" i="10"/>
  <c r="K362" i="10"/>
  <c r="Q361" i="10"/>
  <c r="P361" i="10"/>
  <c r="O361" i="10"/>
  <c r="N361" i="10"/>
  <c r="M361" i="10"/>
  <c r="L361" i="10"/>
  <c r="K361" i="10"/>
  <c r="Q360" i="10"/>
  <c r="P360" i="10"/>
  <c r="O360" i="10"/>
  <c r="N360" i="10"/>
  <c r="M360" i="10"/>
  <c r="L360" i="10"/>
  <c r="K360" i="10"/>
  <c r="Q359" i="10"/>
  <c r="P359" i="10"/>
  <c r="O359" i="10"/>
  <c r="N359" i="10"/>
  <c r="M359" i="10"/>
  <c r="L359" i="10"/>
  <c r="K359" i="10"/>
  <c r="Q358" i="10"/>
  <c r="P358" i="10"/>
  <c r="O358" i="10"/>
  <c r="N358" i="10"/>
  <c r="M358" i="10"/>
  <c r="L358" i="10"/>
  <c r="K358" i="10"/>
  <c r="Q357" i="10"/>
  <c r="P357" i="10"/>
  <c r="O357" i="10"/>
  <c r="N357" i="10"/>
  <c r="M357" i="10"/>
  <c r="L357" i="10"/>
  <c r="K357" i="10"/>
  <c r="Q356" i="10"/>
  <c r="P356" i="10"/>
  <c r="O356" i="10"/>
  <c r="N356" i="10"/>
  <c r="M356" i="10"/>
  <c r="L356" i="10"/>
  <c r="K356" i="10"/>
  <c r="Q355" i="10"/>
  <c r="P355" i="10"/>
  <c r="O355" i="10"/>
  <c r="N355" i="10"/>
  <c r="M355" i="10"/>
  <c r="L355" i="10"/>
  <c r="K355" i="10"/>
  <c r="Q354" i="10"/>
  <c r="P354" i="10"/>
  <c r="O354" i="10"/>
  <c r="N354" i="10"/>
  <c r="M354" i="10"/>
  <c r="L354" i="10"/>
  <c r="K354" i="10"/>
  <c r="Q353" i="10"/>
  <c r="P353" i="10"/>
  <c r="O353" i="10"/>
  <c r="N353" i="10"/>
  <c r="M353" i="10"/>
  <c r="L353" i="10"/>
  <c r="K353" i="10"/>
  <c r="Q352" i="10"/>
  <c r="P352" i="10"/>
  <c r="O352" i="10"/>
  <c r="N352" i="10"/>
  <c r="M352" i="10"/>
  <c r="L352" i="10"/>
  <c r="K352" i="10"/>
  <c r="Q351" i="10"/>
  <c r="P351" i="10"/>
  <c r="O351" i="10"/>
  <c r="N351" i="10"/>
  <c r="M351" i="10"/>
  <c r="L351" i="10"/>
  <c r="K351" i="10"/>
  <c r="Q350" i="10"/>
  <c r="P350" i="10"/>
  <c r="O350" i="10"/>
  <c r="N350" i="10"/>
  <c r="M350" i="10"/>
  <c r="L350" i="10"/>
  <c r="K350" i="10"/>
  <c r="Q349" i="10"/>
  <c r="P349" i="10"/>
  <c r="O349" i="10"/>
  <c r="N349" i="10"/>
  <c r="M349" i="10"/>
  <c r="L349" i="10"/>
  <c r="K349" i="10"/>
  <c r="Q348" i="10"/>
  <c r="P348" i="10"/>
  <c r="O348" i="10"/>
  <c r="N348" i="10"/>
  <c r="M348" i="10"/>
  <c r="L348" i="10"/>
  <c r="K348" i="10"/>
  <c r="Q347" i="10"/>
  <c r="P347" i="10"/>
  <c r="O347" i="10"/>
  <c r="N347" i="10"/>
  <c r="M347" i="10"/>
  <c r="L347" i="10"/>
  <c r="K347" i="10"/>
  <c r="Q346" i="10"/>
  <c r="P346" i="10"/>
  <c r="O346" i="10"/>
  <c r="N346" i="10"/>
  <c r="M346" i="10"/>
  <c r="L346" i="10"/>
  <c r="K346" i="10"/>
  <c r="Q345" i="10"/>
  <c r="P345" i="10"/>
  <c r="O345" i="10"/>
  <c r="N345" i="10"/>
  <c r="M345" i="10"/>
  <c r="L345" i="10"/>
  <c r="K345" i="10"/>
  <c r="Q344" i="10"/>
  <c r="P344" i="10"/>
  <c r="O344" i="10"/>
  <c r="N344" i="10"/>
  <c r="M344" i="10"/>
  <c r="L344" i="10"/>
  <c r="K344" i="10"/>
  <c r="Q343" i="10"/>
  <c r="P343" i="10"/>
  <c r="O343" i="10"/>
  <c r="N343" i="10"/>
  <c r="M343" i="10"/>
  <c r="L343" i="10"/>
  <c r="K343" i="10"/>
  <c r="Q342" i="10"/>
  <c r="P342" i="10"/>
  <c r="O342" i="10"/>
  <c r="N342" i="10"/>
  <c r="M342" i="10"/>
  <c r="L342" i="10"/>
  <c r="K342" i="10"/>
  <c r="Q341" i="10"/>
  <c r="P341" i="10"/>
  <c r="O341" i="10"/>
  <c r="N341" i="10"/>
  <c r="M341" i="10"/>
  <c r="L341" i="10"/>
  <c r="K341" i="10"/>
  <c r="Q340" i="10"/>
  <c r="P340" i="10"/>
  <c r="O340" i="10"/>
  <c r="N340" i="10"/>
  <c r="M340" i="10"/>
  <c r="L340" i="10"/>
  <c r="K340" i="10"/>
  <c r="Q339" i="10"/>
  <c r="P339" i="10"/>
  <c r="O339" i="10"/>
  <c r="N339" i="10"/>
  <c r="M339" i="10"/>
  <c r="L339" i="10"/>
  <c r="K339" i="10"/>
  <c r="Q338" i="10"/>
  <c r="P338" i="10"/>
  <c r="O338" i="10"/>
  <c r="N338" i="10"/>
  <c r="M338" i="10"/>
  <c r="L338" i="10"/>
  <c r="K338" i="10"/>
  <c r="Q337" i="10"/>
  <c r="P337" i="10"/>
  <c r="O337" i="10"/>
  <c r="N337" i="10"/>
  <c r="M337" i="10"/>
  <c r="L337" i="10"/>
  <c r="K337" i="10"/>
  <c r="Q336" i="10"/>
  <c r="P336" i="10"/>
  <c r="O336" i="10"/>
  <c r="N336" i="10"/>
  <c r="M336" i="10"/>
  <c r="L336" i="10"/>
  <c r="K336" i="10"/>
  <c r="Q335" i="10"/>
  <c r="P335" i="10"/>
  <c r="O335" i="10"/>
  <c r="N335" i="10"/>
  <c r="M335" i="10"/>
  <c r="L335" i="10"/>
  <c r="K335" i="10"/>
  <c r="Q334" i="10"/>
  <c r="P334" i="10"/>
  <c r="O334" i="10"/>
  <c r="N334" i="10"/>
  <c r="M334" i="10"/>
  <c r="L334" i="10"/>
  <c r="K334" i="10"/>
  <c r="Q333" i="10"/>
  <c r="P333" i="10"/>
  <c r="O333" i="10"/>
  <c r="N333" i="10"/>
  <c r="M333" i="10"/>
  <c r="L333" i="10"/>
  <c r="K333" i="10"/>
  <c r="Q332" i="10"/>
  <c r="P332" i="10"/>
  <c r="O332" i="10"/>
  <c r="N332" i="10"/>
  <c r="M332" i="10"/>
  <c r="L332" i="10"/>
  <c r="K332" i="10"/>
  <c r="Q331" i="10"/>
  <c r="P331" i="10"/>
  <c r="O331" i="10"/>
  <c r="N331" i="10"/>
  <c r="M331" i="10"/>
  <c r="L331" i="10"/>
  <c r="K331" i="10"/>
  <c r="Q330" i="10"/>
  <c r="P330" i="10"/>
  <c r="O330" i="10"/>
  <c r="N330" i="10"/>
  <c r="M330" i="10"/>
  <c r="L330" i="10"/>
  <c r="K330" i="10"/>
  <c r="Q329" i="10"/>
  <c r="P329" i="10"/>
  <c r="O329" i="10"/>
  <c r="N329" i="10"/>
  <c r="M329" i="10"/>
  <c r="L329" i="10"/>
  <c r="K329" i="10"/>
  <c r="Q328" i="10"/>
  <c r="P328" i="10"/>
  <c r="O328" i="10"/>
  <c r="N328" i="10"/>
  <c r="M328" i="10"/>
  <c r="L328" i="10"/>
  <c r="K328" i="10"/>
  <c r="Q327" i="10"/>
  <c r="P327" i="10"/>
  <c r="O327" i="10"/>
  <c r="N327" i="10"/>
  <c r="M327" i="10"/>
  <c r="L327" i="10"/>
  <c r="K327" i="10"/>
  <c r="Q326" i="10"/>
  <c r="P326" i="10"/>
  <c r="O326" i="10"/>
  <c r="N326" i="10"/>
  <c r="M326" i="10"/>
  <c r="L326" i="10"/>
  <c r="K326" i="10"/>
  <c r="Q325" i="10"/>
  <c r="P325" i="10"/>
  <c r="O325" i="10"/>
  <c r="N325" i="10"/>
  <c r="M325" i="10"/>
  <c r="L325" i="10"/>
  <c r="K325" i="10"/>
  <c r="Q324" i="10"/>
  <c r="P324" i="10"/>
  <c r="O324" i="10"/>
  <c r="N324" i="10"/>
  <c r="M324" i="10"/>
  <c r="L324" i="10"/>
  <c r="K324" i="10"/>
  <c r="Q323" i="10"/>
  <c r="P323" i="10"/>
  <c r="O323" i="10"/>
  <c r="N323" i="10"/>
  <c r="M323" i="10"/>
  <c r="L323" i="10"/>
  <c r="K323" i="10"/>
  <c r="Q322" i="10"/>
  <c r="P322" i="10"/>
  <c r="O322" i="10"/>
  <c r="N322" i="10"/>
  <c r="M322" i="10"/>
  <c r="L322" i="10"/>
  <c r="K322" i="10"/>
  <c r="Q321" i="10"/>
  <c r="P321" i="10"/>
  <c r="O321" i="10"/>
  <c r="N321" i="10"/>
  <c r="M321" i="10"/>
  <c r="L321" i="10"/>
  <c r="K321" i="10"/>
  <c r="Q320" i="10"/>
  <c r="P320" i="10"/>
  <c r="O320" i="10"/>
  <c r="N320" i="10"/>
  <c r="M320" i="10"/>
  <c r="L320" i="10"/>
  <c r="K320" i="10"/>
  <c r="Q319" i="10"/>
  <c r="P319" i="10"/>
  <c r="O319" i="10"/>
  <c r="N319" i="10"/>
  <c r="M319" i="10"/>
  <c r="L319" i="10"/>
  <c r="K319" i="10"/>
  <c r="Q318" i="10"/>
  <c r="P318" i="10"/>
  <c r="O318" i="10"/>
  <c r="N318" i="10"/>
  <c r="M318" i="10"/>
  <c r="L318" i="10"/>
  <c r="K318" i="10"/>
  <c r="Q317" i="10"/>
  <c r="P317" i="10"/>
  <c r="O317" i="10"/>
  <c r="N317" i="10"/>
  <c r="M317" i="10"/>
  <c r="L317" i="10"/>
  <c r="K317" i="10"/>
  <c r="Q316" i="10"/>
  <c r="P316" i="10"/>
  <c r="O316" i="10"/>
  <c r="N316" i="10"/>
  <c r="M316" i="10"/>
  <c r="L316" i="10"/>
  <c r="K316" i="10"/>
  <c r="Q315" i="10"/>
  <c r="P315" i="10"/>
  <c r="O315" i="10"/>
  <c r="N315" i="10"/>
  <c r="M315" i="10"/>
  <c r="L315" i="10"/>
  <c r="K315" i="10"/>
  <c r="Q314" i="10"/>
  <c r="P314" i="10"/>
  <c r="O314" i="10"/>
  <c r="N314" i="10"/>
  <c r="M314" i="10"/>
  <c r="L314" i="10"/>
  <c r="K314" i="10"/>
  <c r="Q313" i="10"/>
  <c r="P313" i="10"/>
  <c r="O313" i="10"/>
  <c r="N313" i="10"/>
  <c r="M313" i="10"/>
  <c r="L313" i="10"/>
  <c r="K313" i="10"/>
  <c r="Q312" i="10"/>
  <c r="P312" i="10"/>
  <c r="O312" i="10"/>
  <c r="N312" i="10"/>
  <c r="M312" i="10"/>
  <c r="L312" i="10"/>
  <c r="K312" i="10"/>
  <c r="Q311" i="10"/>
  <c r="P311" i="10"/>
  <c r="O311" i="10"/>
  <c r="N311" i="10"/>
  <c r="M311" i="10"/>
  <c r="L311" i="10"/>
  <c r="K311" i="10"/>
  <c r="Q310" i="10"/>
  <c r="P310" i="10"/>
  <c r="O310" i="10"/>
  <c r="N310" i="10"/>
  <c r="M310" i="10"/>
  <c r="L310" i="10"/>
  <c r="K310" i="10"/>
  <c r="Q309" i="10"/>
  <c r="P309" i="10"/>
  <c r="O309" i="10"/>
  <c r="N309" i="10"/>
  <c r="M309" i="10"/>
  <c r="L309" i="10"/>
  <c r="K309" i="10"/>
  <c r="Q308" i="10"/>
  <c r="P308" i="10"/>
  <c r="O308" i="10"/>
  <c r="N308" i="10"/>
  <c r="M308" i="10"/>
  <c r="L308" i="10"/>
  <c r="K308" i="10"/>
  <c r="Q307" i="10"/>
  <c r="P307" i="10"/>
  <c r="O307" i="10"/>
  <c r="N307" i="10"/>
  <c r="M307" i="10"/>
  <c r="L307" i="10"/>
  <c r="K307" i="10"/>
  <c r="Q306" i="10"/>
  <c r="P306" i="10"/>
  <c r="O306" i="10"/>
  <c r="N306" i="10"/>
  <c r="M306" i="10"/>
  <c r="L306" i="10"/>
  <c r="K306" i="10"/>
  <c r="Q305" i="10"/>
  <c r="P305" i="10"/>
  <c r="O305" i="10"/>
  <c r="N305" i="10"/>
  <c r="M305" i="10"/>
  <c r="L305" i="10"/>
  <c r="K305" i="10"/>
  <c r="Q304" i="10"/>
  <c r="P304" i="10"/>
  <c r="O304" i="10"/>
  <c r="N304" i="10"/>
  <c r="M304" i="10"/>
  <c r="L304" i="10"/>
  <c r="K304" i="10"/>
  <c r="Q303" i="10"/>
  <c r="P303" i="10"/>
  <c r="O303" i="10"/>
  <c r="N303" i="10"/>
  <c r="M303" i="10"/>
  <c r="L303" i="10"/>
  <c r="K303" i="10"/>
  <c r="Q302" i="10"/>
  <c r="P302" i="10"/>
  <c r="O302" i="10"/>
  <c r="N302" i="10"/>
  <c r="M302" i="10"/>
  <c r="L302" i="10"/>
  <c r="K302" i="10"/>
  <c r="Q301" i="10"/>
  <c r="P301" i="10"/>
  <c r="O301" i="10"/>
  <c r="N301" i="10"/>
  <c r="M301" i="10"/>
  <c r="L301" i="10"/>
  <c r="K301" i="10"/>
  <c r="Q300" i="10"/>
  <c r="P300" i="10"/>
  <c r="O300" i="10"/>
  <c r="N300" i="10"/>
  <c r="M300" i="10"/>
  <c r="L300" i="10"/>
  <c r="K300" i="10"/>
  <c r="Q299" i="10"/>
  <c r="P299" i="10"/>
  <c r="O299" i="10"/>
  <c r="N299" i="10"/>
  <c r="M299" i="10"/>
  <c r="L299" i="10"/>
  <c r="K299" i="10"/>
  <c r="Q298" i="10"/>
  <c r="P298" i="10"/>
  <c r="O298" i="10"/>
  <c r="N298" i="10"/>
  <c r="M298" i="10"/>
  <c r="L298" i="10"/>
  <c r="K298" i="10"/>
  <c r="Q297" i="10"/>
  <c r="P297" i="10"/>
  <c r="O297" i="10"/>
  <c r="N297" i="10"/>
  <c r="M297" i="10"/>
  <c r="L297" i="10"/>
  <c r="K297" i="10"/>
  <c r="Q296" i="10"/>
  <c r="P296" i="10"/>
  <c r="O296" i="10"/>
  <c r="N296" i="10"/>
  <c r="M296" i="10"/>
  <c r="L296" i="10"/>
  <c r="K296" i="10"/>
  <c r="Q295" i="10"/>
  <c r="P295" i="10"/>
  <c r="O295" i="10"/>
  <c r="N295" i="10"/>
  <c r="M295" i="10"/>
  <c r="L295" i="10"/>
  <c r="K295" i="10"/>
  <c r="Q294" i="10"/>
  <c r="P294" i="10"/>
  <c r="O294" i="10"/>
  <c r="N294" i="10"/>
  <c r="M294" i="10"/>
  <c r="L294" i="10"/>
  <c r="K294" i="10"/>
  <c r="Q293" i="10"/>
  <c r="P293" i="10"/>
  <c r="O293" i="10"/>
  <c r="N293" i="10"/>
  <c r="M293" i="10"/>
  <c r="L293" i="10"/>
  <c r="K293" i="10"/>
  <c r="Q292" i="10"/>
  <c r="P292" i="10"/>
  <c r="O292" i="10"/>
  <c r="N292" i="10"/>
  <c r="M292" i="10"/>
  <c r="L292" i="10"/>
  <c r="K292" i="10"/>
  <c r="Q291" i="10"/>
  <c r="P291" i="10"/>
  <c r="O291" i="10"/>
  <c r="N291" i="10"/>
  <c r="M291" i="10"/>
  <c r="L291" i="10"/>
  <c r="K291" i="10"/>
  <c r="Q290" i="10"/>
  <c r="P290" i="10"/>
  <c r="O290" i="10"/>
  <c r="N290" i="10"/>
  <c r="M290" i="10"/>
  <c r="L290" i="10"/>
  <c r="K290" i="10"/>
  <c r="Q289" i="10"/>
  <c r="P289" i="10"/>
  <c r="O289" i="10"/>
  <c r="N289" i="10"/>
  <c r="M289" i="10"/>
  <c r="L289" i="10"/>
  <c r="K289" i="10"/>
  <c r="Q288" i="10"/>
  <c r="P288" i="10"/>
  <c r="O288" i="10"/>
  <c r="N288" i="10"/>
  <c r="M288" i="10"/>
  <c r="L288" i="10"/>
  <c r="K288" i="10"/>
  <c r="Q287" i="10"/>
  <c r="P287" i="10"/>
  <c r="O287" i="10"/>
  <c r="N287" i="10"/>
  <c r="M287" i="10"/>
  <c r="L287" i="10"/>
  <c r="K287" i="10"/>
  <c r="Q286" i="10"/>
  <c r="P286" i="10"/>
  <c r="O286" i="10"/>
  <c r="N286" i="10"/>
  <c r="M286" i="10"/>
  <c r="L286" i="10"/>
  <c r="K286" i="10"/>
  <c r="Q285" i="10"/>
  <c r="P285" i="10"/>
  <c r="O285" i="10"/>
  <c r="N285" i="10"/>
  <c r="M285" i="10"/>
  <c r="L285" i="10"/>
  <c r="K285" i="10"/>
  <c r="Q284" i="10"/>
  <c r="P284" i="10"/>
  <c r="O284" i="10"/>
  <c r="N284" i="10"/>
  <c r="M284" i="10"/>
  <c r="L284" i="10"/>
  <c r="K284" i="10"/>
  <c r="Q283" i="10"/>
  <c r="P283" i="10"/>
  <c r="O283" i="10"/>
  <c r="N283" i="10"/>
  <c r="M283" i="10"/>
  <c r="L283" i="10"/>
  <c r="K283" i="10"/>
  <c r="Q282" i="10"/>
  <c r="P282" i="10"/>
  <c r="O282" i="10"/>
  <c r="N282" i="10"/>
  <c r="M282" i="10"/>
  <c r="L282" i="10"/>
  <c r="K282" i="10"/>
  <c r="Q281" i="10"/>
  <c r="P281" i="10"/>
  <c r="O281" i="10"/>
  <c r="N281" i="10"/>
  <c r="M281" i="10"/>
  <c r="L281" i="10"/>
  <c r="K281" i="10"/>
  <c r="Q280" i="10"/>
  <c r="P280" i="10"/>
  <c r="O280" i="10"/>
  <c r="N280" i="10"/>
  <c r="M280" i="10"/>
  <c r="L280" i="10"/>
  <c r="K280" i="10"/>
  <c r="Q279" i="10"/>
  <c r="P279" i="10"/>
  <c r="O279" i="10"/>
  <c r="N279" i="10"/>
  <c r="M279" i="10"/>
  <c r="L279" i="10"/>
  <c r="K279" i="10"/>
  <c r="Q278" i="10"/>
  <c r="P278" i="10"/>
  <c r="O278" i="10"/>
  <c r="N278" i="10"/>
  <c r="M278" i="10"/>
  <c r="L278" i="10"/>
  <c r="K278" i="10"/>
  <c r="Q277" i="10"/>
  <c r="P277" i="10"/>
  <c r="O277" i="10"/>
  <c r="N277" i="10"/>
  <c r="M277" i="10"/>
  <c r="L277" i="10"/>
  <c r="K277" i="10"/>
  <c r="Q276" i="10"/>
  <c r="P276" i="10"/>
  <c r="O276" i="10"/>
  <c r="N276" i="10"/>
  <c r="M276" i="10"/>
  <c r="L276" i="10"/>
  <c r="K276" i="10"/>
  <c r="Q275" i="10"/>
  <c r="P275" i="10"/>
  <c r="O275" i="10"/>
  <c r="N275" i="10"/>
  <c r="M275" i="10"/>
  <c r="L275" i="10"/>
  <c r="K275" i="10"/>
  <c r="Q274" i="10"/>
  <c r="P274" i="10"/>
  <c r="O274" i="10"/>
  <c r="N274" i="10"/>
  <c r="M274" i="10"/>
  <c r="L274" i="10"/>
  <c r="K274" i="10"/>
  <c r="Q273" i="10"/>
  <c r="P273" i="10"/>
  <c r="O273" i="10"/>
  <c r="N273" i="10"/>
  <c r="M273" i="10"/>
  <c r="L273" i="10"/>
  <c r="K273" i="10"/>
  <c r="Q272" i="10"/>
  <c r="P272" i="10"/>
  <c r="O272" i="10"/>
  <c r="N272" i="10"/>
  <c r="M272" i="10"/>
  <c r="L272" i="10"/>
  <c r="K272" i="10"/>
  <c r="Q271" i="10"/>
  <c r="P271" i="10"/>
  <c r="O271" i="10"/>
  <c r="N271" i="10"/>
  <c r="M271" i="10"/>
  <c r="L271" i="10"/>
  <c r="K271" i="10"/>
  <c r="Q270" i="10"/>
  <c r="P270" i="10"/>
  <c r="O270" i="10"/>
  <c r="N270" i="10"/>
  <c r="M270" i="10"/>
  <c r="L270" i="10"/>
  <c r="K270" i="10"/>
  <c r="Q269" i="10"/>
  <c r="P269" i="10"/>
  <c r="O269" i="10"/>
  <c r="N269" i="10"/>
  <c r="M269" i="10"/>
  <c r="L269" i="10"/>
  <c r="K269" i="10"/>
  <c r="Q268" i="10"/>
  <c r="P268" i="10"/>
  <c r="O268" i="10"/>
  <c r="N268" i="10"/>
  <c r="M268" i="10"/>
  <c r="L268" i="10"/>
  <c r="K268" i="10"/>
  <c r="Q267" i="10"/>
  <c r="P267" i="10"/>
  <c r="O267" i="10"/>
  <c r="N267" i="10"/>
  <c r="M267" i="10"/>
  <c r="L267" i="10"/>
  <c r="K267" i="10"/>
  <c r="Q266" i="10"/>
  <c r="P266" i="10"/>
  <c r="O266" i="10"/>
  <c r="N266" i="10"/>
  <c r="M266" i="10"/>
  <c r="L266" i="10"/>
  <c r="K266" i="10"/>
  <c r="Q265" i="10"/>
  <c r="P265" i="10"/>
  <c r="O265" i="10"/>
  <c r="N265" i="10"/>
  <c r="M265" i="10"/>
  <c r="L265" i="10"/>
  <c r="K265" i="10"/>
  <c r="Q264" i="10"/>
  <c r="P264" i="10"/>
  <c r="O264" i="10"/>
  <c r="N264" i="10"/>
  <c r="M264" i="10"/>
  <c r="L264" i="10"/>
  <c r="K264" i="10"/>
  <c r="Q263" i="10"/>
  <c r="P263" i="10"/>
  <c r="O263" i="10"/>
  <c r="N263" i="10"/>
  <c r="M263" i="10"/>
  <c r="L263" i="10"/>
  <c r="K263" i="10"/>
  <c r="Q262" i="10"/>
  <c r="P262" i="10"/>
  <c r="O262" i="10"/>
  <c r="N262" i="10"/>
  <c r="M262" i="10"/>
  <c r="L262" i="10"/>
  <c r="K262" i="10"/>
  <c r="Q261" i="10"/>
  <c r="P261" i="10"/>
  <c r="O261" i="10"/>
  <c r="N261" i="10"/>
  <c r="M261" i="10"/>
  <c r="L261" i="10"/>
  <c r="K261" i="10"/>
  <c r="Q260" i="10"/>
  <c r="P260" i="10"/>
  <c r="O260" i="10"/>
  <c r="N260" i="10"/>
  <c r="M260" i="10"/>
  <c r="L260" i="10"/>
  <c r="K260" i="10"/>
  <c r="Q259" i="10"/>
  <c r="P259" i="10"/>
  <c r="O259" i="10"/>
  <c r="N259" i="10"/>
  <c r="M259" i="10"/>
  <c r="L259" i="10"/>
  <c r="K259" i="10"/>
  <c r="Q258" i="10"/>
  <c r="P258" i="10"/>
  <c r="O258" i="10"/>
  <c r="N258" i="10"/>
  <c r="M258" i="10"/>
  <c r="L258" i="10"/>
  <c r="K258" i="10"/>
  <c r="Q257" i="10"/>
  <c r="P257" i="10"/>
  <c r="O257" i="10"/>
  <c r="N257" i="10"/>
  <c r="M257" i="10"/>
  <c r="L257" i="10"/>
  <c r="K257" i="10"/>
  <c r="Q256" i="10"/>
  <c r="P256" i="10"/>
  <c r="O256" i="10"/>
  <c r="N256" i="10"/>
  <c r="M256" i="10"/>
  <c r="L256" i="10"/>
  <c r="K256" i="10"/>
  <c r="Q255" i="10"/>
  <c r="P255" i="10"/>
  <c r="O255" i="10"/>
  <c r="N255" i="10"/>
  <c r="M255" i="10"/>
  <c r="L255" i="10"/>
  <c r="K255" i="10"/>
  <c r="Q254" i="10"/>
  <c r="P254" i="10"/>
  <c r="O254" i="10"/>
  <c r="N254" i="10"/>
  <c r="M254" i="10"/>
  <c r="L254" i="10"/>
  <c r="K254" i="10"/>
  <c r="Q253" i="10"/>
  <c r="P253" i="10"/>
  <c r="O253" i="10"/>
  <c r="N253" i="10"/>
  <c r="M253" i="10"/>
  <c r="L253" i="10"/>
  <c r="K253" i="10"/>
  <c r="Q252" i="10"/>
  <c r="P252" i="10"/>
  <c r="O252" i="10"/>
  <c r="N252" i="10"/>
  <c r="M252" i="10"/>
  <c r="L252" i="10"/>
  <c r="K252" i="10"/>
  <c r="Q251" i="10"/>
  <c r="P251" i="10"/>
  <c r="O251" i="10"/>
  <c r="N251" i="10"/>
  <c r="M251" i="10"/>
  <c r="L251" i="10"/>
  <c r="K251" i="10"/>
  <c r="Q250" i="10"/>
  <c r="P250" i="10"/>
  <c r="O250" i="10"/>
  <c r="N250" i="10"/>
  <c r="M250" i="10"/>
  <c r="L250" i="10"/>
  <c r="K250" i="10"/>
  <c r="Q249" i="10"/>
  <c r="P249" i="10"/>
  <c r="O249" i="10"/>
  <c r="N249" i="10"/>
  <c r="M249" i="10"/>
  <c r="L249" i="10"/>
  <c r="K249" i="10"/>
  <c r="Q248" i="10"/>
  <c r="P248" i="10"/>
  <c r="O248" i="10"/>
  <c r="N248" i="10"/>
  <c r="M248" i="10"/>
  <c r="L248" i="10"/>
  <c r="K248" i="10"/>
  <c r="Q247" i="10"/>
  <c r="P247" i="10"/>
  <c r="O247" i="10"/>
  <c r="N247" i="10"/>
  <c r="M247" i="10"/>
  <c r="L247" i="10"/>
  <c r="K247" i="10"/>
  <c r="Q246" i="10"/>
  <c r="P246" i="10"/>
  <c r="O246" i="10"/>
  <c r="N246" i="10"/>
  <c r="M246" i="10"/>
  <c r="L246" i="10"/>
  <c r="K246" i="10"/>
  <c r="Q245" i="10"/>
  <c r="P245" i="10"/>
  <c r="O245" i="10"/>
  <c r="N245" i="10"/>
  <c r="M245" i="10"/>
  <c r="L245" i="10"/>
  <c r="K245" i="10"/>
  <c r="Q244" i="10"/>
  <c r="P244" i="10"/>
  <c r="O244" i="10"/>
  <c r="N244" i="10"/>
  <c r="M244" i="10"/>
  <c r="L244" i="10"/>
  <c r="K244" i="10"/>
  <c r="Q243" i="10"/>
  <c r="P243" i="10"/>
  <c r="O243" i="10"/>
  <c r="N243" i="10"/>
  <c r="M243" i="10"/>
  <c r="L243" i="10"/>
  <c r="K243" i="10"/>
  <c r="Q242" i="10"/>
  <c r="P242" i="10"/>
  <c r="O242" i="10"/>
  <c r="N242" i="10"/>
  <c r="M242" i="10"/>
  <c r="L242" i="10"/>
  <c r="K242" i="10"/>
  <c r="Q241" i="10"/>
  <c r="P241" i="10"/>
  <c r="O241" i="10"/>
  <c r="N241" i="10"/>
  <c r="M241" i="10"/>
  <c r="L241" i="10"/>
  <c r="K241" i="10"/>
  <c r="Q240" i="10"/>
  <c r="P240" i="10"/>
  <c r="O240" i="10"/>
  <c r="N240" i="10"/>
  <c r="M240" i="10"/>
  <c r="L240" i="10"/>
  <c r="K240" i="10"/>
  <c r="Q239" i="10"/>
  <c r="P239" i="10"/>
  <c r="O239" i="10"/>
  <c r="N239" i="10"/>
  <c r="M239" i="10"/>
  <c r="L239" i="10"/>
  <c r="K239" i="10"/>
  <c r="Q238" i="10"/>
  <c r="P238" i="10"/>
  <c r="O238" i="10"/>
  <c r="N238" i="10"/>
  <c r="M238" i="10"/>
  <c r="L238" i="10"/>
  <c r="K238" i="10"/>
  <c r="Q237" i="10"/>
  <c r="P237" i="10"/>
  <c r="O237" i="10"/>
  <c r="N237" i="10"/>
  <c r="M237" i="10"/>
  <c r="L237" i="10"/>
  <c r="K237" i="10"/>
  <c r="Q236" i="10"/>
  <c r="P236" i="10"/>
  <c r="O236" i="10"/>
  <c r="N236" i="10"/>
  <c r="M236" i="10"/>
  <c r="L236" i="10"/>
  <c r="K236" i="10"/>
  <c r="Q235" i="10"/>
  <c r="P235" i="10"/>
  <c r="O235" i="10"/>
  <c r="N235" i="10"/>
  <c r="M235" i="10"/>
  <c r="L235" i="10"/>
  <c r="K235" i="10"/>
  <c r="Q234" i="10"/>
  <c r="P234" i="10"/>
  <c r="O234" i="10"/>
  <c r="N234" i="10"/>
  <c r="M234" i="10"/>
  <c r="L234" i="10"/>
  <c r="K234" i="10"/>
  <c r="Q233" i="10"/>
  <c r="P233" i="10"/>
  <c r="O233" i="10"/>
  <c r="N233" i="10"/>
  <c r="M233" i="10"/>
  <c r="L233" i="10"/>
  <c r="K233" i="10"/>
  <c r="Q232" i="10"/>
  <c r="P232" i="10"/>
  <c r="O232" i="10"/>
  <c r="N232" i="10"/>
  <c r="M232" i="10"/>
  <c r="L232" i="10"/>
  <c r="K232" i="10"/>
  <c r="Q231" i="10"/>
  <c r="P231" i="10"/>
  <c r="O231" i="10"/>
  <c r="N231" i="10"/>
  <c r="M231" i="10"/>
  <c r="L231" i="10"/>
  <c r="K231" i="10"/>
  <c r="Q230" i="10"/>
  <c r="P230" i="10"/>
  <c r="O230" i="10"/>
  <c r="N230" i="10"/>
  <c r="M230" i="10"/>
  <c r="L230" i="10"/>
  <c r="K230" i="10"/>
  <c r="Q229" i="10"/>
  <c r="P229" i="10"/>
  <c r="O229" i="10"/>
  <c r="N229" i="10"/>
  <c r="M229" i="10"/>
  <c r="L229" i="10"/>
  <c r="K229" i="10"/>
  <c r="Q228" i="10"/>
  <c r="P228" i="10"/>
  <c r="O228" i="10"/>
  <c r="N228" i="10"/>
  <c r="M228" i="10"/>
  <c r="L228" i="10"/>
  <c r="K228" i="10"/>
  <c r="Q227" i="10"/>
  <c r="P227" i="10"/>
  <c r="O227" i="10"/>
  <c r="N227" i="10"/>
  <c r="M227" i="10"/>
  <c r="L227" i="10"/>
  <c r="K227" i="10"/>
  <c r="Q226" i="10"/>
  <c r="P226" i="10"/>
  <c r="O226" i="10"/>
  <c r="N226" i="10"/>
  <c r="M226" i="10"/>
  <c r="L226" i="10"/>
  <c r="K226" i="10"/>
  <c r="Q225" i="10"/>
  <c r="P225" i="10"/>
  <c r="O225" i="10"/>
  <c r="N225" i="10"/>
  <c r="M225" i="10"/>
  <c r="L225" i="10"/>
  <c r="K225" i="10"/>
  <c r="Q224" i="10"/>
  <c r="P224" i="10"/>
  <c r="O224" i="10"/>
  <c r="N224" i="10"/>
  <c r="M224" i="10"/>
  <c r="L224" i="10"/>
  <c r="K224" i="10"/>
  <c r="Q223" i="10"/>
  <c r="P223" i="10"/>
  <c r="O223" i="10"/>
  <c r="N223" i="10"/>
  <c r="M223" i="10"/>
  <c r="L223" i="10"/>
  <c r="K223" i="10"/>
  <c r="Q222" i="10"/>
  <c r="P222" i="10"/>
  <c r="O222" i="10"/>
  <c r="N222" i="10"/>
  <c r="M222" i="10"/>
  <c r="L222" i="10"/>
  <c r="K222" i="10"/>
  <c r="Q221" i="10"/>
  <c r="P221" i="10"/>
  <c r="O221" i="10"/>
  <c r="N221" i="10"/>
  <c r="M221" i="10"/>
  <c r="L221" i="10"/>
  <c r="K221" i="10"/>
  <c r="Q220" i="10"/>
  <c r="P220" i="10"/>
  <c r="O220" i="10"/>
  <c r="N220" i="10"/>
  <c r="M220" i="10"/>
  <c r="L220" i="10"/>
  <c r="K220" i="10"/>
  <c r="Q219" i="10"/>
  <c r="P219" i="10"/>
  <c r="O219" i="10"/>
  <c r="N219" i="10"/>
  <c r="M219" i="10"/>
  <c r="L219" i="10"/>
  <c r="K219" i="10"/>
  <c r="Q218" i="10"/>
  <c r="P218" i="10"/>
  <c r="O218" i="10"/>
  <c r="N218" i="10"/>
  <c r="M218" i="10"/>
  <c r="L218" i="10"/>
  <c r="K218" i="10"/>
  <c r="Q217" i="10"/>
  <c r="P217" i="10"/>
  <c r="O217" i="10"/>
  <c r="N217" i="10"/>
  <c r="M217" i="10"/>
  <c r="L217" i="10"/>
  <c r="K217" i="10"/>
  <c r="Q216" i="10"/>
  <c r="P216" i="10"/>
  <c r="O216" i="10"/>
  <c r="N216" i="10"/>
  <c r="M216" i="10"/>
  <c r="L216" i="10"/>
  <c r="K216" i="10"/>
  <c r="Q215" i="10"/>
  <c r="P215" i="10"/>
  <c r="O215" i="10"/>
  <c r="N215" i="10"/>
  <c r="M215" i="10"/>
  <c r="L215" i="10"/>
  <c r="K215" i="10"/>
  <c r="Q214" i="10"/>
  <c r="P214" i="10"/>
  <c r="O214" i="10"/>
  <c r="N214" i="10"/>
  <c r="M214" i="10"/>
  <c r="L214" i="10"/>
  <c r="K214" i="10"/>
  <c r="Q213" i="10"/>
  <c r="P213" i="10"/>
  <c r="O213" i="10"/>
  <c r="N213" i="10"/>
  <c r="M213" i="10"/>
  <c r="L213" i="10"/>
  <c r="K213" i="10"/>
  <c r="Q212" i="10"/>
  <c r="P212" i="10"/>
  <c r="O212" i="10"/>
  <c r="N212" i="10"/>
  <c r="M212" i="10"/>
  <c r="L212" i="10"/>
  <c r="K212" i="10"/>
  <c r="Q211" i="10"/>
  <c r="P211" i="10"/>
  <c r="O211" i="10"/>
  <c r="N211" i="10"/>
  <c r="M211" i="10"/>
  <c r="L211" i="10"/>
  <c r="K211" i="10"/>
  <c r="Q210" i="10"/>
  <c r="P210" i="10"/>
  <c r="O210" i="10"/>
  <c r="N210" i="10"/>
  <c r="M210" i="10"/>
  <c r="L210" i="10"/>
  <c r="K210" i="10"/>
  <c r="Q209" i="10"/>
  <c r="P209" i="10"/>
  <c r="O209" i="10"/>
  <c r="N209" i="10"/>
  <c r="M209" i="10"/>
  <c r="L209" i="10"/>
  <c r="K209" i="10"/>
  <c r="Q208" i="10"/>
  <c r="P208" i="10"/>
  <c r="O208" i="10"/>
  <c r="N208" i="10"/>
  <c r="M208" i="10"/>
  <c r="L208" i="10"/>
  <c r="K208" i="10"/>
  <c r="Q207" i="10"/>
  <c r="P207" i="10"/>
  <c r="O207" i="10"/>
  <c r="N207" i="10"/>
  <c r="M207" i="10"/>
  <c r="L207" i="10"/>
  <c r="K207" i="10"/>
  <c r="Q206" i="10"/>
  <c r="P206" i="10"/>
  <c r="O206" i="10"/>
  <c r="N206" i="10"/>
  <c r="M206" i="10"/>
  <c r="L206" i="10"/>
  <c r="K206" i="10"/>
  <c r="Q205" i="10"/>
  <c r="P205" i="10"/>
  <c r="O205" i="10"/>
  <c r="N205" i="10"/>
  <c r="M205" i="10"/>
  <c r="L205" i="10"/>
  <c r="K205" i="10"/>
  <c r="Q204" i="10"/>
  <c r="P204" i="10"/>
  <c r="O204" i="10"/>
  <c r="N204" i="10"/>
  <c r="M204" i="10"/>
  <c r="L204" i="10"/>
  <c r="K204" i="10"/>
  <c r="Q203" i="10"/>
  <c r="P203" i="10"/>
  <c r="O203" i="10"/>
  <c r="N203" i="10"/>
  <c r="M203" i="10"/>
  <c r="L203" i="10"/>
  <c r="K203" i="10"/>
  <c r="Q202" i="10"/>
  <c r="P202" i="10"/>
  <c r="O202" i="10"/>
  <c r="N202" i="10"/>
  <c r="M202" i="10"/>
  <c r="L202" i="10"/>
  <c r="K202" i="10"/>
  <c r="Q201" i="10"/>
  <c r="P201" i="10"/>
  <c r="O201" i="10"/>
  <c r="N201" i="10"/>
  <c r="M201" i="10"/>
  <c r="L201" i="10"/>
  <c r="K201" i="10"/>
  <c r="Q200" i="10"/>
  <c r="P200" i="10"/>
  <c r="O200" i="10"/>
  <c r="N200" i="10"/>
  <c r="M200" i="10"/>
  <c r="L200" i="10"/>
  <c r="K200" i="10"/>
  <c r="Q199" i="10"/>
  <c r="P199" i="10"/>
  <c r="O199" i="10"/>
  <c r="N199" i="10"/>
  <c r="M199" i="10"/>
  <c r="L199" i="10"/>
  <c r="K199" i="10"/>
  <c r="Q198" i="10"/>
  <c r="P198" i="10"/>
  <c r="O198" i="10"/>
  <c r="N198" i="10"/>
  <c r="M198" i="10"/>
  <c r="L198" i="10"/>
  <c r="K198" i="10"/>
  <c r="Q197" i="10"/>
  <c r="P197" i="10"/>
  <c r="O197" i="10"/>
  <c r="N197" i="10"/>
  <c r="M197" i="10"/>
  <c r="L197" i="10"/>
  <c r="K197" i="10"/>
  <c r="Q196" i="10"/>
  <c r="P196" i="10"/>
  <c r="O196" i="10"/>
  <c r="N196" i="10"/>
  <c r="M196" i="10"/>
  <c r="L196" i="10"/>
  <c r="K196" i="10"/>
  <c r="Q195" i="10"/>
  <c r="P195" i="10"/>
  <c r="O195" i="10"/>
  <c r="N195" i="10"/>
  <c r="M195" i="10"/>
  <c r="L195" i="10"/>
  <c r="K195" i="10"/>
  <c r="Q194" i="10"/>
  <c r="P194" i="10"/>
  <c r="O194" i="10"/>
  <c r="N194" i="10"/>
  <c r="M194" i="10"/>
  <c r="L194" i="10"/>
  <c r="K194" i="10"/>
  <c r="Q193" i="10"/>
  <c r="P193" i="10"/>
  <c r="O193" i="10"/>
  <c r="N193" i="10"/>
  <c r="M193" i="10"/>
  <c r="L193" i="10"/>
  <c r="K193" i="10"/>
  <c r="Q192" i="10"/>
  <c r="P192" i="10"/>
  <c r="O192" i="10"/>
  <c r="N192" i="10"/>
  <c r="M192" i="10"/>
  <c r="L192" i="10"/>
  <c r="K192" i="10"/>
  <c r="Q191" i="10"/>
  <c r="P191" i="10"/>
  <c r="O191" i="10"/>
  <c r="N191" i="10"/>
  <c r="M191" i="10"/>
  <c r="L191" i="10"/>
  <c r="K191" i="10"/>
  <c r="Q190" i="10"/>
  <c r="P190" i="10"/>
  <c r="O190" i="10"/>
  <c r="N190" i="10"/>
  <c r="M190" i="10"/>
  <c r="L190" i="10"/>
  <c r="K190" i="10"/>
  <c r="Q189" i="10"/>
  <c r="P189" i="10"/>
  <c r="O189" i="10"/>
  <c r="N189" i="10"/>
  <c r="M189" i="10"/>
  <c r="L189" i="10"/>
  <c r="K189" i="10"/>
  <c r="Q188" i="10"/>
  <c r="P188" i="10"/>
  <c r="O188" i="10"/>
  <c r="N188" i="10"/>
  <c r="M188" i="10"/>
  <c r="L188" i="10"/>
  <c r="K188" i="10"/>
  <c r="Q187" i="10"/>
  <c r="P187" i="10"/>
  <c r="O187" i="10"/>
  <c r="N187" i="10"/>
  <c r="M187" i="10"/>
  <c r="L187" i="10"/>
  <c r="K187" i="10"/>
  <c r="Q186" i="10"/>
  <c r="P186" i="10"/>
  <c r="O186" i="10"/>
  <c r="N186" i="10"/>
  <c r="M186" i="10"/>
  <c r="L186" i="10"/>
  <c r="K186" i="10"/>
  <c r="Q185" i="10"/>
  <c r="P185" i="10"/>
  <c r="O185" i="10"/>
  <c r="N185" i="10"/>
  <c r="M185" i="10"/>
  <c r="L185" i="10"/>
  <c r="K185" i="10"/>
  <c r="Q184" i="10"/>
  <c r="P184" i="10"/>
  <c r="O184" i="10"/>
  <c r="N184" i="10"/>
  <c r="M184" i="10"/>
  <c r="L184" i="10"/>
  <c r="K184" i="10"/>
  <c r="Q183" i="10"/>
  <c r="P183" i="10"/>
  <c r="O183" i="10"/>
  <c r="N183" i="10"/>
  <c r="M183" i="10"/>
  <c r="L183" i="10"/>
  <c r="K183" i="10"/>
  <c r="Q182" i="10"/>
  <c r="P182" i="10"/>
  <c r="O182" i="10"/>
  <c r="N182" i="10"/>
  <c r="M182" i="10"/>
  <c r="L182" i="10"/>
  <c r="K182" i="10"/>
  <c r="Q181" i="10"/>
  <c r="P181" i="10"/>
  <c r="O181" i="10"/>
  <c r="N181" i="10"/>
  <c r="M181" i="10"/>
  <c r="L181" i="10"/>
  <c r="K181" i="10"/>
  <c r="Q180" i="10"/>
  <c r="P180" i="10"/>
  <c r="O180" i="10"/>
  <c r="N180" i="10"/>
  <c r="M180" i="10"/>
  <c r="L180" i="10"/>
  <c r="K180" i="10"/>
  <c r="Q179" i="10"/>
  <c r="P179" i="10"/>
  <c r="O179" i="10"/>
  <c r="N179" i="10"/>
  <c r="M179" i="10"/>
  <c r="L179" i="10"/>
  <c r="K179" i="10"/>
  <c r="Q178" i="10"/>
  <c r="P178" i="10"/>
  <c r="O178" i="10"/>
  <c r="N178" i="10"/>
  <c r="M178" i="10"/>
  <c r="L178" i="10"/>
  <c r="K178" i="10"/>
  <c r="Q177" i="10"/>
  <c r="P177" i="10"/>
  <c r="O177" i="10"/>
  <c r="N177" i="10"/>
  <c r="M177" i="10"/>
  <c r="L177" i="10"/>
  <c r="K177" i="10"/>
  <c r="Q176" i="10"/>
  <c r="P176" i="10"/>
  <c r="O176" i="10"/>
  <c r="N176" i="10"/>
  <c r="M176" i="10"/>
  <c r="L176" i="10"/>
  <c r="K176" i="10"/>
  <c r="Q175" i="10"/>
  <c r="P175" i="10"/>
  <c r="O175" i="10"/>
  <c r="N175" i="10"/>
  <c r="M175" i="10"/>
  <c r="L175" i="10"/>
  <c r="K175" i="10"/>
  <c r="Q174" i="10"/>
  <c r="P174" i="10"/>
  <c r="O174" i="10"/>
  <c r="N174" i="10"/>
  <c r="M174" i="10"/>
  <c r="L174" i="10"/>
  <c r="K174" i="10"/>
  <c r="Q173" i="10"/>
  <c r="P173" i="10"/>
  <c r="O173" i="10"/>
  <c r="N173" i="10"/>
  <c r="M173" i="10"/>
  <c r="L173" i="10"/>
  <c r="K173" i="10"/>
  <c r="Q172" i="10"/>
  <c r="P172" i="10"/>
  <c r="O172" i="10"/>
  <c r="N172" i="10"/>
  <c r="M172" i="10"/>
  <c r="L172" i="10"/>
  <c r="K172" i="10"/>
  <c r="Q171" i="10"/>
  <c r="P171" i="10"/>
  <c r="O171" i="10"/>
  <c r="N171" i="10"/>
  <c r="M171" i="10"/>
  <c r="L171" i="10"/>
  <c r="K171" i="10"/>
  <c r="Q170" i="10"/>
  <c r="P170" i="10"/>
  <c r="O170" i="10"/>
  <c r="N170" i="10"/>
  <c r="M170" i="10"/>
  <c r="L170" i="10"/>
  <c r="K170" i="10"/>
  <c r="Q169" i="10"/>
  <c r="P169" i="10"/>
  <c r="O169" i="10"/>
  <c r="N169" i="10"/>
  <c r="M169" i="10"/>
  <c r="L169" i="10"/>
  <c r="K169" i="10"/>
  <c r="Q168" i="10"/>
  <c r="P168" i="10"/>
  <c r="O168" i="10"/>
  <c r="N168" i="10"/>
  <c r="M168" i="10"/>
  <c r="L168" i="10"/>
  <c r="K168" i="10"/>
  <c r="Q167" i="10"/>
  <c r="P167" i="10"/>
  <c r="O167" i="10"/>
  <c r="N167" i="10"/>
  <c r="M167" i="10"/>
  <c r="L167" i="10"/>
  <c r="K167" i="10"/>
  <c r="Q166" i="10"/>
  <c r="P166" i="10"/>
  <c r="O166" i="10"/>
  <c r="N166" i="10"/>
  <c r="M166" i="10"/>
  <c r="L166" i="10"/>
  <c r="K166" i="10"/>
  <c r="Q165" i="10"/>
  <c r="P165" i="10"/>
  <c r="O165" i="10"/>
  <c r="N165" i="10"/>
  <c r="M165" i="10"/>
  <c r="L165" i="10"/>
  <c r="K165" i="10"/>
  <c r="Q164" i="10"/>
  <c r="P164" i="10"/>
  <c r="O164" i="10"/>
  <c r="N164" i="10"/>
  <c r="M164" i="10"/>
  <c r="L164" i="10"/>
  <c r="K164" i="10"/>
  <c r="Q163" i="10"/>
  <c r="P163" i="10"/>
  <c r="O163" i="10"/>
  <c r="N163" i="10"/>
  <c r="M163" i="10"/>
  <c r="L163" i="10"/>
  <c r="K163" i="10"/>
  <c r="Q162" i="10"/>
  <c r="P162" i="10"/>
  <c r="O162" i="10"/>
  <c r="N162" i="10"/>
  <c r="M162" i="10"/>
  <c r="L162" i="10"/>
  <c r="K162" i="10"/>
  <c r="Q161" i="10"/>
  <c r="P161" i="10"/>
  <c r="O161" i="10"/>
  <c r="N161" i="10"/>
  <c r="M161" i="10"/>
  <c r="L161" i="10"/>
  <c r="K161" i="10"/>
  <c r="Q160" i="10"/>
  <c r="P160" i="10"/>
  <c r="O160" i="10"/>
  <c r="N160" i="10"/>
  <c r="M160" i="10"/>
  <c r="L160" i="10"/>
  <c r="K160" i="10"/>
  <c r="Q159" i="10"/>
  <c r="P159" i="10"/>
  <c r="O159" i="10"/>
  <c r="N159" i="10"/>
  <c r="M159" i="10"/>
  <c r="L159" i="10"/>
  <c r="K159" i="10"/>
  <c r="Q158" i="10"/>
  <c r="P158" i="10"/>
  <c r="O158" i="10"/>
  <c r="N158" i="10"/>
  <c r="M158" i="10"/>
  <c r="L158" i="10"/>
  <c r="K158" i="10"/>
  <c r="Q157" i="10"/>
  <c r="P157" i="10"/>
  <c r="O157" i="10"/>
  <c r="N157" i="10"/>
  <c r="M157" i="10"/>
  <c r="L157" i="10"/>
  <c r="K157" i="10"/>
  <c r="Q156" i="10"/>
  <c r="P156" i="10"/>
  <c r="O156" i="10"/>
  <c r="N156" i="10"/>
  <c r="M156" i="10"/>
  <c r="L156" i="10"/>
  <c r="K156" i="10"/>
  <c r="Q155" i="10"/>
  <c r="P155" i="10"/>
  <c r="O155" i="10"/>
  <c r="N155" i="10"/>
  <c r="M155" i="10"/>
  <c r="L155" i="10"/>
  <c r="K155" i="10"/>
  <c r="Q154" i="10"/>
  <c r="P154" i="10"/>
  <c r="O154" i="10"/>
  <c r="N154" i="10"/>
  <c r="M154" i="10"/>
  <c r="L154" i="10"/>
  <c r="K154" i="10"/>
  <c r="Q153" i="10"/>
  <c r="P153" i="10"/>
  <c r="O153" i="10"/>
  <c r="N153" i="10"/>
  <c r="M153" i="10"/>
  <c r="L153" i="10"/>
  <c r="K153" i="10"/>
  <c r="Q152" i="10"/>
  <c r="P152" i="10"/>
  <c r="O152" i="10"/>
  <c r="N152" i="10"/>
  <c r="M152" i="10"/>
  <c r="L152" i="10"/>
  <c r="K152" i="10"/>
  <c r="Q151" i="10"/>
  <c r="P151" i="10"/>
  <c r="O151" i="10"/>
  <c r="N151" i="10"/>
  <c r="M151" i="10"/>
  <c r="L151" i="10"/>
  <c r="K151" i="10"/>
  <c r="Q150" i="10"/>
  <c r="P150" i="10"/>
  <c r="O150" i="10"/>
  <c r="N150" i="10"/>
  <c r="M150" i="10"/>
  <c r="L150" i="10"/>
  <c r="K150" i="10"/>
  <c r="Q149" i="10"/>
  <c r="P149" i="10"/>
  <c r="O149" i="10"/>
  <c r="N149" i="10"/>
  <c r="M149" i="10"/>
  <c r="L149" i="10"/>
  <c r="K149" i="10"/>
  <c r="Q148" i="10"/>
  <c r="P148" i="10"/>
  <c r="O148" i="10"/>
  <c r="N148" i="10"/>
  <c r="M148" i="10"/>
  <c r="L148" i="10"/>
  <c r="K148" i="10"/>
  <c r="Q147" i="10"/>
  <c r="P147" i="10"/>
  <c r="O147" i="10"/>
  <c r="N147" i="10"/>
  <c r="M147" i="10"/>
  <c r="L147" i="10"/>
  <c r="K147" i="10"/>
  <c r="Q146" i="10"/>
  <c r="P146" i="10"/>
  <c r="O146" i="10"/>
  <c r="N146" i="10"/>
  <c r="M146" i="10"/>
  <c r="L146" i="10"/>
  <c r="K146" i="10"/>
  <c r="Q145" i="10"/>
  <c r="P145" i="10"/>
  <c r="O145" i="10"/>
  <c r="N145" i="10"/>
  <c r="M145" i="10"/>
  <c r="L145" i="10"/>
  <c r="K145" i="10"/>
  <c r="Q144" i="10"/>
  <c r="P144" i="10"/>
  <c r="O144" i="10"/>
  <c r="N144" i="10"/>
  <c r="M144" i="10"/>
  <c r="L144" i="10"/>
  <c r="K144" i="10"/>
  <c r="Q143" i="10"/>
  <c r="P143" i="10"/>
  <c r="O143" i="10"/>
  <c r="N143" i="10"/>
  <c r="M143" i="10"/>
  <c r="L143" i="10"/>
  <c r="K143" i="10"/>
  <c r="Q142" i="10"/>
  <c r="P142" i="10"/>
  <c r="O142" i="10"/>
  <c r="N142" i="10"/>
  <c r="M142" i="10"/>
  <c r="L142" i="10"/>
  <c r="K142" i="10"/>
  <c r="Q141" i="10"/>
  <c r="P141" i="10"/>
  <c r="O141" i="10"/>
  <c r="N141" i="10"/>
  <c r="M141" i="10"/>
  <c r="L141" i="10"/>
  <c r="K141" i="10"/>
  <c r="Q140" i="10"/>
  <c r="P140" i="10"/>
  <c r="O140" i="10"/>
  <c r="N140" i="10"/>
  <c r="M140" i="10"/>
  <c r="L140" i="10"/>
  <c r="K140" i="10"/>
  <c r="Q139" i="10"/>
  <c r="P139" i="10"/>
  <c r="O139" i="10"/>
  <c r="N139" i="10"/>
  <c r="M139" i="10"/>
  <c r="L139" i="10"/>
  <c r="K139" i="10"/>
  <c r="Q138" i="10"/>
  <c r="P138" i="10"/>
  <c r="O138" i="10"/>
  <c r="N138" i="10"/>
  <c r="M138" i="10"/>
  <c r="L138" i="10"/>
  <c r="K138" i="10"/>
  <c r="Q137" i="10"/>
  <c r="P137" i="10"/>
  <c r="O137" i="10"/>
  <c r="N137" i="10"/>
  <c r="M137" i="10"/>
  <c r="L137" i="10"/>
  <c r="K137" i="10"/>
  <c r="Q136" i="10"/>
  <c r="P136" i="10"/>
  <c r="O136" i="10"/>
  <c r="N136" i="10"/>
  <c r="M136" i="10"/>
  <c r="L136" i="10"/>
  <c r="K136" i="10"/>
  <c r="Q135" i="10"/>
  <c r="P135" i="10"/>
  <c r="O135" i="10"/>
  <c r="N135" i="10"/>
  <c r="M135" i="10"/>
  <c r="L135" i="10"/>
  <c r="K135" i="10"/>
  <c r="Q134" i="10"/>
  <c r="P134" i="10"/>
  <c r="O134" i="10"/>
  <c r="N134" i="10"/>
  <c r="M134" i="10"/>
  <c r="L134" i="10"/>
  <c r="K134" i="10"/>
  <c r="Q133" i="10"/>
  <c r="P133" i="10"/>
  <c r="O133" i="10"/>
  <c r="N133" i="10"/>
  <c r="M133" i="10"/>
  <c r="L133" i="10"/>
  <c r="K133" i="10"/>
  <c r="Q132" i="10"/>
  <c r="P132" i="10"/>
  <c r="O132" i="10"/>
  <c r="N132" i="10"/>
  <c r="M132" i="10"/>
  <c r="L132" i="10"/>
  <c r="K132" i="10"/>
  <c r="Q131" i="10"/>
  <c r="P131" i="10"/>
  <c r="O131" i="10"/>
  <c r="N131" i="10"/>
  <c r="M131" i="10"/>
  <c r="L131" i="10"/>
  <c r="K131" i="10"/>
  <c r="Q130" i="10"/>
  <c r="P130" i="10"/>
  <c r="O130" i="10"/>
  <c r="N130" i="10"/>
  <c r="M130" i="10"/>
  <c r="L130" i="10"/>
  <c r="K130" i="10"/>
  <c r="Q129" i="10"/>
  <c r="P129" i="10"/>
  <c r="O129" i="10"/>
  <c r="N129" i="10"/>
  <c r="M129" i="10"/>
  <c r="L129" i="10"/>
  <c r="K129" i="10"/>
  <c r="Q128" i="10"/>
  <c r="P128" i="10"/>
  <c r="O128" i="10"/>
  <c r="N128" i="10"/>
  <c r="M128" i="10"/>
  <c r="L128" i="10"/>
  <c r="K128" i="10"/>
  <c r="Q127" i="10"/>
  <c r="P127" i="10"/>
  <c r="O127" i="10"/>
  <c r="N127" i="10"/>
  <c r="M127" i="10"/>
  <c r="L127" i="10"/>
  <c r="K127" i="10"/>
  <c r="Q126" i="10"/>
  <c r="P126" i="10"/>
  <c r="O126" i="10"/>
  <c r="N126" i="10"/>
  <c r="M126" i="10"/>
  <c r="L126" i="10"/>
  <c r="K126" i="10"/>
  <c r="Q125" i="10"/>
  <c r="P125" i="10"/>
  <c r="O125" i="10"/>
  <c r="N125" i="10"/>
  <c r="M125" i="10"/>
  <c r="L125" i="10"/>
  <c r="K125" i="10"/>
  <c r="Q124" i="10"/>
  <c r="P124" i="10"/>
  <c r="O124" i="10"/>
  <c r="N124" i="10"/>
  <c r="M124" i="10"/>
  <c r="L124" i="10"/>
  <c r="K124" i="10"/>
  <c r="Q123" i="10"/>
  <c r="P123" i="10"/>
  <c r="O123" i="10"/>
  <c r="N123" i="10"/>
  <c r="M123" i="10"/>
  <c r="L123" i="10"/>
  <c r="K123" i="10"/>
  <c r="Q122" i="10"/>
  <c r="P122" i="10"/>
  <c r="O122" i="10"/>
  <c r="N122" i="10"/>
  <c r="M122" i="10"/>
  <c r="L122" i="10"/>
  <c r="K122" i="10"/>
  <c r="Q121" i="10"/>
  <c r="P121" i="10"/>
  <c r="O121" i="10"/>
  <c r="N121" i="10"/>
  <c r="M121" i="10"/>
  <c r="L121" i="10"/>
  <c r="K121" i="10"/>
  <c r="Q120" i="10"/>
  <c r="P120" i="10"/>
  <c r="O120" i="10"/>
  <c r="N120" i="10"/>
  <c r="M120" i="10"/>
  <c r="L120" i="10"/>
  <c r="K120" i="10"/>
  <c r="Q119" i="10"/>
  <c r="P119" i="10"/>
  <c r="O119" i="10"/>
  <c r="N119" i="10"/>
  <c r="M119" i="10"/>
  <c r="L119" i="10"/>
  <c r="K119" i="10"/>
  <c r="Q118" i="10"/>
  <c r="P118" i="10"/>
  <c r="O118" i="10"/>
  <c r="N118" i="10"/>
  <c r="M118" i="10"/>
  <c r="L118" i="10"/>
  <c r="K118" i="10"/>
  <c r="Q117" i="10"/>
  <c r="P117" i="10"/>
  <c r="O117" i="10"/>
  <c r="N117" i="10"/>
  <c r="M117" i="10"/>
  <c r="L117" i="10"/>
  <c r="K117" i="10"/>
  <c r="Q116" i="10"/>
  <c r="P116" i="10"/>
  <c r="O116" i="10"/>
  <c r="N116" i="10"/>
  <c r="M116" i="10"/>
  <c r="L116" i="10"/>
  <c r="K116" i="10"/>
  <c r="Q115" i="10"/>
  <c r="P115" i="10"/>
  <c r="O115" i="10"/>
  <c r="N115" i="10"/>
  <c r="M115" i="10"/>
  <c r="L115" i="10"/>
  <c r="K115" i="10"/>
  <c r="Q114" i="10"/>
  <c r="P114" i="10"/>
  <c r="O114" i="10"/>
  <c r="N114" i="10"/>
  <c r="M114" i="10"/>
  <c r="L114" i="10"/>
  <c r="K114" i="10"/>
  <c r="Q113" i="10"/>
  <c r="P113" i="10"/>
  <c r="O113" i="10"/>
  <c r="N113" i="10"/>
  <c r="M113" i="10"/>
  <c r="L113" i="10"/>
  <c r="K113" i="10"/>
  <c r="Q112" i="10"/>
  <c r="P112" i="10"/>
  <c r="O112" i="10"/>
  <c r="N112" i="10"/>
  <c r="M112" i="10"/>
  <c r="L112" i="10"/>
  <c r="K112" i="10"/>
  <c r="Q111" i="10"/>
  <c r="P111" i="10"/>
  <c r="O111" i="10"/>
  <c r="N111" i="10"/>
  <c r="M111" i="10"/>
  <c r="L111" i="10"/>
  <c r="K111" i="10"/>
  <c r="Q110" i="10"/>
  <c r="P110" i="10"/>
  <c r="O110" i="10"/>
  <c r="N110" i="10"/>
  <c r="M110" i="10"/>
  <c r="L110" i="10"/>
  <c r="K110" i="10"/>
  <c r="Q109" i="10"/>
  <c r="P109" i="10"/>
  <c r="O109" i="10"/>
  <c r="N109" i="10"/>
  <c r="M109" i="10"/>
  <c r="L109" i="10"/>
  <c r="K109" i="10"/>
  <c r="Q108" i="10"/>
  <c r="P108" i="10"/>
  <c r="O108" i="10"/>
  <c r="N108" i="10"/>
  <c r="M108" i="10"/>
  <c r="L108" i="10"/>
  <c r="K108" i="10"/>
  <c r="Q107" i="10"/>
  <c r="P107" i="10"/>
  <c r="O107" i="10"/>
  <c r="N107" i="10"/>
  <c r="M107" i="10"/>
  <c r="L107" i="10"/>
  <c r="K107" i="10"/>
  <c r="Q106" i="10"/>
  <c r="P106" i="10"/>
  <c r="O106" i="10"/>
  <c r="N106" i="10"/>
  <c r="M106" i="10"/>
  <c r="L106" i="10"/>
  <c r="K106" i="10"/>
  <c r="Q105" i="10"/>
  <c r="P105" i="10"/>
  <c r="O105" i="10"/>
  <c r="N105" i="10"/>
  <c r="M105" i="10"/>
  <c r="L105" i="10"/>
  <c r="K105" i="10"/>
  <c r="Q104" i="10"/>
  <c r="P104" i="10"/>
  <c r="O104" i="10"/>
  <c r="N104" i="10"/>
  <c r="M104" i="10"/>
  <c r="L104" i="10"/>
  <c r="K104" i="10"/>
  <c r="Q103" i="10"/>
  <c r="P103" i="10"/>
  <c r="O103" i="10"/>
  <c r="N103" i="10"/>
  <c r="M103" i="10"/>
  <c r="L103" i="10"/>
  <c r="K103" i="10"/>
  <c r="Q102" i="10"/>
  <c r="P102" i="10"/>
  <c r="O102" i="10"/>
  <c r="N102" i="10"/>
  <c r="M102" i="10"/>
  <c r="L102" i="10"/>
  <c r="K102" i="10"/>
  <c r="Q101" i="10"/>
  <c r="P101" i="10"/>
  <c r="O101" i="10"/>
  <c r="N101" i="10"/>
  <c r="M101" i="10"/>
  <c r="L101" i="10"/>
  <c r="K101" i="10"/>
  <c r="Q100" i="10"/>
  <c r="P100" i="10"/>
  <c r="O100" i="10"/>
  <c r="N100" i="10"/>
  <c r="M100" i="10"/>
  <c r="L100" i="10"/>
  <c r="K100" i="10"/>
  <c r="Q99" i="10"/>
  <c r="P99" i="10"/>
  <c r="O99" i="10"/>
  <c r="N99" i="10"/>
  <c r="M99" i="10"/>
  <c r="L99" i="10"/>
  <c r="K99" i="10"/>
  <c r="Q98" i="10"/>
  <c r="P98" i="10"/>
  <c r="O98" i="10"/>
  <c r="N98" i="10"/>
  <c r="M98" i="10"/>
  <c r="L98" i="10"/>
  <c r="K98" i="10"/>
  <c r="Q97" i="10"/>
  <c r="P97" i="10"/>
  <c r="O97" i="10"/>
  <c r="N97" i="10"/>
  <c r="M97" i="10"/>
  <c r="L97" i="10"/>
  <c r="K97" i="10"/>
  <c r="Q96" i="10"/>
  <c r="P96" i="10"/>
  <c r="O96" i="10"/>
  <c r="N96" i="10"/>
  <c r="M96" i="10"/>
  <c r="L96" i="10"/>
  <c r="K96" i="10"/>
  <c r="Q95" i="10"/>
  <c r="P95" i="10"/>
  <c r="O95" i="10"/>
  <c r="N95" i="10"/>
  <c r="M95" i="10"/>
  <c r="L95" i="10"/>
  <c r="K95" i="10"/>
  <c r="Q94" i="10"/>
  <c r="P94" i="10"/>
  <c r="O94" i="10"/>
  <c r="N94" i="10"/>
  <c r="M94" i="10"/>
  <c r="L94" i="10"/>
  <c r="K94" i="10"/>
  <c r="Q93" i="10"/>
  <c r="P93" i="10"/>
  <c r="O93" i="10"/>
  <c r="N93" i="10"/>
  <c r="M93" i="10"/>
  <c r="L93" i="10"/>
  <c r="K93" i="10"/>
  <c r="Q92" i="10"/>
  <c r="P92" i="10"/>
  <c r="O92" i="10"/>
  <c r="N92" i="10"/>
  <c r="M92" i="10"/>
  <c r="L92" i="10"/>
  <c r="K92" i="10"/>
  <c r="Q91" i="10"/>
  <c r="P91" i="10"/>
  <c r="O91" i="10"/>
  <c r="N91" i="10"/>
  <c r="M91" i="10"/>
  <c r="L91" i="10"/>
  <c r="K91" i="10"/>
  <c r="Q90" i="10"/>
  <c r="P90" i="10"/>
  <c r="O90" i="10"/>
  <c r="N90" i="10"/>
  <c r="M90" i="10"/>
  <c r="L90" i="10"/>
  <c r="K90" i="10"/>
  <c r="Q89" i="10"/>
  <c r="P89" i="10"/>
  <c r="O89" i="10"/>
  <c r="N89" i="10"/>
  <c r="M89" i="10"/>
  <c r="L89" i="10"/>
  <c r="K89" i="10"/>
  <c r="Q88" i="10"/>
  <c r="P88" i="10"/>
  <c r="O88" i="10"/>
  <c r="N88" i="10"/>
  <c r="M88" i="10"/>
  <c r="L88" i="10"/>
  <c r="K88" i="10"/>
  <c r="Q87" i="10"/>
  <c r="P87" i="10"/>
  <c r="O87" i="10"/>
  <c r="N87" i="10"/>
  <c r="M87" i="10"/>
  <c r="L87" i="10"/>
  <c r="K87" i="10"/>
  <c r="Q86" i="10"/>
  <c r="P86" i="10"/>
  <c r="O86" i="10"/>
  <c r="N86" i="10"/>
  <c r="M86" i="10"/>
  <c r="L86" i="10"/>
  <c r="K86" i="10"/>
  <c r="Q85" i="10"/>
  <c r="P85" i="10"/>
  <c r="O85" i="10"/>
  <c r="N85" i="10"/>
  <c r="M85" i="10"/>
  <c r="L85" i="10"/>
  <c r="K85" i="10"/>
  <c r="Q84" i="10"/>
  <c r="P84" i="10"/>
  <c r="O84" i="10"/>
  <c r="N84" i="10"/>
  <c r="M84" i="10"/>
  <c r="L84" i="10"/>
  <c r="K84" i="10"/>
  <c r="Q83" i="10"/>
  <c r="P83" i="10"/>
  <c r="O83" i="10"/>
  <c r="N83" i="10"/>
  <c r="M83" i="10"/>
  <c r="L83" i="10"/>
  <c r="K83" i="10"/>
  <c r="Q82" i="10"/>
  <c r="P82" i="10"/>
  <c r="O82" i="10"/>
  <c r="N82" i="10"/>
  <c r="M82" i="10"/>
  <c r="L82" i="10"/>
  <c r="K82" i="10"/>
  <c r="Q81" i="10"/>
  <c r="P81" i="10"/>
  <c r="O81" i="10"/>
  <c r="N81" i="10"/>
  <c r="M81" i="10"/>
  <c r="L81" i="10"/>
  <c r="K81" i="10"/>
  <c r="Q80" i="10"/>
  <c r="P80" i="10"/>
  <c r="O80" i="10"/>
  <c r="N80" i="10"/>
  <c r="M80" i="10"/>
  <c r="L80" i="10"/>
  <c r="K80" i="10"/>
  <c r="Q79" i="10"/>
  <c r="P79" i="10"/>
  <c r="O79" i="10"/>
  <c r="N79" i="10"/>
  <c r="M79" i="10"/>
  <c r="L79" i="10"/>
  <c r="K79" i="10"/>
  <c r="Q78" i="10"/>
  <c r="P78" i="10"/>
  <c r="O78" i="10"/>
  <c r="N78" i="10"/>
  <c r="M78" i="10"/>
  <c r="L78" i="10"/>
  <c r="K78" i="10"/>
  <c r="Q77" i="10"/>
  <c r="P77" i="10"/>
  <c r="O77" i="10"/>
  <c r="N77" i="10"/>
  <c r="M77" i="10"/>
  <c r="L77" i="10"/>
  <c r="K77" i="10"/>
  <c r="Q76" i="10"/>
  <c r="P76" i="10"/>
  <c r="O76" i="10"/>
  <c r="N76" i="10"/>
  <c r="M76" i="10"/>
  <c r="L76" i="10"/>
  <c r="K76" i="10"/>
  <c r="Q75" i="10"/>
  <c r="P75" i="10"/>
  <c r="O75" i="10"/>
  <c r="N75" i="10"/>
  <c r="M75" i="10"/>
  <c r="L75" i="10"/>
  <c r="K75" i="10"/>
  <c r="Q74" i="10"/>
  <c r="P74" i="10"/>
  <c r="O74" i="10"/>
  <c r="N74" i="10"/>
  <c r="M74" i="10"/>
  <c r="L74" i="10"/>
  <c r="K74" i="10"/>
  <c r="Q73" i="10"/>
  <c r="P73" i="10"/>
  <c r="O73" i="10"/>
  <c r="N73" i="10"/>
  <c r="M73" i="10"/>
  <c r="L73" i="10"/>
  <c r="K73" i="10"/>
  <c r="Q72" i="10"/>
  <c r="P72" i="10"/>
  <c r="O72" i="10"/>
  <c r="N72" i="10"/>
  <c r="M72" i="10"/>
  <c r="L72" i="10"/>
  <c r="K72" i="10"/>
  <c r="Q71" i="10"/>
  <c r="P71" i="10"/>
  <c r="O71" i="10"/>
  <c r="N71" i="10"/>
  <c r="M71" i="10"/>
  <c r="L71" i="10"/>
  <c r="K71" i="10"/>
  <c r="Q70" i="10"/>
  <c r="P70" i="10"/>
  <c r="O70" i="10"/>
  <c r="N70" i="10"/>
  <c r="M70" i="10"/>
  <c r="L70" i="10"/>
  <c r="K70" i="10"/>
  <c r="Q69" i="10"/>
  <c r="P69" i="10"/>
  <c r="O69" i="10"/>
  <c r="N69" i="10"/>
  <c r="M69" i="10"/>
  <c r="L69" i="10"/>
  <c r="K69" i="10"/>
  <c r="Q68" i="10"/>
  <c r="P68" i="10"/>
  <c r="O68" i="10"/>
  <c r="N68" i="10"/>
  <c r="M68" i="10"/>
  <c r="L68" i="10"/>
  <c r="K68" i="10"/>
  <c r="Q67" i="10"/>
  <c r="P67" i="10"/>
  <c r="O67" i="10"/>
  <c r="N67" i="10"/>
  <c r="M67" i="10"/>
  <c r="L67" i="10"/>
  <c r="K67" i="10"/>
  <c r="Q66" i="10"/>
  <c r="P66" i="10"/>
  <c r="O66" i="10"/>
  <c r="N66" i="10"/>
  <c r="M66" i="10"/>
  <c r="L66" i="10"/>
  <c r="K66" i="10"/>
  <c r="Q65" i="10"/>
  <c r="P65" i="10"/>
  <c r="O65" i="10"/>
  <c r="N65" i="10"/>
  <c r="M65" i="10"/>
  <c r="L65" i="10"/>
  <c r="K65" i="10"/>
  <c r="Q64" i="10"/>
  <c r="P64" i="10"/>
  <c r="O64" i="10"/>
  <c r="N64" i="10"/>
  <c r="M64" i="10"/>
  <c r="L64" i="10"/>
  <c r="K64" i="10"/>
  <c r="Q63" i="10"/>
  <c r="P63" i="10"/>
  <c r="O63" i="10"/>
  <c r="N63" i="10"/>
  <c r="M63" i="10"/>
  <c r="L63" i="10"/>
  <c r="K63" i="10"/>
  <c r="Q62" i="10"/>
  <c r="P62" i="10"/>
  <c r="O62" i="10"/>
  <c r="N62" i="10"/>
  <c r="M62" i="10"/>
  <c r="L62" i="10"/>
  <c r="K62" i="10"/>
  <c r="Q61" i="10"/>
  <c r="P61" i="10"/>
  <c r="O61" i="10"/>
  <c r="N61" i="10"/>
  <c r="M61" i="10"/>
  <c r="L61" i="10"/>
  <c r="K61" i="10"/>
  <c r="Q60" i="10"/>
  <c r="P60" i="10"/>
  <c r="O60" i="10"/>
  <c r="N60" i="10"/>
  <c r="M60" i="10"/>
  <c r="L60" i="10"/>
  <c r="K60" i="10"/>
  <c r="Q59" i="10"/>
  <c r="P59" i="10"/>
  <c r="O59" i="10"/>
  <c r="N59" i="10"/>
  <c r="M59" i="10"/>
  <c r="L59" i="10"/>
  <c r="K59" i="10"/>
  <c r="Q58" i="10"/>
  <c r="P58" i="10"/>
  <c r="O58" i="10"/>
  <c r="N58" i="10"/>
  <c r="M58" i="10"/>
  <c r="L58" i="10"/>
  <c r="K58" i="10"/>
  <c r="Q57" i="10"/>
  <c r="P57" i="10"/>
  <c r="O57" i="10"/>
  <c r="N57" i="10"/>
  <c r="M57" i="10"/>
  <c r="L57" i="10"/>
  <c r="K57" i="10"/>
  <c r="Q56" i="10"/>
  <c r="P56" i="10"/>
  <c r="O56" i="10"/>
  <c r="N56" i="10"/>
  <c r="M56" i="10"/>
  <c r="L56" i="10"/>
  <c r="K56" i="10"/>
  <c r="Q55" i="10"/>
  <c r="P55" i="10"/>
  <c r="O55" i="10"/>
  <c r="N55" i="10"/>
  <c r="M55" i="10"/>
  <c r="L55" i="10"/>
  <c r="K55" i="10"/>
  <c r="Q54" i="10"/>
  <c r="P54" i="10"/>
  <c r="O54" i="10"/>
  <c r="N54" i="10"/>
  <c r="M54" i="10"/>
  <c r="L54" i="10"/>
  <c r="K54" i="10"/>
  <c r="Q53" i="10"/>
  <c r="P53" i="10"/>
  <c r="O53" i="10"/>
  <c r="N53" i="10"/>
  <c r="M53" i="10"/>
  <c r="L53" i="10"/>
  <c r="K53" i="10"/>
  <c r="Q52" i="10"/>
  <c r="P52" i="10"/>
  <c r="O52" i="10"/>
  <c r="N52" i="10"/>
  <c r="M52" i="10"/>
  <c r="L52" i="10"/>
  <c r="K52" i="10"/>
  <c r="Q51" i="10"/>
  <c r="P51" i="10"/>
  <c r="O51" i="10"/>
  <c r="N51" i="10"/>
  <c r="M51" i="10"/>
  <c r="L51" i="10"/>
  <c r="K51" i="10"/>
  <c r="Q50" i="10"/>
  <c r="P50" i="10"/>
  <c r="O50" i="10"/>
  <c r="N50" i="10"/>
  <c r="M50" i="10"/>
  <c r="L50" i="10"/>
  <c r="K50" i="10"/>
  <c r="Q49" i="10"/>
  <c r="P49" i="10"/>
  <c r="O49" i="10"/>
  <c r="N49" i="10"/>
  <c r="M49" i="10"/>
  <c r="L49" i="10"/>
  <c r="K49" i="10"/>
  <c r="Q48" i="10"/>
  <c r="P48" i="10"/>
  <c r="O48" i="10"/>
  <c r="N48" i="10"/>
  <c r="M48" i="10"/>
  <c r="L48" i="10"/>
  <c r="K48" i="10"/>
  <c r="Q47" i="10"/>
  <c r="P47" i="10"/>
  <c r="O47" i="10"/>
  <c r="N47" i="10"/>
  <c r="M47" i="10"/>
  <c r="L47" i="10"/>
  <c r="K47" i="10"/>
  <c r="Q46" i="10"/>
  <c r="P46" i="10"/>
  <c r="O46" i="10"/>
  <c r="N46" i="10"/>
  <c r="M46" i="10"/>
  <c r="L46" i="10"/>
  <c r="K46" i="10"/>
  <c r="Q45" i="10"/>
  <c r="P45" i="10"/>
  <c r="O45" i="10"/>
  <c r="N45" i="10"/>
  <c r="M45" i="10"/>
  <c r="L45" i="10"/>
  <c r="K45" i="10"/>
  <c r="Q44" i="10"/>
  <c r="P44" i="10"/>
  <c r="O44" i="10"/>
  <c r="N44" i="10"/>
  <c r="M44" i="10"/>
  <c r="L44" i="10"/>
  <c r="K44" i="10"/>
  <c r="Q43" i="10"/>
  <c r="P43" i="10"/>
  <c r="O43" i="10"/>
  <c r="N43" i="10"/>
  <c r="M43" i="10"/>
  <c r="L43" i="10"/>
  <c r="K43" i="10"/>
  <c r="Q42" i="10"/>
  <c r="P42" i="10"/>
  <c r="O42" i="10"/>
  <c r="N42" i="10"/>
  <c r="M42" i="10"/>
  <c r="L42" i="10"/>
  <c r="K42" i="10"/>
  <c r="Q41" i="10"/>
  <c r="P41" i="10"/>
  <c r="O41" i="10"/>
  <c r="N41" i="10"/>
  <c r="M41" i="10"/>
  <c r="L41" i="10"/>
  <c r="K41" i="10"/>
  <c r="Q40" i="10"/>
  <c r="P40" i="10"/>
  <c r="O40" i="10"/>
  <c r="N40" i="10"/>
  <c r="M40" i="10"/>
  <c r="L40" i="10"/>
  <c r="K40" i="10"/>
  <c r="Q39" i="10"/>
  <c r="P39" i="10"/>
  <c r="O39" i="10"/>
  <c r="N39" i="10"/>
  <c r="M39" i="10"/>
  <c r="L39" i="10"/>
  <c r="K39" i="10"/>
  <c r="Q38" i="10"/>
  <c r="P38" i="10"/>
  <c r="O38" i="10"/>
  <c r="N38" i="10"/>
  <c r="M38" i="10"/>
  <c r="L38" i="10"/>
  <c r="K38" i="10"/>
  <c r="Q37" i="10"/>
  <c r="P37" i="10"/>
  <c r="O37" i="10"/>
  <c r="N37" i="10"/>
  <c r="M37" i="10"/>
  <c r="L37" i="10"/>
  <c r="K37" i="10"/>
  <c r="Q36" i="10"/>
  <c r="P36" i="10"/>
  <c r="O36" i="10"/>
  <c r="N36" i="10"/>
  <c r="M36" i="10"/>
  <c r="L36" i="10"/>
  <c r="K36" i="10"/>
  <c r="Q35" i="10"/>
  <c r="P35" i="10"/>
  <c r="O35" i="10"/>
  <c r="N35" i="10"/>
  <c r="M35" i="10"/>
  <c r="L35" i="10"/>
  <c r="K35" i="10"/>
  <c r="Q34" i="10"/>
  <c r="P34" i="10"/>
  <c r="O34" i="10"/>
  <c r="N34" i="10"/>
  <c r="M34" i="10"/>
  <c r="L34" i="10"/>
  <c r="K34" i="10"/>
  <c r="Q33" i="10"/>
  <c r="P33" i="10"/>
  <c r="O33" i="10"/>
  <c r="N33" i="10"/>
  <c r="M33" i="10"/>
  <c r="L33" i="10"/>
  <c r="K33" i="10"/>
  <c r="Q32" i="10"/>
  <c r="P32" i="10"/>
  <c r="O32" i="10"/>
  <c r="N32" i="10"/>
  <c r="M32" i="10"/>
  <c r="L32" i="10"/>
  <c r="K32" i="10"/>
  <c r="Q31" i="10"/>
  <c r="P31" i="10"/>
  <c r="O31" i="10"/>
  <c r="N31" i="10"/>
  <c r="M31" i="10"/>
  <c r="L31" i="10"/>
  <c r="K31" i="10"/>
  <c r="Q30" i="10"/>
  <c r="P30" i="10"/>
  <c r="O30" i="10"/>
  <c r="N30" i="10"/>
  <c r="M30" i="10"/>
  <c r="L30" i="10"/>
  <c r="K30" i="10"/>
  <c r="Q29" i="10"/>
  <c r="P29" i="10"/>
  <c r="O29" i="10"/>
  <c r="N29" i="10"/>
  <c r="M29" i="10"/>
  <c r="L29" i="10"/>
  <c r="K29" i="10"/>
  <c r="Q28" i="10"/>
  <c r="P28" i="10"/>
  <c r="O28" i="10"/>
  <c r="N28" i="10"/>
  <c r="M28" i="10"/>
  <c r="L28" i="10"/>
  <c r="K28" i="10"/>
  <c r="Q27" i="10"/>
  <c r="P27" i="10"/>
  <c r="O27" i="10"/>
  <c r="N27" i="10"/>
  <c r="M27" i="10"/>
  <c r="L27" i="10"/>
  <c r="K27" i="10"/>
  <c r="Q26" i="10"/>
  <c r="P26" i="10"/>
  <c r="O26" i="10"/>
  <c r="N26" i="10"/>
  <c r="M26" i="10"/>
  <c r="L26" i="10"/>
  <c r="K26" i="10"/>
  <c r="Q25" i="10"/>
  <c r="P25" i="10"/>
  <c r="O25" i="10"/>
  <c r="N25" i="10"/>
  <c r="M25" i="10"/>
  <c r="L25" i="10"/>
  <c r="K25" i="10"/>
  <c r="Q24" i="10"/>
  <c r="P24" i="10"/>
  <c r="O24" i="10"/>
  <c r="N24" i="10"/>
  <c r="M24" i="10"/>
  <c r="L24" i="10"/>
  <c r="K24" i="10"/>
  <c r="Q23" i="10"/>
  <c r="P23" i="10"/>
  <c r="O23" i="10"/>
  <c r="N23" i="10"/>
  <c r="M23" i="10"/>
  <c r="L23" i="10"/>
  <c r="K23" i="10"/>
  <c r="C17" i="10"/>
  <c r="C516" i="10" s="1"/>
  <c r="D14" i="9"/>
  <c r="E14" i="9" s="1"/>
  <c r="D13" i="9"/>
  <c r="E13" i="9" s="1"/>
  <c r="D11" i="9"/>
  <c r="E11" i="9" s="1"/>
  <c r="D10" i="9"/>
  <c r="E10" i="9" s="1"/>
  <c r="E9" i="9"/>
  <c r="D9" i="9"/>
  <c r="D8" i="9"/>
  <c r="E8" i="9" s="1"/>
  <c r="D7" i="9"/>
  <c r="E7" i="9" s="1"/>
  <c r="B46" i="7"/>
  <c r="B45" i="7"/>
  <c r="B44" i="7"/>
  <c r="B43" i="7"/>
  <c r="B42" i="7"/>
  <c r="B41" i="7"/>
  <c r="B40" i="7"/>
  <c r="B39" i="7"/>
  <c r="B38" i="7"/>
  <c r="B37" i="7"/>
  <c r="B36" i="7"/>
  <c r="G35" i="7"/>
  <c r="F35" i="7"/>
  <c r="E35" i="7"/>
  <c r="D35" i="7"/>
  <c r="C35" i="7"/>
  <c r="C67" i="6"/>
  <c r="G56" i="6"/>
  <c r="E56" i="6"/>
  <c r="D56" i="6"/>
  <c r="C56" i="6"/>
  <c r="G52" i="6"/>
  <c r="E52" i="6"/>
  <c r="D52" i="6"/>
  <c r="C52" i="6"/>
  <c r="G49" i="6"/>
  <c r="E49" i="6"/>
  <c r="D49" i="6"/>
  <c r="C49" i="6"/>
  <c r="E48" i="6"/>
  <c r="E19" i="9" s="1"/>
  <c r="G47" i="6"/>
  <c r="E47" i="6"/>
  <c r="D47" i="6"/>
  <c r="C47" i="6"/>
  <c r="E46" i="6"/>
  <c r="E20" i="9" s="1"/>
  <c r="C46" i="6"/>
  <c r="C48" i="6" s="1"/>
  <c r="C65" i="4" s="1"/>
  <c r="H40" i="6"/>
  <c r="G40" i="6"/>
  <c r="F40" i="6"/>
  <c r="E40" i="6"/>
  <c r="D40" i="6"/>
  <c r="C40" i="6"/>
  <c r="S39" i="6"/>
  <c r="S34" i="6"/>
  <c r="Q34" i="6"/>
  <c r="O34" i="6"/>
  <c r="N34" i="6"/>
  <c r="M34" i="6"/>
  <c r="L34" i="6"/>
  <c r="K34" i="6"/>
  <c r="J34" i="6"/>
  <c r="I34" i="6"/>
  <c r="H34" i="6"/>
  <c r="G34" i="6"/>
  <c r="F34" i="6"/>
  <c r="E34" i="6"/>
  <c r="D34" i="6"/>
  <c r="C34" i="6"/>
  <c r="J32" i="6"/>
  <c r="I32" i="6"/>
  <c r="H32" i="6"/>
  <c r="O31" i="6"/>
  <c r="N31" i="6"/>
  <c r="M31" i="6"/>
  <c r="L31" i="6"/>
  <c r="L32" i="6" s="1"/>
  <c r="K31" i="6"/>
  <c r="J31" i="6"/>
  <c r="I31" i="6"/>
  <c r="H31" i="6"/>
  <c r="G31" i="6"/>
  <c r="F31" i="6"/>
  <c r="E31" i="6"/>
  <c r="D31" i="6"/>
  <c r="C31" i="6"/>
  <c r="O30" i="6"/>
  <c r="N30" i="6"/>
  <c r="M30" i="6"/>
  <c r="L30" i="6"/>
  <c r="K30" i="6"/>
  <c r="J30" i="6"/>
  <c r="I30" i="6"/>
  <c r="H30" i="6"/>
  <c r="G30" i="6"/>
  <c r="F30" i="6"/>
  <c r="E30" i="6"/>
  <c r="D30" i="6"/>
  <c r="C30" i="6"/>
  <c r="M26" i="6"/>
  <c r="M27" i="6" s="1"/>
  <c r="M28" i="6" s="1"/>
  <c r="L26" i="6"/>
  <c r="L27" i="6" s="1"/>
  <c r="L28" i="6" s="1"/>
  <c r="D26" i="6"/>
  <c r="D27" i="6" s="1"/>
  <c r="D28" i="6" s="1"/>
  <c r="C26" i="6"/>
  <c r="M25" i="6"/>
  <c r="N25" i="6" s="1"/>
  <c r="D25" i="6"/>
  <c r="E25" i="6" s="1"/>
  <c r="O24" i="6"/>
  <c r="N24" i="6"/>
  <c r="L24" i="6"/>
  <c r="K24" i="6"/>
  <c r="J24" i="6"/>
  <c r="I24" i="6"/>
  <c r="G24" i="6"/>
  <c r="P23" i="6"/>
  <c r="O23" i="6"/>
  <c r="N23" i="6"/>
  <c r="M23" i="6"/>
  <c r="M35" i="6" s="1"/>
  <c r="L23" i="6"/>
  <c r="L35" i="6" s="1"/>
  <c r="L37" i="6" s="1"/>
  <c r="K23" i="6"/>
  <c r="J23" i="6"/>
  <c r="I23" i="6"/>
  <c r="H23" i="6"/>
  <c r="G23" i="6"/>
  <c r="F23" i="6"/>
  <c r="E23" i="6"/>
  <c r="D23" i="6"/>
  <c r="C23" i="6"/>
  <c r="C24" i="6" s="1"/>
  <c r="O22" i="6"/>
  <c r="N22" i="6"/>
  <c r="M22" i="6"/>
  <c r="L22" i="6"/>
  <c r="K22" i="6"/>
  <c r="J22" i="6"/>
  <c r="I22" i="6"/>
  <c r="H22" i="6"/>
  <c r="G22" i="6"/>
  <c r="F22" i="6"/>
  <c r="E22" i="6"/>
  <c r="D22" i="6"/>
  <c r="C22" i="6"/>
  <c r="O20" i="6"/>
  <c r="N20" i="6"/>
  <c r="M20" i="6"/>
  <c r="L20" i="6"/>
  <c r="K20" i="6"/>
  <c r="J20" i="6"/>
  <c r="I20" i="6"/>
  <c r="H20" i="6"/>
  <c r="G20" i="6"/>
  <c r="F20" i="6"/>
  <c r="E20" i="6"/>
  <c r="D20" i="6"/>
  <c r="C20" i="6"/>
  <c r="J17" i="6"/>
  <c r="J18" i="6" s="1"/>
  <c r="G17" i="6"/>
  <c r="G18" i="6" s="1"/>
  <c r="J16" i="6"/>
  <c r="Q15" i="6"/>
  <c r="R15" i="6" s="1"/>
  <c r="S15" i="6" s="1"/>
  <c r="O14" i="6"/>
  <c r="O16" i="6" s="1"/>
  <c r="O17" i="6" s="1"/>
  <c r="O18" i="6" s="1"/>
  <c r="N14" i="6"/>
  <c r="N16" i="6" s="1"/>
  <c r="N17" i="6" s="1"/>
  <c r="N18" i="6" s="1"/>
  <c r="M14" i="6"/>
  <c r="M16" i="6" s="1"/>
  <c r="M17" i="6" s="1"/>
  <c r="M18" i="6" s="1"/>
  <c r="L14" i="6"/>
  <c r="L16" i="6" s="1"/>
  <c r="L17" i="6" s="1"/>
  <c r="L18" i="6" s="1"/>
  <c r="K14" i="6"/>
  <c r="K16" i="6" s="1"/>
  <c r="K17" i="6" s="1"/>
  <c r="K18" i="6" s="1"/>
  <c r="J14" i="6"/>
  <c r="I14" i="6"/>
  <c r="I16" i="6" s="1"/>
  <c r="I17" i="6" s="1"/>
  <c r="I18" i="6" s="1"/>
  <c r="H14" i="6"/>
  <c r="H16" i="6" s="1"/>
  <c r="H17" i="6" s="1"/>
  <c r="H18" i="6" s="1"/>
  <c r="G14" i="6"/>
  <c r="G16" i="6" s="1"/>
  <c r="F14" i="6"/>
  <c r="F16" i="6" s="1"/>
  <c r="F17" i="6" s="1"/>
  <c r="F18" i="6" s="1"/>
  <c r="E14" i="6"/>
  <c r="E16" i="6" s="1"/>
  <c r="E17" i="6" s="1"/>
  <c r="E18" i="6" s="1"/>
  <c r="D14" i="6"/>
  <c r="D16" i="6" s="1"/>
  <c r="D17" i="6" s="1"/>
  <c r="D18" i="6" s="1"/>
  <c r="C14" i="6"/>
  <c r="C16" i="6" s="1"/>
  <c r="C17" i="6" s="1"/>
  <c r="C18" i="6" s="1"/>
  <c r="K12" i="6"/>
  <c r="O11" i="6"/>
  <c r="N11" i="6"/>
  <c r="M11" i="6"/>
  <c r="L11" i="6"/>
  <c r="K11" i="6"/>
  <c r="J11" i="6"/>
  <c r="J12" i="6" s="1"/>
  <c r="I11" i="6"/>
  <c r="H11" i="6"/>
  <c r="H12" i="6" s="1"/>
  <c r="G11" i="6"/>
  <c r="F11" i="6"/>
  <c r="E11" i="6"/>
  <c r="E12" i="6" s="1"/>
  <c r="D11" i="6"/>
  <c r="S10" i="6"/>
  <c r="S11" i="6" s="1"/>
  <c r="R10" i="6"/>
  <c r="R11" i="6" s="1"/>
  <c r="Q10" i="6"/>
  <c r="Q11" i="6" s="1"/>
  <c r="P10" i="6"/>
  <c r="P11" i="6" s="1"/>
  <c r="P13" i="6" s="1"/>
  <c r="O10" i="6"/>
  <c r="N10" i="6"/>
  <c r="M10" i="6"/>
  <c r="M12" i="6" s="1"/>
  <c r="L10" i="6"/>
  <c r="L12" i="6" s="1"/>
  <c r="K10" i="6"/>
  <c r="J10" i="6"/>
  <c r="I10" i="6"/>
  <c r="H10" i="6"/>
  <c r="G10" i="6"/>
  <c r="G12" i="6" s="1"/>
  <c r="F10" i="6"/>
  <c r="F12" i="6" s="1"/>
  <c r="E10" i="6"/>
  <c r="D10" i="6"/>
  <c r="C10" i="6"/>
  <c r="Z189" i="5"/>
  <c r="Y189" i="5"/>
  <c r="X189" i="5"/>
  <c r="W189" i="5"/>
  <c r="V189" i="5"/>
  <c r="U189" i="5"/>
  <c r="T189" i="5"/>
  <c r="S189" i="5"/>
  <c r="R189" i="5"/>
  <c r="Q189" i="5"/>
  <c r="P189" i="5"/>
  <c r="Z188" i="5"/>
  <c r="Y188" i="5"/>
  <c r="X188" i="5"/>
  <c r="W188" i="5"/>
  <c r="V188" i="5"/>
  <c r="U188" i="5"/>
  <c r="T188" i="5"/>
  <c r="S188" i="5"/>
  <c r="R188" i="5"/>
  <c r="Q188" i="5"/>
  <c r="P188" i="5"/>
  <c r="Z187" i="5"/>
  <c r="Y187" i="5"/>
  <c r="X187" i="5"/>
  <c r="W187" i="5"/>
  <c r="V187" i="5"/>
  <c r="U187" i="5"/>
  <c r="T187" i="5"/>
  <c r="S187" i="5"/>
  <c r="R187" i="5"/>
  <c r="Q187" i="5"/>
  <c r="P187" i="5"/>
  <c r="Z186" i="5"/>
  <c r="Y186" i="5"/>
  <c r="X186" i="5"/>
  <c r="W186" i="5"/>
  <c r="V186" i="5"/>
  <c r="U186" i="5"/>
  <c r="T186" i="5"/>
  <c r="S186" i="5"/>
  <c r="R186" i="5"/>
  <c r="Q186" i="5"/>
  <c r="P186" i="5"/>
  <c r="Z185" i="5"/>
  <c r="Y185" i="5"/>
  <c r="X185" i="5"/>
  <c r="W185" i="5"/>
  <c r="V185" i="5"/>
  <c r="U185" i="5"/>
  <c r="T185" i="5"/>
  <c r="S185" i="5"/>
  <c r="R185" i="5"/>
  <c r="Q185" i="5"/>
  <c r="P185" i="5"/>
  <c r="Z184" i="5"/>
  <c r="Y184" i="5"/>
  <c r="X184" i="5"/>
  <c r="W184" i="5"/>
  <c r="V184" i="5"/>
  <c r="U184" i="5"/>
  <c r="T184" i="5"/>
  <c r="S184" i="5"/>
  <c r="R184" i="5"/>
  <c r="Q184" i="5"/>
  <c r="P184" i="5"/>
  <c r="Z183" i="5"/>
  <c r="Y183" i="5"/>
  <c r="X183" i="5"/>
  <c r="W183" i="5"/>
  <c r="V183" i="5"/>
  <c r="U183" i="5"/>
  <c r="T183" i="5"/>
  <c r="S183" i="5"/>
  <c r="R183" i="5"/>
  <c r="Q183" i="5"/>
  <c r="P183" i="5"/>
  <c r="Z182" i="5"/>
  <c r="Y182" i="5"/>
  <c r="X182" i="5"/>
  <c r="W182" i="5"/>
  <c r="V182" i="5"/>
  <c r="U182" i="5"/>
  <c r="T182" i="5"/>
  <c r="S182" i="5"/>
  <c r="R182" i="5"/>
  <c r="Q182" i="5"/>
  <c r="P182" i="5"/>
  <c r="Z181" i="5"/>
  <c r="Y181" i="5"/>
  <c r="X181" i="5"/>
  <c r="W181" i="5"/>
  <c r="V181" i="5"/>
  <c r="U181" i="5"/>
  <c r="T181" i="5"/>
  <c r="S181" i="5"/>
  <c r="R181" i="5"/>
  <c r="Q181" i="5"/>
  <c r="P181" i="5"/>
  <c r="Z180" i="5"/>
  <c r="Y180" i="5"/>
  <c r="X180" i="5"/>
  <c r="W180" i="5"/>
  <c r="V180" i="5"/>
  <c r="U180" i="5"/>
  <c r="T180" i="5"/>
  <c r="S180" i="5"/>
  <c r="R180" i="5"/>
  <c r="Q180" i="5"/>
  <c r="P180" i="5"/>
  <c r="Z179" i="5"/>
  <c r="Y179" i="5"/>
  <c r="X179" i="5"/>
  <c r="W179" i="5"/>
  <c r="V179" i="5"/>
  <c r="U179" i="5"/>
  <c r="T179" i="5"/>
  <c r="S179" i="5"/>
  <c r="R179" i="5"/>
  <c r="Q179" i="5"/>
  <c r="P179" i="5"/>
  <c r="Z178" i="5"/>
  <c r="Y178" i="5"/>
  <c r="X178" i="5"/>
  <c r="W178" i="5"/>
  <c r="V178" i="5"/>
  <c r="U178" i="5"/>
  <c r="T178" i="5"/>
  <c r="S178" i="5"/>
  <c r="R178" i="5"/>
  <c r="Q178" i="5"/>
  <c r="P178" i="5"/>
  <c r="Z177" i="5"/>
  <c r="Y177" i="5"/>
  <c r="X177" i="5"/>
  <c r="W177" i="5"/>
  <c r="V177" i="5"/>
  <c r="U177" i="5"/>
  <c r="T177" i="5"/>
  <c r="S177" i="5"/>
  <c r="R177" i="5"/>
  <c r="Q177" i="5"/>
  <c r="P177" i="5"/>
  <c r="Z176" i="5"/>
  <c r="Y176" i="5"/>
  <c r="X176" i="5"/>
  <c r="W176" i="5"/>
  <c r="V176" i="5"/>
  <c r="U176" i="5"/>
  <c r="T176" i="5"/>
  <c r="S176" i="5"/>
  <c r="R176" i="5"/>
  <c r="Q176" i="5"/>
  <c r="P176" i="5"/>
  <c r="Z175" i="5"/>
  <c r="Y175" i="5"/>
  <c r="X175" i="5"/>
  <c r="W175" i="5"/>
  <c r="V175" i="5"/>
  <c r="U175" i="5"/>
  <c r="T175" i="5"/>
  <c r="S175" i="5"/>
  <c r="R175" i="5"/>
  <c r="Q175" i="5"/>
  <c r="P175" i="5"/>
  <c r="Z174" i="5"/>
  <c r="Y174" i="5"/>
  <c r="X174" i="5"/>
  <c r="W174" i="5"/>
  <c r="V174" i="5"/>
  <c r="U174" i="5"/>
  <c r="T174" i="5"/>
  <c r="S174" i="5"/>
  <c r="R174" i="5"/>
  <c r="Q174" i="5"/>
  <c r="P174" i="5"/>
  <c r="Z173" i="5"/>
  <c r="Y173" i="5"/>
  <c r="X173" i="5"/>
  <c r="W173" i="5"/>
  <c r="V173" i="5"/>
  <c r="U173" i="5"/>
  <c r="T173" i="5"/>
  <c r="S173" i="5"/>
  <c r="R173" i="5"/>
  <c r="Q173" i="5"/>
  <c r="P173" i="5"/>
  <c r="Z172" i="5"/>
  <c r="Y172" i="5"/>
  <c r="X172" i="5"/>
  <c r="W172" i="5"/>
  <c r="V172" i="5"/>
  <c r="U172" i="5"/>
  <c r="T172" i="5"/>
  <c r="S172" i="5"/>
  <c r="R172" i="5"/>
  <c r="Q172" i="5"/>
  <c r="P172" i="5"/>
  <c r="Z171" i="5"/>
  <c r="Y171" i="5"/>
  <c r="X171" i="5"/>
  <c r="W171" i="5"/>
  <c r="V171" i="5"/>
  <c r="U171" i="5"/>
  <c r="T171" i="5"/>
  <c r="S171" i="5"/>
  <c r="R171" i="5"/>
  <c r="Q171" i="5"/>
  <c r="P171" i="5"/>
  <c r="Z170" i="5"/>
  <c r="Y170" i="5"/>
  <c r="X170" i="5"/>
  <c r="W170" i="5"/>
  <c r="V170" i="5"/>
  <c r="U170" i="5"/>
  <c r="T170" i="5"/>
  <c r="S170" i="5"/>
  <c r="R170" i="5"/>
  <c r="Q170" i="5"/>
  <c r="P170" i="5"/>
  <c r="Z169" i="5"/>
  <c r="Y169" i="5"/>
  <c r="X169" i="5"/>
  <c r="W169" i="5"/>
  <c r="V169" i="5"/>
  <c r="U169" i="5"/>
  <c r="T169" i="5"/>
  <c r="S169" i="5"/>
  <c r="R169" i="5"/>
  <c r="Q169" i="5"/>
  <c r="P169" i="5"/>
  <c r="Z168" i="5"/>
  <c r="Y168" i="5"/>
  <c r="X168" i="5"/>
  <c r="W168" i="5"/>
  <c r="V168" i="5"/>
  <c r="U168" i="5"/>
  <c r="T168" i="5"/>
  <c r="S168" i="5"/>
  <c r="R168" i="5"/>
  <c r="Q168" i="5"/>
  <c r="P168" i="5"/>
  <c r="Z167" i="5"/>
  <c r="Y167" i="5"/>
  <c r="X167" i="5"/>
  <c r="W167" i="5"/>
  <c r="V167" i="5"/>
  <c r="U167" i="5"/>
  <c r="T167" i="5"/>
  <c r="S167" i="5"/>
  <c r="R167" i="5"/>
  <c r="Q167" i="5"/>
  <c r="P167" i="5"/>
  <c r="Z166" i="5"/>
  <c r="Y166" i="5"/>
  <c r="X166" i="5"/>
  <c r="W166" i="5"/>
  <c r="V166" i="5"/>
  <c r="U166" i="5"/>
  <c r="T166" i="5"/>
  <c r="S166" i="5"/>
  <c r="R166" i="5"/>
  <c r="Q166" i="5"/>
  <c r="P166" i="5"/>
  <c r="Z165" i="5"/>
  <c r="Y165" i="5"/>
  <c r="X165" i="5"/>
  <c r="W165" i="5"/>
  <c r="V165" i="5"/>
  <c r="U165" i="5"/>
  <c r="T165" i="5"/>
  <c r="S165" i="5"/>
  <c r="R165" i="5"/>
  <c r="Q165" i="5"/>
  <c r="P165" i="5"/>
  <c r="Z164" i="5"/>
  <c r="Y164" i="5"/>
  <c r="X164" i="5"/>
  <c r="W164" i="5"/>
  <c r="V164" i="5"/>
  <c r="U164" i="5"/>
  <c r="T164" i="5"/>
  <c r="S164" i="5"/>
  <c r="R164" i="5"/>
  <c r="Q164" i="5"/>
  <c r="P164" i="5"/>
  <c r="Z163" i="5"/>
  <c r="Y163" i="5"/>
  <c r="X163" i="5"/>
  <c r="W163" i="5"/>
  <c r="V163" i="5"/>
  <c r="U163" i="5"/>
  <c r="T163" i="5"/>
  <c r="S163" i="5"/>
  <c r="R163" i="5"/>
  <c r="Q163" i="5"/>
  <c r="P163" i="5"/>
  <c r="Z162" i="5"/>
  <c r="Y162" i="5"/>
  <c r="X162" i="5"/>
  <c r="W162" i="5"/>
  <c r="V162" i="5"/>
  <c r="U162" i="5"/>
  <c r="T162" i="5"/>
  <c r="S162" i="5"/>
  <c r="R162" i="5"/>
  <c r="Q162" i="5"/>
  <c r="P162" i="5"/>
  <c r="Z161" i="5"/>
  <c r="Y161" i="5"/>
  <c r="X161" i="5"/>
  <c r="W161" i="5"/>
  <c r="V161" i="5"/>
  <c r="U161" i="5"/>
  <c r="T161" i="5"/>
  <c r="S161" i="5"/>
  <c r="R161" i="5"/>
  <c r="Q161" i="5"/>
  <c r="P161" i="5"/>
  <c r="Z160" i="5"/>
  <c r="Y160" i="5"/>
  <c r="X160" i="5"/>
  <c r="W160" i="5"/>
  <c r="V160" i="5"/>
  <c r="U160" i="5"/>
  <c r="T160" i="5"/>
  <c r="S160" i="5"/>
  <c r="R160" i="5"/>
  <c r="Q160" i="5"/>
  <c r="P160" i="5"/>
  <c r="Z159" i="5"/>
  <c r="Y159" i="5"/>
  <c r="X159" i="5"/>
  <c r="W159" i="5"/>
  <c r="V159" i="5"/>
  <c r="U159" i="5"/>
  <c r="T159" i="5"/>
  <c r="S159" i="5"/>
  <c r="R159" i="5"/>
  <c r="Q159" i="5"/>
  <c r="P159" i="5"/>
  <c r="Z158" i="5"/>
  <c r="Y158" i="5"/>
  <c r="X158" i="5"/>
  <c r="W158" i="5"/>
  <c r="V158" i="5"/>
  <c r="U158" i="5"/>
  <c r="T158" i="5"/>
  <c r="S158" i="5"/>
  <c r="R158" i="5"/>
  <c r="Q158" i="5"/>
  <c r="P158" i="5"/>
  <c r="Z157" i="5"/>
  <c r="Y157" i="5"/>
  <c r="X157" i="5"/>
  <c r="W157" i="5"/>
  <c r="V157" i="5"/>
  <c r="U157" i="5"/>
  <c r="T157" i="5"/>
  <c r="S157" i="5"/>
  <c r="R157" i="5"/>
  <c r="Q157" i="5"/>
  <c r="P157" i="5"/>
  <c r="Z156" i="5"/>
  <c r="Y156" i="5"/>
  <c r="X156" i="5"/>
  <c r="W156" i="5"/>
  <c r="V156" i="5"/>
  <c r="U156" i="5"/>
  <c r="T156" i="5"/>
  <c r="S156" i="5"/>
  <c r="R156" i="5"/>
  <c r="Q156" i="5"/>
  <c r="P156" i="5"/>
  <c r="Z155" i="5"/>
  <c r="Y155" i="5"/>
  <c r="X155" i="5"/>
  <c r="W155" i="5"/>
  <c r="V155" i="5"/>
  <c r="U155" i="5"/>
  <c r="T155" i="5"/>
  <c r="S155" i="5"/>
  <c r="R155" i="5"/>
  <c r="Q155" i="5"/>
  <c r="P155" i="5"/>
  <c r="Z154" i="5"/>
  <c r="Y154" i="5"/>
  <c r="X154" i="5"/>
  <c r="W154" i="5"/>
  <c r="V154" i="5"/>
  <c r="U154" i="5"/>
  <c r="T154" i="5"/>
  <c r="S154" i="5"/>
  <c r="R154" i="5"/>
  <c r="Q154" i="5"/>
  <c r="P154" i="5"/>
  <c r="Z153" i="5"/>
  <c r="Y153" i="5"/>
  <c r="X153" i="5"/>
  <c r="W153" i="5"/>
  <c r="V153" i="5"/>
  <c r="U153" i="5"/>
  <c r="T153" i="5"/>
  <c r="S153" i="5"/>
  <c r="R153" i="5"/>
  <c r="Q153" i="5"/>
  <c r="P153" i="5"/>
  <c r="Z152" i="5"/>
  <c r="Y152" i="5"/>
  <c r="X152" i="5"/>
  <c r="W152" i="5"/>
  <c r="V152" i="5"/>
  <c r="U152" i="5"/>
  <c r="T152" i="5"/>
  <c r="S152" i="5"/>
  <c r="R152" i="5"/>
  <c r="Q152" i="5"/>
  <c r="P152" i="5"/>
  <c r="Z151" i="5"/>
  <c r="Y151" i="5"/>
  <c r="X151" i="5"/>
  <c r="W151" i="5"/>
  <c r="V151" i="5"/>
  <c r="U151" i="5"/>
  <c r="T151" i="5"/>
  <c r="S151" i="5"/>
  <c r="R151" i="5"/>
  <c r="Q151" i="5"/>
  <c r="P151" i="5"/>
  <c r="Z150" i="5"/>
  <c r="Y150" i="5"/>
  <c r="X150" i="5"/>
  <c r="W150" i="5"/>
  <c r="V150" i="5"/>
  <c r="U150" i="5"/>
  <c r="T150" i="5"/>
  <c r="S150" i="5"/>
  <c r="R150" i="5"/>
  <c r="Q150" i="5"/>
  <c r="P150" i="5"/>
  <c r="Z149" i="5"/>
  <c r="Y149" i="5"/>
  <c r="X149" i="5"/>
  <c r="W149" i="5"/>
  <c r="V149" i="5"/>
  <c r="U149" i="5"/>
  <c r="T149" i="5"/>
  <c r="S149" i="5"/>
  <c r="R149" i="5"/>
  <c r="Q149" i="5"/>
  <c r="P149" i="5"/>
  <c r="Z148" i="5"/>
  <c r="Y148" i="5"/>
  <c r="X148" i="5"/>
  <c r="W148" i="5"/>
  <c r="V148" i="5"/>
  <c r="U148" i="5"/>
  <c r="T148" i="5"/>
  <c r="S148" i="5"/>
  <c r="R148" i="5"/>
  <c r="Q148" i="5"/>
  <c r="P148" i="5"/>
  <c r="Z147" i="5"/>
  <c r="Y147" i="5"/>
  <c r="X147" i="5"/>
  <c r="W147" i="5"/>
  <c r="V147" i="5"/>
  <c r="U147" i="5"/>
  <c r="T147" i="5"/>
  <c r="S147" i="5"/>
  <c r="R147" i="5"/>
  <c r="Q147" i="5"/>
  <c r="P147" i="5"/>
  <c r="Z146" i="5"/>
  <c r="Y146" i="5"/>
  <c r="X146" i="5"/>
  <c r="W146" i="5"/>
  <c r="V146" i="5"/>
  <c r="U146" i="5"/>
  <c r="T146" i="5"/>
  <c r="S146" i="5"/>
  <c r="R146" i="5"/>
  <c r="Q146" i="5"/>
  <c r="P146" i="5"/>
  <c r="Z145" i="5"/>
  <c r="Y145" i="5"/>
  <c r="X145" i="5"/>
  <c r="W145" i="5"/>
  <c r="V145" i="5"/>
  <c r="U145" i="5"/>
  <c r="T145" i="5"/>
  <c r="S145" i="5"/>
  <c r="R145" i="5"/>
  <c r="Q145" i="5"/>
  <c r="P145" i="5"/>
  <c r="Z144" i="5"/>
  <c r="Y144" i="5"/>
  <c r="X144" i="5"/>
  <c r="W144" i="5"/>
  <c r="V144" i="5"/>
  <c r="U144" i="5"/>
  <c r="T144" i="5"/>
  <c r="S144" i="5"/>
  <c r="R144" i="5"/>
  <c r="Q144" i="5"/>
  <c r="P144" i="5"/>
  <c r="Z143" i="5"/>
  <c r="Y143" i="5"/>
  <c r="X143" i="5"/>
  <c r="W143" i="5"/>
  <c r="V143" i="5"/>
  <c r="U143" i="5"/>
  <c r="T143" i="5"/>
  <c r="S143" i="5"/>
  <c r="R143" i="5"/>
  <c r="Q143" i="5"/>
  <c r="P143" i="5"/>
  <c r="Z142" i="5"/>
  <c r="Y142" i="5"/>
  <c r="X142" i="5"/>
  <c r="W142" i="5"/>
  <c r="V142" i="5"/>
  <c r="U142" i="5"/>
  <c r="T142" i="5"/>
  <c r="S142" i="5"/>
  <c r="R142" i="5"/>
  <c r="Q142" i="5"/>
  <c r="P142" i="5"/>
  <c r="Z141" i="5"/>
  <c r="Y141" i="5"/>
  <c r="X141" i="5"/>
  <c r="W141" i="5"/>
  <c r="V141" i="5"/>
  <c r="U141" i="5"/>
  <c r="T141" i="5"/>
  <c r="S141" i="5"/>
  <c r="R141" i="5"/>
  <c r="Q141" i="5"/>
  <c r="P141" i="5"/>
  <c r="Z140" i="5"/>
  <c r="Y140" i="5"/>
  <c r="X140" i="5"/>
  <c r="W140" i="5"/>
  <c r="V140" i="5"/>
  <c r="U140" i="5"/>
  <c r="T140" i="5"/>
  <c r="S140" i="5"/>
  <c r="R140" i="5"/>
  <c r="Q140" i="5"/>
  <c r="P140" i="5"/>
  <c r="Z139" i="5"/>
  <c r="Y139" i="5"/>
  <c r="X139" i="5"/>
  <c r="W139" i="5"/>
  <c r="V139" i="5"/>
  <c r="U139" i="5"/>
  <c r="T139" i="5"/>
  <c r="S139" i="5"/>
  <c r="R139" i="5"/>
  <c r="Q139" i="5"/>
  <c r="P139" i="5"/>
  <c r="Z138" i="5"/>
  <c r="Y138" i="5"/>
  <c r="X138" i="5"/>
  <c r="W138" i="5"/>
  <c r="V138" i="5"/>
  <c r="U138" i="5"/>
  <c r="T138" i="5"/>
  <c r="S138" i="5"/>
  <c r="R138" i="5"/>
  <c r="Q138" i="5"/>
  <c r="P138" i="5"/>
  <c r="Z137" i="5"/>
  <c r="Y137" i="5"/>
  <c r="X137" i="5"/>
  <c r="W137" i="5"/>
  <c r="V137" i="5"/>
  <c r="U137" i="5"/>
  <c r="T137" i="5"/>
  <c r="S137" i="5"/>
  <c r="R137" i="5"/>
  <c r="Q137" i="5"/>
  <c r="P137" i="5"/>
  <c r="Z136" i="5"/>
  <c r="Y136" i="5"/>
  <c r="X136" i="5"/>
  <c r="W136" i="5"/>
  <c r="V136" i="5"/>
  <c r="U136" i="5"/>
  <c r="T136" i="5"/>
  <c r="S136" i="5"/>
  <c r="R136" i="5"/>
  <c r="Q136" i="5"/>
  <c r="P136" i="5"/>
  <c r="Z135" i="5"/>
  <c r="Y135" i="5"/>
  <c r="X135" i="5"/>
  <c r="W135" i="5"/>
  <c r="V135" i="5"/>
  <c r="U135" i="5"/>
  <c r="T135" i="5"/>
  <c r="S135" i="5"/>
  <c r="R135" i="5"/>
  <c r="Q135" i="5"/>
  <c r="P135" i="5"/>
  <c r="Z134" i="5"/>
  <c r="Y134" i="5"/>
  <c r="X134" i="5"/>
  <c r="W134" i="5"/>
  <c r="V134" i="5"/>
  <c r="U134" i="5"/>
  <c r="T134" i="5"/>
  <c r="S134" i="5"/>
  <c r="R134" i="5"/>
  <c r="Q134" i="5"/>
  <c r="P134" i="5"/>
  <c r="Z133" i="5"/>
  <c r="Y133" i="5"/>
  <c r="X133" i="5"/>
  <c r="W133" i="5"/>
  <c r="V133" i="5"/>
  <c r="U133" i="5"/>
  <c r="T133" i="5"/>
  <c r="S133" i="5"/>
  <c r="R133" i="5"/>
  <c r="Q133" i="5"/>
  <c r="P133" i="5"/>
  <c r="Z132" i="5"/>
  <c r="Y132" i="5"/>
  <c r="X132" i="5"/>
  <c r="W132" i="5"/>
  <c r="V132" i="5"/>
  <c r="U132" i="5"/>
  <c r="T132" i="5"/>
  <c r="S132" i="5"/>
  <c r="R132" i="5"/>
  <c r="Q132" i="5"/>
  <c r="P132" i="5"/>
  <c r="Z131" i="5"/>
  <c r="Y131" i="5"/>
  <c r="X131" i="5"/>
  <c r="W131" i="5"/>
  <c r="V131" i="5"/>
  <c r="U131" i="5"/>
  <c r="T131" i="5"/>
  <c r="S131" i="5"/>
  <c r="R131" i="5"/>
  <c r="Q131" i="5"/>
  <c r="P131" i="5"/>
  <c r="Z130" i="5"/>
  <c r="Y130" i="5"/>
  <c r="X130" i="5"/>
  <c r="W130" i="5"/>
  <c r="V130" i="5"/>
  <c r="U130" i="5"/>
  <c r="T130" i="5"/>
  <c r="S130" i="5"/>
  <c r="R130" i="5"/>
  <c r="Q130" i="5"/>
  <c r="P130" i="5"/>
  <c r="Z129" i="5"/>
  <c r="Y129" i="5"/>
  <c r="X129" i="5"/>
  <c r="W129" i="5"/>
  <c r="V129" i="5"/>
  <c r="U129" i="5"/>
  <c r="T129" i="5"/>
  <c r="S129" i="5"/>
  <c r="R129" i="5"/>
  <c r="Q129" i="5"/>
  <c r="P129" i="5"/>
  <c r="Z128" i="5"/>
  <c r="Y128" i="5"/>
  <c r="X128" i="5"/>
  <c r="W128" i="5"/>
  <c r="V128" i="5"/>
  <c r="U128" i="5"/>
  <c r="T128" i="5"/>
  <c r="S128" i="5"/>
  <c r="R128" i="5"/>
  <c r="Q128" i="5"/>
  <c r="P128" i="5"/>
  <c r="Z127" i="5"/>
  <c r="Y127" i="5"/>
  <c r="X127" i="5"/>
  <c r="W127" i="5"/>
  <c r="V127" i="5"/>
  <c r="U127" i="5"/>
  <c r="T127" i="5"/>
  <c r="S127" i="5"/>
  <c r="R127" i="5"/>
  <c r="Q127" i="5"/>
  <c r="P127" i="5"/>
  <c r="Z126" i="5"/>
  <c r="Y126" i="5"/>
  <c r="X126" i="5"/>
  <c r="W126" i="5"/>
  <c r="V126" i="5"/>
  <c r="U126" i="5"/>
  <c r="T126" i="5"/>
  <c r="S126" i="5"/>
  <c r="R126" i="5"/>
  <c r="Q126" i="5"/>
  <c r="P126" i="5"/>
  <c r="Z125" i="5"/>
  <c r="Y125" i="5"/>
  <c r="X125" i="5"/>
  <c r="W125" i="5"/>
  <c r="V125" i="5"/>
  <c r="U125" i="5"/>
  <c r="T125" i="5"/>
  <c r="S125" i="5"/>
  <c r="R125" i="5"/>
  <c r="Q125" i="5"/>
  <c r="P125" i="5"/>
  <c r="Z124" i="5"/>
  <c r="Y124" i="5"/>
  <c r="X124" i="5"/>
  <c r="W124" i="5"/>
  <c r="V124" i="5"/>
  <c r="U124" i="5"/>
  <c r="T124" i="5"/>
  <c r="S124" i="5"/>
  <c r="R124" i="5"/>
  <c r="Q124" i="5"/>
  <c r="P124" i="5"/>
  <c r="Z123" i="5"/>
  <c r="Y123" i="5"/>
  <c r="X123" i="5"/>
  <c r="W123" i="5"/>
  <c r="V123" i="5"/>
  <c r="U123" i="5"/>
  <c r="T123" i="5"/>
  <c r="S123" i="5"/>
  <c r="R123" i="5"/>
  <c r="Q123" i="5"/>
  <c r="P123" i="5"/>
  <c r="Z122" i="5"/>
  <c r="Y122" i="5"/>
  <c r="X122" i="5"/>
  <c r="W122" i="5"/>
  <c r="V122" i="5"/>
  <c r="U122" i="5"/>
  <c r="T122" i="5"/>
  <c r="S122" i="5"/>
  <c r="R122" i="5"/>
  <c r="Q122" i="5"/>
  <c r="P122" i="5"/>
  <c r="Z121" i="5"/>
  <c r="Y121" i="5"/>
  <c r="X121" i="5"/>
  <c r="W121" i="5"/>
  <c r="V121" i="5"/>
  <c r="U121" i="5"/>
  <c r="T121" i="5"/>
  <c r="S121" i="5"/>
  <c r="R121" i="5"/>
  <c r="Q121" i="5"/>
  <c r="P121" i="5"/>
  <c r="Z120" i="5"/>
  <c r="Y120" i="5"/>
  <c r="X120" i="5"/>
  <c r="W120" i="5"/>
  <c r="V120" i="5"/>
  <c r="U120" i="5"/>
  <c r="T120" i="5"/>
  <c r="S120" i="5"/>
  <c r="R120" i="5"/>
  <c r="Q120" i="5"/>
  <c r="P120" i="5"/>
  <c r="Z119" i="5"/>
  <c r="Y119" i="5"/>
  <c r="X119" i="5"/>
  <c r="W119" i="5"/>
  <c r="V119" i="5"/>
  <c r="U119" i="5"/>
  <c r="T119" i="5"/>
  <c r="S119" i="5"/>
  <c r="R119" i="5"/>
  <c r="Q119" i="5"/>
  <c r="P119" i="5"/>
  <c r="Z118" i="5"/>
  <c r="Y118" i="5"/>
  <c r="X118" i="5"/>
  <c r="W118" i="5"/>
  <c r="V118" i="5"/>
  <c r="U118" i="5"/>
  <c r="T118" i="5"/>
  <c r="S118" i="5"/>
  <c r="R118" i="5"/>
  <c r="Q118" i="5"/>
  <c r="P118" i="5"/>
  <c r="Z117" i="5"/>
  <c r="Y117" i="5"/>
  <c r="X117" i="5"/>
  <c r="W117" i="5"/>
  <c r="V117" i="5"/>
  <c r="U117" i="5"/>
  <c r="T117" i="5"/>
  <c r="S117" i="5"/>
  <c r="R117" i="5"/>
  <c r="Q117" i="5"/>
  <c r="P117" i="5"/>
  <c r="Z116" i="5"/>
  <c r="Y116" i="5"/>
  <c r="X116" i="5"/>
  <c r="W116" i="5"/>
  <c r="V116" i="5"/>
  <c r="U116" i="5"/>
  <c r="T116" i="5"/>
  <c r="S116" i="5"/>
  <c r="R116" i="5"/>
  <c r="Q116" i="5"/>
  <c r="P116" i="5"/>
  <c r="Z115" i="5"/>
  <c r="Y115" i="5"/>
  <c r="X115" i="5"/>
  <c r="W115" i="5"/>
  <c r="V115" i="5"/>
  <c r="U115" i="5"/>
  <c r="T115" i="5"/>
  <c r="S115" i="5"/>
  <c r="R115" i="5"/>
  <c r="Q115" i="5"/>
  <c r="P115" i="5"/>
  <c r="Z114" i="5"/>
  <c r="Y114" i="5"/>
  <c r="X114" i="5"/>
  <c r="W114" i="5"/>
  <c r="V114" i="5"/>
  <c r="U114" i="5"/>
  <c r="T114" i="5"/>
  <c r="S114" i="5"/>
  <c r="R114" i="5"/>
  <c r="Q114" i="5"/>
  <c r="P114" i="5"/>
  <c r="Z113" i="5"/>
  <c r="Y113" i="5"/>
  <c r="X113" i="5"/>
  <c r="W113" i="5"/>
  <c r="V113" i="5"/>
  <c r="U113" i="5"/>
  <c r="T113" i="5"/>
  <c r="S113" i="5"/>
  <c r="R113" i="5"/>
  <c r="Q113" i="5"/>
  <c r="P113" i="5"/>
  <c r="Z112" i="5"/>
  <c r="Y112" i="5"/>
  <c r="X112" i="5"/>
  <c r="W112" i="5"/>
  <c r="V112" i="5"/>
  <c r="U112" i="5"/>
  <c r="T112" i="5"/>
  <c r="S112" i="5"/>
  <c r="R112" i="5"/>
  <c r="Q112" i="5"/>
  <c r="P112" i="5"/>
  <c r="Z111" i="5"/>
  <c r="Y111" i="5"/>
  <c r="X111" i="5"/>
  <c r="W111" i="5"/>
  <c r="V111" i="5"/>
  <c r="U111" i="5"/>
  <c r="T111" i="5"/>
  <c r="S111" i="5"/>
  <c r="R111" i="5"/>
  <c r="Q111" i="5"/>
  <c r="P111" i="5"/>
  <c r="Z110" i="5"/>
  <c r="Y110" i="5"/>
  <c r="X110" i="5"/>
  <c r="W110" i="5"/>
  <c r="V110" i="5"/>
  <c r="U110" i="5"/>
  <c r="T110" i="5"/>
  <c r="S110" i="5"/>
  <c r="R110" i="5"/>
  <c r="Q110" i="5"/>
  <c r="P110" i="5"/>
  <c r="Z109" i="5"/>
  <c r="Y109" i="5"/>
  <c r="X109" i="5"/>
  <c r="W109" i="5"/>
  <c r="V109" i="5"/>
  <c r="U109" i="5"/>
  <c r="T109" i="5"/>
  <c r="S109" i="5"/>
  <c r="R109" i="5"/>
  <c r="Q109" i="5"/>
  <c r="P109" i="5"/>
  <c r="Z108" i="5"/>
  <c r="Y108" i="5"/>
  <c r="X108" i="5"/>
  <c r="W108" i="5"/>
  <c r="V108" i="5"/>
  <c r="U108" i="5"/>
  <c r="T108" i="5"/>
  <c r="S108" i="5"/>
  <c r="R108" i="5"/>
  <c r="Q108" i="5"/>
  <c r="P108" i="5"/>
  <c r="Z107" i="5"/>
  <c r="Y107" i="5"/>
  <c r="X107" i="5"/>
  <c r="W107" i="5"/>
  <c r="V107" i="5"/>
  <c r="U107" i="5"/>
  <c r="T107" i="5"/>
  <c r="S107" i="5"/>
  <c r="R107" i="5"/>
  <c r="Q107" i="5"/>
  <c r="P107" i="5"/>
  <c r="Z106" i="5"/>
  <c r="Y106" i="5"/>
  <c r="X106" i="5"/>
  <c r="W106" i="5"/>
  <c r="V106" i="5"/>
  <c r="U106" i="5"/>
  <c r="T106" i="5"/>
  <c r="S106" i="5"/>
  <c r="R106" i="5"/>
  <c r="Q106" i="5"/>
  <c r="P106" i="5"/>
  <c r="Z105" i="5"/>
  <c r="Y105" i="5"/>
  <c r="X105" i="5"/>
  <c r="W105" i="5"/>
  <c r="V105" i="5"/>
  <c r="U105" i="5"/>
  <c r="T105" i="5"/>
  <c r="S105" i="5"/>
  <c r="R105" i="5"/>
  <c r="Q105" i="5"/>
  <c r="P105" i="5"/>
  <c r="Z104" i="5"/>
  <c r="Y104" i="5"/>
  <c r="X104" i="5"/>
  <c r="W104" i="5"/>
  <c r="V104" i="5"/>
  <c r="U104" i="5"/>
  <c r="T104" i="5"/>
  <c r="S104" i="5"/>
  <c r="R104" i="5"/>
  <c r="Q104" i="5"/>
  <c r="P104" i="5"/>
  <c r="Z103" i="5"/>
  <c r="Y103" i="5"/>
  <c r="X103" i="5"/>
  <c r="W103" i="5"/>
  <c r="V103" i="5"/>
  <c r="U103" i="5"/>
  <c r="T103" i="5"/>
  <c r="S103" i="5"/>
  <c r="R103" i="5"/>
  <c r="Q103" i="5"/>
  <c r="P103" i="5"/>
  <c r="Z102" i="5"/>
  <c r="Y102" i="5"/>
  <c r="X102" i="5"/>
  <c r="W102" i="5"/>
  <c r="V102" i="5"/>
  <c r="U102" i="5"/>
  <c r="T102" i="5"/>
  <c r="S102" i="5"/>
  <c r="R102" i="5"/>
  <c r="Q102" i="5"/>
  <c r="P102" i="5"/>
  <c r="Z101" i="5"/>
  <c r="Y101" i="5"/>
  <c r="X101" i="5"/>
  <c r="W101" i="5"/>
  <c r="V101" i="5"/>
  <c r="U101" i="5"/>
  <c r="T101" i="5"/>
  <c r="S101" i="5"/>
  <c r="R101" i="5"/>
  <c r="Q101" i="5"/>
  <c r="P101" i="5"/>
  <c r="Z100" i="5"/>
  <c r="Y100" i="5"/>
  <c r="X100" i="5"/>
  <c r="W100" i="5"/>
  <c r="V100" i="5"/>
  <c r="U100" i="5"/>
  <c r="T100" i="5"/>
  <c r="S100" i="5"/>
  <c r="R100" i="5"/>
  <c r="Q100" i="5"/>
  <c r="P100" i="5"/>
  <c r="Z99" i="5"/>
  <c r="Y99" i="5"/>
  <c r="X99" i="5"/>
  <c r="W99" i="5"/>
  <c r="V99" i="5"/>
  <c r="U99" i="5"/>
  <c r="T99" i="5"/>
  <c r="S99" i="5"/>
  <c r="R99" i="5"/>
  <c r="Q99" i="5"/>
  <c r="P99" i="5"/>
  <c r="Z98" i="5"/>
  <c r="Y98" i="5"/>
  <c r="X98" i="5"/>
  <c r="W98" i="5"/>
  <c r="V98" i="5"/>
  <c r="U98" i="5"/>
  <c r="T98" i="5"/>
  <c r="S98" i="5"/>
  <c r="R98" i="5"/>
  <c r="Q98" i="5"/>
  <c r="P98" i="5"/>
  <c r="Z97" i="5"/>
  <c r="Y97" i="5"/>
  <c r="X97" i="5"/>
  <c r="W97" i="5"/>
  <c r="V97" i="5"/>
  <c r="U97" i="5"/>
  <c r="T97" i="5"/>
  <c r="S97" i="5"/>
  <c r="R97" i="5"/>
  <c r="Q97" i="5"/>
  <c r="P97" i="5"/>
  <c r="Z96" i="5"/>
  <c r="Y96" i="5"/>
  <c r="X96" i="5"/>
  <c r="W96" i="5"/>
  <c r="V96" i="5"/>
  <c r="U96" i="5"/>
  <c r="T96" i="5"/>
  <c r="S96" i="5"/>
  <c r="R96" i="5"/>
  <c r="Q96" i="5"/>
  <c r="P96" i="5"/>
  <c r="Z95" i="5"/>
  <c r="Y95" i="5"/>
  <c r="X95" i="5"/>
  <c r="W95" i="5"/>
  <c r="V95" i="5"/>
  <c r="U95" i="5"/>
  <c r="T95" i="5"/>
  <c r="S95" i="5"/>
  <c r="R95" i="5"/>
  <c r="Q95" i="5"/>
  <c r="P95" i="5"/>
  <c r="Z94" i="5"/>
  <c r="Y94" i="5"/>
  <c r="X94" i="5"/>
  <c r="W94" i="5"/>
  <c r="V94" i="5"/>
  <c r="U94" i="5"/>
  <c r="T94" i="5"/>
  <c r="S94" i="5"/>
  <c r="R94" i="5"/>
  <c r="Q94" i="5"/>
  <c r="P94" i="5"/>
  <c r="Z93" i="5"/>
  <c r="Y93" i="5"/>
  <c r="X93" i="5"/>
  <c r="W93" i="5"/>
  <c r="V93" i="5"/>
  <c r="U93" i="5"/>
  <c r="T93" i="5"/>
  <c r="S93" i="5"/>
  <c r="R93" i="5"/>
  <c r="Q93" i="5"/>
  <c r="P93" i="5"/>
  <c r="Z92" i="5"/>
  <c r="Y92" i="5"/>
  <c r="X92" i="5"/>
  <c r="W92" i="5"/>
  <c r="V92" i="5"/>
  <c r="U92" i="5"/>
  <c r="T92" i="5"/>
  <c r="S92" i="5"/>
  <c r="R92" i="5"/>
  <c r="Q92" i="5"/>
  <c r="P92" i="5"/>
  <c r="Z91" i="5"/>
  <c r="Y91" i="5"/>
  <c r="X91" i="5"/>
  <c r="W91" i="5"/>
  <c r="V91" i="5"/>
  <c r="U91" i="5"/>
  <c r="T91" i="5"/>
  <c r="S91" i="5"/>
  <c r="R91" i="5"/>
  <c r="Q91" i="5"/>
  <c r="P91" i="5"/>
  <c r="Z90" i="5"/>
  <c r="Y90" i="5"/>
  <c r="X90" i="5"/>
  <c r="W90" i="5"/>
  <c r="V90" i="5"/>
  <c r="U90" i="5"/>
  <c r="T90" i="5"/>
  <c r="S90" i="5"/>
  <c r="R90" i="5"/>
  <c r="Q90" i="5"/>
  <c r="P90" i="5"/>
  <c r="Z89" i="5"/>
  <c r="Y89" i="5"/>
  <c r="X89" i="5"/>
  <c r="W89" i="5"/>
  <c r="V89" i="5"/>
  <c r="U89" i="5"/>
  <c r="T89" i="5"/>
  <c r="S89" i="5"/>
  <c r="R89" i="5"/>
  <c r="Q89" i="5"/>
  <c r="P89" i="5"/>
  <c r="Z88" i="5"/>
  <c r="Y88" i="5"/>
  <c r="X88" i="5"/>
  <c r="W88" i="5"/>
  <c r="V88" i="5"/>
  <c r="U88" i="5"/>
  <c r="T88" i="5"/>
  <c r="S88" i="5"/>
  <c r="R88" i="5"/>
  <c r="Q88" i="5"/>
  <c r="P88" i="5"/>
  <c r="Z87" i="5"/>
  <c r="Y87" i="5"/>
  <c r="X87" i="5"/>
  <c r="W87" i="5"/>
  <c r="V87" i="5"/>
  <c r="U87" i="5"/>
  <c r="T87" i="5"/>
  <c r="S87" i="5"/>
  <c r="R87" i="5"/>
  <c r="Q87" i="5"/>
  <c r="P87" i="5"/>
  <c r="Z86" i="5"/>
  <c r="Y86" i="5"/>
  <c r="X86" i="5"/>
  <c r="W86" i="5"/>
  <c r="V86" i="5"/>
  <c r="U86" i="5"/>
  <c r="T86" i="5"/>
  <c r="S86" i="5"/>
  <c r="R86" i="5"/>
  <c r="Q86" i="5"/>
  <c r="P86" i="5"/>
  <c r="Z85" i="5"/>
  <c r="Y85" i="5"/>
  <c r="X85" i="5"/>
  <c r="W85" i="5"/>
  <c r="V85" i="5"/>
  <c r="U85" i="5"/>
  <c r="T85" i="5"/>
  <c r="S85" i="5"/>
  <c r="R85" i="5"/>
  <c r="Q85" i="5"/>
  <c r="P85" i="5"/>
  <c r="Z84" i="5"/>
  <c r="Y84" i="5"/>
  <c r="X84" i="5"/>
  <c r="W84" i="5"/>
  <c r="V84" i="5"/>
  <c r="U84" i="5"/>
  <c r="T84" i="5"/>
  <c r="S84" i="5"/>
  <c r="R84" i="5"/>
  <c r="Q84" i="5"/>
  <c r="P84" i="5"/>
  <c r="Z83" i="5"/>
  <c r="Y83" i="5"/>
  <c r="X83" i="5"/>
  <c r="W83" i="5"/>
  <c r="V83" i="5"/>
  <c r="U83" i="5"/>
  <c r="T83" i="5"/>
  <c r="S83" i="5"/>
  <c r="R83" i="5"/>
  <c r="Q83" i="5"/>
  <c r="P83" i="5"/>
  <c r="Z82" i="5"/>
  <c r="Y82" i="5"/>
  <c r="X82" i="5"/>
  <c r="W82" i="5"/>
  <c r="V82" i="5"/>
  <c r="U82" i="5"/>
  <c r="T82" i="5"/>
  <c r="S82" i="5"/>
  <c r="R82" i="5"/>
  <c r="Q82" i="5"/>
  <c r="P82" i="5"/>
  <c r="Z81" i="5"/>
  <c r="Y81" i="5"/>
  <c r="X81" i="5"/>
  <c r="W81" i="5"/>
  <c r="V81" i="5"/>
  <c r="U81" i="5"/>
  <c r="T81" i="5"/>
  <c r="S81" i="5"/>
  <c r="R81" i="5"/>
  <c r="Q81" i="5"/>
  <c r="P81" i="5"/>
  <c r="Z80" i="5"/>
  <c r="Y80" i="5"/>
  <c r="X80" i="5"/>
  <c r="X68" i="5" s="1"/>
  <c r="G38" i="5" s="1"/>
  <c r="W80" i="5"/>
  <c r="V80" i="5"/>
  <c r="U80" i="5"/>
  <c r="T80" i="5"/>
  <c r="S80" i="5"/>
  <c r="R80" i="5"/>
  <c r="Q80" i="5"/>
  <c r="P80" i="5"/>
  <c r="Z79" i="5"/>
  <c r="Y79" i="5"/>
  <c r="X79" i="5"/>
  <c r="W79" i="5"/>
  <c r="V79" i="5"/>
  <c r="U79" i="5"/>
  <c r="T79" i="5"/>
  <c r="S79" i="5"/>
  <c r="R79" i="5"/>
  <c r="Q79" i="5"/>
  <c r="P79" i="5"/>
  <c r="Z78" i="5"/>
  <c r="Y78" i="5"/>
  <c r="X78" i="5"/>
  <c r="W78" i="5"/>
  <c r="V78" i="5"/>
  <c r="U78" i="5"/>
  <c r="T78" i="5"/>
  <c r="S78" i="5"/>
  <c r="R78" i="5"/>
  <c r="Q78" i="5"/>
  <c r="P78" i="5"/>
  <c r="Z77" i="5"/>
  <c r="Y77" i="5"/>
  <c r="X77" i="5"/>
  <c r="W77" i="5"/>
  <c r="V77" i="5"/>
  <c r="U77" i="5"/>
  <c r="T77" i="5"/>
  <c r="S77" i="5"/>
  <c r="R77" i="5"/>
  <c r="Q77" i="5"/>
  <c r="P77" i="5"/>
  <c r="Z76" i="5"/>
  <c r="Y76" i="5"/>
  <c r="X76" i="5"/>
  <c r="W76" i="5"/>
  <c r="V76" i="5"/>
  <c r="U76" i="5"/>
  <c r="T76" i="5"/>
  <c r="S76" i="5"/>
  <c r="R76" i="5"/>
  <c r="Q76" i="5"/>
  <c r="P76" i="5"/>
  <c r="Z75" i="5"/>
  <c r="Y75" i="5"/>
  <c r="X75" i="5"/>
  <c r="W75" i="5"/>
  <c r="V75" i="5"/>
  <c r="U75" i="5"/>
  <c r="T75" i="5"/>
  <c r="S75" i="5"/>
  <c r="R75" i="5"/>
  <c r="Q75" i="5"/>
  <c r="P75" i="5"/>
  <c r="Z74" i="5"/>
  <c r="Y74" i="5"/>
  <c r="X74" i="5"/>
  <c r="W74" i="5"/>
  <c r="V74" i="5"/>
  <c r="U74" i="5"/>
  <c r="T74" i="5"/>
  <c r="S74" i="5"/>
  <c r="R74" i="5"/>
  <c r="Q74" i="5"/>
  <c r="P74" i="5"/>
  <c r="Z73" i="5"/>
  <c r="Y73" i="5"/>
  <c r="X73" i="5"/>
  <c r="W73" i="5"/>
  <c r="V73" i="5"/>
  <c r="U73" i="5"/>
  <c r="T73" i="5"/>
  <c r="S73" i="5"/>
  <c r="R73" i="5"/>
  <c r="Q73" i="5"/>
  <c r="P73" i="5"/>
  <c r="Z72" i="5"/>
  <c r="Y72" i="5"/>
  <c r="X72" i="5"/>
  <c r="W72" i="5"/>
  <c r="V72" i="5"/>
  <c r="U72" i="5"/>
  <c r="T72" i="5"/>
  <c r="S72" i="5"/>
  <c r="R72" i="5"/>
  <c r="Q72" i="5"/>
  <c r="P72" i="5"/>
  <c r="Z71" i="5"/>
  <c r="Y71" i="5"/>
  <c r="X71" i="5"/>
  <c r="W71" i="5"/>
  <c r="V71" i="5"/>
  <c r="U71" i="5"/>
  <c r="T71" i="5"/>
  <c r="S71" i="5"/>
  <c r="R71" i="5"/>
  <c r="Q71" i="5"/>
  <c r="P71" i="5"/>
  <c r="Z70" i="5"/>
  <c r="Y70" i="5"/>
  <c r="X70" i="5"/>
  <c r="W70" i="5"/>
  <c r="V70" i="5"/>
  <c r="U70" i="5"/>
  <c r="T70" i="5"/>
  <c r="S70" i="5"/>
  <c r="R70" i="5"/>
  <c r="Q70" i="5"/>
  <c r="P70" i="5"/>
  <c r="O68" i="5"/>
  <c r="N68" i="5"/>
  <c r="M68" i="5"/>
  <c r="L68" i="5"/>
  <c r="K68" i="5"/>
  <c r="J68" i="5"/>
  <c r="I68" i="5"/>
  <c r="H68" i="5"/>
  <c r="G68" i="5"/>
  <c r="F68" i="5"/>
  <c r="E68" i="5"/>
  <c r="D68" i="5"/>
  <c r="C68" i="5"/>
  <c r="E12" i="5"/>
  <c r="D12" i="5"/>
  <c r="C12" i="5"/>
  <c r="E11" i="5"/>
  <c r="D11" i="5"/>
  <c r="C11" i="5"/>
  <c r="E10" i="5"/>
  <c r="E13" i="5" s="1"/>
  <c r="D58" i="15" s="1"/>
  <c r="D10" i="5"/>
  <c r="C10" i="5"/>
  <c r="C9" i="5"/>
  <c r="E8" i="5"/>
  <c r="D8" i="5"/>
  <c r="C8" i="5"/>
  <c r="E7" i="5"/>
  <c r="E9" i="5" s="1"/>
  <c r="D7" i="5"/>
  <c r="C7" i="5"/>
  <c r="C300" i="4"/>
  <c r="E292" i="4"/>
  <c r="D292" i="4"/>
  <c r="C292" i="4"/>
  <c r="E288" i="4"/>
  <c r="D288" i="4"/>
  <c r="C288" i="4"/>
  <c r="E285" i="4"/>
  <c r="D285" i="4"/>
  <c r="C285" i="4"/>
  <c r="C253" i="4"/>
  <c r="E245" i="4"/>
  <c r="D245" i="4"/>
  <c r="C245" i="4"/>
  <c r="E241" i="4"/>
  <c r="D241" i="4"/>
  <c r="C241" i="4"/>
  <c r="E238" i="4"/>
  <c r="D238" i="4"/>
  <c r="C238" i="4"/>
  <c r="E198" i="4"/>
  <c r="D198" i="4"/>
  <c r="C198" i="4"/>
  <c r="E194" i="4"/>
  <c r="D194" i="4"/>
  <c r="C194" i="4"/>
  <c r="E191" i="4"/>
  <c r="D191" i="4"/>
  <c r="C191" i="4"/>
  <c r="C159" i="4"/>
  <c r="E151" i="4"/>
  <c r="D151" i="4"/>
  <c r="C151" i="4"/>
  <c r="E147" i="4"/>
  <c r="D147" i="4"/>
  <c r="C147" i="4"/>
  <c r="E144" i="4"/>
  <c r="D144" i="4"/>
  <c r="C144" i="4"/>
  <c r="C112" i="4"/>
  <c r="E104" i="4"/>
  <c r="D104" i="4"/>
  <c r="C104" i="4"/>
  <c r="E100" i="4"/>
  <c r="D100" i="4"/>
  <c r="C100" i="4"/>
  <c r="E97" i="4"/>
  <c r="D97" i="4"/>
  <c r="C97" i="4"/>
  <c r="E65" i="4"/>
  <c r="E52" i="4"/>
  <c r="D52" i="4"/>
  <c r="C52" i="4"/>
  <c r="E48" i="4"/>
  <c r="D48" i="4"/>
  <c r="C48" i="4"/>
  <c r="E45" i="4"/>
  <c r="D45" i="4"/>
  <c r="J99" i="2" s="1"/>
  <c r="C45" i="4"/>
  <c r="E10" i="4"/>
  <c r="F60" i="2" s="1"/>
  <c r="D10" i="4"/>
  <c r="E60" i="2" s="1"/>
  <c r="C10" i="4"/>
  <c r="E22" i="3"/>
  <c r="C22" i="3"/>
  <c r="E8" i="3"/>
  <c r="D20" i="3" s="1"/>
  <c r="E7" i="3"/>
  <c r="L39" i="6" s="1"/>
  <c r="L40" i="6" s="1"/>
  <c r="J106" i="2"/>
  <c r="J101" i="2"/>
  <c r="J100" i="2"/>
  <c r="L94" i="2"/>
  <c r="K94" i="2"/>
  <c r="D94" i="2"/>
  <c r="L93" i="2"/>
  <c r="K93" i="2"/>
  <c r="D93" i="2"/>
  <c r="L91" i="2"/>
  <c r="K91" i="2"/>
  <c r="D91" i="2"/>
  <c r="L90" i="2"/>
  <c r="K90" i="2"/>
  <c r="L89" i="2"/>
  <c r="K89" i="2"/>
  <c r="D89" i="2"/>
  <c r="L88" i="2"/>
  <c r="K88" i="2"/>
  <c r="D88" i="2"/>
  <c r="L87" i="2"/>
  <c r="K87" i="2"/>
  <c r="D87" i="2"/>
  <c r="D69" i="2"/>
  <c r="F68" i="2"/>
  <c r="E68" i="2"/>
  <c r="D68" i="2"/>
  <c r="F67" i="2"/>
  <c r="E67" i="2"/>
  <c r="D67" i="2"/>
  <c r="F66" i="2"/>
  <c r="E66" i="2"/>
  <c r="D66" i="2"/>
  <c r="D65" i="2"/>
  <c r="F64" i="2"/>
  <c r="E64" i="2"/>
  <c r="D64" i="2"/>
  <c r="F63" i="2"/>
  <c r="D60" i="2"/>
  <c r="C4" i="2"/>
  <c r="I3" i="2"/>
  <c r="E3" i="2"/>
  <c r="M8" i="1"/>
  <c r="G46" i="6" l="1"/>
  <c r="D22" i="3"/>
  <c r="N38" i="6"/>
  <c r="O25" i="6"/>
  <c r="N26" i="6"/>
  <c r="N27" i="6" s="1"/>
  <c r="N28" i="6" s="1"/>
  <c r="C271" i="4"/>
  <c r="C224" i="4"/>
  <c r="C177" i="4"/>
  <c r="C83" i="4"/>
  <c r="C130" i="4"/>
  <c r="C29" i="4"/>
  <c r="C26" i="10"/>
  <c r="C510" i="10"/>
  <c r="D32" i="6"/>
  <c r="C23" i="10"/>
  <c r="C333" i="10"/>
  <c r="C343" i="10"/>
  <c r="C375" i="10"/>
  <c r="C483" i="10"/>
  <c r="I19" i="9"/>
  <c r="J45" i="2" s="1"/>
  <c r="C201" i="10"/>
  <c r="C246" i="10"/>
  <c r="C261" i="10"/>
  <c r="C271" i="10"/>
  <c r="C441" i="10"/>
  <c r="C451" i="10"/>
  <c r="I22" i="14"/>
  <c r="J22" i="14" s="1"/>
  <c r="G48" i="6"/>
  <c r="C129" i="10"/>
  <c r="C303" i="10"/>
  <c r="C325" i="10"/>
  <c r="C330" i="10"/>
  <c r="C57" i="10"/>
  <c r="Q68" i="5"/>
  <c r="G24" i="5" s="1"/>
  <c r="C198" i="10"/>
  <c r="G32" i="6"/>
  <c r="C258" i="10"/>
  <c r="E206" i="4"/>
  <c r="C93" i="10"/>
  <c r="C231" i="10"/>
  <c r="E253" i="4"/>
  <c r="C72" i="10"/>
  <c r="C180" i="10"/>
  <c r="E32" i="6"/>
  <c r="C165" i="10"/>
  <c r="F65" i="2"/>
  <c r="P68" i="5"/>
  <c r="G23" i="5" s="1"/>
  <c r="C162" i="10"/>
  <c r="C144" i="10"/>
  <c r="C438" i="10"/>
  <c r="E300" i="4"/>
  <c r="C46" i="10"/>
  <c r="C51" i="10"/>
  <c r="C190" i="10"/>
  <c r="C33" i="10"/>
  <c r="E112" i="4"/>
  <c r="H91" i="2"/>
  <c r="R68" i="5"/>
  <c r="G25" i="5" s="1"/>
  <c r="C54" i="10"/>
  <c r="C90" i="10"/>
  <c r="C108" i="10"/>
  <c r="C411" i="10"/>
  <c r="F45" i="2"/>
  <c r="C105" i="10"/>
  <c r="C369" i="10"/>
  <c r="C477" i="10"/>
  <c r="C402" i="10"/>
  <c r="S68" i="5"/>
  <c r="G26" i="5" s="1"/>
  <c r="C126" i="10"/>
  <c r="C36" i="10"/>
  <c r="C253" i="10"/>
  <c r="C82" i="10"/>
  <c r="C87" i="10"/>
  <c r="C118" i="10"/>
  <c r="C123" i="10"/>
  <c r="C159" i="10"/>
  <c r="C195" i="10"/>
  <c r="C519" i="10"/>
  <c r="C379" i="10"/>
  <c r="C487" i="10"/>
  <c r="O12" i="6"/>
  <c r="C30" i="10"/>
  <c r="C79" i="10"/>
  <c r="C115" i="10"/>
  <c r="D12" i="6"/>
  <c r="K32" i="6"/>
  <c r="C27" i="10"/>
  <c r="C61" i="10"/>
  <c r="C66" i="10"/>
  <c r="C97" i="10"/>
  <c r="C102" i="10"/>
  <c r="C133" i="10"/>
  <c r="C138" i="10"/>
  <c r="C169" i="10"/>
  <c r="C174" i="10"/>
  <c r="C205" i="10"/>
  <c r="C210" i="10"/>
  <c r="C225" i="10"/>
  <c r="C235" i="10"/>
  <c r="C282" i="10"/>
  <c r="C297" i="10"/>
  <c r="C307" i="10"/>
  <c r="C339" i="10"/>
  <c r="C361" i="10"/>
  <c r="C366" i="10"/>
  <c r="C474" i="10"/>
  <c r="N12" i="6"/>
  <c r="C141" i="10"/>
  <c r="C151" i="10"/>
  <c r="D63" i="2"/>
  <c r="L36" i="6"/>
  <c r="C19" i="9"/>
  <c r="C24" i="10"/>
  <c r="C40" i="10"/>
  <c r="C76" i="10"/>
  <c r="C112" i="10"/>
  <c r="C148" i="10"/>
  <c r="C184" i="10"/>
  <c r="C267" i="10"/>
  <c r="C447" i="10"/>
  <c r="C154" i="10"/>
  <c r="C69" i="10"/>
  <c r="C43" i="10"/>
  <c r="M32" i="6"/>
  <c r="M36" i="6" s="1"/>
  <c r="C20" i="9"/>
  <c r="C32" i="10"/>
  <c r="C58" i="10"/>
  <c r="C94" i="10"/>
  <c r="C130" i="10"/>
  <c r="C166" i="10"/>
  <c r="C202" i="10"/>
  <c r="C217" i="10"/>
  <c r="C222" i="10"/>
  <c r="C289" i="10"/>
  <c r="C294" i="10"/>
  <c r="C405" i="10"/>
  <c r="C415" i="10"/>
  <c r="C513" i="10"/>
  <c r="C523" i="10"/>
  <c r="C177" i="10"/>
  <c r="C187" i="10"/>
  <c r="E17" i="5"/>
  <c r="O32" i="6"/>
  <c r="C29" i="10"/>
  <c r="C55" i="10"/>
  <c r="C91" i="10"/>
  <c r="C127" i="10"/>
  <c r="C163" i="10"/>
  <c r="C199" i="10"/>
  <c r="M20" i="12"/>
  <c r="L20" i="12"/>
  <c r="J20" i="12"/>
  <c r="I20" i="12"/>
  <c r="H20" i="12"/>
  <c r="G20" i="12"/>
  <c r="F20" i="12"/>
  <c r="E20" i="12"/>
  <c r="D20" i="12"/>
  <c r="K20" i="12"/>
  <c r="C9" i="15"/>
  <c r="M37" i="6"/>
  <c r="P24" i="6"/>
  <c r="P30" i="6"/>
  <c r="P22" i="6"/>
  <c r="P31" i="6"/>
  <c r="P32" i="6" s="1"/>
  <c r="P14" i="6"/>
  <c r="P16" i="6" s="1"/>
  <c r="P17" i="6" s="1"/>
  <c r="P18" i="6" s="1"/>
  <c r="Q18" i="6" s="1"/>
  <c r="R18" i="6" s="1"/>
  <c r="S18" i="6" s="1"/>
  <c r="P20" i="6"/>
  <c r="Q13" i="6"/>
  <c r="D57" i="15"/>
  <c r="P33" i="6"/>
  <c r="H24" i="6"/>
  <c r="D24" i="6"/>
  <c r="D35" i="6"/>
  <c r="D37" i="6" s="1"/>
  <c r="D36" i="6"/>
  <c r="F170" i="12"/>
  <c r="E170" i="12"/>
  <c r="D170" i="12"/>
  <c r="M170" i="12"/>
  <c r="L170" i="12"/>
  <c r="K170" i="12"/>
  <c r="J170" i="12"/>
  <c r="I170" i="12"/>
  <c r="H170" i="12"/>
  <c r="G170" i="12"/>
  <c r="G30" i="12"/>
  <c r="F30" i="12"/>
  <c r="E30" i="12"/>
  <c r="D30" i="12"/>
  <c r="K30" i="12"/>
  <c r="I30" i="12"/>
  <c r="H30" i="12"/>
  <c r="M30" i="12"/>
  <c r="L30" i="12"/>
  <c r="J30" i="12"/>
  <c r="D9" i="11"/>
  <c r="E9" i="11" s="1"/>
  <c r="T68" i="5"/>
  <c r="G29" i="5" s="1"/>
  <c r="M100" i="12"/>
  <c r="L100" i="12"/>
  <c r="E100" i="12"/>
  <c r="D100" i="12"/>
  <c r="K100" i="12"/>
  <c r="J100" i="12"/>
  <c r="I100" i="12"/>
  <c r="H100" i="12"/>
  <c r="G100" i="12"/>
  <c r="F100" i="12"/>
  <c r="D53" i="15"/>
  <c r="G60" i="12"/>
  <c r="F60" i="12"/>
  <c r="E60" i="12"/>
  <c r="D60" i="12"/>
  <c r="H60" i="12"/>
  <c r="M60" i="12"/>
  <c r="L60" i="12"/>
  <c r="K60" i="12"/>
  <c r="J60" i="12"/>
  <c r="I60" i="12"/>
  <c r="C13" i="5"/>
  <c r="U68" i="5"/>
  <c r="G30" i="5" s="1"/>
  <c r="K70" i="12"/>
  <c r="J70" i="12"/>
  <c r="I70" i="12"/>
  <c r="H70" i="12"/>
  <c r="G70" i="12"/>
  <c r="M70" i="12"/>
  <c r="L70" i="12"/>
  <c r="F70" i="12"/>
  <c r="E70" i="12"/>
  <c r="D70" i="12"/>
  <c r="V68" i="5"/>
  <c r="G36" i="5" s="1"/>
  <c r="W68" i="5"/>
  <c r="G37" i="5" s="1"/>
  <c r="M190" i="12"/>
  <c r="L190" i="12"/>
  <c r="K190" i="12"/>
  <c r="J190" i="12"/>
  <c r="F190" i="12"/>
  <c r="E190" i="12"/>
  <c r="D190" i="12"/>
  <c r="I190" i="12"/>
  <c r="H190" i="12"/>
  <c r="G190" i="12"/>
  <c r="F24" i="6"/>
  <c r="I39" i="6"/>
  <c r="I40" i="6" s="1"/>
  <c r="C65" i="6"/>
  <c r="Q39" i="6"/>
  <c r="G58" i="6"/>
  <c r="P39" i="6"/>
  <c r="E58" i="6"/>
  <c r="O39" i="6"/>
  <c r="D17" i="5"/>
  <c r="M39" i="6"/>
  <c r="M40" i="6" s="1"/>
  <c r="C17" i="5"/>
  <c r="K39" i="6"/>
  <c r="K40" i="6" s="1"/>
  <c r="D58" i="6"/>
  <c r="J39" i="6"/>
  <c r="J40" i="6" s="1"/>
  <c r="C58" i="6"/>
  <c r="C3" i="2"/>
  <c r="N39" i="6"/>
  <c r="N40" i="6" s="1"/>
  <c r="F110" i="12"/>
  <c r="E110" i="12"/>
  <c r="D110" i="12"/>
  <c r="M110" i="12"/>
  <c r="L110" i="12"/>
  <c r="K110" i="12"/>
  <c r="J110" i="12"/>
  <c r="G110" i="12"/>
  <c r="I110" i="12"/>
  <c r="H110" i="12"/>
  <c r="J150" i="12"/>
  <c r="I150" i="12"/>
  <c r="H150" i="12"/>
  <c r="M150" i="12"/>
  <c r="L150" i="12"/>
  <c r="K150" i="12"/>
  <c r="G150" i="12"/>
  <c r="F150" i="12"/>
  <c r="E150" i="12"/>
  <c r="D150" i="12"/>
  <c r="J105" i="2"/>
  <c r="R39" i="6"/>
  <c r="J120" i="12"/>
  <c r="I120" i="12"/>
  <c r="H120" i="12"/>
  <c r="L120" i="12"/>
  <c r="K120" i="12"/>
  <c r="G120" i="12"/>
  <c r="F120" i="12"/>
  <c r="E120" i="12"/>
  <c r="M120" i="12"/>
  <c r="D120" i="12"/>
  <c r="Y68" i="5"/>
  <c r="G41" i="5" s="1"/>
  <c r="M24" i="6"/>
  <c r="C27" i="6"/>
  <c r="C28" i="6" s="1"/>
  <c r="C35" i="6"/>
  <c r="C37" i="6" s="1"/>
  <c r="D46" i="6"/>
  <c r="M160" i="12"/>
  <c r="L160" i="12"/>
  <c r="I160" i="12"/>
  <c r="H160" i="12"/>
  <c r="G160" i="12"/>
  <c r="F160" i="12"/>
  <c r="E160" i="12"/>
  <c r="K160" i="12"/>
  <c r="J160" i="12"/>
  <c r="D160" i="12"/>
  <c r="J102" i="2"/>
  <c r="M50" i="12"/>
  <c r="L50" i="12"/>
  <c r="K50" i="12"/>
  <c r="I50" i="12"/>
  <c r="H50" i="12"/>
  <c r="G50" i="12"/>
  <c r="F50" i="12"/>
  <c r="E50" i="12"/>
  <c r="D50" i="12"/>
  <c r="J50" i="12"/>
  <c r="M80" i="12"/>
  <c r="L80" i="12"/>
  <c r="K80" i="12"/>
  <c r="I80" i="12"/>
  <c r="H80" i="12"/>
  <c r="G80" i="12"/>
  <c r="F80" i="12"/>
  <c r="E80" i="12"/>
  <c r="D80" i="12"/>
  <c r="J80" i="12"/>
  <c r="M130" i="12"/>
  <c r="L130" i="12"/>
  <c r="G130" i="12"/>
  <c r="F130" i="12"/>
  <c r="E130" i="12"/>
  <c r="D130" i="12"/>
  <c r="H130" i="12"/>
  <c r="K130" i="12"/>
  <c r="J130" i="12"/>
  <c r="I130" i="12"/>
  <c r="Z68" i="5"/>
  <c r="G42" i="5" s="1"/>
  <c r="I12" i="6"/>
  <c r="E24" i="6"/>
  <c r="F25" i="6"/>
  <c r="E26" i="6"/>
  <c r="E35" i="6" s="1"/>
  <c r="E37" i="6" s="1"/>
  <c r="F32" i="6"/>
  <c r="N35" i="6"/>
  <c r="N32" i="6"/>
  <c r="N36" i="6" s="1"/>
  <c r="K40" i="12"/>
  <c r="J40" i="12"/>
  <c r="I40" i="12"/>
  <c r="H40" i="12"/>
  <c r="G40" i="12"/>
  <c r="E40" i="12"/>
  <c r="D40" i="12"/>
  <c r="M40" i="12"/>
  <c r="L40" i="12"/>
  <c r="F40" i="12"/>
  <c r="F140" i="12"/>
  <c r="E140" i="12"/>
  <c r="D140" i="12"/>
  <c r="M140" i="12"/>
  <c r="L140" i="12"/>
  <c r="K140" i="12"/>
  <c r="J140" i="12"/>
  <c r="I140" i="12"/>
  <c r="H140" i="12"/>
  <c r="G140" i="12"/>
  <c r="D13" i="5"/>
  <c r="C206" i="4"/>
  <c r="G19" i="9"/>
  <c r="H45" i="2" s="1"/>
  <c r="E159" i="4"/>
  <c r="D9" i="5"/>
  <c r="C37" i="10"/>
  <c r="C48" i="10"/>
  <c r="C73" i="10"/>
  <c r="C84" i="10"/>
  <c r="C109" i="10"/>
  <c r="C120" i="10"/>
  <c r="C145" i="10"/>
  <c r="C156" i="10"/>
  <c r="C181" i="10"/>
  <c r="C192" i="10"/>
  <c r="C214" i="10"/>
  <c r="C250" i="10"/>
  <c r="C286" i="10"/>
  <c r="C322" i="10"/>
  <c r="C358" i="10"/>
  <c r="C394" i="10"/>
  <c r="C430" i="10"/>
  <c r="C466" i="10"/>
  <c r="C502" i="10"/>
  <c r="C538" i="10"/>
  <c r="J90" i="12"/>
  <c r="I90" i="12"/>
  <c r="M90" i="12"/>
  <c r="L90" i="12"/>
  <c r="K90" i="12"/>
  <c r="H90" i="12"/>
  <c r="G90" i="12"/>
  <c r="E90" i="12"/>
  <c r="D90" i="12"/>
  <c r="D177" i="4"/>
  <c r="J180" i="12"/>
  <c r="I180" i="12"/>
  <c r="H180" i="12"/>
  <c r="M180" i="12"/>
  <c r="L180" i="12"/>
  <c r="K180" i="12"/>
  <c r="G180" i="12"/>
  <c r="F180" i="12"/>
  <c r="E180" i="12"/>
  <c r="D180" i="12"/>
  <c r="C25" i="10"/>
  <c r="C28" i="10"/>
  <c r="C31" i="10"/>
  <c r="C34" i="10"/>
  <c r="C45" i="10"/>
  <c r="C70" i="10"/>
  <c r="C81" i="10"/>
  <c r="C106" i="10"/>
  <c r="C117" i="10"/>
  <c r="C142" i="10"/>
  <c r="C153" i="10"/>
  <c r="C178" i="10"/>
  <c r="C189" i="10"/>
  <c r="C232" i="10"/>
  <c r="C268" i="10"/>
  <c r="C304" i="10"/>
  <c r="C340" i="10"/>
  <c r="C376" i="10"/>
  <c r="C412" i="10"/>
  <c r="C448" i="10"/>
  <c r="C484" i="10"/>
  <c r="C520" i="10"/>
  <c r="C42" i="10"/>
  <c r="C67" i="10"/>
  <c r="C78" i="10"/>
  <c r="C103" i="10"/>
  <c r="C114" i="10"/>
  <c r="C139" i="10"/>
  <c r="C150" i="10"/>
  <c r="C175" i="10"/>
  <c r="C186" i="10"/>
  <c r="C211" i="10"/>
  <c r="C247" i="10"/>
  <c r="C283" i="10"/>
  <c r="C319" i="10"/>
  <c r="C355" i="10"/>
  <c r="C391" i="10"/>
  <c r="C427" i="10"/>
  <c r="C463" i="10"/>
  <c r="C499" i="10"/>
  <c r="C535" i="10"/>
  <c r="L13" i="11"/>
  <c r="L14" i="11"/>
  <c r="L10" i="11"/>
  <c r="L8" i="11"/>
  <c r="L9" i="11"/>
  <c r="C39" i="10"/>
  <c r="C64" i="10"/>
  <c r="C75" i="10"/>
  <c r="C100" i="10"/>
  <c r="C111" i="10"/>
  <c r="C136" i="10"/>
  <c r="C147" i="10"/>
  <c r="C172" i="10"/>
  <c r="C183" i="10"/>
  <c r="C208" i="10"/>
  <c r="C14" i="11"/>
  <c r="C318" i="10"/>
  <c r="C354" i="10"/>
  <c r="C390" i="10"/>
  <c r="C426" i="10"/>
  <c r="C462" i="10"/>
  <c r="C498" i="10"/>
  <c r="C534" i="10"/>
  <c r="C8" i="11"/>
  <c r="L11" i="11"/>
  <c r="F90" i="12"/>
  <c r="C52" i="10"/>
  <c r="C63" i="10"/>
  <c r="C88" i="10"/>
  <c r="C99" i="10"/>
  <c r="C124" i="10"/>
  <c r="C135" i="10"/>
  <c r="C160" i="10"/>
  <c r="C171" i="10"/>
  <c r="C196" i="10"/>
  <c r="C207" i="10"/>
  <c r="C228" i="10"/>
  <c r="C264" i="10"/>
  <c r="C300" i="10"/>
  <c r="C336" i="10"/>
  <c r="C372" i="10"/>
  <c r="C408" i="10"/>
  <c r="C444" i="10"/>
  <c r="C480" i="10"/>
  <c r="C542" i="10"/>
  <c r="C539" i="10"/>
  <c r="C536" i="10"/>
  <c r="C533" i="10"/>
  <c r="C530" i="10"/>
  <c r="C527" i="10"/>
  <c r="C524" i="10"/>
  <c r="C521" i="10"/>
  <c r="C518" i="10"/>
  <c r="C515" i="10"/>
  <c r="C512" i="10"/>
  <c r="C509" i="10"/>
  <c r="C506" i="10"/>
  <c r="C503" i="10"/>
  <c r="C500" i="10"/>
  <c r="C497" i="10"/>
  <c r="C494" i="10"/>
  <c r="C491" i="10"/>
  <c r="C488" i="10"/>
  <c r="C485" i="10"/>
  <c r="C482" i="10"/>
  <c r="C479" i="10"/>
  <c r="C476" i="10"/>
  <c r="C473" i="10"/>
  <c r="C470" i="10"/>
  <c r="C467" i="10"/>
  <c r="C464" i="10"/>
  <c r="C461" i="10"/>
  <c r="C458" i="10"/>
  <c r="C455" i="10"/>
  <c r="C452" i="10"/>
  <c r="C449" i="10"/>
  <c r="C446" i="10"/>
  <c r="C443" i="10"/>
  <c r="C440" i="10"/>
  <c r="C437" i="10"/>
  <c r="C434" i="10"/>
  <c r="C431" i="10"/>
  <c r="C428" i="10"/>
  <c r="C425" i="10"/>
  <c r="C422" i="10"/>
  <c r="C419" i="10"/>
  <c r="C416" i="10"/>
  <c r="C413" i="10"/>
  <c r="C410" i="10"/>
  <c r="C407" i="10"/>
  <c r="C404" i="10"/>
  <c r="C401" i="10"/>
  <c r="C398" i="10"/>
  <c r="C395" i="10"/>
  <c r="C392" i="10"/>
  <c r="C389" i="10"/>
  <c r="C386" i="10"/>
  <c r="C383" i="10"/>
  <c r="C380" i="10"/>
  <c r="C377" i="10"/>
  <c r="C374" i="10"/>
  <c r="C371" i="10"/>
  <c r="C368" i="10"/>
  <c r="C365" i="10"/>
  <c r="C362" i="10"/>
  <c r="C359" i="10"/>
  <c r="C356" i="10"/>
  <c r="C353" i="10"/>
  <c r="C350" i="10"/>
  <c r="C347" i="10"/>
  <c r="C344" i="10"/>
  <c r="C341" i="10"/>
  <c r="C338" i="10"/>
  <c r="C335" i="10"/>
  <c r="C332" i="10"/>
  <c r="C329" i="10"/>
  <c r="C326" i="10"/>
  <c r="C323" i="10"/>
  <c r="C320" i="10"/>
  <c r="C317" i="10"/>
  <c r="C314" i="10"/>
  <c r="C311" i="10"/>
  <c r="C308" i="10"/>
  <c r="C305" i="10"/>
  <c r="C302" i="10"/>
  <c r="C299" i="10"/>
  <c r="C296" i="10"/>
  <c r="C293" i="10"/>
  <c r="C290" i="10"/>
  <c r="C287" i="10"/>
  <c r="C284" i="10"/>
  <c r="C281" i="10"/>
  <c r="C278" i="10"/>
  <c r="C275" i="10"/>
  <c r="C272" i="10"/>
  <c r="C269" i="10"/>
  <c r="C266" i="10"/>
  <c r="C263" i="10"/>
  <c r="C260" i="10"/>
  <c r="C257" i="10"/>
  <c r="C254" i="10"/>
  <c r="C251" i="10"/>
  <c r="C248" i="10"/>
  <c r="C245" i="10"/>
  <c r="C242" i="10"/>
  <c r="C239" i="10"/>
  <c r="C236" i="10"/>
  <c r="C233" i="10"/>
  <c r="C230" i="10"/>
  <c r="C227" i="10"/>
  <c r="C224" i="10"/>
  <c r="C221" i="10"/>
  <c r="C218" i="10"/>
  <c r="C215" i="10"/>
  <c r="C212" i="10"/>
  <c r="C537" i="10"/>
  <c r="C526" i="10"/>
  <c r="C501" i="10"/>
  <c r="C490" i="10"/>
  <c r="C465" i="10"/>
  <c r="C454" i="10"/>
  <c r="C429" i="10"/>
  <c r="C418" i="10"/>
  <c r="C393" i="10"/>
  <c r="C382" i="10"/>
  <c r="C357" i="10"/>
  <c r="C346" i="10"/>
  <c r="C321" i="10"/>
  <c r="C310" i="10"/>
  <c r="C285" i="10"/>
  <c r="C274" i="10"/>
  <c r="C249" i="10"/>
  <c r="C238" i="10"/>
  <c r="C213" i="10"/>
  <c r="C540" i="10"/>
  <c r="C529" i="10"/>
  <c r="C504" i="10"/>
  <c r="C493" i="10"/>
  <c r="C468" i="10"/>
  <c r="C457" i="10"/>
  <c r="C432" i="10"/>
  <c r="C421" i="10"/>
  <c r="C396" i="10"/>
  <c r="C385" i="10"/>
  <c r="C360" i="10"/>
  <c r="C349" i="10"/>
  <c r="C324" i="10"/>
  <c r="C313" i="10"/>
  <c r="C288" i="10"/>
  <c r="C277" i="10"/>
  <c r="C252" i="10"/>
  <c r="C241" i="10"/>
  <c r="C216" i="10"/>
  <c r="C543" i="10"/>
  <c r="C532" i="10"/>
  <c r="C507" i="10"/>
  <c r="C496" i="10"/>
  <c r="C471" i="10"/>
  <c r="C460" i="10"/>
  <c r="C435" i="10"/>
  <c r="C424" i="10"/>
  <c r="C399" i="10"/>
  <c r="C388" i="10"/>
  <c r="C363" i="10"/>
  <c r="C352" i="10"/>
  <c r="C327" i="10"/>
  <c r="C316" i="10"/>
  <c r="C291" i="10"/>
  <c r="C280" i="10"/>
  <c r="C255" i="10"/>
  <c r="C244" i="10"/>
  <c r="C219" i="10"/>
  <c r="C522" i="10"/>
  <c r="C511" i="10"/>
  <c r="C486" i="10"/>
  <c r="C475" i="10"/>
  <c r="C450" i="10"/>
  <c r="C439" i="10"/>
  <c r="C414" i="10"/>
  <c r="C403" i="10"/>
  <c r="C378" i="10"/>
  <c r="C367" i="10"/>
  <c r="C342" i="10"/>
  <c r="C331" i="10"/>
  <c r="C306" i="10"/>
  <c r="C295" i="10"/>
  <c r="C270" i="10"/>
  <c r="C259" i="10"/>
  <c r="C234" i="10"/>
  <c r="C223" i="10"/>
  <c r="C209" i="10"/>
  <c r="C206" i="10"/>
  <c r="C203" i="10"/>
  <c r="C200" i="10"/>
  <c r="C197" i="10"/>
  <c r="C194" i="10"/>
  <c r="C191" i="10"/>
  <c r="C188" i="10"/>
  <c r="C185" i="10"/>
  <c r="C182" i="10"/>
  <c r="C179" i="10"/>
  <c r="C176" i="10"/>
  <c r="C173" i="10"/>
  <c r="C170" i="10"/>
  <c r="C167" i="10"/>
  <c r="C164" i="10"/>
  <c r="C161" i="10"/>
  <c r="C158" i="10"/>
  <c r="C155" i="10"/>
  <c r="C152" i="10"/>
  <c r="C149" i="10"/>
  <c r="C146" i="10"/>
  <c r="C143" i="10"/>
  <c r="C140" i="10"/>
  <c r="C137" i="10"/>
  <c r="C134" i="10"/>
  <c r="C131" i="10"/>
  <c r="C128" i="10"/>
  <c r="C125" i="10"/>
  <c r="C122" i="10"/>
  <c r="C119" i="10"/>
  <c r="C116" i="10"/>
  <c r="C113" i="10"/>
  <c r="C110" i="10"/>
  <c r="C107" i="10"/>
  <c r="C104" i="10"/>
  <c r="C101" i="10"/>
  <c r="C98" i="10"/>
  <c r="C95" i="10"/>
  <c r="C92" i="10"/>
  <c r="C89" i="10"/>
  <c r="C86" i="10"/>
  <c r="C83" i="10"/>
  <c r="C80" i="10"/>
  <c r="C77" i="10"/>
  <c r="C74" i="10"/>
  <c r="C71" i="10"/>
  <c r="C68" i="10"/>
  <c r="C65" i="10"/>
  <c r="C62" i="10"/>
  <c r="C59" i="10"/>
  <c r="C56" i="10"/>
  <c r="C53" i="10"/>
  <c r="C50" i="10"/>
  <c r="C47" i="10"/>
  <c r="C44" i="10"/>
  <c r="C41" i="10"/>
  <c r="C38" i="10"/>
  <c r="C35" i="10"/>
  <c r="C525" i="10"/>
  <c r="C514" i="10"/>
  <c r="C489" i="10"/>
  <c r="C478" i="10"/>
  <c r="C453" i="10"/>
  <c r="C442" i="10"/>
  <c r="C417" i="10"/>
  <c r="C406" i="10"/>
  <c r="C381" i="10"/>
  <c r="C370" i="10"/>
  <c r="C345" i="10"/>
  <c r="C334" i="10"/>
  <c r="C309" i="10"/>
  <c r="C298" i="10"/>
  <c r="C273" i="10"/>
  <c r="C262" i="10"/>
  <c r="C237" i="10"/>
  <c r="C226" i="10"/>
  <c r="C528" i="10"/>
  <c r="C517" i="10"/>
  <c r="C492" i="10"/>
  <c r="C481" i="10"/>
  <c r="C456" i="10"/>
  <c r="C445" i="10"/>
  <c r="C420" i="10"/>
  <c r="C409" i="10"/>
  <c r="C384" i="10"/>
  <c r="C373" i="10"/>
  <c r="C348" i="10"/>
  <c r="C337" i="10"/>
  <c r="C312" i="10"/>
  <c r="C301" i="10"/>
  <c r="C276" i="10"/>
  <c r="C265" i="10"/>
  <c r="C240" i="10"/>
  <c r="C229" i="10"/>
  <c r="C49" i="10"/>
  <c r="C60" i="10"/>
  <c r="C85" i="10"/>
  <c r="C96" i="10"/>
  <c r="C121" i="10"/>
  <c r="C132" i="10"/>
  <c r="C157" i="10"/>
  <c r="C168" i="10"/>
  <c r="C193" i="10"/>
  <c r="C204" i="10"/>
  <c r="C220" i="10"/>
  <c r="C243" i="10"/>
  <c r="C256" i="10"/>
  <c r="C279" i="10"/>
  <c r="C292" i="10"/>
  <c r="C315" i="10"/>
  <c r="C328" i="10"/>
  <c r="C351" i="10"/>
  <c r="C364" i="10"/>
  <c r="C387" i="10"/>
  <c r="C400" i="10"/>
  <c r="C423" i="10"/>
  <c r="C436" i="10"/>
  <c r="C459" i="10"/>
  <c r="C472" i="10"/>
  <c r="C495" i="10"/>
  <c r="C508" i="10"/>
  <c r="C531" i="10"/>
  <c r="C544" i="10"/>
  <c r="C397" i="10"/>
  <c r="C433" i="10"/>
  <c r="C469" i="10"/>
  <c r="C505" i="10"/>
  <c r="C541" i="10"/>
  <c r="C11" i="11"/>
  <c r="C10" i="11"/>
  <c r="AL22" i="14"/>
  <c r="AQ22" i="14" s="1"/>
  <c r="AR22" i="14" s="1"/>
  <c r="AK22" i="14"/>
  <c r="AV22" i="14"/>
  <c r="AD22" i="14"/>
  <c r="AC22" i="14"/>
  <c r="AB22" i="14"/>
  <c r="AO22" i="14"/>
  <c r="AA22" i="14"/>
  <c r="AM22" i="14"/>
  <c r="AJ22" i="14"/>
  <c r="AI22" i="14"/>
  <c r="AH22" i="14"/>
  <c r="AG22" i="14"/>
  <c r="AF22" i="14"/>
  <c r="AW22" i="14"/>
  <c r="AE22" i="14"/>
  <c r="AN22" i="14"/>
  <c r="I20" i="14"/>
  <c r="J20" i="14" s="1"/>
  <c r="C13" i="11"/>
  <c r="I73" i="14"/>
  <c r="J73" i="14" s="1"/>
  <c r="I8" i="14"/>
  <c r="J8" i="14" s="1"/>
  <c r="I37" i="14"/>
  <c r="J37" i="14" s="1"/>
  <c r="C7" i="11"/>
  <c r="I17" i="14"/>
  <c r="J17" i="14" s="1"/>
  <c r="I13" i="14"/>
  <c r="J13" i="14" s="1"/>
  <c r="I10" i="14"/>
  <c r="J10" i="14" s="1"/>
  <c r="I34" i="14"/>
  <c r="J34" i="14" s="1"/>
  <c r="I67" i="14"/>
  <c r="J67" i="14" s="1"/>
  <c r="I49" i="14"/>
  <c r="J49" i="14" s="1"/>
  <c r="I58" i="14"/>
  <c r="J58" i="14" s="1"/>
  <c r="I31" i="14"/>
  <c r="J31" i="14" s="1"/>
  <c r="I24" i="14"/>
  <c r="J24" i="14" s="1"/>
  <c r="I12" i="14"/>
  <c r="J12" i="14" s="1"/>
  <c r="I7" i="14"/>
  <c r="J7" i="14" s="1"/>
  <c r="I11" i="14"/>
  <c r="J11" i="14" s="1"/>
  <c r="I14" i="14"/>
  <c r="J14" i="14" s="1"/>
  <c r="I30" i="14"/>
  <c r="J30" i="14" s="1"/>
  <c r="I26" i="14"/>
  <c r="J26" i="14" s="1"/>
  <c r="I42" i="14"/>
  <c r="J42" i="14" s="1"/>
  <c r="I80" i="14"/>
  <c r="J80" i="14" s="1"/>
  <c r="I21" i="14"/>
  <c r="J21" i="14" s="1"/>
  <c r="I15" i="14"/>
  <c r="J15" i="14" s="1"/>
  <c r="I48" i="14"/>
  <c r="J48" i="14" s="1"/>
  <c r="I63" i="14"/>
  <c r="J63" i="14" s="1"/>
  <c r="I18" i="14"/>
  <c r="J18" i="14" s="1"/>
  <c r="I23" i="14"/>
  <c r="J23" i="14" s="1"/>
  <c r="I25" i="14"/>
  <c r="J25" i="14" s="1"/>
  <c r="I79" i="14"/>
  <c r="J79" i="14" s="1"/>
  <c r="I27" i="14"/>
  <c r="J27" i="14" s="1"/>
  <c r="I33" i="14"/>
  <c r="J33" i="14" s="1"/>
  <c r="I40" i="14"/>
  <c r="J40" i="14" s="1"/>
  <c r="I41" i="14"/>
  <c r="J41" i="14" s="1"/>
  <c r="I43" i="14"/>
  <c r="J43" i="14" s="1"/>
  <c r="I44" i="14"/>
  <c r="J44" i="14" s="1"/>
  <c r="I47" i="14"/>
  <c r="J47" i="14" s="1"/>
  <c r="I61" i="14"/>
  <c r="J61" i="14" s="1"/>
  <c r="I69" i="14"/>
  <c r="J69" i="14" s="1"/>
  <c r="I9" i="14"/>
  <c r="J9" i="14" s="1"/>
  <c r="I29" i="14"/>
  <c r="J29" i="14" s="1"/>
  <c r="I52" i="14"/>
  <c r="J52" i="14" s="1"/>
  <c r="I56" i="14"/>
  <c r="J56" i="14" s="1"/>
  <c r="I75" i="14"/>
  <c r="J75" i="14" s="1"/>
  <c r="F44" i="15"/>
  <c r="E44" i="15"/>
  <c r="I51" i="14"/>
  <c r="J51" i="14" s="1"/>
  <c r="I71" i="14"/>
  <c r="J71" i="14" s="1"/>
  <c r="I55" i="14"/>
  <c r="J55" i="14" s="1"/>
  <c r="I74" i="14"/>
  <c r="J74" i="14" s="1"/>
  <c r="I57" i="14"/>
  <c r="J57" i="14" s="1"/>
  <c r="I45" i="14"/>
  <c r="J45" i="14" s="1"/>
  <c r="I39" i="14"/>
  <c r="J39" i="14" s="1"/>
  <c r="I77" i="14"/>
  <c r="J77" i="14" s="1"/>
  <c r="I62" i="14"/>
  <c r="J62" i="14" s="1"/>
  <c r="I59" i="14"/>
  <c r="J59" i="14" s="1"/>
  <c r="I65" i="14"/>
  <c r="J65" i="14" s="1"/>
  <c r="I54" i="14"/>
  <c r="J54" i="14" s="1"/>
  <c r="I16" i="14"/>
  <c r="J16" i="14" s="1"/>
  <c r="I19" i="14"/>
  <c r="J19" i="14" s="1"/>
  <c r="I28" i="14"/>
  <c r="J28" i="14" s="1"/>
  <c r="I32" i="14"/>
  <c r="J32" i="14" s="1"/>
  <c r="I35" i="14"/>
  <c r="J35" i="14" s="1"/>
  <c r="I36" i="14"/>
  <c r="J36" i="14" s="1"/>
  <c r="I50" i="14"/>
  <c r="J50" i="14" s="1"/>
  <c r="I6" i="14"/>
  <c r="I68" i="14"/>
  <c r="J68" i="14" s="1"/>
  <c r="I81" i="14"/>
  <c r="J81" i="14" s="1"/>
  <c r="I53" i="14"/>
  <c r="J53" i="14" s="1"/>
  <c r="I38" i="14"/>
  <c r="J38" i="14" s="1"/>
  <c r="I46" i="14"/>
  <c r="J46" i="14" s="1"/>
  <c r="I70" i="14"/>
  <c r="J70" i="14" s="1"/>
  <c r="I76" i="14"/>
  <c r="J76" i="14" s="1"/>
  <c r="I60" i="14"/>
  <c r="J60" i="14" s="1"/>
  <c r="F51" i="15"/>
  <c r="E51" i="15"/>
  <c r="I64" i="14"/>
  <c r="J64" i="14" s="1"/>
  <c r="I66" i="14"/>
  <c r="J66" i="14" s="1"/>
  <c r="F37" i="15"/>
  <c r="E37" i="15"/>
  <c r="I72" i="14"/>
  <c r="J72" i="14" s="1"/>
  <c r="I78" i="14"/>
  <c r="J78" i="14" s="1"/>
  <c r="E62" i="15"/>
  <c r="E52" i="15"/>
  <c r="C14" i="10" l="1"/>
  <c r="C7" i="10"/>
  <c r="D45" i="2"/>
  <c r="G91" i="2"/>
  <c r="O38" i="6"/>
  <c r="D271" i="4"/>
  <c r="O26" i="6"/>
  <c r="D130" i="4"/>
  <c r="D83" i="4"/>
  <c r="P25" i="6"/>
  <c r="D224" i="4"/>
  <c r="D29" i="4"/>
  <c r="O40" i="6"/>
  <c r="D7" i="10"/>
  <c r="D14" i="10"/>
  <c r="D13" i="11"/>
  <c r="AJ27" i="14"/>
  <c r="AI27" i="14"/>
  <c r="AG27" i="14"/>
  <c r="AF27" i="14"/>
  <c r="AW27" i="14"/>
  <c r="AE27" i="14"/>
  <c r="AV27" i="14"/>
  <c r="AD27" i="14"/>
  <c r="AB27" i="14"/>
  <c r="AO27" i="14"/>
  <c r="AA27" i="14"/>
  <c r="AN27" i="14"/>
  <c r="AM27" i="14"/>
  <c r="AL27" i="14"/>
  <c r="AQ27" i="14" s="1"/>
  <c r="AR27" i="14" s="1"/>
  <c r="AK27" i="14"/>
  <c r="AH27" i="14"/>
  <c r="AC27" i="14"/>
  <c r="F9" i="15"/>
  <c r="E9" i="15"/>
  <c r="AK52" i="14"/>
  <c r="AC52" i="14"/>
  <c r="AN52" i="14"/>
  <c r="AA52" i="14"/>
  <c r="AM52" i="14"/>
  <c r="AH52" i="14"/>
  <c r="AF52" i="14"/>
  <c r="AE52" i="14"/>
  <c r="AD52" i="14"/>
  <c r="AB52" i="14"/>
  <c r="AO52" i="14"/>
  <c r="AL52" i="14"/>
  <c r="AQ52" i="14" s="1"/>
  <c r="AR52" i="14" s="1"/>
  <c r="AJ52" i="14"/>
  <c r="AG52" i="14"/>
  <c r="AW52" i="14"/>
  <c r="AV52" i="14"/>
  <c r="AI52" i="14"/>
  <c r="AM39" i="14"/>
  <c r="AA39" i="14"/>
  <c r="AK39" i="14"/>
  <c r="AJ39" i="14"/>
  <c r="AG39" i="14"/>
  <c r="AF39" i="14"/>
  <c r="AE39" i="14"/>
  <c r="AO39" i="14"/>
  <c r="AN39" i="14"/>
  <c r="AL39" i="14"/>
  <c r="AQ39" i="14" s="1"/>
  <c r="AR39" i="14" s="1"/>
  <c r="AH39" i="14"/>
  <c r="AD39" i="14"/>
  <c r="AC39" i="14"/>
  <c r="AB39" i="14"/>
  <c r="AW39" i="14"/>
  <c r="AV39" i="14"/>
  <c r="AI39" i="14"/>
  <c r="AW36" i="14"/>
  <c r="AG36" i="14"/>
  <c r="AE36" i="14"/>
  <c r="AD36" i="14"/>
  <c r="AK36" i="14"/>
  <c r="AJ36" i="14"/>
  <c r="AI36" i="14"/>
  <c r="AV36" i="14"/>
  <c r="AO36" i="14"/>
  <c r="AM36" i="14"/>
  <c r="AL36" i="14"/>
  <c r="AQ36" i="14" s="1"/>
  <c r="AR36" i="14" s="1"/>
  <c r="AH36" i="14"/>
  <c r="AF36" i="14"/>
  <c r="AC36" i="14"/>
  <c r="AB36" i="14"/>
  <c r="AA36" i="14"/>
  <c r="AN36" i="14"/>
  <c r="AM45" i="14"/>
  <c r="AA45" i="14"/>
  <c r="AK45" i="14"/>
  <c r="AJ45" i="14"/>
  <c r="AV45" i="14"/>
  <c r="AF45" i="14"/>
  <c r="AD45" i="14"/>
  <c r="AC45" i="14"/>
  <c r="AW45" i="14"/>
  <c r="AB45" i="14"/>
  <c r="AI45" i="14"/>
  <c r="AH45" i="14"/>
  <c r="AG45" i="14"/>
  <c r="AE45" i="14"/>
  <c r="AO45" i="14"/>
  <c r="AN45" i="14"/>
  <c r="AL45" i="14"/>
  <c r="AQ45" i="14" s="1"/>
  <c r="AR45" i="14" s="1"/>
  <c r="AE9" i="14"/>
  <c r="AD9" i="14"/>
  <c r="AC9" i="14"/>
  <c r="AB9" i="14"/>
  <c r="AL9" i="14"/>
  <c r="AK9" i="14"/>
  <c r="AJ9" i="14"/>
  <c r="AW9" i="14"/>
  <c r="AV9" i="14"/>
  <c r="AF9" i="14"/>
  <c r="AA9" i="14"/>
  <c r="AV25" i="14"/>
  <c r="AF25" i="14"/>
  <c r="AE25" i="14"/>
  <c r="AJ25" i="14"/>
  <c r="AI25" i="14"/>
  <c r="AH25" i="14"/>
  <c r="AG25" i="14"/>
  <c r="AW25" i="14"/>
  <c r="AC25" i="14"/>
  <c r="AB25" i="14"/>
  <c r="AO25" i="14"/>
  <c r="AA25" i="14"/>
  <c r="AN25" i="14"/>
  <c r="AM25" i="14"/>
  <c r="AL25" i="14"/>
  <c r="AQ25" i="14" s="1"/>
  <c r="AR25" i="14" s="1"/>
  <c r="AK25" i="14"/>
  <c r="AD25" i="14"/>
  <c r="AD30" i="14"/>
  <c r="AO30" i="14"/>
  <c r="AC30" i="14"/>
  <c r="AM30" i="14"/>
  <c r="AL30" i="14"/>
  <c r="AQ30" i="14" s="1"/>
  <c r="AR30" i="14" s="1"/>
  <c r="AK30" i="14"/>
  <c r="AJ30" i="14"/>
  <c r="AH30" i="14"/>
  <c r="AG30" i="14"/>
  <c r="AF30" i="14"/>
  <c r="AW30" i="14"/>
  <c r="AE30" i="14"/>
  <c r="AV30" i="14"/>
  <c r="AB30" i="14"/>
  <c r="AA30" i="14"/>
  <c r="AN30" i="14"/>
  <c r="AI30" i="14"/>
  <c r="AV13" i="14"/>
  <c r="AF13" i="14"/>
  <c r="AB13" i="14"/>
  <c r="AA13" i="14"/>
  <c r="AL13" i="14"/>
  <c r="AQ13" i="14" s="1"/>
  <c r="AR13" i="14" s="1"/>
  <c r="AJ13" i="14"/>
  <c r="AW13" i="14"/>
  <c r="AE13" i="14"/>
  <c r="AD13" i="14"/>
  <c r="AC13" i="14"/>
  <c r="AK13" i="14"/>
  <c r="D56" i="15"/>
  <c r="C8" i="10"/>
  <c r="D54" i="15"/>
  <c r="AE75" i="14"/>
  <c r="AH75" i="14"/>
  <c r="AW75" i="14"/>
  <c r="AF75" i="14"/>
  <c r="AV75" i="14"/>
  <c r="AD75" i="14"/>
  <c r="AB75" i="14"/>
  <c r="AA75" i="14"/>
  <c r="AK75" i="14"/>
  <c r="AJ75" i="14"/>
  <c r="AG75" i="14"/>
  <c r="AM67" i="14"/>
  <c r="AA67" i="14"/>
  <c r="AE67" i="14"/>
  <c r="AK67" i="14"/>
  <c r="AI67" i="14"/>
  <c r="AH67" i="14"/>
  <c r="AF67" i="14"/>
  <c r="AW67" i="14"/>
  <c r="AD67" i="14"/>
  <c r="AV67" i="14"/>
  <c r="AC67" i="14"/>
  <c r="AN67" i="14"/>
  <c r="AL67" i="14"/>
  <c r="AQ67" i="14" s="1"/>
  <c r="AR67" i="14" s="1"/>
  <c r="AJ67" i="14"/>
  <c r="AG67" i="14"/>
  <c r="AB67" i="14"/>
  <c r="AO67" i="14"/>
  <c r="AH26" i="14"/>
  <c r="AW26" i="14"/>
  <c r="AG26" i="14"/>
  <c r="AB26" i="14"/>
  <c r="AO26" i="14"/>
  <c r="AA26" i="14"/>
  <c r="AN26" i="14"/>
  <c r="AM26" i="14"/>
  <c r="AK26" i="14"/>
  <c r="AJ26" i="14"/>
  <c r="AI26" i="14"/>
  <c r="AF26" i="14"/>
  <c r="AE26" i="14"/>
  <c r="AV26" i="14"/>
  <c r="AD26" i="14"/>
  <c r="AC26" i="14"/>
  <c r="AL26" i="14"/>
  <c r="AQ26" i="14" s="1"/>
  <c r="AR26" i="14" s="1"/>
  <c r="AE49" i="14"/>
  <c r="AC49" i="14"/>
  <c r="AN49" i="14"/>
  <c r="AA49" i="14"/>
  <c r="AM49" i="14"/>
  <c r="AI49" i="14"/>
  <c r="AL49" i="14"/>
  <c r="AQ49" i="14" s="1"/>
  <c r="AR49" i="14" s="1"/>
  <c r="AK49" i="14"/>
  <c r="AJ49" i="14"/>
  <c r="AH49" i="14"/>
  <c r="AW49" i="14"/>
  <c r="AO49" i="14"/>
  <c r="AG49" i="14"/>
  <c r="AF49" i="14"/>
  <c r="AD49" i="14"/>
  <c r="AB49" i="14"/>
  <c r="AV49" i="14"/>
  <c r="AN29" i="14"/>
  <c r="AB29" i="14"/>
  <c r="AM29" i="14"/>
  <c r="AA29" i="14"/>
  <c r="AG29" i="14"/>
  <c r="AF29" i="14"/>
  <c r="AW29" i="14"/>
  <c r="AE29" i="14"/>
  <c r="AV29" i="14"/>
  <c r="AD29" i="14"/>
  <c r="AO29" i="14"/>
  <c r="AL29" i="14"/>
  <c r="AQ29" i="14" s="1"/>
  <c r="AR29" i="14" s="1"/>
  <c r="AK29" i="14"/>
  <c r="AJ29" i="14"/>
  <c r="AI29" i="14"/>
  <c r="AH29" i="14"/>
  <c r="AC29" i="14"/>
  <c r="AK33" i="14"/>
  <c r="AJ33" i="14"/>
  <c r="AC33" i="14"/>
  <c r="AB33" i="14"/>
  <c r="AI33" i="14"/>
  <c r="AH33" i="14"/>
  <c r="AG33" i="14"/>
  <c r="AF33" i="14"/>
  <c r="AD33" i="14"/>
  <c r="AW33" i="14"/>
  <c r="AA33" i="14"/>
  <c r="AV33" i="14"/>
  <c r="AO33" i="14"/>
  <c r="AN33" i="14"/>
  <c r="AM33" i="14"/>
  <c r="AL33" i="14"/>
  <c r="AQ33" i="14" s="1"/>
  <c r="AR33" i="14" s="1"/>
  <c r="AE33" i="14"/>
  <c r="AO68" i="14"/>
  <c r="AC68" i="14"/>
  <c r="AW68" i="14"/>
  <c r="AG68" i="14"/>
  <c r="AV68" i="14"/>
  <c r="AD68" i="14"/>
  <c r="AA68" i="14"/>
  <c r="AN68" i="14"/>
  <c r="AL68" i="14"/>
  <c r="AQ68" i="14" s="1"/>
  <c r="AR68" i="14" s="1"/>
  <c r="AK68" i="14"/>
  <c r="AJ68" i="14"/>
  <c r="AM68" i="14"/>
  <c r="AI68" i="14"/>
  <c r="AH68" i="14"/>
  <c r="AF68" i="14"/>
  <c r="AE68" i="14"/>
  <c r="AB68" i="14"/>
  <c r="AO80" i="14"/>
  <c r="AC80" i="14"/>
  <c r="AW80" i="14"/>
  <c r="AG80" i="14"/>
  <c r="AK80" i="14"/>
  <c r="AI80" i="14"/>
  <c r="AH80" i="14"/>
  <c r="AE80" i="14"/>
  <c r="AV80" i="14"/>
  <c r="AD80" i="14"/>
  <c r="AB80" i="14"/>
  <c r="AN80" i="14"/>
  <c r="AM80" i="14"/>
  <c r="AL80" i="14"/>
  <c r="AQ80" i="14" s="1"/>
  <c r="AR80" i="14" s="1"/>
  <c r="AJ80" i="14"/>
  <c r="AF80" i="14"/>
  <c r="AA80" i="14"/>
  <c r="C9" i="10"/>
  <c r="I83" i="14"/>
  <c r="C22" i="15" s="1"/>
  <c r="J6" i="14"/>
  <c r="AW64" i="14"/>
  <c r="AG64" i="14"/>
  <c r="AK64" i="14"/>
  <c r="AE64" i="14"/>
  <c r="AC64" i="14"/>
  <c r="AB64" i="14"/>
  <c r="AN64" i="14"/>
  <c r="AM64" i="14"/>
  <c r="AL64" i="14"/>
  <c r="AV64" i="14"/>
  <c r="AF64" i="14"/>
  <c r="AD64" i="14"/>
  <c r="AA64" i="14"/>
  <c r="D15" i="13" s="1"/>
  <c r="D26" i="13" s="1"/>
  <c r="C260" i="4" s="1"/>
  <c r="C261" i="4" s="1"/>
  <c r="C273" i="4" s="1"/>
  <c r="AO64" i="14"/>
  <c r="AJ64" i="14"/>
  <c r="AI64" i="14"/>
  <c r="AH64" i="14"/>
  <c r="C15" i="13"/>
  <c r="AM79" i="14"/>
  <c r="AA79" i="14"/>
  <c r="AE79" i="14"/>
  <c r="AW79" i="14"/>
  <c r="AD79" i="14"/>
  <c r="AB79" i="14"/>
  <c r="AO79" i="14"/>
  <c r="AL79" i="14"/>
  <c r="AQ79" i="14" s="1"/>
  <c r="AR79" i="14" s="1"/>
  <c r="AK79" i="14"/>
  <c r="AJ79" i="14"/>
  <c r="AI79" i="14"/>
  <c r="AH79" i="14"/>
  <c r="AG79" i="14"/>
  <c r="AF79" i="14"/>
  <c r="AC79" i="14"/>
  <c r="AV79" i="14"/>
  <c r="AN79" i="14"/>
  <c r="AE57" i="14"/>
  <c r="AI57" i="14"/>
  <c r="AO57" i="14"/>
  <c r="AA57" i="14"/>
  <c r="AM57" i="14"/>
  <c r="AL57" i="14"/>
  <c r="AQ57" i="14" s="1"/>
  <c r="AR57" i="14" s="1"/>
  <c r="AH57" i="14"/>
  <c r="AG57" i="14"/>
  <c r="AW57" i="14"/>
  <c r="AV57" i="14"/>
  <c r="AN57" i="14"/>
  <c r="AK57" i="14"/>
  <c r="AJ57" i="14"/>
  <c r="AF57" i="14"/>
  <c r="AD57" i="14"/>
  <c r="AC57" i="14"/>
  <c r="AB57" i="14"/>
  <c r="AH14" i="14"/>
  <c r="AW14" i="14"/>
  <c r="AF14" i="14"/>
  <c r="AV14" i="14"/>
  <c r="AE14" i="14"/>
  <c r="AD14" i="14"/>
  <c r="AC14" i="14"/>
  <c r="AA14" i="14"/>
  <c r="AL14" i="14"/>
  <c r="AQ14" i="14" s="1"/>
  <c r="AR14" i="14" s="1"/>
  <c r="AK14" i="14"/>
  <c r="AJ14" i="14"/>
  <c r="AI14" i="14"/>
  <c r="AG14" i="14"/>
  <c r="AB14" i="14"/>
  <c r="D14" i="11"/>
  <c r="D94" i="15"/>
  <c r="C10" i="15"/>
  <c r="N37" i="6"/>
  <c r="Q21" i="6"/>
  <c r="Q17" i="6"/>
  <c r="Q14" i="6"/>
  <c r="Q16" i="6"/>
  <c r="R13" i="6"/>
  <c r="Q33" i="6"/>
  <c r="Q31" i="6"/>
  <c r="Q32" i="6" s="1"/>
  <c r="AK60" i="14"/>
  <c r="AO60" i="14"/>
  <c r="AC60" i="14"/>
  <c r="AG60" i="14"/>
  <c r="AW60" i="14"/>
  <c r="AE60" i="14"/>
  <c r="AV60" i="14"/>
  <c r="AD60" i="14"/>
  <c r="AA60" i="14"/>
  <c r="AN60" i="14"/>
  <c r="AM60" i="14"/>
  <c r="AF60" i="14"/>
  <c r="AB60" i="14"/>
  <c r="AH60" i="14"/>
  <c r="AL60" i="14"/>
  <c r="AQ60" i="14" s="1"/>
  <c r="AR60" i="14" s="1"/>
  <c r="AJ60" i="14"/>
  <c r="AI60" i="14"/>
  <c r="AO74" i="14"/>
  <c r="AC74" i="14"/>
  <c r="AW74" i="14"/>
  <c r="AG74" i="14"/>
  <c r="AA74" i="14"/>
  <c r="AM74" i="14"/>
  <c r="AL74" i="14"/>
  <c r="AQ74" i="14" s="1"/>
  <c r="AR74" i="14" s="1"/>
  <c r="AJ74" i="14"/>
  <c r="AI74" i="14"/>
  <c r="AH74" i="14"/>
  <c r="AV74" i="14"/>
  <c r="AB74" i="14"/>
  <c r="AN74" i="14"/>
  <c r="AK74" i="14"/>
  <c r="AF74" i="14"/>
  <c r="AE74" i="14"/>
  <c r="AD74" i="14"/>
  <c r="AD18" i="14"/>
  <c r="AI18" i="14"/>
  <c r="AH18" i="14"/>
  <c r="AG18" i="14"/>
  <c r="AW18" i="14"/>
  <c r="AF18" i="14"/>
  <c r="AC18" i="14"/>
  <c r="AO18" i="14"/>
  <c r="AB18" i="14"/>
  <c r="AN18" i="14"/>
  <c r="AA18" i="14"/>
  <c r="AM18" i="14"/>
  <c r="AL18" i="14"/>
  <c r="AQ18" i="14" s="1"/>
  <c r="AR18" i="14" s="1"/>
  <c r="AK18" i="14"/>
  <c r="AJ18" i="14"/>
  <c r="AV18" i="14"/>
  <c r="AE18" i="14"/>
  <c r="AW11" i="14"/>
  <c r="AV11" i="14"/>
  <c r="AC11" i="14"/>
  <c r="AB11" i="14"/>
  <c r="AA11" i="14"/>
  <c r="AL11" i="14"/>
  <c r="AQ11" i="14" s="1"/>
  <c r="AR11" i="14" s="1"/>
  <c r="AK11" i="14"/>
  <c r="AJ11" i="14"/>
  <c r="AW76" i="14"/>
  <c r="AG76" i="14"/>
  <c r="AK76" i="14"/>
  <c r="AN76" i="14"/>
  <c r="AL76" i="14"/>
  <c r="AQ76" i="14" s="1"/>
  <c r="AR76" i="14" s="1"/>
  <c r="AJ76" i="14"/>
  <c r="AH76" i="14"/>
  <c r="AF76" i="14"/>
  <c r="AE76" i="14"/>
  <c r="AB76" i="14"/>
  <c r="AA76" i="14"/>
  <c r="AV76" i="14"/>
  <c r="AO76" i="14"/>
  <c r="AM76" i="14"/>
  <c r="AD76" i="14"/>
  <c r="AC76" i="14"/>
  <c r="AI76" i="14"/>
  <c r="AM55" i="14"/>
  <c r="AE55" i="14"/>
  <c r="AB55" i="14"/>
  <c r="AN55" i="14"/>
  <c r="AL55" i="14"/>
  <c r="AQ55" i="14" s="1"/>
  <c r="AR55" i="14" s="1"/>
  <c r="AH55" i="14"/>
  <c r="AW55" i="14"/>
  <c r="AV55" i="14"/>
  <c r="AO55" i="14"/>
  <c r="AK55" i="14"/>
  <c r="AD55" i="14"/>
  <c r="AC55" i="14"/>
  <c r="AA55" i="14"/>
  <c r="AJ55" i="14"/>
  <c r="AI55" i="14"/>
  <c r="AG55" i="14"/>
  <c r="AF55" i="14"/>
  <c r="AA7" i="14"/>
  <c r="AL7" i="14"/>
  <c r="AQ7" i="14" s="1"/>
  <c r="AR7" i="14" s="1"/>
  <c r="AK7" i="14"/>
  <c r="AJ7" i="14"/>
  <c r="AW7" i="14"/>
  <c r="AV7" i="14"/>
  <c r="AF7" i="14"/>
  <c r="AE7" i="14"/>
  <c r="AD7" i="14"/>
  <c r="AC7" i="14"/>
  <c r="AB7" i="14"/>
  <c r="AK12" i="14"/>
  <c r="AJ12" i="14"/>
  <c r="AI12" i="14"/>
  <c r="AH12" i="14"/>
  <c r="AW12" i="14"/>
  <c r="AF12" i="14"/>
  <c r="AV12" i="14"/>
  <c r="AE12" i="14"/>
  <c r="AD12" i="14"/>
  <c r="AC12" i="14"/>
  <c r="AB12" i="14"/>
  <c r="AA12" i="14"/>
  <c r="AL12" i="14"/>
  <c r="AQ12" i="14" s="1"/>
  <c r="AR12" i="14" s="1"/>
  <c r="AG12" i="14"/>
  <c r="C11" i="10"/>
  <c r="AI59" i="14"/>
  <c r="AM59" i="14"/>
  <c r="AA59" i="14"/>
  <c r="AO59" i="14"/>
  <c r="AL59" i="14"/>
  <c r="AQ59" i="14" s="1"/>
  <c r="AR59" i="14" s="1"/>
  <c r="AK59" i="14"/>
  <c r="AH59" i="14"/>
  <c r="AG59" i="14"/>
  <c r="AF59" i="14"/>
  <c r="AB59" i="14"/>
  <c r="AW59" i="14"/>
  <c r="AV59" i="14"/>
  <c r="AJ59" i="14"/>
  <c r="AE59" i="14"/>
  <c r="AD59" i="14"/>
  <c r="AC59" i="14"/>
  <c r="AN59" i="14"/>
  <c r="AE69" i="14"/>
  <c r="AI69" i="14"/>
  <c r="AK69" i="14"/>
  <c r="AH69" i="14"/>
  <c r="AG69" i="14"/>
  <c r="AW69" i="14"/>
  <c r="AD69" i="14"/>
  <c r="AV69" i="14"/>
  <c r="AC69" i="14"/>
  <c r="AB69" i="14"/>
  <c r="AO69" i="14"/>
  <c r="AN69" i="14"/>
  <c r="AM69" i="14"/>
  <c r="AL69" i="14"/>
  <c r="AQ69" i="14" s="1"/>
  <c r="AR69" i="14" s="1"/>
  <c r="AJ69" i="14"/>
  <c r="AA69" i="14"/>
  <c r="AF69" i="14"/>
  <c r="AN17" i="14"/>
  <c r="AB17" i="14"/>
  <c r="AV17" i="14"/>
  <c r="AE17" i="14"/>
  <c r="AD17" i="14"/>
  <c r="AC17" i="14"/>
  <c r="AO17" i="14"/>
  <c r="AA17" i="14"/>
  <c r="AL17" i="14"/>
  <c r="AK17" i="14"/>
  <c r="AJ17" i="14"/>
  <c r="AI17" i="14"/>
  <c r="AH17" i="14"/>
  <c r="AG17" i="14"/>
  <c r="AW17" i="14"/>
  <c r="AF17" i="14"/>
  <c r="C8" i="13"/>
  <c r="AM17" i="14"/>
  <c r="AM47" i="14"/>
  <c r="AA47" i="14"/>
  <c r="AH47" i="14"/>
  <c r="AW47" i="14"/>
  <c r="AF47" i="14"/>
  <c r="AV47" i="14"/>
  <c r="AE47" i="14"/>
  <c r="AN47" i="14"/>
  <c r="AO47" i="14"/>
  <c r="AK47" i="14"/>
  <c r="AJ47" i="14"/>
  <c r="AI47" i="14"/>
  <c r="AG47" i="14"/>
  <c r="AC47" i="14"/>
  <c r="AB47" i="14"/>
  <c r="AL47" i="14"/>
  <c r="AQ47" i="14" s="1"/>
  <c r="AR47" i="14" s="1"/>
  <c r="AD47" i="14"/>
  <c r="D10" i="11"/>
  <c r="J10" i="11" s="1"/>
  <c r="AW70" i="14"/>
  <c r="AG70" i="14"/>
  <c r="AK70" i="14"/>
  <c r="AC70" i="14"/>
  <c r="AO70" i="14"/>
  <c r="AA70" i="14"/>
  <c r="AN70" i="14"/>
  <c r="AL70" i="14"/>
  <c r="AQ70" i="14" s="1"/>
  <c r="AR70" i="14" s="1"/>
  <c r="AJ70" i="14"/>
  <c r="AI70" i="14"/>
  <c r="AD70" i="14"/>
  <c r="AB70" i="14"/>
  <c r="AV70" i="14"/>
  <c r="AM70" i="14"/>
  <c r="AH70" i="14"/>
  <c r="AF70" i="14"/>
  <c r="AE70" i="14"/>
  <c r="AE63" i="14"/>
  <c r="AI63" i="14"/>
  <c r="AM63" i="14"/>
  <c r="AK63" i="14"/>
  <c r="AJ63" i="14"/>
  <c r="AG63" i="14"/>
  <c r="AF63" i="14"/>
  <c r="AW63" i="14"/>
  <c r="AD63" i="14"/>
  <c r="AV63" i="14"/>
  <c r="AO63" i="14"/>
  <c r="AN63" i="14"/>
  <c r="AH63" i="14"/>
  <c r="AC63" i="14"/>
  <c r="AB63" i="14"/>
  <c r="AA63" i="14"/>
  <c r="AL63" i="14"/>
  <c r="AQ63" i="14" s="1"/>
  <c r="AR63" i="14" s="1"/>
  <c r="AL16" i="14"/>
  <c r="AQ16" i="14" s="1"/>
  <c r="AR16" i="14" s="1"/>
  <c r="AN16" i="14"/>
  <c r="AA16" i="14"/>
  <c r="AM16" i="14"/>
  <c r="AK16" i="14"/>
  <c r="AJ16" i="14"/>
  <c r="AW16" i="14"/>
  <c r="AF16" i="14"/>
  <c r="AV16" i="14"/>
  <c r="AE16" i="14"/>
  <c r="AD16" i="14"/>
  <c r="AC16" i="14"/>
  <c r="AO16" i="14"/>
  <c r="AB16" i="14"/>
  <c r="AI51" i="14"/>
  <c r="AL51" i="14"/>
  <c r="AQ51" i="14" s="1"/>
  <c r="AR51" i="14" s="1"/>
  <c r="AJ51" i="14"/>
  <c r="AH51" i="14"/>
  <c r="AD51" i="14"/>
  <c r="AG51" i="14"/>
  <c r="AF51" i="14"/>
  <c r="AE51" i="14"/>
  <c r="AC51" i="14"/>
  <c r="AM51" i="14"/>
  <c r="AK51" i="14"/>
  <c r="AB51" i="14"/>
  <c r="AA51" i="14"/>
  <c r="AW51" i="14"/>
  <c r="AV51" i="14"/>
  <c r="AO51" i="14"/>
  <c r="AN51" i="14"/>
  <c r="AI43" i="14"/>
  <c r="AW43" i="14"/>
  <c r="AG43" i="14"/>
  <c r="AV43" i="14"/>
  <c r="AF43" i="14"/>
  <c r="AO43" i="14"/>
  <c r="AN43" i="14"/>
  <c r="AM43" i="14"/>
  <c r="AJ43" i="14"/>
  <c r="AH43" i="14"/>
  <c r="AE43" i="14"/>
  <c r="AD43" i="14"/>
  <c r="AB43" i="14"/>
  <c r="AA43" i="14"/>
  <c r="AL43" i="14"/>
  <c r="AQ43" i="14" s="1"/>
  <c r="AR43" i="14" s="1"/>
  <c r="AK43" i="14"/>
  <c r="AC43" i="14"/>
  <c r="AO48" i="14"/>
  <c r="AC48" i="14"/>
  <c r="AL48" i="14"/>
  <c r="AQ48" i="14" s="1"/>
  <c r="AR48" i="14" s="1"/>
  <c r="AJ48" i="14"/>
  <c r="AI48" i="14"/>
  <c r="AV48" i="14"/>
  <c r="AE48" i="14"/>
  <c r="AN48" i="14"/>
  <c r="AM48" i="14"/>
  <c r="AW48" i="14"/>
  <c r="AK48" i="14"/>
  <c r="AH48" i="14"/>
  <c r="AF48" i="14"/>
  <c r="AD48" i="14"/>
  <c r="AB48" i="14"/>
  <c r="AA48" i="14"/>
  <c r="AG48" i="14"/>
  <c r="AD24" i="14"/>
  <c r="AO24" i="14"/>
  <c r="AC24" i="14"/>
  <c r="AV24" i="14"/>
  <c r="AB24" i="14"/>
  <c r="AA24" i="14"/>
  <c r="AN24" i="14"/>
  <c r="AM24" i="14"/>
  <c r="AK24" i="14"/>
  <c r="AJ24" i="14"/>
  <c r="AI24" i="14"/>
  <c r="AH24" i="14"/>
  <c r="AG24" i="14"/>
  <c r="AF24" i="14"/>
  <c r="AW24" i="14"/>
  <c r="AE24" i="14"/>
  <c r="AL24" i="14"/>
  <c r="AQ24" i="14" s="1"/>
  <c r="AR24" i="14" s="1"/>
  <c r="D11" i="11"/>
  <c r="F9" i="11" s="1"/>
  <c r="D8" i="11"/>
  <c r="D55" i="15"/>
  <c r="AE81" i="14"/>
  <c r="AN81" i="14"/>
  <c r="AM81" i="14"/>
  <c r="AL81" i="14"/>
  <c r="AQ81" i="14" s="1"/>
  <c r="AR81" i="14" s="1"/>
  <c r="AJ81" i="14"/>
  <c r="AI81" i="14"/>
  <c r="AH81" i="14"/>
  <c r="AC81" i="14"/>
  <c r="AA81" i="14"/>
  <c r="AW81" i="14"/>
  <c r="AV81" i="14"/>
  <c r="AO81" i="14"/>
  <c r="AK81" i="14"/>
  <c r="AG81" i="14"/>
  <c r="AF81" i="14"/>
  <c r="AD81" i="14"/>
  <c r="AB81" i="14"/>
  <c r="AO56" i="14"/>
  <c r="AC56" i="14"/>
  <c r="AW56" i="14"/>
  <c r="AG56" i="14"/>
  <c r="AI56" i="14"/>
  <c r="AF56" i="14"/>
  <c r="AE56" i="14"/>
  <c r="AN56" i="14"/>
  <c r="AV56" i="14"/>
  <c r="AM56" i="14"/>
  <c r="AL56" i="14"/>
  <c r="AQ56" i="14" s="1"/>
  <c r="AR56" i="14" s="1"/>
  <c r="AK56" i="14"/>
  <c r="AJ56" i="14"/>
  <c r="AH56" i="14"/>
  <c r="AD56" i="14"/>
  <c r="AA56" i="14"/>
  <c r="AB56" i="14"/>
  <c r="AI77" i="14"/>
  <c r="AM77" i="14"/>
  <c r="AA77" i="14"/>
  <c r="AF77" i="14"/>
  <c r="AV77" i="14"/>
  <c r="AD77" i="14"/>
  <c r="AC77" i="14"/>
  <c r="AO77" i="14"/>
  <c r="AN77" i="14"/>
  <c r="AL77" i="14"/>
  <c r="AQ77" i="14" s="1"/>
  <c r="AR77" i="14" s="1"/>
  <c r="AG77" i="14"/>
  <c r="AE77" i="14"/>
  <c r="AB77" i="14"/>
  <c r="AW77" i="14"/>
  <c r="AK77" i="14"/>
  <c r="AJ77" i="14"/>
  <c r="AH77" i="14"/>
  <c r="AM34" i="14"/>
  <c r="AA34" i="14"/>
  <c r="AL34" i="14"/>
  <c r="AQ34" i="14" s="1"/>
  <c r="AR34" i="14" s="1"/>
  <c r="AI34" i="14"/>
  <c r="AH34" i="14"/>
  <c r="AE34" i="14"/>
  <c r="AD34" i="14"/>
  <c r="AW34" i="14"/>
  <c r="AC34" i="14"/>
  <c r="AV34" i="14"/>
  <c r="AB34" i="14"/>
  <c r="AO34" i="14"/>
  <c r="AN34" i="14"/>
  <c r="AK34" i="14"/>
  <c r="AJ34" i="14"/>
  <c r="AG34" i="14"/>
  <c r="AF34" i="14"/>
  <c r="C13" i="10"/>
  <c r="AV19" i="14"/>
  <c r="AF19" i="14"/>
  <c r="AM19" i="14"/>
  <c r="AL19" i="14"/>
  <c r="AQ19" i="14" s="1"/>
  <c r="AR19" i="14" s="1"/>
  <c r="AK19" i="14"/>
  <c r="AJ19" i="14"/>
  <c r="AH19" i="14"/>
  <c r="AG19" i="14"/>
  <c r="AE19" i="14"/>
  <c r="AW19" i="14"/>
  <c r="AD19" i="14"/>
  <c r="AC19" i="14"/>
  <c r="AO19" i="14"/>
  <c r="AB19" i="14"/>
  <c r="AN19" i="14"/>
  <c r="AA19" i="14"/>
  <c r="AI19" i="14"/>
  <c r="AK44" i="14"/>
  <c r="AI44" i="14"/>
  <c r="AH44" i="14"/>
  <c r="AJ44" i="14"/>
  <c r="AG44" i="14"/>
  <c r="AF44" i="14"/>
  <c r="AL44" i="14"/>
  <c r="AQ44" i="14" s="1"/>
  <c r="AR44" i="14" s="1"/>
  <c r="AE44" i="14"/>
  <c r="AD44" i="14"/>
  <c r="AC44" i="14"/>
  <c r="AA44" i="14"/>
  <c r="AW44" i="14"/>
  <c r="AV44" i="14"/>
  <c r="AO44" i="14"/>
  <c r="AN44" i="14"/>
  <c r="AM44" i="14"/>
  <c r="AB44" i="14"/>
  <c r="AK78" i="14"/>
  <c r="AC78" i="14"/>
  <c r="AJ78" i="14"/>
  <c r="AI78" i="14"/>
  <c r="AG78" i="14"/>
  <c r="AW78" i="14"/>
  <c r="AF78" i="14"/>
  <c r="AV78" i="14"/>
  <c r="AE78" i="14"/>
  <c r="AL78" i="14"/>
  <c r="AQ78" i="14" s="1"/>
  <c r="AR78" i="14" s="1"/>
  <c r="AH78" i="14"/>
  <c r="AD78" i="14"/>
  <c r="AB78" i="14"/>
  <c r="AA78" i="14"/>
  <c r="AO54" i="14"/>
  <c r="AC54" i="14"/>
  <c r="AK54" i="14"/>
  <c r="AI54" i="14"/>
  <c r="AH54" i="14"/>
  <c r="AD54" i="14"/>
  <c r="AW54" i="14"/>
  <c r="AV54" i="14"/>
  <c r="AN54" i="14"/>
  <c r="AL54" i="14"/>
  <c r="AQ54" i="14" s="1"/>
  <c r="AR54" i="14" s="1"/>
  <c r="AJ54" i="14"/>
  <c r="AG54" i="14"/>
  <c r="AF54" i="14"/>
  <c r="AE54" i="14"/>
  <c r="AB54" i="14"/>
  <c r="AA54" i="14"/>
  <c r="AM54" i="14"/>
  <c r="AE41" i="14"/>
  <c r="AO41" i="14"/>
  <c r="AC41" i="14"/>
  <c r="AN41" i="14"/>
  <c r="AB41" i="14"/>
  <c r="AK41" i="14"/>
  <c r="AJ41" i="14"/>
  <c r="AI41" i="14"/>
  <c r="AM41" i="14"/>
  <c r="AL41" i="14"/>
  <c r="AQ41" i="14" s="1"/>
  <c r="AR41" i="14" s="1"/>
  <c r="AH41" i="14"/>
  <c r="AG41" i="14"/>
  <c r="AD41" i="14"/>
  <c r="AA41" i="14"/>
  <c r="AW41" i="14"/>
  <c r="AV41" i="14"/>
  <c r="AF41" i="14"/>
  <c r="AJ15" i="14"/>
  <c r="AI15" i="14"/>
  <c r="AW15" i="14"/>
  <c r="AF15" i="14"/>
  <c r="AD15" i="14"/>
  <c r="AC15" i="14"/>
  <c r="AB15" i="14"/>
  <c r="AA15" i="14"/>
  <c r="AL15" i="14"/>
  <c r="AQ15" i="14" s="1"/>
  <c r="AR15" i="14" s="1"/>
  <c r="AK15" i="14"/>
  <c r="AV15" i="14"/>
  <c r="AE15" i="14"/>
  <c r="AW31" i="14"/>
  <c r="AV31" i="14"/>
  <c r="AF31" i="14"/>
  <c r="AE31" i="14"/>
  <c r="AG31" i="14"/>
  <c r="AD31" i="14"/>
  <c r="AC31" i="14"/>
  <c r="AB31" i="14"/>
  <c r="AN31" i="14"/>
  <c r="AM31" i="14"/>
  <c r="AL31" i="14"/>
  <c r="AQ31" i="14" s="1"/>
  <c r="AR31" i="14" s="1"/>
  <c r="AK31" i="14"/>
  <c r="AJ31" i="14"/>
  <c r="AI31" i="14"/>
  <c r="AH31" i="14"/>
  <c r="AA31" i="14"/>
  <c r="AO31" i="14"/>
  <c r="E27" i="6"/>
  <c r="E28" i="6" s="1"/>
  <c r="E36" i="6"/>
  <c r="AJ21" i="14"/>
  <c r="AI21" i="14"/>
  <c r="AL21" i="14"/>
  <c r="AQ21" i="14" s="1"/>
  <c r="AR21" i="14" s="1"/>
  <c r="AK21" i="14"/>
  <c r="AH21" i="14"/>
  <c r="AG21" i="14"/>
  <c r="AW21" i="14"/>
  <c r="AE21" i="14"/>
  <c r="AV21" i="14"/>
  <c r="AD21" i="14"/>
  <c r="AC21" i="14"/>
  <c r="AB21" i="14"/>
  <c r="AO21" i="14"/>
  <c r="AA21" i="14"/>
  <c r="AN21" i="14"/>
  <c r="AM21" i="14"/>
  <c r="AF21" i="14"/>
  <c r="AO62" i="14"/>
  <c r="AC62" i="14"/>
  <c r="AW62" i="14"/>
  <c r="AG62" i="14"/>
  <c r="AF62" i="14"/>
  <c r="AV62" i="14"/>
  <c r="AD62" i="14"/>
  <c r="AB62" i="14"/>
  <c r="AN62" i="14"/>
  <c r="AM62" i="14"/>
  <c r="AL62" i="14"/>
  <c r="AQ62" i="14" s="1"/>
  <c r="AR62" i="14" s="1"/>
  <c r="AK62" i="14"/>
  <c r="AJ62" i="14"/>
  <c r="AI62" i="14"/>
  <c r="AH62" i="14"/>
  <c r="AA62" i="14"/>
  <c r="AE62" i="14"/>
  <c r="AH20" i="14"/>
  <c r="AW20" i="14"/>
  <c r="AG20" i="14"/>
  <c r="AE20" i="14"/>
  <c r="AV20" i="14"/>
  <c r="AD20" i="14"/>
  <c r="AC20" i="14"/>
  <c r="AB20" i="14"/>
  <c r="AN20" i="14"/>
  <c r="AM20" i="14"/>
  <c r="AL20" i="14"/>
  <c r="AQ20" i="14" s="1"/>
  <c r="AR20" i="14" s="1"/>
  <c r="AK20" i="14"/>
  <c r="AJ20" i="14"/>
  <c r="AI20" i="14"/>
  <c r="AF20" i="14"/>
  <c r="AO20" i="14"/>
  <c r="AA20" i="14"/>
  <c r="AK66" i="14"/>
  <c r="AO66" i="14"/>
  <c r="AC66" i="14"/>
  <c r="AW66" i="14"/>
  <c r="AE66" i="14"/>
  <c r="AB66" i="14"/>
  <c r="AA66" i="14"/>
  <c r="AM66" i="14"/>
  <c r="AL66" i="14"/>
  <c r="AJ66" i="14"/>
  <c r="AG66" i="14"/>
  <c r="AF66" i="14"/>
  <c r="AD66" i="14"/>
  <c r="AV66" i="14"/>
  <c r="AN66" i="14"/>
  <c r="AI66" i="14"/>
  <c r="AH66" i="14"/>
  <c r="C10" i="13"/>
  <c r="AW42" i="14"/>
  <c r="AG42" i="14"/>
  <c r="AE42" i="14"/>
  <c r="AD42" i="14"/>
  <c r="AF42" i="14"/>
  <c r="AC42" i="14"/>
  <c r="AB42" i="14"/>
  <c r="AL42" i="14"/>
  <c r="AK42" i="14"/>
  <c r="AJ42" i="14"/>
  <c r="AI42" i="14"/>
  <c r="AA42" i="14"/>
  <c r="AV42" i="14"/>
  <c r="AO42" i="14"/>
  <c r="AN42" i="14"/>
  <c r="AM42" i="14"/>
  <c r="AH42" i="14"/>
  <c r="C9" i="13"/>
  <c r="C14" i="13"/>
  <c r="AW50" i="14"/>
  <c r="AG50" i="14"/>
  <c r="AH50" i="14"/>
  <c r="AV50" i="14"/>
  <c r="AE50" i="14"/>
  <c r="AD50" i="14"/>
  <c r="AM50" i="14"/>
  <c r="AK50" i="14"/>
  <c r="AJ50" i="14"/>
  <c r="AI50" i="14"/>
  <c r="AF50" i="14"/>
  <c r="AA50" i="14"/>
  <c r="AO50" i="14"/>
  <c r="AN50" i="14"/>
  <c r="AL50" i="14"/>
  <c r="AQ50" i="14" s="1"/>
  <c r="AR50" i="14" s="1"/>
  <c r="AC50" i="14"/>
  <c r="AB50" i="14"/>
  <c r="AW10" i="14"/>
  <c r="AG10" i="14"/>
  <c r="AV10" i="14"/>
  <c r="AF10" i="14"/>
  <c r="AE10" i="14"/>
  <c r="AD10" i="14"/>
  <c r="AB10" i="14"/>
  <c r="AA10" i="14"/>
  <c r="AL10" i="14"/>
  <c r="AQ10" i="14" s="1"/>
  <c r="AR10" i="14" s="1"/>
  <c r="AK10" i="14"/>
  <c r="AJ10" i="14"/>
  <c r="AI10" i="14"/>
  <c r="AH10" i="14"/>
  <c r="AC10" i="14"/>
  <c r="AO35" i="14"/>
  <c r="AC35" i="14"/>
  <c r="AN35" i="14"/>
  <c r="AB35" i="14"/>
  <c r="AV35" i="14"/>
  <c r="AA35" i="14"/>
  <c r="AM35" i="14"/>
  <c r="AD35" i="14"/>
  <c r="AW35" i="14"/>
  <c r="AK35" i="14"/>
  <c r="AJ35" i="14"/>
  <c r="AI35" i="14"/>
  <c r="AH35" i="14"/>
  <c r="AG35" i="14"/>
  <c r="AF35" i="14"/>
  <c r="AE35" i="14"/>
  <c r="AL35" i="14"/>
  <c r="AQ35" i="14" s="1"/>
  <c r="AR35" i="14" s="1"/>
  <c r="AN23" i="14"/>
  <c r="AB23" i="14"/>
  <c r="AM23" i="14"/>
  <c r="AA23" i="14"/>
  <c r="AJ23" i="14"/>
  <c r="AI23" i="14"/>
  <c r="AH23" i="14"/>
  <c r="AG23" i="14"/>
  <c r="AW23" i="14"/>
  <c r="AE23" i="14"/>
  <c r="AV23" i="14"/>
  <c r="AD23" i="14"/>
  <c r="AC23" i="14"/>
  <c r="AO23" i="14"/>
  <c r="AL23" i="14"/>
  <c r="AQ23" i="14" s="1"/>
  <c r="AR23" i="14" s="1"/>
  <c r="AK23" i="14"/>
  <c r="AF23" i="14"/>
  <c r="AI32" i="14"/>
  <c r="AH32" i="14"/>
  <c r="AL32" i="14"/>
  <c r="AQ32" i="14" s="1"/>
  <c r="AR32" i="14" s="1"/>
  <c r="AK32" i="14"/>
  <c r="AO32" i="14"/>
  <c r="AN32" i="14"/>
  <c r="AM32" i="14"/>
  <c r="AG32" i="14"/>
  <c r="AF32" i="14"/>
  <c r="AE32" i="14"/>
  <c r="AD32" i="14"/>
  <c r="AW32" i="14"/>
  <c r="AC32" i="14"/>
  <c r="AV32" i="14"/>
  <c r="AB32" i="14"/>
  <c r="AA32" i="14"/>
  <c r="AJ32" i="14"/>
  <c r="AM61" i="14"/>
  <c r="AA61" i="14"/>
  <c r="AE61" i="14"/>
  <c r="AN61" i="14"/>
  <c r="AK61" i="14"/>
  <c r="AJ61" i="14"/>
  <c r="AH61" i="14"/>
  <c r="AG61" i="14"/>
  <c r="AF61" i="14"/>
  <c r="AL61" i="14"/>
  <c r="AQ61" i="14" s="1"/>
  <c r="AR61" i="14" s="1"/>
  <c r="AI61" i="14"/>
  <c r="AD61" i="14"/>
  <c r="AC61" i="14"/>
  <c r="AB61" i="14"/>
  <c r="AW61" i="14"/>
  <c r="AV61" i="14"/>
  <c r="AO61" i="14"/>
  <c r="C40" i="15"/>
  <c r="E40" i="15" s="1"/>
  <c r="D7" i="11"/>
  <c r="AL28" i="14"/>
  <c r="AQ28" i="14" s="1"/>
  <c r="AR28" i="14" s="1"/>
  <c r="AK28" i="14"/>
  <c r="AO28" i="14"/>
  <c r="AA28" i="14"/>
  <c r="AN28" i="14"/>
  <c r="AM28" i="14"/>
  <c r="AJ28" i="14"/>
  <c r="AH28" i="14"/>
  <c r="AG28" i="14"/>
  <c r="AF28" i="14"/>
  <c r="AW28" i="14"/>
  <c r="AE28" i="14"/>
  <c r="AV28" i="14"/>
  <c r="AD28" i="14"/>
  <c r="AC28" i="14"/>
  <c r="AB28" i="14"/>
  <c r="AI28" i="14"/>
  <c r="AI37" i="14"/>
  <c r="AW37" i="14"/>
  <c r="AG37" i="14"/>
  <c r="AV37" i="14"/>
  <c r="AF37" i="14"/>
  <c r="AD37" i="14"/>
  <c r="AC37" i="14"/>
  <c r="AB37" i="14"/>
  <c r="AO37" i="14"/>
  <c r="AN37" i="14"/>
  <c r="AL37" i="14"/>
  <c r="AQ37" i="14" s="1"/>
  <c r="AR37" i="14" s="1"/>
  <c r="AK37" i="14"/>
  <c r="AJ37" i="14"/>
  <c r="AH37" i="14"/>
  <c r="AE37" i="14"/>
  <c r="AA37" i="14"/>
  <c r="AM37" i="14"/>
  <c r="AI71" i="14"/>
  <c r="AM71" i="14"/>
  <c r="AA71" i="14"/>
  <c r="AJ71" i="14"/>
  <c r="AG71" i="14"/>
  <c r="AF71" i="14"/>
  <c r="AV71" i="14"/>
  <c r="AD71" i="14"/>
  <c r="AC71" i="14"/>
  <c r="AB71" i="14"/>
  <c r="AK71" i="14"/>
  <c r="AH71" i="14"/>
  <c r="AE71" i="14"/>
  <c r="AW71" i="14"/>
  <c r="AO71" i="14"/>
  <c r="AN71" i="14"/>
  <c r="AL71" i="14"/>
  <c r="AQ71" i="14" s="1"/>
  <c r="AR71" i="14" s="1"/>
  <c r="AO8" i="14"/>
  <c r="AC8" i="14"/>
  <c r="AN8" i="14"/>
  <c r="AB8" i="14"/>
  <c r="AM8" i="14"/>
  <c r="AA8" i="14"/>
  <c r="AL8" i="14"/>
  <c r="AQ8" i="14" s="1"/>
  <c r="AR8" i="14" s="1"/>
  <c r="AJ8" i="14"/>
  <c r="AI8" i="14"/>
  <c r="AH8" i="14"/>
  <c r="AW8" i="14"/>
  <c r="AG8" i="14"/>
  <c r="AV8" i="14"/>
  <c r="AF8" i="14"/>
  <c r="AE8" i="14"/>
  <c r="AD8" i="14"/>
  <c r="AK8" i="14"/>
  <c r="AK46" i="14"/>
  <c r="AD46" i="14"/>
  <c r="AO46" i="14"/>
  <c r="AB46" i="14"/>
  <c r="AN46" i="14"/>
  <c r="AA46" i="14"/>
  <c r="AI46" i="14"/>
  <c r="AW46" i="14"/>
  <c r="AV46" i="14"/>
  <c r="AJ46" i="14"/>
  <c r="AH46" i="14"/>
  <c r="AG46" i="14"/>
  <c r="AF46" i="14"/>
  <c r="AC46" i="14"/>
  <c r="AM46" i="14"/>
  <c r="AL46" i="14"/>
  <c r="AQ46" i="14" s="1"/>
  <c r="AR46" i="14" s="1"/>
  <c r="AE46" i="14"/>
  <c r="AK38" i="14"/>
  <c r="AI38" i="14"/>
  <c r="AH38" i="14"/>
  <c r="AO38" i="14"/>
  <c r="AN38" i="14"/>
  <c r="AM38" i="14"/>
  <c r="AV38" i="14"/>
  <c r="AL38" i="14"/>
  <c r="AQ38" i="14" s="1"/>
  <c r="AR38" i="14" s="1"/>
  <c r="AG38" i="14"/>
  <c r="AF38" i="14"/>
  <c r="AE38" i="14"/>
  <c r="AD38" i="14"/>
  <c r="AC38" i="14"/>
  <c r="AB38" i="14"/>
  <c r="AW38" i="14"/>
  <c r="AA38" i="14"/>
  <c r="AJ38" i="14"/>
  <c r="AK72" i="14"/>
  <c r="AO72" i="14"/>
  <c r="AC72" i="14"/>
  <c r="AB72" i="14"/>
  <c r="AN72" i="14"/>
  <c r="AM72" i="14"/>
  <c r="AJ72" i="14"/>
  <c r="AI72" i="14"/>
  <c r="AH72" i="14"/>
  <c r="AL72" i="14"/>
  <c r="AQ72" i="14" s="1"/>
  <c r="AR72" i="14" s="1"/>
  <c r="AG72" i="14"/>
  <c r="AF72" i="14"/>
  <c r="AE72" i="14"/>
  <c r="AW72" i="14"/>
  <c r="AV72" i="14"/>
  <c r="AD72" i="14"/>
  <c r="AA72" i="14"/>
  <c r="AM53" i="14"/>
  <c r="AA53" i="14"/>
  <c r="AG53" i="14"/>
  <c r="AV53" i="14"/>
  <c r="AE53" i="14"/>
  <c r="AD53" i="14"/>
  <c r="AL53" i="14"/>
  <c r="AQ53" i="14" s="1"/>
  <c r="AR53" i="14" s="1"/>
  <c r="AC53" i="14"/>
  <c r="AB53" i="14"/>
  <c r="AW53" i="14"/>
  <c r="AO53" i="14"/>
  <c r="AN53" i="14"/>
  <c r="AJ53" i="14"/>
  <c r="AI53" i="14"/>
  <c r="AH53" i="14"/>
  <c r="AF53" i="14"/>
  <c r="AK53" i="14"/>
  <c r="AI65" i="14"/>
  <c r="AM65" i="14"/>
  <c r="AA65" i="14"/>
  <c r="AL65" i="14"/>
  <c r="AQ65" i="14" s="1"/>
  <c r="AR65" i="14" s="1"/>
  <c r="AJ65" i="14"/>
  <c r="AH65" i="14"/>
  <c r="AF65" i="14"/>
  <c r="AW65" i="14"/>
  <c r="AE65" i="14"/>
  <c r="AV65" i="14"/>
  <c r="AD65" i="14"/>
  <c r="AB65" i="14"/>
  <c r="AO65" i="14"/>
  <c r="AN65" i="14"/>
  <c r="AG65" i="14"/>
  <c r="AC65" i="14"/>
  <c r="AK65" i="14"/>
  <c r="AO40" i="14"/>
  <c r="AC40" i="14"/>
  <c r="AM40" i="14"/>
  <c r="AA40" i="14"/>
  <c r="AL40" i="14"/>
  <c r="AQ40" i="14" s="1"/>
  <c r="AR40" i="14" s="1"/>
  <c r="AV40" i="14"/>
  <c r="AB40" i="14"/>
  <c r="AK40" i="14"/>
  <c r="AJ40" i="14"/>
  <c r="AI40" i="14"/>
  <c r="AH40" i="14"/>
  <c r="AF40" i="14"/>
  <c r="AE40" i="14"/>
  <c r="AD40" i="14"/>
  <c r="AW40" i="14"/>
  <c r="AN40" i="14"/>
  <c r="AG40" i="14"/>
  <c r="AW58" i="14"/>
  <c r="AG58" i="14"/>
  <c r="AK58" i="14"/>
  <c r="AH58" i="14"/>
  <c r="AE58" i="14"/>
  <c r="AV58" i="14"/>
  <c r="AD58" i="14"/>
  <c r="AO58" i="14"/>
  <c r="AA58" i="14"/>
  <c r="AN58" i="14"/>
  <c r="AM58" i="14"/>
  <c r="AI58" i="14"/>
  <c r="AF58" i="14"/>
  <c r="AC58" i="14"/>
  <c r="AB58" i="14"/>
  <c r="AL58" i="14"/>
  <c r="AQ58" i="14" s="1"/>
  <c r="AR58" i="14" s="1"/>
  <c r="AJ58" i="14"/>
  <c r="AM73" i="14"/>
  <c r="AA73" i="14"/>
  <c r="AE73" i="14"/>
  <c r="AI73" i="14"/>
  <c r="AG73" i="14"/>
  <c r="AF73" i="14"/>
  <c r="AV73" i="14"/>
  <c r="AC73" i="14"/>
  <c r="AB73" i="14"/>
  <c r="AO73" i="14"/>
  <c r="AW73" i="14"/>
  <c r="AN73" i="14"/>
  <c r="AL73" i="14"/>
  <c r="AQ73" i="14" s="1"/>
  <c r="AR73" i="14" s="1"/>
  <c r="AK73" i="14"/>
  <c r="AJ73" i="14"/>
  <c r="AD73" i="14"/>
  <c r="AH73" i="14"/>
  <c r="F26" i="6"/>
  <c r="G25" i="6"/>
  <c r="D20" i="9"/>
  <c r="D48" i="6"/>
  <c r="E63" i="2"/>
  <c r="C10" i="10"/>
  <c r="E15" i="13" l="1"/>
  <c r="E26" i="13" s="1"/>
  <c r="D260" i="4" s="1"/>
  <c r="P26" i="6"/>
  <c r="E130" i="4"/>
  <c r="E224" i="4"/>
  <c r="E83" i="4"/>
  <c r="E29" i="4"/>
  <c r="E177" i="4"/>
  <c r="Q25" i="6"/>
  <c r="E271" i="4"/>
  <c r="P38" i="6"/>
  <c r="P40" i="6" s="1"/>
  <c r="F7" i="11"/>
  <c r="H10" i="13"/>
  <c r="H22" i="13" s="1"/>
  <c r="D168" i="4" s="1"/>
  <c r="D169" i="4" s="1"/>
  <c r="D178" i="4" s="1"/>
  <c r="E10" i="11"/>
  <c r="Q19" i="6"/>
  <c r="F14" i="11"/>
  <c r="F8" i="11"/>
  <c r="G8" i="11" s="1"/>
  <c r="I8" i="11" s="1"/>
  <c r="O35" i="6"/>
  <c r="O36" i="6"/>
  <c r="O27" i="6"/>
  <c r="O28" i="6" s="1"/>
  <c r="F13" i="11"/>
  <c r="E13" i="11"/>
  <c r="K13" i="11" s="1"/>
  <c r="G53" i="5"/>
  <c r="C43" i="15"/>
  <c r="E43" i="15" s="1"/>
  <c r="D90" i="2"/>
  <c r="F27" i="6"/>
  <c r="F28" i="6" s="1"/>
  <c r="F36" i="6"/>
  <c r="F35" i="6"/>
  <c r="F37" i="6" s="1"/>
  <c r="H14" i="13"/>
  <c r="H25" i="13" s="1"/>
  <c r="D215" i="4" s="1"/>
  <c r="D216" i="4" s="1"/>
  <c r="D225" i="4" s="1"/>
  <c r="H9" i="13"/>
  <c r="H21" i="13" s="1"/>
  <c r="D121" i="4" s="1"/>
  <c r="D122" i="4" s="1"/>
  <c r="D131" i="4" s="1"/>
  <c r="P7" i="13"/>
  <c r="AM83" i="14"/>
  <c r="H49" i="5"/>
  <c r="C25" i="15"/>
  <c r="D248" i="4"/>
  <c r="C36" i="2"/>
  <c r="C13" i="2"/>
  <c r="I24" i="2" s="1"/>
  <c r="E248" i="4"/>
  <c r="C248" i="4"/>
  <c r="G10" i="13"/>
  <c r="G22" i="13" s="1"/>
  <c r="C168" i="4" s="1"/>
  <c r="C169" i="4" s="1"/>
  <c r="C178" i="4" s="1"/>
  <c r="D9" i="10"/>
  <c r="D19" i="9"/>
  <c r="D112" i="4"/>
  <c r="D65" i="4"/>
  <c r="D206" i="4"/>
  <c r="D159" i="4"/>
  <c r="D300" i="4"/>
  <c r="D253" i="4"/>
  <c r="E65" i="2"/>
  <c r="R7" i="13"/>
  <c r="AO83" i="14"/>
  <c r="D25" i="15"/>
  <c r="C154" i="4"/>
  <c r="C9" i="2"/>
  <c r="D154" i="4"/>
  <c r="E154" i="4"/>
  <c r="C32" i="2"/>
  <c r="F14" i="13"/>
  <c r="F25" i="13" s="1"/>
  <c r="F9" i="13"/>
  <c r="F21" i="13" s="1"/>
  <c r="N8" i="13"/>
  <c r="AG83" i="14"/>
  <c r="J7" i="13"/>
  <c r="K14" i="13"/>
  <c r="K25" i="13" s="1"/>
  <c r="K9" i="13"/>
  <c r="K21" i="13" s="1"/>
  <c r="I9" i="13"/>
  <c r="I21" i="13" s="1"/>
  <c r="I14" i="13"/>
  <c r="I25" i="13" s="1"/>
  <c r="E215" i="4" s="1"/>
  <c r="J10" i="13"/>
  <c r="J22" i="13" s="1"/>
  <c r="AQ17" i="14"/>
  <c r="O8" i="13"/>
  <c r="E14" i="11"/>
  <c r="P15" i="13"/>
  <c r="P26" i="13" s="1"/>
  <c r="C266" i="4" s="1"/>
  <c r="C267" i="4" s="1"/>
  <c r="C278" i="4" s="1"/>
  <c r="E14" i="13"/>
  <c r="E25" i="13" s="1"/>
  <c r="D213" i="4" s="1"/>
  <c r="E9" i="13"/>
  <c r="E21" i="13" s="1"/>
  <c r="N10" i="13"/>
  <c r="M8" i="13"/>
  <c r="I10" i="13"/>
  <c r="I22" i="13" s="1"/>
  <c r="AQ64" i="14"/>
  <c r="O15" i="13"/>
  <c r="G26" i="6"/>
  <c r="H25" i="6"/>
  <c r="P14" i="13"/>
  <c r="P25" i="13" s="1"/>
  <c r="C219" i="4" s="1"/>
  <c r="C220" i="4" s="1"/>
  <c r="C231" i="4" s="1"/>
  <c r="P9" i="13"/>
  <c r="P21" i="13" s="1"/>
  <c r="C125" i="4" s="1"/>
  <c r="C126" i="4" s="1"/>
  <c r="C137" i="4" s="1"/>
  <c r="G14" i="13"/>
  <c r="G25" i="13" s="1"/>
  <c r="C215" i="4" s="1"/>
  <c r="C216" i="4" s="1"/>
  <c r="C225" i="4" s="1"/>
  <c r="G9" i="13"/>
  <c r="G21" i="13" s="1"/>
  <c r="C121" i="4" s="1"/>
  <c r="C122" i="4" s="1"/>
  <c r="C131" i="4" s="1"/>
  <c r="M10" i="13"/>
  <c r="D8" i="13"/>
  <c r="D20" i="13" s="1"/>
  <c r="R21" i="6"/>
  <c r="R14" i="6"/>
  <c r="R16" i="6" s="1"/>
  <c r="R19" i="6" s="1"/>
  <c r="S13" i="6"/>
  <c r="R17" i="6"/>
  <c r="R33" i="6"/>
  <c r="R31" i="6"/>
  <c r="R32" i="6" s="1"/>
  <c r="Q15" i="13"/>
  <c r="Q26" i="13" s="1"/>
  <c r="D266" i="4" s="1"/>
  <c r="AQ66" i="14"/>
  <c r="O10" i="13"/>
  <c r="Q26" i="6"/>
  <c r="Q20" i="6"/>
  <c r="E260" i="4"/>
  <c r="D261" i="4"/>
  <c r="D273" i="4" s="1"/>
  <c r="D274" i="4" s="1"/>
  <c r="P10" i="13"/>
  <c r="P22" i="13" s="1"/>
  <c r="C172" i="4" s="1"/>
  <c r="C173" i="4" s="1"/>
  <c r="C184" i="4" s="1"/>
  <c r="P8" i="13"/>
  <c r="P20" i="13" s="1"/>
  <c r="F15" i="13"/>
  <c r="F26" i="13" s="1"/>
  <c r="E295" i="4"/>
  <c r="D295" i="4"/>
  <c r="C14" i="2"/>
  <c r="I25" i="2" s="1"/>
  <c r="C37" i="2"/>
  <c r="C295" i="4"/>
  <c r="R14" i="13"/>
  <c r="R25" i="13" s="1"/>
  <c r="R9" i="13"/>
  <c r="R21" i="13" s="1"/>
  <c r="F8" i="13"/>
  <c r="F20" i="13" s="1"/>
  <c r="K15" i="13"/>
  <c r="K26" i="13" s="1"/>
  <c r="E7" i="11"/>
  <c r="G52" i="5"/>
  <c r="G48" i="5"/>
  <c r="H48" i="5"/>
  <c r="I48" i="5" s="1"/>
  <c r="C48" i="5" s="1"/>
  <c r="H52" i="5"/>
  <c r="I52" i="5" s="1"/>
  <c r="E52" i="5" s="1"/>
  <c r="D10" i="13"/>
  <c r="D22" i="13" s="1"/>
  <c r="C166" i="4" s="1"/>
  <c r="C167" i="4" s="1"/>
  <c r="C179" i="4" s="1"/>
  <c r="E8" i="11"/>
  <c r="D107" i="4"/>
  <c r="C31" i="2"/>
  <c r="C8" i="2"/>
  <c r="E107" i="4"/>
  <c r="C107" i="4"/>
  <c r="G8" i="13"/>
  <c r="G20" i="13" s="1"/>
  <c r="L15" i="13"/>
  <c r="L26" i="13" s="1"/>
  <c r="E264" i="4" s="1"/>
  <c r="H15" i="13"/>
  <c r="H26" i="13" s="1"/>
  <c r="D262" i="4" s="1"/>
  <c r="D263" i="4" s="1"/>
  <c r="D272" i="4" s="1"/>
  <c r="J9" i="13"/>
  <c r="J21" i="13" s="1"/>
  <c r="J14" i="13"/>
  <c r="J25" i="13" s="1"/>
  <c r="D14" i="13"/>
  <c r="D25" i="13" s="1"/>
  <c r="C213" i="4" s="1"/>
  <c r="C214" i="4" s="1"/>
  <c r="C226" i="4" s="1"/>
  <c r="D9" i="13"/>
  <c r="D21" i="13" s="1"/>
  <c r="C119" i="4" s="1"/>
  <c r="C120" i="4" s="1"/>
  <c r="C132" i="4" s="1"/>
  <c r="D201" i="4"/>
  <c r="E201" i="4"/>
  <c r="C201" i="4"/>
  <c r="C33" i="2"/>
  <c r="C10" i="2"/>
  <c r="E10" i="13"/>
  <c r="E22" i="13" s="1"/>
  <c r="I8" i="13"/>
  <c r="I20" i="13" s="1"/>
  <c r="H8" i="13"/>
  <c r="H20" i="13" s="1"/>
  <c r="M15" i="13"/>
  <c r="N15" i="13"/>
  <c r="L14" i="13"/>
  <c r="L25" i="13" s="1"/>
  <c r="E217" i="4" s="1"/>
  <c r="L9" i="13"/>
  <c r="L21" i="13" s="1"/>
  <c r="K10" i="13"/>
  <c r="K22" i="13" s="1"/>
  <c r="H47" i="5"/>
  <c r="G47" i="5"/>
  <c r="Q38" i="6"/>
  <c r="Q40" i="6" s="1"/>
  <c r="Q23" i="6"/>
  <c r="R15" i="13"/>
  <c r="R26" i="13" s="1"/>
  <c r="J15" i="13"/>
  <c r="J26" i="13" s="1"/>
  <c r="R8" i="13"/>
  <c r="R20" i="13" s="1"/>
  <c r="M14" i="13"/>
  <c r="M9" i="13"/>
  <c r="L10" i="13"/>
  <c r="L22" i="13" s="1"/>
  <c r="J8" i="13"/>
  <c r="J20" i="13" s="1"/>
  <c r="N14" i="13"/>
  <c r="N9" i="13"/>
  <c r="Q10" i="13"/>
  <c r="Q22" i="13" s="1"/>
  <c r="F10" i="13"/>
  <c r="F22" i="13" s="1"/>
  <c r="E11" i="11"/>
  <c r="G14" i="11" s="1"/>
  <c r="I14" i="11" s="1"/>
  <c r="F10" i="11"/>
  <c r="K8" i="13"/>
  <c r="K20" i="13" s="1"/>
  <c r="Q8" i="13"/>
  <c r="Q20" i="13" s="1"/>
  <c r="G15" i="13"/>
  <c r="G26" i="13" s="1"/>
  <c r="C262" i="4" s="1"/>
  <c r="C263" i="4" s="1"/>
  <c r="C272" i="4" s="1"/>
  <c r="J83" i="14"/>
  <c r="C23" i="15" s="1"/>
  <c r="AK6" i="14"/>
  <c r="AJ6" i="14"/>
  <c r="AI6" i="14"/>
  <c r="AH6" i="14"/>
  <c r="AV6" i="14"/>
  <c r="AF6" i="14"/>
  <c r="AE6" i="14"/>
  <c r="AD6" i="14"/>
  <c r="AC6" i="14"/>
  <c r="AB6" i="14"/>
  <c r="AA6" i="14"/>
  <c r="AL6" i="14"/>
  <c r="C7" i="13"/>
  <c r="AW6" i="14"/>
  <c r="D8" i="10"/>
  <c r="Q14" i="13"/>
  <c r="Q25" i="13" s="1"/>
  <c r="D219" i="4" s="1"/>
  <c r="Q9" i="13"/>
  <c r="Q21" i="13" s="1"/>
  <c r="E8" i="13"/>
  <c r="E20" i="13" s="1"/>
  <c r="D11" i="10"/>
  <c r="E7" i="10" s="1"/>
  <c r="H53" i="5"/>
  <c r="I53" i="5" s="1"/>
  <c r="D53" i="5" s="1"/>
  <c r="G25" i="2" s="1"/>
  <c r="D10" i="10"/>
  <c r="E10" i="10" s="1"/>
  <c r="Q7" i="13"/>
  <c r="AN83" i="14"/>
  <c r="AQ42" i="14"/>
  <c r="O14" i="13"/>
  <c r="O9" i="13"/>
  <c r="G49" i="5"/>
  <c r="R10" i="13"/>
  <c r="R22" i="13" s="1"/>
  <c r="D13" i="10"/>
  <c r="F11" i="11"/>
  <c r="L8" i="13"/>
  <c r="L20" i="13" s="1"/>
  <c r="F10" i="15"/>
  <c r="E10" i="15"/>
  <c r="I15" i="13"/>
  <c r="I26" i="13" s="1"/>
  <c r="E262" i="4" s="1"/>
  <c r="F22" i="15"/>
  <c r="E22" i="15"/>
  <c r="F11" i="10" l="1"/>
  <c r="F9" i="10"/>
  <c r="F10" i="10"/>
  <c r="G10" i="10" s="1"/>
  <c r="F224" i="4"/>
  <c r="F83" i="4"/>
  <c r="R25" i="6"/>
  <c r="F271" i="4"/>
  <c r="F29" i="4"/>
  <c r="F177" i="4"/>
  <c r="F130" i="4"/>
  <c r="E53" i="5"/>
  <c r="F8" i="10"/>
  <c r="E14" i="10"/>
  <c r="F13" i="10"/>
  <c r="C53" i="5"/>
  <c r="K14" i="11"/>
  <c r="K8" i="11"/>
  <c r="E13" i="10"/>
  <c r="I47" i="5"/>
  <c r="K7" i="11"/>
  <c r="P27" i="6"/>
  <c r="P28" i="6" s="1"/>
  <c r="Q28" i="6" s="1"/>
  <c r="P36" i="6"/>
  <c r="P35" i="6"/>
  <c r="E9" i="10"/>
  <c r="G9" i="10" s="1"/>
  <c r="E8" i="10"/>
  <c r="G8" i="10" s="1"/>
  <c r="I8" i="10" s="1"/>
  <c r="G9" i="11"/>
  <c r="I9" i="11" s="1"/>
  <c r="E94" i="15"/>
  <c r="C11" i="15"/>
  <c r="O37" i="6"/>
  <c r="D65" i="6" s="1"/>
  <c r="I49" i="5"/>
  <c r="H8" i="10"/>
  <c r="H9" i="10"/>
  <c r="I9" i="10"/>
  <c r="AC83" i="14"/>
  <c r="F7" i="13"/>
  <c r="E123" i="4"/>
  <c r="F74" i="2"/>
  <c r="E121" i="4"/>
  <c r="F73" i="2"/>
  <c r="H19" i="13"/>
  <c r="D74" i="4"/>
  <c r="D75" i="4" s="1"/>
  <c r="D84" i="4" s="1"/>
  <c r="AH83" i="14"/>
  <c r="K7" i="13"/>
  <c r="E170" i="4"/>
  <c r="G74" i="2"/>
  <c r="Q24" i="6"/>
  <c r="Q35" i="6"/>
  <c r="Q36" i="6"/>
  <c r="I19" i="13"/>
  <c r="E73" i="2"/>
  <c r="E74" i="4"/>
  <c r="H42" i="5"/>
  <c r="D264" i="4"/>
  <c r="D265" i="4" s="1"/>
  <c r="D270" i="4" s="1"/>
  <c r="K9" i="11"/>
  <c r="E48" i="5"/>
  <c r="G13" i="11"/>
  <c r="I13" i="11" s="1"/>
  <c r="AD83" i="14"/>
  <c r="G7" i="13"/>
  <c r="J31" i="13"/>
  <c r="J11" i="13"/>
  <c r="F25" i="15"/>
  <c r="E25" i="15"/>
  <c r="G46" i="13"/>
  <c r="H46" i="13" s="1"/>
  <c r="AI83" i="14"/>
  <c r="L7" i="13"/>
  <c r="K19" i="13"/>
  <c r="H36" i="5"/>
  <c r="D76" i="4"/>
  <c r="D77" i="4" s="1"/>
  <c r="F46" i="13"/>
  <c r="G72" i="2"/>
  <c r="D166" i="4"/>
  <c r="F19" i="13"/>
  <c r="P11" i="13"/>
  <c r="P31" i="13"/>
  <c r="G7" i="11"/>
  <c r="I7" i="11" s="1"/>
  <c r="R20" i="6"/>
  <c r="R26" i="6"/>
  <c r="F45" i="13"/>
  <c r="H26" i="6"/>
  <c r="I25" i="6"/>
  <c r="F25" i="1"/>
  <c r="I20" i="2"/>
  <c r="G76" i="2"/>
  <c r="D172" i="4"/>
  <c r="D119" i="4"/>
  <c r="F72" i="2"/>
  <c r="D48" i="5"/>
  <c r="G20" i="2" s="1"/>
  <c r="G49" i="13"/>
  <c r="H49" i="13" s="1"/>
  <c r="AW83" i="14"/>
  <c r="H46" i="5"/>
  <c r="AJ83" i="14"/>
  <c r="M7" i="13"/>
  <c r="F49" i="13"/>
  <c r="I21" i="2"/>
  <c r="F26" i="1"/>
  <c r="AR42" i="14"/>
  <c r="C49" i="13"/>
  <c r="C46" i="13"/>
  <c r="R19" i="13"/>
  <c r="I37" i="5"/>
  <c r="C123" i="4"/>
  <c r="C124" i="4" s="1"/>
  <c r="C129" i="4" s="1"/>
  <c r="C134" i="4" s="1"/>
  <c r="P19" i="13"/>
  <c r="C78" i="4"/>
  <c r="C79" i="4" s="1"/>
  <c r="C90" i="4" s="1"/>
  <c r="G47" i="13"/>
  <c r="G27" i="6"/>
  <c r="G28" i="6" s="1"/>
  <c r="G36" i="6"/>
  <c r="G35" i="6"/>
  <c r="G37" i="6" s="1"/>
  <c r="G45" i="13"/>
  <c r="C52" i="5"/>
  <c r="AF83" i="14"/>
  <c r="I7" i="13"/>
  <c r="Q19" i="13"/>
  <c r="D78" i="4"/>
  <c r="E76" i="2"/>
  <c r="AR66" i="14"/>
  <c r="D47" i="13" s="1"/>
  <c r="C47" i="13"/>
  <c r="S33" i="6"/>
  <c r="S21" i="6"/>
  <c r="S14" i="6"/>
  <c r="S16" i="6" s="1"/>
  <c r="S31" i="6"/>
  <c r="S32" i="6" s="1"/>
  <c r="S17" i="6"/>
  <c r="G50" i="13"/>
  <c r="C45" i="13"/>
  <c r="AR17" i="14"/>
  <c r="D45" i="13" s="1"/>
  <c r="K11" i="11"/>
  <c r="G11" i="11"/>
  <c r="D52" i="5"/>
  <c r="G24" i="2" s="1"/>
  <c r="E19" i="13"/>
  <c r="E72" i="2"/>
  <c r="D72" i="4"/>
  <c r="F217" i="4"/>
  <c r="E218" i="4"/>
  <c r="D19" i="13"/>
  <c r="C72" i="4"/>
  <c r="C73" i="4" s="1"/>
  <c r="C85" i="4" s="1"/>
  <c r="H37" i="5"/>
  <c r="D123" i="4"/>
  <c r="D124" i="4" s="1"/>
  <c r="D129" i="4" s="1"/>
  <c r="D125" i="4"/>
  <c r="F76" i="2"/>
  <c r="AE83" i="14"/>
  <c r="H7" i="13"/>
  <c r="F47" i="13"/>
  <c r="R31" i="13"/>
  <c r="R11" i="13"/>
  <c r="F24" i="1"/>
  <c r="I19" i="2"/>
  <c r="E213" i="4"/>
  <c r="D214" i="4"/>
  <c r="D226" i="4" s="1"/>
  <c r="D227" i="4" s="1"/>
  <c r="J19" i="13"/>
  <c r="I36" i="5"/>
  <c r="C76" i="4"/>
  <c r="C77" i="4" s="1"/>
  <c r="K10" i="11"/>
  <c r="G10" i="11"/>
  <c r="I41" i="5"/>
  <c r="C217" i="4"/>
  <c r="C218" i="4" s="1"/>
  <c r="C223" i="4" s="1"/>
  <c r="C228" i="4" s="1"/>
  <c r="E263" i="4"/>
  <c r="E272" i="4" s="1"/>
  <c r="F262" i="4"/>
  <c r="C11" i="13"/>
  <c r="E60" i="4"/>
  <c r="C60" i="4"/>
  <c r="C7" i="2"/>
  <c r="D60" i="4"/>
  <c r="C30" i="2"/>
  <c r="C34" i="2" s="1"/>
  <c r="AK83" i="14"/>
  <c r="N7" i="13"/>
  <c r="AL83" i="14"/>
  <c r="AQ6" i="14"/>
  <c r="O7" i="13"/>
  <c r="F23" i="15"/>
  <c r="E23" i="15"/>
  <c r="Q31" i="13"/>
  <c r="Q11" i="13"/>
  <c r="F7" i="10"/>
  <c r="G7" i="10" s="1"/>
  <c r="F14" i="10"/>
  <c r="G14" i="10" s="1"/>
  <c r="AA83" i="14"/>
  <c r="D7" i="13"/>
  <c r="E265" i="4"/>
  <c r="F264" i="4"/>
  <c r="E266" i="4"/>
  <c r="D267" i="4"/>
  <c r="D278" i="4" s="1"/>
  <c r="AR64" i="14"/>
  <c r="D50" i="13" s="1"/>
  <c r="C50" i="13"/>
  <c r="C170" i="4"/>
  <c r="C171" i="4" s="1"/>
  <c r="C176" i="4" s="1"/>
  <c r="C181" i="4" s="1"/>
  <c r="I38" i="5"/>
  <c r="D217" i="4"/>
  <c r="D218" i="4" s="1"/>
  <c r="D223" i="4" s="1"/>
  <c r="H41" i="5"/>
  <c r="D220" i="4"/>
  <c r="D231" i="4" s="1"/>
  <c r="E219" i="4"/>
  <c r="F50" i="13"/>
  <c r="AV83" i="14"/>
  <c r="C63" i="15" s="1"/>
  <c r="E63" i="15" s="1"/>
  <c r="G46" i="5"/>
  <c r="G50" i="5" s="1"/>
  <c r="L19" i="13"/>
  <c r="E76" i="4"/>
  <c r="E74" i="2"/>
  <c r="E11" i="10"/>
  <c r="G11" i="10" s="1"/>
  <c r="AB83" i="14"/>
  <c r="E7" i="13"/>
  <c r="I42" i="5"/>
  <c r="C264" i="4"/>
  <c r="C265" i="4" s="1"/>
  <c r="C270" i="4" s="1"/>
  <c r="C275" i="4" s="1"/>
  <c r="H38" i="5"/>
  <c r="D170" i="4"/>
  <c r="D171" i="4" s="1"/>
  <c r="D176" i="4" s="1"/>
  <c r="G19" i="13"/>
  <c r="C74" i="4"/>
  <c r="C75" i="4" s="1"/>
  <c r="C84" i="4" s="1"/>
  <c r="F260" i="4"/>
  <c r="E261" i="4"/>
  <c r="E273" i="4" s="1"/>
  <c r="E274" i="4" s="1"/>
  <c r="R23" i="6"/>
  <c r="R38" i="6"/>
  <c r="R40" i="6" s="1"/>
  <c r="G73" i="2"/>
  <c r="E168" i="4"/>
  <c r="F215" i="4"/>
  <c r="E216" i="4"/>
  <c r="E225" i="4" s="1"/>
  <c r="H19" i="9"/>
  <c r="I45" i="2" s="1"/>
  <c r="E45" i="2"/>
  <c r="I10" i="10" l="1"/>
  <c r="H10" i="10"/>
  <c r="C47" i="5"/>
  <c r="D47" i="5"/>
  <c r="G19" i="2" s="1"/>
  <c r="E47" i="5"/>
  <c r="E50" i="13"/>
  <c r="H45" i="13"/>
  <c r="C49" i="5"/>
  <c r="D49" i="5"/>
  <c r="G21" i="2" s="1"/>
  <c r="E49" i="5"/>
  <c r="G13" i="10"/>
  <c r="S25" i="6"/>
  <c r="S38" i="6" s="1"/>
  <c r="S40" i="6" s="1"/>
  <c r="G224" i="4"/>
  <c r="G177" i="4"/>
  <c r="G130" i="4"/>
  <c r="G29" i="4"/>
  <c r="G271" i="4"/>
  <c r="G83" i="4"/>
  <c r="F11" i="15"/>
  <c r="E11" i="15"/>
  <c r="E47" i="13"/>
  <c r="S19" i="6"/>
  <c r="S26" i="6" s="1"/>
  <c r="R28" i="6"/>
  <c r="Q27" i="6"/>
  <c r="Q29" i="6" s="1"/>
  <c r="Q30" i="6" s="1"/>
  <c r="C12" i="15"/>
  <c r="F94" i="15"/>
  <c r="P37" i="6"/>
  <c r="E65" i="6" s="1"/>
  <c r="I14" i="10"/>
  <c r="H14" i="10"/>
  <c r="I7" i="10"/>
  <c r="H7" i="10"/>
  <c r="F23" i="1"/>
  <c r="C11" i="2"/>
  <c r="I18" i="2"/>
  <c r="G217" i="4"/>
  <c r="F218" i="4"/>
  <c r="H27" i="6"/>
  <c r="H28" i="6" s="1"/>
  <c r="H35" i="6"/>
  <c r="H37" i="6" s="1"/>
  <c r="H36" i="6"/>
  <c r="G260" i="4"/>
  <c r="F261" i="4"/>
  <c r="F273" i="4" s="1"/>
  <c r="F274" i="4" s="1"/>
  <c r="H23" i="13"/>
  <c r="H32" i="13"/>
  <c r="H33" i="13" s="1"/>
  <c r="D20" i="4"/>
  <c r="D21" i="4" s="1"/>
  <c r="D30" i="4" s="1"/>
  <c r="E169" i="4"/>
  <c r="E178" i="4" s="1"/>
  <c r="F168" i="4"/>
  <c r="O11" i="13"/>
  <c r="O19" i="13" s="1"/>
  <c r="G44" i="13"/>
  <c r="E23" i="13"/>
  <c r="E32" i="13"/>
  <c r="D18" i="4"/>
  <c r="D72" i="2"/>
  <c r="I45" i="13"/>
  <c r="I100" i="2"/>
  <c r="G23" i="13"/>
  <c r="G32" i="13"/>
  <c r="C20" i="4"/>
  <c r="C21" i="4" s="1"/>
  <c r="C30" i="4" s="1"/>
  <c r="AQ83" i="14"/>
  <c r="AR6" i="14"/>
  <c r="C36" i="13"/>
  <c r="C44" i="13"/>
  <c r="C230" i="4"/>
  <c r="C232" i="4"/>
  <c r="C233" i="4" s="1"/>
  <c r="F213" i="4"/>
  <c r="E214" i="4"/>
  <c r="E226" i="4" s="1"/>
  <c r="E227" i="4" s="1"/>
  <c r="D126" i="4"/>
  <c r="D137" i="4" s="1"/>
  <c r="E125" i="4"/>
  <c r="D49" i="13"/>
  <c r="E49" i="13" s="1"/>
  <c r="D46" i="13"/>
  <c r="E46" i="13" s="1"/>
  <c r="I23" i="13"/>
  <c r="I32" i="13"/>
  <c r="E20" i="4"/>
  <c r="D73" i="2"/>
  <c r="H31" i="13"/>
  <c r="H11" i="13"/>
  <c r="C21" i="13"/>
  <c r="C25" i="13"/>
  <c r="C20" i="13"/>
  <c r="C26" i="13"/>
  <c r="C22" i="13"/>
  <c r="D134" i="4"/>
  <c r="D136" i="4" s="1"/>
  <c r="D120" i="4"/>
  <c r="D132" i="4" s="1"/>
  <c r="D133" i="4" s="1"/>
  <c r="E119" i="4"/>
  <c r="E122" i="4"/>
  <c r="E131" i="4" s="1"/>
  <c r="F121" i="4"/>
  <c r="N11" i="13"/>
  <c r="N19" i="13" s="1"/>
  <c r="D82" i="4"/>
  <c r="K11" i="13"/>
  <c r="K31" i="13"/>
  <c r="C277" i="4"/>
  <c r="C279" i="4"/>
  <c r="C280" i="4" s="1"/>
  <c r="F219" i="4"/>
  <c r="E220" i="4"/>
  <c r="Q32" i="13"/>
  <c r="Q33" i="13" s="1"/>
  <c r="Q23" i="13"/>
  <c r="D76" i="2"/>
  <c r="D24" i="4"/>
  <c r="D173" i="4"/>
  <c r="D184" i="4" s="1"/>
  <c r="E172" i="4"/>
  <c r="H39" i="5"/>
  <c r="D276" i="4"/>
  <c r="D275" i="4"/>
  <c r="D277" i="4" s="1"/>
  <c r="D279" i="4"/>
  <c r="D280" i="4" s="1"/>
  <c r="H9" i="9"/>
  <c r="G43" i="2"/>
  <c r="D79" i="4"/>
  <c r="D90" i="4" s="1"/>
  <c r="E78" i="4"/>
  <c r="R24" i="6"/>
  <c r="R35" i="6"/>
  <c r="R36" i="6"/>
  <c r="H47" i="13"/>
  <c r="K32" i="13"/>
  <c r="K23" i="13"/>
  <c r="D22" i="4"/>
  <c r="D23" i="4" s="1"/>
  <c r="E124" i="4"/>
  <c r="E129" i="4" s="1"/>
  <c r="F123" i="4"/>
  <c r="I15" i="11"/>
  <c r="H10" i="9"/>
  <c r="G44" i="2"/>
  <c r="E77" i="4"/>
  <c r="F76" i="4"/>
  <c r="G262" i="4"/>
  <c r="F263" i="4"/>
  <c r="F272" i="4" s="1"/>
  <c r="D73" i="4"/>
  <c r="D85" i="4" s="1"/>
  <c r="D86" i="4" s="1"/>
  <c r="E72" i="4"/>
  <c r="F32" i="13"/>
  <c r="F33" i="13" s="1"/>
  <c r="F23" i="13"/>
  <c r="D167" i="4"/>
  <c r="D179" i="4" s="1"/>
  <c r="D180" i="4" s="1"/>
  <c r="E166" i="4"/>
  <c r="C13" i="15"/>
  <c r="Q37" i="6"/>
  <c r="D31" i="13"/>
  <c r="D11" i="13"/>
  <c r="C41" i="15"/>
  <c r="I11" i="11"/>
  <c r="E171" i="4"/>
  <c r="F170" i="4"/>
  <c r="C19" i="13"/>
  <c r="C82" i="4"/>
  <c r="C87" i="4" s="1"/>
  <c r="F266" i="4"/>
  <c r="E267" i="4"/>
  <c r="I39" i="5"/>
  <c r="D23" i="13"/>
  <c r="D32" i="13"/>
  <c r="C18" i="4"/>
  <c r="C19" i="4" s="1"/>
  <c r="C31" i="4" s="1"/>
  <c r="E45" i="13"/>
  <c r="I31" i="13"/>
  <c r="I11" i="13"/>
  <c r="M11" i="13"/>
  <c r="M19" i="13" s="1"/>
  <c r="F44" i="13"/>
  <c r="L11" i="13"/>
  <c r="L31" i="13"/>
  <c r="F31" i="13"/>
  <c r="F11" i="13"/>
  <c r="I26" i="6"/>
  <c r="J25" i="6"/>
  <c r="R32" i="13"/>
  <c r="R33" i="13" s="1"/>
  <c r="R23" i="13"/>
  <c r="G215" i="4"/>
  <c r="F216" i="4"/>
  <c r="F225" i="4" s="1"/>
  <c r="L32" i="13"/>
  <c r="L23" i="13"/>
  <c r="D74" i="2"/>
  <c r="E22" i="4"/>
  <c r="I49" i="13"/>
  <c r="I105" i="2"/>
  <c r="C183" i="4"/>
  <c r="C185" i="4"/>
  <c r="C186" i="4" s="1"/>
  <c r="G31" i="13"/>
  <c r="G11" i="13"/>
  <c r="E31" i="13"/>
  <c r="E11" i="13"/>
  <c r="D229" i="4"/>
  <c r="D232" i="4"/>
  <c r="D233" i="4" s="1"/>
  <c r="D228" i="4"/>
  <c r="D230" i="4" s="1"/>
  <c r="G264" i="4"/>
  <c r="F265" i="4"/>
  <c r="J32" i="13"/>
  <c r="J33" i="13" s="1"/>
  <c r="J23" i="13"/>
  <c r="C22" i="4"/>
  <c r="C23" i="4" s="1"/>
  <c r="H50" i="13"/>
  <c r="P32" i="13"/>
  <c r="P33" i="13" s="1"/>
  <c r="P23" i="13"/>
  <c r="C24" i="4"/>
  <c r="C25" i="4" s="1"/>
  <c r="C36" i="4" s="1"/>
  <c r="E75" i="4"/>
  <c r="E84" i="4" s="1"/>
  <c r="F74" i="4"/>
  <c r="H8" i="9"/>
  <c r="G42" i="2"/>
  <c r="I46" i="13"/>
  <c r="I101" i="2"/>
  <c r="I11" i="10"/>
  <c r="H11" i="10"/>
  <c r="E270" i="4"/>
  <c r="E223" i="4"/>
  <c r="C136" i="4"/>
  <c r="C138" i="4"/>
  <c r="C139" i="4" s="1"/>
  <c r="I46" i="5"/>
  <c r="H50" i="5"/>
  <c r="I50" i="5" s="1"/>
  <c r="D28" i="4" l="1"/>
  <c r="D37" i="4" s="1"/>
  <c r="D38" i="4" s="1"/>
  <c r="S23" i="6"/>
  <c r="S20" i="6"/>
  <c r="H83" i="4"/>
  <c r="H224" i="4"/>
  <c r="H271" i="4"/>
  <c r="H29" i="4"/>
  <c r="H177" i="4"/>
  <c r="H130" i="4"/>
  <c r="I13" i="10"/>
  <c r="H13" i="10"/>
  <c r="D181" i="4"/>
  <c r="D183" i="4" s="1"/>
  <c r="D138" i="4"/>
  <c r="D139" i="4" s="1"/>
  <c r="F12" i="15"/>
  <c r="E12" i="15"/>
  <c r="G33" i="13"/>
  <c r="S28" i="6"/>
  <c r="S27" i="6" s="1"/>
  <c r="S29" i="6" s="1"/>
  <c r="S30" i="6" s="1"/>
  <c r="R27" i="6"/>
  <c r="R29" i="6" s="1"/>
  <c r="R30" i="6" s="1"/>
  <c r="E176" i="4"/>
  <c r="D185" i="4"/>
  <c r="D186" i="4" s="1"/>
  <c r="L33" i="13"/>
  <c r="D135" i="4"/>
  <c r="D75" i="2"/>
  <c r="E26" i="4"/>
  <c r="H23" i="5"/>
  <c r="D26" i="4"/>
  <c r="D27" i="4" s="1"/>
  <c r="C16" i="10"/>
  <c r="C46" i="15" s="1"/>
  <c r="E46" i="15" s="1"/>
  <c r="H7" i="9"/>
  <c r="G41" i="2"/>
  <c r="D46" i="5"/>
  <c r="C46" i="5"/>
  <c r="C50" i="5" s="1"/>
  <c r="C14" i="5" s="1"/>
  <c r="E46" i="5"/>
  <c r="E50" i="5" s="1"/>
  <c r="E14" i="5" s="1"/>
  <c r="F72" i="4"/>
  <c r="E73" i="4"/>
  <c r="E85" i="4" s="1"/>
  <c r="E86" i="4" s="1"/>
  <c r="F125" i="4"/>
  <c r="E126" i="4"/>
  <c r="G74" i="4"/>
  <c r="F75" i="4"/>
  <c r="F84" i="4" s="1"/>
  <c r="I50" i="13"/>
  <c r="I106" i="2"/>
  <c r="H215" i="4"/>
  <c r="H216" i="4" s="1"/>
  <c r="H225" i="4" s="1"/>
  <c r="G216" i="4"/>
  <c r="G225" i="4" s="1"/>
  <c r="D33" i="13"/>
  <c r="E24" i="4"/>
  <c r="D25" i="4"/>
  <c r="D36" i="4" s="1"/>
  <c r="E184" i="4"/>
  <c r="D91" i="4"/>
  <c r="D92" i="4" s="1"/>
  <c r="D88" i="4"/>
  <c r="D87" i="4"/>
  <c r="D89" i="4" s="1"/>
  <c r="E22" i="9"/>
  <c r="C22" i="9"/>
  <c r="D22" i="9"/>
  <c r="N26" i="13"/>
  <c r="N20" i="13"/>
  <c r="N23" i="13" s="1"/>
  <c r="N21" i="13"/>
  <c r="N25" i="13"/>
  <c r="N22" i="13"/>
  <c r="D182" i="4"/>
  <c r="D33" i="4"/>
  <c r="D35" i="4" s="1"/>
  <c r="F119" i="4"/>
  <c r="E120" i="4"/>
  <c r="E132" i="4" s="1"/>
  <c r="E133" i="4" s="1"/>
  <c r="H217" i="4"/>
  <c r="H218" i="4" s="1"/>
  <c r="G218" i="4"/>
  <c r="C26" i="4"/>
  <c r="C27" i="4" s="1"/>
  <c r="F41" i="15"/>
  <c r="E41" i="15"/>
  <c r="F78" i="4"/>
  <c r="E79" i="4"/>
  <c r="F172" i="4"/>
  <c r="E173" i="4"/>
  <c r="G168" i="4"/>
  <c r="F169" i="4"/>
  <c r="F178" i="4" s="1"/>
  <c r="M22" i="13"/>
  <c r="C174" i="4" s="1"/>
  <c r="C175" i="4" s="1"/>
  <c r="M26" i="13"/>
  <c r="C268" i="4" s="1"/>
  <c r="C269" i="4" s="1"/>
  <c r="M20" i="13"/>
  <c r="C80" i="4" s="1"/>
  <c r="C81" i="4" s="1"/>
  <c r="M25" i="13"/>
  <c r="C221" i="4" s="1"/>
  <c r="C222" i="4" s="1"/>
  <c r="M21" i="13"/>
  <c r="C127" i="4" s="1"/>
  <c r="C128" i="4" s="1"/>
  <c r="E23" i="9"/>
  <c r="C23" i="9"/>
  <c r="D23" i="9"/>
  <c r="G121" i="4"/>
  <c r="F122" i="4"/>
  <c r="F131" i="4" s="1"/>
  <c r="G213" i="4"/>
  <c r="F214" i="4"/>
  <c r="F226" i="4" s="1"/>
  <c r="F227" i="4" s="1"/>
  <c r="J26" i="6"/>
  <c r="K25" i="6"/>
  <c r="K26" i="6" s="1"/>
  <c r="G76" i="4"/>
  <c r="F77" i="4"/>
  <c r="E278" i="4"/>
  <c r="E276" i="4"/>
  <c r="E275" i="4"/>
  <c r="E277" i="4" s="1"/>
  <c r="E279" i="4"/>
  <c r="E280" i="4" s="1"/>
  <c r="F270" i="4"/>
  <c r="I27" i="6"/>
  <c r="I28" i="6" s="1"/>
  <c r="I36" i="6"/>
  <c r="I35" i="6"/>
  <c r="I37" i="6" s="1"/>
  <c r="G266" i="4"/>
  <c r="F267" i="4"/>
  <c r="F65" i="6"/>
  <c r="E82" i="4"/>
  <c r="D19" i="4"/>
  <c r="D31" i="4" s="1"/>
  <c r="D32" i="4" s="1"/>
  <c r="E18" i="4"/>
  <c r="H260" i="4"/>
  <c r="H261" i="4" s="1"/>
  <c r="G261" i="4"/>
  <c r="G273" i="4" s="1"/>
  <c r="G274" i="4" s="1"/>
  <c r="O21" i="13"/>
  <c r="O26" i="13"/>
  <c r="E268" i="4" s="1"/>
  <c r="O20" i="13"/>
  <c r="O22" i="13"/>
  <c r="O25" i="13"/>
  <c r="E221" i="4" s="1"/>
  <c r="H14" i="9"/>
  <c r="G48" i="2"/>
  <c r="H262" i="4"/>
  <c r="H263" i="4" s="1"/>
  <c r="H272" i="4" s="1"/>
  <c r="G263" i="4"/>
  <c r="G272" i="4" s="1"/>
  <c r="F223" i="4"/>
  <c r="H264" i="4"/>
  <c r="H265" i="4" s="1"/>
  <c r="G265" i="4"/>
  <c r="C89" i="4"/>
  <c r="C91" i="4"/>
  <c r="C92" i="4" s="1"/>
  <c r="F13" i="15"/>
  <c r="E13" i="15"/>
  <c r="K33" i="13"/>
  <c r="G219" i="4"/>
  <c r="F220" i="4"/>
  <c r="E33" i="13"/>
  <c r="F27" i="1"/>
  <c r="I22" i="2"/>
  <c r="E231" i="4"/>
  <c r="E228" i="4"/>
  <c r="E230" i="4" s="1"/>
  <c r="E229" i="4"/>
  <c r="E232" i="4"/>
  <c r="E233" i="4" s="1"/>
  <c r="H11" i="9"/>
  <c r="G45" i="2"/>
  <c r="I47" i="13"/>
  <c r="I102" i="2"/>
  <c r="E21" i="4"/>
  <c r="E30" i="4" s="1"/>
  <c r="F20" i="4"/>
  <c r="G94" i="15"/>
  <c r="C20" i="15" s="1"/>
  <c r="C18" i="15"/>
  <c r="C17" i="15"/>
  <c r="C16" i="15"/>
  <c r="C15" i="15"/>
  <c r="C14" i="15"/>
  <c r="D12" i="7"/>
  <c r="E12" i="7" s="1"/>
  <c r="D8" i="7"/>
  <c r="E8" i="7" s="1"/>
  <c r="D13" i="7"/>
  <c r="E13" i="7" s="1"/>
  <c r="D11" i="7"/>
  <c r="E11" i="7" s="1"/>
  <c r="D7" i="7"/>
  <c r="E7" i="7" s="1"/>
  <c r="D9" i="7"/>
  <c r="E9" i="7" s="1"/>
  <c r="R37" i="6"/>
  <c r="G50" i="6" s="1"/>
  <c r="G51" i="6" s="1"/>
  <c r="G54" i="6" s="1"/>
  <c r="D14" i="7"/>
  <c r="E14" i="7" s="1"/>
  <c r="D10" i="7"/>
  <c r="E10" i="7" s="1"/>
  <c r="I16" i="11"/>
  <c r="C28" i="4"/>
  <c r="C33" i="4" s="1"/>
  <c r="G123" i="4"/>
  <c r="F124" i="4"/>
  <c r="E137" i="4"/>
  <c r="E138" i="4" s="1"/>
  <c r="E139" i="4" s="1"/>
  <c r="E135" i="4"/>
  <c r="E134" i="4"/>
  <c r="E136" i="4" s="1"/>
  <c r="F166" i="4"/>
  <c r="E167" i="4"/>
  <c r="E179" i="4" s="1"/>
  <c r="E180" i="4" s="1"/>
  <c r="E185" i="4" s="1"/>
  <c r="E186" i="4" s="1"/>
  <c r="E24" i="9"/>
  <c r="C24" i="9"/>
  <c r="D24" i="9"/>
  <c r="E23" i="4"/>
  <c r="F22" i="4"/>
  <c r="S36" i="6"/>
  <c r="S35" i="6"/>
  <c r="S37" i="6" s="1"/>
  <c r="S24" i="6"/>
  <c r="G170" i="4"/>
  <c r="F171" i="4"/>
  <c r="F176" i="4" s="1"/>
  <c r="I33" i="13"/>
  <c r="AR83" i="14"/>
  <c r="D44" i="13"/>
  <c r="E44" i="13" s="1"/>
  <c r="C37" i="13"/>
  <c r="C38" i="13" s="1"/>
  <c r="C39" i="13" s="1"/>
  <c r="H44" i="13"/>
  <c r="H13" i="9" l="1"/>
  <c r="G47" i="2"/>
  <c r="H223" i="4"/>
  <c r="E28" i="4"/>
  <c r="G223" i="4"/>
  <c r="G270" i="4"/>
  <c r="G278" i="4" s="1"/>
  <c r="G279" i="4" s="1"/>
  <c r="G280" i="4" s="1"/>
  <c r="H270" i="4"/>
  <c r="H278" i="4" s="1"/>
  <c r="D34" i="4"/>
  <c r="E181" i="4"/>
  <c r="E183" i="4" s="1"/>
  <c r="C39" i="4"/>
  <c r="C40" i="4" s="1"/>
  <c r="F39" i="4"/>
  <c r="E39" i="4"/>
  <c r="D39" i="4"/>
  <c r="H39" i="4"/>
  <c r="G39" i="4"/>
  <c r="E24" i="11"/>
  <c r="D24" i="11"/>
  <c r="D190" i="4" s="1"/>
  <c r="C90" i="2"/>
  <c r="C24" i="11"/>
  <c r="D23" i="11"/>
  <c r="D143" i="4" s="1"/>
  <c r="C88" i="2"/>
  <c r="C23" i="11"/>
  <c r="D28" i="11"/>
  <c r="D284" i="4" s="1"/>
  <c r="C182" i="12" s="1"/>
  <c r="D182" i="12" s="1"/>
  <c r="E182" i="12" s="1"/>
  <c r="F182" i="12" s="1"/>
  <c r="G182" i="12" s="1"/>
  <c r="H182" i="12" s="1"/>
  <c r="I182" i="12" s="1"/>
  <c r="J182" i="12" s="1"/>
  <c r="K182" i="12" s="1"/>
  <c r="L182" i="12" s="1"/>
  <c r="M182" i="12" s="1"/>
  <c r="N182" i="12" s="1"/>
  <c r="C89" i="2"/>
  <c r="C22" i="11"/>
  <c r="E28" i="11"/>
  <c r="E22" i="11"/>
  <c r="C28" i="11"/>
  <c r="C94" i="2"/>
  <c r="D22" i="11"/>
  <c r="D96" i="4" s="1"/>
  <c r="E23" i="11"/>
  <c r="D27" i="11"/>
  <c r="D237" i="4" s="1"/>
  <c r="C87" i="2"/>
  <c r="C27" i="11"/>
  <c r="C93" i="2"/>
  <c r="C21" i="11"/>
  <c r="E21" i="11"/>
  <c r="E27" i="11"/>
  <c r="D21" i="11"/>
  <c r="H273" i="4"/>
  <c r="H274" i="4" s="1"/>
  <c r="G231" i="4"/>
  <c r="G232" i="4"/>
  <c r="G233" i="4" s="1"/>
  <c r="F24" i="4"/>
  <c r="E25" i="4"/>
  <c r="F18" i="4"/>
  <c r="E19" i="4"/>
  <c r="E31" i="4" s="1"/>
  <c r="E32" i="4" s="1"/>
  <c r="E34" i="4" s="1"/>
  <c r="H231" i="4"/>
  <c r="F17" i="15"/>
  <c r="E17" i="15"/>
  <c r="G88" i="2"/>
  <c r="C95" i="4"/>
  <c r="G22" i="9"/>
  <c r="H42" i="2" s="1"/>
  <c r="D42" i="2"/>
  <c r="D50" i="5"/>
  <c r="G18" i="2"/>
  <c r="G26" i="2" s="1"/>
  <c r="F15" i="15"/>
  <c r="E15" i="15"/>
  <c r="K36" i="6"/>
  <c r="K27" i="6"/>
  <c r="K28" i="6" s="1"/>
  <c r="K35" i="6"/>
  <c r="K37" i="6" s="1"/>
  <c r="H30" i="5"/>
  <c r="I30" i="5" s="1"/>
  <c r="D268" i="4"/>
  <c r="D269" i="4" s="1"/>
  <c r="H90" i="2"/>
  <c r="E189" i="4"/>
  <c r="I24" i="9"/>
  <c r="J44" i="2" s="1"/>
  <c r="F44" i="2"/>
  <c r="J35" i="6"/>
  <c r="J37" i="6" s="1"/>
  <c r="J36" i="6"/>
  <c r="J27" i="6"/>
  <c r="J28" i="6" s="1"/>
  <c r="H22" i="9"/>
  <c r="I42" i="2" s="1"/>
  <c r="E42" i="2"/>
  <c r="D95" i="4"/>
  <c r="G166" i="4"/>
  <c r="F167" i="4"/>
  <c r="F179" i="4" s="1"/>
  <c r="F180" i="4" s="1"/>
  <c r="F18" i="15"/>
  <c r="E18" i="15"/>
  <c r="E87" i="4"/>
  <c r="E89" i="4" s="1"/>
  <c r="E90" i="4"/>
  <c r="E91" i="4" s="1"/>
  <c r="E92" i="4" s="1"/>
  <c r="E88" i="4"/>
  <c r="H213" i="4"/>
  <c r="H214" i="4" s="1"/>
  <c r="G214" i="4"/>
  <c r="G226" i="4" s="1"/>
  <c r="G227" i="4" s="1"/>
  <c r="H168" i="4"/>
  <c r="H169" i="4" s="1"/>
  <c r="H178" i="4" s="1"/>
  <c r="G169" i="4"/>
  <c r="G178" i="4" s="1"/>
  <c r="G119" i="4"/>
  <c r="F120" i="4"/>
  <c r="F132" i="4" s="1"/>
  <c r="F133" i="4" s="1"/>
  <c r="I22" i="9"/>
  <c r="J42" i="2" s="1"/>
  <c r="H88" i="2"/>
  <c r="F42" i="2"/>
  <c r="E95" i="4"/>
  <c r="H170" i="4"/>
  <c r="H171" i="4" s="1"/>
  <c r="G171" i="4"/>
  <c r="E27" i="9"/>
  <c r="C27" i="9"/>
  <c r="D27" i="9"/>
  <c r="G20" i="4"/>
  <c r="F21" i="4"/>
  <c r="F30" i="4" s="1"/>
  <c r="G75" i="2"/>
  <c r="E174" i="4"/>
  <c r="E53" i="6"/>
  <c r="G23" i="9"/>
  <c r="H43" i="2" s="1"/>
  <c r="C142" i="4"/>
  <c r="G89" i="2"/>
  <c r="D43" i="2"/>
  <c r="G78" i="4"/>
  <c r="F79" i="4"/>
  <c r="E182" i="4"/>
  <c r="H74" i="4"/>
  <c r="H75" i="4" s="1"/>
  <c r="H84" i="4" s="1"/>
  <c r="G75" i="4"/>
  <c r="G84" i="4" s="1"/>
  <c r="I23" i="5"/>
  <c r="C42" i="15"/>
  <c r="E42" i="15" s="1"/>
  <c r="F181" i="4"/>
  <c r="F183" i="4" s="1"/>
  <c r="F184" i="4"/>
  <c r="F275" i="4"/>
  <c r="F277" i="4" s="1"/>
  <c r="F278" i="4"/>
  <c r="F279" i="4" s="1"/>
  <c r="F280" i="4" s="1"/>
  <c r="F276" i="4"/>
  <c r="F221" i="4"/>
  <c r="E222" i="4"/>
  <c r="C181" i="12"/>
  <c r="D181" i="12" s="1"/>
  <c r="E181" i="12" s="1"/>
  <c r="F181" i="12" s="1"/>
  <c r="G181" i="12" s="1"/>
  <c r="H181" i="12" s="1"/>
  <c r="I181" i="12" s="1"/>
  <c r="J181" i="12" s="1"/>
  <c r="K181" i="12" s="1"/>
  <c r="L181" i="12" s="1"/>
  <c r="M181" i="12" s="1"/>
  <c r="N181" i="12" s="1"/>
  <c r="E75" i="2"/>
  <c r="E80" i="4"/>
  <c r="I23" i="9"/>
  <c r="J43" i="2" s="1"/>
  <c r="E142" i="4"/>
  <c r="F43" i="2"/>
  <c r="H89" i="2"/>
  <c r="H26" i="5"/>
  <c r="I26" i="5" s="1"/>
  <c r="D174" i="4"/>
  <c r="D175" i="4" s="1"/>
  <c r="F16" i="15"/>
  <c r="E16" i="15"/>
  <c r="D53" i="6"/>
  <c r="C53" i="6"/>
  <c r="F268" i="4"/>
  <c r="E269" i="4"/>
  <c r="H29" i="5"/>
  <c r="I29" i="5" s="1"/>
  <c r="D221" i="4"/>
  <c r="D222" i="4" s="1"/>
  <c r="G125" i="4"/>
  <c r="F126" i="4"/>
  <c r="E27" i="4"/>
  <c r="F26" i="4"/>
  <c r="E21" i="9"/>
  <c r="C21" i="9"/>
  <c r="D21" i="9"/>
  <c r="C19" i="15"/>
  <c r="F229" i="4"/>
  <c r="F228" i="4"/>
  <c r="F230" i="4" s="1"/>
  <c r="F231" i="4"/>
  <c r="F232" i="4" s="1"/>
  <c r="F233" i="4" s="1"/>
  <c r="F28" i="7"/>
  <c r="F44" i="7" s="1"/>
  <c r="D26" i="7"/>
  <c r="D42" i="7" s="1"/>
  <c r="G23" i="7"/>
  <c r="G39" i="7" s="1"/>
  <c r="E21" i="7"/>
  <c r="E37" i="7" s="1"/>
  <c r="D30" i="7"/>
  <c r="D46" i="7" s="1"/>
  <c r="G27" i="7"/>
  <c r="G43" i="7" s="1"/>
  <c r="E25" i="7"/>
  <c r="E41" i="7" s="1"/>
  <c r="C23" i="7"/>
  <c r="C39" i="7" s="1"/>
  <c r="F20" i="7"/>
  <c r="F36" i="7" s="1"/>
  <c r="C50" i="6"/>
  <c r="C51" i="6" s="1"/>
  <c r="C54" i="6" s="1"/>
  <c r="C30" i="7"/>
  <c r="C46" i="7" s="1"/>
  <c r="F27" i="7"/>
  <c r="F43" i="7" s="1"/>
  <c r="D25" i="7"/>
  <c r="D41" i="7" s="1"/>
  <c r="G22" i="7"/>
  <c r="G38" i="7" s="1"/>
  <c r="E20" i="7"/>
  <c r="E36" i="7" s="1"/>
  <c r="G11" i="7"/>
  <c r="G7" i="7"/>
  <c r="G29" i="7"/>
  <c r="G45" i="7" s="1"/>
  <c r="E27" i="7"/>
  <c r="E43" i="7" s="1"/>
  <c r="C25" i="7"/>
  <c r="C41" i="7" s="1"/>
  <c r="F22" i="7"/>
  <c r="F38" i="7" s="1"/>
  <c r="D20" i="7"/>
  <c r="D36" i="7" s="1"/>
  <c r="E29" i="7"/>
  <c r="E45" i="7" s="1"/>
  <c r="C26" i="7"/>
  <c r="C42" i="7" s="1"/>
  <c r="D22" i="7"/>
  <c r="D38" i="7" s="1"/>
  <c r="C29" i="7"/>
  <c r="C45" i="7" s="1"/>
  <c r="F25" i="7"/>
  <c r="F41" i="7" s="1"/>
  <c r="G21" i="7"/>
  <c r="G37" i="7" s="1"/>
  <c r="G28" i="7"/>
  <c r="G44" i="7" s="1"/>
  <c r="G24" i="7"/>
  <c r="G40" i="7" s="1"/>
  <c r="F21" i="7"/>
  <c r="F37" i="7" s="1"/>
  <c r="E28" i="7"/>
  <c r="E44" i="7" s="1"/>
  <c r="F24" i="7"/>
  <c r="F40" i="7" s="1"/>
  <c r="D21" i="7"/>
  <c r="D37" i="7" s="1"/>
  <c r="G10" i="7"/>
  <c r="E50" i="6"/>
  <c r="E51" i="6" s="1"/>
  <c r="E54" i="6" s="1"/>
  <c r="D27" i="7"/>
  <c r="D43" i="7" s="1"/>
  <c r="C24" i="7"/>
  <c r="C40" i="7" s="1"/>
  <c r="C20" i="7"/>
  <c r="C36" i="7" s="1"/>
  <c r="G9" i="7"/>
  <c r="F29" i="7"/>
  <c r="F45" i="7" s="1"/>
  <c r="E26" i="7"/>
  <c r="E42" i="7" s="1"/>
  <c r="E22" i="7"/>
  <c r="E38" i="7" s="1"/>
  <c r="G13" i="7"/>
  <c r="C28" i="7"/>
  <c r="C44" i="7" s="1"/>
  <c r="G20" i="7"/>
  <c r="G36" i="7" s="1"/>
  <c r="G26" i="7"/>
  <c r="G42" i="7" s="1"/>
  <c r="G25" i="7"/>
  <c r="G41" i="7" s="1"/>
  <c r="G12" i="7"/>
  <c r="G30" i="7"/>
  <c r="G46" i="7" s="1"/>
  <c r="F23" i="7"/>
  <c r="F39" i="7" s="1"/>
  <c r="F30" i="7"/>
  <c r="F46" i="7" s="1"/>
  <c r="E23" i="7"/>
  <c r="E39" i="7" s="1"/>
  <c r="G8" i="7"/>
  <c r="D50" i="6"/>
  <c r="D51" i="6" s="1"/>
  <c r="E30" i="7"/>
  <c r="E46" i="7" s="1"/>
  <c r="D23" i="7"/>
  <c r="D39" i="7" s="1"/>
  <c r="D29" i="7"/>
  <c r="D45" i="7" s="1"/>
  <c r="D28" i="7"/>
  <c r="D44" i="7" s="1"/>
  <c r="F26" i="7"/>
  <c r="F42" i="7" s="1"/>
  <c r="C21" i="7"/>
  <c r="C37" i="7" s="1"/>
  <c r="G14" i="7"/>
  <c r="C27" i="7"/>
  <c r="C43" i="7" s="1"/>
  <c r="E24" i="7"/>
  <c r="E40" i="7" s="1"/>
  <c r="D24" i="7"/>
  <c r="D40" i="7" s="1"/>
  <c r="C11" i="9"/>
  <c r="F11" i="9" s="1"/>
  <c r="G11" i="9" s="1"/>
  <c r="C45" i="2" s="1"/>
  <c r="C22" i="7"/>
  <c r="C38" i="7" s="1"/>
  <c r="F129" i="4"/>
  <c r="G22" i="4"/>
  <c r="F23" i="4"/>
  <c r="F28" i="4" s="1"/>
  <c r="H123" i="4"/>
  <c r="H124" i="4" s="1"/>
  <c r="G124" i="4"/>
  <c r="E36" i="4"/>
  <c r="C37" i="4"/>
  <c r="C38" i="4" s="1"/>
  <c r="C35" i="4"/>
  <c r="H219" i="4"/>
  <c r="H220" i="4" s="1"/>
  <c r="G220" i="4"/>
  <c r="G228" i="4" s="1"/>
  <c r="G230" i="4" s="1"/>
  <c r="E127" i="4"/>
  <c r="F75" i="2"/>
  <c r="H266" i="4"/>
  <c r="H267" i="4" s="1"/>
  <c r="G267" i="4"/>
  <c r="F82" i="4"/>
  <c r="H25" i="5"/>
  <c r="I25" i="5" s="1"/>
  <c r="D127" i="4"/>
  <c r="D128" i="4" s="1"/>
  <c r="C189" i="4"/>
  <c r="G90" i="2"/>
  <c r="G24" i="9"/>
  <c r="H44" i="2" s="1"/>
  <c r="D44" i="2"/>
  <c r="F20" i="15"/>
  <c r="E20" i="15"/>
  <c r="G53" i="6"/>
  <c r="G55" i="6" s="1"/>
  <c r="G57" i="6" s="1"/>
  <c r="H121" i="4"/>
  <c r="H122" i="4" s="1"/>
  <c r="H131" i="4" s="1"/>
  <c r="G122" i="4"/>
  <c r="G131" i="4" s="1"/>
  <c r="G172" i="4"/>
  <c r="F173" i="4"/>
  <c r="H23" i="9"/>
  <c r="I43" i="2" s="1"/>
  <c r="E43" i="2"/>
  <c r="D142" i="4"/>
  <c r="D40" i="4"/>
  <c r="I44" i="13"/>
  <c r="I99" i="2"/>
  <c r="H24" i="9"/>
  <c r="I44" i="2" s="1"/>
  <c r="E44" i="2"/>
  <c r="D189" i="4"/>
  <c r="C91" i="2"/>
  <c r="F14" i="15"/>
  <c r="E14" i="15"/>
  <c r="H76" i="4"/>
  <c r="H77" i="4" s="1"/>
  <c r="H82" i="4" s="1"/>
  <c r="G77" i="4"/>
  <c r="G82" i="4" s="1"/>
  <c r="M23" i="13"/>
  <c r="D80" i="4"/>
  <c r="D81" i="4" s="1"/>
  <c r="H24" i="5"/>
  <c r="I24" i="5" s="1"/>
  <c r="G72" i="4"/>
  <c r="F73" i="4"/>
  <c r="F85" i="4" s="1"/>
  <c r="F86" i="4" s="1"/>
  <c r="O23" i="13"/>
  <c r="F182" i="4" l="1"/>
  <c r="H279" i="4"/>
  <c r="H280" i="4" s="1"/>
  <c r="E40" i="4"/>
  <c r="G176" i="4"/>
  <c r="E33" i="4"/>
  <c r="E35" i="4" s="1"/>
  <c r="H176" i="4"/>
  <c r="E37" i="4"/>
  <c r="E38" i="4" s="1"/>
  <c r="G276" i="4"/>
  <c r="H275" i="4"/>
  <c r="H277" i="4" s="1"/>
  <c r="F185" i="4"/>
  <c r="F186" i="4" s="1"/>
  <c r="E26" i="9"/>
  <c r="C26" i="9"/>
  <c r="D26" i="9"/>
  <c r="D286" i="4"/>
  <c r="L74" i="12"/>
  <c r="K74" i="12"/>
  <c r="J74" i="12"/>
  <c r="I74" i="12"/>
  <c r="H74" i="12"/>
  <c r="M74" i="12"/>
  <c r="G74" i="12"/>
  <c r="F74" i="12"/>
  <c r="E74" i="12"/>
  <c r="D74" i="12"/>
  <c r="M104" i="12"/>
  <c r="E104" i="12"/>
  <c r="D104" i="12"/>
  <c r="L104" i="12"/>
  <c r="K104" i="12"/>
  <c r="J104" i="12"/>
  <c r="I104" i="12"/>
  <c r="H104" i="12"/>
  <c r="G104" i="12"/>
  <c r="F104" i="12"/>
  <c r="C190" i="4"/>
  <c r="C111" i="12" s="1"/>
  <c r="D111" i="12" s="1"/>
  <c r="E111" i="12" s="1"/>
  <c r="F111" i="12" s="1"/>
  <c r="G111" i="12" s="1"/>
  <c r="H111" i="12" s="1"/>
  <c r="I111" i="12" s="1"/>
  <c r="J111" i="12" s="1"/>
  <c r="K111" i="12" s="1"/>
  <c r="L111" i="12" s="1"/>
  <c r="M111" i="12" s="1"/>
  <c r="N111" i="12" s="1"/>
  <c r="E90" i="2"/>
  <c r="F36" i="4"/>
  <c r="F127" i="4"/>
  <c r="E128" i="4"/>
  <c r="H22" i="4"/>
  <c r="H23" i="4" s="1"/>
  <c r="G23" i="4"/>
  <c r="G268" i="4"/>
  <c r="F269" i="4"/>
  <c r="F80" i="4"/>
  <c r="E81" i="4"/>
  <c r="H276" i="4"/>
  <c r="G84" i="12"/>
  <c r="F84" i="12"/>
  <c r="D84" i="12"/>
  <c r="I84" i="12"/>
  <c r="E84" i="12"/>
  <c r="M84" i="12"/>
  <c r="L84" i="12"/>
  <c r="K84" i="12"/>
  <c r="J84" i="12"/>
  <c r="H84" i="12"/>
  <c r="G22" i="2"/>
  <c r="D14" i="5"/>
  <c r="I27" i="9"/>
  <c r="J48" i="2" s="1"/>
  <c r="E283" i="4"/>
  <c r="H94" i="2"/>
  <c r="F48" i="2"/>
  <c r="F137" i="4"/>
  <c r="F138" i="4" s="1"/>
  <c r="F139" i="4" s="1"/>
  <c r="F135" i="4"/>
  <c r="F134" i="4"/>
  <c r="F136" i="4" s="1"/>
  <c r="F19" i="15"/>
  <c r="E19" i="15"/>
  <c r="C55" i="6"/>
  <c r="C57" i="6" s="1"/>
  <c r="D22" i="5"/>
  <c r="G275" i="4"/>
  <c r="G277" i="4" s="1"/>
  <c r="C301" i="4" s="1"/>
  <c r="C302" i="4" s="1"/>
  <c r="H119" i="4"/>
  <c r="H120" i="4" s="1"/>
  <c r="G120" i="4"/>
  <c r="G132" i="4" s="1"/>
  <c r="G133" i="4" s="1"/>
  <c r="E94" i="2"/>
  <c r="C284" i="4"/>
  <c r="F90" i="2"/>
  <c r="E190" i="4"/>
  <c r="C91" i="12"/>
  <c r="D91" i="12" s="1"/>
  <c r="E91" i="12" s="1"/>
  <c r="F91" i="12" s="1"/>
  <c r="G91" i="12" s="1"/>
  <c r="H91" i="12" s="1"/>
  <c r="I91" i="12" s="1"/>
  <c r="J91" i="12" s="1"/>
  <c r="K91" i="12" s="1"/>
  <c r="L91" i="12" s="1"/>
  <c r="M91" i="12" s="1"/>
  <c r="N91" i="12" s="1"/>
  <c r="H184" i="4"/>
  <c r="G65" i="6"/>
  <c r="C66" i="6" s="1"/>
  <c r="C68" i="6" s="1"/>
  <c r="C69" i="6" s="1"/>
  <c r="D54" i="6"/>
  <c r="H21" i="9"/>
  <c r="I41" i="2" s="1"/>
  <c r="E41" i="2"/>
  <c r="D43" i="4"/>
  <c r="D55" i="6"/>
  <c r="D57" i="6" s="1"/>
  <c r="C22" i="5"/>
  <c r="E55" i="6"/>
  <c r="E57" i="6" s="1"/>
  <c r="M134" i="12"/>
  <c r="G134" i="12"/>
  <c r="F134" i="12"/>
  <c r="E134" i="12"/>
  <c r="D134" i="12"/>
  <c r="K134" i="12"/>
  <c r="I134" i="12"/>
  <c r="H134" i="12"/>
  <c r="L134" i="12"/>
  <c r="J134" i="12"/>
  <c r="D25" i="11"/>
  <c r="D44" i="4"/>
  <c r="E96" i="4"/>
  <c r="F88" i="2"/>
  <c r="H125" i="4"/>
  <c r="H126" i="4" s="1"/>
  <c r="G126" i="4"/>
  <c r="G129" i="4"/>
  <c r="K94" i="12"/>
  <c r="J94" i="12"/>
  <c r="I94" i="12"/>
  <c r="H94" i="12"/>
  <c r="G94" i="12"/>
  <c r="F94" i="12"/>
  <c r="E94" i="12"/>
  <c r="D94" i="12"/>
  <c r="M94" i="12"/>
  <c r="L94" i="12"/>
  <c r="C43" i="4"/>
  <c r="G21" i="9"/>
  <c r="H41" i="2" s="1"/>
  <c r="G87" i="2"/>
  <c r="D41" i="2"/>
  <c r="E22" i="5"/>
  <c r="F174" i="4"/>
  <c r="E175" i="4"/>
  <c r="C121" i="12"/>
  <c r="D121" i="12" s="1"/>
  <c r="E121" i="12" s="1"/>
  <c r="F121" i="12" s="1"/>
  <c r="G121" i="12" s="1"/>
  <c r="H121" i="12" s="1"/>
  <c r="I121" i="12" s="1"/>
  <c r="J121" i="12" s="1"/>
  <c r="K121" i="12" s="1"/>
  <c r="L121" i="12" s="1"/>
  <c r="M121" i="12" s="1"/>
  <c r="N121" i="12" s="1"/>
  <c r="C131" i="12"/>
  <c r="D131" i="12" s="1"/>
  <c r="E131" i="12" s="1"/>
  <c r="F131" i="12" s="1"/>
  <c r="G131" i="12" s="1"/>
  <c r="H131" i="12" s="1"/>
  <c r="I131" i="12" s="1"/>
  <c r="J131" i="12" s="1"/>
  <c r="K131" i="12" s="1"/>
  <c r="L131" i="12" s="1"/>
  <c r="M131" i="12" s="1"/>
  <c r="N131" i="12" s="1"/>
  <c r="D54" i="12"/>
  <c r="M54" i="12"/>
  <c r="L54" i="12"/>
  <c r="G54" i="12"/>
  <c r="E54" i="12"/>
  <c r="K54" i="12"/>
  <c r="J54" i="12"/>
  <c r="I54" i="12"/>
  <c r="H54" i="12"/>
  <c r="F54" i="12"/>
  <c r="G18" i="4"/>
  <c r="F19" i="4"/>
  <c r="F31" i="4" s="1"/>
  <c r="F32" i="4" s="1"/>
  <c r="F93" i="2"/>
  <c r="E237" i="4"/>
  <c r="E284" i="4"/>
  <c r="E286" i="4" s="1"/>
  <c r="F94" i="2"/>
  <c r="K124" i="12"/>
  <c r="J124" i="12"/>
  <c r="I124" i="12"/>
  <c r="M124" i="12"/>
  <c r="L124" i="12"/>
  <c r="H124" i="12"/>
  <c r="G124" i="12"/>
  <c r="F124" i="12"/>
  <c r="E124" i="12"/>
  <c r="D124" i="12"/>
  <c r="H129" i="4"/>
  <c r="C24" i="15"/>
  <c r="G90" i="4"/>
  <c r="G114" i="12"/>
  <c r="F114" i="12"/>
  <c r="E114" i="12"/>
  <c r="M114" i="12"/>
  <c r="L114" i="12"/>
  <c r="K114" i="12"/>
  <c r="J114" i="12"/>
  <c r="H114" i="12"/>
  <c r="D114" i="12"/>
  <c r="I114" i="12"/>
  <c r="I21" i="9"/>
  <c r="J41" i="2" s="1"/>
  <c r="H87" i="2"/>
  <c r="E43" i="4"/>
  <c r="F41" i="2"/>
  <c r="H27" i="5"/>
  <c r="I27" i="5" s="1"/>
  <c r="G60" i="6"/>
  <c r="E25" i="11"/>
  <c r="F91" i="2" s="1"/>
  <c r="E44" i="4"/>
  <c r="F87" i="2"/>
  <c r="C96" i="4"/>
  <c r="E88" i="2"/>
  <c r="H72" i="4"/>
  <c r="H73" i="4" s="1"/>
  <c r="G73" i="4"/>
  <c r="G85" i="4" s="1"/>
  <c r="G86" i="4" s="1"/>
  <c r="H90" i="4"/>
  <c r="G26" i="4"/>
  <c r="F27" i="4"/>
  <c r="F40" i="4" s="1"/>
  <c r="C151" i="12"/>
  <c r="D151" i="12" s="1"/>
  <c r="E151" i="12" s="1"/>
  <c r="F151" i="12" s="1"/>
  <c r="G151" i="12" s="1"/>
  <c r="H151" i="12" s="1"/>
  <c r="I151" i="12" s="1"/>
  <c r="J151" i="12" s="1"/>
  <c r="K151" i="12" s="1"/>
  <c r="L151" i="12" s="1"/>
  <c r="M151" i="12" s="1"/>
  <c r="N151" i="12" s="1"/>
  <c r="C152" i="12"/>
  <c r="D152" i="12" s="1"/>
  <c r="E152" i="12" s="1"/>
  <c r="F152" i="12" s="1"/>
  <c r="G152" i="12" s="1"/>
  <c r="H152" i="12" s="1"/>
  <c r="I152" i="12" s="1"/>
  <c r="J152" i="12" s="1"/>
  <c r="K152" i="12" s="1"/>
  <c r="L152" i="12" s="1"/>
  <c r="M152" i="12" s="1"/>
  <c r="N152" i="12" s="1"/>
  <c r="H226" i="4"/>
  <c r="H166" i="4"/>
  <c r="H167" i="4" s="1"/>
  <c r="G167" i="4"/>
  <c r="G179" i="4" s="1"/>
  <c r="G180" i="4" s="1"/>
  <c r="G24" i="4"/>
  <c r="F25" i="4"/>
  <c r="F33" i="4" s="1"/>
  <c r="F35" i="4" s="1"/>
  <c r="C25" i="11"/>
  <c r="E91" i="2" s="1"/>
  <c r="E87" i="2"/>
  <c r="C44" i="4"/>
  <c r="H78" i="4"/>
  <c r="H79" i="4" s="1"/>
  <c r="G79" i="4"/>
  <c r="G87" i="4" s="1"/>
  <c r="G89" i="4" s="1"/>
  <c r="G221" i="4"/>
  <c r="F222" i="4"/>
  <c r="C61" i="12"/>
  <c r="D61" i="12" s="1"/>
  <c r="E61" i="12" s="1"/>
  <c r="F61" i="12" s="1"/>
  <c r="G61" i="12" s="1"/>
  <c r="H61" i="12" s="1"/>
  <c r="I61" i="12" s="1"/>
  <c r="J61" i="12" s="1"/>
  <c r="K61" i="12" s="1"/>
  <c r="L61" i="12" s="1"/>
  <c r="M61" i="12" s="1"/>
  <c r="N61" i="12" s="1"/>
  <c r="C71" i="12"/>
  <c r="D71" i="12" s="1"/>
  <c r="E71" i="12" s="1"/>
  <c r="F71" i="12" s="1"/>
  <c r="G71" i="12" s="1"/>
  <c r="H71" i="12" s="1"/>
  <c r="I71" i="12" s="1"/>
  <c r="J71" i="12" s="1"/>
  <c r="K71" i="12" s="1"/>
  <c r="L71" i="12" s="1"/>
  <c r="M71" i="12" s="1"/>
  <c r="N71" i="12" s="1"/>
  <c r="H20" i="4"/>
  <c r="H21" i="4" s="1"/>
  <c r="H30" i="4" s="1"/>
  <c r="G21" i="4"/>
  <c r="G30" i="4" s="1"/>
  <c r="H64" i="12"/>
  <c r="G64" i="12"/>
  <c r="F64" i="12"/>
  <c r="E64" i="12"/>
  <c r="D64" i="12"/>
  <c r="M64" i="12"/>
  <c r="L64" i="12"/>
  <c r="K64" i="12"/>
  <c r="J64" i="12"/>
  <c r="I64" i="12"/>
  <c r="G229" i="4"/>
  <c r="F90" i="4"/>
  <c r="F91" i="4" s="1"/>
  <c r="F92" i="4" s="1"/>
  <c r="F87" i="4"/>
  <c r="F89" i="4" s="1"/>
  <c r="F88" i="4"/>
  <c r="G27" i="9"/>
  <c r="H48" i="2" s="1"/>
  <c r="C283" i="4"/>
  <c r="G94" i="2"/>
  <c r="D48" i="2"/>
  <c r="G61" i="6"/>
  <c r="G59" i="6"/>
  <c r="G182" i="4"/>
  <c r="G184" i="4"/>
  <c r="G185" i="4"/>
  <c r="G186" i="4" s="1"/>
  <c r="F89" i="2"/>
  <c r="E143" i="4"/>
  <c r="C60" i="6"/>
  <c r="H172" i="4"/>
  <c r="H173" i="4" s="1"/>
  <c r="G173" i="4"/>
  <c r="G181" i="4" s="1"/>
  <c r="G183" i="4" s="1"/>
  <c r="H27" i="9"/>
  <c r="I48" i="2" s="1"/>
  <c r="E48" i="2"/>
  <c r="D283" i="4"/>
  <c r="D289" i="4" s="1"/>
  <c r="E93" i="2"/>
  <c r="C237" i="4"/>
  <c r="C143" i="4"/>
  <c r="E89" i="2"/>
  <c r="G93" i="2" l="1"/>
  <c r="C236" i="4"/>
  <c r="G26" i="9"/>
  <c r="H47" i="2" s="1"/>
  <c r="D47" i="2"/>
  <c r="I26" i="9"/>
  <c r="J47" i="2" s="1"/>
  <c r="H93" i="2"/>
  <c r="E236" i="4"/>
  <c r="F47" i="2"/>
  <c r="G91" i="4"/>
  <c r="G92" i="4" s="1"/>
  <c r="F34" i="4"/>
  <c r="F37" i="4"/>
  <c r="F38" i="4" s="1"/>
  <c r="H26" i="9"/>
  <c r="I47" i="2" s="1"/>
  <c r="E47" i="2"/>
  <c r="D236" i="4"/>
  <c r="H13" i="12"/>
  <c r="C193" i="12"/>
  <c r="D193" i="12" s="1"/>
  <c r="E287" i="4"/>
  <c r="E290" i="4" s="1"/>
  <c r="D24" i="12"/>
  <c r="M24" i="12"/>
  <c r="L24" i="12"/>
  <c r="J24" i="12"/>
  <c r="I24" i="12"/>
  <c r="H24" i="12"/>
  <c r="G24" i="12"/>
  <c r="F24" i="12"/>
  <c r="E24" i="12"/>
  <c r="K24" i="12"/>
  <c r="G127" i="4"/>
  <c r="F128" i="4"/>
  <c r="C92" i="12"/>
  <c r="D92" i="12" s="1"/>
  <c r="E92" i="12" s="1"/>
  <c r="F92" i="12" s="1"/>
  <c r="G92" i="12" s="1"/>
  <c r="H92" i="12" s="1"/>
  <c r="I92" i="12" s="1"/>
  <c r="J92" i="12" s="1"/>
  <c r="K92" i="12" s="1"/>
  <c r="L92" i="12" s="1"/>
  <c r="M92" i="12" s="1"/>
  <c r="N92" i="12" s="1"/>
  <c r="C82" i="12"/>
  <c r="D82" i="12" s="1"/>
  <c r="E82" i="12" s="1"/>
  <c r="F82" i="12" s="1"/>
  <c r="G82" i="12" s="1"/>
  <c r="H82" i="12" s="1"/>
  <c r="I82" i="12" s="1"/>
  <c r="J82" i="12" s="1"/>
  <c r="K82" i="12" s="1"/>
  <c r="L82" i="12" s="1"/>
  <c r="M82" i="12" s="1"/>
  <c r="N82" i="12" s="1"/>
  <c r="C102" i="12"/>
  <c r="D102" i="12" s="1"/>
  <c r="E102" i="12" s="1"/>
  <c r="F102" i="12" s="1"/>
  <c r="G102" i="12" s="1"/>
  <c r="H102" i="12" s="1"/>
  <c r="I102" i="12" s="1"/>
  <c r="J102" i="12" s="1"/>
  <c r="K102" i="12" s="1"/>
  <c r="L102" i="12" s="1"/>
  <c r="M102" i="12" s="1"/>
  <c r="N102" i="12" s="1"/>
  <c r="H132" i="4"/>
  <c r="H133" i="4" s="1"/>
  <c r="H135" i="4" s="1"/>
  <c r="D30" i="5"/>
  <c r="E25" i="2" s="1"/>
  <c r="J30" i="5"/>
  <c r="J26" i="5"/>
  <c r="D23" i="5"/>
  <c r="J24" i="5"/>
  <c r="D25" i="5"/>
  <c r="E20" i="2" s="1"/>
  <c r="J23" i="5"/>
  <c r="D26" i="5"/>
  <c r="E21" i="2" s="1"/>
  <c r="J29" i="5"/>
  <c r="D24" i="5"/>
  <c r="E19" i="2" s="1"/>
  <c r="D29" i="5"/>
  <c r="E24" i="2" s="1"/>
  <c r="J25" i="5"/>
  <c r="H18" i="4"/>
  <c r="H19" i="4" s="1"/>
  <c r="H31" i="4" s="1"/>
  <c r="G19" i="4"/>
  <c r="G31" i="4" s="1"/>
  <c r="G32" i="4" s="1"/>
  <c r="C59" i="6"/>
  <c r="C8" i="4"/>
  <c r="C61" i="6"/>
  <c r="D301" i="4"/>
  <c r="D302" i="4" s="1"/>
  <c r="C30" i="5"/>
  <c r="C25" i="5"/>
  <c r="C29" i="5"/>
  <c r="C24" i="5"/>
  <c r="C26" i="5"/>
  <c r="C23" i="5"/>
  <c r="C101" i="12"/>
  <c r="D101" i="12" s="1"/>
  <c r="E101" i="12" s="1"/>
  <c r="F101" i="12" s="1"/>
  <c r="G101" i="12" s="1"/>
  <c r="H101" i="12" s="1"/>
  <c r="I101" i="12" s="1"/>
  <c r="J101" i="12" s="1"/>
  <c r="K101" i="12" s="1"/>
  <c r="L101" i="12" s="1"/>
  <c r="M101" i="12" s="1"/>
  <c r="N101" i="12" s="1"/>
  <c r="G80" i="4"/>
  <c r="F81" i="4"/>
  <c r="E301" i="4"/>
  <c r="E302" i="4" s="1"/>
  <c r="G174" i="12"/>
  <c r="F174" i="12"/>
  <c r="E174" i="12"/>
  <c r="D174" i="12"/>
  <c r="K174" i="12"/>
  <c r="I174" i="12"/>
  <c r="H174" i="12"/>
  <c r="M174" i="12"/>
  <c r="L174" i="12"/>
  <c r="J174" i="12"/>
  <c r="E60" i="6"/>
  <c r="G174" i="4"/>
  <c r="F175" i="4"/>
  <c r="D59" i="6"/>
  <c r="D61" i="6"/>
  <c r="D8" i="4"/>
  <c r="C81" i="12"/>
  <c r="D81" i="12" s="1"/>
  <c r="E81" i="12" s="1"/>
  <c r="F81" i="12" s="1"/>
  <c r="G81" i="12" s="1"/>
  <c r="H81" i="12" s="1"/>
  <c r="I81" i="12" s="1"/>
  <c r="J81" i="12" s="1"/>
  <c r="K81" i="12" s="1"/>
  <c r="L81" i="12" s="1"/>
  <c r="M81" i="12" s="1"/>
  <c r="N81" i="12" s="1"/>
  <c r="H221" i="4"/>
  <c r="H222" i="4" s="1"/>
  <c r="G222" i="4"/>
  <c r="L44" i="12"/>
  <c r="K44" i="12"/>
  <c r="J44" i="12"/>
  <c r="I44" i="12"/>
  <c r="H44" i="12"/>
  <c r="M44" i="12"/>
  <c r="G44" i="12"/>
  <c r="F44" i="12"/>
  <c r="E44" i="12"/>
  <c r="D44" i="12"/>
  <c r="E61" i="6"/>
  <c r="E59" i="6"/>
  <c r="E8" i="4"/>
  <c r="C141" i="12"/>
  <c r="D141" i="12" s="1"/>
  <c r="E141" i="12" s="1"/>
  <c r="F141" i="12" s="1"/>
  <c r="G141" i="12" s="1"/>
  <c r="H141" i="12" s="1"/>
  <c r="I141" i="12" s="1"/>
  <c r="J141" i="12" s="1"/>
  <c r="K141" i="12" s="1"/>
  <c r="L141" i="12" s="1"/>
  <c r="M141" i="12" s="1"/>
  <c r="N141" i="12" s="1"/>
  <c r="H24" i="4"/>
  <c r="H25" i="4" s="1"/>
  <c r="G25" i="4"/>
  <c r="C122" i="12"/>
  <c r="D122" i="12" s="1"/>
  <c r="E122" i="12" s="1"/>
  <c r="F122" i="12" s="1"/>
  <c r="G122" i="12" s="1"/>
  <c r="H122" i="12" s="1"/>
  <c r="I122" i="12" s="1"/>
  <c r="J122" i="12" s="1"/>
  <c r="K122" i="12" s="1"/>
  <c r="L122" i="12" s="1"/>
  <c r="M122" i="12" s="1"/>
  <c r="N122" i="12" s="1"/>
  <c r="C112" i="12"/>
  <c r="D112" i="12" s="1"/>
  <c r="E112" i="12" s="1"/>
  <c r="F112" i="12" s="1"/>
  <c r="G112" i="12" s="1"/>
  <c r="H112" i="12" s="1"/>
  <c r="I112" i="12" s="1"/>
  <c r="J112" i="12" s="1"/>
  <c r="K112" i="12" s="1"/>
  <c r="L112" i="12" s="1"/>
  <c r="M112" i="12" s="1"/>
  <c r="N112" i="12" s="1"/>
  <c r="C132" i="12"/>
  <c r="D132" i="12" s="1"/>
  <c r="E132" i="12" s="1"/>
  <c r="F132" i="12" s="1"/>
  <c r="G132" i="12" s="1"/>
  <c r="H132" i="12" s="1"/>
  <c r="I132" i="12" s="1"/>
  <c r="J132" i="12" s="1"/>
  <c r="K132" i="12" s="1"/>
  <c r="L132" i="12" s="1"/>
  <c r="M132" i="12" s="1"/>
  <c r="N132" i="12" s="1"/>
  <c r="H179" i="4"/>
  <c r="H180" i="4" s="1"/>
  <c r="H185" i="4" s="1"/>
  <c r="H186" i="4" s="1"/>
  <c r="E195" i="4" s="1"/>
  <c r="G88" i="4"/>
  <c r="E25" i="5"/>
  <c r="E30" i="5"/>
  <c r="E26" i="5"/>
  <c r="E29" i="5"/>
  <c r="E23" i="5"/>
  <c r="E24" i="5"/>
  <c r="H34" i="12"/>
  <c r="G34" i="12"/>
  <c r="F34" i="12"/>
  <c r="E34" i="12"/>
  <c r="L34" i="12"/>
  <c r="J34" i="12"/>
  <c r="I34" i="12"/>
  <c r="D34" i="12"/>
  <c r="M34" i="12"/>
  <c r="K34" i="12"/>
  <c r="H268" i="4"/>
  <c r="H269" i="4" s="1"/>
  <c r="C14" i="9" s="1"/>
  <c r="F14" i="9" s="1"/>
  <c r="G14" i="9" s="1"/>
  <c r="C48" i="2" s="1"/>
  <c r="G269" i="4"/>
  <c r="G13" i="12"/>
  <c r="C183" i="12"/>
  <c r="D183" i="12" s="1"/>
  <c r="D287" i="4"/>
  <c r="D290" i="4" s="1"/>
  <c r="D291" i="4" s="1"/>
  <c r="D293" i="4" s="1"/>
  <c r="D294" i="4" s="1"/>
  <c r="M194" i="12"/>
  <c r="L194" i="12"/>
  <c r="K194" i="12"/>
  <c r="J194" i="12"/>
  <c r="I194" i="12"/>
  <c r="H194" i="12"/>
  <c r="G194" i="12"/>
  <c r="F194" i="12"/>
  <c r="E194" i="12"/>
  <c r="D194" i="12"/>
  <c r="K184" i="12"/>
  <c r="J184" i="12"/>
  <c r="I184" i="12"/>
  <c r="H184" i="12"/>
  <c r="G184" i="12"/>
  <c r="E184" i="12"/>
  <c r="D184" i="12"/>
  <c r="M184" i="12"/>
  <c r="F184" i="12"/>
  <c r="L184" i="12"/>
  <c r="H227" i="4"/>
  <c r="H228" i="4"/>
  <c r="H230" i="4" s="1"/>
  <c r="C52" i="12"/>
  <c r="D52" i="12" s="1"/>
  <c r="E52" i="12" s="1"/>
  <c r="F52" i="12" s="1"/>
  <c r="G52" i="12" s="1"/>
  <c r="H52" i="12" s="1"/>
  <c r="I52" i="12" s="1"/>
  <c r="J52" i="12" s="1"/>
  <c r="K52" i="12" s="1"/>
  <c r="L52" i="12" s="1"/>
  <c r="M52" i="12" s="1"/>
  <c r="N52" i="12" s="1"/>
  <c r="C62" i="12"/>
  <c r="D62" i="12" s="1"/>
  <c r="E62" i="12" s="1"/>
  <c r="F62" i="12" s="1"/>
  <c r="G62" i="12" s="1"/>
  <c r="H62" i="12" s="1"/>
  <c r="I62" i="12" s="1"/>
  <c r="J62" i="12" s="1"/>
  <c r="K62" i="12" s="1"/>
  <c r="L62" i="12" s="1"/>
  <c r="M62" i="12" s="1"/>
  <c r="N62" i="12" s="1"/>
  <c r="C72" i="12"/>
  <c r="D72" i="12" s="1"/>
  <c r="E72" i="12" s="1"/>
  <c r="F72" i="12" s="1"/>
  <c r="G72" i="12" s="1"/>
  <c r="H72" i="12" s="1"/>
  <c r="I72" i="12" s="1"/>
  <c r="J72" i="12" s="1"/>
  <c r="K72" i="12" s="1"/>
  <c r="L72" i="12" s="1"/>
  <c r="M72" i="12" s="1"/>
  <c r="N72" i="12" s="1"/>
  <c r="H85" i="4"/>
  <c r="H86" i="4" s="1"/>
  <c r="H91" i="4" s="1"/>
  <c r="H92" i="4" s="1"/>
  <c r="G28" i="4"/>
  <c r="H26" i="4"/>
  <c r="H27" i="4" s="1"/>
  <c r="G27" i="4"/>
  <c r="G40" i="4" s="1"/>
  <c r="F24" i="15"/>
  <c r="E24" i="15"/>
  <c r="C289" i="4"/>
  <c r="C172" i="12"/>
  <c r="D172" i="12" s="1"/>
  <c r="E172" i="12" s="1"/>
  <c r="F172" i="12" s="1"/>
  <c r="G172" i="12" s="1"/>
  <c r="H172" i="12" s="1"/>
  <c r="I172" i="12" s="1"/>
  <c r="J172" i="12" s="1"/>
  <c r="K172" i="12" s="1"/>
  <c r="L172" i="12" s="1"/>
  <c r="M172" i="12" s="1"/>
  <c r="N172" i="12" s="1"/>
  <c r="C171" i="12"/>
  <c r="D171" i="12" s="1"/>
  <c r="E171" i="12" s="1"/>
  <c r="F171" i="12" s="1"/>
  <c r="G171" i="12" s="1"/>
  <c r="H171" i="12" s="1"/>
  <c r="I171" i="12" s="1"/>
  <c r="J171" i="12" s="1"/>
  <c r="K171" i="12" s="1"/>
  <c r="L171" i="12" s="1"/>
  <c r="M171" i="12" s="1"/>
  <c r="N171" i="12" s="1"/>
  <c r="H28" i="4"/>
  <c r="C286" i="4"/>
  <c r="E289" i="4"/>
  <c r="E291" i="4" s="1"/>
  <c r="E293" i="4" s="1"/>
  <c r="E294" i="4" s="1"/>
  <c r="C191" i="12"/>
  <c r="D191" i="12" s="1"/>
  <c r="E191" i="12" s="1"/>
  <c r="F191" i="12" s="1"/>
  <c r="G191" i="12" s="1"/>
  <c r="H191" i="12" s="1"/>
  <c r="I191" i="12" s="1"/>
  <c r="J191" i="12" s="1"/>
  <c r="K191" i="12" s="1"/>
  <c r="L191" i="12" s="1"/>
  <c r="M191" i="12" s="1"/>
  <c r="N191" i="12" s="1"/>
  <c r="C192" i="12"/>
  <c r="D192" i="12" s="1"/>
  <c r="E192" i="12" s="1"/>
  <c r="F192" i="12" s="1"/>
  <c r="G192" i="12" s="1"/>
  <c r="H192" i="12" s="1"/>
  <c r="I192" i="12" s="1"/>
  <c r="J192" i="12" s="1"/>
  <c r="K192" i="12" s="1"/>
  <c r="L192" i="12" s="1"/>
  <c r="M192" i="12" s="1"/>
  <c r="N192" i="12" s="1"/>
  <c r="G135" i="4"/>
  <c r="G137" i="4"/>
  <c r="G138" i="4"/>
  <c r="G139" i="4" s="1"/>
  <c r="G134" i="4"/>
  <c r="G136" i="4" s="1"/>
  <c r="C161" i="12"/>
  <c r="D161" i="12" s="1"/>
  <c r="E161" i="12" s="1"/>
  <c r="F161" i="12" s="1"/>
  <c r="G161" i="12" s="1"/>
  <c r="H161" i="12" s="1"/>
  <c r="I161" i="12" s="1"/>
  <c r="J161" i="12" s="1"/>
  <c r="K161" i="12" s="1"/>
  <c r="L161" i="12" s="1"/>
  <c r="M161" i="12" s="1"/>
  <c r="N161" i="12" s="1"/>
  <c r="C51" i="12"/>
  <c r="D51" i="12" s="1"/>
  <c r="E51" i="12" s="1"/>
  <c r="F51" i="12" s="1"/>
  <c r="G51" i="12" s="1"/>
  <c r="H51" i="12" s="1"/>
  <c r="I51" i="12" s="1"/>
  <c r="J51" i="12" s="1"/>
  <c r="K51" i="12" s="1"/>
  <c r="L51" i="12" s="1"/>
  <c r="M51" i="12" s="1"/>
  <c r="N51" i="12" s="1"/>
  <c r="C162" i="12"/>
  <c r="D162" i="12" s="1"/>
  <c r="E162" i="12" s="1"/>
  <c r="F162" i="12" s="1"/>
  <c r="G162" i="12" s="1"/>
  <c r="H162" i="12" s="1"/>
  <c r="I162" i="12" s="1"/>
  <c r="J162" i="12" s="1"/>
  <c r="K162" i="12" s="1"/>
  <c r="L162" i="12" s="1"/>
  <c r="M162" i="12" s="1"/>
  <c r="N162" i="12" s="1"/>
  <c r="C142" i="12"/>
  <c r="D142" i="12" s="1"/>
  <c r="E142" i="12" s="1"/>
  <c r="F142" i="12" s="1"/>
  <c r="G142" i="12" s="1"/>
  <c r="H142" i="12" s="1"/>
  <c r="I142" i="12" s="1"/>
  <c r="J142" i="12" s="1"/>
  <c r="K142" i="12" s="1"/>
  <c r="L142" i="12" s="1"/>
  <c r="M142" i="12" s="1"/>
  <c r="N142" i="12" s="1"/>
  <c r="H137" i="4"/>
  <c r="H138" i="4" s="1"/>
  <c r="H139" i="4" s="1"/>
  <c r="D60" i="6"/>
  <c r="E101" i="4" l="1"/>
  <c r="H164" i="12"/>
  <c r="G164" i="12"/>
  <c r="F164" i="12"/>
  <c r="J164" i="12"/>
  <c r="E164" i="12"/>
  <c r="L164" i="12"/>
  <c r="K164" i="12"/>
  <c r="M164" i="12"/>
  <c r="I164" i="12"/>
  <c r="D164" i="12"/>
  <c r="E148" i="4"/>
  <c r="D148" i="4"/>
  <c r="H134" i="4"/>
  <c r="H136" i="4" s="1"/>
  <c r="H181" i="4"/>
  <c r="H183" i="4" s="1"/>
  <c r="C195" i="4"/>
  <c r="L154" i="12"/>
  <c r="K154" i="12"/>
  <c r="J154" i="12"/>
  <c r="H154" i="12"/>
  <c r="I154" i="12"/>
  <c r="M154" i="12"/>
  <c r="E154" i="12"/>
  <c r="F154" i="12"/>
  <c r="G154" i="12"/>
  <c r="D154" i="12"/>
  <c r="M144" i="12"/>
  <c r="H144" i="12"/>
  <c r="E144" i="12"/>
  <c r="L144" i="12"/>
  <c r="K144" i="12"/>
  <c r="D144" i="12"/>
  <c r="J144" i="12"/>
  <c r="I144" i="12"/>
  <c r="G144" i="12"/>
  <c r="F144" i="12"/>
  <c r="D297" i="4"/>
  <c r="D296" i="4"/>
  <c r="D299" i="4"/>
  <c r="K106" i="2" s="1"/>
  <c r="D29" i="15"/>
  <c r="F58" i="2"/>
  <c r="C192" i="4"/>
  <c r="E192" i="4"/>
  <c r="D192" i="4"/>
  <c r="D28" i="15"/>
  <c r="E58" i="2"/>
  <c r="H182" i="4"/>
  <c r="E297" i="4"/>
  <c r="E296" i="4"/>
  <c r="E299" i="4"/>
  <c r="E98" i="4"/>
  <c r="C98" i="4"/>
  <c r="D98" i="4"/>
  <c r="C173" i="12"/>
  <c r="D173" i="12" s="1"/>
  <c r="F13" i="12"/>
  <c r="C287" i="4"/>
  <c r="C290" i="4" s="1"/>
  <c r="C291" i="4" s="1"/>
  <c r="C293" i="4" s="1"/>
  <c r="C294" i="4" s="1"/>
  <c r="D101" i="4"/>
  <c r="H80" i="4"/>
  <c r="H81" i="4" s="1"/>
  <c r="G81" i="4"/>
  <c r="H87" i="4"/>
  <c r="H89" i="4" s="1"/>
  <c r="H232" i="4"/>
  <c r="H233" i="4" s="1"/>
  <c r="H229" i="4"/>
  <c r="E183" i="12"/>
  <c r="D185" i="12"/>
  <c r="H32" i="4"/>
  <c r="H34" i="4" s="1"/>
  <c r="C160" i="4"/>
  <c r="C161" i="4" s="1"/>
  <c r="E160" i="4"/>
  <c r="E161" i="4" s="1"/>
  <c r="D160" i="4"/>
  <c r="D161" i="4" s="1"/>
  <c r="D30" i="15" s="1"/>
  <c r="C101" i="4"/>
  <c r="E207" i="4"/>
  <c r="E208" i="4" s="1"/>
  <c r="C207" i="4"/>
  <c r="C208" i="4" s="1"/>
  <c r="D207" i="4"/>
  <c r="D208" i="4" s="1"/>
  <c r="C13" i="9"/>
  <c r="F13" i="9" s="1"/>
  <c r="G13" i="9" s="1"/>
  <c r="C47" i="2" s="1"/>
  <c r="C254" i="4"/>
  <c r="C255" i="4" s="1"/>
  <c r="E254" i="4"/>
  <c r="E255" i="4" s="1"/>
  <c r="D254" i="4"/>
  <c r="D255" i="4" s="1"/>
  <c r="C30" i="15" s="1"/>
  <c r="C27" i="5"/>
  <c r="C53" i="15" s="1"/>
  <c r="C35" i="5"/>
  <c r="D195" i="12"/>
  <c r="E193" i="12"/>
  <c r="G34" i="4"/>
  <c r="G36" i="4"/>
  <c r="G37" i="4" s="1"/>
  <c r="G38" i="4" s="1"/>
  <c r="G33" i="4"/>
  <c r="G35" i="4" s="1"/>
  <c r="C26" i="15" s="1"/>
  <c r="D27" i="15"/>
  <c r="D58" i="2"/>
  <c r="H127" i="4"/>
  <c r="H128" i="4" s="1"/>
  <c r="C9" i="9" s="1"/>
  <c r="F9" i="9" s="1"/>
  <c r="G9" i="9" s="1"/>
  <c r="C43" i="2" s="1"/>
  <c r="G128" i="4"/>
  <c r="D27" i="5"/>
  <c r="D35" i="5"/>
  <c r="E18" i="2"/>
  <c r="E26" i="2" s="1"/>
  <c r="H174" i="4"/>
  <c r="H175" i="4" s="1"/>
  <c r="C10" i="9" s="1"/>
  <c r="F10" i="9" s="1"/>
  <c r="G10" i="9" s="1"/>
  <c r="C44" i="2" s="1"/>
  <c r="G175" i="4"/>
  <c r="C148" i="4"/>
  <c r="H36" i="4"/>
  <c r="H37" i="4"/>
  <c r="H38" i="4" s="1"/>
  <c r="H33" i="4"/>
  <c r="H35" i="4" s="1"/>
  <c r="D145" i="4"/>
  <c r="C145" i="4"/>
  <c r="E145" i="4"/>
  <c r="C21" i="12"/>
  <c r="D21" i="12" s="1"/>
  <c r="E21" i="12" s="1"/>
  <c r="F21" i="12" s="1"/>
  <c r="G21" i="12" s="1"/>
  <c r="H21" i="12" s="1"/>
  <c r="I21" i="12" s="1"/>
  <c r="J21" i="12" s="1"/>
  <c r="K21" i="12" s="1"/>
  <c r="L21" i="12" s="1"/>
  <c r="M21" i="12" s="1"/>
  <c r="N21" i="12" s="1"/>
  <c r="C41" i="12"/>
  <c r="D41" i="12" s="1"/>
  <c r="E41" i="12" s="1"/>
  <c r="F41" i="12" s="1"/>
  <c r="G41" i="12" s="1"/>
  <c r="H41" i="12" s="1"/>
  <c r="I41" i="12" s="1"/>
  <c r="J41" i="12" s="1"/>
  <c r="K41" i="12" s="1"/>
  <c r="L41" i="12" s="1"/>
  <c r="M41" i="12" s="1"/>
  <c r="N41" i="12" s="1"/>
  <c r="C31" i="12"/>
  <c r="D31" i="12" s="1"/>
  <c r="E31" i="12" s="1"/>
  <c r="F31" i="12" s="1"/>
  <c r="G31" i="12" s="1"/>
  <c r="H31" i="12" s="1"/>
  <c r="I31" i="12" s="1"/>
  <c r="J31" i="12" s="1"/>
  <c r="K31" i="12" s="1"/>
  <c r="L31" i="12" s="1"/>
  <c r="M31" i="12" s="1"/>
  <c r="N31" i="12" s="1"/>
  <c r="H40" i="4"/>
  <c r="E35" i="5"/>
  <c r="E27" i="5"/>
  <c r="C57" i="15" s="1"/>
  <c r="H88" i="4"/>
  <c r="D195" i="4"/>
  <c r="D49" i="4" l="1"/>
  <c r="C49" i="4"/>
  <c r="E49" i="4"/>
  <c r="H8" i="12"/>
  <c r="C73" i="12"/>
  <c r="D73" i="12" s="1"/>
  <c r="E99" i="4"/>
  <c r="E102" i="4" s="1"/>
  <c r="E103" i="4" s="1"/>
  <c r="E105" i="4" s="1"/>
  <c r="E106" i="4" s="1"/>
  <c r="F183" i="12"/>
  <c r="E185" i="12"/>
  <c r="C53" i="12"/>
  <c r="D53" i="12" s="1"/>
  <c r="F8" i="12"/>
  <c r="C99" i="4"/>
  <c r="C102" i="4" s="1"/>
  <c r="C103" i="4" s="1"/>
  <c r="C105" i="4" s="1"/>
  <c r="C106" i="4" s="1"/>
  <c r="C7" i="9"/>
  <c r="F7" i="9" s="1"/>
  <c r="G7" i="9" s="1"/>
  <c r="C41" i="2" s="1"/>
  <c r="C54" i="4"/>
  <c r="E67" i="4"/>
  <c r="E54" i="4"/>
  <c r="D54" i="4"/>
  <c r="C67" i="4"/>
  <c r="D67" i="4"/>
  <c r="D13" i="4" s="1"/>
  <c r="D14" i="4" s="1"/>
  <c r="D56" i="4"/>
  <c r="E56" i="4"/>
  <c r="C297" i="4"/>
  <c r="H106" i="2" s="1"/>
  <c r="C296" i="4"/>
  <c r="C299" i="4"/>
  <c r="E113" i="4"/>
  <c r="E114" i="4" s="1"/>
  <c r="C8" i="9"/>
  <c r="F8" i="9" s="1"/>
  <c r="G8" i="9" s="1"/>
  <c r="C42" i="2" s="1"/>
  <c r="C113" i="4"/>
  <c r="C114" i="4" s="1"/>
  <c r="D113" i="4"/>
  <c r="D114" i="4" s="1"/>
  <c r="J94" i="2"/>
  <c r="F37" i="2"/>
  <c r="J37" i="2" s="1"/>
  <c r="G106" i="2"/>
  <c r="E298" i="4"/>
  <c r="H9" i="12"/>
  <c r="C103" i="12"/>
  <c r="D103" i="12" s="1"/>
  <c r="E146" i="4"/>
  <c r="E149" i="4" s="1"/>
  <c r="E150" i="4" s="1"/>
  <c r="E152" i="4" s="1"/>
  <c r="E153" i="4" s="1"/>
  <c r="F18" i="2"/>
  <c r="D34" i="5"/>
  <c r="E195" i="12"/>
  <c r="F193" i="12"/>
  <c r="F26" i="15"/>
  <c r="E26" i="15"/>
  <c r="E66" i="4"/>
  <c r="C66" i="4"/>
  <c r="C12" i="4" s="1"/>
  <c r="C27" i="15" s="1"/>
  <c r="D66" i="4"/>
  <c r="D12" i="4" s="1"/>
  <c r="C28" i="15" s="1"/>
  <c r="F53" i="15"/>
  <c r="E53" i="15"/>
  <c r="F106" i="2"/>
  <c r="D298" i="4"/>
  <c r="D25" i="2" s="1"/>
  <c r="E37" i="2"/>
  <c r="I37" i="2" s="1"/>
  <c r="C55" i="15"/>
  <c r="E22" i="2"/>
  <c r="F30" i="15"/>
  <c r="E30" i="15"/>
  <c r="E239" i="4"/>
  <c r="D239" i="4"/>
  <c r="C239" i="4"/>
  <c r="D242" i="4"/>
  <c r="C242" i="4"/>
  <c r="E242" i="4"/>
  <c r="C83" i="12"/>
  <c r="D83" i="12" s="1"/>
  <c r="F9" i="12"/>
  <c r="C146" i="4"/>
  <c r="C149" i="4" s="1"/>
  <c r="D46" i="4"/>
  <c r="D47" i="4" s="1"/>
  <c r="D50" i="4" s="1"/>
  <c r="E46" i="4"/>
  <c r="E47" i="4" s="1"/>
  <c r="E50" i="4" s="1"/>
  <c r="C46" i="4"/>
  <c r="C47" i="4" s="1"/>
  <c r="C50" i="4" s="1"/>
  <c r="E173" i="12"/>
  <c r="D175" i="12"/>
  <c r="C123" i="12"/>
  <c r="D123" i="12" s="1"/>
  <c r="G10" i="12"/>
  <c r="D193" i="4"/>
  <c r="D196" i="4" s="1"/>
  <c r="D197" i="4" s="1"/>
  <c r="D199" i="4" s="1"/>
  <c r="D200" i="4" s="1"/>
  <c r="C56" i="4"/>
  <c r="C113" i="12"/>
  <c r="D113" i="12" s="1"/>
  <c r="F10" i="12"/>
  <c r="C193" i="4"/>
  <c r="C196" i="4" s="1"/>
  <c r="C197" i="4" s="1"/>
  <c r="C199" i="4" s="1"/>
  <c r="C200" i="4" s="1"/>
  <c r="C150" i="4"/>
  <c r="C152" i="4" s="1"/>
  <c r="C153" i="4" s="1"/>
  <c r="C93" i="12"/>
  <c r="D93" i="12" s="1"/>
  <c r="G9" i="12"/>
  <c r="D146" i="4"/>
  <c r="D149" i="4" s="1"/>
  <c r="D150" i="4" s="1"/>
  <c r="D152" i="4" s="1"/>
  <c r="D153" i="4" s="1"/>
  <c r="C34" i="5"/>
  <c r="F57" i="15"/>
  <c r="E57" i="15"/>
  <c r="E34" i="5"/>
  <c r="C63" i="12"/>
  <c r="D63" i="12" s="1"/>
  <c r="G8" i="12"/>
  <c r="D99" i="4"/>
  <c r="D102" i="4" s="1"/>
  <c r="D103" i="4" s="1"/>
  <c r="D105" i="4" s="1"/>
  <c r="D106" i="4" s="1"/>
  <c r="C133" i="12"/>
  <c r="D133" i="12" s="1"/>
  <c r="H10" i="12"/>
  <c r="E193" i="4"/>
  <c r="E196" i="4" s="1"/>
  <c r="E197" i="4" s="1"/>
  <c r="E199" i="4" s="1"/>
  <c r="E200" i="4" s="1"/>
  <c r="D203" i="4" l="1"/>
  <c r="D202" i="4"/>
  <c r="I56" i="2" s="1"/>
  <c r="E56" i="2"/>
  <c r="D205" i="4"/>
  <c r="K102" i="2" s="1"/>
  <c r="D54" i="2"/>
  <c r="C109" i="4"/>
  <c r="C108" i="4"/>
  <c r="H54" i="2" s="1"/>
  <c r="C111" i="4"/>
  <c r="D108" i="4"/>
  <c r="I54" i="2" s="1"/>
  <c r="D109" i="4"/>
  <c r="E54" i="2"/>
  <c r="D111" i="4"/>
  <c r="K100" i="2" s="1"/>
  <c r="F173" i="12"/>
  <c r="E175" i="12"/>
  <c r="D135" i="12"/>
  <c r="E133" i="12"/>
  <c r="E93" i="12"/>
  <c r="D95" i="12"/>
  <c r="E12" i="4"/>
  <c r="C29" i="15" s="1"/>
  <c r="C156" i="4"/>
  <c r="C155" i="4"/>
  <c r="H55" i="2" s="1"/>
  <c r="D55" i="2"/>
  <c r="C158" i="4"/>
  <c r="C64" i="5"/>
  <c r="D37" i="2"/>
  <c r="H37" i="2" s="1"/>
  <c r="C298" i="4"/>
  <c r="I94" i="2"/>
  <c r="E106" i="2"/>
  <c r="C106" i="2"/>
  <c r="D106" i="2" s="1"/>
  <c r="D55" i="12"/>
  <c r="E53" i="12"/>
  <c r="F28" i="15"/>
  <c r="E28" i="15"/>
  <c r="D105" i="12"/>
  <c r="E103" i="12"/>
  <c r="C202" i="4"/>
  <c r="H56" i="2" s="1"/>
  <c r="C203" i="4"/>
  <c r="D56" i="2"/>
  <c r="C205" i="4"/>
  <c r="E203" i="4"/>
  <c r="F56" i="2"/>
  <c r="E202" i="4"/>
  <c r="J56" i="2" s="1"/>
  <c r="E205" i="4"/>
  <c r="F27" i="15"/>
  <c r="E27" i="15"/>
  <c r="G183" i="12"/>
  <c r="F185" i="12"/>
  <c r="E113" i="12"/>
  <c r="D115" i="12"/>
  <c r="G193" i="12"/>
  <c r="F195" i="12"/>
  <c r="C13" i="4"/>
  <c r="C14" i="4" s="1"/>
  <c r="E73" i="12"/>
  <c r="D75" i="12"/>
  <c r="F55" i="2"/>
  <c r="E156" i="4"/>
  <c r="E155" i="4"/>
  <c r="J55" i="2" s="1"/>
  <c r="E158" i="4"/>
  <c r="E63" i="12"/>
  <c r="D65" i="12"/>
  <c r="F55" i="15"/>
  <c r="E55" i="15"/>
  <c r="E244" i="4"/>
  <c r="E246" i="4" s="1"/>
  <c r="E247" i="4" s="1"/>
  <c r="G7" i="12"/>
  <c r="C33" i="12"/>
  <c r="D33" i="12" s="1"/>
  <c r="D55" i="4"/>
  <c r="D57" i="4" s="1"/>
  <c r="D58" i="4" s="1"/>
  <c r="D156" i="4"/>
  <c r="D155" i="4"/>
  <c r="I55" i="2" s="1"/>
  <c r="E55" i="2"/>
  <c r="D158" i="4"/>
  <c r="K101" i="2" s="1"/>
  <c r="C163" i="12"/>
  <c r="D163" i="12" s="1"/>
  <c r="H12" i="12"/>
  <c r="E240" i="4"/>
  <c r="E243" i="4" s="1"/>
  <c r="E42" i="5"/>
  <c r="E64" i="5" s="1"/>
  <c r="E41" i="5"/>
  <c r="E38" i="5"/>
  <c r="E36" i="5"/>
  <c r="E37" i="5"/>
  <c r="D85" i="12"/>
  <c r="E83" i="12"/>
  <c r="J41" i="5"/>
  <c r="D37" i="5"/>
  <c r="F20" i="2" s="1"/>
  <c r="D36" i="5"/>
  <c r="J42" i="5"/>
  <c r="D38" i="5"/>
  <c r="F21" i="2" s="1"/>
  <c r="D42" i="5"/>
  <c r="J37" i="5"/>
  <c r="J38" i="5"/>
  <c r="J36" i="5"/>
  <c r="D41" i="5"/>
  <c r="F24" i="2" s="1"/>
  <c r="H7" i="12"/>
  <c r="C43" i="12"/>
  <c r="D43" i="12" s="1"/>
  <c r="E55" i="4"/>
  <c r="E57" i="4" s="1"/>
  <c r="E58" i="4" s="1"/>
  <c r="E59" i="4" s="1"/>
  <c r="E51" i="4"/>
  <c r="E53" i="4" s="1"/>
  <c r="E108" i="4"/>
  <c r="J54" i="2" s="1"/>
  <c r="F54" i="2"/>
  <c r="E109" i="4"/>
  <c r="E111" i="4"/>
  <c r="E123" i="12"/>
  <c r="D125" i="12"/>
  <c r="E13" i="4"/>
  <c r="E14" i="4" s="1"/>
  <c r="C51" i="4"/>
  <c r="C53" i="4" s="1"/>
  <c r="C36" i="5"/>
  <c r="C37" i="5"/>
  <c r="C38" i="5"/>
  <c r="C41" i="5"/>
  <c r="C42" i="5"/>
  <c r="F12" i="12"/>
  <c r="C143" i="12"/>
  <c r="D143" i="12" s="1"/>
  <c r="C240" i="4"/>
  <c r="C243" i="4" s="1"/>
  <c r="C244" i="4" s="1"/>
  <c r="C246" i="4" s="1"/>
  <c r="C247" i="4" s="1"/>
  <c r="G12" i="12"/>
  <c r="C153" i="12"/>
  <c r="D153" i="12" s="1"/>
  <c r="D240" i="4"/>
  <c r="D243" i="4" s="1"/>
  <c r="D244" i="4" s="1"/>
  <c r="D246" i="4" s="1"/>
  <c r="D247" i="4" s="1"/>
  <c r="C23" i="12"/>
  <c r="D23" i="12" s="1"/>
  <c r="F7" i="12"/>
  <c r="C55" i="4"/>
  <c r="C57" i="4" s="1"/>
  <c r="C58" i="4" s="1"/>
  <c r="C59" i="4" s="1"/>
  <c r="D51" i="4"/>
  <c r="D53" i="4" s="1"/>
  <c r="C39" i="5" l="1"/>
  <c r="C54" i="15" s="1"/>
  <c r="F54" i="15" s="1"/>
  <c r="C33" i="15"/>
  <c r="E33" i="15" s="1"/>
  <c r="D59" i="4"/>
  <c r="F53" i="2"/>
  <c r="E61" i="4"/>
  <c r="J53" i="2" s="1"/>
  <c r="E62" i="4"/>
  <c r="E7" i="4"/>
  <c r="E64" i="4"/>
  <c r="D53" i="2"/>
  <c r="C62" i="4"/>
  <c r="C61" i="4"/>
  <c r="H53" i="2" s="1"/>
  <c r="C7" i="4"/>
  <c r="C64" i="4"/>
  <c r="D249" i="4"/>
  <c r="D250" i="4"/>
  <c r="D252" i="4"/>
  <c r="K105" i="2" s="1"/>
  <c r="C249" i="4"/>
  <c r="C250" i="4"/>
  <c r="C252" i="4"/>
  <c r="D155" i="12"/>
  <c r="E153" i="12"/>
  <c r="F123" i="12"/>
  <c r="E125" i="12"/>
  <c r="C59" i="5"/>
  <c r="C157" i="4"/>
  <c r="I89" i="2"/>
  <c r="E101" i="2"/>
  <c r="C101" i="2"/>
  <c r="D101" i="2" s="1"/>
  <c r="D32" i="2"/>
  <c r="H32" i="2" s="1"/>
  <c r="E59" i="5"/>
  <c r="F32" i="2"/>
  <c r="J32" i="2" s="1"/>
  <c r="J89" i="2"/>
  <c r="H101" i="2"/>
  <c r="G101" i="2"/>
  <c r="E157" i="4"/>
  <c r="I64" i="5"/>
  <c r="F14" i="2"/>
  <c r="J14" i="2" s="1"/>
  <c r="E204" i="4"/>
  <c r="H102" i="2"/>
  <c r="E60" i="5"/>
  <c r="G102" i="2"/>
  <c r="J90" i="2"/>
  <c r="F33" i="2"/>
  <c r="J33" i="2" s="1"/>
  <c r="E95" i="12"/>
  <c r="F93" i="12"/>
  <c r="D59" i="5"/>
  <c r="F101" i="2"/>
  <c r="E32" i="2"/>
  <c r="I32" i="2" s="1"/>
  <c r="D157" i="4"/>
  <c r="D20" i="2" s="1"/>
  <c r="E105" i="12"/>
  <c r="F103" i="12"/>
  <c r="E33" i="12"/>
  <c r="D35" i="12"/>
  <c r="E55" i="12"/>
  <c r="F53" i="12"/>
  <c r="F19" i="2"/>
  <c r="F26" i="2" s="1"/>
  <c r="D39" i="5"/>
  <c r="H193" i="12"/>
  <c r="G195" i="12"/>
  <c r="E135" i="12"/>
  <c r="F133" i="12"/>
  <c r="D25" i="12"/>
  <c r="E23" i="12"/>
  <c r="E85" i="12"/>
  <c r="F83" i="12"/>
  <c r="D58" i="5"/>
  <c r="F100" i="2"/>
  <c r="D110" i="4"/>
  <c r="D19" i="2" s="1"/>
  <c r="E31" i="2"/>
  <c r="I31" i="2" s="1"/>
  <c r="F29" i="15"/>
  <c r="E29" i="15"/>
  <c r="C100" i="2"/>
  <c r="D100" i="2" s="1"/>
  <c r="C58" i="5"/>
  <c r="D31" i="2"/>
  <c r="H31" i="2" s="1"/>
  <c r="C110" i="4"/>
  <c r="I88" i="2"/>
  <c r="E100" i="2"/>
  <c r="D165" i="12"/>
  <c r="E163" i="12"/>
  <c r="H183" i="12"/>
  <c r="G185" i="12"/>
  <c r="F25" i="2"/>
  <c r="D64" i="5"/>
  <c r="E143" i="12"/>
  <c r="D145" i="12"/>
  <c r="E58" i="5"/>
  <c r="G100" i="2"/>
  <c r="F31" i="2"/>
  <c r="J31" i="2" s="1"/>
  <c r="E110" i="4"/>
  <c r="J88" i="2"/>
  <c r="H100" i="2"/>
  <c r="D14" i="2"/>
  <c r="H14" i="2" s="1"/>
  <c r="G64" i="5"/>
  <c r="E39" i="5"/>
  <c r="C58" i="15" s="1"/>
  <c r="E75" i="12"/>
  <c r="F73" i="12"/>
  <c r="E250" i="4"/>
  <c r="E249" i="4"/>
  <c r="E252" i="4"/>
  <c r="E43" i="12"/>
  <c r="D45" i="12"/>
  <c r="F63" i="12"/>
  <c r="E65" i="12"/>
  <c r="F113" i="12"/>
  <c r="E115" i="12"/>
  <c r="C60" i="5"/>
  <c r="D33" i="2"/>
  <c r="H33" i="2" s="1"/>
  <c r="C102" i="2"/>
  <c r="D102" i="2" s="1"/>
  <c r="C204" i="4"/>
  <c r="I90" i="2"/>
  <c r="E102" i="2"/>
  <c r="F175" i="12"/>
  <c r="G173" i="12"/>
  <c r="E33" i="2"/>
  <c r="I33" i="2" s="1"/>
  <c r="D204" i="4"/>
  <c r="D21" i="2" s="1"/>
  <c r="D60" i="5"/>
  <c r="F102" i="2"/>
  <c r="E54" i="15" l="1"/>
  <c r="H59" i="5"/>
  <c r="H20" i="2"/>
  <c r="E9" i="2"/>
  <c r="G123" i="12"/>
  <c r="F125" i="12"/>
  <c r="C63" i="4"/>
  <c r="C57" i="5"/>
  <c r="I87" i="2"/>
  <c r="C11" i="4"/>
  <c r="D30" i="2"/>
  <c r="E99" i="2"/>
  <c r="E165" i="12"/>
  <c r="F163" i="12"/>
  <c r="F55" i="12"/>
  <c r="G53" i="12"/>
  <c r="G93" i="12"/>
  <c r="F95" i="12"/>
  <c r="E155" i="12"/>
  <c r="F153" i="12"/>
  <c r="H64" i="5"/>
  <c r="H25" i="2"/>
  <c r="E14" i="2"/>
  <c r="I14" i="2" s="1"/>
  <c r="G60" i="5"/>
  <c r="D10" i="2"/>
  <c r="H10" i="2" s="1"/>
  <c r="H195" i="12"/>
  <c r="I193" i="12"/>
  <c r="H19" i="2"/>
  <c r="H58" i="5"/>
  <c r="E8" i="2"/>
  <c r="F85" i="12"/>
  <c r="G83" i="12"/>
  <c r="F57" i="2"/>
  <c r="E9" i="4"/>
  <c r="F59" i="2" s="1"/>
  <c r="D57" i="2"/>
  <c r="C9" i="4"/>
  <c r="D59" i="2" s="1"/>
  <c r="G113" i="12"/>
  <c r="F115" i="12"/>
  <c r="F33" i="12"/>
  <c r="E35" i="12"/>
  <c r="C251" i="4"/>
  <c r="C105" i="2"/>
  <c r="D105" i="2" s="1"/>
  <c r="C63" i="5"/>
  <c r="I93" i="2"/>
  <c r="D36" i="2"/>
  <c r="H36" i="2" s="1"/>
  <c r="E105" i="2"/>
  <c r="E57" i="5"/>
  <c r="E63" i="4"/>
  <c r="G99" i="2"/>
  <c r="E11" i="4"/>
  <c r="F30" i="2"/>
  <c r="E25" i="12"/>
  <c r="F23" i="12"/>
  <c r="F105" i="12"/>
  <c r="G103" i="12"/>
  <c r="G73" i="12"/>
  <c r="F75" i="12"/>
  <c r="F58" i="15"/>
  <c r="E58" i="15"/>
  <c r="D9" i="2"/>
  <c r="H9" i="2" s="1"/>
  <c r="G59" i="5"/>
  <c r="C56" i="15"/>
  <c r="F22" i="2"/>
  <c r="H60" i="5"/>
  <c r="H21" i="2"/>
  <c r="E10" i="2"/>
  <c r="E45" i="12"/>
  <c r="F43" i="12"/>
  <c r="I58" i="5"/>
  <c r="F8" i="2"/>
  <c r="J8" i="2" s="1"/>
  <c r="I60" i="5"/>
  <c r="F10" i="2"/>
  <c r="J10" i="2" s="1"/>
  <c r="F143" i="12"/>
  <c r="E145" i="12"/>
  <c r="I183" i="12"/>
  <c r="H185" i="12"/>
  <c r="G63" i="12"/>
  <c r="F65" i="12"/>
  <c r="G175" i="12"/>
  <c r="H173" i="12"/>
  <c r="F9" i="2"/>
  <c r="J9" i="2" s="1"/>
  <c r="I59" i="5"/>
  <c r="E251" i="4"/>
  <c r="E63" i="5"/>
  <c r="J93" i="2"/>
  <c r="H105" i="2"/>
  <c r="G105" i="2"/>
  <c r="F36" i="2"/>
  <c r="J36" i="2" s="1"/>
  <c r="D8" i="2"/>
  <c r="H8" i="2" s="1"/>
  <c r="G58" i="5"/>
  <c r="G133" i="12"/>
  <c r="F135" i="12"/>
  <c r="F105" i="2"/>
  <c r="D63" i="5"/>
  <c r="E36" i="2"/>
  <c r="I36" i="2" s="1"/>
  <c r="D251" i="4"/>
  <c r="D24" i="2" s="1"/>
  <c r="D61" i="4"/>
  <c r="I53" i="2" s="1"/>
  <c r="D7" i="4"/>
  <c r="E53" i="2"/>
  <c r="D62" i="4"/>
  <c r="H99" i="2" s="1"/>
  <c r="D64" i="4"/>
  <c r="K99" i="2" s="1"/>
  <c r="H175" i="12" l="1"/>
  <c r="I173" i="12"/>
  <c r="H30" i="2"/>
  <c r="D34" i="2"/>
  <c r="H34" i="2" s="1"/>
  <c r="E103" i="2"/>
  <c r="C15" i="4"/>
  <c r="C34" i="15" s="1"/>
  <c r="E34" i="15" s="1"/>
  <c r="I91" i="2"/>
  <c r="C103" i="2"/>
  <c r="D103" i="2" s="1"/>
  <c r="C15" i="5"/>
  <c r="C16" i="5" s="1"/>
  <c r="G65" i="12"/>
  <c r="H63" i="12"/>
  <c r="F25" i="12"/>
  <c r="G23" i="12"/>
  <c r="C61" i="5"/>
  <c r="G57" i="5"/>
  <c r="D7" i="2"/>
  <c r="C99" i="2"/>
  <c r="D99" i="2" s="1"/>
  <c r="J183" i="12"/>
  <c r="I185" i="12"/>
  <c r="F34" i="2"/>
  <c r="J34" i="2" s="1"/>
  <c r="J30" i="2"/>
  <c r="I8" i="2"/>
  <c r="H24" i="1" s="1"/>
  <c r="G24" i="1"/>
  <c r="J91" i="2"/>
  <c r="G103" i="2"/>
  <c r="E15" i="5"/>
  <c r="E16" i="5" s="1"/>
  <c r="E15" i="4"/>
  <c r="C35" i="15" s="1"/>
  <c r="E35" i="15" s="1"/>
  <c r="H93" i="12"/>
  <c r="G95" i="12"/>
  <c r="F145" i="12"/>
  <c r="G143" i="12"/>
  <c r="G33" i="12"/>
  <c r="F35" i="12"/>
  <c r="I63" i="5"/>
  <c r="F13" i="2"/>
  <c r="J13" i="2" s="1"/>
  <c r="J193" i="12"/>
  <c r="I195" i="12"/>
  <c r="G25" i="1"/>
  <c r="I9" i="2"/>
  <c r="H25" i="1" s="1"/>
  <c r="E61" i="5"/>
  <c r="F7" i="2"/>
  <c r="I57" i="5"/>
  <c r="G43" i="12"/>
  <c r="F45" i="12"/>
  <c r="G105" i="12"/>
  <c r="H103" i="12"/>
  <c r="G26" i="1"/>
  <c r="I10" i="2"/>
  <c r="H26" i="1" s="1"/>
  <c r="D13" i="2"/>
  <c r="H13" i="2" s="1"/>
  <c r="G63" i="5"/>
  <c r="G85" i="12"/>
  <c r="H83" i="12"/>
  <c r="G153" i="12"/>
  <c r="F155" i="12"/>
  <c r="D31" i="15"/>
  <c r="E57" i="2"/>
  <c r="D9" i="4"/>
  <c r="F56" i="15"/>
  <c r="E56" i="15"/>
  <c r="H53" i="12"/>
  <c r="G55" i="12"/>
  <c r="H123" i="12"/>
  <c r="G125" i="12"/>
  <c r="G115" i="12"/>
  <c r="H113" i="12"/>
  <c r="G163" i="12"/>
  <c r="F165" i="12"/>
  <c r="H73" i="12"/>
  <c r="G75" i="12"/>
  <c r="H133" i="12"/>
  <c r="G135" i="12"/>
  <c r="D57" i="5"/>
  <c r="D11" i="4"/>
  <c r="H103" i="2" s="1"/>
  <c r="D63" i="4"/>
  <c r="E30" i="2"/>
  <c r="F99" i="2"/>
  <c r="H24" i="2"/>
  <c r="E13" i="2"/>
  <c r="I13" i="2" s="1"/>
  <c r="H63" i="5"/>
  <c r="J87" i="2"/>
  <c r="D59" i="15" l="1"/>
  <c r="C18" i="5"/>
  <c r="H135" i="12"/>
  <c r="I133" i="12"/>
  <c r="G35" i="12"/>
  <c r="H33" i="12"/>
  <c r="G145" i="12"/>
  <c r="H143" i="12"/>
  <c r="F11" i="2"/>
  <c r="J7" i="2"/>
  <c r="I93" i="12"/>
  <c r="H95" i="12"/>
  <c r="H7" i="2"/>
  <c r="D11" i="2"/>
  <c r="H105" i="12"/>
  <c r="I103" i="12"/>
  <c r="I73" i="12"/>
  <c r="H75" i="12"/>
  <c r="H43" i="12"/>
  <c r="G45" i="12"/>
  <c r="G165" i="12"/>
  <c r="H163" i="12"/>
  <c r="H115" i="12"/>
  <c r="I113" i="12"/>
  <c r="H85" i="12"/>
  <c r="I83" i="12"/>
  <c r="C61" i="15"/>
  <c r="I61" i="5"/>
  <c r="D18" i="2"/>
  <c r="D26" i="2" s="1"/>
  <c r="C47" i="15" s="1"/>
  <c r="E47" i="15" s="1"/>
  <c r="C31" i="15"/>
  <c r="D15" i="5"/>
  <c r="D16" i="5" s="1"/>
  <c r="F103" i="2"/>
  <c r="D22" i="2"/>
  <c r="D15" i="4"/>
  <c r="D61" i="15"/>
  <c r="E18" i="5"/>
  <c r="C59" i="15"/>
  <c r="G61" i="5"/>
  <c r="I175" i="12"/>
  <c r="J173" i="12"/>
  <c r="H65" i="12"/>
  <c r="I63" i="12"/>
  <c r="C32" i="15"/>
  <c r="E32" i="15" s="1"/>
  <c r="E59" i="2"/>
  <c r="H153" i="12"/>
  <c r="G155" i="12"/>
  <c r="J185" i="12"/>
  <c r="K183" i="12"/>
  <c r="E34" i="2"/>
  <c r="I34" i="2" s="1"/>
  <c r="I30" i="2"/>
  <c r="I123" i="12"/>
  <c r="H125" i="12"/>
  <c r="D61" i="5"/>
  <c r="H57" i="5"/>
  <c r="E7" i="2"/>
  <c r="H18" i="2"/>
  <c r="H26" i="2" s="1"/>
  <c r="C48" i="15" s="1"/>
  <c r="E48" i="15" s="1"/>
  <c r="I53" i="12"/>
  <c r="H55" i="12"/>
  <c r="K193" i="12"/>
  <c r="J195" i="12"/>
  <c r="G25" i="12"/>
  <c r="H23" i="12"/>
  <c r="I115" i="12" l="1"/>
  <c r="J113" i="12"/>
  <c r="J93" i="12"/>
  <c r="I95" i="12"/>
  <c r="J53" i="12"/>
  <c r="I55" i="12"/>
  <c r="I163" i="12"/>
  <c r="H165" i="12"/>
  <c r="J11" i="2"/>
  <c r="M12" i="1"/>
  <c r="I7" i="2"/>
  <c r="E11" i="2"/>
  <c r="G23" i="1"/>
  <c r="I65" i="12"/>
  <c r="J63" i="12"/>
  <c r="I135" i="12"/>
  <c r="J133" i="12"/>
  <c r="L193" i="12"/>
  <c r="K195" i="12"/>
  <c r="F61" i="15"/>
  <c r="E61" i="15"/>
  <c r="I153" i="12"/>
  <c r="H155" i="12"/>
  <c r="D60" i="15"/>
  <c r="D18" i="5"/>
  <c r="F31" i="15"/>
  <c r="E31" i="15"/>
  <c r="J73" i="12"/>
  <c r="I75" i="12"/>
  <c r="H25" i="12"/>
  <c r="I23" i="12"/>
  <c r="F59" i="15"/>
  <c r="E59" i="15"/>
  <c r="H11" i="2"/>
  <c r="M11" i="1"/>
  <c r="H145" i="12"/>
  <c r="I143" i="12"/>
  <c r="I43" i="12"/>
  <c r="H45" i="12"/>
  <c r="C60" i="15"/>
  <c r="H61" i="5"/>
  <c r="H22" i="2"/>
  <c r="H35" i="12"/>
  <c r="I33" i="12"/>
  <c r="J175" i="12"/>
  <c r="K173" i="12"/>
  <c r="J123" i="12"/>
  <c r="I125" i="12"/>
  <c r="I105" i="12"/>
  <c r="J103" i="12"/>
  <c r="I85" i="12"/>
  <c r="J83" i="12"/>
  <c r="K185" i="12"/>
  <c r="L183" i="12"/>
  <c r="J125" i="12" l="1"/>
  <c r="K123" i="12"/>
  <c r="I35" i="12"/>
  <c r="J33" i="12"/>
  <c r="I165" i="12"/>
  <c r="J163" i="12"/>
  <c r="K53" i="12"/>
  <c r="J55" i="12"/>
  <c r="M9" i="1"/>
  <c r="G27" i="1"/>
  <c r="I11" i="2"/>
  <c r="K175" i="12"/>
  <c r="L173" i="12"/>
  <c r="L185" i="12"/>
  <c r="M183" i="12"/>
  <c r="J135" i="12"/>
  <c r="K133" i="12"/>
  <c r="J85" i="12"/>
  <c r="K83" i="12"/>
  <c r="F60" i="15"/>
  <c r="E60" i="15"/>
  <c r="K73" i="12"/>
  <c r="J75" i="12"/>
  <c r="J65" i="12"/>
  <c r="K63" i="12"/>
  <c r="J95" i="12"/>
  <c r="K93" i="12"/>
  <c r="J153" i="12"/>
  <c r="I155" i="12"/>
  <c r="M193" i="12"/>
  <c r="L195" i="12"/>
  <c r="K113" i="12"/>
  <c r="J115" i="12"/>
  <c r="H23" i="1"/>
  <c r="I25" i="12"/>
  <c r="J23" i="12"/>
  <c r="J105" i="12"/>
  <c r="K103" i="12"/>
  <c r="J43" i="12"/>
  <c r="I45" i="12"/>
  <c r="I145" i="12"/>
  <c r="J143" i="12"/>
  <c r="K75" i="12" l="1"/>
  <c r="L73" i="12"/>
  <c r="J35" i="12"/>
  <c r="K33" i="12"/>
  <c r="H27" i="1"/>
  <c r="M10" i="1"/>
  <c r="L113" i="12"/>
  <c r="K115" i="12"/>
  <c r="L83" i="12"/>
  <c r="K85" i="12"/>
  <c r="J165" i="12"/>
  <c r="K163" i="12"/>
  <c r="L133" i="12"/>
  <c r="K135" i="12"/>
  <c r="M185" i="12"/>
  <c r="N183" i="12"/>
  <c r="C186" i="12" s="1"/>
  <c r="D13" i="12" s="1"/>
  <c r="I13" i="12" s="1"/>
  <c r="L53" i="12"/>
  <c r="K55" i="12"/>
  <c r="K125" i="12"/>
  <c r="L123" i="12"/>
  <c r="J145" i="12"/>
  <c r="K143" i="12"/>
  <c r="N193" i="12"/>
  <c r="M195" i="12"/>
  <c r="K43" i="12"/>
  <c r="J45" i="12"/>
  <c r="K153" i="12"/>
  <c r="J155" i="12"/>
  <c r="L103" i="12"/>
  <c r="K105" i="12"/>
  <c r="K95" i="12"/>
  <c r="L93" i="12"/>
  <c r="J25" i="12"/>
  <c r="K23" i="12"/>
  <c r="L63" i="12"/>
  <c r="K65" i="12"/>
  <c r="L175" i="12"/>
  <c r="M173" i="12"/>
  <c r="C196" i="12" l="1"/>
  <c r="E13" i="12" s="1"/>
  <c r="M103" i="12"/>
  <c r="L105" i="12"/>
  <c r="M53" i="12"/>
  <c r="L55" i="12"/>
  <c r="K35" i="12"/>
  <c r="L33" i="12"/>
  <c r="L163" i="12"/>
  <c r="K165" i="12"/>
  <c r="L143" i="12"/>
  <c r="K145" i="12"/>
  <c r="L95" i="12"/>
  <c r="M93" i="12"/>
  <c r="K155" i="12"/>
  <c r="L153" i="12"/>
  <c r="N173" i="12"/>
  <c r="C176" i="12" s="1"/>
  <c r="C13" i="12" s="1"/>
  <c r="M175" i="12"/>
  <c r="L75" i="12"/>
  <c r="M73" i="12"/>
  <c r="L65" i="12"/>
  <c r="M63" i="12"/>
  <c r="L23" i="12"/>
  <c r="K25" i="12"/>
  <c r="M83" i="12"/>
  <c r="L85" i="12"/>
  <c r="L125" i="12"/>
  <c r="M123" i="12"/>
  <c r="M113" i="12"/>
  <c r="L115" i="12"/>
  <c r="K45" i="12"/>
  <c r="L43" i="12"/>
  <c r="M133" i="12"/>
  <c r="L135" i="12"/>
  <c r="N83" i="12" l="1"/>
  <c r="M85" i="12"/>
  <c r="M143" i="12"/>
  <c r="L145" i="12"/>
  <c r="N133" i="12"/>
  <c r="M135" i="12"/>
  <c r="M75" i="12"/>
  <c r="N73" i="12"/>
  <c r="C76" i="12" s="1"/>
  <c r="E8" i="12" s="1"/>
  <c r="N53" i="12"/>
  <c r="M55" i="12"/>
  <c r="M23" i="12"/>
  <c r="L25" i="12"/>
  <c r="N63" i="12"/>
  <c r="M65" i="12"/>
  <c r="M163" i="12"/>
  <c r="L165" i="12"/>
  <c r="L35" i="12"/>
  <c r="M33" i="12"/>
  <c r="N113" i="12"/>
  <c r="C116" i="12" s="1"/>
  <c r="C10" i="12" s="1"/>
  <c r="M115" i="12"/>
  <c r="M125" i="12"/>
  <c r="N123" i="12"/>
  <c r="C126" i="12" s="1"/>
  <c r="D10" i="12" s="1"/>
  <c r="I10" i="12" s="1"/>
  <c r="C39" i="15" s="1"/>
  <c r="E39" i="15" s="1"/>
  <c r="L155" i="12"/>
  <c r="M153" i="12"/>
  <c r="M95" i="12"/>
  <c r="N93" i="12"/>
  <c r="C96" i="12" s="1"/>
  <c r="D9" i="12" s="1"/>
  <c r="I9" i="12" s="1"/>
  <c r="L45" i="12"/>
  <c r="M43" i="12"/>
  <c r="N103" i="12"/>
  <c r="M105" i="12"/>
  <c r="M155" i="12" l="1"/>
  <c r="N153" i="12"/>
  <c r="C156" i="12" s="1"/>
  <c r="D12" i="12" s="1"/>
  <c r="I12" i="12" s="1"/>
  <c r="N23" i="12"/>
  <c r="M25" i="12"/>
  <c r="C56" i="12"/>
  <c r="C8" i="12" s="1"/>
  <c r="M35" i="12"/>
  <c r="N33" i="12"/>
  <c r="C36" i="12" s="1"/>
  <c r="D7" i="12" s="1"/>
  <c r="I7" i="12" s="1"/>
  <c r="C106" i="12"/>
  <c r="E9" i="12" s="1"/>
  <c r="C136" i="12"/>
  <c r="E10" i="12" s="1"/>
  <c r="M45" i="12"/>
  <c r="N43" i="12"/>
  <c r="N163" i="12"/>
  <c r="C166" i="12" s="1"/>
  <c r="E12" i="12" s="1"/>
  <c r="M165" i="12"/>
  <c r="N143" i="12"/>
  <c r="M145" i="12"/>
  <c r="C66" i="12"/>
  <c r="D8" i="12" s="1"/>
  <c r="I8" i="12" s="1"/>
  <c r="C86" i="12"/>
  <c r="C9" i="12" s="1"/>
  <c r="C46" i="12" l="1"/>
  <c r="E7" i="12" s="1"/>
  <c r="C146" i="12"/>
  <c r="C12" i="12" s="1"/>
  <c r="C26" i="12"/>
  <c r="C7" i="12" s="1"/>
  <c r="C67" i="15" s="1"/>
  <c r="F67" i="15" l="1"/>
  <c r="C5" i="15" s="1"/>
  <c r="E67" i="15"/>
  <c r="G3" i="2" l="1"/>
  <c r="M13" i="1"/>
</calcChain>
</file>

<file path=xl/sharedStrings.xml><?xml version="1.0" encoding="utf-8"?>
<sst xmlns="http://schemas.openxmlformats.org/spreadsheetml/2006/main" count="2376" uniqueCount="1003">
  <si>
    <t>Ibovespa - DCF assumptions (house model by box, end-2027)</t>
  </si>
  <si>
    <t>Change the pink cells; the DCF sheet recalculates. Projection rules for 2028-2031 are pink cells in the DCF sheet.</t>
  </si>
  <si>
    <t>Legend:</t>
  </si>
  <si>
    <t>input</t>
  </si>
  <si>
    <t>assumption</t>
  </si>
  <si>
    <t>formula</t>
  </si>
  <si>
    <t>1. Market data</t>
  </si>
  <si>
    <t>Item</t>
  </si>
  <si>
    <t>House file</t>
  </si>
  <si>
    <t>Oct-5-2026</t>
  </si>
  <si>
    <t>Used</t>
  </si>
  <si>
    <t>Source</t>
  </si>
  <si>
    <t>Ibovespa (index pts)</t>
  </si>
  <si>
    <t>House file: Target!B61 (BDP IBOV Index, as saved). Oct-5: Bloomberg IBOV Index PX_LAST.</t>
  </si>
  <si>
    <t>5-year real rate (NTN-B)</t>
  </si>
  <si>
    <t>House file: Target!C56 (BZRFB5PY Index, 7.42%). Oct-5: ANBIMA 5-year NTN-B (Bloomberg was down; check BZRFB5PY before publishing).</t>
  </si>
  <si>
    <t>Market data used: 1 = house file, 2 = Oct-5-2026</t>
  </si>
  <si>
    <t>Consensus and history are the house file's in both cases (not refreshed: the consensus moved little).</t>
  </si>
  <si>
    <t>2. Valuation parameters (house Target sheet)</t>
  </si>
  <si>
    <t>Parameter</t>
  </si>
  <si>
    <t>Value</t>
  </si>
  <si>
    <t>Long-term growth of the FCFF (g)</t>
  </si>
  <si>
    <t>Target!B54 (4.7%).</t>
  </si>
  <si>
    <t>Long-term inflation (Fisher switch and the implied-return block)</t>
  </si>
  <si>
    <t>Target!B63 (4.0%).</t>
  </si>
  <si>
    <t>Working capital, % of sales</t>
  </si>
  <si>
    <t>Target row 43: NWC = -4% of sales.</t>
  </si>
  <si>
    <t>Net debt / EBITDA of two years before (net debt switch)</t>
  </si>
  <si>
    <t>Target rows 70-71 (EV/EBITDA method): net debt = 1.6x the EBITDA of two years before the value date.</t>
  </si>
  <si>
    <t>3. Scenarios (fair value at the end of 2027)</t>
  </si>
  <si>
    <t>Lever</t>
  </si>
  <si>
    <t>Bear</t>
  </si>
  <si>
    <t>Base</t>
  </si>
  <si>
    <t>Bull</t>
  </si>
  <si>
    <t>House (Target rows 131-151): bear 8.5%, base = the market rate, bull 6.0%. Bull here at 5.5% (a row of the house's real-rate table).</t>
  </si>
  <si>
    <t>ERP</t>
  </si>
  <si>
    <t>Target!B57 (6.0%), the same in every scenario.</t>
  </si>
  <si>
    <t>Discount rate (house: real rate + ERP)</t>
  </si>
  <si>
    <t>Target!B55 = BZRFB5PY + ERP. With the inflation switch on: (1 + real rate + ERP) x (1 + inflation) - 1.</t>
  </si>
  <si>
    <t>4. Corrections to the house mechanics (0 = as the house, 1 = corrected)</t>
  </si>
  <si>
    <t>Switch</t>
  </si>
  <si>
    <t>What it changes</t>
  </si>
  <si>
    <t>Working capital: 0 = level (house), 1 = change</t>
  </si>
  <si>
    <t>House row 44 adds the whole NWC level (-4% of sales) every year; the cash flow is the change in NWC.</t>
  </si>
  <si>
    <t>Net debt: 0 = not subtracted (house), 1 = subtracted</t>
  </si>
  <si>
    <t>FCFF values the firm; equity = firm value - net debt (1.6x EBITDA two years before, as the house's EV/EBITDA method).</t>
  </si>
  <si>
    <t>Terminal value: 0 = one period after the last flow (house), 1 = with the last flow</t>
  </si>
  <si>
    <t>NPV(rate, flows, TV) puts the TV one year after the last explicit year; it is a value at the end of that year.</t>
  </si>
  <si>
    <t>Inflation in the rate: 0 = real rate + ERP (house), 1 = Fisher</t>
  </si>
  <si>
    <t>The flows are nominal (sales grow with nominal GDP); real rate + ERP is a real rate.</t>
  </si>
  <si>
    <t>5. Projection rules (pink cells in the DCF sheet, 2028-2031 columns)</t>
  </si>
  <si>
    <t>Real GDP and inflation 2028-2031: 2.0% and 4.0% (house); sales grow with nominal GDP x ratio (1.0).</t>
  </si>
  <si>
    <t>EBITDA margin 2029-2031: 30% (house). EBIT margin, interest and gross margin: held at the 2028 level (house: same % as the year before).</t>
  </si>
  <si>
    <t>Capex % of sales: 11% in 2028-2029, 9% from 2030 (house); 2031, the year added here, keeps 2030's 9%.</t>
  </si>
  <si>
    <t>Consensus: sales and capex to 2027, EBIT, EBITDA and EPS to 2028 (IBOV Index, as in the house file).</t>
  </si>
  <si>
    <t>6. By box</t>
  </si>
  <si>
    <t>Setting</t>
  </si>
  <si>
    <t>What it does</t>
  </si>
  <si>
    <t>Scale the boxes to the house's Ibovespa value: 1 = yes, 0 = no</t>
  </si>
  <si>
    <t>1: each box x (house Ibovespa value / sum of the boxes), so the boxes add up to the house number. 0: each box with its own value.</t>
  </si>
  <si>
    <t>Financials ROE for the FCFE (blank = consensus FY28, Box Shares)</t>
  </si>
  <si>
    <t>FCFE = net income x (1 - g / ROE): the earnings left after keeping the bank's equity growing at g.</t>
  </si>
  <si>
    <t>Index points of the members: Ibovespa on Oct-5-2026 (Assumptions D7) x price-drifted Sep-30 weights.</t>
  </si>
  <si>
    <t>Box discount rates: 0 = house rate, 1 = relative to history, 2 = CAPM (box beta)</t>
  </si>
  <si>
    <t>0: every box at the house rate. 1: box rate - g = (house rate - g) x the box's 10y cash yield relative to the Ibovespa (Box Rates), as the multiples. 2: CAPM, real rate + box beta x ERP (Box Betas).</t>
  </si>
  <si>
    <t>Lowest risk premium of a box (box rate &gt;= real rate + this)</t>
  </si>
  <si>
    <t>Keeps a box's risk premium from going below this; at 0% it binds only for Cyclicals in the bear.</t>
  </si>
  <si>
    <t>CAPM beta window (years of weekly returns: 2, 5 or 10)</t>
  </si>
  <si>
    <t>Weekly total returns of the box indices up to Sep-25-2026 (Box Betas).</t>
  </si>
  <si>
    <t>CAPM beta: 1 = raw, 2 = Blume adjusted (0.67 x raw + 0.33)</t>
  </si>
  <si>
    <t>The adjustment pulls the betas toward 1 (Bloomberg's default adjusted beta).</t>
  </si>
  <si>
    <t>Box cash-flow rules: 1 = capex funding growth and NWC by change, 0 = the house rules</t>
  </si>
  <si>
    <t>1: capex = D&amp;A + growth x NOPAT / ROE (Box Shares section 5) and working capital by its change, in the box values only; the house aggregate is untouched.</t>
  </si>
  <si>
    <t>Growth in the terminal value: 1 = consensus growth fading to g, 0 = g (house)</t>
  </si>
  <si>
    <t>1: the box's consensus net income growth 2026-28 (capped) fades to g over FadeYears after 2031; 0: the fade starts at g. Valued year by year or by the H-model formula (FadeMode, section 8).</t>
  </si>
  <si>
    <t>Years over which the growth fades to g (after 2031)</t>
  </si>
  <si>
    <t>At most 10 with the year-by-year fade (Box Fade).</t>
  </si>
  <si>
    <t>Cap on the starting growth (+/-)</t>
  </si>
  <si>
    <t>Defensives (+23%) and Cyclicals (+20%) are capped.</t>
  </si>
  <si>
    <t>7. Target by box: average of the methods (house Target rows 83-90)</t>
  </si>
  <si>
    <t>Target P/E on 2027 EPS</t>
  </si>
  <si>
    <t>House: 10.0x for 2027 (Target!F76); bear / bull 7.5x / 12x (Target rows 134 / 148).</t>
  </si>
  <si>
    <t>Target EV/EBITDA on 2027 EBITDA</t>
  </si>
  <si>
    <t>House: 5.5x for 2027 (Target!F67); bear / bull 4.5x / 6.0x (rows 135 / 149). Net debt = 1.6x EBITDA 2025.</t>
  </si>
  <si>
    <t>Bottom-up: change vs. the analysts' target prices</t>
  </si>
  <si>
    <t>House: -20% / +20% in the bear / bull (rows 136 / 150); 2027 without the / 1.15 of 2026.</t>
  </si>
  <si>
    <t>Box multiples: 1 = relative to history, 0 = house multiple</t>
  </si>
  <si>
    <t>1: the boxes keep their historical premium or discount to the Ibovespa, calibrated so they add up to the house value (Multiples by Box).</t>
  </si>
  <si>
    <t>Weights of the methods: DCF, P/E, EV/EBITDA, bottom-up</t>
  </si>
  <si>
    <t>House: simple average of the four methods (Target row 88).</t>
  </si>
  <si>
    <t>8. Scenarios of the DCF by box: the house's two levers (real rate, section 3; earnings level, below)</t>
  </si>
  <si>
    <t>Earnings level of the Ibovespa ex-Commodities vs. consensus</t>
  </si>
  <si>
    <t>As the house's EPS / EBITDA lower / higher, symmetric: every year's earnings and flows x (1 + shock). Split by each domestic box's earnings beta (Box Earnings), normalized so the three domestic boxes average this shock.</t>
  </si>
  <si>
    <t>Commodity prices vs. base</t>
  </si>
  <si>
    <t>Commodities' own method: its earnings level moves by its earnings elasticity to commodity prices (Box Earnings, estimated 2007-26) x this change.</t>
  </si>
  <si>
    <t>Probability of the scenario</t>
  </si>
  <si>
    <t>Expected value by box (Summary section 10); normalized by their sum.</t>
  </si>
  <si>
    <t>Rate shock: 1 = x box beta, 0 = the same for every box (house)</t>
  </si>
  <si>
    <t>1: box rate = base box rate + beta x (scenario house rate - base house rate), a shock to the market's required return; 0: the real-rate change moves every box equally. CAPM rates only (BoxRate = 2).</t>
  </si>
  <si>
    <t>Normalize the domestic earnings betas: 1 = yes, 0 = raw</t>
  </si>
  <si>
    <t>1: the betas are scaled so the index-point-weighted average of Financials, Defensives and Cyclicals is 1 (the domestic boxes get the shock on average).</t>
  </si>
  <si>
    <t>Ibovespa bear / bull: 1 = sum of the boxes, 0 = house DCF</t>
  </si>
  <si>
    <t>1: every scenario keeps the base-case scale factor (DCF by Box), so the shocks open the Ibovespa's bear / bull; 0: each scenario is scaled to the house DCF.</t>
  </si>
  <si>
    <t>Fade after 2031: 0 = H-model, 1 = year by year, 2 = growth paid</t>
  </si>
  <si>
    <t>1: the flow grows year by year from the starting growth to g (Box Fade); the H-model formula approximates it and undervalues negative growth (Commodities). 2: flow = earnings x (1 - growth / ROE): growth costs reinvestment at the box's FY28 ROE.</t>
  </si>
  <si>
    <t>Earnings betas: first month of the window</t>
  </si>
  <si>
    <t>Window from this month to Sep-26; Oct-07 is the first 12-month change (the whole history).</t>
  </si>
  <si>
    <t>Ibovespa - DCF (house model rolled to end-2027)</t>
  </si>
  <si>
    <t>Replica of Target rows 17-65 of DCF Ibov 2026_Out.xlsx, in Ibovespa points, extended to 2031. Blue = house file input; pink = projection rule.</t>
  </si>
  <si>
    <t>Projections (index points)</t>
  </si>
  <si>
    <t>2015</t>
  </si>
  <si>
    <t>2016</t>
  </si>
  <si>
    <t>2017</t>
  </si>
  <si>
    <t>2018</t>
  </si>
  <si>
    <t>2019</t>
  </si>
  <si>
    <t>2020</t>
  </si>
  <si>
    <t>2021</t>
  </si>
  <si>
    <t>2022</t>
  </si>
  <si>
    <t>2023</t>
  </si>
  <si>
    <t>2024</t>
  </si>
  <si>
    <t>2025</t>
  </si>
  <si>
    <t>2026</t>
  </si>
  <si>
    <t>2027</t>
  </si>
  <si>
    <t>2028</t>
  </si>
  <si>
    <t>2029</t>
  </si>
  <si>
    <t>2030</t>
  </si>
  <si>
    <t>2031</t>
  </si>
  <si>
    <t>How it is calculated (house Target row)</t>
  </si>
  <si>
    <t>Actual</t>
  </si>
  <si>
    <t>Consensus</t>
  </si>
  <si>
    <t>Projection</t>
  </si>
  <si>
    <t>Real GDP</t>
  </si>
  <si>
    <t>Inflation</t>
  </si>
  <si>
    <t>Nominal GDP</t>
  </si>
  <si>
    <t>(1 + real GDP) x (1 + inflation) - 1 (row 20).</t>
  </si>
  <si>
    <t>Sales growth</t>
  </si>
  <si>
    <t>Actual/consensus: sales / previous - 1. Projection: nominal GDP x ratio (row 21).</t>
  </si>
  <si>
    <t>Ratio (sales growth / nominal GDP)</t>
  </si>
  <si>
    <t>Sales</t>
  </si>
  <si>
    <t>To 2027: house file (consensus 2026-27). 2028+: previous x (1 + growth) (row 25).</t>
  </si>
  <si>
    <t>COGS</t>
  </si>
  <si>
    <t>Sales x (gross margin - 1) (row 26).</t>
  </si>
  <si>
    <t>Gross margin %</t>
  </si>
  <si>
    <t>To 2028: house file. 2029+: previous year (row 27).</t>
  </si>
  <si>
    <t>Gross profit</t>
  </si>
  <si>
    <t>SG&amp;A</t>
  </si>
  <si>
    <t>To 2028: EBIT - gross profit. 2029+: sales x SG&amp;A % (row 29).</t>
  </si>
  <si>
    <t>SG&amp;A % of sales</t>
  </si>
  <si>
    <t>2029+: previous year's % (row 30).</t>
  </si>
  <si>
    <t>EBIT</t>
  </si>
  <si>
    <t>To 2028: house file (consensus). 2029+: gross profit + SG&amp;A (row 31).</t>
  </si>
  <si>
    <t>EBIT margin %</t>
  </si>
  <si>
    <t>EBITDA</t>
  </si>
  <si>
    <t>To 2028: house file (consensus). 2029+: sales x EBITDA margin (row 33).</t>
  </si>
  <si>
    <t>EBITDA margin %</t>
  </si>
  <si>
    <t>2029+: 30% (house, row 34).</t>
  </si>
  <si>
    <t>D&amp;A</t>
  </si>
  <si>
    <t>EBITDA - EBIT (row 35).</t>
  </si>
  <si>
    <t>D&amp;A % of sales</t>
  </si>
  <si>
    <t>Tax rate</t>
  </si>
  <si>
    <t>-25% to 2023, -24% from 2024 (row 37).</t>
  </si>
  <si>
    <t>NOPAT</t>
  </si>
  <si>
    <t>EBIT x (1 + tax rate) (row 38).</t>
  </si>
  <si>
    <t>Net interest expense</t>
  </si>
  <si>
    <t>To 2028: net income - NOPAT. 2029+: sales x interest % (row 39).</t>
  </si>
  <si>
    <t>Interest % of sales</t>
  </si>
  <si>
    <t>2029+: previous year's % (row 40).</t>
  </si>
  <si>
    <t>Net income (EPS, index pts)</t>
  </si>
  <si>
    <t>To 2028: house file (consensus EPS). 2029+: NOPAT + net interest (row 41).</t>
  </si>
  <si>
    <t>Net margin %</t>
  </si>
  <si>
    <t>Working capital (NWC)</t>
  </si>
  <si>
    <t>-NWC % x sales (Assumptions; row 43).</t>
  </si>
  <si>
    <t>Change in NWC</t>
  </si>
  <si>
    <t>Capex</t>
  </si>
  <si>
    <t>To 2027: house file. 2028+: sales x capex % (row 46).</t>
  </si>
  <si>
    <t>Capex % of sales</t>
  </si>
  <si>
    <t>2028-29: -11%; 2030: -9% (house); 2031: as 2030 (row 47).</t>
  </si>
  <si>
    <t>FCFF, house = D&amp;A + NOPAT + capex + NWC (level)</t>
  </si>
  <si>
    <t>D&amp;A + NOPAT + capex + NWC level (row 44): what the house discounts.</t>
  </si>
  <si>
    <t>FCFF with the change in NWC</t>
  </si>
  <si>
    <t>D&amp;A + NOPAT + capex + change in NWC.</t>
  </si>
  <si>
    <t>FCFF used in the valuation (switch FixNWC)</t>
  </si>
  <si>
    <t>FixNWC = 0: the house row; 1: the corrected row.</t>
  </si>
  <si>
    <t>memo: FCFF = EBITDA x (1 - tax) + capex</t>
  </si>
  <si>
    <t>To 2025: house file. 2026+: EBITDA x (1 + tax) + capex (row 49).</t>
  </si>
  <si>
    <t>memo: Ibovespa (average to 2020, then the price used)</t>
  </si>
  <si>
    <t>Row 50: average to 2020 (house file), then the Ibovespa price used.</t>
  </si>
  <si>
    <t>memo: FCF yield</t>
  </si>
  <si>
    <t>Simple FCFF / Ibovespa (row 51).</t>
  </si>
  <si>
    <t>Valuation: fair value at the end of the year (house Target rows 53-59)</t>
  </si>
  <si>
    <t>Base 2026</t>
  </si>
  <si>
    <t>How it is calculated</t>
  </si>
  <si>
    <t>Value date (end of year)</t>
  </si>
  <si>
    <t>Explicit FCFF years</t>
  </si>
  <si>
    <t>Discount rate (house 'WACC')</t>
  </si>
  <si>
    <t>Real rate + ERP (Target!B55); Fisher with FixInfl = 1.</t>
  </si>
  <si>
    <t>Long-term growth (g)</t>
  </si>
  <si>
    <t>FCFF of the last explicit year</t>
  </si>
  <si>
    <t>Terminal value = last FCFF x (1 + g) / (rate - g)</t>
  </si>
  <si>
    <t>Target!R44.</t>
  </si>
  <si>
    <t>Periods the terminal value is discounted</t>
  </si>
  <si>
    <t>4 explicit years + 1 (house NPV puts the TV one period later); 4 with FixTV = 1.</t>
  </si>
  <si>
    <t>Present value of the explicit FCFF</t>
  </si>
  <si>
    <t>Excel NPV of the explicit FCFF (Target row 59).</t>
  </si>
  <si>
    <t>Present value of the terminal value</t>
  </si>
  <si>
    <t>Value of the cash flows</t>
  </si>
  <si>
    <t>Net debt subtracted (switch FixND)</t>
  </si>
  <si>
    <t>1.6x the EBITDA two years before the value date (Target rows 70-71), only with FixND = 1.</t>
  </si>
  <si>
    <t>Fair value (index pts)</t>
  </si>
  <si>
    <t>Value of the cash flows - net debt subtracted.</t>
  </si>
  <si>
    <t>Ibovespa used</t>
  </si>
  <si>
    <t>Upside</t>
  </si>
  <si>
    <t>Terminal value / value of the cash flows</t>
  </si>
  <si>
    <t>Implied P/E on next year's EPS</t>
  </si>
  <si>
    <t>Fair value / net income of the year after the value date.</t>
  </si>
  <si>
    <t>2028-2031</t>
  </si>
  <si>
    <t>2027-2030</t>
  </si>
  <si>
    <t>Implied return at the Ibovespa price used (house Target rows 61-65, rolled one year)</t>
  </si>
  <si>
    <t>Today</t>
  </si>
  <si>
    <t>Terminal</t>
  </si>
  <si>
    <t>Cash flows</t>
  </si>
  <si>
    <t>IRR</t>
  </si>
  <si>
    <t>Real IRR = IRR - inflation</t>
  </si>
  <si>
    <t>Implied ERP = real IRR - 5-year real rate (base)</t>
  </si>
  <si>
    <t>As the house: price today, three yearly FCFF and the base terminal value as the fourth flow. An indicator, not a full DCF return.</t>
  </si>
  <si>
    <t>Ibovespa - Sensitivity: real rate and ERP</t>
  </si>
  <si>
    <t>The house's real-rate table (tie-out) and a real rate x ERP grid for the end-2027 fair value with the current settings.</t>
  </si>
  <si>
    <t>House table: 5-year real rate vs DCF value (Target rows 120-129)</t>
  </si>
  <si>
    <t>5-year real rate</t>
  </si>
  <si>
    <t>House file, end-2026</t>
  </si>
  <si>
    <t>Replica, end-2026 (house settings)</t>
  </si>
  <si>
    <t>Difference</t>
  </si>
  <si>
    <t>End-2027, current settings</t>
  </si>
  <si>
    <t>House settings: ERP 6.0%, g 4.7%, no corrections, house FCFF. The house table is an Excel data table on Target!C56.</t>
  </si>
  <si>
    <t>End-2027 fair value (index pts), current settings</t>
  </si>
  <si>
    <t>Real rate \ ERP</t>
  </si>
  <si>
    <t>Upside vs the Ibovespa used</t>
  </si>
  <si>
    <t>Framed cell = base real rate and base ERP. The grid uses the switches in Assumptions section 4.</t>
  </si>
  <si>
    <t>Ibovespa - Members: consensus lines by stock</t>
  </si>
  <si>
    <t>Bloomberg BEST consensus, company totals in BRL mn (Oct-7-2026), and market cap; in index points = points x line / market cap.</t>
  </si>
  <si>
    <t>Identification</t>
  </si>
  <si>
    <t>Weight, index points, market cap</t>
  </si>
  <si>
    <t>Consensus, BRL mn (Bloomberg BEST, EQY_FUND_CRNCY = BRL)</t>
  </si>
  <si>
    <t>In index points = points x line / market cap</t>
  </si>
  <si>
    <t>ROE FY28</t>
  </si>
  <si>
    <t>Bottom-up (analysts' 12m target prices)</t>
  </si>
  <si>
    <t>Ticker</t>
  </si>
  <si>
    <t>Company</t>
  </si>
  <si>
    <t>Box</t>
  </si>
  <si>
    <t>Sub-box</t>
  </si>
  <si>
    <t>Ibovespa weight Sep-30</t>
  </si>
  <si>
    <t>Price Sep-30 (R$)</t>
  </si>
  <si>
    <t>Price Oct-5 (R$)</t>
  </si>
  <si>
    <t>Price-drifted weight (unscaled)</t>
  </si>
  <si>
    <t>Weight Oct-5</t>
  </si>
  <si>
    <t>Index points</t>
  </si>
  <si>
    <t>Market cap (BRL mn)</t>
  </si>
  <si>
    <t>Sales FY26 (BRL mn)</t>
  </si>
  <si>
    <t>Sales FY26 (index pts)</t>
  </si>
  <si>
    <t>Sales FY27 (BRL mn)</t>
  </si>
  <si>
    <t>Sales FY27 (index pts)</t>
  </si>
  <si>
    <t>Sales FY28 (BRL mn)</t>
  </si>
  <si>
    <t>Sales FY28 (index pts)</t>
  </si>
  <si>
    <t>EBIT FY26 (BRL mn)</t>
  </si>
  <si>
    <t>EBIT FY26 (index pts)</t>
  </si>
  <si>
    <t>EBIT FY27 (BRL mn)</t>
  </si>
  <si>
    <t>EBIT FY27 (index pts)</t>
  </si>
  <si>
    <t>EBIT FY28 (BRL mn)</t>
  </si>
  <si>
    <t>EBIT FY28 (index pts)</t>
  </si>
  <si>
    <t>EBITDA FY26 (BRL mn)</t>
  </si>
  <si>
    <t>EBITDA FY26 (index pts)</t>
  </si>
  <si>
    <t>EBITDA FY27 (BRL mn)</t>
  </si>
  <si>
    <t>EBITDA FY27 (index pts)</t>
  </si>
  <si>
    <t>EBITDA FY28 (BRL mn)</t>
  </si>
  <si>
    <t>EBITDA FY28 (index pts)</t>
  </si>
  <si>
    <t>Net income FY26 (BRL mn)</t>
  </si>
  <si>
    <t>Net income FY26 (index pts)</t>
  </si>
  <si>
    <t>Net income FY27 (BRL mn)</t>
  </si>
  <si>
    <t>Net income FY27 (index pts)</t>
  </si>
  <si>
    <t>Net income FY28 (BRL mn)</t>
  </si>
  <si>
    <t>Net income FY28 (index pts)</t>
  </si>
  <si>
    <t>Capex FY26 (BRL mn)</t>
  </si>
  <si>
    <t>Capex FY26 (index pts)</t>
  </si>
  <si>
    <t>Capex FY27 (BRL mn)</t>
  </si>
  <si>
    <t>Capex FY27 (index pts)</t>
  </si>
  <si>
    <t>Capex FY28 (BRL mn)</t>
  </si>
  <si>
    <t>Capex FY28 (index pts)</t>
  </si>
  <si>
    <t>Net income FY28 with ROE (pts)</t>
  </si>
  <si>
    <t>Book value FY28 (pts)</t>
  </si>
  <si>
    <t>Missing lines</t>
  </si>
  <si>
    <t>Target price 12m (R$)</t>
  </si>
  <si>
    <t>Index points with a target price</t>
  </si>
  <si>
    <t>Index points at the target price</t>
  </si>
  <si>
    <t>ITUB4</t>
  </si>
  <si>
    <t>Itaú Unibanco</t>
  </si>
  <si>
    <t>Financials</t>
  </si>
  <si>
    <t>ebitda26, capex26, capex27, capex28</t>
  </si>
  <si>
    <t>XP</t>
  </si>
  <si>
    <t>BBDC4</t>
  </si>
  <si>
    <t>Bradesco</t>
  </si>
  <si>
    <t>ebitda26, ebitda27, ebitda28, capex26, capex27, capex28</t>
  </si>
  <si>
    <t>B3SA3</t>
  </si>
  <si>
    <t>B3</t>
  </si>
  <si>
    <t>ITSA4</t>
  </si>
  <si>
    <t>Itausa</t>
  </si>
  <si>
    <t>consensus</t>
  </si>
  <si>
    <t>BPAC11</t>
  </si>
  <si>
    <t>BTG Pactual</t>
  </si>
  <si>
    <t>capex26, capex27, capex28</t>
  </si>
  <si>
    <t>BBAS3</t>
  </si>
  <si>
    <t>Banco do Brasil</t>
  </si>
  <si>
    <t>ebit26, ebit27, ebit28, ebitda26, ebitda27, ebitda28, capex26, capex27, capex28</t>
  </si>
  <si>
    <t>BBSE3</t>
  </si>
  <si>
    <t>BBSeguridade</t>
  </si>
  <si>
    <t>BBDC3</t>
  </si>
  <si>
    <t>CXSE3</t>
  </si>
  <si>
    <t>Caixa Seguridade</t>
  </si>
  <si>
    <t>SANB11</t>
  </si>
  <si>
    <t>Santander</t>
  </si>
  <si>
    <t>ebitda26, ebitda27, capex26, capex27, capex28</t>
  </si>
  <si>
    <t>PSSA3</t>
  </si>
  <si>
    <t>Porto Seguro</t>
  </si>
  <si>
    <t>ebitda26, ebitda27, ebitda28</t>
  </si>
  <si>
    <t>AXIA3</t>
  </si>
  <si>
    <t>Axia Energia</t>
  </si>
  <si>
    <t>Defensives</t>
  </si>
  <si>
    <t>SBSP3</t>
  </si>
  <si>
    <t>Sabesp</t>
  </si>
  <si>
    <t>ABEV3</t>
  </si>
  <si>
    <t>Ambev</t>
  </si>
  <si>
    <t>ENEV3</t>
  </si>
  <si>
    <t>Eneva</t>
  </si>
  <si>
    <t>EQTL3</t>
  </si>
  <si>
    <t>Equatorial Energia</t>
  </si>
  <si>
    <t>CPLE3</t>
  </si>
  <si>
    <t>Copel</t>
  </si>
  <si>
    <t>RDOR3</t>
  </si>
  <si>
    <t>Rede D'Or</t>
  </si>
  <si>
    <t>RADL3</t>
  </si>
  <si>
    <t>Raia Drogasil</t>
  </si>
  <si>
    <t>CSMG3</t>
  </si>
  <si>
    <t>Copasa</t>
  </si>
  <si>
    <t>VIVT3</t>
  </si>
  <si>
    <t>Telefônica Brasil</t>
  </si>
  <si>
    <t>CMIG4</t>
  </si>
  <si>
    <t>Cemig</t>
  </si>
  <si>
    <t>ENGI11</t>
  </si>
  <si>
    <t>Energisa</t>
  </si>
  <si>
    <t>ASAI3</t>
  </si>
  <si>
    <t>Assai</t>
  </si>
  <si>
    <t>TIMS3</t>
  </si>
  <si>
    <t>Tim</t>
  </si>
  <si>
    <t>EGIE3</t>
  </si>
  <si>
    <t>Engie Brasil</t>
  </si>
  <si>
    <t>ISAE4</t>
  </si>
  <si>
    <t>ISA Energia</t>
  </si>
  <si>
    <t>MBRF3</t>
  </si>
  <si>
    <t>MBRF</t>
  </si>
  <si>
    <t>FLRY3</t>
  </si>
  <si>
    <t>Fleury</t>
  </si>
  <si>
    <t>TAEE11</t>
  </si>
  <si>
    <t>Taesa</t>
  </si>
  <si>
    <t>CPFE3</t>
  </si>
  <si>
    <t>CPFL Energia</t>
  </si>
  <si>
    <t>HYPE3</t>
  </si>
  <si>
    <t>Hypera</t>
  </si>
  <si>
    <t>NATU3</t>
  </si>
  <si>
    <t>Natura</t>
  </si>
  <si>
    <t>AURE3</t>
  </si>
  <si>
    <t>Auren</t>
  </si>
  <si>
    <t>HAPV3</t>
  </si>
  <si>
    <t>Hapvida</t>
  </si>
  <si>
    <t>BEEF3</t>
  </si>
  <si>
    <t>Minerva</t>
  </si>
  <si>
    <t>RENT3</t>
  </si>
  <si>
    <t>Localiza</t>
  </si>
  <si>
    <t>Cyclicals</t>
  </si>
  <si>
    <t>Cyclicals ex-WEG &amp; Embraer</t>
  </si>
  <si>
    <t>RAIL3</t>
  </si>
  <si>
    <t>Rumo</t>
  </si>
  <si>
    <t>TOTS3</t>
  </si>
  <si>
    <t>TOTVS</t>
  </si>
  <si>
    <t>MOTV3</t>
  </si>
  <si>
    <t>Motiva</t>
  </si>
  <si>
    <t>ALOS3</t>
  </si>
  <si>
    <t>Allos</t>
  </si>
  <si>
    <t>LREN3</t>
  </si>
  <si>
    <t>Lojas Renner</t>
  </si>
  <si>
    <t>MULT3</t>
  </si>
  <si>
    <t>Multiplan</t>
  </si>
  <si>
    <t>SMFT3</t>
  </si>
  <si>
    <t>Smart Fit</t>
  </si>
  <si>
    <t>CYRE3</t>
  </si>
  <si>
    <t>Cyrela</t>
  </si>
  <si>
    <t>IGTI11</t>
  </si>
  <si>
    <t>Iguatemi</t>
  </si>
  <si>
    <t>COGN3</t>
  </si>
  <si>
    <t>Cogna</t>
  </si>
  <si>
    <t>CURY3</t>
  </si>
  <si>
    <t>Cury</t>
  </si>
  <si>
    <t>DIRR3</t>
  </si>
  <si>
    <t>Direcional</t>
  </si>
  <si>
    <t>TEND3</t>
  </si>
  <si>
    <t>Tenda</t>
  </si>
  <si>
    <t>POMO4</t>
  </si>
  <si>
    <t>Marcopolo</t>
  </si>
  <si>
    <t>VIVA3</t>
  </si>
  <si>
    <t>Vivara</t>
  </si>
  <si>
    <t>MGLU3</t>
  </si>
  <si>
    <t>Magazine Luiza</t>
  </si>
  <si>
    <t>YDUQ3</t>
  </si>
  <si>
    <t>YDUQS</t>
  </si>
  <si>
    <t>AZZA3</t>
  </si>
  <si>
    <t>Azzas 2154</t>
  </si>
  <si>
    <t>VAMO3</t>
  </si>
  <si>
    <t>Vamos</t>
  </si>
  <si>
    <t>CEAB3</t>
  </si>
  <si>
    <t>C&amp;A Modas</t>
  </si>
  <si>
    <t>MRVE3</t>
  </si>
  <si>
    <t>MRV</t>
  </si>
  <si>
    <t>WEGE3</t>
  </si>
  <si>
    <t>Weg</t>
  </si>
  <si>
    <t>WEG &amp; Embraer</t>
  </si>
  <si>
    <t>EMBJ3</t>
  </si>
  <si>
    <t>Embraer</t>
  </si>
  <si>
    <t>VALE3</t>
  </si>
  <si>
    <t>Vale</t>
  </si>
  <si>
    <t>Commodities</t>
  </si>
  <si>
    <t>PETR4</t>
  </si>
  <si>
    <t>Petrobras</t>
  </si>
  <si>
    <t>PETR3</t>
  </si>
  <si>
    <t>PRIO3</t>
  </si>
  <si>
    <t>PRIO</t>
  </si>
  <si>
    <t>VBBR3</t>
  </si>
  <si>
    <t>Vibra Energia</t>
  </si>
  <si>
    <t>UGPA3</t>
  </si>
  <si>
    <t>Ultrapar</t>
  </si>
  <si>
    <t>GGBR4</t>
  </si>
  <si>
    <t>Gerdau</t>
  </si>
  <si>
    <t>SUZB3</t>
  </si>
  <si>
    <t>Suzano</t>
  </si>
  <si>
    <t>KLBN11</t>
  </si>
  <si>
    <t>Klabin</t>
  </si>
  <si>
    <t>GOAU4</t>
  </si>
  <si>
    <t>Met. Gerdau</t>
  </si>
  <si>
    <t>sales28, ebitda28, ni28, capex26, capex27, capex28</t>
  </si>
  <si>
    <t>CSAN3</t>
  </si>
  <si>
    <t>Cosan</t>
  </si>
  <si>
    <t>CMIN3</t>
  </si>
  <si>
    <t>CSN Mineração</t>
  </si>
  <si>
    <t>BRAP4</t>
  </si>
  <si>
    <t>Bradespar</t>
  </si>
  <si>
    <t>BRAV3</t>
  </si>
  <si>
    <t>Brava Energia</t>
  </si>
  <si>
    <t>CSNA3</t>
  </si>
  <si>
    <t>CSN</t>
  </si>
  <si>
    <t>USIM5</t>
  </si>
  <si>
    <t>Usiminas</t>
  </si>
  <si>
    <t>Total</t>
  </si>
  <si>
    <t>Index points of a line = index points x line / market cap: the stock's share of the line, in points. Company totals and market cap in BRL, so the currency of reporting does not matter; both share classes of a company use the company's market cap.</t>
  </si>
  <si>
    <t>Banks have no EBITDA and no capex in Bloomberg; the IBOV Index line scales the members with data up to the whole index, so part of the index EBITDA and capex is imputed to the banks (Box Shares section 3).</t>
  </si>
  <si>
    <t>Ibovespa - Box shares of the house lines</t>
  </si>
  <si>
    <t>Members' consensus by box (index pts) as a share of the IBOV Index line (Bloomberg, Oct-7-2026); Financials = the rest. Net income: share of the members' total.</t>
  </si>
  <si>
    <t>1. Members' consensus by box (index pts, Members sheet)</t>
  </si>
  <si>
    <t>Group</t>
  </si>
  <si>
    <t>Sales 2026</t>
  </si>
  <si>
    <t>Sales 2027</t>
  </si>
  <si>
    <t>Sales 2028</t>
  </si>
  <si>
    <t>EBIT 2026</t>
  </si>
  <si>
    <t>EBIT 2027</t>
  </si>
  <si>
    <t>EBIT 2028</t>
  </si>
  <si>
    <t>EBITDA 2026</t>
  </si>
  <si>
    <t>EBITDA 2027</t>
  </si>
  <si>
    <t>EBITDA 2028</t>
  </si>
  <si>
    <t>Net income 2026</t>
  </si>
  <si>
    <t>Net income 2027</t>
  </si>
  <si>
    <t>Net income 2028</t>
  </si>
  <si>
    <t>Capex 2026</t>
  </si>
  <si>
    <t>Capex 2027</t>
  </si>
  <si>
    <t>Capex 2028</t>
  </si>
  <si>
    <t>Sum of the members</t>
  </si>
  <si>
    <t>IBOV Index line (Bloomberg BEST, Oct-7)</t>
  </si>
  <si>
    <t>n/a</t>
  </si>
  <si>
    <t xml:space="preserve">   Cyclicals ex-WEG &amp; Embraer</t>
  </si>
  <si>
    <t xml:space="preserve">   WEG &amp; Embraer</t>
  </si>
  <si>
    <t>Memo (inside Cyclicals)</t>
  </si>
  <si>
    <t>2. Shares used to split the house lines (DCF by Box)</t>
  </si>
  <si>
    <t>Non-financial boxes: members' line / IBOV Index line. Financials: 1 - the other three (net income: members' share of the members' total).</t>
  </si>
  <si>
    <t>3. Financials: reported by the members vs. taken by Financials from the index line (index pts)</t>
  </si>
  <si>
    <t>Financials, members' reported consensus</t>
  </si>
  <si>
    <t>Financials share x IBOV Index line</t>
  </si>
  <si>
    <t>Imputed by the index (banks' EBITDA and capex) + index gap</t>
  </si>
  <si>
    <t>4. Financials ROE for the FCFE (FY28 consensus)</t>
  </si>
  <si>
    <t>Net income FY28 of the Financials with an ROE (index pts)</t>
  </si>
  <si>
    <t>Book value FY28 = net income / ROE (index pts)</t>
  </si>
  <si>
    <t>ROE FY28, consensus = net income / book value</t>
  </si>
  <si>
    <t>ROE used (Assumptions override if typed)</t>
  </si>
  <si>
    <t>5. Box ROE FY28 and consensus growth (DCF by Box: capex funding growth and the growth fade)</t>
  </si>
  <si>
    <t>Net income 2026 (pts)</t>
  </si>
  <si>
    <t>Net income 2028 (pts)</t>
  </si>
  <si>
    <t>Growth 2026-28 (a year)</t>
  </si>
  <si>
    <t>Starting growth (capped)</t>
  </si>
  <si>
    <t>ROE: members' consensus FY28 (BEST_ROE), aggregated as net income / book value. Growth: the box's consensus net income 2026 to 2028 (section 1), capped (Assumptions).</t>
  </si>
  <si>
    <t>Ibovespa - DCF by box (end-2027)</t>
  </si>
  <si>
    <t>Each box gets its share of every house line (Box Shares); box rules for capex and NWC, consensus growth fading in the TV, CAPM rates (Box Rates). FCFE for Financials.</t>
  </si>
  <si>
    <t>Ibovespa = sum of the four boxes (end-2027)</t>
  </si>
  <si>
    <t>Sum of the box values, own mechanics and box rates (Financials by FCFE)</t>
  </si>
  <si>
    <t>House DCF fair value for the Ibovespa (DCF sheet)</t>
  </si>
  <si>
    <t>Scale factor = house value / sum of the boxes</t>
  </si>
  <si>
    <t>Factor applied (ScaleBox; ScaleScen = 1: the base factor in every scenario)</t>
  </si>
  <si>
    <t>Sum of the box fair values = the Ibovespa by box</t>
  </si>
  <si>
    <t>Ibovespa by box vs. the house DCF (sum / house - 1)</t>
  </si>
  <si>
    <t>Memo: sum of the FCFF pieces at the house rate (house mechanics) = house value</t>
  </si>
  <si>
    <t>Memo: sum of the box values at the house rate (Financials by FCFE)</t>
  </si>
  <si>
    <t>Memo: scale factor at the house rate</t>
  </si>
  <si>
    <t>Defensives + Cyclicals + Commodities (FCFF) + Financials (FCFE), each at its box rate (Box Rates).</t>
  </si>
  <si>
    <t>Close to 1: the boxes' own values add up to about the house number.</t>
  </si>
  <si>
    <t>ScaleScen = 1: the bear / bull keep the base factor, so the earnings shocks (Box Earnings) open the Ibovespa's bear / bull; 0: every scenario = house DCF.</t>
  </si>
  <si>
    <t>The split itself is exact: with every box on the house mechanics and the house rate, the boxes add up to the house value.</t>
  </si>
  <si>
    <t>The boxes as in the house (one rate), for comparison.</t>
  </si>
  <si>
    <t>Financials (FCFE)</t>
  </si>
  <si>
    <t>Share of sales</t>
  </si>
  <si>
    <t>Box Shares: 2026-27 consensus; 2028+ as 2027 (the house projects sales from 2027).</t>
  </si>
  <si>
    <t>House sales (DCF sheet) x share.</t>
  </si>
  <si>
    <t>Share of EBIT</t>
  </si>
  <si>
    <t>Box Shares: 2026-28 consensus; 2029+ as 2028.</t>
  </si>
  <si>
    <t>Share of EBITDA</t>
  </si>
  <si>
    <t>Box Shares: 2026-28; 2029+ as 2028. Financials includes the EBITDA the index imputes to banks.</t>
  </si>
  <si>
    <t>Share of capex</t>
  </si>
  <si>
    <t>Box Shares: 2026-27; 2028+ as 2027.</t>
  </si>
  <si>
    <t>Share of net income</t>
  </si>
  <si>
    <t>Box Shares: 2026-28; 2029+ as 2028.</t>
  </si>
  <si>
    <t>Net income</t>
  </si>
  <si>
    <t>D&amp;A = EBITDA - EBIT</t>
  </si>
  <si>
    <t>Tax rate (house)</t>
  </si>
  <si>
    <t>DCF sheet (house, -24%).</t>
  </si>
  <si>
    <t>NOPAT = EBIT x (1 + tax rate)</t>
  </si>
  <si>
    <t>Working capital (NWC) = -NWC % x sales</t>
  </si>
  <si>
    <t>FCFF, house mechanics (switch FixNWC)</t>
  </si>
  <si>
    <t>FixNWC = 0: house row; 1: corrected row. Sum of the boxes = house FCFF (Checks); used for the house-rate memo.</t>
  </si>
  <si>
    <t>Capex funding growth = -(D&amp;A + growth x NOPAT / ROE)</t>
  </si>
  <si>
    <t>2028+: D&amp;A + the reinvestment that funds the year's growth (house sales growth) at the box's FY28 ROE (Box Shares section 5); 2026-27: consensus.</t>
  </si>
  <si>
    <t>FCFF, box rules = D&amp;A + NOPAT + capex funding growth + change in NWC</t>
  </si>
  <si>
    <t>FCFF used for the box value (switch BoxCF)</t>
  </si>
  <si>
    <t>BoxCF = 1: box rules (row above); 0: the house mechanics.</t>
  </si>
  <si>
    <t>ROE (Financials, Box Shares section 4)</t>
  </si>
  <si>
    <t>FCFE = net income x (1 - g / ROE)</t>
  </si>
  <si>
    <t>Financials only: the value used for the box (same g as the house).</t>
  </si>
  <si>
    <t>Valuation at the end of 2027</t>
  </si>
  <si>
    <t>Discount rate of the box (Box Rates)</t>
  </si>
  <si>
    <t>BoxRate 0: the house rate; 1: g + (house rate - g) x the box's relative cash yield, at least real rate + floor; 2: CAPM, real rate + beta x ERP.</t>
  </si>
  <si>
    <t>Earnings level shock of the scenario (Box Earnings)</t>
  </si>
  <si>
    <t>Domestic boxes: normalized earnings beta x the Ibovespa ex-Commodities shock; Commodities: price elasticity x commodity prices (Assumptions section 8). Zero in the base.</t>
  </si>
  <si>
    <t>Starting growth of the fade = consensus 2026-28 (capped; g if BoxGrowth = 0)</t>
  </si>
  <si>
    <t>Growth fades from this to g over FadeYears after 2031 (H = FadeYears / 2); the same in every scenario.</t>
  </si>
  <si>
    <t>FCFF 2031 in the scenario = FCFF 2031 x (1 + shock)</t>
  </si>
  <si>
    <t>Value at end-2031 of the FCFF after 2031 (FadeMode 0: H-model formula; 1-2: Box Fade)</t>
  </si>
  <si>
    <t>FadeMode 0: flow 2031 x [(1 + g) + H x (starting growth - g)] / (rate - g). 1: year by year; 2: year by year with growth paid (Box Fade).</t>
  </si>
  <si>
    <t>Periods the TV is discounted</t>
  </si>
  <si>
    <t>Present value of FCFF 2028-2031 (each year x (1 + shock))</t>
  </si>
  <si>
    <t>Value of the FCFF</t>
  </si>
  <si>
    <t>1.6x the house EBITDA of 2025 x the box's 2026 EBITDA share, only with FixND = 1.</t>
  </si>
  <si>
    <t>Value by the house mechanics (FCFF)</t>
  </si>
  <si>
    <t>Financials: shown for the reconciliation with the house value; not used.</t>
  </si>
  <si>
    <t>FCFE 2031 in the scenario = FCFE 2031 x (1 + shock)</t>
  </si>
  <si>
    <t>Value at end-2031 of the FCFE after 2031 (FadeMode 0: H-model formula; 1-2: Box Fade)</t>
  </si>
  <si>
    <t>Present value of FCFE 2028-2031 (each year x (1 + shock))</t>
  </si>
  <si>
    <t>Present value of the FCFE terminal value</t>
  </si>
  <si>
    <t>Value by FCFE</t>
  </si>
  <si>
    <t>Box value, own mechanics</t>
  </si>
  <si>
    <t>FCFF value (Financials: FCFE value).</t>
  </si>
  <si>
    <t>Index points today</t>
  </si>
  <si>
    <t>Upside, own value</t>
  </si>
  <si>
    <t>Fair value at the end of 2027 (scaled)</t>
  </si>
  <si>
    <t>Own value x factor applied (top of the sheet).</t>
  </si>
  <si>
    <t>Starting growth priced in by today's index points (reverse DCF)</t>
  </si>
  <si>
    <t>Starting growth + (points - own value) / (flow 2031 x H / ((rate - g) x (1 + rate)^periods)): exact with the H-model formula, first order with the year-by-year fade.</t>
  </si>
  <si>
    <t>Memo: house discount rate (DCF sheet)</t>
  </si>
  <si>
    <t>Memo: value of the FCFF at the house rate (house mechanics)</t>
  </si>
  <si>
    <t>Same FCFF at the house rate: the four boxes add up to the house value exactly (Checks).</t>
  </si>
  <si>
    <t>Memo: box value at the house rate (Financials by FCFE)</t>
  </si>
  <si>
    <t>The box as in the house (one rate); Summary compares it with the box-rate value.</t>
  </si>
  <si>
    <t>Defensives (house FCFF)</t>
  </si>
  <si>
    <t>Cyclicals (house FCFF)</t>
  </si>
  <si>
    <t>Commodities (house FCFF)</t>
  </si>
  <si>
    <t>Cyclicals ex-WEG &amp; Embraer (memo, inside Cyclicals; not added to the Ibovespa)</t>
  </si>
  <si>
    <t>WEG &amp; Embraer (memo, inside Cyclicals; not added to the Ibovespa)</t>
  </si>
  <si>
    <t>Ibovespa - Box discount rates: house, relative to history or CAPM</t>
  </si>
  <si>
    <t>Box rate - g = (house rate - g) x relative cash yield; relative cash yield = (10y average earnings yield x cash conversion) / the same for the Ibovespa.</t>
  </si>
  <si>
    <t>1. Historical cash yield relative to the Ibovespa (12m fwd, Oct-16..Sep-26)</t>
  </si>
  <si>
    <t>Cash conversion 2031 (FCFF or FCFE / net income)</t>
  </si>
  <si>
    <t>Average earnings yield (section 3)</t>
  </si>
  <si>
    <t>Average P/E = 1 / yield</t>
  </si>
  <si>
    <t>Cash yield = conversion x earnings yield</t>
  </si>
  <si>
    <t>Relative to the Ibovespa</t>
  </si>
  <si>
    <t>CAPM beta used (Box Betas)</t>
  </si>
  <si>
    <t>Ibovespa</t>
  </si>
  <si>
    <t>Cash conversion: the box's FCFF (Financials: FCFE) / net income in 2031, the year the terminal value grows from (DCF by Box; Ibovespa: DCF sheet).</t>
  </si>
  <si>
    <t>2. Discount rate by box (fair value at the end of 2027)</t>
  </si>
  <si>
    <t>Risk premium: Bear</t>
  </si>
  <si>
    <t>House discount rate (DCF sheet)</t>
  </si>
  <si>
    <t>5-year real rate (DCF sheet)</t>
  </si>
  <si>
    <t>BoxRate 0: the house rate. 1: g + (house rate - g) x relative cash yield, at least real rate + floor. 2: CAPM, real rate + beta x house ERP (Fisher if FixInfl = 1); with RateShock = 1 the scenario's real-rate change passes through the beta: + (beta - 1) x change. Risk premium = rate - real rate.</t>
  </si>
  <si>
    <t>3. Monthly 12m fwd earnings yield by box (1 / harmonic P/E of the month's members; Bloomberg panel of the multiples model)</t>
  </si>
  <si>
    <t>Month-end</t>
  </si>
  <si>
    <t>Ibovespa - Box betas vs the Ibovespa (CAPM)</t>
  </si>
  <si>
    <t>Beta = covariance of the box's weekly total return with the Ibovespa's / variance of the Ibovespa's, over the window in Assumptions.</t>
  </si>
  <si>
    <t>1. Beta of each box vs the Ibovespa (weekly total returns, window in Assumptions)</t>
  </si>
  <si>
    <t>Weeks in the window</t>
  </si>
  <si>
    <t>Average weekly return</t>
  </si>
  <si>
    <t>Covariance with the Ibovespa</t>
  </si>
  <si>
    <t>Variance of the Ibovespa</t>
  </si>
  <si>
    <t>Beta (raw)</t>
  </si>
  <si>
    <t>Beta (Blume adjusted)</t>
  </si>
  <si>
    <t>Beta used</t>
  </si>
  <si>
    <t>Weighted average of the four box betas (~1)</t>
  </si>
  <si>
    <t>Window: weeks after</t>
  </si>
  <si>
    <t>Source: box total-return indices (Economatica adjusted close, members at the previous month-end index weights; Oct-5 performance study, box_daily.parquet). The Ibovespa here is the sum of the four boxes.</t>
  </si>
  <si>
    <t>2. Weekly data (Friday closes): index levels (inputs) and returns (formulas)</t>
  </si>
  <si>
    <t>Week</t>
  </si>
  <si>
    <t>In window (1/0)</t>
  </si>
  <si>
    <t>Financials, level</t>
  </si>
  <si>
    <t>Financials, return</t>
  </si>
  <si>
    <t>Defensives, level</t>
  </si>
  <si>
    <t>Defensives, return</t>
  </si>
  <si>
    <t>Cyclicals, level</t>
  </si>
  <si>
    <t>Cyclicals, return</t>
  </si>
  <si>
    <t>Commodities, level</t>
  </si>
  <si>
    <t>Commodities, return</t>
  </si>
  <si>
    <t>Ibovespa, level</t>
  </si>
  <si>
    <t>Ibovespa, return</t>
  </si>
  <si>
    <t>Cyclicals ex-WEG &amp; Embraer, level</t>
  </si>
  <si>
    <t>Cyclicals ex-WEG &amp; Embraer, return</t>
  </si>
  <si>
    <t>WEG &amp; Embraer, level</t>
  </si>
  <si>
    <t>WEG &amp; Embraer, return</t>
  </si>
  <si>
    <t>Ibovespa - Box earnings: sensitivity to the domestic and commodity cycles (DCF scenarios)</t>
  </si>
  <si>
    <t>Earnings beta = covariance of the box's 12-month EPS growth with the domestic cycle's (Ibovespa ex-Commodities) / variance of the domestic cycle's, over the window in Assumptions.</t>
  </si>
  <si>
    <t>1. Earnings beta of each box to the domestic cycle (12-month change of the 12m fwd EPS, log; window in Assumptions)</t>
  </si>
  <si>
    <t>Months in the window</t>
  </si>
  <si>
    <t>Average 12-month growth</t>
  </si>
  <si>
    <t>Std. dev. of 12-month growth</t>
  </si>
  <si>
    <t>Covariance with the domestic cycle</t>
  </si>
  <si>
    <t>Earnings beta, estimated</t>
  </si>
  <si>
    <t>Override (blank = estimated)</t>
  </si>
  <si>
    <t>Domestic beta used</t>
  </si>
  <si>
    <t>Commodity price elasticity</t>
  </si>
  <si>
    <t>Correlation with the domestic cycle</t>
  </si>
  <si>
    <t>Std. dev. of 4-year growth, a year</t>
  </si>
  <si>
    <t>Domestic cycle: Ibovespa ex-Commodities</t>
  </si>
  <si>
    <t>Weighted average of the domestic boxes (Financials, Defensives, Cyclicals; index points)</t>
  </si>
  <si>
    <t>Normalization factor of the domestic betas (EBNorm)</t>
  </si>
  <si>
    <t>Window: 12-month changes from</t>
  </si>
  <si>
    <t>Commodities follow commodity prices (correlation ~0.5 with the domestic cycle): domestic beta 0; its earnings move by the elasticity to commodity prices (column J, 12-month changes vs. the DJP commodity ETN). WEG &amp; Embraer barely move with the domestic cycle.</t>
  </si>
  <si>
    <t>2. Earnings level shock by box and scenario: normalized domestic beta x Ibovespa ex-Commodities shock + price elasticity x commodity prices</t>
  </si>
  <si>
    <t>Ibovespa (weighted by index points)</t>
  </si>
  <si>
    <t>The shock moves the level of the box's earnings and flows in every year, 2028 onward (DCF by Box, Box Fade); growth is unchanged. Zero in the base.</t>
  </si>
  <si>
    <t>3. Monthly 12m fwd EPS index by group (matched sample, chain-linked; inputs) and its growth (formulas); commodity prices (DJP)</t>
  </si>
  <si>
    <t>In window, 12-month (1/0)</t>
  </si>
  <si>
    <t>In window, 4-year (1/0)</t>
  </si>
  <si>
    <t>Financials, EPS index</t>
  </si>
  <si>
    <t>Financials, 12-month growth (log)</t>
  </si>
  <si>
    <t>Financials, 4-year growth a year (log)</t>
  </si>
  <si>
    <t>Defensives, EPS index</t>
  </si>
  <si>
    <t>Defensives, 12-month growth (log)</t>
  </si>
  <si>
    <t>Defensives, 4-year growth a year (log)</t>
  </si>
  <si>
    <t>Cyclicals, EPS index</t>
  </si>
  <si>
    <t>Cyclicals, 12-month growth (log)</t>
  </si>
  <si>
    <t>Cyclicals, 4-year growth a year (log)</t>
  </si>
  <si>
    <t>Commodities, EPS index</t>
  </si>
  <si>
    <t>Commodities, 12-month growth (log)</t>
  </si>
  <si>
    <t>Commodities, 4-year growth a year (log)</t>
  </si>
  <si>
    <t>Cyclicals ex-WEG &amp; Embraer, EPS index</t>
  </si>
  <si>
    <t>Cyclicals ex-WEG &amp; Embraer, 12-month growth (log)</t>
  </si>
  <si>
    <t>Cyclicals ex-WEG &amp; Embraer, 4-year growth a year (log)</t>
  </si>
  <si>
    <t>WEG &amp; Embraer, EPS index</t>
  </si>
  <si>
    <t>WEG &amp; Embraer, 12-month growth (log)</t>
  </si>
  <si>
    <t>WEG &amp; Embraer, 4-year growth a year (log)</t>
  </si>
  <si>
    <t>Ibovespa, EPS index</t>
  </si>
  <si>
    <t>Ibovespa, 12-month growth (log)</t>
  </si>
  <si>
    <t>Ibovespa, 4-year growth a year (log)</t>
  </si>
  <si>
    <t>Ibovespa ex-Commodities, EPS index</t>
  </si>
  <si>
    <t>Ibovespa ex-Commodities, 12-month growth (log)</t>
  </si>
  <si>
    <t>Ibovespa ex-Commodities, 4-year growth a year (log)</t>
  </si>
  <si>
    <t>Commodity prices (DJP ETN)</t>
  </si>
  <si>
    <t>Commodity prices, 12-month change (log)</t>
  </si>
  <si>
    <t>Ibovespa - Fade after 2031, year by year (FadeMode 1 and 2)</t>
  </si>
  <si>
    <t>Growth steps down from the starting growth to g over FadeYears (mid-year steps: the H-model's area), then the Gordon formula; values at end-2031.</t>
  </si>
  <si>
    <t>1. Value at end-2031 of the flows after 2031: year by year vs. the H-model formula</t>
  </si>
  <si>
    <t>Year by year: Bear</t>
  </si>
  <si>
    <t>H-model formula: Bear</t>
  </si>
  <si>
    <t>Base: year by year / H-model - 1</t>
  </si>
  <si>
    <t>Fade in use (Assumptions section 8)</t>
  </si>
  <si>
    <t>FadeMode 1: the 2031 flow grows year by year. FadeMode 2: flow = earnings x (1 - growth / ROE) - NWC % x change in sales (Financials: net income x (1 - growth / ROE)): growth costs reinvestment at the box's FY28 ROE (Box Shares section 5).</t>
  </si>
  <si>
    <t>Financials · Bear</t>
  </si>
  <si>
    <t>2032</t>
  </si>
  <si>
    <t>2033</t>
  </si>
  <si>
    <t>2034</t>
  </si>
  <si>
    <t>2035</t>
  </si>
  <si>
    <t>2036</t>
  </si>
  <si>
    <t>2037</t>
  </si>
  <si>
    <t>2038</t>
  </si>
  <si>
    <t>2039</t>
  </si>
  <si>
    <t>2040</t>
  </si>
  <si>
    <t>2041</t>
  </si>
  <si>
    <t>2042: g</t>
  </si>
  <si>
    <t>Year of the fade</t>
  </si>
  <si>
    <t>Growth: starting growth (DCF by Box) stepping down to g over FadeYears</t>
  </si>
  <si>
    <t>Net income 2031 x (1 + shock), then x (1 + growth)</t>
  </si>
  <si>
    <t>Sales (not used: FCFE)</t>
  </si>
  <si>
    <t>Flow: FadeMode 1 = 2031 flow x (1 + growth); 2 = earnings x (1 - growth / ROE)</t>
  </si>
  <si>
    <t>Discount factor from end-2031 at the box rate</t>
  </si>
  <si>
    <t>Present value at end-2031</t>
  </si>
  <si>
    <t>Value at end-2031 = PV 2032-41 + flow 2042 / (rate - g), discounted</t>
  </si>
  <si>
    <t>Financials · Base</t>
  </si>
  <si>
    <t>Financials · Bull</t>
  </si>
  <si>
    <t>Defensives · Bear</t>
  </si>
  <si>
    <t>NOPAT 2031 x (1 + shock), then x (1 + growth)</t>
  </si>
  <si>
    <t>Sales 2031 x (1 + shock), then x (1 + growth)</t>
  </si>
  <si>
    <t>Flow: FadeMode 1 = 2031 flow x (1 + growth); 2 = earnings x (1 - growth / ROE) - NWC % x change in sales</t>
  </si>
  <si>
    <t>Defensives · Base</t>
  </si>
  <si>
    <t>Defensives · Bull</t>
  </si>
  <si>
    <t>Cyclicals · Bear</t>
  </si>
  <si>
    <t>Cyclicals · Base</t>
  </si>
  <si>
    <t>Cyclicals · Bull</t>
  </si>
  <si>
    <t>Commodities · Bear</t>
  </si>
  <si>
    <t>Commodities · Base</t>
  </si>
  <si>
    <t>Commodities · Bull</t>
  </si>
  <si>
    <t>Cyclicals ex-WEG &amp; Embraer · Bear</t>
  </si>
  <si>
    <t>Cyclicals ex-WEG &amp; Embraer · Base</t>
  </si>
  <si>
    <t>Cyclicals ex-WEG &amp; Embraer · Bull</t>
  </si>
  <si>
    <t>WEG &amp; Embraer · Bear</t>
  </si>
  <si>
    <t>WEG &amp; Embraer · Base</t>
  </si>
  <si>
    <t>WEG &amp; Embraer · Bull</t>
  </si>
  <si>
    <t>Ibovespa - Target by box: house multiples, bottom-up and the average of the methods (end-2027)</t>
  </si>
  <si>
    <t>House Target methods for 2027 split by box: P/E and EV/EBITDA at each box's 10y relative multiple (calibrated to the house value), bottom-up from the analysts' TPs.</t>
  </si>
  <si>
    <t>1. House methods for the Ibovespa, end-2027 (Target rows 67-90)</t>
  </si>
  <si>
    <t>Target P/E on 2027 EPS (Assumptions)</t>
  </si>
  <si>
    <t>EPS 2027, house (DCF sheet)</t>
  </si>
  <si>
    <t>P/E method = target P/E x EPS 2027</t>
  </si>
  <si>
    <t>Target EV/EBITDA on 2027 EBITDA (Assumptions)</t>
  </si>
  <si>
    <t>EBITDA 2027, house (DCF sheet)</t>
  </si>
  <si>
    <t>Net debt = 1.6x EBITDA 2025 (house)</t>
  </si>
  <si>
    <t>EV/EBITDA method = target x EBITDA 2027 - net debt</t>
  </si>
  <si>
    <t>Bottom-up: members at the analysts' target prices (section 4)</t>
  </si>
  <si>
    <t>DCF: Ibovespa by box (DCF by Box; = the house DCF in the base)</t>
  </si>
  <si>
    <t>Average of the methods (weights in Assumptions)</t>
  </si>
  <si>
    <t>Upside of the average</t>
  </si>
  <si>
    <t>2. P/E method by box: house P/E x the box's 10y relative P/E, calibrated to the house value</t>
  </si>
  <si>
    <t>Relative P/E (10y average)</t>
  </si>
  <si>
    <t>EPS 2027 (pts)</t>
  </si>
  <si>
    <t>P/E today on 2027 EPS</t>
  </si>
  <si>
    <t>Target P/E, base</t>
  </si>
  <si>
    <t>Calibration: house P/E value / sum of (relative P/E x box EPS)</t>
  </si>
  <si>
    <t>Memo (inside Cyclicals; own relative multiple, not additive)</t>
  </si>
  <si>
    <t>3. EV/EBITDA method by box: house multiple x the box's 10y relative EV/EBITDA, calibrated (Financials: P/E value)</t>
  </si>
  <si>
    <t>Relative EV/EBITDA (10y average)</t>
  </si>
  <si>
    <t>EBITDA 2027 (pts)</t>
  </si>
  <si>
    <t>Net debt (pts)</t>
  </si>
  <si>
    <t>Target EV/EBITDA, base</t>
  </si>
  <si>
    <t>Calibration: (house value - Financials + others' net debt) / boxes' EV</t>
  </si>
  <si>
    <t>Financials (P/E value: EV/EBITDA does not apply)</t>
  </si>
  <si>
    <t>4. Bottom-up by box: the members at the analysts' 12m target prices (Members), x (1 + change) in the bear / bull</t>
  </si>
  <si>
    <t>Upside of the covered members</t>
  </si>
  <si>
    <t>5. Average of the methods by box (DCF by Box + sections 2-4; weights in Assumptions)</t>
  </si>
  <si>
    <t>Upside: Bear</t>
  </si>
  <si>
    <t>Memo (inside Cyclicals; not additive)</t>
  </si>
  <si>
    <t>6. Monthly 12m fwd P/E and EV/EBITDA (harmonic means of the month's members; Bloomberg panel of the multiples model) and the relative multiples</t>
  </si>
  <si>
    <t>P/E Financials</t>
  </si>
  <si>
    <t>P/E Defensives</t>
  </si>
  <si>
    <t>P/E Cyclicals</t>
  </si>
  <si>
    <t>P/E Commodities</t>
  </si>
  <si>
    <t>P/E Ibovespa</t>
  </si>
  <si>
    <t>P/E Cyclicals ex-WEG &amp; Embraer</t>
  </si>
  <si>
    <t>P/E WEG &amp; Embraer</t>
  </si>
  <si>
    <t>EV/EBITDA Defensives</t>
  </si>
  <si>
    <t>EV/EBITDA Cyclicals</t>
  </si>
  <si>
    <t>EV/EBITDA Commodities</t>
  </si>
  <si>
    <t>EV/EBITDA Ibovespa ex-Financials</t>
  </si>
  <si>
    <t>EV/EBITDA Cyclicals ex-WEG &amp; Embraer</t>
  </si>
  <si>
    <t>EV/EBITDA WEG &amp; Embraer</t>
  </si>
  <si>
    <t>Relative P/E Financials</t>
  </si>
  <si>
    <t>Relative P/E Defensives</t>
  </si>
  <si>
    <t>Relative P/E Cyclicals</t>
  </si>
  <si>
    <t>Relative P/E Commodities</t>
  </si>
  <si>
    <t>Relative P/E Cyclicals ex-WEG &amp; Embraer</t>
  </si>
  <si>
    <t>Relative P/E WEG &amp; Embraer</t>
  </si>
  <si>
    <t>Relative EV/EBITDA Defensives</t>
  </si>
  <si>
    <t>Relative EV/EBITDA Cyclicals</t>
  </si>
  <si>
    <t>Relative EV/EBITDA Commodities</t>
  </si>
  <si>
    <t>Relative EV/EBITDA Cyclicals ex-WEG &amp; Embraer</t>
  </si>
  <si>
    <t>Relative EV/EBITDA WEG &amp; Embraer</t>
  </si>
  <si>
    <t>10-year average (Oct-16..Sep-26)</t>
  </si>
  <si>
    <t>Ibovespa - Target by box at the end of 2027 (house model)</t>
  </si>
  <si>
    <t>House Target methods rolled to end-2027 and split by box: DCF (CAPM), P/E, EV/EBITDA, bottom-up, and their average. Construction: Multiples by Box, DCF by Box.</t>
  </si>
  <si>
    <t>Market data</t>
  </si>
  <si>
    <t>Checks</t>
  </si>
  <si>
    <t>Boxes scaled</t>
  </si>
  <si>
    <t>DCF box settings</t>
  </si>
  <si>
    <t>1. Target at the end of 2027 by box: average of the methods (index pts)</t>
  </si>
  <si>
    <t>2. Base case by method (upside vs. index points) and the multiples model</t>
  </si>
  <si>
    <t>DCF (CAPM)</t>
  </si>
  <si>
    <t>P/E</t>
  </si>
  <si>
    <t>EV/EBITDA</t>
  </si>
  <si>
    <t>Bottom-up</t>
  </si>
  <si>
    <t>Average of the methods</t>
  </si>
  <si>
    <t>Multiples model (Oct-6)</t>
  </si>
  <si>
    <t>Average absolute gap to the multiples model, four boxes</t>
  </si>
  <si>
    <t>3. DCF by box (CAPM, box cash flows, Gordon after 2031 as the house; not scaled: the Ibovespa is the sum of the boxes)</t>
  </si>
  <si>
    <t>4. Discount rate by box (Box Rates)</t>
  </si>
  <si>
    <t>Relative cash yield</t>
  </si>
  <si>
    <t>Rate: Bear</t>
  </si>
  <si>
    <t>CAPM beta</t>
  </si>
  <si>
    <t>Ibovespa (house rate)</t>
  </si>
  <si>
    <t>Rates in use (BoxRate in Assumptions; default 2 = CAPM, real rate + box beta x the house ERP). Betas: Box Betas.</t>
  </si>
  <si>
    <t>5. DCF: each box with its own value, before scaling (Financials by FCFE)</t>
  </si>
  <si>
    <t>Sum of the boxes</t>
  </si>
  <si>
    <t>House DCF fair value, Ibovespa (DCF sheet)</t>
  </si>
  <si>
    <t>Scale factor = house / sum of the boxes</t>
  </si>
  <si>
    <t>Factor applied (ScaleScen = 1: the base factor in every scenario)</t>
  </si>
  <si>
    <t>6. Scenario parameters and settings (Assumptions)</t>
  </si>
  <si>
    <t>ERP (house)</t>
  </si>
  <si>
    <t>House discount rate</t>
  </si>
  <si>
    <t>Bottom-up change</t>
  </si>
  <si>
    <t>Corrections to the house aggregate (Assumptions section 4)</t>
  </si>
  <si>
    <t>7. Box shares of the house lines (Box Shares; last consensus year)</t>
  </si>
  <si>
    <t>Line</t>
  </si>
  <si>
    <t>8. Reference (not linked): multiples model and our DCF by box (index pts)</t>
  </si>
  <si>
    <t>Model</t>
  </si>
  <si>
    <t>Cyc. ex-WEG &amp; EMB</t>
  </si>
  <si>
    <t>Multiples model, average of methods (Oct-6 table): Bear</t>
  </si>
  <si>
    <t>Multiples model, average of methods (Oct-6 table): Base</t>
  </si>
  <si>
    <t>Multiples model, average of methods (Oct-6 table): Bull</t>
  </si>
  <si>
    <t>DCF by box (Ibov_DCF_by_box_XP.xlsx, 12 months): Base</t>
  </si>
  <si>
    <t>Multiples model: Ibov_valuation_by_box_model_XP.xlsx (prices of Oct-5; each box at its own 10y average multiples, plus bottom-up).</t>
  </si>
  <si>
    <t>9. Scenarios of the DCF by box: shocks, rates and the change vs. the base (multiples model for comparison)</t>
  </si>
  <si>
    <t>Earnings beta, domestic (normalized)</t>
  </si>
  <si>
    <t>Earnings shock: Bear</t>
  </si>
  <si>
    <t>DCF vs. base: Bear</t>
  </si>
  <si>
    <t>Multiples model vs. base: Bear</t>
  </si>
  <si>
    <t>Bear / bull: the house real-rate scenarios through each box's beta (RateShock) and the earnings shocks of Assumptions section 8 x each box's earnings beta (Commodities: the commodity shock). Multiples model: the Oct-6 table (section 8).</t>
  </si>
  <si>
    <t>10. DCF by box: expected value (scenario probabilities) and the growth priced in today</t>
  </si>
  <si>
    <t>Expected value (pts)</t>
  </si>
  <si>
    <t>Expected upside</t>
  </si>
  <si>
    <t>Bull gain / bear loss vs. base</t>
  </si>
  <si>
    <t>Consensus growth 2026-28</t>
  </si>
  <si>
    <t>Starting growth used (base)</t>
  </si>
  <si>
    <t>Growth priced in today (reverse DCF)</t>
  </si>
  <si>
    <t>Expected value: probabilities in Assumptions section 8. Gain / loss = (bull - base) / (base - bear). Growth priced in: the starting growth of the fade at which the box's own value equals today's index points (base rate and flows; DCF by Box).</t>
  </si>
  <si>
    <t>Ibovespa - Checks</t>
  </si>
  <si>
    <t>'OK' / 'CHECK' drive the status in C5; 'Info' does not. House tie-outs hold while the projection rules are the house's.</t>
  </si>
  <si>
    <t>Overall status</t>
  </si>
  <si>
    <t>Check</t>
  </si>
  <si>
    <t>Target</t>
  </si>
  <si>
    <t>Status</t>
  </si>
  <si>
    <t>Note</t>
  </si>
  <si>
    <t>House replica</t>
  </si>
  <si>
    <t>FCFF 2025, house row = Target row 44</t>
  </si>
  <si>
    <t>House file value.</t>
  </si>
  <si>
    <t>FCFF 2026, house row = Target row 44</t>
  </si>
  <si>
    <t>FCFF 2027, house row = Target row 44</t>
  </si>
  <si>
    <t>FCFF 2028, house row = Target row 44</t>
  </si>
  <si>
    <t>FCFF 2029, house row = Target row 44</t>
  </si>
  <si>
    <t>FCFF 2030, house row = Target row 44</t>
  </si>
  <si>
    <t>Terminal value on 2030, house rate (Target!R44)</t>
  </si>
  <si>
    <t>Fair value end-2025, house settings (Target!D59)</t>
  </si>
  <si>
    <t>Fair value end-2026, house settings (Target!F59)</t>
  </si>
  <si>
    <t>Fair value end-2027, house file column (Target!G59)</t>
  </si>
  <si>
    <t>Real-rate table, largest gap to the house (Sensitivity)</t>
  </si>
  <si>
    <t>House implied return at the house price (Target!B62)</t>
  </si>
  <si>
    <t>Helper row 94.</t>
  </si>
  <si>
    <t>Split by box</t>
  </si>
  <si>
    <t>Member weights on Oct-5 add up to 100%</t>
  </si>
  <si>
    <t>Members' index points = Ibovespa on Oct-5</t>
  </si>
  <si>
    <t>Box shares add up to 100% (all lines and years; sum of absolute gaps)</t>
  </si>
  <si>
    <t>Memo sub-boxes = Cyclicals (index points)</t>
  </si>
  <si>
    <t>FCFF used: sum of the boxes = house, 2028-2031 (sum of absolute gaps)</t>
  </si>
  <si>
    <t>Bear: sum of the FCFF pieces = house value (exact split)</t>
  </si>
  <si>
    <t>Base: sum of the FCFF pieces = house value (exact split)</t>
  </si>
  <si>
    <t>Bull: sum of the FCFF pieces = house value (exact split)</t>
  </si>
  <si>
    <t>Base: memo sub-boxes = Cyclicals at the house rate</t>
  </si>
  <si>
    <t>At the box rates the memo rows have their own rates and are not additive.</t>
  </si>
  <si>
    <t>Base: sum of the box fair values = house value (or the own sum if not scaled)</t>
  </si>
  <si>
    <t>Base: scale factor (house / sum of own values)</t>
  </si>
  <si>
    <t>Info: Financials by FCFE vs. its FCFF piece explains the gap.</t>
  </si>
  <si>
    <t>Base: Financials FCFE value / its FCFF piece - 1</t>
  </si>
  <si>
    <t>Info.</t>
  </si>
  <si>
    <t>Bear: Ibovespa by box vs. the house DCF (sum / house - 1)</t>
  </si>
  <si>
    <t>Info: ScaleScen = 1 lets the earnings shocks open the bear / bull.</t>
  </si>
  <si>
    <t>Bull: Ibovespa by box vs. the house DCF (sum / house - 1)</t>
  </si>
  <si>
    <t>Base: the earnings shocks are zero (the base is the consensus)</t>
  </si>
  <si>
    <t>Year-by-year fade: FadeYears is at most 10 (Box Fade has 10 years)</t>
  </si>
  <si>
    <t>Fade after 2031 (0 = H-model formula, 1 = year by year, 2 = growth paid)</t>
  </si>
  <si>
    <t>Base: Commodities, year-by-year fade / H-model formula - 1 (Box Fade)</t>
  </si>
  <si>
    <t>Info: the H-model formula undervalues negative starting growth.</t>
  </si>
  <si>
    <t>Earnings betas: months of 12-month EPS changes in the window (Box Earnings)</t>
  </si>
  <si>
    <t>Info: Oct-07..Sep-26 by default.</t>
  </si>
  <si>
    <t>Earnings betas: the domestic cycle's own beta = 1</t>
  </si>
  <si>
    <t>Earnings betas: domestic boxes, weighted average after normalization</t>
  </si>
  <si>
    <t>Info: 1 with EBNorm = 1.</t>
  </si>
  <si>
    <t>Commodities: earnings elasticity to commodity prices (Box Earnings)</t>
  </si>
  <si>
    <t>Box rates: months of earnings-yield history (Box Rates)</t>
  </si>
  <si>
    <t>Box rates in use (0 = house rate, 1 = relative to history, 2 = CAPM)</t>
  </si>
  <si>
    <t>CAPM betas: weighted average of the four boxes (index points)</t>
  </si>
  <si>
    <t>Info: close to 1, the Ibovespa's beta.</t>
  </si>
  <si>
    <t>Base: average gap to the multiples model, four boxes, DCF (upside, pp)</t>
  </si>
  <si>
    <t>Info: Summary section 2.</t>
  </si>
  <si>
    <t>Base: average gap to the multiples model, four boxes, average of the methods (pp)</t>
  </si>
  <si>
    <t>Members with a missing consensus line</t>
  </si>
  <si>
    <t>Info: missing lines count as 0 (banks: EBITDA, capex).</t>
  </si>
  <si>
    <t>Target by box (Multiples by Box)</t>
  </si>
  <si>
    <t>P/E 2027 with the house inputs (Target!F77)</t>
  </si>
  <si>
    <t>EV/EBITDA 2027 with the house inputs (Target!F72)</t>
  </si>
  <si>
    <t>Bear: P/E method, the boxes add up to the house value</t>
  </si>
  <si>
    <t>Bear: EV/EBITDA method, the boxes add up to the house value</t>
  </si>
  <si>
    <t>Base: P/E method, the boxes add up to the house value</t>
  </si>
  <si>
    <t>Base: EV/EBITDA method, the boxes add up to the house value</t>
  </si>
  <si>
    <t>Bull: P/E method, the boxes add up to the house value</t>
  </si>
  <si>
    <t>Bull: EV/EBITDA method, the boxes add up to the house value</t>
  </si>
  <si>
    <t>Bear: average of the methods, the boxes add up to the Ibovespa average</t>
  </si>
  <si>
    <t>Base: average of the methods, the boxes add up to the Ibovespa average</t>
  </si>
  <si>
    <t>Bull: average of the methods, the boxes add up to the Ibovespa average</t>
  </si>
  <si>
    <t>Months of multiples history (P/E)</t>
  </si>
  <si>
    <t>Members with a target price (index points, share of the Ibovespa)</t>
  </si>
  <si>
    <t>Info: bottom-up coverage.</t>
  </si>
  <si>
    <t>Settings</t>
  </si>
  <si>
    <t>Corrections switched on (Assumptions section 4)</t>
  </si>
  <si>
    <t>Info: 0 = the house mechanics.</t>
  </si>
  <si>
    <t>Market data used (1 = house file, 2 = Oct-5)</t>
  </si>
  <si>
    <t>Formula errors (DCF, DCF by Box, Multiples by Box, Summary, Sensitivity, Box Shares, Box Rates, Box Betas, Box Earnings, Box Fade, Members)</t>
  </si>
  <si>
    <t>House file settings used by the tie-outs (Target sheet)</t>
  </si>
  <si>
    <t>5-year real rate (Target!C56)</t>
  </si>
  <si>
    <t>ERP (Target!B57)</t>
  </si>
  <si>
    <t>g (Target!B54)</t>
  </si>
  <si>
    <t>Ibovespa (Target!B61)</t>
  </si>
  <si>
    <t>Helper: house implied-return flows (Target row 61)</t>
  </si>
  <si>
    <t>Ibovespa by box, house target model rolled to end-2027</t>
  </si>
  <si>
    <t>XP Research · Equity Strategy · built Oct-7-2026 · house file inputs (Sep-26); members' consensus Oct-7-2026; market data Oct-5-2026</t>
  </si>
  <si>
    <t>What it is</t>
  </si>
  <si>
    <t>The house Ibovespa target (DCF Ibov 2026_Out.xlsx, Target sheet) rolled forward to the end of 2027 and split by box: the average of four methods (DCF, target P/E, target EV/EBITDA, bottom-up), as the house's Target row 88.</t>
  </si>
  <si>
    <t>Aggregate</t>
  </si>
  <si>
    <t>The house DCF block is replicated with the same inputs, rules and mechanics (DCF sheet); Checks tie it, and the 2027 P/E and EV/EBITDA, to the house file.</t>
  </si>
  <si>
    <t>DCF by box</t>
  </si>
  <si>
    <t>Lines</t>
  </si>
  <si>
    <t>Every house line (sales, EBIT, EBITDA, net income, capex) is split by the box's share of the IBOV Index line, measured with the members' consensus (Box Shares). Banks have no EBITDA or capex; the index imputes them, and the imputed part goes to Financials.</t>
  </si>
  <si>
    <t>Rates</t>
  </si>
  <si>
    <t>CAPM (BoxRate = 2, default): real rate + box beta x 6.0% ERP. Betas from the boxes' weekly total-return indices (Box Betas). BoxRate = 0: the house rate; 1: rate relative to the box's historical cash yield.</t>
  </si>
  <si>
    <t>BoxCF = 1 (default): capex = D&amp;A + the reinvestment that funds the year's growth at the box's FY28 ROE, and working capital by its change; the house aggregate keeps the house rules. Financials: FCFE = net income x (1 - g / ROE).</t>
  </si>
  <si>
    <t>Growth</t>
  </si>
  <si>
    <t>As the house: after 2031 the flows grow at g = 4.7% forever (Gordon; BoxGrowth = 0, FadeMode = 0), no fade and no cap. Optional: BoxGrowth = 1 lets the box's consensus net income growth 2026-28 fade to g over 10 years (FadeMode 1 = year by year, Box Fade).</t>
  </si>
  <si>
    <t>Scenarios</t>
  </si>
  <si>
    <t>Two levers, as the house: the real rate (8.5% bear / 5.5% bull, the same change for every box) and the earnings level (-20% / +20% for the Ibovespa ex-Commodities, split by each domestic box's normalized earnings beta; Commodities by its earnings elasticity to commodity prices x -20% / +20% commodity prices). Growth after 2031 is the same in every scenario. The base is the consensus.</t>
  </si>
  <si>
    <t>Sum</t>
  </si>
  <si>
    <t>Not scaled (ScaleBox = 0, default): the Ibovespa by box is the sum of the four boxes and may differ from the house DCF (DCF sheet). ScaleBox = 1 scales the base to the house value. Summary sections 9-10: sensitivity, expected value and the growth priced in today.</t>
  </si>
  <si>
    <t>Multiples and bottom-up by box</t>
  </si>
  <si>
    <t>House target P/E (10.0x base, 7.5x / 12x bear / bull) x the box's 10y average P/E relative to the Ibovespa, calibrated so the boxes add up to the house value (P/E x 2027 EPS). RelMult = 0: the house P/E for every box.</t>
  </si>
  <si>
    <t>House target EV/EBITDA (5.5x base, 4.5x / 6.0x) x the box's 10y relative EV/EBITDA, less net debt (1.6x EBITDA 2025 split by EBITDA share), calibrated to the house value; Financials take their P/E value.</t>
  </si>
  <si>
    <t>Members at the analysts' 12m target prices (house COMP SHEET, consensus when missing), -20% / +20% in the bear / bull.</t>
  </si>
  <si>
    <t>Average</t>
  </si>
  <si>
    <t>Weighted average of the four methods (equal weights, as the house); the boxes add up to the house's Ibovespa average.</t>
  </si>
  <si>
    <t>How to use it</t>
  </si>
  <si>
    <t>1. Change</t>
  </si>
  <si>
    <t>Assumptions: market data, g, scenarios, corrections, box settings (section 6: ScaleBox, BoxRate, BoxCF, BoxGrowth, fade, cap, betas), the target methods (section 7: multiples, bottom-up change, RelMult, weights) and the DCF scenarios (section 8: earnings shocks, probabilities, RateShock, EBNorm, ScaleScen, FadeMode, earnings-beta window).</t>
  </si>
  <si>
    <t>2. Read</t>
  </si>
  <si>
    <t>Summary: the target by box (average of the methods), each method in the base case, the DCF by box and the rates.</t>
  </si>
  <si>
    <t>3. Trace</t>
  </si>
  <si>
    <t>Summary -&gt; Multiples by Box / DCF by Box -&gt; Box Rates, Box Betas, Box Earnings, Box Fade, Box Shares -&gt; Members; DCF (house aggregate).</t>
  </si>
  <si>
    <t>Sources</t>
  </si>
  <si>
    <t>History 2015-2025 and IBOV Index consensus 2026-2028 as saved in DCF Ibov 2026_Out.xlsx (Sep-26); not refreshed.</t>
  </si>
  <si>
    <t>Members</t>
  </si>
  <si>
    <t>Bloomberg BEST_SALES, BEST_EBIT, BEST_EBITDA, BEST_NET_INCOME, BEST_CAPEX (FY26-FY28, BRL), CUR_MKT_CAP, BEST_ROE (Oct-7-2026); target prices from the house COMP SHEET (consensus when missing). Weights: Economatica Sep-30, drifted by price to Oct-5.</t>
  </si>
  <si>
    <t>Histories</t>
  </si>
  <si>
    <t>Monthly 12m fwd P/E and EV/EBITDA (Bloomberg panel of the multiples model); weekly box total returns (Economatica, Oct-5 performance study).</t>
  </si>
  <si>
    <t>Earnings</t>
  </si>
  <si>
    <t>Monthly 12m fwd EPS index by box, matched sample chain-linked, Oct-06..Sep-26 (Oct-6 EPS study, eps_index_matched.parquet).</t>
  </si>
  <si>
    <t>Market</t>
  </si>
  <si>
    <t>Ibovespa 208,431.92 (Oct-5 close); 5-year NTN-B 6.76% (ANBIMA, Oct-5).</t>
  </si>
  <si>
    <t>Code</t>
  </si>
  <si>
    <t>Brazil Bull Case/scripts: box_lines_data.py (Bloomberg) and build_house2027_box.py (this workbook).</t>
  </si>
  <si>
    <r>
      <rPr>
        <b/>
        <sz val="18"/>
        <color rgb="FFFFFFFF"/>
        <rFont val="Roboto"/>
        <family val="2"/>
      </rPr>
      <t>Ibovespa</t>
    </r>
    <r>
      <rPr>
        <sz val="18"/>
        <color rgb="FFFFFFFF"/>
        <rFont val="Roboto Light"/>
        <family val="2"/>
      </rPr>
      <t xml:space="preserve"> | target by box (house model), end-2027</t>
    </r>
  </si>
  <si>
    <t>VALUATION MODEL  ·  EQUITY STRATEGY</t>
  </si>
  <si>
    <t>Main tabs &gt;&gt;</t>
  </si>
  <si>
    <t>Auxiliary tabs &gt;&gt;</t>
  </si>
  <si>
    <t>Summary</t>
  </si>
  <si>
    <t>Assumptions</t>
  </si>
  <si>
    <t>DCF by Box</t>
  </si>
  <si>
    <t>Multiples
by Box</t>
  </si>
  <si>
    <t>DCF
(Ibovespa)</t>
  </si>
  <si>
    <t>Sensitivity</t>
  </si>
  <si>
    <t>Box Rates</t>
  </si>
  <si>
    <t>Box Betas</t>
  </si>
  <si>
    <t>Box
Earnings</t>
  </si>
  <si>
    <t>Box Fade</t>
  </si>
  <si>
    <t>Box Shares</t>
  </si>
  <si>
    <t>Members
(76 stocks)</t>
  </si>
  <si>
    <t>How this model works &gt;&gt;</t>
  </si>
  <si>
    <t>Target end-2027, base (average)</t>
  </si>
  <si>
    <t>Upside, base</t>
  </si>
  <si>
    <t>Target end-2027, bear</t>
  </si>
  <si>
    <t>Target end-2027, bull</t>
  </si>
  <si>
    <t>Model checks</t>
  </si>
  <si>
    <t>Equity Strategy | XP Research</t>
  </si>
  <si>
    <t>Target by box, base (average of the methods) &gt;&gt;</t>
  </si>
  <si>
    <t>House target methods rolled to end-2027 and split by box: DCF (CAPM), P/E, EV/EBITDA and bottom-up, and their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</si>
</sst>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0.0%"/>
    <numFmt numFmtId="165" formatCode="0.0%"/>
    <numFmt numFmtId="166" formatCode="0.000"/>
    <numFmt numFmtId="167" formatCode="0.0&quot;x&quot;"/>
    <numFmt numFmtId="168" formatCode="0.00&quot;x&quot;"/>
    <numFmt numFmtId="169" formatCode="0.0"/>
    <numFmt numFmtId="170" formatCode="[$-409]d\-mmm\-yy"/>
    <numFmt numFmtId="171" formatCode="[$-409]mmm\-yy"/>
    <numFmt numFmtId="172" formatCode="0.000%"/>
    <numFmt numFmtId="173" formatCode="0.000000"/>
    <numFmt numFmtId="174" formatCode="0.0000"/>
    <numFmt numFmtId="175" formatCode="#,##0.0"/>
    <numFmt numFmtId="176" formatCode="0.0000%"/>
  </numFmts>
  <fonts count="30" x14ac:knownFonts="1">
    <font>
      <sz val="11"/>
      <color theme="1"/>
      <name val="Calibri"/>
      <family val="2"/>
      <scheme val="minor"/>
    </font>
    <font>
      <sz val="10"/>
      <color rgb="FF18191A"/>
      <name val="Roboto"/>
      <family val="2"/>
    </font>
    <font>
      <sz val="10"/>
      <color rgb="FFFFFFFF"/>
      <name val="Roboto Light"/>
      <family val="2"/>
    </font>
    <font>
      <b/>
      <i/>
      <sz val="9"/>
      <color rgb="FF1F2F44"/>
      <name val="Roboto"/>
      <family val="2"/>
    </font>
    <font>
      <b/>
      <sz val="11"/>
      <color rgb="FFFFFFFF"/>
      <name val="Roboto"/>
      <family val="2"/>
    </font>
    <font>
      <sz val="10"/>
      <color rgb="FF18191A"/>
      <name val="Roboto Light"/>
      <family val="2"/>
    </font>
    <font>
      <sz val="10"/>
      <color rgb="FF18191A"/>
      <name val="Roboto"/>
      <family val="2"/>
    </font>
    <font>
      <b/>
      <sz val="10"/>
      <color rgb="FF18191A"/>
      <name val="Roboto Light"/>
      <family val="2"/>
    </font>
    <font>
      <b/>
      <sz val="10"/>
      <color rgb="FF18191A"/>
      <name val="Roboto"/>
      <family val="2"/>
    </font>
    <font>
      <b/>
      <sz val="11"/>
      <color rgb="FF18191A"/>
      <name val="Roboto"/>
      <family val="2"/>
    </font>
    <font>
      <b/>
      <sz val="10"/>
      <color rgb="FF008000"/>
      <name val="Roboto"/>
      <family val="2"/>
    </font>
    <font>
      <i/>
      <u/>
      <sz val="10"/>
      <color rgb="FF0070C0"/>
      <name val="Roboto"/>
      <family val="2"/>
    </font>
    <font>
      <b/>
      <i/>
      <sz val="9"/>
      <color rgb="FF74797C"/>
      <name val="Roboto"/>
      <family val="2"/>
    </font>
    <font>
      <i/>
      <sz val="10"/>
      <color rgb="FF74797C"/>
      <name val="Roboto"/>
      <family val="2"/>
    </font>
    <font>
      <b/>
      <sz val="18"/>
      <color rgb="FF1D1E1F"/>
      <name val="Roboto"/>
      <family val="2"/>
    </font>
    <font>
      <b/>
      <sz val="10"/>
      <color rgb="FFFFFFFF"/>
      <name val="Roboto"/>
      <family val="2"/>
    </font>
    <font>
      <sz val="10"/>
      <color rgb="FF74797C"/>
      <name val="Roboto"/>
      <family val="2"/>
    </font>
    <font>
      <b/>
      <sz val="10"/>
      <color rgb="FF74797C"/>
      <name val="Roboto"/>
      <family val="2"/>
    </font>
    <font>
      <sz val="10"/>
      <color rgb="FF0070C0"/>
      <name val="Roboto"/>
      <family val="2"/>
    </font>
    <font>
      <i/>
      <sz val="10"/>
      <color rgb="FF0070C0"/>
      <name val="Roboto"/>
      <family val="2"/>
    </font>
    <font>
      <b/>
      <i/>
      <sz val="10"/>
      <color rgb="FF0070C0"/>
      <name val="Roboto"/>
      <family val="2"/>
    </font>
    <font>
      <i/>
      <sz val="10"/>
      <color rgb="FF18191A"/>
      <name val="Roboto"/>
      <family val="2"/>
    </font>
    <font>
      <b/>
      <sz val="10"/>
      <color rgb="FF0070C0"/>
      <name val="Roboto"/>
      <family val="2"/>
    </font>
    <font>
      <sz val="10"/>
      <color rgb="FF74797C"/>
      <name val="Roboto"/>
      <family val="2"/>
    </font>
    <font>
      <i/>
      <sz val="8"/>
      <color rgb="FF74797C"/>
      <name val="Roboto"/>
      <family val="2"/>
    </font>
    <font>
      <i/>
      <sz val="8"/>
      <color rgb="FF18191A"/>
      <name val="Roboto"/>
      <family val="2"/>
    </font>
    <font>
      <i/>
      <sz val="8"/>
      <color rgb="FF1F2F44"/>
      <name val="Roboto"/>
      <family val="2"/>
    </font>
    <font>
      <b/>
      <sz val="16"/>
      <color rgb="FF1F2F44"/>
      <name val="Roboto"/>
      <family val="2"/>
    </font>
    <font>
      <b/>
      <sz val="18"/>
      <color rgb="FFFFFFFF"/>
      <name val="Roboto"/>
      <family val="2"/>
    </font>
    <font>
      <sz val="18"/>
      <color rgb="FFFFFFFF"/>
      <name val="Roboto Light"/>
      <family val="2"/>
    </font>
  </fonts>
  <fills count="8">
    <fill>
      <patternFill patternType="none"/>
    </fill>
    <fill>
      <patternFill patternType="gray125"/>
    </fill>
    <fill>
      <patternFill patternType="solid">
        <fgColor rgb="FF1F2F44"/>
        <bgColor indexed="64"/>
      </patternFill>
    </fill>
    <fill>
      <patternFill patternType="solid">
        <fgColor rgb="FFF9C113"/>
        <bgColor indexed="64"/>
      </patternFill>
    </fill>
    <fill>
      <patternFill patternType="solid">
        <fgColor rgb="FFFFE7E7"/>
        <bgColor indexed="64"/>
      </patternFill>
    </fill>
    <fill>
      <patternFill patternType="solid">
        <fgColor rgb="FFE9EAEC"/>
        <bgColor indexed="64"/>
      </patternFill>
    </fill>
    <fill>
      <patternFill patternType="solid">
        <fgColor rgb="FFFFFFFF"/>
        <bgColor indexed="64"/>
      </patternFill>
    </fill>
    <fill>
      <patternFill patternType="solid">
        <fgColor rgb="FFF2F2F2"/>
        <bgColor indexed="64"/>
      </patternFill>
    </fill>
  </fills>
  <borders count="7">
    <border>
      <left/>
      <right/>
      <top/>
      <bottom/>
      <diagonal/>
    </border>
    <border>
      <left style="thick">
        <color rgb="FFFFFFFF"/>
      </left>
      <right style="thick">
        <color rgb="FFFFFFFF"/>
      </right>
      <top style="thick">
        <color rgb="FFFFFFFF"/>
      </top>
      <bottom style="thick">
        <color rgb="FFFFFFFF"/>
      </bottom>
      <diagonal/>
    </border>
    <border>
      <left/>
      <right/>
      <top/>
      <bottom style="dotted">
        <color auto="1"/>
      </bottom>
      <diagonal/>
    </border>
    <border>
      <left/>
      <right/>
      <top/>
      <bottom style="medium">
        <color rgb="FF8EB3DF"/>
      </bottom>
      <diagonal/>
    </border>
    <border>
      <left/>
      <right/>
      <top style="thin">
        <color auto="1"/>
      </top>
      <bottom/>
      <diagonal/>
    </border>
    <border>
      <left style="dotted">
        <color auto="1"/>
      </left>
      <right style="dotted">
        <color auto="1"/>
      </right>
      <top style="dotted">
        <color auto="1"/>
      </top>
      <bottom style="dotted">
        <color auto="1"/>
      </bottom>
      <diagonal/>
    </border>
    <border>
      <left/>
      <right/>
      <top/>
      <bottom style="hair">
        <color auto="1"/>
      </bottom>
      <diagonal/>
    </border>
  </borders>
  <cellStyleXfs count="1">
    <xf numFmtId="0" fontId="0" fillId="0" borderId="0"/>
  </cellStyleXfs>
  <cellXfs count="141">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0" borderId="0" xfId="0" applyFont="1" applyAlignment="1">
      <alignment vertical="center"/>
    </xf>
    <xf numFmtId="0" fontId="11" fillId="0" borderId="0" xfId="0" applyFont="1" applyAlignment="1">
      <alignment vertical="center"/>
    </xf>
    <xf numFmtId="0" fontId="8" fillId="0" borderId="0" xfId="0" applyFont="1" applyAlignment="1">
      <alignment vertical="center"/>
    </xf>
    <xf numFmtId="0" fontId="12" fillId="0" borderId="0" xfId="0" applyFont="1" applyAlignment="1">
      <alignment vertical="center"/>
    </xf>
    <xf numFmtId="0" fontId="8" fillId="0" borderId="3" xfId="0" applyFont="1" applyBorder="1" applyAlignment="1">
      <alignment horizontal="center" vertical="center"/>
    </xf>
    <xf numFmtId="0" fontId="6" fillId="0" borderId="0" xfId="0" applyFont="1" applyAlignment="1">
      <alignment vertical="center"/>
    </xf>
    <xf numFmtId="3" fontId="6" fillId="0" borderId="0" xfId="0" applyNumberFormat="1" applyFont="1" applyAlignment="1">
      <alignment horizontal="center" vertical="center"/>
    </xf>
    <xf numFmtId="164" fontId="6" fillId="0" borderId="0" xfId="0" applyNumberFormat="1" applyFont="1" applyAlignment="1">
      <alignment horizontal="center" vertical="center"/>
    </xf>
    <xf numFmtId="0" fontId="8" fillId="0" borderId="4" xfId="0" applyFont="1" applyBorder="1" applyAlignment="1">
      <alignment vertical="center"/>
    </xf>
    <xf numFmtId="3" fontId="8" fillId="0" borderId="4" xfId="0" applyNumberFormat="1" applyFont="1" applyBorder="1" applyAlignment="1">
      <alignment horizontal="center" vertical="center"/>
    </xf>
    <xf numFmtId="164" fontId="8" fillId="0" borderId="4" xfId="0" applyNumberFormat="1" applyFont="1" applyBorder="1" applyAlignment="1">
      <alignment horizontal="center" vertical="center"/>
    </xf>
    <xf numFmtId="0" fontId="13" fillId="0" borderId="0" xfId="0" applyFont="1" applyAlignment="1">
      <alignment vertical="center"/>
    </xf>
    <xf numFmtId="0" fontId="14" fillId="0" borderId="0" xfId="0" applyFont="1" applyAlignment="1">
      <alignment vertical="center"/>
    </xf>
    <xf numFmtId="3" fontId="8" fillId="0" borderId="0" xfId="0" applyNumberFormat="1" applyFont="1" applyAlignment="1">
      <alignment vertical="center"/>
    </xf>
    <xf numFmtId="0" fontId="15" fillId="2" borderId="0" xfId="0" applyFont="1" applyFill="1" applyAlignment="1">
      <alignment horizontal="left" vertical="center" wrapText="1"/>
    </xf>
    <xf numFmtId="0" fontId="15" fillId="2" borderId="0" xfId="0" applyFont="1" applyFill="1" applyAlignment="1">
      <alignment horizontal="center" vertical="center" wrapText="1"/>
    </xf>
    <xf numFmtId="0" fontId="1" fillId="0" borderId="0" xfId="0" applyFont="1" applyAlignment="1">
      <alignment vertical="center"/>
    </xf>
    <xf numFmtId="3" fontId="1" fillId="0" borderId="0" xfId="0" applyNumberFormat="1" applyFont="1" applyAlignment="1">
      <alignment vertical="center"/>
    </xf>
    <xf numFmtId="164" fontId="1" fillId="0" borderId="0" xfId="0" applyNumberFormat="1" applyFont="1" applyAlignment="1">
      <alignment vertical="center"/>
    </xf>
    <xf numFmtId="3" fontId="8" fillId="0" borderId="4" xfId="0" applyNumberFormat="1" applyFont="1" applyBorder="1" applyAlignment="1">
      <alignment vertical="center"/>
    </xf>
    <xf numFmtId="164" fontId="8" fillId="0" borderId="4" xfId="0" applyNumberFormat="1" applyFont="1" applyBorder="1" applyAlignment="1">
      <alignment vertical="center"/>
    </xf>
    <xf numFmtId="164" fontId="6" fillId="0" borderId="0" xfId="0" applyNumberFormat="1" applyFont="1" applyAlignment="1">
      <alignment vertical="center"/>
    </xf>
    <xf numFmtId="164" fontId="8" fillId="0" borderId="0" xfId="0" applyNumberFormat="1" applyFont="1" applyAlignment="1">
      <alignment vertical="center"/>
    </xf>
    <xf numFmtId="164" fontId="16" fillId="0" borderId="0" xfId="0" applyNumberFormat="1" applyFont="1" applyAlignment="1">
      <alignment vertical="center"/>
    </xf>
    <xf numFmtId="164" fontId="17" fillId="0" borderId="4" xfId="0" applyNumberFormat="1" applyFont="1" applyBorder="1" applyAlignment="1">
      <alignment vertical="center"/>
    </xf>
    <xf numFmtId="165" fontId="8" fillId="0" borderId="4" xfId="0" applyNumberFormat="1" applyFont="1" applyBorder="1" applyAlignment="1">
      <alignment vertical="center"/>
    </xf>
    <xf numFmtId="166" fontId="1" fillId="0" borderId="0" xfId="0" applyNumberFormat="1" applyFont="1" applyAlignment="1">
      <alignment vertical="center"/>
    </xf>
    <xf numFmtId="10" fontId="1" fillId="0" borderId="0" xfId="0" applyNumberFormat="1" applyFont="1" applyAlignment="1">
      <alignment vertical="center"/>
    </xf>
    <xf numFmtId="2" fontId="1" fillId="0" borderId="0" xfId="0" applyNumberFormat="1" applyFont="1" applyAlignment="1">
      <alignment vertical="center"/>
    </xf>
    <xf numFmtId="166" fontId="8" fillId="0" borderId="4" xfId="0" applyNumberFormat="1" applyFont="1" applyBorder="1" applyAlignment="1">
      <alignment vertical="center"/>
    </xf>
    <xf numFmtId="10" fontId="8" fillId="0" borderId="4" xfId="0" applyNumberFormat="1" applyFont="1" applyBorder="1" applyAlignment="1">
      <alignment vertical="center"/>
    </xf>
    <xf numFmtId="2" fontId="8" fillId="0" borderId="4" xfId="0" applyNumberFormat="1" applyFont="1" applyBorder="1" applyAlignment="1">
      <alignment vertical="center"/>
    </xf>
    <xf numFmtId="3" fontId="6" fillId="0" borderId="0" xfId="0" applyNumberFormat="1" applyFont="1" applyAlignment="1">
      <alignment vertical="center"/>
    </xf>
    <xf numFmtId="166" fontId="6" fillId="0" borderId="0" xfId="0" applyNumberFormat="1" applyFont="1" applyAlignment="1">
      <alignment vertical="center"/>
    </xf>
    <xf numFmtId="10" fontId="1" fillId="0" borderId="0" xfId="0" applyNumberFormat="1" applyFont="1" applyAlignment="1">
      <alignment horizontal="right" vertical="center"/>
    </xf>
    <xf numFmtId="167" fontId="1" fillId="0" borderId="0" xfId="0" applyNumberFormat="1" applyFont="1" applyAlignment="1">
      <alignment horizontal="right" vertical="center"/>
    </xf>
    <xf numFmtId="164" fontId="1" fillId="0" borderId="0" xfId="0" applyNumberFormat="1" applyFont="1" applyAlignment="1">
      <alignment horizontal="right" vertical="center"/>
    </xf>
    <xf numFmtId="165" fontId="1" fillId="0" borderId="0" xfId="0" applyNumberFormat="1" applyFont="1" applyAlignment="1">
      <alignment vertical="center"/>
    </xf>
    <xf numFmtId="3" fontId="18" fillId="0" borderId="0" xfId="0" applyNumberFormat="1" applyFont="1" applyAlignment="1">
      <alignment vertical="center"/>
    </xf>
    <xf numFmtId="2" fontId="6" fillId="0" borderId="0" xfId="0" applyNumberFormat="1" applyFont="1" applyAlignment="1">
      <alignment vertical="center"/>
    </xf>
    <xf numFmtId="10" fontId="6" fillId="0" borderId="0" xfId="0" applyNumberFormat="1" applyFont="1" applyAlignment="1">
      <alignment vertical="center"/>
    </xf>
    <xf numFmtId="168" fontId="1" fillId="0" borderId="0" xfId="0" applyNumberFormat="1" applyFont="1" applyAlignment="1">
      <alignment vertical="center"/>
    </xf>
    <xf numFmtId="165" fontId="8" fillId="0" borderId="0" xfId="0" applyNumberFormat="1" applyFont="1" applyAlignment="1">
      <alignment vertical="center"/>
    </xf>
    <xf numFmtId="168" fontId="8" fillId="0" borderId="4" xfId="0" applyNumberFormat="1" applyFont="1" applyBorder="1" applyAlignment="1">
      <alignment vertical="center"/>
    </xf>
    <xf numFmtId="0" fontId="19" fillId="0" borderId="0" xfId="0" applyFont="1" applyAlignment="1">
      <alignment vertical="center"/>
    </xf>
    <xf numFmtId="0" fontId="20" fillId="4" borderId="5" xfId="0" applyFont="1" applyFill="1" applyBorder="1" applyAlignment="1">
      <alignment vertical="center"/>
    </xf>
    <xf numFmtId="0" fontId="21" fillId="0" borderId="0" xfId="0" applyFont="1" applyAlignment="1">
      <alignment vertical="center"/>
    </xf>
    <xf numFmtId="4" fontId="18" fillId="0" borderId="0" xfId="0" applyNumberFormat="1" applyFont="1" applyAlignment="1">
      <alignment vertical="center"/>
    </xf>
    <xf numFmtId="4" fontId="8" fillId="0" borderId="0" xfId="0" applyNumberFormat="1" applyFont="1" applyAlignment="1">
      <alignment vertical="center"/>
    </xf>
    <xf numFmtId="10" fontId="18" fillId="0" borderId="0" xfId="0" applyNumberFormat="1" applyFont="1" applyAlignment="1">
      <alignment vertical="center"/>
    </xf>
    <xf numFmtId="10" fontId="8" fillId="0" borderId="0" xfId="0" applyNumberFormat="1" applyFont="1" applyAlignment="1">
      <alignment vertical="center"/>
    </xf>
    <xf numFmtId="1" fontId="22" fillId="4" borderId="5" xfId="0" applyNumberFormat="1" applyFont="1" applyFill="1" applyBorder="1" applyAlignment="1">
      <alignment vertical="center"/>
    </xf>
    <xf numFmtId="10" fontId="22" fillId="4" borderId="5" xfId="0" applyNumberFormat="1" applyFont="1" applyFill="1" applyBorder="1" applyAlignment="1">
      <alignment vertical="center"/>
    </xf>
    <xf numFmtId="165" fontId="22" fillId="4" borderId="5" xfId="0" applyNumberFormat="1" applyFont="1" applyFill="1" applyBorder="1" applyAlignment="1">
      <alignment vertical="center"/>
    </xf>
    <xf numFmtId="167" fontId="22" fillId="4" borderId="5" xfId="0" applyNumberFormat="1" applyFont="1" applyFill="1" applyBorder="1" applyAlignment="1">
      <alignment vertical="center"/>
    </xf>
    <xf numFmtId="164" fontId="22" fillId="4" borderId="5" xfId="0" applyNumberFormat="1" applyFont="1" applyFill="1" applyBorder="1" applyAlignment="1">
      <alignment vertical="center"/>
    </xf>
    <xf numFmtId="169" fontId="22" fillId="4" borderId="5" xfId="0" applyNumberFormat="1" applyFont="1" applyFill="1" applyBorder="1" applyAlignment="1">
      <alignment vertical="center"/>
    </xf>
    <xf numFmtId="170" fontId="22" fillId="4" borderId="5" xfId="0" applyNumberFormat="1" applyFont="1" applyFill="1" applyBorder="1" applyAlignment="1">
      <alignment vertical="center"/>
    </xf>
    <xf numFmtId="3" fontId="8" fillId="5" borderId="0" xfId="0" applyNumberFormat="1" applyFont="1" applyFill="1" applyAlignment="1">
      <alignment vertical="center"/>
    </xf>
    <xf numFmtId="3" fontId="16" fillId="0" borderId="0" xfId="0" applyNumberFormat="1" applyFont="1" applyAlignment="1">
      <alignment vertical="center"/>
    </xf>
    <xf numFmtId="166" fontId="16" fillId="0" borderId="0" xfId="0" applyNumberFormat="1" applyFont="1" applyAlignment="1">
      <alignment vertical="center"/>
    </xf>
    <xf numFmtId="0" fontId="23" fillId="0" borderId="0" xfId="0" applyFont="1" applyAlignment="1">
      <alignment vertical="center"/>
    </xf>
    <xf numFmtId="165" fontId="16" fillId="0" borderId="0" xfId="0" applyNumberFormat="1" applyFont="1" applyAlignment="1">
      <alignment vertical="center"/>
    </xf>
    <xf numFmtId="3" fontId="8" fillId="6" borderId="0" xfId="0" applyNumberFormat="1" applyFont="1" applyFill="1" applyAlignment="1">
      <alignment vertical="center"/>
    </xf>
    <xf numFmtId="1" fontId="1" fillId="0" borderId="0" xfId="0" applyNumberFormat="1" applyFont="1" applyAlignment="1">
      <alignment vertical="center"/>
    </xf>
    <xf numFmtId="164" fontId="8" fillId="5" borderId="0" xfId="0" applyNumberFormat="1" applyFont="1" applyFill="1" applyAlignment="1">
      <alignment vertical="center"/>
    </xf>
    <xf numFmtId="10" fontId="16" fillId="0" borderId="0" xfId="0" applyNumberFormat="1" applyFont="1" applyAlignment="1">
      <alignment vertical="center"/>
    </xf>
    <xf numFmtId="167" fontId="6" fillId="6" borderId="0" xfId="0" applyNumberFormat="1" applyFont="1" applyFill="1" applyAlignment="1">
      <alignment vertical="center"/>
    </xf>
    <xf numFmtId="3" fontId="6" fillId="6" borderId="0" xfId="0" applyNumberFormat="1" applyFont="1" applyFill="1" applyAlignment="1">
      <alignment vertical="center"/>
    </xf>
    <xf numFmtId="167" fontId="1" fillId="0" borderId="0" xfId="0" applyNumberFormat="1" applyFont="1" applyAlignment="1">
      <alignment vertical="center"/>
    </xf>
    <xf numFmtId="167" fontId="8" fillId="0" borderId="4" xfId="0" applyNumberFormat="1" applyFont="1" applyBorder="1" applyAlignment="1">
      <alignment vertical="center"/>
    </xf>
    <xf numFmtId="3" fontId="8" fillId="5" borderId="4" xfId="0" applyNumberFormat="1" applyFont="1" applyFill="1" applyBorder="1" applyAlignment="1">
      <alignment vertical="center"/>
    </xf>
    <xf numFmtId="167" fontId="8" fillId="0" borderId="0" xfId="0" applyNumberFormat="1" applyFont="1" applyAlignment="1">
      <alignment vertical="center"/>
    </xf>
    <xf numFmtId="2" fontId="8" fillId="0" borderId="0" xfId="0" applyNumberFormat="1" applyFont="1" applyAlignment="1">
      <alignment vertical="center"/>
    </xf>
    <xf numFmtId="171" fontId="18" fillId="0" borderId="0" xfId="0" applyNumberFormat="1" applyFont="1" applyAlignment="1">
      <alignment horizontal="left" vertical="center"/>
    </xf>
    <xf numFmtId="2" fontId="18" fillId="0" borderId="0" xfId="0" applyNumberFormat="1" applyFont="1" applyAlignment="1">
      <alignment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165" fontId="18" fillId="0" borderId="0" xfId="0" applyNumberFormat="1" applyFont="1" applyAlignment="1">
      <alignment vertical="center"/>
    </xf>
    <xf numFmtId="165" fontId="6" fillId="6" borderId="0" xfId="0" applyNumberFormat="1" applyFont="1" applyFill="1" applyAlignment="1">
      <alignment vertical="center"/>
    </xf>
    <xf numFmtId="2" fontId="6" fillId="6" borderId="0" xfId="0" applyNumberFormat="1" applyFont="1" applyFill="1" applyAlignment="1">
      <alignment vertical="center"/>
    </xf>
    <xf numFmtId="2" fontId="22" fillId="4" borderId="5" xfId="0" applyNumberFormat="1" applyFont="1" applyFill="1" applyBorder="1" applyAlignment="1">
      <alignment vertical="center"/>
    </xf>
    <xf numFmtId="1" fontId="1" fillId="0" borderId="0" xfId="0" applyNumberFormat="1" applyFont="1" applyAlignment="1">
      <alignment horizontal="right" vertical="center"/>
    </xf>
    <xf numFmtId="0" fontId="1" fillId="0" borderId="0" xfId="0" applyFont="1" applyAlignment="1">
      <alignment horizontal="right" vertical="center"/>
    </xf>
    <xf numFmtId="10" fontId="18" fillId="0" borderId="0" xfId="0" applyNumberFormat="1" applyFont="1" applyAlignment="1">
      <alignment horizontal="center" vertical="center"/>
    </xf>
    <xf numFmtId="4" fontId="1" fillId="0" borderId="0" xfId="0" applyNumberFormat="1" applyFont="1" applyAlignment="1">
      <alignment vertical="center"/>
    </xf>
    <xf numFmtId="165" fontId="22" fillId="4" borderId="5" xfId="0" applyNumberFormat="1" applyFont="1" applyFill="1" applyBorder="1" applyAlignment="1">
      <alignment horizontal="center" vertical="center"/>
    </xf>
    <xf numFmtId="10" fontId="22" fillId="4" borderId="5" xfId="0" applyNumberFormat="1" applyFont="1" applyFill="1" applyBorder="1" applyAlignment="1">
      <alignment horizontal="center" vertical="center"/>
    </xf>
    <xf numFmtId="165" fontId="15" fillId="2" borderId="0" xfId="0" applyNumberFormat="1" applyFont="1" applyFill="1" applyAlignment="1">
      <alignment horizontal="center" vertical="center"/>
    </xf>
    <xf numFmtId="10" fontId="8" fillId="0" borderId="0" xfId="0" applyNumberFormat="1" applyFont="1" applyAlignment="1">
      <alignment horizontal="center" vertical="center"/>
    </xf>
    <xf numFmtId="166" fontId="8" fillId="0" borderId="0" xfId="0" applyNumberFormat="1" applyFont="1" applyAlignment="1">
      <alignment vertical="center"/>
    </xf>
    <xf numFmtId="165" fontId="1" fillId="0" borderId="4" xfId="0" applyNumberFormat="1" applyFont="1" applyBorder="1" applyAlignment="1">
      <alignment vertical="center"/>
    </xf>
    <xf numFmtId="10" fontId="1" fillId="0" borderId="4" xfId="0" applyNumberFormat="1" applyFont="1" applyBorder="1" applyAlignment="1">
      <alignment vertical="center"/>
    </xf>
    <xf numFmtId="167" fontId="1" fillId="0" borderId="4" xfId="0" applyNumberFormat="1" applyFont="1" applyBorder="1" applyAlignment="1">
      <alignment vertical="center"/>
    </xf>
    <xf numFmtId="2" fontId="1" fillId="0" borderId="4" xfId="0" applyNumberFormat="1" applyFont="1" applyBorder="1" applyAlignment="1">
      <alignment vertical="center"/>
    </xf>
    <xf numFmtId="172" fontId="1" fillId="0" borderId="0" xfId="0" applyNumberFormat="1" applyFont="1" applyAlignment="1">
      <alignment vertical="center"/>
    </xf>
    <xf numFmtId="173" fontId="1" fillId="0" borderId="0" xfId="0" applyNumberFormat="1" applyFont="1" applyAlignment="1">
      <alignment vertical="center"/>
    </xf>
    <xf numFmtId="1" fontId="1" fillId="0" borderId="4" xfId="0" applyNumberFormat="1" applyFont="1" applyBorder="1" applyAlignment="1">
      <alignment vertical="center"/>
    </xf>
    <xf numFmtId="172" fontId="1" fillId="0" borderId="4" xfId="0" applyNumberFormat="1" applyFont="1" applyBorder="1" applyAlignment="1">
      <alignment vertical="center"/>
    </xf>
    <xf numFmtId="173" fontId="1" fillId="0" borderId="4" xfId="0" applyNumberFormat="1" applyFont="1" applyBorder="1" applyAlignment="1">
      <alignment vertical="center"/>
    </xf>
    <xf numFmtId="170" fontId="1" fillId="0" borderId="0" xfId="0" applyNumberFormat="1" applyFont="1" applyAlignment="1">
      <alignment vertical="center"/>
    </xf>
    <xf numFmtId="170" fontId="18" fillId="0" borderId="0" xfId="0" applyNumberFormat="1" applyFont="1" applyAlignment="1">
      <alignment horizontal="left" vertical="center"/>
    </xf>
    <xf numFmtId="174" fontId="18" fillId="0" borderId="0" xfId="0" applyNumberFormat="1" applyFont="1" applyAlignment="1">
      <alignment vertical="center"/>
    </xf>
    <xf numFmtId="1" fontId="1" fillId="0" borderId="0" xfId="0" applyNumberFormat="1" applyFont="1" applyAlignment="1">
      <alignment horizontal="center" vertical="center"/>
    </xf>
    <xf numFmtId="174" fontId="1" fillId="0" borderId="0" xfId="0" applyNumberFormat="1" applyFont="1" applyAlignment="1">
      <alignment vertical="center"/>
    </xf>
    <xf numFmtId="174" fontId="1" fillId="0" borderId="4" xfId="0" applyNumberFormat="1" applyFont="1" applyBorder="1" applyAlignment="1">
      <alignment vertical="center"/>
    </xf>
    <xf numFmtId="171" fontId="1" fillId="0" borderId="0" xfId="0" applyNumberFormat="1" applyFont="1" applyAlignment="1">
      <alignment vertical="center"/>
    </xf>
    <xf numFmtId="0" fontId="16" fillId="0" borderId="0" xfId="0" applyFont="1" applyAlignment="1">
      <alignment vertical="center"/>
    </xf>
    <xf numFmtId="0" fontId="16" fillId="0" borderId="0" xfId="0" applyFont="1" applyAlignment="1">
      <alignment horizontal="right" vertical="center"/>
    </xf>
    <xf numFmtId="165" fontId="6" fillId="0" borderId="0" xfId="0" applyNumberFormat="1" applyFont="1" applyAlignment="1">
      <alignment vertical="center"/>
    </xf>
    <xf numFmtId="0" fontId="8" fillId="7" borderId="6" xfId="0" applyFont="1" applyFill="1" applyBorder="1" applyAlignment="1">
      <alignment horizontal="center" vertical="center"/>
    </xf>
    <xf numFmtId="0" fontId="22" fillId="0" borderId="0" xfId="0" applyFont="1" applyAlignment="1">
      <alignment vertical="center"/>
    </xf>
    <xf numFmtId="0" fontId="18" fillId="0" borderId="0" xfId="0" applyFont="1" applyAlignment="1">
      <alignment vertical="center"/>
    </xf>
    <xf numFmtId="175" fontId="1" fillId="0" borderId="0" xfId="0" applyNumberFormat="1" applyFont="1" applyAlignment="1">
      <alignment vertical="center"/>
    </xf>
    <xf numFmtId="0" fontId="10" fillId="0" borderId="0" xfId="0" applyFont="1" applyAlignment="1">
      <alignment vertical="center"/>
    </xf>
    <xf numFmtId="0" fontId="8" fillId="7" borderId="6" xfId="0" applyFont="1" applyFill="1" applyBorder="1" applyAlignment="1">
      <alignment vertical="center"/>
    </xf>
    <xf numFmtId="0" fontId="8" fillId="0" borderId="0" xfId="0" applyFont="1" applyAlignment="1">
      <alignment horizontal="center" vertical="center"/>
    </xf>
    <xf numFmtId="176" fontId="1" fillId="0" borderId="0" xfId="0" applyNumberFormat="1" applyFont="1" applyAlignment="1">
      <alignment vertical="center"/>
    </xf>
    <xf numFmtId="0" fontId="16" fillId="0" borderId="0" xfId="0" applyFont="1" applyAlignment="1">
      <alignment horizontal="center" vertical="center"/>
    </xf>
    <xf numFmtId="169" fontId="1" fillId="0" borderId="0" xfId="0" applyNumberFormat="1" applyFont="1" applyAlignment="1">
      <alignment vertical="center"/>
    </xf>
    <xf numFmtId="0" fontId="27" fillId="0" borderId="0" xfId="0" applyFont="1" applyAlignment="1">
      <alignment vertical="center"/>
    </xf>
    <xf numFmtId="0" fontId="8" fillId="0" borderId="0" xfId="0" applyFont="1" applyAlignment="1">
      <alignment vertical="top"/>
    </xf>
    <xf numFmtId="0" fontId="1" fillId="0" borderId="0" xfId="0" applyFont="1" applyAlignment="1">
      <alignment vertical="top" wrapText="1"/>
    </xf>
    <xf numFmtId="0" fontId="4"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5" fillId="0" borderId="2" xfId="0" applyFont="1" applyBorder="1" applyAlignment="1">
      <alignment vertical="center"/>
    </xf>
    <xf numFmtId="3" fontId="6" fillId="0" borderId="2" xfId="0" applyNumberFormat="1" applyFont="1" applyBorder="1" applyAlignment="1">
      <alignment horizontal="right" vertical="center"/>
    </xf>
    <xf numFmtId="0" fontId="7" fillId="0" borderId="2" xfId="0" applyFont="1" applyBorder="1" applyAlignment="1">
      <alignment vertical="center"/>
    </xf>
    <xf numFmtId="3" fontId="8" fillId="0" borderId="2" xfId="0" applyNumberFormat="1" applyFont="1" applyBorder="1" applyAlignment="1">
      <alignment horizontal="right" vertical="center"/>
    </xf>
    <xf numFmtId="164" fontId="6" fillId="0" borderId="2" xfId="0" applyNumberFormat="1" applyFont="1" applyBorder="1" applyAlignment="1">
      <alignment horizontal="right" vertical="center"/>
    </xf>
    <xf numFmtId="0" fontId="10" fillId="0" borderId="2" xfId="0" applyFont="1" applyBorder="1" applyAlignment="1">
      <alignment horizontal="right" vertical="center"/>
    </xf>
    <xf numFmtId="0" fontId="8" fillId="0" borderId="3" xfId="0" applyFont="1" applyBorder="1" applyAlignment="1">
      <alignment vertical="center"/>
    </xf>
    <xf numFmtId="0" fontId="6" fillId="0" borderId="0" xfId="0" applyFont="1" applyAlignment="1">
      <alignment vertical="center"/>
    </xf>
    <xf numFmtId="0" fontId="8" fillId="0" borderId="4" xfId="0" applyFont="1" applyBorder="1" applyAlignment="1">
      <alignment vertical="center"/>
    </xf>
    <xf numFmtId="0" fontId="15" fillId="2" borderId="0" xfId="0" applyFont="1" applyFill="1" applyAlignment="1">
      <alignment vertical="center"/>
    </xf>
    <xf numFmtId="0" fontId="8" fillId="3" borderId="0" xfId="0" applyFont="1" applyFill="1" applyAlignment="1">
      <alignment vertical="center"/>
    </xf>
    <xf numFmtId="0" fontId="8" fillId="7" borderId="6" xfId="0" applyFont="1" applyFill="1" applyBorder="1" applyAlignment="1">
      <alignment horizontal="center" vertical="center"/>
    </xf>
  </cellXfs>
  <cellStyles count="1">
    <cellStyle name="Normal" xfId="0" builtinId="0"/>
  </cellStyles>
  <dxfs count="3">
    <dxf>
      <font>
        <b/>
        <color rgb="FFC00000"/>
      </font>
    </dxf>
    <dxf>
      <font>
        <b/>
        <color rgb="FF18191A"/>
      </font>
      <border>
        <left style="medium">
          <color rgb="FF1F2F44"/>
        </left>
        <right style="medium">
          <color rgb="FF1F2F44"/>
        </right>
        <top style="medium">
          <color rgb="FF1F2F44"/>
        </top>
        <bottom style="medium">
          <color rgb="FF1F2F44"/>
        </bottom>
        <vertical/>
        <horizontal/>
      </border>
    </dxf>
    <dxf>
      <font>
        <b/>
        <color rgb="FF18191A"/>
      </font>
      <border>
        <left style="medium">
          <color rgb="FF1F2F44"/>
        </left>
        <right style="medium">
          <color rgb="FF1F2F44"/>
        </right>
        <top style="medium">
          <color rgb="FF1F2F44"/>
        </top>
        <bottom style="medium">
          <color rgb="FF1F2F44"/>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11</xdr:col>
      <xdr:colOff>381000</xdr:colOff>
      <xdr:row>1</xdr:row>
      <xdr:rowOff>57150</xdr:rowOff>
    </xdr:from>
    <xdr:to>
      <xdr:col>12</xdr:col>
      <xdr:colOff>337548</xdr:colOff>
      <xdr:row>2</xdr:row>
      <xdr:rowOff>188682</xdr:rowOff>
    </xdr:to>
    <xdr:pic>
      <xdr:nvPicPr>
        <xdr:cNvPr id="2" name="Picture 1" descr="xp_research_white.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086725" y="228600"/>
          <a:ext cx="775698" cy="22678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O29"/>
  <sheetViews>
    <sheetView showGridLines="0" tabSelected="1" zoomScale="85" zoomScaleNormal="85" workbookViewId="0"/>
  </sheetViews>
  <sheetFormatPr defaultRowHeight="13.95" customHeight="1" x14ac:dyDescent="0.3"/>
  <cols>
    <col min="1" max="1" width="2.88671875" customWidth="1"/>
    <col min="2" max="2" width="2.109375" customWidth="1"/>
    <col min="3" max="14" width="12.33203125" customWidth="1"/>
    <col min="15" max="15" width="2.109375" customWidth="1"/>
  </cols>
  <sheetData>
    <row r="2" spans="2:15" ht="7.95" customHeight="1" x14ac:dyDescent="0.3">
      <c r="B2" s="1"/>
      <c r="C2" s="1"/>
      <c r="D2" s="1"/>
      <c r="E2" s="1"/>
      <c r="F2" s="1"/>
      <c r="G2" s="1"/>
      <c r="H2" s="1"/>
      <c r="I2" s="1"/>
      <c r="J2" s="1"/>
      <c r="K2" s="1"/>
      <c r="L2" s="1"/>
      <c r="M2" s="1"/>
      <c r="N2" s="1"/>
      <c r="O2" s="1"/>
    </row>
    <row r="3" spans="2:15" ht="34.049999999999997" customHeight="1" x14ac:dyDescent="0.3">
      <c r="B3" s="1"/>
      <c r="C3" s="1" t="s">
        <v>978</v>
      </c>
      <c r="D3" s="1"/>
      <c r="E3" s="1"/>
      <c r="F3" s="1"/>
      <c r="G3" s="1"/>
      <c r="H3" s="1"/>
      <c r="I3" s="1"/>
      <c r="J3" s="1"/>
      <c r="K3" s="1"/>
      <c r="L3" s="1"/>
      <c r="M3" s="1"/>
      <c r="N3" s="1"/>
      <c r="O3" s="1"/>
    </row>
    <row r="4" spans="2:15" ht="18" customHeight="1" x14ac:dyDescent="0.3">
      <c r="B4" s="1"/>
      <c r="C4" s="2" t="s">
        <v>979</v>
      </c>
      <c r="D4" s="1"/>
      <c r="E4" s="1"/>
      <c r="F4" s="1"/>
      <c r="G4" s="1"/>
      <c r="H4" s="1"/>
      <c r="I4" s="1"/>
      <c r="J4" s="1"/>
      <c r="K4" s="1"/>
      <c r="L4" s="1"/>
      <c r="M4" s="1"/>
      <c r="N4" s="1"/>
      <c r="O4" s="1"/>
    </row>
    <row r="5" spans="2:15" ht="7.95" customHeight="1" x14ac:dyDescent="0.3">
      <c r="B5" s="1"/>
      <c r="C5" s="1"/>
      <c r="D5" s="1"/>
      <c r="E5" s="1"/>
      <c r="F5" s="1"/>
      <c r="G5" s="1"/>
      <c r="H5" s="1"/>
      <c r="I5" s="1"/>
      <c r="J5" s="1"/>
      <c r="K5" s="1"/>
      <c r="L5" s="1"/>
      <c r="M5" s="1"/>
      <c r="N5" s="1"/>
      <c r="O5" s="1"/>
    </row>
    <row r="7" spans="2:15" ht="13.95" customHeight="1" x14ac:dyDescent="0.3">
      <c r="C7" s="3" t="s">
        <v>980</v>
      </c>
    </row>
    <row r="8" spans="2:15" ht="19.05" customHeight="1" x14ac:dyDescent="0.3">
      <c r="C8" s="127" t="s">
        <v>982</v>
      </c>
      <c r="D8" s="127"/>
      <c r="E8" s="127" t="s">
        <v>983</v>
      </c>
      <c r="F8" s="127"/>
      <c r="G8" s="127" t="s">
        <v>984</v>
      </c>
      <c r="H8" s="127"/>
      <c r="I8" s="127" t="s">
        <v>985</v>
      </c>
      <c r="J8" s="127"/>
      <c r="K8" s="129" t="s">
        <v>210</v>
      </c>
      <c r="L8" s="129"/>
      <c r="M8" s="130">
        <f>IbovUsed</f>
        <v>208431.92</v>
      </c>
      <c r="N8" s="130"/>
    </row>
    <row r="9" spans="2:15" ht="19.05" customHeight="1" x14ac:dyDescent="0.3">
      <c r="C9" s="127"/>
      <c r="D9" s="127"/>
      <c r="E9" s="127"/>
      <c r="F9" s="127"/>
      <c r="G9" s="127"/>
      <c r="H9" s="127"/>
      <c r="I9" s="127"/>
      <c r="J9" s="127"/>
      <c r="K9" s="131" t="s">
        <v>995</v>
      </c>
      <c r="L9" s="131"/>
      <c r="M9" s="132">
        <f>Summary!E11</f>
        <v>222319.30602388934</v>
      </c>
      <c r="N9" s="132"/>
    </row>
    <row r="10" spans="2:15" ht="13.95" customHeight="1" x14ac:dyDescent="0.3">
      <c r="K10" s="129" t="s">
        <v>996</v>
      </c>
      <c r="L10" s="129"/>
      <c r="M10" s="133">
        <f>Summary!I11</f>
        <v>6.6627923515214516E-2</v>
      </c>
      <c r="N10" s="133"/>
    </row>
    <row r="11" spans="2:15" ht="13.95" customHeight="1" x14ac:dyDescent="0.3">
      <c r="C11" s="3" t="s">
        <v>981</v>
      </c>
      <c r="K11" s="129" t="s">
        <v>997</v>
      </c>
      <c r="L11" s="129"/>
      <c r="M11" s="130">
        <f>Summary!D11</f>
        <v>164452.2306579201</v>
      </c>
      <c r="N11" s="130"/>
    </row>
    <row r="12" spans="2:15" ht="19.05" customHeight="1" x14ac:dyDescent="0.3">
      <c r="C12" s="128" t="s">
        <v>986</v>
      </c>
      <c r="D12" s="128"/>
      <c r="E12" s="128" t="s">
        <v>987</v>
      </c>
      <c r="F12" s="128"/>
      <c r="G12" s="128" t="s">
        <v>988</v>
      </c>
      <c r="H12" s="128"/>
      <c r="I12" s="128" t="s">
        <v>989</v>
      </c>
      <c r="J12" s="128"/>
      <c r="K12" s="129" t="s">
        <v>998</v>
      </c>
      <c r="L12" s="129"/>
      <c r="M12" s="130">
        <f>Summary!F11</f>
        <v>276518.12201078469</v>
      </c>
      <c r="N12" s="130"/>
    </row>
    <row r="13" spans="2:15" ht="19.05" customHeight="1" x14ac:dyDescent="0.3">
      <c r="C13" s="128"/>
      <c r="D13" s="128"/>
      <c r="E13" s="128"/>
      <c r="F13" s="128"/>
      <c r="G13" s="128"/>
      <c r="H13" s="128"/>
      <c r="I13" s="128"/>
      <c r="J13" s="128"/>
      <c r="K13" s="129" t="s">
        <v>999</v>
      </c>
      <c r="L13" s="129"/>
      <c r="M13" s="134" t="str">
        <f>Checks!C5</f>
        <v>All checks OK</v>
      </c>
      <c r="N13" s="134"/>
    </row>
    <row r="15" spans="2:15" ht="19.05" customHeight="1" x14ac:dyDescent="0.3">
      <c r="C15" s="128" t="s">
        <v>990</v>
      </c>
      <c r="D15" s="128"/>
      <c r="E15" s="128" t="s">
        <v>991</v>
      </c>
      <c r="F15" s="128"/>
      <c r="G15" s="128" t="s">
        <v>992</v>
      </c>
      <c r="H15" s="128"/>
      <c r="I15" s="128" t="s">
        <v>993</v>
      </c>
      <c r="J15" s="128"/>
      <c r="K15" s="4" t="s">
        <v>994</v>
      </c>
    </row>
    <row r="16" spans="2:15" ht="19.05" customHeight="1" x14ac:dyDescent="0.3">
      <c r="C16" s="128"/>
      <c r="D16" s="128"/>
      <c r="E16" s="128"/>
      <c r="F16" s="128"/>
      <c r="G16" s="128"/>
      <c r="H16" s="128"/>
      <c r="I16" s="128"/>
      <c r="J16" s="128"/>
      <c r="K16" s="5" t="s">
        <v>1000</v>
      </c>
    </row>
    <row r="18" spans="3:8" ht="19.05" customHeight="1" x14ac:dyDescent="0.3">
      <c r="C18" s="128" t="s">
        <v>795</v>
      </c>
      <c r="D18" s="128"/>
    </row>
    <row r="19" spans="3:8" ht="19.05" customHeight="1" x14ac:dyDescent="0.3">
      <c r="C19" s="128"/>
      <c r="D19" s="128"/>
    </row>
    <row r="21" spans="3:8" ht="13.95" customHeight="1" x14ac:dyDescent="0.3">
      <c r="C21" s="6" t="s">
        <v>1001</v>
      </c>
    </row>
    <row r="22" spans="3:8" ht="13.95" customHeight="1" x14ac:dyDescent="0.3">
      <c r="C22" s="135" t="s">
        <v>248</v>
      </c>
      <c r="D22" s="135"/>
      <c r="E22" s="135"/>
      <c r="F22" s="7" t="s">
        <v>255</v>
      </c>
      <c r="G22" s="7" t="s">
        <v>852</v>
      </c>
      <c r="H22" s="7" t="s">
        <v>211</v>
      </c>
    </row>
    <row r="23" spans="3:8" ht="13.95" customHeight="1" x14ac:dyDescent="0.3">
      <c r="C23" s="136" t="s">
        <v>295</v>
      </c>
      <c r="D23" s="136"/>
      <c r="E23" s="136"/>
      <c r="F23" s="9">
        <f>Summary!C7</f>
        <v>60927.303521809401</v>
      </c>
      <c r="G23" s="9">
        <f>Summary!E7</f>
        <v>56485.165302869944</v>
      </c>
      <c r="H23" s="10">
        <f>Summary!I7</f>
        <v>-7.2908826784847891E-2</v>
      </c>
    </row>
    <row r="24" spans="3:8" ht="13.95" customHeight="1" x14ac:dyDescent="0.3">
      <c r="C24" s="136" t="s">
        <v>325</v>
      </c>
      <c r="D24" s="136"/>
      <c r="E24" s="136"/>
      <c r="F24" s="9">
        <f>Summary!C8</f>
        <v>55822.367361651384</v>
      </c>
      <c r="G24" s="9">
        <f>Summary!E8</f>
        <v>58266.155771084334</v>
      </c>
      <c r="H24" s="10">
        <f>Summary!I8</f>
        <v>4.3777942873697739E-2</v>
      </c>
    </row>
    <row r="25" spans="3:8" ht="13.95" customHeight="1" x14ac:dyDescent="0.3">
      <c r="C25" s="136" t="s">
        <v>376</v>
      </c>
      <c r="D25" s="136"/>
      <c r="E25" s="136"/>
      <c r="F25" s="9">
        <f>Summary!C9</f>
        <v>26271.074646272005</v>
      </c>
      <c r="G25" s="9">
        <f>Summary!E9</f>
        <v>31594.944937198041</v>
      </c>
      <c r="H25" s="10">
        <f>Summary!I9</f>
        <v>0.20265140892062905</v>
      </c>
    </row>
    <row r="26" spans="3:8" ht="13.95" customHeight="1" x14ac:dyDescent="0.3">
      <c r="C26" s="136" t="s">
        <v>427</v>
      </c>
      <c r="D26" s="136"/>
      <c r="E26" s="136"/>
      <c r="F26" s="9">
        <f>Summary!C10</f>
        <v>65411.174470267266</v>
      </c>
      <c r="G26" s="9">
        <f>Summary!E10</f>
        <v>75973.040012737009</v>
      </c>
      <c r="H26" s="10">
        <f>Summary!I10</f>
        <v>0.16146882590023903</v>
      </c>
    </row>
    <row r="27" spans="3:8" ht="13.95" customHeight="1" x14ac:dyDescent="0.3">
      <c r="C27" s="137" t="s">
        <v>596</v>
      </c>
      <c r="D27" s="137"/>
      <c r="E27" s="137"/>
      <c r="F27" s="12">
        <f>Summary!C11</f>
        <v>208431.92000000004</v>
      </c>
      <c r="G27" s="12">
        <f>Summary!E11</f>
        <v>222319.30602388934</v>
      </c>
      <c r="H27" s="13">
        <f>Summary!I11</f>
        <v>6.6627923515214516E-2</v>
      </c>
    </row>
    <row r="29" spans="3:8" ht="13.95" customHeight="1" x14ac:dyDescent="0.3">
      <c r="C29" s="14" t="s">
        <v>1002</v>
      </c>
    </row>
  </sheetData>
  <mergeCells count="31">
    <mergeCell ref="C27:E27"/>
    <mergeCell ref="C22:E22"/>
    <mergeCell ref="C23:E23"/>
    <mergeCell ref="C24:E24"/>
    <mergeCell ref="C25:E25"/>
    <mergeCell ref="C26:E26"/>
    <mergeCell ref="K11:L11"/>
    <mergeCell ref="M11:N11"/>
    <mergeCell ref="K12:L12"/>
    <mergeCell ref="M12:N12"/>
    <mergeCell ref="K13:L13"/>
    <mergeCell ref="M13:N13"/>
    <mergeCell ref="K8:L8"/>
    <mergeCell ref="M8:N8"/>
    <mergeCell ref="K9:L9"/>
    <mergeCell ref="M9:N9"/>
    <mergeCell ref="K10:L10"/>
    <mergeCell ref="M10:N10"/>
    <mergeCell ref="C15:D16"/>
    <mergeCell ref="E15:F16"/>
    <mergeCell ref="G15:H16"/>
    <mergeCell ref="I15:J16"/>
    <mergeCell ref="C18:D19"/>
    <mergeCell ref="C8:D9"/>
    <mergeCell ref="E8:F9"/>
    <mergeCell ref="G8:H9"/>
    <mergeCell ref="I8:J9"/>
    <mergeCell ref="C12:D13"/>
    <mergeCell ref="E12:F13"/>
    <mergeCell ref="G12:H13"/>
    <mergeCell ref="I12:J13"/>
  </mergeCells>
  <hyperlinks>
    <hyperlink ref="C8" location="'Summary'!A1" tooltip="Go to Summary" display="Summary" xr:uid="{00000000-0004-0000-0000-000000000000}"/>
    <hyperlink ref="E8" location="'Assumptions'!A1" tooltip="Go to Assumptions" display="Assumptions" xr:uid="{00000000-0004-0000-0000-000001000000}"/>
    <hyperlink ref="G8" location="'DCF by Box'!A1" tooltip="Go to DCF by Box" display="DCF by Box" xr:uid="{00000000-0004-0000-0000-000002000000}"/>
    <hyperlink ref="I8" location="'Multiples by Box'!A1" tooltip="Go to Multiples by Box" display="Multiples_x000a_by Box" xr:uid="{00000000-0004-0000-0000-000003000000}"/>
    <hyperlink ref="C12" location="'DCF'!A1" tooltip="Go to DCF" display="DCF_x000a_(Ibovespa)" xr:uid="{00000000-0004-0000-0000-000004000000}"/>
    <hyperlink ref="E12" location="'Sensitivity'!A1" tooltip="Go to Sensitivity" display="Sensitivity" xr:uid="{00000000-0004-0000-0000-000005000000}"/>
    <hyperlink ref="G12" location="'Box Rates'!A1" tooltip="Go to Box Rates" display="Box Rates" xr:uid="{00000000-0004-0000-0000-000006000000}"/>
    <hyperlink ref="I12" location="'Box Betas'!A1" tooltip="Go to Box Betas" display="Box Betas" xr:uid="{00000000-0004-0000-0000-000007000000}"/>
    <hyperlink ref="C15" location="'Box Earnings'!A1" tooltip="Go to Box Earnings" display="Box_x000a_Earnings" xr:uid="{00000000-0004-0000-0000-000008000000}"/>
    <hyperlink ref="E15" location="'Box Fade'!A1" tooltip="Go to Box Fade" display="Box Fade" xr:uid="{00000000-0004-0000-0000-000009000000}"/>
    <hyperlink ref="G15" location="'Box Shares'!A1" tooltip="Go to Box Shares" display="Box Shares" xr:uid="{00000000-0004-0000-0000-00000A000000}"/>
    <hyperlink ref="I15" location="'Members'!A1" tooltip="Go to Members" display="Members_x000a_(76 stocks)" xr:uid="{00000000-0004-0000-0000-00000B000000}"/>
    <hyperlink ref="K15" location="'Read Me'!A1" display="How this model works &gt;&gt;" xr:uid="{00000000-0004-0000-0000-00000C000000}"/>
    <hyperlink ref="C18" location="'Checks'!A1" tooltip="Go to Checks" display="Checks" xr:uid="{00000000-0004-0000-0000-00000D000000}"/>
  </hyperlinks>
  <pageMargins left="0.7" right="0.7" top="0.75" bottom="0.7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L107"/>
  <sheetViews>
    <sheetView showGridLines="0" zoomScale="85" zoomScaleNormal="85" workbookViewId="0">
      <pane ySplit="4" topLeftCell="A5" activePane="bottomLeft" state="frozen"/>
      <selection pane="bottomLeft"/>
    </sheetView>
  </sheetViews>
  <sheetFormatPr defaultRowHeight="13.95" customHeight="1" x14ac:dyDescent="0.3"/>
  <cols>
    <col min="1" max="1" width="2.6640625" customWidth="1"/>
    <col min="2" max="2" width="56.6640625" customWidth="1"/>
    <col min="3" max="12" width="13.6640625" customWidth="1"/>
  </cols>
  <sheetData>
    <row r="1" spans="2:10" ht="30" customHeight="1" x14ac:dyDescent="0.3">
      <c r="B1" s="15" t="s">
        <v>792</v>
      </c>
    </row>
    <row r="2" spans="2:10" ht="13.95" customHeight="1" x14ac:dyDescent="0.3">
      <c r="B2" s="14" t="s">
        <v>793</v>
      </c>
    </row>
    <row r="3" spans="2:10" ht="13.95" customHeight="1" x14ac:dyDescent="0.3">
      <c r="B3" s="14" t="s">
        <v>210</v>
      </c>
      <c r="C3" s="16">
        <f>IbovUsed</f>
        <v>208431.92</v>
      </c>
      <c r="D3" s="14" t="s">
        <v>794</v>
      </c>
      <c r="E3" s="5" t="str">
        <f>CHOOSE(Vintage,"house file","Oct-5-2026")</f>
        <v>Oct-5-2026</v>
      </c>
      <c r="F3" s="14" t="s">
        <v>795</v>
      </c>
      <c r="G3" s="5" t="str">
        <f>Checks!C5</f>
        <v>All checks OK</v>
      </c>
      <c r="H3" s="14" t="s">
        <v>796</v>
      </c>
      <c r="I3" s="5" t="str">
        <f>IF(ScaleBox=1,"yes","no")</f>
        <v>no</v>
      </c>
    </row>
    <row r="4" spans="2:10" ht="13.95" customHeight="1" x14ac:dyDescent="0.3">
      <c r="B4" s="14" t="s">
        <v>797</v>
      </c>
      <c r="C4" s="14" t="str">
        <f>CHOOSE(BoxRate+1,"house rate","rate relative to history","CAPM rates")&amp;IF(BoxCF=1,", capex funding growth and NWC by change","")&amp;IF(BoxGrowth=1,", consensus growth fading after 2031","")&amp;CHOOSE(FadeMode+1," (H-model)"," (year by year)"," (year by year, growth paid)")&amp;IF(RateShock=1,"; scenario rate shock x beta","")&amp;IF(ScaleScen=1,"; earnings shocks open the bear / bull","")&amp;IF(RelMult=1,"; multiples relative to history","")</f>
        <v>CAPM rates, capex funding growth and NWC by change (H-model); earnings shocks open the bear / bull; multiples relative to history</v>
      </c>
    </row>
    <row r="5" spans="2:10" ht="13.95" customHeight="1" x14ac:dyDescent="0.3">
      <c r="B5" s="138" t="s">
        <v>798</v>
      </c>
      <c r="C5" s="138"/>
      <c r="D5" s="138"/>
      <c r="E5" s="138"/>
      <c r="F5" s="138"/>
      <c r="G5" s="138"/>
      <c r="H5" s="138"/>
      <c r="I5" s="138"/>
      <c r="J5" s="138"/>
    </row>
    <row r="6" spans="2:10" ht="13.95" customHeight="1" x14ac:dyDescent="0.3">
      <c r="B6" s="17" t="s">
        <v>464</v>
      </c>
      <c r="C6" s="18" t="s">
        <v>255</v>
      </c>
      <c r="D6" s="18" t="s">
        <v>31</v>
      </c>
      <c r="E6" s="18" t="s">
        <v>32</v>
      </c>
      <c r="F6" s="18" t="s">
        <v>33</v>
      </c>
      <c r="G6" s="18"/>
      <c r="H6" s="18" t="s">
        <v>764</v>
      </c>
      <c r="I6" s="18" t="s">
        <v>32</v>
      </c>
      <c r="J6" s="18" t="s">
        <v>33</v>
      </c>
    </row>
    <row r="7" spans="2:10" ht="13.95" customHeight="1" x14ac:dyDescent="0.3">
      <c r="B7" s="19" t="s">
        <v>295</v>
      </c>
      <c r="C7" s="20">
        <f>'Box Shares'!C7</f>
        <v>60927.303521809401</v>
      </c>
      <c r="D7" s="20">
        <f>'Multiples by Box'!C57</f>
        <v>42178.947880724641</v>
      </c>
      <c r="E7" s="20">
        <f>'Multiples by Box'!D57</f>
        <v>56485.165302869944</v>
      </c>
      <c r="F7" s="20">
        <f>'Multiples by Box'!E57</f>
        <v>70248.120410419346</v>
      </c>
      <c r="H7" s="21">
        <f t="shared" ref="H7:J11" si="0">D7/$C7-1</f>
        <v>-0.30771681261708295</v>
      </c>
      <c r="I7" s="21">
        <f t="shared" si="0"/>
        <v>-7.2908826784847891E-2</v>
      </c>
      <c r="J7" s="21">
        <f t="shared" si="0"/>
        <v>0.15298259318621388</v>
      </c>
    </row>
    <row r="8" spans="2:10" ht="13.95" customHeight="1" x14ac:dyDescent="0.3">
      <c r="B8" s="19" t="s">
        <v>325</v>
      </c>
      <c r="C8" s="20">
        <f>'Box Shares'!C8</f>
        <v>55822.367361651384</v>
      </c>
      <c r="D8" s="20">
        <f>'Multiples by Box'!C58</f>
        <v>44488.457542851815</v>
      </c>
      <c r="E8" s="20">
        <f>'Multiples by Box'!D58</f>
        <v>58266.155771084334</v>
      </c>
      <c r="F8" s="20">
        <f>'Multiples by Box'!E58</f>
        <v>70165.629532417515</v>
      </c>
      <c r="H8" s="21">
        <f t="shared" si="0"/>
        <v>-0.20303527697726576</v>
      </c>
      <c r="I8" s="21">
        <f t="shared" si="0"/>
        <v>4.3777942873697739E-2</v>
      </c>
      <c r="J8" s="21">
        <f t="shared" si="0"/>
        <v>0.25694471317996448</v>
      </c>
    </row>
    <row r="9" spans="2:10" ht="13.95" customHeight="1" x14ac:dyDescent="0.3">
      <c r="B9" s="19" t="s">
        <v>376</v>
      </c>
      <c r="C9" s="20">
        <f>'Box Shares'!C9</f>
        <v>26271.074646272005</v>
      </c>
      <c r="D9" s="20">
        <f>'Multiples by Box'!C59</f>
        <v>23520.140887725342</v>
      </c>
      <c r="E9" s="20">
        <f>'Multiples by Box'!D59</f>
        <v>31594.944937198041</v>
      </c>
      <c r="F9" s="20">
        <f>'Multiples by Box'!E59</f>
        <v>38674.578494102272</v>
      </c>
      <c r="H9" s="21">
        <f t="shared" si="0"/>
        <v>-0.10471340801953199</v>
      </c>
      <c r="I9" s="21">
        <f t="shared" si="0"/>
        <v>0.20265140892062905</v>
      </c>
      <c r="J9" s="21">
        <f t="shared" si="0"/>
        <v>0.47213538139713607</v>
      </c>
    </row>
    <row r="10" spans="2:10" ht="13.95" customHeight="1" x14ac:dyDescent="0.3">
      <c r="B10" s="19" t="s">
        <v>427</v>
      </c>
      <c r="C10" s="20">
        <f>'Box Shares'!C10</f>
        <v>65411.174470267266</v>
      </c>
      <c r="D10" s="20">
        <f>'Multiples by Box'!C60</f>
        <v>54264.684346618313</v>
      </c>
      <c r="E10" s="20">
        <f>'Multiples by Box'!D60</f>
        <v>75973.040012737009</v>
      </c>
      <c r="F10" s="20">
        <f>'Multiples by Box'!E60</f>
        <v>97429.793573845513</v>
      </c>
      <c r="H10" s="21">
        <f t="shared" si="0"/>
        <v>-0.17040651255567352</v>
      </c>
      <c r="I10" s="21">
        <f t="shared" si="0"/>
        <v>0.16146882590023903</v>
      </c>
      <c r="J10" s="21">
        <f t="shared" si="0"/>
        <v>0.48949769458936032</v>
      </c>
    </row>
    <row r="11" spans="2:10" ht="13.95" customHeight="1" x14ac:dyDescent="0.3">
      <c r="B11" s="11" t="s">
        <v>596</v>
      </c>
      <c r="C11" s="22">
        <f>SUM(C7:C10)</f>
        <v>208431.92000000004</v>
      </c>
      <c r="D11" s="22">
        <f>SUM(D7:D10)</f>
        <v>164452.2306579201</v>
      </c>
      <c r="E11" s="22">
        <f>SUM(E7:E10)</f>
        <v>222319.30602388934</v>
      </c>
      <c r="F11" s="22">
        <f>SUM(F7:F10)</f>
        <v>276518.12201078469</v>
      </c>
      <c r="H11" s="23">
        <f t="shared" si="0"/>
        <v>-0.21100265900769866</v>
      </c>
      <c r="I11" s="23">
        <f t="shared" si="0"/>
        <v>6.6627923515214516E-2</v>
      </c>
      <c r="J11" s="23">
        <f t="shared" si="0"/>
        <v>0.32665918929684401</v>
      </c>
    </row>
    <row r="12" spans="2:10" ht="13.95" customHeight="1" x14ac:dyDescent="0.3">
      <c r="B12" s="14" t="s">
        <v>765</v>
      </c>
    </row>
    <row r="13" spans="2:10" ht="13.95" customHeight="1" x14ac:dyDescent="0.3">
      <c r="B13" s="19" t="s">
        <v>377</v>
      </c>
      <c r="C13" s="20">
        <f>'Box Shares'!C14</f>
        <v>16066.51953698895</v>
      </c>
      <c r="D13" s="20">
        <f>'Multiples by Box'!C63</f>
        <v>16435.648211767842</v>
      </c>
      <c r="E13" s="20">
        <f>'Multiples by Box'!D63</f>
        <v>22098.909219816684</v>
      </c>
      <c r="F13" s="20">
        <f>'Multiples by Box'!E63</f>
        <v>26950.29925885523</v>
      </c>
      <c r="H13" s="21">
        <f t="shared" ref="H13:J14" si="1">D13/$C13-1</f>
        <v>2.2975024175526659E-2</v>
      </c>
      <c r="I13" s="21">
        <f t="shared" si="1"/>
        <v>0.37546337705187094</v>
      </c>
      <c r="J13" s="21">
        <f t="shared" si="1"/>
        <v>0.67741987907270329</v>
      </c>
    </row>
    <row r="14" spans="2:10" ht="13.95" customHeight="1" x14ac:dyDescent="0.3">
      <c r="B14" s="19" t="s">
        <v>422</v>
      </c>
      <c r="C14" s="20">
        <f>'Box Shares'!C15</f>
        <v>10204.555109283054</v>
      </c>
      <c r="D14" s="20">
        <f>'Multiples by Box'!C64</f>
        <v>7941.7117581159746</v>
      </c>
      <c r="E14" s="20">
        <f>'Multiples by Box'!D64</f>
        <v>10167.611104586504</v>
      </c>
      <c r="F14" s="20">
        <f>'Multiples by Box'!E64</f>
        <v>12000.447733552492</v>
      </c>
      <c r="H14" s="21">
        <f t="shared" si="1"/>
        <v>-0.22174835913312652</v>
      </c>
      <c r="I14" s="21">
        <f t="shared" si="1"/>
        <v>-3.6203444737088475E-3</v>
      </c>
      <c r="J14" s="21">
        <f t="shared" si="1"/>
        <v>0.17598931114946104</v>
      </c>
    </row>
    <row r="16" spans="2:10" ht="13.95" customHeight="1" x14ac:dyDescent="0.3">
      <c r="B16" s="138" t="s">
        <v>799</v>
      </c>
      <c r="C16" s="138"/>
      <c r="D16" s="138"/>
      <c r="E16" s="138"/>
      <c r="F16" s="138"/>
      <c r="G16" s="138"/>
      <c r="H16" s="138"/>
      <c r="I16" s="138"/>
      <c r="J16" s="138"/>
    </row>
    <row r="17" spans="2:10" ht="30" customHeight="1" x14ac:dyDescent="0.3">
      <c r="B17" s="17" t="s">
        <v>464</v>
      </c>
      <c r="C17" s="18"/>
      <c r="D17" s="18" t="s">
        <v>800</v>
      </c>
      <c r="E17" s="18" t="s">
        <v>801</v>
      </c>
      <c r="F17" s="18" t="s">
        <v>802</v>
      </c>
      <c r="G17" s="18" t="s">
        <v>803</v>
      </c>
      <c r="H17" s="18" t="s">
        <v>804</v>
      </c>
      <c r="I17" s="18" t="s">
        <v>805</v>
      </c>
      <c r="J17" s="18"/>
    </row>
    <row r="18" spans="2:10" ht="13.95" customHeight="1" x14ac:dyDescent="0.3">
      <c r="B18" s="19" t="s">
        <v>295</v>
      </c>
      <c r="D18" s="24">
        <f>'DCF by Box'!$D$63</f>
        <v>-6.1509921957449198E-2</v>
      </c>
      <c r="E18" s="24">
        <f>'Multiples by Box'!$D$23/$C$7-1</f>
        <v>-7.580607108372972E-2</v>
      </c>
      <c r="F18" s="24">
        <f>'Multiples by Box'!$D$35/$C$7-1</f>
        <v>-7.580607108372972E-2</v>
      </c>
      <c r="G18" s="24">
        <f>'Multiples by Box'!$D$46/$C$7-1</f>
        <v>-7.851324301448348E-2</v>
      </c>
      <c r="H18" s="25">
        <f>'Multiples by Box'!$D$57/$C$7-1</f>
        <v>-7.2908826784847891E-2</v>
      </c>
      <c r="I18" s="26">
        <f>$D$80/$C$7-1</f>
        <v>-7.5462707928298345E-2</v>
      </c>
    </row>
    <row r="19" spans="2:10" ht="13.95" customHeight="1" x14ac:dyDescent="0.3">
      <c r="B19" s="19" t="s">
        <v>325</v>
      </c>
      <c r="D19" s="24">
        <f>'DCF by Box'!$D$110</f>
        <v>-0.13690961219539999</v>
      </c>
      <c r="E19" s="24">
        <f>'Multiples by Box'!$D$24/$C$8-1</f>
        <v>-2.7834484749035493E-2</v>
      </c>
      <c r="F19" s="24">
        <f>'Multiples by Box'!$D$36/$C$8-1</f>
        <v>0.21201325445355135</v>
      </c>
      <c r="G19" s="24">
        <f>'Multiples by Box'!$D$47/$C$8-1</f>
        <v>0.12784261398567542</v>
      </c>
      <c r="H19" s="25">
        <f>'Multiples by Box'!$D$58/$C$8-1</f>
        <v>4.3777942873697739E-2</v>
      </c>
      <c r="I19" s="26">
        <f>$E$80/$C$8-1</f>
        <v>7.0674258862894135E-2</v>
      </c>
    </row>
    <row r="20" spans="2:10" ht="13.95" customHeight="1" x14ac:dyDescent="0.3">
      <c r="B20" s="19" t="s">
        <v>376</v>
      </c>
      <c r="D20" s="24">
        <f>'DCF by Box'!$D$157</f>
        <v>-0.22175730224438184</v>
      </c>
      <c r="E20" s="24">
        <f>'Multiples by Box'!$D$25/$C$9-1</f>
        <v>0.37727395961038179</v>
      </c>
      <c r="F20" s="24">
        <f>'Multiples by Box'!$D$37/$C$9-1</f>
        <v>0.46218696534357862</v>
      </c>
      <c r="G20" s="24">
        <f>'Multiples by Box'!$D$48/$C$9-1</f>
        <v>0.19290201297293708</v>
      </c>
      <c r="H20" s="25">
        <f>'Multiples by Box'!$D$59/$C$9-1</f>
        <v>0.20265140892062905</v>
      </c>
      <c r="I20" s="26">
        <f>$F$80/$C$9-1</f>
        <v>0.3965175243781196</v>
      </c>
    </row>
    <row r="21" spans="2:10" ht="13.95" customHeight="1" x14ac:dyDescent="0.3">
      <c r="B21" s="19" t="s">
        <v>427</v>
      </c>
      <c r="D21" s="24">
        <f>'DCF by Box'!$D$204</f>
        <v>0.49842632595883019</v>
      </c>
      <c r="E21" s="24">
        <f>'Multiples by Box'!$D$26/$C$10-1</f>
        <v>6.8629466081804757E-2</v>
      </c>
      <c r="F21" s="24">
        <f>'Multiples by Box'!$D$38/$C$10-1</f>
        <v>-4.4772021978255916E-2</v>
      </c>
      <c r="G21" s="24">
        <f>'Multiples by Box'!$D$49/$C$10-1</f>
        <v>0.12359153353857688</v>
      </c>
      <c r="H21" s="25">
        <f>'Multiples by Box'!$D$60/$C$10-1</f>
        <v>0.16146882590023903</v>
      </c>
      <c r="I21" s="26">
        <f>$G$80/$C$10-1</f>
        <v>0.16870547151416715</v>
      </c>
    </row>
    <row r="22" spans="2:10" ht="13.95" customHeight="1" x14ac:dyDescent="0.3">
      <c r="B22" s="11" t="s">
        <v>596</v>
      </c>
      <c r="D22" s="23">
        <f>'DCF by Box'!$D$11/$C$11-1</f>
        <v>7.3820729450806644E-2</v>
      </c>
      <c r="E22" s="23">
        <f>'Multiples by Box'!$D$27/$C$11-1</f>
        <v>3.9476103276311791E-2</v>
      </c>
      <c r="F22" s="23">
        <f>'Multiples by Box'!$D$39/$C$11-1</f>
        <v>7.8826601990712009E-2</v>
      </c>
      <c r="G22" s="23">
        <f>'Multiples by Box'!$D$50/$C$11-1</f>
        <v>7.4388259343027174E-2</v>
      </c>
      <c r="H22" s="23">
        <f>'Multiples by Box'!$D$61/$C$11-1</f>
        <v>6.6627923515214516E-2</v>
      </c>
      <c r="I22" s="27">
        <f>$H$80/$C$11-1</f>
        <v>9.9790999591263363E-2</v>
      </c>
    </row>
    <row r="23" spans="2:10" ht="13.95" customHeight="1" x14ac:dyDescent="0.3">
      <c r="B23" s="14" t="s">
        <v>485</v>
      </c>
    </row>
    <row r="24" spans="2:10" ht="13.95" customHeight="1" x14ac:dyDescent="0.3">
      <c r="B24" s="19" t="s">
        <v>377</v>
      </c>
      <c r="D24" s="24">
        <f>'DCF by Box'!$D$251</f>
        <v>-9.4200435305145436E-2</v>
      </c>
      <c r="E24" s="24">
        <f>'Multiples by Box'!$D$29/$C$13-1</f>
        <v>0.57091994716710692</v>
      </c>
      <c r="F24" s="24">
        <f>'Multiples by Box'!$D$41/$C$13-1</f>
        <v>0.78305042667174307</v>
      </c>
      <c r="G24" s="24">
        <f>'Multiples by Box'!$D$52/$C$13-1</f>
        <v>0.24208356967377975</v>
      </c>
      <c r="H24" s="25">
        <f>'Multiples by Box'!$D$63/$C$13-1</f>
        <v>0.37546337705187094</v>
      </c>
      <c r="I24" s="26">
        <f>$I$80/$C$13-1</f>
        <v>0.62781467361198695</v>
      </c>
    </row>
    <row r="25" spans="2:10" ht="13.95" customHeight="1" x14ac:dyDescent="0.3">
      <c r="B25" s="19" t="s">
        <v>422</v>
      </c>
      <c r="D25" s="24">
        <f>'DCF by Box'!$D$298</f>
        <v>-0.43071390167297341</v>
      </c>
      <c r="E25" s="24">
        <f>'Multiples by Box'!$D$30/$C$14-1</f>
        <v>0.27650689806516193</v>
      </c>
      <c r="F25" s="24">
        <f>'Multiples by Box'!$D$42/$C$14-1</f>
        <v>2.4257311037654494E-2</v>
      </c>
      <c r="G25" s="24">
        <f>'Multiples by Box'!$D$53/$C$14-1</f>
        <v>0.11546831467532193</v>
      </c>
      <c r="H25" s="25">
        <f>'Multiples by Box'!$D$64/$C$14-1</f>
        <v>-3.6203444737088475E-3</v>
      </c>
      <c r="I25" s="26">
        <f>$J$80/$C$14-1</f>
        <v>0.25783362027400614</v>
      </c>
    </row>
    <row r="26" spans="2:10" ht="13.95" customHeight="1" x14ac:dyDescent="0.3">
      <c r="B26" s="5" t="s">
        <v>806</v>
      </c>
      <c r="D26" s="28">
        <f>AVERAGE(ABS(D18-I18),ABS(D19-I19),ABS(D20-I20),ABS(D21-I21))</f>
        <v>0.29238308452407691</v>
      </c>
      <c r="E26" s="28">
        <f>AVERAGE(ABS(E18-I18),ABS(E19-I19),ABS(E20-I20),ABS(E21-I21))</f>
        <v>5.4542919241865301E-2</v>
      </c>
      <c r="F26" s="28">
        <f>AVERAGE(ABS(F18-I18),ABS(F19-I19),ABS(F20-I20),ABS(F21-I21))</f>
        <v>0.10520732330099267</v>
      </c>
      <c r="G26" s="28">
        <f>AVERAGE(ABS(G18-I18),ABS(G19-I19),ABS(G20-I20),ABS(G21-I21))</f>
        <v>7.7237084897434805E-2</v>
      </c>
      <c r="H26" s="28">
        <f>AVERAGE(ABS(H18-I18),ABS(H19-I19),ABS(H20-I20),ABS(H21-I21))</f>
        <v>5.7638239551016379E-2</v>
      </c>
    </row>
    <row r="28" spans="2:10" ht="13.95" customHeight="1" x14ac:dyDescent="0.3">
      <c r="B28" s="138" t="s">
        <v>807</v>
      </c>
      <c r="C28" s="138"/>
      <c r="D28" s="138"/>
      <c r="E28" s="138"/>
      <c r="F28" s="138"/>
      <c r="G28" s="138"/>
      <c r="H28" s="138"/>
      <c r="I28" s="138"/>
      <c r="J28" s="138"/>
    </row>
    <row r="29" spans="2:10" ht="13.95" customHeight="1" x14ac:dyDescent="0.3">
      <c r="B29" s="17" t="s">
        <v>464</v>
      </c>
      <c r="C29" s="18" t="s">
        <v>255</v>
      </c>
      <c r="D29" s="18" t="s">
        <v>31</v>
      </c>
      <c r="E29" s="18" t="s">
        <v>32</v>
      </c>
      <c r="F29" s="18" t="s">
        <v>33</v>
      </c>
      <c r="G29" s="18"/>
      <c r="H29" s="18" t="s">
        <v>764</v>
      </c>
      <c r="I29" s="18" t="s">
        <v>32</v>
      </c>
      <c r="J29" s="18" t="s">
        <v>33</v>
      </c>
    </row>
    <row r="30" spans="2:10" ht="13.95" customHeight="1" x14ac:dyDescent="0.3">
      <c r="B30" s="19" t="s">
        <v>295</v>
      </c>
      <c r="C30" s="20">
        <f>'Box Shares'!C7</f>
        <v>60927.303521809401</v>
      </c>
      <c r="D30" s="20">
        <f>'DCF by Box'!C62</f>
        <v>39337.862825408345</v>
      </c>
      <c r="E30" s="20">
        <f>'DCF by Box'!D62</f>
        <v>57179.669837105088</v>
      </c>
      <c r="F30" s="20">
        <f>'DCF by Box'!E62</f>
        <v>78479.291992427767</v>
      </c>
      <c r="H30" s="21">
        <f t="shared" ref="H30:J34" si="2">D30/$C30-1</f>
        <v>-0.35434754943115032</v>
      </c>
      <c r="I30" s="21">
        <f t="shared" si="2"/>
        <v>-6.1509921957449198E-2</v>
      </c>
      <c r="J30" s="21">
        <f t="shared" si="2"/>
        <v>0.28808083496318693</v>
      </c>
    </row>
    <row r="31" spans="2:10" ht="13.95" customHeight="1" x14ac:dyDescent="0.3">
      <c r="B31" s="19" t="s">
        <v>325</v>
      </c>
      <c r="C31" s="20">
        <f>'Box Shares'!C8</f>
        <v>55822.367361651384</v>
      </c>
      <c r="D31" s="20">
        <f>'DCF by Box'!C109</f>
        <v>32906.129420055557</v>
      </c>
      <c r="E31" s="20">
        <f>'DCF by Box'!D109</f>
        <v>48179.748694338537</v>
      </c>
      <c r="F31" s="20">
        <f>'DCF by Box'!E109</f>
        <v>67069.600209368306</v>
      </c>
      <c r="H31" s="21">
        <f t="shared" si="2"/>
        <v>-0.41052071104635257</v>
      </c>
      <c r="I31" s="21">
        <f t="shared" si="2"/>
        <v>-0.13690961219539999</v>
      </c>
      <c r="J31" s="21">
        <f t="shared" si="2"/>
        <v>0.2014825486502656</v>
      </c>
    </row>
    <row r="32" spans="2:10" ht="13.95" customHeight="1" x14ac:dyDescent="0.3">
      <c r="B32" s="19" t="s">
        <v>376</v>
      </c>
      <c r="C32" s="20">
        <f>'Box Shares'!C9</f>
        <v>26271.074646272005</v>
      </c>
      <c r="D32" s="20">
        <f>'DCF by Box'!C156</f>
        <v>11003.82491960532</v>
      </c>
      <c r="E32" s="20">
        <f>'DCF by Box'!D156</f>
        <v>20445.272005653947</v>
      </c>
      <c r="F32" s="20">
        <f>'DCF by Box'!E156</f>
        <v>32356.929452777702</v>
      </c>
      <c r="H32" s="21">
        <f t="shared" si="2"/>
        <v>-0.58114294646234366</v>
      </c>
      <c r="I32" s="21">
        <f t="shared" si="2"/>
        <v>-0.22175730224438184</v>
      </c>
      <c r="J32" s="21">
        <f t="shared" si="2"/>
        <v>0.23165610423056338</v>
      </c>
    </row>
    <row r="33" spans="2:10" ht="13.95" customHeight="1" x14ac:dyDescent="0.3">
      <c r="B33" s="19" t="s">
        <v>427</v>
      </c>
      <c r="C33" s="20">
        <f>'Box Shares'!C10</f>
        <v>65411.174470267266</v>
      </c>
      <c r="D33" s="20">
        <f>'DCF by Box'!C203</f>
        <v>58771.759290351147</v>
      </c>
      <c r="E33" s="20">
        <f>'DCF by Box'!D203</f>
        <v>98013.82583813461</v>
      </c>
      <c r="F33" s="20">
        <f>'DCF by Box'!E203</f>
        <v>149230.09712417467</v>
      </c>
      <c r="H33" s="21">
        <f t="shared" si="2"/>
        <v>-0.10150276667076319</v>
      </c>
      <c r="I33" s="21">
        <f t="shared" si="2"/>
        <v>0.49842632595883019</v>
      </c>
      <c r="J33" s="21">
        <f t="shared" si="2"/>
        <v>1.2814159558013656</v>
      </c>
    </row>
    <row r="34" spans="2:10" ht="13.95" customHeight="1" x14ac:dyDescent="0.3">
      <c r="B34" s="11" t="s">
        <v>596</v>
      </c>
      <c r="C34" s="22">
        <f>SUM(C30:C33)</f>
        <v>208431.92000000004</v>
      </c>
      <c r="D34" s="22">
        <f>SUM(D30:D33)</f>
        <v>142019.57645542038</v>
      </c>
      <c r="E34" s="22">
        <f>SUM(E30:E33)</f>
        <v>223818.5163752322</v>
      </c>
      <c r="F34" s="22">
        <f>SUM(F30:F33)</f>
        <v>327135.91877874843</v>
      </c>
      <c r="H34" s="23">
        <f t="shared" si="2"/>
        <v>-0.31862846892443175</v>
      </c>
      <c r="I34" s="23">
        <f t="shared" si="2"/>
        <v>7.3820729450806644E-2</v>
      </c>
      <c r="J34" s="23">
        <f t="shared" si="2"/>
        <v>0.56950969303909105</v>
      </c>
    </row>
    <row r="35" spans="2:10" ht="13.95" customHeight="1" x14ac:dyDescent="0.3">
      <c r="B35" s="14" t="s">
        <v>765</v>
      </c>
    </row>
    <row r="36" spans="2:10" ht="13.95" customHeight="1" x14ac:dyDescent="0.3">
      <c r="B36" s="19" t="s">
        <v>377</v>
      </c>
      <c r="C36" s="20">
        <f>'Box Shares'!C14</f>
        <v>16066.51953698895</v>
      </c>
      <c r="D36" s="20">
        <f>'DCF by Box'!C250</f>
        <v>7911.5043300501129</v>
      </c>
      <c r="E36" s="20">
        <f>'DCF by Box'!D250</f>
        <v>14553.046402765967</v>
      </c>
      <c r="F36" s="20">
        <f>'DCF by Box'!E250</f>
        <v>22722.517607036578</v>
      </c>
      <c r="H36" s="21">
        <f t="shared" ref="H36:J37" si="3">D36/$C36-1</f>
        <v>-0.50757820871932169</v>
      </c>
      <c r="I36" s="21">
        <f t="shared" si="3"/>
        <v>-9.4200435305145436E-2</v>
      </c>
      <c r="J36" s="21">
        <f t="shared" si="3"/>
        <v>0.41427753252494659</v>
      </c>
    </row>
    <row r="37" spans="2:10" ht="13.95" customHeight="1" x14ac:dyDescent="0.3">
      <c r="B37" s="19" t="s">
        <v>422</v>
      </c>
      <c r="C37" s="20">
        <f>'Box Shares'!C15</f>
        <v>10204.555109283054</v>
      </c>
      <c r="D37" s="20">
        <f>'DCF by Box'!C297</f>
        <v>4393.0221350786724</v>
      </c>
      <c r="E37" s="20">
        <f>'DCF by Box'!D297</f>
        <v>5809.311363326874</v>
      </c>
      <c r="F37" s="20">
        <f>'DCF by Box'!E297</f>
        <v>7506.9962728540377</v>
      </c>
      <c r="H37" s="21">
        <f t="shared" si="3"/>
        <v>-0.56950380609122753</v>
      </c>
      <c r="I37" s="21">
        <f t="shared" si="3"/>
        <v>-0.43071390167297341</v>
      </c>
      <c r="J37" s="21">
        <f t="shared" si="3"/>
        <v>-0.26434850001202448</v>
      </c>
    </row>
    <row r="39" spans="2:10" ht="13.95" customHeight="1" x14ac:dyDescent="0.3">
      <c r="B39" s="138" t="s">
        <v>808</v>
      </c>
      <c r="C39" s="138"/>
      <c r="D39" s="138"/>
      <c r="E39" s="138"/>
      <c r="F39" s="138"/>
      <c r="G39" s="138"/>
      <c r="H39" s="138"/>
      <c r="I39" s="138"/>
      <c r="J39" s="138"/>
    </row>
    <row r="40" spans="2:10" ht="30" customHeight="1" x14ac:dyDescent="0.3">
      <c r="B40" s="17" t="s">
        <v>464</v>
      </c>
      <c r="C40" s="18" t="s">
        <v>809</v>
      </c>
      <c r="D40" s="18" t="s">
        <v>810</v>
      </c>
      <c r="E40" s="18" t="s">
        <v>32</v>
      </c>
      <c r="F40" s="18" t="s">
        <v>33</v>
      </c>
      <c r="G40" s="18" t="s">
        <v>811</v>
      </c>
      <c r="H40" s="18" t="s">
        <v>599</v>
      </c>
      <c r="I40" s="18" t="s">
        <v>32</v>
      </c>
      <c r="J40" s="18" t="s">
        <v>33</v>
      </c>
    </row>
    <row r="41" spans="2:10" ht="13.95" customHeight="1" x14ac:dyDescent="0.3">
      <c r="B41" s="19" t="s">
        <v>295</v>
      </c>
      <c r="C41" s="29">
        <f>'Box Rates'!G7</f>
        <v>0.92451760279086559</v>
      </c>
      <c r="D41" s="30">
        <f>'Box Rates'!C21</f>
        <v>0.153943819483045</v>
      </c>
      <c r="E41" s="30">
        <f>'Box Rates'!D21</f>
        <v>0.136543819483045</v>
      </c>
      <c r="F41" s="30">
        <f>'Box Rates'!E21</f>
        <v>0.123943819483045</v>
      </c>
      <c r="G41" s="31">
        <f>'Box Betas'!I7</f>
        <v>1.1490636580507501</v>
      </c>
      <c r="H41" s="30">
        <f>'Box Rates'!G21</f>
        <v>6.8943819483044996E-2</v>
      </c>
      <c r="I41" s="30">
        <f>'Box Rates'!H21</f>
        <v>6.894381948304501E-2</v>
      </c>
      <c r="J41" s="30">
        <f>'Box Rates'!I21</f>
        <v>6.894381948304501E-2</v>
      </c>
    </row>
    <row r="42" spans="2:10" ht="13.95" customHeight="1" x14ac:dyDescent="0.3">
      <c r="B42" s="19" t="s">
        <v>325</v>
      </c>
      <c r="C42" s="29">
        <f>'Box Rates'!G8</f>
        <v>0.6352434851012756</v>
      </c>
      <c r="D42" s="30">
        <f>'Box Rates'!C22</f>
        <v>0.14072043787879029</v>
      </c>
      <c r="E42" s="30">
        <f>'Box Rates'!D22</f>
        <v>0.12332043787879028</v>
      </c>
      <c r="F42" s="30">
        <f>'Box Rates'!E22</f>
        <v>0.1107204378787903</v>
      </c>
      <c r="G42" s="31">
        <f>'Box Betas'!I8</f>
        <v>0.92867396464650487</v>
      </c>
      <c r="H42" s="30">
        <f>'Box Rates'!G22</f>
        <v>5.5720437878790288E-2</v>
      </c>
      <c r="I42" s="30">
        <f>'Box Rates'!H22</f>
        <v>5.5720437878790288E-2</v>
      </c>
      <c r="J42" s="30">
        <f>'Box Rates'!I22</f>
        <v>5.5720437878790295E-2</v>
      </c>
    </row>
    <row r="43" spans="2:10" ht="13.95" customHeight="1" x14ac:dyDescent="0.3">
      <c r="B43" s="19" t="s">
        <v>376</v>
      </c>
      <c r="C43" s="29">
        <f>'Box Rates'!G9</f>
        <v>0.29730445419444596</v>
      </c>
      <c r="D43" s="30">
        <f>'Box Rates'!C23</f>
        <v>0.15402706580272349</v>
      </c>
      <c r="E43" s="30">
        <f>'Box Rates'!D23</f>
        <v>0.13662706580272349</v>
      </c>
      <c r="F43" s="30">
        <f>'Box Rates'!E23</f>
        <v>0.12402706580272349</v>
      </c>
      <c r="G43" s="31">
        <f>'Box Betas'!I9</f>
        <v>1.150451096712058</v>
      </c>
      <c r="H43" s="30">
        <f>'Box Rates'!G23</f>
        <v>6.9027065802723483E-2</v>
      </c>
      <c r="I43" s="30">
        <f>'Box Rates'!H23</f>
        <v>6.9027065802723497E-2</v>
      </c>
      <c r="J43" s="30">
        <f>'Box Rates'!I23</f>
        <v>6.9027065802723497E-2</v>
      </c>
    </row>
    <row r="44" spans="2:10" ht="13.95" customHeight="1" x14ac:dyDescent="0.3">
      <c r="B44" s="19" t="s">
        <v>427</v>
      </c>
      <c r="C44" s="29">
        <f>'Box Rates'!G10</f>
        <v>1.5352799685930207</v>
      </c>
      <c r="D44" s="30">
        <f>'Box Rates'!C24</f>
        <v>0.13730115044195185</v>
      </c>
      <c r="E44" s="30">
        <f>'Box Rates'!D24</f>
        <v>0.11990115044195183</v>
      </c>
      <c r="F44" s="30">
        <f>'Box Rates'!E24</f>
        <v>0.10730115044195185</v>
      </c>
      <c r="G44" s="31">
        <f>'Box Betas'!I10</f>
        <v>0.87168584069919741</v>
      </c>
      <c r="H44" s="30">
        <f>'Box Rates'!G24</f>
        <v>5.2301150441951841E-2</v>
      </c>
      <c r="I44" s="30">
        <f>'Box Rates'!H24</f>
        <v>5.2301150441951841E-2</v>
      </c>
      <c r="J44" s="30">
        <f>'Box Rates'!I24</f>
        <v>5.2301150441951848E-2</v>
      </c>
    </row>
    <row r="45" spans="2:10" ht="13.95" customHeight="1" x14ac:dyDescent="0.3">
      <c r="B45" s="11" t="s">
        <v>812</v>
      </c>
      <c r="C45" s="32">
        <f>'Box Rates'!G11</f>
        <v>1</v>
      </c>
      <c r="D45" s="33">
        <f>'Box Rates'!C19</f>
        <v>0.14500000000000002</v>
      </c>
      <c r="E45" s="33">
        <f>'Box Rates'!D19</f>
        <v>0.12759999999999999</v>
      </c>
      <c r="F45" s="33">
        <f>'Box Rates'!E19</f>
        <v>0.11499999999999999</v>
      </c>
      <c r="G45" s="34">
        <f>'Box Betas'!I11</f>
        <v>1</v>
      </c>
      <c r="H45" s="33">
        <f>'Box Rates'!G19</f>
        <v>6.0000000000000012E-2</v>
      </c>
      <c r="I45" s="33">
        <f>'Box Rates'!H19</f>
        <v>0.06</v>
      </c>
      <c r="J45" s="33">
        <f>'Box Rates'!I19</f>
        <v>5.9999999999999991E-2</v>
      </c>
    </row>
    <row r="46" spans="2:10" ht="13.95" customHeight="1" x14ac:dyDescent="0.3">
      <c r="B46" s="14" t="s">
        <v>485</v>
      </c>
    </row>
    <row r="47" spans="2:10" ht="13.95" customHeight="1" x14ac:dyDescent="0.3">
      <c r="B47" s="19" t="s">
        <v>377</v>
      </c>
      <c r="C47" s="29">
        <f>'Box Rates'!G13</f>
        <v>0.32038361608817867</v>
      </c>
      <c r="D47" s="30">
        <f>'Box Rates'!C26</f>
        <v>0.16412287446098572</v>
      </c>
      <c r="E47" s="30">
        <f>'Box Rates'!D26</f>
        <v>0.14672287446098572</v>
      </c>
      <c r="F47" s="30">
        <f>'Box Rates'!E26</f>
        <v>0.13412287446098572</v>
      </c>
      <c r="G47" s="31">
        <f>'Box Betas'!I13</f>
        <v>1.3187145743497621</v>
      </c>
      <c r="H47" s="30">
        <f>'Box Rates'!G26</f>
        <v>7.9122874460985718E-2</v>
      </c>
      <c r="I47" s="30">
        <f>'Box Rates'!H26</f>
        <v>7.9122874460985732E-2</v>
      </c>
      <c r="J47" s="30">
        <f>'Box Rates'!I26</f>
        <v>7.9122874460985732E-2</v>
      </c>
    </row>
    <row r="48" spans="2:10" ht="13.95" customHeight="1" x14ac:dyDescent="0.3">
      <c r="B48" s="19" t="s">
        <v>422</v>
      </c>
      <c r="C48" s="29">
        <f>'Box Rates'!G14</f>
        <v>0.23199021588247207</v>
      </c>
      <c r="D48" s="30">
        <f>'Box Rates'!C27</f>
        <v>0.12807007114029556</v>
      </c>
      <c r="E48" s="30">
        <f>'Box Rates'!D27</f>
        <v>0.11067007114029553</v>
      </c>
      <c r="F48" s="30">
        <f>'Box Rates'!E27</f>
        <v>9.8070071140295548E-2</v>
      </c>
      <c r="G48" s="31">
        <f>'Box Betas'!I14</f>
        <v>0.71783451900492579</v>
      </c>
      <c r="H48" s="30">
        <f>'Box Rates'!G27</f>
        <v>4.3070071140295554E-2</v>
      </c>
      <c r="I48" s="30">
        <f>'Box Rates'!H27</f>
        <v>4.3070071140295541E-2</v>
      </c>
      <c r="J48" s="30">
        <f>'Box Rates'!I27</f>
        <v>4.3070071140295547E-2</v>
      </c>
    </row>
    <row r="49" spans="2:10" ht="13.95" customHeight="1" x14ac:dyDescent="0.3">
      <c r="B49" s="14" t="s">
        <v>813</v>
      </c>
    </row>
    <row r="51" spans="2:10" ht="13.95" customHeight="1" x14ac:dyDescent="0.3">
      <c r="B51" s="138" t="s">
        <v>814</v>
      </c>
      <c r="C51" s="138"/>
      <c r="D51" s="138"/>
      <c r="E51" s="138"/>
      <c r="F51" s="138"/>
      <c r="G51" s="138"/>
      <c r="H51" s="138"/>
      <c r="I51" s="138"/>
      <c r="J51" s="138"/>
    </row>
    <row r="52" spans="2:10" ht="13.95" customHeight="1" x14ac:dyDescent="0.3">
      <c r="B52" s="17"/>
      <c r="C52" s="18"/>
      <c r="D52" s="18" t="s">
        <v>31</v>
      </c>
      <c r="E52" s="18" t="s">
        <v>32</v>
      </c>
      <c r="F52" s="18" t="s">
        <v>33</v>
      </c>
      <c r="G52" s="18"/>
      <c r="H52" s="18" t="s">
        <v>764</v>
      </c>
      <c r="I52" s="18" t="s">
        <v>32</v>
      </c>
      <c r="J52" s="18" t="s">
        <v>33</v>
      </c>
    </row>
    <row r="53" spans="2:10" ht="13.95" customHeight="1" x14ac:dyDescent="0.3">
      <c r="B53" s="19" t="s">
        <v>295</v>
      </c>
      <c r="D53" s="20">
        <f>'DCF by Box'!C59</f>
        <v>39337.862825408345</v>
      </c>
      <c r="E53" s="20">
        <f>'DCF by Box'!D59</f>
        <v>57179.669837105088</v>
      </c>
      <c r="F53" s="20">
        <f>'DCF by Box'!E59</f>
        <v>78479.291992427767</v>
      </c>
      <c r="H53" s="21">
        <f>'DCF by Box'!C61</f>
        <v>-0.35434754943115032</v>
      </c>
      <c r="I53" s="21">
        <f>'DCF by Box'!D61</f>
        <v>-6.1509921957449198E-2</v>
      </c>
      <c r="J53" s="21">
        <f>'DCF by Box'!E61</f>
        <v>0.28808083496318693</v>
      </c>
    </row>
    <row r="54" spans="2:10" ht="13.95" customHeight="1" x14ac:dyDescent="0.3">
      <c r="B54" s="19" t="s">
        <v>325</v>
      </c>
      <c r="D54" s="20">
        <f>'DCF by Box'!C106</f>
        <v>32906.129420055557</v>
      </c>
      <c r="E54" s="20">
        <f>'DCF by Box'!D106</f>
        <v>48179.748694338537</v>
      </c>
      <c r="F54" s="20">
        <f>'DCF by Box'!E106</f>
        <v>67069.600209368306</v>
      </c>
      <c r="H54" s="21">
        <f>'DCF by Box'!C108</f>
        <v>-0.41052071104635257</v>
      </c>
      <c r="I54" s="21">
        <f>'DCF by Box'!D108</f>
        <v>-0.13690961219539999</v>
      </c>
      <c r="J54" s="21">
        <f>'DCF by Box'!E108</f>
        <v>0.2014825486502656</v>
      </c>
    </row>
    <row r="55" spans="2:10" ht="13.95" customHeight="1" x14ac:dyDescent="0.3">
      <c r="B55" s="19" t="s">
        <v>376</v>
      </c>
      <c r="D55" s="20">
        <f>'DCF by Box'!C153</f>
        <v>11003.82491960532</v>
      </c>
      <c r="E55" s="20">
        <f>'DCF by Box'!D153</f>
        <v>20445.272005653947</v>
      </c>
      <c r="F55" s="20">
        <f>'DCF by Box'!E153</f>
        <v>32356.929452777702</v>
      </c>
      <c r="H55" s="21">
        <f>'DCF by Box'!C155</f>
        <v>-0.58114294646234366</v>
      </c>
      <c r="I55" s="21">
        <f>'DCF by Box'!D155</f>
        <v>-0.22175730224438184</v>
      </c>
      <c r="J55" s="21">
        <f>'DCF by Box'!E155</f>
        <v>0.23165610423056338</v>
      </c>
    </row>
    <row r="56" spans="2:10" ht="13.95" customHeight="1" x14ac:dyDescent="0.3">
      <c r="B56" s="19" t="s">
        <v>427</v>
      </c>
      <c r="D56" s="20">
        <f>'DCF by Box'!C200</f>
        <v>58771.759290351147</v>
      </c>
      <c r="E56" s="20">
        <f>'DCF by Box'!D200</f>
        <v>98013.82583813461</v>
      </c>
      <c r="F56" s="20">
        <f>'DCF by Box'!E200</f>
        <v>149230.09712417467</v>
      </c>
      <c r="H56" s="21">
        <f>'DCF by Box'!C202</f>
        <v>-0.10150276667076319</v>
      </c>
      <c r="I56" s="21">
        <f>'DCF by Box'!D202</f>
        <v>0.49842632595883019</v>
      </c>
      <c r="J56" s="21">
        <f>'DCF by Box'!E202</f>
        <v>1.2814159558013656</v>
      </c>
    </row>
    <row r="57" spans="2:10" ht="13.95" customHeight="1" x14ac:dyDescent="0.3">
      <c r="B57" s="11" t="s">
        <v>815</v>
      </c>
      <c r="D57" s="22">
        <f>'DCF by Box'!C7</f>
        <v>142019.57645542038</v>
      </c>
      <c r="E57" s="22">
        <f>'DCF by Box'!D7</f>
        <v>223818.5163752322</v>
      </c>
      <c r="F57" s="22">
        <f>'DCF by Box'!E7</f>
        <v>327135.91877874843</v>
      </c>
    </row>
    <row r="58" spans="2:10" ht="13.95" customHeight="1" x14ac:dyDescent="0.3">
      <c r="B58" s="8" t="s">
        <v>816</v>
      </c>
      <c r="D58" s="35">
        <f>'DCF by Box'!C8</f>
        <v>191722.24091712022</v>
      </c>
      <c r="E58" s="35">
        <f>'DCF by Box'!D8</f>
        <v>235695.43773555552</v>
      </c>
      <c r="F58" s="35">
        <f>'DCF by Box'!E8</f>
        <v>281862.98380960268</v>
      </c>
    </row>
    <row r="59" spans="2:10" ht="13.95" customHeight="1" x14ac:dyDescent="0.3">
      <c r="B59" s="8" t="s">
        <v>817</v>
      </c>
      <c r="D59" s="36">
        <f>'DCF by Box'!C9</f>
        <v>1.3499705160527737</v>
      </c>
      <c r="E59" s="36">
        <f>'DCF by Box'!D9</f>
        <v>1.0530649633134537</v>
      </c>
      <c r="F59" s="36">
        <f>'DCF by Box'!E9</f>
        <v>0.86160818066644296</v>
      </c>
    </row>
    <row r="60" spans="2:10" ht="13.95" customHeight="1" x14ac:dyDescent="0.3">
      <c r="B60" s="8" t="s">
        <v>818</v>
      </c>
      <c r="D60" s="36">
        <f>'DCF by Box'!C10</f>
        <v>1</v>
      </c>
      <c r="E60" s="36">
        <f>'DCF by Box'!D10</f>
        <v>1</v>
      </c>
      <c r="F60" s="36">
        <f>'DCF by Box'!E10</f>
        <v>1</v>
      </c>
    </row>
    <row r="61" spans="2:10" ht="13.95" customHeight="1" x14ac:dyDescent="0.3">
      <c r="B61" s="138" t="s">
        <v>819</v>
      </c>
      <c r="C61" s="138"/>
      <c r="D61" s="138"/>
      <c r="E61" s="138"/>
      <c r="F61" s="138"/>
      <c r="G61" s="138"/>
      <c r="H61" s="138"/>
      <c r="I61" s="138"/>
      <c r="J61" s="138"/>
    </row>
    <row r="62" spans="2:10" ht="13.95" customHeight="1" x14ac:dyDescent="0.3">
      <c r="B62" s="17"/>
      <c r="C62" s="18"/>
      <c r="D62" s="18" t="s">
        <v>31</v>
      </c>
      <c r="E62" s="18" t="s">
        <v>32</v>
      </c>
      <c r="F62" s="18" t="s">
        <v>33</v>
      </c>
    </row>
    <row r="63" spans="2:10" ht="13.95" customHeight="1" x14ac:dyDescent="0.3">
      <c r="B63" s="19" t="s">
        <v>14</v>
      </c>
      <c r="D63" s="37">
        <f>DCF!C46</f>
        <v>8.5000000000000006E-2</v>
      </c>
      <c r="E63" s="37">
        <f>DCF!D46</f>
        <v>6.7599999999999993E-2</v>
      </c>
      <c r="F63" s="37">
        <f>DCF!E46</f>
        <v>5.5E-2</v>
      </c>
    </row>
    <row r="64" spans="2:10" ht="13.95" customHeight="1" x14ac:dyDescent="0.3">
      <c r="B64" s="19" t="s">
        <v>820</v>
      </c>
      <c r="D64" s="37">
        <f>DCF!C47</f>
        <v>0.06</v>
      </c>
      <c r="E64" s="37">
        <f>DCF!D47</f>
        <v>0.06</v>
      </c>
      <c r="F64" s="37">
        <f>DCF!E47</f>
        <v>0.06</v>
      </c>
    </row>
    <row r="65" spans="2:10" ht="13.95" customHeight="1" x14ac:dyDescent="0.3">
      <c r="B65" s="19" t="s">
        <v>821</v>
      </c>
      <c r="D65" s="37">
        <f>DCF!C48</f>
        <v>0.14500000000000002</v>
      </c>
      <c r="E65" s="37">
        <f>DCF!D48</f>
        <v>0.12759999999999999</v>
      </c>
      <c r="F65" s="37">
        <f>DCF!E48</f>
        <v>0.11499999999999999</v>
      </c>
    </row>
    <row r="66" spans="2:10" ht="13.95" customHeight="1" x14ac:dyDescent="0.3">
      <c r="B66" s="19" t="s">
        <v>80</v>
      </c>
      <c r="D66" s="38">
        <f>Assumptions!C53</f>
        <v>7.5</v>
      </c>
      <c r="E66" s="38">
        <f>Assumptions!D53</f>
        <v>10</v>
      </c>
      <c r="F66" s="38">
        <f>Assumptions!E53</f>
        <v>12</v>
      </c>
    </row>
    <row r="67" spans="2:10" ht="13.95" customHeight="1" x14ac:dyDescent="0.3">
      <c r="B67" s="19" t="s">
        <v>82</v>
      </c>
      <c r="D67" s="38">
        <f>Assumptions!C54</f>
        <v>4.5</v>
      </c>
      <c r="E67" s="38">
        <f>Assumptions!D54</f>
        <v>5.5</v>
      </c>
      <c r="F67" s="38">
        <f>Assumptions!E54</f>
        <v>6</v>
      </c>
    </row>
    <row r="68" spans="2:10" ht="13.95" customHeight="1" x14ac:dyDescent="0.3">
      <c r="B68" s="19" t="s">
        <v>822</v>
      </c>
      <c r="D68" s="39">
        <f>Assumptions!C55</f>
        <v>-0.2</v>
      </c>
      <c r="E68" s="39">
        <f>Assumptions!D55</f>
        <v>0</v>
      </c>
      <c r="F68" s="39">
        <f>Assumptions!E55</f>
        <v>0.2</v>
      </c>
    </row>
    <row r="69" spans="2:10" ht="13.95" customHeight="1" x14ac:dyDescent="0.3">
      <c r="B69" s="14" t="s">
        <v>823</v>
      </c>
      <c r="D69" s="14" t="str">
        <f>IF(FixNWC+FixND+FixTV+FixInfl=0,"none: as the house","on: "&amp;IF(FixNWC=1,"NWC change ","")&amp;IF(FixND=1,"net debt ","")&amp;IF(FixTV=1,"TV timing ","")&amp;IF(FixInfl=1,"inflation",""))</f>
        <v>none: as the house</v>
      </c>
    </row>
    <row r="70" spans="2:10" ht="13.95" customHeight="1" x14ac:dyDescent="0.3">
      <c r="B70" s="138" t="s">
        <v>824</v>
      </c>
      <c r="C70" s="138"/>
      <c r="D70" s="138"/>
      <c r="E70" s="138"/>
      <c r="F70" s="138"/>
      <c r="G70" s="138"/>
      <c r="H70" s="138"/>
      <c r="I70" s="138"/>
      <c r="J70" s="138"/>
    </row>
    <row r="71" spans="2:10" ht="13.95" customHeight="1" x14ac:dyDescent="0.3">
      <c r="B71" s="17" t="s">
        <v>825</v>
      </c>
      <c r="C71" s="18"/>
      <c r="D71" s="18" t="s">
        <v>295</v>
      </c>
      <c r="E71" s="18" t="s">
        <v>325</v>
      </c>
      <c r="F71" s="18" t="s">
        <v>376</v>
      </c>
      <c r="G71" s="18" t="s">
        <v>427</v>
      </c>
    </row>
    <row r="72" spans="2:10" ht="13.95" customHeight="1" x14ac:dyDescent="0.3">
      <c r="B72" s="19" t="s">
        <v>466</v>
      </c>
      <c r="D72" s="40">
        <f>'Box Shares'!E19</f>
        <v>0.16425790109464722</v>
      </c>
      <c r="E72" s="40">
        <f>'Box Shares'!E20</f>
        <v>0.26048991695618606</v>
      </c>
      <c r="F72" s="40">
        <f>'Box Shares'!E21</f>
        <v>0.11218492273504395</v>
      </c>
      <c r="G72" s="40">
        <f>'Box Shares'!E22</f>
        <v>0.46306725921412284</v>
      </c>
    </row>
    <row r="73" spans="2:10" ht="13.95" customHeight="1" x14ac:dyDescent="0.3">
      <c r="B73" s="19" t="s">
        <v>470</v>
      </c>
      <c r="D73" s="40">
        <f>'Box Shares'!I19</f>
        <v>0.22985575056873886</v>
      </c>
      <c r="E73" s="40">
        <f>'Box Shares'!I20</f>
        <v>0.24415677209055056</v>
      </c>
      <c r="F73" s="40">
        <f>'Box Shares'!I21</f>
        <v>0.10599900182268422</v>
      </c>
      <c r="G73" s="40">
        <f>'Box Shares'!I22</f>
        <v>0.41998847551802637</v>
      </c>
    </row>
    <row r="74" spans="2:10" ht="13.95" customHeight="1" x14ac:dyDescent="0.3">
      <c r="B74" s="19" t="s">
        <v>473</v>
      </c>
      <c r="D74" s="40">
        <f>'Box Shares'!L19</f>
        <v>0.25553449524980065</v>
      </c>
      <c r="E74" s="40">
        <f>'Box Shares'!L20</f>
        <v>0.22223939449429822</v>
      </c>
      <c r="F74" s="40">
        <f>'Box Shares'!L21</f>
        <v>9.744481626063714E-2</v>
      </c>
      <c r="G74" s="40">
        <f>'Box Shares'!L22</f>
        <v>0.42478129399526404</v>
      </c>
    </row>
    <row r="75" spans="2:10" ht="13.95" customHeight="1" x14ac:dyDescent="0.3">
      <c r="B75" s="19" t="s">
        <v>476</v>
      </c>
      <c r="D75" s="40">
        <f>'Box Shares'!O19</f>
        <v>0.30649740321050728</v>
      </c>
      <c r="E75" s="40">
        <f>'Box Shares'!O20</f>
        <v>0.19377661083294556</v>
      </c>
      <c r="F75" s="40">
        <f>'Box Shares'!O21</f>
        <v>9.8542148372668933E-2</v>
      </c>
      <c r="G75" s="40">
        <f>'Box Shares'!O22</f>
        <v>0.40118383758387827</v>
      </c>
    </row>
    <row r="76" spans="2:10" ht="13.95" customHeight="1" x14ac:dyDescent="0.3">
      <c r="B76" s="19" t="s">
        <v>478</v>
      </c>
      <c r="D76" s="40">
        <f>'Box Shares'!Q19</f>
        <v>0.2493882389315687</v>
      </c>
      <c r="E76" s="40">
        <f>'Box Shares'!Q20</f>
        <v>0.24129138018750107</v>
      </c>
      <c r="F76" s="40">
        <f>'Box Shares'!Q21</f>
        <v>0.14132059013869358</v>
      </c>
      <c r="G76" s="40">
        <f>'Box Shares'!Q22</f>
        <v>0.3679997907422366</v>
      </c>
    </row>
    <row r="77" spans="2:10" ht="13.95" customHeight="1" x14ac:dyDescent="0.3">
      <c r="B77" s="138" t="s">
        <v>826</v>
      </c>
      <c r="C77" s="138"/>
      <c r="D77" s="138"/>
      <c r="E77" s="138"/>
      <c r="F77" s="138"/>
      <c r="G77" s="138"/>
      <c r="H77" s="138"/>
      <c r="I77" s="138"/>
      <c r="J77" s="138"/>
    </row>
    <row r="78" spans="2:10" ht="30" customHeight="1" x14ac:dyDescent="0.3">
      <c r="B78" s="17" t="s">
        <v>827</v>
      </c>
      <c r="C78" s="18"/>
      <c r="D78" s="18" t="s">
        <v>295</v>
      </c>
      <c r="E78" s="18" t="s">
        <v>325</v>
      </c>
      <c r="F78" s="18" t="s">
        <v>376</v>
      </c>
      <c r="G78" s="18" t="s">
        <v>427</v>
      </c>
      <c r="H78" s="18" t="s">
        <v>596</v>
      </c>
      <c r="I78" s="18" t="s">
        <v>828</v>
      </c>
      <c r="J78" s="18" t="s">
        <v>422</v>
      </c>
    </row>
    <row r="79" spans="2:10" ht="13.95" customHeight="1" x14ac:dyDescent="0.3">
      <c r="B79" s="19" t="s">
        <v>829</v>
      </c>
      <c r="D79" s="41">
        <v>44915.643708329488</v>
      </c>
      <c r="E79" s="41">
        <v>48306.985845280979</v>
      </c>
      <c r="F79" s="41">
        <v>26679.456068896208</v>
      </c>
      <c r="G79" s="41">
        <v>54511.779824288707</v>
      </c>
      <c r="H79" s="41">
        <v>174413.86544679539</v>
      </c>
      <c r="I79" s="41">
        <v>18223.148783580938</v>
      </c>
      <c r="J79" s="41">
        <v>7588.3271380080951</v>
      </c>
    </row>
    <row r="80" spans="2:10" ht="13.95" customHeight="1" x14ac:dyDescent="0.3">
      <c r="B80" s="19" t="s">
        <v>830</v>
      </c>
      <c r="D80" s="41">
        <v>56329.564211284312</v>
      </c>
      <c r="E80" s="41">
        <v>59767.571802908307</v>
      </c>
      <c r="F80" s="41">
        <v>36688.016127764567</v>
      </c>
      <c r="G80" s="41">
        <v>76446.397501569154</v>
      </c>
      <c r="H80" s="41">
        <v>229231.54964352629</v>
      </c>
      <c r="I80" s="41">
        <v>26153.31625618428</v>
      </c>
      <c r="J80" s="41">
        <v>12835.63249639511</v>
      </c>
    </row>
    <row r="81" spans="2:12" ht="13.95" customHeight="1" x14ac:dyDescent="0.3">
      <c r="B81" s="19" t="s">
        <v>831</v>
      </c>
      <c r="D81" s="41">
        <v>71678.724219062831</v>
      </c>
      <c r="E81" s="41">
        <v>73390.375606005255</v>
      </c>
      <c r="F81" s="41">
        <v>48520.494256285107</v>
      </c>
      <c r="G81" s="41">
        <v>101241.9147857589</v>
      </c>
      <c r="H81" s="41">
        <v>294831.5088671121</v>
      </c>
      <c r="I81" s="41">
        <v>35580.996803435228</v>
      </c>
      <c r="J81" s="41">
        <v>18587.730082831938</v>
      </c>
    </row>
    <row r="82" spans="2:12" ht="13.95" customHeight="1" x14ac:dyDescent="0.3">
      <c r="B82" s="19" t="s">
        <v>832</v>
      </c>
      <c r="D82" s="41">
        <v>70757</v>
      </c>
      <c r="E82" s="41">
        <v>42152</v>
      </c>
      <c r="F82" s="41">
        <v>24906</v>
      </c>
      <c r="G82" s="41">
        <v>85903</v>
      </c>
      <c r="H82" s="41">
        <v>223718</v>
      </c>
      <c r="I82" s="41">
        <v>17780</v>
      </c>
      <c r="J82" s="41">
        <v>7140</v>
      </c>
    </row>
    <row r="83" spans="2:12" ht="13.95" customHeight="1" x14ac:dyDescent="0.3">
      <c r="B83" s="14" t="s">
        <v>833</v>
      </c>
    </row>
    <row r="85" spans="2:12" ht="13.95" customHeight="1" x14ac:dyDescent="0.3">
      <c r="B85" s="138" t="s">
        <v>834</v>
      </c>
      <c r="C85" s="138"/>
      <c r="D85" s="138"/>
      <c r="E85" s="138"/>
      <c r="F85" s="138"/>
      <c r="G85" s="138"/>
      <c r="H85" s="138"/>
      <c r="I85" s="138"/>
      <c r="J85" s="138"/>
      <c r="K85" s="138"/>
      <c r="L85" s="138"/>
    </row>
    <row r="86" spans="2:12" ht="43.95" customHeight="1" x14ac:dyDescent="0.3">
      <c r="B86" s="17" t="s">
        <v>464</v>
      </c>
      <c r="C86" s="18" t="s">
        <v>835</v>
      </c>
      <c r="D86" s="18" t="s">
        <v>645</v>
      </c>
      <c r="E86" s="18" t="s">
        <v>836</v>
      </c>
      <c r="F86" s="18" t="s">
        <v>33</v>
      </c>
      <c r="G86" s="18" t="s">
        <v>810</v>
      </c>
      <c r="H86" s="18" t="s">
        <v>33</v>
      </c>
      <c r="I86" s="18" t="s">
        <v>837</v>
      </c>
      <c r="J86" s="18" t="s">
        <v>33</v>
      </c>
      <c r="K86" s="18" t="s">
        <v>838</v>
      </c>
      <c r="L86" s="18" t="s">
        <v>33</v>
      </c>
    </row>
    <row r="87" spans="2:12" ht="13.95" customHeight="1" x14ac:dyDescent="0.3">
      <c r="B87" s="19" t="s">
        <v>295</v>
      </c>
      <c r="C87" s="42">
        <f>'Box Earnings'!I7*'Box Earnings'!$I$16</f>
        <v>0.8696817114821831</v>
      </c>
      <c r="D87" s="42">
        <f>'Box Earnings'!J7</f>
        <v>0</v>
      </c>
      <c r="E87" s="24">
        <f>'Box Earnings'!C21</f>
        <v>-0.17393634229643662</v>
      </c>
      <c r="F87" s="24">
        <f>'Box Earnings'!E21</f>
        <v>0.17393634229643662</v>
      </c>
      <c r="G87" s="43">
        <f>'Box Rates'!C21</f>
        <v>0.153943819483045</v>
      </c>
      <c r="H87" s="43">
        <f>'Box Rates'!E21</f>
        <v>0.123943819483045</v>
      </c>
      <c r="I87" s="25">
        <f>'DCF by Box'!C62/'DCF by Box'!D62-1</f>
        <v>-0.31203060567724406</v>
      </c>
      <c r="J87" s="25">
        <f>'DCF by Box'!E62/'DCF by Box'!D62-1</f>
        <v>0.37250341276893684</v>
      </c>
      <c r="K87" s="26">
        <f>$D$79/$D$80-1</f>
        <v>-0.20262753072512341</v>
      </c>
      <c r="L87" s="26">
        <f>$D$81/$D$80-1</f>
        <v>0.27248852752004193</v>
      </c>
    </row>
    <row r="88" spans="2:12" ht="13.95" customHeight="1" x14ac:dyDescent="0.3">
      <c r="B88" s="19" t="s">
        <v>325</v>
      </c>
      <c r="C88" s="42">
        <f>'Box Earnings'!I8*'Box Earnings'!$I$16</f>
        <v>0.78019054006631006</v>
      </c>
      <c r="D88" s="42">
        <f>'Box Earnings'!J8</f>
        <v>0</v>
      </c>
      <c r="E88" s="24">
        <f>'Box Earnings'!C22</f>
        <v>-0.15603810801326201</v>
      </c>
      <c r="F88" s="24">
        <f>'Box Earnings'!E22</f>
        <v>0.15603810801326201</v>
      </c>
      <c r="G88" s="43">
        <f>'Box Rates'!C22</f>
        <v>0.14072043787879029</v>
      </c>
      <c r="H88" s="43">
        <f>'Box Rates'!E22</f>
        <v>0.1107204378787903</v>
      </c>
      <c r="I88" s="25">
        <f>'DCF by Box'!C109/'DCF by Box'!D109-1</f>
        <v>-0.31701326155065102</v>
      </c>
      <c r="J88" s="25">
        <f>'DCF by Box'!E109/'DCF by Box'!D109-1</f>
        <v>0.39207036206997614</v>
      </c>
      <c r="K88" s="26">
        <f>$E$79/$E$80-1</f>
        <v>-0.19175257772593091</v>
      </c>
      <c r="L88" s="26">
        <f>$E$81/$E$80-1</f>
        <v>0.22792968481336318</v>
      </c>
    </row>
    <row r="89" spans="2:12" ht="13.95" customHeight="1" x14ac:dyDescent="0.3">
      <c r="B89" s="19" t="s">
        <v>376</v>
      </c>
      <c r="C89" s="42">
        <f>'Box Earnings'!I9*'Box Earnings'!$I$16</f>
        <v>1.7692957601877284</v>
      </c>
      <c r="D89" s="42">
        <f>'Box Earnings'!J9</f>
        <v>0</v>
      </c>
      <c r="E89" s="24">
        <f>'Box Earnings'!C23</f>
        <v>-0.3538591520375457</v>
      </c>
      <c r="F89" s="24">
        <f>'Box Earnings'!E23</f>
        <v>0.3538591520375457</v>
      </c>
      <c r="G89" s="43">
        <f>'Box Rates'!C23</f>
        <v>0.15402706580272349</v>
      </c>
      <c r="H89" s="43">
        <f>'Box Rates'!E23</f>
        <v>0.12402706580272349</v>
      </c>
      <c r="I89" s="25">
        <f>'DCF by Box'!C156/'DCF by Box'!D156-1</f>
        <v>-0.46179121918444932</v>
      </c>
      <c r="J89" s="25">
        <f>'DCF by Box'!E156/'DCF by Box'!D156-1</f>
        <v>0.58261183533433547</v>
      </c>
      <c r="K89" s="26">
        <f>$F$79/$F$80-1</f>
        <v>-0.27280188778847958</v>
      </c>
      <c r="L89" s="26">
        <f>$F$81/$F$80-1</f>
        <v>0.32251616133492744</v>
      </c>
    </row>
    <row r="90" spans="2:12" ht="13.95" customHeight="1" x14ac:dyDescent="0.3">
      <c r="B90" s="19" t="s">
        <v>427</v>
      </c>
      <c r="C90" s="42">
        <f>'Box Earnings'!I10*'Box Earnings'!$I$16</f>
        <v>0</v>
      </c>
      <c r="D90" s="42">
        <f>'Box Earnings'!J10</f>
        <v>1.262030214353713</v>
      </c>
      <c r="E90" s="24">
        <f>'Box Earnings'!C24</f>
        <v>-0.25240604287074259</v>
      </c>
      <c r="F90" s="24">
        <f>'Box Earnings'!E24</f>
        <v>0.25240604287074259</v>
      </c>
      <c r="G90" s="43">
        <f>'Box Rates'!C24</f>
        <v>0.13730115044195185</v>
      </c>
      <c r="H90" s="43">
        <f>'Box Rates'!E24</f>
        <v>0.10730115044195185</v>
      </c>
      <c r="I90" s="25">
        <f>'DCF by Box'!C203/'DCF by Box'!D203-1</f>
        <v>-0.40037276590539339</v>
      </c>
      <c r="J90" s="25">
        <f>'DCF by Box'!E203/'DCF by Box'!D203-1</f>
        <v>0.52254129300718666</v>
      </c>
      <c r="K90" s="26">
        <f>$G$79/$G$80-1</f>
        <v>-0.28692807501923434</v>
      </c>
      <c r="L90" s="26">
        <f>$G$81/$G$80-1</f>
        <v>0.32435167770568629</v>
      </c>
    </row>
    <row r="91" spans="2:12" ht="13.95" customHeight="1" x14ac:dyDescent="0.3">
      <c r="B91" s="11" t="s">
        <v>596</v>
      </c>
      <c r="C91" s="34">
        <f>'Box Earnings'!I15*'Box Earnings'!I16</f>
        <v>1</v>
      </c>
      <c r="D91" s="34">
        <f>0</f>
        <v>0</v>
      </c>
      <c r="E91" s="23">
        <f>'Box Earnings'!C25</f>
        <v>-0.21644633323684032</v>
      </c>
      <c r="F91" s="23">
        <f>'Box Earnings'!E25</f>
        <v>0.21644633323684032</v>
      </c>
      <c r="G91" s="33">
        <f>'Box Rates'!C19</f>
        <v>0.14500000000000002</v>
      </c>
      <c r="H91" s="33">
        <f>'Box Rates'!E19</f>
        <v>0.11499999999999999</v>
      </c>
      <c r="I91" s="23">
        <f>'DCF by Box'!C11/'DCF by Box'!D11-1</f>
        <v>-0.3654699407562676</v>
      </c>
      <c r="J91" s="23">
        <f>'DCF by Box'!E11/'DCF by Box'!D11-1</f>
        <v>0.46161239953134348</v>
      </c>
      <c r="K91" s="27">
        <f>$H$79/$H$80-1</f>
        <v>-0.2391367343717602</v>
      </c>
      <c r="L91" s="27">
        <f>$H$81/$H$80-1</f>
        <v>0.2861733444876986</v>
      </c>
    </row>
    <row r="92" spans="2:12" ht="13.95" customHeight="1" x14ac:dyDescent="0.3">
      <c r="B92" s="14" t="s">
        <v>485</v>
      </c>
    </row>
    <row r="93" spans="2:12" ht="13.95" customHeight="1" x14ac:dyDescent="0.3">
      <c r="B93" s="19" t="s">
        <v>377</v>
      </c>
      <c r="C93" s="42">
        <f>'Box Earnings'!I13*'Box Earnings'!$I$16</f>
        <v>1.7924675001969013</v>
      </c>
      <c r="D93" s="42">
        <f>'Box Earnings'!J13</f>
        <v>0</v>
      </c>
      <c r="E93" s="24">
        <f>'Box Earnings'!C27</f>
        <v>-0.3584935000393803</v>
      </c>
      <c r="F93" s="24">
        <f>'Box Earnings'!E27</f>
        <v>0.3584935000393803</v>
      </c>
      <c r="G93" s="43">
        <f>'Box Rates'!C26</f>
        <v>0.16412287446098572</v>
      </c>
      <c r="H93" s="43">
        <f>'Box Rates'!E26</f>
        <v>0.13412287446098572</v>
      </c>
      <c r="I93" s="25">
        <f>'DCF by Box'!C250/'DCF by Box'!D250-1</f>
        <v>-0.45636782079204774</v>
      </c>
      <c r="J93" s="25">
        <f>'DCF by Box'!E250/'DCF by Box'!D250-1</f>
        <v>0.56135814991409028</v>
      </c>
      <c r="K93" s="26">
        <f>$I$79/$I$80-1</f>
        <v>-0.30321842916299968</v>
      </c>
      <c r="L93" s="26">
        <f>$I$81/$I$80-1</f>
        <v>0.36047744213017929</v>
      </c>
    </row>
    <row r="94" spans="2:12" ht="13.95" customHeight="1" x14ac:dyDescent="0.3">
      <c r="B94" s="19" t="s">
        <v>422</v>
      </c>
      <c r="C94" s="42">
        <f>'Box Earnings'!I14*'Box Earnings'!$I$16</f>
        <v>0.15083352186558735</v>
      </c>
      <c r="D94" s="42">
        <f>'Box Earnings'!J14</f>
        <v>0</v>
      </c>
      <c r="E94" s="24">
        <f>'Box Earnings'!C28</f>
        <v>-3.016670437311747E-2</v>
      </c>
      <c r="F94" s="24">
        <f>'Box Earnings'!E28</f>
        <v>3.016670437311747E-2</v>
      </c>
      <c r="G94" s="43">
        <f>'Box Rates'!C27</f>
        <v>0.12807007114029556</v>
      </c>
      <c r="H94" s="43">
        <f>'Box Rates'!E27</f>
        <v>9.8070071140295548E-2</v>
      </c>
      <c r="I94" s="25">
        <f>'DCF by Box'!C297/'DCF by Box'!D297-1</f>
        <v>-0.24379640540339742</v>
      </c>
      <c r="J94" s="25">
        <f>'DCF by Box'!E297/'DCF by Box'!D297-1</f>
        <v>0.29223513827204028</v>
      </c>
      <c r="K94" s="26">
        <f>$J$79/$J$80-1</f>
        <v>-0.40880769684397877</v>
      </c>
      <c r="L94" s="26">
        <f>$J$81/$J$80-1</f>
        <v>0.44813511044760013</v>
      </c>
    </row>
    <row r="95" spans="2:12" ht="13.95" customHeight="1" x14ac:dyDescent="0.3">
      <c r="B95" s="14" t="s">
        <v>839</v>
      </c>
    </row>
    <row r="97" spans="2:12" ht="13.95" customHeight="1" x14ac:dyDescent="0.3">
      <c r="B97" s="138" t="s">
        <v>840</v>
      </c>
      <c r="C97" s="138"/>
      <c r="D97" s="138"/>
      <c r="E97" s="138"/>
      <c r="F97" s="138"/>
      <c r="G97" s="138"/>
      <c r="H97" s="138"/>
      <c r="I97" s="138"/>
      <c r="J97" s="138"/>
      <c r="K97" s="138"/>
      <c r="L97" s="138"/>
    </row>
    <row r="98" spans="2:12" ht="43.95" customHeight="1" x14ac:dyDescent="0.3">
      <c r="B98" s="17" t="s">
        <v>464</v>
      </c>
      <c r="C98" s="18" t="s">
        <v>841</v>
      </c>
      <c r="D98" s="18" t="s">
        <v>842</v>
      </c>
      <c r="E98" s="18" t="s">
        <v>764</v>
      </c>
      <c r="F98" s="18" t="s">
        <v>32</v>
      </c>
      <c r="G98" s="18" t="s">
        <v>33</v>
      </c>
      <c r="H98" s="18" t="s">
        <v>843</v>
      </c>
      <c r="I98" s="18" t="s">
        <v>844</v>
      </c>
      <c r="J98" s="18" t="s">
        <v>845</v>
      </c>
      <c r="K98" s="18" t="s">
        <v>846</v>
      </c>
      <c r="L98" s="18"/>
    </row>
    <row r="99" spans="2:12" ht="13.95" customHeight="1" x14ac:dyDescent="0.3">
      <c r="B99" s="19" t="s">
        <v>295</v>
      </c>
      <c r="C99" s="16">
        <f>(Assumptions!$C$63*'DCF by Box'!C62+Assumptions!$D$63*'DCF by Box'!D62+Assumptions!$E$63*'DCF by Box'!E62)/SUM(Assumptions!$C$63:$E$63)</f>
        <v>58044.123623011576</v>
      </c>
      <c r="D99" s="25">
        <f>C99/$C$30-1</f>
        <v>-4.7321639595715337E-2</v>
      </c>
      <c r="E99" s="21">
        <f>'DCF by Box'!C62/$C$30-1</f>
        <v>-0.35434754943115032</v>
      </c>
      <c r="F99" s="21">
        <f>'DCF by Box'!D62/$C$30-1</f>
        <v>-6.1509921957449198E-2</v>
      </c>
      <c r="G99" s="21">
        <f>'DCF by Box'!E62/$C$30-1</f>
        <v>0.28808083496318693</v>
      </c>
      <c r="H99" s="44">
        <f>('DCF by Box'!E62-'DCF by Box'!D62)/('DCF by Box'!D62-'DCF by Box'!C62)</f>
        <v>1.193804088417673</v>
      </c>
      <c r="I99" s="40">
        <f>'Box Shares'!H44</f>
        <v>0.12053514628175122</v>
      </c>
      <c r="J99" s="40">
        <f>'DCF by Box'!D45</f>
        <v>4.7E-2</v>
      </c>
      <c r="K99" s="45">
        <f>'DCF by Box'!D64</f>
        <v>6.6659714910827797E-2</v>
      </c>
    </row>
    <row r="100" spans="2:12" ht="13.95" customHeight="1" x14ac:dyDescent="0.3">
      <c r="B100" s="19" t="s">
        <v>325</v>
      </c>
      <c r="C100" s="16">
        <f>(Assumptions!$C$63*'DCF by Box'!C109+Assumptions!$D$63*'DCF by Box'!D109+Assumptions!$E$63*'DCF by Box'!E109)/SUM(Assumptions!$C$63:$E$63)</f>
        <v>49083.806754525234</v>
      </c>
      <c r="D100" s="25">
        <f>C100/$C$31-1</f>
        <v>-0.12071434669672176</v>
      </c>
      <c r="E100" s="21">
        <f>'DCF by Box'!C109/$C$31-1</f>
        <v>-0.41052071104635257</v>
      </c>
      <c r="F100" s="21">
        <f>'DCF by Box'!D109/$C$31-1</f>
        <v>-0.13690961219539999</v>
      </c>
      <c r="G100" s="21">
        <f>'DCF by Box'!E109/$C$31-1</f>
        <v>0.2014825486502656</v>
      </c>
      <c r="H100" s="44">
        <f>('DCF by Box'!E109-'DCF by Box'!D109)/('DCF by Box'!D109-'DCF by Box'!C109)</f>
        <v>1.2367632828739965</v>
      </c>
      <c r="I100" s="40">
        <f>'Box Shares'!H45</f>
        <v>0.23390099533657849</v>
      </c>
      <c r="J100" s="40">
        <f>'DCF by Box'!D97</f>
        <v>4.7E-2</v>
      </c>
      <c r="K100" s="45">
        <f>'DCF by Box'!D111</f>
        <v>9.2096280339712816E-2</v>
      </c>
    </row>
    <row r="101" spans="2:12" ht="13.95" customHeight="1" x14ac:dyDescent="0.3">
      <c r="B101" s="19" t="s">
        <v>376</v>
      </c>
      <c r="C101" s="16">
        <f>(Assumptions!$C$63*'DCF by Box'!C156+Assumptions!$D$63*'DCF by Box'!D156+Assumptions!$E$63*'DCF by Box'!E156)/SUM(Assumptions!$C$63:$E$63)</f>
        <v>21062.824595922728</v>
      </c>
      <c r="D101" s="25">
        <f>C101/$C$32-1</f>
        <v>-0.1982503616801361</v>
      </c>
      <c r="E101" s="21">
        <f>'DCF by Box'!C156/$C$32-1</f>
        <v>-0.58114294646234366</v>
      </c>
      <c r="F101" s="21">
        <f>'DCF by Box'!D156/$C$32-1</f>
        <v>-0.22175730224438184</v>
      </c>
      <c r="G101" s="21">
        <f>'DCF by Box'!E156/$C$32-1</f>
        <v>0.23165610423056338</v>
      </c>
      <c r="H101" s="44">
        <f>('DCF by Box'!E156-'DCF by Box'!D156)/('DCF by Box'!D156-'DCF by Box'!C156)</f>
        <v>1.2616347196104389</v>
      </c>
      <c r="I101" s="40">
        <f>'Box Shares'!H46</f>
        <v>0.19744475054648447</v>
      </c>
      <c r="J101" s="40">
        <f>'DCF by Box'!D144</f>
        <v>4.7E-2</v>
      </c>
      <c r="K101" s="45">
        <f>'DCF by Box'!D158</f>
        <v>0.13250102686207976</v>
      </c>
    </row>
    <row r="102" spans="2:12" ht="13.95" customHeight="1" x14ac:dyDescent="0.3">
      <c r="B102" s="19" t="s">
        <v>427</v>
      </c>
      <c r="C102" s="16">
        <f>(Assumptions!$C$63*'DCF by Box'!C203+Assumptions!$D$63*'DCF by Box'!D203+Assumptions!$E$63*'DCF by Box'!E203)/SUM(Assumptions!$C$63:$E$63)</f>
        <v>101007.37702269875</v>
      </c>
      <c r="D102" s="25">
        <f>C102/$C$33-1</f>
        <v>0.54419146026206566</v>
      </c>
      <c r="E102" s="21">
        <f>'DCF by Box'!C203/$C$33-1</f>
        <v>-0.10150276667076319</v>
      </c>
      <c r="F102" s="21">
        <f>'DCF by Box'!D203/$C$33-1</f>
        <v>0.49842632595883019</v>
      </c>
      <c r="G102" s="21">
        <f>'DCF by Box'!E203/$C$33-1</f>
        <v>1.2814159558013656</v>
      </c>
      <c r="H102" s="44">
        <f>('DCF by Box'!E203-'DCF by Box'!D203)/('DCF by Box'!D203-'DCF by Box'!C203)</f>
        <v>1.3051369561201906</v>
      </c>
      <c r="I102" s="40">
        <f>'Box Shares'!H47</f>
        <v>-6.2420891491832942E-2</v>
      </c>
      <c r="J102" s="40">
        <f>'DCF by Box'!D191</f>
        <v>4.7E-2</v>
      </c>
      <c r="K102" s="45">
        <f>'DCF by Box'!D205</f>
        <v>-4.6262871329069338E-2</v>
      </c>
    </row>
    <row r="103" spans="2:12" ht="13.95" customHeight="1" x14ac:dyDescent="0.3">
      <c r="B103" s="11" t="s">
        <v>596</v>
      </c>
      <c r="C103" s="22">
        <f>(Assumptions!$C$63*'DCF by Box'!C11+Assumptions!$D$63*'DCF by Box'!D11+Assumptions!$E$63*'DCF by Box'!E11)/SUM(Assumptions!$C$63:$E$63)</f>
        <v>229198.13199615828</v>
      </c>
      <c r="D103" s="23">
        <f>C103/$C$34-1</f>
        <v>9.9630670754067951E-2</v>
      </c>
      <c r="E103" s="23">
        <f>'DCF by Box'!C11/$C$34-1</f>
        <v>-0.31862846892443175</v>
      </c>
      <c r="F103" s="23">
        <f>'DCF by Box'!D11/$C$34-1</f>
        <v>7.3820729450806644E-2</v>
      </c>
      <c r="G103" s="23">
        <f>'DCF by Box'!E11/$C$34-1</f>
        <v>0.56950969303909105</v>
      </c>
      <c r="H103" s="46">
        <f>('DCF by Box'!E11-'DCF by Box'!D11)/('DCF by Box'!D11-'DCF by Box'!C11)</f>
        <v>1.2630652977263415</v>
      </c>
    </row>
    <row r="104" spans="2:12" ht="13.95" customHeight="1" x14ac:dyDescent="0.3">
      <c r="B104" s="14" t="s">
        <v>485</v>
      </c>
    </row>
    <row r="105" spans="2:12" ht="13.95" customHeight="1" x14ac:dyDescent="0.3">
      <c r="B105" s="19" t="s">
        <v>377</v>
      </c>
      <c r="C105" s="16">
        <f>(Assumptions!$C$63*'DCF by Box'!C250+Assumptions!$D$63*'DCF by Box'!D250+Assumptions!$E$63*'DCF by Box'!E250)/SUM(Assumptions!$C$63:$E$63)</f>
        <v>14935.028685654657</v>
      </c>
      <c r="D105" s="25">
        <f>C105/$C$36-1</f>
        <v>-7.0425386701166492E-2</v>
      </c>
      <c r="E105" s="21">
        <f>'DCF by Box'!C250/$C$36-1</f>
        <v>-0.50757820871932169</v>
      </c>
      <c r="F105" s="21">
        <f>'DCF by Box'!D250/$C$36-1</f>
        <v>-9.4200435305145436E-2</v>
      </c>
      <c r="G105" s="21">
        <f>'DCF by Box'!E250/$C$36-1</f>
        <v>0.41427753252494659</v>
      </c>
      <c r="H105" s="44">
        <f>('DCF by Box'!E250-'DCF by Box'!D250)/('DCF by Box'!D250-'DCF by Box'!C250)</f>
        <v>1.2300563807058678</v>
      </c>
      <c r="I105" s="40">
        <f>'Box Shares'!H49</f>
        <v>0.19770284209727418</v>
      </c>
      <c r="J105" s="40">
        <f>'DCF by Box'!D238</f>
        <v>4.7E-2</v>
      </c>
      <c r="K105" s="45">
        <f>'DCF by Box'!D252</f>
        <v>7.9510601324711272E-2</v>
      </c>
    </row>
    <row r="106" spans="2:12" ht="13.95" customHeight="1" x14ac:dyDescent="0.3">
      <c r="B106" s="19" t="s">
        <v>422</v>
      </c>
      <c r="C106" s="16">
        <f>(Assumptions!$C$63*'DCF by Box'!C297+Assumptions!$D$63*'DCF by Box'!D297+Assumptions!$E$63*'DCF by Box'!E297)/SUM(Assumptions!$C$63:$E$63)</f>
        <v>5879.6602836466145</v>
      </c>
      <c r="D106" s="25">
        <f>C106/$C$37-1</f>
        <v>-0.42382002736229973</v>
      </c>
      <c r="E106" s="21">
        <f>'DCF by Box'!C297/$C$37-1</f>
        <v>-0.56950380609122753</v>
      </c>
      <c r="F106" s="21">
        <f>'DCF by Box'!D297/$C$37-1</f>
        <v>-0.43071390167297341</v>
      </c>
      <c r="G106" s="21">
        <f>'DCF by Box'!E297/$C$37-1</f>
        <v>-0.26434850001202448</v>
      </c>
      <c r="H106" s="44">
        <f>('DCF by Box'!E297-'DCF by Box'!D297)/('DCF by Box'!D297-'DCF by Box'!C297)</f>
        <v>1.198685180728952</v>
      </c>
      <c r="I106" s="40">
        <f>'Box Shares'!H50</f>
        <v>0.19659811382736625</v>
      </c>
      <c r="J106" s="40">
        <f>'DCF by Box'!D285</f>
        <v>4.7E-2</v>
      </c>
      <c r="K106" s="45">
        <f>'DCF by Box'!D299</f>
        <v>0.25134560695598002</v>
      </c>
    </row>
    <row r="107" spans="2:12" ht="13.95" customHeight="1" x14ac:dyDescent="0.3">
      <c r="B107" s="14" t="s">
        <v>847</v>
      </c>
    </row>
  </sheetData>
  <mergeCells count="10">
    <mergeCell ref="B61:J61"/>
    <mergeCell ref="B70:J70"/>
    <mergeCell ref="B77:J77"/>
    <mergeCell ref="B85:L85"/>
    <mergeCell ref="B97:L97"/>
    <mergeCell ref="B5:J5"/>
    <mergeCell ref="B16:J16"/>
    <mergeCell ref="B28:J28"/>
    <mergeCell ref="B39:J39"/>
    <mergeCell ref="B51:J51"/>
  </mergeCells>
  <conditionalFormatting sqref="D99:G103">
    <cfRule type="colorScale" priority="8">
      <colorScale>
        <cfvo type="min"/>
        <cfvo type="num" val="0"/>
        <cfvo type="max"/>
        <color rgb="FFF8696B"/>
        <color rgb="FFFFEB84"/>
        <color rgb="FF63BE7B"/>
      </colorScale>
    </cfRule>
  </conditionalFormatting>
  <conditionalFormatting sqref="D105:G106">
    <cfRule type="colorScale" priority="9">
      <colorScale>
        <cfvo type="min"/>
        <cfvo type="num" val="0"/>
        <cfvo type="max"/>
        <color rgb="FFF8696B"/>
        <color rgb="FFFFEB84"/>
        <color rgb="FF63BE7B"/>
      </colorScale>
    </cfRule>
  </conditionalFormatting>
  <conditionalFormatting sqref="D18:H22">
    <cfRule type="colorScale" priority="3">
      <colorScale>
        <cfvo type="min"/>
        <cfvo type="num" val="0"/>
        <cfvo type="max"/>
        <color rgb="FFF8696B"/>
        <color rgb="FFFFEB84"/>
        <color rgb="FF63BE7B"/>
      </colorScale>
    </cfRule>
  </conditionalFormatting>
  <conditionalFormatting sqref="H7:J11">
    <cfRule type="colorScale" priority="1">
      <colorScale>
        <cfvo type="min"/>
        <cfvo type="num" val="0"/>
        <cfvo type="max"/>
        <color rgb="FFF8696B"/>
        <color rgb="FFFFEB84"/>
        <color rgb="FF63BE7B"/>
      </colorScale>
    </cfRule>
  </conditionalFormatting>
  <conditionalFormatting sqref="H13:J14">
    <cfRule type="colorScale" priority="2">
      <colorScale>
        <cfvo type="min"/>
        <cfvo type="num" val="0"/>
        <cfvo type="max"/>
        <color rgb="FFF8696B"/>
        <color rgb="FFFFEB84"/>
        <color rgb="FF63BE7B"/>
      </colorScale>
    </cfRule>
  </conditionalFormatting>
  <conditionalFormatting sqref="H30:J34">
    <cfRule type="colorScale" priority="4">
      <colorScale>
        <cfvo type="min"/>
        <cfvo type="num" val="0"/>
        <cfvo type="max"/>
        <color rgb="FFF8696B"/>
        <color rgb="FFFFEB84"/>
        <color rgb="FF63BE7B"/>
      </colorScale>
    </cfRule>
  </conditionalFormatting>
  <conditionalFormatting sqref="H36:J37">
    <cfRule type="colorScale" priority="5">
      <colorScale>
        <cfvo type="min"/>
        <cfvo type="num" val="0"/>
        <cfvo type="max"/>
        <color rgb="FFF8696B"/>
        <color rgb="FFFFEB84"/>
        <color rgb="FF63BE7B"/>
      </colorScale>
    </cfRule>
  </conditionalFormatting>
  <conditionalFormatting sqref="I87:L91">
    <cfRule type="colorScale" priority="6">
      <colorScale>
        <cfvo type="min"/>
        <cfvo type="num" val="0"/>
        <cfvo type="max"/>
        <color rgb="FFF8696B"/>
        <color rgb="FFFFEB84"/>
        <color rgb="FF63BE7B"/>
      </colorScale>
    </cfRule>
  </conditionalFormatting>
  <conditionalFormatting sqref="I93:L94">
    <cfRule type="colorScale" priority="7">
      <colorScale>
        <cfvo type="min"/>
        <cfvo type="num" val="0"/>
        <cfvo type="max"/>
        <color rgb="FFF8696B"/>
        <color rgb="FFFFEB84"/>
        <color rgb="FF63BE7B"/>
      </colorScale>
    </cfRule>
  </conditionalFormatting>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9C113"/>
    <pageSetUpPr fitToPage="1"/>
  </sheetPr>
  <dimension ref="B1:G68"/>
  <sheetViews>
    <sheetView showGridLines="0" zoomScale="85" zoomScaleNormal="85" workbookViewId="0">
      <pane ySplit="4" topLeftCell="A5" activePane="bottomLeft" state="frozen"/>
      <selection pane="bottomLeft"/>
    </sheetView>
  </sheetViews>
  <sheetFormatPr defaultRowHeight="13.95" customHeight="1" x14ac:dyDescent="0.3"/>
  <cols>
    <col min="1" max="1" width="2.6640625" customWidth="1"/>
    <col min="2" max="2" width="62.6640625" customWidth="1"/>
    <col min="3" max="6" width="15.6640625" customWidth="1"/>
    <col min="7" max="7" width="110.6640625" customWidth="1"/>
  </cols>
  <sheetData>
    <row r="1" spans="2:7" ht="30" customHeight="1" x14ac:dyDescent="0.3">
      <c r="B1" s="15" t="s">
        <v>0</v>
      </c>
    </row>
    <row r="2" spans="2:7" ht="13.95" customHeight="1" x14ac:dyDescent="0.3">
      <c r="B2" s="14" t="s">
        <v>1</v>
      </c>
    </row>
    <row r="3" spans="2:7" ht="13.95" customHeight="1" x14ac:dyDescent="0.3">
      <c r="B3" s="14" t="s">
        <v>2</v>
      </c>
      <c r="C3" s="47" t="s">
        <v>3</v>
      </c>
      <c r="D3" s="48" t="s">
        <v>4</v>
      </c>
      <c r="E3" s="49" t="s">
        <v>5</v>
      </c>
    </row>
    <row r="5" spans="2:7" ht="13.95" customHeight="1" x14ac:dyDescent="0.3">
      <c r="B5" s="138" t="s">
        <v>6</v>
      </c>
      <c r="C5" s="138"/>
      <c r="D5" s="138"/>
      <c r="E5" s="138"/>
      <c r="F5" s="138"/>
      <c r="G5" s="138"/>
    </row>
    <row r="6" spans="2:7" ht="13.95" customHeight="1" x14ac:dyDescent="0.3">
      <c r="B6" s="17" t="s">
        <v>7</v>
      </c>
      <c r="C6" s="18" t="s">
        <v>8</v>
      </c>
      <c r="D6" s="18" t="s">
        <v>9</v>
      </c>
      <c r="E6" s="18" t="s">
        <v>10</v>
      </c>
      <c r="F6" s="18"/>
      <c r="G6" s="18" t="s">
        <v>11</v>
      </c>
    </row>
    <row r="7" spans="2:7" ht="13.95" customHeight="1" x14ac:dyDescent="0.3">
      <c r="B7" s="19" t="s">
        <v>12</v>
      </c>
      <c r="C7" s="50">
        <v>182419.73</v>
      </c>
      <c r="D7" s="50">
        <v>208431.92</v>
      </c>
      <c r="E7" s="51">
        <f>CHOOSE(Vintage,C7,D7)</f>
        <v>208431.92</v>
      </c>
      <c r="G7" s="14" t="s">
        <v>13</v>
      </c>
    </row>
    <row r="8" spans="2:7" ht="13.95" customHeight="1" x14ac:dyDescent="0.3">
      <c r="B8" s="19" t="s">
        <v>14</v>
      </c>
      <c r="C8" s="52">
        <v>7.4200000000000002E-2</v>
      </c>
      <c r="D8" s="52">
        <v>6.7599999999999993E-2</v>
      </c>
      <c r="E8" s="53">
        <f>CHOOSE(Vintage,C8,D8)</f>
        <v>6.7599999999999993E-2</v>
      </c>
      <c r="G8" s="14" t="s">
        <v>15</v>
      </c>
    </row>
    <row r="9" spans="2:7" ht="13.95" customHeight="1" x14ac:dyDescent="0.3">
      <c r="B9" s="19" t="s">
        <v>16</v>
      </c>
      <c r="C9" s="54">
        <v>2</v>
      </c>
      <c r="G9" s="14" t="s">
        <v>17</v>
      </c>
    </row>
    <row r="11" spans="2:7" ht="13.95" customHeight="1" x14ac:dyDescent="0.3">
      <c r="B11" s="138" t="s">
        <v>18</v>
      </c>
      <c r="C11" s="138"/>
      <c r="D11" s="138"/>
      <c r="E11" s="138"/>
      <c r="F11" s="138"/>
      <c r="G11" s="138"/>
    </row>
    <row r="12" spans="2:7" ht="13.95" customHeight="1" x14ac:dyDescent="0.3">
      <c r="B12" s="17" t="s">
        <v>19</v>
      </c>
      <c r="C12" s="18" t="s">
        <v>20</v>
      </c>
      <c r="D12" s="18"/>
      <c r="E12" s="18"/>
      <c r="F12" s="18"/>
      <c r="G12" s="18" t="s">
        <v>11</v>
      </c>
    </row>
    <row r="13" spans="2:7" ht="13.95" customHeight="1" x14ac:dyDescent="0.3">
      <c r="B13" s="19" t="s">
        <v>21</v>
      </c>
      <c r="C13" s="55">
        <v>4.7E-2</v>
      </c>
      <c r="G13" s="14" t="s">
        <v>22</v>
      </c>
    </row>
    <row r="14" spans="2:7" ht="13.95" customHeight="1" x14ac:dyDescent="0.3">
      <c r="B14" s="19" t="s">
        <v>23</v>
      </c>
      <c r="C14" s="55">
        <v>0.04</v>
      </c>
      <c r="G14" s="14" t="s">
        <v>24</v>
      </c>
    </row>
    <row r="15" spans="2:7" ht="13.95" customHeight="1" x14ac:dyDescent="0.3">
      <c r="B15" s="19" t="s">
        <v>25</v>
      </c>
      <c r="C15" s="56">
        <v>0.04</v>
      </c>
      <c r="G15" s="14" t="s">
        <v>26</v>
      </c>
    </row>
    <row r="16" spans="2:7" ht="13.95" customHeight="1" x14ac:dyDescent="0.3">
      <c r="B16" s="19" t="s">
        <v>27</v>
      </c>
      <c r="C16" s="57">
        <v>1.6</v>
      </c>
      <c r="G16" s="14" t="s">
        <v>28</v>
      </c>
    </row>
    <row r="18" spans="2:7" ht="13.95" customHeight="1" x14ac:dyDescent="0.3">
      <c r="B18" s="138" t="s">
        <v>29</v>
      </c>
      <c r="C18" s="138"/>
      <c r="D18" s="138"/>
      <c r="E18" s="138"/>
      <c r="F18" s="138"/>
      <c r="G18" s="138"/>
    </row>
    <row r="19" spans="2:7" ht="13.95" customHeight="1" x14ac:dyDescent="0.3">
      <c r="B19" s="17" t="s">
        <v>30</v>
      </c>
      <c r="C19" s="18" t="s">
        <v>31</v>
      </c>
      <c r="D19" s="18" t="s">
        <v>32</v>
      </c>
      <c r="E19" s="18" t="s">
        <v>33</v>
      </c>
      <c r="F19" s="18"/>
      <c r="G19" s="18" t="s">
        <v>11</v>
      </c>
    </row>
    <row r="20" spans="2:7" ht="13.95" customHeight="1" x14ac:dyDescent="0.3">
      <c r="B20" s="19" t="s">
        <v>14</v>
      </c>
      <c r="C20" s="55">
        <v>8.5000000000000006E-2</v>
      </c>
      <c r="D20" s="55">
        <f>RRUsed</f>
        <v>6.7599999999999993E-2</v>
      </c>
      <c r="E20" s="55">
        <v>5.5E-2</v>
      </c>
      <c r="G20" s="14" t="s">
        <v>34</v>
      </c>
    </row>
    <row r="21" spans="2:7" ht="13.95" customHeight="1" x14ac:dyDescent="0.3">
      <c r="B21" s="19" t="s">
        <v>35</v>
      </c>
      <c r="C21" s="55">
        <v>0.06</v>
      </c>
      <c r="D21" s="55">
        <v>0.06</v>
      </c>
      <c r="E21" s="55">
        <v>0.06</v>
      </c>
      <c r="G21" s="14" t="s">
        <v>36</v>
      </c>
    </row>
    <row r="22" spans="2:7" ht="13.95" customHeight="1" x14ac:dyDescent="0.3">
      <c r="B22" s="5" t="s">
        <v>37</v>
      </c>
      <c r="C22" s="53">
        <f>IF(FixInfl=1,(1+C20+C21)*(1+InflLT)-1,C20+C21)</f>
        <v>0.14500000000000002</v>
      </c>
      <c r="D22" s="53">
        <f>IF(FixInfl=1,(1+D20+D21)*(1+InflLT)-1,D20+D21)</f>
        <v>0.12759999999999999</v>
      </c>
      <c r="E22" s="53">
        <f>IF(FixInfl=1,(1+E20+E21)*(1+InflLT)-1,E20+E21)</f>
        <v>0.11499999999999999</v>
      </c>
      <c r="G22" s="14" t="s">
        <v>38</v>
      </c>
    </row>
    <row r="24" spans="2:7" ht="13.95" customHeight="1" x14ac:dyDescent="0.3">
      <c r="B24" s="138" t="s">
        <v>39</v>
      </c>
      <c r="C24" s="138"/>
      <c r="D24" s="138"/>
      <c r="E24" s="138"/>
      <c r="F24" s="138"/>
      <c r="G24" s="138"/>
    </row>
    <row r="25" spans="2:7" ht="13.95" customHeight="1" x14ac:dyDescent="0.3">
      <c r="B25" s="17" t="s">
        <v>40</v>
      </c>
      <c r="C25" s="18" t="s">
        <v>20</v>
      </c>
      <c r="D25" s="18"/>
      <c r="E25" s="18"/>
      <c r="F25" s="18"/>
      <c r="G25" s="18" t="s">
        <v>41</v>
      </c>
    </row>
    <row r="26" spans="2:7" ht="13.95" customHeight="1" x14ac:dyDescent="0.3">
      <c r="B26" s="19" t="s">
        <v>42</v>
      </c>
      <c r="C26" s="54">
        <v>0</v>
      </c>
      <c r="G26" s="14" t="s">
        <v>43</v>
      </c>
    </row>
    <row r="27" spans="2:7" ht="13.95" customHeight="1" x14ac:dyDescent="0.3">
      <c r="B27" s="19" t="s">
        <v>44</v>
      </c>
      <c r="C27" s="54">
        <v>0</v>
      </c>
      <c r="G27" s="14" t="s">
        <v>45</v>
      </c>
    </row>
    <row r="28" spans="2:7" ht="13.95" customHeight="1" x14ac:dyDescent="0.3">
      <c r="B28" s="19" t="s">
        <v>46</v>
      </c>
      <c r="C28" s="54">
        <v>0</v>
      </c>
      <c r="G28" s="14" t="s">
        <v>47</v>
      </c>
    </row>
    <row r="29" spans="2:7" ht="13.95" customHeight="1" x14ac:dyDescent="0.3">
      <c r="B29" s="19" t="s">
        <v>48</v>
      </c>
      <c r="C29" s="54">
        <v>0</v>
      </c>
      <c r="G29" s="14" t="s">
        <v>49</v>
      </c>
    </row>
    <row r="31" spans="2:7" ht="13.95" customHeight="1" x14ac:dyDescent="0.3">
      <c r="B31" s="138" t="s">
        <v>50</v>
      </c>
      <c r="C31" s="138"/>
      <c r="D31" s="138"/>
      <c r="E31" s="138"/>
      <c r="F31" s="138"/>
      <c r="G31" s="138"/>
    </row>
    <row r="32" spans="2:7" ht="13.95" customHeight="1" x14ac:dyDescent="0.3">
      <c r="B32" s="14" t="s">
        <v>51</v>
      </c>
    </row>
    <row r="33" spans="2:7" ht="13.95" customHeight="1" x14ac:dyDescent="0.3">
      <c r="B33" s="14" t="s">
        <v>52</v>
      </c>
    </row>
    <row r="34" spans="2:7" ht="13.95" customHeight="1" x14ac:dyDescent="0.3">
      <c r="B34" s="14" t="s">
        <v>53</v>
      </c>
    </row>
    <row r="35" spans="2:7" ht="13.95" customHeight="1" x14ac:dyDescent="0.3">
      <c r="B35" s="14" t="s">
        <v>54</v>
      </c>
    </row>
    <row r="37" spans="2:7" ht="13.95" customHeight="1" x14ac:dyDescent="0.3">
      <c r="B37" s="138" t="s">
        <v>55</v>
      </c>
      <c r="C37" s="138"/>
      <c r="D37" s="138"/>
      <c r="E37" s="138"/>
      <c r="F37" s="138"/>
      <c r="G37" s="138"/>
    </row>
    <row r="38" spans="2:7" ht="13.95" customHeight="1" x14ac:dyDescent="0.3">
      <c r="B38" s="17" t="s">
        <v>56</v>
      </c>
      <c r="C38" s="18" t="s">
        <v>20</v>
      </c>
      <c r="D38" s="18"/>
      <c r="E38" s="18"/>
      <c r="F38" s="18"/>
      <c r="G38" s="18" t="s">
        <v>57</v>
      </c>
    </row>
    <row r="39" spans="2:7" ht="13.95" customHeight="1" x14ac:dyDescent="0.3">
      <c r="B39" s="19" t="s">
        <v>58</v>
      </c>
      <c r="C39" s="54">
        <v>0</v>
      </c>
      <c r="G39" s="14" t="s">
        <v>59</v>
      </c>
    </row>
    <row r="40" spans="2:7" ht="13.95" customHeight="1" x14ac:dyDescent="0.3">
      <c r="B40" s="19" t="s">
        <v>60</v>
      </c>
      <c r="C40" s="56"/>
      <c r="G40" s="14" t="s">
        <v>61</v>
      </c>
    </row>
    <row r="41" spans="2:7" ht="13.95" customHeight="1" x14ac:dyDescent="0.3">
      <c r="B41" s="14" t="s">
        <v>62</v>
      </c>
    </row>
    <row r="42" spans="2:7" ht="13.95" customHeight="1" x14ac:dyDescent="0.3">
      <c r="B42" s="19" t="s">
        <v>63</v>
      </c>
      <c r="C42" s="54">
        <v>2</v>
      </c>
      <c r="G42" s="14" t="s">
        <v>64</v>
      </c>
    </row>
    <row r="43" spans="2:7" ht="13.95" customHeight="1" x14ac:dyDescent="0.3">
      <c r="B43" s="19" t="s">
        <v>65</v>
      </c>
      <c r="C43" s="56">
        <v>0</v>
      </c>
      <c r="G43" s="14" t="s">
        <v>66</v>
      </c>
    </row>
    <row r="44" spans="2:7" ht="13.95" customHeight="1" x14ac:dyDescent="0.3">
      <c r="B44" s="19" t="s">
        <v>67</v>
      </c>
      <c r="C44" s="54">
        <v>5</v>
      </c>
      <c r="G44" s="14" t="s">
        <v>68</v>
      </c>
    </row>
    <row r="45" spans="2:7" ht="13.95" customHeight="1" x14ac:dyDescent="0.3">
      <c r="B45" s="19" t="s">
        <v>69</v>
      </c>
      <c r="C45" s="54">
        <v>1</v>
      </c>
      <c r="G45" s="14" t="s">
        <v>70</v>
      </c>
    </row>
    <row r="46" spans="2:7" ht="13.95" customHeight="1" x14ac:dyDescent="0.3">
      <c r="B46" s="19" t="s">
        <v>71</v>
      </c>
      <c r="C46" s="54">
        <v>1</v>
      </c>
      <c r="G46" s="14" t="s">
        <v>72</v>
      </c>
    </row>
    <row r="47" spans="2:7" ht="13.95" customHeight="1" x14ac:dyDescent="0.3">
      <c r="B47" s="19" t="s">
        <v>73</v>
      </c>
      <c r="C47" s="54">
        <v>0</v>
      </c>
      <c r="G47" s="14" t="s">
        <v>74</v>
      </c>
    </row>
    <row r="48" spans="2:7" ht="13.95" customHeight="1" x14ac:dyDescent="0.3">
      <c r="B48" s="19" t="s">
        <v>75</v>
      </c>
      <c r="C48" s="54">
        <v>10</v>
      </c>
      <c r="G48" s="14" t="s">
        <v>76</v>
      </c>
    </row>
    <row r="49" spans="2:7" ht="13.95" customHeight="1" x14ac:dyDescent="0.3">
      <c r="B49" s="19" t="s">
        <v>77</v>
      </c>
      <c r="C49" s="56">
        <v>0.15</v>
      </c>
      <c r="G49" s="14" t="s">
        <v>78</v>
      </c>
    </row>
    <row r="51" spans="2:7" ht="13.95" customHeight="1" x14ac:dyDescent="0.3">
      <c r="B51" s="138" t="s">
        <v>79</v>
      </c>
      <c r="C51" s="138"/>
      <c r="D51" s="138"/>
      <c r="E51" s="138"/>
      <c r="F51" s="138"/>
      <c r="G51" s="138"/>
    </row>
    <row r="52" spans="2:7" ht="13.95" customHeight="1" x14ac:dyDescent="0.3">
      <c r="B52" s="17" t="s">
        <v>30</v>
      </c>
      <c r="C52" s="18" t="s">
        <v>31</v>
      </c>
      <c r="D52" s="18" t="s">
        <v>32</v>
      </c>
      <c r="E52" s="18" t="s">
        <v>33</v>
      </c>
      <c r="F52" s="18"/>
      <c r="G52" s="18" t="s">
        <v>11</v>
      </c>
    </row>
    <row r="53" spans="2:7" ht="13.95" customHeight="1" x14ac:dyDescent="0.3">
      <c r="B53" s="19" t="s">
        <v>80</v>
      </c>
      <c r="C53" s="57">
        <v>7.5</v>
      </c>
      <c r="D53" s="57">
        <v>10</v>
      </c>
      <c r="E53" s="57">
        <v>12</v>
      </c>
      <c r="G53" s="14" t="s">
        <v>81</v>
      </c>
    </row>
    <row r="54" spans="2:7" ht="13.95" customHeight="1" x14ac:dyDescent="0.3">
      <c r="B54" s="19" t="s">
        <v>82</v>
      </c>
      <c r="C54" s="57">
        <v>4.5</v>
      </c>
      <c r="D54" s="57">
        <v>5.5</v>
      </c>
      <c r="E54" s="57">
        <v>6</v>
      </c>
      <c r="G54" s="14" t="s">
        <v>83</v>
      </c>
    </row>
    <row r="55" spans="2:7" ht="13.95" customHeight="1" x14ac:dyDescent="0.3">
      <c r="B55" s="19" t="s">
        <v>84</v>
      </c>
      <c r="C55" s="58">
        <v>-0.2</v>
      </c>
      <c r="D55" s="58">
        <v>0</v>
      </c>
      <c r="E55" s="58">
        <v>0.2</v>
      </c>
      <c r="G55" s="14" t="s">
        <v>85</v>
      </c>
    </row>
    <row r="56" spans="2:7" ht="13.95" customHeight="1" x14ac:dyDescent="0.3">
      <c r="B56" s="19" t="s">
        <v>86</v>
      </c>
      <c r="C56" s="54">
        <v>1</v>
      </c>
      <c r="G56" s="14" t="s">
        <v>87</v>
      </c>
    </row>
    <row r="57" spans="2:7" ht="13.95" customHeight="1" x14ac:dyDescent="0.3">
      <c r="B57" s="19" t="s">
        <v>88</v>
      </c>
      <c r="C57" s="59">
        <v>1</v>
      </c>
      <c r="D57" s="59">
        <v>1</v>
      </c>
      <c r="E57" s="59">
        <v>1</v>
      </c>
      <c r="F57" s="59">
        <v>1</v>
      </c>
      <c r="G57" s="14" t="s">
        <v>89</v>
      </c>
    </row>
    <row r="59" spans="2:7" ht="13.95" customHeight="1" x14ac:dyDescent="0.3">
      <c r="B59" s="138" t="s">
        <v>90</v>
      </c>
      <c r="C59" s="138"/>
      <c r="D59" s="138"/>
      <c r="E59" s="138"/>
      <c r="F59" s="138"/>
      <c r="G59" s="138"/>
    </row>
    <row r="60" spans="2:7" ht="13.95" customHeight="1" x14ac:dyDescent="0.3">
      <c r="B60" s="17" t="s">
        <v>30</v>
      </c>
      <c r="C60" s="18" t="s">
        <v>31</v>
      </c>
      <c r="D60" s="18" t="s">
        <v>32</v>
      </c>
      <c r="E60" s="18" t="s">
        <v>33</v>
      </c>
      <c r="F60" s="18"/>
      <c r="G60" s="18" t="s">
        <v>57</v>
      </c>
    </row>
    <row r="61" spans="2:7" ht="13.95" customHeight="1" x14ac:dyDescent="0.3">
      <c r="B61" s="19" t="s">
        <v>91</v>
      </c>
      <c r="C61" s="58">
        <v>-0.2</v>
      </c>
      <c r="D61" s="58">
        <v>0</v>
      </c>
      <c r="E61" s="58">
        <v>0.2</v>
      </c>
      <c r="G61" s="14" t="s">
        <v>92</v>
      </c>
    </row>
    <row r="62" spans="2:7" ht="13.95" customHeight="1" x14ac:dyDescent="0.3">
      <c r="B62" s="19" t="s">
        <v>93</v>
      </c>
      <c r="C62" s="58">
        <v>-0.2</v>
      </c>
      <c r="D62" s="58">
        <v>0</v>
      </c>
      <c r="E62" s="58">
        <v>0.2</v>
      </c>
      <c r="G62" s="14" t="s">
        <v>94</v>
      </c>
    </row>
    <row r="63" spans="2:7" ht="13.95" customHeight="1" x14ac:dyDescent="0.3">
      <c r="B63" s="19" t="s">
        <v>95</v>
      </c>
      <c r="C63" s="56">
        <v>0.25</v>
      </c>
      <c r="D63" s="56">
        <v>0.5</v>
      </c>
      <c r="E63" s="56">
        <v>0.25</v>
      </c>
      <c r="G63" s="14" t="s">
        <v>96</v>
      </c>
    </row>
    <row r="64" spans="2:7" ht="13.95" customHeight="1" x14ac:dyDescent="0.3">
      <c r="B64" s="19" t="s">
        <v>97</v>
      </c>
      <c r="C64" s="54">
        <v>0</v>
      </c>
      <c r="G64" s="14" t="s">
        <v>98</v>
      </c>
    </row>
    <row r="65" spans="2:7" ht="13.95" customHeight="1" x14ac:dyDescent="0.3">
      <c r="B65" s="19" t="s">
        <v>99</v>
      </c>
      <c r="C65" s="54">
        <v>1</v>
      </c>
      <c r="G65" s="14" t="s">
        <v>100</v>
      </c>
    </row>
    <row r="66" spans="2:7" ht="13.95" customHeight="1" x14ac:dyDescent="0.3">
      <c r="B66" s="19" t="s">
        <v>101</v>
      </c>
      <c r="C66" s="54">
        <v>1</v>
      </c>
      <c r="G66" s="14" t="s">
        <v>102</v>
      </c>
    </row>
    <row r="67" spans="2:7" ht="13.95" customHeight="1" x14ac:dyDescent="0.3">
      <c r="B67" s="19" t="s">
        <v>103</v>
      </c>
      <c r="C67" s="54">
        <v>0</v>
      </c>
      <c r="G67" s="14" t="s">
        <v>104</v>
      </c>
    </row>
    <row r="68" spans="2:7" ht="13.95" customHeight="1" x14ac:dyDescent="0.3">
      <c r="B68" s="19" t="s">
        <v>105</v>
      </c>
      <c r="C68" s="60">
        <v>39386</v>
      </c>
      <c r="G68" s="14" t="s">
        <v>106</v>
      </c>
    </row>
  </sheetData>
  <mergeCells count="8">
    <mergeCell ref="B37:G37"/>
    <mergeCell ref="B51:G51"/>
    <mergeCell ref="B59:G59"/>
    <mergeCell ref="B5:G5"/>
    <mergeCell ref="B11:G11"/>
    <mergeCell ref="B18:G18"/>
    <mergeCell ref="B24:G24"/>
    <mergeCell ref="B31:G31"/>
  </mergeCells>
  <dataValidations count="4">
    <dataValidation type="list" allowBlank="1" showInputMessage="1" showErrorMessage="1" sqref="C9 C45" xr:uid="{00000000-0002-0000-0200-000000000000}">
      <formula1>"1,2"</formula1>
    </dataValidation>
    <dataValidation type="list" allowBlank="1" showInputMessage="1" showErrorMessage="1" sqref="C64:C66 C56 C46:C47 C39 C26:C29" xr:uid="{00000000-0002-0000-0200-000001000000}">
      <formula1>"0,1"</formula1>
    </dataValidation>
    <dataValidation type="list" allowBlank="1" showInputMessage="1" showErrorMessage="1" sqref="C42 C67" xr:uid="{00000000-0002-0000-0200-000006000000}">
      <formula1>"0,1,2"</formula1>
    </dataValidation>
    <dataValidation type="list" allowBlank="1" showInputMessage="1" showErrorMessage="1" sqref="C44" xr:uid="{00000000-0002-0000-0200-000007000000}">
      <formula1>"2,5,10"</formula1>
    </dataValidation>
  </dataValidation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J302"/>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3.95" customHeight="1" x14ac:dyDescent="0.3"/>
  <cols>
    <col min="1" max="1" width="2.6640625" customWidth="1"/>
    <col min="2" max="2" width="60.6640625" customWidth="1"/>
    <col min="3" max="8" width="11.6640625" customWidth="1"/>
    <col min="9" max="9" width="2.6640625" customWidth="1"/>
    <col min="10" max="10" width="100.6640625" customWidth="1"/>
  </cols>
  <sheetData>
    <row r="1" spans="2:10" ht="30" customHeight="1" x14ac:dyDescent="0.3">
      <c r="B1" s="15" t="s">
        <v>503</v>
      </c>
    </row>
    <row r="2" spans="2:10" ht="13.95" customHeight="1" x14ac:dyDescent="0.3">
      <c r="B2" s="14" t="s">
        <v>504</v>
      </c>
    </row>
    <row r="3" spans="2:10" ht="13.95" customHeight="1" x14ac:dyDescent="0.3">
      <c r="B3" s="14" t="s">
        <v>2</v>
      </c>
      <c r="C3" s="47" t="s">
        <v>3</v>
      </c>
      <c r="D3" s="48" t="s">
        <v>4</v>
      </c>
      <c r="E3" s="49" t="s">
        <v>5</v>
      </c>
    </row>
    <row r="5" spans="2:10" ht="13.95" customHeight="1" x14ac:dyDescent="0.3">
      <c r="B5" s="138" t="s">
        <v>505</v>
      </c>
      <c r="C5" s="138"/>
      <c r="D5" s="138"/>
      <c r="E5" s="138"/>
      <c r="F5" s="138"/>
      <c r="G5" s="138"/>
      <c r="H5" s="138"/>
      <c r="I5" s="138"/>
      <c r="J5" s="138"/>
    </row>
    <row r="6" spans="2:10" ht="13.95" customHeight="1" x14ac:dyDescent="0.3">
      <c r="B6" s="17"/>
      <c r="C6" s="18" t="s">
        <v>31</v>
      </c>
      <c r="D6" s="18" t="s">
        <v>32</v>
      </c>
      <c r="E6" s="18" t="s">
        <v>33</v>
      </c>
    </row>
    <row r="7" spans="2:10" ht="13.95" customHeight="1" x14ac:dyDescent="0.3">
      <c r="B7" s="8" t="s">
        <v>506</v>
      </c>
      <c r="C7" s="20">
        <f>C59+C106+C153+C200</f>
        <v>142019.57645542038</v>
      </c>
      <c r="D7" s="20">
        <f>D59+D106+D153+D200</f>
        <v>223818.5163752322</v>
      </c>
      <c r="E7" s="20">
        <f>E59+E106+E153+E200</f>
        <v>327135.91877874843</v>
      </c>
      <c r="J7" s="14" t="s">
        <v>515</v>
      </c>
    </row>
    <row r="8" spans="2:10" ht="13.95" customHeight="1" x14ac:dyDescent="0.3">
      <c r="B8" s="8" t="s">
        <v>507</v>
      </c>
      <c r="C8" s="20">
        <f>DCF!C57</f>
        <v>191722.24091712022</v>
      </c>
      <c r="D8" s="20">
        <f>DCF!D57</f>
        <v>235695.43773555552</v>
      </c>
      <c r="E8" s="20">
        <f>DCF!E57</f>
        <v>281862.98380960268</v>
      </c>
    </row>
    <row r="9" spans="2:10" ht="13.95" customHeight="1" x14ac:dyDescent="0.3">
      <c r="B9" s="8" t="s">
        <v>508</v>
      </c>
      <c r="C9" s="29">
        <f>C8/C7</f>
        <v>1.3499705160527737</v>
      </c>
      <c r="D9" s="29">
        <f>D8/D7</f>
        <v>1.0530649633134537</v>
      </c>
      <c r="E9" s="29">
        <f>E8/E7</f>
        <v>0.86160818066644296</v>
      </c>
      <c r="J9" s="14" t="s">
        <v>516</v>
      </c>
    </row>
    <row r="10" spans="2:10" ht="13.95" customHeight="1" x14ac:dyDescent="0.3">
      <c r="B10" s="8" t="s">
        <v>509</v>
      </c>
      <c r="C10" s="29">
        <f>IF(ScaleBox=1,IF(ScaleScen=1,$D$9,C9),1)</f>
        <v>1</v>
      </c>
      <c r="D10" s="29">
        <f>IF(ScaleBox=1,IF(ScaleScen=1,$D$9,D9),1)</f>
        <v>1</v>
      </c>
      <c r="E10" s="29">
        <f>IF(ScaleBox=1,IF(ScaleScen=1,$D$9,E9),1)</f>
        <v>1</v>
      </c>
      <c r="J10" s="14" t="s">
        <v>517</v>
      </c>
    </row>
    <row r="11" spans="2:10" ht="13.95" customHeight="1" x14ac:dyDescent="0.3">
      <c r="B11" s="5" t="s">
        <v>510</v>
      </c>
      <c r="C11" s="61">
        <f>C62+C109+C156+C203</f>
        <v>142019.57645542038</v>
      </c>
      <c r="D11" s="61">
        <f>D62+D109+D156+D203</f>
        <v>223818.5163752322</v>
      </c>
      <c r="E11" s="61">
        <f>E62+E109+E156+E203</f>
        <v>327135.91877874843</v>
      </c>
    </row>
    <row r="12" spans="2:10" ht="13.95" customHeight="1" x14ac:dyDescent="0.3">
      <c r="B12" s="8" t="s">
        <v>512</v>
      </c>
      <c r="C12" s="62">
        <f t="shared" ref="C12:E13" si="0">C66+C113+C160+C207</f>
        <v>191722.24091712025</v>
      </c>
      <c r="D12" s="62">
        <f t="shared" si="0"/>
        <v>235695.43773555561</v>
      </c>
      <c r="E12" s="62">
        <f t="shared" si="0"/>
        <v>281862.98380960274</v>
      </c>
      <c r="J12" s="14" t="s">
        <v>518</v>
      </c>
    </row>
    <row r="13" spans="2:10" ht="13.95" customHeight="1" x14ac:dyDescent="0.3">
      <c r="B13" s="8" t="s">
        <v>513</v>
      </c>
      <c r="C13" s="62">
        <f t="shared" si="0"/>
        <v>185570.92679788329</v>
      </c>
      <c r="D13" s="62">
        <f t="shared" si="0"/>
        <v>227874.0780723494</v>
      </c>
      <c r="E13" s="62">
        <f t="shared" si="0"/>
        <v>272279.64816694387</v>
      </c>
      <c r="J13" s="14" t="s">
        <v>519</v>
      </c>
    </row>
    <row r="14" spans="2:10" ht="13.95" customHeight="1" x14ac:dyDescent="0.3">
      <c r="B14" s="8" t="s">
        <v>514</v>
      </c>
      <c r="C14" s="63">
        <f>C8/C13</f>
        <v>1.0331480487023526</v>
      </c>
      <c r="D14" s="63">
        <f>D8/D13</f>
        <v>1.0343231653611906</v>
      </c>
      <c r="E14" s="63">
        <f>E8/E13</f>
        <v>1.0351966652931142</v>
      </c>
    </row>
    <row r="15" spans="2:10" ht="13.95" customHeight="1" x14ac:dyDescent="0.3">
      <c r="B15" s="8" t="s">
        <v>511</v>
      </c>
      <c r="C15" s="21">
        <f>C11/C8-1</f>
        <v>-0.25924308115710915</v>
      </c>
      <c r="D15" s="21">
        <f>D11/D8-1</f>
        <v>-5.0390968422769911E-2</v>
      </c>
      <c r="E15" s="21">
        <f>E11/E8-1</f>
        <v>0.160620363686093</v>
      </c>
    </row>
    <row r="16" spans="2:10" ht="13.95" customHeight="1" x14ac:dyDescent="0.3">
      <c r="B16" s="139" t="s">
        <v>520</v>
      </c>
      <c r="C16" s="139"/>
      <c r="D16" s="139"/>
      <c r="E16" s="139"/>
      <c r="F16" s="139"/>
      <c r="G16" s="139"/>
      <c r="H16" s="139"/>
      <c r="I16" s="139"/>
      <c r="J16" s="139"/>
    </row>
    <row r="17" spans="2:10" ht="13.95" customHeight="1" x14ac:dyDescent="0.3">
      <c r="B17" s="17"/>
      <c r="C17" s="18" t="s">
        <v>121</v>
      </c>
      <c r="D17" s="18" t="s">
        <v>122</v>
      </c>
      <c r="E17" s="18" t="s">
        <v>123</v>
      </c>
      <c r="F17" s="18" t="s">
        <v>124</v>
      </c>
      <c r="G17" s="18" t="s">
        <v>125</v>
      </c>
      <c r="H17" s="18" t="s">
        <v>126</v>
      </c>
      <c r="J17" s="18" t="s">
        <v>191</v>
      </c>
    </row>
    <row r="18" spans="2:10" ht="13.95" customHeight="1" x14ac:dyDescent="0.3">
      <c r="B18" s="64" t="s">
        <v>521</v>
      </c>
      <c r="C18" s="65">
        <f>'Box Shares'!D19</f>
        <v>0.16009415321459253</v>
      </c>
      <c r="D18" s="65">
        <f>'Box Shares'!E19</f>
        <v>0.16425790109464722</v>
      </c>
      <c r="E18" s="65">
        <f>D18</f>
        <v>0.16425790109464722</v>
      </c>
      <c r="F18" s="65">
        <f>E18</f>
        <v>0.16425790109464722</v>
      </c>
      <c r="G18" s="65">
        <f>F18</f>
        <v>0.16425790109464722</v>
      </c>
      <c r="H18" s="65">
        <f>G18</f>
        <v>0.16425790109464722</v>
      </c>
      <c r="J18" s="14" t="s">
        <v>522</v>
      </c>
    </row>
    <row r="19" spans="2:10" ht="13.95" customHeight="1" x14ac:dyDescent="0.3">
      <c r="B19" s="8" t="s">
        <v>138</v>
      </c>
      <c r="C19" s="20">
        <f>DCF!N13*C18</f>
        <v>25442.322923016258</v>
      </c>
      <c r="D19" s="20">
        <f>DCF!O13*D18</f>
        <v>26900.352204369279</v>
      </c>
      <c r="E19" s="20">
        <f>DCF!P13*E18</f>
        <v>28535.893618394934</v>
      </c>
      <c r="F19" s="20">
        <f>DCF!Q13*F18</f>
        <v>30270.875950393343</v>
      </c>
      <c r="G19" s="20">
        <f>DCF!R13*G18</f>
        <v>32111.345208177263</v>
      </c>
      <c r="H19" s="20">
        <f>DCF!S13*H18</f>
        <v>34063.714996834438</v>
      </c>
      <c r="J19" s="14" t="s">
        <v>523</v>
      </c>
    </row>
    <row r="20" spans="2:10" ht="13.95" customHeight="1" x14ac:dyDescent="0.3">
      <c r="B20" s="64" t="s">
        <v>524</v>
      </c>
      <c r="C20" s="65">
        <f>'Box Shares'!G19</f>
        <v>0.20683299311958225</v>
      </c>
      <c r="D20" s="65">
        <f>'Box Shares'!H19</f>
        <v>0.22119544383416478</v>
      </c>
      <c r="E20" s="65">
        <f>'Box Shares'!I19</f>
        <v>0.22985575056873886</v>
      </c>
      <c r="F20" s="65">
        <f>E20</f>
        <v>0.22985575056873886</v>
      </c>
      <c r="G20" s="65">
        <f>F20</f>
        <v>0.22985575056873886</v>
      </c>
      <c r="H20" s="65">
        <f>G20</f>
        <v>0.22985575056873886</v>
      </c>
      <c r="J20" s="14" t="s">
        <v>525</v>
      </c>
    </row>
    <row r="21" spans="2:10" ht="13.95" customHeight="1" x14ac:dyDescent="0.3">
      <c r="B21" s="8" t="s">
        <v>149</v>
      </c>
      <c r="C21" s="20">
        <f>DCF!N19*C20</f>
        <v>6842.0354123957813</v>
      </c>
      <c r="D21" s="20">
        <f>DCF!O19*D20</f>
        <v>7715.9606672671698</v>
      </c>
      <c r="E21" s="20">
        <f>DCF!P19*E20</f>
        <v>8578.6786212839779</v>
      </c>
      <c r="F21" s="20">
        <f>DCF!Q19*F20</f>
        <v>9100.2622814580445</v>
      </c>
      <c r="G21" s="20">
        <f>DCF!R19*G20</f>
        <v>9653.558228170692</v>
      </c>
      <c r="H21" s="20">
        <f>DCF!S19*H20</f>
        <v>10240.494568443472</v>
      </c>
    </row>
    <row r="22" spans="2:10" ht="13.95" customHeight="1" x14ac:dyDescent="0.3">
      <c r="B22" s="64" t="s">
        <v>526</v>
      </c>
      <c r="C22" s="65">
        <f>'Box Shares'!J19</f>
        <v>0.25196484841875511</v>
      </c>
      <c r="D22" s="65">
        <f>'Box Shares'!K19</f>
        <v>0.25096616385824633</v>
      </c>
      <c r="E22" s="65">
        <f>'Box Shares'!L19</f>
        <v>0.25553449524980065</v>
      </c>
      <c r="F22" s="65">
        <f>E22</f>
        <v>0.25553449524980065</v>
      </c>
      <c r="G22" s="65">
        <f>F22</f>
        <v>0.25553449524980065</v>
      </c>
      <c r="H22" s="65">
        <f>G22</f>
        <v>0.25553449524980065</v>
      </c>
      <c r="J22" s="14" t="s">
        <v>527</v>
      </c>
    </row>
    <row r="23" spans="2:10" ht="13.95" customHeight="1" x14ac:dyDescent="0.3">
      <c r="B23" s="8" t="s">
        <v>152</v>
      </c>
      <c r="C23" s="20">
        <f>DCF!N21*C22</f>
        <v>12427.914183406678</v>
      </c>
      <c r="D23" s="20">
        <f>DCF!O21*D22</f>
        <v>12728.25093239868</v>
      </c>
      <c r="E23" s="20">
        <f>DCF!P21*E22</f>
        <v>13287.024594158931</v>
      </c>
      <c r="F23" s="20">
        <f>DCF!Q21*F22</f>
        <v>14127.636397160501</v>
      </c>
      <c r="G23" s="20">
        <f>DCF!R21*G22</f>
        <v>14986.596690107861</v>
      </c>
      <c r="H23" s="20">
        <f>DCF!S21*H22</f>
        <v>15897.781768866418</v>
      </c>
    </row>
    <row r="24" spans="2:10" ht="13.95" customHeight="1" x14ac:dyDescent="0.3">
      <c r="B24" s="64" t="s">
        <v>528</v>
      </c>
      <c r="C24" s="65">
        <f>'Box Shares'!P19</f>
        <v>0.24802702872942817</v>
      </c>
      <c r="D24" s="65">
        <f>'Box Shares'!Q19</f>
        <v>0.2493882389315687</v>
      </c>
      <c r="E24" s="65">
        <f>D24</f>
        <v>0.2493882389315687</v>
      </c>
      <c r="F24" s="65">
        <f>E24</f>
        <v>0.2493882389315687</v>
      </c>
      <c r="G24" s="65">
        <f>F24</f>
        <v>0.2493882389315687</v>
      </c>
      <c r="H24" s="65">
        <f>G24</f>
        <v>0.2493882389315687</v>
      </c>
      <c r="J24" s="14" t="s">
        <v>529</v>
      </c>
    </row>
    <row r="25" spans="2:10" ht="13.95" customHeight="1" x14ac:dyDescent="0.3">
      <c r="B25" s="8" t="s">
        <v>173</v>
      </c>
      <c r="C25" s="20">
        <f>DCF!N33*C24</f>
        <v>-4751.9498434271145</v>
      </c>
      <c r="D25" s="20">
        <f>DCF!O33*D24</f>
        <v>-4821.422823264018</v>
      </c>
      <c r="E25" s="20">
        <f>DCF!P33*E24</f>
        <v>-4765.7785891848425</v>
      </c>
      <c r="F25" s="20">
        <f>DCF!Q33*F24</f>
        <v>-5055.5379274072811</v>
      </c>
      <c r="G25" s="20">
        <f>DCF!R33*G24</f>
        <v>-4387.8392455038902</v>
      </c>
      <c r="H25" s="20">
        <f>DCF!S33*H24</f>
        <v>-4654.6198716305271</v>
      </c>
    </row>
    <row r="26" spans="2:10" ht="13.95" customHeight="1" x14ac:dyDescent="0.3">
      <c r="B26" s="64" t="s">
        <v>530</v>
      </c>
      <c r="C26" s="65">
        <f>'Box Shares'!M19</f>
        <v>0.27229091825027957</v>
      </c>
      <c r="D26" s="65">
        <f>'Box Shares'!N19</f>
        <v>0.2947893497929851</v>
      </c>
      <c r="E26" s="65">
        <f>'Box Shares'!O19</f>
        <v>0.30649740321050728</v>
      </c>
      <c r="F26" s="65">
        <f>E26</f>
        <v>0.30649740321050728</v>
      </c>
      <c r="G26" s="65">
        <f>F26</f>
        <v>0.30649740321050728</v>
      </c>
      <c r="H26" s="65">
        <f>G26</f>
        <v>0.30649740321050728</v>
      </c>
      <c r="J26" s="14" t="s">
        <v>531</v>
      </c>
    </row>
    <row r="27" spans="2:10" ht="13.95" customHeight="1" x14ac:dyDescent="0.3">
      <c r="B27" s="8" t="s">
        <v>532</v>
      </c>
      <c r="C27" s="20">
        <f>DCF!N29*C26</f>
        <v>5706.6730646893593</v>
      </c>
      <c r="D27" s="20">
        <f>DCF!O29*D26</f>
        <v>6386.9060526148151</v>
      </c>
      <c r="E27" s="20">
        <f>DCF!P29*E26</f>
        <v>7103.6903142099272</v>
      </c>
      <c r="F27" s="20">
        <f>DCF!Q29*F26</f>
        <v>7535.5946853138921</v>
      </c>
      <c r="G27" s="20">
        <f>DCF!R29*G26</f>
        <v>7993.7588421809742</v>
      </c>
      <c r="H27" s="20">
        <f>DCF!S29*H26</f>
        <v>8479.7793797855793</v>
      </c>
    </row>
    <row r="28" spans="2:10" ht="13.95" customHeight="1" x14ac:dyDescent="0.3">
      <c r="B28" s="8" t="s">
        <v>533</v>
      </c>
      <c r="C28" s="20">
        <f t="shared" ref="C28:H28" si="1">C23-C21</f>
        <v>5585.8787710108963</v>
      </c>
      <c r="D28" s="20">
        <f t="shared" si="1"/>
        <v>5012.2902651315098</v>
      </c>
      <c r="E28" s="20">
        <f t="shared" si="1"/>
        <v>4708.3459728749531</v>
      </c>
      <c r="F28" s="20">
        <f t="shared" si="1"/>
        <v>5027.374115702456</v>
      </c>
      <c r="G28" s="20">
        <f t="shared" si="1"/>
        <v>5333.0384619371689</v>
      </c>
      <c r="H28" s="20">
        <f t="shared" si="1"/>
        <v>5657.2872004229466</v>
      </c>
    </row>
    <row r="29" spans="2:10" ht="13.95" customHeight="1" x14ac:dyDescent="0.3">
      <c r="B29" s="8" t="s">
        <v>534</v>
      </c>
      <c r="C29" s="40">
        <f>DCF!N25</f>
        <v>-0.24</v>
      </c>
      <c r="D29" s="40">
        <f>DCF!O25</f>
        <v>-0.24</v>
      </c>
      <c r="E29" s="40">
        <f>DCF!P25</f>
        <v>-0.24</v>
      </c>
      <c r="F29" s="40">
        <f>DCF!Q25</f>
        <v>-0.24</v>
      </c>
      <c r="G29" s="40">
        <f>DCF!R25</f>
        <v>-0.24</v>
      </c>
      <c r="H29" s="40">
        <f>DCF!S25</f>
        <v>-0.24</v>
      </c>
      <c r="J29" s="14" t="s">
        <v>535</v>
      </c>
    </row>
    <row r="30" spans="2:10" ht="13.95" customHeight="1" x14ac:dyDescent="0.3">
      <c r="B30" s="8" t="s">
        <v>536</v>
      </c>
      <c r="C30" s="20">
        <f t="shared" ref="C30:H30" si="2">C21*(1+C29)</f>
        <v>5199.9469134207939</v>
      </c>
      <c r="D30" s="20">
        <f t="shared" si="2"/>
        <v>5864.1301071230491</v>
      </c>
      <c r="E30" s="20">
        <f t="shared" si="2"/>
        <v>6519.7957521758235</v>
      </c>
      <c r="F30" s="20">
        <f t="shared" si="2"/>
        <v>6916.1993339081137</v>
      </c>
      <c r="G30" s="20">
        <f t="shared" si="2"/>
        <v>7336.7042534097263</v>
      </c>
      <c r="H30" s="20">
        <f t="shared" si="2"/>
        <v>7782.7758720170386</v>
      </c>
    </row>
    <row r="31" spans="2:10" ht="13.95" customHeight="1" x14ac:dyDescent="0.3">
      <c r="B31" s="8" t="s">
        <v>537</v>
      </c>
      <c r="C31" s="20">
        <f t="shared" ref="C31:H31" si="3">-NWCpct*C19</f>
        <v>-1017.6929169206503</v>
      </c>
      <c r="D31" s="20">
        <f t="shared" si="3"/>
        <v>-1076.0140881747711</v>
      </c>
      <c r="E31" s="20">
        <f t="shared" si="3"/>
        <v>-1141.4357447357975</v>
      </c>
      <c r="F31" s="20">
        <f t="shared" si="3"/>
        <v>-1210.8350380157337</v>
      </c>
      <c r="G31" s="20">
        <f t="shared" si="3"/>
        <v>-1284.4538083270907</v>
      </c>
      <c r="H31" s="20">
        <f t="shared" si="3"/>
        <v>-1362.5485998733775</v>
      </c>
    </row>
    <row r="32" spans="2:10" ht="13.95" customHeight="1" x14ac:dyDescent="0.3">
      <c r="B32" s="8" t="s">
        <v>172</v>
      </c>
      <c r="D32" s="20">
        <f>D31-C31</f>
        <v>-58.321171254120827</v>
      </c>
      <c r="E32" s="20">
        <f>E31-D31</f>
        <v>-65.421656561026339</v>
      </c>
      <c r="F32" s="20">
        <f>F31-E31</f>
        <v>-69.399293279936273</v>
      </c>
      <c r="G32" s="20">
        <f>G31-F31</f>
        <v>-73.618770311356911</v>
      </c>
      <c r="H32" s="20">
        <f>H31-G31</f>
        <v>-78.094791546286842</v>
      </c>
    </row>
    <row r="33" spans="2:10" ht="13.95" customHeight="1" x14ac:dyDescent="0.3">
      <c r="B33" s="8" t="s">
        <v>177</v>
      </c>
      <c r="C33" s="20">
        <f t="shared" ref="C33:H33" si="4">C28+C30+C25+C31</f>
        <v>5016.1829240839243</v>
      </c>
      <c r="D33" s="20">
        <f t="shared" si="4"/>
        <v>4978.9834608157698</v>
      </c>
      <c r="E33" s="20">
        <f t="shared" si="4"/>
        <v>5320.927391130137</v>
      </c>
      <c r="F33" s="20">
        <f t="shared" si="4"/>
        <v>5677.2004841875541</v>
      </c>
      <c r="G33" s="20">
        <f t="shared" si="4"/>
        <v>6997.4496615159151</v>
      </c>
      <c r="H33" s="20">
        <f t="shared" si="4"/>
        <v>7422.8946009360816</v>
      </c>
    </row>
    <row r="34" spans="2:10" ht="13.95" customHeight="1" x14ac:dyDescent="0.3">
      <c r="B34" s="8" t="s">
        <v>179</v>
      </c>
      <c r="D34" s="20">
        <f>D28+D30+D25+D32</f>
        <v>5996.6763777364204</v>
      </c>
      <c r="E34" s="20">
        <f>E28+E30+E25+E32</f>
        <v>6396.9414793049073</v>
      </c>
      <c r="F34" s="20">
        <f>F28+F30+F25+F32</f>
        <v>6818.6362289233512</v>
      </c>
      <c r="G34" s="20">
        <f>G28+G30+G25+G32</f>
        <v>8208.2846995316486</v>
      </c>
      <c r="H34" s="20">
        <f>H28+H30+H25+H32</f>
        <v>8707.3484092631716</v>
      </c>
    </row>
    <row r="35" spans="2:10" ht="13.95" customHeight="1" x14ac:dyDescent="0.3">
      <c r="B35" s="8" t="s">
        <v>538</v>
      </c>
      <c r="C35" s="20">
        <f>C33</f>
        <v>5016.1829240839243</v>
      </c>
      <c r="D35" s="20">
        <f>IF(FixNWC=1,D34,D33)</f>
        <v>4978.9834608157698</v>
      </c>
      <c r="E35" s="20">
        <f>IF(FixNWC=1,E34,E33)</f>
        <v>5320.927391130137</v>
      </c>
      <c r="F35" s="20">
        <f>IF(FixNWC=1,F34,F33)</f>
        <v>5677.2004841875541</v>
      </c>
      <c r="G35" s="20">
        <f>IF(FixNWC=1,G34,G33)</f>
        <v>6997.4496615159151</v>
      </c>
      <c r="H35" s="20">
        <f>IF(FixNWC=1,H34,H33)</f>
        <v>7422.8946009360816</v>
      </c>
      <c r="J35" s="14" t="s">
        <v>539</v>
      </c>
    </row>
    <row r="36" spans="2:10" ht="13.95" customHeight="1" x14ac:dyDescent="0.3">
      <c r="B36" s="8" t="s">
        <v>540</v>
      </c>
      <c r="C36" s="20">
        <f>C25</f>
        <v>-4751.9498434271145</v>
      </c>
      <c r="D36" s="20">
        <f>D25</f>
        <v>-4821.422823264018</v>
      </c>
      <c r="E36" s="20">
        <f>-(E28+DCF!P11*E30/'Box Shares'!$E$44)</f>
        <v>-6703.2692341051552</v>
      </c>
      <c r="F36" s="20">
        <f>-(F28+DCF!Q11*F30/'Box Shares'!$E$44)</f>
        <v>-7143.5887112154542</v>
      </c>
      <c r="G36" s="20">
        <f>-(G28+DCF!R11*G30/'Box Shares'!$E$44)</f>
        <v>-7577.9189048573571</v>
      </c>
      <c r="H36" s="20">
        <f>-(H28+DCF!S11*H30/'Box Shares'!$E$44)</f>
        <v>-8038.656374272683</v>
      </c>
      <c r="J36" s="14" t="s">
        <v>541</v>
      </c>
    </row>
    <row r="37" spans="2:10" ht="13.95" customHeight="1" x14ac:dyDescent="0.3">
      <c r="B37" s="8" t="s">
        <v>542</v>
      </c>
      <c r="C37" s="20">
        <f>C33</f>
        <v>5016.1829240839243</v>
      </c>
      <c r="D37" s="20">
        <f>D28+D30+D36+D32</f>
        <v>5996.6763777364204</v>
      </c>
      <c r="E37" s="20">
        <f>E28+E30+E36+E32</f>
        <v>4459.4508343845955</v>
      </c>
      <c r="F37" s="20">
        <f>F28+F30+F36+F32</f>
        <v>4730.5854451151781</v>
      </c>
      <c r="G37" s="20">
        <f>G28+G30+G36+G32</f>
        <v>5018.2050401781817</v>
      </c>
      <c r="H37" s="20">
        <f>H28+H30+H36+H32</f>
        <v>5323.3119066210156</v>
      </c>
    </row>
    <row r="38" spans="2:10" ht="13.95" customHeight="1" x14ac:dyDescent="0.3">
      <c r="B38" s="5" t="s">
        <v>543</v>
      </c>
      <c r="C38" s="66">
        <f t="shared" ref="C38:H38" si="5">IF(BoxCF=1,C37,C35)</f>
        <v>5016.1829240839243</v>
      </c>
      <c r="D38" s="66">
        <f t="shared" si="5"/>
        <v>5996.6763777364204</v>
      </c>
      <c r="E38" s="66">
        <f t="shared" si="5"/>
        <v>4459.4508343845955</v>
      </c>
      <c r="F38" s="66">
        <f t="shared" si="5"/>
        <v>4730.5854451151781</v>
      </c>
      <c r="G38" s="66">
        <f t="shared" si="5"/>
        <v>5018.2050401781817</v>
      </c>
      <c r="H38" s="66">
        <f t="shared" si="5"/>
        <v>5323.3119066210156</v>
      </c>
      <c r="J38" s="14" t="s">
        <v>544</v>
      </c>
    </row>
    <row r="39" spans="2:10" ht="13.95" customHeight="1" x14ac:dyDescent="0.3">
      <c r="B39" s="8" t="s">
        <v>545</v>
      </c>
      <c r="C39" s="40">
        <f t="shared" ref="C39:H39" si="6">FinROE</f>
        <v>0.19870618055144693</v>
      </c>
      <c r="D39" s="40">
        <f t="shared" si="6"/>
        <v>0.19870618055144693</v>
      </c>
      <c r="E39" s="40">
        <f t="shared" si="6"/>
        <v>0.19870618055144693</v>
      </c>
      <c r="F39" s="40">
        <f t="shared" si="6"/>
        <v>0.19870618055144693</v>
      </c>
      <c r="G39" s="40">
        <f t="shared" si="6"/>
        <v>0.19870618055144693</v>
      </c>
      <c r="H39" s="40">
        <f t="shared" si="6"/>
        <v>0.19870618055144693</v>
      </c>
    </row>
    <row r="40" spans="2:10" ht="13.95" customHeight="1" x14ac:dyDescent="0.3">
      <c r="B40" s="5" t="s">
        <v>546</v>
      </c>
      <c r="C40" s="61">
        <f t="shared" ref="C40:H40" si="7">C27*(1-gLT/C39)</f>
        <v>4356.8729060025144</v>
      </c>
      <c r="D40" s="61">
        <f t="shared" si="7"/>
        <v>4876.2102924737474</v>
      </c>
      <c r="E40" s="61">
        <f t="shared" si="7"/>
        <v>5423.4534748660017</v>
      </c>
      <c r="F40" s="61">
        <f t="shared" si="7"/>
        <v>5753.1994461378554</v>
      </c>
      <c r="G40" s="61">
        <f t="shared" si="7"/>
        <v>6102.9939724630349</v>
      </c>
      <c r="H40" s="61">
        <f t="shared" si="7"/>
        <v>6474.0560059887894</v>
      </c>
      <c r="J40" s="14" t="s">
        <v>547</v>
      </c>
    </row>
    <row r="42" spans="2:10" ht="13.95" customHeight="1" x14ac:dyDescent="0.3">
      <c r="B42" s="17" t="s">
        <v>548</v>
      </c>
      <c r="C42" s="18" t="s">
        <v>31</v>
      </c>
      <c r="D42" s="18" t="s">
        <v>32</v>
      </c>
      <c r="E42" s="18" t="s">
        <v>33</v>
      </c>
    </row>
    <row r="43" spans="2:10" ht="13.95" customHeight="1" x14ac:dyDescent="0.3">
      <c r="B43" s="64" t="s">
        <v>549</v>
      </c>
      <c r="C43" s="53">
        <f>'Box Rates'!C21</f>
        <v>0.153943819483045</v>
      </c>
      <c r="D43" s="53">
        <f>'Box Rates'!D21</f>
        <v>0.136543819483045</v>
      </c>
      <c r="E43" s="53">
        <f>'Box Rates'!E21</f>
        <v>0.123943819483045</v>
      </c>
      <c r="J43" s="14" t="s">
        <v>550</v>
      </c>
    </row>
    <row r="44" spans="2:10" ht="13.95" customHeight="1" x14ac:dyDescent="0.3">
      <c r="B44" s="64" t="s">
        <v>551</v>
      </c>
      <c r="C44" s="21">
        <f>'Box Earnings'!C21</f>
        <v>-0.17393634229643662</v>
      </c>
      <c r="D44" s="21">
        <f>'Box Earnings'!D21</f>
        <v>0</v>
      </c>
      <c r="E44" s="21">
        <f>'Box Earnings'!E21</f>
        <v>0.17393634229643662</v>
      </c>
      <c r="J44" s="14" t="s">
        <v>552</v>
      </c>
    </row>
    <row r="45" spans="2:10" ht="13.95" customHeight="1" x14ac:dyDescent="0.3">
      <c r="B45" s="64" t="s">
        <v>553</v>
      </c>
      <c r="C45" s="40">
        <f>IF(BoxGrowth=1,'Box Shares'!$I$44,gLT)</f>
        <v>4.7E-2</v>
      </c>
      <c r="D45" s="40">
        <f>IF(BoxGrowth=1,'Box Shares'!$I$44,gLT)</f>
        <v>4.7E-2</v>
      </c>
      <c r="E45" s="40">
        <f>IF(BoxGrowth=1,'Box Shares'!$I$44,gLT)</f>
        <v>4.7E-2</v>
      </c>
      <c r="J45" s="14" t="s">
        <v>554</v>
      </c>
    </row>
    <row r="46" spans="2:10" ht="13.95" customHeight="1" x14ac:dyDescent="0.3">
      <c r="B46" s="64" t="s">
        <v>555</v>
      </c>
      <c r="C46" s="20">
        <f>$H$38*(1+C44)</f>
        <v>4397.3945046802864</v>
      </c>
      <c r="D46" s="20">
        <f>$H$38*(1+D44)</f>
        <v>5323.3119066210156</v>
      </c>
      <c r="E46" s="20">
        <f>$H$38*(1+E44)</f>
        <v>6249.2293085617448</v>
      </c>
    </row>
    <row r="47" spans="2:10" ht="13.95" customHeight="1" x14ac:dyDescent="0.3">
      <c r="B47" s="64" t="s">
        <v>556</v>
      </c>
      <c r="C47" s="20">
        <f>C46*((1+gLT)+FadeYears/2*(C45-gLT))/(C43-gLT)</f>
        <v>43051.314874069882</v>
      </c>
      <c r="D47" s="20">
        <f>D46*((1+gLT)+FadeYears/2*(D45-gLT))/(D43-gLT)</f>
        <v>62243.353013186344</v>
      </c>
      <c r="E47" s="20">
        <f>E46*((1+gLT)+FadeYears/2*(E45-gLT))/(E43-gLT)</f>
        <v>85035.330063201764</v>
      </c>
      <c r="J47" s="14" t="s">
        <v>557</v>
      </c>
    </row>
    <row r="48" spans="2:10" ht="13.95" customHeight="1" x14ac:dyDescent="0.3">
      <c r="B48" s="64" t="s">
        <v>558</v>
      </c>
      <c r="C48" s="67">
        <f>5-FixTV</f>
        <v>5</v>
      </c>
      <c r="D48" s="67">
        <f>5-FixTV</f>
        <v>5</v>
      </c>
      <c r="E48" s="67">
        <f>5-FixTV</f>
        <v>5</v>
      </c>
    </row>
    <row r="49" spans="2:10" ht="13.95" customHeight="1" x14ac:dyDescent="0.3">
      <c r="B49" s="64" t="s">
        <v>559</v>
      </c>
      <c r="C49" s="20">
        <f>(1+C44)*NPV(C43,$E$38:$H$38)</f>
        <v>11304.834386215234</v>
      </c>
      <c r="D49" s="20">
        <f>(1+D44)*NPV(D43,$E$38:$H$38)</f>
        <v>14194.380025719971</v>
      </c>
      <c r="E49" s="20">
        <f>(1+E44)*NPV(E43,$E$38:$H$38)</f>
        <v>17119.130646022844</v>
      </c>
    </row>
    <row r="50" spans="2:10" ht="13.95" customHeight="1" x14ac:dyDescent="0.3">
      <c r="B50" s="64" t="s">
        <v>204</v>
      </c>
      <c r="C50" s="20">
        <f>C47/(1+C43)^C48</f>
        <v>21040.840931670347</v>
      </c>
      <c r="D50" s="20">
        <f>D47/(1+D43)^D48</f>
        <v>32821.774449766534</v>
      </c>
      <c r="E50" s="20">
        <f>E47/(1+E43)^E48</f>
        <v>47410.701826853896</v>
      </c>
    </row>
    <row r="51" spans="2:10" ht="13.95" customHeight="1" x14ac:dyDescent="0.3">
      <c r="B51" s="64" t="s">
        <v>560</v>
      </c>
      <c r="C51" s="20">
        <f>C49+C50</f>
        <v>32345.67531788558</v>
      </c>
      <c r="D51" s="20">
        <f>D49+D50</f>
        <v>47016.154475486503</v>
      </c>
      <c r="E51" s="20">
        <f>E49+E50</f>
        <v>64529.83247287674</v>
      </c>
    </row>
    <row r="52" spans="2:10" ht="13.95" customHeight="1" x14ac:dyDescent="0.3">
      <c r="B52" s="64" t="s">
        <v>206</v>
      </c>
      <c r="C52" s="20">
        <f>IF(FixND=1,NDmult*DCF!$M$21*$C$22,0)</f>
        <v>0</v>
      </c>
      <c r="D52" s="20">
        <f>IF(FixND=1,NDmult*DCF!$M$21*$C$22,0)</f>
        <v>0</v>
      </c>
      <c r="E52" s="20">
        <f>IF(FixND=1,NDmult*DCF!$M$21*$C$22,0)</f>
        <v>0</v>
      </c>
      <c r="J52" s="14" t="s">
        <v>561</v>
      </c>
    </row>
    <row r="53" spans="2:10" ht="13.95" customHeight="1" x14ac:dyDescent="0.3">
      <c r="B53" s="64" t="s">
        <v>562</v>
      </c>
      <c r="C53" s="35">
        <f>C51-C52</f>
        <v>32345.67531788558</v>
      </c>
      <c r="D53" s="35">
        <f>D51-D52</f>
        <v>47016.154475486503</v>
      </c>
      <c r="E53" s="35">
        <f>E51-E52</f>
        <v>64529.83247287674</v>
      </c>
      <c r="J53" s="14" t="s">
        <v>563</v>
      </c>
    </row>
    <row r="54" spans="2:10" ht="13.95" customHeight="1" x14ac:dyDescent="0.3">
      <c r="B54" s="8" t="s">
        <v>564</v>
      </c>
      <c r="C54" s="20">
        <f>$H$40*(1+C44)</f>
        <v>5347.9823844848215</v>
      </c>
      <c r="D54" s="20">
        <f>$H$40*(1+D44)</f>
        <v>6474.0560059887894</v>
      </c>
      <c r="E54" s="20">
        <f>$H$40*(1+E44)</f>
        <v>7600.1296274927572</v>
      </c>
    </row>
    <row r="55" spans="2:10" ht="13.95" customHeight="1" x14ac:dyDescent="0.3">
      <c r="B55" s="8" t="s">
        <v>565</v>
      </c>
      <c r="C55" s="20">
        <f>IF(FadeMode=0,C54*((1+gLT)+FadeYears/2*(C45-gLT))/(C43-gLT),'Box Fade'!$C$26)</f>
        <v>52357.748055214484</v>
      </c>
      <c r="D55" s="20">
        <f>IF(FadeMode=0,D54*((1+gLT)+FadeYears/2*(D45-gLT))/(D43-gLT),'Box Fade'!$C$36)</f>
        <v>75698.542650994801</v>
      </c>
      <c r="E55" s="20">
        <f>IF(FadeMode=0,E54*((1+gLT)+FadeYears/2*(E45-gLT))/(E43-gLT),'Box Fade'!$C$46)</f>
        <v>103417.4774978302</v>
      </c>
    </row>
    <row r="56" spans="2:10" ht="13.95" customHeight="1" x14ac:dyDescent="0.3">
      <c r="B56" s="8" t="s">
        <v>566</v>
      </c>
      <c r="C56" s="20">
        <f>(1+C44)*NPV(C43,$E$40:$H$40)</f>
        <v>13748.608429980512</v>
      </c>
      <c r="D56" s="20">
        <f>(1+D44)*NPV(D43,$E$40:$H$40)</f>
        <v>17262.789193791647</v>
      </c>
      <c r="E56" s="20">
        <f>(1+E44)*NPV(E43,$E$40:$H$40)</f>
        <v>20819.785223996136</v>
      </c>
    </row>
    <row r="57" spans="2:10" ht="13.95" customHeight="1" x14ac:dyDescent="0.3">
      <c r="B57" s="8" t="s">
        <v>567</v>
      </c>
      <c r="C57" s="20">
        <f>C55/(1+C43)^C48</f>
        <v>25589.254395427837</v>
      </c>
      <c r="D57" s="20">
        <f>D55/(1+D43)^D48</f>
        <v>39916.880643313445</v>
      </c>
      <c r="E57" s="20">
        <f>E55/(1+E43)^E48</f>
        <v>57659.506768431631</v>
      </c>
    </row>
    <row r="58" spans="2:10" ht="13.95" customHeight="1" x14ac:dyDescent="0.3">
      <c r="B58" s="8" t="s">
        <v>568</v>
      </c>
      <c r="C58" s="16">
        <f>C56+C57</f>
        <v>39337.862825408345</v>
      </c>
      <c r="D58" s="16">
        <f>D56+D57</f>
        <v>57179.669837105088</v>
      </c>
      <c r="E58" s="16">
        <f>E56+E57</f>
        <v>78479.291992427767</v>
      </c>
    </row>
    <row r="59" spans="2:10" ht="13.95" customHeight="1" x14ac:dyDescent="0.3">
      <c r="B59" s="5" t="s">
        <v>569</v>
      </c>
      <c r="C59" s="16">
        <f>C58</f>
        <v>39337.862825408345</v>
      </c>
      <c r="D59" s="16">
        <f>D58</f>
        <v>57179.669837105088</v>
      </c>
      <c r="E59" s="16">
        <f>E58</f>
        <v>78479.291992427767</v>
      </c>
      <c r="J59" s="14" t="s">
        <v>570</v>
      </c>
    </row>
    <row r="60" spans="2:10" ht="13.95" customHeight="1" x14ac:dyDescent="0.3">
      <c r="B60" s="8" t="s">
        <v>571</v>
      </c>
      <c r="C60" s="20">
        <f>'Box Shares'!$C$7</f>
        <v>60927.303521809401</v>
      </c>
      <c r="D60" s="20">
        <f>'Box Shares'!$C$7</f>
        <v>60927.303521809401</v>
      </c>
      <c r="E60" s="20">
        <f>'Box Shares'!$C$7</f>
        <v>60927.303521809401</v>
      </c>
    </row>
    <row r="61" spans="2:10" ht="13.95" customHeight="1" x14ac:dyDescent="0.3">
      <c r="B61" s="8" t="s">
        <v>572</v>
      </c>
      <c r="C61" s="21">
        <f>C59/C60-1</f>
        <v>-0.35434754943115032</v>
      </c>
      <c r="D61" s="21">
        <f>D59/D60-1</f>
        <v>-6.1509921957449198E-2</v>
      </c>
      <c r="E61" s="21">
        <f>E59/E60-1</f>
        <v>0.28808083496318693</v>
      </c>
    </row>
    <row r="62" spans="2:10" ht="13.95" customHeight="1" x14ac:dyDescent="0.3">
      <c r="B62" s="5" t="s">
        <v>573</v>
      </c>
      <c r="C62" s="61">
        <f>C59*C$10</f>
        <v>39337.862825408345</v>
      </c>
      <c r="D62" s="61">
        <f>D59*D$10</f>
        <v>57179.669837105088</v>
      </c>
      <c r="E62" s="61">
        <f>E59*E$10</f>
        <v>78479.291992427767</v>
      </c>
      <c r="J62" s="14" t="s">
        <v>574</v>
      </c>
    </row>
    <row r="63" spans="2:10" ht="13.95" customHeight="1" x14ac:dyDescent="0.3">
      <c r="B63" s="5" t="s">
        <v>211</v>
      </c>
      <c r="C63" s="68">
        <f>C62/C60-1</f>
        <v>-0.35434754943115032</v>
      </c>
      <c r="D63" s="68">
        <f>D62/D60-1</f>
        <v>-6.1509921957449198E-2</v>
      </c>
      <c r="E63" s="68">
        <f>E62/E60-1</f>
        <v>0.28808083496318693</v>
      </c>
    </row>
    <row r="64" spans="2:10" ht="13.95" customHeight="1" x14ac:dyDescent="0.3">
      <c r="B64" s="8" t="s">
        <v>575</v>
      </c>
      <c r="C64" s="65">
        <f>C45+(C60-C59)/(C54*FadeYears/2/((C43-gLT)*(1+C43)^C48))</f>
        <v>0.22366903505536062</v>
      </c>
      <c r="D64" s="40">
        <f>D45+(D60-D59)/(D54*FadeYears/2/((D43-gLT)*(1+D43)^D48))</f>
        <v>6.6659714910827797E-2</v>
      </c>
      <c r="E64" s="65">
        <f>E45+(E60-E59)/(E54*FadeYears/2/((E43-gLT)*(1+E43)^E48))</f>
        <v>-1.6742938358948051E-2</v>
      </c>
      <c r="J64" s="14" t="s">
        <v>576</v>
      </c>
    </row>
    <row r="65" spans="2:10" ht="13.95" customHeight="1" x14ac:dyDescent="0.3">
      <c r="B65" s="64" t="s">
        <v>577</v>
      </c>
      <c r="C65" s="69">
        <f>DCF!C48</f>
        <v>0.14500000000000002</v>
      </c>
      <c r="D65" s="69">
        <f>DCF!D48</f>
        <v>0.12759999999999999</v>
      </c>
      <c r="E65" s="69">
        <f>DCF!E48</f>
        <v>0.11499999999999999</v>
      </c>
    </row>
    <row r="66" spans="2:10" ht="13.95" customHeight="1" x14ac:dyDescent="0.3">
      <c r="B66" s="64" t="s">
        <v>578</v>
      </c>
      <c r="C66" s="62">
        <f>NPV(C65,$E$35:$H$35)+$H$35*(1+gLT)/(C65-gLT)/(1+C65)^C48-C52</f>
        <v>58254.028740963389</v>
      </c>
      <c r="D66" s="62">
        <f>NPV(D65,$E$35:$H$35)+$H$35*(1+gLT)/(D65-gLT)/(1+D65)^D48-D52</f>
        <v>71550.321591912958</v>
      </c>
      <c r="E66" s="62">
        <f>NPV(E65,$E$35:$H$35)+$H$35*(1+gLT)/(E65-gLT)/(1+E65)^E48-E52</f>
        <v>85507.976171464063</v>
      </c>
      <c r="J66" s="14" t="s">
        <v>579</v>
      </c>
    </row>
    <row r="67" spans="2:10" ht="13.95" customHeight="1" x14ac:dyDescent="0.3">
      <c r="B67" s="64" t="s">
        <v>580</v>
      </c>
      <c r="C67" s="62">
        <f>NPV(C65,$E$40:$H$40)+$H$40*(1+gLT)/(C65-gLT)/(1+C65)^C48</f>
        <v>52102.714621726424</v>
      </c>
      <c r="D67" s="62">
        <f>NPV(D65,$E$40:$H$40)+$H$40*(1+gLT)/(D65-gLT)/(1+D65)^D48</f>
        <v>63728.961928706747</v>
      </c>
      <c r="E67" s="62">
        <f>NPV(E65,$E$40:$H$40)+$H$40*(1+gLT)/(E65-gLT)/(1+E65)^E48</f>
        <v>75924.64052880519</v>
      </c>
      <c r="J67" s="14" t="s">
        <v>581</v>
      </c>
    </row>
    <row r="70" spans="2:10" ht="13.95" customHeight="1" x14ac:dyDescent="0.3">
      <c r="B70" s="139" t="s">
        <v>582</v>
      </c>
      <c r="C70" s="139"/>
      <c r="D70" s="139"/>
      <c r="E70" s="139"/>
      <c r="F70" s="139"/>
      <c r="G70" s="139"/>
      <c r="H70" s="139"/>
      <c r="I70" s="139"/>
      <c r="J70" s="139"/>
    </row>
    <row r="71" spans="2:10" ht="13.95" customHeight="1" x14ac:dyDescent="0.3">
      <c r="B71" s="17"/>
      <c r="C71" s="18" t="s">
        <v>121</v>
      </c>
      <c r="D71" s="18" t="s">
        <v>122</v>
      </c>
      <c r="E71" s="18" t="s">
        <v>123</v>
      </c>
      <c r="F71" s="18" t="s">
        <v>124</v>
      </c>
      <c r="G71" s="18" t="s">
        <v>125</v>
      </c>
      <c r="H71" s="18" t="s">
        <v>126</v>
      </c>
      <c r="J71" s="18" t="s">
        <v>191</v>
      </c>
    </row>
    <row r="72" spans="2:10" ht="13.95" customHeight="1" x14ac:dyDescent="0.3">
      <c r="B72" s="64" t="s">
        <v>521</v>
      </c>
      <c r="C72" s="65">
        <f>'Box Shares'!D20</f>
        <v>0.25320997654582167</v>
      </c>
      <c r="D72" s="65">
        <f>'Box Shares'!E20</f>
        <v>0.26048991695618606</v>
      </c>
      <c r="E72" s="65">
        <f>D72</f>
        <v>0.26048991695618606</v>
      </c>
      <c r="F72" s="65">
        <f>E72</f>
        <v>0.26048991695618606</v>
      </c>
      <c r="G72" s="65">
        <f>F72</f>
        <v>0.26048991695618606</v>
      </c>
      <c r="H72" s="65">
        <f>G72</f>
        <v>0.26048991695618606</v>
      </c>
      <c r="J72" s="14" t="s">
        <v>522</v>
      </c>
    </row>
    <row r="73" spans="2:10" ht="13.95" customHeight="1" x14ac:dyDescent="0.3">
      <c r="B73" s="8" t="s">
        <v>138</v>
      </c>
      <c r="C73" s="20">
        <f>DCF!N13*C72</f>
        <v>40240.382682638527</v>
      </c>
      <c r="D73" s="20">
        <f>DCF!O13*D72</f>
        <v>42660.173209997636</v>
      </c>
      <c r="E73" s="20">
        <f>DCF!P13*E72</f>
        <v>45253.911741165495</v>
      </c>
      <c r="F73" s="20">
        <f>DCF!Q13*F72</f>
        <v>48005.349575028355</v>
      </c>
      <c r="G73" s="20">
        <f>DCF!R13*G72</f>
        <v>50924.074829190082</v>
      </c>
      <c r="H73" s="20">
        <f>DCF!S13*H72</f>
        <v>54020.258578804838</v>
      </c>
      <c r="J73" s="14" t="s">
        <v>523</v>
      </c>
    </row>
    <row r="74" spans="2:10" ht="13.95" customHeight="1" x14ac:dyDescent="0.3">
      <c r="B74" s="64" t="s">
        <v>524</v>
      </c>
      <c r="C74" s="65">
        <f>'Box Shares'!G20</f>
        <v>0.20945024056999914</v>
      </c>
      <c r="D74" s="65">
        <f>'Box Shares'!H20</f>
        <v>0.23407448302763553</v>
      </c>
      <c r="E74" s="65">
        <f>'Box Shares'!I20</f>
        <v>0.24415677209055056</v>
      </c>
      <c r="F74" s="65">
        <f>E74</f>
        <v>0.24415677209055056</v>
      </c>
      <c r="G74" s="65">
        <f>F74</f>
        <v>0.24415677209055056</v>
      </c>
      <c r="H74" s="65">
        <f>G74</f>
        <v>0.24415677209055056</v>
      </c>
      <c r="J74" s="14" t="s">
        <v>525</v>
      </c>
    </row>
    <row r="75" spans="2:10" ht="13.95" customHeight="1" x14ac:dyDescent="0.3">
      <c r="B75" s="8" t="s">
        <v>149</v>
      </c>
      <c r="C75" s="20">
        <f>DCF!N19*C74</f>
        <v>6928.6139580555719</v>
      </c>
      <c r="D75" s="20">
        <f>DCF!O19*D74</f>
        <v>8165.2201914530106</v>
      </c>
      <c r="E75" s="20">
        <f>DCF!P19*E74</f>
        <v>9112.4214895312489</v>
      </c>
      <c r="F75" s="20">
        <f>DCF!Q19*F74</f>
        <v>9666.4567160947499</v>
      </c>
      <c r="G75" s="20">
        <f>DCF!R19*G74</f>
        <v>10254.17728443331</v>
      </c>
      <c r="H75" s="20">
        <f>DCF!S19*H74</f>
        <v>10877.631263326857</v>
      </c>
    </row>
    <row r="76" spans="2:10" ht="13.95" customHeight="1" x14ac:dyDescent="0.3">
      <c r="B76" s="64" t="s">
        <v>526</v>
      </c>
      <c r="C76" s="65">
        <f>'Box Shares'!J20</f>
        <v>0.19172465279228279</v>
      </c>
      <c r="D76" s="65">
        <f>'Box Shares'!K20</f>
        <v>0.21119667869752651</v>
      </c>
      <c r="E76" s="65">
        <f>'Box Shares'!L20</f>
        <v>0.22223939449429822</v>
      </c>
      <c r="F76" s="65">
        <f>E76</f>
        <v>0.22223939449429822</v>
      </c>
      <c r="G76" s="65">
        <f>F76</f>
        <v>0.22223939449429822</v>
      </c>
      <c r="H76" s="65">
        <f>G76</f>
        <v>0.22223939449429822</v>
      </c>
      <c r="J76" s="14" t="s">
        <v>527</v>
      </c>
    </row>
    <row r="77" spans="2:10" ht="13.95" customHeight="1" x14ac:dyDescent="0.3">
      <c r="B77" s="8" t="s">
        <v>152</v>
      </c>
      <c r="C77" s="20">
        <f>DCF!N21*C76</f>
        <v>9456.6267743265562</v>
      </c>
      <c r="D77" s="20">
        <f>DCF!O21*D76</f>
        <v>10711.261953502451</v>
      </c>
      <c r="E77" s="20">
        <f>DCF!P21*E76</f>
        <v>11555.779573126079</v>
      </c>
      <c r="F77" s="20">
        <f>DCF!Q21*F76</f>
        <v>12286.863092481084</v>
      </c>
      <c r="G77" s="20">
        <f>DCF!R21*G76</f>
        <v>13033.904368503936</v>
      </c>
      <c r="H77" s="20">
        <f>DCF!S21*H76</f>
        <v>13826.365754108974</v>
      </c>
    </row>
    <row r="78" spans="2:10" ht="13.95" customHeight="1" x14ac:dyDescent="0.3">
      <c r="B78" s="64" t="s">
        <v>528</v>
      </c>
      <c r="C78" s="65">
        <f>'Box Shares'!P20</f>
        <v>0.2478664012938534</v>
      </c>
      <c r="D78" s="65">
        <f>'Box Shares'!Q20</f>
        <v>0.24129138018750107</v>
      </c>
      <c r="E78" s="65">
        <f>D78</f>
        <v>0.24129138018750107</v>
      </c>
      <c r="F78" s="65">
        <f>E78</f>
        <v>0.24129138018750107</v>
      </c>
      <c r="G78" s="65">
        <f>F78</f>
        <v>0.24129138018750107</v>
      </c>
      <c r="H78" s="65">
        <f>G78</f>
        <v>0.24129138018750107</v>
      </c>
      <c r="J78" s="14" t="s">
        <v>529</v>
      </c>
    </row>
    <row r="79" spans="2:10" ht="13.95" customHeight="1" x14ac:dyDescent="0.3">
      <c r="B79" s="8" t="s">
        <v>173</v>
      </c>
      <c r="C79" s="20">
        <f>DCF!N33*C78</f>
        <v>-4748.8723823889377</v>
      </c>
      <c r="D79" s="20">
        <f>DCF!O33*D78</f>
        <v>-4664.8862531649584</v>
      </c>
      <c r="E79" s="20">
        <f>DCF!P33*E78</f>
        <v>-4611.0486139163613</v>
      </c>
      <c r="F79" s="20">
        <f>DCF!Q33*F78</f>
        <v>-4891.400369642477</v>
      </c>
      <c r="G79" s="20">
        <f>DCF!R33*G78</f>
        <v>-4245.3797826409682</v>
      </c>
      <c r="H79" s="20">
        <f>DCF!S33*H78</f>
        <v>-4503.4988734255394</v>
      </c>
    </row>
    <row r="80" spans="2:10" ht="13.95" customHeight="1" x14ac:dyDescent="0.3">
      <c r="B80" s="64" t="s">
        <v>530</v>
      </c>
      <c r="C80" s="65">
        <f>'Box Shares'!M20</f>
        <v>0.14197047973500815</v>
      </c>
      <c r="D80" s="65">
        <f>'Box Shares'!N20</f>
        <v>0.17585706750768873</v>
      </c>
      <c r="E80" s="65">
        <f>'Box Shares'!O20</f>
        <v>0.19377661083294556</v>
      </c>
      <c r="F80" s="65">
        <f>E80</f>
        <v>0.19377661083294556</v>
      </c>
      <c r="G80" s="65">
        <f>F80</f>
        <v>0.19377661083294556</v>
      </c>
      <c r="H80" s="65">
        <f>G80</f>
        <v>0.19377661083294556</v>
      </c>
      <c r="J80" s="14" t="s">
        <v>531</v>
      </c>
    </row>
    <row r="81" spans="2:10" ht="13.95" customHeight="1" x14ac:dyDescent="0.3">
      <c r="B81" s="8" t="s">
        <v>532</v>
      </c>
      <c r="C81" s="20">
        <f>DCF!N29*C80</f>
        <v>2975.4173142863006</v>
      </c>
      <c r="D81" s="20">
        <f>DCF!O29*D80</f>
        <v>3810.1192246215842</v>
      </c>
      <c r="E81" s="20">
        <f>DCF!P29*E80</f>
        <v>4491.1605092751797</v>
      </c>
      <c r="F81" s="20">
        <f>DCF!Q29*F80</f>
        <v>4764.2230682391109</v>
      </c>
      <c r="G81" s="20">
        <f>DCF!R29*G80</f>
        <v>5053.8878307880477</v>
      </c>
      <c r="H81" s="20">
        <f>DCF!S29*H80</f>
        <v>5361.1642108999622</v>
      </c>
    </row>
    <row r="82" spans="2:10" ht="13.95" customHeight="1" x14ac:dyDescent="0.3">
      <c r="B82" s="8" t="s">
        <v>533</v>
      </c>
      <c r="C82" s="20">
        <f t="shared" ref="C82:H82" si="8">C77-C75</f>
        <v>2528.0128162709843</v>
      </c>
      <c r="D82" s="20">
        <f t="shared" si="8"/>
        <v>2546.0417620494409</v>
      </c>
      <c r="E82" s="20">
        <f t="shared" si="8"/>
        <v>2443.3580835948305</v>
      </c>
      <c r="F82" s="20">
        <f t="shared" si="8"/>
        <v>2620.4063763863342</v>
      </c>
      <c r="G82" s="20">
        <f t="shared" si="8"/>
        <v>2779.727084070626</v>
      </c>
      <c r="H82" s="20">
        <f t="shared" si="8"/>
        <v>2948.7344907821171</v>
      </c>
    </row>
    <row r="83" spans="2:10" ht="13.95" customHeight="1" x14ac:dyDescent="0.3">
      <c r="B83" s="8" t="s">
        <v>534</v>
      </c>
      <c r="C83" s="40">
        <f>DCF!N25</f>
        <v>-0.24</v>
      </c>
      <c r="D83" s="40">
        <f>DCF!O25</f>
        <v>-0.24</v>
      </c>
      <c r="E83" s="40">
        <f>DCF!P25</f>
        <v>-0.24</v>
      </c>
      <c r="F83" s="40">
        <f>DCF!Q25</f>
        <v>-0.24</v>
      </c>
      <c r="G83" s="40">
        <f>DCF!R25</f>
        <v>-0.24</v>
      </c>
      <c r="H83" s="40">
        <f>DCF!S25</f>
        <v>-0.24</v>
      </c>
      <c r="J83" s="14" t="s">
        <v>535</v>
      </c>
    </row>
    <row r="84" spans="2:10" ht="13.95" customHeight="1" x14ac:dyDescent="0.3">
      <c r="B84" s="8" t="s">
        <v>536</v>
      </c>
      <c r="C84" s="20">
        <f t="shared" ref="C84:H84" si="9">C75*(1+C83)</f>
        <v>5265.7466081222346</v>
      </c>
      <c r="D84" s="20">
        <f t="shared" si="9"/>
        <v>6205.5673455042879</v>
      </c>
      <c r="E84" s="20">
        <f t="shared" si="9"/>
        <v>6925.4403320437495</v>
      </c>
      <c r="F84" s="20">
        <f t="shared" si="9"/>
        <v>7346.5071042320096</v>
      </c>
      <c r="G84" s="20">
        <f t="shared" si="9"/>
        <v>7793.174736169316</v>
      </c>
      <c r="H84" s="20">
        <f t="shared" si="9"/>
        <v>8266.9997601284122</v>
      </c>
    </row>
    <row r="85" spans="2:10" ht="13.95" customHeight="1" x14ac:dyDescent="0.3">
      <c r="B85" s="8" t="s">
        <v>537</v>
      </c>
      <c r="C85" s="20">
        <f t="shared" ref="C85:H85" si="10">-NWCpct*C73</f>
        <v>-1609.6153073055411</v>
      </c>
      <c r="D85" s="20">
        <f t="shared" si="10"/>
        <v>-1706.4069283999054</v>
      </c>
      <c r="E85" s="20">
        <f t="shared" si="10"/>
        <v>-1810.1564696466198</v>
      </c>
      <c r="F85" s="20">
        <f t="shared" si="10"/>
        <v>-1920.2139830011342</v>
      </c>
      <c r="G85" s="20">
        <f t="shared" si="10"/>
        <v>-2036.9629931676034</v>
      </c>
      <c r="H85" s="20">
        <f t="shared" si="10"/>
        <v>-2160.8103431521936</v>
      </c>
    </row>
    <row r="86" spans="2:10" ht="13.95" customHeight="1" x14ac:dyDescent="0.3">
      <c r="B86" s="8" t="s">
        <v>172</v>
      </c>
      <c r="D86" s="20">
        <f>D85-C85</f>
        <v>-96.791621094364245</v>
      </c>
      <c r="E86" s="20">
        <f>E85-D85</f>
        <v>-103.74954124671444</v>
      </c>
      <c r="F86" s="20">
        <f>F85-E85</f>
        <v>-110.05751335451441</v>
      </c>
      <c r="G86" s="20">
        <f>G85-F85</f>
        <v>-116.74901016646913</v>
      </c>
      <c r="H86" s="20">
        <f>H85-G85</f>
        <v>-123.84734998459021</v>
      </c>
    </row>
    <row r="87" spans="2:10" ht="13.95" customHeight="1" x14ac:dyDescent="0.3">
      <c r="B87" s="8" t="s">
        <v>177</v>
      </c>
      <c r="C87" s="20">
        <f t="shared" ref="C87:H87" si="11">C82+C84+C79+C85</f>
        <v>1435.2717346987401</v>
      </c>
      <c r="D87" s="20">
        <f t="shared" si="11"/>
        <v>2380.3159259888662</v>
      </c>
      <c r="E87" s="20">
        <f t="shared" si="11"/>
        <v>2947.593332075598</v>
      </c>
      <c r="F87" s="20">
        <f t="shared" si="11"/>
        <v>3155.2991279747316</v>
      </c>
      <c r="G87" s="20">
        <f t="shared" si="11"/>
        <v>4290.5590444313702</v>
      </c>
      <c r="H87" s="20">
        <f t="shared" si="11"/>
        <v>4551.4250343327967</v>
      </c>
    </row>
    <row r="88" spans="2:10" ht="13.95" customHeight="1" x14ac:dyDescent="0.3">
      <c r="B88" s="8" t="s">
        <v>179</v>
      </c>
      <c r="D88" s="20">
        <f>D82+D84+D79+D86</f>
        <v>3989.9312332944073</v>
      </c>
      <c r="E88" s="20">
        <f>E82+E84+E79+E86</f>
        <v>4654.0002604755036</v>
      </c>
      <c r="F88" s="20">
        <f>F82+F84+F79+F86</f>
        <v>4965.4555976213514</v>
      </c>
      <c r="G88" s="20">
        <f>G82+G84+G79+G86</f>
        <v>6210.7730274325049</v>
      </c>
      <c r="H88" s="20">
        <f>H82+H84+H79+H86</f>
        <v>6588.3880275003994</v>
      </c>
    </row>
    <row r="89" spans="2:10" ht="13.95" customHeight="1" x14ac:dyDescent="0.3">
      <c r="B89" s="8" t="s">
        <v>538</v>
      </c>
      <c r="C89" s="20">
        <f>C87</f>
        <v>1435.2717346987401</v>
      </c>
      <c r="D89" s="20">
        <f>IF(FixNWC=1,D88,D87)</f>
        <v>2380.3159259888662</v>
      </c>
      <c r="E89" s="20">
        <f>IF(FixNWC=1,E88,E87)</f>
        <v>2947.593332075598</v>
      </c>
      <c r="F89" s="20">
        <f>IF(FixNWC=1,F88,F87)</f>
        <v>3155.2991279747316</v>
      </c>
      <c r="G89" s="20">
        <f>IF(FixNWC=1,G88,G87)</f>
        <v>4290.5590444313702</v>
      </c>
      <c r="H89" s="20">
        <f>IF(FixNWC=1,H88,H87)</f>
        <v>4551.4250343327967</v>
      </c>
      <c r="J89" s="14" t="s">
        <v>539</v>
      </c>
    </row>
    <row r="90" spans="2:10" ht="13.95" customHeight="1" x14ac:dyDescent="0.3">
      <c r="B90" s="8" t="s">
        <v>540</v>
      </c>
      <c r="C90" s="20">
        <f>C79</f>
        <v>-4748.8723823889377</v>
      </c>
      <c r="D90" s="20">
        <f>D79</f>
        <v>-4664.8862531649584</v>
      </c>
      <c r="E90" s="20">
        <f>-(E82+DCF!P11*E84/'Box Shares'!$E$45)</f>
        <v>-5388.9924728072665</v>
      </c>
      <c r="F90" s="20">
        <f>-(F82+DCF!Q11*F84/'Box Shares'!$E$45)</f>
        <v>-5745.1353364628867</v>
      </c>
      <c r="G90" s="20">
        <f>-(G82+DCF!R11*G84/'Box Shares'!$E$45)</f>
        <v>-6094.4395649198323</v>
      </c>
      <c r="H90" s="20">
        <f>-(H82+DCF!S11*H84/'Box Shares'!$E$45)</f>
        <v>-6464.9814904669565</v>
      </c>
      <c r="J90" s="14" t="s">
        <v>541</v>
      </c>
    </row>
    <row r="91" spans="2:10" ht="13.95" customHeight="1" x14ac:dyDescent="0.3">
      <c r="B91" s="8" t="s">
        <v>542</v>
      </c>
      <c r="C91" s="20">
        <f>C87</f>
        <v>1435.2717346987401</v>
      </c>
      <c r="D91" s="20">
        <f>D82+D84+D90+D86</f>
        <v>3989.9312332944073</v>
      </c>
      <c r="E91" s="20">
        <f>E82+E84+E90+E86</f>
        <v>3876.0564015845985</v>
      </c>
      <c r="F91" s="20">
        <f>F82+F84+F90+F86</f>
        <v>4111.7206308009418</v>
      </c>
      <c r="G91" s="20">
        <f>G82+G84+G90+G86</f>
        <v>4361.7132451536409</v>
      </c>
      <c r="H91" s="20">
        <f>H82+H84+H90+H86</f>
        <v>4626.9054104589823</v>
      </c>
    </row>
    <row r="92" spans="2:10" ht="13.95" customHeight="1" x14ac:dyDescent="0.3">
      <c r="B92" s="5" t="s">
        <v>543</v>
      </c>
      <c r="C92" s="61">
        <f t="shared" ref="C92:H92" si="12">IF(BoxCF=1,C91,C89)</f>
        <v>1435.2717346987401</v>
      </c>
      <c r="D92" s="61">
        <f t="shared" si="12"/>
        <v>3989.9312332944073</v>
      </c>
      <c r="E92" s="61">
        <f t="shared" si="12"/>
        <v>3876.0564015845985</v>
      </c>
      <c r="F92" s="61">
        <f t="shared" si="12"/>
        <v>4111.7206308009418</v>
      </c>
      <c r="G92" s="61">
        <f t="shared" si="12"/>
        <v>4361.7132451536409</v>
      </c>
      <c r="H92" s="61">
        <f t="shared" si="12"/>
        <v>4626.9054104589823</v>
      </c>
      <c r="J92" s="14" t="s">
        <v>544</v>
      </c>
    </row>
    <row r="94" spans="2:10" ht="13.95" customHeight="1" x14ac:dyDescent="0.3">
      <c r="B94" s="17" t="s">
        <v>548</v>
      </c>
      <c r="C94" s="18" t="s">
        <v>31</v>
      </c>
      <c r="D94" s="18" t="s">
        <v>32</v>
      </c>
      <c r="E94" s="18" t="s">
        <v>33</v>
      </c>
    </row>
    <row r="95" spans="2:10" ht="13.95" customHeight="1" x14ac:dyDescent="0.3">
      <c r="B95" s="8" t="s">
        <v>549</v>
      </c>
      <c r="C95" s="53">
        <f>'Box Rates'!C22</f>
        <v>0.14072043787879029</v>
      </c>
      <c r="D95" s="53">
        <f>'Box Rates'!D22</f>
        <v>0.12332043787879028</v>
      </c>
      <c r="E95" s="53">
        <f>'Box Rates'!E22</f>
        <v>0.1107204378787903</v>
      </c>
      <c r="J95" s="14" t="s">
        <v>550</v>
      </c>
    </row>
    <row r="96" spans="2:10" ht="13.95" customHeight="1" x14ac:dyDescent="0.3">
      <c r="B96" s="8" t="s">
        <v>551</v>
      </c>
      <c r="C96" s="21">
        <f>'Box Earnings'!C22</f>
        <v>-0.15603810801326201</v>
      </c>
      <c r="D96" s="21">
        <f>'Box Earnings'!D22</f>
        <v>0</v>
      </c>
      <c r="E96" s="21">
        <f>'Box Earnings'!E22</f>
        <v>0.15603810801326201</v>
      </c>
      <c r="J96" s="14" t="s">
        <v>552</v>
      </c>
    </row>
    <row r="97" spans="2:10" ht="13.95" customHeight="1" x14ac:dyDescent="0.3">
      <c r="B97" s="8" t="s">
        <v>553</v>
      </c>
      <c r="C97" s="40">
        <f>IF(BoxGrowth=1,'Box Shares'!$I$45,gLT)</f>
        <v>4.7E-2</v>
      </c>
      <c r="D97" s="40">
        <f>IF(BoxGrowth=1,'Box Shares'!$I$45,gLT)</f>
        <v>4.7E-2</v>
      </c>
      <c r="E97" s="40">
        <f>IF(BoxGrowth=1,'Box Shares'!$I$45,gLT)</f>
        <v>4.7E-2</v>
      </c>
      <c r="J97" s="14" t="s">
        <v>554</v>
      </c>
    </row>
    <row r="98" spans="2:10" ht="13.95" customHeight="1" x14ac:dyDescent="0.3">
      <c r="B98" s="8" t="s">
        <v>555</v>
      </c>
      <c r="C98" s="20">
        <f>$H$92*(1+C96)</f>
        <v>3904.9318442546373</v>
      </c>
      <c r="D98" s="20">
        <f>$H$92*(1+D96)</f>
        <v>4626.9054104589823</v>
      </c>
      <c r="E98" s="20">
        <f>$H$92*(1+E96)</f>
        <v>5348.8789766633272</v>
      </c>
    </row>
    <row r="99" spans="2:10" ht="13.95" customHeight="1" x14ac:dyDescent="0.3">
      <c r="B99" s="8" t="s">
        <v>556</v>
      </c>
      <c r="C99" s="20">
        <f>IF(FadeMode=0,C98*((1+gLT)+FadeYears/2*(C97-gLT))/(C95-gLT),'Box Fade'!$C$56)</f>
        <v>43624.034772674255</v>
      </c>
      <c r="D99" s="20">
        <f>IF(FadeMode=0,D98*((1+gLT)+FadeYears/2*(D97-gLT))/(D95-gLT),'Box Fade'!$C$66)</f>
        <v>63474.085047104025</v>
      </c>
      <c r="E99" s="20">
        <f>IF(FadeMode=0,E98*((1+gLT)+FadeYears/2*(E97-gLT))/(E95-gLT),'Box Fade'!$C$76)</f>
        <v>87888.226681985601</v>
      </c>
      <c r="J99" s="14" t="s">
        <v>557</v>
      </c>
    </row>
    <row r="100" spans="2:10" ht="13.95" customHeight="1" x14ac:dyDescent="0.3">
      <c r="B100" s="8" t="s">
        <v>558</v>
      </c>
      <c r="C100" s="67">
        <f>5-FixTV</f>
        <v>5</v>
      </c>
      <c r="D100" s="67">
        <f>5-FixTV</f>
        <v>5</v>
      </c>
      <c r="E100" s="67">
        <f>5-FixTV</f>
        <v>5</v>
      </c>
    </row>
    <row r="101" spans="2:10" ht="13.95" customHeight="1" x14ac:dyDescent="0.3">
      <c r="B101" s="8" t="s">
        <v>559</v>
      </c>
      <c r="C101" s="20">
        <f>(1+C96)*NPV(C95,$E$92:$H$92)</f>
        <v>10320.629013360214</v>
      </c>
      <c r="D101" s="20">
        <f>(1+D96)*NPV(D95,$E$92:$H$92)</f>
        <v>12692.024720660987</v>
      </c>
      <c r="E101" s="20">
        <f>(1+E96)*NPV(E95,$E$92:$H$92)</f>
        <v>15081.148250378032</v>
      </c>
    </row>
    <row r="102" spans="2:10" ht="13.95" customHeight="1" x14ac:dyDescent="0.3">
      <c r="B102" s="8" t="s">
        <v>204</v>
      </c>
      <c r="C102" s="20">
        <f>C99/(1+C95)^C100</f>
        <v>22585.500406695344</v>
      </c>
      <c r="D102" s="20">
        <f>D99/(1+D95)^D100</f>
        <v>35487.723973677552</v>
      </c>
      <c r="E102" s="20">
        <f>E99/(1+E95)^E100</f>
        <v>51988.45195899027</v>
      </c>
    </row>
    <row r="103" spans="2:10" ht="13.95" customHeight="1" x14ac:dyDescent="0.3">
      <c r="B103" s="8" t="s">
        <v>560</v>
      </c>
      <c r="C103" s="20">
        <f>C101+C102</f>
        <v>32906.129420055557</v>
      </c>
      <c r="D103" s="20">
        <f>D101+D102</f>
        <v>48179.748694338537</v>
      </c>
      <c r="E103" s="20">
        <f>E101+E102</f>
        <v>67069.600209368306</v>
      </c>
    </row>
    <row r="104" spans="2:10" ht="13.95" customHeight="1" x14ac:dyDescent="0.3">
      <c r="B104" s="8" t="s">
        <v>206</v>
      </c>
      <c r="C104" s="20">
        <f>IF(FixND=1,NDmult*DCF!$M$21*$C$76,0)</f>
        <v>0</v>
      </c>
      <c r="D104" s="20">
        <f>IF(FixND=1,NDmult*DCF!$M$21*$C$76,0)</f>
        <v>0</v>
      </c>
      <c r="E104" s="20">
        <f>IF(FixND=1,NDmult*DCF!$M$21*$C$76,0)</f>
        <v>0</v>
      </c>
      <c r="J104" s="14" t="s">
        <v>561</v>
      </c>
    </row>
    <row r="105" spans="2:10" ht="13.95" customHeight="1" x14ac:dyDescent="0.3">
      <c r="B105" s="8" t="s">
        <v>562</v>
      </c>
      <c r="C105" s="16">
        <f>C103-C104</f>
        <v>32906.129420055557</v>
      </c>
      <c r="D105" s="16">
        <f>D103-D104</f>
        <v>48179.748694338537</v>
      </c>
      <c r="E105" s="16">
        <f>E103-E104</f>
        <v>67069.600209368306</v>
      </c>
      <c r="J105" s="14" t="s">
        <v>563</v>
      </c>
    </row>
    <row r="106" spans="2:10" ht="13.95" customHeight="1" x14ac:dyDescent="0.3">
      <c r="B106" s="5" t="s">
        <v>569</v>
      </c>
      <c r="C106" s="16">
        <f>C105</f>
        <v>32906.129420055557</v>
      </c>
      <c r="D106" s="16">
        <f>D105</f>
        <v>48179.748694338537</v>
      </c>
      <c r="E106" s="16">
        <f>E105</f>
        <v>67069.600209368306</v>
      </c>
      <c r="J106" s="14" t="s">
        <v>570</v>
      </c>
    </row>
    <row r="107" spans="2:10" ht="13.95" customHeight="1" x14ac:dyDescent="0.3">
      <c r="B107" s="8" t="s">
        <v>571</v>
      </c>
      <c r="C107" s="20">
        <f>'Box Shares'!$C$8</f>
        <v>55822.367361651384</v>
      </c>
      <c r="D107" s="20">
        <f>'Box Shares'!$C$8</f>
        <v>55822.367361651384</v>
      </c>
      <c r="E107" s="20">
        <f>'Box Shares'!$C$8</f>
        <v>55822.367361651384</v>
      </c>
    </row>
    <row r="108" spans="2:10" ht="13.95" customHeight="1" x14ac:dyDescent="0.3">
      <c r="B108" s="8" t="s">
        <v>572</v>
      </c>
      <c r="C108" s="21">
        <f>C106/C107-1</f>
        <v>-0.41052071104635257</v>
      </c>
      <c r="D108" s="21">
        <f>D106/D107-1</f>
        <v>-0.13690961219539999</v>
      </c>
      <c r="E108" s="21">
        <f>E106/E107-1</f>
        <v>0.2014825486502656</v>
      </c>
    </row>
    <row r="109" spans="2:10" ht="13.95" customHeight="1" x14ac:dyDescent="0.3">
      <c r="B109" s="5" t="s">
        <v>573</v>
      </c>
      <c r="C109" s="61">
        <f>C106*C$10</f>
        <v>32906.129420055557</v>
      </c>
      <c r="D109" s="61">
        <f>D106*D$10</f>
        <v>48179.748694338537</v>
      </c>
      <c r="E109" s="61">
        <f>E106*E$10</f>
        <v>67069.600209368306</v>
      </c>
      <c r="J109" s="14" t="s">
        <v>574</v>
      </c>
    </row>
    <row r="110" spans="2:10" ht="13.95" customHeight="1" x14ac:dyDescent="0.3">
      <c r="B110" s="5" t="s">
        <v>211</v>
      </c>
      <c r="C110" s="68">
        <f>C109/C107-1</f>
        <v>-0.41052071104635257</v>
      </c>
      <c r="D110" s="68">
        <f>D109/D107-1</f>
        <v>-0.13690961219539999</v>
      </c>
      <c r="E110" s="68">
        <f>E109/E107-1</f>
        <v>0.2014825486502656</v>
      </c>
    </row>
    <row r="111" spans="2:10" ht="13.95" customHeight="1" x14ac:dyDescent="0.3">
      <c r="B111" s="8" t="s">
        <v>575</v>
      </c>
      <c r="C111" s="65">
        <f>C97+(C107-C106)/(C98*FadeYears/2/((C95-gLT)*(1+C95)^C100))</f>
        <v>0.25946641157207351</v>
      </c>
      <c r="D111" s="40">
        <f>D97+(D107-D106)/(D98*FadeYears/2/((D95-gLT)*(1+D95)^D100))</f>
        <v>9.2096280339712816E-2</v>
      </c>
      <c r="E111" s="65">
        <f>E97+(E107-E106)/(E98*FadeYears/2/((E95-gLT)*(1+E95)^E100))</f>
        <v>1.6981979734703792E-3</v>
      </c>
      <c r="J111" s="14" t="s">
        <v>576</v>
      </c>
    </row>
    <row r="112" spans="2:10" ht="13.95" customHeight="1" x14ac:dyDescent="0.3">
      <c r="B112" s="64" t="s">
        <v>577</v>
      </c>
      <c r="C112" s="69">
        <f>DCF!C48</f>
        <v>0.14500000000000002</v>
      </c>
      <c r="D112" s="69">
        <f>DCF!D48</f>
        <v>0.12759999999999999</v>
      </c>
      <c r="E112" s="69">
        <f>DCF!E48</f>
        <v>0.11499999999999999</v>
      </c>
    </row>
    <row r="113" spans="2:10" ht="13.95" customHeight="1" x14ac:dyDescent="0.3">
      <c r="B113" s="64" t="s">
        <v>578</v>
      </c>
      <c r="C113" s="62">
        <f>NPV(C112,$E$89:$H$89)+$H$89*(1+gLT)/(C112-gLT)/(1+C112)^C100-C104</f>
        <v>35195.505830703121</v>
      </c>
      <c r="D113" s="62">
        <f>NPV(D112,$E$89:$H$89)+$H$89*(1+gLT)/(D112-gLT)/(1+D112)^D100-D104</f>
        <v>43336.293944616758</v>
      </c>
      <c r="E113" s="62">
        <f>NPV(E112,$E$89:$H$89)+$H$89*(1+gLT)/(E112-gLT)/(1+E112)^E100-E104</f>
        <v>51885.595574897823</v>
      </c>
      <c r="J113" s="14" t="s">
        <v>579</v>
      </c>
    </row>
    <row r="114" spans="2:10" ht="13.95" customHeight="1" x14ac:dyDescent="0.3">
      <c r="B114" s="64" t="s">
        <v>580</v>
      </c>
      <c r="C114" s="62">
        <f>C113</f>
        <v>35195.505830703121</v>
      </c>
      <c r="D114" s="62">
        <f>D113</f>
        <v>43336.293944616758</v>
      </c>
      <c r="E114" s="62">
        <f>E113</f>
        <v>51885.595574897823</v>
      </c>
      <c r="J114" s="14" t="s">
        <v>581</v>
      </c>
    </row>
    <row r="117" spans="2:10" ht="13.95" customHeight="1" x14ac:dyDescent="0.3">
      <c r="B117" s="139" t="s">
        <v>583</v>
      </c>
      <c r="C117" s="139"/>
      <c r="D117" s="139"/>
      <c r="E117" s="139"/>
      <c r="F117" s="139"/>
      <c r="G117" s="139"/>
      <c r="H117" s="139"/>
      <c r="I117" s="139"/>
      <c r="J117" s="139"/>
    </row>
    <row r="118" spans="2:10" ht="13.95" customHeight="1" x14ac:dyDescent="0.3">
      <c r="B118" s="17"/>
      <c r="C118" s="18" t="s">
        <v>121</v>
      </c>
      <c r="D118" s="18" t="s">
        <v>122</v>
      </c>
      <c r="E118" s="18" t="s">
        <v>123</v>
      </c>
      <c r="F118" s="18" t="s">
        <v>124</v>
      </c>
      <c r="G118" s="18" t="s">
        <v>125</v>
      </c>
      <c r="H118" s="18" t="s">
        <v>126</v>
      </c>
      <c r="J118" s="18" t="s">
        <v>191</v>
      </c>
    </row>
    <row r="119" spans="2:10" ht="13.95" customHeight="1" x14ac:dyDescent="0.3">
      <c r="B119" s="64" t="s">
        <v>521</v>
      </c>
      <c r="C119" s="65">
        <f>'Box Shares'!D21</f>
        <v>0.10558338915495054</v>
      </c>
      <c r="D119" s="65">
        <f>'Box Shares'!E21</f>
        <v>0.11218492273504395</v>
      </c>
      <c r="E119" s="65">
        <f>D119</f>
        <v>0.11218492273504395</v>
      </c>
      <c r="F119" s="65">
        <f>E119</f>
        <v>0.11218492273504395</v>
      </c>
      <c r="G119" s="65">
        <f>F119</f>
        <v>0.11218492273504395</v>
      </c>
      <c r="H119" s="65">
        <f>G119</f>
        <v>0.11218492273504395</v>
      </c>
      <c r="J119" s="14" t="s">
        <v>522</v>
      </c>
    </row>
    <row r="120" spans="2:10" ht="13.95" customHeight="1" x14ac:dyDescent="0.3">
      <c r="B120" s="8" t="s">
        <v>138</v>
      </c>
      <c r="C120" s="20">
        <f>DCF!N13*C119</f>
        <v>16779.417787893894</v>
      </c>
      <c r="D120" s="20">
        <f>DCF!O13*D119</f>
        <v>18372.412611395412</v>
      </c>
      <c r="E120" s="20">
        <f>DCF!P13*E119</f>
        <v>19489.455298168254</v>
      </c>
      <c r="F120" s="20">
        <f>DCF!Q13*F119</f>
        <v>20674.414180296884</v>
      </c>
      <c r="G120" s="20">
        <f>DCF!R13*G119</f>
        <v>21931.418562458934</v>
      </c>
      <c r="H120" s="20">
        <f>DCF!S13*H119</f>
        <v>23264.848811056439</v>
      </c>
      <c r="J120" s="14" t="s">
        <v>523</v>
      </c>
    </row>
    <row r="121" spans="2:10" ht="13.95" customHeight="1" x14ac:dyDescent="0.3">
      <c r="B121" s="64" t="s">
        <v>524</v>
      </c>
      <c r="C121" s="65">
        <f>'Box Shares'!G21</f>
        <v>9.3515305351814196E-2</v>
      </c>
      <c r="D121" s="65">
        <f>'Box Shares'!H21</f>
        <v>0.10053885129004453</v>
      </c>
      <c r="E121" s="65">
        <f>'Box Shares'!I21</f>
        <v>0.10599900182268422</v>
      </c>
      <c r="F121" s="65">
        <f>E121</f>
        <v>0.10599900182268422</v>
      </c>
      <c r="G121" s="65">
        <f>F121</f>
        <v>0.10599900182268422</v>
      </c>
      <c r="H121" s="65">
        <f>G121</f>
        <v>0.10599900182268422</v>
      </c>
      <c r="J121" s="14" t="s">
        <v>525</v>
      </c>
    </row>
    <row r="122" spans="2:10" ht="13.95" customHeight="1" x14ac:dyDescent="0.3">
      <c r="B122" s="8" t="s">
        <v>149</v>
      </c>
      <c r="C122" s="20">
        <f>DCF!N19*C121</f>
        <v>3093.4863010380136</v>
      </c>
      <c r="D122" s="20">
        <f>DCF!O19*D121</f>
        <v>3507.0967495506234</v>
      </c>
      <c r="E122" s="20">
        <f>DCF!P19*E121</f>
        <v>3956.0958060162388</v>
      </c>
      <c r="F122" s="20">
        <f>DCF!Q19*F121</f>
        <v>4196.6264310220267</v>
      </c>
      <c r="G122" s="20">
        <f>DCF!R19*G121</f>
        <v>4451.7813180281655</v>
      </c>
      <c r="H122" s="20">
        <f>DCF!S19*H121</f>
        <v>4722.4496221642785</v>
      </c>
    </row>
    <row r="123" spans="2:10" ht="13.95" customHeight="1" x14ac:dyDescent="0.3">
      <c r="B123" s="64" t="s">
        <v>526</v>
      </c>
      <c r="C123" s="65">
        <f>'Box Shares'!J21</f>
        <v>8.5481331450433559E-2</v>
      </c>
      <c r="D123" s="65">
        <f>'Box Shares'!K21</f>
        <v>9.1865830268510279E-2</v>
      </c>
      <c r="E123" s="65">
        <f>'Box Shares'!L21</f>
        <v>9.744481626063714E-2</v>
      </c>
      <c r="F123" s="65">
        <f>E123</f>
        <v>9.744481626063714E-2</v>
      </c>
      <c r="G123" s="65">
        <f>F123</f>
        <v>9.744481626063714E-2</v>
      </c>
      <c r="H123" s="65">
        <f>G123</f>
        <v>9.744481626063714E-2</v>
      </c>
      <c r="J123" s="14" t="s">
        <v>527</v>
      </c>
    </row>
    <row r="124" spans="2:10" ht="13.95" customHeight="1" x14ac:dyDescent="0.3">
      <c r="B124" s="8" t="s">
        <v>152</v>
      </c>
      <c r="C124" s="20">
        <f>DCF!N21*C123</f>
        <v>4216.2811924611851</v>
      </c>
      <c r="D124" s="20">
        <f>DCF!O21*D123</f>
        <v>4659.1593137280361</v>
      </c>
      <c r="E124" s="20">
        <f>DCF!P21*E123</f>
        <v>5066.8371366561869</v>
      </c>
      <c r="F124" s="20">
        <f>DCF!Q21*F123</f>
        <v>5387.3937120411874</v>
      </c>
      <c r="G124" s="20">
        <f>DCF!R21*G123</f>
        <v>5714.9472497332918</v>
      </c>
      <c r="H124" s="20">
        <f>DCF!S21*H123</f>
        <v>6062.4160425170758</v>
      </c>
    </row>
    <row r="125" spans="2:10" ht="13.95" customHeight="1" x14ac:dyDescent="0.3">
      <c r="B125" s="64" t="s">
        <v>528</v>
      </c>
      <c r="C125" s="65">
        <f>'Box Shares'!P21</f>
        <v>0.1369081089086292</v>
      </c>
      <c r="D125" s="65">
        <f>'Box Shares'!Q21</f>
        <v>0.14132059013869358</v>
      </c>
      <c r="E125" s="65">
        <f>D125</f>
        <v>0.14132059013869358</v>
      </c>
      <c r="F125" s="65">
        <f>E125</f>
        <v>0.14132059013869358</v>
      </c>
      <c r="G125" s="65">
        <f>F125</f>
        <v>0.14132059013869358</v>
      </c>
      <c r="H125" s="65">
        <f>G125</f>
        <v>0.14132059013869358</v>
      </c>
      <c r="J125" s="14" t="s">
        <v>529</v>
      </c>
    </row>
    <row r="126" spans="2:10" ht="13.95" customHeight="1" x14ac:dyDescent="0.3">
      <c r="B126" s="8" t="s">
        <v>173</v>
      </c>
      <c r="C126" s="20">
        <f>DCF!N33*C125</f>
        <v>-2623.0224585804267</v>
      </c>
      <c r="D126" s="20">
        <f>DCF!O33*D125</f>
        <v>-2732.1509691513629</v>
      </c>
      <c r="E126" s="20">
        <f>DCF!P33*E125</f>
        <v>-2700.6191052929298</v>
      </c>
      <c r="F126" s="20">
        <f>DCF!Q33*F125</f>
        <v>-2864.8167468947399</v>
      </c>
      <c r="G126" s="20">
        <f>DCF!R33*G125</f>
        <v>-2486.4525859957689</v>
      </c>
      <c r="H126" s="20">
        <f>DCF!S33*H125</f>
        <v>-2637.6289032243121</v>
      </c>
    </row>
    <row r="127" spans="2:10" ht="13.95" customHeight="1" x14ac:dyDescent="0.3">
      <c r="B127" s="64" t="s">
        <v>530</v>
      </c>
      <c r="C127" s="65">
        <f>'Box Shares'!M21</f>
        <v>7.6659923345471892E-2</v>
      </c>
      <c r="D127" s="65">
        <f>'Box Shares'!N21</f>
        <v>8.891948976656959E-2</v>
      </c>
      <c r="E127" s="65">
        <f>'Box Shares'!O21</f>
        <v>9.8542148372668933E-2</v>
      </c>
      <c r="F127" s="65">
        <f>E127</f>
        <v>9.8542148372668933E-2</v>
      </c>
      <c r="G127" s="65">
        <f>F127</f>
        <v>9.8542148372668933E-2</v>
      </c>
      <c r="H127" s="65">
        <f>G127</f>
        <v>9.8542148372668933E-2</v>
      </c>
      <c r="J127" s="14" t="s">
        <v>531</v>
      </c>
    </row>
    <row r="128" spans="2:10" ht="13.95" customHeight="1" x14ac:dyDescent="0.3">
      <c r="B128" s="8" t="s">
        <v>532</v>
      </c>
      <c r="C128" s="20">
        <f>DCF!N29*C127</f>
        <v>1606.6386734743999</v>
      </c>
      <c r="D128" s="20">
        <f>DCF!O29*D127</f>
        <v>1926.5296652824968</v>
      </c>
      <c r="E128" s="20">
        <f>DCF!P29*E127</f>
        <v>2283.9113728333477</v>
      </c>
      <c r="F128" s="20">
        <f>DCF!Q29*F127</f>
        <v>2422.7731843016159</v>
      </c>
      <c r="G128" s="20">
        <f>DCF!R29*G127</f>
        <v>2570.0777939071531</v>
      </c>
      <c r="H128" s="20">
        <f>DCF!S29*H127</f>
        <v>2726.3385237767088</v>
      </c>
    </row>
    <row r="129" spans="2:10" ht="13.95" customHeight="1" x14ac:dyDescent="0.3">
      <c r="B129" s="8" t="s">
        <v>533</v>
      </c>
      <c r="C129" s="20">
        <f t="shared" ref="C129:H129" si="13">C124-C122</f>
        <v>1122.7948914231715</v>
      </c>
      <c r="D129" s="20">
        <f t="shared" si="13"/>
        <v>1152.0625641774127</v>
      </c>
      <c r="E129" s="20">
        <f t="shared" si="13"/>
        <v>1110.741330639948</v>
      </c>
      <c r="F129" s="20">
        <f t="shared" si="13"/>
        <v>1190.7672810191607</v>
      </c>
      <c r="G129" s="20">
        <f t="shared" si="13"/>
        <v>1263.1659317051262</v>
      </c>
      <c r="H129" s="20">
        <f t="shared" si="13"/>
        <v>1339.9664203527973</v>
      </c>
    </row>
    <row r="130" spans="2:10" ht="13.95" customHeight="1" x14ac:dyDescent="0.3">
      <c r="B130" s="8" t="s">
        <v>534</v>
      </c>
      <c r="C130" s="40">
        <f>DCF!N25</f>
        <v>-0.24</v>
      </c>
      <c r="D130" s="40">
        <f>DCF!O25</f>
        <v>-0.24</v>
      </c>
      <c r="E130" s="40">
        <f>DCF!P25</f>
        <v>-0.24</v>
      </c>
      <c r="F130" s="40">
        <f>DCF!Q25</f>
        <v>-0.24</v>
      </c>
      <c r="G130" s="40">
        <f>DCF!R25</f>
        <v>-0.24</v>
      </c>
      <c r="H130" s="40">
        <f>DCF!S25</f>
        <v>-0.24</v>
      </c>
      <c r="J130" s="14" t="s">
        <v>535</v>
      </c>
    </row>
    <row r="131" spans="2:10" ht="13.95" customHeight="1" x14ac:dyDescent="0.3">
      <c r="B131" s="8" t="s">
        <v>536</v>
      </c>
      <c r="C131" s="20">
        <f t="shared" ref="C131:H131" si="14">C122*(1+C130)</f>
        <v>2351.0495887888906</v>
      </c>
      <c r="D131" s="20">
        <f t="shared" si="14"/>
        <v>2665.3935296584737</v>
      </c>
      <c r="E131" s="20">
        <f t="shared" si="14"/>
        <v>3006.6328125723417</v>
      </c>
      <c r="F131" s="20">
        <f t="shared" si="14"/>
        <v>3189.4360875767402</v>
      </c>
      <c r="G131" s="20">
        <f t="shared" si="14"/>
        <v>3383.3538017014057</v>
      </c>
      <c r="H131" s="20">
        <f t="shared" si="14"/>
        <v>3589.0617128448516</v>
      </c>
    </row>
    <row r="132" spans="2:10" ht="13.95" customHeight="1" x14ac:dyDescent="0.3">
      <c r="B132" s="8" t="s">
        <v>537</v>
      </c>
      <c r="C132" s="20">
        <f t="shared" ref="C132:H132" si="15">-NWCpct*C120</f>
        <v>-671.17671151575576</v>
      </c>
      <c r="D132" s="20">
        <f t="shared" si="15"/>
        <v>-734.89650445581651</v>
      </c>
      <c r="E132" s="20">
        <f t="shared" si="15"/>
        <v>-779.57821192673021</v>
      </c>
      <c r="F132" s="20">
        <f t="shared" si="15"/>
        <v>-826.97656721187536</v>
      </c>
      <c r="G132" s="20">
        <f t="shared" si="15"/>
        <v>-877.25674249835731</v>
      </c>
      <c r="H132" s="20">
        <f t="shared" si="15"/>
        <v>-930.59395244225755</v>
      </c>
    </row>
    <row r="133" spans="2:10" ht="13.95" customHeight="1" x14ac:dyDescent="0.3">
      <c r="B133" s="8" t="s">
        <v>172</v>
      </c>
      <c r="D133" s="20">
        <f>D132-C132</f>
        <v>-63.719792940060756</v>
      </c>
      <c r="E133" s="20">
        <f>E132-D132</f>
        <v>-44.681707470913693</v>
      </c>
      <c r="F133" s="20">
        <f>F132-E132</f>
        <v>-47.398355285145158</v>
      </c>
      <c r="G133" s="20">
        <f>G132-F132</f>
        <v>-50.280175286481949</v>
      </c>
      <c r="H133" s="20">
        <f>H132-G132</f>
        <v>-53.337209943900234</v>
      </c>
    </row>
    <row r="134" spans="2:10" ht="13.95" customHeight="1" x14ac:dyDescent="0.3">
      <c r="B134" s="8" t="s">
        <v>177</v>
      </c>
      <c r="C134" s="20">
        <f t="shared" ref="C134:H134" si="16">C129+C131+C126+C132</f>
        <v>179.64531011587962</v>
      </c>
      <c r="D134" s="20">
        <f t="shared" si="16"/>
        <v>350.40862022870692</v>
      </c>
      <c r="E134" s="20">
        <f t="shared" si="16"/>
        <v>637.17682599262969</v>
      </c>
      <c r="F134" s="20">
        <f t="shared" si="16"/>
        <v>688.41005448928604</v>
      </c>
      <c r="G134" s="20">
        <f t="shared" si="16"/>
        <v>1282.8104049124063</v>
      </c>
      <c r="H134" s="20">
        <f t="shared" si="16"/>
        <v>1360.8052775310798</v>
      </c>
    </row>
    <row r="135" spans="2:10" ht="13.95" customHeight="1" x14ac:dyDescent="0.3">
      <c r="B135" s="8" t="s">
        <v>179</v>
      </c>
      <c r="D135" s="20">
        <f>D129+D131+D126+D133</f>
        <v>1021.5853317444627</v>
      </c>
      <c r="E135" s="20">
        <f>E129+E131+E126+E133</f>
        <v>1372.0733304484461</v>
      </c>
      <c r="F135" s="20">
        <f>F129+F131+F126+F133</f>
        <v>1467.9882664160164</v>
      </c>
      <c r="G135" s="20">
        <f>G129+G131+G126+G133</f>
        <v>2109.7869721242814</v>
      </c>
      <c r="H135" s="20">
        <f>H129+H131+H126+H133</f>
        <v>2238.062020029437</v>
      </c>
    </row>
    <row r="136" spans="2:10" ht="13.95" customHeight="1" x14ac:dyDescent="0.3">
      <c r="B136" s="8" t="s">
        <v>538</v>
      </c>
      <c r="C136" s="20">
        <f>C134</f>
        <v>179.64531011587962</v>
      </c>
      <c r="D136" s="20">
        <f>IF(FixNWC=1,D135,D134)</f>
        <v>350.40862022870692</v>
      </c>
      <c r="E136" s="20">
        <f>IF(FixNWC=1,E135,E134)</f>
        <v>637.17682599262969</v>
      </c>
      <c r="F136" s="20">
        <f>IF(FixNWC=1,F135,F134)</f>
        <v>688.41005448928604</v>
      </c>
      <c r="G136" s="20">
        <f>IF(FixNWC=1,G135,G134)</f>
        <v>1282.8104049124063</v>
      </c>
      <c r="H136" s="20">
        <f>IF(FixNWC=1,H135,H134)</f>
        <v>1360.8052775310798</v>
      </c>
      <c r="J136" s="14" t="s">
        <v>539</v>
      </c>
    </row>
    <row r="137" spans="2:10" ht="13.95" customHeight="1" x14ac:dyDescent="0.3">
      <c r="B137" s="8" t="s">
        <v>540</v>
      </c>
      <c r="C137" s="20">
        <f>C126</f>
        <v>-2623.0224585804267</v>
      </c>
      <c r="D137" s="20">
        <f>D126</f>
        <v>-2732.1509691513629</v>
      </c>
      <c r="E137" s="20">
        <f>-(E129+DCF!P11*E131/'Box Shares'!$E$46)</f>
        <v>-2131.6141745430359</v>
      </c>
      <c r="F137" s="20">
        <f>-(F129+DCF!Q11*F131/'Box Shares'!$E$46)</f>
        <v>-2273.7091938315561</v>
      </c>
      <c r="G137" s="20">
        <f>-(G129+DCF!R11*G131/'Box Shares'!$E$46)</f>
        <v>-2411.9507128165151</v>
      </c>
      <c r="H137" s="20">
        <f>-(H129+DCF!S11*H131/'Box Shares'!$E$46)</f>
        <v>-2558.5973161557586</v>
      </c>
      <c r="J137" s="14" t="s">
        <v>541</v>
      </c>
    </row>
    <row r="138" spans="2:10" ht="13.95" customHeight="1" x14ac:dyDescent="0.3">
      <c r="B138" s="8" t="s">
        <v>542</v>
      </c>
      <c r="C138" s="20">
        <f>C134</f>
        <v>179.64531011587962</v>
      </c>
      <c r="D138" s="20">
        <f>D129+D131+D137+D133</f>
        <v>1021.5853317444627</v>
      </c>
      <c r="E138" s="20">
        <f>E129+E131+E137+E133</f>
        <v>1941.07826119834</v>
      </c>
      <c r="F138" s="20">
        <f>F129+F131+F137+F133</f>
        <v>2059.0958194792001</v>
      </c>
      <c r="G138" s="20">
        <f>G129+G131+G137+G133</f>
        <v>2184.2888453035353</v>
      </c>
      <c r="H138" s="20">
        <f>H129+H131+H137+H133</f>
        <v>2317.0936070979906</v>
      </c>
    </row>
    <row r="139" spans="2:10" ht="13.95" customHeight="1" x14ac:dyDescent="0.3">
      <c r="B139" s="5" t="s">
        <v>543</v>
      </c>
      <c r="C139" s="61">
        <f t="shared" ref="C139:H139" si="17">IF(BoxCF=1,C138,C136)</f>
        <v>179.64531011587962</v>
      </c>
      <c r="D139" s="61">
        <f t="shared" si="17"/>
        <v>1021.5853317444627</v>
      </c>
      <c r="E139" s="61">
        <f t="shared" si="17"/>
        <v>1941.07826119834</v>
      </c>
      <c r="F139" s="61">
        <f t="shared" si="17"/>
        <v>2059.0958194792001</v>
      </c>
      <c r="G139" s="61">
        <f t="shared" si="17"/>
        <v>2184.2888453035353</v>
      </c>
      <c r="H139" s="61">
        <f t="shared" si="17"/>
        <v>2317.0936070979906</v>
      </c>
      <c r="J139" s="14" t="s">
        <v>544</v>
      </c>
    </row>
    <row r="141" spans="2:10" ht="13.95" customHeight="1" x14ac:dyDescent="0.3">
      <c r="B141" s="17" t="s">
        <v>548</v>
      </c>
      <c r="C141" s="18" t="s">
        <v>31</v>
      </c>
      <c r="D141" s="18" t="s">
        <v>32</v>
      </c>
      <c r="E141" s="18" t="s">
        <v>33</v>
      </c>
    </row>
    <row r="142" spans="2:10" ht="13.95" customHeight="1" x14ac:dyDescent="0.3">
      <c r="B142" s="8" t="s">
        <v>549</v>
      </c>
      <c r="C142" s="53">
        <f>'Box Rates'!C23</f>
        <v>0.15402706580272349</v>
      </c>
      <c r="D142" s="53">
        <f>'Box Rates'!D23</f>
        <v>0.13662706580272349</v>
      </c>
      <c r="E142" s="53">
        <f>'Box Rates'!E23</f>
        <v>0.12402706580272349</v>
      </c>
      <c r="J142" s="14" t="s">
        <v>550</v>
      </c>
    </row>
    <row r="143" spans="2:10" ht="13.95" customHeight="1" x14ac:dyDescent="0.3">
      <c r="B143" s="8" t="s">
        <v>551</v>
      </c>
      <c r="C143" s="21">
        <f>'Box Earnings'!C23</f>
        <v>-0.3538591520375457</v>
      </c>
      <c r="D143" s="21">
        <f>'Box Earnings'!D23</f>
        <v>0</v>
      </c>
      <c r="E143" s="21">
        <f>'Box Earnings'!E23</f>
        <v>0.3538591520375457</v>
      </c>
      <c r="J143" s="14" t="s">
        <v>552</v>
      </c>
    </row>
    <row r="144" spans="2:10" ht="13.95" customHeight="1" x14ac:dyDescent="0.3">
      <c r="B144" s="8" t="s">
        <v>553</v>
      </c>
      <c r="C144" s="40">
        <f>IF(BoxGrowth=1,'Box Shares'!$I$46,gLT)</f>
        <v>4.7E-2</v>
      </c>
      <c r="D144" s="40">
        <f>IF(BoxGrowth=1,'Box Shares'!$I$46,gLT)</f>
        <v>4.7E-2</v>
      </c>
      <c r="E144" s="40">
        <f>IF(BoxGrowth=1,'Box Shares'!$I$46,gLT)</f>
        <v>4.7E-2</v>
      </c>
      <c r="J144" s="14" t="s">
        <v>554</v>
      </c>
    </row>
    <row r="145" spans="2:10" ht="13.95" customHeight="1" x14ac:dyDescent="0.3">
      <c r="B145" s="8" t="s">
        <v>555</v>
      </c>
      <c r="C145" s="20">
        <f>$H$139*(1+C143)</f>
        <v>1497.1688280986775</v>
      </c>
      <c r="D145" s="20">
        <f>$H$139*(1+D143)</f>
        <v>2317.0936070979906</v>
      </c>
      <c r="E145" s="20">
        <f>$H$139*(1+E143)</f>
        <v>3137.0183860973034</v>
      </c>
    </row>
    <row r="146" spans="2:10" ht="13.95" customHeight="1" x14ac:dyDescent="0.3">
      <c r="B146" s="8" t="s">
        <v>556</v>
      </c>
      <c r="C146" s="20">
        <f>IF(FadeMode=0,C145*((1+gLT)+FadeYears/2*(C144-gLT))/(C142-gLT),'Box Fade'!$C$86)</f>
        <v>14646.162176478416</v>
      </c>
      <c r="D146" s="20">
        <f>IF(FadeMode=0,D145*((1+gLT)+FadeYears/2*(D144-gLT))/(D142-gLT),'Box Fade'!$C$96)</f>
        <v>27067.683014095473</v>
      </c>
      <c r="E146" s="20">
        <f>IF(FadeMode=0,E145*((1+gLT)+FadeYears/2*(E144-gLT))/(E142-gLT),'Box Fade'!$C$106)</f>
        <v>42640.313713309668</v>
      </c>
      <c r="J146" s="14" t="s">
        <v>557</v>
      </c>
    </row>
    <row r="147" spans="2:10" ht="13.95" customHeight="1" x14ac:dyDescent="0.3">
      <c r="B147" s="8" t="s">
        <v>558</v>
      </c>
      <c r="C147" s="67">
        <f>5-FixTV</f>
        <v>5</v>
      </c>
      <c r="D147" s="67">
        <f>5-FixTV</f>
        <v>5</v>
      </c>
      <c r="E147" s="67">
        <f>5-FixTV</f>
        <v>5</v>
      </c>
    </row>
    <row r="148" spans="2:10" ht="13.95" customHeight="1" x14ac:dyDescent="0.3">
      <c r="B148" s="8" t="s">
        <v>559</v>
      </c>
      <c r="C148" s="20">
        <f>(1+C143)*NPV(C142,$E$139:$H$139)</f>
        <v>3848.260996838439</v>
      </c>
      <c r="D148" s="20">
        <f>(1+D143)*NPV(D142,$E$139:$H$139)</f>
        <v>6177.3372484111169</v>
      </c>
      <c r="E148" s="20">
        <f>(1+E143)*NPV(E142,$E$139:$H$139)</f>
        <v>8591.9990453340342</v>
      </c>
    </row>
    <row r="149" spans="2:10" ht="13.95" customHeight="1" x14ac:dyDescent="0.3">
      <c r="B149" s="8" t="s">
        <v>204</v>
      </c>
      <c r="C149" s="20">
        <f>C146/(1+C142)^C147</f>
        <v>7155.5639227668808</v>
      </c>
      <c r="D149" s="20">
        <f>D146/(1+D142)^D147</f>
        <v>14267.934757242832</v>
      </c>
      <c r="E149" s="20">
        <f>E146/(1+E142)^E147</f>
        <v>23764.930407443666</v>
      </c>
    </row>
    <row r="150" spans="2:10" ht="13.95" customHeight="1" x14ac:dyDescent="0.3">
      <c r="B150" s="8" t="s">
        <v>560</v>
      </c>
      <c r="C150" s="20">
        <f>C148+C149</f>
        <v>11003.82491960532</v>
      </c>
      <c r="D150" s="20">
        <f>D148+D149</f>
        <v>20445.272005653947</v>
      </c>
      <c r="E150" s="20">
        <f>E148+E149</f>
        <v>32356.929452777702</v>
      </c>
    </row>
    <row r="151" spans="2:10" ht="13.95" customHeight="1" x14ac:dyDescent="0.3">
      <c r="B151" s="8" t="s">
        <v>206</v>
      </c>
      <c r="C151" s="20">
        <f>IF(FixND=1,NDmult*DCF!$M$21*$C$123,0)</f>
        <v>0</v>
      </c>
      <c r="D151" s="20">
        <f>IF(FixND=1,NDmult*DCF!$M$21*$C$123,0)</f>
        <v>0</v>
      </c>
      <c r="E151" s="20">
        <f>IF(FixND=1,NDmult*DCF!$M$21*$C$123,0)</f>
        <v>0</v>
      </c>
      <c r="J151" s="14" t="s">
        <v>561</v>
      </c>
    </row>
    <row r="152" spans="2:10" ht="13.95" customHeight="1" x14ac:dyDescent="0.3">
      <c r="B152" s="8" t="s">
        <v>562</v>
      </c>
      <c r="C152" s="16">
        <f>C150-C151</f>
        <v>11003.82491960532</v>
      </c>
      <c r="D152" s="16">
        <f>D150-D151</f>
        <v>20445.272005653947</v>
      </c>
      <c r="E152" s="16">
        <f>E150-E151</f>
        <v>32356.929452777702</v>
      </c>
      <c r="J152" s="14" t="s">
        <v>563</v>
      </c>
    </row>
    <row r="153" spans="2:10" ht="13.95" customHeight="1" x14ac:dyDescent="0.3">
      <c r="B153" s="5" t="s">
        <v>569</v>
      </c>
      <c r="C153" s="16">
        <f>C152</f>
        <v>11003.82491960532</v>
      </c>
      <c r="D153" s="16">
        <f>D152</f>
        <v>20445.272005653947</v>
      </c>
      <c r="E153" s="16">
        <f>E152</f>
        <v>32356.929452777702</v>
      </c>
      <c r="J153" s="14" t="s">
        <v>570</v>
      </c>
    </row>
    <row r="154" spans="2:10" ht="13.95" customHeight="1" x14ac:dyDescent="0.3">
      <c r="B154" s="8" t="s">
        <v>571</v>
      </c>
      <c r="C154" s="20">
        <f>'Box Shares'!$C$9</f>
        <v>26271.074646272005</v>
      </c>
      <c r="D154" s="20">
        <f>'Box Shares'!$C$9</f>
        <v>26271.074646272005</v>
      </c>
      <c r="E154" s="20">
        <f>'Box Shares'!$C$9</f>
        <v>26271.074646272005</v>
      </c>
    </row>
    <row r="155" spans="2:10" ht="13.95" customHeight="1" x14ac:dyDescent="0.3">
      <c r="B155" s="8" t="s">
        <v>572</v>
      </c>
      <c r="C155" s="21">
        <f>C153/C154-1</f>
        <v>-0.58114294646234366</v>
      </c>
      <c r="D155" s="21">
        <f>D153/D154-1</f>
        <v>-0.22175730224438184</v>
      </c>
      <c r="E155" s="21">
        <f>E153/E154-1</f>
        <v>0.23165610423056338</v>
      </c>
    </row>
    <row r="156" spans="2:10" ht="13.95" customHeight="1" x14ac:dyDescent="0.3">
      <c r="B156" s="5" t="s">
        <v>573</v>
      </c>
      <c r="C156" s="61">
        <f>C153*C$10</f>
        <v>11003.82491960532</v>
      </c>
      <c r="D156" s="61">
        <f>D153*D$10</f>
        <v>20445.272005653947</v>
      </c>
      <c r="E156" s="61">
        <f>E153*E$10</f>
        <v>32356.929452777702</v>
      </c>
      <c r="J156" s="14" t="s">
        <v>574</v>
      </c>
    </row>
    <row r="157" spans="2:10" ht="13.95" customHeight="1" x14ac:dyDescent="0.3">
      <c r="B157" s="5" t="s">
        <v>211</v>
      </c>
      <c r="C157" s="68">
        <f>C156/C154-1</f>
        <v>-0.58114294646234366</v>
      </c>
      <c r="D157" s="68">
        <f>D156/D154-1</f>
        <v>-0.22175730224438184</v>
      </c>
      <c r="E157" s="68">
        <f>E156/E154-1</f>
        <v>0.23165610423056338</v>
      </c>
    </row>
    <row r="158" spans="2:10" ht="13.95" customHeight="1" x14ac:dyDescent="0.3">
      <c r="B158" s="8" t="s">
        <v>575</v>
      </c>
      <c r="C158" s="65">
        <f>C144+(C154-C153)/(C145*FadeYears/2/((C142-gLT)*(1+C142)^C147))</f>
        <v>0.49377989425714147</v>
      </c>
      <c r="D158" s="40">
        <f>D144+(D154-D153)/(D145*FadeYears/2/((D142-gLT)*(1+D142)^D147))</f>
        <v>0.13250102686207976</v>
      </c>
      <c r="E158" s="65">
        <f>E144+(E154-E153)/(E145*FadeYears/2/((E142-gLT)*(1+E142)^E147))</f>
        <v>-6.6243100498679097E-3</v>
      </c>
      <c r="J158" s="14" t="s">
        <v>576</v>
      </c>
    </row>
    <row r="159" spans="2:10" ht="13.95" customHeight="1" x14ac:dyDescent="0.3">
      <c r="B159" s="64" t="s">
        <v>577</v>
      </c>
      <c r="C159" s="69">
        <f>DCF!C48</f>
        <v>0.14500000000000002</v>
      </c>
      <c r="D159" s="69">
        <f>DCF!D48</f>
        <v>0.12759999999999999</v>
      </c>
      <c r="E159" s="69">
        <f>DCF!E48</f>
        <v>0.11499999999999999</v>
      </c>
    </row>
    <row r="160" spans="2:10" ht="13.95" customHeight="1" x14ac:dyDescent="0.3">
      <c r="B160" s="64" t="s">
        <v>578</v>
      </c>
      <c r="C160" s="62">
        <f>NPV(C159,$E$136:$H$136)+$H$136*(1+gLT)/(C159-gLT)/(1+C159)^C147-C151</f>
        <v>10115.228721376077</v>
      </c>
      <c r="D160" s="62">
        <f>NPV(D159,$E$136:$H$136)+$H$136*(1+gLT)/(D159-gLT)/(1+D159)^D147-D151</f>
        <v>12539.859391789703</v>
      </c>
      <c r="E160" s="62">
        <f>NPV(E159,$E$136:$H$136)+$H$136*(1+gLT)/(E159-gLT)/(1+E159)^E147-E151</f>
        <v>15088.963349536241</v>
      </c>
      <c r="J160" s="14" t="s">
        <v>579</v>
      </c>
    </row>
    <row r="161" spans="2:10" ht="13.95" customHeight="1" x14ac:dyDescent="0.3">
      <c r="B161" s="64" t="s">
        <v>580</v>
      </c>
      <c r="C161" s="62">
        <f>C160</f>
        <v>10115.228721376077</v>
      </c>
      <c r="D161" s="62">
        <f>D160</f>
        <v>12539.859391789703</v>
      </c>
      <c r="E161" s="62">
        <f>E160</f>
        <v>15088.963349536241</v>
      </c>
      <c r="J161" s="14" t="s">
        <v>581</v>
      </c>
    </row>
    <row r="164" spans="2:10" ht="13.95" customHeight="1" x14ac:dyDescent="0.3">
      <c r="B164" s="139" t="s">
        <v>584</v>
      </c>
      <c r="C164" s="139"/>
      <c r="D164" s="139"/>
      <c r="E164" s="139"/>
      <c r="F164" s="139"/>
      <c r="G164" s="139"/>
      <c r="H164" s="139"/>
      <c r="I164" s="139"/>
      <c r="J164" s="139"/>
    </row>
    <row r="165" spans="2:10" ht="13.95" customHeight="1" x14ac:dyDescent="0.3">
      <c r="B165" s="17"/>
      <c r="C165" s="18" t="s">
        <v>121</v>
      </c>
      <c r="D165" s="18" t="s">
        <v>122</v>
      </c>
      <c r="E165" s="18" t="s">
        <v>123</v>
      </c>
      <c r="F165" s="18" t="s">
        <v>124</v>
      </c>
      <c r="G165" s="18" t="s">
        <v>125</v>
      </c>
      <c r="H165" s="18" t="s">
        <v>126</v>
      </c>
      <c r="J165" s="18" t="s">
        <v>191</v>
      </c>
    </row>
    <row r="166" spans="2:10" ht="13.95" customHeight="1" x14ac:dyDescent="0.3">
      <c r="B166" s="64" t="s">
        <v>521</v>
      </c>
      <c r="C166" s="65">
        <f>'Box Shares'!D22</f>
        <v>0.48111248108463534</v>
      </c>
      <c r="D166" s="65">
        <f>'Box Shares'!E22</f>
        <v>0.46306725921412284</v>
      </c>
      <c r="E166" s="65">
        <f>D166</f>
        <v>0.46306725921412284</v>
      </c>
      <c r="F166" s="65">
        <f>E166</f>
        <v>0.46306725921412284</v>
      </c>
      <c r="G166" s="65">
        <f>F166</f>
        <v>0.46306725921412284</v>
      </c>
      <c r="H166" s="65">
        <f>G166</f>
        <v>0.46306725921412284</v>
      </c>
      <c r="J166" s="14" t="s">
        <v>522</v>
      </c>
    </row>
    <row r="167" spans="2:10" ht="13.95" customHeight="1" x14ac:dyDescent="0.3">
      <c r="B167" s="8" t="s">
        <v>138</v>
      </c>
      <c r="C167" s="20">
        <f>DCF!N13*C166</f>
        <v>76458.876606451333</v>
      </c>
      <c r="D167" s="20">
        <f>DCF!O13*D166</f>
        <v>75836.061974237688</v>
      </c>
      <c r="E167" s="20">
        <f>DCF!P13*E166</f>
        <v>80446.894542271344</v>
      </c>
      <c r="F167" s="20">
        <f>DCF!Q13*F166</f>
        <v>85338.065730441434</v>
      </c>
      <c r="G167" s="20">
        <f>DCF!R13*G166</f>
        <v>90526.620126852271</v>
      </c>
      <c r="H167" s="20">
        <f>DCF!S13*H166</f>
        <v>96030.638630564892</v>
      </c>
      <c r="J167" s="14" t="s">
        <v>523</v>
      </c>
    </row>
    <row r="168" spans="2:10" ht="13.95" customHeight="1" x14ac:dyDescent="0.3">
      <c r="B168" s="64" t="s">
        <v>524</v>
      </c>
      <c r="C168" s="65">
        <f>'Box Shares'!G22</f>
        <v>0.49020146095860434</v>
      </c>
      <c r="D168" s="65">
        <f>'Box Shares'!H22</f>
        <v>0.44419122184815524</v>
      </c>
      <c r="E168" s="65">
        <f>'Box Shares'!I22</f>
        <v>0.41998847551802637</v>
      </c>
      <c r="F168" s="65">
        <f>E168</f>
        <v>0.41998847551802637</v>
      </c>
      <c r="G168" s="65">
        <f>F168</f>
        <v>0.41998847551802637</v>
      </c>
      <c r="H168" s="65">
        <f>G168</f>
        <v>0.41998847551802637</v>
      </c>
      <c r="J168" s="14" t="s">
        <v>525</v>
      </c>
    </row>
    <row r="169" spans="2:10" ht="13.95" customHeight="1" x14ac:dyDescent="0.3">
      <c r="B169" s="8" t="s">
        <v>149</v>
      </c>
      <c r="C169" s="20">
        <f>DCF!N19*C168</f>
        <v>16215.864328510632</v>
      </c>
      <c r="D169" s="20">
        <f>DCF!O19*D168</f>
        <v>15494.722391729199</v>
      </c>
      <c r="E169" s="20">
        <f>DCF!P19*E168</f>
        <v>15674.814083168536</v>
      </c>
      <c r="F169" s="20">
        <f>DCF!Q19*F168</f>
        <v>16627.842779425184</v>
      </c>
      <c r="G169" s="20">
        <f>DCF!R19*G168</f>
        <v>17638.815620414232</v>
      </c>
      <c r="H169" s="20">
        <f>DCF!S19*H168</f>
        <v>18711.255610135424</v>
      </c>
    </row>
    <row r="170" spans="2:10" ht="13.95" customHeight="1" x14ac:dyDescent="0.3">
      <c r="B170" s="64" t="s">
        <v>526</v>
      </c>
      <c r="C170" s="65">
        <f>'Box Shares'!J22</f>
        <v>0.47082916733852859</v>
      </c>
      <c r="D170" s="65">
        <f>'Box Shares'!K22</f>
        <v>0.44597132717571691</v>
      </c>
      <c r="E170" s="65">
        <f>'Box Shares'!L22</f>
        <v>0.42478129399526404</v>
      </c>
      <c r="F170" s="65">
        <f>E170</f>
        <v>0.42478129399526404</v>
      </c>
      <c r="G170" s="65">
        <f>F170</f>
        <v>0.42478129399526404</v>
      </c>
      <c r="H170" s="65">
        <f>G170</f>
        <v>0.42478129399526404</v>
      </c>
      <c r="J170" s="14" t="s">
        <v>527</v>
      </c>
    </row>
    <row r="171" spans="2:10" ht="13.95" customHeight="1" x14ac:dyDescent="0.3">
      <c r="B171" s="8" t="s">
        <v>152</v>
      </c>
      <c r="C171" s="20">
        <f>DCF!N21*C170</f>
        <v>23223.177849805583</v>
      </c>
      <c r="D171" s="20">
        <f>DCF!O21*D170</f>
        <v>22618.327800370836</v>
      </c>
      <c r="E171" s="20">
        <f>DCF!P21*E170</f>
        <v>22087.348696058805</v>
      </c>
      <c r="F171" s="20">
        <f>DCF!Q21*F170</f>
        <v>23484.718429165227</v>
      </c>
      <c r="G171" s="20">
        <f>DCF!R21*G170</f>
        <v>24912.589309658477</v>
      </c>
      <c r="H171" s="20">
        <f>DCF!S21*H170</f>
        <v>26427.274739685708</v>
      </c>
    </row>
    <row r="172" spans="2:10" ht="13.95" customHeight="1" x14ac:dyDescent="0.3">
      <c r="B172" s="64" t="s">
        <v>528</v>
      </c>
      <c r="C172" s="65">
        <f>'Box Shares'!P22</f>
        <v>0.36719846106808918</v>
      </c>
      <c r="D172" s="65">
        <f>'Box Shares'!Q22</f>
        <v>0.3679997907422366</v>
      </c>
      <c r="E172" s="65">
        <f>D172</f>
        <v>0.3679997907422366</v>
      </c>
      <c r="F172" s="65">
        <f>E172</f>
        <v>0.3679997907422366</v>
      </c>
      <c r="G172" s="65">
        <f>F172</f>
        <v>0.3679997907422366</v>
      </c>
      <c r="H172" s="65">
        <f>G172</f>
        <v>0.3679997907422366</v>
      </c>
      <c r="J172" s="14" t="s">
        <v>529</v>
      </c>
    </row>
    <row r="173" spans="2:10" ht="13.95" customHeight="1" x14ac:dyDescent="0.3">
      <c r="B173" s="8" t="s">
        <v>173</v>
      </c>
      <c r="C173" s="20">
        <f>DCF!N33*C172</f>
        <v>-7035.1553156035206</v>
      </c>
      <c r="D173" s="20">
        <f>DCF!O33*D172</f>
        <v>-7114.5399544196598</v>
      </c>
      <c r="E173" s="20">
        <f>DCF!P33*E172</f>
        <v>-7032.4307636058647</v>
      </c>
      <c r="F173" s="20">
        <f>DCF!Q33*F172</f>
        <v>-7460.0025540331017</v>
      </c>
      <c r="G173" s="20">
        <f>DCF!R33*G172</f>
        <v>-6474.7396712604386</v>
      </c>
      <c r="H173" s="20">
        <f>DCF!S33*H172</f>
        <v>-6868.403843273074</v>
      </c>
    </row>
    <row r="174" spans="2:10" ht="13.95" customHeight="1" x14ac:dyDescent="0.3">
      <c r="B174" s="64" t="s">
        <v>530</v>
      </c>
      <c r="C174" s="65">
        <f>'Box Shares'!M22</f>
        <v>0.50907867866924039</v>
      </c>
      <c r="D174" s="65">
        <f>'Box Shares'!N22</f>
        <v>0.44043409293275648</v>
      </c>
      <c r="E174" s="65">
        <f>'Box Shares'!O22</f>
        <v>0.40118383758387827</v>
      </c>
      <c r="F174" s="65">
        <f>E174</f>
        <v>0.40118383758387827</v>
      </c>
      <c r="G174" s="65">
        <f>F174</f>
        <v>0.40118383758387827</v>
      </c>
      <c r="H174" s="65">
        <f>G174</f>
        <v>0.40118383758387827</v>
      </c>
      <c r="J174" s="14" t="s">
        <v>531</v>
      </c>
    </row>
    <row r="175" spans="2:10" ht="13.95" customHeight="1" x14ac:dyDescent="0.3">
      <c r="B175" s="8" t="s">
        <v>532</v>
      </c>
      <c r="C175" s="20">
        <f>DCF!N29*C174</f>
        <v>10669.27094754994</v>
      </c>
      <c r="D175" s="20">
        <f>DCF!O29*D174</f>
        <v>9542.4450574811017</v>
      </c>
      <c r="E175" s="20">
        <f>DCF!P29*E174</f>
        <v>9298.2378036815462</v>
      </c>
      <c r="F175" s="20">
        <f>DCF!Q29*F174</f>
        <v>9863.5706621453864</v>
      </c>
      <c r="G175" s="20">
        <f>DCF!R29*G174</f>
        <v>10463.275758403823</v>
      </c>
      <c r="H175" s="20">
        <f>DCF!S29*H174</f>
        <v>11099.442924514778</v>
      </c>
    </row>
    <row r="176" spans="2:10" ht="13.95" customHeight="1" x14ac:dyDescent="0.3">
      <c r="B176" s="8" t="s">
        <v>533</v>
      </c>
      <c r="C176" s="20">
        <f t="shared" ref="C176:H176" si="18">C171-C169</f>
        <v>7007.313521294951</v>
      </c>
      <c r="D176" s="20">
        <f t="shared" si="18"/>
        <v>7123.605408641637</v>
      </c>
      <c r="E176" s="20">
        <f t="shared" si="18"/>
        <v>6412.5346128902693</v>
      </c>
      <c r="F176" s="20">
        <f t="shared" si="18"/>
        <v>6856.8756497400427</v>
      </c>
      <c r="G176" s="20">
        <f t="shared" si="18"/>
        <v>7273.7736892442445</v>
      </c>
      <c r="H176" s="20">
        <f t="shared" si="18"/>
        <v>7716.0191295502846</v>
      </c>
    </row>
    <row r="177" spans="2:10" ht="13.95" customHeight="1" x14ac:dyDescent="0.3">
      <c r="B177" s="8" t="s">
        <v>534</v>
      </c>
      <c r="C177" s="40">
        <f>DCF!N25</f>
        <v>-0.24</v>
      </c>
      <c r="D177" s="40">
        <f>DCF!O25</f>
        <v>-0.24</v>
      </c>
      <c r="E177" s="40">
        <f>DCF!P25</f>
        <v>-0.24</v>
      </c>
      <c r="F177" s="40">
        <f>DCF!Q25</f>
        <v>-0.24</v>
      </c>
      <c r="G177" s="40">
        <f>DCF!R25</f>
        <v>-0.24</v>
      </c>
      <c r="H177" s="40">
        <f>DCF!S25</f>
        <v>-0.24</v>
      </c>
      <c r="J177" s="14" t="s">
        <v>535</v>
      </c>
    </row>
    <row r="178" spans="2:10" ht="13.95" customHeight="1" x14ac:dyDescent="0.3">
      <c r="B178" s="8" t="s">
        <v>536</v>
      </c>
      <c r="C178" s="20">
        <f t="shared" ref="C178:H178" si="19">C169*(1+C177)</f>
        <v>12324.05688966808</v>
      </c>
      <c r="D178" s="20">
        <f t="shared" si="19"/>
        <v>11775.989017714192</v>
      </c>
      <c r="E178" s="20">
        <f t="shared" si="19"/>
        <v>11912.858703208087</v>
      </c>
      <c r="F178" s="20">
        <f t="shared" si="19"/>
        <v>12637.16051236314</v>
      </c>
      <c r="G178" s="20">
        <f t="shared" si="19"/>
        <v>13405.499871514818</v>
      </c>
      <c r="H178" s="20">
        <f t="shared" si="19"/>
        <v>14220.554263702923</v>
      </c>
    </row>
    <row r="179" spans="2:10" ht="13.95" customHeight="1" x14ac:dyDescent="0.3">
      <c r="B179" s="8" t="s">
        <v>537</v>
      </c>
      <c r="C179" s="20">
        <f t="shared" ref="C179:H179" si="20">-NWCpct*C167</f>
        <v>-3058.3550642580535</v>
      </c>
      <c r="D179" s="20">
        <f t="shared" si="20"/>
        <v>-3033.4424789695076</v>
      </c>
      <c r="E179" s="20">
        <f t="shared" si="20"/>
        <v>-3217.8757816908537</v>
      </c>
      <c r="F179" s="20">
        <f t="shared" si="20"/>
        <v>-3413.5226292176576</v>
      </c>
      <c r="G179" s="20">
        <f t="shared" si="20"/>
        <v>-3621.0648050740911</v>
      </c>
      <c r="H179" s="20">
        <f t="shared" si="20"/>
        <v>-3841.2255452225959</v>
      </c>
    </row>
    <row r="180" spans="2:10" ht="13.95" customHeight="1" x14ac:dyDescent="0.3">
      <c r="B180" s="8" t="s">
        <v>172</v>
      </c>
      <c r="D180" s="20">
        <f>D179-C179</f>
        <v>24.91258528854587</v>
      </c>
      <c r="E180" s="20">
        <f>E179-D179</f>
        <v>-184.43330272134608</v>
      </c>
      <c r="F180" s="20">
        <f>F179-E179</f>
        <v>-195.64684752680387</v>
      </c>
      <c r="G180" s="20">
        <f>G179-F179</f>
        <v>-207.54217585643346</v>
      </c>
      <c r="H180" s="20">
        <f>H179-G179</f>
        <v>-220.16074014850483</v>
      </c>
    </row>
    <row r="181" spans="2:10" ht="13.95" customHeight="1" x14ac:dyDescent="0.3">
      <c r="B181" s="8" t="s">
        <v>177</v>
      </c>
      <c r="C181" s="20">
        <f t="shared" ref="C181:H181" si="21">C176+C178+C173+C179</f>
        <v>9237.8600311014561</v>
      </c>
      <c r="D181" s="20">
        <f t="shared" si="21"/>
        <v>8751.6119929666602</v>
      </c>
      <c r="E181" s="20">
        <f t="shared" si="21"/>
        <v>8075.0867708016385</v>
      </c>
      <c r="F181" s="20">
        <f t="shared" si="21"/>
        <v>8620.510978852426</v>
      </c>
      <c r="G181" s="20">
        <f t="shared" si="21"/>
        <v>10583.469084424532</v>
      </c>
      <c r="H181" s="20">
        <f t="shared" si="21"/>
        <v>11226.944004757539</v>
      </c>
    </row>
    <row r="182" spans="2:10" ht="13.95" customHeight="1" x14ac:dyDescent="0.3">
      <c r="B182" s="8" t="s">
        <v>179</v>
      </c>
      <c r="D182" s="20">
        <f>D176+D178+D173+D180</f>
        <v>11809.967057224714</v>
      </c>
      <c r="E182" s="20">
        <f>E176+E178+E173+E180</f>
        <v>11108.529249771145</v>
      </c>
      <c r="F182" s="20">
        <f>F176+F178+F173+F180</f>
        <v>11838.386760543279</v>
      </c>
      <c r="G182" s="20">
        <f>G176+G178+G173+G180</f>
        <v>13996.99171364219</v>
      </c>
      <c r="H182" s="20">
        <f>H176+H178+H173+H180</f>
        <v>14848.00880983163</v>
      </c>
    </row>
    <row r="183" spans="2:10" ht="13.95" customHeight="1" x14ac:dyDescent="0.3">
      <c r="B183" s="8" t="s">
        <v>538</v>
      </c>
      <c r="C183" s="20">
        <f>C181</f>
        <v>9237.8600311014561</v>
      </c>
      <c r="D183" s="20">
        <f>IF(FixNWC=1,D182,D181)</f>
        <v>8751.6119929666602</v>
      </c>
      <c r="E183" s="20">
        <f>IF(FixNWC=1,E182,E181)</f>
        <v>8075.0867708016385</v>
      </c>
      <c r="F183" s="20">
        <f>IF(FixNWC=1,F182,F181)</f>
        <v>8620.510978852426</v>
      </c>
      <c r="G183" s="20">
        <f>IF(FixNWC=1,G182,G181)</f>
        <v>10583.469084424532</v>
      </c>
      <c r="H183" s="20">
        <f>IF(FixNWC=1,H182,H181)</f>
        <v>11226.944004757539</v>
      </c>
      <c r="J183" s="14" t="s">
        <v>539</v>
      </c>
    </row>
    <row r="184" spans="2:10" ht="13.95" customHeight="1" x14ac:dyDescent="0.3">
      <c r="B184" s="8" t="s">
        <v>540</v>
      </c>
      <c r="C184" s="20">
        <f>C173</f>
        <v>-7035.1553156035206</v>
      </c>
      <c r="D184" s="20">
        <f>D173</f>
        <v>-7114.5399544196598</v>
      </c>
      <c r="E184" s="20">
        <f>-(E176+DCF!P11*E178/'Box Shares'!$E$47)</f>
        <v>-10619.425786940974</v>
      </c>
      <c r="F184" s="20">
        <f>-(F176+DCF!Q11*F178/'Box Shares'!$E$47)</f>
        <v>-11319.545807173028</v>
      </c>
      <c r="G184" s="20">
        <f>-(G176+DCF!R11*G178/'Box Shares'!$E$47)</f>
        <v>-12007.774192249155</v>
      </c>
      <c r="H184" s="20">
        <f>-(H176+DCF!S11*H178/'Box Shares'!$E$47)</f>
        <v>-12737.846863137896</v>
      </c>
      <c r="J184" s="14" t="s">
        <v>541</v>
      </c>
    </row>
    <row r="185" spans="2:10" ht="13.95" customHeight="1" x14ac:dyDescent="0.3">
      <c r="B185" s="8" t="s">
        <v>542</v>
      </c>
      <c r="C185" s="20">
        <f>C181</f>
        <v>9237.8600311014561</v>
      </c>
      <c r="D185" s="20">
        <f>D176+D178+D184+D180</f>
        <v>11809.967057224714</v>
      </c>
      <c r="E185" s="20">
        <f>E176+E178+E184+E180</f>
        <v>7521.5342264360379</v>
      </c>
      <c r="F185" s="20">
        <f>F176+F178+F184+F180</f>
        <v>7978.8435074033523</v>
      </c>
      <c r="G185" s="20">
        <f>G176+G178+G184+G180</f>
        <v>8463.9571926534736</v>
      </c>
      <c r="H185" s="20">
        <f>H176+H178+H184+H180</f>
        <v>8978.5657899668076</v>
      </c>
    </row>
    <row r="186" spans="2:10" ht="13.95" customHeight="1" x14ac:dyDescent="0.3">
      <c r="B186" s="5" t="s">
        <v>543</v>
      </c>
      <c r="C186" s="61">
        <f t="shared" ref="C186:H186" si="22">IF(BoxCF=1,C185,C183)</f>
        <v>9237.8600311014561</v>
      </c>
      <c r="D186" s="61">
        <f t="shared" si="22"/>
        <v>11809.967057224714</v>
      </c>
      <c r="E186" s="61">
        <f t="shared" si="22"/>
        <v>7521.5342264360379</v>
      </c>
      <c r="F186" s="61">
        <f t="shared" si="22"/>
        <v>7978.8435074033523</v>
      </c>
      <c r="G186" s="61">
        <f t="shared" si="22"/>
        <v>8463.9571926534736</v>
      </c>
      <c r="H186" s="61">
        <f t="shared" si="22"/>
        <v>8978.5657899668076</v>
      </c>
      <c r="J186" s="14" t="s">
        <v>544</v>
      </c>
    </row>
    <row r="188" spans="2:10" ht="13.95" customHeight="1" x14ac:dyDescent="0.3">
      <c r="B188" s="17" t="s">
        <v>548</v>
      </c>
      <c r="C188" s="18" t="s">
        <v>31</v>
      </c>
      <c r="D188" s="18" t="s">
        <v>32</v>
      </c>
      <c r="E188" s="18" t="s">
        <v>33</v>
      </c>
    </row>
    <row r="189" spans="2:10" ht="13.95" customHeight="1" x14ac:dyDescent="0.3">
      <c r="B189" s="8" t="s">
        <v>549</v>
      </c>
      <c r="C189" s="53">
        <f>'Box Rates'!C24</f>
        <v>0.13730115044195185</v>
      </c>
      <c r="D189" s="53">
        <f>'Box Rates'!D24</f>
        <v>0.11990115044195183</v>
      </c>
      <c r="E189" s="53">
        <f>'Box Rates'!E24</f>
        <v>0.10730115044195185</v>
      </c>
      <c r="J189" s="14" t="s">
        <v>550</v>
      </c>
    </row>
    <row r="190" spans="2:10" ht="13.95" customHeight="1" x14ac:dyDescent="0.3">
      <c r="B190" s="8" t="s">
        <v>551</v>
      </c>
      <c r="C190" s="21">
        <f>'Box Earnings'!C24</f>
        <v>-0.25240604287074259</v>
      </c>
      <c r="D190" s="21">
        <f>'Box Earnings'!D24</f>
        <v>0</v>
      </c>
      <c r="E190" s="21">
        <f>'Box Earnings'!E24</f>
        <v>0.25240604287074259</v>
      </c>
      <c r="J190" s="14" t="s">
        <v>552</v>
      </c>
    </row>
    <row r="191" spans="2:10" ht="13.95" customHeight="1" x14ac:dyDescent="0.3">
      <c r="B191" s="8" t="s">
        <v>553</v>
      </c>
      <c r="C191" s="40">
        <f>IF(BoxGrowth=1,'Box Shares'!$I$47,gLT)</f>
        <v>4.7E-2</v>
      </c>
      <c r="D191" s="40">
        <f>IF(BoxGrowth=1,'Box Shares'!$I$47,gLT)</f>
        <v>4.7E-2</v>
      </c>
      <c r="E191" s="40">
        <f>IF(BoxGrowth=1,'Box Shares'!$I$47,gLT)</f>
        <v>4.7E-2</v>
      </c>
      <c r="J191" s="14" t="s">
        <v>554</v>
      </c>
    </row>
    <row r="192" spans="2:10" ht="13.95" customHeight="1" x14ac:dyDescent="0.3">
      <c r="B192" s="8" t="s">
        <v>555</v>
      </c>
      <c r="C192" s="20">
        <f>$H$186*(1+C190)</f>
        <v>6712.3215282666624</v>
      </c>
      <c r="D192" s="20">
        <f>$H$186*(1+D190)</f>
        <v>8978.5657899668076</v>
      </c>
      <c r="E192" s="20">
        <f>$H$186*(1+E190)</f>
        <v>11244.810051666953</v>
      </c>
    </row>
    <row r="193" spans="2:10" ht="13.95" customHeight="1" x14ac:dyDescent="0.3">
      <c r="B193" s="8" t="s">
        <v>556</v>
      </c>
      <c r="C193" s="20">
        <f>IF(FadeMode=0,C192*((1+gLT)+FadeYears/2*(C191-gLT))/(C189-gLT),'Box Fade'!$C$116)</f>
        <v>77826.258089733485</v>
      </c>
      <c r="D193" s="20">
        <f>IF(FadeMode=0,D192*((1+gLT)+FadeYears/2*(D191-gLT))/(D189-gLT),'Box Fade'!$C$126)</f>
        <v>128949.38317304775</v>
      </c>
      <c r="E193" s="20">
        <f>IF(FadeMode=0,E192*((1+gLT)+FadeYears/2*(E191-gLT))/(E189-gLT),'Box Fade'!$C$136)</f>
        <v>195241.98191589621</v>
      </c>
      <c r="J193" s="14" t="s">
        <v>557</v>
      </c>
    </row>
    <row r="194" spans="2:10" ht="13.95" customHeight="1" x14ac:dyDescent="0.3">
      <c r="B194" s="8" t="s">
        <v>558</v>
      </c>
      <c r="C194" s="67">
        <f>5-FixTV</f>
        <v>5</v>
      </c>
      <c r="D194" s="67">
        <f>5-FixTV</f>
        <v>5</v>
      </c>
      <c r="E194" s="67">
        <f>5-FixTV</f>
        <v>5</v>
      </c>
    </row>
    <row r="195" spans="2:10" ht="13.95" customHeight="1" x14ac:dyDescent="0.3">
      <c r="B195" s="8" t="s">
        <v>559</v>
      </c>
      <c r="C195" s="20">
        <f>(1+C190)*NPV(C189,$E$186:$H$186)</f>
        <v>17869.362481879616</v>
      </c>
      <c r="D195" s="20">
        <f>(1+D190)*NPV(D189,$E$186:$H$186)</f>
        <v>24812.185151531612</v>
      </c>
      <c r="E195" s="20">
        <f>(1+E190)*NPV(E189,$E$186:$H$186)</f>
        <v>31944.562480873708</v>
      </c>
    </row>
    <row r="196" spans="2:10" ht="13.95" customHeight="1" x14ac:dyDescent="0.3">
      <c r="B196" s="8" t="s">
        <v>204</v>
      </c>
      <c r="C196" s="20">
        <f>C193/(1+C189)^C194</f>
        <v>40902.396808471531</v>
      </c>
      <c r="D196" s="20">
        <f>D193/(1+D189)^D194</f>
        <v>73201.640686603001</v>
      </c>
      <c r="E196" s="20">
        <f>E193/(1+E189)^E194</f>
        <v>117285.53464330097</v>
      </c>
    </row>
    <row r="197" spans="2:10" ht="13.95" customHeight="1" x14ac:dyDescent="0.3">
      <c r="B197" s="8" t="s">
        <v>560</v>
      </c>
      <c r="C197" s="20">
        <f>C195+C196</f>
        <v>58771.759290351147</v>
      </c>
      <c r="D197" s="20">
        <f>D195+D196</f>
        <v>98013.82583813461</v>
      </c>
      <c r="E197" s="20">
        <f>E195+E196</f>
        <v>149230.09712417467</v>
      </c>
    </row>
    <row r="198" spans="2:10" ht="13.95" customHeight="1" x14ac:dyDescent="0.3">
      <c r="B198" s="8" t="s">
        <v>206</v>
      </c>
      <c r="C198" s="20">
        <f>IF(FixND=1,NDmult*DCF!$M$21*$C$170,0)</f>
        <v>0</v>
      </c>
      <c r="D198" s="20">
        <f>IF(FixND=1,NDmult*DCF!$M$21*$C$170,0)</f>
        <v>0</v>
      </c>
      <c r="E198" s="20">
        <f>IF(FixND=1,NDmult*DCF!$M$21*$C$170,0)</f>
        <v>0</v>
      </c>
      <c r="J198" s="14" t="s">
        <v>561</v>
      </c>
    </row>
    <row r="199" spans="2:10" ht="13.95" customHeight="1" x14ac:dyDescent="0.3">
      <c r="B199" s="8" t="s">
        <v>562</v>
      </c>
      <c r="C199" s="16">
        <f>C197-C198</f>
        <v>58771.759290351147</v>
      </c>
      <c r="D199" s="16">
        <f>D197-D198</f>
        <v>98013.82583813461</v>
      </c>
      <c r="E199" s="16">
        <f>E197-E198</f>
        <v>149230.09712417467</v>
      </c>
      <c r="J199" s="14" t="s">
        <v>563</v>
      </c>
    </row>
    <row r="200" spans="2:10" ht="13.95" customHeight="1" x14ac:dyDescent="0.3">
      <c r="B200" s="5" t="s">
        <v>569</v>
      </c>
      <c r="C200" s="16">
        <f>C199</f>
        <v>58771.759290351147</v>
      </c>
      <c r="D200" s="16">
        <f>D199</f>
        <v>98013.82583813461</v>
      </c>
      <c r="E200" s="16">
        <f>E199</f>
        <v>149230.09712417467</v>
      </c>
      <c r="J200" s="14" t="s">
        <v>570</v>
      </c>
    </row>
    <row r="201" spans="2:10" ht="13.95" customHeight="1" x14ac:dyDescent="0.3">
      <c r="B201" s="8" t="s">
        <v>571</v>
      </c>
      <c r="C201" s="20">
        <f>'Box Shares'!$C$10</f>
        <v>65411.174470267266</v>
      </c>
      <c r="D201" s="20">
        <f>'Box Shares'!$C$10</f>
        <v>65411.174470267266</v>
      </c>
      <c r="E201" s="20">
        <f>'Box Shares'!$C$10</f>
        <v>65411.174470267266</v>
      </c>
    </row>
    <row r="202" spans="2:10" ht="13.95" customHeight="1" x14ac:dyDescent="0.3">
      <c r="B202" s="8" t="s">
        <v>572</v>
      </c>
      <c r="C202" s="21">
        <f>C200/C201-1</f>
        <v>-0.10150276667076319</v>
      </c>
      <c r="D202" s="21">
        <f>D200/D201-1</f>
        <v>0.49842632595883019</v>
      </c>
      <c r="E202" s="21">
        <f>E200/E201-1</f>
        <v>1.2814159558013656</v>
      </c>
    </row>
    <row r="203" spans="2:10" ht="13.95" customHeight="1" x14ac:dyDescent="0.3">
      <c r="B203" s="5" t="s">
        <v>573</v>
      </c>
      <c r="C203" s="61">
        <f>C200*C$10</f>
        <v>58771.759290351147</v>
      </c>
      <c r="D203" s="61">
        <f>D200*D$10</f>
        <v>98013.82583813461</v>
      </c>
      <c r="E203" s="61">
        <f>E200*E$10</f>
        <v>149230.09712417467</v>
      </c>
      <c r="J203" s="14" t="s">
        <v>574</v>
      </c>
    </row>
    <row r="204" spans="2:10" ht="13.95" customHeight="1" x14ac:dyDescent="0.3">
      <c r="B204" s="5" t="s">
        <v>211</v>
      </c>
      <c r="C204" s="68">
        <f>C203/C201-1</f>
        <v>-0.10150276667076319</v>
      </c>
      <c r="D204" s="68">
        <f>D203/D201-1</f>
        <v>0.49842632595883019</v>
      </c>
      <c r="E204" s="68">
        <f>E203/E201-1</f>
        <v>1.2814159558013656</v>
      </c>
    </row>
    <row r="205" spans="2:10" ht="13.95" customHeight="1" x14ac:dyDescent="0.3">
      <c r="B205" s="8" t="s">
        <v>575</v>
      </c>
      <c r="C205" s="65">
        <f>C191+(C201-C200)/(C192*FadeYears/2/((C189-gLT)*(1+C189)^C194))</f>
        <v>8.0990515156962234E-2</v>
      </c>
      <c r="D205" s="40">
        <f>D191+(D201-D200)/(D192*FadeYears/2/((D189-gLT)*(1+D189)^D194))</f>
        <v>-4.6262871329069338E-2</v>
      </c>
      <c r="E205" s="65">
        <f>E191+(E201-E200)/(E192*FadeYears/2/((E189-gLT)*(1+E189)^E194))</f>
        <v>-0.10264916566316488</v>
      </c>
      <c r="J205" s="14" t="s">
        <v>576</v>
      </c>
    </row>
    <row r="206" spans="2:10" ht="13.95" customHeight="1" x14ac:dyDescent="0.3">
      <c r="B206" s="64" t="s">
        <v>577</v>
      </c>
      <c r="C206" s="69">
        <f>DCF!C48</f>
        <v>0.14500000000000002</v>
      </c>
      <c r="D206" s="69">
        <f>DCF!D48</f>
        <v>0.12759999999999999</v>
      </c>
      <c r="E206" s="69">
        <f>DCF!E48</f>
        <v>0.11499999999999999</v>
      </c>
    </row>
    <row r="207" spans="2:10" ht="13.95" customHeight="1" x14ac:dyDescent="0.3">
      <c r="B207" s="64" t="s">
        <v>578</v>
      </c>
      <c r="C207" s="62">
        <f>NPV(C206,$E$183:$H$183)+$H$183*(1+gLT)/(C206-gLT)/(1+C206)^C194-C198</f>
        <v>88157.47762407767</v>
      </c>
      <c r="D207" s="62">
        <f>NPV(D206,$E$183:$H$183)+$H$183*(1+gLT)/(D206-gLT)/(1+D206)^D194-D198</f>
        <v>108268.96280723618</v>
      </c>
      <c r="E207" s="62">
        <f>NPV(E206,$E$183:$H$183)+$H$183*(1+gLT)/(E206-gLT)/(1+E206)^E194-E198</f>
        <v>129380.44871370464</v>
      </c>
      <c r="J207" s="14" t="s">
        <v>579</v>
      </c>
    </row>
    <row r="208" spans="2:10" ht="13.95" customHeight="1" x14ac:dyDescent="0.3">
      <c r="B208" s="64" t="s">
        <v>580</v>
      </c>
      <c r="C208" s="62">
        <f>C207</f>
        <v>88157.47762407767</v>
      </c>
      <c r="D208" s="62">
        <f>D207</f>
        <v>108268.96280723618</v>
      </c>
      <c r="E208" s="62">
        <f>E207</f>
        <v>129380.44871370464</v>
      </c>
      <c r="J208" s="14" t="s">
        <v>581</v>
      </c>
    </row>
    <row r="211" spans="2:10" ht="13.95" customHeight="1" x14ac:dyDescent="0.3">
      <c r="B211" s="139" t="s">
        <v>585</v>
      </c>
      <c r="C211" s="139"/>
      <c r="D211" s="139"/>
      <c r="E211" s="139"/>
      <c r="F211" s="139"/>
      <c r="G211" s="139"/>
      <c r="H211" s="139"/>
      <c r="I211" s="139"/>
      <c r="J211" s="139"/>
    </row>
    <row r="212" spans="2:10" ht="13.95" customHeight="1" x14ac:dyDescent="0.3">
      <c r="B212" s="17"/>
      <c r="C212" s="18" t="s">
        <v>121</v>
      </c>
      <c r="D212" s="18" t="s">
        <v>122</v>
      </c>
      <c r="E212" s="18" t="s">
        <v>123</v>
      </c>
      <c r="F212" s="18" t="s">
        <v>124</v>
      </c>
      <c r="G212" s="18" t="s">
        <v>125</v>
      </c>
      <c r="H212" s="18" t="s">
        <v>126</v>
      </c>
      <c r="J212" s="18" t="s">
        <v>191</v>
      </c>
    </row>
    <row r="213" spans="2:10" ht="13.95" customHeight="1" x14ac:dyDescent="0.3">
      <c r="B213" s="64" t="s">
        <v>521</v>
      </c>
      <c r="C213" s="65">
        <f>'Box Shares'!D25</f>
        <v>7.8905608427206703E-2</v>
      </c>
      <c r="D213" s="65">
        <f>'Box Shares'!E25</f>
        <v>8.2932613961334251E-2</v>
      </c>
      <c r="E213" s="65">
        <f>D213</f>
        <v>8.2932613961334251E-2</v>
      </c>
      <c r="F213" s="65">
        <f>E213</f>
        <v>8.2932613961334251E-2</v>
      </c>
      <c r="G213" s="65">
        <f>F213</f>
        <v>8.2932613961334251E-2</v>
      </c>
      <c r="H213" s="65">
        <f>G213</f>
        <v>8.2932613961334251E-2</v>
      </c>
      <c r="J213" s="14" t="s">
        <v>522</v>
      </c>
    </row>
    <row r="214" spans="2:10" ht="13.95" customHeight="1" x14ac:dyDescent="0.3">
      <c r="B214" s="8" t="s">
        <v>138</v>
      </c>
      <c r="C214" s="20">
        <f>DCF!N13*C213</f>
        <v>12539.758196860117</v>
      </c>
      <c r="D214" s="20">
        <f>DCF!O13*D213</f>
        <v>13581.791255833748</v>
      </c>
      <c r="E214" s="20">
        <f>DCF!P13*E213</f>
        <v>14407.564164188441</v>
      </c>
      <c r="F214" s="20">
        <f>DCF!Q13*F213</f>
        <v>15283.544065371098</v>
      </c>
      <c r="G214" s="20">
        <f>DCF!R13*G213</f>
        <v>16212.783544545662</v>
      </c>
      <c r="H214" s="20">
        <f>DCF!S13*H213</f>
        <v>17198.520784054039</v>
      </c>
      <c r="J214" s="14" t="s">
        <v>523</v>
      </c>
    </row>
    <row r="215" spans="2:10" ht="13.95" customHeight="1" x14ac:dyDescent="0.3">
      <c r="B215" s="64" t="s">
        <v>524</v>
      </c>
      <c r="C215" s="65">
        <f>'Box Shares'!G25</f>
        <v>7.7488637202879351E-2</v>
      </c>
      <c r="D215" s="65">
        <f>'Box Shares'!H25</f>
        <v>8.2702200604373458E-2</v>
      </c>
      <c r="E215" s="65">
        <f>'Box Shares'!I25</f>
        <v>8.6393907011488857E-2</v>
      </c>
      <c r="F215" s="65">
        <f>E215</f>
        <v>8.6393907011488857E-2</v>
      </c>
      <c r="G215" s="65">
        <f>F215</f>
        <v>8.6393907011488857E-2</v>
      </c>
      <c r="H215" s="65">
        <f>G215</f>
        <v>8.6393907011488857E-2</v>
      </c>
      <c r="J215" s="14" t="s">
        <v>525</v>
      </c>
    </row>
    <row r="216" spans="2:10" ht="13.95" customHeight="1" x14ac:dyDescent="0.3">
      <c r="B216" s="8" t="s">
        <v>149</v>
      </c>
      <c r="C216" s="20">
        <f>DCF!N19*C215</f>
        <v>2563.3241186712489</v>
      </c>
      <c r="D216" s="20">
        <f>DCF!O19*D215</f>
        <v>2884.9008636823592</v>
      </c>
      <c r="E216" s="20">
        <f>DCF!P19*E215</f>
        <v>3224.3942614218572</v>
      </c>
      <c r="F216" s="20">
        <f>DCF!Q19*F215</f>
        <v>3420.4374325163067</v>
      </c>
      <c r="G216" s="20">
        <f>DCF!R19*G215</f>
        <v>3628.4000284132976</v>
      </c>
      <c r="H216" s="20">
        <f>DCF!S19*H215</f>
        <v>3849.0067501408266</v>
      </c>
    </row>
    <row r="217" spans="2:10" ht="13.95" customHeight="1" x14ac:dyDescent="0.3">
      <c r="B217" s="64" t="s">
        <v>526</v>
      </c>
      <c r="C217" s="65">
        <f>'Box Shares'!J25</f>
        <v>7.2623212907623316E-2</v>
      </c>
      <c r="D217" s="65">
        <f>'Box Shares'!K25</f>
        <v>7.7527314439218231E-2</v>
      </c>
      <c r="E217" s="65">
        <f>'Box Shares'!L25</f>
        <v>8.1423934435302436E-2</v>
      </c>
      <c r="F217" s="65">
        <f>E217</f>
        <v>8.1423934435302436E-2</v>
      </c>
      <c r="G217" s="65">
        <f>F217</f>
        <v>8.1423934435302436E-2</v>
      </c>
      <c r="H217" s="65">
        <f>G217</f>
        <v>8.1423934435302436E-2</v>
      </c>
      <c r="J217" s="14" t="s">
        <v>527</v>
      </c>
    </row>
    <row r="218" spans="2:10" ht="13.95" customHeight="1" x14ac:dyDescent="0.3">
      <c r="B218" s="8" t="s">
        <v>152</v>
      </c>
      <c r="C218" s="20">
        <f>DCF!N21*C217</f>
        <v>3582.0673534556126</v>
      </c>
      <c r="D218" s="20">
        <f>DCF!O21*D217</f>
        <v>3931.9528064138312</v>
      </c>
      <c r="E218" s="20">
        <f>DCF!P21*E217</f>
        <v>4233.7995045930766</v>
      </c>
      <c r="F218" s="20">
        <f>DCF!Q21*F217</f>
        <v>4501.6534405801967</v>
      </c>
      <c r="G218" s="20">
        <f>DCF!R21*G217</f>
        <v>4775.3539697674723</v>
      </c>
      <c r="H218" s="20">
        <f>DCF!S21*H217</f>
        <v>5065.6954911293351</v>
      </c>
    </row>
    <row r="219" spans="2:10" ht="13.95" customHeight="1" x14ac:dyDescent="0.3">
      <c r="B219" s="64" t="s">
        <v>528</v>
      </c>
      <c r="C219" s="65">
        <f>'Box Shares'!P25</f>
        <v>0.12667716185235495</v>
      </c>
      <c r="D219" s="65">
        <f>'Box Shares'!Q25</f>
        <v>0.13088073582688828</v>
      </c>
      <c r="E219" s="65">
        <f>D219</f>
        <v>0.13088073582688828</v>
      </c>
      <c r="F219" s="65">
        <f>E219</f>
        <v>0.13088073582688828</v>
      </c>
      <c r="G219" s="65">
        <f>F219</f>
        <v>0.13088073582688828</v>
      </c>
      <c r="H219" s="65">
        <f>G219</f>
        <v>0.13088073582688828</v>
      </c>
      <c r="J219" s="14" t="s">
        <v>529</v>
      </c>
    </row>
    <row r="220" spans="2:10" ht="13.95" customHeight="1" x14ac:dyDescent="0.3">
      <c r="B220" s="8" t="s">
        <v>173</v>
      </c>
      <c r="C220" s="20">
        <f>DCF!N33*C219</f>
        <v>-2427.0077439292686</v>
      </c>
      <c r="D220" s="20">
        <f>DCF!O33*D219</f>
        <v>-2530.317265741231</v>
      </c>
      <c r="E220" s="20">
        <f>DCF!P33*E219</f>
        <v>-2501.114772744741</v>
      </c>
      <c r="F220" s="20">
        <f>DCF!Q33*F219</f>
        <v>-2653.1825509276218</v>
      </c>
      <c r="G220" s="20">
        <f>DCF!R33*G219</f>
        <v>-2302.7694954741987</v>
      </c>
      <c r="H220" s="20">
        <f>DCF!S33*H219</f>
        <v>-2442.7778807990303</v>
      </c>
    </row>
    <row r="221" spans="2:10" ht="13.95" customHeight="1" x14ac:dyDescent="0.3">
      <c r="B221" s="64" t="s">
        <v>530</v>
      </c>
      <c r="C221" s="65">
        <f>'Box Shares'!M25</f>
        <v>5.8743956847999081E-2</v>
      </c>
      <c r="D221" s="65">
        <f>'Box Shares'!N25</f>
        <v>6.826457735738671E-2</v>
      </c>
      <c r="E221" s="65">
        <f>'Box Shares'!O25</f>
        <v>7.5544705625715289E-2</v>
      </c>
      <c r="F221" s="65">
        <f>E221</f>
        <v>7.5544705625715289E-2</v>
      </c>
      <c r="G221" s="65">
        <f>F221</f>
        <v>7.5544705625715289E-2</v>
      </c>
      <c r="H221" s="65">
        <f>G221</f>
        <v>7.5544705625715289E-2</v>
      </c>
      <c r="J221" s="14" t="s">
        <v>531</v>
      </c>
    </row>
    <row r="222" spans="2:10" ht="13.95" customHeight="1" x14ac:dyDescent="0.3">
      <c r="B222" s="8" t="s">
        <v>532</v>
      </c>
      <c r="C222" s="20">
        <f>DCF!N29*C221</f>
        <v>1231.1558476203647</v>
      </c>
      <c r="D222" s="20">
        <f>DCF!O29*D221</f>
        <v>1479.0203330251404</v>
      </c>
      <c r="E222" s="20">
        <f>DCF!P29*E221</f>
        <v>1750.8996422872033</v>
      </c>
      <c r="F222" s="20">
        <f>DCF!Q29*F221</f>
        <v>1857.3543405382654</v>
      </c>
      <c r="G222" s="20">
        <f>DCF!R29*G221</f>
        <v>1970.2814844429915</v>
      </c>
      <c r="H222" s="20">
        <f>DCF!S29*H221</f>
        <v>2090.074598697126</v>
      </c>
    </row>
    <row r="223" spans="2:10" ht="13.95" customHeight="1" x14ac:dyDescent="0.3">
      <c r="B223" s="8" t="s">
        <v>533</v>
      </c>
      <c r="C223" s="20">
        <f t="shared" ref="C223:H223" si="23">C218-C216</f>
        <v>1018.7432347843637</v>
      </c>
      <c r="D223" s="20">
        <f t="shared" si="23"/>
        <v>1047.0519427314721</v>
      </c>
      <c r="E223" s="20">
        <f t="shared" si="23"/>
        <v>1009.4052431712194</v>
      </c>
      <c r="F223" s="20">
        <f t="shared" si="23"/>
        <v>1081.2160080638901</v>
      </c>
      <c r="G223" s="20">
        <f t="shared" si="23"/>
        <v>1146.9539413541747</v>
      </c>
      <c r="H223" s="20">
        <f t="shared" si="23"/>
        <v>1216.6887409885085</v>
      </c>
    </row>
    <row r="224" spans="2:10" ht="13.95" customHeight="1" x14ac:dyDescent="0.3">
      <c r="B224" s="8" t="s">
        <v>534</v>
      </c>
      <c r="C224" s="40">
        <f>DCF!N25</f>
        <v>-0.24</v>
      </c>
      <c r="D224" s="40">
        <f>DCF!O25</f>
        <v>-0.24</v>
      </c>
      <c r="E224" s="40">
        <f>DCF!P25</f>
        <v>-0.24</v>
      </c>
      <c r="F224" s="40">
        <f>DCF!Q25</f>
        <v>-0.24</v>
      </c>
      <c r="G224" s="40">
        <f>DCF!R25</f>
        <v>-0.24</v>
      </c>
      <c r="H224" s="40">
        <f>DCF!S25</f>
        <v>-0.24</v>
      </c>
      <c r="J224" s="14" t="s">
        <v>535</v>
      </c>
    </row>
    <row r="225" spans="2:10" ht="13.95" customHeight="1" x14ac:dyDescent="0.3">
      <c r="B225" s="8" t="s">
        <v>536</v>
      </c>
      <c r="C225" s="20">
        <f t="shared" ref="C225:H225" si="24">C216*(1+C224)</f>
        <v>1948.1263301901492</v>
      </c>
      <c r="D225" s="20">
        <f t="shared" si="24"/>
        <v>2192.5246563985929</v>
      </c>
      <c r="E225" s="20">
        <f t="shared" si="24"/>
        <v>2450.5396386806115</v>
      </c>
      <c r="F225" s="20">
        <f t="shared" si="24"/>
        <v>2599.532448712393</v>
      </c>
      <c r="G225" s="20">
        <f t="shared" si="24"/>
        <v>2757.5840215941062</v>
      </c>
      <c r="H225" s="20">
        <f t="shared" si="24"/>
        <v>2925.2451301070282</v>
      </c>
    </row>
    <row r="226" spans="2:10" ht="13.95" customHeight="1" x14ac:dyDescent="0.3">
      <c r="B226" s="8" t="s">
        <v>537</v>
      </c>
      <c r="C226" s="20">
        <f t="shared" ref="C226:H226" si="25">-NWCpct*C214</f>
        <v>-501.59032787440469</v>
      </c>
      <c r="D226" s="20">
        <f t="shared" si="25"/>
        <v>-543.27165023334999</v>
      </c>
      <c r="E226" s="20">
        <f t="shared" si="25"/>
        <v>-576.30256656753761</v>
      </c>
      <c r="F226" s="20">
        <f t="shared" si="25"/>
        <v>-611.3417626148439</v>
      </c>
      <c r="G226" s="20">
        <f t="shared" si="25"/>
        <v>-648.51134178182645</v>
      </c>
      <c r="H226" s="20">
        <f t="shared" si="25"/>
        <v>-687.94083136216159</v>
      </c>
    </row>
    <row r="227" spans="2:10" ht="13.95" customHeight="1" x14ac:dyDescent="0.3">
      <c r="B227" s="8" t="s">
        <v>172</v>
      </c>
      <c r="D227" s="20">
        <f>D226-C226</f>
        <v>-41.681322358945295</v>
      </c>
      <c r="E227" s="20">
        <f>E226-D226</f>
        <v>-33.030916334187623</v>
      </c>
      <c r="F227" s="20">
        <f>F226-E226</f>
        <v>-35.039196047306291</v>
      </c>
      <c r="G227" s="20">
        <f>G226-F226</f>
        <v>-37.169579166982544</v>
      </c>
      <c r="H227" s="20">
        <f>H226-G226</f>
        <v>-39.429489580335144</v>
      </c>
    </row>
    <row r="228" spans="2:10" ht="13.95" customHeight="1" x14ac:dyDescent="0.3">
      <c r="B228" s="8" t="s">
        <v>177</v>
      </c>
      <c r="C228" s="20">
        <f t="shared" ref="C228:H228" si="26">C223+C225+C220+C226</f>
        <v>38.271493170839904</v>
      </c>
      <c r="D228" s="20">
        <f t="shared" si="26"/>
        <v>165.98768315548398</v>
      </c>
      <c r="E228" s="20">
        <f t="shared" si="26"/>
        <v>382.5275425395522</v>
      </c>
      <c r="F228" s="20">
        <f t="shared" si="26"/>
        <v>416.22414323381736</v>
      </c>
      <c r="G228" s="20">
        <f t="shared" si="26"/>
        <v>953.25712569225573</v>
      </c>
      <c r="H228" s="20">
        <f t="shared" si="26"/>
        <v>1011.2151589343443</v>
      </c>
    </row>
    <row r="229" spans="2:10" ht="13.95" customHeight="1" x14ac:dyDescent="0.3">
      <c r="B229" s="8" t="s">
        <v>179</v>
      </c>
      <c r="D229" s="20">
        <f>D223+D225+D220+D227</f>
        <v>667.57801102988867</v>
      </c>
      <c r="E229" s="20">
        <f>E223+E225+E220+E227</f>
        <v>925.79919277290219</v>
      </c>
      <c r="F229" s="20">
        <f>F223+F225+F220+F227</f>
        <v>992.52670980135497</v>
      </c>
      <c r="G229" s="20">
        <f>G223+G225+G220+G227</f>
        <v>1564.5988883070995</v>
      </c>
      <c r="H229" s="20">
        <f>H223+H225+H220+H227</f>
        <v>1659.7265007161709</v>
      </c>
    </row>
    <row r="230" spans="2:10" ht="13.95" customHeight="1" x14ac:dyDescent="0.3">
      <c r="B230" s="8" t="s">
        <v>538</v>
      </c>
      <c r="C230" s="20">
        <f>C228</f>
        <v>38.271493170839904</v>
      </c>
      <c r="D230" s="20">
        <f>IF(FixNWC=1,D229,D228)</f>
        <v>165.98768315548398</v>
      </c>
      <c r="E230" s="20">
        <f>IF(FixNWC=1,E229,E228)</f>
        <v>382.5275425395522</v>
      </c>
      <c r="F230" s="20">
        <f>IF(FixNWC=1,F229,F228)</f>
        <v>416.22414323381736</v>
      </c>
      <c r="G230" s="20">
        <f>IF(FixNWC=1,G229,G228)</f>
        <v>953.25712569225573</v>
      </c>
      <c r="H230" s="20">
        <f>IF(FixNWC=1,H229,H228)</f>
        <v>1011.2151589343443</v>
      </c>
      <c r="J230" s="14" t="s">
        <v>539</v>
      </c>
    </row>
    <row r="231" spans="2:10" ht="13.95" customHeight="1" x14ac:dyDescent="0.3">
      <c r="B231" s="8" t="s">
        <v>540</v>
      </c>
      <c r="C231" s="20">
        <f>C220</f>
        <v>-2427.0077439292686</v>
      </c>
      <c r="D231" s="20">
        <f>D220</f>
        <v>-2530.317265741231</v>
      </c>
      <c r="E231" s="20">
        <f>-(E223+DCF!P11*E225/'Box Shares'!$E$49)</f>
        <v>-1884.6228976529101</v>
      </c>
      <c r="F231" s="20">
        <f>-(F223+DCF!Q11*F225/'Box Shares'!$E$49)</f>
        <v>-2009.6468959380679</v>
      </c>
      <c r="G231" s="20">
        <f>-(G223+DCF!R11*G225/'Box Shares'!$E$49)</f>
        <v>-2131.8334272111024</v>
      </c>
      <c r="H231" s="20">
        <f>-(H223+DCF!S11*H225/'Box Shares'!$E$49)</f>
        <v>-2261.4488995855372</v>
      </c>
      <c r="J231" s="14" t="s">
        <v>541</v>
      </c>
    </row>
    <row r="232" spans="2:10" ht="13.95" customHeight="1" x14ac:dyDescent="0.3">
      <c r="B232" s="8" t="s">
        <v>542</v>
      </c>
      <c r="C232" s="20">
        <f>C228</f>
        <v>38.271493170839904</v>
      </c>
      <c r="D232" s="20">
        <f>D223+D225+D231+D227</f>
        <v>667.57801102988867</v>
      </c>
      <c r="E232" s="20">
        <f>E223+E225+E231+E227</f>
        <v>1542.2910678647331</v>
      </c>
      <c r="F232" s="20">
        <f>F223+F225+F231+F227</f>
        <v>1636.0623647909088</v>
      </c>
      <c r="G232" s="20">
        <f>G223+G225+G231+G227</f>
        <v>1735.5349565701958</v>
      </c>
      <c r="H232" s="20">
        <f>H223+H225+H231+H227</f>
        <v>1841.055481929664</v>
      </c>
    </row>
    <row r="233" spans="2:10" ht="13.95" customHeight="1" x14ac:dyDescent="0.3">
      <c r="B233" s="5" t="s">
        <v>543</v>
      </c>
      <c r="C233" s="61">
        <f t="shared" ref="C233:H233" si="27">IF(BoxCF=1,C232,C230)</f>
        <v>38.271493170839904</v>
      </c>
      <c r="D233" s="61">
        <f t="shared" si="27"/>
        <v>667.57801102988867</v>
      </c>
      <c r="E233" s="61">
        <f t="shared" si="27"/>
        <v>1542.2910678647331</v>
      </c>
      <c r="F233" s="61">
        <f t="shared" si="27"/>
        <v>1636.0623647909088</v>
      </c>
      <c r="G233" s="61">
        <f t="shared" si="27"/>
        <v>1735.5349565701958</v>
      </c>
      <c r="H233" s="61">
        <f t="shared" si="27"/>
        <v>1841.055481929664</v>
      </c>
      <c r="J233" s="14" t="s">
        <v>544</v>
      </c>
    </row>
    <row r="235" spans="2:10" ht="13.95" customHeight="1" x14ac:dyDescent="0.3">
      <c r="B235" s="17" t="s">
        <v>548</v>
      </c>
      <c r="C235" s="18" t="s">
        <v>31</v>
      </c>
      <c r="D235" s="18" t="s">
        <v>32</v>
      </c>
      <c r="E235" s="18" t="s">
        <v>33</v>
      </c>
    </row>
    <row r="236" spans="2:10" ht="13.95" customHeight="1" x14ac:dyDescent="0.3">
      <c r="B236" s="8" t="s">
        <v>549</v>
      </c>
      <c r="C236" s="53">
        <f>'Box Rates'!C26</f>
        <v>0.16412287446098572</v>
      </c>
      <c r="D236" s="53">
        <f>'Box Rates'!D26</f>
        <v>0.14672287446098572</v>
      </c>
      <c r="E236" s="53">
        <f>'Box Rates'!E26</f>
        <v>0.13412287446098572</v>
      </c>
      <c r="J236" s="14" t="s">
        <v>550</v>
      </c>
    </row>
    <row r="237" spans="2:10" ht="13.95" customHeight="1" x14ac:dyDescent="0.3">
      <c r="B237" s="8" t="s">
        <v>551</v>
      </c>
      <c r="C237" s="21">
        <f>'Box Earnings'!C27</f>
        <v>-0.3584935000393803</v>
      </c>
      <c r="D237" s="21">
        <f>'Box Earnings'!D27</f>
        <v>0</v>
      </c>
      <c r="E237" s="21">
        <f>'Box Earnings'!E27</f>
        <v>0.3584935000393803</v>
      </c>
      <c r="J237" s="14" t="s">
        <v>552</v>
      </c>
    </row>
    <row r="238" spans="2:10" ht="13.95" customHeight="1" x14ac:dyDescent="0.3">
      <c r="B238" s="8" t="s">
        <v>553</v>
      </c>
      <c r="C238" s="40">
        <f>IF(BoxGrowth=1,'Box Shares'!$I$49,gLT)</f>
        <v>4.7E-2</v>
      </c>
      <c r="D238" s="40">
        <f>IF(BoxGrowth=1,'Box Shares'!$I$49,gLT)</f>
        <v>4.7E-2</v>
      </c>
      <c r="E238" s="40">
        <f>IF(BoxGrowth=1,'Box Shares'!$I$49,gLT)</f>
        <v>4.7E-2</v>
      </c>
      <c r="J238" s="14" t="s">
        <v>554</v>
      </c>
    </row>
    <row r="239" spans="2:10" ht="13.95" customHeight="1" x14ac:dyDescent="0.3">
      <c r="B239" s="8" t="s">
        <v>555</v>
      </c>
      <c r="C239" s="20">
        <f>$H$233*(1+C237)</f>
        <v>1181.0490584460106</v>
      </c>
      <c r="D239" s="20">
        <f>$H$233*(1+D237)</f>
        <v>1841.055481929664</v>
      </c>
      <c r="E239" s="20">
        <f>$H$233*(1+E237)</f>
        <v>2501.0619054133172</v>
      </c>
    </row>
    <row r="240" spans="2:10" ht="13.95" customHeight="1" x14ac:dyDescent="0.3">
      <c r="B240" s="8" t="s">
        <v>556</v>
      </c>
      <c r="C240" s="20">
        <f>IF(FadeMode=0,C239*((1+gLT)+FadeYears/2*(C238-gLT))/(C236-gLT),'Box Fade'!$C$146)</f>
        <v>10557.78702395899</v>
      </c>
      <c r="D240" s="20">
        <f>IF(FadeMode=0,D239*((1+gLT)+FadeYears/2*(D238-gLT))/(D236-gLT),'Box Fade'!$C$156)</f>
        <v>19329.417648650724</v>
      </c>
      <c r="E240" s="20">
        <f>IF(FadeMode=0,E239*((1+gLT)+FadeYears/2*(E238-gLT))/(E236-gLT),'Box Fade'!$C$166)</f>
        <v>30056.536026487243</v>
      </c>
      <c r="J240" s="14" t="s">
        <v>557</v>
      </c>
    </row>
    <row r="241" spans="2:10" ht="13.95" customHeight="1" x14ac:dyDescent="0.3">
      <c r="B241" s="8" t="s">
        <v>558</v>
      </c>
      <c r="C241" s="67">
        <f>5-FixTV</f>
        <v>5</v>
      </c>
      <c r="D241" s="67">
        <f>5-FixTV</f>
        <v>5</v>
      </c>
      <c r="E241" s="67">
        <f>5-FixTV</f>
        <v>5</v>
      </c>
    </row>
    <row r="242" spans="2:10" ht="13.95" customHeight="1" x14ac:dyDescent="0.3">
      <c r="B242" s="8" t="s">
        <v>559</v>
      </c>
      <c r="C242" s="20">
        <f>(1+C237)*NPV(C236,$E$233:$H$233)</f>
        <v>2973.1894073513931</v>
      </c>
      <c r="D242" s="20">
        <f>(1+D237)*NPV(D236,$E$233:$H$233)</f>
        <v>4804.8024025726809</v>
      </c>
      <c r="E242" s="20">
        <f>(1+E237)*NPV(E236,$E$233:$H$233)</f>
        <v>6703.4078291750038</v>
      </c>
    </row>
    <row r="243" spans="2:10" ht="13.95" customHeight="1" x14ac:dyDescent="0.3">
      <c r="B243" s="8" t="s">
        <v>204</v>
      </c>
      <c r="C243" s="20">
        <f>C240/(1+C236)^C241</f>
        <v>4938.3149226987198</v>
      </c>
      <c r="D243" s="20">
        <f>D240/(1+D236)^D241</f>
        <v>9748.2440001932864</v>
      </c>
      <c r="E243" s="20">
        <f>E240/(1+E236)^E241</f>
        <v>16019.109777861573</v>
      </c>
    </row>
    <row r="244" spans="2:10" ht="13.95" customHeight="1" x14ac:dyDescent="0.3">
      <c r="B244" s="8" t="s">
        <v>560</v>
      </c>
      <c r="C244" s="20">
        <f>C242+C243</f>
        <v>7911.5043300501129</v>
      </c>
      <c r="D244" s="20">
        <f>D242+D243</f>
        <v>14553.046402765967</v>
      </c>
      <c r="E244" s="20">
        <f>E242+E243</f>
        <v>22722.517607036578</v>
      </c>
    </row>
    <row r="245" spans="2:10" ht="13.95" customHeight="1" x14ac:dyDescent="0.3">
      <c r="B245" s="8" t="s">
        <v>206</v>
      </c>
      <c r="C245" s="20">
        <f>IF(FixND=1,NDmult*DCF!$M$21*$C$217,0)</f>
        <v>0</v>
      </c>
      <c r="D245" s="20">
        <f>IF(FixND=1,NDmult*DCF!$M$21*$C$217,0)</f>
        <v>0</v>
      </c>
      <c r="E245" s="20">
        <f>IF(FixND=1,NDmult*DCF!$M$21*$C$217,0)</f>
        <v>0</v>
      </c>
      <c r="J245" s="14" t="s">
        <v>561</v>
      </c>
    </row>
    <row r="246" spans="2:10" ht="13.95" customHeight="1" x14ac:dyDescent="0.3">
      <c r="B246" s="8" t="s">
        <v>562</v>
      </c>
      <c r="C246" s="16">
        <f>C244-C245</f>
        <v>7911.5043300501129</v>
      </c>
      <c r="D246" s="16">
        <f>D244-D245</f>
        <v>14553.046402765967</v>
      </c>
      <c r="E246" s="16">
        <f>E244-E245</f>
        <v>22722.517607036578</v>
      </c>
      <c r="J246" s="14" t="s">
        <v>563</v>
      </c>
    </row>
    <row r="247" spans="2:10" ht="13.95" customHeight="1" x14ac:dyDescent="0.3">
      <c r="B247" s="5" t="s">
        <v>569</v>
      </c>
      <c r="C247" s="16">
        <f>C246</f>
        <v>7911.5043300501129</v>
      </c>
      <c r="D247" s="16">
        <f>D246</f>
        <v>14553.046402765967</v>
      </c>
      <c r="E247" s="16">
        <f>E246</f>
        <v>22722.517607036578</v>
      </c>
      <c r="J247" s="14" t="s">
        <v>570</v>
      </c>
    </row>
    <row r="248" spans="2:10" ht="13.95" customHeight="1" x14ac:dyDescent="0.3">
      <c r="B248" s="8" t="s">
        <v>571</v>
      </c>
      <c r="C248" s="20">
        <f>'Box Shares'!$C$14</f>
        <v>16066.51953698895</v>
      </c>
      <c r="D248" s="20">
        <f>'Box Shares'!$C$14</f>
        <v>16066.51953698895</v>
      </c>
      <c r="E248" s="20">
        <f>'Box Shares'!$C$14</f>
        <v>16066.51953698895</v>
      </c>
    </row>
    <row r="249" spans="2:10" ht="13.95" customHeight="1" x14ac:dyDescent="0.3">
      <c r="B249" s="8" t="s">
        <v>572</v>
      </c>
      <c r="C249" s="21">
        <f>C247/C248-1</f>
        <v>-0.50757820871932169</v>
      </c>
      <c r="D249" s="21">
        <f>D247/D248-1</f>
        <v>-9.4200435305145436E-2</v>
      </c>
      <c r="E249" s="21">
        <f>E247/E248-1</f>
        <v>0.41427753252494659</v>
      </c>
    </row>
    <row r="250" spans="2:10" ht="13.95" customHeight="1" x14ac:dyDescent="0.3">
      <c r="B250" s="5" t="s">
        <v>573</v>
      </c>
      <c r="C250" s="61">
        <f>C247*C$10</f>
        <v>7911.5043300501129</v>
      </c>
      <c r="D250" s="61">
        <f>D247*D$10</f>
        <v>14553.046402765967</v>
      </c>
      <c r="E250" s="61">
        <f>E247*E$10</f>
        <v>22722.517607036578</v>
      </c>
      <c r="J250" s="14" t="s">
        <v>574</v>
      </c>
    </row>
    <row r="251" spans="2:10" ht="13.95" customHeight="1" x14ac:dyDescent="0.3">
      <c r="B251" s="5" t="s">
        <v>211</v>
      </c>
      <c r="C251" s="68">
        <f>C250/C248-1</f>
        <v>-0.50757820871932169</v>
      </c>
      <c r="D251" s="68">
        <f>D250/D248-1</f>
        <v>-9.4200435305145436E-2</v>
      </c>
      <c r="E251" s="68">
        <f>E250/E248-1</f>
        <v>0.41427753252494659</v>
      </c>
    </row>
    <row r="252" spans="2:10" ht="13.95" customHeight="1" x14ac:dyDescent="0.3">
      <c r="B252" s="8" t="s">
        <v>575</v>
      </c>
      <c r="C252" s="65">
        <f>C238+(C248-C247)/(C239*FadeYears/2/((C236-gLT)*(1+C236)^C241))</f>
        <v>0.39279815403910684</v>
      </c>
      <c r="D252" s="40">
        <f>D238+(D248-D247)/(D239*FadeYears/2/((D236-gLT)*(1+D236)^D241))</f>
        <v>7.9510601324711272E-2</v>
      </c>
      <c r="E252" s="65">
        <f>E238+(E248-E247)/(E239*FadeYears/2/((E236-gLT)*(1+E236)^E241))</f>
        <v>-4.0006457611905466E-2</v>
      </c>
      <c r="J252" s="14" t="s">
        <v>576</v>
      </c>
    </row>
    <row r="253" spans="2:10" ht="13.95" customHeight="1" x14ac:dyDescent="0.3">
      <c r="B253" s="64" t="s">
        <v>577</v>
      </c>
      <c r="C253" s="69">
        <f>DCF!C48</f>
        <v>0.14500000000000002</v>
      </c>
      <c r="D253" s="69">
        <f>DCF!D48</f>
        <v>0.12759999999999999</v>
      </c>
      <c r="E253" s="69">
        <f>DCF!E48</f>
        <v>0.11499999999999999</v>
      </c>
    </row>
    <row r="254" spans="2:10" ht="13.95" customHeight="1" x14ac:dyDescent="0.3">
      <c r="B254" s="64" t="s">
        <v>578</v>
      </c>
      <c r="C254" s="62">
        <f>NPV(C253,$E$230:$H$230)+$H$230*(1+gLT)/(C253-gLT)/(1+C253)^C241-C245</f>
        <v>7364.4750349288179</v>
      </c>
      <c r="D254" s="62">
        <f>NPV(D253,$E$230:$H$230)+$H$230*(1+gLT)/(D253-gLT)/(1+D253)^D241-D245</f>
        <v>9162.7320883912689</v>
      </c>
      <c r="E254" s="62">
        <f>NPV(E253,$E$230:$H$230)+$H$230*(1+gLT)/(E253-gLT)/(1+E253)^E241-E245</f>
        <v>11054.356941209862</v>
      </c>
      <c r="J254" s="14" t="s">
        <v>579</v>
      </c>
    </row>
    <row r="255" spans="2:10" ht="13.95" customHeight="1" x14ac:dyDescent="0.3">
      <c r="B255" s="64" t="s">
        <v>580</v>
      </c>
      <c r="C255" s="62">
        <f>C254</f>
        <v>7364.4750349288179</v>
      </c>
      <c r="D255" s="62">
        <f>D254</f>
        <v>9162.7320883912689</v>
      </c>
      <c r="E255" s="62">
        <f>E254</f>
        <v>11054.356941209862</v>
      </c>
      <c r="J255" s="14" t="s">
        <v>581</v>
      </c>
    </row>
    <row r="258" spans="2:10" ht="13.95" customHeight="1" x14ac:dyDescent="0.3">
      <c r="B258" s="139" t="s">
        <v>586</v>
      </c>
      <c r="C258" s="139"/>
      <c r="D258" s="139"/>
      <c r="E258" s="139"/>
      <c r="F258" s="139"/>
      <c r="G258" s="139"/>
      <c r="H258" s="139"/>
      <c r="I258" s="139"/>
      <c r="J258" s="139"/>
    </row>
    <row r="259" spans="2:10" ht="13.95" customHeight="1" x14ac:dyDescent="0.3">
      <c r="B259" s="17"/>
      <c r="C259" s="18" t="s">
        <v>121</v>
      </c>
      <c r="D259" s="18" t="s">
        <v>122</v>
      </c>
      <c r="E259" s="18" t="s">
        <v>123</v>
      </c>
      <c r="F259" s="18" t="s">
        <v>124</v>
      </c>
      <c r="G259" s="18" t="s">
        <v>125</v>
      </c>
      <c r="H259" s="18" t="s">
        <v>126</v>
      </c>
      <c r="J259" s="18" t="s">
        <v>191</v>
      </c>
    </row>
    <row r="260" spans="2:10" ht="13.95" customHeight="1" x14ac:dyDescent="0.3">
      <c r="B260" s="64" t="s">
        <v>521</v>
      </c>
      <c r="C260" s="65">
        <f>'Box Shares'!D26</f>
        <v>2.6677780727743849E-2</v>
      </c>
      <c r="D260" s="65">
        <f>'Box Shares'!E26</f>
        <v>2.9252308773709677E-2</v>
      </c>
      <c r="E260" s="65">
        <f>D260</f>
        <v>2.9252308773709677E-2</v>
      </c>
      <c r="F260" s="65">
        <f>E260</f>
        <v>2.9252308773709677E-2</v>
      </c>
      <c r="G260" s="65">
        <f>F260</f>
        <v>2.9252308773709677E-2</v>
      </c>
      <c r="H260" s="65">
        <f>G260</f>
        <v>2.9252308773709677E-2</v>
      </c>
      <c r="J260" s="14" t="s">
        <v>522</v>
      </c>
    </row>
    <row r="261" spans="2:10" ht="13.95" customHeight="1" x14ac:dyDescent="0.3">
      <c r="B261" s="8" t="s">
        <v>138</v>
      </c>
      <c r="C261" s="20">
        <f>DCF!N13*C260</f>
        <v>4239.6595910337801</v>
      </c>
      <c r="D261" s="20">
        <f>DCF!O13*D260</f>
        <v>4790.6213555616605</v>
      </c>
      <c r="E261" s="20">
        <f>DCF!P13*E260</f>
        <v>5081.8911339798096</v>
      </c>
      <c r="F261" s="20">
        <f>DCF!Q13*F260</f>
        <v>5390.8701149257813</v>
      </c>
      <c r="G261" s="20">
        <f>DCF!R13*G260</f>
        <v>5718.6350179132696</v>
      </c>
      <c r="H261" s="20">
        <f>DCF!S13*H260</f>
        <v>6066.3280270023961</v>
      </c>
      <c r="J261" s="14" t="s">
        <v>523</v>
      </c>
    </row>
    <row r="262" spans="2:10" ht="13.95" customHeight="1" x14ac:dyDescent="0.3">
      <c r="B262" s="64" t="s">
        <v>524</v>
      </c>
      <c r="C262" s="65">
        <f>'Box Shares'!G26</f>
        <v>1.6026668148934848E-2</v>
      </c>
      <c r="D262" s="65">
        <f>'Box Shares'!H26</f>
        <v>1.7836650685671071E-2</v>
      </c>
      <c r="E262" s="65">
        <f>'Box Shares'!I26</f>
        <v>1.9605094811195368E-2</v>
      </c>
      <c r="F262" s="65">
        <f>E262</f>
        <v>1.9605094811195368E-2</v>
      </c>
      <c r="G262" s="65">
        <f>F262</f>
        <v>1.9605094811195368E-2</v>
      </c>
      <c r="H262" s="65">
        <f>G262</f>
        <v>1.9605094811195368E-2</v>
      </c>
      <c r="J262" s="14" t="s">
        <v>525</v>
      </c>
    </row>
    <row r="263" spans="2:10" ht="13.95" customHeight="1" x14ac:dyDescent="0.3">
      <c r="B263" s="8" t="s">
        <v>149</v>
      </c>
      <c r="C263" s="20">
        <f>DCF!N19*C262</f>
        <v>530.1621823667648</v>
      </c>
      <c r="D263" s="20">
        <f>DCF!O19*D262</f>
        <v>622.19588586826399</v>
      </c>
      <c r="E263" s="20">
        <f>DCF!P19*E262</f>
        <v>731.70154459438163</v>
      </c>
      <c r="F263" s="20">
        <f>DCF!Q19*F262</f>
        <v>776.18899850572018</v>
      </c>
      <c r="G263" s="20">
        <f>DCF!R19*G262</f>
        <v>823.3812896148678</v>
      </c>
      <c r="H263" s="20">
        <f>DCF!S19*H262</f>
        <v>873.44287202345197</v>
      </c>
    </row>
    <row r="264" spans="2:10" ht="13.95" customHeight="1" x14ac:dyDescent="0.3">
      <c r="B264" s="64" t="s">
        <v>526</v>
      </c>
      <c r="C264" s="65">
        <f>'Box Shares'!J26</f>
        <v>1.2858118542810246E-2</v>
      </c>
      <c r="D264" s="65">
        <f>'Box Shares'!K26</f>
        <v>1.433851582929203E-2</v>
      </c>
      <c r="E264" s="65">
        <f>'Box Shares'!L26</f>
        <v>1.6020881825334704E-2</v>
      </c>
      <c r="F264" s="65">
        <f>E264</f>
        <v>1.6020881825334704E-2</v>
      </c>
      <c r="G264" s="65">
        <f>F264</f>
        <v>1.6020881825334704E-2</v>
      </c>
      <c r="H264" s="65">
        <f>G264</f>
        <v>1.6020881825334704E-2</v>
      </c>
      <c r="J264" s="14" t="s">
        <v>527</v>
      </c>
    </row>
    <row r="265" spans="2:10" ht="13.95" customHeight="1" x14ac:dyDescent="0.3">
      <c r="B265" s="8" t="s">
        <v>152</v>
      </c>
      <c r="C265" s="20">
        <f>DCF!N21*C264</f>
        <v>634.21383900557259</v>
      </c>
      <c r="D265" s="20">
        <f>DCF!O21*D264</f>
        <v>727.20650731420392</v>
      </c>
      <c r="E265" s="20">
        <f>DCF!P21*E264</f>
        <v>833.03763206311032</v>
      </c>
      <c r="F265" s="20">
        <f>DCF!Q21*F264</f>
        <v>885.74027146099093</v>
      </c>
      <c r="G265" s="20">
        <f>DCF!R21*G264</f>
        <v>939.59327996581931</v>
      </c>
      <c r="H265" s="20">
        <f>DCF!S21*H264</f>
        <v>996.72055138774101</v>
      </c>
    </row>
    <row r="266" spans="2:10" ht="13.95" customHeight="1" x14ac:dyDescent="0.3">
      <c r="B266" s="64" t="s">
        <v>528</v>
      </c>
      <c r="C266" s="65">
        <f>'Box Shares'!P26</f>
        <v>1.023094705627425E-2</v>
      </c>
      <c r="D266" s="65">
        <f>'Box Shares'!Q26</f>
        <v>1.0439854311805314E-2</v>
      </c>
      <c r="E266" s="65">
        <f>D266</f>
        <v>1.0439854311805314E-2</v>
      </c>
      <c r="F266" s="65">
        <f>E266</f>
        <v>1.0439854311805314E-2</v>
      </c>
      <c r="G266" s="65">
        <f>F266</f>
        <v>1.0439854311805314E-2</v>
      </c>
      <c r="H266" s="65">
        <f>G266</f>
        <v>1.0439854311805314E-2</v>
      </c>
      <c r="J266" s="14" t="s">
        <v>529</v>
      </c>
    </row>
    <row r="267" spans="2:10" ht="13.95" customHeight="1" x14ac:dyDescent="0.3">
      <c r="B267" s="8" t="s">
        <v>173</v>
      </c>
      <c r="C267" s="20">
        <f>DCF!N33*C266</f>
        <v>-196.01471465115836</v>
      </c>
      <c r="D267" s="20">
        <f>DCF!O33*D266</f>
        <v>-201.83370341013213</v>
      </c>
      <c r="E267" s="20">
        <f>DCF!P33*E266</f>
        <v>-199.5043325481887</v>
      </c>
      <c r="F267" s="20">
        <f>DCF!Q33*F266</f>
        <v>-211.63419596711861</v>
      </c>
      <c r="G267" s="20">
        <f>DCF!R33*G266</f>
        <v>-183.68309052157042</v>
      </c>
      <c r="H267" s="20">
        <f>DCF!S33*H266</f>
        <v>-194.85102242528191</v>
      </c>
    </row>
    <row r="268" spans="2:10" ht="13.95" customHeight="1" x14ac:dyDescent="0.3">
      <c r="B268" s="64" t="s">
        <v>530</v>
      </c>
      <c r="C268" s="65">
        <f>'Box Shares'!M26</f>
        <v>1.7915966497472811E-2</v>
      </c>
      <c r="D268" s="65">
        <f>'Box Shares'!N26</f>
        <v>2.0654912409182873E-2</v>
      </c>
      <c r="E268" s="65">
        <f>'Box Shares'!O26</f>
        <v>2.2997442746953638E-2</v>
      </c>
      <c r="F268" s="65">
        <f>E268</f>
        <v>2.2997442746953638E-2</v>
      </c>
      <c r="G268" s="65">
        <f>F268</f>
        <v>2.2997442746953638E-2</v>
      </c>
      <c r="H268" s="65">
        <f>G268</f>
        <v>2.2997442746953638E-2</v>
      </c>
      <c r="J268" s="14" t="s">
        <v>531</v>
      </c>
    </row>
    <row r="269" spans="2:10" ht="13.95" customHeight="1" x14ac:dyDescent="0.3">
      <c r="B269" s="8" t="s">
        <v>532</v>
      </c>
      <c r="C269" s="20">
        <f>DCF!N29*C268</f>
        <v>375.48282585403518</v>
      </c>
      <c r="D269" s="20">
        <f>DCF!O29*D268</f>
        <v>447.50933225735611</v>
      </c>
      <c r="E269" s="20">
        <f>DCF!P29*E268</f>
        <v>533.01173054614446</v>
      </c>
      <c r="F269" s="20">
        <f>DCF!Q29*F268</f>
        <v>565.41884376335008</v>
      </c>
      <c r="G269" s="20">
        <f>DCF!R29*G268</f>
        <v>599.79630946416171</v>
      </c>
      <c r="H269" s="20">
        <f>DCF!S29*H268</f>
        <v>636.2639250795828</v>
      </c>
    </row>
    <row r="270" spans="2:10" ht="13.95" customHeight="1" x14ac:dyDescent="0.3">
      <c r="B270" s="8" t="s">
        <v>533</v>
      </c>
      <c r="C270" s="20">
        <f t="shared" ref="C270:H270" si="28">C265-C263</f>
        <v>104.0516566388078</v>
      </c>
      <c r="D270" s="20">
        <f t="shared" si="28"/>
        <v>105.01062144593993</v>
      </c>
      <c r="E270" s="20">
        <f t="shared" si="28"/>
        <v>101.33608746872869</v>
      </c>
      <c r="F270" s="20">
        <f t="shared" si="28"/>
        <v>109.55127295527075</v>
      </c>
      <c r="G270" s="20">
        <f t="shared" si="28"/>
        <v>116.21199035095151</v>
      </c>
      <c r="H270" s="20">
        <f t="shared" si="28"/>
        <v>123.27767936428904</v>
      </c>
    </row>
    <row r="271" spans="2:10" ht="13.95" customHeight="1" x14ac:dyDescent="0.3">
      <c r="B271" s="8" t="s">
        <v>534</v>
      </c>
      <c r="C271" s="40">
        <f>DCF!N25</f>
        <v>-0.24</v>
      </c>
      <c r="D271" s="40">
        <f>DCF!O25</f>
        <v>-0.24</v>
      </c>
      <c r="E271" s="40">
        <f>DCF!P25</f>
        <v>-0.24</v>
      </c>
      <c r="F271" s="40">
        <f>DCF!Q25</f>
        <v>-0.24</v>
      </c>
      <c r="G271" s="40">
        <f>DCF!R25</f>
        <v>-0.24</v>
      </c>
      <c r="H271" s="40">
        <f>DCF!S25</f>
        <v>-0.24</v>
      </c>
      <c r="J271" s="14" t="s">
        <v>535</v>
      </c>
    </row>
    <row r="272" spans="2:10" ht="13.95" customHeight="1" x14ac:dyDescent="0.3">
      <c r="B272" s="8" t="s">
        <v>536</v>
      </c>
      <c r="C272" s="20">
        <f t="shared" ref="C272:H272" si="29">C263*(1+C271)</f>
        <v>402.92325859874126</v>
      </c>
      <c r="D272" s="20">
        <f t="shared" si="29"/>
        <v>472.86887325988062</v>
      </c>
      <c r="E272" s="20">
        <f t="shared" si="29"/>
        <v>556.09317389173009</v>
      </c>
      <c r="F272" s="20">
        <f t="shared" si="29"/>
        <v>589.90363886434739</v>
      </c>
      <c r="G272" s="20">
        <f t="shared" si="29"/>
        <v>625.76978010729954</v>
      </c>
      <c r="H272" s="20">
        <f t="shared" si="29"/>
        <v>663.81658273782352</v>
      </c>
    </row>
    <row r="273" spans="2:10" ht="13.95" customHeight="1" x14ac:dyDescent="0.3">
      <c r="B273" s="8" t="s">
        <v>537</v>
      </c>
      <c r="C273" s="20">
        <f t="shared" ref="C273:H273" si="30">-NWCpct*C261</f>
        <v>-169.5863836413512</v>
      </c>
      <c r="D273" s="20">
        <f t="shared" si="30"/>
        <v>-191.62485422246641</v>
      </c>
      <c r="E273" s="20">
        <f t="shared" si="30"/>
        <v>-203.2756453591924</v>
      </c>
      <c r="F273" s="20">
        <f t="shared" si="30"/>
        <v>-215.63480459703126</v>
      </c>
      <c r="G273" s="20">
        <f t="shared" si="30"/>
        <v>-228.74540071653078</v>
      </c>
      <c r="H273" s="20">
        <f t="shared" si="30"/>
        <v>-242.65312108009584</v>
      </c>
    </row>
    <row r="274" spans="2:10" ht="13.95" customHeight="1" x14ac:dyDescent="0.3">
      <c r="B274" s="8" t="s">
        <v>172</v>
      </c>
      <c r="D274" s="20">
        <f>D273-C273</f>
        <v>-22.038470581115206</v>
      </c>
      <c r="E274" s="20">
        <f>E273-D273</f>
        <v>-11.650791136725985</v>
      </c>
      <c r="F274" s="20">
        <f>F273-E273</f>
        <v>-12.359159237838867</v>
      </c>
      <c r="G274" s="20">
        <f>G273-F273</f>
        <v>-13.110596119499519</v>
      </c>
      <c r="H274" s="20">
        <f>H273-G273</f>
        <v>-13.907720363565062</v>
      </c>
    </row>
    <row r="275" spans="2:10" ht="13.95" customHeight="1" x14ac:dyDescent="0.3">
      <c r="B275" s="8" t="s">
        <v>177</v>
      </c>
      <c r="C275" s="20">
        <f t="shared" ref="C275:H275" si="31">C270+C272+C267+C273</f>
        <v>141.37381694503947</v>
      </c>
      <c r="D275" s="20">
        <f t="shared" si="31"/>
        <v>184.42093707322203</v>
      </c>
      <c r="E275" s="20">
        <f t="shared" si="31"/>
        <v>254.64928345307769</v>
      </c>
      <c r="F275" s="20">
        <f t="shared" si="31"/>
        <v>272.18591125546823</v>
      </c>
      <c r="G275" s="20">
        <f t="shared" si="31"/>
        <v>329.55327922014988</v>
      </c>
      <c r="H275" s="20">
        <f t="shared" si="31"/>
        <v>349.59011859673478</v>
      </c>
    </row>
    <row r="276" spans="2:10" ht="13.95" customHeight="1" x14ac:dyDescent="0.3">
      <c r="B276" s="8" t="s">
        <v>179</v>
      </c>
      <c r="D276" s="20">
        <f>D270+D272+D267+D274</f>
        <v>354.00732071457321</v>
      </c>
      <c r="E276" s="20">
        <f>E270+E272+E267+E274</f>
        <v>446.27413767554413</v>
      </c>
      <c r="F276" s="20">
        <f>F270+F272+F267+F274</f>
        <v>475.46155661466065</v>
      </c>
      <c r="G276" s="20">
        <f>G270+G272+G267+G274</f>
        <v>545.18808381718111</v>
      </c>
      <c r="H276" s="20">
        <f>H270+H272+H267+H274</f>
        <v>578.33551931326554</v>
      </c>
    </row>
    <row r="277" spans="2:10" ht="13.95" customHeight="1" x14ac:dyDescent="0.3">
      <c r="B277" s="8" t="s">
        <v>538</v>
      </c>
      <c r="C277" s="20">
        <f>C275</f>
        <v>141.37381694503947</v>
      </c>
      <c r="D277" s="20">
        <f>IF(FixNWC=1,D276,D275)</f>
        <v>184.42093707322203</v>
      </c>
      <c r="E277" s="20">
        <f>IF(FixNWC=1,E276,E275)</f>
        <v>254.64928345307769</v>
      </c>
      <c r="F277" s="20">
        <f>IF(FixNWC=1,F276,F275)</f>
        <v>272.18591125546823</v>
      </c>
      <c r="G277" s="20">
        <f>IF(FixNWC=1,G276,G275)</f>
        <v>329.55327922014988</v>
      </c>
      <c r="H277" s="20">
        <f>IF(FixNWC=1,H276,H275)</f>
        <v>349.59011859673478</v>
      </c>
      <c r="J277" s="14" t="s">
        <v>539</v>
      </c>
    </row>
    <row r="278" spans="2:10" ht="13.95" customHeight="1" x14ac:dyDescent="0.3">
      <c r="B278" s="8" t="s">
        <v>540</v>
      </c>
      <c r="C278" s="20">
        <f>C267</f>
        <v>-196.01471465115836</v>
      </c>
      <c r="D278" s="20">
        <f>D267</f>
        <v>-201.83370341013213</v>
      </c>
      <c r="E278" s="20">
        <f>-(E270+DCF!P11*E272/'Box Shares'!$E$50)</f>
        <v>-257.97847198214419</v>
      </c>
      <c r="F278" s="20">
        <f>-(F270+DCF!Q11*F272/'Box Shares'!$E$50)</f>
        <v>-275.71751444710196</v>
      </c>
      <c r="G278" s="20">
        <f>-(G270+DCF!R11*G272/'Box Shares'!$E$50)</f>
        <v>-292.48113932548597</v>
      </c>
      <c r="H278" s="20">
        <f>-(H270+DCF!S11*H272/'Box Shares'!$E$50)</f>
        <v>-310.2639925964753</v>
      </c>
      <c r="J278" s="14" t="s">
        <v>541</v>
      </c>
    </row>
    <row r="279" spans="2:10" ht="13.95" customHeight="1" x14ac:dyDescent="0.3">
      <c r="B279" s="8" t="s">
        <v>542</v>
      </c>
      <c r="C279" s="20">
        <f>C275</f>
        <v>141.37381694503947</v>
      </c>
      <c r="D279" s="20">
        <f>D270+D272+D278+D274</f>
        <v>354.00732071457321</v>
      </c>
      <c r="E279" s="20">
        <f>E270+E272+E278+E274</f>
        <v>387.79999824158858</v>
      </c>
      <c r="F279" s="20">
        <f>F270+F272+F278+F274</f>
        <v>411.3782381346773</v>
      </c>
      <c r="G279" s="20">
        <f>G270+G272+G278+G274</f>
        <v>436.39003501326556</v>
      </c>
      <c r="H279" s="20">
        <f>H270+H272+H278+H274</f>
        <v>462.92254914207217</v>
      </c>
    </row>
    <row r="280" spans="2:10" ht="13.95" customHeight="1" x14ac:dyDescent="0.3">
      <c r="B280" s="5" t="s">
        <v>543</v>
      </c>
      <c r="C280" s="61">
        <f t="shared" ref="C280:H280" si="32">IF(BoxCF=1,C279,C277)</f>
        <v>141.37381694503947</v>
      </c>
      <c r="D280" s="61">
        <f t="shared" si="32"/>
        <v>354.00732071457321</v>
      </c>
      <c r="E280" s="61">
        <f t="shared" si="32"/>
        <v>387.79999824158858</v>
      </c>
      <c r="F280" s="61">
        <f t="shared" si="32"/>
        <v>411.3782381346773</v>
      </c>
      <c r="G280" s="61">
        <f t="shared" si="32"/>
        <v>436.39003501326556</v>
      </c>
      <c r="H280" s="61">
        <f t="shared" si="32"/>
        <v>462.92254914207217</v>
      </c>
      <c r="J280" s="14" t="s">
        <v>544</v>
      </c>
    </row>
    <row r="282" spans="2:10" ht="13.95" customHeight="1" x14ac:dyDescent="0.3">
      <c r="B282" s="17" t="s">
        <v>548</v>
      </c>
      <c r="C282" s="18" t="s">
        <v>31</v>
      </c>
      <c r="D282" s="18" t="s">
        <v>32</v>
      </c>
      <c r="E282" s="18" t="s">
        <v>33</v>
      </c>
    </row>
    <row r="283" spans="2:10" ht="13.95" customHeight="1" x14ac:dyDescent="0.3">
      <c r="B283" s="8" t="s">
        <v>549</v>
      </c>
      <c r="C283" s="53">
        <f>'Box Rates'!C27</f>
        <v>0.12807007114029556</v>
      </c>
      <c r="D283" s="53">
        <f>'Box Rates'!D27</f>
        <v>0.11067007114029553</v>
      </c>
      <c r="E283" s="53">
        <f>'Box Rates'!E27</f>
        <v>9.8070071140295548E-2</v>
      </c>
      <c r="J283" s="14" t="s">
        <v>550</v>
      </c>
    </row>
    <row r="284" spans="2:10" ht="13.95" customHeight="1" x14ac:dyDescent="0.3">
      <c r="B284" s="8" t="s">
        <v>551</v>
      </c>
      <c r="C284" s="21">
        <f>'Box Earnings'!C28</f>
        <v>-3.016670437311747E-2</v>
      </c>
      <c r="D284" s="21">
        <f>'Box Earnings'!D28</f>
        <v>0</v>
      </c>
      <c r="E284" s="21">
        <f>'Box Earnings'!E28</f>
        <v>3.016670437311747E-2</v>
      </c>
      <c r="J284" s="14" t="s">
        <v>552</v>
      </c>
    </row>
    <row r="285" spans="2:10" ht="13.95" customHeight="1" x14ac:dyDescent="0.3">
      <c r="B285" s="8" t="s">
        <v>553</v>
      </c>
      <c r="C285" s="40">
        <f>IF(BoxGrowth=1,'Box Shares'!$I$50,gLT)</f>
        <v>4.7E-2</v>
      </c>
      <c r="D285" s="40">
        <f>IF(BoxGrowth=1,'Box Shares'!$I$50,gLT)</f>
        <v>4.7E-2</v>
      </c>
      <c r="E285" s="40">
        <f>IF(BoxGrowth=1,'Box Shares'!$I$50,gLT)</f>
        <v>4.7E-2</v>
      </c>
      <c r="J285" s="14" t="s">
        <v>554</v>
      </c>
    </row>
    <row r="286" spans="2:10" ht="13.95" customHeight="1" x14ac:dyDescent="0.3">
      <c r="B286" s="8" t="s">
        <v>555</v>
      </c>
      <c r="C286" s="20">
        <f>$H$280*(1+C284)</f>
        <v>448.95770145445329</v>
      </c>
      <c r="D286" s="20">
        <f>$H$280*(1+D284)</f>
        <v>462.92254914207217</v>
      </c>
      <c r="E286" s="20">
        <f>$H$280*(1+E284)</f>
        <v>476.88739682969106</v>
      </c>
    </row>
    <row r="287" spans="2:10" ht="13.95" customHeight="1" x14ac:dyDescent="0.3">
      <c r="B287" s="8" t="s">
        <v>556</v>
      </c>
      <c r="C287" s="20">
        <f>IF(FadeMode=0,C286*((1+gLT)+FadeYears/2*(C285-gLT))/(C283-gLT),'Box Fade'!$C$176)</f>
        <v>5798.1781292550477</v>
      </c>
      <c r="D287" s="20">
        <f>IF(FadeMode=0,D286*((1+gLT)+FadeYears/2*(D285-gLT))/(D283-gLT),'Box Fade'!$C$186)</f>
        <v>7612.3663798610896</v>
      </c>
      <c r="E287" s="20">
        <f>IF(FadeMode=0,E286*((1+gLT)+FadeYears/2*(E285-gLT))/(E283-gLT),'Box Fade'!$C$196)</f>
        <v>9776.7849805622373</v>
      </c>
      <c r="J287" s="14" t="s">
        <v>557</v>
      </c>
    </row>
    <row r="288" spans="2:10" ht="13.95" customHeight="1" x14ac:dyDescent="0.3">
      <c r="B288" s="8" t="s">
        <v>558</v>
      </c>
      <c r="C288" s="67">
        <f>5-FixTV</f>
        <v>5</v>
      </c>
      <c r="D288" s="67">
        <f>5-FixTV</f>
        <v>5</v>
      </c>
      <c r="E288" s="67">
        <f>5-FixTV</f>
        <v>5</v>
      </c>
    </row>
    <row r="289" spans="2:10" ht="13.95" customHeight="1" x14ac:dyDescent="0.3">
      <c r="B289" s="8" t="s">
        <v>559</v>
      </c>
      <c r="C289" s="20">
        <f>(1+C284)*NPV(C283,$E$280:$H$280)</f>
        <v>1218.991106857974</v>
      </c>
      <c r="D289" s="20">
        <f>(1+D284)*NPV(D283,$E$280:$H$280)</f>
        <v>1305.3533183590264</v>
      </c>
      <c r="E289" s="20">
        <f>(1+E284)*NPV(E283,$E$280:$H$280)</f>
        <v>1382.8466769027236</v>
      </c>
    </row>
    <row r="290" spans="2:10" ht="13.95" customHeight="1" x14ac:dyDescent="0.3">
      <c r="B290" s="8" t="s">
        <v>204</v>
      </c>
      <c r="C290" s="20">
        <f>C287/(1+C283)^C288</f>
        <v>3174.0310282206979</v>
      </c>
      <c r="D290" s="20">
        <f>D287/(1+D283)^D288</f>
        <v>4503.9580449678479</v>
      </c>
      <c r="E290" s="20">
        <f>E287/(1+E283)^E288</f>
        <v>6124.149595951314</v>
      </c>
    </row>
    <row r="291" spans="2:10" ht="13.95" customHeight="1" x14ac:dyDescent="0.3">
      <c r="B291" s="8" t="s">
        <v>560</v>
      </c>
      <c r="C291" s="20">
        <f>C289+C290</f>
        <v>4393.0221350786724</v>
      </c>
      <c r="D291" s="20">
        <f>D289+D290</f>
        <v>5809.311363326874</v>
      </c>
      <c r="E291" s="20">
        <f>E289+E290</f>
        <v>7506.9962728540377</v>
      </c>
    </row>
    <row r="292" spans="2:10" ht="13.95" customHeight="1" x14ac:dyDescent="0.3">
      <c r="B292" s="8" t="s">
        <v>206</v>
      </c>
      <c r="C292" s="20">
        <f>IF(FixND=1,NDmult*DCF!$M$21*$C$264,0)</f>
        <v>0</v>
      </c>
      <c r="D292" s="20">
        <f>IF(FixND=1,NDmult*DCF!$M$21*$C$264,0)</f>
        <v>0</v>
      </c>
      <c r="E292" s="20">
        <f>IF(FixND=1,NDmult*DCF!$M$21*$C$264,0)</f>
        <v>0</v>
      </c>
      <c r="J292" s="14" t="s">
        <v>561</v>
      </c>
    </row>
    <row r="293" spans="2:10" ht="13.95" customHeight="1" x14ac:dyDescent="0.3">
      <c r="B293" s="8" t="s">
        <v>562</v>
      </c>
      <c r="C293" s="16">
        <f>C291-C292</f>
        <v>4393.0221350786724</v>
      </c>
      <c r="D293" s="16">
        <f>D291-D292</f>
        <v>5809.311363326874</v>
      </c>
      <c r="E293" s="16">
        <f>E291-E292</f>
        <v>7506.9962728540377</v>
      </c>
      <c r="J293" s="14" t="s">
        <v>563</v>
      </c>
    </row>
    <row r="294" spans="2:10" ht="13.95" customHeight="1" x14ac:dyDescent="0.3">
      <c r="B294" s="5" t="s">
        <v>569</v>
      </c>
      <c r="C294" s="16">
        <f>C293</f>
        <v>4393.0221350786724</v>
      </c>
      <c r="D294" s="16">
        <f>D293</f>
        <v>5809.311363326874</v>
      </c>
      <c r="E294" s="16">
        <f>E293</f>
        <v>7506.9962728540377</v>
      </c>
      <c r="J294" s="14" t="s">
        <v>570</v>
      </c>
    </row>
    <row r="295" spans="2:10" ht="13.95" customHeight="1" x14ac:dyDescent="0.3">
      <c r="B295" s="8" t="s">
        <v>571</v>
      </c>
      <c r="C295" s="20">
        <f>'Box Shares'!$C$15</f>
        <v>10204.555109283054</v>
      </c>
      <c r="D295" s="20">
        <f>'Box Shares'!$C$15</f>
        <v>10204.555109283054</v>
      </c>
      <c r="E295" s="20">
        <f>'Box Shares'!$C$15</f>
        <v>10204.555109283054</v>
      </c>
    </row>
    <row r="296" spans="2:10" ht="13.95" customHeight="1" x14ac:dyDescent="0.3">
      <c r="B296" s="8" t="s">
        <v>572</v>
      </c>
      <c r="C296" s="21">
        <f>C294/C295-1</f>
        <v>-0.56950380609122753</v>
      </c>
      <c r="D296" s="21">
        <f>D294/D295-1</f>
        <v>-0.43071390167297341</v>
      </c>
      <c r="E296" s="21">
        <f>E294/E295-1</f>
        <v>-0.26434850001202448</v>
      </c>
    </row>
    <row r="297" spans="2:10" ht="13.95" customHeight="1" x14ac:dyDescent="0.3">
      <c r="B297" s="5" t="s">
        <v>573</v>
      </c>
      <c r="C297" s="61">
        <f>C294*C$10</f>
        <v>4393.0221350786724</v>
      </c>
      <c r="D297" s="61">
        <f>D294*D$10</f>
        <v>5809.311363326874</v>
      </c>
      <c r="E297" s="61">
        <f>E294*E$10</f>
        <v>7506.9962728540377</v>
      </c>
      <c r="J297" s="14" t="s">
        <v>574</v>
      </c>
    </row>
    <row r="298" spans="2:10" ht="13.95" customHeight="1" x14ac:dyDescent="0.3">
      <c r="B298" s="5" t="s">
        <v>211</v>
      </c>
      <c r="C298" s="68">
        <f>C297/C295-1</f>
        <v>-0.56950380609122753</v>
      </c>
      <c r="D298" s="68">
        <f>D297/D295-1</f>
        <v>-0.43071390167297341</v>
      </c>
      <c r="E298" s="68">
        <f>E297/E295-1</f>
        <v>-0.26434850001202448</v>
      </c>
    </row>
    <row r="299" spans="2:10" ht="13.95" customHeight="1" x14ac:dyDescent="0.3">
      <c r="B299" s="8" t="s">
        <v>575</v>
      </c>
      <c r="C299" s="65">
        <f>C285+(C295-C294)/(C286*FadeYears/2/((C283-gLT)*(1+C283)^C288))</f>
        <v>0.43040362585572711</v>
      </c>
      <c r="D299" s="40">
        <f>D285+(D295-D294)/(D286*FadeYears/2/((D283-gLT)*(1+D283)^D288))</f>
        <v>0.25134560695598002</v>
      </c>
      <c r="E299" s="65">
        <f>E285+(E295-E294)/(E286*FadeYears/2/((E283-gLT)*(1+E283)^E288))</f>
        <v>0.13923628709554575</v>
      </c>
      <c r="J299" s="14" t="s">
        <v>576</v>
      </c>
    </row>
    <row r="300" spans="2:10" ht="13.95" customHeight="1" x14ac:dyDescent="0.3">
      <c r="B300" s="64" t="s">
        <v>577</v>
      </c>
      <c r="C300" s="69">
        <f>DCF!C48</f>
        <v>0.14500000000000002</v>
      </c>
      <c r="D300" s="69">
        <f>DCF!D48</f>
        <v>0.12759999999999999</v>
      </c>
      <c r="E300" s="69">
        <f>DCF!E48</f>
        <v>0.11499999999999999</v>
      </c>
    </row>
    <row r="301" spans="2:10" ht="13.95" customHeight="1" x14ac:dyDescent="0.3">
      <c r="B301" s="64" t="s">
        <v>578</v>
      </c>
      <c r="C301" s="62">
        <f>NPV(C300,$E$277:$H$277)+$H$277*(1+gLT)/(C300-gLT)/(1+C300)^C288-C292</f>
        <v>2750.7536864472536</v>
      </c>
      <c r="D301" s="62">
        <f>NPV(D300,$E$277:$H$277)+$H$277*(1+gLT)/(D300-gLT)/(1+D300)^D288-D292</f>
        <v>3377.1273033984285</v>
      </c>
      <c r="E301" s="62">
        <f>NPV(E300,$E$277:$H$277)+$H$277*(1+gLT)/(E300-gLT)/(1+E300)^E288-E292</f>
        <v>4034.6064083263714</v>
      </c>
      <c r="J301" s="14" t="s">
        <v>579</v>
      </c>
    </row>
    <row r="302" spans="2:10" ht="13.95" customHeight="1" x14ac:dyDescent="0.3">
      <c r="B302" s="64" t="s">
        <v>580</v>
      </c>
      <c r="C302" s="62">
        <f>C301</f>
        <v>2750.7536864472536</v>
      </c>
      <c r="D302" s="62">
        <f>D301</f>
        <v>3377.1273033984285</v>
      </c>
      <c r="E302" s="62">
        <f>E301</f>
        <v>4034.6064083263714</v>
      </c>
      <c r="J302" s="14" t="s">
        <v>581</v>
      </c>
    </row>
  </sheetData>
  <mergeCells count="7">
    <mergeCell ref="B211:J211"/>
    <mergeCell ref="B258:J258"/>
    <mergeCell ref="B5:J5"/>
    <mergeCell ref="B16:J16"/>
    <mergeCell ref="B70:J70"/>
    <mergeCell ref="B117:J117"/>
    <mergeCell ref="B164:J164"/>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Z189"/>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3.95" customHeight="1" x14ac:dyDescent="0.3"/>
  <cols>
    <col min="1" max="1" width="2.6640625" customWidth="1"/>
    <col min="2" max="2" width="60.6640625" customWidth="1"/>
    <col min="3" max="26" width="11.6640625" customWidth="1"/>
  </cols>
  <sheetData>
    <row r="1" spans="2:10" ht="30" customHeight="1" x14ac:dyDescent="0.3">
      <c r="B1" s="15" t="s">
        <v>733</v>
      </c>
    </row>
    <row r="2" spans="2:10" ht="13.95" customHeight="1" x14ac:dyDescent="0.3">
      <c r="B2" s="14" t="s">
        <v>734</v>
      </c>
    </row>
    <row r="3" spans="2:10" ht="13.95" customHeight="1" x14ac:dyDescent="0.3">
      <c r="B3" s="14" t="s">
        <v>2</v>
      </c>
      <c r="C3" s="47" t="s">
        <v>3</v>
      </c>
      <c r="D3" s="48" t="s">
        <v>4</v>
      </c>
      <c r="E3" s="49" t="s">
        <v>5</v>
      </c>
    </row>
    <row r="5" spans="2:10" ht="13.95" customHeight="1" x14ac:dyDescent="0.3">
      <c r="B5" s="138" t="s">
        <v>735</v>
      </c>
      <c r="C5" s="138"/>
      <c r="D5" s="138"/>
      <c r="E5" s="138"/>
      <c r="F5" s="138"/>
      <c r="G5" s="138"/>
      <c r="H5" s="138"/>
      <c r="I5" s="138"/>
      <c r="J5" s="138"/>
    </row>
    <row r="6" spans="2:10" ht="13.95" customHeight="1" x14ac:dyDescent="0.3">
      <c r="B6" s="17"/>
      <c r="C6" s="18" t="s">
        <v>31</v>
      </c>
      <c r="D6" s="18" t="s">
        <v>32</v>
      </c>
      <c r="E6" s="18" t="s">
        <v>33</v>
      </c>
    </row>
    <row r="7" spans="2:10" ht="13.95" customHeight="1" x14ac:dyDescent="0.3">
      <c r="B7" s="8" t="s">
        <v>736</v>
      </c>
      <c r="C7" s="70">
        <f>Assumptions!C53</f>
        <v>7.5</v>
      </c>
      <c r="D7" s="70">
        <f>Assumptions!D53</f>
        <v>10</v>
      </c>
      <c r="E7" s="70">
        <f>Assumptions!E53</f>
        <v>12</v>
      </c>
    </row>
    <row r="8" spans="2:10" ht="13.95" customHeight="1" x14ac:dyDescent="0.3">
      <c r="B8" s="8" t="s">
        <v>737</v>
      </c>
      <c r="C8" s="71">
        <f>DCF!$O$29</f>
        <v>21666</v>
      </c>
      <c r="D8" s="71">
        <f>DCF!$O$29</f>
        <v>21666</v>
      </c>
      <c r="E8" s="71">
        <f>DCF!$O$29</f>
        <v>21666</v>
      </c>
    </row>
    <row r="9" spans="2:10" ht="13.95" customHeight="1" x14ac:dyDescent="0.3">
      <c r="B9" s="8" t="s">
        <v>738</v>
      </c>
      <c r="C9" s="71">
        <f>C7*C8</f>
        <v>162495</v>
      </c>
      <c r="D9" s="71">
        <f>D7*D8</f>
        <v>216660</v>
      </c>
      <c r="E9" s="71">
        <f>E7*E8</f>
        <v>259992</v>
      </c>
    </row>
    <row r="10" spans="2:10" ht="13.95" customHeight="1" x14ac:dyDescent="0.3">
      <c r="B10" s="8" t="s">
        <v>739</v>
      </c>
      <c r="C10" s="70">
        <f>Assumptions!C54</f>
        <v>4.5</v>
      </c>
      <c r="D10" s="70">
        <f>Assumptions!D54</f>
        <v>5.5</v>
      </c>
      <c r="E10" s="70">
        <f>Assumptions!E54</f>
        <v>6</v>
      </c>
    </row>
    <row r="11" spans="2:10" ht="13.95" customHeight="1" x14ac:dyDescent="0.3">
      <c r="B11" s="8" t="s">
        <v>740</v>
      </c>
      <c r="C11" s="71">
        <f>DCF!$O$21</f>
        <v>50717</v>
      </c>
      <c r="D11" s="71">
        <f>DCF!$O$21</f>
        <v>50717</v>
      </c>
      <c r="E11" s="71">
        <f>DCF!$O$21</f>
        <v>50717</v>
      </c>
    </row>
    <row r="12" spans="2:10" ht="13.95" customHeight="1" x14ac:dyDescent="0.3">
      <c r="B12" s="8" t="s">
        <v>741</v>
      </c>
      <c r="C12" s="71">
        <f>NDmult*DCF!$M$21</f>
        <v>54081.600000000006</v>
      </c>
      <c r="D12" s="71">
        <f>NDmult*DCF!$M$21</f>
        <v>54081.600000000006</v>
      </c>
      <c r="E12" s="71">
        <f>NDmult*DCF!$M$21</f>
        <v>54081.600000000006</v>
      </c>
    </row>
    <row r="13" spans="2:10" ht="13.95" customHeight="1" x14ac:dyDescent="0.3">
      <c r="B13" s="8" t="s">
        <v>742</v>
      </c>
      <c r="C13" s="71">
        <f>C10*C11-C12</f>
        <v>174144.9</v>
      </c>
      <c r="D13" s="71">
        <f>D10*D11-D12</f>
        <v>224861.9</v>
      </c>
      <c r="E13" s="71">
        <f>E10*E11-E12</f>
        <v>250220.4</v>
      </c>
    </row>
    <row r="14" spans="2:10" ht="13.95" customHeight="1" x14ac:dyDescent="0.3">
      <c r="B14" s="8" t="s">
        <v>743</v>
      </c>
      <c r="C14" s="71">
        <f>C50</f>
        <v>179149.4461762601</v>
      </c>
      <c r="D14" s="71">
        <f>D50</f>
        <v>223936.80772032513</v>
      </c>
      <c r="E14" s="71">
        <f>E50</f>
        <v>268724.16926439013</v>
      </c>
    </row>
    <row r="15" spans="2:10" ht="13.95" customHeight="1" x14ac:dyDescent="0.3">
      <c r="B15" s="8" t="s">
        <v>744</v>
      </c>
      <c r="C15" s="71">
        <f>'DCF by Box'!C11</f>
        <v>142019.57645542038</v>
      </c>
      <c r="D15" s="71">
        <f>'DCF by Box'!D11</f>
        <v>223818.5163752322</v>
      </c>
      <c r="E15" s="71">
        <f>'DCF by Box'!E11</f>
        <v>327135.91877874843</v>
      </c>
    </row>
    <row r="16" spans="2:10" ht="13.95" customHeight="1" x14ac:dyDescent="0.3">
      <c r="B16" s="5" t="s">
        <v>745</v>
      </c>
      <c r="C16" s="61">
        <f>(WDCF*C15+WPE*C9+WEV*C13+WBU*C14)/(WDCF+WPE+WEV+WBU)</f>
        <v>164452.23065792012</v>
      </c>
      <c r="D16" s="61">
        <f>(WDCF*D15+WPE*D9+WEV*D13+WBU*D14)/(WDCF+WPE+WEV+WBU)</f>
        <v>222319.30602388934</v>
      </c>
      <c r="E16" s="61">
        <f>(WDCF*E15+WPE*E9+WEV*E13+WBU*E14)/(WDCF+WPE+WEV+WBU)</f>
        <v>276518.12201078469</v>
      </c>
    </row>
    <row r="17" spans="2:10" ht="13.95" customHeight="1" x14ac:dyDescent="0.3">
      <c r="B17" s="8" t="s">
        <v>210</v>
      </c>
      <c r="C17" s="71">
        <f>IbovUsed</f>
        <v>208431.92</v>
      </c>
      <c r="D17" s="71">
        <f>IbovUsed</f>
        <v>208431.92</v>
      </c>
      <c r="E17" s="71">
        <f>IbovUsed</f>
        <v>208431.92</v>
      </c>
    </row>
    <row r="18" spans="2:10" ht="13.95" customHeight="1" x14ac:dyDescent="0.3">
      <c r="B18" s="5" t="s">
        <v>746</v>
      </c>
      <c r="C18" s="68">
        <f>C16/C17-1</f>
        <v>-0.21100265900769843</v>
      </c>
      <c r="D18" s="68">
        <f>D16/D17-1</f>
        <v>6.6627923515214516E-2</v>
      </c>
      <c r="E18" s="68">
        <f>E16/E17-1</f>
        <v>0.32665918929684423</v>
      </c>
    </row>
    <row r="20" spans="2:10" ht="13.95" customHeight="1" x14ac:dyDescent="0.3">
      <c r="B20" s="138" t="s">
        <v>747</v>
      </c>
      <c r="C20" s="138"/>
      <c r="D20" s="138"/>
      <c r="E20" s="138"/>
      <c r="F20" s="138"/>
      <c r="G20" s="138"/>
      <c r="H20" s="138"/>
      <c r="I20" s="138"/>
      <c r="J20" s="138"/>
    </row>
    <row r="21" spans="2:10" ht="42" customHeight="1" x14ac:dyDescent="0.3">
      <c r="B21" s="17" t="s">
        <v>464</v>
      </c>
      <c r="C21" s="18" t="s">
        <v>31</v>
      </c>
      <c r="D21" s="18" t="s">
        <v>32</v>
      </c>
      <c r="E21" s="18" t="s">
        <v>33</v>
      </c>
      <c r="F21" s="18"/>
      <c r="G21" s="18" t="s">
        <v>748</v>
      </c>
      <c r="H21" s="18" t="s">
        <v>749</v>
      </c>
      <c r="I21" s="18" t="s">
        <v>750</v>
      </c>
      <c r="J21" s="18" t="s">
        <v>751</v>
      </c>
    </row>
    <row r="22" spans="2:10" ht="13.95" customHeight="1" x14ac:dyDescent="0.3">
      <c r="B22" s="19" t="s">
        <v>752</v>
      </c>
      <c r="C22" s="31">
        <f>C9/SUMPRODUCT($G$23:$G$26,$H$23:$H$26)</f>
        <v>7.1318649577470765</v>
      </c>
      <c r="D22" s="31">
        <f>D9/SUMPRODUCT($G$23:$G$26,$H$23:$H$26)</f>
        <v>9.509153276996102</v>
      </c>
      <c r="E22" s="31">
        <f>E9/SUMPRODUCT($G$23:$G$26,$H$23:$H$26)</f>
        <v>11.410983932395322</v>
      </c>
    </row>
    <row r="23" spans="2:10" ht="13.95" customHeight="1" x14ac:dyDescent="0.3">
      <c r="B23" s="19" t="s">
        <v>295</v>
      </c>
      <c r="C23" s="16">
        <f t="shared" ref="C23:E26" si="0">C$22*$G23*$H23</f>
        <v>42231.483015071353</v>
      </c>
      <c r="D23" s="16">
        <f t="shared" si="0"/>
        <v>56308.64402009514</v>
      </c>
      <c r="E23" s="16">
        <f t="shared" si="0"/>
        <v>67570.372824114165</v>
      </c>
      <c r="G23" s="31">
        <f>IF(RelMult=1,$P$68,1)</f>
        <v>0.92713439589111413</v>
      </c>
      <c r="H23" s="20">
        <f>DCF!$O$29*'Box Shares'!N19</f>
        <v>6386.9060526148151</v>
      </c>
      <c r="I23" s="72">
        <f>'Box Shares'!$C$7/H23</f>
        <v>9.5394081296789413</v>
      </c>
      <c r="J23" s="72">
        <f>D$22*G23</f>
        <v>8.8162630789037895</v>
      </c>
    </row>
    <row r="24" spans="2:10" ht="13.95" customHeight="1" x14ac:dyDescent="0.3">
      <c r="B24" s="19" t="s">
        <v>325</v>
      </c>
      <c r="C24" s="16">
        <f t="shared" si="0"/>
        <v>40701.435396501329</v>
      </c>
      <c r="D24" s="16">
        <f t="shared" si="0"/>
        <v>54268.580528668441</v>
      </c>
      <c r="E24" s="16">
        <f t="shared" si="0"/>
        <v>65122.296634402119</v>
      </c>
      <c r="G24" s="31">
        <f>IF(RelMult=1,$Q$68,1)</f>
        <v>1.4978490513488221</v>
      </c>
      <c r="H24" s="20">
        <f>DCF!$O$29*'Box Shares'!N20</f>
        <v>3810.1192246215842</v>
      </c>
      <c r="I24" s="72">
        <f>'Box Shares'!$C$8/H24</f>
        <v>14.651081520210324</v>
      </c>
      <c r="J24" s="72">
        <f>D$22*G24</f>
        <v>14.243276215079154</v>
      </c>
    </row>
    <row r="25" spans="2:10" ht="13.95" customHeight="1" x14ac:dyDescent="0.3">
      <c r="B25" s="19" t="s">
        <v>376</v>
      </c>
      <c r="C25" s="16">
        <f t="shared" si="0"/>
        <v>27136.850250968215</v>
      </c>
      <c r="D25" s="16">
        <f t="shared" si="0"/>
        <v>36182.467001290956</v>
      </c>
      <c r="E25" s="16">
        <f t="shared" si="0"/>
        <v>43418.960401549142</v>
      </c>
      <c r="G25" s="31">
        <f>IF(RelMult=1,$R$68,1)</f>
        <v>1.975061512507494</v>
      </c>
      <c r="H25" s="20">
        <f>DCF!$O$29*'Box Shares'!N21</f>
        <v>1926.5296652824968</v>
      </c>
      <c r="I25" s="72">
        <f>'Box Shares'!$C$9/H25</f>
        <v>13.636475534063342</v>
      </c>
      <c r="J25" s="72">
        <f>D$22*G25</f>
        <v>18.781162653929513</v>
      </c>
    </row>
    <row r="26" spans="2:10" ht="13.95" customHeight="1" x14ac:dyDescent="0.3">
      <c r="B26" s="19" t="s">
        <v>427</v>
      </c>
      <c r="C26" s="16">
        <f t="shared" si="0"/>
        <v>52425.23133745911</v>
      </c>
      <c r="D26" s="16">
        <f t="shared" si="0"/>
        <v>69900.308449945485</v>
      </c>
      <c r="E26" s="16">
        <f t="shared" si="0"/>
        <v>83880.370139934574</v>
      </c>
      <c r="G26" s="31">
        <f>IF(RelMult=1,$S$68,1)</f>
        <v>0.77033135651010576</v>
      </c>
      <c r="H26" s="20">
        <f>DCF!$O$29*'Box Shares'!N22</f>
        <v>9542.4450574811017</v>
      </c>
      <c r="I26" s="72">
        <f>'Box Shares'!$C$10/H26</f>
        <v>6.8547603969682909</v>
      </c>
      <c r="J26" s="72">
        <f>D$22*G26</f>
        <v>7.3251989431309248</v>
      </c>
    </row>
    <row r="27" spans="2:10" ht="13.95" customHeight="1" x14ac:dyDescent="0.3">
      <c r="B27" s="11" t="s">
        <v>596</v>
      </c>
      <c r="C27" s="22">
        <f>SUM(C23:C26)</f>
        <v>162495</v>
      </c>
      <c r="D27" s="22">
        <f>SUM(D23:D26)</f>
        <v>216660</v>
      </c>
      <c r="E27" s="22">
        <f>SUM(E23:E26)</f>
        <v>259992</v>
      </c>
      <c r="H27" s="22">
        <f>SUM(H23:H26)</f>
        <v>21666</v>
      </c>
      <c r="I27" s="73">
        <f>'Box Shares'!$C$11/H27</f>
        <v>9.6202307763315815</v>
      </c>
    </row>
    <row r="28" spans="2:10" ht="13.95" customHeight="1" x14ac:dyDescent="0.3">
      <c r="B28" s="14" t="s">
        <v>753</v>
      </c>
    </row>
    <row r="29" spans="2:10" ht="13.95" customHeight="1" x14ac:dyDescent="0.3">
      <c r="B29" s="19" t="s">
        <v>377</v>
      </c>
      <c r="C29" s="16">
        <f t="shared" ref="C29:E30" si="1">C$22*$G29*$H29</f>
        <v>18929.412016654478</v>
      </c>
      <c r="D29" s="16">
        <f t="shared" si="1"/>
        <v>25239.216022205972</v>
      </c>
      <c r="E29" s="16">
        <f t="shared" si="1"/>
        <v>30287.059226647161</v>
      </c>
      <c r="G29" s="31">
        <f>IF(RelMult=1,$T$68,1)</f>
        <v>1.7945677896434542</v>
      </c>
      <c r="H29" s="20">
        <f>DCF!$O$29*'Box Shares'!N25</f>
        <v>1479.0203330251404</v>
      </c>
      <c r="I29" s="72">
        <f>'Box Shares'!$C$14/H29</f>
        <v>10.862947032058045</v>
      </c>
      <c r="J29" s="72">
        <f>D$22*G29</f>
        <v>17.064820177679703</v>
      </c>
    </row>
    <row r="30" spans="2:10" ht="13.95" customHeight="1" x14ac:dyDescent="0.3">
      <c r="B30" s="19" t="s">
        <v>422</v>
      </c>
      <c r="C30" s="16">
        <f t="shared" si="1"/>
        <v>9769.6387415144327</v>
      </c>
      <c r="D30" s="16">
        <f t="shared" si="1"/>
        <v>13026.184988685911</v>
      </c>
      <c r="E30" s="16">
        <f t="shared" si="1"/>
        <v>15631.421986423093</v>
      </c>
      <c r="G30" s="31">
        <f>IF(RelMult=1,$U$68,1)</f>
        <v>3.061070254604028</v>
      </c>
      <c r="H30" s="20">
        <f>DCF!$O$29*'Box Shares'!N26</f>
        <v>447.50933225735611</v>
      </c>
      <c r="I30" s="72">
        <f>'Box Shares'!$C$15/H30</f>
        <v>22.802999566084051</v>
      </c>
      <c r="J30" s="72">
        <f>D$22*G30</f>
        <v>29.108186242683185</v>
      </c>
    </row>
    <row r="32" spans="2:10" ht="13.95" customHeight="1" x14ac:dyDescent="0.3">
      <c r="B32" s="138" t="s">
        <v>754</v>
      </c>
      <c r="C32" s="138"/>
      <c r="D32" s="138"/>
      <c r="E32" s="138"/>
      <c r="F32" s="138"/>
      <c r="G32" s="138"/>
      <c r="H32" s="138"/>
      <c r="I32" s="138"/>
      <c r="J32" s="138"/>
    </row>
    <row r="33" spans="2:10" ht="42" customHeight="1" x14ac:dyDescent="0.3">
      <c r="B33" s="17" t="s">
        <v>464</v>
      </c>
      <c r="C33" s="18" t="s">
        <v>31</v>
      </c>
      <c r="D33" s="18" t="s">
        <v>32</v>
      </c>
      <c r="E33" s="18" t="s">
        <v>33</v>
      </c>
      <c r="F33" s="18"/>
      <c r="G33" s="18" t="s">
        <v>755</v>
      </c>
      <c r="H33" s="18" t="s">
        <v>756</v>
      </c>
      <c r="I33" s="18" t="s">
        <v>757</v>
      </c>
      <c r="J33" s="18" t="s">
        <v>758</v>
      </c>
    </row>
    <row r="34" spans="2:10" ht="13.95" customHeight="1" x14ac:dyDescent="0.3">
      <c r="B34" s="19" t="s">
        <v>759</v>
      </c>
      <c r="C34" s="29">
        <f>(C13-C35+SUM($I$36:$I$38))/(C10*SUMPRODUCT($G$36:$G$38,$H$36:$H$38))</f>
        <v>0.96889776327971389</v>
      </c>
      <c r="D34" s="29">
        <f>(D13-D35+SUM($I$36:$I$38))/(D10*SUMPRODUCT($G$36:$G$38,$H$36:$H$38))</f>
        <v>0.96124380377593033</v>
      </c>
      <c r="E34" s="29">
        <f>(E13-E35+SUM($I$36:$I$38))/(E10*SUMPRODUCT($G$36:$G$38,$H$36:$H$38))</f>
        <v>0.94056955145329513</v>
      </c>
    </row>
    <row r="35" spans="2:10" ht="13.95" customHeight="1" x14ac:dyDescent="0.3">
      <c r="B35" s="19" t="s">
        <v>760</v>
      </c>
      <c r="C35" s="16">
        <f>C23</f>
        <v>42231.483015071353</v>
      </c>
      <c r="D35" s="16">
        <f>D23</f>
        <v>56308.64402009514</v>
      </c>
      <c r="E35" s="16">
        <f>E23</f>
        <v>67570.372824114165</v>
      </c>
    </row>
    <row r="36" spans="2:10" ht="13.95" customHeight="1" x14ac:dyDescent="0.3">
      <c r="B36" s="19" t="s">
        <v>325</v>
      </c>
      <c r="C36" s="16">
        <f t="shared" ref="C36:E38" si="2">C$34*C$10*$G36*$H36-$I36</f>
        <v>53979.189575623539</v>
      </c>
      <c r="D36" s="16">
        <f t="shared" si="2"/>
        <v>67657.449137296804</v>
      </c>
      <c r="E36" s="16">
        <f t="shared" si="2"/>
        <v>72920.007617059367</v>
      </c>
      <c r="G36" s="31">
        <f>IF(RelMult=1,$V$68,1)</f>
        <v>1.3778556235452462</v>
      </c>
      <c r="H36" s="20">
        <f>DCF!$O$21*'Box Shares'!K20</f>
        <v>10711.261953502451</v>
      </c>
      <c r="I36" s="20">
        <f>NDmult*DCF!$M$21*'Box Shares'!J20</f>
        <v>10368.775982451121</v>
      </c>
      <c r="J36" s="72">
        <f>D$34*D$10*G36</f>
        <v>7.2845034934687876</v>
      </c>
    </row>
    <row r="37" spans="2:10" ht="13.95" customHeight="1" x14ac:dyDescent="0.3">
      <c r="B37" s="19" t="s">
        <v>376</v>
      </c>
      <c r="C37" s="16">
        <f t="shared" si="2"/>
        <v>30868.834117527702</v>
      </c>
      <c r="D37" s="16">
        <f t="shared" si="2"/>
        <v>38413.22291334709</v>
      </c>
      <c r="E37" s="16">
        <f t="shared" si="2"/>
        <v>41315.842727882053</v>
      </c>
      <c r="G37" s="31">
        <f>IF(RelMult=1,$W$68,1)</f>
        <v>1.7471492794892429</v>
      </c>
      <c r="H37" s="20">
        <f>DCF!$O$21*'Box Shares'!K21</f>
        <v>4659.1593137280361</v>
      </c>
      <c r="I37" s="20">
        <f>NDmult*DCF!$M$21*'Box Shares'!J21</f>
        <v>4622.9671749697682</v>
      </c>
      <c r="J37" s="72">
        <f>D$34*D$10*G37</f>
        <v>9.2369003054933874</v>
      </c>
    </row>
    <row r="38" spans="2:10" ht="13.95" customHeight="1" x14ac:dyDescent="0.3">
      <c r="B38" s="19" t="s">
        <v>427</v>
      </c>
      <c r="C38" s="16">
        <f t="shared" si="2"/>
        <v>47065.393291777378</v>
      </c>
      <c r="D38" s="16">
        <f t="shared" si="2"/>
        <v>62482.583929260931</v>
      </c>
      <c r="E38" s="16">
        <f t="shared" si="2"/>
        <v>68414.176830944416</v>
      </c>
      <c r="G38" s="31">
        <f>IF(RelMult=1,$X$68,1)</f>
        <v>0.73545865226909479</v>
      </c>
      <c r="H38" s="20">
        <f>DCF!$O$21*'Box Shares'!K22</f>
        <v>22618.327800370836</v>
      </c>
      <c r="I38" s="20">
        <f>NDmult*DCF!$M$21*'Box Shares'!J22</f>
        <v>25463.194696335369</v>
      </c>
      <c r="J38" s="72">
        <f>D$34*D$10*G38</f>
        <v>3.8882528983488513</v>
      </c>
    </row>
    <row r="39" spans="2:10" ht="13.95" customHeight="1" x14ac:dyDescent="0.3">
      <c r="B39" s="11" t="s">
        <v>596</v>
      </c>
      <c r="C39" s="22">
        <f>SUM(C35:C38)</f>
        <v>174144.89999999997</v>
      </c>
      <c r="D39" s="22">
        <f>SUM(D35:D38)</f>
        <v>224861.89999999997</v>
      </c>
      <c r="E39" s="22">
        <f>SUM(E35:E38)</f>
        <v>250220.40000000002</v>
      </c>
      <c r="H39" s="22">
        <f>SUM(H35:H38)</f>
        <v>37988.749067601326</v>
      </c>
      <c r="I39" s="22">
        <f>SUM(I35:I38)</f>
        <v>40454.937853756259</v>
      </c>
    </row>
    <row r="40" spans="2:10" ht="13.95" customHeight="1" x14ac:dyDescent="0.3">
      <c r="B40" s="14" t="s">
        <v>753</v>
      </c>
    </row>
    <row r="41" spans="2:10" ht="13.95" customHeight="1" x14ac:dyDescent="0.3">
      <c r="B41" s="19" t="s">
        <v>377</v>
      </c>
      <c r="C41" s="16">
        <f t="shared" ref="C41:E42" si="3">C$34*C$10*$G41*$H41-$I41</f>
        <v>22936.908549377375</v>
      </c>
      <c r="D41" s="16">
        <f t="shared" si="3"/>
        <v>28647.414515558045</v>
      </c>
      <c r="E41" s="16">
        <f t="shared" si="3"/>
        <v>30844.468275253086</v>
      </c>
      <c r="G41" s="31">
        <f>IF(RelMult=1,$Y$68,1)</f>
        <v>1.5670390026016314</v>
      </c>
      <c r="H41" s="20">
        <f>DCF!$O$21*'Box Shares'!K25</f>
        <v>3931.9528064138312</v>
      </c>
      <c r="I41" s="20">
        <f>NDmult*DCF!$M$21*'Box Shares'!J25</f>
        <v>3927.5795511849215</v>
      </c>
      <c r="J41" s="72">
        <f>D$34*D$10*G41</f>
        <v>8.2846859233931767</v>
      </c>
    </row>
    <row r="42" spans="2:10" ht="13.95" customHeight="1" x14ac:dyDescent="0.3">
      <c r="B42" s="19" t="s">
        <v>422</v>
      </c>
      <c r="C42" s="16">
        <f t="shared" si="3"/>
        <v>8497.899844060059</v>
      </c>
      <c r="D42" s="16">
        <f t="shared" si="3"/>
        <v>10452.090176569818</v>
      </c>
      <c r="E42" s="16">
        <f t="shared" si="3"/>
        <v>11203.94320721674</v>
      </c>
      <c r="G42" s="31">
        <f>IF(RelMult=1,$Z$68,1)</f>
        <v>2.8994966870203105</v>
      </c>
      <c r="H42" s="20">
        <f>DCF!$O$21*'Box Shares'!K26</f>
        <v>727.20650731420392</v>
      </c>
      <c r="I42" s="20">
        <f>NDmult*DCF!$M$21*'Box Shares'!J26</f>
        <v>695.38762378484671</v>
      </c>
      <c r="J42" s="72">
        <f>D$34*D$10*G42</f>
        <v>15.329177734569113</v>
      </c>
    </row>
    <row r="44" spans="2:10" ht="13.95" customHeight="1" x14ac:dyDescent="0.3">
      <c r="B44" s="138" t="s">
        <v>761</v>
      </c>
      <c r="C44" s="138"/>
      <c r="D44" s="138"/>
      <c r="E44" s="138"/>
      <c r="F44" s="138"/>
      <c r="G44" s="138"/>
      <c r="H44" s="138"/>
      <c r="I44" s="138"/>
      <c r="J44" s="138"/>
    </row>
    <row r="45" spans="2:10" ht="42" customHeight="1" x14ac:dyDescent="0.3">
      <c r="B45" s="17" t="s">
        <v>464</v>
      </c>
      <c r="C45" s="18" t="s">
        <v>31</v>
      </c>
      <c r="D45" s="18" t="s">
        <v>32</v>
      </c>
      <c r="E45" s="18" t="s">
        <v>33</v>
      </c>
      <c r="F45" s="18"/>
      <c r="G45" s="18" t="s">
        <v>291</v>
      </c>
      <c r="H45" s="18" t="s">
        <v>292</v>
      </c>
      <c r="I45" s="18" t="s">
        <v>762</v>
      </c>
      <c r="J45" s="18"/>
    </row>
    <row r="46" spans="2:10" ht="13.95" customHeight="1" x14ac:dyDescent="0.3">
      <c r="B46" s="19" t="s">
        <v>295</v>
      </c>
      <c r="C46" s="16">
        <f>'Box Shares'!$C$7*(1+$I46)*(1+Assumptions!C$55)</f>
        <v>44914.962667347514</v>
      </c>
      <c r="D46" s="16">
        <f>'Box Shares'!$C$7*(1+$I46)*(1+Assumptions!D$55)</f>
        <v>56143.703334184385</v>
      </c>
      <c r="E46" s="16">
        <f>'Box Shares'!$C$7*(1+$I46)*(1+Assumptions!E$55)</f>
        <v>67372.444001021257</v>
      </c>
      <c r="G46" s="20">
        <f>SUMIFS(Members!$AV$6:$AV$81,Members!$C$6:$C$81,"Financials")</f>
        <v>60927.303521809401</v>
      </c>
      <c r="H46" s="20">
        <f>SUMIFS(Members!$AW$6:$AW$81,Members!$C$6:$C$81,"Financials")</f>
        <v>56143.703334184385</v>
      </c>
      <c r="I46" s="21">
        <f>H46/G46-1</f>
        <v>-7.851324301448348E-2</v>
      </c>
    </row>
    <row r="47" spans="2:10" ht="13.95" customHeight="1" x14ac:dyDescent="0.3">
      <c r="B47" s="19" t="s">
        <v>325</v>
      </c>
      <c r="C47" s="16">
        <f>'Box Shares'!$C$8*(1+$I47)*(1+Assumptions!C$55)</f>
        <v>50367.075779226841</v>
      </c>
      <c r="D47" s="16">
        <f>'Box Shares'!$C$8*(1+$I47)*(1+Assumptions!D$55)</f>
        <v>62958.844724033552</v>
      </c>
      <c r="E47" s="16">
        <f>'Box Shares'!$C$8*(1+$I47)*(1+Assumptions!E$55)</f>
        <v>75550.613668840262</v>
      </c>
      <c r="G47" s="20">
        <f>SUMIFS(Members!$AV$6:$AV$81,Members!$C$6:$C$81,"Defensives")</f>
        <v>55822.367361651384</v>
      </c>
      <c r="H47" s="20">
        <f>SUMIFS(Members!$AW$6:$AW$81,Members!$C$6:$C$81,"Defensives")</f>
        <v>62958.844724033552</v>
      </c>
      <c r="I47" s="21">
        <f>H47/G47-1</f>
        <v>0.12784261398567542</v>
      </c>
    </row>
    <row r="48" spans="2:10" ht="13.95" customHeight="1" x14ac:dyDescent="0.3">
      <c r="B48" s="19" t="s">
        <v>376</v>
      </c>
      <c r="C48" s="16">
        <f>'Box Shares'!$C$9*(1+$I48)*(1+Assumptions!C$55)</f>
        <v>25071.054262800135</v>
      </c>
      <c r="D48" s="16">
        <f>'Box Shares'!$C$9*(1+$I48)*(1+Assumptions!D$55)</f>
        <v>31338.817828500167</v>
      </c>
      <c r="E48" s="16">
        <f>'Box Shares'!$C$9*(1+$I48)*(1+Assumptions!E$55)</f>
        <v>37606.581394200199</v>
      </c>
      <c r="G48" s="20">
        <f>SUMIFS(Members!$AV$6:$AV$81,Members!$C$6:$C$81,"Cyclicals")</f>
        <v>26271.074646272005</v>
      </c>
      <c r="H48" s="20">
        <f>SUMIFS(Members!$AW$6:$AW$81,Members!$C$6:$C$81,"Cyclicals")</f>
        <v>31338.817828500167</v>
      </c>
      <c r="I48" s="21">
        <f>H48/G48-1</f>
        <v>0.19290201297293708</v>
      </c>
    </row>
    <row r="49" spans="2:10" ht="13.95" customHeight="1" x14ac:dyDescent="0.3">
      <c r="B49" s="19" t="s">
        <v>427</v>
      </c>
      <c r="C49" s="16">
        <f>'Box Shares'!$C$10*(1+$I49)*(1+Assumptions!C$55)</f>
        <v>58796.353466885608</v>
      </c>
      <c r="D49" s="16">
        <f>'Box Shares'!$C$10*(1+$I49)*(1+Assumptions!D$55)</f>
        <v>73495.441833607008</v>
      </c>
      <c r="E49" s="16">
        <f>'Box Shares'!$C$10*(1+$I49)*(1+Assumptions!E$55)</f>
        <v>88194.530200328401</v>
      </c>
      <c r="G49" s="20">
        <f>SUMIFS(Members!$AV$6:$AV$81,Members!$C$6:$C$81,"Commodities")</f>
        <v>65411.174470267266</v>
      </c>
      <c r="H49" s="20">
        <f>SUMIFS(Members!$AW$6:$AW$81,Members!$C$6:$C$81,"Commodities")</f>
        <v>73495.441833607008</v>
      </c>
      <c r="I49" s="21">
        <f>H49/G49-1</f>
        <v>0.12359153353857688</v>
      </c>
    </row>
    <row r="50" spans="2:10" ht="13.95" customHeight="1" x14ac:dyDescent="0.3">
      <c r="B50" s="11" t="s">
        <v>596</v>
      </c>
      <c r="C50" s="22">
        <f>SUM(C46:C49)</f>
        <v>179149.4461762601</v>
      </c>
      <c r="D50" s="22">
        <f>SUM(D46:D49)</f>
        <v>223936.80772032513</v>
      </c>
      <c r="E50" s="22">
        <f>SUM(E46:E49)</f>
        <v>268724.16926439013</v>
      </c>
      <c r="G50" s="22">
        <f>SUM(G46:G49)</f>
        <v>208431.92000000004</v>
      </c>
      <c r="H50" s="22">
        <f>SUM(H46:H49)</f>
        <v>223936.80772032513</v>
      </c>
      <c r="I50" s="23">
        <f>H50/G50-1</f>
        <v>7.4388259343027174E-2</v>
      </c>
    </row>
    <row r="51" spans="2:10" ht="13.95" customHeight="1" x14ac:dyDescent="0.3">
      <c r="B51" s="14" t="s">
        <v>485</v>
      </c>
    </row>
    <row r="52" spans="2:10" ht="13.95" customHeight="1" x14ac:dyDescent="0.3">
      <c r="B52" s="19" t="s">
        <v>377</v>
      </c>
      <c r="C52" s="16">
        <f>'Box Shares'!$C$14*(1+$I52)*(1+Assumptions!C$55)</f>
        <v>15964.767950989406</v>
      </c>
      <c r="D52" s="16">
        <f>'Box Shares'!$C$14*(1+$I52)*(1+Assumptions!D$55)</f>
        <v>19955.959938736756</v>
      </c>
      <c r="E52" s="16">
        <f>'Box Shares'!$C$14*(1+$I52)*(1+Assumptions!E$55)</f>
        <v>23947.151926484108</v>
      </c>
      <c r="G52" s="20">
        <f>SUMIFS(Members!$AV$6:$AV$81,Members!$D$6:$D$81,"Cyclicals ex-WEG &amp; Embraer")</f>
        <v>16066.51953698895</v>
      </c>
      <c r="H52" s="20">
        <f>SUMIFS(Members!$AW$6:$AW$81,Members!$D$6:$D$81,"Cyclicals ex-WEG &amp; Embraer")</f>
        <v>19955.959938736756</v>
      </c>
      <c r="I52" s="21">
        <f>H52/G52-1</f>
        <v>0.24208356967377975</v>
      </c>
    </row>
    <row r="53" spans="2:10" ht="13.95" customHeight="1" x14ac:dyDescent="0.3">
      <c r="B53" s="19" t="s">
        <v>422</v>
      </c>
      <c r="C53" s="16">
        <f>'Box Shares'!$C$15*(1+$I53)*(1+Assumptions!C$55)</f>
        <v>9106.2863118107325</v>
      </c>
      <c r="D53" s="16">
        <f>'Box Shares'!$C$15*(1+$I53)*(1+Assumptions!D$55)</f>
        <v>11382.857889763414</v>
      </c>
      <c r="E53" s="16">
        <f>'Box Shares'!$C$15*(1+$I53)*(1+Assumptions!E$55)</f>
        <v>13659.429467716096</v>
      </c>
      <c r="G53" s="20">
        <f>SUMIFS(Members!$AV$6:$AV$81,Members!$D$6:$D$81,"WEG &amp; Embraer")</f>
        <v>10204.555109283054</v>
      </c>
      <c r="H53" s="20">
        <f>SUMIFS(Members!$AW$6:$AW$81,Members!$D$6:$D$81,"WEG &amp; Embraer")</f>
        <v>11382.857889763412</v>
      </c>
      <c r="I53" s="21">
        <f>H53/G53-1</f>
        <v>0.11546831467532193</v>
      </c>
    </row>
    <row r="55" spans="2:10" ht="13.95" customHeight="1" x14ac:dyDescent="0.3">
      <c r="B55" s="138" t="s">
        <v>763</v>
      </c>
      <c r="C55" s="138"/>
      <c r="D55" s="138"/>
      <c r="E55" s="138"/>
      <c r="F55" s="138"/>
      <c r="G55" s="138"/>
      <c r="H55" s="138"/>
      <c r="I55" s="138"/>
      <c r="J55" s="138"/>
    </row>
    <row r="56" spans="2:10" ht="13.95" customHeight="1" x14ac:dyDescent="0.3">
      <c r="B56" s="17" t="s">
        <v>464</v>
      </c>
      <c r="C56" s="18" t="s">
        <v>31</v>
      </c>
      <c r="D56" s="18" t="s">
        <v>32</v>
      </c>
      <c r="E56" s="18" t="s">
        <v>33</v>
      </c>
      <c r="F56" s="18"/>
      <c r="G56" s="18" t="s">
        <v>764</v>
      </c>
      <c r="H56" s="18" t="s">
        <v>32</v>
      </c>
      <c r="I56" s="18" t="s">
        <v>33</v>
      </c>
      <c r="J56" s="18"/>
    </row>
    <row r="57" spans="2:10" ht="13.95" customHeight="1" x14ac:dyDescent="0.3">
      <c r="B57" s="19" t="s">
        <v>295</v>
      </c>
      <c r="C57" s="61">
        <f>(WDCF*'DCF by Box'!C62+WPE*C23+WEV*C35+WBU*C46)/(WDCF+WPE+WEV+WBU)</f>
        <v>42178.947880724641</v>
      </c>
      <c r="D57" s="61">
        <f>(WDCF*'DCF by Box'!D62+WPE*D23+WEV*D35+WBU*D46)/(WDCF+WPE+WEV+WBU)</f>
        <v>56485.165302869944</v>
      </c>
      <c r="E57" s="61">
        <f>(WDCF*'DCF by Box'!E62+WPE*E23+WEV*E35+WBU*E46)/(WDCF+WPE+WEV+WBU)</f>
        <v>70248.120410419346</v>
      </c>
      <c r="G57" s="21">
        <f>C57/'Box Shares'!$C$7-1</f>
        <v>-0.30771681261708295</v>
      </c>
      <c r="H57" s="21">
        <f>D57/'Box Shares'!$C$7-1</f>
        <v>-7.2908826784847891E-2</v>
      </c>
      <c r="I57" s="21">
        <f>E57/'Box Shares'!$C$7-1</f>
        <v>0.15298259318621388</v>
      </c>
    </row>
    <row r="58" spans="2:10" ht="13.95" customHeight="1" x14ac:dyDescent="0.3">
      <c r="B58" s="19" t="s">
        <v>325</v>
      </c>
      <c r="C58" s="61">
        <f>(WDCF*'DCF by Box'!C109+WPE*C24+WEV*C36+WBU*C47)/(WDCF+WPE+WEV+WBU)</f>
        <v>44488.457542851815</v>
      </c>
      <c r="D58" s="61">
        <f>(WDCF*'DCF by Box'!D109+WPE*D24+WEV*D36+WBU*D47)/(WDCF+WPE+WEV+WBU)</f>
        <v>58266.155771084334</v>
      </c>
      <c r="E58" s="61">
        <f>(WDCF*'DCF by Box'!E109+WPE*E24+WEV*E36+WBU*E47)/(WDCF+WPE+WEV+WBU)</f>
        <v>70165.629532417515</v>
      </c>
      <c r="G58" s="21">
        <f>C58/'Box Shares'!$C$8-1</f>
        <v>-0.20303527697726576</v>
      </c>
      <c r="H58" s="21">
        <f>D58/'Box Shares'!$C$8-1</f>
        <v>4.3777942873697739E-2</v>
      </c>
      <c r="I58" s="21">
        <f>E58/'Box Shares'!$C$8-1</f>
        <v>0.25694471317996448</v>
      </c>
    </row>
    <row r="59" spans="2:10" ht="13.95" customHeight="1" x14ac:dyDescent="0.3">
      <c r="B59" s="19" t="s">
        <v>376</v>
      </c>
      <c r="C59" s="61">
        <f>(WDCF*'DCF by Box'!C156+WPE*C25+WEV*C37+WBU*C48)/(WDCF+WPE+WEV+WBU)</f>
        <v>23520.140887725342</v>
      </c>
      <c r="D59" s="61">
        <f>(WDCF*'DCF by Box'!D156+WPE*D25+WEV*D37+WBU*D48)/(WDCF+WPE+WEV+WBU)</f>
        <v>31594.944937198041</v>
      </c>
      <c r="E59" s="61">
        <f>(WDCF*'DCF by Box'!E156+WPE*E25+WEV*E37+WBU*E48)/(WDCF+WPE+WEV+WBU)</f>
        <v>38674.578494102272</v>
      </c>
      <c r="G59" s="21">
        <f>C59/'Box Shares'!$C$9-1</f>
        <v>-0.10471340801953199</v>
      </c>
      <c r="H59" s="21">
        <f>D59/'Box Shares'!$C$9-1</f>
        <v>0.20265140892062905</v>
      </c>
      <c r="I59" s="21">
        <f>E59/'Box Shares'!$C$9-1</f>
        <v>0.47213538139713607</v>
      </c>
    </row>
    <row r="60" spans="2:10" ht="13.95" customHeight="1" x14ac:dyDescent="0.3">
      <c r="B60" s="19" t="s">
        <v>427</v>
      </c>
      <c r="C60" s="61">
        <f>(WDCF*'DCF by Box'!C203+WPE*C26+WEV*C38+WBU*C49)/(WDCF+WPE+WEV+WBU)</f>
        <v>54264.684346618313</v>
      </c>
      <c r="D60" s="61">
        <f>(WDCF*'DCF by Box'!D203+WPE*D26+WEV*D38+WBU*D49)/(WDCF+WPE+WEV+WBU)</f>
        <v>75973.040012737009</v>
      </c>
      <c r="E60" s="61">
        <f>(WDCF*'DCF by Box'!E203+WPE*E26+WEV*E38+WBU*E49)/(WDCF+WPE+WEV+WBU)</f>
        <v>97429.793573845513</v>
      </c>
      <c r="G60" s="21">
        <f>C60/'Box Shares'!$C$10-1</f>
        <v>-0.17040651255567352</v>
      </c>
      <c r="H60" s="21">
        <f>D60/'Box Shares'!$C$10-1</f>
        <v>0.16146882590023903</v>
      </c>
      <c r="I60" s="21">
        <f>E60/'Box Shares'!$C$10-1</f>
        <v>0.48949769458936032</v>
      </c>
    </row>
    <row r="61" spans="2:10" ht="13.95" customHeight="1" x14ac:dyDescent="0.3">
      <c r="B61" s="11" t="s">
        <v>596</v>
      </c>
      <c r="C61" s="74">
        <f>SUM(C57:C60)</f>
        <v>164452.2306579201</v>
      </c>
      <c r="D61" s="74">
        <f>SUM(D57:D60)</f>
        <v>222319.30602388934</v>
      </c>
      <c r="E61" s="74">
        <f>SUM(E57:E60)</f>
        <v>276518.12201078469</v>
      </c>
      <c r="G61" s="23">
        <f>C61/'Box Shares'!$C$11-1</f>
        <v>-0.21100265900769866</v>
      </c>
      <c r="H61" s="23">
        <f>D61/'Box Shares'!$C$11-1</f>
        <v>6.6627923515214516E-2</v>
      </c>
      <c r="I61" s="23">
        <f>E61/'Box Shares'!$C$11-1</f>
        <v>0.32665918929684401</v>
      </c>
    </row>
    <row r="62" spans="2:10" ht="13.95" customHeight="1" x14ac:dyDescent="0.3">
      <c r="B62" s="14" t="s">
        <v>765</v>
      </c>
    </row>
    <row r="63" spans="2:10" ht="13.95" customHeight="1" x14ac:dyDescent="0.3">
      <c r="B63" s="19" t="s">
        <v>377</v>
      </c>
      <c r="C63" s="61">
        <f>(WDCF*'DCF by Box'!C250+WPE*C29+WEV*C41+WBU*C52)/(WDCF+WPE+WEV+WBU)</f>
        <v>16435.648211767842</v>
      </c>
      <c r="D63" s="61">
        <f>(WDCF*'DCF by Box'!D250+WPE*D29+WEV*D41+WBU*D52)/(WDCF+WPE+WEV+WBU)</f>
        <v>22098.909219816684</v>
      </c>
      <c r="E63" s="61">
        <f>(WDCF*'DCF by Box'!E250+WPE*E29+WEV*E41+WBU*E52)/(WDCF+WPE+WEV+WBU)</f>
        <v>26950.29925885523</v>
      </c>
      <c r="G63" s="21">
        <f>C63/'Box Shares'!$C$14-1</f>
        <v>2.2975024175526659E-2</v>
      </c>
      <c r="H63" s="21">
        <f>D63/'Box Shares'!$C$14-1</f>
        <v>0.37546337705187094</v>
      </c>
      <c r="I63" s="21">
        <f>E63/'Box Shares'!$C$14-1</f>
        <v>0.67741987907270329</v>
      </c>
    </row>
    <row r="64" spans="2:10" ht="13.95" customHeight="1" x14ac:dyDescent="0.3">
      <c r="B64" s="19" t="s">
        <v>422</v>
      </c>
      <c r="C64" s="61">
        <f>(WDCF*'DCF by Box'!C297+WPE*C30+WEV*C42+WBU*C53)/(WDCF+WPE+WEV+WBU)</f>
        <v>7941.7117581159746</v>
      </c>
      <c r="D64" s="61">
        <f>(WDCF*'DCF by Box'!D297+WPE*D30+WEV*D42+WBU*D53)/(WDCF+WPE+WEV+WBU)</f>
        <v>10167.611104586504</v>
      </c>
      <c r="E64" s="61">
        <f>(WDCF*'DCF by Box'!E297+WPE*E30+WEV*E42+WBU*E53)/(WDCF+WPE+WEV+WBU)</f>
        <v>12000.447733552492</v>
      </c>
      <c r="G64" s="21">
        <f>C64/'Box Shares'!$C$15-1</f>
        <v>-0.22174835913312652</v>
      </c>
      <c r="H64" s="21">
        <f>D64/'Box Shares'!$C$15-1</f>
        <v>-3.6203444737088475E-3</v>
      </c>
      <c r="I64" s="21">
        <f>E64/'Box Shares'!$C$15-1</f>
        <v>0.17598931114946104</v>
      </c>
    </row>
    <row r="66" spans="2:26" ht="13.95" customHeight="1" x14ac:dyDescent="0.3">
      <c r="B66" s="138" t="s">
        <v>766</v>
      </c>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row>
    <row r="67" spans="2:26" ht="54" customHeight="1" x14ac:dyDescent="0.3">
      <c r="B67" s="17" t="s">
        <v>604</v>
      </c>
      <c r="C67" s="18" t="s">
        <v>767</v>
      </c>
      <c r="D67" s="18" t="s">
        <v>768</v>
      </c>
      <c r="E67" s="18" t="s">
        <v>769</v>
      </c>
      <c r="F67" s="18" t="s">
        <v>770</v>
      </c>
      <c r="G67" s="18" t="s">
        <v>771</v>
      </c>
      <c r="H67" s="18" t="s">
        <v>772</v>
      </c>
      <c r="I67" s="18" t="s">
        <v>773</v>
      </c>
      <c r="J67" s="18" t="s">
        <v>774</v>
      </c>
      <c r="K67" s="18" t="s">
        <v>775</v>
      </c>
      <c r="L67" s="18" t="s">
        <v>776</v>
      </c>
      <c r="M67" s="18" t="s">
        <v>777</v>
      </c>
      <c r="N67" s="18" t="s">
        <v>778</v>
      </c>
      <c r="O67" s="18" t="s">
        <v>779</v>
      </c>
      <c r="P67" s="18" t="s">
        <v>780</v>
      </c>
      <c r="Q67" s="18" t="s">
        <v>781</v>
      </c>
      <c r="R67" s="18" t="s">
        <v>782</v>
      </c>
      <c r="S67" s="18" t="s">
        <v>783</v>
      </c>
      <c r="T67" s="18" t="s">
        <v>784</v>
      </c>
      <c r="U67" s="18" t="s">
        <v>785</v>
      </c>
      <c r="V67" s="18" t="s">
        <v>786</v>
      </c>
      <c r="W67" s="18" t="s">
        <v>787</v>
      </c>
      <c r="X67" s="18" t="s">
        <v>788</v>
      </c>
      <c r="Y67" s="18" t="s">
        <v>789</v>
      </c>
      <c r="Z67" s="18" t="s">
        <v>790</v>
      </c>
    </row>
    <row r="68" spans="2:26" ht="13.95" customHeight="1" x14ac:dyDescent="0.3">
      <c r="B68" s="5" t="s">
        <v>791</v>
      </c>
      <c r="C68" s="75">
        <f t="shared" ref="C68:Z68" si="4">AVERAGE(C70:C189)</f>
        <v>8.5586988454340442</v>
      </c>
      <c r="D68" s="75">
        <f t="shared" si="4"/>
        <v>13.800756689356517</v>
      </c>
      <c r="E68" s="75">
        <f t="shared" si="4"/>
        <v>17.915489842296811</v>
      </c>
      <c r="F68" s="75">
        <f t="shared" si="4"/>
        <v>7.3723807691035264</v>
      </c>
      <c r="G68" s="75">
        <f t="shared" si="4"/>
        <v>9.3601513569857211</v>
      </c>
      <c r="H68" s="75">
        <f t="shared" si="4"/>
        <v>16.397910497980181</v>
      </c>
      <c r="I68" s="75">
        <f t="shared" si="4"/>
        <v>27.895548321457099</v>
      </c>
      <c r="J68" s="75">
        <f t="shared" si="4"/>
        <v>7.7766128471852589</v>
      </c>
      <c r="K68" s="75">
        <f t="shared" si="4"/>
        <v>9.8473293094413084</v>
      </c>
      <c r="L68" s="75">
        <f t="shared" si="4"/>
        <v>4.2219022595273481</v>
      </c>
      <c r="M68" s="75">
        <f t="shared" si="4"/>
        <v>5.7229181012193244</v>
      </c>
      <c r="N68" s="75">
        <f t="shared" si="4"/>
        <v>8.9271837237876479</v>
      </c>
      <c r="O68" s="75">
        <f t="shared" si="4"/>
        <v>16.007930511721927</v>
      </c>
      <c r="P68" s="76">
        <f t="shared" si="4"/>
        <v>0.92713439589111413</v>
      </c>
      <c r="Q68" s="76">
        <f t="shared" si="4"/>
        <v>1.4978490513488221</v>
      </c>
      <c r="R68" s="76">
        <f t="shared" si="4"/>
        <v>1.975061512507494</v>
      </c>
      <c r="S68" s="76">
        <f t="shared" si="4"/>
        <v>0.77033135651010576</v>
      </c>
      <c r="T68" s="76">
        <f t="shared" si="4"/>
        <v>1.7945677896434542</v>
      </c>
      <c r="U68" s="76">
        <f t="shared" si="4"/>
        <v>3.061070254604028</v>
      </c>
      <c r="V68" s="76">
        <f t="shared" si="4"/>
        <v>1.3778556235452462</v>
      </c>
      <c r="W68" s="76">
        <f t="shared" si="4"/>
        <v>1.7471492794892429</v>
      </c>
      <c r="X68" s="76">
        <f t="shared" si="4"/>
        <v>0.73545865226909479</v>
      </c>
      <c r="Y68" s="76">
        <f t="shared" si="4"/>
        <v>1.5670390026016314</v>
      </c>
      <c r="Z68" s="76">
        <f t="shared" si="4"/>
        <v>2.8994966870203105</v>
      </c>
    </row>
    <row r="70" spans="2:26" ht="13.95" customHeight="1" x14ac:dyDescent="0.3">
      <c r="B70" s="77">
        <v>42674</v>
      </c>
      <c r="C70" s="78">
        <v>10.29555434577321</v>
      </c>
      <c r="D70" s="78">
        <v>18.50375531273264</v>
      </c>
      <c r="E70" s="78">
        <v>16.387867677701699</v>
      </c>
      <c r="F70" s="78">
        <v>16.806754542882139</v>
      </c>
      <c r="G70" s="78">
        <v>13.90253832105302</v>
      </c>
      <c r="H70" s="78">
        <v>16.743502051617721</v>
      </c>
      <c r="I70" s="78">
        <v>14.625264346398261</v>
      </c>
      <c r="J70" s="78">
        <v>8.9247546492317422</v>
      </c>
      <c r="K70" s="78">
        <v>10.086159660079099</v>
      </c>
      <c r="L70" s="78">
        <v>6.7969840449250674</v>
      </c>
      <c r="M70" s="78">
        <v>8.1044438884526162</v>
      </c>
      <c r="N70" s="78">
        <v>10.34928585579223</v>
      </c>
      <c r="O70" s="78">
        <v>8.814566730167229</v>
      </c>
      <c r="P70" s="31">
        <f t="shared" ref="P70:P101" si="5">C70/G70</f>
        <v>0.74055212854060981</v>
      </c>
      <c r="Q70" s="31">
        <f t="shared" ref="Q70:Q101" si="6">D70/G70</f>
        <v>1.3309623671176551</v>
      </c>
      <c r="R70" s="31">
        <f t="shared" ref="R70:R101" si="7">E70/G70</f>
        <v>1.1787680277697974</v>
      </c>
      <c r="S70" s="31">
        <f t="shared" ref="S70:S101" si="8">F70/G70</f>
        <v>1.2088982712913066</v>
      </c>
      <c r="T70" s="31">
        <f t="shared" ref="T70:T101" si="9">H70/G70</f>
        <v>1.2043485631873818</v>
      </c>
      <c r="U70" s="31">
        <f t="shared" ref="U70:U101" si="10">I70/G70</f>
        <v>1.0519851849104991</v>
      </c>
      <c r="V70" s="31">
        <f t="shared" ref="V70:V101" si="11">IFERROR(J70/M70,"")</f>
        <v>1.101217402707658</v>
      </c>
      <c r="W70" s="31">
        <f t="shared" ref="W70:W101" si="12">IFERROR(K70/M70,"")</f>
        <v>1.2445221163724847</v>
      </c>
      <c r="X70" s="31">
        <f t="shared" ref="X70:X101" si="13">IFERROR(L70/M70,"")</f>
        <v>0.83867371265406065</v>
      </c>
      <c r="Y70" s="31">
        <f t="shared" ref="Y70:Y101" si="14">IFERROR(N70/M70,"")</f>
        <v>1.2769890196337979</v>
      </c>
      <c r="Z70" s="31">
        <f t="shared" ref="Z70:Z101" si="15">IFERROR(O70/M70,"")</f>
        <v>1.0876214150518595</v>
      </c>
    </row>
    <row r="71" spans="2:26" ht="13.95" customHeight="1" x14ac:dyDescent="0.3">
      <c r="B71" s="77">
        <v>42704</v>
      </c>
      <c r="C71" s="78">
        <v>9.0911916412838654</v>
      </c>
      <c r="D71" s="78">
        <v>16.929441306571238</v>
      </c>
      <c r="E71" s="78">
        <v>14.51982462432842</v>
      </c>
      <c r="F71" s="78">
        <v>17.568016971640191</v>
      </c>
      <c r="G71" s="78">
        <v>12.919309084170569</v>
      </c>
      <c r="H71" s="78">
        <v>14.784772716423619</v>
      </c>
      <c r="I71" s="78">
        <v>13.249618036889419</v>
      </c>
      <c r="J71" s="78">
        <v>8.3949386455930188</v>
      </c>
      <c r="K71" s="78">
        <v>9.2537110612280173</v>
      </c>
      <c r="L71" s="78">
        <v>6.7297212540170106</v>
      </c>
      <c r="M71" s="78">
        <v>7.6869613171611313</v>
      </c>
      <c r="N71" s="78">
        <v>9.515320013419938</v>
      </c>
      <c r="O71" s="78">
        <v>8.0671878683609961</v>
      </c>
      <c r="P71" s="31">
        <f t="shared" si="5"/>
        <v>0.70369023467538838</v>
      </c>
      <c r="Q71" s="31">
        <f t="shared" si="6"/>
        <v>1.3103983499639387</v>
      </c>
      <c r="R71" s="31">
        <f t="shared" si="7"/>
        <v>1.1238855367365495</v>
      </c>
      <c r="S71" s="31">
        <f t="shared" si="8"/>
        <v>1.3598263542719531</v>
      </c>
      <c r="T71" s="31">
        <f t="shared" si="9"/>
        <v>1.1443934517008123</v>
      </c>
      <c r="U71" s="31">
        <f t="shared" si="10"/>
        <v>1.0255670756514033</v>
      </c>
      <c r="V71" s="31">
        <f t="shared" si="11"/>
        <v>1.0921010655863883</v>
      </c>
      <c r="W71" s="31">
        <f t="shared" si="12"/>
        <v>1.2038191268855638</v>
      </c>
      <c r="X71" s="31">
        <f t="shared" si="13"/>
        <v>0.87547224141650315</v>
      </c>
      <c r="Y71" s="31">
        <f t="shared" si="14"/>
        <v>1.2378519444578182</v>
      </c>
      <c r="Z71" s="31">
        <f t="shared" si="15"/>
        <v>1.0494638304411665</v>
      </c>
    </row>
    <row r="72" spans="2:26" ht="13.95" customHeight="1" x14ac:dyDescent="0.3">
      <c r="B72" s="77">
        <v>42735</v>
      </c>
      <c r="C72" s="78">
        <v>8.7867065854211326</v>
      </c>
      <c r="D72" s="78">
        <v>16.406790789638212</v>
      </c>
      <c r="E72" s="78">
        <v>14.432757030091439</v>
      </c>
      <c r="F72" s="78">
        <v>13.41048273768738</v>
      </c>
      <c r="G72" s="78">
        <v>11.85244588972621</v>
      </c>
      <c r="H72" s="78">
        <v>14.77011986929538</v>
      </c>
      <c r="I72" s="78">
        <v>12.790340464697881</v>
      </c>
      <c r="J72" s="78">
        <v>8.2101123622081076</v>
      </c>
      <c r="K72" s="78">
        <v>9.0283595937526666</v>
      </c>
      <c r="L72" s="78">
        <v>5.8648986594208354</v>
      </c>
      <c r="M72" s="78">
        <v>7.1320866400353493</v>
      </c>
      <c r="N72" s="78">
        <v>9.3200401080638802</v>
      </c>
      <c r="O72" s="78">
        <v>7.677533756156909</v>
      </c>
      <c r="P72" s="31">
        <f t="shared" si="5"/>
        <v>0.74134121068103898</v>
      </c>
      <c r="Q72" s="31">
        <f t="shared" si="6"/>
        <v>1.3842535913924519</v>
      </c>
      <c r="R72" s="31">
        <f t="shared" si="7"/>
        <v>1.217702840778363</v>
      </c>
      <c r="S72" s="31">
        <f t="shared" si="8"/>
        <v>1.1314527703781114</v>
      </c>
      <c r="T72" s="31">
        <f t="shared" si="9"/>
        <v>1.2461664036870426</v>
      </c>
      <c r="U72" s="31">
        <f t="shared" si="10"/>
        <v>1.0791308885691386</v>
      </c>
      <c r="V72" s="31">
        <f t="shared" si="11"/>
        <v>1.1511515180033505</v>
      </c>
      <c r="W72" s="31">
        <f t="shared" si="12"/>
        <v>1.2658791247813443</v>
      </c>
      <c r="X72" s="31">
        <f t="shared" si="13"/>
        <v>0.82232577300712195</v>
      </c>
      <c r="Y72" s="31">
        <f t="shared" si="14"/>
        <v>1.3067760640689141</v>
      </c>
      <c r="Z72" s="31">
        <f t="shared" si="15"/>
        <v>1.076477915040984</v>
      </c>
    </row>
    <row r="73" spans="2:26" ht="13.95" customHeight="1" x14ac:dyDescent="0.3">
      <c r="B73" s="77">
        <v>42766</v>
      </c>
      <c r="C73" s="78">
        <v>9.5839386892459881</v>
      </c>
      <c r="D73" s="78">
        <v>17.038970281216631</v>
      </c>
      <c r="E73" s="78">
        <v>14.86778458155476</v>
      </c>
      <c r="F73" s="78">
        <v>12.89692066734999</v>
      </c>
      <c r="G73" s="78">
        <v>12.27206739771133</v>
      </c>
      <c r="H73" s="78">
        <v>15.049155776397271</v>
      </c>
      <c r="I73" s="78">
        <v>13.97402648939047</v>
      </c>
      <c r="J73" s="78">
        <v>8.4453178042294716</v>
      </c>
      <c r="K73" s="78">
        <v>9.2599139138185311</v>
      </c>
      <c r="L73" s="78">
        <v>5.8768438010487207</v>
      </c>
      <c r="M73" s="78">
        <v>7.1815854152389953</v>
      </c>
      <c r="N73" s="78">
        <v>9.4961517303318921</v>
      </c>
      <c r="O73" s="78">
        <v>8.1799820096352072</v>
      </c>
      <c r="P73" s="31">
        <f t="shared" si="5"/>
        <v>0.78095551292631726</v>
      </c>
      <c r="Q73" s="31">
        <f t="shared" si="6"/>
        <v>1.3884351942521356</v>
      </c>
      <c r="R73" s="31">
        <f t="shared" si="7"/>
        <v>1.2115142542590269</v>
      </c>
      <c r="S73" s="31">
        <f t="shared" si="8"/>
        <v>1.0509167077875723</v>
      </c>
      <c r="T73" s="31">
        <f t="shared" si="9"/>
        <v>1.2262934425542555</v>
      </c>
      <c r="U73" s="31">
        <f t="shared" si="10"/>
        <v>1.1386856050021812</v>
      </c>
      <c r="V73" s="31">
        <f t="shared" si="11"/>
        <v>1.1759684409390849</v>
      </c>
      <c r="W73" s="31">
        <f t="shared" si="12"/>
        <v>1.2893968919689263</v>
      </c>
      <c r="X73" s="31">
        <f t="shared" si="13"/>
        <v>0.81832122870506108</v>
      </c>
      <c r="Y73" s="31">
        <f t="shared" si="14"/>
        <v>1.3222918312969576</v>
      </c>
      <c r="Z73" s="31">
        <f t="shared" si="15"/>
        <v>1.1390217530905724</v>
      </c>
    </row>
    <row r="74" spans="2:26" ht="13.95" customHeight="1" x14ac:dyDescent="0.3">
      <c r="B74" s="77">
        <v>42794</v>
      </c>
      <c r="C74" s="78">
        <v>9.9421973505015355</v>
      </c>
      <c r="D74" s="78">
        <v>17.15126353533951</v>
      </c>
      <c r="E74" s="78">
        <v>15.53076031009293</v>
      </c>
      <c r="F74" s="78">
        <v>11.590750539890481</v>
      </c>
      <c r="G74" s="78">
        <v>12.170458986022879</v>
      </c>
      <c r="H74" s="78">
        <v>15.721987635744011</v>
      </c>
      <c r="I74" s="78">
        <v>14.53679595297603</v>
      </c>
      <c r="J74" s="78">
        <v>8.6194786874596439</v>
      </c>
      <c r="K74" s="78">
        <v>9.6821910090038852</v>
      </c>
      <c r="L74" s="78">
        <v>5.8098810059511834</v>
      </c>
      <c r="M74" s="78">
        <v>7.2558077191488346</v>
      </c>
      <c r="N74" s="78">
        <v>9.9359434943607283</v>
      </c>
      <c r="O74" s="78">
        <v>8.4666431494996619</v>
      </c>
      <c r="P74" s="31">
        <f t="shared" si="5"/>
        <v>0.81691227602176852</v>
      </c>
      <c r="Q74" s="31">
        <f t="shared" si="6"/>
        <v>1.4092536325077647</v>
      </c>
      <c r="R74" s="31">
        <f t="shared" si="7"/>
        <v>1.2761030892860472</v>
      </c>
      <c r="S74" s="31">
        <f t="shared" si="8"/>
        <v>0.95236757736103772</v>
      </c>
      <c r="T74" s="31">
        <f t="shared" si="9"/>
        <v>1.291815506202344</v>
      </c>
      <c r="U74" s="31">
        <f t="shared" si="10"/>
        <v>1.194432845110506</v>
      </c>
      <c r="V74" s="31">
        <f t="shared" si="11"/>
        <v>1.1879419936545368</v>
      </c>
      <c r="W74" s="31">
        <f t="shared" si="12"/>
        <v>1.3344056766349488</v>
      </c>
      <c r="X74" s="31">
        <f t="shared" si="13"/>
        <v>0.80072146766214602</v>
      </c>
      <c r="Y74" s="31">
        <f t="shared" si="14"/>
        <v>1.3693780043452275</v>
      </c>
      <c r="Z74" s="31">
        <f t="shared" si="15"/>
        <v>1.16687810333718</v>
      </c>
    </row>
    <row r="75" spans="2:26" ht="13.95" customHeight="1" x14ac:dyDescent="0.3">
      <c r="B75" s="77">
        <v>42825</v>
      </c>
      <c r="C75" s="78">
        <v>9.3905223643353484</v>
      </c>
      <c r="D75" s="78">
        <v>16.844488041099549</v>
      </c>
      <c r="E75" s="78">
        <v>15.55267502247203</v>
      </c>
      <c r="F75" s="78">
        <v>9.7907641849567053</v>
      </c>
      <c r="G75" s="78">
        <v>11.32271520659477</v>
      </c>
      <c r="H75" s="78">
        <v>15.698227542634161</v>
      </c>
      <c r="I75" s="78">
        <v>14.73218671918452</v>
      </c>
      <c r="J75" s="78">
        <v>8.5903879716921097</v>
      </c>
      <c r="K75" s="78">
        <v>9.7373334825747442</v>
      </c>
      <c r="L75" s="78">
        <v>5.209257561343569</v>
      </c>
      <c r="M75" s="78">
        <v>6.9003283967084474</v>
      </c>
      <c r="N75" s="78">
        <v>9.9790045131580563</v>
      </c>
      <c r="O75" s="78">
        <v>8.500731983163675</v>
      </c>
      <c r="P75" s="31">
        <f t="shared" si="5"/>
        <v>0.82935251774821284</v>
      </c>
      <c r="Q75" s="31">
        <f t="shared" si="6"/>
        <v>1.4876721469854415</v>
      </c>
      <c r="R75" s="31">
        <f t="shared" si="7"/>
        <v>1.3735817547908979</v>
      </c>
      <c r="S75" s="31">
        <f t="shared" si="8"/>
        <v>0.86470109035809717</v>
      </c>
      <c r="T75" s="31">
        <f t="shared" si="9"/>
        <v>1.3864366679019648</v>
      </c>
      <c r="U75" s="31">
        <f t="shared" si="10"/>
        <v>1.3011178370541323</v>
      </c>
      <c r="V75" s="31">
        <f t="shared" si="11"/>
        <v>1.2449245134173388</v>
      </c>
      <c r="W75" s="31">
        <f t="shared" si="12"/>
        <v>1.411140589659412</v>
      </c>
      <c r="X75" s="31">
        <f t="shared" si="13"/>
        <v>0.75492893408210215</v>
      </c>
      <c r="Y75" s="31">
        <f t="shared" si="14"/>
        <v>1.446163709819692</v>
      </c>
      <c r="Z75" s="31">
        <f t="shared" si="15"/>
        <v>1.2319315102769084</v>
      </c>
    </row>
    <row r="76" spans="2:26" ht="13.95" customHeight="1" x14ac:dyDescent="0.3">
      <c r="B76" s="77">
        <v>42855</v>
      </c>
      <c r="C76" s="78">
        <v>9.5480429272103375</v>
      </c>
      <c r="D76" s="78">
        <v>17.046795182432191</v>
      </c>
      <c r="E76" s="78">
        <v>15.98598466333115</v>
      </c>
      <c r="F76" s="78">
        <v>9.7546359468503034</v>
      </c>
      <c r="G76" s="78">
        <v>11.51124468241971</v>
      </c>
      <c r="H76" s="78">
        <v>16.227678758757449</v>
      </c>
      <c r="I76" s="78">
        <v>14.522848267017791</v>
      </c>
      <c r="J76" s="78">
        <v>8.7145420891595453</v>
      </c>
      <c r="K76" s="78">
        <v>9.9683964456026111</v>
      </c>
      <c r="L76" s="78">
        <v>5.1015667065607104</v>
      </c>
      <c r="M76" s="78">
        <v>6.9673345212187723</v>
      </c>
      <c r="N76" s="78">
        <v>10.30846788182073</v>
      </c>
      <c r="O76" s="78">
        <v>8.1497656907770235</v>
      </c>
      <c r="P76" s="31">
        <f t="shared" si="5"/>
        <v>0.82945356393929948</v>
      </c>
      <c r="Q76" s="31">
        <f t="shared" si="6"/>
        <v>1.4808820116964874</v>
      </c>
      <c r="R76" s="31">
        <f t="shared" si="7"/>
        <v>1.3887277270498286</v>
      </c>
      <c r="S76" s="31">
        <f t="shared" si="8"/>
        <v>0.84740062573318875</v>
      </c>
      <c r="T76" s="31">
        <f t="shared" si="9"/>
        <v>1.4097240747163344</v>
      </c>
      <c r="U76" s="31">
        <f t="shared" si="10"/>
        <v>1.2616227582406867</v>
      </c>
      <c r="V76" s="31">
        <f t="shared" si="11"/>
        <v>1.2507713046674755</v>
      </c>
      <c r="W76" s="31">
        <f t="shared" si="12"/>
        <v>1.430733146979553</v>
      </c>
      <c r="X76" s="31">
        <f t="shared" si="13"/>
        <v>0.73221210938330406</v>
      </c>
      <c r="Y76" s="31">
        <f t="shared" si="14"/>
        <v>1.4795425496546282</v>
      </c>
      <c r="Z76" s="31">
        <f t="shared" si="15"/>
        <v>1.1697106929425016</v>
      </c>
    </row>
    <row r="77" spans="2:26" ht="13.95" customHeight="1" x14ac:dyDescent="0.3">
      <c r="B77" s="77">
        <v>42886</v>
      </c>
      <c r="C77" s="78">
        <v>8.7583795588763902</v>
      </c>
      <c r="D77" s="78">
        <v>17.896978737915209</v>
      </c>
      <c r="E77" s="78">
        <v>14.81039190722251</v>
      </c>
      <c r="F77" s="78">
        <v>8.5899171898188893</v>
      </c>
      <c r="G77" s="78">
        <v>10.70933075607298</v>
      </c>
      <c r="H77" s="78">
        <v>14.674588538327781</v>
      </c>
      <c r="I77" s="78">
        <v>15.620448504997769</v>
      </c>
      <c r="J77" s="78">
        <v>8.9159821402259745</v>
      </c>
      <c r="K77" s="78">
        <v>9.5749869619324084</v>
      </c>
      <c r="L77" s="78">
        <v>5.0578492062406504</v>
      </c>
      <c r="M77" s="78">
        <v>6.9311928801779228</v>
      </c>
      <c r="N77" s="78">
        <v>9.8210462790096393</v>
      </c>
      <c r="O77" s="78">
        <v>8.3458816288310533</v>
      </c>
      <c r="P77" s="31">
        <f t="shared" si="5"/>
        <v>0.81782697335309618</v>
      </c>
      <c r="Q77" s="31">
        <f t="shared" si="6"/>
        <v>1.6711575303401944</v>
      </c>
      <c r="R77" s="31">
        <f t="shared" si="7"/>
        <v>1.3829428042292864</v>
      </c>
      <c r="S77" s="31">
        <f t="shared" si="8"/>
        <v>0.80209654416993081</v>
      </c>
      <c r="T77" s="31">
        <f t="shared" si="9"/>
        <v>1.3702619587135458</v>
      </c>
      <c r="U77" s="31">
        <f t="shared" si="10"/>
        <v>1.4585830674937204</v>
      </c>
      <c r="V77" s="31">
        <f t="shared" si="11"/>
        <v>1.2863560853607499</v>
      </c>
      <c r="W77" s="31">
        <f t="shared" si="12"/>
        <v>1.3814342101653676</v>
      </c>
      <c r="X77" s="31">
        <f t="shared" si="13"/>
        <v>0.72972276110008005</v>
      </c>
      <c r="Y77" s="31">
        <f t="shared" si="14"/>
        <v>1.4169344943633331</v>
      </c>
      <c r="Z77" s="31">
        <f t="shared" si="15"/>
        <v>1.2041046574679675</v>
      </c>
    </row>
    <row r="78" spans="2:26" ht="13.95" customHeight="1" x14ac:dyDescent="0.3">
      <c r="B78" s="77">
        <v>42916</v>
      </c>
      <c r="C78" s="78">
        <v>8.8736474079339427</v>
      </c>
      <c r="D78" s="78">
        <v>15.872326645373819</v>
      </c>
      <c r="E78" s="78">
        <v>14.77871900474225</v>
      </c>
      <c r="F78" s="78">
        <v>9.0330283557730979</v>
      </c>
      <c r="G78" s="78">
        <v>10.689412745948781</v>
      </c>
      <c r="H78" s="78">
        <v>14.797177367377831</v>
      </c>
      <c r="I78" s="78">
        <v>14.666508043564431</v>
      </c>
      <c r="J78" s="78">
        <v>8.6079648098019454</v>
      </c>
      <c r="K78" s="78">
        <v>9.6685814809943196</v>
      </c>
      <c r="L78" s="78">
        <v>5.2694978150768126</v>
      </c>
      <c r="M78" s="78">
        <v>7.0022093195117128</v>
      </c>
      <c r="N78" s="78">
        <v>9.9715570028179208</v>
      </c>
      <c r="O78" s="78">
        <v>8.0864229269453229</v>
      </c>
      <c r="P78" s="31">
        <f t="shared" si="5"/>
        <v>0.83013422896379396</v>
      </c>
      <c r="Q78" s="31">
        <f t="shared" si="6"/>
        <v>1.4848642317969554</v>
      </c>
      <c r="R78" s="31">
        <f t="shared" si="7"/>
        <v>1.3825566807066449</v>
      </c>
      <c r="S78" s="31">
        <f t="shared" si="8"/>
        <v>0.84504439770992634</v>
      </c>
      <c r="T78" s="31">
        <f t="shared" si="9"/>
        <v>1.3842834699208211</v>
      </c>
      <c r="U78" s="31">
        <f t="shared" si="10"/>
        <v>1.3720592882076654</v>
      </c>
      <c r="V78" s="31">
        <f t="shared" si="11"/>
        <v>1.2293212637639641</v>
      </c>
      <c r="W78" s="31">
        <f t="shared" si="12"/>
        <v>1.3807901249185366</v>
      </c>
      <c r="X78" s="31">
        <f t="shared" si="13"/>
        <v>0.75254788519293681</v>
      </c>
      <c r="Y78" s="31">
        <f t="shared" si="14"/>
        <v>1.4240586860252944</v>
      </c>
      <c r="Z78" s="31">
        <f t="shared" si="15"/>
        <v>1.1548387884395914</v>
      </c>
    </row>
    <row r="79" spans="2:26" ht="13.95" customHeight="1" x14ac:dyDescent="0.3">
      <c r="B79" s="77">
        <v>42947</v>
      </c>
      <c r="C79" s="78">
        <v>9.1532089726295052</v>
      </c>
      <c r="D79" s="78">
        <v>16.57186230541739</v>
      </c>
      <c r="E79" s="78">
        <v>15.69097709643659</v>
      </c>
      <c r="F79" s="78">
        <v>9.9088809626028045</v>
      </c>
      <c r="G79" s="78">
        <v>11.29615317266982</v>
      </c>
      <c r="H79" s="78">
        <v>15.737527398930521</v>
      </c>
      <c r="I79" s="78">
        <v>15.403791253026229</v>
      </c>
      <c r="J79" s="78">
        <v>8.9409137509612489</v>
      </c>
      <c r="K79" s="78">
        <v>10.188725229702859</v>
      </c>
      <c r="L79" s="78">
        <v>5.4630720280997904</v>
      </c>
      <c r="M79" s="78">
        <v>7.3014904459211518</v>
      </c>
      <c r="N79" s="78">
        <v>10.44000543811352</v>
      </c>
      <c r="O79" s="78">
        <v>8.7832869693835409</v>
      </c>
      <c r="P79" s="31">
        <f t="shared" si="5"/>
        <v>0.8102943393840476</v>
      </c>
      <c r="Q79" s="31">
        <f t="shared" si="6"/>
        <v>1.4670359061270297</v>
      </c>
      <c r="R79" s="31">
        <f t="shared" si="7"/>
        <v>1.3890549160044776</v>
      </c>
      <c r="S79" s="31">
        <f t="shared" si="8"/>
        <v>0.87719074016954601</v>
      </c>
      <c r="T79" s="31">
        <f t="shared" si="9"/>
        <v>1.3931758146663826</v>
      </c>
      <c r="U79" s="31">
        <f t="shared" si="10"/>
        <v>1.3636315848030927</v>
      </c>
      <c r="V79" s="31">
        <f t="shared" si="11"/>
        <v>1.2245326919459207</v>
      </c>
      <c r="W79" s="31">
        <f t="shared" si="12"/>
        <v>1.39543087882757</v>
      </c>
      <c r="X79" s="31">
        <f t="shared" si="13"/>
        <v>0.74821326803921773</v>
      </c>
      <c r="Y79" s="31">
        <f t="shared" si="14"/>
        <v>1.4298457986678108</v>
      </c>
      <c r="Z79" s="31">
        <f t="shared" si="15"/>
        <v>1.2029443898389498</v>
      </c>
    </row>
    <row r="80" spans="2:26" ht="13.95" customHeight="1" x14ac:dyDescent="0.3">
      <c r="B80" s="77">
        <v>42978</v>
      </c>
      <c r="C80" s="78">
        <v>9.8801359411074543</v>
      </c>
      <c r="D80" s="78">
        <v>17.459196208958229</v>
      </c>
      <c r="E80" s="78">
        <v>16.972937554106831</v>
      </c>
      <c r="F80" s="78">
        <v>11.368150938835431</v>
      </c>
      <c r="G80" s="78">
        <v>12.337653145238241</v>
      </c>
      <c r="H80" s="78">
        <v>16.826837021843421</v>
      </c>
      <c r="I80" s="78">
        <v>17.939062170925919</v>
      </c>
      <c r="J80" s="78">
        <v>9.2751196004565877</v>
      </c>
      <c r="K80" s="78">
        <v>10.769657017551239</v>
      </c>
      <c r="L80" s="78">
        <v>5.7439361694118238</v>
      </c>
      <c r="M80" s="78">
        <v>7.5961596344645574</v>
      </c>
      <c r="N80" s="78">
        <v>10.92739381790793</v>
      </c>
      <c r="O80" s="78">
        <v>9.8846217254914581</v>
      </c>
      <c r="P80" s="31">
        <f t="shared" si="5"/>
        <v>0.80081161504534004</v>
      </c>
      <c r="Q80" s="31">
        <f t="shared" si="6"/>
        <v>1.4151148523491006</v>
      </c>
      <c r="R80" s="31">
        <f t="shared" si="7"/>
        <v>1.3757022793802236</v>
      </c>
      <c r="S80" s="31">
        <f t="shared" si="8"/>
        <v>0.92141923630127398</v>
      </c>
      <c r="T80" s="31">
        <f t="shared" si="9"/>
        <v>1.3638604379421864</v>
      </c>
      <c r="U80" s="31">
        <f t="shared" si="10"/>
        <v>1.4540092803508227</v>
      </c>
      <c r="V80" s="31">
        <f t="shared" si="11"/>
        <v>1.2210274726684807</v>
      </c>
      <c r="W80" s="31">
        <f t="shared" si="12"/>
        <v>1.4177765523368147</v>
      </c>
      <c r="X80" s="31">
        <f t="shared" si="13"/>
        <v>0.75616317268412769</v>
      </c>
      <c r="Y80" s="31">
        <f t="shared" si="14"/>
        <v>1.4385418874465488</v>
      </c>
      <c r="Z80" s="31">
        <f t="shared" si="15"/>
        <v>1.3012656659615094</v>
      </c>
    </row>
    <row r="81" spans="2:26" ht="13.95" customHeight="1" x14ac:dyDescent="0.3">
      <c r="B81" s="77">
        <v>43008</v>
      </c>
      <c r="C81" s="78">
        <v>10.62454779113304</v>
      </c>
      <c r="D81" s="78">
        <v>17.702882139734061</v>
      </c>
      <c r="E81" s="78">
        <v>18.268506537736862</v>
      </c>
      <c r="F81" s="78">
        <v>11.02320427452379</v>
      </c>
      <c r="G81" s="78">
        <v>12.806872519579519</v>
      </c>
      <c r="H81" s="78">
        <v>18.230459939339681</v>
      </c>
      <c r="I81" s="78">
        <v>18.524961138164649</v>
      </c>
      <c r="J81" s="78">
        <v>9.496485029099075</v>
      </c>
      <c r="K81" s="78">
        <v>11.24104097854093</v>
      </c>
      <c r="L81" s="78">
        <v>5.5978272004875382</v>
      </c>
      <c r="M81" s="78">
        <v>7.7032809486328571</v>
      </c>
      <c r="N81" s="78">
        <v>11.466176580927939</v>
      </c>
      <c r="O81" s="78">
        <v>9.9456689043100166</v>
      </c>
      <c r="P81" s="31">
        <f t="shared" si="5"/>
        <v>0.82959737241781095</v>
      </c>
      <c r="Q81" s="31">
        <f t="shared" si="6"/>
        <v>1.3822954911645586</v>
      </c>
      <c r="R81" s="31">
        <f t="shared" si="7"/>
        <v>1.426461184009401</v>
      </c>
      <c r="S81" s="31">
        <f t="shared" si="8"/>
        <v>0.86072569689994138</v>
      </c>
      <c r="T81" s="31">
        <f t="shared" si="9"/>
        <v>1.4234903885760106</v>
      </c>
      <c r="U81" s="31">
        <f t="shared" si="10"/>
        <v>1.446485948059774</v>
      </c>
      <c r="V81" s="31">
        <f t="shared" si="11"/>
        <v>1.2327844580022058</v>
      </c>
      <c r="W81" s="31">
        <f t="shared" si="12"/>
        <v>1.4592536678200654</v>
      </c>
      <c r="X81" s="31">
        <f t="shared" si="13"/>
        <v>0.72668090879912861</v>
      </c>
      <c r="Y81" s="31">
        <f t="shared" si="14"/>
        <v>1.4884796046498738</v>
      </c>
      <c r="Z81" s="31">
        <f t="shared" si="15"/>
        <v>1.291095180174511</v>
      </c>
    </row>
    <row r="82" spans="2:26" ht="13.95" customHeight="1" x14ac:dyDescent="0.3">
      <c r="B82" s="77">
        <v>43039</v>
      </c>
      <c r="C82" s="78">
        <v>10.25865150593779</v>
      </c>
      <c r="D82" s="78">
        <v>17.506920181140242</v>
      </c>
      <c r="E82" s="78">
        <v>17.554255524861109</v>
      </c>
      <c r="F82" s="78">
        <v>11.280783163297709</v>
      </c>
      <c r="G82" s="78">
        <v>12.620849556635299</v>
      </c>
      <c r="H82" s="78">
        <v>17.348005568049491</v>
      </c>
      <c r="I82" s="78">
        <v>19.16601253393565</v>
      </c>
      <c r="J82" s="78">
        <v>9.4430718204525146</v>
      </c>
      <c r="K82" s="78">
        <v>10.772320159382961</v>
      </c>
      <c r="L82" s="78">
        <v>5.6930219172089833</v>
      </c>
      <c r="M82" s="78">
        <v>7.6252825192330134</v>
      </c>
      <c r="N82" s="78">
        <v>10.90771931938982</v>
      </c>
      <c r="O82" s="78">
        <v>9.9028297150483002</v>
      </c>
      <c r="P82" s="31">
        <f t="shared" si="5"/>
        <v>0.81283367335160062</v>
      </c>
      <c r="Q82" s="31">
        <f t="shared" si="6"/>
        <v>1.3871427674166461</v>
      </c>
      <c r="R82" s="31">
        <f t="shared" si="7"/>
        <v>1.390893334564163</v>
      </c>
      <c r="S82" s="31">
        <f t="shared" si="8"/>
        <v>0.89382122120035401</v>
      </c>
      <c r="T82" s="31">
        <f t="shared" si="9"/>
        <v>1.3745513319211489</v>
      </c>
      <c r="U82" s="31">
        <f t="shared" si="10"/>
        <v>1.5185992391343648</v>
      </c>
      <c r="V82" s="31">
        <f t="shared" si="11"/>
        <v>1.2383897641345809</v>
      </c>
      <c r="W82" s="31">
        <f t="shared" si="12"/>
        <v>1.4127109562448699</v>
      </c>
      <c r="X82" s="31">
        <f t="shared" si="13"/>
        <v>0.74659816247459043</v>
      </c>
      <c r="Y82" s="31">
        <f t="shared" si="14"/>
        <v>1.4304675652184189</v>
      </c>
      <c r="Z82" s="31">
        <f t="shared" si="15"/>
        <v>1.2986836474675791</v>
      </c>
    </row>
    <row r="83" spans="2:26" ht="13.95" customHeight="1" x14ac:dyDescent="0.3">
      <c r="B83" s="77">
        <v>43069</v>
      </c>
      <c r="C83" s="78">
        <v>9.7337227756479141</v>
      </c>
      <c r="D83" s="78">
        <v>16.234090566094761</v>
      </c>
      <c r="E83" s="78">
        <v>17.12857110754366</v>
      </c>
      <c r="F83" s="78">
        <v>10.49590656156132</v>
      </c>
      <c r="G83" s="78">
        <v>11.87134181607863</v>
      </c>
      <c r="H83" s="78">
        <v>16.667531888510592</v>
      </c>
      <c r="I83" s="78">
        <v>21.055130102239971</v>
      </c>
      <c r="J83" s="78">
        <v>9.0422801020126276</v>
      </c>
      <c r="K83" s="78">
        <v>10.5429092684974</v>
      </c>
      <c r="L83" s="78">
        <v>5.4880813618869979</v>
      </c>
      <c r="M83" s="78">
        <v>7.3370447958564462</v>
      </c>
      <c r="N83" s="78">
        <v>10.517423489628291</v>
      </c>
      <c r="O83" s="78">
        <v>10.718010970632269</v>
      </c>
      <c r="P83" s="31">
        <f t="shared" si="5"/>
        <v>0.81993450499963627</v>
      </c>
      <c r="Q83" s="31">
        <f t="shared" si="6"/>
        <v>1.3675025803828842</v>
      </c>
      <c r="R83" s="31">
        <f t="shared" si="7"/>
        <v>1.4428504690467763</v>
      </c>
      <c r="S83" s="31">
        <f t="shared" si="8"/>
        <v>0.88413818119073861</v>
      </c>
      <c r="T83" s="31">
        <f t="shared" si="9"/>
        <v>1.4040141499367804</v>
      </c>
      <c r="U83" s="31">
        <f t="shared" si="10"/>
        <v>1.7736099615734047</v>
      </c>
      <c r="V83" s="31">
        <f t="shared" si="11"/>
        <v>1.2324144602632388</v>
      </c>
      <c r="W83" s="31">
        <f t="shared" si="12"/>
        <v>1.4369421970070904</v>
      </c>
      <c r="X83" s="31">
        <f t="shared" si="13"/>
        <v>0.74799616393051871</v>
      </c>
      <c r="Y83" s="31">
        <f t="shared" si="14"/>
        <v>1.4334686215311028</v>
      </c>
      <c r="Z83" s="31">
        <f t="shared" si="15"/>
        <v>1.4608076233479186</v>
      </c>
    </row>
    <row r="84" spans="2:26" ht="13.95" customHeight="1" x14ac:dyDescent="0.3">
      <c r="B84" s="77">
        <v>43100</v>
      </c>
      <c r="C84" s="78">
        <v>10.02765874247339</v>
      </c>
      <c r="D84" s="78">
        <v>16.632364139466699</v>
      </c>
      <c r="E84" s="78">
        <v>18.088557989308232</v>
      </c>
      <c r="F84" s="78">
        <v>10.848418945379549</v>
      </c>
      <c r="G84" s="78">
        <v>12.28178242895291</v>
      </c>
      <c r="H84" s="78">
        <v>17.33593738154164</v>
      </c>
      <c r="I84" s="78">
        <v>24.863385623903039</v>
      </c>
      <c r="J84" s="78">
        <v>9.3270858737400193</v>
      </c>
      <c r="K84" s="78">
        <v>10.840383356637011</v>
      </c>
      <c r="L84" s="78">
        <v>5.4714128460745188</v>
      </c>
      <c r="M84" s="78">
        <v>7.3918384989907837</v>
      </c>
      <c r="N84" s="78">
        <v>10.65343561809118</v>
      </c>
      <c r="O84" s="78">
        <v>12.1821037910575</v>
      </c>
      <c r="P84" s="31">
        <f t="shared" si="5"/>
        <v>0.81646607896540502</v>
      </c>
      <c r="Q84" s="31">
        <f t="shared" si="6"/>
        <v>1.3542304820721938</v>
      </c>
      <c r="R84" s="31">
        <f t="shared" si="7"/>
        <v>1.47279583349942</v>
      </c>
      <c r="S84" s="31">
        <f t="shared" si="8"/>
        <v>0.88329352910581049</v>
      </c>
      <c r="T84" s="31">
        <f t="shared" si="9"/>
        <v>1.4115164050353255</v>
      </c>
      <c r="U84" s="31">
        <f t="shared" si="10"/>
        <v>2.0244118284729118</v>
      </c>
      <c r="V84" s="31">
        <f t="shared" si="11"/>
        <v>1.2618086657349801</v>
      </c>
      <c r="W84" s="31">
        <f t="shared" si="12"/>
        <v>1.4665341184222385</v>
      </c>
      <c r="X84" s="31">
        <f t="shared" si="13"/>
        <v>0.74019648113544922</v>
      </c>
      <c r="Y84" s="31">
        <f t="shared" si="14"/>
        <v>1.4412430168145185</v>
      </c>
      <c r="Z84" s="31">
        <f t="shared" si="15"/>
        <v>1.6480478831782832</v>
      </c>
    </row>
    <row r="85" spans="2:26" ht="13.95" customHeight="1" x14ac:dyDescent="0.3">
      <c r="B85" s="77">
        <v>43131</v>
      </c>
      <c r="C85" s="78">
        <v>11.6626110087287</v>
      </c>
      <c r="D85" s="78">
        <v>16.271044887292479</v>
      </c>
      <c r="E85" s="78">
        <v>18.413134540723711</v>
      </c>
      <c r="F85" s="78">
        <v>11.104846976656161</v>
      </c>
      <c r="G85" s="78">
        <v>12.98134930543425</v>
      </c>
      <c r="H85" s="78">
        <v>17.769516773768469</v>
      </c>
      <c r="I85" s="78">
        <v>24.36132441032402</v>
      </c>
      <c r="J85" s="78">
        <v>9.3297813615965843</v>
      </c>
      <c r="K85" s="78">
        <v>10.994776429869111</v>
      </c>
      <c r="L85" s="78">
        <v>5.7128722460485193</v>
      </c>
      <c r="M85" s="78">
        <v>7.5054633149479546</v>
      </c>
      <c r="N85" s="78">
        <v>10.867827565434579</v>
      </c>
      <c r="O85" s="78">
        <v>11.93455099618067</v>
      </c>
      <c r="P85" s="31">
        <f t="shared" si="5"/>
        <v>0.89841284864328386</v>
      </c>
      <c r="Q85" s="31">
        <f t="shared" si="6"/>
        <v>1.253417075872159</v>
      </c>
      <c r="R85" s="31">
        <f t="shared" si="7"/>
        <v>1.4184299418717288</v>
      </c>
      <c r="S85" s="31">
        <f t="shared" si="8"/>
        <v>0.85544628030365466</v>
      </c>
      <c r="T85" s="31">
        <f t="shared" si="9"/>
        <v>1.3688497517226346</v>
      </c>
      <c r="U85" s="31">
        <f t="shared" si="10"/>
        <v>1.8766403890022347</v>
      </c>
      <c r="V85" s="31">
        <f t="shared" si="11"/>
        <v>1.2430653472138489</v>
      </c>
      <c r="W85" s="31">
        <f t="shared" si="12"/>
        <v>1.4649030937199847</v>
      </c>
      <c r="X85" s="31">
        <f t="shared" si="13"/>
        <v>0.76116183722738429</v>
      </c>
      <c r="Y85" s="31">
        <f t="shared" si="14"/>
        <v>1.4479888994714167</v>
      </c>
      <c r="Z85" s="31">
        <f t="shared" si="15"/>
        <v>1.5901151595014396</v>
      </c>
    </row>
    <row r="86" spans="2:26" ht="13.95" customHeight="1" x14ac:dyDescent="0.3">
      <c r="B86" s="77">
        <v>43159</v>
      </c>
      <c r="C86" s="78">
        <v>10.96530999802688</v>
      </c>
      <c r="D86" s="78">
        <v>16.150393455175141</v>
      </c>
      <c r="E86" s="78">
        <v>17.567785896563549</v>
      </c>
      <c r="F86" s="78">
        <v>10.936915394998049</v>
      </c>
      <c r="G86" s="78">
        <v>12.471915264186229</v>
      </c>
      <c r="H86" s="78">
        <v>16.770533309340809</v>
      </c>
      <c r="I86" s="78">
        <v>24.764012907190519</v>
      </c>
      <c r="J86" s="78">
        <v>9.1357699114559843</v>
      </c>
      <c r="K86" s="78">
        <v>10.589801836100991</v>
      </c>
      <c r="L86" s="78">
        <v>5.7798016589921026</v>
      </c>
      <c r="M86" s="78">
        <v>7.4058936532447994</v>
      </c>
      <c r="N86" s="78">
        <v>10.366309392240479</v>
      </c>
      <c r="O86" s="78">
        <v>12.19724316179445</v>
      </c>
      <c r="P86" s="31">
        <f t="shared" si="5"/>
        <v>0.87920016819825209</v>
      </c>
      <c r="Q86" s="31">
        <f t="shared" si="6"/>
        <v>1.2949409223098123</v>
      </c>
      <c r="R86" s="31">
        <f t="shared" si="7"/>
        <v>1.4085876567018045</v>
      </c>
      <c r="S86" s="31">
        <f t="shared" si="8"/>
        <v>0.87692348475169535</v>
      </c>
      <c r="T86" s="31">
        <f t="shared" si="9"/>
        <v>1.3446638270144675</v>
      </c>
      <c r="U86" s="31">
        <f t="shared" si="10"/>
        <v>1.9855821966896861</v>
      </c>
      <c r="V86" s="31">
        <f t="shared" si="11"/>
        <v>1.2335810287328743</v>
      </c>
      <c r="W86" s="31">
        <f t="shared" si="12"/>
        <v>1.4299154608385718</v>
      </c>
      <c r="X86" s="31">
        <f t="shared" si="13"/>
        <v>0.7804327107046366</v>
      </c>
      <c r="Y86" s="31">
        <f t="shared" si="14"/>
        <v>1.3997378139096841</v>
      </c>
      <c r="Z86" s="31">
        <f t="shared" si="15"/>
        <v>1.6469643952354596</v>
      </c>
    </row>
    <row r="87" spans="2:26" ht="13.95" customHeight="1" x14ac:dyDescent="0.3">
      <c r="B87" s="77">
        <v>43190</v>
      </c>
      <c r="C87" s="78">
        <v>10.975839368800539</v>
      </c>
      <c r="D87" s="78">
        <v>15.785143756820229</v>
      </c>
      <c r="E87" s="78">
        <v>16.96931643832627</v>
      </c>
      <c r="F87" s="78">
        <v>9.8091872848720438</v>
      </c>
      <c r="G87" s="78">
        <v>11.896988487062201</v>
      </c>
      <c r="H87" s="78">
        <v>16.130607957672161</v>
      </c>
      <c r="I87" s="78">
        <v>24.780522815237461</v>
      </c>
      <c r="J87" s="78">
        <v>9.197101117684884</v>
      </c>
      <c r="K87" s="78">
        <v>10.214929610876689</v>
      </c>
      <c r="L87" s="78">
        <v>5.5407431085280088</v>
      </c>
      <c r="M87" s="78">
        <v>7.1732380570516403</v>
      </c>
      <c r="N87" s="78">
        <v>10.00125400079772</v>
      </c>
      <c r="O87" s="78">
        <v>11.734868278608859</v>
      </c>
      <c r="P87" s="31">
        <f t="shared" si="5"/>
        <v>0.92257291672901953</v>
      </c>
      <c r="Q87" s="31">
        <f t="shared" si="6"/>
        <v>1.3268184443471842</v>
      </c>
      <c r="R87" s="31">
        <f t="shared" si="7"/>
        <v>1.4263539429982766</v>
      </c>
      <c r="S87" s="31">
        <f t="shared" si="8"/>
        <v>0.82451010989372564</v>
      </c>
      <c r="T87" s="31">
        <f t="shared" si="9"/>
        <v>1.3558563980467797</v>
      </c>
      <c r="U87" s="31">
        <f t="shared" si="10"/>
        <v>2.0829239972944342</v>
      </c>
      <c r="V87" s="31">
        <f t="shared" si="11"/>
        <v>1.2821407911652518</v>
      </c>
      <c r="W87" s="31">
        <f t="shared" si="12"/>
        <v>1.4240332649820424</v>
      </c>
      <c r="X87" s="31">
        <f t="shared" si="13"/>
        <v>0.77241868518237589</v>
      </c>
      <c r="Y87" s="31">
        <f t="shared" si="14"/>
        <v>1.3942453772276528</v>
      </c>
      <c r="Z87" s="31">
        <f t="shared" si="15"/>
        <v>1.6359234400526992</v>
      </c>
    </row>
    <row r="88" spans="2:26" ht="13.95" customHeight="1" x14ac:dyDescent="0.3">
      <c r="B88" s="77">
        <v>43220</v>
      </c>
      <c r="C88" s="78">
        <v>10.465350687651959</v>
      </c>
      <c r="D88" s="78">
        <v>15.564100516859661</v>
      </c>
      <c r="E88" s="78">
        <v>16.628368875425519</v>
      </c>
      <c r="F88" s="78">
        <v>10.60922348208938</v>
      </c>
      <c r="G88" s="78">
        <v>11.931527088581049</v>
      </c>
      <c r="H88" s="78">
        <v>15.71410285652998</v>
      </c>
      <c r="I88" s="78">
        <v>24.860889567875549</v>
      </c>
      <c r="J88" s="78">
        <v>9.1085087929562913</v>
      </c>
      <c r="K88" s="78">
        <v>10.05386333518641</v>
      </c>
      <c r="L88" s="78">
        <v>5.711662686101783</v>
      </c>
      <c r="M88" s="78">
        <v>7.1843395910196284</v>
      </c>
      <c r="N88" s="78">
        <v>9.8266223545879292</v>
      </c>
      <c r="O88" s="78">
        <v>11.5776977430471</v>
      </c>
      <c r="P88" s="31">
        <f t="shared" si="5"/>
        <v>0.87711745612744918</v>
      </c>
      <c r="Q88" s="31">
        <f t="shared" si="6"/>
        <v>1.3044516767476588</v>
      </c>
      <c r="R88" s="31">
        <f t="shared" si="7"/>
        <v>1.3936496771934195</v>
      </c>
      <c r="S88" s="31">
        <f t="shared" si="8"/>
        <v>0.88917566069500298</v>
      </c>
      <c r="T88" s="31">
        <f t="shared" si="9"/>
        <v>1.3170236081154278</v>
      </c>
      <c r="U88" s="31">
        <f t="shared" si="10"/>
        <v>2.0836301492093514</v>
      </c>
      <c r="V88" s="31">
        <f t="shared" si="11"/>
        <v>1.267828264179196</v>
      </c>
      <c r="W88" s="31">
        <f t="shared" si="12"/>
        <v>1.3994137119789918</v>
      </c>
      <c r="X88" s="31">
        <f t="shared" si="13"/>
        <v>0.79501568846234927</v>
      </c>
      <c r="Y88" s="31">
        <f t="shared" si="14"/>
        <v>1.3677836675302952</v>
      </c>
      <c r="Z88" s="31">
        <f t="shared" si="15"/>
        <v>1.6115187201784194</v>
      </c>
    </row>
    <row r="89" spans="2:26" ht="13.95" customHeight="1" x14ac:dyDescent="0.3">
      <c r="B89" s="77">
        <v>43251</v>
      </c>
      <c r="C89" s="78">
        <v>8.6678020285301045</v>
      </c>
      <c r="D89" s="78">
        <v>14.10491863653672</v>
      </c>
      <c r="E89" s="78">
        <v>14.83986336125052</v>
      </c>
      <c r="F89" s="78">
        <v>9.6197388043444505</v>
      </c>
      <c r="G89" s="78">
        <v>10.469305507927411</v>
      </c>
      <c r="H89" s="78">
        <v>13.871612641435711</v>
      </c>
      <c r="I89" s="78">
        <v>24.115599860459479</v>
      </c>
      <c r="J89" s="78">
        <v>8.1570568178443299</v>
      </c>
      <c r="K89" s="78">
        <v>9.05455121213787</v>
      </c>
      <c r="L89" s="78">
        <v>5.4629303927399953</v>
      </c>
      <c r="M89" s="78">
        <v>6.7282717554611962</v>
      </c>
      <c r="N89" s="78">
        <v>8.7851560455726663</v>
      </c>
      <c r="O89" s="78">
        <v>10.979183157904959</v>
      </c>
      <c r="P89" s="31">
        <f t="shared" si="5"/>
        <v>0.82792521643071748</v>
      </c>
      <c r="Q89" s="31">
        <f t="shared" si="6"/>
        <v>1.3472640210810931</v>
      </c>
      <c r="R89" s="31">
        <f t="shared" si="7"/>
        <v>1.4174639712265251</v>
      </c>
      <c r="S89" s="31">
        <f t="shared" si="8"/>
        <v>0.91885166566782639</v>
      </c>
      <c r="T89" s="31">
        <f t="shared" si="9"/>
        <v>1.3249792577866848</v>
      </c>
      <c r="U89" s="31">
        <f t="shared" si="10"/>
        <v>2.3034574587778556</v>
      </c>
      <c r="V89" s="31">
        <f t="shared" si="11"/>
        <v>1.2123554330610113</v>
      </c>
      <c r="W89" s="31">
        <f t="shared" si="12"/>
        <v>1.3457469527428767</v>
      </c>
      <c r="X89" s="31">
        <f t="shared" si="13"/>
        <v>0.81193664454855741</v>
      </c>
      <c r="Y89" s="31">
        <f t="shared" si="14"/>
        <v>1.3057076712815503</v>
      </c>
      <c r="Z89" s="31">
        <f t="shared" si="15"/>
        <v>1.6317984107870476</v>
      </c>
    </row>
    <row r="90" spans="2:26" ht="13.95" customHeight="1" x14ac:dyDescent="0.3">
      <c r="B90" s="77">
        <v>43281</v>
      </c>
      <c r="C90" s="78">
        <v>8.1172529108735514</v>
      </c>
      <c r="D90" s="78">
        <v>13.604141301869181</v>
      </c>
      <c r="E90" s="78">
        <v>14.520048748202321</v>
      </c>
      <c r="F90" s="78">
        <v>8.7363159712183975</v>
      </c>
      <c r="G90" s="78">
        <v>9.7905649722773234</v>
      </c>
      <c r="H90" s="78">
        <v>13.472277706103871</v>
      </c>
      <c r="I90" s="78">
        <v>23.928199693746979</v>
      </c>
      <c r="J90" s="78">
        <v>7.9916595549971863</v>
      </c>
      <c r="K90" s="78">
        <v>8.7704929809365613</v>
      </c>
      <c r="L90" s="78">
        <v>5.0954044371159526</v>
      </c>
      <c r="M90" s="78">
        <v>6.3645070242999822</v>
      </c>
      <c r="N90" s="78">
        <v>8.4576158735905231</v>
      </c>
      <c r="O90" s="78">
        <v>10.88452395687265</v>
      </c>
      <c r="P90" s="31">
        <f t="shared" si="5"/>
        <v>0.82908932567815308</v>
      </c>
      <c r="Q90" s="31">
        <f t="shared" si="6"/>
        <v>1.389515450884629</v>
      </c>
      <c r="R90" s="31">
        <f t="shared" si="7"/>
        <v>1.4830654604016076</v>
      </c>
      <c r="S90" s="31">
        <f t="shared" si="8"/>
        <v>0.89231990145164186</v>
      </c>
      <c r="T90" s="31">
        <f t="shared" si="9"/>
        <v>1.376047015085603</v>
      </c>
      <c r="U90" s="31">
        <f t="shared" si="10"/>
        <v>2.4440060161493609</v>
      </c>
      <c r="V90" s="31">
        <f t="shared" si="11"/>
        <v>1.2556604187071616</v>
      </c>
      <c r="W90" s="31">
        <f t="shared" si="12"/>
        <v>1.3780317858791598</v>
      </c>
      <c r="X90" s="31">
        <f t="shared" si="13"/>
        <v>0.80059687540000546</v>
      </c>
      <c r="Y90" s="31">
        <f t="shared" si="14"/>
        <v>1.3288721092299771</v>
      </c>
      <c r="Z90" s="31">
        <f t="shared" si="15"/>
        <v>1.7101912081037909</v>
      </c>
    </row>
    <row r="91" spans="2:26" ht="13.95" customHeight="1" x14ac:dyDescent="0.3">
      <c r="B91" s="77">
        <v>43312</v>
      </c>
      <c r="C91" s="78">
        <v>9.039284748634433</v>
      </c>
      <c r="D91" s="78">
        <v>13.681507420623801</v>
      </c>
      <c r="E91" s="78">
        <v>14.832643423693829</v>
      </c>
      <c r="F91" s="78">
        <v>9.0601155280618979</v>
      </c>
      <c r="G91" s="78">
        <v>10.264327317777029</v>
      </c>
      <c r="H91" s="78">
        <v>14.065328481729759</v>
      </c>
      <c r="I91" s="78">
        <v>21.495441673015971</v>
      </c>
      <c r="J91" s="78">
        <v>8.2807142818503987</v>
      </c>
      <c r="K91" s="78">
        <v>8.9984542939725944</v>
      </c>
      <c r="L91" s="78">
        <v>5.3106704709527239</v>
      </c>
      <c r="M91" s="78">
        <v>6.5681146858991424</v>
      </c>
      <c r="N91" s="78">
        <v>8.83551128703904</v>
      </c>
      <c r="O91" s="78">
        <v>10.100279725922659</v>
      </c>
      <c r="P91" s="31">
        <f t="shared" si="5"/>
        <v>0.88065047701460997</v>
      </c>
      <c r="Q91" s="31">
        <f t="shared" si="6"/>
        <v>1.3329180760758161</v>
      </c>
      <c r="R91" s="31">
        <f t="shared" si="7"/>
        <v>1.4450672669026081</v>
      </c>
      <c r="S91" s="31">
        <f t="shared" si="8"/>
        <v>0.88267991146097524</v>
      </c>
      <c r="T91" s="31">
        <f t="shared" si="9"/>
        <v>1.3703117648411003</v>
      </c>
      <c r="U91" s="31">
        <f t="shared" si="10"/>
        <v>2.0941890303700186</v>
      </c>
      <c r="V91" s="31">
        <f t="shared" si="11"/>
        <v>1.2607444720214733</v>
      </c>
      <c r="W91" s="31">
        <f t="shared" si="12"/>
        <v>1.3700208848805675</v>
      </c>
      <c r="X91" s="31">
        <f t="shared" si="13"/>
        <v>0.80855324928384975</v>
      </c>
      <c r="Y91" s="31">
        <f t="shared" si="14"/>
        <v>1.3452126994687978</v>
      </c>
      <c r="Z91" s="31">
        <f t="shared" si="15"/>
        <v>1.5377745683409882</v>
      </c>
    </row>
    <row r="92" spans="2:26" ht="13.95" customHeight="1" x14ac:dyDescent="0.3">
      <c r="B92" s="77">
        <v>43343</v>
      </c>
      <c r="C92" s="78">
        <v>8.2727828907778918</v>
      </c>
      <c r="D92" s="78">
        <v>13.31061703289998</v>
      </c>
      <c r="E92" s="78">
        <v>13.55695256577923</v>
      </c>
      <c r="F92" s="78">
        <v>8.6993982659168356</v>
      </c>
      <c r="G92" s="78">
        <v>9.6208299653088147</v>
      </c>
      <c r="H92" s="78">
        <v>12.50504205053609</v>
      </c>
      <c r="I92" s="78">
        <v>24.14791343829317</v>
      </c>
      <c r="J92" s="78">
        <v>8.120594660180906</v>
      </c>
      <c r="K92" s="78">
        <v>8.5862386159475115</v>
      </c>
      <c r="L92" s="78">
        <v>5.1106492415973106</v>
      </c>
      <c r="M92" s="78">
        <v>6.2892329357308254</v>
      </c>
      <c r="N92" s="78">
        <v>8.3142183693899749</v>
      </c>
      <c r="O92" s="78">
        <v>10.415510169883801</v>
      </c>
      <c r="P92" s="31">
        <f t="shared" si="5"/>
        <v>0.8598824551112777</v>
      </c>
      <c r="Q92" s="31">
        <f t="shared" si="6"/>
        <v>1.3835206609924457</v>
      </c>
      <c r="R92" s="31">
        <f t="shared" si="7"/>
        <v>1.4091250562231583</v>
      </c>
      <c r="S92" s="31">
        <f t="shared" si="8"/>
        <v>0.90422534202199645</v>
      </c>
      <c r="T92" s="31">
        <f t="shared" si="9"/>
        <v>1.2997882818454631</v>
      </c>
      <c r="U92" s="31">
        <f t="shared" si="10"/>
        <v>2.5099615652045313</v>
      </c>
      <c r="V92" s="31">
        <f t="shared" si="11"/>
        <v>1.2911899977572181</v>
      </c>
      <c r="W92" s="31">
        <f t="shared" si="12"/>
        <v>1.3652282724601881</v>
      </c>
      <c r="X92" s="31">
        <f t="shared" si="13"/>
        <v>0.81260295076086886</v>
      </c>
      <c r="Y92" s="31">
        <f t="shared" si="14"/>
        <v>1.321976535827551</v>
      </c>
      <c r="Z92" s="31">
        <f t="shared" si="15"/>
        <v>1.656085929129844</v>
      </c>
    </row>
    <row r="93" spans="2:26" ht="13.95" customHeight="1" x14ac:dyDescent="0.3">
      <c r="B93" s="77">
        <v>43373</v>
      </c>
      <c r="C93" s="78">
        <v>8.4475505752726452</v>
      </c>
      <c r="D93" s="78">
        <v>12.84282445823164</v>
      </c>
      <c r="E93" s="78">
        <v>14.31335680780859</v>
      </c>
      <c r="F93" s="78">
        <v>8.9795343941187937</v>
      </c>
      <c r="G93" s="78">
        <v>9.7791983150004285</v>
      </c>
      <c r="H93" s="78">
        <v>13.281414101455701</v>
      </c>
      <c r="I93" s="78">
        <v>23.70478417858337</v>
      </c>
      <c r="J93" s="78">
        <v>7.9658815127699931</v>
      </c>
      <c r="K93" s="78">
        <v>8.8214571516824574</v>
      </c>
      <c r="L93" s="78">
        <v>5.0037203621250947</v>
      </c>
      <c r="M93" s="78">
        <v>6.1516578646418081</v>
      </c>
      <c r="N93" s="78">
        <v>8.5660638677029137</v>
      </c>
      <c r="O93" s="78">
        <v>10.47980541981091</v>
      </c>
      <c r="P93" s="31">
        <f t="shared" si="5"/>
        <v>0.86382853718334429</v>
      </c>
      <c r="Q93" s="31">
        <f t="shared" si="6"/>
        <v>1.3132798870160838</v>
      </c>
      <c r="R93" s="31">
        <f t="shared" si="7"/>
        <v>1.4636533943537235</v>
      </c>
      <c r="S93" s="31">
        <f t="shared" si="8"/>
        <v>0.91822806991703798</v>
      </c>
      <c r="T93" s="31">
        <f t="shared" si="9"/>
        <v>1.3581291301847496</v>
      </c>
      <c r="U93" s="31">
        <f t="shared" si="10"/>
        <v>2.4240007631527751</v>
      </c>
      <c r="V93" s="31">
        <f t="shared" si="11"/>
        <v>1.2949162141405635</v>
      </c>
      <c r="W93" s="31">
        <f t="shared" si="12"/>
        <v>1.4339967120710644</v>
      </c>
      <c r="X93" s="31">
        <f t="shared" si="13"/>
        <v>0.81339379923666244</v>
      </c>
      <c r="Y93" s="31">
        <f t="shared" si="14"/>
        <v>1.3924805403984686</v>
      </c>
      <c r="Z93" s="31">
        <f t="shared" si="15"/>
        <v>1.7035741665748696</v>
      </c>
    </row>
    <row r="94" spans="2:26" ht="13.95" customHeight="1" x14ac:dyDescent="0.3">
      <c r="B94" s="77">
        <v>43404</v>
      </c>
      <c r="C94" s="78">
        <v>9.9031184544173048</v>
      </c>
      <c r="D94" s="78">
        <v>13.64172725657081</v>
      </c>
      <c r="E94" s="78">
        <v>16.668671497077732</v>
      </c>
      <c r="F94" s="78">
        <v>8.9114218008319703</v>
      </c>
      <c r="G94" s="78">
        <v>10.554104180058911</v>
      </c>
      <c r="H94" s="78">
        <v>15.860845718572691</v>
      </c>
      <c r="I94" s="78">
        <v>24.332421131828958</v>
      </c>
      <c r="J94" s="78">
        <v>7.8755916698103379</v>
      </c>
      <c r="K94" s="78">
        <v>9.9325192061383429</v>
      </c>
      <c r="L94" s="78">
        <v>4.8892770676463986</v>
      </c>
      <c r="M94" s="78">
        <v>6.1652190283653923</v>
      </c>
      <c r="N94" s="78">
        <v>9.8239566864343377</v>
      </c>
      <c r="O94" s="78">
        <v>10.686468291612769</v>
      </c>
      <c r="P94" s="31">
        <f t="shared" si="5"/>
        <v>0.93831918706358908</v>
      </c>
      <c r="Q94" s="31">
        <f t="shared" si="6"/>
        <v>1.2925518853931444</v>
      </c>
      <c r="R94" s="31">
        <f t="shared" si="7"/>
        <v>1.5793544589574717</v>
      </c>
      <c r="S94" s="31">
        <f t="shared" si="8"/>
        <v>0.84435605796552116</v>
      </c>
      <c r="T94" s="31">
        <f t="shared" si="9"/>
        <v>1.5028130713869985</v>
      </c>
      <c r="U94" s="31">
        <f t="shared" si="10"/>
        <v>2.3054937412692036</v>
      </c>
      <c r="V94" s="31">
        <f t="shared" si="11"/>
        <v>1.2774228512524433</v>
      </c>
      <c r="W94" s="31">
        <f t="shared" si="12"/>
        <v>1.6110569892878224</v>
      </c>
      <c r="X94" s="31">
        <f t="shared" si="13"/>
        <v>0.79304190899811566</v>
      </c>
      <c r="Y94" s="31">
        <f t="shared" si="14"/>
        <v>1.5934481226434223</v>
      </c>
      <c r="Z94" s="31">
        <f t="shared" si="15"/>
        <v>1.7333477111592761</v>
      </c>
    </row>
    <row r="95" spans="2:26" ht="13.95" customHeight="1" x14ac:dyDescent="0.3">
      <c r="B95" s="77">
        <v>43434</v>
      </c>
      <c r="C95" s="78">
        <v>10.556701923461681</v>
      </c>
      <c r="D95" s="78">
        <v>14.21545488463709</v>
      </c>
      <c r="E95" s="78">
        <v>16.493480029828849</v>
      </c>
      <c r="F95" s="78">
        <v>8.5210068921132134</v>
      </c>
      <c r="G95" s="78">
        <v>10.689646627493429</v>
      </c>
      <c r="H95" s="78">
        <v>15.682979006066461</v>
      </c>
      <c r="I95" s="78">
        <v>23.85065337020341</v>
      </c>
      <c r="J95" s="78">
        <v>8.1455307577772729</v>
      </c>
      <c r="K95" s="78">
        <v>9.8619555516275721</v>
      </c>
      <c r="L95" s="78">
        <v>4.7472203089967104</v>
      </c>
      <c r="M95" s="78">
        <v>6.1457447411459114</v>
      </c>
      <c r="N95" s="78">
        <v>9.7610253752090905</v>
      </c>
      <c r="O95" s="78">
        <v>10.54748757009224</v>
      </c>
      <c r="P95" s="31">
        <f t="shared" si="5"/>
        <v>0.98756322742326963</v>
      </c>
      <c r="Q95" s="31">
        <f t="shared" si="6"/>
        <v>1.3298339393254961</v>
      </c>
      <c r="R95" s="31">
        <f t="shared" si="7"/>
        <v>1.5429396877730406</v>
      </c>
      <c r="S95" s="31">
        <f t="shared" si="8"/>
        <v>0.7971270883920013</v>
      </c>
      <c r="T95" s="31">
        <f t="shared" si="9"/>
        <v>1.4671185636511446</v>
      </c>
      <c r="U95" s="31">
        <f t="shared" si="10"/>
        <v>2.2311919375202067</v>
      </c>
      <c r="V95" s="31">
        <f t="shared" si="11"/>
        <v>1.325393601729461</v>
      </c>
      <c r="W95" s="31">
        <f t="shared" si="12"/>
        <v>1.6046803059687036</v>
      </c>
      <c r="X95" s="31">
        <f t="shared" si="13"/>
        <v>0.77244020195208474</v>
      </c>
      <c r="Y95" s="31">
        <f t="shared" si="14"/>
        <v>1.5882575320544614</v>
      </c>
      <c r="Z95" s="31">
        <f t="shared" si="15"/>
        <v>1.7162261067363493</v>
      </c>
    </row>
    <row r="96" spans="2:26" ht="13.95" customHeight="1" x14ac:dyDescent="0.3">
      <c r="B96" s="77">
        <v>43465</v>
      </c>
      <c r="C96" s="78">
        <v>10.29372117463763</v>
      </c>
      <c r="D96" s="78">
        <v>14.609991628471001</v>
      </c>
      <c r="E96" s="78">
        <v>16.469191150278881</v>
      </c>
      <c r="F96" s="78">
        <v>8.1508211154128904</v>
      </c>
      <c r="G96" s="78">
        <v>10.464762375331571</v>
      </c>
      <c r="H96" s="78">
        <v>15.787101010160541</v>
      </c>
      <c r="I96" s="78">
        <v>22.24606681628617</v>
      </c>
      <c r="J96" s="78">
        <v>7.8382609792810456</v>
      </c>
      <c r="K96" s="78">
        <v>9.9450340778484687</v>
      </c>
      <c r="L96" s="78">
        <v>4.6706789336031713</v>
      </c>
      <c r="M96" s="78">
        <v>6.0844694523880776</v>
      </c>
      <c r="N96" s="78">
        <v>9.907507810803855</v>
      </c>
      <c r="O96" s="78">
        <v>10.19084555325797</v>
      </c>
      <c r="P96" s="31">
        <f t="shared" si="5"/>
        <v>0.98365551031553922</v>
      </c>
      <c r="Q96" s="31">
        <f t="shared" si="6"/>
        <v>1.3961130797304024</v>
      </c>
      <c r="R96" s="31">
        <f t="shared" si="7"/>
        <v>1.5737759310332227</v>
      </c>
      <c r="S96" s="31">
        <f t="shared" si="8"/>
        <v>0.77888257975419495</v>
      </c>
      <c r="T96" s="31">
        <f t="shared" si="9"/>
        <v>1.5085962245425888</v>
      </c>
      <c r="U96" s="31">
        <f t="shared" si="10"/>
        <v>2.125807162972615</v>
      </c>
      <c r="V96" s="31">
        <f t="shared" si="11"/>
        <v>1.2882406659474026</v>
      </c>
      <c r="W96" s="31">
        <f t="shared" si="12"/>
        <v>1.6344948652745999</v>
      </c>
      <c r="X96" s="31">
        <f t="shared" si="13"/>
        <v>0.7676394745921501</v>
      </c>
      <c r="Y96" s="31">
        <f t="shared" si="14"/>
        <v>1.628327315689831</v>
      </c>
      <c r="Z96" s="31">
        <f t="shared" si="15"/>
        <v>1.6748946860532257</v>
      </c>
    </row>
    <row r="97" spans="2:26" ht="13.95" customHeight="1" x14ac:dyDescent="0.3">
      <c r="B97" s="77">
        <v>43496</v>
      </c>
      <c r="C97" s="78">
        <v>11.517137489602121</v>
      </c>
      <c r="D97" s="78">
        <v>15.452189262936701</v>
      </c>
      <c r="E97" s="78">
        <v>18.683504496832679</v>
      </c>
      <c r="F97" s="78">
        <v>8.7623303828425296</v>
      </c>
      <c r="G97" s="78">
        <v>11.50485086277302</v>
      </c>
      <c r="H97" s="78">
        <v>18.355908517600461</v>
      </c>
      <c r="I97" s="78">
        <v>25.081</v>
      </c>
      <c r="J97" s="78">
        <v>8.5958809914166743</v>
      </c>
      <c r="K97" s="78">
        <v>11.426924106048491</v>
      </c>
      <c r="L97" s="78">
        <v>4.9232593927109498</v>
      </c>
      <c r="M97" s="78">
        <v>6.6292366858631731</v>
      </c>
      <c r="N97" s="78">
        <v>11.068234564166231</v>
      </c>
      <c r="O97" s="78">
        <v>15.096329299341781</v>
      </c>
      <c r="P97" s="31">
        <f t="shared" si="5"/>
        <v>1.0010679518557566</v>
      </c>
      <c r="Q97" s="31">
        <f t="shared" si="6"/>
        <v>1.343102092086768</v>
      </c>
      <c r="R97" s="31">
        <f t="shared" si="7"/>
        <v>1.6239675524424297</v>
      </c>
      <c r="S97" s="31">
        <f t="shared" si="8"/>
        <v>0.76162051010981469</v>
      </c>
      <c r="T97" s="31">
        <f t="shared" si="9"/>
        <v>1.5954929565402578</v>
      </c>
      <c r="U97" s="31">
        <f t="shared" si="10"/>
        <v>2.1800369512964477</v>
      </c>
      <c r="V97" s="31">
        <f t="shared" si="11"/>
        <v>1.2966622552106737</v>
      </c>
      <c r="W97" s="31">
        <f t="shared" si="12"/>
        <v>1.7237164167658052</v>
      </c>
      <c r="X97" s="31">
        <f t="shared" si="13"/>
        <v>0.7426585632716638</v>
      </c>
      <c r="Y97" s="31">
        <f t="shared" si="14"/>
        <v>1.6696092006745222</v>
      </c>
      <c r="Z97" s="31">
        <f t="shared" si="15"/>
        <v>2.277234923823833</v>
      </c>
    </row>
    <row r="98" spans="2:26" ht="13.95" customHeight="1" x14ac:dyDescent="0.3">
      <c r="B98" s="77">
        <v>43524</v>
      </c>
      <c r="C98" s="78">
        <v>11.215489965503741</v>
      </c>
      <c r="D98" s="78">
        <v>15.142459190098601</v>
      </c>
      <c r="E98" s="78">
        <v>17.692472484001389</v>
      </c>
      <c r="F98" s="78">
        <v>8.4122788440192053</v>
      </c>
      <c r="G98" s="78">
        <v>11.052513600507121</v>
      </c>
      <c r="H98" s="78">
        <v>17.33113046261504</v>
      </c>
      <c r="I98" s="78">
        <v>25.047000000000001</v>
      </c>
      <c r="J98" s="78">
        <v>8.3978947947342046</v>
      </c>
      <c r="K98" s="78">
        <v>10.9048134624722</v>
      </c>
      <c r="L98" s="78">
        <v>4.8871612476150181</v>
      </c>
      <c r="M98" s="78">
        <v>6.4591691863791834</v>
      </c>
      <c r="N98" s="78">
        <v>10.56244837754639</v>
      </c>
      <c r="O98" s="78">
        <v>14.328476735837301</v>
      </c>
      <c r="P98" s="31">
        <f t="shared" si="5"/>
        <v>1.0147456380410282</v>
      </c>
      <c r="Q98" s="31">
        <f t="shared" si="6"/>
        <v>1.370046646167784</v>
      </c>
      <c r="R98" s="31">
        <f t="shared" si="7"/>
        <v>1.6007645974024955</v>
      </c>
      <c r="S98" s="31">
        <f t="shared" si="8"/>
        <v>0.76111906739777513</v>
      </c>
      <c r="T98" s="31">
        <f t="shared" si="9"/>
        <v>1.5680713988734507</v>
      </c>
      <c r="U98" s="31">
        <f t="shared" si="10"/>
        <v>2.2661813326201901</v>
      </c>
      <c r="V98" s="31">
        <f t="shared" si="11"/>
        <v>1.300150925361008</v>
      </c>
      <c r="W98" s="31">
        <f t="shared" si="12"/>
        <v>1.6882687459972094</v>
      </c>
      <c r="X98" s="31">
        <f t="shared" si="13"/>
        <v>0.75662381749046803</v>
      </c>
      <c r="Y98" s="31">
        <f t="shared" si="14"/>
        <v>1.6352642379797118</v>
      </c>
      <c r="Z98" s="31">
        <f t="shared" si="15"/>
        <v>2.2183157496559422</v>
      </c>
    </row>
    <row r="99" spans="2:26" ht="13.95" customHeight="1" x14ac:dyDescent="0.3">
      <c r="B99" s="77">
        <v>43555</v>
      </c>
      <c r="C99" s="78">
        <v>10.721302123467771</v>
      </c>
      <c r="D99" s="78">
        <v>14.16024047538264</v>
      </c>
      <c r="E99" s="78">
        <v>16.583915684609678</v>
      </c>
      <c r="F99" s="78">
        <v>8.301318019579023</v>
      </c>
      <c r="G99" s="78">
        <v>10.594870984473159</v>
      </c>
      <c r="H99" s="78">
        <v>16.214120613346321</v>
      </c>
      <c r="I99" s="78">
        <v>24.047000000000001</v>
      </c>
      <c r="J99" s="78">
        <v>8.1569109265620998</v>
      </c>
      <c r="K99" s="78">
        <v>10.43815284752427</v>
      </c>
      <c r="L99" s="78">
        <v>4.8664434399603893</v>
      </c>
      <c r="M99" s="78">
        <v>6.2973568856712481</v>
      </c>
      <c r="N99" s="78">
        <v>10.152685021462</v>
      </c>
      <c r="O99" s="78">
        <v>13.06155134024198</v>
      </c>
      <c r="P99" s="31">
        <f t="shared" si="5"/>
        <v>1.0119332400724743</v>
      </c>
      <c r="Q99" s="31">
        <f t="shared" si="6"/>
        <v>1.3365184433236186</v>
      </c>
      <c r="R99" s="31">
        <f t="shared" si="7"/>
        <v>1.5652777375876965</v>
      </c>
      <c r="S99" s="31">
        <f t="shared" si="8"/>
        <v>0.7835223318664899</v>
      </c>
      <c r="T99" s="31">
        <f t="shared" si="9"/>
        <v>1.5303745215121733</v>
      </c>
      <c r="U99" s="31">
        <f t="shared" si="10"/>
        <v>2.269683135853283</v>
      </c>
      <c r="V99" s="31">
        <f t="shared" si="11"/>
        <v>1.2952911951237838</v>
      </c>
      <c r="W99" s="31">
        <f t="shared" si="12"/>
        <v>1.6575450680387549</v>
      </c>
      <c r="X99" s="31">
        <f t="shared" si="13"/>
        <v>0.77277555144338383</v>
      </c>
      <c r="Y99" s="31">
        <f t="shared" si="14"/>
        <v>1.6122136962831199</v>
      </c>
      <c r="Z99" s="31">
        <f t="shared" si="15"/>
        <v>2.0741323030241001</v>
      </c>
    </row>
    <row r="100" spans="2:26" ht="13.95" customHeight="1" x14ac:dyDescent="0.3">
      <c r="B100" s="77">
        <v>43585</v>
      </c>
      <c r="C100" s="78">
        <v>10.458152094447181</v>
      </c>
      <c r="D100" s="78">
        <v>14.7259760738468</v>
      </c>
      <c r="E100" s="78">
        <v>16.816683639730051</v>
      </c>
      <c r="F100" s="78">
        <v>8.0037293993710001</v>
      </c>
      <c r="G100" s="78">
        <v>10.46366067775195</v>
      </c>
      <c r="H100" s="78">
        <v>16.410104313062469</v>
      </c>
      <c r="I100" s="78">
        <v>25.001000000000001</v>
      </c>
      <c r="J100" s="78">
        <v>8.6568883952729916</v>
      </c>
      <c r="K100" s="78">
        <v>10.49814536372986</v>
      </c>
      <c r="L100" s="78">
        <v>4.6660073913767208</v>
      </c>
      <c r="M100" s="78">
        <v>6.2765478055196322</v>
      </c>
      <c r="N100" s="78">
        <v>10.193721850748419</v>
      </c>
      <c r="O100" s="78">
        <v>13.16776909233822</v>
      </c>
      <c r="P100" s="31">
        <f t="shared" si="5"/>
        <v>0.99947355103778535</v>
      </c>
      <c r="Q100" s="31">
        <f t="shared" si="6"/>
        <v>1.4073445735064281</v>
      </c>
      <c r="R100" s="31">
        <f t="shared" si="7"/>
        <v>1.6071510877150317</v>
      </c>
      <c r="S100" s="31">
        <f t="shared" si="8"/>
        <v>0.76490720082205022</v>
      </c>
      <c r="T100" s="31">
        <f t="shared" si="9"/>
        <v>1.5682947697218403</v>
      </c>
      <c r="U100" s="31">
        <f t="shared" si="10"/>
        <v>2.3893167764086272</v>
      </c>
      <c r="V100" s="31">
        <f t="shared" si="11"/>
        <v>1.3792436007035707</v>
      </c>
      <c r="W100" s="31">
        <f t="shared" si="12"/>
        <v>1.6725986464243499</v>
      </c>
      <c r="X100" s="31">
        <f t="shared" si="13"/>
        <v>0.74340346571938909</v>
      </c>
      <c r="Y100" s="31">
        <f t="shared" si="14"/>
        <v>1.6240969027247751</v>
      </c>
      <c r="Z100" s="31">
        <f t="shared" si="15"/>
        <v>2.0979317772037693</v>
      </c>
    </row>
    <row r="101" spans="2:26" ht="13.95" customHeight="1" x14ac:dyDescent="0.3">
      <c r="B101" s="77">
        <v>43616</v>
      </c>
      <c r="C101" s="78">
        <v>10.732001838675581</v>
      </c>
      <c r="D101" s="78">
        <v>15.543765579715609</v>
      </c>
      <c r="E101" s="78">
        <v>18.698217709467041</v>
      </c>
      <c r="F101" s="78">
        <v>7.6788775886179019</v>
      </c>
      <c r="G101" s="78">
        <v>10.678798703005141</v>
      </c>
      <c r="H101" s="78">
        <v>17.451687339580609</v>
      </c>
      <c r="I101" s="78">
        <v>36.26190739662492</v>
      </c>
      <c r="J101" s="78">
        <v>8.3763460583685863</v>
      </c>
      <c r="K101" s="78">
        <v>10.401884241727529</v>
      </c>
      <c r="L101" s="78">
        <v>4.6060034883365661</v>
      </c>
      <c r="M101" s="78">
        <v>6.2420475212567768</v>
      </c>
      <c r="N101" s="78">
        <v>10.114410968052161</v>
      </c>
      <c r="O101" s="78">
        <v>13.238763223952811</v>
      </c>
      <c r="P101" s="31">
        <f t="shared" si="5"/>
        <v>1.0049821274049737</v>
      </c>
      <c r="Q101" s="31">
        <f t="shared" si="6"/>
        <v>1.4555724863828934</v>
      </c>
      <c r="R101" s="31">
        <f t="shared" si="7"/>
        <v>1.750966398889525</v>
      </c>
      <c r="S101" s="31">
        <f t="shared" si="8"/>
        <v>0.71907691138114394</v>
      </c>
      <c r="T101" s="31">
        <f t="shared" si="9"/>
        <v>1.6342369422760537</v>
      </c>
      <c r="U101" s="31">
        <f t="shared" si="10"/>
        <v>3.3956916320953208</v>
      </c>
      <c r="V101" s="31">
        <f t="shared" si="11"/>
        <v>1.3419228273805401</v>
      </c>
      <c r="W101" s="31">
        <f t="shared" si="12"/>
        <v>1.6664218281428926</v>
      </c>
      <c r="X101" s="31">
        <f t="shared" si="13"/>
        <v>0.7378994588956912</v>
      </c>
      <c r="Y101" s="31">
        <f t="shared" si="14"/>
        <v>1.6203675049906894</v>
      </c>
      <c r="Z101" s="31">
        <f t="shared" si="15"/>
        <v>2.1209007427241295</v>
      </c>
    </row>
    <row r="102" spans="2:26" ht="13.95" customHeight="1" x14ac:dyDescent="0.3">
      <c r="B102" s="77">
        <v>43646</v>
      </c>
      <c r="C102" s="78">
        <v>11.071164268409399</v>
      </c>
      <c r="D102" s="78">
        <v>15.96717657049275</v>
      </c>
      <c r="E102" s="78">
        <v>19.8380137434301</v>
      </c>
      <c r="F102" s="78">
        <v>8.4013195785900248</v>
      </c>
      <c r="G102" s="78">
        <v>11.30990776207199</v>
      </c>
      <c r="H102" s="78">
        <v>18.69085335078087</v>
      </c>
      <c r="I102" s="78">
        <v>33.81425253045802</v>
      </c>
      <c r="J102" s="78">
        <v>8.6400013382759457</v>
      </c>
      <c r="K102" s="78">
        <v>10.50140259163576</v>
      </c>
      <c r="L102" s="78">
        <v>4.8296573787752406</v>
      </c>
      <c r="M102" s="78">
        <v>6.4909122652171067</v>
      </c>
      <c r="N102" s="78">
        <v>10.21613003654268</v>
      </c>
      <c r="O102" s="78">
        <v>13.29124534670628</v>
      </c>
      <c r="P102" s="31">
        <f t="shared" ref="P102:P133" si="16">C102/G102</f>
        <v>0.97889076562912192</v>
      </c>
      <c r="Q102" s="31">
        <f t="shared" ref="Q102:Q133" si="17">D102/G102</f>
        <v>1.4117866304833191</v>
      </c>
      <c r="R102" s="31">
        <f t="shared" ref="R102:R133" si="18">E102/G102</f>
        <v>1.7540385086036943</v>
      </c>
      <c r="S102" s="31">
        <f t="shared" ref="S102:S133" si="19">F102/G102</f>
        <v>0.74282830199234906</v>
      </c>
      <c r="T102" s="31">
        <f t="shared" ref="T102:T133" si="20">H102/G102</f>
        <v>1.6526088226343483</v>
      </c>
      <c r="U102" s="31">
        <f t="shared" ref="U102:U133" si="21">I102/G102</f>
        <v>2.9897903008417819</v>
      </c>
      <c r="V102" s="31">
        <f t="shared" ref="V102:V133" si="22">IFERROR(J102/M102,"")</f>
        <v>1.3310919921957929</v>
      </c>
      <c r="W102" s="31">
        <f t="shared" ref="W102:W133" si="23">IFERROR(K102/M102,"")</f>
        <v>1.6178623531717866</v>
      </c>
      <c r="X102" s="31">
        <f t="shared" ref="X102:X133" si="24">IFERROR(L102/M102,"")</f>
        <v>0.74406449839970212</v>
      </c>
      <c r="Y102" s="31">
        <f t="shared" ref="Y102:Y133" si="25">IFERROR(N102/M102,"")</f>
        <v>1.5739128213591673</v>
      </c>
      <c r="Z102" s="31">
        <f t="shared" ref="Z102:Z133" si="26">IFERROR(O102/M102,"")</f>
        <v>2.0476698503429418</v>
      </c>
    </row>
    <row r="103" spans="2:26" ht="13.95" customHeight="1" x14ac:dyDescent="0.3">
      <c r="B103" s="77">
        <v>43677</v>
      </c>
      <c r="C103" s="78">
        <v>10.793198986814261</v>
      </c>
      <c r="D103" s="78">
        <v>17.805627850018158</v>
      </c>
      <c r="E103" s="78">
        <v>21.365227704343191</v>
      </c>
      <c r="F103" s="78">
        <v>8.0953943528091639</v>
      </c>
      <c r="G103" s="78">
        <v>11.41068416219048</v>
      </c>
      <c r="H103" s="78">
        <v>20.331954546956979</v>
      </c>
      <c r="I103" s="78">
        <v>32.938818193271892</v>
      </c>
      <c r="J103" s="78">
        <v>9.112261385788484</v>
      </c>
      <c r="K103" s="78">
        <v>11.115135021144541</v>
      </c>
      <c r="L103" s="78">
        <v>4.650887928217573</v>
      </c>
      <c r="M103" s="78">
        <v>6.6050869631811704</v>
      </c>
      <c r="N103" s="78">
        <v>10.809604576439749</v>
      </c>
      <c r="O103" s="78">
        <v>14.258598735769249</v>
      </c>
      <c r="P103" s="31">
        <f t="shared" si="16"/>
        <v>0.94588535037870314</v>
      </c>
      <c r="Q103" s="31">
        <f t="shared" si="17"/>
        <v>1.5604347291477445</v>
      </c>
      <c r="R103" s="31">
        <f t="shared" si="18"/>
        <v>1.8723879655820534</v>
      </c>
      <c r="S103" s="31">
        <f t="shared" si="19"/>
        <v>0.70945740305681304</v>
      </c>
      <c r="T103" s="31">
        <f t="shared" si="20"/>
        <v>1.7818348363656669</v>
      </c>
      <c r="U103" s="31">
        <f t="shared" si="21"/>
        <v>2.8866646140654124</v>
      </c>
      <c r="V103" s="31">
        <f t="shared" si="22"/>
        <v>1.3795823486629459</v>
      </c>
      <c r="W103" s="31">
        <f t="shared" si="23"/>
        <v>1.6828143343310686</v>
      </c>
      <c r="X103" s="31">
        <f t="shared" si="24"/>
        <v>0.70413727391374004</v>
      </c>
      <c r="Y103" s="31">
        <f t="shared" si="25"/>
        <v>1.6365574952602262</v>
      </c>
      <c r="Z103" s="31">
        <f t="shared" si="26"/>
        <v>2.1587299024602036</v>
      </c>
    </row>
    <row r="104" spans="2:26" ht="13.95" customHeight="1" x14ac:dyDescent="0.3">
      <c r="B104" s="77">
        <v>43708</v>
      </c>
      <c r="C104" s="78">
        <v>10.46537448663611</v>
      </c>
      <c r="D104" s="78">
        <v>17.515398602072509</v>
      </c>
      <c r="E104" s="78">
        <v>21.484552681552309</v>
      </c>
      <c r="F104" s="78">
        <v>8.0959608678770714</v>
      </c>
      <c r="G104" s="78">
        <v>11.34071343934434</v>
      </c>
      <c r="H104" s="78">
        <v>20.515126856290539</v>
      </c>
      <c r="I104" s="78">
        <v>33.525500648941119</v>
      </c>
      <c r="J104" s="78">
        <v>9.1291949325654951</v>
      </c>
      <c r="K104" s="78">
        <v>10.88010365950173</v>
      </c>
      <c r="L104" s="78">
        <v>4.6801233297836218</v>
      </c>
      <c r="M104" s="78">
        <v>6.6808385259471077</v>
      </c>
      <c r="N104" s="78">
        <v>10.610388340064549</v>
      </c>
      <c r="O104" s="78">
        <v>13.90276382056504</v>
      </c>
      <c r="P104" s="31">
        <f t="shared" si="16"/>
        <v>0.92281447217673129</v>
      </c>
      <c r="Q104" s="31">
        <f t="shared" si="17"/>
        <v>1.5444706098741841</v>
      </c>
      <c r="R104" s="31">
        <f t="shared" si="18"/>
        <v>1.8944621779275319</v>
      </c>
      <c r="S104" s="31">
        <f t="shared" si="19"/>
        <v>0.71388461679930582</v>
      </c>
      <c r="T104" s="31">
        <f t="shared" si="20"/>
        <v>1.8089802697171948</v>
      </c>
      <c r="U104" s="31">
        <f t="shared" si="21"/>
        <v>2.9562073698671454</v>
      </c>
      <c r="V104" s="31">
        <f t="shared" si="22"/>
        <v>1.366474417411742</v>
      </c>
      <c r="W104" s="31">
        <f t="shared" si="23"/>
        <v>1.6285536040491735</v>
      </c>
      <c r="X104" s="31">
        <f t="shared" si="24"/>
        <v>0.70052932900666764</v>
      </c>
      <c r="Y104" s="31">
        <f t="shared" si="25"/>
        <v>1.5881821269674183</v>
      </c>
      <c r="Z104" s="31">
        <f t="shared" si="26"/>
        <v>2.0809908466683256</v>
      </c>
    </row>
    <row r="105" spans="2:26" ht="13.95" customHeight="1" x14ac:dyDescent="0.3">
      <c r="B105" s="77">
        <v>43738</v>
      </c>
      <c r="C105" s="78">
        <v>10.67131845716257</v>
      </c>
      <c r="D105" s="78">
        <v>17.488281478670022</v>
      </c>
      <c r="E105" s="78">
        <v>22.111279755813211</v>
      </c>
      <c r="F105" s="78">
        <v>8.7826769862705696</v>
      </c>
      <c r="G105" s="78">
        <v>11.77558680765727</v>
      </c>
      <c r="H105" s="78">
        <v>21.246931457224889</v>
      </c>
      <c r="I105" s="78">
        <v>31.972778337396502</v>
      </c>
      <c r="J105" s="78">
        <v>9.046982652374906</v>
      </c>
      <c r="K105" s="78">
        <v>10.98785305383182</v>
      </c>
      <c r="L105" s="78">
        <v>4.8400010771499238</v>
      </c>
      <c r="M105" s="78">
        <v>6.7737573316446609</v>
      </c>
      <c r="N105" s="78">
        <v>10.77507428465859</v>
      </c>
      <c r="O105" s="78">
        <v>13.212619247891361</v>
      </c>
      <c r="P105" s="31">
        <f t="shared" si="16"/>
        <v>0.90622392170073163</v>
      </c>
      <c r="Q105" s="31">
        <f t="shared" si="17"/>
        <v>1.4851303603229333</v>
      </c>
      <c r="R105" s="31">
        <f t="shared" si="18"/>
        <v>1.8777221141484843</v>
      </c>
      <c r="S105" s="31">
        <f t="shared" si="19"/>
        <v>0.74583773443540746</v>
      </c>
      <c r="T105" s="31">
        <f t="shared" si="20"/>
        <v>1.8043203964501133</v>
      </c>
      <c r="U105" s="31">
        <f t="shared" si="21"/>
        <v>2.7151749513328434</v>
      </c>
      <c r="V105" s="31">
        <f t="shared" si="22"/>
        <v>1.335592967009686</v>
      </c>
      <c r="W105" s="31">
        <f t="shared" si="23"/>
        <v>1.622120857873127</v>
      </c>
      <c r="X105" s="31">
        <f t="shared" si="24"/>
        <v>0.71452236036551031</v>
      </c>
      <c r="Y105" s="31">
        <f t="shared" si="25"/>
        <v>1.5907086358587359</v>
      </c>
      <c r="Z105" s="31">
        <f t="shared" si="26"/>
        <v>1.9505598740844399</v>
      </c>
    </row>
    <row r="106" spans="2:26" ht="13.95" customHeight="1" x14ac:dyDescent="0.3">
      <c r="B106" s="77">
        <v>43769</v>
      </c>
      <c r="C106" s="78">
        <v>10.964547760850619</v>
      </c>
      <c r="D106" s="78">
        <v>16.900192014258099</v>
      </c>
      <c r="E106" s="78">
        <v>21.85253098168544</v>
      </c>
      <c r="F106" s="78">
        <v>9.6576761187892064</v>
      </c>
      <c r="G106" s="78">
        <v>12.19821967064852</v>
      </c>
      <c r="H106" s="78">
        <v>21.083321679057011</v>
      </c>
      <c r="I106" s="78">
        <v>29.926557967702809</v>
      </c>
      <c r="J106" s="78">
        <v>8.8863594679479849</v>
      </c>
      <c r="K106" s="78">
        <v>10.994050975676871</v>
      </c>
      <c r="L106" s="78">
        <v>4.9341234477303821</v>
      </c>
      <c r="M106" s="78">
        <v>6.7836522810252076</v>
      </c>
      <c r="N106" s="78">
        <v>10.78906782583238</v>
      </c>
      <c r="O106" s="78">
        <v>13.0763158206</v>
      </c>
      <c r="P106" s="31">
        <f t="shared" si="16"/>
        <v>0.89886459310399414</v>
      </c>
      <c r="Q106" s="31">
        <f t="shared" si="17"/>
        <v>1.3854638193574684</v>
      </c>
      <c r="R106" s="31">
        <f t="shared" si="18"/>
        <v>1.7914524882895184</v>
      </c>
      <c r="S106" s="31">
        <f t="shared" si="19"/>
        <v>0.7917283324572032</v>
      </c>
      <c r="T106" s="31">
        <f t="shared" si="20"/>
        <v>1.7283933433161491</v>
      </c>
      <c r="U106" s="31">
        <f t="shared" si="21"/>
        <v>2.4533545694141252</v>
      </c>
      <c r="V106" s="31">
        <f t="shared" si="22"/>
        <v>1.3099668290493505</v>
      </c>
      <c r="W106" s="31">
        <f t="shared" si="23"/>
        <v>1.6206684128590607</v>
      </c>
      <c r="X106" s="31">
        <f t="shared" si="24"/>
        <v>0.72735500631891059</v>
      </c>
      <c r="Y106" s="31">
        <f t="shared" si="25"/>
        <v>1.5904511874836009</v>
      </c>
      <c r="Z106" s="31">
        <f t="shared" si="26"/>
        <v>1.9276217705285725</v>
      </c>
    </row>
    <row r="107" spans="2:26" ht="13.95" customHeight="1" x14ac:dyDescent="0.3">
      <c r="B107" s="77">
        <v>43799</v>
      </c>
      <c r="C107" s="78">
        <v>10.702412102430291</v>
      </c>
      <c r="D107" s="78">
        <v>17.447142406245561</v>
      </c>
      <c r="E107" s="78">
        <v>23.092029764453681</v>
      </c>
      <c r="F107" s="78">
        <v>9.4219437990440706</v>
      </c>
      <c r="G107" s="78">
        <v>12.132442211705969</v>
      </c>
      <c r="H107" s="78">
        <v>21.929223334183749</v>
      </c>
      <c r="I107" s="78">
        <v>36.548071230555742</v>
      </c>
      <c r="J107" s="78">
        <v>9.0488273523663185</v>
      </c>
      <c r="K107" s="78">
        <v>11.585275572682271</v>
      </c>
      <c r="L107" s="78">
        <v>4.9513042444638957</v>
      </c>
      <c r="M107" s="78">
        <v>6.904128471199658</v>
      </c>
      <c r="N107" s="78">
        <v>11.2932765823436</v>
      </c>
      <c r="O107" s="78">
        <v>14.533282572190711</v>
      </c>
      <c r="P107" s="31">
        <f t="shared" si="16"/>
        <v>0.88213171888048092</v>
      </c>
      <c r="Q107" s="31">
        <f t="shared" si="17"/>
        <v>1.4380569139996984</v>
      </c>
      <c r="R107" s="31">
        <f t="shared" si="18"/>
        <v>1.9033290545718298</v>
      </c>
      <c r="S107" s="31">
        <f t="shared" si="19"/>
        <v>0.77659086560110069</v>
      </c>
      <c r="T107" s="31">
        <f t="shared" si="20"/>
        <v>1.8074863206869736</v>
      </c>
      <c r="U107" s="31">
        <f t="shared" si="21"/>
        <v>3.0124249176552755</v>
      </c>
      <c r="V107" s="31">
        <f t="shared" si="22"/>
        <v>1.3106400598009149</v>
      </c>
      <c r="W107" s="31">
        <f t="shared" si="23"/>
        <v>1.6780214361609669</v>
      </c>
      <c r="X107" s="31">
        <f t="shared" si="24"/>
        <v>0.71715123279036541</v>
      </c>
      <c r="Y107" s="31">
        <f t="shared" si="25"/>
        <v>1.6357280472768037</v>
      </c>
      <c r="Z107" s="31">
        <f t="shared" si="26"/>
        <v>2.1050133456837914</v>
      </c>
    </row>
    <row r="108" spans="2:26" ht="13.95" customHeight="1" x14ac:dyDescent="0.3">
      <c r="B108" s="77">
        <v>43830</v>
      </c>
      <c r="C108" s="78">
        <v>11.201669369428849</v>
      </c>
      <c r="D108" s="78">
        <v>18.171057802683599</v>
      </c>
      <c r="E108" s="78">
        <v>25.38696545170103</v>
      </c>
      <c r="F108" s="78">
        <v>9.7170332932401653</v>
      </c>
      <c r="G108" s="78">
        <v>12.719557216538361</v>
      </c>
      <c r="H108" s="78">
        <v>24.42742374147084</v>
      </c>
      <c r="I108" s="78">
        <v>34.752974214106267</v>
      </c>
      <c r="J108" s="78">
        <v>9.6220432777978839</v>
      </c>
      <c r="K108" s="78">
        <v>12.456885518071211</v>
      </c>
      <c r="L108" s="78">
        <v>5.1205405940182231</v>
      </c>
      <c r="M108" s="78">
        <v>7.2622402256029259</v>
      </c>
      <c r="N108" s="78">
        <v>12.209222999938889</v>
      </c>
      <c r="O108" s="78">
        <v>14.778684294050249</v>
      </c>
      <c r="P108" s="31">
        <f t="shared" si="16"/>
        <v>0.88066504035722981</v>
      </c>
      <c r="Q108" s="31">
        <f t="shared" si="17"/>
        <v>1.4285920094024207</v>
      </c>
      <c r="R108" s="31">
        <f t="shared" si="18"/>
        <v>1.9959000945954404</v>
      </c>
      <c r="S108" s="31">
        <f t="shared" si="19"/>
        <v>0.76394430464967589</v>
      </c>
      <c r="T108" s="31">
        <f t="shared" si="20"/>
        <v>1.920461799543584</v>
      </c>
      <c r="U108" s="31">
        <f t="shared" si="21"/>
        <v>2.7322471704376139</v>
      </c>
      <c r="V108" s="31">
        <f t="shared" si="22"/>
        <v>1.3249414752042359</v>
      </c>
      <c r="W108" s="31">
        <f t="shared" si="23"/>
        <v>1.7152951611480209</v>
      </c>
      <c r="X108" s="31">
        <f t="shared" si="24"/>
        <v>0.70509105110098524</v>
      </c>
      <c r="Y108" s="31">
        <f t="shared" si="25"/>
        <v>1.6811923897663761</v>
      </c>
      <c r="Z108" s="31">
        <f t="shared" si="26"/>
        <v>2.035003502355679</v>
      </c>
    </row>
    <row r="109" spans="2:26" ht="13.95" customHeight="1" x14ac:dyDescent="0.3">
      <c r="B109" s="77">
        <v>43861</v>
      </c>
      <c r="C109" s="78">
        <v>10.679508973890799</v>
      </c>
      <c r="D109" s="78">
        <v>19.523382821763921</v>
      </c>
      <c r="E109" s="78">
        <v>24.506935542205941</v>
      </c>
      <c r="F109" s="78">
        <v>9.3205029923706615</v>
      </c>
      <c r="G109" s="78">
        <v>12.52904039662261</v>
      </c>
      <c r="H109" s="78">
        <v>22.989526488750609</v>
      </c>
      <c r="I109" s="78">
        <v>41.243523328142487</v>
      </c>
      <c r="J109" s="78">
        <v>9.9863278554773007</v>
      </c>
      <c r="K109" s="78">
        <v>13.06695037411458</v>
      </c>
      <c r="L109" s="78">
        <v>4.8670070377780252</v>
      </c>
      <c r="M109" s="78">
        <v>7.3559209527325784</v>
      </c>
      <c r="N109" s="78">
        <v>12.813461406743331</v>
      </c>
      <c r="O109" s="78">
        <v>15.484675677391049</v>
      </c>
      <c r="P109" s="31">
        <f t="shared" si="16"/>
        <v>0.85238044062573382</v>
      </c>
      <c r="Q109" s="31">
        <f t="shared" si="17"/>
        <v>1.5582504488553441</v>
      </c>
      <c r="R109" s="31">
        <f t="shared" si="18"/>
        <v>1.9560105775388952</v>
      </c>
      <c r="S109" s="31">
        <f t="shared" si="19"/>
        <v>0.74391195952110922</v>
      </c>
      <c r="T109" s="31">
        <f t="shared" si="20"/>
        <v>1.8348992230041639</v>
      </c>
      <c r="U109" s="31">
        <f t="shared" si="21"/>
        <v>3.2918341726522242</v>
      </c>
      <c r="V109" s="31">
        <f t="shared" si="22"/>
        <v>1.3575904254065669</v>
      </c>
      <c r="W109" s="31">
        <f t="shared" si="23"/>
        <v>1.7763853714687441</v>
      </c>
      <c r="X109" s="31">
        <f t="shared" si="24"/>
        <v>0.66164482585556184</v>
      </c>
      <c r="Y109" s="31">
        <f t="shared" si="25"/>
        <v>1.7419248370230767</v>
      </c>
      <c r="Z109" s="31">
        <f t="shared" si="26"/>
        <v>2.1050628163206131</v>
      </c>
    </row>
    <row r="110" spans="2:26" ht="13.95" customHeight="1" x14ac:dyDescent="0.3">
      <c r="B110" s="77">
        <v>43890</v>
      </c>
      <c r="C110" s="78">
        <v>10.02506255996545</v>
      </c>
      <c r="D110" s="78">
        <v>17.16540247122969</v>
      </c>
      <c r="E110" s="78">
        <v>24.734517931768309</v>
      </c>
      <c r="F110" s="78">
        <v>8.5531113927775646</v>
      </c>
      <c r="G110" s="78">
        <v>11.76287259435391</v>
      </c>
      <c r="H110" s="78">
        <v>23.861318074495099</v>
      </c>
      <c r="I110" s="78">
        <v>32.044378114734187</v>
      </c>
      <c r="J110" s="78">
        <v>9.0854576124733999</v>
      </c>
      <c r="K110" s="78">
        <v>12.47369409058803</v>
      </c>
      <c r="L110" s="78">
        <v>4.523952752186867</v>
      </c>
      <c r="M110" s="78">
        <v>6.8716002273576189</v>
      </c>
      <c r="N110" s="78">
        <v>12.220255205599431</v>
      </c>
      <c r="O110" s="78">
        <v>14.556996434793421</v>
      </c>
      <c r="P110" s="31">
        <f t="shared" si="16"/>
        <v>0.8522631253166344</v>
      </c>
      <c r="Q110" s="31">
        <f t="shared" si="17"/>
        <v>1.4592866099279995</v>
      </c>
      <c r="R110" s="31">
        <f t="shared" si="18"/>
        <v>2.1027616964618567</v>
      </c>
      <c r="S110" s="31">
        <f t="shared" si="19"/>
        <v>0.72712777632931203</v>
      </c>
      <c r="T110" s="31">
        <f t="shared" si="20"/>
        <v>2.0285281408172655</v>
      </c>
      <c r="U110" s="31">
        <f t="shared" si="21"/>
        <v>2.7241966498995533</v>
      </c>
      <c r="V110" s="31">
        <f t="shared" si="22"/>
        <v>1.3221749391505404</v>
      </c>
      <c r="W110" s="31">
        <f t="shared" si="23"/>
        <v>1.8152531692584539</v>
      </c>
      <c r="X110" s="31">
        <f t="shared" si="24"/>
        <v>0.65835505595564781</v>
      </c>
      <c r="Y110" s="31">
        <f t="shared" si="25"/>
        <v>1.7783710927983605</v>
      </c>
      <c r="Z110" s="31">
        <f t="shared" si="26"/>
        <v>2.1184288889272471</v>
      </c>
    </row>
    <row r="111" spans="2:26" ht="13.95" customHeight="1" x14ac:dyDescent="0.3">
      <c r="B111" s="77">
        <v>43921</v>
      </c>
      <c r="C111" s="78">
        <v>6.9137092736039438</v>
      </c>
      <c r="D111" s="78">
        <v>13.665240243381209</v>
      </c>
      <c r="E111" s="78">
        <v>18.28846072174078</v>
      </c>
      <c r="F111" s="78">
        <v>7.7587553973901784</v>
      </c>
      <c r="G111" s="78">
        <v>9.1607055647832318</v>
      </c>
      <c r="H111" s="78">
        <v>17.06989786316246</v>
      </c>
      <c r="I111" s="78">
        <v>36.253</v>
      </c>
      <c r="J111" s="78">
        <v>7.6957580164207764</v>
      </c>
      <c r="K111" s="78">
        <v>9.9458220863638953</v>
      </c>
      <c r="L111" s="78">
        <v>4.1976648940501873</v>
      </c>
      <c r="M111" s="78">
        <v>6.0052029374656763</v>
      </c>
      <c r="N111" s="78">
        <v>9.4532462909365673</v>
      </c>
      <c r="O111" s="78">
        <v>14.39181979570396</v>
      </c>
      <c r="P111" s="31">
        <f t="shared" si="16"/>
        <v>0.75471362164313183</v>
      </c>
      <c r="Q111" s="31">
        <f t="shared" si="17"/>
        <v>1.4917235519406815</v>
      </c>
      <c r="R111" s="31">
        <f t="shared" si="18"/>
        <v>1.9964030709651497</v>
      </c>
      <c r="S111" s="31">
        <f t="shared" si="19"/>
        <v>0.84696045981626011</v>
      </c>
      <c r="T111" s="31">
        <f t="shared" si="20"/>
        <v>1.8633824373511978</v>
      </c>
      <c r="U111" s="31">
        <f t="shared" si="21"/>
        <v>3.9574462625857629</v>
      </c>
      <c r="V111" s="31">
        <f t="shared" si="22"/>
        <v>1.2815150622817337</v>
      </c>
      <c r="W111" s="31">
        <f t="shared" si="23"/>
        <v>1.6562008295028985</v>
      </c>
      <c r="X111" s="31">
        <f t="shared" si="24"/>
        <v>0.6990046694111709</v>
      </c>
      <c r="Y111" s="31">
        <f t="shared" si="25"/>
        <v>1.5741759919484151</v>
      </c>
      <c r="Z111" s="31">
        <f t="shared" si="26"/>
        <v>2.396558441999566</v>
      </c>
    </row>
    <row r="112" spans="2:26" ht="13.95" customHeight="1" x14ac:dyDescent="0.3">
      <c r="B112" s="77">
        <v>43951</v>
      </c>
      <c r="C112" s="78">
        <v>7.4178037498161267</v>
      </c>
      <c r="D112" s="78">
        <v>14.429199891253591</v>
      </c>
      <c r="E112" s="78">
        <v>22.296547712677029</v>
      </c>
      <c r="F112" s="78">
        <v>10.089215369300289</v>
      </c>
      <c r="G112" s="78">
        <v>10.51823077340728</v>
      </c>
      <c r="H112" s="78">
        <v>20.666248372156101</v>
      </c>
      <c r="I112" s="78">
        <v>45.045999999999999</v>
      </c>
      <c r="J112" s="78">
        <v>8.0101020221051211</v>
      </c>
      <c r="K112" s="78">
        <v>11.63845118080331</v>
      </c>
      <c r="L112" s="78">
        <v>4.570238260374806</v>
      </c>
      <c r="M112" s="78">
        <v>6.4304321852319957</v>
      </c>
      <c r="N112" s="78">
        <v>10.49689513309367</v>
      </c>
      <c r="O112" s="78">
        <v>31.823158232836882</v>
      </c>
      <c r="P112" s="31">
        <f t="shared" si="16"/>
        <v>0.70523302916781316</v>
      </c>
      <c r="Q112" s="31">
        <f t="shared" si="17"/>
        <v>1.3718276582915654</v>
      </c>
      <c r="R112" s="31">
        <f t="shared" si="18"/>
        <v>2.1198002014795381</v>
      </c>
      <c r="S112" s="31">
        <f t="shared" si="19"/>
        <v>0.95921220846459754</v>
      </c>
      <c r="T112" s="31">
        <f t="shared" si="20"/>
        <v>1.9648027141984323</v>
      </c>
      <c r="U112" s="31">
        <f t="shared" si="21"/>
        <v>4.2826594101631201</v>
      </c>
      <c r="V112" s="31">
        <f t="shared" si="22"/>
        <v>1.2456553138840285</v>
      </c>
      <c r="W112" s="31">
        <f t="shared" si="23"/>
        <v>1.8099018612671087</v>
      </c>
      <c r="X112" s="31">
        <f t="shared" si="24"/>
        <v>0.71072023290607522</v>
      </c>
      <c r="Y112" s="31">
        <f t="shared" si="25"/>
        <v>1.6323778605737624</v>
      </c>
      <c r="Z112" s="31">
        <f t="shared" si="26"/>
        <v>4.9488366125563568</v>
      </c>
    </row>
    <row r="113" spans="2:26" ht="13.95" customHeight="1" x14ac:dyDescent="0.3">
      <c r="B113" s="77">
        <v>43982</v>
      </c>
      <c r="C113" s="78">
        <v>8.1217689701444957</v>
      </c>
      <c r="D113" s="78">
        <v>15.887952763817321</v>
      </c>
      <c r="E113" s="78">
        <v>22.319390398515321</v>
      </c>
      <c r="F113" s="78">
        <v>12.455488261808</v>
      </c>
      <c r="G113" s="78">
        <v>11.85858646090311</v>
      </c>
      <c r="H113" s="78">
        <v>20.51998651387364</v>
      </c>
      <c r="I113" s="78">
        <v>47.939</v>
      </c>
      <c r="J113" s="78">
        <v>8.3422354793056197</v>
      </c>
      <c r="K113" s="78">
        <v>12.78852780173222</v>
      </c>
      <c r="L113" s="78">
        <v>4.8443884564374233</v>
      </c>
      <c r="M113" s="78">
        <v>6.7518015848645954</v>
      </c>
      <c r="N113" s="78">
        <v>11.689832173038971</v>
      </c>
      <c r="O113" s="78">
        <v>31.171721216586889</v>
      </c>
      <c r="P113" s="31">
        <f t="shared" si="16"/>
        <v>0.6848850827981372</v>
      </c>
      <c r="Q113" s="31">
        <f t="shared" si="17"/>
        <v>1.3397847050488467</v>
      </c>
      <c r="R113" s="31">
        <f t="shared" si="18"/>
        <v>1.8821290777025335</v>
      </c>
      <c r="S113" s="31">
        <f t="shared" si="19"/>
        <v>1.0503349874686019</v>
      </c>
      <c r="T113" s="31">
        <f t="shared" si="20"/>
        <v>1.7303905976927798</v>
      </c>
      <c r="U113" s="31">
        <f t="shared" si="21"/>
        <v>4.0425560127297944</v>
      </c>
      <c r="V113" s="31">
        <f t="shared" si="22"/>
        <v>1.2355569657150878</v>
      </c>
      <c r="W113" s="31">
        <f t="shared" si="23"/>
        <v>1.8940911756648857</v>
      </c>
      <c r="X113" s="31">
        <f t="shared" si="24"/>
        <v>0.71749567808642523</v>
      </c>
      <c r="Y113" s="31">
        <f t="shared" si="25"/>
        <v>1.7313648847803642</v>
      </c>
      <c r="Z113" s="31">
        <f t="shared" si="26"/>
        <v>4.6168005420159313</v>
      </c>
    </row>
    <row r="114" spans="2:26" ht="13.95" customHeight="1" x14ac:dyDescent="0.3">
      <c r="B114" s="77">
        <v>44012</v>
      </c>
      <c r="C114" s="78">
        <v>10.04262248457184</v>
      </c>
      <c r="D114" s="78">
        <v>16.515679054848128</v>
      </c>
      <c r="E114" s="78">
        <v>28.255359903835711</v>
      </c>
      <c r="F114" s="78">
        <v>12.08175499393497</v>
      </c>
      <c r="G114" s="78">
        <v>13.27392136223594</v>
      </c>
      <c r="H114" s="78">
        <v>26.124764703759531</v>
      </c>
      <c r="I114" s="78">
        <v>56.412999999999997</v>
      </c>
      <c r="J114" s="78">
        <v>8.7804275413822523</v>
      </c>
      <c r="K114" s="78">
        <v>13.44556810427034</v>
      </c>
      <c r="L114" s="78">
        <v>4.8586509212298594</v>
      </c>
      <c r="M114" s="78">
        <v>6.9046583651982267</v>
      </c>
      <c r="N114" s="78">
        <v>12.10402839801568</v>
      </c>
      <c r="O114" s="78">
        <v>33.910984114053193</v>
      </c>
      <c r="P114" s="31">
        <f t="shared" si="16"/>
        <v>0.75656787549931659</v>
      </c>
      <c r="Q114" s="31">
        <f t="shared" si="17"/>
        <v>1.2442200465218158</v>
      </c>
      <c r="R114" s="31">
        <f t="shared" si="18"/>
        <v>2.1286369817001995</v>
      </c>
      <c r="S114" s="31">
        <f t="shared" si="19"/>
        <v>0.91018732627928156</v>
      </c>
      <c r="T114" s="31">
        <f t="shared" si="20"/>
        <v>1.9681271261771975</v>
      </c>
      <c r="U114" s="31">
        <f t="shared" si="21"/>
        <v>4.2499121744455959</v>
      </c>
      <c r="V114" s="31">
        <f t="shared" si="22"/>
        <v>1.2716671958222474</v>
      </c>
      <c r="W114" s="31">
        <f t="shared" si="23"/>
        <v>1.9473183745108189</v>
      </c>
      <c r="X114" s="31">
        <f t="shared" si="24"/>
        <v>0.70367723705477958</v>
      </c>
      <c r="Y114" s="31">
        <f t="shared" si="25"/>
        <v>1.7530235035268373</v>
      </c>
      <c r="Z114" s="31">
        <f t="shared" si="26"/>
        <v>4.9113196222677464</v>
      </c>
    </row>
    <row r="115" spans="2:26" ht="13.95" customHeight="1" x14ac:dyDescent="0.3">
      <c r="B115" s="77">
        <v>44043</v>
      </c>
      <c r="C115" s="78">
        <v>11.193122478687631</v>
      </c>
      <c r="D115" s="78">
        <v>11.588280522841821</v>
      </c>
      <c r="E115" s="78">
        <v>32.514121279789883</v>
      </c>
      <c r="F115" s="78">
        <v>8.5383737052212965</v>
      </c>
      <c r="G115" s="78">
        <v>12.018511384691219</v>
      </c>
      <c r="H115" s="78">
        <v>29.519850441840131</v>
      </c>
      <c r="I115" s="78">
        <v>68.069000000000003</v>
      </c>
      <c r="J115" s="78">
        <v>9.0357216021345081</v>
      </c>
      <c r="K115" s="78">
        <v>14.792944542013579</v>
      </c>
      <c r="L115" s="78">
        <v>5.0473920369241068</v>
      </c>
      <c r="M115" s="78">
        <v>7.2574775633918849</v>
      </c>
      <c r="N115" s="78">
        <v>13.08745516715522</v>
      </c>
      <c r="O115" s="78">
        <v>39.030295452199738</v>
      </c>
      <c r="P115" s="31">
        <f t="shared" si="16"/>
        <v>0.93132353254206324</v>
      </c>
      <c r="Q115" s="31">
        <f t="shared" si="17"/>
        <v>0.96420264972270919</v>
      </c>
      <c r="R115" s="31">
        <f t="shared" si="18"/>
        <v>2.7053368124446169</v>
      </c>
      <c r="S115" s="31">
        <f t="shared" si="19"/>
        <v>0.71043521380669428</v>
      </c>
      <c r="T115" s="31">
        <f t="shared" si="20"/>
        <v>2.4561985671071991</v>
      </c>
      <c r="U115" s="31">
        <f t="shared" si="21"/>
        <v>5.6636797870578244</v>
      </c>
      <c r="V115" s="31">
        <f t="shared" si="22"/>
        <v>1.2450223267258074</v>
      </c>
      <c r="W115" s="31">
        <f t="shared" si="23"/>
        <v>2.0383038614727575</v>
      </c>
      <c r="X115" s="31">
        <f t="shared" si="24"/>
        <v>0.69547470079468443</v>
      </c>
      <c r="Y115" s="31">
        <f t="shared" si="25"/>
        <v>1.8033063213548004</v>
      </c>
      <c r="Z115" s="31">
        <f t="shared" si="26"/>
        <v>5.3779422824640983</v>
      </c>
    </row>
    <row r="116" spans="2:26" ht="13.95" customHeight="1" x14ac:dyDescent="0.3">
      <c r="B116" s="77">
        <v>44074</v>
      </c>
      <c r="C116" s="78">
        <v>10.196260157328149</v>
      </c>
      <c r="D116" s="78">
        <v>15.6398252722504</v>
      </c>
      <c r="E116" s="78">
        <v>30.030411251713829</v>
      </c>
      <c r="F116" s="78">
        <v>11.992623739077731</v>
      </c>
      <c r="G116" s="78">
        <v>13.24179980495485</v>
      </c>
      <c r="H116" s="78">
        <v>27.082886303280929</v>
      </c>
      <c r="I116" s="78">
        <v>64.486000000000004</v>
      </c>
      <c r="J116" s="78">
        <v>8.3051325279740951</v>
      </c>
      <c r="K116" s="78">
        <v>14.43196031553034</v>
      </c>
      <c r="L116" s="78">
        <v>4.709122235387861</v>
      </c>
      <c r="M116" s="78">
        <v>6.7031670191442903</v>
      </c>
      <c r="N116" s="78">
        <v>12.7623321786623</v>
      </c>
      <c r="O116" s="78">
        <v>38.47362898973919</v>
      </c>
      <c r="P116" s="31">
        <f t="shared" si="16"/>
        <v>0.77000561158709613</v>
      </c>
      <c r="Q116" s="31">
        <f t="shared" si="17"/>
        <v>1.1810951307690252</v>
      </c>
      <c r="R116" s="31">
        <f t="shared" si="18"/>
        <v>2.2678496650037689</v>
      </c>
      <c r="S116" s="31">
        <f t="shared" si="19"/>
        <v>0.90566417826301082</v>
      </c>
      <c r="T116" s="31">
        <f t="shared" si="20"/>
        <v>2.0452571932968651</v>
      </c>
      <c r="U116" s="31">
        <f t="shared" si="21"/>
        <v>4.8698818098632239</v>
      </c>
      <c r="V116" s="31">
        <f t="shared" si="22"/>
        <v>1.2389863633495302</v>
      </c>
      <c r="W116" s="31">
        <f t="shared" si="23"/>
        <v>2.1530062244178856</v>
      </c>
      <c r="X116" s="31">
        <f t="shared" si="24"/>
        <v>0.7025219902679698</v>
      </c>
      <c r="Y116" s="31">
        <f t="shared" si="25"/>
        <v>1.9039257327488623</v>
      </c>
      <c r="Z116" s="31">
        <f t="shared" si="26"/>
        <v>5.7396196275369906</v>
      </c>
    </row>
    <row r="117" spans="2:26" ht="13.95" customHeight="1" x14ac:dyDescent="0.3">
      <c r="B117" s="77">
        <v>44104</v>
      </c>
      <c r="C117" s="78">
        <v>9.1042927560904587</v>
      </c>
      <c r="D117" s="78">
        <v>14.99055061106916</v>
      </c>
      <c r="E117" s="78">
        <v>27.715804628011281</v>
      </c>
      <c r="F117" s="78">
        <v>9.3870159173823549</v>
      </c>
      <c r="G117" s="78">
        <v>11.54824216345185</v>
      </c>
      <c r="H117" s="78">
        <v>25.043610573698931</v>
      </c>
      <c r="I117" s="78">
        <v>61.289000000000001</v>
      </c>
      <c r="J117" s="78">
        <v>8.2315509082306342</v>
      </c>
      <c r="K117" s="78">
        <v>14.28266961652602</v>
      </c>
      <c r="L117" s="78">
        <v>4.1836747488817583</v>
      </c>
      <c r="M117" s="78">
        <v>6.2423142762828974</v>
      </c>
      <c r="N117" s="78">
        <v>12.77709128380317</v>
      </c>
      <c r="O117" s="78">
        <v>37.400332311340208</v>
      </c>
      <c r="P117" s="31">
        <f t="shared" si="16"/>
        <v>0.78837044004012491</v>
      </c>
      <c r="Q117" s="31">
        <f t="shared" si="17"/>
        <v>1.2980807294214534</v>
      </c>
      <c r="R117" s="31">
        <f t="shared" si="18"/>
        <v>2.4000020293761173</v>
      </c>
      <c r="S117" s="31">
        <f t="shared" si="19"/>
        <v>0.81285236181577536</v>
      </c>
      <c r="T117" s="31">
        <f t="shared" si="20"/>
        <v>2.1686080200982918</v>
      </c>
      <c r="U117" s="31">
        <f t="shared" si="21"/>
        <v>5.3072146507257081</v>
      </c>
      <c r="V117" s="31">
        <f t="shared" si="22"/>
        <v>1.3186697343172322</v>
      </c>
      <c r="W117" s="31">
        <f t="shared" si="23"/>
        <v>2.2880407785285208</v>
      </c>
      <c r="X117" s="31">
        <f t="shared" si="24"/>
        <v>0.67021213026349025</v>
      </c>
      <c r="Y117" s="31">
        <f t="shared" si="25"/>
        <v>2.0468516512134869</v>
      </c>
      <c r="Z117" s="31">
        <f t="shared" si="26"/>
        <v>5.991420914746211</v>
      </c>
    </row>
    <row r="118" spans="2:26" ht="13.95" customHeight="1" x14ac:dyDescent="0.3">
      <c r="B118" s="77">
        <v>44135</v>
      </c>
      <c r="C118" s="78">
        <v>8.8769657741195047</v>
      </c>
      <c r="D118" s="78">
        <v>14.6224482536089</v>
      </c>
      <c r="E118" s="78">
        <v>26.563027671879031</v>
      </c>
      <c r="F118" s="78">
        <v>7.7313117765026744</v>
      </c>
      <c r="G118" s="78">
        <v>10.438469123136789</v>
      </c>
      <c r="H118" s="78">
        <v>23.374276211004389</v>
      </c>
      <c r="I118" s="78">
        <v>62.646000000000001</v>
      </c>
      <c r="J118" s="78">
        <v>7.9045860514797841</v>
      </c>
      <c r="K118" s="78">
        <v>13.88400670268577</v>
      </c>
      <c r="L118" s="78">
        <v>3.907540575246907</v>
      </c>
      <c r="M118" s="78">
        <v>5.8490442853474818</v>
      </c>
      <c r="N118" s="78">
        <v>12.09538889703181</v>
      </c>
      <c r="O118" s="78">
        <v>38.729728680147403</v>
      </c>
      <c r="P118" s="31">
        <f t="shared" si="16"/>
        <v>0.85040877827992767</v>
      </c>
      <c r="Q118" s="31">
        <f t="shared" si="17"/>
        <v>1.4008230595038453</v>
      </c>
      <c r="R118" s="31">
        <f t="shared" si="18"/>
        <v>2.5447244570568568</v>
      </c>
      <c r="S118" s="31">
        <f t="shared" si="19"/>
        <v>0.74065571160873378</v>
      </c>
      <c r="T118" s="31">
        <f t="shared" si="20"/>
        <v>2.2392436989822082</v>
      </c>
      <c r="U118" s="31">
        <f t="shared" si="21"/>
        <v>6.0014547402497564</v>
      </c>
      <c r="V118" s="31">
        <f t="shared" si="22"/>
        <v>1.3514320743444646</v>
      </c>
      <c r="W118" s="31">
        <f t="shared" si="23"/>
        <v>2.373722274161401</v>
      </c>
      <c r="X118" s="31">
        <f t="shared" si="24"/>
        <v>0.66806479565144317</v>
      </c>
      <c r="Y118" s="31">
        <f t="shared" si="25"/>
        <v>2.0679256827191632</v>
      </c>
      <c r="Z118" s="31">
        <f t="shared" si="26"/>
        <v>6.6215482035534867</v>
      </c>
    </row>
    <row r="119" spans="2:26" ht="13.95" customHeight="1" x14ac:dyDescent="0.3">
      <c r="B119" s="77">
        <v>44165</v>
      </c>
      <c r="C119" s="78">
        <v>9.9962491205973958</v>
      </c>
      <c r="D119" s="78">
        <v>15.116687577262351</v>
      </c>
      <c r="E119" s="78">
        <v>26.81548476111729</v>
      </c>
      <c r="F119" s="78">
        <v>8.5270609405116637</v>
      </c>
      <c r="G119" s="78">
        <v>11.154545919875851</v>
      </c>
      <c r="H119" s="78">
        <v>23.97978291348474</v>
      </c>
      <c r="I119" s="78">
        <v>59.671999999999997</v>
      </c>
      <c r="J119" s="78">
        <v>8.5313233953702614</v>
      </c>
      <c r="K119" s="78">
        <v>14.872740598825599</v>
      </c>
      <c r="L119" s="78">
        <v>4.4948982603814649</v>
      </c>
      <c r="M119" s="78">
        <v>6.4081616715585703</v>
      </c>
      <c r="N119" s="78">
        <v>13.34505640628776</v>
      </c>
      <c r="O119" s="78">
        <v>33.50859091932417</v>
      </c>
      <c r="P119" s="31">
        <f t="shared" si="16"/>
        <v>0.89615921548052158</v>
      </c>
      <c r="Q119" s="31">
        <f t="shared" si="17"/>
        <v>1.3552042087456482</v>
      </c>
      <c r="R119" s="31">
        <f t="shared" si="18"/>
        <v>2.4039960885665299</v>
      </c>
      <c r="S119" s="31">
        <f t="shared" si="19"/>
        <v>0.76444715919073192</v>
      </c>
      <c r="T119" s="31">
        <f t="shared" si="20"/>
        <v>2.1497766996284535</v>
      </c>
      <c r="U119" s="31">
        <f t="shared" si="21"/>
        <v>5.3495678289936288</v>
      </c>
      <c r="V119" s="31">
        <f t="shared" si="22"/>
        <v>1.3313214979008641</v>
      </c>
      <c r="W119" s="31">
        <f t="shared" si="23"/>
        <v>2.3209059572943489</v>
      </c>
      <c r="X119" s="31">
        <f t="shared" si="24"/>
        <v>0.70143334247187172</v>
      </c>
      <c r="Y119" s="31">
        <f t="shared" si="25"/>
        <v>2.0825093201873015</v>
      </c>
      <c r="Z119" s="31">
        <f t="shared" si="26"/>
        <v>5.2290489280327925</v>
      </c>
    </row>
    <row r="120" spans="2:26" ht="13.95" customHeight="1" x14ac:dyDescent="0.3">
      <c r="B120" s="77">
        <v>44196</v>
      </c>
      <c r="C120" s="78">
        <v>10.922796089331721</v>
      </c>
      <c r="D120" s="78">
        <v>15.749331668009161</v>
      </c>
      <c r="E120" s="78">
        <v>26.81487200865033</v>
      </c>
      <c r="F120" s="78">
        <v>8.2123175762607392</v>
      </c>
      <c r="G120" s="78">
        <v>11.21262539873308</v>
      </c>
      <c r="H120" s="78">
        <v>23.996442092453741</v>
      </c>
      <c r="I120" s="78">
        <v>59.115000000000002</v>
      </c>
      <c r="J120" s="78">
        <v>8.8822395017086286</v>
      </c>
      <c r="K120" s="78">
        <v>14.597676535585819</v>
      </c>
      <c r="L120" s="78">
        <v>4.8159953273467533</v>
      </c>
      <c r="M120" s="78">
        <v>6.6701351739164592</v>
      </c>
      <c r="N120" s="78">
        <v>13.10231164435611</v>
      </c>
      <c r="O120" s="78">
        <v>32.588060804633663</v>
      </c>
      <c r="P120" s="31">
        <f t="shared" si="16"/>
        <v>0.97415152124549642</v>
      </c>
      <c r="Q120" s="31">
        <f t="shared" si="17"/>
        <v>1.404606959382473</v>
      </c>
      <c r="R120" s="31">
        <f t="shared" si="18"/>
        <v>2.3914891521909003</v>
      </c>
      <c r="S120" s="31">
        <f t="shared" si="19"/>
        <v>0.73241701066626674</v>
      </c>
      <c r="T120" s="31">
        <f t="shared" si="20"/>
        <v>2.1401269764318633</v>
      </c>
      <c r="U120" s="31">
        <f t="shared" si="21"/>
        <v>5.2721818394717292</v>
      </c>
      <c r="V120" s="31">
        <f t="shared" si="22"/>
        <v>1.3316431031926603</v>
      </c>
      <c r="W120" s="31">
        <f t="shared" si="23"/>
        <v>2.1885128494351935</v>
      </c>
      <c r="X120" s="31">
        <f t="shared" si="24"/>
        <v>0.72202364746365055</v>
      </c>
      <c r="Y120" s="31">
        <f t="shared" si="25"/>
        <v>1.96432475545513</v>
      </c>
      <c r="Z120" s="31">
        <f t="shared" si="26"/>
        <v>4.8856672248666211</v>
      </c>
    </row>
    <row r="121" spans="2:26" ht="13.95" customHeight="1" x14ac:dyDescent="0.3">
      <c r="B121" s="77">
        <v>44227</v>
      </c>
      <c r="C121" s="78">
        <v>10.096162317046479</v>
      </c>
      <c r="D121" s="78">
        <v>15.366356771530439</v>
      </c>
      <c r="E121" s="78">
        <v>25.925020237719679</v>
      </c>
      <c r="F121" s="78">
        <v>7.5642084163331091</v>
      </c>
      <c r="G121" s="78">
        <v>10.67804504999744</v>
      </c>
      <c r="H121" s="78">
        <v>22.404178890054151</v>
      </c>
      <c r="I121" s="78">
        <v>62.796999999999997</v>
      </c>
      <c r="J121" s="78">
        <v>9.3153971662268553</v>
      </c>
      <c r="K121" s="78">
        <v>14.12825143737841</v>
      </c>
      <c r="L121" s="78">
        <v>4.1910648854324863</v>
      </c>
      <c r="M121" s="78">
        <v>6.2746830092831107</v>
      </c>
      <c r="N121" s="78">
        <v>12.29800869144546</v>
      </c>
      <c r="O121" s="78">
        <v>34.756394805494651</v>
      </c>
      <c r="P121" s="31">
        <f t="shared" si="16"/>
        <v>0.94550662314811085</v>
      </c>
      <c r="Q121" s="31">
        <f t="shared" si="17"/>
        <v>1.4390608673761049</v>
      </c>
      <c r="R121" s="31">
        <f t="shared" si="18"/>
        <v>2.4278807699660243</v>
      </c>
      <c r="S121" s="31">
        <f t="shared" si="19"/>
        <v>0.70838888400596534</v>
      </c>
      <c r="T121" s="31">
        <f t="shared" si="20"/>
        <v>2.0981536212997645</v>
      </c>
      <c r="U121" s="31">
        <f t="shared" si="21"/>
        <v>5.8809454077003593</v>
      </c>
      <c r="V121" s="31">
        <f t="shared" si="22"/>
        <v>1.4846004415593816</v>
      </c>
      <c r="W121" s="31">
        <f t="shared" si="23"/>
        <v>2.2516279175340488</v>
      </c>
      <c r="X121" s="31">
        <f t="shared" si="24"/>
        <v>0.66793252810253434</v>
      </c>
      <c r="Y121" s="31">
        <f t="shared" si="25"/>
        <v>1.9599410318021022</v>
      </c>
      <c r="Z121" s="31">
        <f t="shared" si="26"/>
        <v>5.5391475161492831</v>
      </c>
    </row>
    <row r="122" spans="2:26" ht="13.95" customHeight="1" x14ac:dyDescent="0.3">
      <c r="B122" s="77">
        <v>44255</v>
      </c>
      <c r="C122" s="78">
        <v>9.0577670389038474</v>
      </c>
      <c r="D122" s="78">
        <v>14.46670776509669</v>
      </c>
      <c r="E122" s="78">
        <v>24.06007821175529</v>
      </c>
      <c r="F122" s="78">
        <v>6.8540739536957274</v>
      </c>
      <c r="G122" s="78">
        <v>9.6495797639253436</v>
      </c>
      <c r="H122" s="78">
        <v>20.822591589339549</v>
      </c>
      <c r="I122" s="78">
        <v>58.915999999999997</v>
      </c>
      <c r="J122" s="78">
        <v>8.825060955311594</v>
      </c>
      <c r="K122" s="78">
        <v>13.396058595383749</v>
      </c>
      <c r="L122" s="78">
        <v>4.0572386481937937</v>
      </c>
      <c r="M122" s="78">
        <v>5.9563329203564006</v>
      </c>
      <c r="N122" s="78">
        <v>11.63866170481214</v>
      </c>
      <c r="O122" s="78">
        <v>31.24987106313419</v>
      </c>
      <c r="P122" s="31">
        <f t="shared" si="16"/>
        <v>0.93866958567108072</v>
      </c>
      <c r="Q122" s="31">
        <f t="shared" si="17"/>
        <v>1.4992059881384712</v>
      </c>
      <c r="R122" s="31">
        <f t="shared" si="18"/>
        <v>2.493380934753568</v>
      </c>
      <c r="S122" s="31">
        <f t="shared" si="19"/>
        <v>0.71029766283910845</v>
      </c>
      <c r="T122" s="31">
        <f t="shared" si="20"/>
        <v>2.1578754825349145</v>
      </c>
      <c r="U122" s="31">
        <f t="shared" si="21"/>
        <v>6.1055508572772927</v>
      </c>
      <c r="V122" s="31">
        <f t="shared" si="22"/>
        <v>1.4816265432630555</v>
      </c>
      <c r="W122" s="31">
        <f t="shared" si="23"/>
        <v>2.2490446344262081</v>
      </c>
      <c r="X122" s="31">
        <f t="shared" si="24"/>
        <v>0.68116384736114222</v>
      </c>
      <c r="Y122" s="31">
        <f t="shared" si="25"/>
        <v>1.9539978474063759</v>
      </c>
      <c r="Z122" s="31">
        <f t="shared" si="26"/>
        <v>5.2464950299091635</v>
      </c>
    </row>
    <row r="123" spans="2:26" ht="13.95" customHeight="1" x14ac:dyDescent="0.3">
      <c r="B123" s="77">
        <v>44286</v>
      </c>
      <c r="C123" s="78">
        <v>9.6082808702155482</v>
      </c>
      <c r="D123" s="78">
        <v>14.630923904859451</v>
      </c>
      <c r="E123" s="78">
        <v>24.761181135485199</v>
      </c>
      <c r="F123" s="78">
        <v>6.3669208674273721</v>
      </c>
      <c r="G123" s="78">
        <v>9.4480487946947722</v>
      </c>
      <c r="H123" s="78">
        <v>21.820323574882611</v>
      </c>
      <c r="I123" s="78">
        <v>54.423999999999999</v>
      </c>
      <c r="J123" s="78">
        <v>8.9084026068847031</v>
      </c>
      <c r="K123" s="78">
        <v>13.418460297988871</v>
      </c>
      <c r="L123" s="78">
        <v>3.7441407720389841</v>
      </c>
      <c r="M123" s="78">
        <v>5.6127644795406004</v>
      </c>
      <c r="N123" s="78">
        <v>11.8460813551127</v>
      </c>
      <c r="O123" s="78">
        <v>28.133283680718691</v>
      </c>
      <c r="P123" s="31">
        <f t="shared" si="16"/>
        <v>1.0169592768837887</v>
      </c>
      <c r="Q123" s="31">
        <f t="shared" si="17"/>
        <v>1.5485656586654108</v>
      </c>
      <c r="R123" s="31">
        <f t="shared" si="18"/>
        <v>2.6207719364647004</v>
      </c>
      <c r="S123" s="31">
        <f t="shared" si="19"/>
        <v>0.67388738201717358</v>
      </c>
      <c r="T123" s="31">
        <f t="shared" si="20"/>
        <v>2.3095058089809046</v>
      </c>
      <c r="U123" s="31">
        <f t="shared" si="21"/>
        <v>5.7603428160277845</v>
      </c>
      <c r="V123" s="31">
        <f t="shared" si="22"/>
        <v>1.587168433551277</v>
      </c>
      <c r="W123" s="31">
        <f t="shared" si="23"/>
        <v>2.3907043217119202</v>
      </c>
      <c r="X123" s="31">
        <f t="shared" si="24"/>
        <v>0.66707605239574186</v>
      </c>
      <c r="Y123" s="31">
        <f t="shared" si="25"/>
        <v>2.1105609184731535</v>
      </c>
      <c r="Z123" s="31">
        <f t="shared" si="26"/>
        <v>5.0123755919687856</v>
      </c>
    </row>
    <row r="124" spans="2:26" ht="13.95" customHeight="1" x14ac:dyDescent="0.3">
      <c r="B124" s="77">
        <v>44316</v>
      </c>
      <c r="C124" s="78">
        <v>9.3441429742199862</v>
      </c>
      <c r="D124" s="78">
        <v>14.571910258609069</v>
      </c>
      <c r="E124" s="78">
        <v>23.471234931497762</v>
      </c>
      <c r="F124" s="78">
        <v>5.9532568489479996</v>
      </c>
      <c r="G124" s="78">
        <v>8.9242020903262933</v>
      </c>
      <c r="H124" s="78">
        <v>21.040115698055729</v>
      </c>
      <c r="I124" s="78">
        <v>46.889999999999993</v>
      </c>
      <c r="J124" s="78">
        <v>8.8874780472086812</v>
      </c>
      <c r="K124" s="78">
        <v>13.28146475122051</v>
      </c>
      <c r="L124" s="78">
        <v>3.6304746293456258</v>
      </c>
      <c r="M124" s="78">
        <v>5.4195599910753556</v>
      </c>
      <c r="N124" s="78">
        <v>11.908940861867951</v>
      </c>
      <c r="O124" s="78">
        <v>25.321479152073309</v>
      </c>
      <c r="P124" s="31">
        <f t="shared" si="16"/>
        <v>1.0470564067961776</v>
      </c>
      <c r="Q124" s="31">
        <f t="shared" si="17"/>
        <v>1.6328530115207509</v>
      </c>
      <c r="R124" s="31">
        <f t="shared" si="18"/>
        <v>2.6300653765943114</v>
      </c>
      <c r="S124" s="31">
        <f t="shared" si="19"/>
        <v>0.66709121876579247</v>
      </c>
      <c r="T124" s="31">
        <f t="shared" si="20"/>
        <v>2.357646710047379</v>
      </c>
      <c r="U124" s="31">
        <f t="shared" si="21"/>
        <v>5.2542512513054893</v>
      </c>
      <c r="V124" s="31">
        <f t="shared" si="22"/>
        <v>1.6398892275100025</v>
      </c>
      <c r="W124" s="31">
        <f t="shared" si="23"/>
        <v>2.4506537012399017</v>
      </c>
      <c r="X124" s="31">
        <f t="shared" si="24"/>
        <v>0.66988365020852236</v>
      </c>
      <c r="Y124" s="31">
        <f t="shared" si="25"/>
        <v>2.1973999515604521</v>
      </c>
      <c r="Z124" s="31">
        <f t="shared" si="26"/>
        <v>4.6722389259960915</v>
      </c>
    </row>
    <row r="125" spans="2:26" ht="13.95" customHeight="1" x14ac:dyDescent="0.3">
      <c r="B125" s="77">
        <v>44347</v>
      </c>
      <c r="C125" s="78">
        <v>9.9727902022386221</v>
      </c>
      <c r="D125" s="78">
        <v>15.33616260815328</v>
      </c>
      <c r="E125" s="78">
        <v>24.995293803909821</v>
      </c>
      <c r="F125" s="78">
        <v>6.2588784237154842</v>
      </c>
      <c r="G125" s="78">
        <v>9.4801204425940728</v>
      </c>
      <c r="H125" s="78">
        <v>22.878347714178151</v>
      </c>
      <c r="I125" s="78">
        <v>45.19100000000001</v>
      </c>
      <c r="J125" s="78">
        <v>9.427951946834094</v>
      </c>
      <c r="K125" s="78">
        <v>13.75026766955915</v>
      </c>
      <c r="L125" s="78">
        <v>3.6939741865928921</v>
      </c>
      <c r="M125" s="78">
        <v>5.6048810287284843</v>
      </c>
      <c r="N125" s="78">
        <v>12.5270983348271</v>
      </c>
      <c r="O125" s="78">
        <v>24.335990386350311</v>
      </c>
      <c r="P125" s="31">
        <f t="shared" si="16"/>
        <v>1.0519687236705337</v>
      </c>
      <c r="Q125" s="31">
        <f t="shared" si="17"/>
        <v>1.6177181187749554</v>
      </c>
      <c r="R125" s="31">
        <f t="shared" si="18"/>
        <v>2.6366008697111325</v>
      </c>
      <c r="S125" s="31">
        <f t="shared" si="19"/>
        <v>0.66021085508517541</v>
      </c>
      <c r="T125" s="31">
        <f t="shared" si="20"/>
        <v>2.413297157216062</v>
      </c>
      <c r="U125" s="31">
        <f t="shared" si="21"/>
        <v>4.7669225590170106</v>
      </c>
      <c r="V125" s="31">
        <f t="shared" si="22"/>
        <v>1.6820967115109144</v>
      </c>
      <c r="W125" s="31">
        <f t="shared" si="23"/>
        <v>2.453266643677273</v>
      </c>
      <c r="X125" s="31">
        <f t="shared" si="24"/>
        <v>0.65906379950956817</v>
      </c>
      <c r="Y125" s="31">
        <f t="shared" si="25"/>
        <v>2.2350337626468728</v>
      </c>
      <c r="Z125" s="31">
        <f t="shared" si="26"/>
        <v>4.3419280911786169</v>
      </c>
    </row>
    <row r="126" spans="2:26" ht="13.95" customHeight="1" x14ac:dyDescent="0.3">
      <c r="B126" s="77">
        <v>44377</v>
      </c>
      <c r="C126" s="78">
        <v>9.6848476870031952</v>
      </c>
      <c r="D126" s="78">
        <v>14.91631219161199</v>
      </c>
      <c r="E126" s="78">
        <v>25.059671189757111</v>
      </c>
      <c r="F126" s="78">
        <v>5.9928087050483363</v>
      </c>
      <c r="G126" s="78">
        <v>9.0873348192735328</v>
      </c>
      <c r="H126" s="78">
        <v>23.068459960588051</v>
      </c>
      <c r="I126" s="78">
        <v>43.703000000000003</v>
      </c>
      <c r="J126" s="78">
        <v>9.1311594610598199</v>
      </c>
      <c r="K126" s="78">
        <v>13.78300193151505</v>
      </c>
      <c r="L126" s="78">
        <v>3.7282293030862261</v>
      </c>
      <c r="M126" s="78">
        <v>5.5691447551505986</v>
      </c>
      <c r="N126" s="78">
        <v>12.646726029795269</v>
      </c>
      <c r="O126" s="78">
        <v>23.10232721615856</v>
      </c>
      <c r="P126" s="31">
        <f t="shared" si="16"/>
        <v>1.0657522672612858</v>
      </c>
      <c r="Q126" s="31">
        <f t="shared" si="17"/>
        <v>1.6414397057293022</v>
      </c>
      <c r="R126" s="31">
        <f t="shared" si="18"/>
        <v>2.7576480550279152</v>
      </c>
      <c r="S126" s="31">
        <f t="shared" si="19"/>
        <v>0.65946824060428078</v>
      </c>
      <c r="T126" s="31">
        <f t="shared" si="20"/>
        <v>2.5385286686765007</v>
      </c>
      <c r="U126" s="31">
        <f t="shared" si="21"/>
        <v>4.8092208407804371</v>
      </c>
      <c r="V126" s="31">
        <f t="shared" si="22"/>
        <v>1.6395981542075933</v>
      </c>
      <c r="W126" s="31">
        <f t="shared" si="23"/>
        <v>2.474886636546465</v>
      </c>
      <c r="X126" s="31">
        <f t="shared" si="24"/>
        <v>0.66944377763537033</v>
      </c>
      <c r="Y126" s="31">
        <f t="shared" si="25"/>
        <v>2.2708560444759498</v>
      </c>
      <c r="Z126" s="31">
        <f t="shared" si="26"/>
        <v>4.1482719936113126</v>
      </c>
    </row>
    <row r="127" spans="2:26" ht="13.95" customHeight="1" x14ac:dyDescent="0.3">
      <c r="B127" s="77">
        <v>44408</v>
      </c>
      <c r="C127" s="78">
        <v>9.2026720670527506</v>
      </c>
      <c r="D127" s="78">
        <v>13.95794439833811</v>
      </c>
      <c r="E127" s="78">
        <v>24.374801955912481</v>
      </c>
      <c r="F127" s="78">
        <v>5.5058475455772626</v>
      </c>
      <c r="G127" s="78">
        <v>8.4621082949675941</v>
      </c>
      <c r="H127" s="78">
        <v>22.10288091017755</v>
      </c>
      <c r="I127" s="78">
        <v>44.202000000000012</v>
      </c>
      <c r="J127" s="78">
        <v>8.5144444939048256</v>
      </c>
      <c r="K127" s="78">
        <v>13.139445580691721</v>
      </c>
      <c r="L127" s="78">
        <v>3.4406443770797641</v>
      </c>
      <c r="M127" s="78">
        <v>5.1604096519734757</v>
      </c>
      <c r="N127" s="78">
        <v>11.851653527824769</v>
      </c>
      <c r="O127" s="78">
        <v>23.27046494915049</v>
      </c>
      <c r="P127" s="31">
        <f t="shared" si="16"/>
        <v>1.0875152794399439</v>
      </c>
      <c r="Q127" s="31">
        <f t="shared" si="17"/>
        <v>1.6494641656428439</v>
      </c>
      <c r="R127" s="31">
        <f t="shared" si="18"/>
        <v>2.8804644311167875</v>
      </c>
      <c r="S127" s="31">
        <f t="shared" si="19"/>
        <v>0.65064725641145293</v>
      </c>
      <c r="T127" s="31">
        <f t="shared" si="20"/>
        <v>2.6119827517832768</v>
      </c>
      <c r="U127" s="31">
        <f t="shared" si="21"/>
        <v>5.2235209547349912</v>
      </c>
      <c r="V127" s="31">
        <f t="shared" si="22"/>
        <v>1.6499551524264511</v>
      </c>
      <c r="W127" s="31">
        <f t="shared" si="23"/>
        <v>2.5462020395351468</v>
      </c>
      <c r="X127" s="31">
        <f t="shared" si="24"/>
        <v>0.66673861362226772</v>
      </c>
      <c r="Y127" s="31">
        <f t="shared" si="25"/>
        <v>2.2966497482021389</v>
      </c>
      <c r="Z127" s="31">
        <f t="shared" si="26"/>
        <v>4.5094220262632163</v>
      </c>
    </row>
    <row r="128" spans="2:26" ht="13.95" customHeight="1" x14ac:dyDescent="0.3">
      <c r="B128" s="77">
        <v>44439</v>
      </c>
      <c r="C128" s="78">
        <v>8.8102038132597649</v>
      </c>
      <c r="D128" s="78">
        <v>14.08016819114302</v>
      </c>
      <c r="E128" s="78">
        <v>22.756380750197941</v>
      </c>
      <c r="F128" s="78">
        <v>5.1243761321065948</v>
      </c>
      <c r="G128" s="78">
        <v>8.0295058597228053</v>
      </c>
      <c r="H128" s="78">
        <v>20.324628849576818</v>
      </c>
      <c r="I128" s="78">
        <v>42.636000000000003</v>
      </c>
      <c r="J128" s="78">
        <v>8.3610467709256824</v>
      </c>
      <c r="K128" s="78">
        <v>13.770574506599109</v>
      </c>
      <c r="L128" s="78">
        <v>3.2009657901672028</v>
      </c>
      <c r="M128" s="78">
        <v>5.0253706920478889</v>
      </c>
      <c r="N128" s="78">
        <v>12.686619183355511</v>
      </c>
      <c r="O128" s="78">
        <v>21.55360309705026</v>
      </c>
      <c r="P128" s="31">
        <f t="shared" si="16"/>
        <v>1.0972286423568176</v>
      </c>
      <c r="Q128" s="31">
        <f t="shared" si="17"/>
        <v>1.7535535109042308</v>
      </c>
      <c r="R128" s="31">
        <f t="shared" si="18"/>
        <v>2.8340947933480352</v>
      </c>
      <c r="S128" s="31">
        <f t="shared" si="19"/>
        <v>0.63819321159116738</v>
      </c>
      <c r="T128" s="31">
        <f t="shared" si="20"/>
        <v>2.5312427943453129</v>
      </c>
      <c r="U128" s="31">
        <f t="shared" si="21"/>
        <v>5.3099157961722794</v>
      </c>
      <c r="V128" s="31">
        <f t="shared" si="22"/>
        <v>1.6637671692868634</v>
      </c>
      <c r="W128" s="31">
        <f t="shared" si="23"/>
        <v>2.7402106929921746</v>
      </c>
      <c r="X128" s="31">
        <f t="shared" si="24"/>
        <v>0.63696112910285174</v>
      </c>
      <c r="Y128" s="31">
        <f t="shared" si="25"/>
        <v>2.5245141026970859</v>
      </c>
      <c r="Z128" s="31">
        <f t="shared" si="26"/>
        <v>4.2889578536278981</v>
      </c>
    </row>
    <row r="129" spans="2:26" ht="13.95" customHeight="1" x14ac:dyDescent="0.3">
      <c r="B129" s="77">
        <v>44469</v>
      </c>
      <c r="C129" s="78">
        <v>8.4290279929796306</v>
      </c>
      <c r="D129" s="78">
        <v>13.729372294680299</v>
      </c>
      <c r="E129" s="78">
        <v>26.177337556722431</v>
      </c>
      <c r="F129" s="78">
        <v>4.6564110748340282</v>
      </c>
      <c r="G129" s="78">
        <v>7.7137691610658541</v>
      </c>
      <c r="H129" s="78">
        <v>23.783166284926949</v>
      </c>
      <c r="I129" s="78">
        <v>46.661999999999999</v>
      </c>
      <c r="J129" s="78">
        <v>8.1336397152351747</v>
      </c>
      <c r="K129" s="78">
        <v>12.790090096788139</v>
      </c>
      <c r="L129" s="78">
        <v>2.954806135942317</v>
      </c>
      <c r="M129" s="78">
        <v>4.680842665931225</v>
      </c>
      <c r="N129" s="78">
        <v>11.35288705339925</v>
      </c>
      <c r="O129" s="78">
        <v>23.793783269486511</v>
      </c>
      <c r="P129" s="31">
        <f t="shared" si="16"/>
        <v>1.0927249463885882</v>
      </c>
      <c r="Q129" s="31">
        <f t="shared" si="17"/>
        <v>1.7798526256110101</v>
      </c>
      <c r="R129" s="31">
        <f t="shared" si="18"/>
        <v>3.3935858087183624</v>
      </c>
      <c r="S129" s="31">
        <f t="shared" si="19"/>
        <v>0.60364926375248518</v>
      </c>
      <c r="T129" s="31">
        <f t="shared" si="20"/>
        <v>3.0832094905003222</v>
      </c>
      <c r="U129" s="31">
        <f t="shared" si="21"/>
        <v>6.0491828347054728</v>
      </c>
      <c r="V129" s="31">
        <f t="shared" si="22"/>
        <v>1.7376443293927797</v>
      </c>
      <c r="W129" s="31">
        <f t="shared" si="23"/>
        <v>2.7324332411082288</v>
      </c>
      <c r="X129" s="31">
        <f t="shared" si="24"/>
        <v>0.63125517066583059</v>
      </c>
      <c r="Y129" s="31">
        <f t="shared" si="25"/>
        <v>2.425393858253226</v>
      </c>
      <c r="Z129" s="31">
        <f t="shared" si="26"/>
        <v>5.0832264546436923</v>
      </c>
    </row>
    <row r="130" spans="2:26" ht="13.95" customHeight="1" x14ac:dyDescent="0.3">
      <c r="B130" s="77">
        <v>44500</v>
      </c>
      <c r="C130" s="78">
        <v>8.014215615745341</v>
      </c>
      <c r="D130" s="78">
        <v>12.55130678895676</v>
      </c>
      <c r="E130" s="78">
        <v>23.901196329986561</v>
      </c>
      <c r="F130" s="78">
        <v>4.5265935024469641</v>
      </c>
      <c r="G130" s="78">
        <v>7.356203274483808</v>
      </c>
      <c r="H130" s="78">
        <v>20.723848070194531</v>
      </c>
      <c r="I130" s="78">
        <v>46.303409428586988</v>
      </c>
      <c r="J130" s="78">
        <v>7.8344133308105874</v>
      </c>
      <c r="K130" s="78">
        <v>11.473204355040201</v>
      </c>
      <c r="L130" s="78">
        <v>2.990154023054064</v>
      </c>
      <c r="M130" s="78">
        <v>4.5962993259746936</v>
      </c>
      <c r="N130" s="78">
        <v>10.04162748129824</v>
      </c>
      <c r="O130" s="78">
        <v>22.085976673764289</v>
      </c>
      <c r="P130" s="31">
        <f t="shared" si="16"/>
        <v>1.0894499943393294</v>
      </c>
      <c r="Q130" s="31">
        <f t="shared" si="17"/>
        <v>1.7062207664234914</v>
      </c>
      <c r="R130" s="31">
        <f t="shared" si="18"/>
        <v>3.2491212434125853</v>
      </c>
      <c r="S130" s="31">
        <f t="shared" si="19"/>
        <v>0.61534372196431719</v>
      </c>
      <c r="T130" s="31">
        <f t="shared" si="20"/>
        <v>2.8171935028057997</v>
      </c>
      <c r="U130" s="31">
        <f t="shared" si="21"/>
        <v>6.2944711695499125</v>
      </c>
      <c r="V130" s="31">
        <f t="shared" si="22"/>
        <v>1.7045045971085049</v>
      </c>
      <c r="W130" s="31">
        <f t="shared" si="23"/>
        <v>2.4961830249397838</v>
      </c>
      <c r="X130" s="31">
        <f t="shared" si="24"/>
        <v>0.65055685258704743</v>
      </c>
      <c r="Y130" s="31">
        <f t="shared" si="25"/>
        <v>2.1847200909111391</v>
      </c>
      <c r="Z130" s="31">
        <f t="shared" si="26"/>
        <v>4.8051650050186243</v>
      </c>
    </row>
    <row r="131" spans="2:26" ht="13.95" customHeight="1" x14ac:dyDescent="0.3">
      <c r="B131" s="77">
        <v>44530</v>
      </c>
      <c r="C131" s="78">
        <v>7.742600143528179</v>
      </c>
      <c r="D131" s="78">
        <v>12.01862295013885</v>
      </c>
      <c r="E131" s="78">
        <v>23.923640723177709</v>
      </c>
      <c r="F131" s="78">
        <v>4.6839200198673563</v>
      </c>
      <c r="G131" s="78">
        <v>7.2945958985796429</v>
      </c>
      <c r="H131" s="78">
        <v>22.25647974647115</v>
      </c>
      <c r="I131" s="78">
        <v>32.818133894624893</v>
      </c>
      <c r="J131" s="78">
        <v>7.366446527384352</v>
      </c>
      <c r="K131" s="78">
        <v>10.959061104970839</v>
      </c>
      <c r="L131" s="78">
        <v>3.026829217440516</v>
      </c>
      <c r="M131" s="78">
        <v>4.4911066733173799</v>
      </c>
      <c r="N131" s="78">
        <v>9.9372143428127941</v>
      </c>
      <c r="O131" s="78">
        <v>18.16939274144778</v>
      </c>
      <c r="P131" s="31">
        <f t="shared" si="16"/>
        <v>1.0614159099664136</v>
      </c>
      <c r="Q131" s="31">
        <f t="shared" si="17"/>
        <v>1.6476064085303257</v>
      </c>
      <c r="R131" s="31">
        <f t="shared" si="18"/>
        <v>3.2796389348772519</v>
      </c>
      <c r="S131" s="31">
        <f t="shared" si="19"/>
        <v>0.64210822436091075</v>
      </c>
      <c r="T131" s="31">
        <f t="shared" si="20"/>
        <v>3.0510915280179933</v>
      </c>
      <c r="U131" s="31">
        <f t="shared" si="21"/>
        <v>4.4989653095128999</v>
      </c>
      <c r="V131" s="31">
        <f t="shared" si="22"/>
        <v>1.6402296946429658</v>
      </c>
      <c r="W131" s="31">
        <f t="shared" si="23"/>
        <v>2.4401694063694706</v>
      </c>
      <c r="X131" s="31">
        <f t="shared" si="24"/>
        <v>0.67396065994681276</v>
      </c>
      <c r="Y131" s="31">
        <f t="shared" si="25"/>
        <v>2.2126426882380459</v>
      </c>
      <c r="Z131" s="31">
        <f t="shared" si="26"/>
        <v>4.0456382052548445</v>
      </c>
    </row>
    <row r="132" spans="2:26" ht="13.95" customHeight="1" x14ac:dyDescent="0.3">
      <c r="B132" s="77">
        <v>44561</v>
      </c>
      <c r="C132" s="78">
        <v>7.3682814004242774</v>
      </c>
      <c r="D132" s="78">
        <v>12.11412597695325</v>
      </c>
      <c r="E132" s="78">
        <v>21.31269254051394</v>
      </c>
      <c r="F132" s="78">
        <v>5.3042333551089111</v>
      </c>
      <c r="G132" s="78">
        <v>7.540320275184957</v>
      </c>
      <c r="H132" s="78">
        <v>18.664303869383339</v>
      </c>
      <c r="I132" s="78">
        <v>35.698419060139067</v>
      </c>
      <c r="J132" s="78">
        <v>7.283932764963823</v>
      </c>
      <c r="K132" s="78">
        <v>11.04615268237451</v>
      </c>
      <c r="L132" s="78">
        <v>3.30801516287791</v>
      </c>
      <c r="M132" s="78">
        <v>4.707400719996401</v>
      </c>
      <c r="N132" s="78">
        <v>9.9052663666148213</v>
      </c>
      <c r="O132" s="78">
        <v>18.251612132092848</v>
      </c>
      <c r="P132" s="31">
        <f t="shared" si="16"/>
        <v>0.97718414225363126</v>
      </c>
      <c r="Q132" s="31">
        <f t="shared" si="17"/>
        <v>1.6065797651620444</v>
      </c>
      <c r="R132" s="31">
        <f t="shared" si="18"/>
        <v>2.8264969872239489</v>
      </c>
      <c r="S132" s="31">
        <f t="shared" si="19"/>
        <v>0.70344934452784946</v>
      </c>
      <c r="T132" s="31">
        <f t="shared" si="20"/>
        <v>2.4752667245192739</v>
      </c>
      <c r="U132" s="31">
        <f t="shared" si="21"/>
        <v>4.7343372373215828</v>
      </c>
      <c r="V132" s="31">
        <f t="shared" si="22"/>
        <v>1.5473364598052302</v>
      </c>
      <c r="W132" s="31">
        <f t="shared" si="23"/>
        <v>2.3465503235048484</v>
      </c>
      <c r="X132" s="31">
        <f t="shared" si="24"/>
        <v>0.70272648530343074</v>
      </c>
      <c r="Y132" s="31">
        <f t="shared" si="25"/>
        <v>2.1041901796332296</v>
      </c>
      <c r="Z132" s="31">
        <f t="shared" si="26"/>
        <v>3.8772165825106986</v>
      </c>
    </row>
    <row r="133" spans="2:26" ht="13.95" customHeight="1" x14ac:dyDescent="0.3">
      <c r="B133" s="77">
        <v>44592</v>
      </c>
      <c r="C133" s="78">
        <v>8.465959598556335</v>
      </c>
      <c r="D133" s="78">
        <v>12.762708770032059</v>
      </c>
      <c r="E133" s="78">
        <v>22.489566188986291</v>
      </c>
      <c r="F133" s="78">
        <v>5.6237214458284468</v>
      </c>
      <c r="G133" s="78">
        <v>8.1227442834421044</v>
      </c>
      <c r="H133" s="78">
        <v>20.41545053520807</v>
      </c>
      <c r="I133" s="78">
        <v>34.529362794486161</v>
      </c>
      <c r="J133" s="78">
        <v>7.5371905879513958</v>
      </c>
      <c r="K133" s="78">
        <v>11.2240500684659</v>
      </c>
      <c r="L133" s="78">
        <v>3.4180547529099781</v>
      </c>
      <c r="M133" s="78">
        <v>4.8256981326895199</v>
      </c>
      <c r="N133" s="78">
        <v>10.26900216450162</v>
      </c>
      <c r="O133" s="78">
        <v>17.70961285932783</v>
      </c>
      <c r="P133" s="31">
        <f t="shared" si="16"/>
        <v>1.0422536156670426</v>
      </c>
      <c r="Q133" s="31">
        <f t="shared" si="17"/>
        <v>1.5712311411856632</v>
      </c>
      <c r="R133" s="31">
        <f t="shared" si="18"/>
        <v>2.768715277031482</v>
      </c>
      <c r="S133" s="31">
        <f t="shared" si="19"/>
        <v>0.69234254453783339</v>
      </c>
      <c r="T133" s="31">
        <f t="shared" si="20"/>
        <v>2.5133686132190771</v>
      </c>
      <c r="U133" s="31">
        <f t="shared" si="21"/>
        <v>4.2509479049922714</v>
      </c>
      <c r="V133" s="31">
        <f t="shared" si="22"/>
        <v>1.5618860485478963</v>
      </c>
      <c r="W133" s="31">
        <f t="shared" si="23"/>
        <v>2.3258914585712738</v>
      </c>
      <c r="X133" s="31">
        <f t="shared" si="24"/>
        <v>0.70830264532211507</v>
      </c>
      <c r="Y133" s="31">
        <f t="shared" si="25"/>
        <v>2.1279827047073017</v>
      </c>
      <c r="Z133" s="31">
        <f t="shared" si="26"/>
        <v>3.6698550908856129</v>
      </c>
    </row>
    <row r="134" spans="2:26" ht="13.95" customHeight="1" x14ac:dyDescent="0.3">
      <c r="B134" s="77">
        <v>44620</v>
      </c>
      <c r="C134" s="78">
        <v>8.1270868170807287</v>
      </c>
      <c r="D134" s="78">
        <v>12.50064975551752</v>
      </c>
      <c r="E134" s="78">
        <v>21.328427088414529</v>
      </c>
      <c r="F134" s="78">
        <v>5.8384608291604358</v>
      </c>
      <c r="G134" s="78">
        <v>8.071998810291749</v>
      </c>
      <c r="H134" s="78">
        <v>19.4623448983548</v>
      </c>
      <c r="I134" s="78">
        <v>32.557340957662127</v>
      </c>
      <c r="J134" s="78">
        <v>7.8074563273102324</v>
      </c>
      <c r="K134" s="78">
        <v>10.52808946890937</v>
      </c>
      <c r="L134" s="78">
        <v>3.5274167388361728</v>
      </c>
      <c r="M134" s="78">
        <v>4.8650976824963257</v>
      </c>
      <c r="N134" s="78">
        <v>9.668131712871574</v>
      </c>
      <c r="O134" s="78">
        <v>16.611667974609741</v>
      </c>
      <c r="P134" s="31">
        <f t="shared" ref="P134:P165" si="27">C134/G134</f>
        <v>1.0068245806377898</v>
      </c>
      <c r="Q134" s="31">
        <f t="shared" ref="Q134:Q165" si="28">D134/G134</f>
        <v>1.5486436568324649</v>
      </c>
      <c r="R134" s="31">
        <f t="shared" ref="R134:R165" si="29">E134/G134</f>
        <v>2.6422733191215184</v>
      </c>
      <c r="S134" s="31">
        <f t="shared" ref="S134:S165" si="30">F134/G134</f>
        <v>0.72329802894872008</v>
      </c>
      <c r="T134" s="31">
        <f t="shared" ref="T134:T165" si="31">H134/G134</f>
        <v>2.4110936282027731</v>
      </c>
      <c r="U134" s="31">
        <f t="shared" ref="U134:U165" si="32">I134/G134</f>
        <v>4.0333679083490095</v>
      </c>
      <c r="V134" s="31">
        <f t="shared" ref="V134:V165" si="33">IFERROR(J134/M134,"")</f>
        <v>1.604789222506249</v>
      </c>
      <c r="W134" s="31">
        <f t="shared" ref="W134:W165" si="34">IFERROR(K134/M134,"")</f>
        <v>2.1640037170861719</v>
      </c>
      <c r="X134" s="31">
        <f t="shared" ref="X134:X165" si="35">IFERROR(L134/M134,"")</f>
        <v>0.72504540896005676</v>
      </c>
      <c r="Y134" s="31">
        <f t="shared" ref="Y134:Y165" si="36">IFERROR(N134/M134,"")</f>
        <v>1.9872430820157281</v>
      </c>
      <c r="Z134" s="31">
        <f t="shared" ref="Z134:Z165" si="37">IFERROR(O134/M134,"")</f>
        <v>3.4144572336903507</v>
      </c>
    </row>
    <row r="135" spans="2:26" ht="13.95" customHeight="1" x14ac:dyDescent="0.3">
      <c r="B135" s="77">
        <v>44651</v>
      </c>
      <c r="C135" s="78">
        <v>8.592217742489467</v>
      </c>
      <c r="D135" s="78">
        <v>12.940337777017531</v>
      </c>
      <c r="E135" s="78">
        <v>23.442959367443489</v>
      </c>
      <c r="F135" s="78">
        <v>5.4532823649330089</v>
      </c>
      <c r="G135" s="78">
        <v>8.0164273303147162</v>
      </c>
      <c r="H135" s="78">
        <v>21.712451341312271</v>
      </c>
      <c r="I135" s="78">
        <v>32.813051880267849</v>
      </c>
      <c r="J135" s="78">
        <v>8.0344988233831636</v>
      </c>
      <c r="K135" s="78">
        <v>11.157227961599659</v>
      </c>
      <c r="L135" s="78">
        <v>3.4373599218980959</v>
      </c>
      <c r="M135" s="78">
        <v>4.8805913928974469</v>
      </c>
      <c r="N135" s="78">
        <v>10.12508441384184</v>
      </c>
      <c r="O135" s="78">
        <v>19.153251362254341</v>
      </c>
      <c r="P135" s="31">
        <f t="shared" si="27"/>
        <v>1.0718263122023644</v>
      </c>
      <c r="Q135" s="31">
        <f t="shared" si="28"/>
        <v>1.6142275409998019</v>
      </c>
      <c r="R135" s="31">
        <f t="shared" si="29"/>
        <v>2.9243649822399305</v>
      </c>
      <c r="S135" s="31">
        <f t="shared" si="30"/>
        <v>0.68026343160512615</v>
      </c>
      <c r="T135" s="31">
        <f t="shared" si="31"/>
        <v>2.708494750423923</v>
      </c>
      <c r="U135" s="31">
        <f t="shared" si="32"/>
        <v>4.0932263872938579</v>
      </c>
      <c r="V135" s="31">
        <f t="shared" si="33"/>
        <v>1.6462141934429273</v>
      </c>
      <c r="W135" s="31">
        <f t="shared" si="34"/>
        <v>2.2860401667380681</v>
      </c>
      <c r="X135" s="31">
        <f t="shared" si="35"/>
        <v>0.70429168213105586</v>
      </c>
      <c r="Y135" s="31">
        <f t="shared" si="36"/>
        <v>2.0745609699219072</v>
      </c>
      <c r="Z135" s="31">
        <f t="shared" si="37"/>
        <v>3.9243710076052247</v>
      </c>
    </row>
    <row r="136" spans="2:26" ht="13.95" customHeight="1" x14ac:dyDescent="0.3">
      <c r="B136" s="77">
        <v>44681</v>
      </c>
      <c r="C136" s="78">
        <v>7.4637696323282148</v>
      </c>
      <c r="D136" s="78">
        <v>12.090431051639669</v>
      </c>
      <c r="E136" s="78">
        <v>20.15278987542662</v>
      </c>
      <c r="F136" s="78">
        <v>4.6013565404425698</v>
      </c>
      <c r="G136" s="78">
        <v>6.9034482070672114</v>
      </c>
      <c r="H136" s="78">
        <v>18.28738782952987</v>
      </c>
      <c r="I136" s="78">
        <v>31.333567382137431</v>
      </c>
      <c r="J136" s="78">
        <v>7.4436232076405142</v>
      </c>
      <c r="K136" s="78">
        <v>9.5815776240738693</v>
      </c>
      <c r="L136" s="78">
        <v>3.007274782787265</v>
      </c>
      <c r="M136" s="78">
        <v>4.3001619397272819</v>
      </c>
      <c r="N136" s="78">
        <v>8.605642998984937</v>
      </c>
      <c r="O136" s="78">
        <v>17.33687742666163</v>
      </c>
      <c r="P136" s="31">
        <f t="shared" si="27"/>
        <v>1.0811654420304611</v>
      </c>
      <c r="Q136" s="31">
        <f t="shared" si="28"/>
        <v>1.7513611587992257</v>
      </c>
      <c r="R136" s="31">
        <f t="shared" si="29"/>
        <v>2.9192353257312438</v>
      </c>
      <c r="S136" s="31">
        <f t="shared" si="30"/>
        <v>0.66653017483814248</v>
      </c>
      <c r="T136" s="31">
        <f t="shared" si="31"/>
        <v>2.6490222394670346</v>
      </c>
      <c r="U136" s="31">
        <f t="shared" si="32"/>
        <v>4.538828487198697</v>
      </c>
      <c r="V136" s="31">
        <f t="shared" si="33"/>
        <v>1.7310099740366038</v>
      </c>
      <c r="W136" s="31">
        <f t="shared" si="34"/>
        <v>2.2281899515350663</v>
      </c>
      <c r="X136" s="31">
        <f t="shared" si="35"/>
        <v>0.69933989113395756</v>
      </c>
      <c r="Y136" s="31">
        <f t="shared" si="36"/>
        <v>2.0012369579576137</v>
      </c>
      <c r="Z136" s="31">
        <f t="shared" si="37"/>
        <v>4.0316801249957441</v>
      </c>
    </row>
    <row r="137" spans="2:26" ht="13.95" customHeight="1" x14ac:dyDescent="0.3">
      <c r="B137" s="77">
        <v>44712</v>
      </c>
      <c r="C137" s="78">
        <v>7.7196108441677422</v>
      </c>
      <c r="D137" s="78">
        <v>11.548660907285781</v>
      </c>
      <c r="E137" s="78">
        <v>19.068452763364409</v>
      </c>
      <c r="F137" s="78">
        <v>4.7763580758458746</v>
      </c>
      <c r="G137" s="78">
        <v>6.9828294521831058</v>
      </c>
      <c r="H137" s="78">
        <v>17.994949410329429</v>
      </c>
      <c r="I137" s="78">
        <v>25.373451198225741</v>
      </c>
      <c r="J137" s="78">
        <v>7.1819868030537339</v>
      </c>
      <c r="K137" s="78">
        <v>9.0177587666228654</v>
      </c>
      <c r="L137" s="78">
        <v>3.0851052684984648</v>
      </c>
      <c r="M137" s="78">
        <v>4.2883733060598086</v>
      </c>
      <c r="N137" s="78">
        <v>8.32622957671704</v>
      </c>
      <c r="O137" s="78">
        <v>14.61883972754219</v>
      </c>
      <c r="P137" s="31">
        <f t="shared" si="27"/>
        <v>1.1055133018828478</v>
      </c>
      <c r="Q137" s="31">
        <f t="shared" si="28"/>
        <v>1.6538655263412194</v>
      </c>
      <c r="R137" s="31">
        <f t="shared" si="29"/>
        <v>2.7307630658805313</v>
      </c>
      <c r="S137" s="31">
        <f t="shared" si="30"/>
        <v>0.68401471188052543</v>
      </c>
      <c r="T137" s="31">
        <f t="shared" si="31"/>
        <v>2.5770283426732559</v>
      </c>
      <c r="U137" s="31">
        <f t="shared" si="32"/>
        <v>3.6336919542396968</v>
      </c>
      <c r="V137" s="31">
        <f t="shared" si="33"/>
        <v>1.6747578371745346</v>
      </c>
      <c r="W137" s="31">
        <f t="shared" si="34"/>
        <v>2.1028390307998754</v>
      </c>
      <c r="X137" s="31">
        <f t="shared" si="35"/>
        <v>0.71941154566440579</v>
      </c>
      <c r="Y137" s="31">
        <f t="shared" si="36"/>
        <v>1.9415822696572202</v>
      </c>
      <c r="Z137" s="31">
        <f t="shared" si="37"/>
        <v>3.4089475622107384</v>
      </c>
    </row>
    <row r="138" spans="2:26" ht="13.95" customHeight="1" x14ac:dyDescent="0.3">
      <c r="B138" s="77">
        <v>44742</v>
      </c>
      <c r="C138" s="78">
        <v>6.5876266526803313</v>
      </c>
      <c r="D138" s="78">
        <v>10.51876555591099</v>
      </c>
      <c r="E138" s="78">
        <v>17.02507510102544</v>
      </c>
      <c r="F138" s="78">
        <v>4.0585528643980746</v>
      </c>
      <c r="G138" s="78">
        <v>6.0829710606627874</v>
      </c>
      <c r="H138" s="78">
        <v>15.72717204053159</v>
      </c>
      <c r="I138" s="78">
        <v>24.406892600758301</v>
      </c>
      <c r="J138" s="78">
        <v>7.0334301860596948</v>
      </c>
      <c r="K138" s="78">
        <v>8.0534800831256739</v>
      </c>
      <c r="L138" s="78">
        <v>2.7896153573500779</v>
      </c>
      <c r="M138" s="78">
        <v>3.9761314662392109</v>
      </c>
      <c r="N138" s="78">
        <v>7.1948543425463134</v>
      </c>
      <c r="O138" s="78">
        <v>14.723794184317891</v>
      </c>
      <c r="P138" s="31">
        <f t="shared" si="27"/>
        <v>1.0829620241465621</v>
      </c>
      <c r="Q138" s="31">
        <f t="shared" si="28"/>
        <v>1.7292151238287969</v>
      </c>
      <c r="R138" s="31">
        <f t="shared" si="29"/>
        <v>2.79880915612484</v>
      </c>
      <c r="S138" s="31">
        <f t="shared" si="30"/>
        <v>0.66719910779188607</v>
      </c>
      <c r="T138" s="31">
        <f t="shared" si="31"/>
        <v>2.5854425220326451</v>
      </c>
      <c r="U138" s="31">
        <f t="shared" si="32"/>
        <v>4.0123308753829541</v>
      </c>
      <c r="V138" s="31">
        <f t="shared" si="33"/>
        <v>1.7689128857482681</v>
      </c>
      <c r="W138" s="31">
        <f t="shared" si="34"/>
        <v>2.0254561881332829</v>
      </c>
      <c r="X138" s="31">
        <f t="shared" si="35"/>
        <v>0.70159032241170116</v>
      </c>
      <c r="Y138" s="31">
        <f t="shared" si="36"/>
        <v>1.8095111803110231</v>
      </c>
      <c r="Z138" s="31">
        <f t="shared" si="37"/>
        <v>3.7030451103882291</v>
      </c>
    </row>
    <row r="139" spans="2:26" ht="13.95" customHeight="1" x14ac:dyDescent="0.3">
      <c r="B139" s="77">
        <v>44773</v>
      </c>
      <c r="C139" s="78">
        <v>6.7567235460269854</v>
      </c>
      <c r="D139" s="78">
        <v>12.072269127742681</v>
      </c>
      <c r="E139" s="78">
        <v>18.42939573278008</v>
      </c>
      <c r="F139" s="78">
        <v>4.2685558543184081</v>
      </c>
      <c r="G139" s="78">
        <v>6.530255793433084</v>
      </c>
      <c r="H139" s="78">
        <v>17.399309096584918</v>
      </c>
      <c r="I139" s="78">
        <v>23.84837554372676</v>
      </c>
      <c r="J139" s="78">
        <v>7.483249105351657</v>
      </c>
      <c r="K139" s="78">
        <v>8.644420949622921</v>
      </c>
      <c r="L139" s="78">
        <v>2.8257695612566218</v>
      </c>
      <c r="M139" s="78">
        <v>4.1258559286856018</v>
      </c>
      <c r="N139" s="78">
        <v>7.8124127615948504</v>
      </c>
      <c r="O139" s="78">
        <v>14.85561644044018</v>
      </c>
      <c r="P139" s="31">
        <f t="shared" si="27"/>
        <v>1.0346797674941983</v>
      </c>
      <c r="Q139" s="31">
        <f t="shared" si="28"/>
        <v>1.8486671134510109</v>
      </c>
      <c r="R139" s="31">
        <f t="shared" si="29"/>
        <v>2.8221552594176993</v>
      </c>
      <c r="S139" s="31">
        <f t="shared" si="30"/>
        <v>0.65365829292796263</v>
      </c>
      <c r="T139" s="31">
        <f t="shared" si="31"/>
        <v>2.6644146335097481</v>
      </c>
      <c r="U139" s="31">
        <f t="shared" si="32"/>
        <v>3.6519818362565548</v>
      </c>
      <c r="V139" s="31">
        <f t="shared" si="33"/>
        <v>1.8137446470981453</v>
      </c>
      <c r="W139" s="31">
        <f t="shared" si="34"/>
        <v>2.0951824540264123</v>
      </c>
      <c r="X139" s="31">
        <f t="shared" si="35"/>
        <v>0.68489293133336426</v>
      </c>
      <c r="Y139" s="31">
        <f t="shared" si="36"/>
        <v>1.89352534277262</v>
      </c>
      <c r="Z139" s="31">
        <f t="shared" si="37"/>
        <v>3.6006144415160954</v>
      </c>
    </row>
    <row r="140" spans="2:26" ht="13.95" customHeight="1" x14ac:dyDescent="0.3">
      <c r="B140" s="77">
        <v>44804</v>
      </c>
      <c r="C140" s="78">
        <v>7.1304258982792437</v>
      </c>
      <c r="D140" s="78">
        <v>13.074499301059911</v>
      </c>
      <c r="E140" s="78">
        <v>18.9331884115356</v>
      </c>
      <c r="F140" s="78">
        <v>3.968824420332083</v>
      </c>
      <c r="G140" s="78">
        <v>6.5060395087443244</v>
      </c>
      <c r="H140" s="78">
        <v>18.04481072989412</v>
      </c>
      <c r="I140" s="78">
        <v>23.421869795120291</v>
      </c>
      <c r="J140" s="78">
        <v>7.7048617933719479</v>
      </c>
      <c r="K140" s="78">
        <v>9.1430598434231118</v>
      </c>
      <c r="L140" s="78">
        <v>2.777391396294679</v>
      </c>
      <c r="M140" s="78">
        <v>4.2035248716865938</v>
      </c>
      <c r="N140" s="78">
        <v>8.3939425076929766</v>
      </c>
      <c r="O140" s="78">
        <v>14.735033728480509</v>
      </c>
      <c r="P140" s="31">
        <f t="shared" si="27"/>
        <v>1.0959702732662051</v>
      </c>
      <c r="Q140" s="31">
        <f t="shared" si="28"/>
        <v>2.0095942060430723</v>
      </c>
      <c r="R140" s="31">
        <f t="shared" si="29"/>
        <v>2.9100942879441156</v>
      </c>
      <c r="S140" s="31">
        <f t="shared" si="30"/>
        <v>0.61002156765231086</v>
      </c>
      <c r="T140" s="31">
        <f t="shared" si="31"/>
        <v>2.7735476714583918</v>
      </c>
      <c r="U140" s="31">
        <f t="shared" si="32"/>
        <v>3.6000196069575896</v>
      </c>
      <c r="V140" s="31">
        <f t="shared" si="33"/>
        <v>1.8329525882596958</v>
      </c>
      <c r="W140" s="31">
        <f t="shared" si="34"/>
        <v>2.1750935518444101</v>
      </c>
      <c r="X140" s="31">
        <f t="shared" si="35"/>
        <v>0.66072914543748074</v>
      </c>
      <c r="Y140" s="31">
        <f t="shared" si="36"/>
        <v>1.9968818465263529</v>
      </c>
      <c r="Z140" s="31">
        <f t="shared" si="37"/>
        <v>3.5053994393444197</v>
      </c>
    </row>
    <row r="141" spans="2:26" ht="13.95" customHeight="1" x14ac:dyDescent="0.3">
      <c r="B141" s="77">
        <v>44834</v>
      </c>
      <c r="C141" s="78">
        <v>7.3048832416283416</v>
      </c>
      <c r="D141" s="78">
        <v>12.87401989712448</v>
      </c>
      <c r="E141" s="78">
        <v>19.056066508012421</v>
      </c>
      <c r="F141" s="78">
        <v>4.2047541401045034</v>
      </c>
      <c r="G141" s="78">
        <v>6.7340045151760286</v>
      </c>
      <c r="H141" s="78">
        <v>18.115879167503181</v>
      </c>
      <c r="I141" s="78">
        <v>23.846080529324279</v>
      </c>
      <c r="J141" s="78">
        <v>7.3671800694053156</v>
      </c>
      <c r="K141" s="78">
        <v>9.3593755792629398</v>
      </c>
      <c r="L141" s="78">
        <v>2.9243757848075251</v>
      </c>
      <c r="M141" s="78">
        <v>4.3280961346312674</v>
      </c>
      <c r="N141" s="78">
        <v>8.5109222956985562</v>
      </c>
      <c r="O141" s="78">
        <v>16.326974960760008</v>
      </c>
      <c r="P141" s="31">
        <f t="shared" si="27"/>
        <v>1.0847755188113932</v>
      </c>
      <c r="Q141" s="31">
        <f t="shared" si="28"/>
        <v>1.9117925846516826</v>
      </c>
      <c r="R141" s="31">
        <f t="shared" si="29"/>
        <v>2.8298268088574767</v>
      </c>
      <c r="S141" s="31">
        <f t="shared" si="30"/>
        <v>0.62440619554508725</v>
      </c>
      <c r="T141" s="31">
        <f t="shared" si="31"/>
        <v>2.690208942788276</v>
      </c>
      <c r="U141" s="31">
        <f t="shared" si="32"/>
        <v>3.5411441253987541</v>
      </c>
      <c r="V141" s="31">
        <f t="shared" si="33"/>
        <v>1.702175700409428</v>
      </c>
      <c r="W141" s="31">
        <f t="shared" si="34"/>
        <v>2.1624694295429077</v>
      </c>
      <c r="X141" s="31">
        <f t="shared" si="35"/>
        <v>0.67567255759596656</v>
      </c>
      <c r="Y141" s="31">
        <f t="shared" si="36"/>
        <v>1.9664355945327552</v>
      </c>
      <c r="Z141" s="31">
        <f t="shared" si="37"/>
        <v>3.7723226224389275</v>
      </c>
    </row>
    <row r="142" spans="2:26" ht="13.95" customHeight="1" x14ac:dyDescent="0.3">
      <c r="B142" s="77">
        <v>44865</v>
      </c>
      <c r="C142" s="78">
        <v>7.7351732799913426</v>
      </c>
      <c r="D142" s="78">
        <v>13.695803375284051</v>
      </c>
      <c r="E142" s="78">
        <v>21.20136472856084</v>
      </c>
      <c r="F142" s="78">
        <v>4.3136574664608327</v>
      </c>
      <c r="G142" s="78">
        <v>7.1745975229308234</v>
      </c>
      <c r="H142" s="78">
        <v>19.871164453000169</v>
      </c>
      <c r="I142" s="78">
        <v>27.52314554369077</v>
      </c>
      <c r="J142" s="78">
        <v>7.7397275695870107</v>
      </c>
      <c r="K142" s="78">
        <v>10.19933829308261</v>
      </c>
      <c r="L142" s="78">
        <v>3.0245730929701571</v>
      </c>
      <c r="M142" s="78">
        <v>4.6171730795602848</v>
      </c>
      <c r="N142" s="78">
        <v>9.0832308533377919</v>
      </c>
      <c r="O142" s="78">
        <v>19.03301850119438</v>
      </c>
      <c r="P142" s="31">
        <f t="shared" si="27"/>
        <v>1.078133408218211</v>
      </c>
      <c r="Q142" s="31">
        <f t="shared" si="28"/>
        <v>1.9089298502822936</v>
      </c>
      <c r="R142" s="31">
        <f t="shared" si="29"/>
        <v>2.9550598010270104</v>
      </c>
      <c r="S142" s="31">
        <f t="shared" si="30"/>
        <v>0.60124034172981777</v>
      </c>
      <c r="T142" s="31">
        <f t="shared" si="31"/>
        <v>2.769655634269335</v>
      </c>
      <c r="U142" s="31">
        <f t="shared" si="32"/>
        <v>3.8361936618358996</v>
      </c>
      <c r="V142" s="31">
        <f t="shared" si="33"/>
        <v>1.6762914095315009</v>
      </c>
      <c r="W142" s="31">
        <f t="shared" si="34"/>
        <v>2.2090006411572385</v>
      </c>
      <c r="X142" s="31">
        <f t="shared" si="35"/>
        <v>0.65507033001634873</v>
      </c>
      <c r="Y142" s="31">
        <f t="shared" si="36"/>
        <v>1.9672710329071812</v>
      </c>
      <c r="Z142" s="31">
        <f t="shared" si="37"/>
        <v>4.1222233113702087</v>
      </c>
    </row>
    <row r="143" spans="2:26" ht="13.95" customHeight="1" x14ac:dyDescent="0.3">
      <c r="B143" s="77">
        <v>44895</v>
      </c>
      <c r="C143" s="78">
        <v>6.7295575880161458</v>
      </c>
      <c r="D143" s="78">
        <v>12.32423559006341</v>
      </c>
      <c r="E143" s="78">
        <v>18.419563792298259</v>
      </c>
      <c r="F143" s="78">
        <v>4.8957198072376009</v>
      </c>
      <c r="G143" s="78">
        <v>7.0211508412355279</v>
      </c>
      <c r="H143" s="78">
        <v>16.478345315925349</v>
      </c>
      <c r="I143" s="78">
        <v>28.12261231145024</v>
      </c>
      <c r="J143" s="78">
        <v>7.2089023614351539</v>
      </c>
      <c r="K143" s="78">
        <v>8.9732569189253688</v>
      </c>
      <c r="L143" s="78">
        <v>3.4043131576478172</v>
      </c>
      <c r="M143" s="78">
        <v>4.6762271995482818</v>
      </c>
      <c r="N143" s="78">
        <v>7.791976035242576</v>
      </c>
      <c r="O143" s="78">
        <v>17.39495524591398</v>
      </c>
      <c r="P143" s="31">
        <f t="shared" si="27"/>
        <v>0.9584693079791361</v>
      </c>
      <c r="Q143" s="31">
        <f t="shared" si="28"/>
        <v>1.7553013556812698</v>
      </c>
      <c r="R143" s="31">
        <f t="shared" si="29"/>
        <v>2.6234394059901618</v>
      </c>
      <c r="S143" s="31">
        <f t="shared" si="30"/>
        <v>0.69728167332409707</v>
      </c>
      <c r="T143" s="31">
        <f t="shared" si="31"/>
        <v>2.346957883193066</v>
      </c>
      <c r="U143" s="31">
        <f t="shared" si="32"/>
        <v>4.0054134923700682</v>
      </c>
      <c r="V143" s="31">
        <f t="shared" si="33"/>
        <v>1.5416065246212856</v>
      </c>
      <c r="W143" s="31">
        <f t="shared" si="34"/>
        <v>1.9189095259939841</v>
      </c>
      <c r="X143" s="31">
        <f t="shared" si="35"/>
        <v>0.7280042248538886</v>
      </c>
      <c r="Y143" s="31">
        <f t="shared" si="36"/>
        <v>1.6662954349171213</v>
      </c>
      <c r="Z143" s="31">
        <f t="shared" si="37"/>
        <v>3.7198695665587662</v>
      </c>
    </row>
    <row r="144" spans="2:26" ht="13.95" customHeight="1" x14ac:dyDescent="0.3">
      <c r="B144" s="77">
        <v>44926</v>
      </c>
      <c r="C144" s="78">
        <v>6.5712575391608352</v>
      </c>
      <c r="D144" s="78">
        <v>11.81185762964415</v>
      </c>
      <c r="E144" s="78">
        <v>16.775408195427211</v>
      </c>
      <c r="F144" s="78">
        <v>4.8725755056365729</v>
      </c>
      <c r="G144" s="78">
        <v>6.9428417262039801</v>
      </c>
      <c r="H144" s="78">
        <v>14.83231799682312</v>
      </c>
      <c r="I144" s="78">
        <v>26.07608609189608</v>
      </c>
      <c r="J144" s="78">
        <v>6.8084933412814426</v>
      </c>
      <c r="K144" s="78">
        <v>8.2059463771221495</v>
      </c>
      <c r="L144" s="78">
        <v>3.3264692063773009</v>
      </c>
      <c r="M144" s="78">
        <v>4.5666255578793313</v>
      </c>
      <c r="N144" s="78">
        <v>7.0639023904619336</v>
      </c>
      <c r="O144" s="78">
        <v>16.288264303462469</v>
      </c>
      <c r="P144" s="31">
        <f t="shared" si="27"/>
        <v>0.94647952499900789</v>
      </c>
      <c r="Q144" s="31">
        <f t="shared" si="28"/>
        <v>1.7013001441561479</v>
      </c>
      <c r="R144" s="31">
        <f t="shared" si="29"/>
        <v>2.4162164221766318</v>
      </c>
      <c r="S144" s="31">
        <f t="shared" si="30"/>
        <v>0.7018128451994351</v>
      </c>
      <c r="T144" s="31">
        <f t="shared" si="31"/>
        <v>2.1363468420779821</v>
      </c>
      <c r="U144" s="31">
        <f t="shared" si="32"/>
        <v>3.755823209029606</v>
      </c>
      <c r="V144" s="31">
        <f t="shared" si="33"/>
        <v>1.4909243718338052</v>
      </c>
      <c r="W144" s="31">
        <f t="shared" si="34"/>
        <v>1.7969387402397101</v>
      </c>
      <c r="X144" s="31">
        <f t="shared" si="35"/>
        <v>0.72843047108115877</v>
      </c>
      <c r="Y144" s="31">
        <f t="shared" si="36"/>
        <v>1.5468538641784981</v>
      </c>
      <c r="Z144" s="31">
        <f t="shared" si="37"/>
        <v>3.5668053132489543</v>
      </c>
    </row>
    <row r="145" spans="2:26" ht="13.95" customHeight="1" x14ac:dyDescent="0.3">
      <c r="B145" s="77">
        <v>44957</v>
      </c>
      <c r="C145" s="78">
        <v>6.6141211692605149</v>
      </c>
      <c r="D145" s="78">
        <v>11.91211445355296</v>
      </c>
      <c r="E145" s="78">
        <v>17.608824797554568</v>
      </c>
      <c r="F145" s="78">
        <v>5.2372689629215881</v>
      </c>
      <c r="G145" s="78">
        <v>7.2201247113811267</v>
      </c>
      <c r="H145" s="78">
        <v>15.91213979043664</v>
      </c>
      <c r="I145" s="78">
        <v>25.140604546293581</v>
      </c>
      <c r="J145" s="78">
        <v>7.0209141338610568</v>
      </c>
      <c r="K145" s="78">
        <v>8.8065573520818301</v>
      </c>
      <c r="L145" s="78">
        <v>3.4266227184496221</v>
      </c>
      <c r="M145" s="78">
        <v>4.6888823765120788</v>
      </c>
      <c r="N145" s="78">
        <v>7.7044654768613796</v>
      </c>
      <c r="O145" s="78">
        <v>16.008841431743271</v>
      </c>
      <c r="P145" s="31">
        <f t="shared" si="27"/>
        <v>0.91606744116685901</v>
      </c>
      <c r="Q145" s="31">
        <f t="shared" si="28"/>
        <v>1.6498488502249582</v>
      </c>
      <c r="R145" s="31">
        <f t="shared" si="29"/>
        <v>2.4388532749022565</v>
      </c>
      <c r="S145" s="31">
        <f t="shared" si="30"/>
        <v>0.72537098350476537</v>
      </c>
      <c r="T145" s="31">
        <f t="shared" si="31"/>
        <v>2.2038594105381915</v>
      </c>
      <c r="U145" s="31">
        <f t="shared" si="32"/>
        <v>3.482018046954825</v>
      </c>
      <c r="V145" s="31">
        <f t="shared" si="33"/>
        <v>1.4973534352302749</v>
      </c>
      <c r="W145" s="31">
        <f t="shared" si="34"/>
        <v>1.8781783471891587</v>
      </c>
      <c r="X145" s="31">
        <f t="shared" si="35"/>
        <v>0.73079732936243658</v>
      </c>
      <c r="Y145" s="31">
        <f t="shared" si="36"/>
        <v>1.6431347298143366</v>
      </c>
      <c r="Z145" s="31">
        <f t="shared" si="37"/>
        <v>3.414212630271134</v>
      </c>
    </row>
    <row r="146" spans="2:26" ht="13.95" customHeight="1" x14ac:dyDescent="0.3">
      <c r="B146" s="77">
        <v>44985</v>
      </c>
      <c r="C146" s="78">
        <v>6.2294555002038514</v>
      </c>
      <c r="D146" s="78">
        <v>10.76423939568692</v>
      </c>
      <c r="E146" s="78">
        <v>16.648773571020811</v>
      </c>
      <c r="F146" s="78">
        <v>4.8813917779718281</v>
      </c>
      <c r="G146" s="78">
        <v>6.7139110563840534</v>
      </c>
      <c r="H146" s="78">
        <v>14.72653609796421</v>
      </c>
      <c r="I146" s="78">
        <v>25.038268299626662</v>
      </c>
      <c r="J146" s="78">
        <v>6.5251782436860211</v>
      </c>
      <c r="K146" s="78">
        <v>8.3542453880826137</v>
      </c>
      <c r="L146" s="78">
        <v>3.2015461938366649</v>
      </c>
      <c r="M146" s="78">
        <v>4.3749946355454261</v>
      </c>
      <c r="N146" s="78">
        <v>7.1026833751072358</v>
      </c>
      <c r="O146" s="78">
        <v>16.292518315367818</v>
      </c>
      <c r="P146" s="31">
        <f t="shared" si="27"/>
        <v>0.92784301845650041</v>
      </c>
      <c r="Q146" s="31">
        <f t="shared" si="28"/>
        <v>1.6032740537203769</v>
      </c>
      <c r="R146" s="31">
        <f t="shared" si="29"/>
        <v>2.4797429443438932</v>
      </c>
      <c r="S146" s="31">
        <f t="shared" si="30"/>
        <v>0.72705636654662875</v>
      </c>
      <c r="T146" s="31">
        <f t="shared" si="31"/>
        <v>2.1934362809232031</v>
      </c>
      <c r="U146" s="31">
        <f t="shared" si="32"/>
        <v>3.7293118853307621</v>
      </c>
      <c r="V146" s="31">
        <f t="shared" si="33"/>
        <v>1.4914711416263333</v>
      </c>
      <c r="W146" s="31">
        <f t="shared" si="34"/>
        <v>1.9095441443989563</v>
      </c>
      <c r="X146" s="31">
        <f t="shared" si="35"/>
        <v>0.73178288444633288</v>
      </c>
      <c r="Y146" s="31">
        <f t="shared" si="36"/>
        <v>1.6234724763775057</v>
      </c>
      <c r="Z146" s="31">
        <f t="shared" si="37"/>
        <v>3.7240087526042522</v>
      </c>
    </row>
    <row r="147" spans="2:26" ht="13.95" customHeight="1" x14ac:dyDescent="0.3">
      <c r="B147" s="77">
        <v>45016</v>
      </c>
      <c r="C147" s="78">
        <v>6.0942999526883037</v>
      </c>
      <c r="D147" s="78">
        <v>10.481071647657989</v>
      </c>
      <c r="E147" s="78">
        <v>16.57907718169059</v>
      </c>
      <c r="F147" s="78">
        <v>4.5881850782239972</v>
      </c>
      <c r="G147" s="78">
        <v>6.4996829804490606</v>
      </c>
      <c r="H147" s="78">
        <v>14.54680691087634</v>
      </c>
      <c r="I147" s="78">
        <v>24.743844304947441</v>
      </c>
      <c r="J147" s="78">
        <v>6.3561431911909034</v>
      </c>
      <c r="K147" s="78">
        <v>8.237114384116742</v>
      </c>
      <c r="L147" s="78">
        <v>2.9924583945464041</v>
      </c>
      <c r="M147" s="78">
        <v>4.1949886600852171</v>
      </c>
      <c r="N147" s="78">
        <v>6.9272481313100229</v>
      </c>
      <c r="O147" s="78">
        <v>15.951361463097349</v>
      </c>
      <c r="P147" s="31">
        <f t="shared" si="27"/>
        <v>0.93763033843648336</v>
      </c>
      <c r="Q147" s="31">
        <f t="shared" si="28"/>
        <v>1.6125512089104777</v>
      </c>
      <c r="R147" s="31">
        <f t="shared" si="29"/>
        <v>2.5507516645904396</v>
      </c>
      <c r="S147" s="31">
        <f t="shared" si="30"/>
        <v>0.70590905618399891</v>
      </c>
      <c r="T147" s="31">
        <f t="shared" si="31"/>
        <v>2.2380794501259365</v>
      </c>
      <c r="U147" s="31">
        <f t="shared" si="32"/>
        <v>3.8069309502288831</v>
      </c>
      <c r="V147" s="31">
        <f t="shared" si="33"/>
        <v>1.5151752975326958</v>
      </c>
      <c r="W147" s="31">
        <f t="shared" si="34"/>
        <v>1.9635605842017732</v>
      </c>
      <c r="X147" s="31">
        <f t="shared" si="35"/>
        <v>0.71334123570327246</v>
      </c>
      <c r="Y147" s="31">
        <f t="shared" si="36"/>
        <v>1.6513151029994209</v>
      </c>
      <c r="Z147" s="31">
        <f t="shared" si="37"/>
        <v>3.8024802343025437</v>
      </c>
    </row>
    <row r="148" spans="2:26" ht="13.95" customHeight="1" x14ac:dyDescent="0.3">
      <c r="B148" s="77">
        <v>45046</v>
      </c>
      <c r="C148" s="78">
        <v>6.5114434177374134</v>
      </c>
      <c r="D148" s="78">
        <v>10.55919465545086</v>
      </c>
      <c r="E148" s="78">
        <v>17.063120054468449</v>
      </c>
      <c r="F148" s="78">
        <v>4.6636080870315562</v>
      </c>
      <c r="G148" s="78">
        <v>6.6984986672685203</v>
      </c>
      <c r="H148" s="78">
        <v>15.28331761590726</v>
      </c>
      <c r="I148" s="78">
        <v>24.394699480843201</v>
      </c>
      <c r="J148" s="78">
        <v>6.5497089353130971</v>
      </c>
      <c r="K148" s="78">
        <v>8.2768031495265326</v>
      </c>
      <c r="L148" s="78">
        <v>3.178193925969349</v>
      </c>
      <c r="M148" s="78">
        <v>4.4077405829100176</v>
      </c>
      <c r="N148" s="78">
        <v>7.0886862196592011</v>
      </c>
      <c r="O148" s="78">
        <v>15.497253913607789</v>
      </c>
      <c r="P148" s="31">
        <f t="shared" si="27"/>
        <v>0.9720750486306533</v>
      </c>
      <c r="Q148" s="31">
        <f t="shared" si="28"/>
        <v>1.576352430589739</v>
      </c>
      <c r="R148" s="31">
        <f t="shared" si="29"/>
        <v>2.5473051353798897</v>
      </c>
      <c r="S148" s="31">
        <f t="shared" si="30"/>
        <v>0.69621691645917105</v>
      </c>
      <c r="T148" s="31">
        <f t="shared" si="31"/>
        <v>2.2816034420649385</v>
      </c>
      <c r="U148" s="31">
        <f t="shared" si="32"/>
        <v>3.6418159788618345</v>
      </c>
      <c r="V148" s="31">
        <f t="shared" si="33"/>
        <v>1.485956083873915</v>
      </c>
      <c r="W148" s="31">
        <f t="shared" si="34"/>
        <v>1.8777881760142372</v>
      </c>
      <c r="X148" s="31">
        <f t="shared" si="35"/>
        <v>0.72104831629430555</v>
      </c>
      <c r="Y148" s="31">
        <f t="shared" si="36"/>
        <v>1.6082358038819078</v>
      </c>
      <c r="Z148" s="31">
        <f t="shared" si="37"/>
        <v>3.5159178772214417</v>
      </c>
    </row>
    <row r="149" spans="2:26" ht="13.95" customHeight="1" x14ac:dyDescent="0.3">
      <c r="B149" s="77">
        <v>45077</v>
      </c>
      <c r="C149" s="78">
        <v>6.8625436078465851</v>
      </c>
      <c r="D149" s="78">
        <v>11.067840722062151</v>
      </c>
      <c r="E149" s="78">
        <v>17.29282657673965</v>
      </c>
      <c r="F149" s="78">
        <v>4.7056649596314406</v>
      </c>
      <c r="G149" s="78">
        <v>6.9605653381133532</v>
      </c>
      <c r="H149" s="78">
        <v>16.372840874022351</v>
      </c>
      <c r="I149" s="78">
        <v>20.932667814443459</v>
      </c>
      <c r="J149" s="78">
        <v>6.6978228232219523</v>
      </c>
      <c r="K149" s="78">
        <v>8.5631360848731202</v>
      </c>
      <c r="L149" s="78">
        <v>3.16847316770937</v>
      </c>
      <c r="M149" s="78">
        <v>4.5030404220196143</v>
      </c>
      <c r="N149" s="78">
        <v>7.6406045272061087</v>
      </c>
      <c r="O149" s="78">
        <v>14.502600782788971</v>
      </c>
      <c r="P149" s="31">
        <f t="shared" si="27"/>
        <v>0.98591756193566071</v>
      </c>
      <c r="Q149" s="31">
        <f t="shared" si="28"/>
        <v>1.5900778434560412</v>
      </c>
      <c r="R149" s="31">
        <f t="shared" si="29"/>
        <v>2.4843997199553383</v>
      </c>
      <c r="S149" s="31">
        <f t="shared" si="30"/>
        <v>0.67604637426001113</v>
      </c>
      <c r="T149" s="31">
        <f t="shared" si="31"/>
        <v>2.3522286019457401</v>
      </c>
      <c r="U149" s="31">
        <f t="shared" si="32"/>
        <v>3.0073229396790944</v>
      </c>
      <c r="V149" s="31">
        <f t="shared" si="33"/>
        <v>1.4874001109272694</v>
      </c>
      <c r="W149" s="31">
        <f t="shared" si="34"/>
        <v>1.9016342920218674</v>
      </c>
      <c r="X149" s="31">
        <f t="shared" si="35"/>
        <v>0.70362974141109513</v>
      </c>
      <c r="Y149" s="31">
        <f t="shared" si="36"/>
        <v>1.6967656985364783</v>
      </c>
      <c r="Z149" s="31">
        <f t="shared" si="37"/>
        <v>3.2206241613715187</v>
      </c>
    </row>
    <row r="150" spans="2:26" ht="13.95" customHeight="1" x14ac:dyDescent="0.3">
      <c r="B150" s="77">
        <v>45107</v>
      </c>
      <c r="C150" s="78">
        <v>7.3621211954900021</v>
      </c>
      <c r="D150" s="78">
        <v>12.99115154095851</v>
      </c>
      <c r="E150" s="78">
        <v>18.045957631795339</v>
      </c>
      <c r="F150" s="78">
        <v>5.1059232716955378</v>
      </c>
      <c r="G150" s="78">
        <v>7.6161900181143247</v>
      </c>
      <c r="H150" s="78">
        <v>17.110627354913959</v>
      </c>
      <c r="I150" s="78">
        <v>22.06515153006622</v>
      </c>
      <c r="J150" s="78">
        <v>7.1907888693091868</v>
      </c>
      <c r="K150" s="78">
        <v>8.8248104178574973</v>
      </c>
      <c r="L150" s="78">
        <v>3.399452520558361</v>
      </c>
      <c r="M150" s="78">
        <v>4.8292061320241162</v>
      </c>
      <c r="N150" s="78">
        <v>7.9805962149229916</v>
      </c>
      <c r="O150" s="78">
        <v>14.38685941421825</v>
      </c>
      <c r="P150" s="31">
        <f t="shared" si="27"/>
        <v>0.96664095538319739</v>
      </c>
      <c r="Q150" s="31">
        <f t="shared" si="28"/>
        <v>1.7057283904498697</v>
      </c>
      <c r="R150" s="31">
        <f t="shared" si="29"/>
        <v>2.3694206143590018</v>
      </c>
      <c r="S150" s="31">
        <f t="shared" si="30"/>
        <v>0.67040387116808065</v>
      </c>
      <c r="T150" s="31">
        <f t="shared" si="31"/>
        <v>2.2466124550750561</v>
      </c>
      <c r="U150" s="31">
        <f t="shared" si="32"/>
        <v>2.8971377391565238</v>
      </c>
      <c r="V150" s="31">
        <f t="shared" si="33"/>
        <v>1.4890209017222538</v>
      </c>
      <c r="W150" s="31">
        <f t="shared" si="34"/>
        <v>1.8273832544312332</v>
      </c>
      <c r="X150" s="31">
        <f t="shared" si="35"/>
        <v>0.70393609790549827</v>
      </c>
      <c r="Y150" s="31">
        <f t="shared" si="36"/>
        <v>1.6525689723619232</v>
      </c>
      <c r="Z150" s="31">
        <f t="shared" si="37"/>
        <v>2.9791354978231452</v>
      </c>
    </row>
    <row r="151" spans="2:26" ht="13.95" customHeight="1" x14ac:dyDescent="0.3">
      <c r="B151" s="77">
        <v>45138</v>
      </c>
      <c r="C151" s="78">
        <v>7.3645616221558212</v>
      </c>
      <c r="D151" s="78">
        <v>12.94224306455928</v>
      </c>
      <c r="E151" s="78">
        <v>17.859988395603828</v>
      </c>
      <c r="F151" s="78">
        <v>5.6633807890099392</v>
      </c>
      <c r="G151" s="78">
        <v>7.974624791824791</v>
      </c>
      <c r="H151" s="78">
        <v>16.889827373379148</v>
      </c>
      <c r="I151" s="78">
        <v>22.019381920557581</v>
      </c>
      <c r="J151" s="78">
        <v>7.1479727385190861</v>
      </c>
      <c r="K151" s="78">
        <v>8.8953245051049947</v>
      </c>
      <c r="L151" s="78">
        <v>3.6556330909189132</v>
      </c>
      <c r="M151" s="78">
        <v>5.0127026381713611</v>
      </c>
      <c r="N151" s="78">
        <v>7.9868045082422539</v>
      </c>
      <c r="O151" s="78">
        <v>14.95720290665531</v>
      </c>
      <c r="P151" s="31">
        <f t="shared" si="27"/>
        <v>0.92349945162380831</v>
      </c>
      <c r="Q151" s="31">
        <f t="shared" si="28"/>
        <v>1.6229281505290452</v>
      </c>
      <c r="R151" s="31">
        <f t="shared" si="29"/>
        <v>2.239602346421746</v>
      </c>
      <c r="S151" s="31">
        <f t="shared" si="30"/>
        <v>0.71017520408179835</v>
      </c>
      <c r="T151" s="31">
        <f t="shared" si="31"/>
        <v>2.1179463378256744</v>
      </c>
      <c r="U151" s="31">
        <f t="shared" si="32"/>
        <v>2.7611809326917567</v>
      </c>
      <c r="V151" s="31">
        <f t="shared" si="33"/>
        <v>1.4259718268719555</v>
      </c>
      <c r="W151" s="31">
        <f t="shared" si="34"/>
        <v>1.7745565909630774</v>
      </c>
      <c r="X151" s="31">
        <f t="shared" si="35"/>
        <v>0.7292738777444201</v>
      </c>
      <c r="Y151" s="31">
        <f t="shared" si="36"/>
        <v>1.5933130458254847</v>
      </c>
      <c r="Z151" s="31">
        <f t="shared" si="37"/>
        <v>2.9838600025378152</v>
      </c>
    </row>
    <row r="152" spans="2:26" ht="13.95" customHeight="1" x14ac:dyDescent="0.3">
      <c r="B152" s="77">
        <v>45169</v>
      </c>
      <c r="C152" s="78">
        <v>6.8835597536704318</v>
      </c>
      <c r="D152" s="78">
        <v>11.518394327730279</v>
      </c>
      <c r="E152" s="78">
        <v>16.062825855168331</v>
      </c>
      <c r="F152" s="78">
        <v>5.6268083480502451</v>
      </c>
      <c r="G152" s="78">
        <v>7.5466501883571304</v>
      </c>
      <c r="H152" s="78">
        <v>15.319011280316699</v>
      </c>
      <c r="I152" s="78">
        <v>19.028581887111159</v>
      </c>
      <c r="J152" s="78">
        <v>6.6686766754533826</v>
      </c>
      <c r="K152" s="78">
        <v>8.2731945217434415</v>
      </c>
      <c r="L152" s="78">
        <v>3.6543561225763401</v>
      </c>
      <c r="M152" s="78">
        <v>4.8426696416534174</v>
      </c>
      <c r="N152" s="78">
        <v>7.4397436745782164</v>
      </c>
      <c r="O152" s="78">
        <v>13.481855997326379</v>
      </c>
      <c r="P152" s="31">
        <f t="shared" si="27"/>
        <v>0.91213446785837438</v>
      </c>
      <c r="Q152" s="31">
        <f t="shared" si="28"/>
        <v>1.5262923337165808</v>
      </c>
      <c r="R152" s="31">
        <f t="shared" si="29"/>
        <v>2.1284709711270096</v>
      </c>
      <c r="S152" s="31">
        <f t="shared" si="30"/>
        <v>0.74560344094538911</v>
      </c>
      <c r="T152" s="31">
        <f t="shared" si="31"/>
        <v>2.0299087539463088</v>
      </c>
      <c r="U152" s="31">
        <f t="shared" si="32"/>
        <v>2.5214607027192271</v>
      </c>
      <c r="V152" s="31">
        <f t="shared" si="33"/>
        <v>1.3770661987953647</v>
      </c>
      <c r="W152" s="31">
        <f t="shared" si="34"/>
        <v>1.7083953963291105</v>
      </c>
      <c r="X152" s="31">
        <f t="shared" si="35"/>
        <v>0.75461602648753978</v>
      </c>
      <c r="Y152" s="31">
        <f t="shared" si="36"/>
        <v>1.5362897379136704</v>
      </c>
      <c r="Z152" s="31">
        <f t="shared" si="37"/>
        <v>2.7839718574573902</v>
      </c>
    </row>
    <row r="153" spans="2:26" ht="13.95" customHeight="1" x14ac:dyDescent="0.3">
      <c r="B153" s="77">
        <v>45199</v>
      </c>
      <c r="C153" s="78">
        <v>6.6614619311008596</v>
      </c>
      <c r="D153" s="78">
        <v>10.964653735567181</v>
      </c>
      <c r="E153" s="78">
        <v>15.56490062350796</v>
      </c>
      <c r="F153" s="78">
        <v>5.9045801849472559</v>
      </c>
      <c r="G153" s="78">
        <v>7.5483648873052642</v>
      </c>
      <c r="H153" s="78">
        <v>14.66324715619815</v>
      </c>
      <c r="I153" s="78">
        <v>18.800167715371359</v>
      </c>
      <c r="J153" s="78">
        <v>6.5997590322022361</v>
      </c>
      <c r="K153" s="78">
        <v>7.7821239215082807</v>
      </c>
      <c r="L153" s="78">
        <v>3.7651372169326649</v>
      </c>
      <c r="M153" s="78">
        <v>4.8541071249552354</v>
      </c>
      <c r="N153" s="78">
        <v>6.911835730597228</v>
      </c>
      <c r="O153" s="78">
        <v>12.45974490406714</v>
      </c>
      <c r="P153" s="31">
        <f t="shared" si="27"/>
        <v>0.8825039635145373</v>
      </c>
      <c r="Q153" s="31">
        <f t="shared" si="28"/>
        <v>1.4525866064062938</v>
      </c>
      <c r="R153" s="31">
        <f t="shared" si="29"/>
        <v>2.0620228163167886</v>
      </c>
      <c r="S153" s="31">
        <f t="shared" si="30"/>
        <v>0.78223300981083965</v>
      </c>
      <c r="T153" s="31">
        <f t="shared" si="31"/>
        <v>1.9425726465421136</v>
      </c>
      <c r="U153" s="31">
        <f t="shared" si="32"/>
        <v>2.4906278374259863</v>
      </c>
      <c r="V153" s="31">
        <f t="shared" si="33"/>
        <v>1.359623688210857</v>
      </c>
      <c r="W153" s="31">
        <f t="shared" si="34"/>
        <v>1.6032039922440005</v>
      </c>
      <c r="X153" s="31">
        <f t="shared" si="35"/>
        <v>0.77566009978969863</v>
      </c>
      <c r="Y153" s="31">
        <f t="shared" si="36"/>
        <v>1.4239149554535158</v>
      </c>
      <c r="Z153" s="31">
        <f t="shared" si="37"/>
        <v>2.5668458860355381</v>
      </c>
    </row>
    <row r="154" spans="2:26" ht="13.95" customHeight="1" x14ac:dyDescent="0.3">
      <c r="B154" s="77">
        <v>45230</v>
      </c>
      <c r="C154" s="78">
        <v>6.3746987224762961</v>
      </c>
      <c r="D154" s="78">
        <v>9.8339302493987866</v>
      </c>
      <c r="E154" s="78">
        <v>14.28781843043042</v>
      </c>
      <c r="F154" s="78">
        <v>5.4055745589647852</v>
      </c>
      <c r="G154" s="78">
        <v>6.8867228842167654</v>
      </c>
      <c r="H154" s="78">
        <v>13.03429834945991</v>
      </c>
      <c r="I154" s="78">
        <v>19.424793881693109</v>
      </c>
      <c r="J154" s="78">
        <v>6.270430639603588</v>
      </c>
      <c r="K154" s="78">
        <v>7.2606817769245806</v>
      </c>
      <c r="L154" s="78">
        <v>3.586661058330066</v>
      </c>
      <c r="M154" s="78">
        <v>4.5626414484927764</v>
      </c>
      <c r="N154" s="78">
        <v>6.4370172464416733</v>
      </c>
      <c r="O154" s="78">
        <v>11.561628245758531</v>
      </c>
      <c r="P154" s="31">
        <f t="shared" si="27"/>
        <v>0.92565053504418704</v>
      </c>
      <c r="Q154" s="31">
        <f t="shared" si="28"/>
        <v>1.4279549815974932</v>
      </c>
      <c r="R154" s="31">
        <f t="shared" si="29"/>
        <v>2.0746904835064215</v>
      </c>
      <c r="S154" s="31">
        <f t="shared" si="30"/>
        <v>0.78492697467956374</v>
      </c>
      <c r="T154" s="31">
        <f t="shared" si="31"/>
        <v>1.8926706604286887</v>
      </c>
      <c r="U154" s="31">
        <f t="shared" si="32"/>
        <v>2.8206150019788856</v>
      </c>
      <c r="V154" s="31">
        <f t="shared" si="33"/>
        <v>1.3742983555446731</v>
      </c>
      <c r="W154" s="31">
        <f t="shared" si="34"/>
        <v>1.5913329721148866</v>
      </c>
      <c r="X154" s="31">
        <f t="shared" si="35"/>
        <v>0.78609312145596799</v>
      </c>
      <c r="Y154" s="31">
        <f t="shared" si="36"/>
        <v>1.4108093566212787</v>
      </c>
      <c r="Z154" s="31">
        <f t="shared" si="37"/>
        <v>2.5339769465290334</v>
      </c>
    </row>
    <row r="155" spans="2:26" ht="13.95" customHeight="1" x14ac:dyDescent="0.3">
      <c r="B155" s="77">
        <v>45260</v>
      </c>
      <c r="C155" s="78">
        <v>7.4512977463717656</v>
      </c>
      <c r="D155" s="78">
        <v>11.52820235216201</v>
      </c>
      <c r="E155" s="78">
        <v>15.88441772353778</v>
      </c>
      <c r="F155" s="78">
        <v>5.8003056000096684</v>
      </c>
      <c r="G155" s="78">
        <v>7.7797875987715628</v>
      </c>
      <c r="H155" s="78">
        <v>15.152766240437019</v>
      </c>
      <c r="I155" s="78">
        <v>18.640703837765209</v>
      </c>
      <c r="J155" s="78">
        <v>6.8409162408054822</v>
      </c>
      <c r="K155" s="78">
        <v>7.9226603556461006</v>
      </c>
      <c r="L155" s="78">
        <v>3.7001385556017179</v>
      </c>
      <c r="M155" s="78">
        <v>4.8511502025207029</v>
      </c>
      <c r="N155" s="78">
        <v>7.0684030538095071</v>
      </c>
      <c r="O155" s="78">
        <v>12.849731376524399</v>
      </c>
      <c r="P155" s="31">
        <f t="shared" si="27"/>
        <v>0.95777650119244051</v>
      </c>
      <c r="Q155" s="31">
        <f t="shared" si="28"/>
        <v>1.4818145361683559</v>
      </c>
      <c r="R155" s="31">
        <f t="shared" si="29"/>
        <v>2.0417546779870888</v>
      </c>
      <c r="S155" s="31">
        <f t="shared" si="30"/>
        <v>0.74556092005976404</v>
      </c>
      <c r="T155" s="31">
        <f t="shared" si="31"/>
        <v>1.9477095033840846</v>
      </c>
      <c r="U155" s="31">
        <f t="shared" si="32"/>
        <v>2.3960427712330601</v>
      </c>
      <c r="V155" s="31">
        <f t="shared" si="33"/>
        <v>1.4101637663684126</v>
      </c>
      <c r="W155" s="31">
        <f t="shared" si="34"/>
        <v>1.6331509074960022</v>
      </c>
      <c r="X155" s="31">
        <f t="shared" si="35"/>
        <v>0.76273427973413221</v>
      </c>
      <c r="Y155" s="31">
        <f t="shared" si="36"/>
        <v>1.4570571428888552</v>
      </c>
      <c r="Z155" s="31">
        <f t="shared" si="37"/>
        <v>2.6488009729831821</v>
      </c>
    </row>
    <row r="156" spans="2:26" ht="13.95" customHeight="1" x14ac:dyDescent="0.3">
      <c r="B156" s="77">
        <v>45291</v>
      </c>
      <c r="C156" s="78">
        <v>7.8014985474896159</v>
      </c>
      <c r="D156" s="78">
        <v>11.51212681473813</v>
      </c>
      <c r="E156" s="78">
        <v>16.544356985020372</v>
      </c>
      <c r="F156" s="78">
        <v>6.0535465278542926</v>
      </c>
      <c r="G156" s="78">
        <v>8.1143292370844637</v>
      </c>
      <c r="H156" s="78">
        <v>15.71658674577017</v>
      </c>
      <c r="I156" s="78">
        <v>19.659297703712639</v>
      </c>
      <c r="J156" s="78">
        <v>6.9497179061637819</v>
      </c>
      <c r="K156" s="78">
        <v>8.2463321423085088</v>
      </c>
      <c r="L156" s="78">
        <v>3.8306131966650652</v>
      </c>
      <c r="M156" s="78">
        <v>5.0364324389742743</v>
      </c>
      <c r="N156" s="78">
        <v>7.3260286841791409</v>
      </c>
      <c r="O156" s="78">
        <v>13.5256336069324</v>
      </c>
      <c r="P156" s="31">
        <f t="shared" si="27"/>
        <v>0.96144712884397943</v>
      </c>
      <c r="Q156" s="31">
        <f t="shared" si="28"/>
        <v>1.4187404132093757</v>
      </c>
      <c r="R156" s="31">
        <f t="shared" si="29"/>
        <v>2.0389062979363253</v>
      </c>
      <c r="S156" s="31">
        <f t="shared" si="30"/>
        <v>0.74603166213519023</v>
      </c>
      <c r="T156" s="31">
        <f t="shared" si="31"/>
        <v>1.9368929071723557</v>
      </c>
      <c r="U156" s="31">
        <f t="shared" si="32"/>
        <v>2.4227877781770122</v>
      </c>
      <c r="V156" s="31">
        <f t="shared" si="33"/>
        <v>1.3798890366092491</v>
      </c>
      <c r="W156" s="31">
        <f t="shared" si="34"/>
        <v>1.6373359996839283</v>
      </c>
      <c r="X156" s="31">
        <f t="shared" si="35"/>
        <v>0.76058067750933878</v>
      </c>
      <c r="Y156" s="31">
        <f t="shared" si="36"/>
        <v>1.4546067624151766</v>
      </c>
      <c r="Z156" s="31">
        <f t="shared" si="37"/>
        <v>2.6855584326446453</v>
      </c>
    </row>
    <row r="157" spans="2:26" ht="13.95" customHeight="1" x14ac:dyDescent="0.3">
      <c r="B157" s="77">
        <v>45322</v>
      </c>
      <c r="C157" s="78">
        <v>7.3800360606299904</v>
      </c>
      <c r="D157" s="78">
        <v>11.11822891103836</v>
      </c>
      <c r="E157" s="78">
        <v>14.699501093930611</v>
      </c>
      <c r="F157" s="78">
        <v>5.9291797579087948</v>
      </c>
      <c r="G157" s="78">
        <v>7.7743808077359171</v>
      </c>
      <c r="H157" s="78">
        <v>14.25228445976639</v>
      </c>
      <c r="I157" s="78">
        <v>16.245248155415371</v>
      </c>
      <c r="J157" s="78">
        <v>6.6935323967670772</v>
      </c>
      <c r="K157" s="78">
        <v>7.8449891378658174</v>
      </c>
      <c r="L157" s="78">
        <v>3.680419260302902</v>
      </c>
      <c r="M157" s="78">
        <v>4.811510718226824</v>
      </c>
      <c r="N157" s="78">
        <v>7.0478955307882716</v>
      </c>
      <c r="O157" s="78">
        <v>12.081210587068609</v>
      </c>
      <c r="P157" s="31">
        <f t="shared" si="27"/>
        <v>0.94927637880645965</v>
      </c>
      <c r="Q157" s="31">
        <f t="shared" si="28"/>
        <v>1.430111180040877</v>
      </c>
      <c r="R157" s="31">
        <f t="shared" si="29"/>
        <v>1.8907616513078231</v>
      </c>
      <c r="S157" s="31">
        <f t="shared" si="30"/>
        <v>0.76265620433835057</v>
      </c>
      <c r="T157" s="31">
        <f t="shared" si="31"/>
        <v>1.8332372457989989</v>
      </c>
      <c r="U157" s="31">
        <f t="shared" si="32"/>
        <v>2.0895873970117975</v>
      </c>
      <c r="V157" s="31">
        <f t="shared" si="33"/>
        <v>1.3911498464319811</v>
      </c>
      <c r="W157" s="31">
        <f t="shared" si="34"/>
        <v>1.630462779215613</v>
      </c>
      <c r="X157" s="31">
        <f t="shared" si="35"/>
        <v>0.76491968444772362</v>
      </c>
      <c r="Y157" s="31">
        <f t="shared" si="36"/>
        <v>1.464798884078059</v>
      </c>
      <c r="Z157" s="31">
        <f t="shared" si="37"/>
        <v>2.5108975734591885</v>
      </c>
    </row>
    <row r="158" spans="2:26" ht="13.95" customHeight="1" x14ac:dyDescent="0.3">
      <c r="B158" s="77">
        <v>45351</v>
      </c>
      <c r="C158" s="78">
        <v>7.4171004687541533</v>
      </c>
      <c r="D158" s="78">
        <v>11.195272640825021</v>
      </c>
      <c r="E158" s="78">
        <v>15.077522119209929</v>
      </c>
      <c r="F158" s="78">
        <v>5.760721975553265</v>
      </c>
      <c r="G158" s="78">
        <v>7.7166555945192998</v>
      </c>
      <c r="H158" s="78">
        <v>14.21540656917786</v>
      </c>
      <c r="I158" s="78">
        <v>18.000161315706379</v>
      </c>
      <c r="J158" s="78">
        <v>6.8324063187227217</v>
      </c>
      <c r="K158" s="78">
        <v>8.0045679166232873</v>
      </c>
      <c r="L158" s="78">
        <v>3.6904874723894272</v>
      </c>
      <c r="M158" s="78">
        <v>4.8700797747978992</v>
      </c>
      <c r="N158" s="78">
        <v>6.9798697619051513</v>
      </c>
      <c r="O158" s="78">
        <v>13.44526429283618</v>
      </c>
      <c r="P158" s="31">
        <f t="shared" si="27"/>
        <v>0.96118070554063562</v>
      </c>
      <c r="Q158" s="31">
        <f t="shared" si="28"/>
        <v>1.4507933525990695</v>
      </c>
      <c r="R158" s="31">
        <f t="shared" si="29"/>
        <v>1.9538933589207523</v>
      </c>
      <c r="S158" s="31">
        <f t="shared" si="30"/>
        <v>0.74653091679312178</v>
      </c>
      <c r="T158" s="31">
        <f t="shared" si="31"/>
        <v>1.8421719610337739</v>
      </c>
      <c r="U158" s="31">
        <f t="shared" si="32"/>
        <v>2.3326376427232112</v>
      </c>
      <c r="V158" s="31">
        <f t="shared" si="33"/>
        <v>1.4029351950412878</v>
      </c>
      <c r="W158" s="31">
        <f t="shared" si="34"/>
        <v>1.6436215189011898</v>
      </c>
      <c r="X158" s="31">
        <f t="shared" si="35"/>
        <v>0.75778788911986084</v>
      </c>
      <c r="Y158" s="31">
        <f t="shared" si="36"/>
        <v>1.4332146668367061</v>
      </c>
      <c r="Z158" s="31">
        <f t="shared" si="37"/>
        <v>2.7607893329414996</v>
      </c>
    </row>
    <row r="159" spans="2:26" ht="13.95" customHeight="1" x14ac:dyDescent="0.3">
      <c r="B159" s="77">
        <v>45382</v>
      </c>
      <c r="C159" s="78">
        <v>7.3932101542498474</v>
      </c>
      <c r="D159" s="78">
        <v>10.916359482564079</v>
      </c>
      <c r="E159" s="78">
        <v>15.567062671341381</v>
      </c>
      <c r="F159" s="78">
        <v>5.3470693841341781</v>
      </c>
      <c r="G159" s="78">
        <v>7.4695180410942843</v>
      </c>
      <c r="H159" s="78">
        <v>14.00187230020407</v>
      </c>
      <c r="I159" s="78">
        <v>21.24770351817963</v>
      </c>
      <c r="J159" s="78">
        <v>6.7059762338855071</v>
      </c>
      <c r="K159" s="78">
        <v>8.1077469953015697</v>
      </c>
      <c r="L159" s="78">
        <v>3.5752368399392731</v>
      </c>
      <c r="M159" s="78">
        <v>4.7975210916035689</v>
      </c>
      <c r="N159" s="78">
        <v>6.9286842948211289</v>
      </c>
      <c r="O159" s="78">
        <v>13.882512922347111</v>
      </c>
      <c r="P159" s="31">
        <f t="shared" si="27"/>
        <v>0.98978409498114583</v>
      </c>
      <c r="Q159" s="31">
        <f t="shared" si="28"/>
        <v>1.4614543297849554</v>
      </c>
      <c r="R159" s="31">
        <f t="shared" si="29"/>
        <v>2.0840785959278314</v>
      </c>
      <c r="S159" s="31">
        <f t="shared" si="30"/>
        <v>0.71585199402648914</v>
      </c>
      <c r="T159" s="31">
        <f t="shared" si="31"/>
        <v>1.8745349061574521</v>
      </c>
      <c r="U159" s="31">
        <f t="shared" si="32"/>
        <v>2.8445882855203388</v>
      </c>
      <c r="V159" s="31">
        <f t="shared" si="33"/>
        <v>1.39780026097687</v>
      </c>
      <c r="W159" s="31">
        <f t="shared" si="34"/>
        <v>1.6899867328340519</v>
      </c>
      <c r="X159" s="31">
        <f t="shared" si="35"/>
        <v>0.74522587221065284</v>
      </c>
      <c r="Y159" s="31">
        <f t="shared" si="36"/>
        <v>1.4442217475494661</v>
      </c>
      <c r="Z159" s="31">
        <f t="shared" si="37"/>
        <v>2.8936846044603608</v>
      </c>
    </row>
    <row r="160" spans="2:26" ht="13.95" customHeight="1" x14ac:dyDescent="0.3">
      <c r="B160" s="77">
        <v>45412</v>
      </c>
      <c r="C160" s="78">
        <v>6.8171709599499124</v>
      </c>
      <c r="D160" s="78">
        <v>10.55321341460766</v>
      </c>
      <c r="E160" s="78">
        <v>14.814283001120121</v>
      </c>
      <c r="F160" s="78">
        <v>5.5698290618818982</v>
      </c>
      <c r="G160" s="78">
        <v>7.3055829447725138</v>
      </c>
      <c r="H160" s="78">
        <v>12.37253667179708</v>
      </c>
      <c r="I160" s="78">
        <v>24.988964927401149</v>
      </c>
      <c r="J160" s="78">
        <v>6.4247831965713473</v>
      </c>
      <c r="K160" s="78">
        <v>7.9095216283105989</v>
      </c>
      <c r="L160" s="78">
        <v>3.7240870705421232</v>
      </c>
      <c r="M160" s="78">
        <v>4.7909534306474661</v>
      </c>
      <c r="N160" s="78">
        <v>6.5641272336990486</v>
      </c>
      <c r="O160" s="78">
        <v>13.89506949994759</v>
      </c>
      <c r="P160" s="31">
        <f t="shared" si="27"/>
        <v>0.93314537819708376</v>
      </c>
      <c r="Q160" s="31">
        <f t="shared" si="28"/>
        <v>1.4445409071919411</v>
      </c>
      <c r="R160" s="31">
        <f t="shared" si="29"/>
        <v>2.0278029984890438</v>
      </c>
      <c r="S160" s="31">
        <f t="shared" si="30"/>
        <v>0.76240720336593693</v>
      </c>
      <c r="T160" s="31">
        <f t="shared" si="31"/>
        <v>1.6935728148361122</v>
      </c>
      <c r="U160" s="31">
        <f t="shared" si="32"/>
        <v>3.4205299038158099</v>
      </c>
      <c r="V160" s="31">
        <f t="shared" si="33"/>
        <v>1.3410239296989117</v>
      </c>
      <c r="W160" s="31">
        <f t="shared" si="34"/>
        <v>1.6509285140852807</v>
      </c>
      <c r="X160" s="31">
        <f t="shared" si="35"/>
        <v>0.77731648291952549</v>
      </c>
      <c r="Y160" s="31">
        <f t="shared" si="36"/>
        <v>1.3701087536582357</v>
      </c>
      <c r="Z160" s="31">
        <f t="shared" si="37"/>
        <v>2.9002722946671935</v>
      </c>
    </row>
    <row r="161" spans="2:26" ht="13.95" customHeight="1" x14ac:dyDescent="0.3">
      <c r="B161" s="77">
        <v>45443</v>
      </c>
      <c r="C161" s="78">
        <v>6.6087007089918508</v>
      </c>
      <c r="D161" s="78">
        <v>10.352734484573491</v>
      </c>
      <c r="E161" s="78">
        <v>13.224309581015749</v>
      </c>
      <c r="F161" s="78">
        <v>5.2765135103870522</v>
      </c>
      <c r="G161" s="78">
        <v>6.9824632423611526</v>
      </c>
      <c r="H161" s="78">
        <v>11.635603803420119</v>
      </c>
      <c r="I161" s="78">
        <v>18.25704203206416</v>
      </c>
      <c r="J161" s="78">
        <v>6.241403567548879</v>
      </c>
      <c r="K161" s="78">
        <v>7.6620429846121789</v>
      </c>
      <c r="L161" s="78">
        <v>3.6117104928287649</v>
      </c>
      <c r="M161" s="78">
        <v>4.653929748452291</v>
      </c>
      <c r="N161" s="78">
        <v>6.3576141437226914</v>
      </c>
      <c r="O161" s="78">
        <v>13.25836908245738</v>
      </c>
      <c r="P161" s="31">
        <f t="shared" si="27"/>
        <v>0.94647124941499694</v>
      </c>
      <c r="Q161" s="31">
        <f t="shared" si="28"/>
        <v>1.4826765462602944</v>
      </c>
      <c r="R161" s="31">
        <f t="shared" si="29"/>
        <v>1.893931857855923</v>
      </c>
      <c r="S161" s="31">
        <f t="shared" si="30"/>
        <v>0.75568081452624658</v>
      </c>
      <c r="T161" s="31">
        <f t="shared" si="31"/>
        <v>1.6664038749003833</v>
      </c>
      <c r="U161" s="31">
        <f t="shared" si="32"/>
        <v>2.6146993400985603</v>
      </c>
      <c r="V161" s="31">
        <f t="shared" si="33"/>
        <v>1.3411039497586996</v>
      </c>
      <c r="W161" s="31">
        <f t="shared" si="34"/>
        <v>1.6463598289510633</v>
      </c>
      <c r="X161" s="31">
        <f t="shared" si="35"/>
        <v>0.77605608336264076</v>
      </c>
      <c r="Y161" s="31">
        <f t="shared" si="36"/>
        <v>1.3660743688357087</v>
      </c>
      <c r="Z161" s="31">
        <f t="shared" si="37"/>
        <v>2.848854580769419</v>
      </c>
    </row>
    <row r="162" spans="2:26" ht="13.95" customHeight="1" x14ac:dyDescent="0.3">
      <c r="B162" s="77">
        <v>45473</v>
      </c>
      <c r="C162" s="78">
        <v>6.570560754470419</v>
      </c>
      <c r="D162" s="78">
        <v>10.634347449964631</v>
      </c>
      <c r="E162" s="78">
        <v>13.3992013483302</v>
      </c>
      <c r="F162" s="78">
        <v>5.0063319172057508</v>
      </c>
      <c r="G162" s="78">
        <v>6.8459999770050644</v>
      </c>
      <c r="H162" s="78">
        <v>11.53326720672168</v>
      </c>
      <c r="I162" s="78">
        <v>19.178126782097419</v>
      </c>
      <c r="J162" s="78">
        <v>6.2606482669555934</v>
      </c>
      <c r="K162" s="78">
        <v>7.9142131585647029</v>
      </c>
      <c r="L162" s="78">
        <v>3.4821955180612831</v>
      </c>
      <c r="M162" s="78">
        <v>4.5783301865283894</v>
      </c>
      <c r="N162" s="78">
        <v>6.4304249889804064</v>
      </c>
      <c r="O162" s="78">
        <v>14.034730200237849</v>
      </c>
      <c r="P162" s="31">
        <f t="shared" si="27"/>
        <v>0.9597664003126184</v>
      </c>
      <c r="Q162" s="31">
        <f t="shared" si="28"/>
        <v>1.5533665623260582</v>
      </c>
      <c r="R162" s="31">
        <f t="shared" si="29"/>
        <v>1.957230703087437</v>
      </c>
      <c r="S162" s="31">
        <f t="shared" si="30"/>
        <v>0.73127840111327058</v>
      </c>
      <c r="T162" s="31">
        <f t="shared" si="31"/>
        <v>1.6846723992785004</v>
      </c>
      <c r="U162" s="31">
        <f t="shared" si="32"/>
        <v>2.8013623789825544</v>
      </c>
      <c r="V162" s="31">
        <f t="shared" si="33"/>
        <v>1.3674523269154721</v>
      </c>
      <c r="W162" s="31">
        <f t="shared" si="34"/>
        <v>1.7286243752912487</v>
      </c>
      <c r="X162" s="31">
        <f t="shared" si="35"/>
        <v>0.76058199740760235</v>
      </c>
      <c r="Y162" s="31">
        <f t="shared" si="36"/>
        <v>1.4045350000971435</v>
      </c>
      <c r="Z162" s="31">
        <f t="shared" si="37"/>
        <v>3.0654692056799782</v>
      </c>
    </row>
    <row r="163" spans="2:26" ht="13.95" customHeight="1" x14ac:dyDescent="0.3">
      <c r="B163" s="77">
        <v>45504</v>
      </c>
      <c r="C163" s="78">
        <v>6.7087842987619144</v>
      </c>
      <c r="D163" s="78">
        <v>11.33236240370019</v>
      </c>
      <c r="E163" s="78">
        <v>14.479899873237279</v>
      </c>
      <c r="F163" s="78">
        <v>4.5535405558601214</v>
      </c>
      <c r="G163" s="78">
        <v>6.7279784340451254</v>
      </c>
      <c r="H163" s="78">
        <v>11.85823100561211</v>
      </c>
      <c r="I163" s="78">
        <v>22.316139025061801</v>
      </c>
      <c r="J163" s="78">
        <v>6.5190274432714341</v>
      </c>
      <c r="K163" s="78">
        <v>8.2847812634199371</v>
      </c>
      <c r="L163" s="78">
        <v>3.407306166188782</v>
      </c>
      <c r="M163" s="78">
        <v>4.639400181912432</v>
      </c>
      <c r="N163" s="78">
        <v>6.3903552388412184</v>
      </c>
      <c r="O163" s="78">
        <v>15.877690314577141</v>
      </c>
      <c r="P163" s="31">
        <f t="shared" si="27"/>
        <v>0.99714711700232506</v>
      </c>
      <c r="Q163" s="31">
        <f t="shared" si="28"/>
        <v>1.6843636635866455</v>
      </c>
      <c r="R163" s="31">
        <f t="shared" si="29"/>
        <v>2.1521917787318761</v>
      </c>
      <c r="S163" s="31">
        <f t="shared" si="30"/>
        <v>0.67680665158172237</v>
      </c>
      <c r="T163" s="31">
        <f t="shared" si="31"/>
        <v>1.7625251213063824</v>
      </c>
      <c r="U163" s="31">
        <f t="shared" si="32"/>
        <v>3.3169159568254534</v>
      </c>
      <c r="V163" s="31">
        <f t="shared" si="33"/>
        <v>1.4051444556749124</v>
      </c>
      <c r="W163" s="31">
        <f t="shared" si="34"/>
        <v>1.7857440484913769</v>
      </c>
      <c r="X163" s="31">
        <f t="shared" si="35"/>
        <v>0.73442816583764459</v>
      </c>
      <c r="Y163" s="31">
        <f t="shared" si="36"/>
        <v>1.3774097918423187</v>
      </c>
      <c r="Z163" s="31">
        <f t="shared" si="37"/>
        <v>3.4223584282466688</v>
      </c>
    </row>
    <row r="164" spans="2:26" ht="13.95" customHeight="1" x14ac:dyDescent="0.3">
      <c r="B164" s="77">
        <v>45535</v>
      </c>
      <c r="C164" s="78">
        <v>7.4233172338936706</v>
      </c>
      <c r="D164" s="78">
        <v>11.67195223892225</v>
      </c>
      <c r="E164" s="78">
        <v>15.85781012143574</v>
      </c>
      <c r="F164" s="78">
        <v>4.9948654360090918</v>
      </c>
      <c r="G164" s="78">
        <v>7.3920529563885511</v>
      </c>
      <c r="H164" s="78">
        <v>12.787494337959259</v>
      </c>
      <c r="I164" s="78">
        <v>28.035167881077939</v>
      </c>
      <c r="J164" s="78">
        <v>6.7692903194163829</v>
      </c>
      <c r="K164" s="78">
        <v>8.5957025706327812</v>
      </c>
      <c r="L164" s="78">
        <v>3.4831316276453119</v>
      </c>
      <c r="M164" s="78">
        <v>4.8165959271467411</v>
      </c>
      <c r="N164" s="78">
        <v>6.8851021092957456</v>
      </c>
      <c r="O164" s="78">
        <v>15.73534449728418</v>
      </c>
      <c r="P164" s="31">
        <f t="shared" si="27"/>
        <v>1.0042294444709166</v>
      </c>
      <c r="Q164" s="31">
        <f t="shared" si="28"/>
        <v>1.5789865559384033</v>
      </c>
      <c r="R164" s="31">
        <f t="shared" si="29"/>
        <v>2.1452511521485644</v>
      </c>
      <c r="S164" s="31">
        <f t="shared" si="30"/>
        <v>0.67570747469988024</v>
      </c>
      <c r="T164" s="31">
        <f t="shared" si="31"/>
        <v>1.7298975553073819</v>
      </c>
      <c r="U164" s="31">
        <f t="shared" si="32"/>
        <v>3.792609177244687</v>
      </c>
      <c r="V164" s="31">
        <f t="shared" si="33"/>
        <v>1.405409634066269</v>
      </c>
      <c r="W164" s="31">
        <f t="shared" si="34"/>
        <v>1.7846011375350537</v>
      </c>
      <c r="X164" s="31">
        <f t="shared" si="35"/>
        <v>0.72315213489553654</v>
      </c>
      <c r="Y164" s="31">
        <f t="shared" si="36"/>
        <v>1.4294539574081209</v>
      </c>
      <c r="Z164" s="31">
        <f t="shared" si="37"/>
        <v>3.2669015078882682</v>
      </c>
    </row>
    <row r="165" spans="2:26" ht="13.95" customHeight="1" x14ac:dyDescent="0.3">
      <c r="B165" s="77">
        <v>45565</v>
      </c>
      <c r="C165" s="78">
        <v>6.9898273902344634</v>
      </c>
      <c r="D165" s="78">
        <v>10.958760755455129</v>
      </c>
      <c r="E165" s="78">
        <v>15.16820044851505</v>
      </c>
      <c r="F165" s="78">
        <v>5.0837992434551147</v>
      </c>
      <c r="G165" s="78">
        <v>7.2403887456382012</v>
      </c>
      <c r="H165" s="78">
        <v>12.1907804138753</v>
      </c>
      <c r="I165" s="78">
        <v>26.279343285758941</v>
      </c>
      <c r="J165" s="78">
        <v>6.6149582990822706</v>
      </c>
      <c r="K165" s="78">
        <v>8.3201108826475068</v>
      </c>
      <c r="L165" s="78">
        <v>3.5663901220330039</v>
      </c>
      <c r="M165" s="78">
        <v>4.8417438393463579</v>
      </c>
      <c r="N165" s="78">
        <v>6.6113654383560068</v>
      </c>
      <c r="O165" s="78">
        <v>15.19615958200003</v>
      </c>
      <c r="P165" s="31">
        <f t="shared" si="27"/>
        <v>0.9653939361260564</v>
      </c>
      <c r="Q165" s="31">
        <f t="shared" si="28"/>
        <v>1.513559719021575</v>
      </c>
      <c r="R165" s="31">
        <f t="shared" si="29"/>
        <v>2.0949428243963792</v>
      </c>
      <c r="S165" s="31">
        <f t="shared" si="30"/>
        <v>0.70214451489469099</v>
      </c>
      <c r="T165" s="31">
        <f t="shared" si="31"/>
        <v>1.6837190435692204</v>
      </c>
      <c r="U165" s="31">
        <f t="shared" si="32"/>
        <v>3.6295486622303672</v>
      </c>
      <c r="V165" s="31">
        <f t="shared" si="33"/>
        <v>1.3662346705180708</v>
      </c>
      <c r="W165" s="31">
        <f t="shared" si="34"/>
        <v>1.7184120347372061</v>
      </c>
      <c r="X165" s="31">
        <f t="shared" si="35"/>
        <v>0.73659207103250457</v>
      </c>
      <c r="Y165" s="31">
        <f t="shared" si="36"/>
        <v>1.3654926112837373</v>
      </c>
      <c r="Z165" s="31">
        <f t="shared" si="37"/>
        <v>3.1385715738426039</v>
      </c>
    </row>
    <row r="166" spans="2:26" ht="13.95" customHeight="1" x14ac:dyDescent="0.3">
      <c r="B166" s="77">
        <v>45596</v>
      </c>
      <c r="C166" s="78">
        <v>6.6998384846390264</v>
      </c>
      <c r="D166" s="78">
        <v>11.02882740196265</v>
      </c>
      <c r="E166" s="78">
        <v>14.454687582470109</v>
      </c>
      <c r="F166" s="78">
        <v>5.2718946837844918</v>
      </c>
      <c r="G166" s="78">
        <v>7.284326421677874</v>
      </c>
      <c r="H166" s="78">
        <v>11.73272623465987</v>
      </c>
      <c r="I166" s="78">
        <v>24.254711558507029</v>
      </c>
      <c r="J166" s="78">
        <v>6.5164689647375464</v>
      </c>
      <c r="K166" s="78">
        <v>8.0095784963584897</v>
      </c>
      <c r="L166" s="78">
        <v>3.629946586009289</v>
      </c>
      <c r="M166" s="78">
        <v>4.8620703728061923</v>
      </c>
      <c r="N166" s="78">
        <v>6.4125170550875774</v>
      </c>
      <c r="O166" s="78">
        <v>14.256782226016179</v>
      </c>
      <c r="P166" s="31">
        <f t="shared" ref="P166:P189" si="38">C166/G166</f>
        <v>0.91976088066297601</v>
      </c>
      <c r="Q166" s="31">
        <f t="shared" ref="Q166:Q189" si="39">D166/G166</f>
        <v>1.5140490367292281</v>
      </c>
      <c r="R166" s="31">
        <f t="shared" ref="R166:R189" si="40">E166/G166</f>
        <v>1.9843547290046637</v>
      </c>
      <c r="S166" s="31">
        <f t="shared" ref="S166:S189" si="41">F166/G166</f>
        <v>0.72373125236336699</v>
      </c>
      <c r="T166" s="31">
        <f t="shared" ref="T166:T189" si="42">H166/G166</f>
        <v>1.6106810095362736</v>
      </c>
      <c r="U166" s="31">
        <f t="shared" ref="U166:U189" si="43">I166/G166</f>
        <v>3.3297123377565763</v>
      </c>
      <c r="V166" s="31">
        <f t="shared" ref="V166:V189" si="44">IFERROR(J166/M166,"")</f>
        <v>1.3402662785764043</v>
      </c>
      <c r="W166" s="31">
        <f t="shared" ref="W166:W189" si="45">IFERROR(K166/M166,"")</f>
        <v>1.6473596394565722</v>
      </c>
      <c r="X166" s="31">
        <f t="shared" ref="X166:X189" si="46">IFERROR(L166/M166,"")</f>
        <v>0.74658454273137742</v>
      </c>
      <c r="Y166" s="31">
        <f t="shared" ref="Y166:Y189" si="47">IFERROR(N166/M166,"")</f>
        <v>1.3188861047658036</v>
      </c>
      <c r="Z166" s="31">
        <f t="shared" ref="Z166:Z189" si="48">IFERROR(O166/M166,"")</f>
        <v>2.9322451410319132</v>
      </c>
    </row>
    <row r="167" spans="2:26" ht="13.95" customHeight="1" x14ac:dyDescent="0.3">
      <c r="B167" s="77">
        <v>45626</v>
      </c>
      <c r="C167" s="78">
        <v>6.0412860270687334</v>
      </c>
      <c r="D167" s="78">
        <v>10.12875320444677</v>
      </c>
      <c r="E167" s="78">
        <v>13.71287017918147</v>
      </c>
      <c r="F167" s="78">
        <v>5.1107316437200074</v>
      </c>
      <c r="G167" s="78">
        <v>6.8147528010842429</v>
      </c>
      <c r="H167" s="78">
        <v>10.435553383762951</v>
      </c>
      <c r="I167" s="78">
        <v>25.664291802166641</v>
      </c>
      <c r="J167" s="78">
        <v>6.102731011878646</v>
      </c>
      <c r="K167" s="78">
        <v>7.7382293207116444</v>
      </c>
      <c r="L167" s="78">
        <v>3.5627614251993069</v>
      </c>
      <c r="M167" s="78">
        <v>4.6714880185469427</v>
      </c>
      <c r="N167" s="78">
        <v>5.8474668064270592</v>
      </c>
      <c r="O167" s="78">
        <v>15.000927375161501</v>
      </c>
      <c r="P167" s="31">
        <f t="shared" si="38"/>
        <v>0.886501125339066</v>
      </c>
      <c r="Q167" s="31">
        <f t="shared" si="39"/>
        <v>1.486297962684026</v>
      </c>
      <c r="R167" s="31">
        <f t="shared" si="40"/>
        <v>2.0122329568579098</v>
      </c>
      <c r="S167" s="31">
        <f t="shared" si="41"/>
        <v>0.74995114172107291</v>
      </c>
      <c r="T167" s="31">
        <f t="shared" si="42"/>
        <v>1.531317963888966</v>
      </c>
      <c r="U167" s="31">
        <f t="shared" si="43"/>
        <v>3.7659901321854834</v>
      </c>
      <c r="V167" s="31">
        <f t="shared" si="44"/>
        <v>1.3063783932762583</v>
      </c>
      <c r="W167" s="31">
        <f t="shared" si="45"/>
        <v>1.6564806096021212</v>
      </c>
      <c r="X167" s="31">
        <f t="shared" si="46"/>
        <v>0.76266093609879293</v>
      </c>
      <c r="Y167" s="31">
        <f t="shared" si="47"/>
        <v>1.2517353749407458</v>
      </c>
      <c r="Z167" s="31">
        <f t="shared" si="48"/>
        <v>3.2111668306980929</v>
      </c>
    </row>
    <row r="168" spans="2:26" ht="13.95" customHeight="1" x14ac:dyDescent="0.3">
      <c r="B168" s="77">
        <v>45657</v>
      </c>
      <c r="C168" s="78">
        <v>5.8382049708976789</v>
      </c>
      <c r="D168" s="78">
        <v>9.5787424085275141</v>
      </c>
      <c r="E168" s="78">
        <v>12.24174295712834</v>
      </c>
      <c r="F168" s="78">
        <v>4.7903027820182862</v>
      </c>
      <c r="G168" s="78">
        <v>6.4682831980621662</v>
      </c>
      <c r="H168" s="78">
        <v>9.4610370553671643</v>
      </c>
      <c r="I168" s="78">
        <v>20.423368587782281</v>
      </c>
      <c r="J168" s="78">
        <v>5.7610359241630276</v>
      </c>
      <c r="K168" s="78">
        <v>7.2822808786369571</v>
      </c>
      <c r="L168" s="78">
        <v>3.371522554928597</v>
      </c>
      <c r="M168" s="78">
        <v>4.4453251103315248</v>
      </c>
      <c r="N168" s="78">
        <v>5.4244569044533426</v>
      </c>
      <c r="O168" s="78">
        <v>13.81248647691258</v>
      </c>
      <c r="P168" s="31">
        <f t="shared" si="38"/>
        <v>0.90258957317248378</v>
      </c>
      <c r="Q168" s="31">
        <f t="shared" si="39"/>
        <v>1.4808786373789586</v>
      </c>
      <c r="R168" s="31">
        <f t="shared" si="40"/>
        <v>1.8925799292145782</v>
      </c>
      <c r="S168" s="31">
        <f t="shared" si="41"/>
        <v>0.74058334110253765</v>
      </c>
      <c r="T168" s="31">
        <f t="shared" si="42"/>
        <v>1.4626813275896142</v>
      </c>
      <c r="U168" s="31">
        <f t="shared" si="43"/>
        <v>3.1574635745542063</v>
      </c>
      <c r="V168" s="31">
        <f t="shared" si="44"/>
        <v>1.2959762854630399</v>
      </c>
      <c r="W168" s="31">
        <f t="shared" si="45"/>
        <v>1.6381885909113758</v>
      </c>
      <c r="X168" s="31">
        <f t="shared" si="46"/>
        <v>0.75844228965227578</v>
      </c>
      <c r="Y168" s="31">
        <f t="shared" si="47"/>
        <v>1.2202610089971115</v>
      </c>
      <c r="Z168" s="31">
        <f t="shared" si="48"/>
        <v>3.1071937674053425</v>
      </c>
    </row>
    <row r="169" spans="2:26" ht="13.95" customHeight="1" x14ac:dyDescent="0.3">
      <c r="B169" s="77">
        <v>45688</v>
      </c>
      <c r="C169" s="78">
        <v>6.4450362454026644</v>
      </c>
      <c r="D169" s="78">
        <v>10.20400509074371</v>
      </c>
      <c r="E169" s="78">
        <v>13.410205925671431</v>
      </c>
      <c r="F169" s="78">
        <v>4.9180399819109857</v>
      </c>
      <c r="G169" s="78">
        <v>6.8828923940404403</v>
      </c>
      <c r="H169" s="78">
        <v>10.16579510836854</v>
      </c>
      <c r="I169" s="78">
        <v>24.745287189329211</v>
      </c>
      <c r="J169" s="78">
        <v>5.781713028068947</v>
      </c>
      <c r="K169" s="78">
        <v>7.5331574644757513</v>
      </c>
      <c r="L169" s="78">
        <v>3.6022244047541641</v>
      </c>
      <c r="M169" s="78">
        <v>4.684180940854163</v>
      </c>
      <c r="N169" s="78">
        <v>5.7141124641240371</v>
      </c>
      <c r="O169" s="78">
        <v>14.05623591716893</v>
      </c>
      <c r="P169" s="31">
        <f t="shared" si="38"/>
        <v>0.93638486212324135</v>
      </c>
      <c r="Q169" s="31">
        <f t="shared" si="39"/>
        <v>1.482517015605076</v>
      </c>
      <c r="R169" s="31">
        <f t="shared" si="40"/>
        <v>1.9483387445200613</v>
      </c>
      <c r="S169" s="31">
        <f t="shared" si="41"/>
        <v>0.71453099952125876</v>
      </c>
      <c r="T169" s="31">
        <f t="shared" si="42"/>
        <v>1.4769655729574684</v>
      </c>
      <c r="U169" s="31">
        <f t="shared" si="43"/>
        <v>3.5951872806779521</v>
      </c>
      <c r="V169" s="31">
        <f t="shared" si="44"/>
        <v>1.2343060827651651</v>
      </c>
      <c r="W169" s="31">
        <f t="shared" si="45"/>
        <v>1.6082123128023478</v>
      </c>
      <c r="X169" s="31">
        <f t="shared" si="46"/>
        <v>0.76901905589012032</v>
      </c>
      <c r="Y169" s="31">
        <f t="shared" si="47"/>
        <v>1.2198744105478696</v>
      </c>
      <c r="Z169" s="31">
        <f t="shared" si="48"/>
        <v>3.0007884184349565</v>
      </c>
    </row>
    <row r="170" spans="2:26" ht="13.95" customHeight="1" x14ac:dyDescent="0.3">
      <c r="B170" s="77">
        <v>45716</v>
      </c>
      <c r="C170" s="78">
        <v>6.1412998555043092</v>
      </c>
      <c r="D170" s="78">
        <v>10.18584703937753</v>
      </c>
      <c r="E170" s="78">
        <v>12.549806331624421</v>
      </c>
      <c r="F170" s="78">
        <v>4.7994921700976887</v>
      </c>
      <c r="G170" s="78">
        <v>6.6922031806082289</v>
      </c>
      <c r="H170" s="78">
        <v>9.5883004376759686</v>
      </c>
      <c r="I170" s="78">
        <v>21.7186886552768</v>
      </c>
      <c r="J170" s="78">
        <v>5.6993302277101963</v>
      </c>
      <c r="K170" s="78">
        <v>7.3170917948302954</v>
      </c>
      <c r="L170" s="78">
        <v>3.5550887826944</v>
      </c>
      <c r="M170" s="78">
        <v>4.6164662922419106</v>
      </c>
      <c r="N170" s="78">
        <v>5.4522890790915568</v>
      </c>
      <c r="O170" s="78">
        <v>13.84229484825681</v>
      </c>
      <c r="P170" s="31">
        <f t="shared" si="38"/>
        <v>0.91767982677210791</v>
      </c>
      <c r="Q170" s="31">
        <f t="shared" si="39"/>
        <v>1.5220468901620792</v>
      </c>
      <c r="R170" s="31">
        <f t="shared" si="40"/>
        <v>1.8752877031572457</v>
      </c>
      <c r="S170" s="31">
        <f t="shared" si="41"/>
        <v>0.71717669660792949</v>
      </c>
      <c r="T170" s="31">
        <f t="shared" si="42"/>
        <v>1.4327569230802291</v>
      </c>
      <c r="U170" s="31">
        <f t="shared" si="43"/>
        <v>3.2453719752876466</v>
      </c>
      <c r="V170" s="31">
        <f t="shared" si="44"/>
        <v>1.2345655457916083</v>
      </c>
      <c r="W170" s="31">
        <f t="shared" si="45"/>
        <v>1.5849984233886545</v>
      </c>
      <c r="X170" s="31">
        <f t="shared" si="46"/>
        <v>0.77008875569368229</v>
      </c>
      <c r="Y170" s="31">
        <f t="shared" si="47"/>
        <v>1.1810525050847371</v>
      </c>
      <c r="Z170" s="31">
        <f t="shared" si="48"/>
        <v>2.998461154480677</v>
      </c>
    </row>
    <row r="171" spans="2:26" ht="13.95" customHeight="1" x14ac:dyDescent="0.3">
      <c r="B171" s="77">
        <v>45747</v>
      </c>
      <c r="C171" s="78">
        <v>6.5944175354887884</v>
      </c>
      <c r="D171" s="78">
        <v>10.43123529389689</v>
      </c>
      <c r="E171" s="78">
        <v>12.500831454143761</v>
      </c>
      <c r="F171" s="78">
        <v>4.966718910171009</v>
      </c>
      <c r="G171" s="78">
        <v>6.9744812211521419</v>
      </c>
      <c r="H171" s="78">
        <v>10.146462742885699</v>
      </c>
      <c r="I171" s="78">
        <v>19.42601761503153</v>
      </c>
      <c r="J171" s="78">
        <v>5.8043997871930362</v>
      </c>
      <c r="K171" s="78">
        <v>7.2062252910996802</v>
      </c>
      <c r="L171" s="78">
        <v>3.570331750394856</v>
      </c>
      <c r="M171" s="78">
        <v>4.652278428690142</v>
      </c>
      <c r="N171" s="78">
        <v>5.6066754064129984</v>
      </c>
      <c r="O171" s="78">
        <v>12.89622111916462</v>
      </c>
      <c r="P171" s="31">
        <f t="shared" si="38"/>
        <v>0.9455065296454308</v>
      </c>
      <c r="Q171" s="31">
        <f t="shared" si="39"/>
        <v>1.4956288450904616</v>
      </c>
      <c r="R171" s="31">
        <f t="shared" si="40"/>
        <v>1.7923672109448592</v>
      </c>
      <c r="S171" s="31">
        <f t="shared" si="41"/>
        <v>0.71212736154597278</v>
      </c>
      <c r="T171" s="31">
        <f t="shared" si="42"/>
        <v>1.4547982023542627</v>
      </c>
      <c r="U171" s="31">
        <f t="shared" si="43"/>
        <v>2.7852992931024723</v>
      </c>
      <c r="V171" s="31">
        <f t="shared" si="44"/>
        <v>1.2476466910058253</v>
      </c>
      <c r="W171" s="31">
        <f t="shared" si="45"/>
        <v>1.5489668990272809</v>
      </c>
      <c r="X171" s="31">
        <f t="shared" si="46"/>
        <v>0.76743724717269124</v>
      </c>
      <c r="Y171" s="31">
        <f t="shared" si="47"/>
        <v>1.2051461434116206</v>
      </c>
      <c r="Z171" s="31">
        <f t="shared" si="48"/>
        <v>2.7720226372598202</v>
      </c>
    </row>
    <row r="172" spans="2:26" ht="13.95" customHeight="1" x14ac:dyDescent="0.3">
      <c r="B172" s="77">
        <v>45777</v>
      </c>
      <c r="C172" s="78">
        <v>7.1731134159715433</v>
      </c>
      <c r="D172" s="78">
        <v>11.21053987256016</v>
      </c>
      <c r="E172" s="78">
        <v>13.7593281396544</v>
      </c>
      <c r="F172" s="78">
        <v>5.1372914749280074</v>
      </c>
      <c r="G172" s="78">
        <v>7.6253785920767854</v>
      </c>
      <c r="H172" s="78">
        <v>11.570739669423521</v>
      </c>
      <c r="I172" s="78">
        <v>20.96164093158767</v>
      </c>
      <c r="J172" s="78">
        <v>6.052660252738324</v>
      </c>
      <c r="K172" s="78">
        <v>7.539215558766621</v>
      </c>
      <c r="L172" s="78">
        <v>3.5694843226135879</v>
      </c>
      <c r="M172" s="78">
        <v>4.8831877756906019</v>
      </c>
      <c r="N172" s="78">
        <v>6.1790892866245013</v>
      </c>
      <c r="O172" s="78">
        <v>12.583389547068091</v>
      </c>
      <c r="P172" s="31">
        <f t="shared" si="38"/>
        <v>0.94068947913285617</v>
      </c>
      <c r="Q172" s="31">
        <f t="shared" si="39"/>
        <v>1.4701617417669683</v>
      </c>
      <c r="R172" s="31">
        <f t="shared" si="40"/>
        <v>1.8044124594615076</v>
      </c>
      <c r="S172" s="31">
        <f t="shared" si="41"/>
        <v>0.67370969360996102</v>
      </c>
      <c r="T172" s="31">
        <f t="shared" si="42"/>
        <v>1.5173987140056491</v>
      </c>
      <c r="U172" s="31">
        <f t="shared" si="43"/>
        <v>2.7489311748229843</v>
      </c>
      <c r="V172" s="31">
        <f t="shared" si="44"/>
        <v>1.2394895569794733</v>
      </c>
      <c r="W172" s="31">
        <f t="shared" si="45"/>
        <v>1.5439126867695339</v>
      </c>
      <c r="X172" s="31">
        <f t="shared" si="46"/>
        <v>0.73097420918014477</v>
      </c>
      <c r="Y172" s="31">
        <f t="shared" si="47"/>
        <v>1.2653802332535999</v>
      </c>
      <c r="Z172" s="31">
        <f t="shared" si="48"/>
        <v>2.57688012935126</v>
      </c>
    </row>
    <row r="173" spans="2:26" ht="13.95" customHeight="1" x14ac:dyDescent="0.3">
      <c r="B173" s="77">
        <v>45808</v>
      </c>
      <c r="C173" s="78">
        <v>7.2910547018501832</v>
      </c>
      <c r="D173" s="78">
        <v>11.760482216713269</v>
      </c>
      <c r="E173" s="78">
        <v>13.78998849517928</v>
      </c>
      <c r="F173" s="78">
        <v>5.3271658939917224</v>
      </c>
      <c r="G173" s="78">
        <v>7.8321660910635114</v>
      </c>
      <c r="H173" s="78">
        <v>11.84578505419228</v>
      </c>
      <c r="I173" s="78">
        <v>19.548909616867661</v>
      </c>
      <c r="J173" s="78">
        <v>6.1641897924447386</v>
      </c>
      <c r="K173" s="78">
        <v>7.7642009023166354</v>
      </c>
      <c r="L173" s="78">
        <v>3.6285746318106562</v>
      </c>
      <c r="M173" s="78">
        <v>4.960127817161391</v>
      </c>
      <c r="N173" s="78">
        <v>6.3959051353371228</v>
      </c>
      <c r="O173" s="78">
        <v>12.64619206853302</v>
      </c>
      <c r="P173" s="31">
        <f t="shared" si="38"/>
        <v>0.93091165548305532</v>
      </c>
      <c r="Q173" s="31">
        <f t="shared" si="39"/>
        <v>1.5015619025408513</v>
      </c>
      <c r="R173" s="31">
        <f t="shared" si="40"/>
        <v>1.7606864224845327</v>
      </c>
      <c r="S173" s="31">
        <f t="shared" si="41"/>
        <v>0.68016508230973416</v>
      </c>
      <c r="T173" s="31">
        <f t="shared" si="42"/>
        <v>1.5124532493901401</v>
      </c>
      <c r="U173" s="31">
        <f t="shared" si="43"/>
        <v>2.4959774077279766</v>
      </c>
      <c r="V173" s="31">
        <f t="shared" si="44"/>
        <v>1.2427481749799776</v>
      </c>
      <c r="W173" s="31">
        <f t="shared" si="45"/>
        <v>1.565322747420645</v>
      </c>
      <c r="X173" s="31">
        <f t="shared" si="46"/>
        <v>0.73154861438373919</v>
      </c>
      <c r="Y173" s="31">
        <f t="shared" si="47"/>
        <v>1.2894637741406847</v>
      </c>
      <c r="Z173" s="31">
        <f t="shared" si="48"/>
        <v>2.549569796322356</v>
      </c>
    </row>
    <row r="174" spans="2:26" ht="13.95" customHeight="1" x14ac:dyDescent="0.3">
      <c r="B174" s="77">
        <v>45838</v>
      </c>
      <c r="C174" s="78">
        <v>7.4943188587381968</v>
      </c>
      <c r="D174" s="78">
        <v>11.99756354193711</v>
      </c>
      <c r="E174" s="78">
        <v>13.97282466385172</v>
      </c>
      <c r="F174" s="78">
        <v>5.2931456822894267</v>
      </c>
      <c r="G174" s="78">
        <v>7.8489170481251751</v>
      </c>
      <c r="H174" s="78">
        <v>11.7125773944011</v>
      </c>
      <c r="I174" s="78">
        <v>20.589173566221799</v>
      </c>
      <c r="J174" s="78">
        <v>6.2782657673819653</v>
      </c>
      <c r="K174" s="78">
        <v>8.0066003100514411</v>
      </c>
      <c r="L174" s="78">
        <v>3.7060519654301372</v>
      </c>
      <c r="M174" s="78">
        <v>5.0324633722796834</v>
      </c>
      <c r="N174" s="78">
        <v>6.4094425261721044</v>
      </c>
      <c r="O174" s="78">
        <v>13.73779191651848</v>
      </c>
      <c r="P174" s="31">
        <f t="shared" si="38"/>
        <v>0.954822023571815</v>
      </c>
      <c r="Q174" s="31">
        <f t="shared" si="39"/>
        <v>1.5285629174540578</v>
      </c>
      <c r="R174" s="31">
        <f t="shared" si="40"/>
        <v>1.7802232560464282</v>
      </c>
      <c r="S174" s="31">
        <f t="shared" si="41"/>
        <v>0.67437910858718653</v>
      </c>
      <c r="T174" s="31">
        <f t="shared" si="42"/>
        <v>1.4922539405864679</v>
      </c>
      <c r="U174" s="31">
        <f t="shared" si="43"/>
        <v>2.6231865415292948</v>
      </c>
      <c r="V174" s="31">
        <f t="shared" si="44"/>
        <v>1.2475531967037325</v>
      </c>
      <c r="W174" s="31">
        <f t="shared" si="45"/>
        <v>1.5909902800593037</v>
      </c>
      <c r="X174" s="31">
        <f t="shared" si="46"/>
        <v>0.73642899933344419</v>
      </c>
      <c r="Y174" s="31">
        <f t="shared" si="47"/>
        <v>1.2736193096759005</v>
      </c>
      <c r="Z174" s="31">
        <f t="shared" si="48"/>
        <v>2.7298344568567265</v>
      </c>
    </row>
    <row r="175" spans="2:26" ht="13.95" customHeight="1" x14ac:dyDescent="0.3">
      <c r="B175" s="77">
        <v>45869</v>
      </c>
      <c r="C175" s="78">
        <v>6.9099953101302516</v>
      </c>
      <c r="D175" s="78">
        <v>11.156075791874359</v>
      </c>
      <c r="E175" s="78">
        <v>12.86012356200281</v>
      </c>
      <c r="F175" s="78">
        <v>5.6717903504875968</v>
      </c>
      <c r="G175" s="78">
        <v>7.6516891449355917</v>
      </c>
      <c r="H175" s="78">
        <v>10.559723461625801</v>
      </c>
      <c r="I175" s="78">
        <v>19.667149263978551</v>
      </c>
      <c r="J175" s="78">
        <v>5.9859452111930187</v>
      </c>
      <c r="K175" s="78">
        <v>7.5770376217122921</v>
      </c>
      <c r="L175" s="78">
        <v>3.8188527976061302</v>
      </c>
      <c r="M175" s="78">
        <v>4.9442354617240767</v>
      </c>
      <c r="N175" s="78">
        <v>5.9786732795383903</v>
      </c>
      <c r="O175" s="78">
        <v>13.171790753117479</v>
      </c>
      <c r="P175" s="31">
        <f t="shared" si="38"/>
        <v>0.90306796045207305</v>
      </c>
      <c r="Q175" s="31">
        <f t="shared" si="39"/>
        <v>1.4579886323869036</v>
      </c>
      <c r="R175" s="31">
        <f t="shared" si="40"/>
        <v>1.6806908015224997</v>
      </c>
      <c r="S175" s="31">
        <f t="shared" si="41"/>
        <v>0.74124683361471544</v>
      </c>
      <c r="T175" s="31">
        <f t="shared" si="42"/>
        <v>1.3800512882328662</v>
      </c>
      <c r="U175" s="31">
        <f t="shared" si="43"/>
        <v>2.570301653850589</v>
      </c>
      <c r="V175" s="31">
        <f t="shared" si="44"/>
        <v>1.2106917758131392</v>
      </c>
      <c r="W175" s="31">
        <f t="shared" si="45"/>
        <v>1.5324993480529234</v>
      </c>
      <c r="X175" s="31">
        <f t="shared" si="46"/>
        <v>0.77238489695118184</v>
      </c>
      <c r="Y175" s="31">
        <f t="shared" si="47"/>
        <v>1.2092209858981111</v>
      </c>
      <c r="Z175" s="31">
        <f t="shared" si="48"/>
        <v>2.6640702804482572</v>
      </c>
    </row>
    <row r="176" spans="2:26" ht="13.95" customHeight="1" x14ac:dyDescent="0.3">
      <c r="B176" s="77">
        <v>45900</v>
      </c>
      <c r="C176" s="78">
        <v>7.5003947664696211</v>
      </c>
      <c r="D176" s="78">
        <v>12.472031987305339</v>
      </c>
      <c r="E176" s="78">
        <v>12.777482106987939</v>
      </c>
      <c r="F176" s="78">
        <v>5.2587764093958977</v>
      </c>
      <c r="G176" s="78">
        <v>7.788652402919797</v>
      </c>
      <c r="H176" s="78">
        <v>10.879608711463691</v>
      </c>
      <c r="I176" s="78">
        <v>18.50615561810168</v>
      </c>
      <c r="J176" s="78">
        <v>6.3763322772605653</v>
      </c>
      <c r="K176" s="78">
        <v>7.5190822864507174</v>
      </c>
      <c r="L176" s="78">
        <v>3.835863609376998</v>
      </c>
      <c r="M176" s="78">
        <v>5.090588769686808</v>
      </c>
      <c r="N176" s="78">
        <v>6.1042475888132151</v>
      </c>
      <c r="O176" s="78">
        <v>12.77232409135414</v>
      </c>
      <c r="P176" s="31">
        <f t="shared" si="38"/>
        <v>0.96299004994212933</v>
      </c>
      <c r="Q176" s="31">
        <f t="shared" si="39"/>
        <v>1.6013080751465869</v>
      </c>
      <c r="R176" s="31">
        <f t="shared" si="40"/>
        <v>1.6405254010562775</v>
      </c>
      <c r="S176" s="31">
        <f t="shared" si="41"/>
        <v>0.67518437559551336</v>
      </c>
      <c r="T176" s="31">
        <f t="shared" si="42"/>
        <v>1.3968538007146347</v>
      </c>
      <c r="U176" s="31">
        <f t="shared" si="43"/>
        <v>2.3760407655583813</v>
      </c>
      <c r="V176" s="31">
        <f t="shared" si="44"/>
        <v>1.2525726523481999</v>
      </c>
      <c r="W176" s="31">
        <f t="shared" si="45"/>
        <v>1.477055528669883</v>
      </c>
      <c r="X176" s="31">
        <f t="shared" si="46"/>
        <v>0.75352062068313463</v>
      </c>
      <c r="Y176" s="31">
        <f t="shared" si="47"/>
        <v>1.1991240826920637</v>
      </c>
      <c r="Z176" s="31">
        <f t="shared" si="48"/>
        <v>2.5090072424255045</v>
      </c>
    </row>
    <row r="177" spans="2:26" ht="13.95" customHeight="1" x14ac:dyDescent="0.3">
      <c r="B177" s="77">
        <v>45930</v>
      </c>
      <c r="C177" s="78">
        <v>7.7537977912210776</v>
      </c>
      <c r="D177" s="78">
        <v>12.704227419372581</v>
      </c>
      <c r="E177" s="78">
        <v>12.92518080055453</v>
      </c>
      <c r="F177" s="78">
        <v>5.7999100930905509</v>
      </c>
      <c r="G177" s="78">
        <v>8.2666592548088271</v>
      </c>
      <c r="H177" s="78">
        <v>11.079301636690881</v>
      </c>
      <c r="I177" s="78">
        <v>18.377205344365649</v>
      </c>
      <c r="J177" s="78">
        <v>6.6920590139710781</v>
      </c>
      <c r="K177" s="78">
        <v>7.5872495473848236</v>
      </c>
      <c r="L177" s="78">
        <v>3.929597264077608</v>
      </c>
      <c r="M177" s="78">
        <v>5.2523281481854323</v>
      </c>
      <c r="N177" s="78">
        <v>6.1594035282818904</v>
      </c>
      <c r="O177" s="78">
        <v>12.920866234497581</v>
      </c>
      <c r="P177" s="31">
        <f t="shared" si="38"/>
        <v>0.93796025119949011</v>
      </c>
      <c r="Q177" s="31">
        <f t="shared" si="39"/>
        <v>1.5368030818474052</v>
      </c>
      <c r="R177" s="31">
        <f t="shared" si="40"/>
        <v>1.5635313374064352</v>
      </c>
      <c r="S177" s="31">
        <f t="shared" si="41"/>
        <v>0.7016026564439154</v>
      </c>
      <c r="T177" s="31">
        <f t="shared" si="42"/>
        <v>1.3402393028654109</v>
      </c>
      <c r="U177" s="31">
        <f t="shared" si="43"/>
        <v>2.2230510267706247</v>
      </c>
      <c r="V177" s="31">
        <f t="shared" si="44"/>
        <v>1.2741128934000521</v>
      </c>
      <c r="W177" s="31">
        <f t="shared" si="45"/>
        <v>1.444549794552737</v>
      </c>
      <c r="X177" s="31">
        <f t="shared" si="46"/>
        <v>0.74816293902642017</v>
      </c>
      <c r="Y177" s="31">
        <f t="shared" si="47"/>
        <v>1.172699678029415</v>
      </c>
      <c r="Z177" s="31">
        <f t="shared" si="48"/>
        <v>2.4600264625433703</v>
      </c>
    </row>
    <row r="178" spans="2:26" ht="13.95" customHeight="1" x14ac:dyDescent="0.3">
      <c r="B178" s="77">
        <v>45961</v>
      </c>
      <c r="C178" s="78">
        <v>7.6788098337949551</v>
      </c>
      <c r="D178" s="78">
        <v>12.96751935668135</v>
      </c>
      <c r="E178" s="78">
        <v>13.04225150563305</v>
      </c>
      <c r="F178" s="78">
        <v>6.1217090855481926</v>
      </c>
      <c r="G178" s="78">
        <v>8.4768235353956296</v>
      </c>
      <c r="H178" s="78">
        <v>10.829204829764279</v>
      </c>
      <c r="I178" s="78">
        <v>19.290286408614989</v>
      </c>
      <c r="J178" s="78">
        <v>6.8009518881842199</v>
      </c>
      <c r="K178" s="78">
        <v>7.7714726215711023</v>
      </c>
      <c r="L178" s="78">
        <v>3.93380009509346</v>
      </c>
      <c r="M178" s="78">
        <v>5.2969653339424019</v>
      </c>
      <c r="N178" s="78">
        <v>6.0249357213728176</v>
      </c>
      <c r="O178" s="78">
        <v>14.37691247016644</v>
      </c>
      <c r="P178" s="31">
        <f t="shared" si="38"/>
        <v>0.9058593471636508</v>
      </c>
      <c r="Q178" s="31">
        <f t="shared" si="39"/>
        <v>1.5297616262193585</v>
      </c>
      <c r="R178" s="31">
        <f t="shared" si="40"/>
        <v>1.5385776819788832</v>
      </c>
      <c r="S178" s="31">
        <f t="shared" si="41"/>
        <v>0.72217016904817288</v>
      </c>
      <c r="T178" s="31">
        <f t="shared" si="42"/>
        <v>1.277507404105571</v>
      </c>
      <c r="U178" s="31">
        <f t="shared" si="43"/>
        <v>2.2756503456827799</v>
      </c>
      <c r="V178" s="31">
        <f t="shared" si="44"/>
        <v>1.2839336222580935</v>
      </c>
      <c r="W178" s="31">
        <f t="shared" si="45"/>
        <v>1.4671556507595613</v>
      </c>
      <c r="X178" s="31">
        <f t="shared" si="46"/>
        <v>0.74265165941073441</v>
      </c>
      <c r="Y178" s="31">
        <f t="shared" si="47"/>
        <v>1.1374315936647079</v>
      </c>
      <c r="Z178" s="31">
        <f t="shared" si="48"/>
        <v>2.7141790749583885</v>
      </c>
    </row>
    <row r="179" spans="2:26" ht="13.95" customHeight="1" x14ac:dyDescent="0.3">
      <c r="B179" s="77">
        <v>45991</v>
      </c>
      <c r="C179" s="78">
        <v>8.2060040836665458</v>
      </c>
      <c r="D179" s="78">
        <v>14.06736109145071</v>
      </c>
      <c r="E179" s="78">
        <v>13.13170019685014</v>
      </c>
      <c r="F179" s="78">
        <v>6.5574293117014548</v>
      </c>
      <c r="G179" s="78">
        <v>9.040286820540393</v>
      </c>
      <c r="H179" s="78">
        <v>11.38992241561521</v>
      </c>
      <c r="I179" s="78">
        <v>17.681069759793829</v>
      </c>
      <c r="J179" s="78">
        <v>7.1894262089288103</v>
      </c>
      <c r="K179" s="78">
        <v>7.9003929178178964</v>
      </c>
      <c r="L179" s="78">
        <v>3.9910004870750702</v>
      </c>
      <c r="M179" s="78">
        <v>5.4297308649948102</v>
      </c>
      <c r="N179" s="78">
        <v>6.2362706771669636</v>
      </c>
      <c r="O179" s="78">
        <v>14.337867580257219</v>
      </c>
      <c r="P179" s="31">
        <f t="shared" si="38"/>
        <v>0.90771501464109772</v>
      </c>
      <c r="Q179" s="31">
        <f t="shared" si="39"/>
        <v>1.5560746435044877</v>
      </c>
      <c r="R179" s="31">
        <f t="shared" si="40"/>
        <v>1.4525756159653769</v>
      </c>
      <c r="S179" s="31">
        <f t="shared" si="41"/>
        <v>0.72535633458026472</v>
      </c>
      <c r="T179" s="31">
        <f t="shared" si="42"/>
        <v>1.2599071956142167</v>
      </c>
      <c r="U179" s="31">
        <f t="shared" si="43"/>
        <v>1.9558084948832324</v>
      </c>
      <c r="V179" s="31">
        <f t="shared" si="44"/>
        <v>1.3240851872196215</v>
      </c>
      <c r="W179" s="31">
        <f t="shared" si="45"/>
        <v>1.4550247727288501</v>
      </c>
      <c r="X179" s="31">
        <f t="shared" si="46"/>
        <v>0.73502731282775746</v>
      </c>
      <c r="Y179" s="31">
        <f t="shared" si="47"/>
        <v>1.148541397764643</v>
      </c>
      <c r="Z179" s="31">
        <f t="shared" si="48"/>
        <v>2.6406221480870626</v>
      </c>
    </row>
    <row r="180" spans="2:26" ht="13.95" customHeight="1" x14ac:dyDescent="0.3">
      <c r="B180" s="77">
        <v>46022</v>
      </c>
      <c r="C180" s="78">
        <v>7.8122875310675362</v>
      </c>
      <c r="D180" s="78">
        <v>13.20110477341357</v>
      </c>
      <c r="E180" s="78">
        <v>12.303313026010519</v>
      </c>
      <c r="F180" s="78">
        <v>6.8084493486967759</v>
      </c>
      <c r="G180" s="78">
        <v>8.7975157457979183</v>
      </c>
      <c r="H180" s="78">
        <v>10.595032461099651</v>
      </c>
      <c r="I180" s="78">
        <v>15.98938803652884</v>
      </c>
      <c r="J180" s="78">
        <v>7.0742161960012293</v>
      </c>
      <c r="K180" s="78">
        <v>7.8425055649383903</v>
      </c>
      <c r="L180" s="78">
        <v>4.0946786445696386</v>
      </c>
      <c r="M180" s="78">
        <v>5.4298962767766374</v>
      </c>
      <c r="N180" s="78">
        <v>5.8688935349433757</v>
      </c>
      <c r="O180" s="78">
        <v>15.10551173914153</v>
      </c>
      <c r="P180" s="31">
        <f t="shared" si="38"/>
        <v>0.88801063354720666</v>
      </c>
      <c r="Q180" s="31">
        <f t="shared" si="39"/>
        <v>1.5005491498800672</v>
      </c>
      <c r="R180" s="31">
        <f t="shared" si="40"/>
        <v>1.3984985513537869</v>
      </c>
      <c r="S180" s="31">
        <f t="shared" si="41"/>
        <v>0.77390590087307221</v>
      </c>
      <c r="T180" s="31">
        <f t="shared" si="42"/>
        <v>1.2043209432344928</v>
      </c>
      <c r="U180" s="31">
        <f t="shared" si="43"/>
        <v>1.8174889933179237</v>
      </c>
      <c r="V180" s="31">
        <f t="shared" si="44"/>
        <v>1.3028271324918776</v>
      </c>
      <c r="W180" s="31">
        <f t="shared" si="45"/>
        <v>1.4443195901329364</v>
      </c>
      <c r="X180" s="31">
        <f t="shared" si="46"/>
        <v>0.75409886963814576</v>
      </c>
      <c r="Y180" s="31">
        <f t="shared" si="47"/>
        <v>1.0808481848989095</v>
      </c>
      <c r="Z180" s="31">
        <f t="shared" si="48"/>
        <v>2.781915338557563</v>
      </c>
    </row>
    <row r="181" spans="2:26" ht="13.95" customHeight="1" x14ac:dyDescent="0.3">
      <c r="B181" s="77">
        <v>46053</v>
      </c>
      <c r="C181" s="78">
        <v>8.8743861600441001</v>
      </c>
      <c r="D181" s="78">
        <v>13.796671144621429</v>
      </c>
      <c r="E181" s="78">
        <v>13.98628725031163</v>
      </c>
      <c r="F181" s="78">
        <v>7.7582824994276693</v>
      </c>
      <c r="G181" s="78">
        <v>9.8282587420175993</v>
      </c>
      <c r="H181" s="78">
        <v>11.451450705992761</v>
      </c>
      <c r="I181" s="78">
        <v>20.667864157908991</v>
      </c>
      <c r="J181" s="78">
        <v>7.3154823782747487</v>
      </c>
      <c r="K181" s="78">
        <v>8.3335525891962643</v>
      </c>
      <c r="L181" s="78">
        <v>4.474149914901405</v>
      </c>
      <c r="M181" s="78">
        <v>5.8056014166182726</v>
      </c>
      <c r="N181" s="78">
        <v>6.2537347975680131</v>
      </c>
      <c r="O181" s="78">
        <v>16.204090334918199</v>
      </c>
      <c r="P181" s="31">
        <f t="shared" si="38"/>
        <v>0.90294592287283604</v>
      </c>
      <c r="Q181" s="31">
        <f t="shared" si="39"/>
        <v>1.4037757355367684</v>
      </c>
      <c r="R181" s="31">
        <f t="shared" si="40"/>
        <v>1.4230686856581929</v>
      </c>
      <c r="S181" s="31">
        <f t="shared" si="41"/>
        <v>0.78938525155626971</v>
      </c>
      <c r="T181" s="31">
        <f t="shared" si="42"/>
        <v>1.1651555994385576</v>
      </c>
      <c r="U181" s="31">
        <f t="shared" si="43"/>
        <v>2.1029019178697546</v>
      </c>
      <c r="V181" s="31">
        <f t="shared" si="44"/>
        <v>1.26007313511646</v>
      </c>
      <c r="W181" s="31">
        <f t="shared" si="45"/>
        <v>1.4354331259017963</v>
      </c>
      <c r="X181" s="31">
        <f t="shared" si="46"/>
        <v>0.77066088314198633</v>
      </c>
      <c r="Y181" s="31">
        <f t="shared" si="47"/>
        <v>1.0771898290618056</v>
      </c>
      <c r="Z181" s="31">
        <f t="shared" si="48"/>
        <v>2.7911131288714932</v>
      </c>
    </row>
    <row r="182" spans="2:26" ht="13.95" customHeight="1" x14ac:dyDescent="0.3">
      <c r="B182" s="77">
        <v>46081</v>
      </c>
      <c r="C182" s="78">
        <v>9.0628900804287085</v>
      </c>
      <c r="D182" s="78">
        <v>14.44454812767766</v>
      </c>
      <c r="E182" s="78">
        <v>13.69000005946604</v>
      </c>
      <c r="F182" s="78">
        <v>8.1578147191155992</v>
      </c>
      <c r="G182" s="78">
        <v>10.15219019259286</v>
      </c>
      <c r="H182" s="78">
        <v>11.358179203475441</v>
      </c>
      <c r="I182" s="78">
        <v>20.03525265485932</v>
      </c>
      <c r="J182" s="78">
        <v>7.6564419100764551</v>
      </c>
      <c r="K182" s="78">
        <v>8.1397708524524841</v>
      </c>
      <c r="L182" s="78">
        <v>4.6158949575494663</v>
      </c>
      <c r="M182" s="78">
        <v>5.9624347125949466</v>
      </c>
      <c r="N182" s="78">
        <v>6.225854659634356</v>
      </c>
      <c r="O182" s="78">
        <v>15.48170075131452</v>
      </c>
      <c r="P182" s="31">
        <f t="shared" si="38"/>
        <v>0.89270294473414069</v>
      </c>
      <c r="Q182" s="31">
        <f t="shared" si="39"/>
        <v>1.4228011742940501</v>
      </c>
      <c r="R182" s="31">
        <f t="shared" si="40"/>
        <v>1.3484775008898475</v>
      </c>
      <c r="S182" s="31">
        <f t="shared" si="41"/>
        <v>0.80355219557131852</v>
      </c>
      <c r="T182" s="31">
        <f t="shared" si="42"/>
        <v>1.1187910182930263</v>
      </c>
      <c r="U182" s="31">
        <f t="shared" si="43"/>
        <v>1.9734906729266402</v>
      </c>
      <c r="V182" s="31">
        <f t="shared" si="44"/>
        <v>1.2841133327469592</v>
      </c>
      <c r="W182" s="31">
        <f t="shared" si="45"/>
        <v>1.3651756781937032</v>
      </c>
      <c r="X182" s="31">
        <f t="shared" si="46"/>
        <v>0.77416276740086187</v>
      </c>
      <c r="Y182" s="31">
        <f t="shared" si="47"/>
        <v>1.0441799297999801</v>
      </c>
      <c r="Z182" s="31">
        <f t="shared" si="48"/>
        <v>2.5965400876610416</v>
      </c>
    </row>
    <row r="183" spans="2:26" ht="13.95" customHeight="1" x14ac:dyDescent="0.3">
      <c r="B183" s="77">
        <v>46112</v>
      </c>
      <c r="C183" s="78">
        <v>8.4193961687088077</v>
      </c>
      <c r="D183" s="78">
        <v>14.35592760322479</v>
      </c>
      <c r="E183" s="78">
        <v>11.752052006035139</v>
      </c>
      <c r="F183" s="78">
        <v>6.9063842878362989</v>
      </c>
      <c r="G183" s="78">
        <v>9.0433817046592129</v>
      </c>
      <c r="H183" s="78">
        <v>10.437383336616159</v>
      </c>
      <c r="I183" s="78">
        <v>14.568311131292029</v>
      </c>
      <c r="J183" s="78">
        <v>7.4747916774770209</v>
      </c>
      <c r="K183" s="78">
        <v>7.5581377138456709</v>
      </c>
      <c r="L183" s="78">
        <v>4.126954031462291</v>
      </c>
      <c r="M183" s="78">
        <v>5.4181425252624624</v>
      </c>
      <c r="N183" s="78">
        <v>5.8168627450180246</v>
      </c>
      <c r="O183" s="78">
        <v>13.981735720384931</v>
      </c>
      <c r="P183" s="31">
        <f t="shared" si="38"/>
        <v>0.93100086269399385</v>
      </c>
      <c r="Q183" s="31">
        <f t="shared" si="39"/>
        <v>1.5874512513199035</v>
      </c>
      <c r="R183" s="31">
        <f t="shared" si="40"/>
        <v>1.2995196254936803</v>
      </c>
      <c r="S183" s="31">
        <f t="shared" si="41"/>
        <v>0.76369487802091574</v>
      </c>
      <c r="T183" s="31">
        <f t="shared" si="42"/>
        <v>1.1541460570262945</v>
      </c>
      <c r="U183" s="31">
        <f t="shared" si="43"/>
        <v>1.6109362191121861</v>
      </c>
      <c r="V183" s="31">
        <f t="shared" si="44"/>
        <v>1.3795856499944936</v>
      </c>
      <c r="W183" s="31">
        <f t="shared" si="45"/>
        <v>1.3949684192701344</v>
      </c>
      <c r="X183" s="31">
        <f t="shared" si="46"/>
        <v>0.76169167057161824</v>
      </c>
      <c r="Y183" s="31">
        <f t="shared" si="47"/>
        <v>1.0735898359809661</v>
      </c>
      <c r="Z183" s="31">
        <f t="shared" si="48"/>
        <v>2.5805404075647931</v>
      </c>
    </row>
    <row r="184" spans="2:26" ht="13.95" customHeight="1" x14ac:dyDescent="0.3">
      <c r="B184" s="77">
        <v>46142</v>
      </c>
      <c r="C184" s="78">
        <v>8.2533002630143972</v>
      </c>
      <c r="D184" s="78">
        <v>14.076246704906801</v>
      </c>
      <c r="E184" s="78">
        <v>11.877539694594169</v>
      </c>
      <c r="F184" s="78">
        <v>6.1904953911098408</v>
      </c>
      <c r="G184" s="78">
        <v>8.5972216206464669</v>
      </c>
      <c r="H184" s="78">
        <v>9.9762929761369996</v>
      </c>
      <c r="I184" s="78">
        <v>17.08184750784374</v>
      </c>
      <c r="J184" s="78">
        <v>7.5155368064464234</v>
      </c>
      <c r="K184" s="78">
        <v>7.2276775614014053</v>
      </c>
      <c r="L184" s="78">
        <v>4.1339170751459866</v>
      </c>
      <c r="M184" s="78">
        <v>5.4397779709849789</v>
      </c>
      <c r="N184" s="78">
        <v>5.6460258296161294</v>
      </c>
      <c r="O184" s="78">
        <v>13.089921706585759</v>
      </c>
      <c r="P184" s="31">
        <f t="shared" si="38"/>
        <v>0.95999622054570133</v>
      </c>
      <c r="Q184" s="31">
        <f t="shared" si="39"/>
        <v>1.6373018314547461</v>
      </c>
      <c r="R184" s="31">
        <f t="shared" si="40"/>
        <v>1.3815556023436604</v>
      </c>
      <c r="S184" s="31">
        <f t="shared" si="41"/>
        <v>0.72005767261404474</v>
      </c>
      <c r="T184" s="31">
        <f t="shared" si="42"/>
        <v>1.1604089572587792</v>
      </c>
      <c r="U184" s="31">
        <f t="shared" si="43"/>
        <v>1.9869032417195351</v>
      </c>
      <c r="V184" s="31">
        <f t="shared" si="44"/>
        <v>1.3815888895710917</v>
      </c>
      <c r="W184" s="31">
        <f t="shared" si="45"/>
        <v>1.3286714273914919</v>
      </c>
      <c r="X184" s="31">
        <f t="shared" si="46"/>
        <v>0.75994224345106121</v>
      </c>
      <c r="Y184" s="31">
        <f t="shared" si="47"/>
        <v>1.0379147567660385</v>
      </c>
      <c r="Z184" s="31">
        <f t="shared" si="48"/>
        <v>2.4063338203150177</v>
      </c>
    </row>
    <row r="185" spans="2:26" ht="13.95" customHeight="1" x14ac:dyDescent="0.3">
      <c r="B185" s="77">
        <v>46173</v>
      </c>
      <c r="C185" s="78">
        <v>7.7163251597414027</v>
      </c>
      <c r="D185" s="78">
        <v>12.989459371964671</v>
      </c>
      <c r="E185" s="78">
        <v>10.9848928045903</v>
      </c>
      <c r="F185" s="78">
        <v>6.2998449965563799</v>
      </c>
      <c r="G185" s="78">
        <v>8.3086497023452495</v>
      </c>
      <c r="H185" s="78">
        <v>9.2815134643623267</v>
      </c>
      <c r="I185" s="78">
        <v>15.38329732339807</v>
      </c>
      <c r="J185" s="78">
        <v>6.9946690774959936</v>
      </c>
      <c r="K185" s="78">
        <v>7.1099338267728287</v>
      </c>
      <c r="L185" s="78">
        <v>3.8674496348609879</v>
      </c>
      <c r="M185" s="78">
        <v>5.1028201245683462</v>
      </c>
      <c r="N185" s="78">
        <v>5.4605335761957079</v>
      </c>
      <c r="O185" s="78">
        <v>13.42995930778919</v>
      </c>
      <c r="P185" s="31">
        <f t="shared" si="38"/>
        <v>0.92870989103841339</v>
      </c>
      <c r="Q185" s="31">
        <f t="shared" si="39"/>
        <v>1.5633658701844402</v>
      </c>
      <c r="R185" s="31">
        <f t="shared" si="40"/>
        <v>1.3221032536116715</v>
      </c>
      <c r="S185" s="31">
        <f t="shared" si="41"/>
        <v>0.75822729592007565</v>
      </c>
      <c r="T185" s="31">
        <f t="shared" si="42"/>
        <v>1.1170904776190613</v>
      </c>
      <c r="U185" s="31">
        <f t="shared" si="43"/>
        <v>1.8514798281910823</v>
      </c>
      <c r="V185" s="31">
        <f t="shared" si="44"/>
        <v>1.3707457654286179</v>
      </c>
      <c r="W185" s="31">
        <f t="shared" si="45"/>
        <v>1.3933342060287235</v>
      </c>
      <c r="X185" s="31">
        <f t="shared" si="46"/>
        <v>0.7579043627739358</v>
      </c>
      <c r="Y185" s="31">
        <f t="shared" si="47"/>
        <v>1.0701011289630009</v>
      </c>
      <c r="Z185" s="31">
        <f t="shared" si="48"/>
        <v>2.6318700208789441</v>
      </c>
    </row>
    <row r="186" spans="2:26" ht="13.95" customHeight="1" x14ac:dyDescent="0.3">
      <c r="B186" s="77">
        <v>46203</v>
      </c>
      <c r="C186" s="78">
        <v>7.7544605772841946</v>
      </c>
      <c r="D186" s="78">
        <v>13.157338520545499</v>
      </c>
      <c r="E186" s="78">
        <v>11.02617244738798</v>
      </c>
      <c r="F186" s="78">
        <v>5.9471009096207368</v>
      </c>
      <c r="G186" s="78">
        <v>8.2394093814945748</v>
      </c>
      <c r="H186" s="78">
        <v>9.0958555022249588</v>
      </c>
      <c r="I186" s="78">
        <v>15.71769766581051</v>
      </c>
      <c r="J186" s="78">
        <v>7.128498905711262</v>
      </c>
      <c r="K186" s="78">
        <v>7.1958847953509109</v>
      </c>
      <c r="L186" s="78">
        <v>3.612362086312912</v>
      </c>
      <c r="M186" s="78">
        <v>5.018186125953692</v>
      </c>
      <c r="N186" s="78">
        <v>5.3254281927387481</v>
      </c>
      <c r="O186" s="78">
        <v>14.2213146659244</v>
      </c>
      <c r="P186" s="31">
        <f t="shared" si="38"/>
        <v>0.94114277107051403</v>
      </c>
      <c r="Q186" s="31">
        <f t="shared" si="39"/>
        <v>1.5968788430511076</v>
      </c>
      <c r="R186" s="31">
        <f t="shared" si="40"/>
        <v>1.3382236440578348</v>
      </c>
      <c r="S186" s="31">
        <f t="shared" si="41"/>
        <v>0.72178728283336879</v>
      </c>
      <c r="T186" s="31">
        <f t="shared" si="42"/>
        <v>1.1039450864832536</v>
      </c>
      <c r="U186" s="31">
        <f t="shared" si="43"/>
        <v>1.9076243135960582</v>
      </c>
      <c r="V186" s="31">
        <f t="shared" si="44"/>
        <v>1.4205329827929631</v>
      </c>
      <c r="W186" s="31">
        <f t="shared" si="45"/>
        <v>1.4339613188387574</v>
      </c>
      <c r="X186" s="31">
        <f t="shared" si="46"/>
        <v>0.71985414563043792</v>
      </c>
      <c r="Y186" s="31">
        <f t="shared" si="47"/>
        <v>1.0612257216200138</v>
      </c>
      <c r="Z186" s="31">
        <f t="shared" si="48"/>
        <v>2.8339551999422259</v>
      </c>
    </row>
    <row r="187" spans="2:26" ht="13.95" customHeight="1" x14ac:dyDescent="0.3">
      <c r="B187" s="77">
        <v>46234</v>
      </c>
      <c r="C187" s="78">
        <v>7.9578662363213333</v>
      </c>
      <c r="D187" s="78">
        <v>13.051483991305989</v>
      </c>
      <c r="E187" s="78">
        <v>11.080326669436801</v>
      </c>
      <c r="F187" s="78">
        <v>6.4739176944769383</v>
      </c>
      <c r="G187" s="78">
        <v>8.5014377649650772</v>
      </c>
      <c r="H187" s="78">
        <v>8.7702348543416626</v>
      </c>
      <c r="I187" s="78">
        <v>16.96676487533432</v>
      </c>
      <c r="J187" s="78">
        <v>7.0322697909298197</v>
      </c>
      <c r="K187" s="78">
        <v>7.127221969086091</v>
      </c>
      <c r="L187" s="78">
        <v>3.8540025974439698</v>
      </c>
      <c r="M187" s="78">
        <v>5.1109447947020037</v>
      </c>
      <c r="N187" s="78">
        <v>5.163156538746021</v>
      </c>
      <c r="O187" s="78">
        <v>14.28428016910734</v>
      </c>
      <c r="P187" s="31">
        <f t="shared" si="38"/>
        <v>0.93606122356340316</v>
      </c>
      <c r="Q187" s="31">
        <f t="shared" si="39"/>
        <v>1.5352090260652049</v>
      </c>
      <c r="R187" s="31">
        <f t="shared" si="40"/>
        <v>1.3033473837918894</v>
      </c>
      <c r="S187" s="31">
        <f t="shared" si="41"/>
        <v>0.76150856754563712</v>
      </c>
      <c r="T187" s="31">
        <f t="shared" si="42"/>
        <v>1.0316178388653638</v>
      </c>
      <c r="U187" s="31">
        <f t="shared" si="43"/>
        <v>1.9957524061700895</v>
      </c>
      <c r="V187" s="31">
        <f t="shared" si="44"/>
        <v>1.375923644923627</v>
      </c>
      <c r="W187" s="31">
        <f t="shared" si="45"/>
        <v>1.3945018495355608</v>
      </c>
      <c r="X187" s="31">
        <f t="shared" si="46"/>
        <v>0.75406852397212787</v>
      </c>
      <c r="Y187" s="31">
        <f t="shared" si="47"/>
        <v>1.0102156736457297</v>
      </c>
      <c r="Z187" s="31">
        <f t="shared" si="48"/>
        <v>2.794841412475126</v>
      </c>
    </row>
    <row r="188" spans="2:26" ht="13.95" customHeight="1" x14ac:dyDescent="0.3">
      <c r="B188" s="77">
        <v>46265</v>
      </c>
      <c r="C188" s="78">
        <v>7.626400662891144</v>
      </c>
      <c r="D188" s="78">
        <v>12.446353626287451</v>
      </c>
      <c r="E188" s="78">
        <v>11.504183710985179</v>
      </c>
      <c r="F188" s="78">
        <v>6.5194995811277137</v>
      </c>
      <c r="G188" s="78">
        <v>8.3623212238336535</v>
      </c>
      <c r="H188" s="78">
        <v>8.6499432996386236</v>
      </c>
      <c r="I188" s="78">
        <v>19.164131977249461</v>
      </c>
      <c r="J188" s="78">
        <v>6.9412835007424549</v>
      </c>
      <c r="K188" s="78">
        <v>7.1958580610871961</v>
      </c>
      <c r="L188" s="78">
        <v>3.9071350858020688</v>
      </c>
      <c r="M188" s="78">
        <v>5.1232366380127781</v>
      </c>
      <c r="N188" s="78">
        <v>5.100333765186007</v>
      </c>
      <c r="O188" s="78">
        <v>14.32535509559769</v>
      </c>
      <c r="P188" s="31">
        <f t="shared" si="38"/>
        <v>0.91199565990779641</v>
      </c>
      <c r="Q188" s="31">
        <f t="shared" si="39"/>
        <v>1.4883850181231735</v>
      </c>
      <c r="R188" s="31">
        <f t="shared" si="40"/>
        <v>1.3757165508300289</v>
      </c>
      <c r="S188" s="31">
        <f t="shared" si="41"/>
        <v>0.77962797728294997</v>
      </c>
      <c r="T188" s="31">
        <f t="shared" si="42"/>
        <v>1.0343950044618246</v>
      </c>
      <c r="U188" s="31">
        <f t="shared" si="43"/>
        <v>2.2917239680567767</v>
      </c>
      <c r="V188" s="31">
        <f t="shared" si="44"/>
        <v>1.354862949183403</v>
      </c>
      <c r="W188" s="31">
        <f t="shared" si="45"/>
        <v>1.404553131060984</v>
      </c>
      <c r="X188" s="31">
        <f t="shared" si="46"/>
        <v>0.76263022028152583</v>
      </c>
      <c r="Y188" s="31">
        <f t="shared" si="47"/>
        <v>0.99552960863512741</v>
      </c>
      <c r="Z188" s="31">
        <f t="shared" si="48"/>
        <v>2.7961533124017999</v>
      </c>
    </row>
    <row r="189" spans="2:26" ht="13.95" customHeight="1" x14ac:dyDescent="0.3">
      <c r="B189" s="77">
        <v>46295</v>
      </c>
      <c r="C189" s="78">
        <v>8.4445573313892837</v>
      </c>
      <c r="D189" s="78">
        <v>13.122430495540501</v>
      </c>
      <c r="E189" s="78">
        <v>11.44981242526598</v>
      </c>
      <c r="F189" s="78">
        <v>6.2908540555331447</v>
      </c>
      <c r="G189" s="78">
        <v>8.5945966129806735</v>
      </c>
      <c r="H189" s="78">
        <v>9.1889974545024504</v>
      </c>
      <c r="I189" s="78">
        <v>17.117456997419708</v>
      </c>
      <c r="J189" s="78">
        <v>7.0794717870265886</v>
      </c>
      <c r="K189" s="78">
        <v>7.2365014204329263</v>
      </c>
      <c r="L189" s="78">
        <v>3.7565985946908609</v>
      </c>
      <c r="M189" s="78">
        <v>5.0686316097566113</v>
      </c>
      <c r="N189" s="78">
        <v>5.2964058018280076</v>
      </c>
      <c r="O189" s="78">
        <v>14.271946070259631</v>
      </c>
      <c r="P189" s="31">
        <f t="shared" si="38"/>
        <v>0.98254260341145261</v>
      </c>
      <c r="Q189" s="31">
        <f t="shared" si="39"/>
        <v>1.5268233154446487</v>
      </c>
      <c r="R189" s="31">
        <f t="shared" si="40"/>
        <v>1.3322105668081023</v>
      </c>
      <c r="S189" s="31">
        <f t="shared" si="41"/>
        <v>0.73195454525834081</v>
      </c>
      <c r="T189" s="31">
        <f t="shared" si="42"/>
        <v>1.0691598300988363</v>
      </c>
      <c r="U189" s="31">
        <f t="shared" si="43"/>
        <v>1.9916533338594049</v>
      </c>
      <c r="V189" s="31">
        <f t="shared" si="44"/>
        <v>1.3967224947655124</v>
      </c>
      <c r="W189" s="31">
        <f t="shared" si="45"/>
        <v>1.4277031707144354</v>
      </c>
      <c r="X189" s="31">
        <f t="shared" si="46"/>
        <v>0.74114650341914423</v>
      </c>
      <c r="Y189" s="31">
        <f t="shared" si="47"/>
        <v>1.0449380048912913</v>
      </c>
      <c r="Z189" s="31">
        <f t="shared" si="48"/>
        <v>2.8157394675887581</v>
      </c>
    </row>
  </sheetData>
  <mergeCells count="6">
    <mergeCell ref="B66:Z66"/>
    <mergeCell ref="B5:J5"/>
    <mergeCell ref="B20:J20"/>
    <mergeCell ref="B32:J32"/>
    <mergeCell ref="B44:J44"/>
    <mergeCell ref="B55:J55"/>
  </mergeCells>
  <conditionalFormatting sqref="G57:I61">
    <cfRule type="colorScale" priority="1">
      <colorScale>
        <cfvo type="min"/>
        <cfvo type="num" val="0"/>
        <cfvo type="max"/>
        <color rgb="FFF8696B"/>
        <color rgb="FFFFEB84"/>
        <color rgb="FF63BE7B"/>
      </colorScale>
    </cfRule>
  </conditionalFormatting>
  <conditionalFormatting sqref="G63:I64">
    <cfRule type="colorScale" priority="2">
      <colorScale>
        <cfvo type="min"/>
        <cfvo type="num" val="0"/>
        <cfvo type="max"/>
        <color rgb="FFF8696B"/>
        <color rgb="FFFFEB84"/>
        <color rgb="FF63BE7B"/>
      </colorScale>
    </cfRule>
  </conditionalFormatting>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U69"/>
  <sheetViews>
    <sheetView showGridLines="0" zoomScale="85" zoomScaleNormal="85" workbookViewId="0">
      <pane xSplit="2" ySplit="7" topLeftCell="C8" activePane="bottomRight" state="frozen"/>
      <selection pane="topRight" activeCell="C1" sqref="C1"/>
      <selection pane="bottomLeft" activeCell="A8" sqref="A8"/>
      <selection pane="bottomRight"/>
    </sheetView>
  </sheetViews>
  <sheetFormatPr defaultRowHeight="13.95" customHeight="1" x14ac:dyDescent="0.3"/>
  <cols>
    <col min="1" max="1" width="2.6640625" customWidth="1"/>
    <col min="2" max="2" width="44.6640625" customWidth="1"/>
    <col min="3" max="19" width="10.33203125" customWidth="1"/>
    <col min="20" max="20" width="2.6640625" customWidth="1"/>
    <col min="21" max="21" width="90.6640625" customWidth="1"/>
  </cols>
  <sheetData>
    <row r="1" spans="2:21" ht="30" customHeight="1" x14ac:dyDescent="0.3">
      <c r="B1" s="15" t="s">
        <v>107</v>
      </c>
    </row>
    <row r="2" spans="2:21" ht="13.95" customHeight="1" x14ac:dyDescent="0.3">
      <c r="B2" s="14" t="s">
        <v>108</v>
      </c>
    </row>
    <row r="3" spans="2:21" ht="13.95" customHeight="1" x14ac:dyDescent="0.3">
      <c r="B3" s="14" t="s">
        <v>2</v>
      </c>
      <c r="C3" s="47" t="s">
        <v>3</v>
      </c>
      <c r="D3" s="48" t="s">
        <v>4</v>
      </c>
      <c r="E3" s="49" t="s">
        <v>5</v>
      </c>
    </row>
    <row r="5" spans="2:21" ht="13.95" customHeight="1" x14ac:dyDescent="0.3">
      <c r="B5" s="138" t="s">
        <v>109</v>
      </c>
      <c r="C5" s="138"/>
      <c r="D5" s="138"/>
      <c r="E5" s="138"/>
      <c r="F5" s="138"/>
      <c r="G5" s="138"/>
      <c r="H5" s="138"/>
      <c r="I5" s="138"/>
      <c r="J5" s="138"/>
      <c r="K5" s="138"/>
      <c r="L5" s="138"/>
      <c r="M5" s="138"/>
      <c r="N5" s="138"/>
      <c r="O5" s="138"/>
      <c r="P5" s="138"/>
      <c r="Q5" s="138"/>
      <c r="R5" s="138"/>
      <c r="S5" s="138"/>
      <c r="T5" s="138"/>
      <c r="U5" s="138"/>
    </row>
    <row r="6" spans="2:21" ht="13.95" customHeight="1" x14ac:dyDescent="0.3">
      <c r="B6" s="17"/>
      <c r="C6" s="18" t="s">
        <v>110</v>
      </c>
      <c r="D6" s="18" t="s">
        <v>111</v>
      </c>
      <c r="E6" s="18" t="s">
        <v>112</v>
      </c>
      <c r="F6" s="18" t="s">
        <v>113</v>
      </c>
      <c r="G6" s="18" t="s">
        <v>114</v>
      </c>
      <c r="H6" s="18" t="s">
        <v>115</v>
      </c>
      <c r="I6" s="18" t="s">
        <v>116</v>
      </c>
      <c r="J6" s="18" t="s">
        <v>117</v>
      </c>
      <c r="K6" s="18" t="s">
        <v>118</v>
      </c>
      <c r="L6" s="18" t="s">
        <v>119</v>
      </c>
      <c r="M6" s="18" t="s">
        <v>120</v>
      </c>
      <c r="N6" s="18" t="s">
        <v>121</v>
      </c>
      <c r="O6" s="18" t="s">
        <v>122</v>
      </c>
      <c r="P6" s="18" t="s">
        <v>123</v>
      </c>
      <c r="Q6" s="18" t="s">
        <v>124</v>
      </c>
      <c r="R6" s="18" t="s">
        <v>125</v>
      </c>
      <c r="S6" s="18" t="s">
        <v>126</v>
      </c>
      <c r="U6" s="18" t="s">
        <v>127</v>
      </c>
    </row>
    <row r="7" spans="2:21" ht="13.95" customHeight="1" x14ac:dyDescent="0.3">
      <c r="C7" s="79" t="s">
        <v>128</v>
      </c>
      <c r="D7" s="79" t="s">
        <v>128</v>
      </c>
      <c r="E7" s="79" t="s">
        <v>128</v>
      </c>
      <c r="F7" s="79" t="s">
        <v>128</v>
      </c>
      <c r="G7" s="79" t="s">
        <v>128</v>
      </c>
      <c r="H7" s="79" t="s">
        <v>128</v>
      </c>
      <c r="I7" s="79" t="s">
        <v>128</v>
      </c>
      <c r="J7" s="79" t="s">
        <v>128</v>
      </c>
      <c r="K7" s="79" t="s">
        <v>128</v>
      </c>
      <c r="L7" s="79" t="s">
        <v>128</v>
      </c>
      <c r="M7" s="79" t="s">
        <v>128</v>
      </c>
      <c r="N7" s="80" t="s">
        <v>129</v>
      </c>
      <c r="O7" s="80" t="s">
        <v>129</v>
      </c>
      <c r="P7" s="80" t="s">
        <v>129</v>
      </c>
      <c r="Q7" s="81" t="s">
        <v>130</v>
      </c>
      <c r="R7" s="81" t="s">
        <v>130</v>
      </c>
      <c r="S7" s="81" t="s">
        <v>130</v>
      </c>
    </row>
    <row r="8" spans="2:21" ht="13.95" customHeight="1" x14ac:dyDescent="0.3">
      <c r="B8" s="8" t="s">
        <v>131</v>
      </c>
      <c r="J8" s="82">
        <v>2.9000000000000001E-2</v>
      </c>
      <c r="K8" s="82">
        <v>2.9000000000000001E-2</v>
      </c>
      <c r="L8" s="82">
        <v>3.1E-2</v>
      </c>
      <c r="M8" s="82">
        <v>2.1000000000000001E-2</v>
      </c>
      <c r="N8" s="82">
        <v>1.7999999999999999E-2</v>
      </c>
      <c r="O8" s="82">
        <v>0.01</v>
      </c>
      <c r="P8" s="56">
        <v>0.02</v>
      </c>
      <c r="Q8" s="56">
        <v>0.02</v>
      </c>
      <c r="R8" s="56">
        <v>0.02</v>
      </c>
      <c r="S8" s="56">
        <v>0.02</v>
      </c>
    </row>
    <row r="9" spans="2:21" ht="13.95" customHeight="1" x14ac:dyDescent="0.3">
      <c r="B9" s="8" t="s">
        <v>132</v>
      </c>
      <c r="C9" s="82">
        <v>0.1067</v>
      </c>
      <c r="D9" s="82">
        <v>6.2899999999999998E-2</v>
      </c>
      <c r="E9" s="82">
        <v>2.9499999999999998E-2</v>
      </c>
      <c r="F9" s="82">
        <v>3.7499999999999999E-2</v>
      </c>
      <c r="G9" s="82">
        <v>4.3099999999999999E-2</v>
      </c>
      <c r="H9" s="82">
        <v>4.4999999999999998E-2</v>
      </c>
      <c r="I9" s="82">
        <v>0.10100000000000001</v>
      </c>
      <c r="J9" s="82">
        <v>5.8000000000000003E-2</v>
      </c>
      <c r="K9" s="82">
        <v>4.5999999999999999E-2</v>
      </c>
      <c r="L9" s="82">
        <v>4.5999999999999999E-2</v>
      </c>
      <c r="M9" s="82">
        <v>4.4999999999999998E-2</v>
      </c>
      <c r="N9" s="82">
        <v>3.7999999999999999E-2</v>
      </c>
      <c r="O9" s="82">
        <v>0.04</v>
      </c>
      <c r="P9" s="56">
        <v>0.04</v>
      </c>
      <c r="Q9" s="56">
        <v>0.04</v>
      </c>
      <c r="R9" s="56">
        <v>0.04</v>
      </c>
      <c r="S9" s="56">
        <v>0.04</v>
      </c>
    </row>
    <row r="10" spans="2:21" ht="13.95" customHeight="1" x14ac:dyDescent="0.3">
      <c r="B10" s="8" t="s">
        <v>133</v>
      </c>
      <c r="C10" s="83">
        <f t="shared" ref="C10:S10" si="0">(1+C8)*(1+C9)-1</f>
        <v>0.10670000000000002</v>
      </c>
      <c r="D10" s="83">
        <f t="shared" si="0"/>
        <v>6.2899999999999956E-2</v>
      </c>
      <c r="E10" s="83">
        <f t="shared" si="0"/>
        <v>2.9500000000000082E-2</v>
      </c>
      <c r="F10" s="83">
        <f t="shared" si="0"/>
        <v>3.7500000000000089E-2</v>
      </c>
      <c r="G10" s="83">
        <f t="shared" si="0"/>
        <v>4.3099999999999916E-2</v>
      </c>
      <c r="H10" s="83">
        <f t="shared" si="0"/>
        <v>4.4999999999999929E-2</v>
      </c>
      <c r="I10" s="83">
        <f t="shared" si="0"/>
        <v>0.10099999999999998</v>
      </c>
      <c r="J10" s="83">
        <f t="shared" si="0"/>
        <v>8.8681999999999928E-2</v>
      </c>
      <c r="K10" s="83">
        <f t="shared" si="0"/>
        <v>7.6333999999999902E-2</v>
      </c>
      <c r="L10" s="83">
        <f t="shared" si="0"/>
        <v>7.8425999999999885E-2</v>
      </c>
      <c r="M10" s="83">
        <f t="shared" si="0"/>
        <v>6.694499999999981E-2</v>
      </c>
      <c r="N10" s="83">
        <f t="shared" si="0"/>
        <v>5.6683999999999957E-2</v>
      </c>
      <c r="O10" s="83">
        <f t="shared" si="0"/>
        <v>5.04E-2</v>
      </c>
      <c r="P10" s="83">
        <f t="shared" si="0"/>
        <v>6.0799999999999965E-2</v>
      </c>
      <c r="Q10" s="83">
        <f t="shared" si="0"/>
        <v>6.0799999999999965E-2</v>
      </c>
      <c r="R10" s="83">
        <f t="shared" si="0"/>
        <v>6.0799999999999965E-2</v>
      </c>
      <c r="S10" s="83">
        <f t="shared" si="0"/>
        <v>6.0799999999999965E-2</v>
      </c>
      <c r="U10" s="14" t="s">
        <v>134</v>
      </c>
    </row>
    <row r="11" spans="2:21" ht="13.95" customHeight="1" x14ac:dyDescent="0.3">
      <c r="B11" s="8" t="s">
        <v>135</v>
      </c>
      <c r="D11" s="83">
        <f t="shared" ref="D11:O11" si="1">D13/C13-1</f>
        <v>3.1809353389988138E-2</v>
      </c>
      <c r="E11" s="83">
        <f t="shared" si="1"/>
        <v>1.4830488883974091E-2</v>
      </c>
      <c r="F11" s="83">
        <f t="shared" si="1"/>
        <v>0.16663412511575504</v>
      </c>
      <c r="G11" s="83">
        <f t="shared" si="1"/>
        <v>0.12933977594318002</v>
      </c>
      <c r="H11" s="83">
        <f t="shared" si="1"/>
        <v>8.1369435426573933E-2</v>
      </c>
      <c r="I11" s="83">
        <f t="shared" si="1"/>
        <v>0.33636271799914441</v>
      </c>
      <c r="J11" s="83">
        <f t="shared" si="1"/>
        <v>0.20564508252759062</v>
      </c>
      <c r="K11" s="83">
        <f t="shared" si="1"/>
        <v>5.8209824538664634E-2</v>
      </c>
      <c r="L11" s="83">
        <f t="shared" si="1"/>
        <v>5.7675326606996036E-2</v>
      </c>
      <c r="M11" s="83">
        <f t="shared" si="1"/>
        <v>8.6663868100690378E-2</v>
      </c>
      <c r="N11" s="83">
        <f t="shared" si="1"/>
        <v>5.8485413613960313E-2</v>
      </c>
      <c r="O11" s="83">
        <f t="shared" si="1"/>
        <v>3.0505722969274007E-2</v>
      </c>
      <c r="P11" s="83">
        <f>P10*P12</f>
        <v>6.0799999999999965E-2</v>
      </c>
      <c r="Q11" s="83">
        <f>Q10*Q12</f>
        <v>6.0799999999999965E-2</v>
      </c>
      <c r="R11" s="83">
        <f>R10*R12</f>
        <v>6.0799999999999965E-2</v>
      </c>
      <c r="S11" s="83">
        <f>S10*S12</f>
        <v>6.0799999999999965E-2</v>
      </c>
      <c r="U11" s="14" t="s">
        <v>136</v>
      </c>
    </row>
    <row r="12" spans="2:21" ht="13.95" customHeight="1" x14ac:dyDescent="0.3">
      <c r="B12" s="8" t="s">
        <v>137</v>
      </c>
      <c r="D12" s="84">
        <f t="shared" ref="D12:O12" si="2">D11/D10</f>
        <v>0.50571309046086099</v>
      </c>
      <c r="E12" s="84">
        <f t="shared" si="2"/>
        <v>0.5027284367448831</v>
      </c>
      <c r="F12" s="84">
        <f t="shared" si="2"/>
        <v>4.4435766697534573</v>
      </c>
      <c r="G12" s="84">
        <f t="shared" si="2"/>
        <v>3.0009228757118391</v>
      </c>
      <c r="H12" s="84">
        <f t="shared" si="2"/>
        <v>1.8082096761460902</v>
      </c>
      <c r="I12" s="84">
        <f t="shared" si="2"/>
        <v>3.3303239405855889</v>
      </c>
      <c r="J12" s="84">
        <f t="shared" si="2"/>
        <v>2.3189044284927132</v>
      </c>
      <c r="K12" s="84">
        <f t="shared" si="2"/>
        <v>0.76256746061603886</v>
      </c>
      <c r="L12" s="84">
        <f t="shared" si="2"/>
        <v>0.73541078987830721</v>
      </c>
      <c r="M12" s="84">
        <f t="shared" si="2"/>
        <v>1.2945532616429998</v>
      </c>
      <c r="N12" s="84">
        <f t="shared" si="2"/>
        <v>1.0317799310909668</v>
      </c>
      <c r="O12" s="84">
        <f t="shared" si="2"/>
        <v>0.60527228113638898</v>
      </c>
      <c r="P12" s="85">
        <v>1</v>
      </c>
      <c r="Q12" s="85">
        <v>1</v>
      </c>
      <c r="R12" s="85">
        <v>1</v>
      </c>
      <c r="S12" s="85">
        <v>1</v>
      </c>
    </row>
    <row r="13" spans="2:21" ht="13.95" customHeight="1" x14ac:dyDescent="0.3">
      <c r="B13" s="5" t="s">
        <v>138</v>
      </c>
      <c r="C13" s="41">
        <v>51357.85</v>
      </c>
      <c r="D13" s="41">
        <v>52991.51</v>
      </c>
      <c r="E13" s="41">
        <v>53777.4</v>
      </c>
      <c r="F13" s="41">
        <v>62738.55</v>
      </c>
      <c r="G13" s="41">
        <v>70853.14</v>
      </c>
      <c r="H13" s="41">
        <v>76618.42</v>
      </c>
      <c r="I13" s="41">
        <v>102390</v>
      </c>
      <c r="J13" s="41">
        <v>123446</v>
      </c>
      <c r="K13" s="41">
        <v>130631.77</v>
      </c>
      <c r="L13" s="41">
        <v>138166</v>
      </c>
      <c r="M13" s="41">
        <v>150140</v>
      </c>
      <c r="N13" s="41">
        <v>158921</v>
      </c>
      <c r="O13" s="41">
        <v>163769</v>
      </c>
      <c r="P13" s="66">
        <f>O13*(1+P11)</f>
        <v>173726.15520000001</v>
      </c>
      <c r="Q13" s="66">
        <f>P13*(1+Q11)</f>
        <v>184288.70543616</v>
      </c>
      <c r="R13" s="66">
        <f>Q13*(1+R11)</f>
        <v>195493.45872667854</v>
      </c>
      <c r="S13" s="66">
        <f>R13*(1+S11)</f>
        <v>207379.46101726059</v>
      </c>
      <c r="U13" s="14" t="s">
        <v>139</v>
      </c>
    </row>
    <row r="14" spans="2:21" ht="13.95" customHeight="1" x14ac:dyDescent="0.3">
      <c r="B14" s="8" t="s">
        <v>140</v>
      </c>
      <c r="C14" s="71">
        <f t="shared" ref="C14:S14" si="3">C13*(C15-1)</f>
        <v>-38374.585520000001</v>
      </c>
      <c r="D14" s="71">
        <f t="shared" si="3"/>
        <v>-39865.512972999997</v>
      </c>
      <c r="E14" s="71">
        <f t="shared" si="3"/>
        <v>-38940.215340000002</v>
      </c>
      <c r="F14" s="71">
        <f t="shared" si="3"/>
        <v>-44801.598554999997</v>
      </c>
      <c r="G14" s="71">
        <f t="shared" si="3"/>
        <v>-50192.36437599999</v>
      </c>
      <c r="H14" s="71">
        <f t="shared" si="3"/>
        <v>-53939.367679999996</v>
      </c>
      <c r="I14" s="71">
        <f t="shared" si="3"/>
        <v>-65529.599999999999</v>
      </c>
      <c r="J14" s="71">
        <f t="shared" si="3"/>
        <v>-82708.819999999992</v>
      </c>
      <c r="K14" s="71">
        <f t="shared" si="3"/>
        <v>-94616.591010999997</v>
      </c>
      <c r="L14" s="71">
        <f t="shared" si="3"/>
        <v>-103431.06759999999</v>
      </c>
      <c r="M14" s="71">
        <f t="shared" si="3"/>
        <v>-109046.68199999999</v>
      </c>
      <c r="N14" s="71">
        <f t="shared" si="3"/>
        <v>-97259.652000000002</v>
      </c>
      <c r="O14" s="71">
        <f t="shared" si="3"/>
        <v>-101094.60369999999</v>
      </c>
      <c r="P14" s="71">
        <f t="shared" si="3"/>
        <v>-111584.30948496</v>
      </c>
      <c r="Q14" s="71">
        <f t="shared" si="3"/>
        <v>-118368.63550164556</v>
      </c>
      <c r="R14" s="71">
        <f t="shared" si="3"/>
        <v>-125565.44854014562</v>
      </c>
      <c r="S14" s="71">
        <f t="shared" si="3"/>
        <v>-133199.82781138647</v>
      </c>
      <c r="U14" s="14" t="s">
        <v>141</v>
      </c>
    </row>
    <row r="15" spans="2:21" ht="13.95" customHeight="1" x14ac:dyDescent="0.3">
      <c r="B15" s="8" t="s">
        <v>142</v>
      </c>
      <c r="C15" s="82">
        <v>0.25280000000000002</v>
      </c>
      <c r="D15" s="82">
        <v>0.2477</v>
      </c>
      <c r="E15" s="82">
        <v>0.27589999999999998</v>
      </c>
      <c r="F15" s="82">
        <v>0.28589999999999999</v>
      </c>
      <c r="G15" s="82">
        <v>0.29160000000000003</v>
      </c>
      <c r="H15" s="82">
        <v>0.29599999999999999</v>
      </c>
      <c r="I15" s="82">
        <v>0.36</v>
      </c>
      <c r="J15" s="82">
        <v>0.33</v>
      </c>
      <c r="K15" s="82">
        <v>0.2757</v>
      </c>
      <c r="L15" s="82">
        <v>0.25140000000000001</v>
      </c>
      <c r="M15" s="82">
        <v>0.2737</v>
      </c>
      <c r="N15" s="82">
        <v>0.38800000000000001</v>
      </c>
      <c r="O15" s="82">
        <v>0.38269999999999998</v>
      </c>
      <c r="P15" s="82">
        <v>0.35770000000000002</v>
      </c>
      <c r="Q15" s="83">
        <f>P15</f>
        <v>0.35770000000000002</v>
      </c>
      <c r="R15" s="83">
        <f>Q15</f>
        <v>0.35770000000000002</v>
      </c>
      <c r="S15" s="83">
        <f>R15</f>
        <v>0.35770000000000002</v>
      </c>
      <c r="U15" s="14" t="s">
        <v>143</v>
      </c>
    </row>
    <row r="16" spans="2:21" ht="13.95" customHeight="1" x14ac:dyDescent="0.3">
      <c r="B16" s="8" t="s">
        <v>144</v>
      </c>
      <c r="C16" s="71">
        <f t="shared" ref="C16:S16" si="4">C13+C14</f>
        <v>12983.264479999998</v>
      </c>
      <c r="D16" s="71">
        <f t="shared" si="4"/>
        <v>13125.997027000005</v>
      </c>
      <c r="E16" s="71">
        <f t="shared" si="4"/>
        <v>14837.184659999999</v>
      </c>
      <c r="F16" s="71">
        <f t="shared" si="4"/>
        <v>17936.951445000006</v>
      </c>
      <c r="G16" s="71">
        <f t="shared" si="4"/>
        <v>20660.775624000009</v>
      </c>
      <c r="H16" s="71">
        <f t="shared" si="4"/>
        <v>22679.052320000003</v>
      </c>
      <c r="I16" s="71">
        <f t="shared" si="4"/>
        <v>36860.400000000001</v>
      </c>
      <c r="J16" s="71">
        <f t="shared" si="4"/>
        <v>40737.180000000008</v>
      </c>
      <c r="K16" s="71">
        <f t="shared" si="4"/>
        <v>36015.178989000007</v>
      </c>
      <c r="L16" s="71">
        <f t="shared" si="4"/>
        <v>34734.932400000005</v>
      </c>
      <c r="M16" s="71">
        <f t="shared" si="4"/>
        <v>41093.318000000014</v>
      </c>
      <c r="N16" s="71">
        <f t="shared" si="4"/>
        <v>61661.347999999998</v>
      </c>
      <c r="O16" s="71">
        <f t="shared" si="4"/>
        <v>62674.396300000008</v>
      </c>
      <c r="P16" s="71">
        <f t="shared" si="4"/>
        <v>62141.845715040006</v>
      </c>
      <c r="Q16" s="71">
        <f t="shared" si="4"/>
        <v>65920.069934514439</v>
      </c>
      <c r="R16" s="71">
        <f t="shared" si="4"/>
        <v>69928.01018653292</v>
      </c>
      <c r="S16" s="71">
        <f t="shared" si="4"/>
        <v>74179.633205874125</v>
      </c>
    </row>
    <row r="17" spans="2:21" ht="13.95" customHeight="1" x14ac:dyDescent="0.3">
      <c r="B17" s="8" t="s">
        <v>145</v>
      </c>
      <c r="C17" s="71">
        <f t="shared" ref="C17:P17" si="5">C19-C16</f>
        <v>-11461.954479999999</v>
      </c>
      <c r="D17" s="71">
        <f t="shared" si="5"/>
        <v>-6806.4370270000045</v>
      </c>
      <c r="E17" s="71">
        <f t="shared" si="5"/>
        <v>-7556.5446599999987</v>
      </c>
      <c r="F17" s="71">
        <f t="shared" si="5"/>
        <v>-8126.6114450000059</v>
      </c>
      <c r="G17" s="71">
        <f t="shared" si="5"/>
        <v>-11860.075624000008</v>
      </c>
      <c r="H17" s="71">
        <f t="shared" si="5"/>
        <v>-11988.992320000003</v>
      </c>
      <c r="I17" s="71">
        <f t="shared" si="5"/>
        <v>-13266.400000000001</v>
      </c>
      <c r="J17" s="71">
        <f t="shared" si="5"/>
        <v>-14963.670000000009</v>
      </c>
      <c r="K17" s="71">
        <f t="shared" si="5"/>
        <v>-14690.838989000007</v>
      </c>
      <c r="L17" s="71">
        <f t="shared" si="5"/>
        <v>-9443.6324000000059</v>
      </c>
      <c r="M17" s="71">
        <f t="shared" si="5"/>
        <v>-20247.318000000014</v>
      </c>
      <c r="N17" s="71">
        <f t="shared" si="5"/>
        <v>-28581.347999999998</v>
      </c>
      <c r="O17" s="71">
        <f t="shared" si="5"/>
        <v>-27791.396300000008</v>
      </c>
      <c r="P17" s="71">
        <f t="shared" si="5"/>
        <v>-24819.835715040004</v>
      </c>
      <c r="Q17" s="71">
        <f>Q13*Q18</f>
        <v>-26328.881726514435</v>
      </c>
      <c r="R17" s="71">
        <f>R13*R18</f>
        <v>-27929.677735486515</v>
      </c>
      <c r="S17" s="71">
        <f>S13*S18</f>
        <v>-29627.802141804095</v>
      </c>
      <c r="U17" s="14" t="s">
        <v>146</v>
      </c>
    </row>
    <row r="18" spans="2:21" ht="13.95" customHeight="1" x14ac:dyDescent="0.3">
      <c r="B18" s="8" t="s">
        <v>147</v>
      </c>
      <c r="C18" s="83">
        <f t="shared" ref="C18:P18" si="6">C17/C13</f>
        <v>-0.22317823818559382</v>
      </c>
      <c r="D18" s="83">
        <f t="shared" si="6"/>
        <v>-0.12844391539323949</v>
      </c>
      <c r="E18" s="83">
        <f t="shared" si="6"/>
        <v>-0.14051524729719173</v>
      </c>
      <c r="F18" s="83">
        <f t="shared" si="6"/>
        <v>-0.12953138771935285</v>
      </c>
      <c r="G18" s="83">
        <f t="shared" si="6"/>
        <v>-0.16738955569223901</v>
      </c>
      <c r="H18" s="83">
        <f t="shared" si="6"/>
        <v>-0.15647663212057888</v>
      </c>
      <c r="I18" s="83">
        <f t="shared" si="6"/>
        <v>-0.12956734056060162</v>
      </c>
      <c r="J18" s="83">
        <f t="shared" si="6"/>
        <v>-0.12121632130648226</v>
      </c>
      <c r="K18" s="83">
        <f t="shared" si="6"/>
        <v>-0.11245992448085183</v>
      </c>
      <c r="L18" s="83">
        <f t="shared" si="6"/>
        <v>-6.8349900843912431E-2</v>
      </c>
      <c r="M18" s="83">
        <f t="shared" si="6"/>
        <v>-0.13485625416278149</v>
      </c>
      <c r="N18" s="83">
        <f t="shared" si="6"/>
        <v>-0.1798462632377093</v>
      </c>
      <c r="O18" s="83">
        <f t="shared" si="6"/>
        <v>-0.16969876044916932</v>
      </c>
      <c r="P18" s="83">
        <f t="shared" si="6"/>
        <v>-0.14286758195083801</v>
      </c>
      <c r="Q18" s="83">
        <f>P18</f>
        <v>-0.14286758195083801</v>
      </c>
      <c r="R18" s="83">
        <f>Q18</f>
        <v>-0.14286758195083801</v>
      </c>
      <c r="S18" s="83">
        <f>R18</f>
        <v>-0.14286758195083801</v>
      </c>
      <c r="U18" s="14" t="s">
        <v>148</v>
      </c>
    </row>
    <row r="19" spans="2:21" ht="13.95" customHeight="1" x14ac:dyDescent="0.3">
      <c r="B19" s="5" t="s">
        <v>149</v>
      </c>
      <c r="C19" s="41">
        <v>1521.31</v>
      </c>
      <c r="D19" s="41">
        <v>6319.56</v>
      </c>
      <c r="E19" s="41">
        <v>7280.64</v>
      </c>
      <c r="F19" s="41">
        <v>9810.34</v>
      </c>
      <c r="G19" s="41">
        <v>8800.7000000000007</v>
      </c>
      <c r="H19" s="41">
        <v>10690.06</v>
      </c>
      <c r="I19" s="41">
        <v>23594</v>
      </c>
      <c r="J19" s="41">
        <v>25773.51</v>
      </c>
      <c r="K19" s="41">
        <v>21324.34</v>
      </c>
      <c r="L19" s="41">
        <v>25291.3</v>
      </c>
      <c r="M19" s="41">
        <v>20846</v>
      </c>
      <c r="N19" s="41">
        <v>33080</v>
      </c>
      <c r="O19" s="41">
        <v>34883</v>
      </c>
      <c r="P19" s="41">
        <v>37322.01</v>
      </c>
      <c r="Q19" s="66">
        <f>Q16+Q17</f>
        <v>39591.188208000007</v>
      </c>
      <c r="R19" s="66">
        <f>R16+R17</f>
        <v>41998.332451046401</v>
      </c>
      <c r="S19" s="66">
        <f>S16+S17</f>
        <v>44551.831064070029</v>
      </c>
      <c r="U19" s="14" t="s">
        <v>150</v>
      </c>
    </row>
    <row r="20" spans="2:21" ht="13.95" customHeight="1" x14ac:dyDescent="0.3">
      <c r="B20" s="8" t="s">
        <v>151</v>
      </c>
      <c r="C20" s="83">
        <f t="shared" ref="C20:S20" si="7">C19/C13</f>
        <v>2.9621761814406171E-2</v>
      </c>
      <c r="D20" s="83">
        <f t="shared" si="7"/>
        <v>0.1192560846067606</v>
      </c>
      <c r="E20" s="83">
        <f t="shared" si="7"/>
        <v>0.13538475270280825</v>
      </c>
      <c r="F20" s="83">
        <f t="shared" si="7"/>
        <v>0.15636861228064722</v>
      </c>
      <c r="G20" s="83">
        <f t="shared" si="7"/>
        <v>0.12421044430776111</v>
      </c>
      <c r="H20" s="83">
        <f t="shared" si="7"/>
        <v>0.13952336787942116</v>
      </c>
      <c r="I20" s="83">
        <f t="shared" si="7"/>
        <v>0.23043265943939839</v>
      </c>
      <c r="J20" s="83">
        <f t="shared" si="7"/>
        <v>0.2087836786935178</v>
      </c>
      <c r="K20" s="83">
        <f t="shared" si="7"/>
        <v>0.16324007551914821</v>
      </c>
      <c r="L20" s="83">
        <f t="shared" si="7"/>
        <v>0.18305009915608761</v>
      </c>
      <c r="M20" s="83">
        <f t="shared" si="7"/>
        <v>0.13884374583721859</v>
      </c>
      <c r="N20" s="83">
        <f t="shared" si="7"/>
        <v>0.20815373676229071</v>
      </c>
      <c r="O20" s="83">
        <f t="shared" si="7"/>
        <v>0.21300123955083075</v>
      </c>
      <c r="P20" s="83">
        <f t="shared" si="7"/>
        <v>0.21483241804916201</v>
      </c>
      <c r="Q20" s="83">
        <f t="shared" si="7"/>
        <v>0.21483241804916203</v>
      </c>
      <c r="R20" s="83">
        <f t="shared" si="7"/>
        <v>0.21483241804916201</v>
      </c>
      <c r="S20" s="83">
        <f t="shared" si="7"/>
        <v>0.21483241804916203</v>
      </c>
    </row>
    <row r="21" spans="2:21" ht="13.95" customHeight="1" x14ac:dyDescent="0.3">
      <c r="B21" s="5" t="s">
        <v>152</v>
      </c>
      <c r="C21" s="41">
        <v>11322.26</v>
      </c>
      <c r="D21" s="41">
        <v>11803.92</v>
      </c>
      <c r="E21" s="41">
        <v>13642.8</v>
      </c>
      <c r="F21" s="41">
        <v>17850.25</v>
      </c>
      <c r="G21" s="41">
        <v>18979.349999999999</v>
      </c>
      <c r="H21" s="41">
        <v>19022.66</v>
      </c>
      <c r="I21" s="41">
        <v>31545</v>
      </c>
      <c r="J21" s="41">
        <v>36387.17</v>
      </c>
      <c r="K21" s="41">
        <v>32032.37</v>
      </c>
      <c r="L21" s="41">
        <v>37339</v>
      </c>
      <c r="M21" s="41">
        <v>33801</v>
      </c>
      <c r="N21" s="41">
        <v>49324</v>
      </c>
      <c r="O21" s="41">
        <v>50717</v>
      </c>
      <c r="P21" s="41">
        <v>51996.99</v>
      </c>
      <c r="Q21" s="66">
        <f>Q13*Q22</f>
        <v>55286.611630847998</v>
      </c>
      <c r="R21" s="66">
        <f>R13*R22</f>
        <v>58648.03761800356</v>
      </c>
      <c r="S21" s="66">
        <f>S13*S22</f>
        <v>62213.838305178171</v>
      </c>
      <c r="U21" s="14" t="s">
        <v>153</v>
      </c>
    </row>
    <row r="22" spans="2:21" ht="13.95" customHeight="1" x14ac:dyDescent="0.3">
      <c r="B22" s="8" t="s">
        <v>154</v>
      </c>
      <c r="C22" s="83">
        <f t="shared" ref="C22:P22" si="8">C21/C13</f>
        <v>0.22045821622205758</v>
      </c>
      <c r="D22" s="83">
        <f t="shared" si="8"/>
        <v>0.2227511539112586</v>
      </c>
      <c r="E22" s="83">
        <f t="shared" si="8"/>
        <v>0.25369021187338919</v>
      </c>
      <c r="F22" s="83">
        <f t="shared" si="8"/>
        <v>0.28451805150103088</v>
      </c>
      <c r="G22" s="83">
        <f t="shared" si="8"/>
        <v>0.2678688622691951</v>
      </c>
      <c r="H22" s="83">
        <f t="shared" si="8"/>
        <v>0.24827789453241139</v>
      </c>
      <c r="I22" s="83">
        <f t="shared" si="8"/>
        <v>0.30808672721945501</v>
      </c>
      <c r="J22" s="83">
        <f t="shared" si="8"/>
        <v>0.29476183918474474</v>
      </c>
      <c r="K22" s="83">
        <f t="shared" si="8"/>
        <v>0.24521117642362189</v>
      </c>
      <c r="L22" s="83">
        <f t="shared" si="8"/>
        <v>0.27024738358206796</v>
      </c>
      <c r="M22" s="83">
        <f t="shared" si="8"/>
        <v>0.2251298787798055</v>
      </c>
      <c r="N22" s="83">
        <f t="shared" si="8"/>
        <v>0.31036804450009753</v>
      </c>
      <c r="O22" s="83">
        <f t="shared" si="8"/>
        <v>0.30968620434880839</v>
      </c>
      <c r="P22" s="83">
        <f t="shared" si="8"/>
        <v>0.29930432720472705</v>
      </c>
      <c r="Q22" s="56">
        <v>0.3</v>
      </c>
      <c r="R22" s="56">
        <v>0.3</v>
      </c>
      <c r="S22" s="56">
        <v>0.3</v>
      </c>
      <c r="U22" s="14" t="s">
        <v>155</v>
      </c>
    </row>
    <row r="23" spans="2:21" ht="13.95" customHeight="1" x14ac:dyDescent="0.3">
      <c r="B23" s="8" t="s">
        <v>156</v>
      </c>
      <c r="C23" s="71">
        <f t="shared" ref="C23:S23" si="9">C21-C19</f>
        <v>9800.9500000000007</v>
      </c>
      <c r="D23" s="71">
        <f t="shared" si="9"/>
        <v>5484.36</v>
      </c>
      <c r="E23" s="71">
        <f t="shared" si="9"/>
        <v>6362.1599999999989</v>
      </c>
      <c r="F23" s="71">
        <f t="shared" si="9"/>
        <v>8039.91</v>
      </c>
      <c r="G23" s="71">
        <f t="shared" si="9"/>
        <v>10178.649999999998</v>
      </c>
      <c r="H23" s="71">
        <f t="shared" si="9"/>
        <v>8332.6</v>
      </c>
      <c r="I23" s="71">
        <f t="shared" si="9"/>
        <v>7951</v>
      </c>
      <c r="J23" s="71">
        <f t="shared" si="9"/>
        <v>10613.66</v>
      </c>
      <c r="K23" s="71">
        <f t="shared" si="9"/>
        <v>10708.029999999999</v>
      </c>
      <c r="L23" s="71">
        <f t="shared" si="9"/>
        <v>12047.7</v>
      </c>
      <c r="M23" s="71">
        <f t="shared" si="9"/>
        <v>12955</v>
      </c>
      <c r="N23" s="71">
        <f t="shared" si="9"/>
        <v>16244</v>
      </c>
      <c r="O23" s="71">
        <f t="shared" si="9"/>
        <v>15834</v>
      </c>
      <c r="P23" s="71">
        <f t="shared" si="9"/>
        <v>14674.979999999996</v>
      </c>
      <c r="Q23" s="71">
        <f t="shared" si="9"/>
        <v>15695.423422847991</v>
      </c>
      <c r="R23" s="71">
        <f t="shared" si="9"/>
        <v>16649.705166957159</v>
      </c>
      <c r="S23" s="71">
        <f t="shared" si="9"/>
        <v>17662.007241108142</v>
      </c>
      <c r="U23" s="14" t="s">
        <v>157</v>
      </c>
    </row>
    <row r="24" spans="2:21" ht="13.95" customHeight="1" x14ac:dyDescent="0.3">
      <c r="B24" s="8" t="s">
        <v>158</v>
      </c>
      <c r="C24" s="83">
        <f t="shared" ref="C24:S24" si="10">C23/C13</f>
        <v>0.19083645440765143</v>
      </c>
      <c r="D24" s="83">
        <f t="shared" si="10"/>
        <v>0.10349506930449802</v>
      </c>
      <c r="E24" s="83">
        <f t="shared" si="10"/>
        <v>0.11830545917058093</v>
      </c>
      <c r="F24" s="83">
        <f t="shared" si="10"/>
        <v>0.12814943922038363</v>
      </c>
      <c r="G24" s="83">
        <f t="shared" si="10"/>
        <v>0.143658417961434</v>
      </c>
      <c r="H24" s="83">
        <f t="shared" si="10"/>
        <v>0.10875452665299024</v>
      </c>
      <c r="I24" s="83">
        <f t="shared" si="10"/>
        <v>7.7654067780056651E-2</v>
      </c>
      <c r="J24" s="83">
        <f t="shared" si="10"/>
        <v>8.5978160491226932E-2</v>
      </c>
      <c r="K24" s="83">
        <f t="shared" si="10"/>
        <v>8.1971100904473682E-2</v>
      </c>
      <c r="L24" s="83">
        <f t="shared" si="10"/>
        <v>8.7197284425980348E-2</v>
      </c>
      <c r="M24" s="83">
        <f t="shared" si="10"/>
        <v>8.6286132942586913E-2</v>
      </c>
      <c r="N24" s="83">
        <f t="shared" si="10"/>
        <v>0.10221430773780683</v>
      </c>
      <c r="O24" s="83">
        <f t="shared" si="10"/>
        <v>9.6684964797977641E-2</v>
      </c>
      <c r="P24" s="83">
        <f t="shared" si="10"/>
        <v>8.4471909155565059E-2</v>
      </c>
      <c r="Q24" s="83">
        <f t="shared" si="10"/>
        <v>8.5167581950837942E-2</v>
      </c>
      <c r="R24" s="83">
        <f t="shared" si="10"/>
        <v>8.5167581950837998E-2</v>
      </c>
      <c r="S24" s="83">
        <f t="shared" si="10"/>
        <v>8.5167581950837928E-2</v>
      </c>
    </row>
    <row r="25" spans="2:21" ht="13.95" customHeight="1" x14ac:dyDescent="0.3">
      <c r="B25" s="8" t="s">
        <v>159</v>
      </c>
      <c r="C25" s="82">
        <v>-0.25</v>
      </c>
      <c r="D25" s="83">
        <f t="shared" ref="D25:K25" si="11">C25</f>
        <v>-0.25</v>
      </c>
      <c r="E25" s="83">
        <f t="shared" si="11"/>
        <v>-0.25</v>
      </c>
      <c r="F25" s="83">
        <f t="shared" si="11"/>
        <v>-0.25</v>
      </c>
      <c r="G25" s="83">
        <f t="shared" si="11"/>
        <v>-0.25</v>
      </c>
      <c r="H25" s="83">
        <f t="shared" si="11"/>
        <v>-0.25</v>
      </c>
      <c r="I25" s="83">
        <f t="shared" si="11"/>
        <v>-0.25</v>
      </c>
      <c r="J25" s="83">
        <f t="shared" si="11"/>
        <v>-0.25</v>
      </c>
      <c r="K25" s="83">
        <f t="shared" si="11"/>
        <v>-0.25</v>
      </c>
      <c r="L25" s="82">
        <v>-0.24</v>
      </c>
      <c r="M25" s="83">
        <f t="shared" ref="M25:S25" si="12">L25</f>
        <v>-0.24</v>
      </c>
      <c r="N25" s="83">
        <f t="shared" si="12"/>
        <v>-0.24</v>
      </c>
      <c r="O25" s="83">
        <f t="shared" si="12"/>
        <v>-0.24</v>
      </c>
      <c r="P25" s="83">
        <f t="shared" si="12"/>
        <v>-0.24</v>
      </c>
      <c r="Q25" s="83">
        <f t="shared" si="12"/>
        <v>-0.24</v>
      </c>
      <c r="R25" s="83">
        <f t="shared" si="12"/>
        <v>-0.24</v>
      </c>
      <c r="S25" s="83">
        <f t="shared" si="12"/>
        <v>-0.24</v>
      </c>
      <c r="U25" s="14" t="s">
        <v>160</v>
      </c>
    </row>
    <row r="26" spans="2:21" ht="13.95" customHeight="1" x14ac:dyDescent="0.3">
      <c r="B26" s="8" t="s">
        <v>161</v>
      </c>
      <c r="C26" s="71">
        <f t="shared" ref="C26:S26" si="13">C19*(1+C25)</f>
        <v>1140.9825000000001</v>
      </c>
      <c r="D26" s="71">
        <f t="shared" si="13"/>
        <v>4739.67</v>
      </c>
      <c r="E26" s="71">
        <f t="shared" si="13"/>
        <v>5460.4800000000005</v>
      </c>
      <c r="F26" s="71">
        <f t="shared" si="13"/>
        <v>7357.7550000000001</v>
      </c>
      <c r="G26" s="71">
        <f t="shared" si="13"/>
        <v>6600.5250000000005</v>
      </c>
      <c r="H26" s="71">
        <f t="shared" si="13"/>
        <v>8017.5450000000001</v>
      </c>
      <c r="I26" s="71">
        <f t="shared" si="13"/>
        <v>17695.5</v>
      </c>
      <c r="J26" s="71">
        <f t="shared" si="13"/>
        <v>19330.1325</v>
      </c>
      <c r="K26" s="71">
        <f t="shared" si="13"/>
        <v>15993.255000000001</v>
      </c>
      <c r="L26" s="71">
        <f t="shared" si="13"/>
        <v>19221.387999999999</v>
      </c>
      <c r="M26" s="71">
        <f t="shared" si="13"/>
        <v>15842.960000000001</v>
      </c>
      <c r="N26" s="71">
        <f t="shared" si="13"/>
        <v>25140.799999999999</v>
      </c>
      <c r="O26" s="71">
        <f t="shared" si="13"/>
        <v>26511.08</v>
      </c>
      <c r="P26" s="71">
        <f t="shared" si="13"/>
        <v>28364.727600000002</v>
      </c>
      <c r="Q26" s="71">
        <f t="shared" si="13"/>
        <v>30089.303038080005</v>
      </c>
      <c r="R26" s="71">
        <f t="shared" si="13"/>
        <v>31918.732662795264</v>
      </c>
      <c r="S26" s="71">
        <f t="shared" si="13"/>
        <v>33859.391608693222</v>
      </c>
      <c r="U26" s="14" t="s">
        <v>162</v>
      </c>
    </row>
    <row r="27" spans="2:21" ht="13.95" customHeight="1" x14ac:dyDescent="0.3">
      <c r="B27" s="8" t="s">
        <v>163</v>
      </c>
      <c r="C27" s="71">
        <f t="shared" ref="C27:P27" si="14">C29-C26</f>
        <v>-1992.7125000000001</v>
      </c>
      <c r="D27" s="71">
        <f t="shared" si="14"/>
        <v>-1693.5</v>
      </c>
      <c r="E27" s="71">
        <f t="shared" si="14"/>
        <v>-1553.3100000000004</v>
      </c>
      <c r="F27" s="71">
        <f t="shared" si="14"/>
        <v>-1433.3450000000003</v>
      </c>
      <c r="G27" s="71">
        <f t="shared" si="14"/>
        <v>-1239.1050000000005</v>
      </c>
      <c r="H27" s="71">
        <f t="shared" si="14"/>
        <v>-4140.5450000000001</v>
      </c>
      <c r="I27" s="71">
        <f t="shared" si="14"/>
        <v>-2007.5</v>
      </c>
      <c r="J27" s="71">
        <f t="shared" si="14"/>
        <v>-561.05249999999796</v>
      </c>
      <c r="K27" s="71">
        <f t="shared" si="14"/>
        <v>-2263.6850000000013</v>
      </c>
      <c r="L27" s="71">
        <f t="shared" si="14"/>
        <v>-4277.387999999999</v>
      </c>
      <c r="M27" s="71">
        <f t="shared" si="14"/>
        <v>-1953.9600000000009</v>
      </c>
      <c r="N27" s="71">
        <f t="shared" si="14"/>
        <v>-4182.7999999999993</v>
      </c>
      <c r="O27" s="71">
        <f t="shared" si="14"/>
        <v>-4845.0800000000017</v>
      </c>
      <c r="P27" s="71">
        <f t="shared" si="14"/>
        <v>-5187.727600000002</v>
      </c>
      <c r="Q27" s="71">
        <f>Q13*Q28</f>
        <v>-5503.1414380800024</v>
      </c>
      <c r="R27" s="71">
        <f>R13*R28</f>
        <v>-5837.7324375152666</v>
      </c>
      <c r="S27" s="71">
        <f>S13*S28</f>
        <v>-6192.6665697161943</v>
      </c>
      <c r="U27" s="14" t="s">
        <v>164</v>
      </c>
    </row>
    <row r="28" spans="2:21" ht="13.95" customHeight="1" x14ac:dyDescent="0.3">
      <c r="B28" s="8" t="s">
        <v>165</v>
      </c>
      <c r="C28" s="83">
        <f t="shared" ref="C28:P28" si="15">C27/C13</f>
        <v>-3.8800543636464534E-2</v>
      </c>
      <c r="D28" s="83">
        <f t="shared" si="15"/>
        <v>-3.1957949490399498E-2</v>
      </c>
      <c r="E28" s="83">
        <f t="shared" si="15"/>
        <v>-2.8884066540963312E-2</v>
      </c>
      <c r="F28" s="83">
        <f t="shared" si="15"/>
        <v>-2.2846320165193494E-2</v>
      </c>
      <c r="G28" s="83">
        <f t="shared" si="15"/>
        <v>-1.748835690274278E-2</v>
      </c>
      <c r="H28" s="83">
        <f t="shared" si="15"/>
        <v>-5.4041117005545147E-2</v>
      </c>
      <c r="I28" s="83">
        <f t="shared" si="15"/>
        <v>-1.9606406875671452E-2</v>
      </c>
      <c r="J28" s="83">
        <f t="shared" si="15"/>
        <v>-4.5449224762244052E-3</v>
      </c>
      <c r="K28" s="83">
        <f t="shared" si="15"/>
        <v>-1.7328747822983652E-2</v>
      </c>
      <c r="L28" s="83">
        <f t="shared" si="15"/>
        <v>-3.0958325492523479E-2</v>
      </c>
      <c r="M28" s="83">
        <f t="shared" si="15"/>
        <v>-1.301425336352738E-2</v>
      </c>
      <c r="N28" s="83">
        <f t="shared" si="15"/>
        <v>-2.6319995469447081E-2</v>
      </c>
      <c r="O28" s="83">
        <f t="shared" si="15"/>
        <v>-2.9584842064126923E-2</v>
      </c>
      <c r="P28" s="83">
        <f t="shared" si="15"/>
        <v>-2.9861523119692007E-2</v>
      </c>
      <c r="Q28" s="83">
        <f>P28</f>
        <v>-2.9861523119692007E-2</v>
      </c>
      <c r="R28" s="83">
        <f>Q28</f>
        <v>-2.9861523119692007E-2</v>
      </c>
      <c r="S28" s="83">
        <f>R28</f>
        <v>-2.9861523119692007E-2</v>
      </c>
      <c r="U28" s="14" t="s">
        <v>166</v>
      </c>
    </row>
    <row r="29" spans="2:21" ht="13.95" customHeight="1" x14ac:dyDescent="0.3">
      <c r="B29" s="5" t="s">
        <v>167</v>
      </c>
      <c r="C29" s="41">
        <v>-851.73</v>
      </c>
      <c r="D29" s="41">
        <v>3046.17</v>
      </c>
      <c r="E29" s="41">
        <v>3907.17</v>
      </c>
      <c r="F29" s="41">
        <v>5924.41</v>
      </c>
      <c r="G29" s="41">
        <v>5361.42</v>
      </c>
      <c r="H29" s="41">
        <v>3877</v>
      </c>
      <c r="I29" s="41">
        <v>15688</v>
      </c>
      <c r="J29" s="41">
        <v>18769.080000000002</v>
      </c>
      <c r="K29" s="41">
        <v>13729.57</v>
      </c>
      <c r="L29" s="41">
        <v>14944</v>
      </c>
      <c r="M29" s="41">
        <v>13889</v>
      </c>
      <c r="N29" s="41">
        <v>20958</v>
      </c>
      <c r="O29" s="41">
        <v>21666</v>
      </c>
      <c r="P29" s="41">
        <v>23177</v>
      </c>
      <c r="Q29" s="66">
        <f>Q26+Q27</f>
        <v>24586.161600000003</v>
      </c>
      <c r="R29" s="66">
        <f>R26+R27</f>
        <v>26081.000225279997</v>
      </c>
      <c r="S29" s="66">
        <f>S26+S27</f>
        <v>27666.725038977027</v>
      </c>
      <c r="U29" s="14" t="s">
        <v>168</v>
      </c>
    </row>
    <row r="30" spans="2:21" ht="13.95" customHeight="1" x14ac:dyDescent="0.3">
      <c r="B30" s="8" t="s">
        <v>169</v>
      </c>
      <c r="C30" s="83">
        <f t="shared" ref="C30:S30" si="16">C29/C13</f>
        <v>-1.6584222275659904E-2</v>
      </c>
      <c r="D30" s="83">
        <f t="shared" si="16"/>
        <v>5.7484113964670944E-2</v>
      </c>
      <c r="E30" s="83">
        <f t="shared" si="16"/>
        <v>7.2654497986142874E-2</v>
      </c>
      <c r="F30" s="83">
        <f t="shared" si="16"/>
        <v>9.4430139045291919E-2</v>
      </c>
      <c r="G30" s="83">
        <f t="shared" si="16"/>
        <v>7.566947632807805E-2</v>
      </c>
      <c r="H30" s="83">
        <f t="shared" si="16"/>
        <v>5.0601408904020734E-2</v>
      </c>
      <c r="I30" s="83">
        <f t="shared" si="16"/>
        <v>0.15321808770387732</v>
      </c>
      <c r="J30" s="83">
        <f t="shared" si="16"/>
        <v>0.15204283654391396</v>
      </c>
      <c r="K30" s="83">
        <f t="shared" si="16"/>
        <v>0.10510130881637751</v>
      </c>
      <c r="L30" s="83">
        <f t="shared" si="16"/>
        <v>0.10815974986610309</v>
      </c>
      <c r="M30" s="83">
        <f t="shared" si="16"/>
        <v>9.2506993472758758E-2</v>
      </c>
      <c r="N30" s="83">
        <f t="shared" si="16"/>
        <v>0.13187684446989384</v>
      </c>
      <c r="O30" s="83">
        <f t="shared" si="16"/>
        <v>0.13229609999450445</v>
      </c>
      <c r="P30" s="83">
        <f t="shared" si="16"/>
        <v>0.13341111459767113</v>
      </c>
      <c r="Q30" s="83">
        <f t="shared" si="16"/>
        <v>0.13341111459767113</v>
      </c>
      <c r="R30" s="83">
        <f t="shared" si="16"/>
        <v>0.1334111145976711</v>
      </c>
      <c r="S30" s="83">
        <f t="shared" si="16"/>
        <v>0.13341111459767113</v>
      </c>
    </row>
    <row r="31" spans="2:21" ht="13.95" customHeight="1" x14ac:dyDescent="0.3">
      <c r="B31" s="8" t="s">
        <v>170</v>
      </c>
      <c r="C31" s="71">
        <f t="shared" ref="C31:S31" si="17">-NWCpct*C13</f>
        <v>-2054.3139999999999</v>
      </c>
      <c r="D31" s="71">
        <f t="shared" si="17"/>
        <v>-2119.6604000000002</v>
      </c>
      <c r="E31" s="71">
        <f t="shared" si="17"/>
        <v>-2151.096</v>
      </c>
      <c r="F31" s="71">
        <f t="shared" si="17"/>
        <v>-2509.5420000000004</v>
      </c>
      <c r="G31" s="71">
        <f t="shared" si="17"/>
        <v>-2834.1255999999998</v>
      </c>
      <c r="H31" s="71">
        <f t="shared" si="17"/>
        <v>-3064.7368000000001</v>
      </c>
      <c r="I31" s="71">
        <f t="shared" si="17"/>
        <v>-4095.6</v>
      </c>
      <c r="J31" s="71">
        <f t="shared" si="17"/>
        <v>-4937.84</v>
      </c>
      <c r="K31" s="71">
        <f t="shared" si="17"/>
        <v>-5225.2708000000002</v>
      </c>
      <c r="L31" s="71">
        <f t="shared" si="17"/>
        <v>-5526.64</v>
      </c>
      <c r="M31" s="71">
        <f t="shared" si="17"/>
        <v>-6005.6</v>
      </c>
      <c r="N31" s="71">
        <f t="shared" si="17"/>
        <v>-6356.84</v>
      </c>
      <c r="O31" s="71">
        <f t="shared" si="17"/>
        <v>-6550.76</v>
      </c>
      <c r="P31" s="71">
        <f t="shared" si="17"/>
        <v>-6949.0462080000007</v>
      </c>
      <c r="Q31" s="71">
        <f t="shared" si="17"/>
        <v>-7371.5482174464005</v>
      </c>
      <c r="R31" s="71">
        <f t="shared" si="17"/>
        <v>-7819.7383490671418</v>
      </c>
      <c r="S31" s="71">
        <f t="shared" si="17"/>
        <v>-8295.1784406904244</v>
      </c>
      <c r="U31" s="14" t="s">
        <v>171</v>
      </c>
    </row>
    <row r="32" spans="2:21" ht="13.95" customHeight="1" x14ac:dyDescent="0.3">
      <c r="B32" s="8" t="s">
        <v>172</v>
      </c>
      <c r="D32" s="71">
        <f t="shared" ref="D32:S32" si="18">D31-C31</f>
        <v>-65.346400000000358</v>
      </c>
      <c r="E32" s="71">
        <f t="shared" si="18"/>
        <v>-31.435599999999795</v>
      </c>
      <c r="F32" s="71">
        <f t="shared" si="18"/>
        <v>-358.44600000000037</v>
      </c>
      <c r="G32" s="71">
        <f t="shared" si="18"/>
        <v>-324.58359999999948</v>
      </c>
      <c r="H32" s="71">
        <f t="shared" si="18"/>
        <v>-230.61120000000028</v>
      </c>
      <c r="I32" s="71">
        <f t="shared" si="18"/>
        <v>-1030.8631999999998</v>
      </c>
      <c r="J32" s="71">
        <f t="shared" si="18"/>
        <v>-842.24000000000024</v>
      </c>
      <c r="K32" s="71">
        <f t="shared" si="18"/>
        <v>-287.43080000000009</v>
      </c>
      <c r="L32" s="71">
        <f t="shared" si="18"/>
        <v>-301.36920000000009</v>
      </c>
      <c r="M32" s="71">
        <f t="shared" si="18"/>
        <v>-478.96000000000004</v>
      </c>
      <c r="N32" s="71">
        <f t="shared" si="18"/>
        <v>-351.23999999999978</v>
      </c>
      <c r="O32" s="71">
        <f t="shared" si="18"/>
        <v>-193.92000000000007</v>
      </c>
      <c r="P32" s="71">
        <f t="shared" si="18"/>
        <v>-398.28620800000044</v>
      </c>
      <c r="Q32" s="71">
        <f t="shared" si="18"/>
        <v>-422.50200944639982</v>
      </c>
      <c r="R32" s="71">
        <f t="shared" si="18"/>
        <v>-448.19013162074134</v>
      </c>
      <c r="S32" s="71">
        <f t="shared" si="18"/>
        <v>-475.44009162328257</v>
      </c>
    </row>
    <row r="33" spans="2:21" ht="13.95" customHeight="1" x14ac:dyDescent="0.3">
      <c r="B33" s="8" t="s">
        <v>173</v>
      </c>
      <c r="C33" s="41">
        <v>-5294.22</v>
      </c>
      <c r="D33" s="41">
        <v>-3805.46</v>
      </c>
      <c r="E33" s="41">
        <v>-3278.37</v>
      </c>
      <c r="F33" s="41">
        <v>-3699.48</v>
      </c>
      <c r="G33" s="41">
        <v>-3779.44</v>
      </c>
      <c r="H33" s="41">
        <v>-3672</v>
      </c>
      <c r="I33" s="41">
        <v>-4618.18</v>
      </c>
      <c r="J33" s="41">
        <v>-6641.75</v>
      </c>
      <c r="K33" s="41">
        <v>-8753.81</v>
      </c>
      <c r="L33" s="41">
        <v>-10938</v>
      </c>
      <c r="M33" s="41">
        <v>-18822</v>
      </c>
      <c r="N33" s="41">
        <v>-19159</v>
      </c>
      <c r="O33" s="41">
        <v>-19333</v>
      </c>
      <c r="P33" s="71">
        <f>P13*P34</f>
        <v>-19109.877071999999</v>
      </c>
      <c r="Q33" s="71">
        <f>Q13*Q34</f>
        <v>-20271.757597977601</v>
      </c>
      <c r="R33" s="71">
        <f>R13*R34</f>
        <v>-17594.411285401067</v>
      </c>
      <c r="S33" s="71">
        <f>S13*S34</f>
        <v>-18664.151491553454</v>
      </c>
      <c r="U33" s="14" t="s">
        <v>174</v>
      </c>
    </row>
    <row r="34" spans="2:21" ht="13.95" customHeight="1" x14ac:dyDescent="0.3">
      <c r="B34" s="8" t="s">
        <v>175</v>
      </c>
      <c r="C34" s="83">
        <f t="shared" ref="C34:O34" si="19">C33/C13</f>
        <v>-0.10308492275280216</v>
      </c>
      <c r="D34" s="83">
        <f t="shared" si="19"/>
        <v>-7.1812635646729073E-2</v>
      </c>
      <c r="E34" s="83">
        <f t="shared" si="19"/>
        <v>-6.0961853864262679E-2</v>
      </c>
      <c r="F34" s="83">
        <f t="shared" si="19"/>
        <v>-5.89666162192145E-2</v>
      </c>
      <c r="G34" s="83">
        <f t="shared" si="19"/>
        <v>-5.3341884354031456E-2</v>
      </c>
      <c r="H34" s="83">
        <f t="shared" si="19"/>
        <v>-4.7925812095838051E-2</v>
      </c>
      <c r="I34" s="83">
        <f t="shared" si="19"/>
        <v>-4.510381873229808E-2</v>
      </c>
      <c r="J34" s="83">
        <f t="shared" si="19"/>
        <v>-5.3802877371482268E-2</v>
      </c>
      <c r="K34" s="83">
        <f t="shared" si="19"/>
        <v>-6.7011340350054197E-2</v>
      </c>
      <c r="L34" s="83">
        <f t="shared" si="19"/>
        <v>-7.916564132999436E-2</v>
      </c>
      <c r="M34" s="83">
        <f t="shared" si="19"/>
        <v>-0.12536299453843081</v>
      </c>
      <c r="N34" s="83">
        <f t="shared" si="19"/>
        <v>-0.12055675461392767</v>
      </c>
      <c r="O34" s="83">
        <f t="shared" si="19"/>
        <v>-0.11805042468354816</v>
      </c>
      <c r="P34" s="56">
        <v>-0.11</v>
      </c>
      <c r="Q34" s="83">
        <f>P34</f>
        <v>-0.11</v>
      </c>
      <c r="R34" s="56">
        <v>-0.09</v>
      </c>
      <c r="S34" s="83">
        <f>R34</f>
        <v>-0.09</v>
      </c>
      <c r="U34" s="14" t="s">
        <v>176</v>
      </c>
    </row>
    <row r="35" spans="2:21" ht="13.95" customHeight="1" x14ac:dyDescent="0.3">
      <c r="B35" s="8" t="s">
        <v>177</v>
      </c>
      <c r="C35" s="71">
        <f t="shared" ref="C35:S35" si="20">C23+C26+C33+C31</f>
        <v>3593.3985000000007</v>
      </c>
      <c r="D35" s="71">
        <f t="shared" si="20"/>
        <v>4298.909599999999</v>
      </c>
      <c r="E35" s="71">
        <f t="shared" si="20"/>
        <v>6393.1740000000009</v>
      </c>
      <c r="F35" s="71">
        <f t="shared" si="20"/>
        <v>9188.643</v>
      </c>
      <c r="G35" s="71">
        <f t="shared" si="20"/>
        <v>10165.609399999999</v>
      </c>
      <c r="H35" s="71">
        <f t="shared" si="20"/>
        <v>9613.4081999999999</v>
      </c>
      <c r="I35" s="71">
        <f t="shared" si="20"/>
        <v>16932.72</v>
      </c>
      <c r="J35" s="71">
        <f t="shared" si="20"/>
        <v>18364.202499999999</v>
      </c>
      <c r="K35" s="71">
        <f t="shared" si="20"/>
        <v>12722.204199999998</v>
      </c>
      <c r="L35" s="71">
        <f t="shared" si="20"/>
        <v>14804.448</v>
      </c>
      <c r="M35" s="71">
        <f t="shared" si="20"/>
        <v>3970.3599999999988</v>
      </c>
      <c r="N35" s="71">
        <f t="shared" si="20"/>
        <v>15868.960000000003</v>
      </c>
      <c r="O35" s="71">
        <f t="shared" si="20"/>
        <v>16461.32</v>
      </c>
      <c r="P35" s="71">
        <f t="shared" si="20"/>
        <v>16980.784319999995</v>
      </c>
      <c r="Q35" s="71">
        <f t="shared" si="20"/>
        <v>18141.420645503993</v>
      </c>
      <c r="R35" s="71">
        <f t="shared" si="20"/>
        <v>23154.288195284214</v>
      </c>
      <c r="S35" s="71">
        <f t="shared" si="20"/>
        <v>24562.068917557488</v>
      </c>
      <c r="U35" s="14" t="s">
        <v>178</v>
      </c>
    </row>
    <row r="36" spans="2:21" ht="13.95" customHeight="1" x14ac:dyDescent="0.3">
      <c r="B36" s="8" t="s">
        <v>179</v>
      </c>
      <c r="D36" s="71">
        <f t="shared" ref="D36:S36" si="21">D23+D26+D33+D32</f>
        <v>6353.2235999999984</v>
      </c>
      <c r="E36" s="71">
        <f t="shared" si="21"/>
        <v>8512.8343999999997</v>
      </c>
      <c r="F36" s="71">
        <f t="shared" si="21"/>
        <v>11339.739000000001</v>
      </c>
      <c r="G36" s="71">
        <f t="shared" si="21"/>
        <v>12675.151399999999</v>
      </c>
      <c r="H36" s="71">
        <f t="shared" si="21"/>
        <v>12447.533800000001</v>
      </c>
      <c r="I36" s="71">
        <f t="shared" si="21"/>
        <v>19997.4568</v>
      </c>
      <c r="J36" s="71">
        <f t="shared" si="21"/>
        <v>22459.802499999998</v>
      </c>
      <c r="K36" s="71">
        <f t="shared" si="21"/>
        <v>17660.044199999997</v>
      </c>
      <c r="L36" s="71">
        <f t="shared" si="21"/>
        <v>20029.718799999999</v>
      </c>
      <c r="M36" s="71">
        <f t="shared" si="21"/>
        <v>9497</v>
      </c>
      <c r="N36" s="71">
        <f t="shared" si="21"/>
        <v>21874.560000000005</v>
      </c>
      <c r="O36" s="71">
        <f t="shared" si="21"/>
        <v>22818.160000000003</v>
      </c>
      <c r="P36" s="71">
        <f t="shared" si="21"/>
        <v>23531.544319999994</v>
      </c>
      <c r="Q36" s="71">
        <f t="shared" si="21"/>
        <v>25090.466853503996</v>
      </c>
      <c r="R36" s="71">
        <f t="shared" si="21"/>
        <v>30525.836412730616</v>
      </c>
      <c r="S36" s="71">
        <f t="shared" si="21"/>
        <v>32381.80726662463</v>
      </c>
      <c r="U36" s="14" t="s">
        <v>180</v>
      </c>
    </row>
    <row r="37" spans="2:21" ht="13.95" customHeight="1" x14ac:dyDescent="0.3">
      <c r="B37" s="5" t="s">
        <v>181</v>
      </c>
      <c r="C37" s="66">
        <f>C35</f>
        <v>3593.3985000000007</v>
      </c>
      <c r="D37" s="66">
        <f t="shared" ref="D37:S37" si="22">IF(FixNWC=1,D36,D35)</f>
        <v>4298.909599999999</v>
      </c>
      <c r="E37" s="66">
        <f t="shared" si="22"/>
        <v>6393.1740000000009</v>
      </c>
      <c r="F37" s="66">
        <f t="shared" si="22"/>
        <v>9188.643</v>
      </c>
      <c r="G37" s="66">
        <f t="shared" si="22"/>
        <v>10165.609399999999</v>
      </c>
      <c r="H37" s="66">
        <f t="shared" si="22"/>
        <v>9613.4081999999999</v>
      </c>
      <c r="I37" s="66">
        <f t="shared" si="22"/>
        <v>16932.72</v>
      </c>
      <c r="J37" s="66">
        <f t="shared" si="22"/>
        <v>18364.202499999999</v>
      </c>
      <c r="K37" s="66">
        <f t="shared" si="22"/>
        <v>12722.204199999998</v>
      </c>
      <c r="L37" s="66">
        <f t="shared" si="22"/>
        <v>14804.448</v>
      </c>
      <c r="M37" s="66">
        <f t="shared" si="22"/>
        <v>3970.3599999999988</v>
      </c>
      <c r="N37" s="61">
        <f t="shared" si="22"/>
        <v>15868.960000000003</v>
      </c>
      <c r="O37" s="61">
        <f t="shared" si="22"/>
        <v>16461.32</v>
      </c>
      <c r="P37" s="61">
        <f t="shared" si="22"/>
        <v>16980.784319999995</v>
      </c>
      <c r="Q37" s="61">
        <f t="shared" si="22"/>
        <v>18141.420645503993</v>
      </c>
      <c r="R37" s="61">
        <f t="shared" si="22"/>
        <v>23154.288195284214</v>
      </c>
      <c r="S37" s="61">
        <f t="shared" si="22"/>
        <v>24562.068917557488</v>
      </c>
      <c r="U37" s="14" t="s">
        <v>182</v>
      </c>
    </row>
    <row r="38" spans="2:21" ht="13.95" customHeight="1" x14ac:dyDescent="0.3">
      <c r="B38" s="64" t="s">
        <v>183</v>
      </c>
      <c r="C38" s="41">
        <v>3875.1</v>
      </c>
      <c r="D38" s="41">
        <v>3414.98</v>
      </c>
      <c r="E38" s="41">
        <v>3131.8</v>
      </c>
      <c r="F38" s="41">
        <v>5798.58</v>
      </c>
      <c r="G38" s="41">
        <v>7840.38</v>
      </c>
      <c r="H38" s="41">
        <v>10543</v>
      </c>
      <c r="I38" s="41">
        <v>15220</v>
      </c>
      <c r="J38" s="41">
        <v>21728</v>
      </c>
      <c r="K38" s="41">
        <v>10626.16</v>
      </c>
      <c r="L38" s="41">
        <v>12342</v>
      </c>
      <c r="M38" s="41">
        <v>13051</v>
      </c>
      <c r="N38" s="71">
        <f t="shared" ref="N38:S38" si="23">N21*(1+N25)+N33</f>
        <v>18327.239999999998</v>
      </c>
      <c r="O38" s="71">
        <f t="shared" si="23"/>
        <v>19211.919999999998</v>
      </c>
      <c r="P38" s="71">
        <f t="shared" si="23"/>
        <v>20407.835327999997</v>
      </c>
      <c r="Q38" s="71">
        <f t="shared" si="23"/>
        <v>21746.067241466881</v>
      </c>
      <c r="R38" s="71">
        <f t="shared" si="23"/>
        <v>26978.09730428164</v>
      </c>
      <c r="S38" s="71">
        <f t="shared" si="23"/>
        <v>28618.365620381959</v>
      </c>
      <c r="U38" s="14" t="s">
        <v>184</v>
      </c>
    </row>
    <row r="39" spans="2:21" ht="13.95" customHeight="1" x14ac:dyDescent="0.3">
      <c r="B39" s="64" t="s">
        <v>185</v>
      </c>
      <c r="C39" s="41">
        <v>49828</v>
      </c>
      <c r="D39" s="41">
        <v>53350</v>
      </c>
      <c r="E39" s="41">
        <v>67784</v>
      </c>
      <c r="F39" s="41">
        <v>81677</v>
      </c>
      <c r="G39" s="41">
        <v>101000</v>
      </c>
      <c r="H39" s="41">
        <v>99143</v>
      </c>
      <c r="I39" s="71">
        <f t="shared" ref="I39:S39" si="24">IbovUsed</f>
        <v>208431.92</v>
      </c>
      <c r="J39" s="71">
        <f t="shared" si="24"/>
        <v>208431.92</v>
      </c>
      <c r="K39" s="71">
        <f t="shared" si="24"/>
        <v>208431.92</v>
      </c>
      <c r="L39" s="71">
        <f t="shared" si="24"/>
        <v>208431.92</v>
      </c>
      <c r="M39" s="71">
        <f t="shared" si="24"/>
        <v>208431.92</v>
      </c>
      <c r="N39" s="71">
        <f t="shared" si="24"/>
        <v>208431.92</v>
      </c>
      <c r="O39" s="71">
        <f t="shared" si="24"/>
        <v>208431.92</v>
      </c>
      <c r="P39" s="71">
        <f t="shared" si="24"/>
        <v>208431.92</v>
      </c>
      <c r="Q39" s="71">
        <f t="shared" si="24"/>
        <v>208431.92</v>
      </c>
      <c r="R39" s="71">
        <f t="shared" si="24"/>
        <v>208431.92</v>
      </c>
      <c r="S39" s="71">
        <f t="shared" si="24"/>
        <v>208431.92</v>
      </c>
      <c r="U39" s="14" t="s">
        <v>186</v>
      </c>
    </row>
    <row r="40" spans="2:21" ht="13.95" customHeight="1" x14ac:dyDescent="0.3">
      <c r="B40" s="64" t="s">
        <v>187</v>
      </c>
      <c r="C40" s="83">
        <f t="shared" ref="C40:S40" si="25">C38/C39</f>
        <v>7.7769527173476752E-2</v>
      </c>
      <c r="D40" s="83">
        <f t="shared" si="25"/>
        <v>6.4010871602624184E-2</v>
      </c>
      <c r="E40" s="83">
        <f t="shared" si="25"/>
        <v>4.6202643691726664E-2</v>
      </c>
      <c r="F40" s="83">
        <f t="shared" si="25"/>
        <v>7.0994037489134021E-2</v>
      </c>
      <c r="G40" s="83">
        <f t="shared" si="25"/>
        <v>7.7627524752475252E-2</v>
      </c>
      <c r="H40" s="83">
        <f t="shared" si="25"/>
        <v>0.10634134532947359</v>
      </c>
      <c r="I40" s="83">
        <f t="shared" si="25"/>
        <v>7.3021445083843201E-2</v>
      </c>
      <c r="J40" s="83">
        <f t="shared" si="25"/>
        <v>0.10424506956516065</v>
      </c>
      <c r="K40" s="83">
        <f t="shared" si="25"/>
        <v>5.098144276558024E-2</v>
      </c>
      <c r="L40" s="83">
        <f t="shared" si="25"/>
        <v>5.9213579186911482E-2</v>
      </c>
      <c r="M40" s="83">
        <f t="shared" si="25"/>
        <v>6.2615169499949913E-2</v>
      </c>
      <c r="N40" s="83">
        <f t="shared" si="25"/>
        <v>8.792914252289187E-2</v>
      </c>
      <c r="O40" s="83">
        <f t="shared" si="25"/>
        <v>9.2173597978658914E-2</v>
      </c>
      <c r="P40" s="83">
        <f t="shared" si="25"/>
        <v>9.7911276391830948E-2</v>
      </c>
      <c r="Q40" s="83">
        <f t="shared" si="25"/>
        <v>0.10433175130501547</v>
      </c>
      <c r="R40" s="83">
        <f t="shared" si="25"/>
        <v>0.12943361700204861</v>
      </c>
      <c r="S40" s="83">
        <f t="shared" si="25"/>
        <v>0.13730318091577315</v>
      </c>
      <c r="U40" s="14" t="s">
        <v>188</v>
      </c>
    </row>
    <row r="42" spans="2:21" ht="13.95" customHeight="1" x14ac:dyDescent="0.3">
      <c r="B42" s="138" t="s">
        <v>189</v>
      </c>
      <c r="C42" s="138"/>
      <c r="D42" s="138"/>
      <c r="E42" s="138"/>
      <c r="F42" s="138"/>
      <c r="G42" s="138"/>
      <c r="H42" s="138"/>
      <c r="I42" s="138"/>
      <c r="J42" s="138"/>
      <c r="K42" s="138"/>
      <c r="L42" s="138"/>
      <c r="M42" s="138"/>
      <c r="N42" s="138"/>
      <c r="O42" s="138"/>
      <c r="P42" s="138"/>
      <c r="Q42" s="138"/>
      <c r="R42" s="138"/>
      <c r="S42" s="138"/>
      <c r="T42" s="138"/>
      <c r="U42" s="138"/>
    </row>
    <row r="43" spans="2:21" ht="13.95" customHeight="1" x14ac:dyDescent="0.3">
      <c r="B43" s="17"/>
      <c r="C43" s="18" t="s">
        <v>31</v>
      </c>
      <c r="D43" s="18" t="s">
        <v>32</v>
      </c>
      <c r="E43" s="18" t="s">
        <v>33</v>
      </c>
      <c r="F43" s="18"/>
      <c r="G43" s="18" t="s">
        <v>190</v>
      </c>
      <c r="H43" s="138" t="s">
        <v>191</v>
      </c>
      <c r="I43" s="138"/>
      <c r="J43" s="138"/>
      <c r="K43" s="138"/>
      <c r="L43" s="138"/>
      <c r="M43" s="138"/>
      <c r="N43" s="138"/>
      <c r="O43" s="138"/>
      <c r="P43" s="138"/>
      <c r="Q43" s="138"/>
      <c r="R43" s="138"/>
      <c r="S43" s="138"/>
      <c r="T43" s="138"/>
      <c r="U43" s="138"/>
    </row>
    <row r="44" spans="2:21" ht="13.95" customHeight="1" x14ac:dyDescent="0.3">
      <c r="B44" s="8" t="s">
        <v>192</v>
      </c>
      <c r="C44" s="86">
        <v>2027</v>
      </c>
      <c r="D44" s="86">
        <v>2027</v>
      </c>
      <c r="E44" s="86">
        <v>2027</v>
      </c>
      <c r="G44" s="86">
        <v>2026</v>
      </c>
    </row>
    <row r="45" spans="2:21" ht="13.95" customHeight="1" x14ac:dyDescent="0.3">
      <c r="B45" s="8" t="s">
        <v>193</v>
      </c>
      <c r="C45" s="87" t="s">
        <v>215</v>
      </c>
      <c r="D45" s="87" t="s">
        <v>215</v>
      </c>
      <c r="E45" s="87" t="s">
        <v>215</v>
      </c>
      <c r="G45" s="87" t="s">
        <v>216</v>
      </c>
    </row>
    <row r="46" spans="2:21" ht="13.95" customHeight="1" x14ac:dyDescent="0.3">
      <c r="B46" s="8" t="s">
        <v>14</v>
      </c>
      <c r="C46" s="30">
        <f>Assumptions!C20</f>
        <v>8.5000000000000006E-2</v>
      </c>
      <c r="D46" s="30">
        <f>Assumptions!D20</f>
        <v>6.7599999999999993E-2</v>
      </c>
      <c r="E46" s="30">
        <f>Assumptions!E20</f>
        <v>5.5E-2</v>
      </c>
      <c r="G46" s="30">
        <f>Assumptions!D20</f>
        <v>6.7599999999999993E-2</v>
      </c>
    </row>
    <row r="47" spans="2:21" ht="13.95" customHeight="1" x14ac:dyDescent="0.3">
      <c r="B47" s="8" t="s">
        <v>35</v>
      </c>
      <c r="C47" s="30">
        <f>Assumptions!C21</f>
        <v>0.06</v>
      </c>
      <c r="D47" s="30">
        <f>Assumptions!D21</f>
        <v>0.06</v>
      </c>
      <c r="E47" s="30">
        <f>Assumptions!E21</f>
        <v>0.06</v>
      </c>
      <c r="G47" s="30">
        <f>Assumptions!D21</f>
        <v>0.06</v>
      </c>
    </row>
    <row r="48" spans="2:21" ht="13.95" customHeight="1" x14ac:dyDescent="0.3">
      <c r="B48" s="5" t="s">
        <v>194</v>
      </c>
      <c r="C48" s="53">
        <f>IF(FixInfl=1,(1+C46+C47)*(1+InflLT)-1,C46+C47)</f>
        <v>0.14500000000000002</v>
      </c>
      <c r="D48" s="53">
        <f>IF(FixInfl=1,(1+D46+D47)*(1+InflLT)-1,D46+D47)</f>
        <v>0.12759999999999999</v>
      </c>
      <c r="E48" s="53">
        <f>IF(FixInfl=1,(1+E46+E47)*(1+InflLT)-1,E46+E47)</f>
        <v>0.11499999999999999</v>
      </c>
      <c r="G48" s="53">
        <f>IF(FixInfl=1,(1+G46+G47)*(1+InflLT)-1,G46+G47)</f>
        <v>0.12759999999999999</v>
      </c>
      <c r="H48" s="14" t="s">
        <v>195</v>
      </c>
    </row>
    <row r="49" spans="2:21" ht="13.95" customHeight="1" x14ac:dyDescent="0.3">
      <c r="B49" s="8" t="s">
        <v>196</v>
      </c>
      <c r="C49" s="30">
        <f>gLT</f>
        <v>4.7E-2</v>
      </c>
      <c r="D49" s="30">
        <f>gLT</f>
        <v>4.7E-2</v>
      </c>
      <c r="E49" s="30">
        <f>gLT</f>
        <v>4.7E-2</v>
      </c>
      <c r="G49" s="30">
        <f>gLT</f>
        <v>4.7E-2</v>
      </c>
    </row>
    <row r="50" spans="2:21" ht="13.95" customHeight="1" x14ac:dyDescent="0.3">
      <c r="B50" s="8" t="s">
        <v>197</v>
      </c>
      <c r="C50" s="20">
        <f>S37</f>
        <v>24562.068917557488</v>
      </c>
      <c r="D50" s="20">
        <f>S37</f>
        <v>24562.068917557488</v>
      </c>
      <c r="E50" s="20">
        <f>S37</f>
        <v>24562.068917557488</v>
      </c>
      <c r="G50" s="20">
        <f>R37</f>
        <v>23154.288195284214</v>
      </c>
    </row>
    <row r="51" spans="2:21" ht="13.95" customHeight="1" x14ac:dyDescent="0.3">
      <c r="B51" s="8" t="s">
        <v>198</v>
      </c>
      <c r="C51" s="20">
        <f>C50*(1+C49)/(C48-C49)</f>
        <v>262413.1240477825</v>
      </c>
      <c r="D51" s="20">
        <f>D50*(1+D49)/(D48-D49)</f>
        <v>319063.10368092667</v>
      </c>
      <c r="E51" s="20">
        <f>E50*(1+E49)/(E48-E49)</f>
        <v>378183.61995121604</v>
      </c>
      <c r="G51" s="20">
        <f>G50*(1+G49)/(G48-G49)</f>
        <v>300775.92730102444</v>
      </c>
      <c r="H51" s="14" t="s">
        <v>199</v>
      </c>
    </row>
    <row r="52" spans="2:21" ht="13.95" customHeight="1" x14ac:dyDescent="0.3">
      <c r="B52" s="8" t="s">
        <v>200</v>
      </c>
      <c r="C52" s="67">
        <f>5-FixTV</f>
        <v>5</v>
      </c>
      <c r="D52" s="67">
        <f>5-FixTV</f>
        <v>5</v>
      </c>
      <c r="E52" s="67">
        <f>5-FixTV</f>
        <v>5</v>
      </c>
      <c r="G52" s="67">
        <f>5-FixTV</f>
        <v>5</v>
      </c>
      <c r="H52" s="14" t="s">
        <v>201</v>
      </c>
    </row>
    <row r="53" spans="2:21" ht="13.95" customHeight="1" x14ac:dyDescent="0.3">
      <c r="B53" s="8" t="s">
        <v>202</v>
      </c>
      <c r="C53" s="20">
        <f>NPV(C48,P37:S37)</f>
        <v>58382.957081100023</v>
      </c>
      <c r="D53" s="20">
        <f>NPV(D48,P37:S37)</f>
        <v>60669.968974076117</v>
      </c>
      <c r="E53" s="20">
        <f>NPV(E48,P37:S37)</f>
        <v>62416.625761702882</v>
      </c>
      <c r="G53" s="20">
        <f>NPV(G48,O37:R37)</f>
        <v>54929.273793531691</v>
      </c>
      <c r="H53" s="14" t="s">
        <v>203</v>
      </c>
    </row>
    <row r="54" spans="2:21" ht="13.95" customHeight="1" x14ac:dyDescent="0.3">
      <c r="B54" s="8" t="s">
        <v>204</v>
      </c>
      <c r="C54" s="20">
        <f>C51/(1+C48)^C52</f>
        <v>133339.28383602019</v>
      </c>
      <c r="D54" s="20">
        <f>D51/(1+D48)^D52</f>
        <v>175025.46876147939</v>
      </c>
      <c r="E54" s="20">
        <f>E51/(1+E48)^E52</f>
        <v>219446.35804789979</v>
      </c>
      <c r="G54" s="20">
        <f>G51/(1+G48)^G52</f>
        <v>164993.84310094215</v>
      </c>
    </row>
    <row r="55" spans="2:21" ht="13.95" customHeight="1" x14ac:dyDescent="0.3">
      <c r="B55" s="8" t="s">
        <v>205</v>
      </c>
      <c r="C55" s="20">
        <f>C53+C54</f>
        <v>191722.24091712022</v>
      </c>
      <c r="D55" s="20">
        <f>D53+D54</f>
        <v>235695.43773555552</v>
      </c>
      <c r="E55" s="20">
        <f>E53+E54</f>
        <v>281862.98380960268</v>
      </c>
      <c r="G55" s="20">
        <f>G53+G54</f>
        <v>219923.11689447385</v>
      </c>
    </row>
    <row r="56" spans="2:21" ht="13.95" customHeight="1" x14ac:dyDescent="0.3">
      <c r="B56" s="8" t="s">
        <v>206</v>
      </c>
      <c r="C56" s="20">
        <f>IF(FixND=1,NDmult*M21,0)</f>
        <v>0</v>
      </c>
      <c r="D56" s="20">
        <f>IF(FixND=1,NDmult*M21,0)</f>
        <v>0</v>
      </c>
      <c r="E56" s="20">
        <f>IF(FixND=1,NDmult*M21,0)</f>
        <v>0</v>
      </c>
      <c r="G56" s="20">
        <f>IF(FixND=1,NDmult*L21,0)</f>
        <v>0</v>
      </c>
      <c r="H56" s="14" t="s">
        <v>207</v>
      </c>
    </row>
    <row r="57" spans="2:21" ht="13.95" customHeight="1" x14ac:dyDescent="0.3">
      <c r="B57" s="5" t="s">
        <v>208</v>
      </c>
      <c r="C57" s="61">
        <f>C55-C56</f>
        <v>191722.24091712022</v>
      </c>
      <c r="D57" s="61">
        <f>D55-D56</f>
        <v>235695.43773555552</v>
      </c>
      <c r="E57" s="61">
        <f>E55-E56</f>
        <v>281862.98380960268</v>
      </c>
      <c r="G57" s="61">
        <f>G55-G56</f>
        <v>219923.11689447385</v>
      </c>
      <c r="H57" s="14" t="s">
        <v>209</v>
      </c>
    </row>
    <row r="58" spans="2:21" ht="13.95" customHeight="1" x14ac:dyDescent="0.3">
      <c r="B58" s="8" t="s">
        <v>210</v>
      </c>
      <c r="C58" s="20">
        <f>IbovUsed</f>
        <v>208431.92</v>
      </c>
      <c r="D58" s="20">
        <f>IbovUsed</f>
        <v>208431.92</v>
      </c>
      <c r="E58" s="20">
        <f>IbovUsed</f>
        <v>208431.92</v>
      </c>
      <c r="G58" s="20">
        <f>IbovUsed</f>
        <v>208431.92</v>
      </c>
    </row>
    <row r="59" spans="2:21" ht="13.95" customHeight="1" x14ac:dyDescent="0.3">
      <c r="B59" s="5" t="s">
        <v>211</v>
      </c>
      <c r="C59" s="68">
        <f>C57/C58-1</f>
        <v>-8.0168522570246425E-2</v>
      </c>
      <c r="D59" s="68">
        <f>D57/D58-1</f>
        <v>0.13080298706433968</v>
      </c>
      <c r="E59" s="68">
        <f>E57/E58-1</f>
        <v>0.35230239115775874</v>
      </c>
      <c r="G59" s="68">
        <f>G57/G58-1</f>
        <v>5.5131655911790478E-2</v>
      </c>
    </row>
    <row r="60" spans="2:21" ht="13.95" customHeight="1" x14ac:dyDescent="0.3">
      <c r="B60" s="8" t="s">
        <v>212</v>
      </c>
      <c r="C60" s="40">
        <f>C54/C55</f>
        <v>0.69548156331878863</v>
      </c>
      <c r="D60" s="40">
        <f>D54/D55</f>
        <v>0.74259167017841754</v>
      </c>
      <c r="E60" s="40">
        <f>E54/E55</f>
        <v>0.77855685440460298</v>
      </c>
      <c r="G60" s="40">
        <f>G54/G55</f>
        <v>0.75023419743596798</v>
      </c>
    </row>
    <row r="61" spans="2:21" ht="13.95" customHeight="1" x14ac:dyDescent="0.3">
      <c r="B61" s="8" t="s">
        <v>213</v>
      </c>
      <c r="C61" s="72">
        <f>C57/P29</f>
        <v>8.2720904740527335</v>
      </c>
      <c r="D61" s="72">
        <f>D57/P29</f>
        <v>10.169367810137443</v>
      </c>
      <c r="E61" s="72">
        <f>E57/P29</f>
        <v>12.161323027553294</v>
      </c>
      <c r="G61" s="72">
        <f>G57/O29</f>
        <v>10.150610029284309</v>
      </c>
      <c r="H61" s="14" t="s">
        <v>214</v>
      </c>
    </row>
    <row r="63" spans="2:21" ht="13.95" customHeight="1" x14ac:dyDescent="0.3">
      <c r="B63" s="138" t="s">
        <v>217</v>
      </c>
      <c r="C63" s="138"/>
      <c r="D63" s="138"/>
      <c r="E63" s="138"/>
      <c r="F63" s="138"/>
      <c r="G63" s="138"/>
      <c r="H63" s="138"/>
      <c r="I63" s="138"/>
      <c r="J63" s="138"/>
      <c r="K63" s="138"/>
      <c r="L63" s="138"/>
      <c r="M63" s="138"/>
      <c r="N63" s="138"/>
      <c r="O63" s="138"/>
      <c r="P63" s="138"/>
      <c r="Q63" s="138"/>
      <c r="R63" s="138"/>
      <c r="S63" s="138"/>
      <c r="T63" s="138"/>
      <c r="U63" s="138"/>
    </row>
    <row r="64" spans="2:21" ht="13.95" customHeight="1" x14ac:dyDescent="0.3">
      <c r="B64" s="17"/>
      <c r="C64" s="18" t="s">
        <v>218</v>
      </c>
      <c r="D64" s="18" t="s">
        <v>122</v>
      </c>
      <c r="E64" s="18" t="s">
        <v>123</v>
      </c>
      <c r="F64" s="18" t="s">
        <v>124</v>
      </c>
      <c r="G64" s="18" t="s">
        <v>219</v>
      </c>
    </row>
    <row r="65" spans="2:8" ht="13.95" customHeight="1" x14ac:dyDescent="0.3">
      <c r="B65" s="19" t="s">
        <v>220</v>
      </c>
      <c r="C65" s="20">
        <f>-IbovUsed</f>
        <v>-208431.92</v>
      </c>
      <c r="D65" s="20">
        <f>O37</f>
        <v>16461.32</v>
      </c>
      <c r="E65" s="20">
        <f>P37</f>
        <v>16980.784319999995</v>
      </c>
      <c r="F65" s="20">
        <f>Q37</f>
        <v>18141.420645503993</v>
      </c>
      <c r="G65" s="20">
        <f>D51</f>
        <v>319063.10368092667</v>
      </c>
      <c r="H65" s="14" t="s">
        <v>224</v>
      </c>
    </row>
    <row r="66" spans="2:8" ht="13.95" customHeight="1" x14ac:dyDescent="0.3">
      <c r="B66" s="8" t="s">
        <v>221</v>
      </c>
      <c r="C66" s="43">
        <f>IRR(C65:G65)</f>
        <v>0.1694377720342557</v>
      </c>
    </row>
    <row r="67" spans="2:8" ht="13.95" customHeight="1" x14ac:dyDescent="0.3">
      <c r="B67" s="8" t="s">
        <v>132</v>
      </c>
      <c r="C67" s="43">
        <f>InflLT</f>
        <v>0.04</v>
      </c>
    </row>
    <row r="68" spans="2:8" ht="13.95" customHeight="1" x14ac:dyDescent="0.3">
      <c r="B68" s="8" t="s">
        <v>222</v>
      </c>
      <c r="C68" s="43">
        <f>C66-C67</f>
        <v>0.12943777203425569</v>
      </c>
    </row>
    <row r="69" spans="2:8" ht="13.95" customHeight="1" x14ac:dyDescent="0.3">
      <c r="B69" s="5" t="s">
        <v>223</v>
      </c>
      <c r="C69" s="53">
        <f>C68-D46</f>
        <v>6.1837772034255695E-2</v>
      </c>
    </row>
  </sheetData>
  <mergeCells count="4">
    <mergeCell ref="B5:U5"/>
    <mergeCell ref="B42:U42"/>
    <mergeCell ref="H43:U43"/>
    <mergeCell ref="B63:U63"/>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G51"/>
  <sheetViews>
    <sheetView showGridLines="0" zoomScale="85" zoomScaleNormal="85" workbookViewId="0"/>
  </sheetViews>
  <sheetFormatPr defaultRowHeight="13.95" customHeight="1" x14ac:dyDescent="0.3"/>
  <cols>
    <col min="1" max="1" width="2.6640625" customWidth="1"/>
    <col min="2" max="2" width="30.6640625" customWidth="1"/>
    <col min="3" max="8" width="15.6640625" customWidth="1"/>
  </cols>
  <sheetData>
    <row r="1" spans="2:7" ht="30" customHeight="1" x14ac:dyDescent="0.3">
      <c r="B1" s="15" t="s">
        <v>225</v>
      </c>
    </row>
    <row r="2" spans="2:7" ht="13.95" customHeight="1" x14ac:dyDescent="0.3">
      <c r="B2" s="14" t="s">
        <v>226</v>
      </c>
    </row>
    <row r="3" spans="2:7" ht="13.95" customHeight="1" x14ac:dyDescent="0.3">
      <c r="B3" s="14" t="s">
        <v>2</v>
      </c>
      <c r="C3" s="47" t="s">
        <v>3</v>
      </c>
      <c r="D3" s="48" t="s">
        <v>4</v>
      </c>
      <c r="E3" s="49" t="s">
        <v>5</v>
      </c>
    </row>
    <row r="5" spans="2:7" ht="13.95" customHeight="1" x14ac:dyDescent="0.3">
      <c r="B5" s="138" t="s">
        <v>227</v>
      </c>
      <c r="C5" s="138"/>
      <c r="D5" s="138"/>
      <c r="E5" s="138"/>
      <c r="F5" s="138"/>
      <c r="G5" s="138"/>
    </row>
    <row r="6" spans="2:7" ht="30" customHeight="1" x14ac:dyDescent="0.3">
      <c r="B6" s="17" t="s">
        <v>228</v>
      </c>
      <c r="C6" s="18" t="s">
        <v>229</v>
      </c>
      <c r="D6" s="18" t="s">
        <v>230</v>
      </c>
      <c r="E6" s="18" t="s">
        <v>231</v>
      </c>
      <c r="F6" s="18"/>
      <c r="G6" s="18" t="s">
        <v>232</v>
      </c>
    </row>
    <row r="7" spans="2:7" ht="13.95" customHeight="1" x14ac:dyDescent="0.3">
      <c r="B7" s="88">
        <v>5.5E-2</v>
      </c>
      <c r="C7" s="41">
        <v>263358.80545811931</v>
      </c>
      <c r="D7" s="20">
        <f>NPV(($B7+0.06),DCF!$O$35:$R$35)+DCF!$R$35*(1+0.047)/(($B7+0.06)-0.047)/(1+($B7+0.06))^5-0</f>
        <v>263358.80545811931</v>
      </c>
      <c r="E7" s="89">
        <f t="shared" ref="E7:E14" si="0">D7-C7</f>
        <v>0</v>
      </c>
      <c r="G7" s="16">
        <f>NPV(IF(FixInfl=1,(1+$B7+Assumptions!$D$21)*(1+InflLT)-1,$B7+Assumptions!$D$21),DCF!$P$37:$S$37)+DCF!$S$37*(1+gLT)/(IF(FixInfl=1,(1+$B7+Assumptions!$D$21)*(1+InflLT)-1,$B7+Assumptions!$D$21)-gLT)/(1+IF(FixInfl=1,(1+$B7+Assumptions!$D$21)*(1+InflLT)-1,$B7+Assumptions!$D$21))^(4+1-FixTV)-IF(FixND=1,NDmult*DCF!$M$21,0)</f>
        <v>281862.98380960268</v>
      </c>
    </row>
    <row r="8" spans="2:7" ht="13.95" customHeight="1" x14ac:dyDescent="0.3">
      <c r="B8" s="88">
        <v>0.06</v>
      </c>
      <c r="C8" s="41">
        <v>244298.80737131229</v>
      </c>
      <c r="D8" s="20">
        <f>NPV(($B8+0.06),DCF!$O$35:$R$35)+DCF!$R$35*(1+0.047)/(($B8+0.06)-0.047)/(1+($B8+0.06))^5-0</f>
        <v>244298.80737131237</v>
      </c>
      <c r="E8" s="89">
        <f t="shared" si="0"/>
        <v>0</v>
      </c>
      <c r="G8" s="16">
        <f>NPV(IF(FixInfl=1,(1+$B8+Assumptions!$D$21)*(1+InflLT)-1,$B8+Assumptions!$D$21),DCF!$P$37:$S$37)+DCF!$S$37*(1+gLT)/(IF(FixInfl=1,(1+$B8+Assumptions!$D$21)*(1+InflLT)-1,$B8+Assumptions!$D$21)-gLT)/(1+IF(FixInfl=1,(1+$B8+Assumptions!$D$21)*(1+InflLT)-1,$B8+Assumptions!$D$21))^(4+1-FixTV)-IF(FixND=1,NDmult*DCF!$M$21,0)</f>
        <v>261607.53937690461</v>
      </c>
    </row>
    <row r="9" spans="2:7" ht="13.95" customHeight="1" x14ac:dyDescent="0.3">
      <c r="B9" s="88">
        <v>7.0000000000000007E-2</v>
      </c>
      <c r="C9" s="41">
        <v>213168.5243247686</v>
      </c>
      <c r="D9" s="20">
        <f>NPV(($B9+0.06),DCF!$O$35:$R$35)+DCF!$R$35*(1+0.047)/(($B9+0.06)-0.047)/(1+($B9+0.06))^5-0</f>
        <v>213168.52432476863</v>
      </c>
      <c r="E9" s="89">
        <f t="shared" si="0"/>
        <v>0</v>
      </c>
      <c r="G9" s="16">
        <f>NPV(IF(FixInfl=1,(1+$B9+Assumptions!$D$21)*(1+InflLT)-1,$B9+Assumptions!$D$21),DCF!$P$37:$S$37)+DCF!$S$37*(1+gLT)/(IF(FixInfl=1,(1+$B9+Assumptions!$D$21)*(1+InflLT)-1,$B9+Assumptions!$D$21)-gLT)/(1+IF(FixInfl=1,(1+$B9+Assumptions!$D$21)*(1+InflLT)-1,$B9+Assumptions!$D$21))^(4+1-FixTV)-IF(FixND=1,NDmult*DCF!$M$21,0)</f>
        <v>228513.30562413071</v>
      </c>
    </row>
    <row r="10" spans="2:7" ht="13.95" customHeight="1" x14ac:dyDescent="0.3">
      <c r="B10" s="88">
        <v>7.4200000000000002E-2</v>
      </c>
      <c r="C10" s="41">
        <v>202259.16860466631</v>
      </c>
      <c r="D10" s="20">
        <f>NPV(($B10+0.06),DCF!$O$35:$R$35)+DCF!$R$35*(1+0.047)/(($B10+0.06)-0.047)/(1+($B10+0.06))^5-0</f>
        <v>202259.16860466625</v>
      </c>
      <c r="E10" s="89">
        <f t="shared" si="0"/>
        <v>0</v>
      </c>
      <c r="G10" s="16">
        <f>NPV(IF(FixInfl=1,(1+$B10+Assumptions!$D$21)*(1+InflLT)-1,$B10+Assumptions!$D$21),DCF!$P$37:$S$37)+DCF!$S$37*(1+gLT)/(IF(FixInfl=1,(1+$B10+Assumptions!$D$21)*(1+InflLT)-1,$B10+Assumptions!$D$21)-gLT)/(1+IF(FixInfl=1,(1+$B10+Assumptions!$D$21)*(1+InflLT)-1,$B10+Assumptions!$D$21))^(4+1-FixTV)-IF(FixND=1,NDmult*DCF!$M$21,0)</f>
        <v>216911.50484256059</v>
      </c>
    </row>
    <row r="11" spans="2:7" ht="13.95" customHeight="1" x14ac:dyDescent="0.3">
      <c r="B11" s="88">
        <v>7.4999999999999997E-2</v>
      </c>
      <c r="C11" s="41">
        <v>200301.5787500634</v>
      </c>
      <c r="D11" s="20">
        <f>NPV(($B11+0.06),DCF!$O$35:$R$35)+DCF!$R$35*(1+0.047)/(($B11+0.06)-0.047)/(1+($B11+0.06))^5-0</f>
        <v>200301.57875006337</v>
      </c>
      <c r="E11" s="89">
        <f t="shared" si="0"/>
        <v>0</v>
      </c>
      <c r="G11" s="16">
        <f>NPV(IF(FixInfl=1,(1+$B11+Assumptions!$D$21)*(1+InflLT)-1,$B11+Assumptions!$D$21),DCF!$P$37:$S$37)+DCF!$S$37*(1+gLT)/(IF(FixInfl=1,(1+$B11+Assumptions!$D$21)*(1+InflLT)-1,$B11+Assumptions!$D$21)-gLT)/(1+IF(FixInfl=1,(1+$B11+Assumptions!$D$21)*(1+InflLT)-1,$B11+Assumptions!$D$21))^(4+1-FixTV)-IF(FixND=1,NDmult*DCF!$M$21,0)</f>
        <v>214829.38981226983</v>
      </c>
    </row>
    <row r="12" spans="2:7" ht="13.95" customHeight="1" x14ac:dyDescent="0.3">
      <c r="B12" s="88">
        <v>0.08</v>
      </c>
      <c r="C12" s="41">
        <v>188845.16885368561</v>
      </c>
      <c r="D12" s="20">
        <f>NPV(($B12+0.06),DCF!$O$35:$R$35)+DCF!$R$35*(1+0.047)/(($B12+0.06)-0.047)/(1+($B12+0.06))^5-0</f>
        <v>188845.16885368561</v>
      </c>
      <c r="E12" s="89">
        <f t="shared" si="0"/>
        <v>0</v>
      </c>
      <c r="G12" s="16">
        <f>NPV(IF(FixInfl=1,(1+$B12+Assumptions!$D$21)*(1+InflLT)-1,$B12+Assumptions!$D$21),DCF!$P$37:$S$37)+DCF!$S$37*(1+gLT)/(IF(FixInfl=1,(1+$B12+Assumptions!$D$21)*(1+InflLT)-1,$B12+Assumptions!$D$21)-gLT)/(1+IF(FixInfl=1,(1+$B12+Assumptions!$D$21)*(1+InflLT)-1,$B12+Assumptions!$D$21))^(4+1-FixTV)-IF(FixND=1,NDmult*DCF!$M$21,0)</f>
        <v>202642.38814094261</v>
      </c>
    </row>
    <row r="13" spans="2:7" ht="13.95" customHeight="1" x14ac:dyDescent="0.3">
      <c r="B13" s="88">
        <v>8.5000000000000006E-2</v>
      </c>
      <c r="C13" s="41">
        <v>178582.43361699971</v>
      </c>
      <c r="D13" s="20">
        <f>NPV(($B13+0.06),DCF!$O$35:$R$35)+DCF!$R$35*(1+0.047)/(($B13+0.06)-0.047)/(1+($B13+0.06))^5-0</f>
        <v>178582.43361699965</v>
      </c>
      <c r="E13" s="89">
        <f t="shared" si="0"/>
        <v>0</v>
      </c>
      <c r="G13" s="16">
        <f>NPV(IF(FixInfl=1,(1+$B13+Assumptions!$D$21)*(1+InflLT)-1,$B13+Assumptions!$D$21),DCF!$P$37:$S$37)+DCF!$S$37*(1+gLT)/(IF(FixInfl=1,(1+$B13+Assumptions!$D$21)*(1+InflLT)-1,$B13+Assumptions!$D$21)-gLT)/(1+IF(FixInfl=1,(1+$B13+Assumptions!$D$21)*(1+InflLT)-1,$B13+Assumptions!$D$21))^(4+1-FixTV)-IF(FixND=1,NDmult*DCF!$M$21,0)</f>
        <v>191722.24091712022</v>
      </c>
    </row>
    <row r="14" spans="2:7" ht="13.95" customHeight="1" x14ac:dyDescent="0.3">
      <c r="B14" s="88">
        <v>0.09</v>
      </c>
      <c r="C14" s="41">
        <v>169338.65738047709</v>
      </c>
      <c r="D14" s="20">
        <f>NPV(($B14+0.06),DCF!$O$35:$R$35)+DCF!$R$35*(1+0.047)/(($B14+0.06)-0.047)/(1+($B14+0.06))^5-0</f>
        <v>169338.65738047712</v>
      </c>
      <c r="E14" s="89">
        <f t="shared" si="0"/>
        <v>0</v>
      </c>
      <c r="G14" s="16">
        <f>NPV(IF(FixInfl=1,(1+$B14+Assumptions!$D$21)*(1+InflLT)-1,$B14+Assumptions!$D$21),DCF!$P$37:$S$37)+DCF!$S$37*(1+gLT)/(IF(FixInfl=1,(1+$B14+Assumptions!$D$21)*(1+InflLT)-1,$B14+Assumptions!$D$21)-gLT)/(1+IF(FixInfl=1,(1+$B14+Assumptions!$D$21)*(1+InflLT)-1,$B14+Assumptions!$D$21))^(4+1-FixTV)-IF(FixND=1,NDmult*DCF!$M$21,0)</f>
        <v>181883.59659697785</v>
      </c>
    </row>
    <row r="15" spans="2:7" ht="13.95" customHeight="1" x14ac:dyDescent="0.3">
      <c r="B15" s="14" t="s">
        <v>233</v>
      </c>
    </row>
    <row r="18" spans="2:7" ht="13.95" customHeight="1" x14ac:dyDescent="0.3">
      <c r="B18" s="138" t="s">
        <v>234</v>
      </c>
      <c r="C18" s="138"/>
      <c r="D18" s="138"/>
      <c r="E18" s="138"/>
      <c r="F18" s="138"/>
      <c r="G18" s="138"/>
    </row>
    <row r="19" spans="2:7" ht="13.95" customHeight="1" x14ac:dyDescent="0.3">
      <c r="B19" s="17" t="s">
        <v>235</v>
      </c>
      <c r="C19" s="90">
        <v>0.04</v>
      </c>
      <c r="D19" s="90">
        <v>0.05</v>
      </c>
      <c r="E19" s="90">
        <v>0.06</v>
      </c>
      <c r="F19" s="90">
        <v>7.0000000000000007E-2</v>
      </c>
      <c r="G19" s="90">
        <v>0.08</v>
      </c>
    </row>
    <row r="20" spans="2:7" ht="13.95" customHeight="1" x14ac:dyDescent="0.3">
      <c r="B20" s="91">
        <v>0.05</v>
      </c>
      <c r="C20" s="20">
        <f>NPV(IF(FixInfl=1,(1+$B20+C$19)*(1+InflLT)-1,$B20+C$19),DCF!$P$37:$S$37)+DCF!$S$37*(1+gLT)/(IF(FixInfl=1,(1+$B20+C$19)*(1+InflLT)-1,$B20+C$19)-gLT)/(1+IF(FixInfl=1,(1+$B20+C$19)*(1+InflLT)-1,$B20+C$19))^(4+1-FixTV)-IF(FixND=1,NDmult*DCF!$M$21,0)</f>
        <v>454824.26618941053</v>
      </c>
      <c r="D20" s="20">
        <f>NPV(IF(FixInfl=1,(1+$B20+D$19)*(1+InflLT)-1,$B20+D$19),DCF!$P$37:$S$37)+DCF!$S$37*(1+gLT)/(IF(FixInfl=1,(1+$B20+D$19)*(1+InflLT)-1,$B20+D$19)-gLT)/(1+IF(FixInfl=1,(1+$B20+D$19)*(1+InflLT)-1,$B20+D$19))^(4+1-FixTV)-IF(FixND=1,NDmult*DCF!$M$21,0)</f>
        <v>365883.77698064211</v>
      </c>
      <c r="E20" s="20">
        <f>NPV(IF(FixInfl=1,(1+$B20+E$19)*(1+InflLT)-1,$B20+E$19),DCF!$P$37:$S$37)+DCF!$S$37*(1+gLT)/(IF(FixInfl=1,(1+$B20+E$19)*(1+InflLT)-1,$B20+E$19)-gLT)/(1+IF(FixInfl=1,(1+$B20+E$19)*(1+InflLT)-1,$B20+E$19))^(4+1-FixTV)-IF(FixND=1,NDmult*DCF!$M$21,0)</f>
        <v>305377.75913745427</v>
      </c>
      <c r="F20" s="20">
        <f>NPV(IF(FixInfl=1,(1+$B20+F$19)*(1+InflLT)-1,$B20+F$19),DCF!$P$37:$S$37)+DCF!$S$37*(1+gLT)/(IF(FixInfl=1,(1+$B20+F$19)*(1+InflLT)-1,$B20+F$19)-gLT)/(1+IF(FixInfl=1,(1+$B20+F$19)*(1+InflLT)-1,$B20+F$19))^(4+1-FixTV)-IF(FixND=1,NDmult*DCF!$M$21,0)</f>
        <v>261607.53937690455</v>
      </c>
      <c r="G20" s="20">
        <f>NPV(IF(FixInfl=1,(1+$B20+G$19)*(1+InflLT)-1,$B20+G$19),DCF!$P$37:$S$37)+DCF!$S$37*(1+gLT)/(IF(FixInfl=1,(1+$B20+G$19)*(1+InflLT)-1,$B20+G$19)-gLT)/(1+IF(FixInfl=1,(1+$B20+G$19)*(1+InflLT)-1,$B20+G$19))^(4+1-FixTV)-IF(FixND=1,NDmult*DCF!$M$21,0)</f>
        <v>228513.30562413071</v>
      </c>
    </row>
    <row r="21" spans="2:7" ht="13.95" customHeight="1" x14ac:dyDescent="0.3">
      <c r="B21" s="91">
        <v>5.5E-2</v>
      </c>
      <c r="C21" s="20">
        <f>NPV(IF(FixInfl=1,(1+$B21+C$19)*(1+InflLT)-1,$B21+C$19),DCF!$P$37:$S$37)+DCF!$S$37*(1+gLT)/(IF(FixInfl=1,(1+$B21+C$19)*(1+InflLT)-1,$B21+C$19)-gLT)/(1+IF(FixInfl=1,(1+$B21+C$19)*(1+InflLT)-1,$B21+C$19))^(4+1-FixTV)-IF(FixND=1,NDmult*DCF!$M$21,0)</f>
        <v>405687.66131054511</v>
      </c>
      <c r="D21" s="20">
        <f>NPV(IF(FixInfl=1,(1+$B21+D$19)*(1+InflLT)-1,$B21+D$19),DCF!$P$37:$S$37)+DCF!$S$37*(1+gLT)/(IF(FixInfl=1,(1+$B21+D$19)*(1+InflLT)-1,$B21+D$19)-gLT)/(1+IF(FixInfl=1,(1+$B21+D$19)*(1+InflLT)-1,$B21+D$19))^(4+1-FixTV)-IF(FixND=1,NDmult*DCF!$M$21,0)</f>
        <v>332996.75434647029</v>
      </c>
      <c r="E21" s="20">
        <f>NPV(IF(FixInfl=1,(1+$B21+E$19)*(1+InflLT)-1,$B21+E$19),DCF!$P$37:$S$37)+DCF!$S$37*(1+gLT)/(IF(FixInfl=1,(1+$B21+E$19)*(1+InflLT)-1,$B21+E$19)-gLT)/(1+IF(FixInfl=1,(1+$B21+E$19)*(1+InflLT)-1,$B21+E$19))^(4+1-FixTV)-IF(FixND=1,NDmult*DCF!$M$21,0)</f>
        <v>281862.98380960268</v>
      </c>
      <c r="F21" s="20">
        <f>NPV(IF(FixInfl=1,(1+$B21+F$19)*(1+InflLT)-1,$B21+F$19),DCF!$P$37:$S$37)+DCF!$S$37*(1+gLT)/(IF(FixInfl=1,(1+$B21+F$19)*(1+InflLT)-1,$B21+F$19)-gLT)/(1+IF(FixInfl=1,(1+$B21+F$19)*(1+InflLT)-1,$B21+F$19))^(4+1-FixTV)-IF(FixND=1,NDmult*DCF!$M$21,0)</f>
        <v>243983.23513974753</v>
      </c>
      <c r="G21" s="20">
        <f>NPV(IF(FixInfl=1,(1+$B21+G$19)*(1+InflLT)-1,$B21+G$19),DCF!$P$37:$S$37)+DCF!$S$37*(1+gLT)/(IF(FixInfl=1,(1+$B21+G$19)*(1+InflLT)-1,$B21+G$19)-gLT)/(1+IF(FixInfl=1,(1+$B21+G$19)*(1+InflLT)-1,$B21+G$19))^(4+1-FixTV)-IF(FixND=1,NDmult*DCF!$M$21,0)</f>
        <v>214829.38981226983</v>
      </c>
    </row>
    <row r="22" spans="2:7" ht="13.95" customHeight="1" x14ac:dyDescent="0.3">
      <c r="B22" s="91">
        <v>0.06</v>
      </c>
      <c r="C22" s="20">
        <f>NPV(IF(FixInfl=1,(1+$B22+C$19)*(1+InflLT)-1,$B22+C$19),DCF!$P$37:$S$37)+DCF!$S$37*(1+gLT)/(IF(FixInfl=1,(1+$B22+C$19)*(1+InflLT)-1,$B22+C$19)-gLT)/(1+IF(FixInfl=1,(1+$B22+C$19)*(1+InflLT)-1,$B22+C$19))^(4+1-FixTV)-IF(FixND=1,NDmult*DCF!$M$21,0)</f>
        <v>365883.77698064211</v>
      </c>
      <c r="D22" s="20">
        <f>NPV(IF(FixInfl=1,(1+$B22+D$19)*(1+InflLT)-1,$B22+D$19),DCF!$P$37:$S$37)+DCF!$S$37*(1+gLT)/(IF(FixInfl=1,(1+$B22+D$19)*(1+InflLT)-1,$B22+D$19)-gLT)/(1+IF(FixInfl=1,(1+$B22+D$19)*(1+InflLT)-1,$B22+D$19))^(4+1-FixTV)-IF(FixND=1,NDmult*DCF!$M$21,0)</f>
        <v>305377.75913745427</v>
      </c>
      <c r="E22" s="20">
        <f>NPV(IF(FixInfl=1,(1+$B22+E$19)*(1+InflLT)-1,$B22+E$19),DCF!$P$37:$S$37)+DCF!$S$37*(1+gLT)/(IF(FixInfl=1,(1+$B22+E$19)*(1+InflLT)-1,$B22+E$19)-gLT)/(1+IF(FixInfl=1,(1+$B22+E$19)*(1+InflLT)-1,$B22+E$19))^(4+1-FixTV)-IF(FixND=1,NDmult*DCF!$M$21,0)</f>
        <v>261607.53937690461</v>
      </c>
      <c r="F22" s="20">
        <f>NPV(IF(FixInfl=1,(1+$B22+F$19)*(1+InflLT)-1,$B22+F$19),DCF!$P$37:$S$37)+DCF!$S$37*(1+gLT)/(IF(FixInfl=1,(1+$B22+F$19)*(1+InflLT)-1,$B22+F$19)-gLT)/(1+IF(FixInfl=1,(1+$B22+F$19)*(1+InflLT)-1,$B22+F$19))^(4+1-FixTV)-IF(FixND=1,NDmult*DCF!$M$21,0)</f>
        <v>228513.30562413071</v>
      </c>
      <c r="G22" s="20">
        <f>NPV(IF(FixInfl=1,(1+$B22+G$19)*(1+InflLT)-1,$B22+G$19),DCF!$P$37:$S$37)+DCF!$S$37*(1+gLT)/(IF(FixInfl=1,(1+$B22+G$19)*(1+InflLT)-1,$B22+G$19)-gLT)/(1+IF(FixInfl=1,(1+$B22+G$19)*(1+InflLT)-1,$B22+G$19))^(4+1-FixTV)-IF(FixND=1,NDmult*DCF!$M$21,0)</f>
        <v>202642.38814094261</v>
      </c>
    </row>
    <row r="23" spans="2:7" ht="13.95" customHeight="1" x14ac:dyDescent="0.3">
      <c r="B23" s="91">
        <v>6.5000000000000002E-2</v>
      </c>
      <c r="C23" s="20">
        <f>NPV(IF(FixInfl=1,(1+$B23+C$19)*(1+InflLT)-1,$B23+C$19),DCF!$P$37:$S$37)+DCF!$S$37*(1+gLT)/(IF(FixInfl=1,(1+$B23+C$19)*(1+InflLT)-1,$B23+C$19)-gLT)/(1+IF(FixInfl=1,(1+$B23+C$19)*(1+InflLT)-1,$B23+C$19))^(4+1-FixTV)-IF(FixND=1,NDmult*DCF!$M$21,0)</f>
        <v>332996.75434647029</v>
      </c>
      <c r="D23" s="20">
        <f>NPV(IF(FixInfl=1,(1+$B23+D$19)*(1+InflLT)-1,$B23+D$19),DCF!$P$37:$S$37)+DCF!$S$37*(1+gLT)/(IF(FixInfl=1,(1+$B23+D$19)*(1+InflLT)-1,$B23+D$19)-gLT)/(1+IF(FixInfl=1,(1+$B23+D$19)*(1+InflLT)-1,$B23+D$19))^(4+1-FixTV)-IF(FixND=1,NDmult*DCF!$M$21,0)</f>
        <v>281862.98380960262</v>
      </c>
      <c r="E23" s="20">
        <f>NPV(IF(FixInfl=1,(1+$B23+E$19)*(1+InflLT)-1,$B23+E$19),DCF!$P$37:$S$37)+DCF!$S$37*(1+gLT)/(IF(FixInfl=1,(1+$B23+E$19)*(1+InflLT)-1,$B23+E$19)-gLT)/(1+IF(FixInfl=1,(1+$B23+E$19)*(1+InflLT)-1,$B23+E$19))^(4+1-FixTV)-IF(FixND=1,NDmult*DCF!$M$21,0)</f>
        <v>243983.23513974753</v>
      </c>
      <c r="F23" s="20">
        <f>NPV(IF(FixInfl=1,(1+$B23+F$19)*(1+InflLT)-1,$B23+F$19),DCF!$P$37:$S$37)+DCF!$S$37*(1+gLT)/(IF(FixInfl=1,(1+$B23+F$19)*(1+InflLT)-1,$B23+F$19)-gLT)/(1+IF(FixInfl=1,(1+$B23+F$19)*(1+InflLT)-1,$B23+F$19))^(4+1-FixTV)-IF(FixND=1,NDmult*DCF!$M$21,0)</f>
        <v>214829.38981226983</v>
      </c>
      <c r="G23" s="20">
        <f>NPV(IF(FixInfl=1,(1+$B23+G$19)*(1+InflLT)-1,$B23+G$19),DCF!$P$37:$S$37)+DCF!$S$37*(1+gLT)/(IF(FixInfl=1,(1+$B23+G$19)*(1+InflLT)-1,$B23+G$19)-gLT)/(1+IF(FixInfl=1,(1+$B23+G$19)*(1+InflLT)-1,$B23+G$19))^(4+1-FixTV)-IF(FixND=1,NDmult*DCF!$M$21,0)</f>
        <v>191722.24091712022</v>
      </c>
    </row>
    <row r="24" spans="2:7" ht="13.95" customHeight="1" x14ac:dyDescent="0.3">
      <c r="B24" s="91">
        <v>6.7599999999999993E-2</v>
      </c>
      <c r="C24" s="20">
        <f>NPV(IF(FixInfl=1,(1+$B24+C$19)*(1+InflLT)-1,$B24+C$19),DCF!$P$37:$S$37)+DCF!$S$37*(1+gLT)/(IF(FixInfl=1,(1+$B24+C$19)*(1+InflLT)-1,$B24+C$19)-gLT)/(1+IF(FixInfl=1,(1+$B24+C$19)*(1+InflLT)-1,$B24+C$19))^(4+1-FixTV)-IF(FixND=1,NDmult*DCF!$M$21,0)</f>
        <v>318060.00505256344</v>
      </c>
      <c r="D24" s="20">
        <f>NPV(IF(FixInfl=1,(1+$B24+D$19)*(1+InflLT)-1,$B24+D$19),DCF!$P$37:$S$37)+DCF!$S$37*(1+gLT)/(IF(FixInfl=1,(1+$B24+D$19)*(1+InflLT)-1,$B24+D$19)-gLT)/(1+IF(FixInfl=1,(1+$B24+D$19)*(1+InflLT)-1,$B24+D$19))^(4+1-FixTV)-IF(FixND=1,NDmult*DCF!$M$21,0)</f>
        <v>270967.27495103178</v>
      </c>
      <c r="E24" s="20">
        <f>NPV(IF(FixInfl=1,(1+$B24+E$19)*(1+InflLT)-1,$B24+E$19),DCF!$P$37:$S$37)+DCF!$S$37*(1+gLT)/(IF(FixInfl=1,(1+$B24+E$19)*(1+InflLT)-1,$B24+E$19)-gLT)/(1+IF(FixInfl=1,(1+$B24+E$19)*(1+InflLT)-1,$B24+E$19))^(4+1-FixTV)-IF(FixND=1,NDmult*DCF!$M$21,0)</f>
        <v>235695.43773555552</v>
      </c>
      <c r="F24" s="20">
        <f>NPV(IF(FixInfl=1,(1+$B24+F$19)*(1+InflLT)-1,$B24+F$19),DCF!$P$37:$S$37)+DCF!$S$37*(1+gLT)/(IF(FixInfl=1,(1+$B24+F$19)*(1+InflLT)-1,$B24+F$19)-gLT)/(1+IF(FixInfl=1,(1+$B24+F$19)*(1+InflLT)-1,$B24+F$19))^(4+1-FixTV)-IF(FixND=1,NDmult*DCF!$M$21,0)</f>
        <v>208321.07035811001</v>
      </c>
      <c r="G24" s="20">
        <f>NPV(IF(FixInfl=1,(1+$B24+G$19)*(1+InflLT)-1,$B24+G$19),DCF!$P$37:$S$37)+DCF!$S$37*(1+gLT)/(IF(FixInfl=1,(1+$B24+G$19)*(1+InflLT)-1,$B24+G$19)-gLT)/(1+IF(FixInfl=1,(1+$B24+G$19)*(1+InflLT)-1,$B24+G$19))^(4+1-FixTV)-IF(FixND=1,NDmult*DCF!$M$21,0)</f>
        <v>186481.42508859478</v>
      </c>
    </row>
    <row r="25" spans="2:7" ht="13.95" customHeight="1" x14ac:dyDescent="0.3">
      <c r="B25" s="91">
        <v>7.0000000000000007E-2</v>
      </c>
      <c r="C25" s="20">
        <f>NPV(IF(FixInfl=1,(1+$B25+C$19)*(1+InflLT)-1,$B25+C$19),DCF!$P$37:$S$37)+DCF!$S$37*(1+gLT)/(IF(FixInfl=1,(1+$B25+C$19)*(1+InflLT)-1,$B25+C$19)-gLT)/(1+IF(FixInfl=1,(1+$B25+C$19)*(1+InflLT)-1,$B25+C$19))^(4+1-FixTV)-IF(FixND=1,NDmult*DCF!$M$21,0)</f>
        <v>305377.75913745421</v>
      </c>
      <c r="D25" s="20">
        <f>NPV(IF(FixInfl=1,(1+$B25+D$19)*(1+InflLT)-1,$B25+D$19),DCF!$P$37:$S$37)+DCF!$S$37*(1+gLT)/(IF(FixInfl=1,(1+$B25+D$19)*(1+InflLT)-1,$B25+D$19)-gLT)/(1+IF(FixInfl=1,(1+$B25+D$19)*(1+InflLT)-1,$B25+D$19))^(4+1-FixTV)-IF(FixND=1,NDmult*DCF!$M$21,0)</f>
        <v>261607.53937690455</v>
      </c>
      <c r="E25" s="20">
        <f>NPV(IF(FixInfl=1,(1+$B25+E$19)*(1+InflLT)-1,$B25+E$19),DCF!$P$37:$S$37)+DCF!$S$37*(1+gLT)/(IF(FixInfl=1,(1+$B25+E$19)*(1+InflLT)-1,$B25+E$19)-gLT)/(1+IF(FixInfl=1,(1+$B25+E$19)*(1+InflLT)-1,$B25+E$19))^(4+1-FixTV)-IF(FixND=1,NDmult*DCF!$M$21,0)</f>
        <v>228513.30562413071</v>
      </c>
      <c r="F25" s="20">
        <f>NPV(IF(FixInfl=1,(1+$B25+F$19)*(1+InflLT)-1,$B25+F$19),DCF!$P$37:$S$37)+DCF!$S$37*(1+gLT)/(IF(FixInfl=1,(1+$B25+F$19)*(1+InflLT)-1,$B25+F$19)-gLT)/(1+IF(FixInfl=1,(1+$B25+F$19)*(1+InflLT)-1,$B25+F$19))^(4+1-FixTV)-IF(FixND=1,NDmult*DCF!$M$21,0)</f>
        <v>202642.38814094261</v>
      </c>
      <c r="G25" s="20">
        <f>NPV(IF(FixInfl=1,(1+$B25+G$19)*(1+InflLT)-1,$B25+G$19),DCF!$P$37:$S$37)+DCF!$S$37*(1+gLT)/(IF(FixInfl=1,(1+$B25+G$19)*(1+InflLT)-1,$B25+G$19)-gLT)/(1+IF(FixInfl=1,(1+$B25+G$19)*(1+InflLT)-1,$B25+G$19))^(4+1-FixTV)-IF(FixND=1,NDmult*DCF!$M$21,0)</f>
        <v>181883.59659697782</v>
      </c>
    </row>
    <row r="26" spans="2:7" ht="13.95" customHeight="1" x14ac:dyDescent="0.3">
      <c r="B26" s="91">
        <v>7.4999999999999997E-2</v>
      </c>
      <c r="C26" s="20">
        <f>NPV(IF(FixInfl=1,(1+$B26+C$19)*(1+InflLT)-1,$B26+C$19),DCF!$P$37:$S$37)+DCF!$S$37*(1+gLT)/(IF(FixInfl=1,(1+$B26+C$19)*(1+InflLT)-1,$B26+C$19)-gLT)/(1+IF(FixInfl=1,(1+$B26+C$19)*(1+InflLT)-1,$B26+C$19))^(4+1-FixTV)-IF(FixND=1,NDmult*DCF!$M$21,0)</f>
        <v>281862.98380960268</v>
      </c>
      <c r="D26" s="20">
        <f>NPV(IF(FixInfl=1,(1+$B26+D$19)*(1+InflLT)-1,$B26+D$19),DCF!$P$37:$S$37)+DCF!$S$37*(1+gLT)/(IF(FixInfl=1,(1+$B26+D$19)*(1+InflLT)-1,$B26+D$19)-gLT)/(1+IF(FixInfl=1,(1+$B26+D$19)*(1+InflLT)-1,$B26+D$19))^(4+1-FixTV)-IF(FixND=1,NDmult*DCF!$M$21,0)</f>
        <v>243983.23513974753</v>
      </c>
      <c r="E26" s="20">
        <f>NPV(IF(FixInfl=1,(1+$B26+E$19)*(1+InflLT)-1,$B26+E$19),DCF!$P$37:$S$37)+DCF!$S$37*(1+gLT)/(IF(FixInfl=1,(1+$B26+E$19)*(1+InflLT)-1,$B26+E$19)-gLT)/(1+IF(FixInfl=1,(1+$B26+E$19)*(1+InflLT)-1,$B26+E$19))^(4+1-FixTV)-IF(FixND=1,NDmult*DCF!$M$21,0)</f>
        <v>214829.38981226983</v>
      </c>
      <c r="F26" s="20">
        <f>NPV(IF(FixInfl=1,(1+$B26+F$19)*(1+InflLT)-1,$B26+F$19),DCF!$P$37:$S$37)+DCF!$S$37*(1+gLT)/(IF(FixInfl=1,(1+$B26+F$19)*(1+InflLT)-1,$B26+F$19)-gLT)/(1+IF(FixInfl=1,(1+$B26+F$19)*(1+InflLT)-1,$B26+F$19))^(4+1-FixTV)-IF(FixND=1,NDmult*DCF!$M$21,0)</f>
        <v>191722.24091712022</v>
      </c>
      <c r="G26" s="20">
        <f>NPV(IF(FixInfl=1,(1+$B26+G$19)*(1+InflLT)-1,$B26+G$19),DCF!$P$37:$S$37)+DCF!$S$37*(1+gLT)/(IF(FixInfl=1,(1+$B26+G$19)*(1+InflLT)-1,$B26+G$19)-gLT)/(1+IF(FixInfl=1,(1+$B26+G$19)*(1+InflLT)-1,$B26+G$19))^(4+1-FixTV)-IF(FixND=1,NDmult*DCF!$M$21,0)</f>
        <v>172975.46117234265</v>
      </c>
    </row>
    <row r="27" spans="2:7" ht="13.95" customHeight="1" x14ac:dyDescent="0.3">
      <c r="B27" s="91">
        <v>0.08</v>
      </c>
      <c r="C27" s="20">
        <f>NPV(IF(FixInfl=1,(1+$B27+C$19)*(1+InflLT)-1,$B27+C$19),DCF!$P$37:$S$37)+DCF!$S$37*(1+gLT)/(IF(FixInfl=1,(1+$B27+C$19)*(1+InflLT)-1,$B27+C$19)-gLT)/(1+IF(FixInfl=1,(1+$B27+C$19)*(1+InflLT)-1,$B27+C$19))^(4+1-FixTV)-IF(FixND=1,NDmult*DCF!$M$21,0)</f>
        <v>261607.53937690461</v>
      </c>
      <c r="D27" s="20">
        <f>NPV(IF(FixInfl=1,(1+$B27+D$19)*(1+InflLT)-1,$B27+D$19),DCF!$P$37:$S$37)+DCF!$S$37*(1+gLT)/(IF(FixInfl=1,(1+$B27+D$19)*(1+InflLT)-1,$B27+D$19)-gLT)/(1+IF(FixInfl=1,(1+$B27+D$19)*(1+InflLT)-1,$B27+D$19))^(4+1-FixTV)-IF(FixND=1,NDmult*DCF!$M$21,0)</f>
        <v>228513.30562413071</v>
      </c>
      <c r="E27" s="20">
        <f>NPV(IF(FixInfl=1,(1+$B27+E$19)*(1+InflLT)-1,$B27+E$19),DCF!$P$37:$S$37)+DCF!$S$37*(1+gLT)/(IF(FixInfl=1,(1+$B27+E$19)*(1+InflLT)-1,$B27+E$19)-gLT)/(1+IF(FixInfl=1,(1+$B27+E$19)*(1+InflLT)-1,$B27+E$19))^(4+1-FixTV)-IF(FixND=1,NDmult*DCF!$M$21,0)</f>
        <v>202642.38814094261</v>
      </c>
      <c r="F27" s="20">
        <f>NPV(IF(FixInfl=1,(1+$B27+F$19)*(1+InflLT)-1,$B27+F$19),DCF!$P$37:$S$37)+DCF!$S$37*(1+gLT)/(IF(FixInfl=1,(1+$B27+F$19)*(1+InflLT)-1,$B27+F$19)-gLT)/(1+IF(FixInfl=1,(1+$B27+F$19)*(1+InflLT)-1,$B27+F$19))^(4+1-FixTV)-IF(FixND=1,NDmult*DCF!$M$21,0)</f>
        <v>181883.59659697782</v>
      </c>
      <c r="G27" s="20">
        <f>NPV(IF(FixInfl=1,(1+$B27+G$19)*(1+InflLT)-1,$B27+G$19),DCF!$P$37:$S$37)+DCF!$S$37*(1+gLT)/(IF(FixInfl=1,(1+$B27+G$19)*(1+InflLT)-1,$B27+G$19)-gLT)/(1+IF(FixInfl=1,(1+$B27+G$19)*(1+InflLT)-1,$B27+G$19))^(4+1-FixTV)-IF(FixND=1,NDmult*DCF!$M$21,0)</f>
        <v>164873.59557466069</v>
      </c>
    </row>
    <row r="28" spans="2:7" ht="13.95" customHeight="1" x14ac:dyDescent="0.3">
      <c r="B28" s="91">
        <v>8.5000000000000006E-2</v>
      </c>
      <c r="C28" s="20">
        <f>NPV(IF(FixInfl=1,(1+$B28+C$19)*(1+InflLT)-1,$B28+C$19),DCF!$P$37:$S$37)+DCF!$S$37*(1+gLT)/(IF(FixInfl=1,(1+$B28+C$19)*(1+InflLT)-1,$B28+C$19)-gLT)/(1+IF(FixInfl=1,(1+$B28+C$19)*(1+InflLT)-1,$B28+C$19))^(4+1-FixTV)-IF(FixND=1,NDmult*DCF!$M$21,0)</f>
        <v>243983.23513974753</v>
      </c>
      <c r="D28" s="20">
        <f>NPV(IF(FixInfl=1,(1+$B28+D$19)*(1+InflLT)-1,$B28+D$19),DCF!$P$37:$S$37)+DCF!$S$37*(1+gLT)/(IF(FixInfl=1,(1+$B28+D$19)*(1+InflLT)-1,$B28+D$19)-gLT)/(1+IF(FixInfl=1,(1+$B28+D$19)*(1+InflLT)-1,$B28+D$19))^(4+1-FixTV)-IF(FixND=1,NDmult*DCF!$M$21,0)</f>
        <v>214829.38981226983</v>
      </c>
      <c r="E28" s="20">
        <f>NPV(IF(FixInfl=1,(1+$B28+E$19)*(1+InflLT)-1,$B28+E$19),DCF!$P$37:$S$37)+DCF!$S$37*(1+gLT)/(IF(FixInfl=1,(1+$B28+E$19)*(1+InflLT)-1,$B28+E$19)-gLT)/(1+IF(FixInfl=1,(1+$B28+E$19)*(1+InflLT)-1,$B28+E$19))^(4+1-FixTV)-IF(FixND=1,NDmult*DCF!$M$21,0)</f>
        <v>191722.24091712022</v>
      </c>
      <c r="F28" s="20">
        <f>NPV(IF(FixInfl=1,(1+$B28+F$19)*(1+InflLT)-1,$B28+F$19),DCF!$P$37:$S$37)+DCF!$S$37*(1+gLT)/(IF(FixInfl=1,(1+$B28+F$19)*(1+InflLT)-1,$B28+F$19)-gLT)/(1+IF(FixInfl=1,(1+$B28+F$19)*(1+InflLT)-1,$B28+F$19))^(4+1-FixTV)-IF(FixND=1,NDmult*DCF!$M$21,0)</f>
        <v>172975.46117234262</v>
      </c>
      <c r="G28" s="20">
        <f>NPV(IF(FixInfl=1,(1+$B28+G$19)*(1+InflLT)-1,$B28+G$19),DCF!$P$37:$S$37)+DCF!$S$37*(1+gLT)/(IF(FixInfl=1,(1+$B28+G$19)*(1+InflLT)-1,$B28+G$19)-gLT)/(1+IF(FixInfl=1,(1+$B28+G$19)*(1+InflLT)-1,$B28+G$19))^(4+1-FixTV)-IF(FixND=1,NDmult*DCF!$M$21,0)</f>
        <v>157474.84600332839</v>
      </c>
    </row>
    <row r="29" spans="2:7" ht="13.95" customHeight="1" x14ac:dyDescent="0.3">
      <c r="B29" s="91">
        <v>0.09</v>
      </c>
      <c r="C29" s="20">
        <f>NPV(IF(FixInfl=1,(1+$B29+C$19)*(1+InflLT)-1,$B29+C$19),DCF!$P$37:$S$37)+DCF!$S$37*(1+gLT)/(IF(FixInfl=1,(1+$B29+C$19)*(1+InflLT)-1,$B29+C$19)-gLT)/(1+IF(FixInfl=1,(1+$B29+C$19)*(1+InflLT)-1,$B29+C$19))^(4+1-FixTV)-IF(FixND=1,NDmult*DCF!$M$21,0)</f>
        <v>228513.30562413071</v>
      </c>
      <c r="D29" s="20">
        <f>NPV(IF(FixInfl=1,(1+$B29+D$19)*(1+InflLT)-1,$B29+D$19),DCF!$P$37:$S$37)+DCF!$S$37*(1+gLT)/(IF(FixInfl=1,(1+$B29+D$19)*(1+InflLT)-1,$B29+D$19)-gLT)/(1+IF(FixInfl=1,(1+$B29+D$19)*(1+InflLT)-1,$B29+D$19))^(4+1-FixTV)-IF(FixND=1,NDmult*DCF!$M$21,0)</f>
        <v>202642.38814094261</v>
      </c>
      <c r="E29" s="20">
        <f>NPV(IF(FixInfl=1,(1+$B29+E$19)*(1+InflLT)-1,$B29+E$19),DCF!$P$37:$S$37)+DCF!$S$37*(1+gLT)/(IF(FixInfl=1,(1+$B29+E$19)*(1+InflLT)-1,$B29+E$19)-gLT)/(1+IF(FixInfl=1,(1+$B29+E$19)*(1+InflLT)-1,$B29+E$19))^(4+1-FixTV)-IF(FixND=1,NDmult*DCF!$M$21,0)</f>
        <v>181883.59659697785</v>
      </c>
      <c r="F29" s="20">
        <f>NPV(IF(FixInfl=1,(1+$B29+F$19)*(1+InflLT)-1,$B29+F$19),DCF!$P$37:$S$37)+DCF!$S$37*(1+gLT)/(IF(FixInfl=1,(1+$B29+F$19)*(1+InflLT)-1,$B29+F$19)-gLT)/(1+IF(FixInfl=1,(1+$B29+F$19)*(1+InflLT)-1,$B29+F$19))^(4+1-FixTV)-IF(FixND=1,NDmult*DCF!$M$21,0)</f>
        <v>164873.59557466069</v>
      </c>
      <c r="G29" s="20">
        <f>NPV(IF(FixInfl=1,(1+$B29+G$19)*(1+InflLT)-1,$B29+G$19),DCF!$P$37:$S$37)+DCF!$S$37*(1+gLT)/(IF(FixInfl=1,(1+$B29+G$19)*(1+InflLT)-1,$B29+G$19)-gLT)/(1+IF(FixInfl=1,(1+$B29+G$19)*(1+InflLT)-1,$B29+G$19))^(4+1-FixTV)-IF(FixND=1,NDmult*DCF!$M$21,0)</f>
        <v>150692.85715634696</v>
      </c>
    </row>
    <row r="30" spans="2:7" ht="13.95" customHeight="1" x14ac:dyDescent="0.3">
      <c r="B30" s="91">
        <v>9.5000000000000001E-2</v>
      </c>
      <c r="C30" s="20">
        <f>NPV(IF(FixInfl=1,(1+$B30+C$19)*(1+InflLT)-1,$B30+C$19),DCF!$P$37:$S$37)+DCF!$S$37*(1+gLT)/(IF(FixInfl=1,(1+$B30+C$19)*(1+InflLT)-1,$B30+C$19)-gLT)/(1+IF(FixInfl=1,(1+$B30+C$19)*(1+InflLT)-1,$B30+C$19))^(4+1-FixTV)-IF(FixND=1,NDmult*DCF!$M$21,0)</f>
        <v>214829.38981226983</v>
      </c>
      <c r="D30" s="20">
        <f>NPV(IF(FixInfl=1,(1+$B30+D$19)*(1+InflLT)-1,$B30+D$19),DCF!$P$37:$S$37)+DCF!$S$37*(1+gLT)/(IF(FixInfl=1,(1+$B30+D$19)*(1+InflLT)-1,$B30+D$19)-gLT)/(1+IF(FixInfl=1,(1+$B30+D$19)*(1+InflLT)-1,$B30+D$19))^(4+1-FixTV)-IF(FixND=1,NDmult*DCF!$M$21,0)</f>
        <v>191722.24091712022</v>
      </c>
      <c r="E30" s="20">
        <f>NPV(IF(FixInfl=1,(1+$B30+E$19)*(1+InflLT)-1,$B30+E$19),DCF!$P$37:$S$37)+DCF!$S$37*(1+gLT)/(IF(FixInfl=1,(1+$B30+E$19)*(1+InflLT)-1,$B30+E$19)-gLT)/(1+IF(FixInfl=1,(1+$B30+E$19)*(1+InflLT)-1,$B30+E$19))^(4+1-FixTV)-IF(FixND=1,NDmult*DCF!$M$21,0)</f>
        <v>172975.46117234265</v>
      </c>
      <c r="F30" s="20">
        <f>NPV(IF(FixInfl=1,(1+$B30+F$19)*(1+InflLT)-1,$B30+F$19),DCF!$P$37:$S$37)+DCF!$S$37*(1+gLT)/(IF(FixInfl=1,(1+$B30+F$19)*(1+InflLT)-1,$B30+F$19)-gLT)/(1+IF(FixInfl=1,(1+$B30+F$19)*(1+InflLT)-1,$B30+F$19))^(4+1-FixTV)-IF(FixND=1,NDmult*DCF!$M$21,0)</f>
        <v>157474.84600332839</v>
      </c>
      <c r="G30" s="20">
        <f>NPV(IF(FixInfl=1,(1+$B30+G$19)*(1+InflLT)-1,$B30+G$19),DCF!$P$37:$S$37)+DCF!$S$37*(1+gLT)/(IF(FixInfl=1,(1+$B30+G$19)*(1+InflLT)-1,$B30+G$19)-gLT)/(1+IF(FixInfl=1,(1+$B30+G$19)*(1+InflLT)-1,$B30+G$19))^(4+1-FixTV)-IF(FixND=1,NDmult*DCF!$M$21,0)</f>
        <v>144454.79022329138</v>
      </c>
    </row>
    <row r="34" spans="2:7" ht="13.95" customHeight="1" x14ac:dyDescent="0.3">
      <c r="B34" s="138" t="s">
        <v>236</v>
      </c>
      <c r="C34" s="138"/>
      <c r="D34" s="138"/>
      <c r="E34" s="138"/>
      <c r="F34" s="138"/>
      <c r="G34" s="138"/>
    </row>
    <row r="35" spans="2:7" ht="13.95" customHeight="1" x14ac:dyDescent="0.3">
      <c r="B35" s="17" t="s">
        <v>235</v>
      </c>
      <c r="C35" s="92">
        <f>C$19</f>
        <v>0.04</v>
      </c>
      <c r="D35" s="92">
        <f>D$19</f>
        <v>0.05</v>
      </c>
      <c r="E35" s="92">
        <f>E$19</f>
        <v>0.06</v>
      </c>
      <c r="F35" s="92">
        <f>F$19</f>
        <v>7.0000000000000007E-2</v>
      </c>
      <c r="G35" s="92">
        <f>G$19</f>
        <v>0.08</v>
      </c>
    </row>
    <row r="36" spans="2:7" ht="13.95" customHeight="1" x14ac:dyDescent="0.3">
      <c r="B36" s="93">
        <f>$B$20</f>
        <v>0.05</v>
      </c>
      <c r="C36" s="21">
        <f t="shared" ref="C36:G46" si="1">C20/IbovUsed-1</f>
        <v>1.1821238617837926</v>
      </c>
      <c r="D36" s="21">
        <f t="shared" si="1"/>
        <v>0.75541144072674715</v>
      </c>
      <c r="E36" s="21">
        <f t="shared" si="1"/>
        <v>0.46511992566903504</v>
      </c>
      <c r="F36" s="21">
        <f t="shared" si="1"/>
        <v>0.25512224508081349</v>
      </c>
      <c r="G36" s="21">
        <f t="shared" si="1"/>
        <v>9.6345058972400643E-2</v>
      </c>
    </row>
    <row r="37" spans="2:7" ht="13.95" customHeight="1" x14ac:dyDescent="0.3">
      <c r="B37" s="93">
        <f>$B$21</f>
        <v>5.5E-2</v>
      </c>
      <c r="C37" s="21">
        <f t="shared" si="1"/>
        <v>0.94637971626680351</v>
      </c>
      <c r="D37" s="21">
        <f t="shared" si="1"/>
        <v>0.59762839754328545</v>
      </c>
      <c r="E37" s="21">
        <f t="shared" si="1"/>
        <v>0.35230239115775874</v>
      </c>
      <c r="F37" s="21">
        <f t="shared" si="1"/>
        <v>0.17056559830062268</v>
      </c>
      <c r="G37" s="21">
        <f t="shared" si="1"/>
        <v>3.0693330523797968E-2</v>
      </c>
    </row>
    <row r="38" spans="2:7" ht="13.95" customHeight="1" x14ac:dyDescent="0.3">
      <c r="B38" s="93">
        <f>$B$22</f>
        <v>0.06</v>
      </c>
      <c r="C38" s="21">
        <f t="shared" si="1"/>
        <v>0.75541144072674715</v>
      </c>
      <c r="D38" s="21">
        <f t="shared" si="1"/>
        <v>0.46511992566903504</v>
      </c>
      <c r="E38" s="21">
        <f t="shared" si="1"/>
        <v>0.25512224508081394</v>
      </c>
      <c r="F38" s="21">
        <f t="shared" si="1"/>
        <v>9.6345058972400643E-2</v>
      </c>
      <c r="G38" s="21">
        <f t="shared" si="1"/>
        <v>-2.7776608587866014E-2</v>
      </c>
    </row>
    <row r="39" spans="2:7" ht="13.95" customHeight="1" x14ac:dyDescent="0.3">
      <c r="B39" s="93">
        <f>$B$23</f>
        <v>6.5000000000000002E-2</v>
      </c>
      <c r="C39" s="21">
        <f t="shared" si="1"/>
        <v>0.59762839754328545</v>
      </c>
      <c r="D39" s="21">
        <f t="shared" si="1"/>
        <v>0.3523023911577583</v>
      </c>
      <c r="E39" s="21">
        <f t="shared" si="1"/>
        <v>0.17056559830062268</v>
      </c>
      <c r="F39" s="21">
        <f t="shared" si="1"/>
        <v>3.0693330523797968E-2</v>
      </c>
      <c r="G39" s="21">
        <f t="shared" si="1"/>
        <v>-8.0168522570246425E-2</v>
      </c>
    </row>
    <row r="40" spans="2:7" ht="13.95" customHeight="1" x14ac:dyDescent="0.3">
      <c r="B40" s="93">
        <f>$B$24</f>
        <v>6.7599999999999993E-2</v>
      </c>
      <c r="C40" s="21">
        <f t="shared" si="1"/>
        <v>0.5259659127669285</v>
      </c>
      <c r="D40" s="21">
        <f t="shared" si="1"/>
        <v>0.3000277258446391</v>
      </c>
      <c r="E40" s="21">
        <f t="shared" si="1"/>
        <v>0.13080298706433968</v>
      </c>
      <c r="F40" s="21">
        <f t="shared" si="1"/>
        <v>-5.3182661220985139E-4</v>
      </c>
      <c r="G40" s="21">
        <f t="shared" si="1"/>
        <v>-0.10531253999581847</v>
      </c>
    </row>
    <row r="41" spans="2:7" ht="13.95" customHeight="1" x14ac:dyDescent="0.3">
      <c r="B41" s="93">
        <f>$B$25</f>
        <v>7.0000000000000007E-2</v>
      </c>
      <c r="C41" s="21">
        <f t="shared" si="1"/>
        <v>0.46511992566903482</v>
      </c>
      <c r="D41" s="21">
        <f t="shared" si="1"/>
        <v>0.25512224508081349</v>
      </c>
      <c r="E41" s="21">
        <f t="shared" si="1"/>
        <v>9.6345058972400643E-2</v>
      </c>
      <c r="F41" s="21">
        <f t="shared" si="1"/>
        <v>-2.7776608587866014E-2</v>
      </c>
      <c r="G41" s="21">
        <f t="shared" si="1"/>
        <v>-0.12737167801852134</v>
      </c>
    </row>
    <row r="42" spans="2:7" ht="13.95" customHeight="1" x14ac:dyDescent="0.3">
      <c r="B42" s="93">
        <f>$B$26</f>
        <v>7.4999999999999997E-2</v>
      </c>
      <c r="C42" s="21">
        <f t="shared" si="1"/>
        <v>0.35230239115775874</v>
      </c>
      <c r="D42" s="21">
        <f t="shared" si="1"/>
        <v>0.17056559830062268</v>
      </c>
      <c r="E42" s="21">
        <f t="shared" si="1"/>
        <v>3.0693330523797968E-2</v>
      </c>
      <c r="F42" s="21">
        <f t="shared" si="1"/>
        <v>-8.0168522570246425E-2</v>
      </c>
      <c r="G42" s="21">
        <f t="shared" si="1"/>
        <v>-0.17011050336079692</v>
      </c>
    </row>
    <row r="43" spans="2:7" ht="13.95" customHeight="1" x14ac:dyDescent="0.3">
      <c r="B43" s="93">
        <f>$B$27</f>
        <v>0.08</v>
      </c>
      <c r="C43" s="21">
        <f t="shared" si="1"/>
        <v>0.25512224508081394</v>
      </c>
      <c r="D43" s="21">
        <f t="shared" si="1"/>
        <v>9.6345058972400643E-2</v>
      </c>
      <c r="E43" s="21">
        <f t="shared" si="1"/>
        <v>-2.7776608587866014E-2</v>
      </c>
      <c r="F43" s="21">
        <f t="shared" si="1"/>
        <v>-0.12737167801852134</v>
      </c>
      <c r="G43" s="21">
        <f t="shared" si="1"/>
        <v>-0.20898106405841921</v>
      </c>
    </row>
    <row r="44" spans="2:7" ht="13.95" customHeight="1" x14ac:dyDescent="0.3">
      <c r="B44" s="93">
        <f>$B$28</f>
        <v>8.5000000000000006E-2</v>
      </c>
      <c r="C44" s="21">
        <f t="shared" si="1"/>
        <v>0.17056559830062268</v>
      </c>
      <c r="D44" s="21">
        <f t="shared" si="1"/>
        <v>3.0693330523797968E-2</v>
      </c>
      <c r="E44" s="21">
        <f t="shared" si="1"/>
        <v>-8.0168522570246425E-2</v>
      </c>
      <c r="F44" s="21">
        <f t="shared" si="1"/>
        <v>-0.17011050336079714</v>
      </c>
      <c r="G44" s="21">
        <f t="shared" si="1"/>
        <v>-0.24447826415777207</v>
      </c>
    </row>
    <row r="45" spans="2:7" ht="13.95" customHeight="1" x14ac:dyDescent="0.3">
      <c r="B45" s="93">
        <f>$B$29</f>
        <v>0.09</v>
      </c>
      <c r="C45" s="21">
        <f t="shared" si="1"/>
        <v>9.6345058972400643E-2</v>
      </c>
      <c r="D45" s="21">
        <f t="shared" si="1"/>
        <v>-2.7776608587866014E-2</v>
      </c>
      <c r="E45" s="21">
        <f t="shared" si="1"/>
        <v>-0.12737167801852112</v>
      </c>
      <c r="F45" s="21">
        <f t="shared" si="1"/>
        <v>-0.20898106405841921</v>
      </c>
      <c r="G45" s="21">
        <f t="shared" si="1"/>
        <v>-0.27701641305061653</v>
      </c>
    </row>
    <row r="46" spans="2:7" ht="13.95" customHeight="1" x14ac:dyDescent="0.3">
      <c r="B46" s="93">
        <f>$B$30</f>
        <v>9.5000000000000001E-2</v>
      </c>
      <c r="C46" s="21">
        <f t="shared" si="1"/>
        <v>3.0693330523797968E-2</v>
      </c>
      <c r="D46" s="21">
        <f t="shared" si="1"/>
        <v>-8.0168522570246425E-2</v>
      </c>
      <c r="E46" s="21">
        <f t="shared" si="1"/>
        <v>-0.17011050336079692</v>
      </c>
      <c r="F46" s="21">
        <f t="shared" si="1"/>
        <v>-0.24447826415777207</v>
      </c>
      <c r="G46" s="21">
        <f t="shared" si="1"/>
        <v>-0.30694497165649404</v>
      </c>
    </row>
    <row r="51" spans="2:2" ht="13.95" customHeight="1" x14ac:dyDescent="0.3">
      <c r="B51" s="14" t="s">
        <v>237</v>
      </c>
    </row>
  </sheetData>
  <mergeCells count="3">
    <mergeCell ref="B5:G5"/>
    <mergeCell ref="B18:G18"/>
    <mergeCell ref="B34:G34"/>
  </mergeCells>
  <conditionalFormatting sqref="C36:G46">
    <cfRule type="colorScale" priority="2">
      <colorScale>
        <cfvo type="min"/>
        <cfvo type="num" val="0"/>
        <cfvo type="max"/>
        <color rgb="FFF8696B"/>
        <color rgb="FFFFEB84"/>
        <color rgb="FF63BE7B"/>
      </colorScale>
    </cfRule>
  </conditionalFormatting>
  <pageMargins left="0.4" right="0.4" top="1.25" bottom="0.5" header="0.3" footer="0.3"/>
  <pageSetup paperSize="9" fitToHeight="0" orientation="landscape"/>
  <headerFooter>
    <oddHeader>&amp;L&amp;G</oddHeader>
    <oddFooter>&amp;R&amp;"Calibri"&amp;10&amp;K008000[ CLASSIFICAÇÃO: PÚBLICA ]</oddFooter>
  </headerFooter>
  <legacyDrawingHF r:id="rId1"/>
  <extLst>
    <ext xmlns:x14="http://schemas.microsoft.com/office/spreadsheetml/2009/9/main" uri="{78C0D931-6437-407d-A8EE-F0AAD7539E65}">
      <x14:conditionalFormattings>
        <x14:conditionalFormatting xmlns:xm="http://schemas.microsoft.com/office/excel/2006/main">
          <x14:cfRule type="expression" priority="1" id="{00000000-000E-0000-0600-000001000000}">
            <xm:f>AND(ROUND($B20-Assumptions!$D$20,4)=0,ROUND(C$19-Assumptions!$D$21,3)=0)</xm:f>
            <x14:dxf>
              <font>
                <b/>
                <color rgb="FF18191A"/>
              </font>
              <border>
                <left style="medium">
                  <color rgb="FF1F2F44"/>
                </left>
                <right style="medium">
                  <color rgb="FF1F2F44"/>
                </right>
                <top style="medium">
                  <color rgb="FF1F2F44"/>
                </top>
                <bottom style="medium">
                  <color rgb="FF1F2F44"/>
                </bottom>
                <vertical/>
                <horizontal/>
              </border>
            </x14:dxf>
          </x14:cfRule>
          <xm:sqref>C20:G30</xm:sqref>
        </x14:conditionalFormatting>
        <x14:conditionalFormatting xmlns:xm="http://schemas.microsoft.com/office/excel/2006/main">
          <x14:cfRule type="expression" priority="3" id="{00000000-000E-0000-0600-000003000000}">
            <xm:f>AND(ROUND($B36-Assumptions!$D$20,4)=0,ROUND(C$35-Assumptions!$D$21,3)=0)</xm:f>
            <x14:dxf>
              <font>
                <b/>
                <color rgb="FF18191A"/>
              </font>
              <border>
                <left style="medium">
                  <color rgb="FF1F2F44"/>
                </left>
                <right style="medium">
                  <color rgb="FF1F2F44"/>
                </right>
                <top style="medium">
                  <color rgb="FF1F2F44"/>
                </top>
                <bottom style="medium">
                  <color rgb="FF1F2F44"/>
                </bottom>
                <vertical/>
                <horizontal/>
              </border>
            </x14:dxf>
          </x14:cfRule>
          <xm:sqref>C36:G46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9C113"/>
  </sheetPr>
  <dimension ref="A1"/>
  <sheetViews>
    <sheetView showGridLines="0" zoomScale="85" zoomScaleNormal="85" workbookViewId="0"/>
  </sheetViews>
  <sheetFormatPr defaultRowHeight="13.95" customHeight="1"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I151"/>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3.95" customHeight="1" x14ac:dyDescent="0.3"/>
  <cols>
    <col min="1" max="1" width="2.6640625" customWidth="1"/>
    <col min="2" max="2" width="46.6640625" customWidth="1"/>
    <col min="3" max="9" width="14.6640625" customWidth="1"/>
  </cols>
  <sheetData>
    <row r="1" spans="2:9" ht="30" customHeight="1" x14ac:dyDescent="0.3">
      <c r="B1" s="15" t="s">
        <v>587</v>
      </c>
    </row>
    <row r="2" spans="2:9" ht="13.95" customHeight="1" x14ac:dyDescent="0.3">
      <c r="B2" s="14" t="s">
        <v>588</v>
      </c>
    </row>
    <row r="3" spans="2:9" ht="13.95" customHeight="1" x14ac:dyDescent="0.3">
      <c r="B3" s="14" t="s">
        <v>2</v>
      </c>
      <c r="C3" s="47" t="s">
        <v>3</v>
      </c>
      <c r="D3" s="48" t="s">
        <v>4</v>
      </c>
      <c r="E3" s="49" t="s">
        <v>5</v>
      </c>
    </row>
    <row r="5" spans="2:9" ht="13.95" customHeight="1" x14ac:dyDescent="0.3">
      <c r="B5" s="138" t="s">
        <v>589</v>
      </c>
      <c r="C5" s="138"/>
      <c r="D5" s="138"/>
      <c r="E5" s="138"/>
      <c r="F5" s="138"/>
      <c r="G5" s="138"/>
      <c r="H5" s="138"/>
      <c r="I5" s="138"/>
    </row>
    <row r="6" spans="2:9" ht="58.05" customHeight="1" x14ac:dyDescent="0.3">
      <c r="B6" s="17" t="s">
        <v>464</v>
      </c>
      <c r="C6" s="18" t="s">
        <v>590</v>
      </c>
      <c r="D6" s="18" t="s">
        <v>591</v>
      </c>
      <c r="E6" s="18" t="s">
        <v>592</v>
      </c>
      <c r="F6" s="18" t="s">
        <v>593</v>
      </c>
      <c r="G6" s="18" t="s">
        <v>594</v>
      </c>
      <c r="H6" s="18" t="s">
        <v>595</v>
      </c>
      <c r="I6" s="18"/>
    </row>
    <row r="7" spans="2:9" ht="13.95" customHeight="1" x14ac:dyDescent="0.3">
      <c r="B7" s="8" t="s">
        <v>295</v>
      </c>
      <c r="C7" s="40">
        <f>'DCF by Box'!$H$40/'DCF by Box'!$H$27</f>
        <v>0.76346986354643731</v>
      </c>
      <c r="D7" s="30">
        <f>AVERAGE(C$32:C$151)</f>
        <v>0.12075604632863496</v>
      </c>
      <c r="E7" s="72">
        <f>1/D7</f>
        <v>8.2811588355461865</v>
      </c>
      <c r="F7" s="30">
        <f>C7*D7</f>
        <v>9.2193602212930201E-2</v>
      </c>
      <c r="G7" s="94">
        <f>F7/$F$11</f>
        <v>0.92451760279086559</v>
      </c>
      <c r="H7" s="31">
        <f>'Box Betas'!I7</f>
        <v>1.1490636580507501</v>
      </c>
    </row>
    <row r="8" spans="2:9" ht="13.95" customHeight="1" x14ac:dyDescent="0.3">
      <c r="B8" s="8" t="s">
        <v>325</v>
      </c>
      <c r="C8" s="40">
        <f>'DCF by Box'!$H$89/'DCF by Box'!$H$81</f>
        <v>0.84896206407540031</v>
      </c>
      <c r="D8" s="30">
        <f>AVERAGE(D$32:D$151)</f>
        <v>7.461695723034259E-2</v>
      </c>
      <c r="E8" s="72">
        <f>1/D8</f>
        <v>13.401779395975629</v>
      </c>
      <c r="F8" s="30">
        <f>C8*D8</f>
        <v>6.3346966025297505E-2</v>
      </c>
      <c r="G8" s="94">
        <f>F8/$F$11</f>
        <v>0.6352434851012756</v>
      </c>
      <c r="H8" s="31">
        <f>'Box Betas'!I8</f>
        <v>0.92867396464650487</v>
      </c>
    </row>
    <row r="9" spans="2:9" ht="13.95" customHeight="1" x14ac:dyDescent="0.3">
      <c r="B9" s="8" t="s">
        <v>376</v>
      </c>
      <c r="C9" s="40">
        <f>'DCF by Box'!$H$136/'DCF by Box'!$H$128</f>
        <v>0.49913290872110783</v>
      </c>
      <c r="D9" s="30">
        <f>AVERAGE(E$32:E$151)</f>
        <v>5.9397861703110837E-2</v>
      </c>
      <c r="E9" s="72">
        <f>1/D9</f>
        <v>16.835622888216314</v>
      </c>
      <c r="F9" s="30">
        <f>C9*D9</f>
        <v>2.9647427483687809E-2</v>
      </c>
      <c r="G9" s="94">
        <f>F9/$F$11</f>
        <v>0.29730445419444596</v>
      </c>
      <c r="H9" s="31">
        <f>'Box Betas'!I9</f>
        <v>1.150451096712058</v>
      </c>
    </row>
    <row r="10" spans="2:9" ht="13.95" customHeight="1" x14ac:dyDescent="0.3">
      <c r="B10" s="8" t="s">
        <v>427</v>
      </c>
      <c r="C10" s="40">
        <f>'DCF by Box'!$H$183/'DCF by Box'!$H$175</f>
        <v>1.0114871603115463</v>
      </c>
      <c r="D10" s="30">
        <f>AVERAGE(F$32:F$151)</f>
        <v>0.1513605889539151</v>
      </c>
      <c r="E10" s="72">
        <f>1/D10</f>
        <v>6.6067396203411368</v>
      </c>
      <c r="F10" s="30">
        <f>C10*D10</f>
        <v>0.15309929230407879</v>
      </c>
      <c r="G10" s="94">
        <f>F10/$F$11</f>
        <v>1.5352799685930207</v>
      </c>
      <c r="H10" s="31">
        <f>'Box Betas'!I10</f>
        <v>0.87168584069919741</v>
      </c>
    </row>
    <row r="11" spans="2:9" ht="13.95" customHeight="1" x14ac:dyDescent="0.3">
      <c r="B11" s="11" t="s">
        <v>596</v>
      </c>
      <c r="C11" s="95">
        <f>DCF!$S$37/DCF!$S$29</f>
        <v>0.88778375044224844</v>
      </c>
      <c r="D11" s="96">
        <f>AVERAGE(G$32:G$151)</f>
        <v>0.11232551229380891</v>
      </c>
      <c r="E11" s="97">
        <f>1/D11</f>
        <v>8.9026969882345899</v>
      </c>
      <c r="F11" s="96">
        <f>C11*D11</f>
        <v>9.9720764574544554E-2</v>
      </c>
      <c r="G11" s="32">
        <f>F11/$F$11</f>
        <v>1</v>
      </c>
      <c r="H11" s="98">
        <f>'Box Betas'!I11</f>
        <v>1</v>
      </c>
    </row>
    <row r="12" spans="2:9" ht="13.95" customHeight="1" x14ac:dyDescent="0.3">
      <c r="B12" s="14" t="s">
        <v>485</v>
      </c>
    </row>
    <row r="13" spans="2:9" ht="13.95" customHeight="1" x14ac:dyDescent="0.3">
      <c r="B13" s="8" t="s">
        <v>483</v>
      </c>
      <c r="C13" s="40">
        <f>'DCF by Box'!$H$230/'DCF by Box'!$H$222</f>
        <v>0.48381773529265315</v>
      </c>
      <c r="D13" s="30">
        <f>AVERAGE(H$32:H$151)</f>
        <v>6.6034989672598882E-2</v>
      </c>
      <c r="E13" s="72">
        <f>1/D13</f>
        <v>15.143486884119987</v>
      </c>
      <c r="F13" s="30">
        <f>C13*D13</f>
        <v>3.1948899153470531E-2</v>
      </c>
      <c r="G13" s="94">
        <f>F13/$F$11</f>
        <v>0.32038361608817867</v>
      </c>
      <c r="H13" s="31">
        <f>'Box Betas'!I13</f>
        <v>1.3187145743497621</v>
      </c>
    </row>
    <row r="14" spans="2:9" ht="13.95" customHeight="1" x14ac:dyDescent="0.3">
      <c r="B14" s="8" t="s">
        <v>484</v>
      </c>
      <c r="C14" s="40">
        <f>'DCF by Box'!$H$277/'DCF by Box'!$H$269</f>
        <v>0.54944199225660739</v>
      </c>
      <c r="D14" s="30">
        <f>AVERAGE(I$32:I$151)</f>
        <v>4.2104975643742416E-2</v>
      </c>
      <c r="E14" s="72">
        <f>1/D14</f>
        <v>23.750162177058964</v>
      </c>
      <c r="F14" s="30">
        <f>C14*D14</f>
        <v>2.3134241701613763E-2</v>
      </c>
      <c r="G14" s="94">
        <f>F14/$F$11</f>
        <v>0.23199021588247207</v>
      </c>
      <c r="H14" s="31">
        <f>'Box Betas'!I14</f>
        <v>0.71783451900492579</v>
      </c>
    </row>
    <row r="15" spans="2:9" ht="13.95" customHeight="1" x14ac:dyDescent="0.3">
      <c r="B15" s="14" t="s">
        <v>597</v>
      </c>
    </row>
    <row r="17" spans="2:9" ht="13.95" customHeight="1" x14ac:dyDescent="0.3">
      <c r="B17" s="138" t="s">
        <v>598</v>
      </c>
      <c r="C17" s="138"/>
      <c r="D17" s="138"/>
      <c r="E17" s="138"/>
      <c r="F17" s="138"/>
      <c r="G17" s="138"/>
      <c r="H17" s="138"/>
      <c r="I17" s="138"/>
    </row>
    <row r="18" spans="2:9" ht="30" customHeight="1" x14ac:dyDescent="0.3">
      <c r="B18" s="17"/>
      <c r="C18" s="18" t="s">
        <v>31</v>
      </c>
      <c r="D18" s="18" t="s">
        <v>32</v>
      </c>
      <c r="E18" s="18" t="s">
        <v>33</v>
      </c>
      <c r="F18" s="18"/>
      <c r="G18" s="18" t="s">
        <v>599</v>
      </c>
      <c r="H18" s="18" t="s">
        <v>32</v>
      </c>
      <c r="I18" s="18" t="s">
        <v>33</v>
      </c>
    </row>
    <row r="19" spans="2:9" ht="13.95" customHeight="1" x14ac:dyDescent="0.3">
      <c r="B19" s="5" t="s">
        <v>600</v>
      </c>
      <c r="C19" s="53">
        <f>DCF!C48</f>
        <v>0.14500000000000002</v>
      </c>
      <c r="D19" s="53">
        <f>DCF!D48</f>
        <v>0.12759999999999999</v>
      </c>
      <c r="E19" s="53">
        <f>DCF!E48</f>
        <v>0.11499999999999999</v>
      </c>
      <c r="G19" s="53">
        <f>C19-C20</f>
        <v>6.0000000000000012E-2</v>
      </c>
      <c r="H19" s="53">
        <f>D19-D20</f>
        <v>0.06</v>
      </c>
      <c r="I19" s="53">
        <f>E19-E20</f>
        <v>5.9999999999999991E-2</v>
      </c>
    </row>
    <row r="20" spans="2:9" ht="13.95" customHeight="1" x14ac:dyDescent="0.3">
      <c r="B20" s="19" t="s">
        <v>601</v>
      </c>
      <c r="C20" s="30">
        <f>DCF!C46</f>
        <v>8.5000000000000006E-2</v>
      </c>
      <c r="D20" s="30">
        <f>DCF!D46</f>
        <v>6.7599999999999993E-2</v>
      </c>
      <c r="E20" s="30">
        <f>DCF!E46</f>
        <v>5.5E-2</v>
      </c>
    </row>
    <row r="21" spans="2:9" ht="13.95" customHeight="1" x14ac:dyDescent="0.3">
      <c r="B21" s="19" t="s">
        <v>295</v>
      </c>
      <c r="C21" s="53">
        <f>CHOOSE(BoxRate+1,C$19,MAX(gLT+(C$19-gLT)*$G$7,C$20+ERPfloor),IF(FixInfl=1,(1+C$20+$H$7*DCF!C$47+RateShock*($H$7-1)*(C$20-$D$20))*(1+InflLT)-1,C$20+$H$7*DCF!C$47+RateShock*($H$7-1)*(C$20-$D$20)))</f>
        <v>0.153943819483045</v>
      </c>
      <c r="D21" s="53">
        <f>CHOOSE(BoxRate+1,D$19,MAX(gLT+(D$19-gLT)*$G$7,D$20+ERPfloor),IF(FixInfl=1,(1+D$20+$H$7*DCF!D$47+RateShock*($H$7-1)*(D$20-$D$20))*(1+InflLT)-1,D$20+$H$7*DCF!D$47+RateShock*($H$7-1)*(D$20-$D$20)))</f>
        <v>0.136543819483045</v>
      </c>
      <c r="E21" s="53">
        <f>CHOOSE(BoxRate+1,E$19,MAX(gLT+(E$19-gLT)*$G$7,E$20+ERPfloor),IF(FixInfl=1,(1+E$20+$H$7*DCF!E$47+RateShock*($H$7-1)*(E$20-$D$20))*(1+InflLT)-1,E$20+$H$7*DCF!E$47+RateShock*($H$7-1)*(E$20-$D$20)))</f>
        <v>0.123943819483045</v>
      </c>
      <c r="G21" s="30">
        <f t="shared" ref="G21:I24" si="0">C21-C$20</f>
        <v>6.8943819483044996E-2</v>
      </c>
      <c r="H21" s="30">
        <f t="shared" si="0"/>
        <v>6.894381948304501E-2</v>
      </c>
      <c r="I21" s="30">
        <f t="shared" si="0"/>
        <v>6.894381948304501E-2</v>
      </c>
    </row>
    <row r="22" spans="2:9" ht="13.95" customHeight="1" x14ac:dyDescent="0.3">
      <c r="B22" s="19" t="s">
        <v>325</v>
      </c>
      <c r="C22" s="53">
        <f>CHOOSE(BoxRate+1,C$19,MAX(gLT+(C$19-gLT)*$G$8,C$20+ERPfloor),IF(FixInfl=1,(1+C$20+$H$8*DCF!C$47+RateShock*($H$8-1)*(C$20-$D$20))*(1+InflLT)-1,C$20+$H$8*DCF!C$47+RateShock*($H$8-1)*(C$20-$D$20)))</f>
        <v>0.14072043787879029</v>
      </c>
      <c r="D22" s="53">
        <f>CHOOSE(BoxRate+1,D$19,MAX(gLT+(D$19-gLT)*$G$8,D$20+ERPfloor),IF(FixInfl=1,(1+D$20+$H$8*DCF!D$47+RateShock*($H$8-1)*(D$20-$D$20))*(1+InflLT)-1,D$20+$H$8*DCF!D$47+RateShock*($H$8-1)*(D$20-$D$20)))</f>
        <v>0.12332043787879028</v>
      </c>
      <c r="E22" s="53">
        <f>CHOOSE(BoxRate+1,E$19,MAX(gLT+(E$19-gLT)*$G$8,E$20+ERPfloor),IF(FixInfl=1,(1+E$20+$H$8*DCF!E$47+RateShock*($H$8-1)*(E$20-$D$20))*(1+InflLT)-1,E$20+$H$8*DCF!E$47+RateShock*($H$8-1)*(E$20-$D$20)))</f>
        <v>0.1107204378787903</v>
      </c>
      <c r="G22" s="30">
        <f t="shared" si="0"/>
        <v>5.5720437878790288E-2</v>
      </c>
      <c r="H22" s="30">
        <f t="shared" si="0"/>
        <v>5.5720437878790288E-2</v>
      </c>
      <c r="I22" s="30">
        <f t="shared" si="0"/>
        <v>5.5720437878790295E-2</v>
      </c>
    </row>
    <row r="23" spans="2:9" ht="13.95" customHeight="1" x14ac:dyDescent="0.3">
      <c r="B23" s="19" t="s">
        <v>376</v>
      </c>
      <c r="C23" s="53">
        <f>CHOOSE(BoxRate+1,C$19,MAX(gLT+(C$19-gLT)*$G$9,C$20+ERPfloor),IF(FixInfl=1,(1+C$20+$H$9*DCF!C$47+RateShock*($H$9-1)*(C$20-$D$20))*(1+InflLT)-1,C$20+$H$9*DCF!C$47+RateShock*($H$9-1)*(C$20-$D$20)))</f>
        <v>0.15402706580272349</v>
      </c>
      <c r="D23" s="53">
        <f>CHOOSE(BoxRate+1,D$19,MAX(gLT+(D$19-gLT)*$G$9,D$20+ERPfloor),IF(FixInfl=1,(1+D$20+$H$9*DCF!D$47+RateShock*($H$9-1)*(D$20-$D$20))*(1+InflLT)-1,D$20+$H$9*DCF!D$47+RateShock*($H$9-1)*(D$20-$D$20)))</f>
        <v>0.13662706580272349</v>
      </c>
      <c r="E23" s="53">
        <f>CHOOSE(BoxRate+1,E$19,MAX(gLT+(E$19-gLT)*$G$9,E$20+ERPfloor),IF(FixInfl=1,(1+E$20+$H$9*DCF!E$47+RateShock*($H$9-1)*(E$20-$D$20))*(1+InflLT)-1,E$20+$H$9*DCF!E$47+RateShock*($H$9-1)*(E$20-$D$20)))</f>
        <v>0.12402706580272349</v>
      </c>
      <c r="G23" s="30">
        <f t="shared" si="0"/>
        <v>6.9027065802723483E-2</v>
      </c>
      <c r="H23" s="30">
        <f t="shared" si="0"/>
        <v>6.9027065802723497E-2</v>
      </c>
      <c r="I23" s="30">
        <f t="shared" si="0"/>
        <v>6.9027065802723497E-2</v>
      </c>
    </row>
    <row r="24" spans="2:9" ht="13.95" customHeight="1" x14ac:dyDescent="0.3">
      <c r="B24" s="19" t="s">
        <v>427</v>
      </c>
      <c r="C24" s="53">
        <f>CHOOSE(BoxRate+1,C$19,MAX(gLT+(C$19-gLT)*$G$10,C$20+ERPfloor),IF(FixInfl=1,(1+C$20+$H$10*DCF!C$47+RateShock*($H$10-1)*(C$20-$D$20))*(1+InflLT)-1,C$20+$H$10*DCF!C$47+RateShock*($H$10-1)*(C$20-$D$20)))</f>
        <v>0.13730115044195185</v>
      </c>
      <c r="D24" s="53">
        <f>CHOOSE(BoxRate+1,D$19,MAX(gLT+(D$19-gLT)*$G$10,D$20+ERPfloor),IF(FixInfl=1,(1+D$20+$H$10*DCF!D$47+RateShock*($H$10-1)*(D$20-$D$20))*(1+InflLT)-1,D$20+$H$10*DCF!D$47+RateShock*($H$10-1)*(D$20-$D$20)))</f>
        <v>0.11990115044195183</v>
      </c>
      <c r="E24" s="53">
        <f>CHOOSE(BoxRate+1,E$19,MAX(gLT+(E$19-gLT)*$G$10,E$20+ERPfloor),IF(FixInfl=1,(1+E$20+$H$10*DCF!E$47+RateShock*($H$10-1)*(E$20-$D$20))*(1+InflLT)-1,E$20+$H$10*DCF!E$47+RateShock*($H$10-1)*(E$20-$D$20)))</f>
        <v>0.10730115044195185</v>
      </c>
      <c r="G24" s="30">
        <f t="shared" si="0"/>
        <v>5.2301150441951841E-2</v>
      </c>
      <c r="H24" s="30">
        <f t="shared" si="0"/>
        <v>5.2301150441951841E-2</v>
      </c>
      <c r="I24" s="30">
        <f t="shared" si="0"/>
        <v>5.2301150441951848E-2</v>
      </c>
    </row>
    <row r="25" spans="2:9" ht="13.95" customHeight="1" x14ac:dyDescent="0.3">
      <c r="B25" s="14" t="s">
        <v>485</v>
      </c>
    </row>
    <row r="26" spans="2:9" ht="13.95" customHeight="1" x14ac:dyDescent="0.3">
      <c r="B26" s="19" t="s">
        <v>483</v>
      </c>
      <c r="C26" s="53">
        <f>CHOOSE(BoxRate+1,C$19,MAX(gLT+(C$19-gLT)*$G$13,C$20+ERPfloor),IF(FixInfl=1,(1+C$20+$H$13*DCF!C$47+RateShock*($H$13-1)*(C$20-$D$20))*(1+InflLT)-1,C$20+$H$13*DCF!C$47+RateShock*($H$13-1)*(C$20-$D$20)))</f>
        <v>0.16412287446098572</v>
      </c>
      <c r="D26" s="53">
        <f>CHOOSE(BoxRate+1,D$19,MAX(gLT+(D$19-gLT)*$G$13,D$20+ERPfloor),IF(FixInfl=1,(1+D$20+$H$13*DCF!D$47+RateShock*($H$13-1)*(D$20-$D$20))*(1+InflLT)-1,D$20+$H$13*DCF!D$47+RateShock*($H$13-1)*(D$20-$D$20)))</f>
        <v>0.14672287446098572</v>
      </c>
      <c r="E26" s="53">
        <f>CHOOSE(BoxRate+1,E$19,MAX(gLT+(E$19-gLT)*$G$13,E$20+ERPfloor),IF(FixInfl=1,(1+E$20+$H$13*DCF!E$47+RateShock*($H$13-1)*(E$20-$D$20))*(1+InflLT)-1,E$20+$H$13*DCF!E$47+RateShock*($H$13-1)*(E$20-$D$20)))</f>
        <v>0.13412287446098572</v>
      </c>
      <c r="G26" s="30">
        <f t="shared" ref="G26:I27" si="1">C26-C$20</f>
        <v>7.9122874460985718E-2</v>
      </c>
      <c r="H26" s="30">
        <f t="shared" si="1"/>
        <v>7.9122874460985732E-2</v>
      </c>
      <c r="I26" s="30">
        <f t="shared" si="1"/>
        <v>7.9122874460985732E-2</v>
      </c>
    </row>
    <row r="27" spans="2:9" ht="13.95" customHeight="1" x14ac:dyDescent="0.3">
      <c r="B27" s="19" t="s">
        <v>484</v>
      </c>
      <c r="C27" s="53">
        <f>CHOOSE(BoxRate+1,C$19,MAX(gLT+(C$19-gLT)*$G$14,C$20+ERPfloor),IF(FixInfl=1,(1+C$20+$H$14*DCF!C$47+RateShock*($H$14-1)*(C$20-$D$20))*(1+InflLT)-1,C$20+$H$14*DCF!C$47+RateShock*($H$14-1)*(C$20-$D$20)))</f>
        <v>0.12807007114029556</v>
      </c>
      <c r="D27" s="53">
        <f>CHOOSE(BoxRate+1,D$19,MAX(gLT+(D$19-gLT)*$G$14,D$20+ERPfloor),IF(FixInfl=1,(1+D$20+$H$14*DCF!D$47+RateShock*($H$14-1)*(D$20-$D$20))*(1+InflLT)-1,D$20+$H$14*DCF!D$47+RateShock*($H$14-1)*(D$20-$D$20)))</f>
        <v>0.11067007114029553</v>
      </c>
      <c r="E27" s="53">
        <f>CHOOSE(BoxRate+1,E$19,MAX(gLT+(E$19-gLT)*$G$14,E$20+ERPfloor),IF(FixInfl=1,(1+E$20+$H$14*DCF!E$47+RateShock*($H$14-1)*(E$20-$D$20))*(1+InflLT)-1,E$20+$H$14*DCF!E$47+RateShock*($H$14-1)*(E$20-$D$20)))</f>
        <v>9.8070071140295548E-2</v>
      </c>
      <c r="G27" s="30">
        <f t="shared" si="1"/>
        <v>4.3070071140295554E-2</v>
      </c>
      <c r="H27" s="30">
        <f t="shared" si="1"/>
        <v>4.3070071140295541E-2</v>
      </c>
      <c r="I27" s="30">
        <f t="shared" si="1"/>
        <v>4.3070071140295547E-2</v>
      </c>
    </row>
    <row r="28" spans="2:9" ht="13.95" customHeight="1" x14ac:dyDescent="0.3">
      <c r="B28" s="14" t="s">
        <v>602</v>
      </c>
    </row>
    <row r="30" spans="2:9" ht="13.95" customHeight="1" x14ac:dyDescent="0.3">
      <c r="B30" s="138" t="s">
        <v>603</v>
      </c>
      <c r="C30" s="138"/>
      <c r="D30" s="138"/>
      <c r="E30" s="138"/>
      <c r="F30" s="138"/>
      <c r="G30" s="138"/>
      <c r="H30" s="138"/>
      <c r="I30" s="138"/>
    </row>
    <row r="31" spans="2:9" ht="30" customHeight="1" x14ac:dyDescent="0.3">
      <c r="B31" s="17" t="s">
        <v>604</v>
      </c>
      <c r="C31" s="18" t="s">
        <v>295</v>
      </c>
      <c r="D31" s="18" t="s">
        <v>325</v>
      </c>
      <c r="E31" s="18" t="s">
        <v>376</v>
      </c>
      <c r="F31" s="18" t="s">
        <v>427</v>
      </c>
      <c r="G31" s="18" t="s">
        <v>596</v>
      </c>
      <c r="H31" s="18" t="s">
        <v>377</v>
      </c>
      <c r="I31" s="18" t="s">
        <v>422</v>
      </c>
    </row>
    <row r="32" spans="2:9" ht="13.95" customHeight="1" x14ac:dyDescent="0.3">
      <c r="B32" s="77">
        <v>42674</v>
      </c>
      <c r="C32" s="52">
        <v>9.7129301290177286E-2</v>
      </c>
      <c r="D32" s="52">
        <v>5.4043083855085827E-2</v>
      </c>
      <c r="E32" s="52">
        <v>6.1020751428244632E-2</v>
      </c>
      <c r="F32" s="52">
        <v>5.9499887229775221E-2</v>
      </c>
      <c r="G32" s="52">
        <v>7.1929310814103004E-2</v>
      </c>
      <c r="H32" s="52">
        <v>5.9724661956450271E-2</v>
      </c>
      <c r="I32" s="52">
        <v>6.8374832503199715E-2</v>
      </c>
    </row>
    <row r="33" spans="2:9" ht="13.95" customHeight="1" x14ac:dyDescent="0.3">
      <c r="B33" s="77">
        <v>42704</v>
      </c>
      <c r="C33" s="52">
        <v>0.1099965812467219</v>
      </c>
      <c r="D33" s="52">
        <v>5.9068694701215299E-2</v>
      </c>
      <c r="E33" s="52">
        <v>6.887135525896565E-2</v>
      </c>
      <c r="F33" s="52">
        <v>5.6921620784763927E-2</v>
      </c>
      <c r="G33" s="52">
        <v>7.7403520070996157E-2</v>
      </c>
      <c r="H33" s="52">
        <v>6.7637157444371987E-2</v>
      </c>
      <c r="I33" s="52">
        <v>7.5473873829103005E-2</v>
      </c>
    </row>
    <row r="34" spans="2:9" ht="13.95" customHeight="1" x14ac:dyDescent="0.3">
      <c r="B34" s="77">
        <v>42735</v>
      </c>
      <c r="C34" s="52">
        <v>0.11380828417090839</v>
      </c>
      <c r="D34" s="52">
        <v>6.095037188086503E-2</v>
      </c>
      <c r="E34" s="52">
        <v>6.9286831193448306E-2</v>
      </c>
      <c r="F34" s="52">
        <v>7.4568531167763782E-2</v>
      </c>
      <c r="G34" s="52">
        <v>8.4370771172792888E-2</v>
      </c>
      <c r="H34" s="52">
        <v>6.7704257571993928E-2</v>
      </c>
      <c r="I34" s="52">
        <v>7.8184001650312668E-2</v>
      </c>
    </row>
    <row r="35" spans="2:9" ht="13.95" customHeight="1" x14ac:dyDescent="0.3">
      <c r="B35" s="77">
        <v>42766</v>
      </c>
      <c r="C35" s="52">
        <v>0.1043412351043196</v>
      </c>
      <c r="D35" s="52">
        <v>5.8688992556221377E-2</v>
      </c>
      <c r="E35" s="52">
        <v>6.7259516339819581E-2</v>
      </c>
      <c r="F35" s="52">
        <v>7.7537888756004605E-2</v>
      </c>
      <c r="G35" s="52">
        <v>8.1485862780259349E-2</v>
      </c>
      <c r="H35" s="52">
        <v>6.6448910148725782E-2</v>
      </c>
      <c r="I35" s="52">
        <v>7.1561335650768387E-2</v>
      </c>
    </row>
    <row r="36" spans="2:9" ht="13.95" customHeight="1" x14ac:dyDescent="0.3">
      <c r="B36" s="77">
        <v>42794</v>
      </c>
      <c r="C36" s="52">
        <v>0.1005813870662661</v>
      </c>
      <c r="D36" s="52">
        <v>5.8304742268086497E-2</v>
      </c>
      <c r="E36" s="52">
        <v>6.4388348028919948E-2</v>
      </c>
      <c r="F36" s="52">
        <v>8.6275689961441332E-2</v>
      </c>
      <c r="G36" s="52">
        <v>8.2166169833729874E-2</v>
      </c>
      <c r="H36" s="52">
        <v>6.3605189316298383E-2</v>
      </c>
      <c r="I36" s="52">
        <v>6.8790949755009531E-2</v>
      </c>
    </row>
    <row r="37" spans="2:9" ht="13.95" customHeight="1" x14ac:dyDescent="0.3">
      <c r="B37" s="77">
        <v>42825</v>
      </c>
      <c r="C37" s="52">
        <v>0.1064903485878423</v>
      </c>
      <c r="D37" s="52">
        <v>5.9366600965256963E-2</v>
      </c>
      <c r="E37" s="52">
        <v>6.4297620734381833E-2</v>
      </c>
      <c r="F37" s="52">
        <v>0.10213707337946901</v>
      </c>
      <c r="G37" s="52">
        <v>8.8318038717211819E-2</v>
      </c>
      <c r="H37" s="52">
        <v>6.3701459115950654E-2</v>
      </c>
      <c r="I37" s="52">
        <v>6.7878585783723591E-2</v>
      </c>
    </row>
    <row r="38" spans="2:9" ht="13.95" customHeight="1" x14ac:dyDescent="0.3">
      <c r="B38" s="77">
        <v>42855</v>
      </c>
      <c r="C38" s="52">
        <v>0.1047335048264358</v>
      </c>
      <c r="D38" s="52">
        <v>5.8662052854988489E-2</v>
      </c>
      <c r="E38" s="52">
        <v>6.2554795407367844E-2</v>
      </c>
      <c r="F38" s="52">
        <v>0.1025153583843272</v>
      </c>
      <c r="G38" s="52">
        <v>8.6871578842141001E-2</v>
      </c>
      <c r="H38" s="52">
        <v>6.1623107954385588E-2</v>
      </c>
      <c r="I38" s="52">
        <v>6.8857016310709271E-2</v>
      </c>
    </row>
    <row r="39" spans="2:9" ht="13.95" customHeight="1" x14ac:dyDescent="0.3">
      <c r="B39" s="77">
        <v>42886</v>
      </c>
      <c r="C39" s="52">
        <v>0.1141763716995487</v>
      </c>
      <c r="D39" s="52">
        <v>5.5875352742162793E-2</v>
      </c>
      <c r="E39" s="52">
        <v>6.7520157890780391E-2</v>
      </c>
      <c r="F39" s="52">
        <v>0.11641555767094471</v>
      </c>
      <c r="G39" s="52">
        <v>9.3376516495479983E-2</v>
      </c>
      <c r="H39" s="52">
        <v>6.8145011179574319E-2</v>
      </c>
      <c r="I39" s="52">
        <v>6.4018648355714608E-2</v>
      </c>
    </row>
    <row r="40" spans="2:9" ht="13.95" customHeight="1" x14ac:dyDescent="0.3">
      <c r="B40" s="77">
        <v>42916</v>
      </c>
      <c r="C40" s="52">
        <v>0.112693231320629</v>
      </c>
      <c r="D40" s="52">
        <v>6.3002735663297477E-2</v>
      </c>
      <c r="E40" s="52">
        <v>6.7664863218464086E-2</v>
      </c>
      <c r="F40" s="52">
        <v>0.1107048445564648</v>
      </c>
      <c r="G40" s="52">
        <v>9.3550508691788839E-2</v>
      </c>
      <c r="H40" s="52">
        <v>6.7580456405464243E-2</v>
      </c>
      <c r="I40" s="52">
        <v>6.818255559057862E-2</v>
      </c>
    </row>
    <row r="41" spans="2:9" ht="13.95" customHeight="1" x14ac:dyDescent="0.3">
      <c r="B41" s="77">
        <v>42947</v>
      </c>
      <c r="C41" s="52">
        <v>0.1092513022471422</v>
      </c>
      <c r="D41" s="52">
        <v>6.0343248185998823E-2</v>
      </c>
      <c r="E41" s="52">
        <v>6.3730894121762471E-2</v>
      </c>
      <c r="F41" s="52">
        <v>0.1009195694018435</v>
      </c>
      <c r="G41" s="52">
        <v>8.8525711781194977E-2</v>
      </c>
      <c r="H41" s="52">
        <v>6.3542383415831696E-2</v>
      </c>
      <c r="I41" s="52">
        <v>6.4919082813689771E-2</v>
      </c>
    </row>
    <row r="42" spans="2:9" ht="13.95" customHeight="1" x14ac:dyDescent="0.3">
      <c r="B42" s="77">
        <v>42978</v>
      </c>
      <c r="C42" s="52">
        <v>0.10121318228420149</v>
      </c>
      <c r="D42" s="52">
        <v>5.7276405398715043E-2</v>
      </c>
      <c r="E42" s="52">
        <v>5.8917320399734609E-2</v>
      </c>
      <c r="F42" s="52">
        <v>8.7965053013488698E-2</v>
      </c>
      <c r="G42" s="52">
        <v>8.105269196888984E-2</v>
      </c>
      <c r="H42" s="52">
        <v>5.9428875355592388E-2</v>
      </c>
      <c r="I42" s="52">
        <v>5.5744274169511138E-2</v>
      </c>
    </row>
    <row r="43" spans="2:9" ht="13.95" customHeight="1" x14ac:dyDescent="0.3">
      <c r="B43" s="77">
        <v>43008</v>
      </c>
      <c r="C43" s="52">
        <v>9.4121652954921309E-2</v>
      </c>
      <c r="D43" s="52">
        <v>5.6487977048409722E-2</v>
      </c>
      <c r="E43" s="52">
        <v>5.4739012077113222E-2</v>
      </c>
      <c r="F43" s="52">
        <v>9.0717723730398769E-2</v>
      </c>
      <c r="G43" s="52">
        <v>7.8083075979023836E-2</v>
      </c>
      <c r="H43" s="52">
        <v>5.4853251279858843E-2</v>
      </c>
      <c r="I43" s="52">
        <v>5.3981219854751863E-2</v>
      </c>
    </row>
    <row r="44" spans="2:9" ht="13.95" customHeight="1" x14ac:dyDescent="0.3">
      <c r="B44" s="77">
        <v>43039</v>
      </c>
      <c r="C44" s="52">
        <v>9.7478698776461176E-2</v>
      </c>
      <c r="D44" s="52">
        <v>5.7120269565018908E-2</v>
      </c>
      <c r="E44" s="52">
        <v>5.6966243802464657E-2</v>
      </c>
      <c r="F44" s="52">
        <v>8.8646327610792414E-2</v>
      </c>
      <c r="G44" s="52">
        <v>7.9233968800005133E-2</v>
      </c>
      <c r="H44" s="52">
        <v>5.7643513894285341E-2</v>
      </c>
      <c r="I44" s="52">
        <v>5.217569373021038E-2</v>
      </c>
    </row>
    <row r="45" spans="2:9" ht="13.95" customHeight="1" x14ac:dyDescent="0.3">
      <c r="B45" s="77">
        <v>43069</v>
      </c>
      <c r="C45" s="52">
        <v>0.1027356154524789</v>
      </c>
      <c r="D45" s="52">
        <v>6.1598769326106931E-2</v>
      </c>
      <c r="E45" s="52">
        <v>5.8381986081698679E-2</v>
      </c>
      <c r="F45" s="52">
        <v>9.5275238411730398E-2</v>
      </c>
      <c r="G45" s="52">
        <v>8.4236476001861266E-2</v>
      </c>
      <c r="H45" s="52">
        <v>5.9996885363052997E-2</v>
      </c>
      <c r="I45" s="52">
        <v>4.7494363375774819E-2</v>
      </c>
    </row>
    <row r="46" spans="2:9" ht="13.95" customHeight="1" x14ac:dyDescent="0.3">
      <c r="B46" s="77">
        <v>43100</v>
      </c>
      <c r="C46" s="52">
        <v>9.9724175471227E-2</v>
      </c>
      <c r="D46" s="52">
        <v>6.0123743781385512E-2</v>
      </c>
      <c r="E46" s="52">
        <v>5.5283566583421352E-2</v>
      </c>
      <c r="F46" s="52">
        <v>9.2179330926919115E-2</v>
      </c>
      <c r="G46" s="52">
        <v>8.1421406525050713E-2</v>
      </c>
      <c r="H46" s="52">
        <v>5.7683641674014421E-2</v>
      </c>
      <c r="I46" s="52">
        <v>4.0219784028069978E-2</v>
      </c>
    </row>
    <row r="47" spans="2:9" ht="13.95" customHeight="1" x14ac:dyDescent="0.3">
      <c r="B47" s="77">
        <v>43131</v>
      </c>
      <c r="C47" s="52">
        <v>8.5744092746604106E-2</v>
      </c>
      <c r="D47" s="52">
        <v>6.1458868003061669E-2</v>
      </c>
      <c r="E47" s="52">
        <v>5.4309058448920443E-2</v>
      </c>
      <c r="F47" s="52">
        <v>9.0050768110729526E-2</v>
      </c>
      <c r="G47" s="52">
        <v>7.7033594618810541E-2</v>
      </c>
      <c r="H47" s="52">
        <v>5.6276150484644002E-2</v>
      </c>
      <c r="I47" s="52">
        <v>4.1048671375855612E-2</v>
      </c>
    </row>
    <row r="48" spans="2:9" ht="13.95" customHeight="1" x14ac:dyDescent="0.3">
      <c r="B48" s="77">
        <v>43159</v>
      </c>
      <c r="C48" s="52">
        <v>9.1196692129993748E-2</v>
      </c>
      <c r="D48" s="52">
        <v>6.1917996163713622E-2</v>
      </c>
      <c r="E48" s="52">
        <v>5.6922369494246353E-2</v>
      </c>
      <c r="F48" s="52">
        <v>9.1433458510371712E-2</v>
      </c>
      <c r="G48" s="52">
        <v>8.0180147059814716E-2</v>
      </c>
      <c r="H48" s="52">
        <v>5.9628395922449451E-2</v>
      </c>
      <c r="I48" s="52">
        <v>4.0381177466986308E-2</v>
      </c>
    </row>
    <row r="49" spans="2:9" ht="13.95" customHeight="1" x14ac:dyDescent="0.3">
      <c r="B49" s="77">
        <v>43190</v>
      </c>
      <c r="C49" s="52">
        <v>9.1109205082078537E-2</v>
      </c>
      <c r="D49" s="52">
        <v>6.335070591726058E-2</v>
      </c>
      <c r="E49" s="52">
        <v>5.8929892882510992E-2</v>
      </c>
      <c r="F49" s="52">
        <v>0.1019452448973243</v>
      </c>
      <c r="G49" s="52">
        <v>8.4054885073435628E-2</v>
      </c>
      <c r="H49" s="52">
        <v>6.199394360237815E-2</v>
      </c>
      <c r="I49" s="52">
        <v>4.0354273695351703E-2</v>
      </c>
    </row>
    <row r="50" spans="2:9" ht="13.95" customHeight="1" x14ac:dyDescent="0.3">
      <c r="B50" s="77">
        <v>43220</v>
      </c>
      <c r="C50" s="52">
        <v>9.5553415250565654E-2</v>
      </c>
      <c r="D50" s="52">
        <v>6.4250420312870607E-2</v>
      </c>
      <c r="E50" s="52">
        <v>6.0138189589831921E-2</v>
      </c>
      <c r="F50" s="52">
        <v>9.4257605345783549E-2</v>
      </c>
      <c r="G50" s="52">
        <v>8.3811568508865925E-2</v>
      </c>
      <c r="H50" s="52">
        <v>6.3637104143330153E-2</v>
      </c>
      <c r="I50" s="52">
        <v>4.0223822131134367E-2</v>
      </c>
    </row>
    <row r="51" spans="2:9" ht="13.95" customHeight="1" x14ac:dyDescent="0.3">
      <c r="B51" s="77">
        <v>43251</v>
      </c>
      <c r="C51" s="52">
        <v>0.1153695016001169</v>
      </c>
      <c r="D51" s="52">
        <v>7.089725405502495E-2</v>
      </c>
      <c r="E51" s="52">
        <v>6.7386065198630815E-2</v>
      </c>
      <c r="F51" s="52">
        <v>0.10395292640881081</v>
      </c>
      <c r="G51" s="52">
        <v>9.5517319581780766E-2</v>
      </c>
      <c r="H51" s="52">
        <v>7.2089671608397785E-2</v>
      </c>
      <c r="I51" s="52">
        <v>4.1466934506556662E-2</v>
      </c>
    </row>
    <row r="52" spans="2:9" ht="13.95" customHeight="1" x14ac:dyDescent="0.3">
      <c r="B52" s="77">
        <v>43281</v>
      </c>
      <c r="C52" s="52">
        <v>0.1231943874337634</v>
      </c>
      <c r="D52" s="52">
        <v>7.3507028323985604E-2</v>
      </c>
      <c r="E52" s="52">
        <v>6.887029219676738E-2</v>
      </c>
      <c r="F52" s="52">
        <v>0.1144647244095198</v>
      </c>
      <c r="G52" s="52">
        <v>0.10213915160479201</v>
      </c>
      <c r="H52" s="52">
        <v>7.4226498429952256E-2</v>
      </c>
      <c r="I52" s="52">
        <v>4.1791694017888223E-2</v>
      </c>
    </row>
    <row r="53" spans="2:9" ht="13.95" customHeight="1" x14ac:dyDescent="0.3">
      <c r="B53" s="77">
        <v>43312</v>
      </c>
      <c r="C53" s="52">
        <v>0.11062822201182131</v>
      </c>
      <c r="D53" s="52">
        <v>7.3091361153126894E-2</v>
      </c>
      <c r="E53" s="52">
        <v>6.7418866039925723E-2</v>
      </c>
      <c r="F53" s="52">
        <v>0.1103738685122391</v>
      </c>
      <c r="G53" s="52">
        <v>9.7424796485988521E-2</v>
      </c>
      <c r="H53" s="52">
        <v>7.1096810948919925E-2</v>
      </c>
      <c r="I53" s="52">
        <v>4.6521491170629779E-2</v>
      </c>
    </row>
    <row r="54" spans="2:9" ht="13.95" customHeight="1" x14ac:dyDescent="0.3">
      <c r="B54" s="77">
        <v>43343</v>
      </c>
      <c r="C54" s="52">
        <v>0.12087830820687349</v>
      </c>
      <c r="D54" s="52">
        <v>7.5127997261756591E-2</v>
      </c>
      <c r="E54" s="52">
        <v>7.3762889937685747E-2</v>
      </c>
      <c r="F54" s="52">
        <v>0.1149504792668104</v>
      </c>
      <c r="G54" s="52">
        <v>0.1039411364306241</v>
      </c>
      <c r="H54" s="52">
        <v>7.9967743887524936E-2</v>
      </c>
      <c r="I54" s="52">
        <v>4.1411445446637413E-2</v>
      </c>
    </row>
    <row r="55" spans="2:9" ht="13.95" customHeight="1" x14ac:dyDescent="0.3">
      <c r="B55" s="77">
        <v>43373</v>
      </c>
      <c r="C55" s="52">
        <v>0.1183775096803993</v>
      </c>
      <c r="D55" s="52">
        <v>7.7864491822049867E-2</v>
      </c>
      <c r="E55" s="52">
        <v>6.9864813224976965E-2</v>
      </c>
      <c r="F55" s="52">
        <v>0.1113643487634455</v>
      </c>
      <c r="G55" s="52">
        <v>0.1022578710226265</v>
      </c>
      <c r="H55" s="52">
        <v>7.52931873338996E-2</v>
      </c>
      <c r="I55" s="52">
        <v>4.2185577074499291E-2</v>
      </c>
    </row>
    <row r="56" spans="2:9" ht="13.95" customHeight="1" x14ac:dyDescent="0.3">
      <c r="B56" s="77">
        <v>43404</v>
      </c>
      <c r="C56" s="52">
        <v>0.1009782933126432</v>
      </c>
      <c r="D56" s="52">
        <v>7.3304500316727098E-2</v>
      </c>
      <c r="E56" s="52">
        <v>5.9992783478594262E-2</v>
      </c>
      <c r="F56" s="52">
        <v>0.1122155389285512</v>
      </c>
      <c r="G56" s="52">
        <v>9.4749870092188035E-2</v>
      </c>
      <c r="H56" s="52">
        <v>6.3048340406528416E-2</v>
      </c>
      <c r="I56" s="52">
        <v>4.1097431060483809E-2</v>
      </c>
    </row>
    <row r="57" spans="2:9" ht="13.95" customHeight="1" x14ac:dyDescent="0.3">
      <c r="B57" s="77">
        <v>43434</v>
      </c>
      <c r="C57" s="52">
        <v>9.4726554491185874E-2</v>
      </c>
      <c r="D57" s="52">
        <v>7.0345972613280114E-2</v>
      </c>
      <c r="E57" s="52">
        <v>6.063001854014291E-2</v>
      </c>
      <c r="F57" s="52">
        <v>0.1173570227863059</v>
      </c>
      <c r="G57" s="52">
        <v>9.3548461876001784E-2</v>
      </c>
      <c r="H57" s="52">
        <v>6.3763395947490698E-2</v>
      </c>
      <c r="I57" s="52">
        <v>4.1927572569114543E-2</v>
      </c>
    </row>
    <row r="58" spans="2:9" ht="13.95" customHeight="1" x14ac:dyDescent="0.3">
      <c r="B58" s="77">
        <v>43465</v>
      </c>
      <c r="C58" s="52">
        <v>9.7146598692013156E-2</v>
      </c>
      <c r="D58" s="52">
        <v>6.8446308898032854E-2</v>
      </c>
      <c r="E58" s="52">
        <v>6.0719436120156171E-2</v>
      </c>
      <c r="F58" s="52">
        <v>0.12268702574137449</v>
      </c>
      <c r="G58" s="52">
        <v>9.5558787111811067E-2</v>
      </c>
      <c r="H58" s="52">
        <v>6.3342851822915561E-2</v>
      </c>
      <c r="I58" s="52">
        <v>4.4951766451942321E-2</v>
      </c>
    </row>
    <row r="59" spans="2:9" ht="13.95" customHeight="1" x14ac:dyDescent="0.3">
      <c r="B59" s="77">
        <v>43496</v>
      </c>
      <c r="C59" s="52">
        <v>8.6827130517701787E-2</v>
      </c>
      <c r="D59" s="52">
        <v>6.4715748880877291E-2</v>
      </c>
      <c r="E59" s="52">
        <v>5.3523149266216347E-2</v>
      </c>
      <c r="F59" s="52">
        <v>0.1141248910173593</v>
      </c>
      <c r="G59" s="52">
        <v>8.6919857712868212E-2</v>
      </c>
      <c r="H59" s="52">
        <v>5.4478371312493487E-2</v>
      </c>
      <c r="I59" s="52">
        <v>3.9870818547904793E-2</v>
      </c>
    </row>
    <row r="60" spans="2:9" ht="13.95" customHeight="1" x14ac:dyDescent="0.3">
      <c r="B60" s="77">
        <v>43524</v>
      </c>
      <c r="C60" s="52">
        <v>8.9162399777073478E-2</v>
      </c>
      <c r="D60" s="52">
        <v>6.6039471359703769E-2</v>
      </c>
      <c r="E60" s="52">
        <v>5.6521212674161908E-2</v>
      </c>
      <c r="F60" s="52">
        <v>0.1188738531546609</v>
      </c>
      <c r="G60" s="52">
        <v>9.047715625105561E-2</v>
      </c>
      <c r="H60" s="52">
        <v>5.7699640664358218E-2</v>
      </c>
      <c r="I60" s="52">
        <v>3.9924941110711862E-2</v>
      </c>
    </row>
    <row r="61" spans="2:9" ht="13.95" customHeight="1" x14ac:dyDescent="0.3">
      <c r="B61" s="77">
        <v>43555</v>
      </c>
      <c r="C61" s="52">
        <v>9.3272252612964623E-2</v>
      </c>
      <c r="D61" s="52">
        <v>7.0620269601952362E-2</v>
      </c>
      <c r="E61" s="52">
        <v>6.0299390024517972E-2</v>
      </c>
      <c r="F61" s="52">
        <v>0.1204627985148209</v>
      </c>
      <c r="G61" s="52">
        <v>9.4385292795495609E-2</v>
      </c>
      <c r="H61" s="52">
        <v>6.1674636808663613E-2</v>
      </c>
      <c r="I61" s="52">
        <v>4.1585228926685237E-2</v>
      </c>
    </row>
    <row r="62" spans="2:9" ht="13.95" customHeight="1" x14ac:dyDescent="0.3">
      <c r="B62" s="77">
        <v>43585</v>
      </c>
      <c r="C62" s="52">
        <v>9.5619186924137067E-2</v>
      </c>
      <c r="D62" s="52">
        <v>6.7907213415618048E-2</v>
      </c>
      <c r="E62" s="52">
        <v>5.9464756632363731E-2</v>
      </c>
      <c r="F62" s="52">
        <v>0.12494175528705261</v>
      </c>
      <c r="G62" s="52">
        <v>9.5568848302412995E-2</v>
      </c>
      <c r="H62" s="52">
        <v>6.0938064799746498E-2</v>
      </c>
      <c r="I62" s="52">
        <v>3.9998400063997443E-2</v>
      </c>
    </row>
    <row r="63" spans="2:9" ht="13.95" customHeight="1" x14ac:dyDescent="0.3">
      <c r="B63" s="77">
        <v>43616</v>
      </c>
      <c r="C63" s="52">
        <v>9.3179260964738039E-2</v>
      </c>
      <c r="D63" s="52">
        <v>6.4334475122616711E-2</v>
      </c>
      <c r="E63" s="52">
        <v>5.3481033087645173E-2</v>
      </c>
      <c r="F63" s="52">
        <v>0.13022736571322099</v>
      </c>
      <c r="G63" s="52">
        <v>9.3643491914365592E-2</v>
      </c>
      <c r="H63" s="52">
        <v>5.7301049494050349E-2</v>
      </c>
      <c r="I63" s="52">
        <v>2.7577148357426869E-2</v>
      </c>
    </row>
    <row r="64" spans="2:9" ht="13.95" customHeight="1" x14ac:dyDescent="0.3">
      <c r="B64" s="77">
        <v>43646</v>
      </c>
      <c r="C64" s="52">
        <v>9.032473692522229E-2</v>
      </c>
      <c r="D64" s="52">
        <v>6.2628480093844141E-2</v>
      </c>
      <c r="E64" s="52">
        <v>5.0408272367044683E-2</v>
      </c>
      <c r="F64" s="52">
        <v>0.1190289204743986</v>
      </c>
      <c r="G64" s="52">
        <v>8.8418050883979846E-2</v>
      </c>
      <c r="H64" s="52">
        <v>5.3502105079553337E-2</v>
      </c>
      <c r="I64" s="52">
        <v>2.9573328557218729E-2</v>
      </c>
    </row>
    <row r="65" spans="2:9" ht="13.95" customHeight="1" x14ac:dyDescent="0.3">
      <c r="B65" s="77">
        <v>43677</v>
      </c>
      <c r="C65" s="52">
        <v>9.2650937059686536E-2</v>
      </c>
      <c r="D65" s="52">
        <v>5.61620184597411E-2</v>
      </c>
      <c r="E65" s="52">
        <v>4.6805024212155578E-2</v>
      </c>
      <c r="F65" s="52">
        <v>0.1235270273958911</v>
      </c>
      <c r="G65" s="52">
        <v>8.7637164063616699E-2</v>
      </c>
      <c r="H65" s="52">
        <v>4.918366297202189E-2</v>
      </c>
      <c r="I65" s="52">
        <v>3.035931629763999E-2</v>
      </c>
    </row>
    <row r="66" spans="2:9" ht="13.95" customHeight="1" x14ac:dyDescent="0.3">
      <c r="B66" s="77">
        <v>43708</v>
      </c>
      <c r="C66" s="52">
        <v>9.5553197955501948E-2</v>
      </c>
      <c r="D66" s="52">
        <v>5.7092620197731321E-2</v>
      </c>
      <c r="E66" s="52">
        <v>4.6545069605226141E-2</v>
      </c>
      <c r="F66" s="52">
        <v>0.1235183835890033</v>
      </c>
      <c r="G66" s="52">
        <v>8.8177873936105294E-2</v>
      </c>
      <c r="H66" s="52">
        <v>4.8744519446798869E-2</v>
      </c>
      <c r="I66" s="52">
        <v>2.9828040764294579E-2</v>
      </c>
    </row>
    <row r="67" spans="2:9" ht="13.95" customHeight="1" x14ac:dyDescent="0.3">
      <c r="B67" s="77">
        <v>43738</v>
      </c>
      <c r="C67" s="52">
        <v>9.3709132944936324E-2</v>
      </c>
      <c r="D67" s="52">
        <v>5.7181147342560378E-2</v>
      </c>
      <c r="E67" s="52">
        <v>4.522578570953556E-2</v>
      </c>
      <c r="F67" s="52">
        <v>0.1138605007975632</v>
      </c>
      <c r="G67" s="52">
        <v>8.4921457956535426E-2</v>
      </c>
      <c r="H67" s="52">
        <v>4.7065619899665852E-2</v>
      </c>
      <c r="I67" s="52">
        <v>3.1276606288242532E-2</v>
      </c>
    </row>
    <row r="68" spans="2:9" ht="13.95" customHeight="1" x14ac:dyDescent="0.3">
      <c r="B68" s="77">
        <v>43769</v>
      </c>
      <c r="C68" s="52">
        <v>9.1203031972786189E-2</v>
      </c>
      <c r="D68" s="52">
        <v>5.9170925345483363E-2</v>
      </c>
      <c r="E68" s="52">
        <v>4.5761289657390167E-2</v>
      </c>
      <c r="F68" s="52">
        <v>0.10354457818837801</v>
      </c>
      <c r="G68" s="52">
        <v>8.1979176224068986E-2</v>
      </c>
      <c r="H68" s="52">
        <v>4.7430856257974947E-2</v>
      </c>
      <c r="I68" s="52">
        <v>3.3415135849542567E-2</v>
      </c>
    </row>
    <row r="69" spans="2:9" ht="13.95" customHeight="1" x14ac:dyDescent="0.3">
      <c r="B69" s="77">
        <v>43799</v>
      </c>
      <c r="C69" s="52">
        <v>9.3436880436786898E-2</v>
      </c>
      <c r="D69" s="52">
        <v>5.7315976262223303E-2</v>
      </c>
      <c r="E69" s="52">
        <v>4.3304984888739968E-2</v>
      </c>
      <c r="F69" s="52">
        <v>0.1061352117279088</v>
      </c>
      <c r="G69" s="52">
        <v>8.2423635946532778E-2</v>
      </c>
      <c r="H69" s="52">
        <v>4.5601250202107167E-2</v>
      </c>
      <c r="I69" s="52">
        <v>2.7361224993015701E-2</v>
      </c>
    </row>
    <row r="70" spans="2:9" ht="13.95" customHeight="1" x14ac:dyDescent="0.3">
      <c r="B70" s="77">
        <v>43830</v>
      </c>
      <c r="C70" s="52">
        <v>8.9272408158123318E-2</v>
      </c>
      <c r="D70" s="52">
        <v>5.5032569422145287E-2</v>
      </c>
      <c r="E70" s="52">
        <v>3.9390292703651818E-2</v>
      </c>
      <c r="F70" s="52">
        <v>0.1029120689228953</v>
      </c>
      <c r="G70" s="52">
        <v>7.8619088933360767E-2</v>
      </c>
      <c r="H70" s="52">
        <v>4.0937595817862833E-2</v>
      </c>
      <c r="I70" s="52">
        <v>2.877451563826439E-2</v>
      </c>
    </row>
    <row r="71" spans="2:9" ht="13.95" customHeight="1" x14ac:dyDescent="0.3">
      <c r="B71" s="77">
        <v>43861</v>
      </c>
      <c r="C71" s="52">
        <v>9.3637263889640832E-2</v>
      </c>
      <c r="D71" s="52">
        <v>5.1220631646132463E-2</v>
      </c>
      <c r="E71" s="52">
        <v>4.0804775377884198E-2</v>
      </c>
      <c r="F71" s="52">
        <v>0.1072903469714622</v>
      </c>
      <c r="G71" s="52">
        <v>7.9814572253240124E-2</v>
      </c>
      <c r="H71" s="52">
        <v>4.3498068587420752E-2</v>
      </c>
      <c r="I71" s="52">
        <v>2.424623114867713E-2</v>
      </c>
    </row>
    <row r="72" spans="2:9" ht="13.95" customHeight="1" x14ac:dyDescent="0.3">
      <c r="B72" s="77">
        <v>43890</v>
      </c>
      <c r="C72" s="52">
        <v>9.9750000961933774E-2</v>
      </c>
      <c r="D72" s="52">
        <v>5.8256717352014528E-2</v>
      </c>
      <c r="E72" s="52">
        <v>4.0429330491039341E-2</v>
      </c>
      <c r="F72" s="52">
        <v>0.1169165177533432</v>
      </c>
      <c r="G72" s="52">
        <v>8.5013247570154951E-2</v>
      </c>
      <c r="H72" s="52">
        <v>4.1908833237040692E-2</v>
      </c>
      <c r="I72" s="52">
        <v>3.120672201593434E-2</v>
      </c>
    </row>
    <row r="73" spans="2:9" ht="13.95" customHeight="1" x14ac:dyDescent="0.3">
      <c r="B73" s="77">
        <v>43921</v>
      </c>
      <c r="C73" s="52">
        <v>0.1446401577540915</v>
      </c>
      <c r="D73" s="52">
        <v>7.3178369511970501E-2</v>
      </c>
      <c r="E73" s="52">
        <v>5.4679287405048238E-2</v>
      </c>
      <c r="F73" s="52">
        <v>0.12888665111628231</v>
      </c>
      <c r="G73" s="52">
        <v>0.1091618972936243</v>
      </c>
      <c r="H73" s="52">
        <v>5.8582658667105512E-2</v>
      </c>
      <c r="I73" s="52">
        <v>2.7583924089040909E-2</v>
      </c>
    </row>
    <row r="74" spans="2:9" ht="13.95" customHeight="1" x14ac:dyDescent="0.3">
      <c r="B74" s="77">
        <v>43951</v>
      </c>
      <c r="C74" s="52">
        <v>0.13481079221390671</v>
      </c>
      <c r="D74" s="52">
        <v>6.9303912035078297E-2</v>
      </c>
      <c r="E74" s="52">
        <v>4.4849992603627847E-2</v>
      </c>
      <c r="F74" s="52">
        <v>9.9115735307110667E-2</v>
      </c>
      <c r="G74" s="52">
        <v>9.5073023357526057E-2</v>
      </c>
      <c r="H74" s="52">
        <v>4.8388076151611177E-2</v>
      </c>
      <c r="I74" s="52">
        <v>2.219952936997736E-2</v>
      </c>
    </row>
    <row r="75" spans="2:9" ht="13.95" customHeight="1" x14ac:dyDescent="0.3">
      <c r="B75" s="77">
        <v>43982</v>
      </c>
      <c r="C75" s="52">
        <v>0.1231258859585868</v>
      </c>
      <c r="D75" s="52">
        <v>6.2940771216123306E-2</v>
      </c>
      <c r="E75" s="52">
        <v>4.4804091068119833E-2</v>
      </c>
      <c r="F75" s="52">
        <v>8.0285893172592743E-2</v>
      </c>
      <c r="G75" s="52">
        <v>8.4327082599340727E-2</v>
      </c>
      <c r="H75" s="52">
        <v>4.8732975498005149E-2</v>
      </c>
      <c r="I75" s="52">
        <v>2.0859842716785919E-2</v>
      </c>
    </row>
    <row r="76" spans="2:9" ht="13.95" customHeight="1" x14ac:dyDescent="0.3">
      <c r="B76" s="77">
        <v>44012</v>
      </c>
      <c r="C76" s="52">
        <v>9.9575584120210447E-2</v>
      </c>
      <c r="D76" s="52">
        <v>6.0548524627962723E-2</v>
      </c>
      <c r="E76" s="52">
        <v>3.5391515217056163E-2</v>
      </c>
      <c r="F76" s="52">
        <v>8.2769432131507281E-2</v>
      </c>
      <c r="G76" s="52">
        <v>7.5335688129431089E-2</v>
      </c>
      <c r="H76" s="52">
        <v>3.8277856713331213E-2</v>
      </c>
      <c r="I76" s="52">
        <v>1.7726410579121839E-2</v>
      </c>
    </row>
    <row r="77" spans="2:9" ht="13.95" customHeight="1" x14ac:dyDescent="0.3">
      <c r="B77" s="77">
        <v>44043</v>
      </c>
      <c r="C77" s="52">
        <v>8.9340575152649246E-2</v>
      </c>
      <c r="D77" s="52">
        <v>8.6294079439040688E-2</v>
      </c>
      <c r="E77" s="52">
        <v>3.0755867316690489E-2</v>
      </c>
      <c r="F77" s="52">
        <v>0.11711832188704629</v>
      </c>
      <c r="G77" s="52">
        <v>8.3204980050505001E-2</v>
      </c>
      <c r="H77" s="52">
        <v>3.3875510378014798E-2</v>
      </c>
      <c r="I77" s="52">
        <v>1.4690975333852409E-2</v>
      </c>
    </row>
    <row r="78" spans="2:9" ht="13.95" customHeight="1" x14ac:dyDescent="0.3">
      <c r="B78" s="77">
        <v>44074</v>
      </c>
      <c r="C78" s="52">
        <v>9.80751750710568E-2</v>
      </c>
      <c r="D78" s="52">
        <v>6.3939333246535127E-2</v>
      </c>
      <c r="E78" s="52">
        <v>3.3299577272453439E-2</v>
      </c>
      <c r="F78" s="52">
        <v>8.3384588873702384E-2</v>
      </c>
      <c r="G78" s="52">
        <v>7.5518435162100647E-2</v>
      </c>
      <c r="H78" s="52">
        <v>3.6923686375290657E-2</v>
      </c>
      <c r="I78" s="52">
        <v>1.5507241881958881E-2</v>
      </c>
    </row>
    <row r="79" spans="2:9" ht="13.95" customHeight="1" x14ac:dyDescent="0.3">
      <c r="B79" s="77">
        <v>44104</v>
      </c>
      <c r="C79" s="52">
        <v>0.1098382957128696</v>
      </c>
      <c r="D79" s="52">
        <v>6.6708690424058914E-2</v>
      </c>
      <c r="E79" s="52">
        <v>3.6080496793130773E-2</v>
      </c>
      <c r="F79" s="52">
        <v>0.1065301272311955</v>
      </c>
      <c r="G79" s="52">
        <v>8.6593265524412349E-2</v>
      </c>
      <c r="H79" s="52">
        <v>3.9930344590576358E-2</v>
      </c>
      <c r="I79" s="52">
        <v>1.6316141558844161E-2</v>
      </c>
    </row>
    <row r="80" spans="2:9" ht="13.95" customHeight="1" x14ac:dyDescent="0.3">
      <c r="B80" s="77">
        <v>44135</v>
      </c>
      <c r="C80" s="52">
        <v>0.1126511046055248</v>
      </c>
      <c r="D80" s="52">
        <v>6.8388000604016105E-2</v>
      </c>
      <c r="E80" s="52">
        <v>3.7646310968483858E-2</v>
      </c>
      <c r="F80" s="52">
        <v>0.1293441564521097</v>
      </c>
      <c r="G80" s="52">
        <v>9.5799488239468739E-2</v>
      </c>
      <c r="H80" s="52">
        <v>4.2782073377280003E-2</v>
      </c>
      <c r="I80" s="52">
        <v>1.5962711106854391E-2</v>
      </c>
    </row>
    <row r="81" spans="2:9" ht="13.95" customHeight="1" x14ac:dyDescent="0.3">
      <c r="B81" s="77">
        <v>44165</v>
      </c>
      <c r="C81" s="52">
        <v>0.10003752286840149</v>
      </c>
      <c r="D81" s="52">
        <v>6.6152058437996861E-2</v>
      </c>
      <c r="E81" s="52">
        <v>3.7291885972168197E-2</v>
      </c>
      <c r="F81" s="52">
        <v>0.1172737015692062</v>
      </c>
      <c r="G81" s="52">
        <v>8.9649548012361399E-2</v>
      </c>
      <c r="H81" s="52">
        <v>4.1701795366865559E-2</v>
      </c>
      <c r="I81" s="52">
        <v>1.6758278589623279E-2</v>
      </c>
    </row>
    <row r="82" spans="2:9" ht="13.95" customHeight="1" x14ac:dyDescent="0.3">
      <c r="B82" s="77">
        <v>44196</v>
      </c>
      <c r="C82" s="52">
        <v>9.1551649579607028E-2</v>
      </c>
      <c r="D82" s="52">
        <v>6.3494757814469727E-2</v>
      </c>
      <c r="E82" s="52">
        <v>3.7292738137157819E-2</v>
      </c>
      <c r="F82" s="52">
        <v>0.1217683060492801</v>
      </c>
      <c r="G82" s="52">
        <v>8.9185178710508836E-2</v>
      </c>
      <c r="H82" s="52">
        <v>4.1672844505330819E-2</v>
      </c>
      <c r="I82" s="52">
        <v>1.6916180326482282E-2</v>
      </c>
    </row>
    <row r="83" spans="2:9" ht="13.95" customHeight="1" x14ac:dyDescent="0.3">
      <c r="B83" s="77">
        <v>44227</v>
      </c>
      <c r="C83" s="52">
        <v>9.9047535944582474E-2</v>
      </c>
      <c r="D83" s="52">
        <v>6.5077234302715156E-2</v>
      </c>
      <c r="E83" s="52">
        <v>3.8572776060751053E-2</v>
      </c>
      <c r="F83" s="52">
        <v>0.13220153979902749</v>
      </c>
      <c r="G83" s="52">
        <v>9.3650101242103295E-2</v>
      </c>
      <c r="H83" s="52">
        <v>4.4634530232390189E-2</v>
      </c>
      <c r="I83" s="52">
        <v>1.5924327595267289E-2</v>
      </c>
    </row>
    <row r="84" spans="2:9" ht="13.95" customHeight="1" x14ac:dyDescent="0.3">
      <c r="B84" s="77">
        <v>44255</v>
      </c>
      <c r="C84" s="52">
        <v>0.1104024861430989</v>
      </c>
      <c r="D84" s="52">
        <v>6.9124227587749054E-2</v>
      </c>
      <c r="E84" s="52">
        <v>4.1562624659774353E-2</v>
      </c>
      <c r="F84" s="52">
        <v>0.145898630034594</v>
      </c>
      <c r="G84" s="52">
        <v>0.10363145592499989</v>
      </c>
      <c r="H84" s="52">
        <v>4.8024761745409532E-2</v>
      </c>
      <c r="I84" s="52">
        <v>1.697331794419173E-2</v>
      </c>
    </row>
    <row r="85" spans="2:9" ht="13.95" customHeight="1" x14ac:dyDescent="0.3">
      <c r="B85" s="77">
        <v>44286</v>
      </c>
      <c r="C85" s="52">
        <v>0.1040768909139483</v>
      </c>
      <c r="D85" s="52">
        <v>6.8348383636105486E-2</v>
      </c>
      <c r="E85" s="52">
        <v>4.0385795593849999E-2</v>
      </c>
      <c r="F85" s="52">
        <v>0.15706179184916769</v>
      </c>
      <c r="G85" s="52">
        <v>0.1058419597241619</v>
      </c>
      <c r="H85" s="52">
        <v>4.5828834598543748E-2</v>
      </c>
      <c r="I85" s="52">
        <v>1.8374246655887109E-2</v>
      </c>
    </row>
    <row r="86" spans="2:9" ht="13.95" customHeight="1" x14ac:dyDescent="0.3">
      <c r="B86" s="77">
        <v>44316</v>
      </c>
      <c r="C86" s="52">
        <v>0.10701891042966161</v>
      </c>
      <c r="D86" s="52">
        <v>6.8625182440250135E-2</v>
      </c>
      <c r="E86" s="52">
        <v>4.2605342365604593E-2</v>
      </c>
      <c r="F86" s="52">
        <v>0.1679752823325118</v>
      </c>
      <c r="G86" s="52">
        <v>0.1120548358137234</v>
      </c>
      <c r="H86" s="52">
        <v>4.7528255754430468E-2</v>
      </c>
      <c r="I86" s="52">
        <v>2.132650885050117E-2</v>
      </c>
    </row>
    <row r="87" spans="2:9" ht="13.95" customHeight="1" x14ac:dyDescent="0.3">
      <c r="B87" s="77">
        <v>44347</v>
      </c>
      <c r="C87" s="52">
        <v>0.1002728403707447</v>
      </c>
      <c r="D87" s="52">
        <v>6.5205359746796282E-2</v>
      </c>
      <c r="E87" s="52">
        <v>4.0007531331501187E-2</v>
      </c>
      <c r="F87" s="52">
        <v>0.15977303476784349</v>
      </c>
      <c r="G87" s="52">
        <v>0.1054838919036315</v>
      </c>
      <c r="H87" s="52">
        <v>4.3709450196889897E-2</v>
      </c>
      <c r="I87" s="52">
        <v>2.2128299882720009E-2</v>
      </c>
    </row>
    <row r="88" spans="2:9" ht="13.95" customHeight="1" x14ac:dyDescent="0.3">
      <c r="B88" s="77">
        <v>44377</v>
      </c>
      <c r="C88" s="52">
        <v>0.103254076090631</v>
      </c>
      <c r="D88" s="52">
        <v>6.7040699279701188E-2</v>
      </c>
      <c r="E88" s="52">
        <v>3.9904753435421783E-2</v>
      </c>
      <c r="F88" s="52">
        <v>0.16686666456708371</v>
      </c>
      <c r="G88" s="52">
        <v>0.1100432656975594</v>
      </c>
      <c r="H88" s="52">
        <v>4.3349231015355059E-2</v>
      </c>
      <c r="I88" s="52">
        <v>2.288172436674828E-2</v>
      </c>
    </row>
    <row r="89" spans="2:9" ht="13.95" customHeight="1" x14ac:dyDescent="0.3">
      <c r="B89" s="77">
        <v>44408</v>
      </c>
      <c r="C89" s="52">
        <v>0.1086640915501252</v>
      </c>
      <c r="D89" s="52">
        <v>7.1643787327241706E-2</v>
      </c>
      <c r="E89" s="52">
        <v>4.102597435699102E-2</v>
      </c>
      <c r="F89" s="52">
        <v>0.181625079830494</v>
      </c>
      <c r="G89" s="52">
        <v>0.11817385988722209</v>
      </c>
      <c r="H89" s="52">
        <v>4.5242970998388601E-2</v>
      </c>
      <c r="I89" s="52">
        <v>2.2623410705397941E-2</v>
      </c>
    </row>
    <row r="90" spans="2:9" ht="13.95" customHeight="1" x14ac:dyDescent="0.3">
      <c r="B90" s="77">
        <v>44439</v>
      </c>
      <c r="C90" s="52">
        <v>0.11350475212559261</v>
      </c>
      <c r="D90" s="52">
        <v>7.1021878888424053E-2</v>
      </c>
      <c r="E90" s="52">
        <v>4.394371894974123E-2</v>
      </c>
      <c r="F90" s="52">
        <v>0.19514570636892481</v>
      </c>
      <c r="G90" s="52">
        <v>0.12454066507581101</v>
      </c>
      <c r="H90" s="52">
        <v>4.9201390460855629E-2</v>
      </c>
      <c r="I90" s="52">
        <v>2.34543578196829E-2</v>
      </c>
    </row>
    <row r="91" spans="2:9" ht="13.95" customHeight="1" x14ac:dyDescent="0.3">
      <c r="B91" s="77">
        <v>44469</v>
      </c>
      <c r="C91" s="52">
        <v>0.11863764135471851</v>
      </c>
      <c r="D91" s="52">
        <v>7.2836541870706553E-2</v>
      </c>
      <c r="E91" s="52">
        <v>3.8200981968970198E-2</v>
      </c>
      <c r="F91" s="52">
        <v>0.21475767150468861</v>
      </c>
      <c r="G91" s="52">
        <v>0.1296383102890033</v>
      </c>
      <c r="H91" s="52">
        <v>4.2046546200779397E-2</v>
      </c>
      <c r="I91" s="52">
        <v>2.1430714500021431E-2</v>
      </c>
    </row>
    <row r="92" spans="2:9" ht="13.95" customHeight="1" x14ac:dyDescent="0.3">
      <c r="B92" s="77">
        <v>44500</v>
      </c>
      <c r="C92" s="52">
        <v>0.1247782749986566</v>
      </c>
      <c r="D92" s="52">
        <v>7.9672978823196947E-2</v>
      </c>
      <c r="E92" s="52">
        <v>4.1838909910354362E-2</v>
      </c>
      <c r="F92" s="52">
        <v>0.2209166781729848</v>
      </c>
      <c r="G92" s="52">
        <v>0.13593969099095771</v>
      </c>
      <c r="H92" s="52">
        <v>4.8253586718685737E-2</v>
      </c>
      <c r="I92" s="52">
        <v>2.1596681806817789E-2</v>
      </c>
    </row>
    <row r="93" spans="2:9" ht="13.95" customHeight="1" x14ac:dyDescent="0.3">
      <c r="B93" s="77">
        <v>44530</v>
      </c>
      <c r="C93" s="52">
        <v>0.12915557841842989</v>
      </c>
      <c r="D93" s="52">
        <v>8.3204207682415654E-2</v>
      </c>
      <c r="E93" s="52">
        <v>4.1799657985633419E-2</v>
      </c>
      <c r="F93" s="52">
        <v>0.21349638673555299</v>
      </c>
      <c r="G93" s="52">
        <v>0.13708778579423619</v>
      </c>
      <c r="H93" s="52">
        <v>4.4930735291080957E-2</v>
      </c>
      <c r="I93" s="52">
        <v>3.047095862339037E-2</v>
      </c>
    </row>
    <row r="94" spans="2:9" ht="13.95" customHeight="1" x14ac:dyDescent="0.3">
      <c r="B94" s="77">
        <v>44561</v>
      </c>
      <c r="C94" s="52">
        <v>0.13571685792869129</v>
      </c>
      <c r="D94" s="52">
        <v>8.254825828148632E-2</v>
      </c>
      <c r="E94" s="52">
        <v>4.6920397228040041E-2</v>
      </c>
      <c r="F94" s="52">
        <v>0.18852865872441751</v>
      </c>
      <c r="G94" s="52">
        <v>0.13262036140440611</v>
      </c>
      <c r="H94" s="52">
        <v>5.3578210416965297E-2</v>
      </c>
      <c r="I94" s="52">
        <v>2.8012444985738939E-2</v>
      </c>
    </row>
    <row r="95" spans="2:9" ht="13.95" customHeight="1" x14ac:dyDescent="0.3">
      <c r="B95" s="77">
        <v>44592</v>
      </c>
      <c r="C95" s="52">
        <v>0.118120100664138</v>
      </c>
      <c r="D95" s="52">
        <v>7.8353272649148431E-2</v>
      </c>
      <c r="E95" s="52">
        <v>4.4465064003312141E-2</v>
      </c>
      <c r="F95" s="52">
        <v>0.17781819559035561</v>
      </c>
      <c r="G95" s="52">
        <v>0.12311110200015291</v>
      </c>
      <c r="H95" s="52">
        <v>4.8982509510403442E-2</v>
      </c>
      <c r="I95" s="52">
        <v>2.896085879000598E-2</v>
      </c>
    </row>
    <row r="96" spans="2:9" ht="13.95" customHeight="1" x14ac:dyDescent="0.3">
      <c r="B96" s="77">
        <v>44620</v>
      </c>
      <c r="C96" s="52">
        <v>0.1230453202368032</v>
      </c>
      <c r="D96" s="52">
        <v>7.9995841780833951E-2</v>
      </c>
      <c r="E96" s="52">
        <v>4.6885782803139472E-2</v>
      </c>
      <c r="F96" s="52">
        <v>0.17127801817312169</v>
      </c>
      <c r="G96" s="52">
        <v>0.1238850529468619</v>
      </c>
      <c r="H96" s="52">
        <v>5.1381270099911357E-2</v>
      </c>
      <c r="I96" s="52">
        <v>3.0715039084439021E-2</v>
      </c>
    </row>
    <row r="97" spans="2:9" ht="13.95" customHeight="1" x14ac:dyDescent="0.3">
      <c r="B97" s="77">
        <v>44651</v>
      </c>
      <c r="C97" s="52">
        <v>0.1163843875900502</v>
      </c>
      <c r="D97" s="52">
        <v>7.7277735498993971E-2</v>
      </c>
      <c r="E97" s="52">
        <v>4.2656730505993813E-2</v>
      </c>
      <c r="F97" s="52">
        <v>0.1833757970118029</v>
      </c>
      <c r="G97" s="52">
        <v>0.1247438489485741</v>
      </c>
      <c r="H97" s="52">
        <v>4.6056522328149142E-2</v>
      </c>
      <c r="I97" s="52">
        <v>3.0475677899419979E-2</v>
      </c>
    </row>
    <row r="98" spans="2:9" ht="13.95" customHeight="1" x14ac:dyDescent="0.3">
      <c r="B98" s="77">
        <v>44681</v>
      </c>
      <c r="C98" s="52">
        <v>0.13398055530393749</v>
      </c>
      <c r="D98" s="52">
        <v>8.2710037030845424E-2</v>
      </c>
      <c r="E98" s="52">
        <v>4.9620921280946501E-2</v>
      </c>
      <c r="F98" s="52">
        <v>0.21732721453135159</v>
      </c>
      <c r="G98" s="52">
        <v>0.1448551462986683</v>
      </c>
      <c r="H98" s="52">
        <v>5.4682495352629458E-2</v>
      </c>
      <c r="I98" s="52">
        <v>3.1914655225950363E-2</v>
      </c>
    </row>
    <row r="99" spans="2:9" ht="13.95" customHeight="1" x14ac:dyDescent="0.3">
      <c r="B99" s="77">
        <v>44712</v>
      </c>
      <c r="C99" s="52">
        <v>0.1295402087212093</v>
      </c>
      <c r="D99" s="52">
        <v>8.659012573216375E-2</v>
      </c>
      <c r="E99" s="52">
        <v>5.2442639809836447E-2</v>
      </c>
      <c r="F99" s="52">
        <v>0.20936453760806109</v>
      </c>
      <c r="G99" s="52">
        <v>0.1432084238699774</v>
      </c>
      <c r="H99" s="52">
        <v>5.5571148170385047E-2</v>
      </c>
      <c r="I99" s="52">
        <v>3.9411272522120518E-2</v>
      </c>
    </row>
    <row r="100" spans="2:9" ht="13.95" customHeight="1" x14ac:dyDescent="0.3">
      <c r="B100" s="77">
        <v>44742</v>
      </c>
      <c r="C100" s="52">
        <v>0.15179973801234259</v>
      </c>
      <c r="D100" s="52">
        <v>9.5068189768527836E-2</v>
      </c>
      <c r="E100" s="52">
        <v>5.8736892146794062E-2</v>
      </c>
      <c r="F100" s="52">
        <v>0.24639324247124481</v>
      </c>
      <c r="G100" s="52">
        <v>0.16439335154276441</v>
      </c>
      <c r="H100" s="52">
        <v>6.3584222098087964E-2</v>
      </c>
      <c r="I100" s="52">
        <v>4.0972032628558822E-2</v>
      </c>
    </row>
    <row r="101" spans="2:9" ht="13.95" customHeight="1" x14ac:dyDescent="0.3">
      <c r="B101" s="77">
        <v>44773</v>
      </c>
      <c r="C101" s="52">
        <v>0.1480007274514005</v>
      </c>
      <c r="D101" s="52">
        <v>8.2834468766269417E-2</v>
      </c>
      <c r="E101" s="52">
        <v>5.4261138807786068E-2</v>
      </c>
      <c r="F101" s="52">
        <v>0.23427126975234991</v>
      </c>
      <c r="G101" s="52">
        <v>0.15313335826838731</v>
      </c>
      <c r="H101" s="52">
        <v>5.747354647526072E-2</v>
      </c>
      <c r="I101" s="52">
        <v>4.1931577191346561E-2</v>
      </c>
    </row>
    <row r="102" spans="2:9" ht="13.95" customHeight="1" x14ac:dyDescent="0.3">
      <c r="B102" s="77">
        <v>44804</v>
      </c>
      <c r="C102" s="52">
        <v>0.1402440771793626</v>
      </c>
      <c r="D102" s="52">
        <v>7.6484764500230826E-2</v>
      </c>
      <c r="E102" s="52">
        <v>5.2817305689025977E-2</v>
      </c>
      <c r="F102" s="52">
        <v>0.25196377921811092</v>
      </c>
      <c r="G102" s="52">
        <v>0.1537033395902328</v>
      </c>
      <c r="H102" s="52">
        <v>5.5417594286170019E-2</v>
      </c>
      <c r="I102" s="52">
        <v>4.2695139574567192E-2</v>
      </c>
    </row>
    <row r="103" spans="2:9" ht="13.95" customHeight="1" x14ac:dyDescent="0.3">
      <c r="B103" s="77">
        <v>44834</v>
      </c>
      <c r="C103" s="52">
        <v>0.13689472739294439</v>
      </c>
      <c r="D103" s="52">
        <v>7.7675815944898349E-2</v>
      </c>
      <c r="E103" s="52">
        <v>5.2476727008668581E-2</v>
      </c>
      <c r="F103" s="52">
        <v>0.23782603374168901</v>
      </c>
      <c r="G103" s="52">
        <v>0.1485000489302255</v>
      </c>
      <c r="H103" s="52">
        <v>5.5200191542115758E-2</v>
      </c>
      <c r="I103" s="52">
        <v>4.1935612805226778E-2</v>
      </c>
    </row>
    <row r="104" spans="2:9" ht="13.95" customHeight="1" x14ac:dyDescent="0.3">
      <c r="B104" s="77">
        <v>44865</v>
      </c>
      <c r="C104" s="52">
        <v>0.1292795860936575</v>
      </c>
      <c r="D104" s="52">
        <v>7.3015066922225022E-2</v>
      </c>
      <c r="E104" s="52">
        <v>4.7166775007312492E-2</v>
      </c>
      <c r="F104" s="52">
        <v>0.23182183744887289</v>
      </c>
      <c r="G104" s="52">
        <v>0.13938064076819459</v>
      </c>
      <c r="H104" s="52">
        <v>5.0324177144486303E-2</v>
      </c>
      <c r="I104" s="52">
        <v>3.6333056423822653E-2</v>
      </c>
    </row>
    <row r="105" spans="2:9" ht="13.95" customHeight="1" x14ac:dyDescent="0.3">
      <c r="B105" s="77">
        <v>44895</v>
      </c>
      <c r="C105" s="52">
        <v>0.14859817854605761</v>
      </c>
      <c r="D105" s="52">
        <v>8.1140935086169916E-2</v>
      </c>
      <c r="E105" s="52">
        <v>5.429010215856081E-2</v>
      </c>
      <c r="F105" s="52">
        <v>0.2042600555942044</v>
      </c>
      <c r="G105" s="52">
        <v>0.14242679335799999</v>
      </c>
      <c r="H105" s="52">
        <v>6.0685704834305132E-2</v>
      </c>
      <c r="I105" s="52">
        <v>3.5558574321804579E-2</v>
      </c>
    </row>
    <row r="106" spans="2:9" ht="13.95" customHeight="1" x14ac:dyDescent="0.3">
      <c r="B106" s="77">
        <v>44926</v>
      </c>
      <c r="C106" s="52">
        <v>0.15217787372364991</v>
      </c>
      <c r="D106" s="52">
        <v>8.4660688551672525E-2</v>
      </c>
      <c r="E106" s="52">
        <v>5.9611068079558779E-2</v>
      </c>
      <c r="F106" s="52">
        <v>0.20523027274655969</v>
      </c>
      <c r="G106" s="52">
        <v>0.1440332416373192</v>
      </c>
      <c r="H106" s="52">
        <v>6.7420345236272994E-2</v>
      </c>
      <c r="I106" s="52">
        <v>3.8349313485001098E-2</v>
      </c>
    </row>
    <row r="107" spans="2:9" ht="13.95" customHeight="1" x14ac:dyDescent="0.3">
      <c r="B107" s="77">
        <v>44957</v>
      </c>
      <c r="C107" s="52">
        <v>0.1511916661955868</v>
      </c>
      <c r="D107" s="52">
        <v>8.3948152437515855E-2</v>
      </c>
      <c r="E107" s="52">
        <v>5.6789706950737283E-2</v>
      </c>
      <c r="F107" s="52">
        <v>0.19093921031738539</v>
      </c>
      <c r="G107" s="52">
        <v>0.13850176277754511</v>
      </c>
      <c r="H107" s="52">
        <v>6.2845098972861599E-2</v>
      </c>
      <c r="I107" s="52">
        <v>3.9776290906553699E-2</v>
      </c>
    </row>
    <row r="108" spans="2:9" ht="13.95" customHeight="1" x14ac:dyDescent="0.3">
      <c r="B108" s="77">
        <v>44985</v>
      </c>
      <c r="C108" s="52">
        <v>0.16052767372160801</v>
      </c>
      <c r="D108" s="52">
        <v>9.2900200677503098E-2</v>
      </c>
      <c r="E108" s="52">
        <v>6.0064484373829198E-2</v>
      </c>
      <c r="F108" s="52">
        <v>0.20485960674426559</v>
      </c>
      <c r="G108" s="52">
        <v>0.148944481331657</v>
      </c>
      <c r="H108" s="52">
        <v>6.7904631024415837E-2</v>
      </c>
      <c r="I108" s="52">
        <v>3.9938864302964228E-2</v>
      </c>
    </row>
    <row r="109" spans="2:9" ht="13.95" customHeight="1" x14ac:dyDescent="0.3">
      <c r="B109" s="77">
        <v>45016</v>
      </c>
      <c r="C109" s="52">
        <v>0.16408775540476681</v>
      </c>
      <c r="D109" s="52">
        <v>9.5410091030476957E-2</v>
      </c>
      <c r="E109" s="52">
        <v>6.0316988035037822E-2</v>
      </c>
      <c r="F109" s="52">
        <v>0.21795110331231049</v>
      </c>
      <c r="G109" s="52">
        <v>0.1538536576334544</v>
      </c>
      <c r="H109" s="52">
        <v>6.8743608554556482E-2</v>
      </c>
      <c r="I109" s="52">
        <v>4.0414091992975153E-2</v>
      </c>
    </row>
    <row r="110" spans="2:9" ht="13.95" customHeight="1" x14ac:dyDescent="0.3">
      <c r="B110" s="77">
        <v>45046</v>
      </c>
      <c r="C110" s="52">
        <v>0.15357577972281269</v>
      </c>
      <c r="D110" s="52">
        <v>9.4704192187969619E-2</v>
      </c>
      <c r="E110" s="52">
        <v>5.8605928857549269E-2</v>
      </c>
      <c r="F110" s="52">
        <v>0.2144262513783641</v>
      </c>
      <c r="G110" s="52">
        <v>0.14928718354254369</v>
      </c>
      <c r="H110" s="52">
        <v>6.5430819742905474E-2</v>
      </c>
      <c r="I110" s="52">
        <v>4.0992511540684701E-2</v>
      </c>
    </row>
    <row r="111" spans="2:9" ht="13.95" customHeight="1" x14ac:dyDescent="0.3">
      <c r="B111" s="77">
        <v>45077</v>
      </c>
      <c r="C111" s="52">
        <v>0.14571856401125191</v>
      </c>
      <c r="D111" s="52">
        <v>9.0351860413625515E-2</v>
      </c>
      <c r="E111" s="52">
        <v>5.7827446286027449E-2</v>
      </c>
      <c r="F111" s="52">
        <v>0.21250981712015521</v>
      </c>
      <c r="G111" s="52">
        <v>0.14366649135873899</v>
      </c>
      <c r="H111" s="52">
        <v>6.107675556699696E-2</v>
      </c>
      <c r="I111" s="52">
        <v>4.7772219425849007E-2</v>
      </c>
    </row>
    <row r="112" spans="2:9" ht="13.95" customHeight="1" x14ac:dyDescent="0.3">
      <c r="B112" s="77">
        <v>45107</v>
      </c>
      <c r="C112" s="52">
        <v>0.1358304180882807</v>
      </c>
      <c r="D112" s="52">
        <v>7.6975470330493734E-2</v>
      </c>
      <c r="E112" s="52">
        <v>5.5414072248407067E-2</v>
      </c>
      <c r="F112" s="52">
        <v>0.19585096500440111</v>
      </c>
      <c r="G112" s="52">
        <v>0.13129924511095481</v>
      </c>
      <c r="H112" s="52">
        <v>5.8443210716807102E-2</v>
      </c>
      <c r="I112" s="52">
        <v>4.5320332318470088E-2</v>
      </c>
    </row>
    <row r="113" spans="2:9" ht="13.95" customHeight="1" x14ac:dyDescent="0.3">
      <c r="B113" s="77">
        <v>45138</v>
      </c>
      <c r="C113" s="52">
        <v>0.1357854073746308</v>
      </c>
      <c r="D113" s="52">
        <v>7.7266359085649952E-2</v>
      </c>
      <c r="E113" s="52">
        <v>5.5991077813138238E-2</v>
      </c>
      <c r="F113" s="52">
        <v>0.17657297597586019</v>
      </c>
      <c r="G113" s="52">
        <v>0.12539774924898689</v>
      </c>
      <c r="H113" s="52">
        <v>5.9207236278574819E-2</v>
      </c>
      <c r="I113" s="52">
        <v>4.5414535412839491E-2</v>
      </c>
    </row>
    <row r="114" spans="2:9" ht="13.95" customHeight="1" x14ac:dyDescent="0.3">
      <c r="B114" s="77">
        <v>45169</v>
      </c>
      <c r="C114" s="52">
        <v>0.1452736717316622</v>
      </c>
      <c r="D114" s="52">
        <v>8.6817656311046917E-2</v>
      </c>
      <c r="E114" s="52">
        <v>6.2255546378736509E-2</v>
      </c>
      <c r="F114" s="52">
        <v>0.17772064341706459</v>
      </c>
      <c r="G114" s="52">
        <v>0.13250912325879191</v>
      </c>
      <c r="H114" s="52">
        <v>6.5278364360557228E-2</v>
      </c>
      <c r="I114" s="52">
        <v>5.2552523668479012E-2</v>
      </c>
    </row>
    <row r="115" spans="2:9" ht="13.95" customHeight="1" x14ac:dyDescent="0.3">
      <c r="B115" s="77">
        <v>45199</v>
      </c>
      <c r="C115" s="52">
        <v>0.15011719804795789</v>
      </c>
      <c r="D115" s="52">
        <v>9.1202150484351083E-2</v>
      </c>
      <c r="E115" s="52">
        <v>6.4247117549191518E-2</v>
      </c>
      <c r="F115" s="52">
        <v>0.16936005078724031</v>
      </c>
      <c r="G115" s="52">
        <v>0.13247902226901959</v>
      </c>
      <c r="H115" s="52">
        <v>6.8197718373539121E-2</v>
      </c>
      <c r="I115" s="52">
        <v>5.3191014843042173E-2</v>
      </c>
    </row>
    <row r="116" spans="2:9" ht="13.95" customHeight="1" x14ac:dyDescent="0.3">
      <c r="B116" s="77">
        <v>45230</v>
      </c>
      <c r="C116" s="52">
        <v>0.1568701586592853</v>
      </c>
      <c r="D116" s="52">
        <v>0.10168874240908279</v>
      </c>
      <c r="E116" s="52">
        <v>6.9989691209274077E-2</v>
      </c>
      <c r="F116" s="52">
        <v>0.1849942109005909</v>
      </c>
      <c r="G116" s="52">
        <v>0.14520694629543399</v>
      </c>
      <c r="H116" s="52">
        <v>7.6720662147605034E-2</v>
      </c>
      <c r="I116" s="52">
        <v>5.1480597739698521E-2</v>
      </c>
    </row>
    <row r="117" spans="2:9" ht="13.95" customHeight="1" x14ac:dyDescent="0.3">
      <c r="B117" s="77">
        <v>45260</v>
      </c>
      <c r="C117" s="52">
        <v>0.13420481022744349</v>
      </c>
      <c r="D117" s="52">
        <v>8.6743793130284436E-2</v>
      </c>
      <c r="E117" s="52">
        <v>6.2954778538604178E-2</v>
      </c>
      <c r="F117" s="52">
        <v>0.17240470915848519</v>
      </c>
      <c r="G117" s="52">
        <v>0.12853821358283629</v>
      </c>
      <c r="H117" s="52">
        <v>6.5994550706614682E-2</v>
      </c>
      <c r="I117" s="52">
        <v>5.3646043019794462E-2</v>
      </c>
    </row>
    <row r="118" spans="2:9" ht="13.95" customHeight="1" x14ac:dyDescent="0.3">
      <c r="B118" s="77">
        <v>45291</v>
      </c>
      <c r="C118" s="52">
        <v>0.12818050197827471</v>
      </c>
      <c r="D118" s="52">
        <v>8.6864922189683794E-2</v>
      </c>
      <c r="E118" s="52">
        <v>6.0443570028464823E-2</v>
      </c>
      <c r="F118" s="52">
        <v>0.16519241991429029</v>
      </c>
      <c r="G118" s="52">
        <v>0.1232387756007922</v>
      </c>
      <c r="H118" s="52">
        <v>6.362704677395245E-2</v>
      </c>
      <c r="I118" s="52">
        <v>5.0866516956562018E-2</v>
      </c>
    </row>
    <row r="119" spans="2:9" ht="13.95" customHeight="1" x14ac:dyDescent="0.3">
      <c r="B119" s="77">
        <v>45322</v>
      </c>
      <c r="C119" s="52">
        <v>0.13550069292136169</v>
      </c>
      <c r="D119" s="52">
        <v>8.9942382730327064E-2</v>
      </c>
      <c r="E119" s="52">
        <v>6.8029519751040907E-2</v>
      </c>
      <c r="F119" s="52">
        <v>0.16865739289926629</v>
      </c>
      <c r="G119" s="52">
        <v>0.12862760710215629</v>
      </c>
      <c r="H119" s="52">
        <v>7.0164190367022136E-2</v>
      </c>
      <c r="I119" s="52">
        <v>6.1556461953254232E-2</v>
      </c>
    </row>
    <row r="120" spans="2:9" ht="13.95" customHeight="1" x14ac:dyDescent="0.3">
      <c r="B120" s="77">
        <v>45351</v>
      </c>
      <c r="C120" s="52">
        <v>0.1348235748204675</v>
      </c>
      <c r="D120" s="52">
        <v>8.932341641715541E-2</v>
      </c>
      <c r="E120" s="52">
        <v>6.6323895404930167E-2</v>
      </c>
      <c r="F120" s="52">
        <v>0.1735893529046694</v>
      </c>
      <c r="G120" s="52">
        <v>0.12958981876944761</v>
      </c>
      <c r="H120" s="52">
        <v>7.0346211705841807E-2</v>
      </c>
      <c r="I120" s="52">
        <v>5.555505767203494E-2</v>
      </c>
    </row>
    <row r="121" spans="2:9" ht="13.95" customHeight="1" x14ac:dyDescent="0.3">
      <c r="B121" s="77">
        <v>45382</v>
      </c>
      <c r="C121" s="52">
        <v>0.13525924180921181</v>
      </c>
      <c r="D121" s="52">
        <v>9.1605631126130335E-2</v>
      </c>
      <c r="E121" s="52">
        <v>6.4238194520857064E-2</v>
      </c>
      <c r="F121" s="52">
        <v>0.18701833250325861</v>
      </c>
      <c r="G121" s="52">
        <v>0.13387744624196671</v>
      </c>
      <c r="H121" s="52">
        <v>7.1419020153856511E-2</v>
      </c>
      <c r="I121" s="52">
        <v>4.7063909713555417E-2</v>
      </c>
    </row>
    <row r="122" spans="2:9" ht="13.95" customHeight="1" x14ac:dyDescent="0.3">
      <c r="B122" s="77">
        <v>45412</v>
      </c>
      <c r="C122" s="52">
        <v>0.14668841457473841</v>
      </c>
      <c r="D122" s="52">
        <v>9.4757867647763991E-2</v>
      </c>
      <c r="E122" s="52">
        <v>6.750242316313175E-2</v>
      </c>
      <c r="F122" s="52">
        <v>0.1795387235209201</v>
      </c>
      <c r="G122" s="52">
        <v>0.13688161609547489</v>
      </c>
      <c r="H122" s="52">
        <v>8.0824169410584776E-2</v>
      </c>
      <c r="I122" s="52">
        <v>4.0017663913060678E-2</v>
      </c>
    </row>
    <row r="123" spans="2:9" ht="13.95" customHeight="1" x14ac:dyDescent="0.3">
      <c r="B123" s="77">
        <v>45443</v>
      </c>
      <c r="C123" s="52">
        <v>0.151315673690502</v>
      </c>
      <c r="D123" s="52">
        <v>9.6592837524239611E-2</v>
      </c>
      <c r="E123" s="52">
        <v>7.5618314428721273E-2</v>
      </c>
      <c r="F123" s="52">
        <v>0.18951908263504971</v>
      </c>
      <c r="G123" s="52">
        <v>0.14321593473392141</v>
      </c>
      <c r="H123" s="52">
        <v>8.5943111925662549E-2</v>
      </c>
      <c r="I123" s="52">
        <v>5.4773385428139872E-2</v>
      </c>
    </row>
    <row r="124" spans="2:9" ht="13.95" customHeight="1" x14ac:dyDescent="0.3">
      <c r="B124" s="77">
        <v>45473</v>
      </c>
      <c r="C124" s="52">
        <v>0.15219401164803609</v>
      </c>
      <c r="D124" s="52">
        <v>9.4034918898886058E-2</v>
      </c>
      <c r="E124" s="52">
        <v>7.4631313762937052E-2</v>
      </c>
      <c r="F124" s="52">
        <v>0.19974704365150101</v>
      </c>
      <c r="G124" s="52">
        <v>0.14607069870857231</v>
      </c>
      <c r="H124" s="52">
        <v>8.6705699441108272E-2</v>
      </c>
      <c r="I124" s="52">
        <v>5.2142735907528222E-2</v>
      </c>
    </row>
    <row r="125" spans="2:9" ht="13.95" customHeight="1" x14ac:dyDescent="0.3">
      <c r="B125" s="77">
        <v>45504</v>
      </c>
      <c r="C125" s="52">
        <v>0.14905830258763081</v>
      </c>
      <c r="D125" s="52">
        <v>8.824285390603856E-2</v>
      </c>
      <c r="E125" s="52">
        <v>6.9061251027589435E-2</v>
      </c>
      <c r="F125" s="52">
        <v>0.21960933206426869</v>
      </c>
      <c r="G125" s="52">
        <v>0.1486330566905163</v>
      </c>
      <c r="H125" s="52">
        <v>8.4329610337893809E-2</v>
      </c>
      <c r="I125" s="52">
        <v>4.4810618847506083E-2</v>
      </c>
    </row>
    <row r="126" spans="2:9" ht="13.95" customHeight="1" x14ac:dyDescent="0.3">
      <c r="B126" s="77">
        <v>45535</v>
      </c>
      <c r="C126" s="52">
        <v>0.13471066485400371</v>
      </c>
      <c r="D126" s="52">
        <v>8.567547052371563E-2</v>
      </c>
      <c r="E126" s="52">
        <v>6.3060409498046227E-2</v>
      </c>
      <c r="F126" s="52">
        <v>0.2002055936864241</v>
      </c>
      <c r="G126" s="52">
        <v>0.13528041613064401</v>
      </c>
      <c r="H126" s="52">
        <v>7.8201403149914375E-2</v>
      </c>
      <c r="I126" s="52">
        <v>3.5669484992631E-2</v>
      </c>
    </row>
    <row r="127" spans="2:9" ht="13.95" customHeight="1" x14ac:dyDescent="0.3">
      <c r="B127" s="77">
        <v>45565</v>
      </c>
      <c r="C127" s="52">
        <v>0.14306504927390731</v>
      </c>
      <c r="D127" s="52">
        <v>9.125119366277E-2</v>
      </c>
      <c r="E127" s="52">
        <v>6.5927398796862491E-2</v>
      </c>
      <c r="F127" s="52">
        <v>0.19670328274418</v>
      </c>
      <c r="G127" s="52">
        <v>0.13811413104060549</v>
      </c>
      <c r="H127" s="52">
        <v>8.2029202893509609E-2</v>
      </c>
      <c r="I127" s="52">
        <v>3.8052701284278692E-2</v>
      </c>
    </row>
    <row r="128" spans="2:9" ht="13.95" customHeight="1" x14ac:dyDescent="0.3">
      <c r="B128" s="77">
        <v>45596</v>
      </c>
      <c r="C128" s="52">
        <v>0.14925732945543951</v>
      </c>
      <c r="D128" s="52">
        <v>9.0671470642658153E-2</v>
      </c>
      <c r="E128" s="52">
        <v>6.9181709690685211E-2</v>
      </c>
      <c r="F128" s="52">
        <v>0.18968512460536069</v>
      </c>
      <c r="G128" s="52">
        <v>0.137281052785339</v>
      </c>
      <c r="H128" s="52">
        <v>8.5231682730811636E-2</v>
      </c>
      <c r="I128" s="52">
        <v>4.1229102955432299E-2</v>
      </c>
    </row>
    <row r="129" spans="2:9" ht="13.95" customHeight="1" x14ac:dyDescent="0.3">
      <c r="B129" s="77">
        <v>45626</v>
      </c>
      <c r="C129" s="52">
        <v>0.16552767002247129</v>
      </c>
      <c r="D129" s="52">
        <v>9.8728834617174313E-2</v>
      </c>
      <c r="E129" s="52">
        <v>7.2924193617626046E-2</v>
      </c>
      <c r="F129" s="52">
        <v>0.19566670091723279</v>
      </c>
      <c r="G129" s="52">
        <v>0.14674046574967439</v>
      </c>
      <c r="H129" s="52">
        <v>9.5826255036549887E-2</v>
      </c>
      <c r="I129" s="52">
        <v>3.8964644250015022E-2</v>
      </c>
    </row>
    <row r="130" spans="2:9" ht="13.95" customHeight="1" x14ac:dyDescent="0.3">
      <c r="B130" s="77">
        <v>45657</v>
      </c>
      <c r="C130" s="52">
        <v>0.1712855244008743</v>
      </c>
      <c r="D130" s="52">
        <v>0.10439783818695721</v>
      </c>
      <c r="E130" s="52">
        <v>8.1687714200672917E-2</v>
      </c>
      <c r="F130" s="52">
        <v>0.20875507154866571</v>
      </c>
      <c r="G130" s="52">
        <v>0.15460052835961019</v>
      </c>
      <c r="H130" s="52">
        <v>0.1056966582149373</v>
      </c>
      <c r="I130" s="52">
        <v>4.8963519201147977E-2</v>
      </c>
    </row>
    <row r="131" spans="2:9" ht="13.95" customHeight="1" x14ac:dyDescent="0.3">
      <c r="B131" s="77">
        <v>45688</v>
      </c>
      <c r="C131" s="52">
        <v>0.15515816543519281</v>
      </c>
      <c r="D131" s="52">
        <v>9.8000735114011583E-2</v>
      </c>
      <c r="E131" s="52">
        <v>7.4570070403294844E-2</v>
      </c>
      <c r="F131" s="52">
        <v>0.20333303585942661</v>
      </c>
      <c r="G131" s="52">
        <v>0.14528775734832799</v>
      </c>
      <c r="H131" s="52">
        <v>9.8369088629062976E-2</v>
      </c>
      <c r="I131" s="52">
        <v>4.0411735469015907E-2</v>
      </c>
    </row>
    <row r="132" spans="2:9" ht="13.95" customHeight="1" x14ac:dyDescent="0.3">
      <c r="B132" s="77">
        <v>45716</v>
      </c>
      <c r="C132" s="52">
        <v>0.1628319775175483</v>
      </c>
      <c r="D132" s="52">
        <v>9.817543854076087E-2</v>
      </c>
      <c r="E132" s="52">
        <v>7.9682504540335972E-2</v>
      </c>
      <c r="F132" s="52">
        <v>0.20835537689389461</v>
      </c>
      <c r="G132" s="52">
        <v>0.14942762092126341</v>
      </c>
      <c r="H132" s="52">
        <v>0.1042937699439028</v>
      </c>
      <c r="I132" s="52">
        <v>4.6043295517155393E-2</v>
      </c>
    </row>
    <row r="133" spans="2:9" ht="13.95" customHeight="1" x14ac:dyDescent="0.3">
      <c r="B133" s="77">
        <v>45747</v>
      </c>
      <c r="C133" s="52">
        <v>0.15164341575557791</v>
      </c>
      <c r="D133" s="52">
        <v>9.586592304988846E-2</v>
      </c>
      <c r="E133" s="52">
        <v>7.99946790474102E-2</v>
      </c>
      <c r="F133" s="52">
        <v>0.2013401640169665</v>
      </c>
      <c r="G133" s="52">
        <v>0.14337983977463581</v>
      </c>
      <c r="H133" s="52">
        <v>9.8556514259233896E-2</v>
      </c>
      <c r="I133" s="52">
        <v>5.1477354742343918E-2</v>
      </c>
    </row>
    <row r="134" spans="2:9" ht="13.95" customHeight="1" x14ac:dyDescent="0.3">
      <c r="B134" s="77">
        <v>45777</v>
      </c>
      <c r="C134" s="52">
        <v>0.13940947842444751</v>
      </c>
      <c r="D134" s="52">
        <v>8.9201770063516969E-2</v>
      </c>
      <c r="E134" s="52">
        <v>7.2677967256119053E-2</v>
      </c>
      <c r="F134" s="52">
        <v>0.1946551027677505</v>
      </c>
      <c r="G134" s="52">
        <v>0.13114102964527671</v>
      </c>
      <c r="H134" s="52">
        <v>8.642489837037555E-2</v>
      </c>
      <c r="I134" s="52">
        <v>4.7706188807626823E-2</v>
      </c>
    </row>
    <row r="135" spans="2:9" ht="13.95" customHeight="1" x14ac:dyDescent="0.3">
      <c r="B135" s="77">
        <v>45808</v>
      </c>
      <c r="C135" s="52">
        <v>0.13715436804310899</v>
      </c>
      <c r="D135" s="52">
        <v>8.5030526943772916E-2</v>
      </c>
      <c r="E135" s="52">
        <v>7.2516376670624577E-2</v>
      </c>
      <c r="F135" s="52">
        <v>0.18771707506384519</v>
      </c>
      <c r="G135" s="52">
        <v>0.12767859981174279</v>
      </c>
      <c r="H135" s="52">
        <v>8.4418212505560794E-2</v>
      </c>
      <c r="I135" s="52">
        <v>5.1153748193564517E-2</v>
      </c>
    </row>
    <row r="136" spans="2:9" ht="13.95" customHeight="1" x14ac:dyDescent="0.3">
      <c r="B136" s="77">
        <v>45838</v>
      </c>
      <c r="C136" s="52">
        <v>0.1334344079627762</v>
      </c>
      <c r="D136" s="52">
        <v>8.3350256617064883E-2</v>
      </c>
      <c r="E136" s="52">
        <v>7.1567490758475016E-2</v>
      </c>
      <c r="F136" s="52">
        <v>0.1889235739998513</v>
      </c>
      <c r="G136" s="52">
        <v>0.12740611142512509</v>
      </c>
      <c r="H136" s="52">
        <v>8.5378304563265894E-2</v>
      </c>
      <c r="I136" s="52">
        <v>4.8569215116073462E-2</v>
      </c>
    </row>
    <row r="137" spans="2:9" ht="13.95" customHeight="1" x14ac:dyDescent="0.3">
      <c r="B137" s="77">
        <v>45869</v>
      </c>
      <c r="C137" s="52">
        <v>0.14471789851057801</v>
      </c>
      <c r="D137" s="52">
        <v>8.9637254053827747E-2</v>
      </c>
      <c r="E137" s="52">
        <v>7.7759750532619465E-2</v>
      </c>
      <c r="F137" s="52">
        <v>0.17631117128897961</v>
      </c>
      <c r="G137" s="52">
        <v>0.13069009744885779</v>
      </c>
      <c r="H137" s="52">
        <v>9.4699449624226981E-2</v>
      </c>
      <c r="I137" s="52">
        <v>5.0846209919785092E-2</v>
      </c>
    </row>
    <row r="138" spans="2:9" ht="13.95" customHeight="1" x14ac:dyDescent="0.3">
      <c r="B138" s="77">
        <v>45900</v>
      </c>
      <c r="C138" s="52">
        <v>0.1333263156321427</v>
      </c>
      <c r="D138" s="52">
        <v>8.0179396670714956E-2</v>
      </c>
      <c r="E138" s="52">
        <v>7.8262680520844161E-2</v>
      </c>
      <c r="F138" s="52">
        <v>0.19015830340557779</v>
      </c>
      <c r="G138" s="52">
        <v>0.12839191534919719</v>
      </c>
      <c r="H138" s="52">
        <v>9.1915070341299462E-2</v>
      </c>
      <c r="I138" s="52">
        <v>5.4036074300696818E-2</v>
      </c>
    </row>
    <row r="139" spans="2:9" ht="13.95" customHeight="1" x14ac:dyDescent="0.3">
      <c r="B139" s="77">
        <v>45930</v>
      </c>
      <c r="C139" s="52">
        <v>0.128969058379651</v>
      </c>
      <c r="D139" s="52">
        <v>7.8713956149360761E-2</v>
      </c>
      <c r="E139" s="52">
        <v>7.7368356809143987E-2</v>
      </c>
      <c r="F139" s="52">
        <v>0.17241646576406469</v>
      </c>
      <c r="G139" s="52">
        <v>0.1209678503947391</v>
      </c>
      <c r="H139" s="52">
        <v>9.0258396493903534E-2</v>
      </c>
      <c r="I139" s="52">
        <v>5.441523785914458E-2</v>
      </c>
    </row>
    <row r="140" spans="2:9" ht="13.95" customHeight="1" x14ac:dyDescent="0.3">
      <c r="B140" s="77">
        <v>45961</v>
      </c>
      <c r="C140" s="52">
        <v>0.1302285147887024</v>
      </c>
      <c r="D140" s="52">
        <v>7.7115751478309E-2</v>
      </c>
      <c r="E140" s="52">
        <v>7.6673877939563762E-2</v>
      </c>
      <c r="F140" s="52">
        <v>0.16335307444790981</v>
      </c>
      <c r="G140" s="52">
        <v>0.1179687173885858</v>
      </c>
      <c r="H140" s="52">
        <v>9.2342883500687034E-2</v>
      </c>
      <c r="I140" s="52">
        <v>5.1839562089311571E-2</v>
      </c>
    </row>
    <row r="141" spans="2:9" ht="13.95" customHeight="1" x14ac:dyDescent="0.3">
      <c r="B141" s="77">
        <v>45991</v>
      </c>
      <c r="C141" s="52">
        <v>0.1218619915130712</v>
      </c>
      <c r="D141" s="52">
        <v>7.1086538086218579E-2</v>
      </c>
      <c r="E141" s="52">
        <v>7.6151601468929908E-2</v>
      </c>
      <c r="F141" s="52">
        <v>0.15249878457943</v>
      </c>
      <c r="G141" s="52">
        <v>0.1106159594104807</v>
      </c>
      <c r="H141" s="52">
        <v>8.7796910594319114E-2</v>
      </c>
      <c r="I141" s="52">
        <v>5.6557663850971697E-2</v>
      </c>
    </row>
    <row r="142" spans="2:9" ht="13.95" customHeight="1" x14ac:dyDescent="0.3">
      <c r="B142" s="77">
        <v>46022</v>
      </c>
      <c r="C142" s="52">
        <v>0.1280034811856639</v>
      </c>
      <c r="D142" s="52">
        <v>7.5751235761264052E-2</v>
      </c>
      <c r="E142" s="52">
        <v>8.127892039208405E-2</v>
      </c>
      <c r="F142" s="52">
        <v>0.14687632216745691</v>
      </c>
      <c r="G142" s="52">
        <v>0.11366845242392939</v>
      </c>
      <c r="H142" s="52">
        <v>9.4383854289410124E-2</v>
      </c>
      <c r="I142" s="52">
        <v>6.2541480494152271E-2</v>
      </c>
    </row>
    <row r="143" spans="2:9" ht="13.95" customHeight="1" x14ac:dyDescent="0.3">
      <c r="B143" s="77">
        <v>46053</v>
      </c>
      <c r="C143" s="52">
        <v>0.11268385012389751</v>
      </c>
      <c r="D143" s="52">
        <v>7.2481252145365882E-2</v>
      </c>
      <c r="E143" s="52">
        <v>7.1498603031888874E-2</v>
      </c>
      <c r="F143" s="52">
        <v>0.12889450726675269</v>
      </c>
      <c r="G143" s="52">
        <v>0.10174742304298701</v>
      </c>
      <c r="H143" s="52">
        <v>8.7325180509809253E-2</v>
      </c>
      <c r="I143" s="52">
        <v>4.8384293237060463E-2</v>
      </c>
    </row>
    <row r="144" spans="2:9" ht="13.95" customHeight="1" x14ac:dyDescent="0.3">
      <c r="B144" s="77">
        <v>46081</v>
      </c>
      <c r="C144" s="52">
        <v>0.1103400781787586</v>
      </c>
      <c r="D144" s="52">
        <v>6.9230272291029168E-2</v>
      </c>
      <c r="E144" s="52">
        <v>7.304601867467074E-2</v>
      </c>
      <c r="F144" s="52">
        <v>0.12258184752060799</v>
      </c>
      <c r="G144" s="52">
        <v>9.850091271237317E-2</v>
      </c>
      <c r="H144" s="52">
        <v>8.8042280552679958E-2</v>
      </c>
      <c r="I144" s="52">
        <v>4.9912023433228897E-2</v>
      </c>
    </row>
    <row r="145" spans="2:9" ht="13.95" customHeight="1" x14ac:dyDescent="0.3">
      <c r="B145" s="77">
        <v>46112</v>
      </c>
      <c r="C145" s="52">
        <v>0.1187733633103714</v>
      </c>
      <c r="D145" s="52">
        <v>6.9657637433011912E-2</v>
      </c>
      <c r="E145" s="52">
        <v>8.5091522696330898E-2</v>
      </c>
      <c r="F145" s="52">
        <v>0.14479356466758239</v>
      </c>
      <c r="G145" s="52">
        <v>0.1105781037070229</v>
      </c>
      <c r="H145" s="52">
        <v>9.5809454127436827E-2</v>
      </c>
      <c r="I145" s="52">
        <v>6.864213641429226E-2</v>
      </c>
    </row>
    <row r="146" spans="2:9" ht="13.95" customHeight="1" x14ac:dyDescent="0.3">
      <c r="B146" s="77">
        <v>46142</v>
      </c>
      <c r="C146" s="52">
        <v>0.12116365188860399</v>
      </c>
      <c r="D146" s="52">
        <v>7.104166479629917E-2</v>
      </c>
      <c r="E146" s="52">
        <v>8.4192520144144897E-2</v>
      </c>
      <c r="F146" s="52">
        <v>0.16153796050572919</v>
      </c>
      <c r="G146" s="52">
        <v>0.1163166478805748</v>
      </c>
      <c r="H146" s="52">
        <v>0.10023763359716591</v>
      </c>
      <c r="I146" s="52">
        <v>5.854167703703092E-2</v>
      </c>
    </row>
    <row r="147" spans="2:9" ht="13.95" customHeight="1" x14ac:dyDescent="0.3">
      <c r="B147" s="77">
        <v>46173</v>
      </c>
      <c r="C147" s="52">
        <v>0.12959536817050271</v>
      </c>
      <c r="D147" s="52">
        <v>7.6985498115365286E-2</v>
      </c>
      <c r="E147" s="52">
        <v>9.1034115470123328E-2</v>
      </c>
      <c r="F147" s="52">
        <v>0.15873406417882019</v>
      </c>
      <c r="G147" s="52">
        <v>0.12035650025271059</v>
      </c>
      <c r="H147" s="52">
        <v>0.107741049327746</v>
      </c>
      <c r="I147" s="52">
        <v>6.5005569285786047E-2</v>
      </c>
    </row>
    <row r="148" spans="2:9" ht="13.95" customHeight="1" x14ac:dyDescent="0.3">
      <c r="B148" s="77">
        <v>46203</v>
      </c>
      <c r="C148" s="52">
        <v>0.1289580351893703</v>
      </c>
      <c r="D148" s="52">
        <v>7.6003212841143822E-2</v>
      </c>
      <c r="E148" s="52">
        <v>9.0693303117791585E-2</v>
      </c>
      <c r="F148" s="52">
        <v>0.16814915623548291</v>
      </c>
      <c r="G148" s="52">
        <v>0.1213679225899328</v>
      </c>
      <c r="H148" s="52">
        <v>0.10994018097092539</v>
      </c>
      <c r="I148" s="52">
        <v>6.3622549641937851E-2</v>
      </c>
    </row>
    <row r="149" spans="2:9" ht="13.95" customHeight="1" x14ac:dyDescent="0.3">
      <c r="B149" s="77">
        <v>46234</v>
      </c>
      <c r="C149" s="52">
        <v>0.12566182570847889</v>
      </c>
      <c r="D149" s="52">
        <v>7.6619639626124669E-2</v>
      </c>
      <c r="E149" s="52">
        <v>9.0250046757044677E-2</v>
      </c>
      <c r="F149" s="52">
        <v>0.15446597364886569</v>
      </c>
      <c r="G149" s="52">
        <v>0.11762716232788981</v>
      </c>
      <c r="H149" s="52">
        <v>0.11402203209016171</v>
      </c>
      <c r="I149" s="52">
        <v>5.8938755110219287E-2</v>
      </c>
    </row>
    <row r="150" spans="2:9" ht="13.95" customHeight="1" x14ac:dyDescent="0.3">
      <c r="B150" s="77">
        <v>46265</v>
      </c>
      <c r="C150" s="52">
        <v>0.13112345445812221</v>
      </c>
      <c r="D150" s="52">
        <v>8.0344816644767295E-2</v>
      </c>
      <c r="E150" s="52">
        <v>8.6924898378066939E-2</v>
      </c>
      <c r="F150" s="52">
        <v>0.1533860057134975</v>
      </c>
      <c r="G150" s="52">
        <v>0.11958402137792511</v>
      </c>
      <c r="H150" s="52">
        <v>0.1156076942194266</v>
      </c>
      <c r="I150" s="52">
        <v>5.21808136777153E-2</v>
      </c>
    </row>
    <row r="151" spans="2:9" ht="13.95" customHeight="1" x14ac:dyDescent="0.3">
      <c r="B151" s="77">
        <v>46295</v>
      </c>
      <c r="C151" s="52">
        <v>0.1184194695775109</v>
      </c>
      <c r="D151" s="52">
        <v>7.6205395055423453E-2</v>
      </c>
      <c r="E151" s="52">
        <v>8.7337675313643393E-2</v>
      </c>
      <c r="F151" s="52">
        <v>0.1589609282257067</v>
      </c>
      <c r="G151" s="52">
        <v>0.11635217393329091</v>
      </c>
      <c r="H151" s="52">
        <v>0.1088258000887809</v>
      </c>
      <c r="I151" s="52">
        <v>5.841989263654878E-2</v>
      </c>
    </row>
  </sheetData>
  <mergeCells count="3">
    <mergeCell ref="B5:I5"/>
    <mergeCell ref="B17:I17"/>
    <mergeCell ref="B30:I30"/>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Q544"/>
  <sheetViews>
    <sheetView showGridLines="0" zoomScale="85" zoomScaleNormal="85" workbookViewId="0">
      <pane xSplit="2" ySplit="22" topLeftCell="C23" activePane="bottomRight" state="frozen"/>
      <selection pane="topRight" activeCell="C1" sqref="C1"/>
      <selection pane="bottomLeft" activeCell="A23" sqref="A23"/>
      <selection pane="bottomRight"/>
    </sheetView>
  </sheetViews>
  <sheetFormatPr defaultRowHeight="13.95" customHeight="1" x14ac:dyDescent="0.3"/>
  <cols>
    <col min="1" max="1" width="2.6640625" customWidth="1"/>
    <col min="2" max="2" width="46.6640625" customWidth="1"/>
    <col min="3" max="17" width="11.6640625" customWidth="1"/>
  </cols>
  <sheetData>
    <row r="1" spans="2:9" ht="30" customHeight="1" x14ac:dyDescent="0.3">
      <c r="B1" s="15" t="s">
        <v>605</v>
      </c>
    </row>
    <row r="2" spans="2:9" ht="13.95" customHeight="1" x14ac:dyDescent="0.3">
      <c r="B2" s="14" t="s">
        <v>606</v>
      </c>
    </row>
    <row r="3" spans="2:9" ht="13.95" customHeight="1" x14ac:dyDescent="0.3">
      <c r="B3" s="14" t="s">
        <v>2</v>
      </c>
      <c r="C3" s="47" t="s">
        <v>3</v>
      </c>
      <c r="D3" s="48" t="s">
        <v>4</v>
      </c>
      <c r="E3" s="49" t="s">
        <v>5</v>
      </c>
    </row>
    <row r="5" spans="2:9" ht="13.95" customHeight="1" x14ac:dyDescent="0.3">
      <c r="B5" s="138" t="s">
        <v>607</v>
      </c>
      <c r="C5" s="138"/>
      <c r="D5" s="138"/>
      <c r="E5" s="138"/>
      <c r="F5" s="138"/>
      <c r="G5" s="138"/>
      <c r="H5" s="138"/>
      <c r="I5" s="138"/>
    </row>
    <row r="6" spans="2:9" ht="43.95" customHeight="1" x14ac:dyDescent="0.3">
      <c r="B6" s="17" t="s">
        <v>464</v>
      </c>
      <c r="C6" s="18" t="s">
        <v>608</v>
      </c>
      <c r="D6" s="18" t="s">
        <v>609</v>
      </c>
      <c r="E6" s="18" t="s">
        <v>610</v>
      </c>
      <c r="F6" s="18" t="s">
        <v>611</v>
      </c>
      <c r="G6" s="18" t="s">
        <v>612</v>
      </c>
      <c r="H6" s="18" t="s">
        <v>613</v>
      </c>
      <c r="I6" s="18" t="s">
        <v>614</v>
      </c>
    </row>
    <row r="7" spans="2:9" ht="13.95" customHeight="1" x14ac:dyDescent="0.3">
      <c r="B7" s="8" t="s">
        <v>295</v>
      </c>
      <c r="C7" s="67">
        <f>SUM($C$23:$C$544)</f>
        <v>261</v>
      </c>
      <c r="D7" s="99">
        <f>SUMPRODUCT($C$23:$C$544,K$23:K$544)/C7</f>
        <v>3.0820715324749309E-3</v>
      </c>
      <c r="E7" s="100">
        <f>(SUMPRODUCT($C$23:$C$544,K$23:K$544,O$23:O$544)-C7*D7*$D$11)/(C7-1)</f>
        <v>6.3674946104930598E-4</v>
      </c>
      <c r="F7" s="100">
        <f>(SUMPRODUCT($C$23:$C$544,O$23:O$544,O$23:O$544)-C7*$D$11^2)/(C7-1)</f>
        <v>5.5414637525781271E-4</v>
      </c>
      <c r="G7" s="31">
        <f>E7/F7</f>
        <v>1.1490636580507501</v>
      </c>
      <c r="H7" s="31">
        <f>0.67*G7+0.33</f>
        <v>1.0998726508940027</v>
      </c>
      <c r="I7" s="76">
        <f>IF(BetaAdj=2,H7,G7)</f>
        <v>1.1490636580507501</v>
      </c>
    </row>
    <row r="8" spans="2:9" ht="13.95" customHeight="1" x14ac:dyDescent="0.3">
      <c r="B8" s="8" t="s">
        <v>325</v>
      </c>
      <c r="C8" s="67">
        <f>SUM($C$23:$C$544)</f>
        <v>261</v>
      </c>
      <c r="D8" s="99">
        <f>SUMPRODUCT($C$23:$C$544,L$23:L$544)/C8</f>
        <v>1.2762593681550942E-3</v>
      </c>
      <c r="E8" s="100">
        <f>(SUMPRODUCT($C$23:$C$544,L$23:L$544,O$23:O$544)-C8*D8*$D$11)/(C8-1)</f>
        <v>5.1462131130516279E-4</v>
      </c>
      <c r="F8" s="100">
        <f>(SUMPRODUCT($C$23:$C$544,O$23:O$544,O$23:O$544)-C8*$D$11^2)/(C8-1)</f>
        <v>5.5414637525781271E-4</v>
      </c>
      <c r="G8" s="31">
        <f>E8/F8</f>
        <v>0.92867396464650487</v>
      </c>
      <c r="H8" s="31">
        <f>0.67*G8+0.33</f>
        <v>0.95221155631315835</v>
      </c>
      <c r="I8" s="76">
        <f>IF(BetaAdj=2,H8,G8)</f>
        <v>0.92867396464650487</v>
      </c>
    </row>
    <row r="9" spans="2:9" ht="13.95" customHeight="1" x14ac:dyDescent="0.3">
      <c r="B9" s="8" t="s">
        <v>376</v>
      </c>
      <c r="C9" s="67">
        <f>SUM($C$23:$C$544)</f>
        <v>261</v>
      </c>
      <c r="D9" s="99">
        <f>SUMPRODUCT($C$23:$C$544,M$23:M$544)/C9</f>
        <v>-1.046922608813392E-5</v>
      </c>
      <c r="E9" s="100">
        <f>(SUMPRODUCT($C$23:$C$544,M$23:M$544,O$23:O$544)-C9*D9*$D$11)/(C9-1)</f>
        <v>6.3751830515436229E-4</v>
      </c>
      <c r="F9" s="100">
        <f>(SUMPRODUCT($C$23:$C$544,O$23:O$544,O$23:O$544)-C9*$D$11^2)/(C9-1)</f>
        <v>5.5414637525781271E-4</v>
      </c>
      <c r="G9" s="31">
        <f>E9/F9</f>
        <v>1.150451096712058</v>
      </c>
      <c r="H9" s="31">
        <f>0.67*G9+0.33</f>
        <v>1.1008022347970789</v>
      </c>
      <c r="I9" s="76">
        <f>IF(BetaAdj=2,H9,G9)</f>
        <v>1.150451096712058</v>
      </c>
    </row>
    <row r="10" spans="2:9" ht="13.95" customHeight="1" x14ac:dyDescent="0.3">
      <c r="B10" s="8" t="s">
        <v>427</v>
      </c>
      <c r="C10" s="67">
        <f>SUM($C$23:$C$544)</f>
        <v>261</v>
      </c>
      <c r="D10" s="99">
        <f>SUMPRODUCT($C$23:$C$544,N$23:N$544)/C10</f>
        <v>3.5658949075518006E-3</v>
      </c>
      <c r="E10" s="100">
        <f>(SUMPRODUCT($C$23:$C$544,N$23:N$544,O$23:O$544)-C10*D10*$D$11)/(C10-1)</f>
        <v>4.8304154898701939E-4</v>
      </c>
      <c r="F10" s="100">
        <f>(SUMPRODUCT($C$23:$C$544,O$23:O$544,O$23:O$544)-C10*$D$11^2)/(C10-1)</f>
        <v>5.5414637525781271E-4</v>
      </c>
      <c r="G10" s="31">
        <f>E10/F10</f>
        <v>0.87168584069919741</v>
      </c>
      <c r="H10" s="31">
        <f>0.67*G10+0.33</f>
        <v>0.91402951326846238</v>
      </c>
      <c r="I10" s="76">
        <f>IF(BetaAdj=2,H10,G10)</f>
        <v>0.87168584069919741</v>
      </c>
    </row>
    <row r="11" spans="2:9" ht="13.95" customHeight="1" x14ac:dyDescent="0.3">
      <c r="B11" s="11" t="s">
        <v>596</v>
      </c>
      <c r="C11" s="101">
        <f>SUM($C$23:$C$544)</f>
        <v>261</v>
      </c>
      <c r="D11" s="102">
        <f>SUMPRODUCT($C$23:$C$544,O$23:O$544)/C11</f>
        <v>2.2357788164444215E-3</v>
      </c>
      <c r="E11" s="103">
        <f>(SUMPRODUCT($C$23:$C$544,O$23:O$544,O$23:O$544)-C11*D11*$D$11)/(C11-1)</f>
        <v>5.5414637525781271E-4</v>
      </c>
      <c r="F11" s="103">
        <f>(SUMPRODUCT($C$23:$C$544,O$23:O$544,O$23:O$544)-C11*$D$11^2)/(C11-1)</f>
        <v>5.5414637525781271E-4</v>
      </c>
      <c r="G11" s="98">
        <f>E11/F11</f>
        <v>1</v>
      </c>
      <c r="H11" s="98">
        <f>0.67*G11+0.33</f>
        <v>1</v>
      </c>
      <c r="I11" s="34">
        <f>IF(BetaAdj=2,H11,G11)</f>
        <v>1</v>
      </c>
    </row>
    <row r="12" spans="2:9" ht="13.95" customHeight="1" x14ac:dyDescent="0.3">
      <c r="B12" s="14" t="s">
        <v>485</v>
      </c>
    </row>
    <row r="13" spans="2:9" ht="13.95" customHeight="1" x14ac:dyDescent="0.3">
      <c r="B13" s="8" t="s">
        <v>483</v>
      </c>
      <c r="C13" s="67">
        <f>SUM($C$23:$C$544)</f>
        <v>261</v>
      </c>
      <c r="D13" s="99">
        <f>SUMPRODUCT($C$23:$C$544,P$23:P$544)/C13</f>
        <v>-1.4397435704118556E-3</v>
      </c>
      <c r="E13" s="100">
        <f>(SUMPRODUCT($C$23:$C$544,P$23:P$544,O$23:O$544)-C13*D13*$D$11)/(C13-1)</f>
        <v>7.3076090137557E-4</v>
      </c>
      <c r="F13" s="100">
        <f>(SUMPRODUCT($C$23:$C$544,O$23:O$544,O$23:O$544)-C13*$D$11^2)/(C13-1)</f>
        <v>5.5414637525781271E-4</v>
      </c>
      <c r="G13" s="31">
        <f>E13/F13</f>
        <v>1.3187145743497621</v>
      </c>
      <c r="H13" s="31">
        <f>0.67*G13+0.33</f>
        <v>1.2135387648143408</v>
      </c>
      <c r="I13" s="76">
        <f>IF(BetaAdj=2,H13,G13)</f>
        <v>1.3187145743497621</v>
      </c>
    </row>
    <row r="14" spans="2:9" ht="13.95" customHeight="1" x14ac:dyDescent="0.3">
      <c r="B14" s="8" t="s">
        <v>484</v>
      </c>
      <c r="C14" s="67">
        <f>SUM($C$23:$C$544)</f>
        <v>261</v>
      </c>
      <c r="D14" s="99">
        <f>SUMPRODUCT($C$23:$C$544,Q$23:Q$544)/C14</f>
        <v>3.5937116089837452E-3</v>
      </c>
      <c r="E14" s="100">
        <f>(SUMPRODUCT($C$23:$C$544,Q$23:Q$544,O$23:O$544)-C14*D14*$D$11)/(C14-1)</f>
        <v>3.9778539674151508E-4</v>
      </c>
      <c r="F14" s="100">
        <f>(SUMPRODUCT($C$23:$C$544,O$23:O$544,O$23:O$544)-C14*$D$11^2)/(C14-1)</f>
        <v>5.5414637525781271E-4</v>
      </c>
      <c r="G14" s="31">
        <f>E14/F14</f>
        <v>0.71783451900492579</v>
      </c>
      <c r="H14" s="31">
        <f>0.67*G14+0.33</f>
        <v>0.8109491277333003</v>
      </c>
      <c r="I14" s="76">
        <f>IF(BetaAdj=2,H14,G14)</f>
        <v>0.71783451900492579</v>
      </c>
    </row>
    <row r="16" spans="2:9" ht="13.95" customHeight="1" x14ac:dyDescent="0.3">
      <c r="B16" s="19" t="s">
        <v>615</v>
      </c>
      <c r="C16" s="31">
        <f>SUMPRODUCT(I7:I10,'Box Shares'!C7:C10)/SUM('Box Shares'!C7:C10)</f>
        <v>1.0031654974990483</v>
      </c>
    </row>
    <row r="17" spans="2:17" ht="13.95" customHeight="1" x14ac:dyDescent="0.3">
      <c r="B17" s="19" t="s">
        <v>616</v>
      </c>
      <c r="C17" s="104">
        <f>EDATE($B$544,-12*BetaYears)</f>
        <v>44464</v>
      </c>
    </row>
    <row r="18" spans="2:17" ht="13.95" customHeight="1" x14ac:dyDescent="0.3">
      <c r="B18" s="14" t="s">
        <v>617</v>
      </c>
    </row>
    <row r="20" spans="2:17" ht="13.95" customHeight="1" x14ac:dyDescent="0.3">
      <c r="B20" s="138" t="s">
        <v>618</v>
      </c>
      <c r="C20" s="138"/>
      <c r="D20" s="138"/>
      <c r="E20" s="138"/>
      <c r="F20" s="138"/>
      <c r="G20" s="138"/>
      <c r="H20" s="138"/>
      <c r="I20" s="138"/>
      <c r="J20" s="138"/>
      <c r="K20" s="138"/>
      <c r="L20" s="138"/>
      <c r="M20" s="138"/>
      <c r="N20" s="138"/>
      <c r="O20" s="138"/>
      <c r="P20" s="138"/>
      <c r="Q20" s="138"/>
    </row>
    <row r="21" spans="2:17" ht="43.95" customHeight="1" x14ac:dyDescent="0.3">
      <c r="B21" s="17" t="s">
        <v>619</v>
      </c>
      <c r="C21" s="18" t="s">
        <v>620</v>
      </c>
      <c r="D21" s="18" t="s">
        <v>621</v>
      </c>
      <c r="E21" s="18" t="s">
        <v>623</v>
      </c>
      <c r="F21" s="18" t="s">
        <v>625</v>
      </c>
      <c r="G21" s="18" t="s">
        <v>627</v>
      </c>
      <c r="H21" s="18" t="s">
        <v>629</v>
      </c>
      <c r="I21" s="18" t="s">
        <v>631</v>
      </c>
      <c r="J21" s="18" t="s">
        <v>633</v>
      </c>
      <c r="K21" s="18" t="s">
        <v>622</v>
      </c>
      <c r="L21" s="18" t="s">
        <v>624</v>
      </c>
      <c r="M21" s="18" t="s">
        <v>626</v>
      </c>
      <c r="N21" s="18" t="s">
        <v>628</v>
      </c>
      <c r="O21" s="18" t="s">
        <v>630</v>
      </c>
      <c r="P21" s="18" t="s">
        <v>632</v>
      </c>
      <c r="Q21" s="18" t="s">
        <v>634</v>
      </c>
    </row>
    <row r="22" spans="2:17" ht="13.95" customHeight="1" x14ac:dyDescent="0.3">
      <c r="B22" s="105">
        <v>42636</v>
      </c>
      <c r="D22" s="106">
        <v>2.8362211929737451</v>
      </c>
      <c r="E22" s="106">
        <v>2.4029918936702201</v>
      </c>
      <c r="F22" s="106">
        <v>0.90378627779033394</v>
      </c>
      <c r="G22" s="106">
        <v>0.84339519463064871</v>
      </c>
      <c r="H22" s="106">
        <v>1.578363463936681</v>
      </c>
      <c r="I22" s="106">
        <v>0.952671858768114</v>
      </c>
      <c r="J22" s="106">
        <v>1.1819149034628169</v>
      </c>
    </row>
    <row r="23" spans="2:17" ht="13.95" customHeight="1" x14ac:dyDescent="0.3">
      <c r="B23" s="105">
        <v>42643</v>
      </c>
      <c r="C23" s="107">
        <f t="shared" ref="C23:C86" si="0">IF(B23&gt;$C$17,1,0)</f>
        <v>0</v>
      </c>
      <c r="D23" s="106">
        <v>2.8001253863047939</v>
      </c>
      <c r="E23" s="106">
        <v>2.381705449977237</v>
      </c>
      <c r="F23" s="106">
        <v>0.89890386202513783</v>
      </c>
      <c r="G23" s="106">
        <v>0.8495252810313848</v>
      </c>
      <c r="H23" s="106">
        <v>1.5690736126145139</v>
      </c>
      <c r="I23" s="106">
        <v>0.95185448236184667</v>
      </c>
      <c r="J23" s="106">
        <v>1.1423026416802291</v>
      </c>
      <c r="K23" s="30">
        <f t="shared" ref="K23:K86" si="1">D23/D22-1</f>
        <v>-1.2726724826107483E-2</v>
      </c>
      <c r="L23" s="30">
        <f t="shared" ref="L23:L86" si="2">E23/E22-1</f>
        <v>-8.8583085731809286E-3</v>
      </c>
      <c r="M23" s="30">
        <f t="shared" ref="M23:M86" si="3">F23/F22-1</f>
        <v>-5.4021795696357344E-3</v>
      </c>
      <c r="N23" s="30">
        <f t="shared" ref="N23:N86" si="4">G23/G22-1</f>
        <v>7.2683439978817876E-3</v>
      </c>
      <c r="O23" s="30">
        <f t="shared" ref="O23:O86" si="5">H23/H22-1</f>
        <v>-5.8857490903880816E-3</v>
      </c>
      <c r="P23" s="30">
        <f t="shared" ref="P23:P86" si="6">I23/I22-1</f>
        <v>-8.579831541620786E-4</v>
      </c>
      <c r="Q23" s="30">
        <f t="shared" ref="Q23:Q86" si="7">J23/J22-1</f>
        <v>-3.3515324721374085E-2</v>
      </c>
    </row>
    <row r="24" spans="2:17" ht="13.95" customHeight="1" x14ac:dyDescent="0.3">
      <c r="B24" s="105">
        <v>42650</v>
      </c>
      <c r="C24" s="107">
        <f t="shared" si="0"/>
        <v>0</v>
      </c>
      <c r="D24" s="106">
        <v>2.9766966133696871</v>
      </c>
      <c r="E24" s="106">
        <v>2.4208488446882459</v>
      </c>
      <c r="F24" s="106">
        <v>0.92884678370184692</v>
      </c>
      <c r="G24" s="106">
        <v>0.90979039393686845</v>
      </c>
      <c r="H24" s="106">
        <v>1.6437995547736011</v>
      </c>
      <c r="I24" s="106">
        <v>0.98455910671884861</v>
      </c>
      <c r="J24" s="106">
        <v>1.172767071848728</v>
      </c>
      <c r="K24" s="30">
        <f t="shared" si="1"/>
        <v>6.3058328719310275E-2</v>
      </c>
      <c r="L24" s="30">
        <f t="shared" si="2"/>
        <v>1.6435027560348869E-2</v>
      </c>
      <c r="M24" s="30">
        <f t="shared" si="3"/>
        <v>3.3310482846575784E-2</v>
      </c>
      <c r="N24" s="30">
        <f t="shared" si="4"/>
        <v>7.0939752178201809E-2</v>
      </c>
      <c r="O24" s="30">
        <f t="shared" si="5"/>
        <v>4.7624242456396182E-2</v>
      </c>
      <c r="P24" s="30">
        <f t="shared" si="6"/>
        <v>3.4358848923893959E-2</v>
      </c>
      <c r="Q24" s="30">
        <f t="shared" si="7"/>
        <v>2.6669316043678393E-2</v>
      </c>
    </row>
    <row r="25" spans="2:17" ht="13.95" customHeight="1" x14ac:dyDescent="0.3">
      <c r="B25" s="105">
        <v>42657</v>
      </c>
      <c r="C25" s="107">
        <f t="shared" si="0"/>
        <v>0</v>
      </c>
      <c r="D25" s="106">
        <v>3.0309801674031731</v>
      </c>
      <c r="E25" s="106">
        <v>2.402577883559931</v>
      </c>
      <c r="F25" s="106">
        <v>0.9230905322210512</v>
      </c>
      <c r="G25" s="106">
        <v>0.93843968496482744</v>
      </c>
      <c r="H25" s="106">
        <v>1.6617598531085791</v>
      </c>
      <c r="I25" s="106">
        <v>0.97832629508191304</v>
      </c>
      <c r="J25" s="106">
        <v>1.1664973692684919</v>
      </c>
      <c r="K25" s="30">
        <f t="shared" si="1"/>
        <v>1.8236172873538514E-2</v>
      </c>
      <c r="L25" s="30">
        <f t="shared" si="2"/>
        <v>-7.5473366164122702E-3</v>
      </c>
      <c r="M25" s="30">
        <f t="shared" si="3"/>
        <v>-6.1972023608184434E-3</v>
      </c>
      <c r="N25" s="30">
        <f t="shared" si="4"/>
        <v>3.1489990682344926E-2</v>
      </c>
      <c r="O25" s="30">
        <f t="shared" si="5"/>
        <v>1.0926087844969512E-2</v>
      </c>
      <c r="P25" s="30">
        <f t="shared" si="6"/>
        <v>-6.3305611561575992E-3</v>
      </c>
      <c r="Q25" s="30">
        <f t="shared" si="7"/>
        <v>-5.3460765830956047E-3</v>
      </c>
    </row>
    <row r="26" spans="2:17" ht="13.95" customHeight="1" x14ac:dyDescent="0.3">
      <c r="B26" s="105">
        <v>42664</v>
      </c>
      <c r="C26" s="107">
        <f t="shared" si="0"/>
        <v>0</v>
      </c>
      <c r="D26" s="106">
        <v>3.136877452456976</v>
      </c>
      <c r="E26" s="106">
        <v>2.4129920505318019</v>
      </c>
      <c r="F26" s="106">
        <v>0.95430764289903702</v>
      </c>
      <c r="G26" s="106">
        <v>1.0139571432111869</v>
      </c>
      <c r="H26" s="106">
        <v>1.7249901236274079</v>
      </c>
      <c r="I26" s="106">
        <v>1.0097587767364711</v>
      </c>
      <c r="J26" s="106">
        <v>1.218509452677528</v>
      </c>
      <c r="K26" s="30">
        <f t="shared" si="1"/>
        <v>3.4938296922124579E-2</v>
      </c>
      <c r="L26" s="30">
        <f t="shared" si="2"/>
        <v>4.334580386813558E-3</v>
      </c>
      <c r="M26" s="30">
        <f t="shared" si="3"/>
        <v>3.3818037980385629E-2</v>
      </c>
      <c r="N26" s="30">
        <f t="shared" si="4"/>
        <v>8.0471296617416366E-2</v>
      </c>
      <c r="O26" s="30">
        <f t="shared" si="5"/>
        <v>3.8050185410693826E-2</v>
      </c>
      <c r="P26" s="30">
        <f t="shared" si="6"/>
        <v>3.2128832489293657E-2</v>
      </c>
      <c r="Q26" s="30">
        <f t="shared" si="7"/>
        <v>4.4588256072667143E-2</v>
      </c>
    </row>
    <row r="27" spans="2:17" ht="13.95" customHeight="1" x14ac:dyDescent="0.3">
      <c r="B27" s="105">
        <v>42671</v>
      </c>
      <c r="C27" s="107">
        <f t="shared" si="0"/>
        <v>0</v>
      </c>
      <c r="D27" s="106">
        <v>3.1533524319440618</v>
      </c>
      <c r="E27" s="106">
        <v>2.3707979740281639</v>
      </c>
      <c r="F27" s="106">
        <v>0.93318343529156988</v>
      </c>
      <c r="G27" s="106">
        <v>1.0493575656229659</v>
      </c>
      <c r="H27" s="106">
        <v>1.7303737744314629</v>
      </c>
      <c r="I27" s="106">
        <v>0.98437896520988821</v>
      </c>
      <c r="J27" s="106">
        <v>1.214557776798646</v>
      </c>
      <c r="K27" s="30">
        <f t="shared" si="1"/>
        <v>5.2520315940878248E-3</v>
      </c>
      <c r="L27" s="30">
        <f t="shared" si="2"/>
        <v>-1.7486206178896735E-2</v>
      </c>
      <c r="M27" s="30">
        <f t="shared" si="3"/>
        <v>-2.2135637039744416E-2</v>
      </c>
      <c r="N27" s="30">
        <f t="shared" si="4"/>
        <v>3.4913134789569478E-2</v>
      </c>
      <c r="O27" s="30">
        <f t="shared" si="5"/>
        <v>3.1209748567915252E-3</v>
      </c>
      <c r="P27" s="30">
        <f t="shared" si="6"/>
        <v>-2.5134529267089034E-2</v>
      </c>
      <c r="Q27" s="30">
        <f t="shared" si="7"/>
        <v>-3.2430408071095762E-3</v>
      </c>
    </row>
    <row r="28" spans="2:17" ht="13.95" customHeight="1" x14ac:dyDescent="0.3">
      <c r="B28" s="105">
        <v>42678</v>
      </c>
      <c r="C28" s="107">
        <f t="shared" si="0"/>
        <v>0</v>
      </c>
      <c r="D28" s="106">
        <v>3.0921265243200851</v>
      </c>
      <c r="E28" s="106">
        <v>2.2585034282939089</v>
      </c>
      <c r="F28" s="106">
        <v>0.89988787516636237</v>
      </c>
      <c r="G28" s="106">
        <v>0.97700476447036388</v>
      </c>
      <c r="H28" s="106">
        <v>1.658050740220155</v>
      </c>
      <c r="I28" s="106">
        <v>0.93744822393034055</v>
      </c>
      <c r="J28" s="106">
        <v>1.2587786455069989</v>
      </c>
      <c r="K28" s="30">
        <f t="shared" si="1"/>
        <v>-1.9416132178486145E-2</v>
      </c>
      <c r="L28" s="30">
        <f t="shared" si="2"/>
        <v>-4.7365716929248958E-2</v>
      </c>
      <c r="M28" s="30">
        <f t="shared" si="3"/>
        <v>-3.5679544734743884E-2</v>
      </c>
      <c r="N28" s="30">
        <f t="shared" si="4"/>
        <v>-6.8949615958263766E-2</v>
      </c>
      <c r="O28" s="30">
        <f t="shared" si="5"/>
        <v>-4.1796191828595286E-2</v>
      </c>
      <c r="P28" s="30">
        <f t="shared" si="6"/>
        <v>-4.7675481636831996E-2</v>
      </c>
      <c r="Q28" s="30">
        <f t="shared" si="7"/>
        <v>3.6409028498348706E-2</v>
      </c>
    </row>
    <row r="29" spans="2:17" ht="13.95" customHeight="1" x14ac:dyDescent="0.3">
      <c r="B29" s="105">
        <v>42685</v>
      </c>
      <c r="C29" s="107">
        <f t="shared" si="0"/>
        <v>0</v>
      </c>
      <c r="D29" s="106">
        <v>2.8883520409945489</v>
      </c>
      <c r="E29" s="106">
        <v>2.1507160370521272</v>
      </c>
      <c r="F29" s="106">
        <v>0.83820132426693761</v>
      </c>
      <c r="G29" s="106">
        <v>1.001769713606304</v>
      </c>
      <c r="H29" s="106">
        <v>1.594563263629833</v>
      </c>
      <c r="I29" s="106">
        <v>0.86316303579756004</v>
      </c>
      <c r="J29" s="106">
        <v>1.2453823567131159</v>
      </c>
      <c r="K29" s="30">
        <f t="shared" si="1"/>
        <v>-6.5901081900373804E-2</v>
      </c>
      <c r="L29" s="30">
        <f t="shared" si="2"/>
        <v>-4.7725139528880467E-2</v>
      </c>
      <c r="M29" s="30">
        <f t="shared" si="3"/>
        <v>-6.8549152179676609E-2</v>
      </c>
      <c r="N29" s="30">
        <f t="shared" si="4"/>
        <v>2.534782842063743E-2</v>
      </c>
      <c r="O29" s="30">
        <f t="shared" si="5"/>
        <v>-3.8290430473733372E-2</v>
      </c>
      <c r="P29" s="30">
        <f t="shared" si="6"/>
        <v>-7.9241910365281609E-2</v>
      </c>
      <c r="Q29" s="30">
        <f t="shared" si="7"/>
        <v>-1.0642291114246971E-2</v>
      </c>
    </row>
    <row r="30" spans="2:17" ht="13.95" customHeight="1" x14ac:dyDescent="0.3">
      <c r="B30" s="105">
        <v>42692</v>
      </c>
      <c r="C30" s="107">
        <f t="shared" si="0"/>
        <v>0</v>
      </c>
      <c r="D30" s="106">
        <v>2.956727899369731</v>
      </c>
      <c r="E30" s="106">
        <v>2.212012075407932</v>
      </c>
      <c r="F30" s="106">
        <v>0.83408750629867834</v>
      </c>
      <c r="G30" s="106">
        <v>0.99604640368917319</v>
      </c>
      <c r="H30" s="106">
        <v>1.6149506086098619</v>
      </c>
      <c r="I30" s="106">
        <v>0.85752471721620871</v>
      </c>
      <c r="J30" s="106">
        <v>1.2494651365833369</v>
      </c>
      <c r="K30" s="30">
        <f t="shared" si="1"/>
        <v>2.3672965554309089E-2</v>
      </c>
      <c r="L30" s="30">
        <f t="shared" si="2"/>
        <v>2.8500293530065557E-2</v>
      </c>
      <c r="M30" s="30">
        <f t="shared" si="3"/>
        <v>-4.9079115591437183E-3</v>
      </c>
      <c r="N30" s="30">
        <f t="shared" si="4"/>
        <v>-5.713199190787277E-3</v>
      </c>
      <c r="O30" s="30">
        <f t="shared" si="5"/>
        <v>1.2785535353184718E-2</v>
      </c>
      <c r="P30" s="30">
        <f t="shared" si="6"/>
        <v>-6.5321594502034674E-3</v>
      </c>
      <c r="Q30" s="30">
        <f t="shared" si="7"/>
        <v>3.2783344393898517E-3</v>
      </c>
    </row>
    <row r="31" spans="2:17" ht="13.95" customHeight="1" x14ac:dyDescent="0.3">
      <c r="B31" s="105">
        <v>42699</v>
      </c>
      <c r="C31" s="107">
        <f t="shared" si="0"/>
        <v>0</v>
      </c>
      <c r="D31" s="106">
        <v>2.9596254267755011</v>
      </c>
      <c r="E31" s="106">
        <v>2.2131989330331541</v>
      </c>
      <c r="F31" s="106">
        <v>0.83893723722474345</v>
      </c>
      <c r="G31" s="106">
        <v>1.090775261945077</v>
      </c>
      <c r="H31" s="106">
        <v>1.6583623179877709</v>
      </c>
      <c r="I31" s="106">
        <v>0.87130812511259492</v>
      </c>
      <c r="J31" s="106">
        <v>1.1927570249608079</v>
      </c>
      <c r="K31" s="30">
        <f t="shared" si="1"/>
        <v>9.7997769980384675E-4</v>
      </c>
      <c r="L31" s="30">
        <f t="shared" si="2"/>
        <v>5.3655115106154838E-4</v>
      </c>
      <c r="M31" s="30">
        <f t="shared" si="3"/>
        <v>5.8144150217356305E-3</v>
      </c>
      <c r="N31" s="30">
        <f t="shared" si="4"/>
        <v>9.5104864497322028E-2</v>
      </c>
      <c r="O31" s="30">
        <f t="shared" si="5"/>
        <v>2.6881137507528852E-2</v>
      </c>
      <c r="P31" s="30">
        <f t="shared" si="6"/>
        <v>1.6073481754708352E-2</v>
      </c>
      <c r="Q31" s="30">
        <f t="shared" si="7"/>
        <v>-4.5385909508125488E-2</v>
      </c>
    </row>
    <row r="32" spans="2:17" ht="13.95" customHeight="1" x14ac:dyDescent="0.3">
      <c r="B32" s="105">
        <v>42706</v>
      </c>
      <c r="C32" s="107">
        <f t="shared" si="0"/>
        <v>0</v>
      </c>
      <c r="D32" s="106">
        <v>2.870187074462685</v>
      </c>
      <c r="E32" s="106">
        <v>2.1193880617626042</v>
      </c>
      <c r="F32" s="106">
        <v>0.81019203747975177</v>
      </c>
      <c r="G32" s="106">
        <v>1.1104780379569661</v>
      </c>
      <c r="H32" s="106">
        <v>1.625941630350491</v>
      </c>
      <c r="I32" s="106">
        <v>0.83816950154509406</v>
      </c>
      <c r="J32" s="106">
        <v>1.175563790247014</v>
      </c>
      <c r="K32" s="30">
        <f t="shared" si="1"/>
        <v>-3.0219483689954307E-2</v>
      </c>
      <c r="L32" s="30">
        <f t="shared" si="2"/>
        <v>-4.2387003658086675E-2</v>
      </c>
      <c r="M32" s="30">
        <f t="shared" si="3"/>
        <v>-3.4263826266768826E-2</v>
      </c>
      <c r="N32" s="30">
        <f t="shared" si="4"/>
        <v>1.8063093928950114E-2</v>
      </c>
      <c r="O32" s="30">
        <f t="shared" si="5"/>
        <v>-1.954982170399211E-2</v>
      </c>
      <c r="P32" s="30">
        <f t="shared" si="6"/>
        <v>-3.803318552001167E-2</v>
      </c>
      <c r="Q32" s="30">
        <f t="shared" si="7"/>
        <v>-1.4414700021874838E-2</v>
      </c>
    </row>
    <row r="33" spans="2:17" ht="13.95" customHeight="1" x14ac:dyDescent="0.3">
      <c r="B33" s="105">
        <v>42713</v>
      </c>
      <c r="C33" s="107">
        <f t="shared" si="0"/>
        <v>0</v>
      </c>
      <c r="D33" s="106">
        <v>2.8782632982754972</v>
      </c>
      <c r="E33" s="106">
        <v>2.15295989513629</v>
      </c>
      <c r="F33" s="106">
        <v>0.81053727963153921</v>
      </c>
      <c r="G33" s="106">
        <v>1.103438861086727</v>
      </c>
      <c r="H33" s="106">
        <v>1.6304638395617079</v>
      </c>
      <c r="I33" s="106">
        <v>0.84246307185459834</v>
      </c>
      <c r="J33" s="106">
        <v>1.1476038137022839</v>
      </c>
      <c r="K33" s="30">
        <f t="shared" si="1"/>
        <v>2.8138318525192663E-3</v>
      </c>
      <c r="L33" s="30">
        <f t="shared" si="2"/>
        <v>1.5840342776001881E-2</v>
      </c>
      <c r="M33" s="30">
        <f t="shared" si="3"/>
        <v>4.2612385189744195E-4</v>
      </c>
      <c r="N33" s="30">
        <f t="shared" si="4"/>
        <v>-6.3388708552847284E-3</v>
      </c>
      <c r="O33" s="30">
        <f t="shared" si="5"/>
        <v>2.78128631852681E-3</v>
      </c>
      <c r="P33" s="30">
        <f t="shared" si="6"/>
        <v>5.1225561197221214E-3</v>
      </c>
      <c r="Q33" s="30">
        <f t="shared" si="7"/>
        <v>-2.3784312494735005E-2</v>
      </c>
    </row>
    <row r="34" spans="2:17" ht="13.95" customHeight="1" x14ac:dyDescent="0.3">
      <c r="B34" s="105">
        <v>42720</v>
      </c>
      <c r="C34" s="107">
        <f t="shared" si="0"/>
        <v>0</v>
      </c>
      <c r="D34" s="106">
        <v>2.762578439679507</v>
      </c>
      <c r="E34" s="106">
        <v>2.1299047256646571</v>
      </c>
      <c r="F34" s="106">
        <v>0.78496024935627984</v>
      </c>
      <c r="G34" s="106">
        <v>1.0481400579828819</v>
      </c>
      <c r="H34" s="106">
        <v>1.57338047385411</v>
      </c>
      <c r="I34" s="106">
        <v>0.81601079589274539</v>
      </c>
      <c r="J34" s="106">
        <v>1.1104346482585381</v>
      </c>
      <c r="K34" s="30">
        <f t="shared" si="1"/>
        <v>-4.0192590672751272E-2</v>
      </c>
      <c r="L34" s="30">
        <f t="shared" si="2"/>
        <v>-1.0708592168259368E-2</v>
      </c>
      <c r="M34" s="30">
        <f t="shared" si="3"/>
        <v>-3.1555649466100344E-2</v>
      </c>
      <c r="N34" s="30">
        <f t="shared" si="4"/>
        <v>-5.0114967900789509E-2</v>
      </c>
      <c r="O34" s="30">
        <f t="shared" si="5"/>
        <v>-3.5010507024150095E-2</v>
      </c>
      <c r="P34" s="30">
        <f t="shared" si="6"/>
        <v>-3.1398736449801734E-2</v>
      </c>
      <c r="Q34" s="30">
        <f t="shared" si="7"/>
        <v>-3.2388499410641036E-2</v>
      </c>
    </row>
    <row r="35" spans="2:17" ht="13.95" customHeight="1" x14ac:dyDescent="0.3">
      <c r="B35" s="105">
        <v>42727</v>
      </c>
      <c r="C35" s="107">
        <f t="shared" si="0"/>
        <v>0</v>
      </c>
      <c r="D35" s="106">
        <v>2.8186959542507952</v>
      </c>
      <c r="E35" s="106">
        <v>2.104846885098739</v>
      </c>
      <c r="F35" s="106">
        <v>0.80876536828728096</v>
      </c>
      <c r="G35" s="106">
        <v>0.99429410535491081</v>
      </c>
      <c r="H35" s="106">
        <v>1.561573555473627</v>
      </c>
      <c r="I35" s="106">
        <v>0.84557830423872238</v>
      </c>
      <c r="J35" s="106">
        <v>1.109255516840151</v>
      </c>
      <c r="K35" s="30">
        <f t="shared" si="1"/>
        <v>2.0313455634511701E-2</v>
      </c>
      <c r="L35" s="30">
        <f t="shared" si="2"/>
        <v>-1.1764770632216259E-2</v>
      </c>
      <c r="M35" s="30">
        <f t="shared" si="3"/>
        <v>3.0326527936316516E-2</v>
      </c>
      <c r="N35" s="30">
        <f t="shared" si="4"/>
        <v>-5.1372860161070677E-2</v>
      </c>
      <c r="O35" s="30">
        <f t="shared" si="5"/>
        <v>-7.5041724342498339E-3</v>
      </c>
      <c r="P35" s="30">
        <f t="shared" si="6"/>
        <v>3.623421221238754E-2</v>
      </c>
      <c r="Q35" s="30">
        <f t="shared" si="7"/>
        <v>-1.0618647574049955E-3</v>
      </c>
    </row>
    <row r="36" spans="2:17" ht="13.95" customHeight="1" x14ac:dyDescent="0.3">
      <c r="B36" s="105">
        <v>42734</v>
      </c>
      <c r="C36" s="107">
        <f t="shared" si="0"/>
        <v>0</v>
      </c>
      <c r="D36" s="106">
        <v>2.9598559301882821</v>
      </c>
      <c r="E36" s="106">
        <v>2.1704336588231392</v>
      </c>
      <c r="F36" s="106">
        <v>0.8330596604604984</v>
      </c>
      <c r="G36" s="106">
        <v>1.0328395243811219</v>
      </c>
      <c r="H36" s="106">
        <v>1.623267846935982</v>
      </c>
      <c r="I36" s="106">
        <v>0.86869233533801493</v>
      </c>
      <c r="J36" s="106">
        <v>1.1591048819772241</v>
      </c>
      <c r="K36" s="30">
        <f t="shared" si="1"/>
        <v>5.0079887376503818E-2</v>
      </c>
      <c r="L36" s="30">
        <f t="shared" si="2"/>
        <v>3.1159878748768799E-2</v>
      </c>
      <c r="M36" s="30">
        <f t="shared" si="3"/>
        <v>3.00387394488284E-2</v>
      </c>
      <c r="N36" s="30">
        <f t="shared" si="4"/>
        <v>3.8766617260043379E-2</v>
      </c>
      <c r="O36" s="30">
        <f t="shared" si="5"/>
        <v>3.9507771661542401E-2</v>
      </c>
      <c r="P36" s="30">
        <f t="shared" si="6"/>
        <v>2.7335175208997642E-2</v>
      </c>
      <c r="Q36" s="30">
        <f t="shared" si="7"/>
        <v>4.4939479119360248E-2</v>
      </c>
    </row>
    <row r="37" spans="2:17" ht="13.95" customHeight="1" x14ac:dyDescent="0.3">
      <c r="B37" s="105">
        <v>42741</v>
      </c>
      <c r="C37" s="107">
        <f t="shared" si="0"/>
        <v>0</v>
      </c>
      <c r="D37" s="106">
        <v>3.087484000750754</v>
      </c>
      <c r="E37" s="106">
        <v>2.1674982570324</v>
      </c>
      <c r="F37" s="106">
        <v>0.84713641089777214</v>
      </c>
      <c r="G37" s="106">
        <v>1.0609013819237381</v>
      </c>
      <c r="H37" s="106">
        <v>1.662243661934776</v>
      </c>
      <c r="I37" s="106">
        <v>0.88245379890532571</v>
      </c>
      <c r="J37" s="106">
        <v>1.1855728179339109</v>
      </c>
      <c r="K37" s="30">
        <f t="shared" si="1"/>
        <v>4.3119690137875422E-2</v>
      </c>
      <c r="L37" s="30">
        <f t="shared" si="2"/>
        <v>-1.3524494419843158E-3</v>
      </c>
      <c r="M37" s="30">
        <f t="shared" si="3"/>
        <v>1.6897649838779172E-2</v>
      </c>
      <c r="N37" s="30">
        <f t="shared" si="4"/>
        <v>2.7169620139615436E-2</v>
      </c>
      <c r="O37" s="30">
        <f t="shared" si="5"/>
        <v>2.4010710907853783E-2</v>
      </c>
      <c r="P37" s="30">
        <f t="shared" si="6"/>
        <v>1.5841585113049339E-2</v>
      </c>
      <c r="Q37" s="30">
        <f t="shared" si="7"/>
        <v>2.2834806727357826E-2</v>
      </c>
    </row>
    <row r="38" spans="2:17" ht="13.95" customHeight="1" x14ac:dyDescent="0.3">
      <c r="B38" s="105">
        <v>42748</v>
      </c>
      <c r="C38" s="107">
        <f t="shared" si="0"/>
        <v>0</v>
      </c>
      <c r="D38" s="106">
        <v>3.131702675402531</v>
      </c>
      <c r="E38" s="106">
        <v>2.2240347444850022</v>
      </c>
      <c r="F38" s="106">
        <v>0.86009537340113806</v>
      </c>
      <c r="G38" s="106">
        <v>1.133100791031582</v>
      </c>
      <c r="H38" s="106">
        <v>1.7156561563982979</v>
      </c>
      <c r="I38" s="106">
        <v>0.89891424254315389</v>
      </c>
      <c r="J38" s="106">
        <v>1.181495565958574</v>
      </c>
      <c r="K38" s="30">
        <f t="shared" si="1"/>
        <v>1.4321912159228845E-2</v>
      </c>
      <c r="L38" s="30">
        <f t="shared" si="2"/>
        <v>2.608375221025927E-2</v>
      </c>
      <c r="M38" s="30">
        <f t="shared" si="3"/>
        <v>1.5297373996275621E-2</v>
      </c>
      <c r="N38" s="30">
        <f t="shared" si="4"/>
        <v>6.8054779019067979E-2</v>
      </c>
      <c r="O38" s="30">
        <f t="shared" si="5"/>
        <v>3.2132770716269299E-2</v>
      </c>
      <c r="P38" s="30">
        <f t="shared" si="6"/>
        <v>1.8653037312828413E-2</v>
      </c>
      <c r="Q38" s="30">
        <f t="shared" si="7"/>
        <v>-3.4390565587041344E-3</v>
      </c>
    </row>
    <row r="39" spans="2:17" ht="13.95" customHeight="1" x14ac:dyDescent="0.3">
      <c r="B39" s="105">
        <v>42755</v>
      </c>
      <c r="C39" s="107">
        <f t="shared" si="0"/>
        <v>0</v>
      </c>
      <c r="D39" s="106">
        <v>3.1840254571835072</v>
      </c>
      <c r="E39" s="106">
        <v>2.253013224424373</v>
      </c>
      <c r="F39" s="106">
        <v>0.85683630520917742</v>
      </c>
      <c r="G39" s="106">
        <v>1.1541094074756579</v>
      </c>
      <c r="H39" s="106">
        <v>1.739001308407923</v>
      </c>
      <c r="I39" s="106">
        <v>0.8869993856609073</v>
      </c>
      <c r="J39" s="106">
        <v>1.240846139925055</v>
      </c>
      <c r="K39" s="30">
        <f t="shared" si="1"/>
        <v>1.6707455082481948E-2</v>
      </c>
      <c r="L39" s="30">
        <f t="shared" si="2"/>
        <v>1.3029688502497416E-2</v>
      </c>
      <c r="M39" s="30">
        <f t="shared" si="3"/>
        <v>-3.7891939577271438E-3</v>
      </c>
      <c r="N39" s="30">
        <f t="shared" si="4"/>
        <v>1.8540818795960368E-2</v>
      </c>
      <c r="O39" s="30">
        <f t="shared" si="5"/>
        <v>1.3607127466982671E-2</v>
      </c>
      <c r="P39" s="30">
        <f t="shared" si="6"/>
        <v>-1.3254720326310365E-2</v>
      </c>
      <c r="Q39" s="30">
        <f t="shared" si="7"/>
        <v>5.0233429287843911E-2</v>
      </c>
    </row>
    <row r="40" spans="2:17" ht="13.95" customHeight="1" x14ac:dyDescent="0.3">
      <c r="B40" s="105">
        <v>42762</v>
      </c>
      <c r="C40" s="107">
        <f t="shared" si="0"/>
        <v>0</v>
      </c>
      <c r="D40" s="106">
        <v>3.304058263789559</v>
      </c>
      <c r="E40" s="106">
        <v>2.2775126837485371</v>
      </c>
      <c r="F40" s="106">
        <v>0.88696561958779185</v>
      </c>
      <c r="G40" s="106">
        <v>1.1677118405487861</v>
      </c>
      <c r="H40" s="106">
        <v>1.7797367649616469</v>
      </c>
      <c r="I40" s="106">
        <v>0.9194949585322777</v>
      </c>
      <c r="J40" s="106">
        <v>1.2746845243885441</v>
      </c>
      <c r="K40" s="30">
        <f t="shared" si="1"/>
        <v>3.7698444381229601E-2</v>
      </c>
      <c r="L40" s="30">
        <f t="shared" si="2"/>
        <v>1.0874085894646113E-2</v>
      </c>
      <c r="M40" s="30">
        <f t="shared" si="3"/>
        <v>3.5163442766654285E-2</v>
      </c>
      <c r="N40" s="30">
        <f t="shared" si="4"/>
        <v>1.1786086297381759E-2</v>
      </c>
      <c r="O40" s="30">
        <f t="shared" si="5"/>
        <v>2.3424626742240662E-2</v>
      </c>
      <c r="P40" s="30">
        <f t="shared" si="6"/>
        <v>3.6635395014572358E-2</v>
      </c>
      <c r="Q40" s="30">
        <f t="shared" si="7"/>
        <v>2.7270411193391686E-2</v>
      </c>
    </row>
    <row r="41" spans="2:17" ht="13.95" customHeight="1" x14ac:dyDescent="0.3">
      <c r="B41" s="105">
        <v>42769</v>
      </c>
      <c r="C41" s="107">
        <f t="shared" si="0"/>
        <v>0</v>
      </c>
      <c r="D41" s="106">
        <v>3.2895477002342042</v>
      </c>
      <c r="E41" s="106">
        <v>2.291471232523743</v>
      </c>
      <c r="F41" s="106">
        <v>0.88146802027031745</v>
      </c>
      <c r="G41" s="106">
        <v>1.104657976215436</v>
      </c>
      <c r="H41" s="106">
        <v>1.750842054742062</v>
      </c>
      <c r="I41" s="106">
        <v>0.91407239458831124</v>
      </c>
      <c r="J41" s="106">
        <v>1.2648235768934899</v>
      </c>
      <c r="K41" s="30">
        <f t="shared" si="1"/>
        <v>-4.391739611368739E-3</v>
      </c>
      <c r="L41" s="30">
        <f t="shared" si="2"/>
        <v>6.1288566578832082E-3</v>
      </c>
      <c r="M41" s="30">
        <f t="shared" si="3"/>
        <v>-6.1982101629027841E-3</v>
      </c>
      <c r="N41" s="30">
        <f t="shared" si="4"/>
        <v>-5.3997794784470754E-2</v>
      </c>
      <c r="O41" s="30">
        <f t="shared" si="5"/>
        <v>-1.6235384236841122E-2</v>
      </c>
      <c r="P41" s="30">
        <f t="shared" si="6"/>
        <v>-5.8973286298622529E-3</v>
      </c>
      <c r="Q41" s="30">
        <f t="shared" si="7"/>
        <v>-7.7359905971906562E-3</v>
      </c>
    </row>
    <row r="42" spans="2:17" ht="13.95" customHeight="1" x14ac:dyDescent="0.3">
      <c r="B42" s="105">
        <v>42776</v>
      </c>
      <c r="C42" s="107">
        <f t="shared" si="0"/>
        <v>0</v>
      </c>
      <c r="D42" s="106">
        <v>3.3692880294517051</v>
      </c>
      <c r="E42" s="106">
        <v>2.2707870601958602</v>
      </c>
      <c r="F42" s="106">
        <v>0.89666199475745734</v>
      </c>
      <c r="G42" s="106">
        <v>1.1436529000238971</v>
      </c>
      <c r="H42" s="106">
        <v>1.7827979716819611</v>
      </c>
      <c r="I42" s="106">
        <v>0.9315629044603555</v>
      </c>
      <c r="J42" s="106">
        <v>1.2737192076777131</v>
      </c>
      <c r="K42" s="30">
        <f t="shared" si="1"/>
        <v>2.4240514649422451E-2</v>
      </c>
      <c r="L42" s="30">
        <f t="shared" si="2"/>
        <v>-9.0265904429889243E-3</v>
      </c>
      <c r="M42" s="30">
        <f t="shared" si="3"/>
        <v>1.723712504337982E-2</v>
      </c>
      <c r="N42" s="30">
        <f t="shared" si="4"/>
        <v>3.5300450137569106E-2</v>
      </c>
      <c r="O42" s="30">
        <f t="shared" si="5"/>
        <v>1.8251741699571555E-2</v>
      </c>
      <c r="P42" s="30">
        <f t="shared" si="6"/>
        <v>1.9134709652753212E-2</v>
      </c>
      <c r="Q42" s="30">
        <f t="shared" si="7"/>
        <v>7.0331000676564503E-3</v>
      </c>
    </row>
    <row r="43" spans="2:17" ht="13.95" customHeight="1" x14ac:dyDescent="0.3">
      <c r="B43" s="105">
        <v>42783</v>
      </c>
      <c r="C43" s="107">
        <f t="shared" si="0"/>
        <v>0</v>
      </c>
      <c r="D43" s="106">
        <v>3.4610879385142872</v>
      </c>
      <c r="E43" s="106">
        <v>2.3102638368108859</v>
      </c>
      <c r="F43" s="106">
        <v>0.92723436835172734</v>
      </c>
      <c r="G43" s="106">
        <v>1.1694991604940621</v>
      </c>
      <c r="H43" s="106">
        <v>1.826512251079732</v>
      </c>
      <c r="I43" s="106">
        <v>0.96636555187873674</v>
      </c>
      <c r="J43" s="106">
        <v>1.294525359686338</v>
      </c>
      <c r="K43" s="30">
        <f t="shared" si="1"/>
        <v>2.7246085303523682E-2</v>
      </c>
      <c r="L43" s="30">
        <f t="shared" si="2"/>
        <v>1.7384622850378895E-2</v>
      </c>
      <c r="M43" s="30">
        <f t="shared" si="3"/>
        <v>3.409576158353822E-2</v>
      </c>
      <c r="N43" s="30">
        <f t="shared" si="4"/>
        <v>2.25997419930688E-2</v>
      </c>
      <c r="O43" s="30">
        <f t="shared" si="5"/>
        <v>2.452004102098515E-2</v>
      </c>
      <c r="P43" s="30">
        <f t="shared" si="6"/>
        <v>3.7359417438956655E-2</v>
      </c>
      <c r="Q43" s="30">
        <f t="shared" si="7"/>
        <v>1.6334959764451762E-2</v>
      </c>
    </row>
    <row r="44" spans="2:17" ht="13.95" customHeight="1" x14ac:dyDescent="0.3">
      <c r="B44" s="105">
        <v>42790</v>
      </c>
      <c r="C44" s="107">
        <f t="shared" si="0"/>
        <v>0</v>
      </c>
      <c r="D44" s="106">
        <v>3.4689442372810091</v>
      </c>
      <c r="E44" s="106">
        <v>2.2719598980560298</v>
      </c>
      <c r="F44" s="106">
        <v>0.90388301141425298</v>
      </c>
      <c r="G44" s="106">
        <v>1.1316984724717429</v>
      </c>
      <c r="H44" s="106">
        <v>1.7981741222076699</v>
      </c>
      <c r="I44" s="106">
        <v>0.93869435238546595</v>
      </c>
      <c r="J44" s="106">
        <v>1.286734559118841</v>
      </c>
      <c r="K44" s="30">
        <f t="shared" si="1"/>
        <v>2.2698928505393567E-3</v>
      </c>
      <c r="L44" s="30">
        <f t="shared" si="2"/>
        <v>-1.6579897994564607E-2</v>
      </c>
      <c r="M44" s="30">
        <f t="shared" si="3"/>
        <v>-2.5183877706112523E-2</v>
      </c>
      <c r="N44" s="30">
        <f t="shared" si="4"/>
        <v>-3.2322116423196046E-2</v>
      </c>
      <c r="O44" s="30">
        <f t="shared" si="5"/>
        <v>-1.5514885736632844E-2</v>
      </c>
      <c r="P44" s="30">
        <f t="shared" si="6"/>
        <v>-2.8634298314415774E-2</v>
      </c>
      <c r="Q44" s="30">
        <f t="shared" si="7"/>
        <v>-6.0182680155331791E-3</v>
      </c>
    </row>
    <row r="45" spans="2:17" ht="13.95" customHeight="1" x14ac:dyDescent="0.3">
      <c r="B45" s="105">
        <v>42797</v>
      </c>
      <c r="C45" s="107">
        <f t="shared" si="0"/>
        <v>0</v>
      </c>
      <c r="D45" s="106">
        <v>3.50364190187116</v>
      </c>
      <c r="E45" s="106">
        <v>2.2622858972199471</v>
      </c>
      <c r="F45" s="106">
        <v>0.91752973772951296</v>
      </c>
      <c r="G45" s="106">
        <v>1.1206922705891209</v>
      </c>
      <c r="H45" s="106">
        <v>1.801644769467327</v>
      </c>
      <c r="I45" s="106">
        <v>0.94994459193617986</v>
      </c>
      <c r="J45" s="106">
        <v>1.328678725542948</v>
      </c>
      <c r="K45" s="30">
        <f t="shared" si="1"/>
        <v>1.0002370236238622E-2</v>
      </c>
      <c r="L45" s="30">
        <f t="shared" si="2"/>
        <v>-4.2579980590150557E-3</v>
      </c>
      <c r="M45" s="30">
        <f t="shared" si="3"/>
        <v>1.5097890039893258E-2</v>
      </c>
      <c r="N45" s="30">
        <f t="shared" si="4"/>
        <v>-9.7253837045333524E-3</v>
      </c>
      <c r="O45" s="30">
        <f t="shared" si="5"/>
        <v>1.930095209798699E-3</v>
      </c>
      <c r="P45" s="30">
        <f t="shared" si="6"/>
        <v>1.1984986936508291E-2</v>
      </c>
      <c r="Q45" s="30">
        <f t="shared" si="7"/>
        <v>3.2597373037707378E-2</v>
      </c>
    </row>
    <row r="46" spans="2:17" ht="13.95" customHeight="1" x14ac:dyDescent="0.3">
      <c r="B46" s="105">
        <v>42804</v>
      </c>
      <c r="C46" s="107">
        <f t="shared" si="0"/>
        <v>0</v>
      </c>
      <c r="D46" s="106">
        <v>3.390042625348658</v>
      </c>
      <c r="E46" s="106">
        <v>2.2249425535951111</v>
      </c>
      <c r="F46" s="106">
        <v>0.90857527602014942</v>
      </c>
      <c r="G46" s="106">
        <v>1.058783396781946</v>
      </c>
      <c r="H46" s="106">
        <v>1.7444454964641041</v>
      </c>
      <c r="I46" s="106">
        <v>0.93813775640545638</v>
      </c>
      <c r="J46" s="106">
        <v>1.335254147525831</v>
      </c>
      <c r="K46" s="30">
        <f t="shared" si="1"/>
        <v>-3.2423198404446851E-2</v>
      </c>
      <c r="L46" s="30">
        <f t="shared" si="2"/>
        <v>-1.6506907314732477E-2</v>
      </c>
      <c r="M46" s="30">
        <f t="shared" si="3"/>
        <v>-9.7593149749259922E-3</v>
      </c>
      <c r="N46" s="30">
        <f t="shared" si="4"/>
        <v>-5.5241635399725708E-2</v>
      </c>
      <c r="O46" s="30">
        <f t="shared" si="5"/>
        <v>-3.174836348018506E-2</v>
      </c>
      <c r="P46" s="30">
        <f t="shared" si="6"/>
        <v>-1.2428972837940755E-2</v>
      </c>
      <c r="Q46" s="30">
        <f t="shared" si="7"/>
        <v>4.9488426784256578E-3</v>
      </c>
    </row>
    <row r="47" spans="2:17" ht="13.95" customHeight="1" x14ac:dyDescent="0.3">
      <c r="B47" s="105">
        <v>42811</v>
      </c>
      <c r="C47" s="107">
        <f t="shared" si="0"/>
        <v>0</v>
      </c>
      <c r="D47" s="106">
        <v>3.340490347436913</v>
      </c>
      <c r="E47" s="106">
        <v>2.2088671819730301</v>
      </c>
      <c r="F47" s="106">
        <v>0.90721120350529305</v>
      </c>
      <c r="G47" s="106">
        <v>1.056517557379218</v>
      </c>
      <c r="H47" s="106">
        <v>1.731067397814273</v>
      </c>
      <c r="I47" s="106">
        <v>0.9399844479123175</v>
      </c>
      <c r="J47" s="106">
        <v>1.308165592447049</v>
      </c>
      <c r="K47" s="30">
        <f t="shared" si="1"/>
        <v>-1.4617007332363152E-2</v>
      </c>
      <c r="L47" s="30">
        <f t="shared" si="2"/>
        <v>-7.2250726636092777E-3</v>
      </c>
      <c r="M47" s="30">
        <f t="shared" si="3"/>
        <v>-1.5013313160263664E-3</v>
      </c>
      <c r="N47" s="30">
        <f t="shared" si="4"/>
        <v>-2.1400405499507613E-3</v>
      </c>
      <c r="O47" s="30">
        <f t="shared" si="5"/>
        <v>-7.6689691233964297E-3</v>
      </c>
      <c r="P47" s="30">
        <f t="shared" si="6"/>
        <v>1.9684651792897245E-3</v>
      </c>
      <c r="Q47" s="30">
        <f t="shared" si="7"/>
        <v>-2.0287190366699792E-2</v>
      </c>
    </row>
    <row r="48" spans="2:17" ht="13.95" customHeight="1" x14ac:dyDescent="0.3">
      <c r="B48" s="105">
        <v>42818</v>
      </c>
      <c r="C48" s="107">
        <f t="shared" si="0"/>
        <v>0</v>
      </c>
      <c r="D48" s="106">
        <v>3.3574098027510599</v>
      </c>
      <c r="E48" s="106">
        <v>2.2195796938598709</v>
      </c>
      <c r="F48" s="106">
        <v>0.90544345507982293</v>
      </c>
      <c r="G48" s="106">
        <v>1.0250973368076961</v>
      </c>
      <c r="H48" s="106">
        <v>1.721892500347987</v>
      </c>
      <c r="I48" s="106">
        <v>0.94150145525377771</v>
      </c>
      <c r="J48" s="106">
        <v>1.279812402439171</v>
      </c>
      <c r="K48" s="30">
        <f t="shared" si="1"/>
        <v>5.0649615937758963E-3</v>
      </c>
      <c r="L48" s="30">
        <f t="shared" si="2"/>
        <v>4.8497763805210869E-3</v>
      </c>
      <c r="M48" s="30">
        <f t="shared" si="3"/>
        <v>-1.9485522430057189E-3</v>
      </c>
      <c r="N48" s="30">
        <f t="shared" si="4"/>
        <v>-2.9739421131308452E-2</v>
      </c>
      <c r="O48" s="30">
        <f t="shared" si="5"/>
        <v>-5.3001387917481768E-3</v>
      </c>
      <c r="P48" s="30">
        <f t="shared" si="6"/>
        <v>1.6138642983183349E-3</v>
      </c>
      <c r="Q48" s="30">
        <f t="shared" si="7"/>
        <v>-2.1674006847130611E-2</v>
      </c>
    </row>
    <row r="49" spans="2:17" ht="13.95" customHeight="1" x14ac:dyDescent="0.3">
      <c r="B49" s="105">
        <v>42825</v>
      </c>
      <c r="C49" s="107">
        <f t="shared" si="0"/>
        <v>0</v>
      </c>
      <c r="D49" s="106">
        <v>3.3646670528264311</v>
      </c>
      <c r="E49" s="106">
        <v>2.2602466049061598</v>
      </c>
      <c r="F49" s="106">
        <v>0.92055780442586777</v>
      </c>
      <c r="G49" s="106">
        <v>1.0658096355743421</v>
      </c>
      <c r="H49" s="106">
        <v>1.7527512374673351</v>
      </c>
      <c r="I49" s="106">
        <v>0.95941279868942642</v>
      </c>
      <c r="J49" s="106">
        <v>1.2842608454428059</v>
      </c>
      <c r="K49" s="30">
        <f t="shared" si="1"/>
        <v>2.1615621868456003E-3</v>
      </c>
      <c r="L49" s="30">
        <f t="shared" si="2"/>
        <v>1.8321897230717976E-2</v>
      </c>
      <c r="M49" s="30">
        <f t="shared" si="3"/>
        <v>1.669275895832989E-2</v>
      </c>
      <c r="N49" s="30">
        <f t="shared" si="4"/>
        <v>3.9715544373015277E-2</v>
      </c>
      <c r="O49" s="30">
        <f t="shared" si="5"/>
        <v>1.7921407470624207E-2</v>
      </c>
      <c r="P49" s="30">
        <f t="shared" si="6"/>
        <v>1.9024233404738355E-2</v>
      </c>
      <c r="Q49" s="30">
        <f t="shared" si="7"/>
        <v>3.4758555200409269E-3</v>
      </c>
    </row>
    <row r="50" spans="2:17" ht="13.95" customHeight="1" x14ac:dyDescent="0.3">
      <c r="B50" s="105">
        <v>42832</v>
      </c>
      <c r="C50" s="107">
        <f t="shared" si="0"/>
        <v>0</v>
      </c>
      <c r="D50" s="106">
        <v>3.332073444751209</v>
      </c>
      <c r="E50" s="106">
        <v>2.238924457560286</v>
      </c>
      <c r="F50" s="106">
        <v>0.92816668634699862</v>
      </c>
      <c r="G50" s="106">
        <v>1.0599853283734251</v>
      </c>
      <c r="H50" s="106">
        <v>1.742446301167903</v>
      </c>
      <c r="I50" s="106">
        <v>0.97029310079116138</v>
      </c>
      <c r="J50" s="106">
        <v>1.2711542828498841</v>
      </c>
      <c r="K50" s="30">
        <f t="shared" si="1"/>
        <v>-9.6870232814989521E-3</v>
      </c>
      <c r="L50" s="30">
        <f t="shared" si="2"/>
        <v>-9.4335491090181689E-3</v>
      </c>
      <c r="M50" s="30">
        <f t="shared" si="3"/>
        <v>8.2655123714652223E-3</v>
      </c>
      <c r="N50" s="30">
        <f t="shared" si="4"/>
        <v>-5.464678687933211E-3</v>
      </c>
      <c r="O50" s="30">
        <f t="shared" si="5"/>
        <v>-5.8792919834547153E-3</v>
      </c>
      <c r="P50" s="30">
        <f t="shared" si="6"/>
        <v>1.1340584695761491E-2</v>
      </c>
      <c r="Q50" s="30">
        <f t="shared" si="7"/>
        <v>-1.0205530005396035E-2</v>
      </c>
    </row>
    <row r="51" spans="2:17" ht="13.95" customHeight="1" x14ac:dyDescent="0.3">
      <c r="B51" s="105">
        <v>42839</v>
      </c>
      <c r="C51" s="107">
        <f t="shared" si="0"/>
        <v>0</v>
      </c>
      <c r="D51" s="106">
        <v>3.2223015790412899</v>
      </c>
      <c r="E51" s="106">
        <v>2.229441628479778</v>
      </c>
      <c r="F51" s="106">
        <v>0.91682630617099747</v>
      </c>
      <c r="G51" s="106">
        <v>1.0083121239017889</v>
      </c>
      <c r="H51" s="106">
        <v>1.695058966358949</v>
      </c>
      <c r="I51" s="106">
        <v>0.96556596671820227</v>
      </c>
      <c r="J51" s="106">
        <v>1.1983108975004091</v>
      </c>
      <c r="K51" s="30">
        <f t="shared" si="1"/>
        <v>-3.2944011448137633E-2</v>
      </c>
      <c r="L51" s="30">
        <f t="shared" si="2"/>
        <v>-4.2354394979637888E-3</v>
      </c>
      <c r="M51" s="30">
        <f t="shared" si="3"/>
        <v>-1.221804266713522E-2</v>
      </c>
      <c r="N51" s="30">
        <f t="shared" si="4"/>
        <v>-4.8748980847621692E-2</v>
      </c>
      <c r="O51" s="30">
        <f t="shared" si="5"/>
        <v>-2.7195865248295981E-2</v>
      </c>
      <c r="P51" s="30">
        <f t="shared" si="6"/>
        <v>-4.8718619859345891E-3</v>
      </c>
      <c r="Q51" s="30">
        <f t="shared" si="7"/>
        <v>-5.7304912812127462E-2</v>
      </c>
    </row>
    <row r="52" spans="2:17" ht="13.95" customHeight="1" x14ac:dyDescent="0.3">
      <c r="B52" s="105">
        <v>42846</v>
      </c>
      <c r="C52" s="107">
        <f t="shared" si="0"/>
        <v>0</v>
      </c>
      <c r="D52" s="106">
        <v>3.284629207898706</v>
      </c>
      <c r="E52" s="106">
        <v>2.27025656263327</v>
      </c>
      <c r="F52" s="106">
        <v>0.93318883449200751</v>
      </c>
      <c r="G52" s="106">
        <v>1.0119234765940659</v>
      </c>
      <c r="H52" s="106">
        <v>1.7201068631028089</v>
      </c>
      <c r="I52" s="106">
        <v>0.98532765548585033</v>
      </c>
      <c r="J52" s="106">
        <v>1.1993601277197641</v>
      </c>
      <c r="K52" s="30">
        <f t="shared" si="1"/>
        <v>1.9342580862949488E-2</v>
      </c>
      <c r="L52" s="30">
        <f t="shared" si="2"/>
        <v>1.8307245021401686E-2</v>
      </c>
      <c r="M52" s="30">
        <f t="shared" si="3"/>
        <v>1.7846922815015986E-2</v>
      </c>
      <c r="N52" s="30">
        <f t="shared" si="4"/>
        <v>3.5815821377833679E-3</v>
      </c>
      <c r="O52" s="30">
        <f t="shared" si="5"/>
        <v>1.4777006134284454E-2</v>
      </c>
      <c r="P52" s="30">
        <f t="shared" si="6"/>
        <v>2.0466430517238177E-2</v>
      </c>
      <c r="Q52" s="30">
        <f t="shared" si="7"/>
        <v>8.7559098523071199E-4</v>
      </c>
    </row>
    <row r="53" spans="2:17" ht="13.95" customHeight="1" x14ac:dyDescent="0.3">
      <c r="B53" s="105">
        <v>42853</v>
      </c>
      <c r="C53" s="107">
        <f t="shared" si="0"/>
        <v>0</v>
      </c>
      <c r="D53" s="106">
        <v>3.433871118733471</v>
      </c>
      <c r="E53" s="106">
        <v>2.3041283964104369</v>
      </c>
      <c r="F53" s="106">
        <v>0.95046706621921873</v>
      </c>
      <c r="G53" s="106">
        <v>1.0272840887979899</v>
      </c>
      <c r="H53" s="106">
        <v>1.765026457668738</v>
      </c>
      <c r="I53" s="106">
        <v>1.00440821766049</v>
      </c>
      <c r="J53" s="106">
        <v>1.214836946845447</v>
      </c>
      <c r="K53" s="30">
        <f t="shared" si="1"/>
        <v>4.5436456107701861E-2</v>
      </c>
      <c r="L53" s="30">
        <f t="shared" si="2"/>
        <v>1.4919826390845881E-2</v>
      </c>
      <c r="M53" s="30">
        <f t="shared" si="3"/>
        <v>1.8515257671955387E-2</v>
      </c>
      <c r="N53" s="30">
        <f t="shared" si="4"/>
        <v>1.5179618379469684E-2</v>
      </c>
      <c r="O53" s="30">
        <f t="shared" si="5"/>
        <v>2.6114420870864352E-2</v>
      </c>
      <c r="P53" s="30">
        <f t="shared" si="6"/>
        <v>1.9364687541659764E-2</v>
      </c>
      <c r="Q53" s="30">
        <f t="shared" si="7"/>
        <v>1.2904230154046958E-2</v>
      </c>
    </row>
    <row r="54" spans="2:17" ht="13.95" customHeight="1" x14ac:dyDescent="0.3">
      <c r="B54" s="105">
        <v>42860</v>
      </c>
      <c r="C54" s="107">
        <f t="shared" si="0"/>
        <v>0</v>
      </c>
      <c r="D54" s="106">
        <v>3.4426415494126119</v>
      </c>
      <c r="E54" s="106">
        <v>2.348763207805884</v>
      </c>
      <c r="F54" s="106">
        <v>0.95854726163668724</v>
      </c>
      <c r="G54" s="106">
        <v>1.018594197925405</v>
      </c>
      <c r="H54" s="106">
        <v>1.773705723648616</v>
      </c>
      <c r="I54" s="106">
        <v>1.012314877415758</v>
      </c>
      <c r="J54" s="106">
        <v>1.230336172325283</v>
      </c>
      <c r="K54" s="30">
        <f t="shared" si="1"/>
        <v>2.5540943081101553E-3</v>
      </c>
      <c r="L54" s="30">
        <f t="shared" si="2"/>
        <v>1.9371668464736036E-2</v>
      </c>
      <c r="M54" s="30">
        <f t="shared" si="3"/>
        <v>8.5012892131128837E-3</v>
      </c>
      <c r="N54" s="30">
        <f t="shared" si="4"/>
        <v>-8.4590922485258124E-3</v>
      </c>
      <c r="O54" s="30">
        <f t="shared" si="5"/>
        <v>4.9173574379965945E-3</v>
      </c>
      <c r="P54" s="30">
        <f t="shared" si="6"/>
        <v>7.8719584490103411E-3</v>
      </c>
      <c r="Q54" s="30">
        <f t="shared" si="7"/>
        <v>1.2758276343243224E-2</v>
      </c>
    </row>
    <row r="55" spans="2:17" ht="13.95" customHeight="1" x14ac:dyDescent="0.3">
      <c r="B55" s="105">
        <v>42867</v>
      </c>
      <c r="C55" s="107">
        <f t="shared" si="0"/>
        <v>0</v>
      </c>
      <c r="D55" s="106">
        <v>3.5851667288168789</v>
      </c>
      <c r="E55" s="106">
        <v>2.4391097699352708</v>
      </c>
      <c r="F55" s="106">
        <v>0.99923184301779155</v>
      </c>
      <c r="G55" s="106">
        <v>1.04979718310764</v>
      </c>
      <c r="H55" s="106">
        <v>1.8413938623062649</v>
      </c>
      <c r="I55" s="106">
        <v>1.05182534195898</v>
      </c>
      <c r="J55" s="106">
        <v>1.31083358625941</v>
      </c>
      <c r="K55" s="30">
        <f t="shared" si="1"/>
        <v>4.1399947499205947E-2</v>
      </c>
      <c r="L55" s="30">
        <f t="shared" si="2"/>
        <v>3.8465589817282986E-2</v>
      </c>
      <c r="M55" s="30">
        <f t="shared" si="3"/>
        <v>4.2444001469094772E-2</v>
      </c>
      <c r="N55" s="30">
        <f t="shared" si="4"/>
        <v>3.0633382013943278E-2</v>
      </c>
      <c r="O55" s="30">
        <f t="shared" si="5"/>
        <v>3.8161989193117307E-2</v>
      </c>
      <c r="P55" s="30">
        <f t="shared" si="6"/>
        <v>3.902981712971032E-2</v>
      </c>
      <c r="Q55" s="30">
        <f t="shared" si="7"/>
        <v>6.5427170024587866E-2</v>
      </c>
    </row>
    <row r="56" spans="2:17" ht="13.95" customHeight="1" x14ac:dyDescent="0.3">
      <c r="B56" s="105">
        <v>42874</v>
      </c>
      <c r="C56" s="107">
        <f t="shared" si="0"/>
        <v>0</v>
      </c>
      <c r="D56" s="106">
        <v>3.1528084162718621</v>
      </c>
      <c r="E56" s="106">
        <v>2.2451881527761932</v>
      </c>
      <c r="F56" s="106">
        <v>0.91696709939669085</v>
      </c>
      <c r="G56" s="106">
        <v>1.019045280820708</v>
      </c>
      <c r="H56" s="106">
        <v>1.690232158778316</v>
      </c>
      <c r="I56" s="106">
        <v>0.95989359993753409</v>
      </c>
      <c r="J56" s="106">
        <v>1.246580449061131</v>
      </c>
      <c r="K56" s="30">
        <f t="shared" si="1"/>
        <v>-0.12059643114218488</v>
      </c>
      <c r="L56" s="30">
        <f t="shared" si="2"/>
        <v>-7.9505079906356135E-2</v>
      </c>
      <c r="M56" s="30">
        <f t="shared" si="3"/>
        <v>-8.232798443717726E-2</v>
      </c>
      <c r="N56" s="30">
        <f t="shared" si="4"/>
        <v>-2.9293184228118552E-2</v>
      </c>
      <c r="O56" s="30">
        <f t="shared" si="5"/>
        <v>-8.2090913097008777E-2</v>
      </c>
      <c r="P56" s="30">
        <f t="shared" si="6"/>
        <v>-8.7402098384725124E-2</v>
      </c>
      <c r="Q56" s="30">
        <f t="shared" si="7"/>
        <v>-4.9017005569434335E-2</v>
      </c>
    </row>
    <row r="57" spans="2:17" ht="13.95" customHeight="1" x14ac:dyDescent="0.3">
      <c r="B57" s="105">
        <v>42881</v>
      </c>
      <c r="C57" s="107">
        <f t="shared" si="0"/>
        <v>0</v>
      </c>
      <c r="D57" s="106">
        <v>3.1868190969730601</v>
      </c>
      <c r="E57" s="106">
        <v>2.3279511762892322</v>
      </c>
      <c r="F57" s="106">
        <v>0.93946036206504768</v>
      </c>
      <c r="G57" s="106">
        <v>1.04427137801604</v>
      </c>
      <c r="H57" s="106">
        <v>1.7293057111029071</v>
      </c>
      <c r="I57" s="106">
        <v>0.97916714968082097</v>
      </c>
      <c r="J57" s="106">
        <v>1.3121161195217881</v>
      </c>
      <c r="K57" s="30">
        <f t="shared" si="1"/>
        <v>1.0787423849056843E-2</v>
      </c>
      <c r="L57" s="30">
        <f t="shared" si="2"/>
        <v>3.686239988871387E-2</v>
      </c>
      <c r="M57" s="30">
        <f t="shared" si="3"/>
        <v>2.4530065127915668E-2</v>
      </c>
      <c r="N57" s="30">
        <f t="shared" si="4"/>
        <v>2.4754638159960596E-2</v>
      </c>
      <c r="O57" s="30">
        <f t="shared" si="5"/>
        <v>2.3117269495589898E-2</v>
      </c>
      <c r="P57" s="30">
        <f t="shared" si="6"/>
        <v>2.0078839721966224E-2</v>
      </c>
      <c r="Q57" s="30">
        <f t="shared" si="7"/>
        <v>5.2572355446466101E-2</v>
      </c>
    </row>
    <row r="58" spans="2:17" ht="13.95" customHeight="1" x14ac:dyDescent="0.3">
      <c r="B58" s="105">
        <v>42888</v>
      </c>
      <c r="C58" s="107">
        <f t="shared" si="0"/>
        <v>0</v>
      </c>
      <c r="D58" s="106">
        <v>3.1208566991155049</v>
      </c>
      <c r="E58" s="106">
        <v>2.2732961180657072</v>
      </c>
      <c r="F58" s="106">
        <v>0.91246071492765113</v>
      </c>
      <c r="G58" s="106">
        <v>1.015617592397591</v>
      </c>
      <c r="H58" s="106">
        <v>1.687199107019753</v>
      </c>
      <c r="I58" s="106">
        <v>0.94855413644742348</v>
      </c>
      <c r="J58" s="106">
        <v>1.294293739838257</v>
      </c>
      <c r="K58" s="30">
        <f t="shared" si="1"/>
        <v>-2.0698507147835388E-2</v>
      </c>
      <c r="L58" s="30">
        <f t="shared" si="2"/>
        <v>-2.3477751071500297E-2</v>
      </c>
      <c r="M58" s="30">
        <f t="shared" si="3"/>
        <v>-2.8739527741274862E-2</v>
      </c>
      <c r="N58" s="30">
        <f t="shared" si="4"/>
        <v>-2.7439022290246973E-2</v>
      </c>
      <c r="O58" s="30">
        <f t="shared" si="5"/>
        <v>-2.4348849259452021E-2</v>
      </c>
      <c r="P58" s="30">
        <f t="shared" si="6"/>
        <v>-3.1264338518072643E-2</v>
      </c>
      <c r="Q58" s="30">
        <f t="shared" si="7"/>
        <v>-1.3582928689289009E-2</v>
      </c>
    </row>
    <row r="59" spans="2:17" ht="13.95" customHeight="1" x14ac:dyDescent="0.3">
      <c r="B59" s="105">
        <v>42895</v>
      </c>
      <c r="C59" s="107">
        <f t="shared" si="0"/>
        <v>0</v>
      </c>
      <c r="D59" s="106">
        <v>3.111434522165101</v>
      </c>
      <c r="E59" s="106">
        <v>2.2396771041219639</v>
      </c>
      <c r="F59" s="106">
        <v>0.91425611300672083</v>
      </c>
      <c r="G59" s="106">
        <v>1.0143872275256991</v>
      </c>
      <c r="H59" s="106">
        <v>1.679055153833694</v>
      </c>
      <c r="I59" s="106">
        <v>0.95661949006878333</v>
      </c>
      <c r="J59" s="106">
        <v>1.24762216935478</v>
      </c>
      <c r="K59" s="30">
        <f t="shared" si="1"/>
        <v>-3.0190995161919476E-3</v>
      </c>
      <c r="L59" s="30">
        <f t="shared" si="2"/>
        <v>-1.4788664651549599E-2</v>
      </c>
      <c r="M59" s="30">
        <f t="shared" si="3"/>
        <v>1.9676442499905189E-3</v>
      </c>
      <c r="N59" s="30">
        <f t="shared" si="4"/>
        <v>-1.2114450173980051E-3</v>
      </c>
      <c r="O59" s="30">
        <f t="shared" si="5"/>
        <v>-4.8269070035511508E-3</v>
      </c>
      <c r="P59" s="30">
        <f t="shared" si="6"/>
        <v>8.5027868325646683E-3</v>
      </c>
      <c r="Q59" s="30">
        <f t="shared" si="7"/>
        <v>-3.6059488697912867E-2</v>
      </c>
    </row>
    <row r="60" spans="2:17" ht="13.95" customHeight="1" x14ac:dyDescent="0.3">
      <c r="B60" s="105">
        <v>42902</v>
      </c>
      <c r="C60" s="107">
        <f t="shared" si="0"/>
        <v>0</v>
      </c>
      <c r="D60" s="106">
        <v>3.136829385016445</v>
      </c>
      <c r="E60" s="106">
        <v>2.216477952494988</v>
      </c>
      <c r="F60" s="106">
        <v>0.91494347940620091</v>
      </c>
      <c r="G60" s="106">
        <v>0.97733908000038361</v>
      </c>
      <c r="H60" s="106">
        <v>1.663399214327876</v>
      </c>
      <c r="I60" s="106">
        <v>0.95940070961783652</v>
      </c>
      <c r="J60" s="106">
        <v>1.232188291125913</v>
      </c>
      <c r="K60" s="30">
        <f t="shared" si="1"/>
        <v>8.1617860412737109E-3</v>
      </c>
      <c r="L60" s="30">
        <f t="shared" si="2"/>
        <v>-1.0358257261405934E-2</v>
      </c>
      <c r="M60" s="30">
        <f t="shared" si="3"/>
        <v>7.5183134102263516E-4</v>
      </c>
      <c r="N60" s="30">
        <f t="shared" si="4"/>
        <v>-3.652268731309205E-2</v>
      </c>
      <c r="O60" s="30">
        <f t="shared" si="5"/>
        <v>-9.3242556506090146E-3</v>
      </c>
      <c r="P60" s="30">
        <f t="shared" si="6"/>
        <v>2.9073415061333652E-3</v>
      </c>
      <c r="Q60" s="30">
        <f t="shared" si="7"/>
        <v>-1.2370634802721381E-2</v>
      </c>
    </row>
    <row r="61" spans="2:17" ht="13.95" customHeight="1" x14ac:dyDescent="0.3">
      <c r="B61" s="105">
        <v>42909</v>
      </c>
      <c r="C61" s="107">
        <f t="shared" si="0"/>
        <v>0</v>
      </c>
      <c r="D61" s="106">
        <v>3.063822394102834</v>
      </c>
      <c r="E61" s="106">
        <v>2.2106410867526529</v>
      </c>
      <c r="F61" s="106">
        <v>0.90903018651325684</v>
      </c>
      <c r="G61" s="106">
        <v>0.98011113164378527</v>
      </c>
      <c r="H61" s="106">
        <v>1.648736200309924</v>
      </c>
      <c r="I61" s="106">
        <v>0.95143617208024844</v>
      </c>
      <c r="J61" s="106">
        <v>1.2382297777627449</v>
      </c>
      <c r="K61" s="30">
        <f t="shared" si="1"/>
        <v>-2.3274135106722826E-2</v>
      </c>
      <c r="L61" s="30">
        <f t="shared" si="2"/>
        <v>-2.6333967074948506E-3</v>
      </c>
      <c r="M61" s="30">
        <f t="shared" si="3"/>
        <v>-6.4630144113183574E-3</v>
      </c>
      <c r="N61" s="30">
        <f t="shared" si="4"/>
        <v>2.8363253860681503E-3</v>
      </c>
      <c r="O61" s="30">
        <f t="shared" si="5"/>
        <v>-8.8150901429137063E-3</v>
      </c>
      <c r="P61" s="30">
        <f t="shared" si="6"/>
        <v>-8.3015756166791022E-3</v>
      </c>
      <c r="Q61" s="30">
        <f t="shared" si="7"/>
        <v>4.903054736311141E-3</v>
      </c>
    </row>
    <row r="62" spans="2:17" ht="13.95" customHeight="1" x14ac:dyDescent="0.3">
      <c r="B62" s="105">
        <v>42916</v>
      </c>
      <c r="C62" s="107">
        <f t="shared" si="0"/>
        <v>0</v>
      </c>
      <c r="D62" s="106">
        <v>3.1991083979586512</v>
      </c>
      <c r="E62" s="106">
        <v>2.2179754605545159</v>
      </c>
      <c r="F62" s="106">
        <v>0.92583865271926857</v>
      </c>
      <c r="G62" s="106">
        <v>1.0228874009141711</v>
      </c>
      <c r="H62" s="106">
        <v>1.6975268444642151</v>
      </c>
      <c r="I62" s="106">
        <v>0.97579603664608072</v>
      </c>
      <c r="J62" s="106">
        <v>1.2073944473717551</v>
      </c>
      <c r="K62" s="30">
        <f t="shared" si="1"/>
        <v>4.4155955030621863E-2</v>
      </c>
      <c r="L62" s="30">
        <f t="shared" si="2"/>
        <v>3.3177587469148673E-3</v>
      </c>
      <c r="M62" s="30">
        <f t="shared" si="3"/>
        <v>1.8490547899716603E-2</v>
      </c>
      <c r="N62" s="30">
        <f t="shared" si="4"/>
        <v>4.3644305109201254E-2</v>
      </c>
      <c r="O62" s="30">
        <f t="shared" si="5"/>
        <v>2.9592753616448642E-2</v>
      </c>
      <c r="P62" s="30">
        <f t="shared" si="6"/>
        <v>2.5603256719335388E-2</v>
      </c>
      <c r="Q62" s="30">
        <f t="shared" si="7"/>
        <v>-2.4902753063089533E-2</v>
      </c>
    </row>
    <row r="63" spans="2:17" ht="13.95" customHeight="1" x14ac:dyDescent="0.3">
      <c r="B63" s="105">
        <v>42923</v>
      </c>
      <c r="C63" s="107">
        <f t="shared" si="0"/>
        <v>0</v>
      </c>
      <c r="D63" s="106">
        <v>3.161395654345005</v>
      </c>
      <c r="E63" s="106">
        <v>2.2077766714341869</v>
      </c>
      <c r="F63" s="106">
        <v>0.92622469985313205</v>
      </c>
      <c r="G63" s="106">
        <v>1.0075825831045759</v>
      </c>
      <c r="H63" s="106">
        <v>1.6823026112577331</v>
      </c>
      <c r="I63" s="106">
        <v>0.97322440954714029</v>
      </c>
      <c r="J63" s="106">
        <v>1.231630064313987</v>
      </c>
      <c r="K63" s="30">
        <f t="shared" si="1"/>
        <v>-1.1788516962323192E-2</v>
      </c>
      <c r="L63" s="30">
        <f t="shared" si="2"/>
        <v>-4.5982425422232964E-3</v>
      </c>
      <c r="M63" s="30">
        <f t="shared" si="3"/>
        <v>4.1697020612563307E-4</v>
      </c>
      <c r="N63" s="30">
        <f t="shared" si="4"/>
        <v>-1.4962368092438116E-2</v>
      </c>
      <c r="O63" s="30">
        <f t="shared" si="5"/>
        <v>-8.9684786170713959E-3</v>
      </c>
      <c r="P63" s="30">
        <f t="shared" si="6"/>
        <v>-2.6354145767791826E-3</v>
      </c>
      <c r="Q63" s="30">
        <f t="shared" si="7"/>
        <v>2.0072658935104348E-2</v>
      </c>
    </row>
    <row r="64" spans="2:17" ht="13.95" customHeight="1" x14ac:dyDescent="0.3">
      <c r="B64" s="105">
        <v>42930</v>
      </c>
      <c r="C64" s="107">
        <f t="shared" si="0"/>
        <v>0</v>
      </c>
      <c r="D64" s="106">
        <v>3.3439765209043588</v>
      </c>
      <c r="E64" s="106">
        <v>2.2863417046686592</v>
      </c>
      <c r="F64" s="106">
        <v>0.97999075556159543</v>
      </c>
      <c r="G64" s="106">
        <v>1.0567888479607901</v>
      </c>
      <c r="H64" s="106">
        <v>1.766332270614009</v>
      </c>
      <c r="I64" s="106">
        <v>1.0342639747943541</v>
      </c>
      <c r="J64" s="106">
        <v>1.2669088422157699</v>
      </c>
      <c r="K64" s="30">
        <f t="shared" si="1"/>
        <v>5.7753247781060058E-2</v>
      </c>
      <c r="L64" s="30">
        <f t="shared" si="2"/>
        <v>3.5585589000465268E-2</v>
      </c>
      <c r="M64" s="30">
        <f t="shared" si="3"/>
        <v>5.8048609281299512E-2</v>
      </c>
      <c r="N64" s="30">
        <f t="shared" si="4"/>
        <v>4.8835962114985421E-2</v>
      </c>
      <c r="O64" s="30">
        <f t="shared" si="5"/>
        <v>4.9949193916695611E-2</v>
      </c>
      <c r="P64" s="30">
        <f t="shared" si="6"/>
        <v>6.2718900850027515E-2</v>
      </c>
      <c r="Q64" s="30">
        <f t="shared" si="7"/>
        <v>2.8643972670018503E-2</v>
      </c>
    </row>
    <row r="65" spans="2:17" ht="13.95" customHeight="1" x14ac:dyDescent="0.3">
      <c r="B65" s="105">
        <v>42937</v>
      </c>
      <c r="C65" s="107">
        <f t="shared" si="0"/>
        <v>0</v>
      </c>
      <c r="D65" s="106">
        <v>3.3044449670737008</v>
      </c>
      <c r="E65" s="106">
        <v>2.2682358237043112</v>
      </c>
      <c r="F65" s="106">
        <v>0.98605749566623679</v>
      </c>
      <c r="G65" s="106">
        <v>1.030139507913024</v>
      </c>
      <c r="H65" s="106">
        <v>1.7459527448648819</v>
      </c>
      <c r="I65" s="106">
        <v>1.0400903933134751</v>
      </c>
      <c r="J65" s="106">
        <v>1.2793436775139599</v>
      </c>
      <c r="K65" s="30">
        <f t="shared" si="1"/>
        <v>-1.1821719914458906E-2</v>
      </c>
      <c r="L65" s="30">
        <f t="shared" si="2"/>
        <v>-7.9191491487804466E-3</v>
      </c>
      <c r="M65" s="30">
        <f t="shared" si="3"/>
        <v>6.1906095238262182E-3</v>
      </c>
      <c r="N65" s="30">
        <f t="shared" si="4"/>
        <v>-2.5217279780335944E-2</v>
      </c>
      <c r="O65" s="30">
        <f t="shared" si="5"/>
        <v>-1.1537764489827684E-2</v>
      </c>
      <c r="P65" s="30">
        <f t="shared" si="6"/>
        <v>5.6333959812140399E-3</v>
      </c>
      <c r="Q65" s="30">
        <f t="shared" si="7"/>
        <v>9.8150986746938784E-3</v>
      </c>
    </row>
    <row r="66" spans="2:17" ht="13.95" customHeight="1" x14ac:dyDescent="0.3">
      <c r="B66" s="105">
        <v>42944</v>
      </c>
      <c r="C66" s="107">
        <f t="shared" si="0"/>
        <v>0</v>
      </c>
      <c r="D66" s="106">
        <v>3.312200064785241</v>
      </c>
      <c r="E66" s="106">
        <v>2.2985042634674171</v>
      </c>
      <c r="F66" s="106">
        <v>0.99277607017009084</v>
      </c>
      <c r="G66" s="106">
        <v>1.060260149468262</v>
      </c>
      <c r="H66" s="106">
        <v>1.768021108892472</v>
      </c>
      <c r="I66" s="106">
        <v>1.049932800337402</v>
      </c>
      <c r="J66" s="106">
        <v>1.266103873293599</v>
      </c>
      <c r="K66" s="30">
        <f t="shared" si="1"/>
        <v>2.3468684722589561E-3</v>
      </c>
      <c r="L66" s="30">
        <f t="shared" si="2"/>
        <v>1.3344485369106707E-2</v>
      </c>
      <c r="M66" s="30">
        <f t="shared" si="3"/>
        <v>6.8135727717526517E-3</v>
      </c>
      <c r="N66" s="30">
        <f t="shared" si="4"/>
        <v>2.9239381000210285E-2</v>
      </c>
      <c r="O66" s="30">
        <f t="shared" si="5"/>
        <v>1.2639725841662397E-2</v>
      </c>
      <c r="P66" s="30">
        <f t="shared" si="6"/>
        <v>9.4630304127427678E-3</v>
      </c>
      <c r="Q66" s="30">
        <f t="shared" si="7"/>
        <v>-1.0348903467509829E-2</v>
      </c>
    </row>
    <row r="67" spans="2:17" ht="13.95" customHeight="1" x14ac:dyDescent="0.3">
      <c r="B67" s="105">
        <v>42951</v>
      </c>
      <c r="C67" s="107">
        <f t="shared" si="0"/>
        <v>0</v>
      </c>
      <c r="D67" s="106">
        <v>3.440085289728112</v>
      </c>
      <c r="E67" s="106">
        <v>2.3459528493472619</v>
      </c>
      <c r="F67" s="106">
        <v>0.97834093046023918</v>
      </c>
      <c r="G67" s="106">
        <v>1.0839058196652409</v>
      </c>
      <c r="H67" s="106">
        <v>1.806383947302717</v>
      </c>
      <c r="I67" s="106">
        <v>1.0285999493871381</v>
      </c>
      <c r="J67" s="106">
        <v>1.296548861967258</v>
      </c>
      <c r="K67" s="30">
        <f t="shared" si="1"/>
        <v>3.8610356391971967E-2</v>
      </c>
      <c r="L67" s="30">
        <f t="shared" si="2"/>
        <v>2.0643244667410743E-2</v>
      </c>
      <c r="M67" s="30">
        <f t="shared" si="3"/>
        <v>-1.4540176927691828E-2</v>
      </c>
      <c r="N67" s="30">
        <f t="shared" si="4"/>
        <v>2.2301762646495416E-2</v>
      </c>
      <c r="O67" s="30">
        <f t="shared" si="5"/>
        <v>2.1698178951198299E-2</v>
      </c>
      <c r="P67" s="30">
        <f t="shared" si="6"/>
        <v>-2.0318301269765526E-2</v>
      </c>
      <c r="Q67" s="30">
        <f t="shared" si="7"/>
        <v>2.4046201355075736E-2</v>
      </c>
    </row>
    <row r="68" spans="2:17" ht="13.95" customHeight="1" x14ac:dyDescent="0.3">
      <c r="B68" s="105">
        <v>42958</v>
      </c>
      <c r="C68" s="107">
        <f t="shared" si="0"/>
        <v>0</v>
      </c>
      <c r="D68" s="106">
        <v>3.485424586184704</v>
      </c>
      <c r="E68" s="106">
        <v>2.3767613453415759</v>
      </c>
      <c r="F68" s="106">
        <v>0.99228876439637637</v>
      </c>
      <c r="G68" s="106">
        <v>1.071658016960074</v>
      </c>
      <c r="H68" s="106">
        <v>1.8191530433399381</v>
      </c>
      <c r="I68" s="106">
        <v>1.042370213692978</v>
      </c>
      <c r="J68" s="106">
        <v>1.322245674024908</v>
      </c>
      <c r="K68" s="30">
        <f t="shared" si="1"/>
        <v>1.3179701268446031E-2</v>
      </c>
      <c r="L68" s="30">
        <f t="shared" si="2"/>
        <v>1.3132615177191775E-2</v>
      </c>
      <c r="M68" s="30">
        <f t="shared" si="3"/>
        <v>1.4256619039311413E-2</v>
      </c>
      <c r="N68" s="30">
        <f t="shared" si="4"/>
        <v>-1.1299692725101895E-2</v>
      </c>
      <c r="O68" s="30">
        <f t="shared" si="5"/>
        <v>7.0688715188638174E-3</v>
      </c>
      <c r="P68" s="30">
        <f t="shared" si="6"/>
        <v>1.3387385750937009E-2</v>
      </c>
      <c r="Q68" s="30">
        <f t="shared" si="7"/>
        <v>1.981939347712669E-2</v>
      </c>
    </row>
    <row r="69" spans="2:17" ht="13.95" customHeight="1" x14ac:dyDescent="0.3">
      <c r="B69" s="105">
        <v>42965</v>
      </c>
      <c r="C69" s="107">
        <f t="shared" si="0"/>
        <v>0</v>
      </c>
      <c r="D69" s="106">
        <v>3.5796188989638331</v>
      </c>
      <c r="E69" s="106">
        <v>2.3783933309957548</v>
      </c>
      <c r="F69" s="106">
        <v>1.0179869112479849</v>
      </c>
      <c r="G69" s="106">
        <v>1.0998656173814521</v>
      </c>
      <c r="H69" s="106">
        <v>1.8557547353593411</v>
      </c>
      <c r="I69" s="106">
        <v>1.069404978041369</v>
      </c>
      <c r="J69" s="106">
        <v>1.356169427761706</v>
      </c>
      <c r="K69" s="30">
        <f t="shared" si="1"/>
        <v>2.7025204663010172E-2</v>
      </c>
      <c r="L69" s="30">
        <f t="shared" si="2"/>
        <v>6.8664262710993462E-4</v>
      </c>
      <c r="M69" s="30">
        <f t="shared" si="3"/>
        <v>2.5897851284490958E-2</v>
      </c>
      <c r="N69" s="30">
        <f t="shared" si="4"/>
        <v>2.6321457008639193E-2</v>
      </c>
      <c r="O69" s="30">
        <f t="shared" si="5"/>
        <v>2.012018293535256E-2</v>
      </c>
      <c r="P69" s="30">
        <f t="shared" si="6"/>
        <v>2.5935856563485737E-2</v>
      </c>
      <c r="Q69" s="30">
        <f t="shared" si="7"/>
        <v>2.565616541859006E-2</v>
      </c>
    </row>
    <row r="70" spans="2:17" ht="13.95" customHeight="1" x14ac:dyDescent="0.3">
      <c r="B70" s="105">
        <v>42972</v>
      </c>
      <c r="C70" s="107">
        <f t="shared" si="0"/>
        <v>0</v>
      </c>
      <c r="D70" s="106">
        <v>3.6951783952981452</v>
      </c>
      <c r="E70" s="106">
        <v>2.4505202207873071</v>
      </c>
      <c r="F70" s="106">
        <v>1.042018145924746</v>
      </c>
      <c r="G70" s="106">
        <v>1.149347963706463</v>
      </c>
      <c r="H70" s="106">
        <v>1.9182680431993371</v>
      </c>
      <c r="I70" s="106">
        <v>1.0952333961681009</v>
      </c>
      <c r="J70" s="106">
        <v>1.3834780700426259</v>
      </c>
      <c r="K70" s="30">
        <f t="shared" si="1"/>
        <v>3.2282625496184103E-2</v>
      </c>
      <c r="L70" s="30">
        <f t="shared" si="2"/>
        <v>3.0325888006655033E-2</v>
      </c>
      <c r="M70" s="30">
        <f t="shared" si="3"/>
        <v>2.3606624418481381E-2</v>
      </c>
      <c r="N70" s="30">
        <f t="shared" si="4"/>
        <v>4.4989447386143411E-2</v>
      </c>
      <c r="O70" s="30">
        <f t="shared" si="5"/>
        <v>3.3686190663493765E-2</v>
      </c>
      <c r="P70" s="30">
        <f t="shared" si="6"/>
        <v>2.4152139420593466E-2</v>
      </c>
      <c r="Q70" s="30">
        <f t="shared" si="7"/>
        <v>2.0136600723990261E-2</v>
      </c>
    </row>
    <row r="71" spans="2:17" ht="13.95" customHeight="1" x14ac:dyDescent="0.3">
      <c r="B71" s="105">
        <v>42979</v>
      </c>
      <c r="C71" s="107">
        <f t="shared" si="0"/>
        <v>0</v>
      </c>
      <c r="D71" s="106">
        <v>3.7165991406322072</v>
      </c>
      <c r="E71" s="106">
        <v>2.4492607934366442</v>
      </c>
      <c r="F71" s="106">
        <v>1.0510992634612439</v>
      </c>
      <c r="G71" s="106">
        <v>1.1910457361085509</v>
      </c>
      <c r="H71" s="106">
        <v>1.942369296729445</v>
      </c>
      <c r="I71" s="106">
        <v>1.1008188984734379</v>
      </c>
      <c r="J71" s="106">
        <v>1.4274467249347309</v>
      </c>
      <c r="K71" s="30">
        <f t="shared" si="1"/>
        <v>5.7969448406924862E-3</v>
      </c>
      <c r="L71" s="30">
        <f t="shared" si="2"/>
        <v>-5.139428517991762E-4</v>
      </c>
      <c r="M71" s="30">
        <f t="shared" si="3"/>
        <v>8.7149322418362818E-3</v>
      </c>
      <c r="N71" s="30">
        <f t="shared" si="4"/>
        <v>3.627950256910828E-2</v>
      </c>
      <c r="O71" s="30">
        <f t="shared" si="5"/>
        <v>1.2564069768848052E-2</v>
      </c>
      <c r="P71" s="30">
        <f t="shared" si="6"/>
        <v>5.099828333284151E-3</v>
      </c>
      <c r="Q71" s="30">
        <f t="shared" si="7"/>
        <v>3.178124456338538E-2</v>
      </c>
    </row>
    <row r="72" spans="2:17" ht="13.95" customHeight="1" x14ac:dyDescent="0.3">
      <c r="B72" s="105">
        <v>42986</v>
      </c>
      <c r="C72" s="107">
        <f t="shared" si="0"/>
        <v>0</v>
      </c>
      <c r="D72" s="106">
        <v>3.7733984152443978</v>
      </c>
      <c r="E72" s="106">
        <v>2.498302052282813</v>
      </c>
      <c r="F72" s="106">
        <v>1.083047916310228</v>
      </c>
      <c r="G72" s="106">
        <v>1.1966381066264731</v>
      </c>
      <c r="H72" s="106">
        <v>1.973148785674641</v>
      </c>
      <c r="I72" s="106">
        <v>1.1360768994972319</v>
      </c>
      <c r="J72" s="106">
        <v>1.4564225681365419</v>
      </c>
      <c r="K72" s="30">
        <f t="shared" si="1"/>
        <v>1.5282593700037594E-2</v>
      </c>
      <c r="L72" s="30">
        <f t="shared" si="2"/>
        <v>2.002288158843113E-2</v>
      </c>
      <c r="M72" s="30">
        <f t="shared" si="3"/>
        <v>3.0395466878911037E-2</v>
      </c>
      <c r="N72" s="30">
        <f t="shared" si="4"/>
        <v>4.6953448959852206E-3</v>
      </c>
      <c r="O72" s="30">
        <f t="shared" si="5"/>
        <v>1.5846362994422547E-2</v>
      </c>
      <c r="P72" s="30">
        <f t="shared" si="6"/>
        <v>3.2028884199470031E-2</v>
      </c>
      <c r="Q72" s="30">
        <f t="shared" si="7"/>
        <v>2.0299071548982583E-2</v>
      </c>
    </row>
    <row r="73" spans="2:17" ht="13.95" customHeight="1" x14ac:dyDescent="0.3">
      <c r="B73" s="105">
        <v>42993</v>
      </c>
      <c r="C73" s="107">
        <f t="shared" si="0"/>
        <v>0</v>
      </c>
      <c r="D73" s="106">
        <v>3.931014783926992</v>
      </c>
      <c r="E73" s="106">
        <v>2.616825393493837</v>
      </c>
      <c r="F73" s="106">
        <v>1.1399155137767181</v>
      </c>
      <c r="G73" s="106">
        <v>1.208021159009758</v>
      </c>
      <c r="H73" s="106">
        <v>2.044608589089461</v>
      </c>
      <c r="I73" s="106">
        <v>1.19664653081334</v>
      </c>
      <c r="J73" s="106">
        <v>1.5255398917790599</v>
      </c>
      <c r="K73" s="30">
        <f t="shared" si="1"/>
        <v>4.1770401992492934E-2</v>
      </c>
      <c r="L73" s="30">
        <f t="shared" si="2"/>
        <v>4.7441557798314937E-2</v>
      </c>
      <c r="M73" s="30">
        <f t="shared" si="3"/>
        <v>5.2507000484548261E-2</v>
      </c>
      <c r="N73" s="30">
        <f t="shared" si="4"/>
        <v>9.5125270708416032E-3</v>
      </c>
      <c r="O73" s="30">
        <f t="shared" si="5"/>
        <v>3.6216125176990577E-2</v>
      </c>
      <c r="P73" s="30">
        <f t="shared" si="6"/>
        <v>5.3314728380546406E-2</v>
      </c>
      <c r="Q73" s="30">
        <f t="shared" si="7"/>
        <v>4.7456916113948866E-2</v>
      </c>
    </row>
    <row r="74" spans="2:17" ht="13.95" customHeight="1" x14ac:dyDescent="0.3">
      <c r="B74" s="105">
        <v>43000</v>
      </c>
      <c r="C74" s="107">
        <f t="shared" si="0"/>
        <v>0</v>
      </c>
      <c r="D74" s="106">
        <v>3.9586041878687439</v>
      </c>
      <c r="E74" s="106">
        <v>2.607965066367909</v>
      </c>
      <c r="F74" s="106">
        <v>1.107846750014899</v>
      </c>
      <c r="G74" s="106">
        <v>1.197600902567318</v>
      </c>
      <c r="H74" s="106">
        <v>2.034430985489867</v>
      </c>
      <c r="I74" s="106">
        <v>1.1641022073113689</v>
      </c>
      <c r="J74" s="106">
        <v>1.4736420717885399</v>
      </c>
      <c r="K74" s="30">
        <f t="shared" si="1"/>
        <v>7.0183923129871761E-3</v>
      </c>
      <c r="L74" s="30">
        <f t="shared" si="2"/>
        <v>-3.3859068885364607E-3</v>
      </c>
      <c r="M74" s="30">
        <f t="shared" si="3"/>
        <v>-2.813257945369152E-2</v>
      </c>
      <c r="N74" s="30">
        <f t="shared" si="4"/>
        <v>-8.6258890125581189E-3</v>
      </c>
      <c r="O74" s="30">
        <f t="shared" si="5"/>
        <v>-4.9777760173287389E-3</v>
      </c>
      <c r="P74" s="30">
        <f t="shared" si="6"/>
        <v>-2.7196271132672201E-2</v>
      </c>
      <c r="Q74" s="30">
        <f t="shared" si="7"/>
        <v>-3.4019313601821088E-2</v>
      </c>
    </row>
    <row r="75" spans="2:17" ht="13.95" customHeight="1" x14ac:dyDescent="0.3">
      <c r="B75" s="105">
        <v>43007</v>
      </c>
      <c r="C75" s="107">
        <f t="shared" si="0"/>
        <v>0</v>
      </c>
      <c r="D75" s="106">
        <v>3.890390727830916</v>
      </c>
      <c r="E75" s="106">
        <v>2.5537583301635229</v>
      </c>
      <c r="F75" s="106">
        <v>1.1176237405237821</v>
      </c>
      <c r="G75" s="106">
        <v>1.174986508119622</v>
      </c>
      <c r="H75" s="106">
        <v>2.004773482407646</v>
      </c>
      <c r="I75" s="106">
        <v>1.1790730693612581</v>
      </c>
      <c r="J75" s="106">
        <v>1.4489967462450319</v>
      </c>
      <c r="K75" s="30">
        <f t="shared" si="1"/>
        <v>-1.7231695011809989E-2</v>
      </c>
      <c r="L75" s="30">
        <f t="shared" si="2"/>
        <v>-2.0785069901215869E-2</v>
      </c>
      <c r="M75" s="30">
        <f t="shared" si="3"/>
        <v>8.8252192902598114E-3</v>
      </c>
      <c r="N75" s="30">
        <f t="shared" si="4"/>
        <v>-1.8883080665033858E-2</v>
      </c>
      <c r="O75" s="30">
        <f t="shared" si="5"/>
        <v>-1.4577787742000914E-2</v>
      </c>
      <c r="P75" s="30">
        <f t="shared" si="6"/>
        <v>1.2860436099048522E-2</v>
      </c>
      <c r="Q75" s="30">
        <f t="shared" si="7"/>
        <v>-1.6724091972751709E-2</v>
      </c>
    </row>
    <row r="76" spans="2:17" ht="13.95" customHeight="1" x14ac:dyDescent="0.3">
      <c r="B76" s="105">
        <v>43014</v>
      </c>
      <c r="C76" s="107">
        <f t="shared" si="0"/>
        <v>0</v>
      </c>
      <c r="D76" s="106">
        <v>4.0090569235713556</v>
      </c>
      <c r="E76" s="106">
        <v>2.5951197496649661</v>
      </c>
      <c r="F76" s="106">
        <v>1.130789745146753</v>
      </c>
      <c r="G76" s="106">
        <v>1.210100589877654</v>
      </c>
      <c r="H76" s="106">
        <v>2.0526018675625921</v>
      </c>
      <c r="I76" s="106">
        <v>1.191683530362234</v>
      </c>
      <c r="J76" s="106">
        <v>1.4764963655050749</v>
      </c>
      <c r="K76" s="30">
        <f t="shared" si="1"/>
        <v>3.0502384989643971E-2</v>
      </c>
      <c r="L76" s="30">
        <f t="shared" si="2"/>
        <v>1.619629352272911E-2</v>
      </c>
      <c r="M76" s="30">
        <f t="shared" si="3"/>
        <v>1.1780355181790103E-2</v>
      </c>
      <c r="N76" s="30">
        <f t="shared" si="4"/>
        <v>2.9884668049700913E-2</v>
      </c>
      <c r="O76" s="30">
        <f t="shared" si="5"/>
        <v>2.3857251492326315E-2</v>
      </c>
      <c r="P76" s="30">
        <f t="shared" si="6"/>
        <v>1.0695232830487233E-2</v>
      </c>
      <c r="Q76" s="30">
        <f t="shared" si="7"/>
        <v>1.8978385790931585E-2</v>
      </c>
    </row>
    <row r="77" spans="2:17" ht="13.95" customHeight="1" x14ac:dyDescent="0.3">
      <c r="B77" s="105">
        <v>43021</v>
      </c>
      <c r="C77" s="107">
        <f t="shared" si="0"/>
        <v>0</v>
      </c>
      <c r="D77" s="106">
        <v>4.0268237402603786</v>
      </c>
      <c r="E77" s="106">
        <v>2.6396648947403558</v>
      </c>
      <c r="F77" s="106">
        <v>1.133688282831371</v>
      </c>
      <c r="G77" s="106">
        <v>1.2394949642622139</v>
      </c>
      <c r="H77" s="106">
        <v>2.0777898129509338</v>
      </c>
      <c r="I77" s="106">
        <v>1.194619153392894</v>
      </c>
      <c r="J77" s="106">
        <v>1.4812511538248769</v>
      </c>
      <c r="K77" s="30">
        <f t="shared" si="1"/>
        <v>4.4316698484778705E-3</v>
      </c>
      <c r="L77" s="30">
        <f t="shared" si="2"/>
        <v>1.7164967081438443E-2</v>
      </c>
      <c r="M77" s="30">
        <f t="shared" si="3"/>
        <v>2.5632861432094423E-3</v>
      </c>
      <c r="N77" s="30">
        <f t="shared" si="4"/>
        <v>2.4290852041921385E-2</v>
      </c>
      <c r="O77" s="30">
        <f t="shared" si="5"/>
        <v>1.2271227940687579E-2</v>
      </c>
      <c r="P77" s="30">
        <f t="shared" si="6"/>
        <v>2.463425025071686E-3</v>
      </c>
      <c r="Q77" s="30">
        <f t="shared" si="7"/>
        <v>3.2203183366290578E-3</v>
      </c>
    </row>
    <row r="78" spans="2:17" ht="13.95" customHeight="1" x14ac:dyDescent="0.3">
      <c r="B78" s="105">
        <v>43028</v>
      </c>
      <c r="C78" s="107">
        <f t="shared" si="0"/>
        <v>0</v>
      </c>
      <c r="D78" s="106">
        <v>3.9964008480225952</v>
      </c>
      <c r="E78" s="106">
        <v>2.5885218578472871</v>
      </c>
      <c r="F78" s="106">
        <v>1.123246074222791</v>
      </c>
      <c r="G78" s="106">
        <v>1.2439044851648251</v>
      </c>
      <c r="H78" s="106">
        <v>2.0614203892693421</v>
      </c>
      <c r="I78" s="106">
        <v>1.1899432509020891</v>
      </c>
      <c r="J78" s="106">
        <v>1.416025876157067</v>
      </c>
      <c r="K78" s="30">
        <f t="shared" si="1"/>
        <v>-7.5550593222181162E-3</v>
      </c>
      <c r="L78" s="30">
        <f t="shared" si="2"/>
        <v>-1.9374821779451379E-2</v>
      </c>
      <c r="M78" s="30">
        <f t="shared" si="3"/>
        <v>-9.2108287319515592E-3</v>
      </c>
      <c r="N78" s="30">
        <f t="shared" si="4"/>
        <v>3.5575141729082826E-3</v>
      </c>
      <c r="O78" s="30">
        <f t="shared" si="5"/>
        <v>-7.8782866195418189E-3</v>
      </c>
      <c r="P78" s="30">
        <f t="shared" si="6"/>
        <v>-3.9141365493133851E-3</v>
      </c>
      <c r="Q78" s="30">
        <f t="shared" si="7"/>
        <v>-4.4033908428955937E-2</v>
      </c>
    </row>
    <row r="79" spans="2:17" ht="13.95" customHeight="1" x14ac:dyDescent="0.3">
      <c r="B79" s="105">
        <v>43035</v>
      </c>
      <c r="C79" s="107">
        <f t="shared" si="0"/>
        <v>0</v>
      </c>
      <c r="D79" s="106">
        <v>3.9751118705746569</v>
      </c>
      <c r="E79" s="106">
        <v>2.5716727451418762</v>
      </c>
      <c r="F79" s="106">
        <v>1.0870955266475071</v>
      </c>
      <c r="G79" s="106">
        <v>1.258806603749685</v>
      </c>
      <c r="H79" s="106">
        <v>2.0505066441544328</v>
      </c>
      <c r="I79" s="106">
        <v>1.152858973770825</v>
      </c>
      <c r="J79" s="106">
        <v>1.360565390817003</v>
      </c>
      <c r="K79" s="30">
        <f t="shared" si="1"/>
        <v>-5.3270375664322689E-3</v>
      </c>
      <c r="L79" s="30">
        <f t="shared" si="2"/>
        <v>-6.5091637740402053E-3</v>
      </c>
      <c r="M79" s="30">
        <f t="shared" si="3"/>
        <v>-3.2183996369893886E-2</v>
      </c>
      <c r="N79" s="30">
        <f t="shared" si="4"/>
        <v>1.1980114842085499E-2</v>
      </c>
      <c r="O79" s="30">
        <f t="shared" si="5"/>
        <v>-5.2942840634159216E-3</v>
      </c>
      <c r="P79" s="30">
        <f t="shared" si="6"/>
        <v>-3.1164744287721868E-2</v>
      </c>
      <c r="Q79" s="30">
        <f t="shared" si="7"/>
        <v>-3.9166293691311194E-2</v>
      </c>
    </row>
    <row r="80" spans="2:17" ht="13.95" customHeight="1" x14ac:dyDescent="0.3">
      <c r="B80" s="105">
        <v>43042</v>
      </c>
      <c r="C80" s="107">
        <f t="shared" si="0"/>
        <v>0</v>
      </c>
      <c r="D80" s="106">
        <v>3.7634841023287229</v>
      </c>
      <c r="E80" s="106">
        <v>2.486507728728891</v>
      </c>
      <c r="F80" s="106">
        <v>1.0754833690006389</v>
      </c>
      <c r="G80" s="106">
        <v>1.264477029309534</v>
      </c>
      <c r="H80" s="106">
        <v>1.9957773847023701</v>
      </c>
      <c r="I80" s="106">
        <v>1.1354283640442899</v>
      </c>
      <c r="J80" s="106">
        <v>1.3887809095908361</v>
      </c>
      <c r="K80" s="30">
        <f t="shared" si="1"/>
        <v>-5.323819181354017E-2</v>
      </c>
      <c r="L80" s="30">
        <f t="shared" si="2"/>
        <v>-3.3116583971996238E-2</v>
      </c>
      <c r="M80" s="30">
        <f t="shared" si="3"/>
        <v>-1.0681818995869619E-2</v>
      </c>
      <c r="N80" s="30">
        <f t="shared" si="4"/>
        <v>4.5046042362331118E-3</v>
      </c>
      <c r="O80" s="30">
        <f t="shared" si="5"/>
        <v>-2.6690603323858753E-2</v>
      </c>
      <c r="P80" s="30">
        <f t="shared" si="6"/>
        <v>-1.5119463978774617E-2</v>
      </c>
      <c r="Q80" s="30">
        <f t="shared" si="7"/>
        <v>2.0738083567515941E-2</v>
      </c>
    </row>
    <row r="81" spans="2:17" ht="13.95" customHeight="1" x14ac:dyDescent="0.3">
      <c r="B81" s="105">
        <v>43049</v>
      </c>
      <c r="C81" s="107">
        <f t="shared" si="0"/>
        <v>0</v>
      </c>
      <c r="D81" s="106">
        <v>3.675854159296402</v>
      </c>
      <c r="E81" s="106">
        <v>2.4456231235542991</v>
      </c>
      <c r="F81" s="106">
        <v>1.0451759787493049</v>
      </c>
      <c r="G81" s="106">
        <v>1.230399585326668</v>
      </c>
      <c r="H81" s="106">
        <v>1.9490878774290601</v>
      </c>
      <c r="I81" s="106">
        <v>1.101581680709848</v>
      </c>
      <c r="J81" s="106">
        <v>1.3651642888392199</v>
      </c>
      <c r="K81" s="30">
        <f t="shared" si="1"/>
        <v>-2.3284260182764749E-2</v>
      </c>
      <c r="L81" s="30">
        <f t="shared" si="2"/>
        <v>-1.6442581176086768E-2</v>
      </c>
      <c r="M81" s="30">
        <f t="shared" si="3"/>
        <v>-2.8180250039102184E-2</v>
      </c>
      <c r="N81" s="30">
        <f t="shared" si="4"/>
        <v>-2.6949832375740224E-2</v>
      </c>
      <c r="O81" s="30">
        <f t="shared" si="5"/>
        <v>-2.3394145875780037E-2</v>
      </c>
      <c r="P81" s="30">
        <f t="shared" si="6"/>
        <v>-2.9809615829820557E-2</v>
      </c>
      <c r="Q81" s="30">
        <f t="shared" si="7"/>
        <v>-1.700528901896714E-2</v>
      </c>
    </row>
    <row r="82" spans="2:17" ht="13.95" customHeight="1" x14ac:dyDescent="0.3">
      <c r="B82" s="105">
        <v>43056</v>
      </c>
      <c r="C82" s="107">
        <f t="shared" si="0"/>
        <v>0</v>
      </c>
      <c r="D82" s="106">
        <v>3.7762561862445478</v>
      </c>
      <c r="E82" s="106">
        <v>2.5017632213609571</v>
      </c>
      <c r="F82" s="106">
        <v>1.086414121328982</v>
      </c>
      <c r="G82" s="106">
        <v>1.2162446423420541</v>
      </c>
      <c r="H82" s="106">
        <v>1.9833544201956721</v>
      </c>
      <c r="I82" s="106">
        <v>1.150499819708263</v>
      </c>
      <c r="J82" s="106">
        <v>1.3732711643902979</v>
      </c>
      <c r="K82" s="30">
        <f t="shared" si="1"/>
        <v>2.7313931020420013E-2</v>
      </c>
      <c r="L82" s="30">
        <f t="shared" si="2"/>
        <v>2.2955334886214152E-2</v>
      </c>
      <c r="M82" s="30">
        <f t="shared" si="3"/>
        <v>3.9455693029822658E-2</v>
      </c>
      <c r="N82" s="30">
        <f t="shared" si="4"/>
        <v>-1.150434635497366E-2</v>
      </c>
      <c r="O82" s="30">
        <f t="shared" si="5"/>
        <v>1.7580809548623844E-2</v>
      </c>
      <c r="P82" s="30">
        <f t="shared" si="6"/>
        <v>4.4407182740087592E-2</v>
      </c>
      <c r="Q82" s="30">
        <f t="shared" si="7"/>
        <v>5.9383882345553918E-3</v>
      </c>
    </row>
    <row r="83" spans="2:17" ht="13.95" customHeight="1" x14ac:dyDescent="0.3">
      <c r="B83" s="105">
        <v>43063</v>
      </c>
      <c r="C83" s="107">
        <f t="shared" si="0"/>
        <v>0</v>
      </c>
      <c r="D83" s="106">
        <v>3.7826061877860631</v>
      </c>
      <c r="E83" s="106">
        <v>2.518730149301788</v>
      </c>
      <c r="F83" s="106">
        <v>1.0866304710185919</v>
      </c>
      <c r="G83" s="106">
        <v>1.2540321668422389</v>
      </c>
      <c r="H83" s="106">
        <v>2.0040951679032522</v>
      </c>
      <c r="I83" s="106">
        <v>1.148158048111533</v>
      </c>
      <c r="J83" s="106">
        <v>1.3951113441585981</v>
      </c>
      <c r="K83" s="30">
        <f t="shared" si="1"/>
        <v>1.6815600500426076E-3</v>
      </c>
      <c r="L83" s="30">
        <f t="shared" si="2"/>
        <v>6.7819879179455977E-3</v>
      </c>
      <c r="M83" s="30">
        <f t="shared" si="3"/>
        <v>1.9914108751217796E-4</v>
      </c>
      <c r="N83" s="30">
        <f t="shared" si="4"/>
        <v>3.1069016203367994E-2</v>
      </c>
      <c r="O83" s="30">
        <f t="shared" si="5"/>
        <v>1.0457408669063639E-2</v>
      </c>
      <c r="P83" s="30">
        <f t="shared" si="6"/>
        <v>-2.0354384734486697E-3</v>
      </c>
      <c r="Q83" s="30">
        <f t="shared" si="7"/>
        <v>1.5903763462474352E-2</v>
      </c>
    </row>
    <row r="84" spans="2:17" ht="13.95" customHeight="1" x14ac:dyDescent="0.3">
      <c r="B84" s="105">
        <v>43070</v>
      </c>
      <c r="C84" s="107">
        <f t="shared" si="0"/>
        <v>0</v>
      </c>
      <c r="D84" s="106">
        <v>3.667086269896227</v>
      </c>
      <c r="E84" s="106">
        <v>2.4357313650803318</v>
      </c>
      <c r="F84" s="106">
        <v>1.067200672929207</v>
      </c>
      <c r="G84" s="106">
        <v>1.2246133324299231</v>
      </c>
      <c r="H84" s="106">
        <v>1.9495109760201059</v>
      </c>
      <c r="I84" s="106">
        <v>1.125109274284033</v>
      </c>
      <c r="J84" s="106">
        <v>1.3911037751143771</v>
      </c>
      <c r="K84" s="30">
        <f t="shared" si="1"/>
        <v>-3.0539768655496569E-2</v>
      </c>
      <c r="L84" s="30">
        <f t="shared" si="2"/>
        <v>-3.295263061208209E-2</v>
      </c>
      <c r="M84" s="30">
        <f t="shared" si="3"/>
        <v>-1.7880777879504595E-2</v>
      </c>
      <c r="N84" s="30">
        <f t="shared" si="4"/>
        <v>-2.3459393778067938E-2</v>
      </c>
      <c r="O84" s="30">
        <f t="shared" si="5"/>
        <v>-2.7236327274943739E-2</v>
      </c>
      <c r="P84" s="30">
        <f t="shared" si="6"/>
        <v>-2.0074565401000499E-2</v>
      </c>
      <c r="Q84" s="30">
        <f t="shared" si="7"/>
        <v>-2.8725800711182359E-3</v>
      </c>
    </row>
    <row r="85" spans="2:17" ht="13.95" customHeight="1" x14ac:dyDescent="0.3">
      <c r="B85" s="105">
        <v>43077</v>
      </c>
      <c r="C85" s="107">
        <f t="shared" si="0"/>
        <v>0</v>
      </c>
      <c r="D85" s="106">
        <v>3.7019726233836159</v>
      </c>
      <c r="E85" s="106">
        <v>2.469818313280904</v>
      </c>
      <c r="F85" s="106">
        <v>1.0689118190662541</v>
      </c>
      <c r="G85" s="106">
        <v>1.223453440183514</v>
      </c>
      <c r="H85" s="106">
        <v>1.9621769752096061</v>
      </c>
      <c r="I85" s="106">
        <v>1.1207233436283199</v>
      </c>
      <c r="J85" s="106">
        <v>1.445771401040556</v>
      </c>
      <c r="K85" s="30">
        <f t="shared" si="1"/>
        <v>9.5133713580117796E-3</v>
      </c>
      <c r="L85" s="30">
        <f t="shared" si="2"/>
        <v>1.3994543359443057E-2</v>
      </c>
      <c r="M85" s="30">
        <f t="shared" si="3"/>
        <v>1.6033967935482618E-3</v>
      </c>
      <c r="N85" s="30">
        <f t="shared" si="4"/>
        <v>-9.4714977837750958E-4</v>
      </c>
      <c r="O85" s="30">
        <f t="shared" si="5"/>
        <v>6.497013530725404E-3</v>
      </c>
      <c r="P85" s="30">
        <f t="shared" si="6"/>
        <v>-3.8982263820587226E-3</v>
      </c>
      <c r="Q85" s="30">
        <f t="shared" si="7"/>
        <v>3.9298021401519279E-2</v>
      </c>
    </row>
    <row r="86" spans="2:17" ht="13.95" customHeight="1" x14ac:dyDescent="0.3">
      <c r="B86" s="105">
        <v>43084</v>
      </c>
      <c r="C86" s="107">
        <f t="shared" si="0"/>
        <v>0</v>
      </c>
      <c r="D86" s="106">
        <v>3.6670944021984089</v>
      </c>
      <c r="E86" s="106">
        <v>2.4558548175154651</v>
      </c>
      <c r="F86" s="106">
        <v>1.062692160066987</v>
      </c>
      <c r="G86" s="106">
        <v>1.2408783923924269</v>
      </c>
      <c r="H86" s="106">
        <v>1.9589905424301439</v>
      </c>
      <c r="I86" s="106">
        <v>1.112319307870054</v>
      </c>
      <c r="J86" s="106">
        <v>1.453309665505981</v>
      </c>
      <c r="K86" s="30">
        <f t="shared" si="1"/>
        <v>-9.4215232616517985E-3</v>
      </c>
      <c r="L86" s="30">
        <f t="shared" si="2"/>
        <v>-5.6536530198814106E-3</v>
      </c>
      <c r="M86" s="30">
        <f t="shared" si="3"/>
        <v>-5.8186829711549537E-3</v>
      </c>
      <c r="N86" s="30">
        <f t="shared" si="4"/>
        <v>1.4242431821761325E-2</v>
      </c>
      <c r="O86" s="30">
        <f t="shared" si="5"/>
        <v>-1.6239273112058639E-3</v>
      </c>
      <c r="P86" s="30">
        <f t="shared" si="6"/>
        <v>-7.4987603372819178E-3</v>
      </c>
      <c r="Q86" s="30">
        <f t="shared" si="7"/>
        <v>5.2140085631791067E-3</v>
      </c>
    </row>
    <row r="87" spans="2:17" ht="13.95" customHeight="1" x14ac:dyDescent="0.3">
      <c r="B87" s="105">
        <v>43091</v>
      </c>
      <c r="C87" s="107">
        <f t="shared" ref="C87:C150" si="8">IF(B87&gt;$C$17,1,0)</f>
        <v>0</v>
      </c>
      <c r="D87" s="106">
        <v>3.7881506793020572</v>
      </c>
      <c r="E87" s="106">
        <v>2.4997610860712669</v>
      </c>
      <c r="F87" s="106">
        <v>1.0977811416365639</v>
      </c>
      <c r="G87" s="106">
        <v>1.3114488878003741</v>
      </c>
      <c r="H87" s="106">
        <v>2.0293096783162179</v>
      </c>
      <c r="I87" s="106">
        <v>1.133740644189188</v>
      </c>
      <c r="J87" s="106">
        <v>1.630961530216732</v>
      </c>
      <c r="K87" s="30">
        <f t="shared" ref="K87:K150" si="9">D87/D86-1</f>
        <v>3.301149733998554E-2</v>
      </c>
      <c r="L87" s="30">
        <f t="shared" ref="L87:L150" si="10">E87/E86-1</f>
        <v>1.7878202018562606E-2</v>
      </c>
      <c r="M87" s="30">
        <f t="shared" ref="M87:M150" si="11">F87/F86-1</f>
        <v>3.3018952136962376E-2</v>
      </c>
      <c r="N87" s="30">
        <f t="shared" ref="N87:N150" si="12">G87/G86-1</f>
        <v>5.6871403225811967E-2</v>
      </c>
      <c r="O87" s="30">
        <f t="shared" ref="O87:O150" si="13">H87/H86-1</f>
        <v>3.5895597432973103E-2</v>
      </c>
      <c r="P87" s="30">
        <f t="shared" ref="P87:P150" si="14">I87/I86-1</f>
        <v>1.9258261694794276E-2</v>
      </c>
      <c r="Q87" s="30">
        <f t="shared" ref="Q87:Q150" si="15">J87/J86-1</f>
        <v>0.12223951228515362</v>
      </c>
    </row>
    <row r="88" spans="2:17" ht="13.95" customHeight="1" x14ac:dyDescent="0.3">
      <c r="B88" s="105">
        <v>43098</v>
      </c>
      <c r="C88" s="107">
        <f t="shared" si="8"/>
        <v>0</v>
      </c>
      <c r="D88" s="106">
        <v>3.831242338229079</v>
      </c>
      <c r="E88" s="106">
        <v>2.5553485987292408</v>
      </c>
      <c r="F88" s="106">
        <v>1.126868982719649</v>
      </c>
      <c r="G88" s="106">
        <v>1.328471104739088</v>
      </c>
      <c r="H88" s="106">
        <v>2.063277384212002</v>
      </c>
      <c r="I88" s="106">
        <v>1.1686031804562009</v>
      </c>
      <c r="J88" s="106">
        <v>1.633329127023629</v>
      </c>
      <c r="K88" s="30">
        <f t="shared" si="9"/>
        <v>1.1375381439410193E-2</v>
      </c>
      <c r="L88" s="30">
        <f t="shared" si="10"/>
        <v>2.223713016724238E-2</v>
      </c>
      <c r="M88" s="30">
        <f t="shared" si="11"/>
        <v>2.6496940036445871E-2</v>
      </c>
      <c r="N88" s="30">
        <f t="shared" si="12"/>
        <v>1.2979702904978963E-2</v>
      </c>
      <c r="O88" s="30">
        <f t="shared" si="13"/>
        <v>1.6738552158273023E-2</v>
      </c>
      <c r="P88" s="30">
        <f t="shared" si="14"/>
        <v>3.0750010106540326E-2</v>
      </c>
      <c r="Q88" s="30">
        <f t="shared" si="15"/>
        <v>1.4516570520104466E-3</v>
      </c>
    </row>
    <row r="89" spans="2:17" ht="13.95" customHeight="1" x14ac:dyDescent="0.3">
      <c r="B89" s="105">
        <v>43105</v>
      </c>
      <c r="C89" s="107">
        <f t="shared" si="8"/>
        <v>0</v>
      </c>
      <c r="D89" s="106">
        <v>4.029786182524159</v>
      </c>
      <c r="E89" s="106">
        <v>2.5840673266202279</v>
      </c>
      <c r="F89" s="106">
        <v>1.1441555364400151</v>
      </c>
      <c r="G89" s="106">
        <v>1.392963458570788</v>
      </c>
      <c r="H89" s="106">
        <v>2.1362478711583459</v>
      </c>
      <c r="I89" s="106">
        <v>1.1848137559675771</v>
      </c>
      <c r="J89" s="106">
        <v>1.673440011544101</v>
      </c>
      <c r="K89" s="30">
        <f t="shared" si="9"/>
        <v>5.1822314217495613E-2</v>
      </c>
      <c r="L89" s="30">
        <f t="shared" si="10"/>
        <v>1.1238673230442586E-2</v>
      </c>
      <c r="M89" s="30">
        <f t="shared" si="11"/>
        <v>1.5340340346085224E-2</v>
      </c>
      <c r="N89" s="30">
        <f t="shared" si="12"/>
        <v>4.8546297771652425E-2</v>
      </c>
      <c r="O89" s="30">
        <f t="shared" si="13"/>
        <v>3.5366299996649531E-2</v>
      </c>
      <c r="P89" s="30">
        <f t="shared" si="14"/>
        <v>1.3871753716302448E-2</v>
      </c>
      <c r="Q89" s="30">
        <f t="shared" si="15"/>
        <v>2.4557747643651595E-2</v>
      </c>
    </row>
    <row r="90" spans="2:17" ht="13.95" customHeight="1" x14ac:dyDescent="0.3">
      <c r="B90" s="105">
        <v>43112</v>
      </c>
      <c r="C90" s="107">
        <f t="shared" si="8"/>
        <v>0</v>
      </c>
      <c r="D90" s="106">
        <v>4.0384435396476812</v>
      </c>
      <c r="E90" s="106">
        <v>2.5606923896131319</v>
      </c>
      <c r="F90" s="106">
        <v>1.118687413983954</v>
      </c>
      <c r="G90" s="106">
        <v>1.436582428992951</v>
      </c>
      <c r="H90" s="106">
        <v>2.1443846130102542</v>
      </c>
      <c r="I90" s="106">
        <v>1.152086109913981</v>
      </c>
      <c r="J90" s="106">
        <v>1.691934256922311</v>
      </c>
      <c r="K90" s="30">
        <f t="shared" si="9"/>
        <v>2.148341557441924E-3</v>
      </c>
      <c r="L90" s="30">
        <f t="shared" si="10"/>
        <v>-9.0457925636436842E-3</v>
      </c>
      <c r="M90" s="30">
        <f t="shared" si="11"/>
        <v>-2.2259318462334199E-2</v>
      </c>
      <c r="N90" s="30">
        <f t="shared" si="12"/>
        <v>3.1313793735061157E-2</v>
      </c>
      <c r="O90" s="30">
        <f t="shared" si="13"/>
        <v>3.8088940715930164E-3</v>
      </c>
      <c r="P90" s="30">
        <f t="shared" si="14"/>
        <v>-2.7622608100856483E-2</v>
      </c>
      <c r="Q90" s="30">
        <f t="shared" si="15"/>
        <v>1.1051633312594955E-2</v>
      </c>
    </row>
    <row r="91" spans="2:17" ht="13.95" customHeight="1" x14ac:dyDescent="0.3">
      <c r="B91" s="105">
        <v>43119</v>
      </c>
      <c r="C91" s="107">
        <f t="shared" si="8"/>
        <v>0</v>
      </c>
      <c r="D91" s="106">
        <v>4.2083017812632413</v>
      </c>
      <c r="E91" s="106">
        <v>2.5671385175398922</v>
      </c>
      <c r="F91" s="106">
        <v>1.145999902039313</v>
      </c>
      <c r="G91" s="106">
        <v>1.462953022443807</v>
      </c>
      <c r="H91" s="106">
        <v>2.1947716393213228</v>
      </c>
      <c r="I91" s="106">
        <v>1.1864452676166719</v>
      </c>
      <c r="J91" s="106">
        <v>1.6785797513733141</v>
      </c>
      <c r="K91" s="30">
        <f t="shared" si="9"/>
        <v>4.2060323475607841E-2</v>
      </c>
      <c r="L91" s="30">
        <f t="shared" si="10"/>
        <v>2.5173378703773341E-3</v>
      </c>
      <c r="M91" s="30">
        <f t="shared" si="11"/>
        <v>2.4414762974843685E-2</v>
      </c>
      <c r="N91" s="30">
        <f t="shared" si="12"/>
        <v>1.8356477789681636E-2</v>
      </c>
      <c r="O91" s="30">
        <f t="shared" si="13"/>
        <v>2.3497196354312688E-2</v>
      </c>
      <c r="P91" s="30">
        <f t="shared" si="14"/>
        <v>2.9823428480755032E-2</v>
      </c>
      <c r="Q91" s="30">
        <f t="shared" si="15"/>
        <v>-7.8930404620385364E-3</v>
      </c>
    </row>
    <row r="92" spans="2:17" ht="13.95" customHeight="1" x14ac:dyDescent="0.3">
      <c r="B92" s="105">
        <v>43126</v>
      </c>
      <c r="C92" s="107">
        <f t="shared" si="8"/>
        <v>0</v>
      </c>
      <c r="D92" s="106">
        <v>4.6812448701954992</v>
      </c>
      <c r="E92" s="106">
        <v>2.6223575219572761</v>
      </c>
      <c r="F92" s="106">
        <v>1.166997935270963</v>
      </c>
      <c r="G92" s="106">
        <v>1.503393306709619</v>
      </c>
      <c r="H92" s="106">
        <v>2.311348006713303</v>
      </c>
      <c r="I92" s="106">
        <v>1.2144710396940011</v>
      </c>
      <c r="J92" s="106">
        <v>1.654187394674711</v>
      </c>
      <c r="K92" s="30">
        <f t="shared" si="9"/>
        <v>0.11238335877858319</v>
      </c>
      <c r="L92" s="30">
        <f t="shared" si="10"/>
        <v>2.1509943479910421E-2</v>
      </c>
      <c r="M92" s="30">
        <f t="shared" si="11"/>
        <v>1.832289269334475E-2</v>
      </c>
      <c r="N92" s="30">
        <f t="shared" si="12"/>
        <v>2.7642913781508849E-2</v>
      </c>
      <c r="O92" s="30">
        <f t="shared" si="13"/>
        <v>5.3115488328447924E-2</v>
      </c>
      <c r="P92" s="30">
        <f t="shared" si="14"/>
        <v>2.3621630801079707E-2</v>
      </c>
      <c r="Q92" s="30">
        <f t="shared" si="15"/>
        <v>-1.4531544705365773E-2</v>
      </c>
    </row>
    <row r="93" spans="2:17" ht="13.95" customHeight="1" x14ac:dyDescent="0.3">
      <c r="B93" s="105">
        <v>43133</v>
      </c>
      <c r="C93" s="107">
        <f t="shared" si="8"/>
        <v>0</v>
      </c>
      <c r="D93" s="106">
        <v>4.5281704371684546</v>
      </c>
      <c r="E93" s="106">
        <v>2.5906555570348431</v>
      </c>
      <c r="F93" s="106">
        <v>1.153994960118726</v>
      </c>
      <c r="G93" s="106">
        <v>1.496372428936334</v>
      </c>
      <c r="H93" s="106">
        <v>2.2718827895115878</v>
      </c>
      <c r="I93" s="106">
        <v>1.2000298056136089</v>
      </c>
      <c r="J93" s="106">
        <v>1.6446669155385081</v>
      </c>
      <c r="K93" s="30">
        <f t="shared" si="9"/>
        <v>-3.2699514182998102E-2</v>
      </c>
      <c r="L93" s="30">
        <f t="shared" si="10"/>
        <v>-1.2089108619625311E-2</v>
      </c>
      <c r="M93" s="30">
        <f t="shared" si="11"/>
        <v>-1.114224349438786E-2</v>
      </c>
      <c r="N93" s="30">
        <f t="shared" si="12"/>
        <v>-4.6700206406073974E-3</v>
      </c>
      <c r="O93" s="30">
        <f t="shared" si="13"/>
        <v>-1.7074545714054534E-2</v>
      </c>
      <c r="P93" s="30">
        <f t="shared" si="14"/>
        <v>-1.1890966197127817E-2</v>
      </c>
      <c r="Q93" s="30">
        <f t="shared" si="15"/>
        <v>-5.7553812626380818E-3</v>
      </c>
    </row>
    <row r="94" spans="2:17" ht="13.95" customHeight="1" x14ac:dyDescent="0.3">
      <c r="B94" s="105">
        <v>43140</v>
      </c>
      <c r="C94" s="107">
        <f t="shared" si="8"/>
        <v>0</v>
      </c>
      <c r="D94" s="106">
        <v>4.3652097611374803</v>
      </c>
      <c r="E94" s="106">
        <v>2.5020913680982799</v>
      </c>
      <c r="F94" s="106">
        <v>1.0791244790045309</v>
      </c>
      <c r="G94" s="106">
        <v>1.45598286796499</v>
      </c>
      <c r="H94" s="106">
        <v>2.1866633333995482</v>
      </c>
      <c r="I94" s="106">
        <v>1.112619778902419</v>
      </c>
      <c r="J94" s="106">
        <v>1.623847341174107</v>
      </c>
      <c r="K94" s="30">
        <f t="shared" si="9"/>
        <v>-3.5988193971973503E-2</v>
      </c>
      <c r="L94" s="30">
        <f t="shared" si="10"/>
        <v>-3.4186014692717426E-2</v>
      </c>
      <c r="M94" s="30">
        <f t="shared" si="11"/>
        <v>-6.4879383101025256E-2</v>
      </c>
      <c r="N94" s="30">
        <f t="shared" si="12"/>
        <v>-2.6991650066724437E-2</v>
      </c>
      <c r="O94" s="30">
        <f t="shared" si="13"/>
        <v>-3.7510498563334882E-2</v>
      </c>
      <c r="P94" s="30">
        <f t="shared" si="14"/>
        <v>-7.2839879728232804E-2</v>
      </c>
      <c r="Q94" s="30">
        <f t="shared" si="15"/>
        <v>-1.2658839408576705E-2</v>
      </c>
    </row>
    <row r="95" spans="2:17" ht="13.95" customHeight="1" x14ac:dyDescent="0.3">
      <c r="B95" s="105">
        <v>43147</v>
      </c>
      <c r="C95" s="107">
        <f t="shared" si="8"/>
        <v>0</v>
      </c>
      <c r="D95" s="106">
        <v>4.5862481776342916</v>
      </c>
      <c r="E95" s="106">
        <v>2.574318313898857</v>
      </c>
      <c r="F95" s="106">
        <v>1.110179443072997</v>
      </c>
      <c r="G95" s="106">
        <v>1.543294487343184</v>
      </c>
      <c r="H95" s="106">
        <v>2.2855944569330102</v>
      </c>
      <c r="I95" s="106">
        <v>1.143145349549215</v>
      </c>
      <c r="J95" s="106">
        <v>1.684004082973019</v>
      </c>
      <c r="K95" s="30">
        <f t="shared" si="9"/>
        <v>5.0636379141426158E-2</v>
      </c>
      <c r="L95" s="30">
        <f t="shared" si="10"/>
        <v>2.8866630020578876E-2</v>
      </c>
      <c r="M95" s="30">
        <f t="shared" si="11"/>
        <v>2.8777925691310102E-2</v>
      </c>
      <c r="N95" s="30">
        <f t="shared" si="12"/>
        <v>5.9967477158730853E-2</v>
      </c>
      <c r="O95" s="30">
        <f t="shared" si="13"/>
        <v>4.5242960826372913E-2</v>
      </c>
      <c r="P95" s="30">
        <f t="shared" si="14"/>
        <v>2.7435761277683657E-2</v>
      </c>
      <c r="Q95" s="30">
        <f t="shared" si="15"/>
        <v>3.7045811064614131E-2</v>
      </c>
    </row>
    <row r="96" spans="2:17" ht="13.95" customHeight="1" x14ac:dyDescent="0.3">
      <c r="B96" s="105">
        <v>43154</v>
      </c>
      <c r="C96" s="107">
        <f t="shared" si="8"/>
        <v>0</v>
      </c>
      <c r="D96" s="106">
        <v>4.8003328187236143</v>
      </c>
      <c r="E96" s="106">
        <v>2.5843347210174512</v>
      </c>
      <c r="F96" s="106">
        <v>1.141032347348319</v>
      </c>
      <c r="G96" s="106">
        <v>1.6067413875372989</v>
      </c>
      <c r="H96" s="106">
        <v>2.361035266694433</v>
      </c>
      <c r="I96" s="106">
        <v>1.174366521760515</v>
      </c>
      <c r="J96" s="106">
        <v>1.7357298958948291</v>
      </c>
      <c r="K96" s="30">
        <f t="shared" si="9"/>
        <v>4.66796895408641E-2</v>
      </c>
      <c r="L96" s="30">
        <f t="shared" si="10"/>
        <v>3.8908968889026507E-3</v>
      </c>
      <c r="M96" s="30">
        <f t="shared" si="11"/>
        <v>2.7790916565632484E-2</v>
      </c>
      <c r="N96" s="30">
        <f t="shared" si="12"/>
        <v>4.1111337281674709E-2</v>
      </c>
      <c r="O96" s="30">
        <f t="shared" si="13"/>
        <v>3.3007084670066522E-2</v>
      </c>
      <c r="P96" s="30">
        <f t="shared" si="14"/>
        <v>2.731163821259619E-2</v>
      </c>
      <c r="Q96" s="30">
        <f t="shared" si="15"/>
        <v>3.0715966454482047E-2</v>
      </c>
    </row>
    <row r="97" spans="2:17" ht="13.95" customHeight="1" x14ac:dyDescent="0.3">
      <c r="B97" s="105">
        <v>43161</v>
      </c>
      <c r="C97" s="107">
        <f t="shared" si="8"/>
        <v>0</v>
      </c>
      <c r="D97" s="106">
        <v>4.6763910257062973</v>
      </c>
      <c r="E97" s="106">
        <v>2.6075408641835049</v>
      </c>
      <c r="F97" s="106">
        <v>1.1063426655192941</v>
      </c>
      <c r="G97" s="106">
        <v>1.575295977892101</v>
      </c>
      <c r="H97" s="106">
        <v>2.3204394575038161</v>
      </c>
      <c r="I97" s="106">
        <v>1.1405327460850081</v>
      </c>
      <c r="J97" s="106">
        <v>1.6661386117759731</v>
      </c>
      <c r="K97" s="30">
        <f t="shared" si="9"/>
        <v>-2.5819416631672754E-2</v>
      </c>
      <c r="L97" s="30">
        <f t="shared" si="10"/>
        <v>8.9795423856386947E-3</v>
      </c>
      <c r="M97" s="30">
        <f t="shared" si="11"/>
        <v>-3.0402014377279851E-2</v>
      </c>
      <c r="N97" s="30">
        <f t="shared" si="12"/>
        <v>-1.9570921549108333E-2</v>
      </c>
      <c r="O97" s="30">
        <f t="shared" si="13"/>
        <v>-1.7194071500445274E-2</v>
      </c>
      <c r="P97" s="30">
        <f t="shared" si="14"/>
        <v>-2.8810235176651711E-2</v>
      </c>
      <c r="Q97" s="30">
        <f t="shared" si="15"/>
        <v>-4.0093383356158196E-2</v>
      </c>
    </row>
    <row r="98" spans="2:17" ht="13.95" customHeight="1" x14ac:dyDescent="0.3">
      <c r="B98" s="105">
        <v>43168</v>
      </c>
      <c r="C98" s="107">
        <f t="shared" si="8"/>
        <v>0</v>
      </c>
      <c r="D98" s="106">
        <v>4.7522355577105611</v>
      </c>
      <c r="E98" s="106">
        <v>2.6036136388590441</v>
      </c>
      <c r="F98" s="106">
        <v>1.10114209025132</v>
      </c>
      <c r="G98" s="106">
        <v>1.5896685722977471</v>
      </c>
      <c r="H98" s="106">
        <v>2.3372776470192251</v>
      </c>
      <c r="I98" s="106">
        <v>1.131271417986915</v>
      </c>
      <c r="J98" s="106">
        <v>1.6934160942892329</v>
      </c>
      <c r="K98" s="30">
        <f t="shared" si="9"/>
        <v>1.6218603531514608E-2</v>
      </c>
      <c r="L98" s="30">
        <f t="shared" si="10"/>
        <v>-1.5061030791134744E-3</v>
      </c>
      <c r="M98" s="30">
        <f t="shared" si="11"/>
        <v>-4.7006912325242567E-3</v>
      </c>
      <c r="N98" s="30">
        <f t="shared" si="12"/>
        <v>9.1237422093073395E-3</v>
      </c>
      <c r="O98" s="30">
        <f t="shared" si="13"/>
        <v>7.2564657789100373E-3</v>
      </c>
      <c r="P98" s="30">
        <f t="shared" si="14"/>
        <v>-8.120177285468988E-3</v>
      </c>
      <c r="Q98" s="30">
        <f t="shared" si="15"/>
        <v>1.6371676594292506E-2</v>
      </c>
    </row>
    <row r="99" spans="2:17" ht="13.95" customHeight="1" x14ac:dyDescent="0.3">
      <c r="B99" s="105">
        <v>43175</v>
      </c>
      <c r="C99" s="107">
        <f t="shared" si="8"/>
        <v>0</v>
      </c>
      <c r="D99" s="106">
        <v>4.6361144980718043</v>
      </c>
      <c r="E99" s="106">
        <v>2.5574240276779849</v>
      </c>
      <c r="F99" s="106">
        <v>1.09322243925702</v>
      </c>
      <c r="G99" s="106">
        <v>1.5691189059096311</v>
      </c>
      <c r="H99" s="106">
        <v>2.2970970575219041</v>
      </c>
      <c r="I99" s="106">
        <v>1.1276073630820289</v>
      </c>
      <c r="J99" s="106">
        <v>1.640975538966821</v>
      </c>
      <c r="K99" s="30">
        <f t="shared" si="9"/>
        <v>-2.4435038673608855E-2</v>
      </c>
      <c r="L99" s="30">
        <f t="shared" si="10"/>
        <v>-1.7740578130209905E-2</v>
      </c>
      <c r="M99" s="30">
        <f t="shared" si="11"/>
        <v>-7.1922153048318282E-3</v>
      </c>
      <c r="N99" s="30">
        <f t="shared" si="12"/>
        <v>-1.2927013055565983E-2</v>
      </c>
      <c r="O99" s="30">
        <f t="shared" si="13"/>
        <v>-1.7191192303817271E-2</v>
      </c>
      <c r="P99" s="30">
        <f t="shared" si="14"/>
        <v>-3.2388822404849638E-3</v>
      </c>
      <c r="Q99" s="30">
        <f t="shared" si="15"/>
        <v>-3.0967318368627206E-2</v>
      </c>
    </row>
    <row r="100" spans="2:17" ht="13.95" customHeight="1" x14ac:dyDescent="0.3">
      <c r="B100" s="105">
        <v>43182</v>
      </c>
      <c r="C100" s="107">
        <f t="shared" si="8"/>
        <v>0</v>
      </c>
      <c r="D100" s="106">
        <v>4.5982792423949199</v>
      </c>
      <c r="E100" s="106">
        <v>2.5401397992321249</v>
      </c>
      <c r="F100" s="106">
        <v>1.0797377841333009</v>
      </c>
      <c r="G100" s="106">
        <v>1.569176023150235</v>
      </c>
      <c r="H100" s="106">
        <v>2.2830964998588441</v>
      </c>
      <c r="I100" s="106">
        <v>1.1101294085322699</v>
      </c>
      <c r="J100" s="106">
        <v>1.652865378863881</v>
      </c>
      <c r="K100" s="30">
        <f t="shared" si="9"/>
        <v>-8.1609838783360811E-3</v>
      </c>
      <c r="L100" s="30">
        <f t="shared" si="10"/>
        <v>-6.7584523562771448E-3</v>
      </c>
      <c r="M100" s="30">
        <f t="shared" si="11"/>
        <v>-1.233477711350639E-2</v>
      </c>
      <c r="N100" s="30">
        <f t="shared" si="12"/>
        <v>3.640083641132108E-5</v>
      </c>
      <c r="O100" s="30">
        <f t="shared" si="13"/>
        <v>-6.0948916447456369E-3</v>
      </c>
      <c r="P100" s="30">
        <f t="shared" si="14"/>
        <v>-1.5500035847573201E-2</v>
      </c>
      <c r="Q100" s="30">
        <f t="shared" si="15"/>
        <v>7.2455924020329299E-3</v>
      </c>
    </row>
    <row r="101" spans="2:17" ht="13.95" customHeight="1" x14ac:dyDescent="0.3">
      <c r="B101" s="105">
        <v>43189</v>
      </c>
      <c r="C101" s="107">
        <f t="shared" si="8"/>
        <v>0</v>
      </c>
      <c r="D101" s="106">
        <v>4.715320905824548</v>
      </c>
      <c r="E101" s="106">
        <v>2.543442884038341</v>
      </c>
      <c r="F101" s="106">
        <v>1.0873895265149811</v>
      </c>
      <c r="G101" s="106">
        <v>1.577890721767027</v>
      </c>
      <c r="H101" s="106">
        <v>2.3099962360036068</v>
      </c>
      <c r="I101" s="106">
        <v>1.118977995710507</v>
      </c>
      <c r="J101" s="106">
        <v>1.6557431545788679</v>
      </c>
      <c r="K101" s="30">
        <f t="shared" si="9"/>
        <v>2.5453361411924558E-2</v>
      </c>
      <c r="L101" s="30">
        <f t="shared" si="10"/>
        <v>1.3003555187058868E-3</v>
      </c>
      <c r="M101" s="30">
        <f t="shared" si="11"/>
        <v>7.0866672391409757E-3</v>
      </c>
      <c r="N101" s="30">
        <f t="shared" si="12"/>
        <v>5.553678164987863E-3</v>
      </c>
      <c r="O101" s="30">
        <f t="shared" si="13"/>
        <v>1.1782128414819848E-2</v>
      </c>
      <c r="P101" s="30">
        <f t="shared" si="14"/>
        <v>7.9707708941212374E-3</v>
      </c>
      <c r="Q101" s="30">
        <f t="shared" si="15"/>
        <v>1.741082941046912E-3</v>
      </c>
    </row>
    <row r="102" spans="2:17" ht="13.95" customHeight="1" x14ac:dyDescent="0.3">
      <c r="B102" s="105">
        <v>43196</v>
      </c>
      <c r="C102" s="107">
        <f t="shared" si="8"/>
        <v>0</v>
      </c>
      <c r="D102" s="106">
        <v>4.6790295468851459</v>
      </c>
      <c r="E102" s="106">
        <v>2.4874338774133649</v>
      </c>
      <c r="F102" s="106">
        <v>1.075717637616139</v>
      </c>
      <c r="G102" s="106">
        <v>1.5921782328796441</v>
      </c>
      <c r="H102" s="106">
        <v>2.2955180858263891</v>
      </c>
      <c r="I102" s="106">
        <v>1.1076284614638621</v>
      </c>
      <c r="J102" s="106">
        <v>1.6320373310964129</v>
      </c>
      <c r="K102" s="30">
        <f t="shared" si="9"/>
        <v>-7.6964770085050649E-3</v>
      </c>
      <c r="L102" s="30">
        <f t="shared" si="10"/>
        <v>-2.202094136906585E-2</v>
      </c>
      <c r="M102" s="30">
        <f t="shared" si="11"/>
        <v>-1.0733861798586375E-2</v>
      </c>
      <c r="N102" s="30">
        <f t="shared" si="12"/>
        <v>9.0548166077160097E-3</v>
      </c>
      <c r="O102" s="30">
        <f t="shared" si="13"/>
        <v>-6.2676076919785384E-3</v>
      </c>
      <c r="P102" s="30">
        <f t="shared" si="14"/>
        <v>-1.0142768034896443E-2</v>
      </c>
      <c r="Q102" s="30">
        <f t="shared" si="15"/>
        <v>-1.4317331415140022E-2</v>
      </c>
    </row>
    <row r="103" spans="2:17" ht="13.95" customHeight="1" x14ac:dyDescent="0.3">
      <c r="B103" s="105">
        <v>43203</v>
      </c>
      <c r="C103" s="107">
        <f t="shared" si="8"/>
        <v>0</v>
      </c>
      <c r="D103" s="106">
        <v>4.533792309030293</v>
      </c>
      <c r="E103" s="106">
        <v>2.4940217738739481</v>
      </c>
      <c r="F103" s="106">
        <v>1.078502378505203</v>
      </c>
      <c r="G103" s="106">
        <v>1.615494372585609</v>
      </c>
      <c r="H103" s="106">
        <v>2.2827528928232179</v>
      </c>
      <c r="I103" s="106">
        <v>1.1032011218159821</v>
      </c>
      <c r="J103" s="106">
        <v>1.7016995597562119</v>
      </c>
      <c r="K103" s="30">
        <f t="shared" si="9"/>
        <v>-3.1040034348904233E-2</v>
      </c>
      <c r="L103" s="30">
        <f t="shared" si="10"/>
        <v>2.6484709886775981E-3</v>
      </c>
      <c r="M103" s="30">
        <f t="shared" si="11"/>
        <v>2.5887284838381763E-3</v>
      </c>
      <c r="N103" s="30">
        <f t="shared" si="12"/>
        <v>1.4644176904613726E-2</v>
      </c>
      <c r="O103" s="30">
        <f t="shared" si="13"/>
        <v>-5.5609202480213504E-3</v>
      </c>
      <c r="P103" s="30">
        <f t="shared" si="14"/>
        <v>-3.9971342394260478E-3</v>
      </c>
      <c r="Q103" s="30">
        <f t="shared" si="15"/>
        <v>4.2684212752045037E-2</v>
      </c>
    </row>
    <row r="104" spans="2:17" ht="13.95" customHeight="1" x14ac:dyDescent="0.3">
      <c r="B104" s="105">
        <v>43210</v>
      </c>
      <c r="C104" s="107">
        <f t="shared" si="8"/>
        <v>0</v>
      </c>
      <c r="D104" s="106">
        <v>4.5372791258088743</v>
      </c>
      <c r="E104" s="106">
        <v>2.5177463658973238</v>
      </c>
      <c r="F104" s="106">
        <v>1.08084930461867</v>
      </c>
      <c r="G104" s="106">
        <v>1.6789600811631571</v>
      </c>
      <c r="H104" s="106">
        <v>2.315916309976747</v>
      </c>
      <c r="I104" s="106">
        <v>1.1008334966669151</v>
      </c>
      <c r="J104" s="106">
        <v>1.7481768508045801</v>
      </c>
      <c r="K104" s="30">
        <f t="shared" si="9"/>
        <v>7.6907289547345492E-4</v>
      </c>
      <c r="L104" s="30">
        <f t="shared" si="10"/>
        <v>9.5125841610133044E-3</v>
      </c>
      <c r="M104" s="30">
        <f t="shared" si="11"/>
        <v>2.1760972995903405E-3</v>
      </c>
      <c r="N104" s="30">
        <f t="shared" si="12"/>
        <v>3.9285626526801787E-2</v>
      </c>
      <c r="O104" s="30">
        <f t="shared" si="13"/>
        <v>1.4527817381282171E-2</v>
      </c>
      <c r="P104" s="30">
        <f t="shared" si="14"/>
        <v>-2.1461409911999185E-3</v>
      </c>
      <c r="Q104" s="30">
        <f t="shared" si="15"/>
        <v>2.7312277764840243E-2</v>
      </c>
    </row>
    <row r="105" spans="2:17" ht="13.95" customHeight="1" x14ac:dyDescent="0.3">
      <c r="B105" s="105">
        <v>43217</v>
      </c>
      <c r="C105" s="107">
        <f t="shared" si="8"/>
        <v>0</v>
      </c>
      <c r="D105" s="106">
        <v>4.6081807160311534</v>
      </c>
      <c r="E105" s="106">
        <v>2.54215841713666</v>
      </c>
      <c r="F105" s="106">
        <v>1.081026710359837</v>
      </c>
      <c r="G105" s="106">
        <v>1.696337052339544</v>
      </c>
      <c r="H105" s="106">
        <v>2.3403130385107529</v>
      </c>
      <c r="I105" s="106">
        <v>1.1036020319069759</v>
      </c>
      <c r="J105" s="106">
        <v>1.7252493724463429</v>
      </c>
      <c r="K105" s="30">
        <f t="shared" si="9"/>
        <v>1.5626455471733802E-2</v>
      </c>
      <c r="L105" s="30">
        <f t="shared" si="10"/>
        <v>9.6959930396467442E-3</v>
      </c>
      <c r="M105" s="30">
        <f t="shared" si="11"/>
        <v>1.6413550011917799E-4</v>
      </c>
      <c r="N105" s="30">
        <f t="shared" si="12"/>
        <v>1.0349841768928947E-2</v>
      </c>
      <c r="O105" s="30">
        <f t="shared" si="13"/>
        <v>1.0534373987914458E-2</v>
      </c>
      <c r="P105" s="30">
        <f t="shared" si="14"/>
        <v>2.5149445837571172E-3</v>
      </c>
      <c r="Q105" s="30">
        <f t="shared" si="15"/>
        <v>-1.3115079488488224E-2</v>
      </c>
    </row>
    <row r="106" spans="2:17" ht="13.95" customHeight="1" x14ac:dyDescent="0.3">
      <c r="B106" s="105">
        <v>43224</v>
      </c>
      <c r="C106" s="107">
        <f t="shared" si="8"/>
        <v>0</v>
      </c>
      <c r="D106" s="106">
        <v>4.2748573891969812</v>
      </c>
      <c r="E106" s="106">
        <v>2.4609950789807762</v>
      </c>
      <c r="F106" s="106">
        <v>1.0408398537367121</v>
      </c>
      <c r="G106" s="106">
        <v>1.686518296097492</v>
      </c>
      <c r="H106" s="106">
        <v>2.2514407818999671</v>
      </c>
      <c r="I106" s="106">
        <v>1.0616879535826089</v>
      </c>
      <c r="J106" s="106">
        <v>1.668337756636856</v>
      </c>
      <c r="K106" s="30">
        <f t="shared" si="9"/>
        <v>-7.2332954667899907E-2</v>
      </c>
      <c r="L106" s="30">
        <f t="shared" si="10"/>
        <v>-3.1926939567873736E-2</v>
      </c>
      <c r="M106" s="30">
        <f t="shared" si="11"/>
        <v>-3.717471200110134E-2</v>
      </c>
      <c r="N106" s="30">
        <f t="shared" si="12"/>
        <v>-5.7882106793046839E-3</v>
      </c>
      <c r="O106" s="30">
        <f t="shared" si="13"/>
        <v>-3.7974516719925355E-2</v>
      </c>
      <c r="P106" s="30">
        <f t="shared" si="14"/>
        <v>-3.7979341386261578E-2</v>
      </c>
      <c r="Q106" s="30">
        <f t="shared" si="15"/>
        <v>-3.2987472256713946E-2</v>
      </c>
    </row>
    <row r="107" spans="2:17" ht="13.95" customHeight="1" x14ac:dyDescent="0.3">
      <c r="B107" s="105">
        <v>43231</v>
      </c>
      <c r="C107" s="107">
        <f t="shared" si="8"/>
        <v>0</v>
      </c>
      <c r="D107" s="106">
        <v>4.314693545750683</v>
      </c>
      <c r="E107" s="106">
        <v>2.4297494787360301</v>
      </c>
      <c r="F107" s="106">
        <v>1.02700815212457</v>
      </c>
      <c r="G107" s="106">
        <v>1.83903054441765</v>
      </c>
      <c r="H107" s="106">
        <v>2.3142203272841568</v>
      </c>
      <c r="I107" s="106">
        <v>1.0403063589116801</v>
      </c>
      <c r="J107" s="106">
        <v>1.709836683050221</v>
      </c>
      <c r="K107" s="30">
        <f t="shared" si="9"/>
        <v>9.3187100590470529E-3</v>
      </c>
      <c r="L107" s="30">
        <f t="shared" si="10"/>
        <v>-1.269632780317731E-2</v>
      </c>
      <c r="M107" s="30">
        <f t="shared" si="11"/>
        <v>-1.3288981549356538E-2</v>
      </c>
      <c r="N107" s="30">
        <f t="shared" si="12"/>
        <v>9.0430236465897096E-2</v>
      </c>
      <c r="O107" s="30">
        <f t="shared" si="13"/>
        <v>2.788416461534049E-2</v>
      </c>
      <c r="P107" s="30">
        <f t="shared" si="14"/>
        <v>-2.0139245810200435E-2</v>
      </c>
      <c r="Q107" s="30">
        <f t="shared" si="15"/>
        <v>2.4874415416348938E-2</v>
      </c>
    </row>
    <row r="108" spans="2:17" ht="13.95" customHeight="1" x14ac:dyDescent="0.3">
      <c r="B108" s="105">
        <v>43238</v>
      </c>
      <c r="C108" s="107">
        <f t="shared" si="8"/>
        <v>0</v>
      </c>
      <c r="D108" s="106">
        <v>4.0660895187185426</v>
      </c>
      <c r="E108" s="106">
        <v>2.3081322533679209</v>
      </c>
      <c r="F108" s="106">
        <v>0.98508850031920125</v>
      </c>
      <c r="G108" s="106">
        <v>1.893604401702857</v>
      </c>
      <c r="H108" s="106">
        <v>2.2595288489268008</v>
      </c>
      <c r="I108" s="106">
        <v>0.98495016262389001</v>
      </c>
      <c r="J108" s="106">
        <v>1.752922979983331</v>
      </c>
      <c r="K108" s="30">
        <f t="shared" si="9"/>
        <v>-5.761800331728717E-2</v>
      </c>
      <c r="L108" s="30">
        <f t="shared" si="10"/>
        <v>-5.0053401156145205E-2</v>
      </c>
      <c r="M108" s="30">
        <f t="shared" si="11"/>
        <v>-4.0817253221066996E-2</v>
      </c>
      <c r="N108" s="30">
        <f t="shared" si="12"/>
        <v>2.9675340331276834E-2</v>
      </c>
      <c r="O108" s="30">
        <f t="shared" si="13"/>
        <v>-2.3632787990216508E-2</v>
      </c>
      <c r="P108" s="30">
        <f t="shared" si="14"/>
        <v>-5.3211437009479723E-2</v>
      </c>
      <c r="Q108" s="30">
        <f t="shared" si="15"/>
        <v>2.5199071560593422E-2</v>
      </c>
    </row>
    <row r="109" spans="2:17" ht="13.95" customHeight="1" x14ac:dyDescent="0.3">
      <c r="B109" s="105">
        <v>43245</v>
      </c>
      <c r="C109" s="107">
        <f t="shared" si="8"/>
        <v>0</v>
      </c>
      <c r="D109" s="106">
        <v>3.9745385528889412</v>
      </c>
      <c r="E109" s="106">
        <v>2.2790916488746031</v>
      </c>
      <c r="F109" s="106">
        <v>1.0034582338326969</v>
      </c>
      <c r="G109" s="106">
        <v>1.6565500591061479</v>
      </c>
      <c r="H109" s="106">
        <v>2.1409998375822341</v>
      </c>
      <c r="I109" s="106">
        <v>1.0024807909658009</v>
      </c>
      <c r="J109" s="106">
        <v>1.792934422866592</v>
      </c>
      <c r="K109" s="30">
        <f t="shared" si="9"/>
        <v>-2.2515728049798178E-2</v>
      </c>
      <c r="L109" s="30">
        <f t="shared" si="10"/>
        <v>-1.2581863301352469E-2</v>
      </c>
      <c r="M109" s="30">
        <f t="shared" si="11"/>
        <v>1.8647800179926177E-2</v>
      </c>
      <c r="N109" s="30">
        <f t="shared" si="12"/>
        <v>-0.12518683542535802</v>
      </c>
      <c r="O109" s="30">
        <f t="shared" si="13"/>
        <v>-5.2457401197096409E-2</v>
      </c>
      <c r="P109" s="30">
        <f t="shared" si="14"/>
        <v>1.7798492763541951E-2</v>
      </c>
      <c r="Q109" s="30">
        <f t="shared" si="15"/>
        <v>2.2825556707369632E-2</v>
      </c>
    </row>
    <row r="110" spans="2:17" ht="13.95" customHeight="1" x14ac:dyDescent="0.3">
      <c r="B110" s="105">
        <v>43252</v>
      </c>
      <c r="C110" s="107">
        <f t="shared" si="8"/>
        <v>0</v>
      </c>
      <c r="D110" s="106">
        <v>3.9312035733480601</v>
      </c>
      <c r="E110" s="106">
        <v>2.28311585884228</v>
      </c>
      <c r="F110" s="106">
        <v>0.98905543282764319</v>
      </c>
      <c r="G110" s="106">
        <v>1.58670510432051</v>
      </c>
      <c r="H110" s="106">
        <v>2.10110575816207</v>
      </c>
      <c r="I110" s="106">
        <v>0.9957957474015311</v>
      </c>
      <c r="J110" s="106">
        <v>1.696264863516489</v>
      </c>
      <c r="K110" s="30">
        <f t="shared" si="9"/>
        <v>-1.090314736270015E-2</v>
      </c>
      <c r="L110" s="30">
        <f t="shared" si="10"/>
        <v>1.7657078291097861E-3</v>
      </c>
      <c r="M110" s="30">
        <f t="shared" si="11"/>
        <v>-1.4353164406297636E-2</v>
      </c>
      <c r="N110" s="30">
        <f t="shared" si="12"/>
        <v>-4.2162900180224727E-2</v>
      </c>
      <c r="O110" s="30">
        <f t="shared" si="13"/>
        <v>-1.8633387410816105E-2</v>
      </c>
      <c r="P110" s="30">
        <f t="shared" si="14"/>
        <v>-6.668500408700484E-3</v>
      </c>
      <c r="Q110" s="30">
        <f t="shared" si="15"/>
        <v>-5.3916952074323565E-2</v>
      </c>
    </row>
    <row r="111" spans="2:17" ht="13.95" customHeight="1" x14ac:dyDescent="0.3">
      <c r="B111" s="105">
        <v>43259</v>
      </c>
      <c r="C111" s="107">
        <f t="shared" si="8"/>
        <v>0</v>
      </c>
      <c r="D111" s="106">
        <v>3.6376222553609741</v>
      </c>
      <c r="E111" s="106">
        <v>2.1614603103208632</v>
      </c>
      <c r="F111" s="106">
        <v>0.93605539940738403</v>
      </c>
      <c r="G111" s="106">
        <v>1.5251442565143281</v>
      </c>
      <c r="H111" s="106">
        <v>1.984038458948171</v>
      </c>
      <c r="I111" s="106">
        <v>0.93631605439246068</v>
      </c>
      <c r="J111" s="106">
        <v>1.666160810338674</v>
      </c>
      <c r="K111" s="30">
        <f t="shared" si="9"/>
        <v>-7.4679754561032263E-2</v>
      </c>
      <c r="L111" s="30">
        <f t="shared" si="10"/>
        <v>-5.3284877353138693E-2</v>
      </c>
      <c r="M111" s="30">
        <f t="shared" si="11"/>
        <v>-5.3586514629150428E-2</v>
      </c>
      <c r="N111" s="30">
        <f t="shared" si="12"/>
        <v>-3.8797913763909397E-2</v>
      </c>
      <c r="O111" s="30">
        <f t="shared" si="13"/>
        <v>-5.5716995091338428E-2</v>
      </c>
      <c r="P111" s="30">
        <f t="shared" si="14"/>
        <v>-5.9730816449336199E-2</v>
      </c>
      <c r="Q111" s="30">
        <f t="shared" si="15"/>
        <v>-1.7747259773692958E-2</v>
      </c>
    </row>
    <row r="112" spans="2:17" ht="13.95" customHeight="1" x14ac:dyDescent="0.3">
      <c r="B112" s="105">
        <v>43266</v>
      </c>
      <c r="C112" s="107">
        <f t="shared" si="8"/>
        <v>0</v>
      </c>
      <c r="D112" s="106">
        <v>3.414269619015847</v>
      </c>
      <c r="E112" s="106">
        <v>2.1461742761407132</v>
      </c>
      <c r="F112" s="106">
        <v>0.91168826011775406</v>
      </c>
      <c r="G112" s="106">
        <v>1.4993473287574941</v>
      </c>
      <c r="H112" s="106">
        <v>1.924027788579092</v>
      </c>
      <c r="I112" s="106">
        <v>0.90448185804952907</v>
      </c>
      <c r="J112" s="106">
        <v>1.6969127266734261</v>
      </c>
      <c r="K112" s="30">
        <f t="shared" si="9"/>
        <v>-6.1400722962907772E-2</v>
      </c>
      <c r="L112" s="30">
        <f t="shared" si="10"/>
        <v>-7.0720864533851957E-3</v>
      </c>
      <c r="M112" s="30">
        <f t="shared" si="11"/>
        <v>-2.6031727721518183E-2</v>
      </c>
      <c r="N112" s="30">
        <f t="shared" si="12"/>
        <v>-1.6914418191359859E-2</v>
      </c>
      <c r="O112" s="30">
        <f t="shared" si="13"/>
        <v>-3.0246727374878324E-2</v>
      </c>
      <c r="P112" s="30">
        <f t="shared" si="14"/>
        <v>-3.3999413118669164E-2</v>
      </c>
      <c r="Q112" s="30">
        <f t="shared" si="15"/>
        <v>1.8456751679630123E-2</v>
      </c>
    </row>
    <row r="113" spans="2:17" ht="13.95" customHeight="1" x14ac:dyDescent="0.3">
      <c r="B113" s="105">
        <v>43273</v>
      </c>
      <c r="C113" s="107">
        <f t="shared" si="8"/>
        <v>0</v>
      </c>
      <c r="D113" s="106">
        <v>3.4736579544923969</v>
      </c>
      <c r="E113" s="106">
        <v>2.1313217245896059</v>
      </c>
      <c r="F113" s="106">
        <v>0.90995598327173566</v>
      </c>
      <c r="G113" s="106">
        <v>1.4743405427529901</v>
      </c>
      <c r="H113" s="106">
        <v>1.920480752916522</v>
      </c>
      <c r="I113" s="106">
        <v>0.90285202406230058</v>
      </c>
      <c r="J113" s="106">
        <v>1.6928066458684781</v>
      </c>
      <c r="K113" s="30">
        <f t="shared" si="9"/>
        <v>1.7394155149840884E-2</v>
      </c>
      <c r="L113" s="30">
        <f t="shared" si="10"/>
        <v>-6.920477855048901E-3</v>
      </c>
      <c r="M113" s="30">
        <f t="shared" si="11"/>
        <v>-1.9000758502634163E-3</v>
      </c>
      <c r="N113" s="30">
        <f t="shared" si="12"/>
        <v>-1.667844769845761E-2</v>
      </c>
      <c r="O113" s="30">
        <f t="shared" si="13"/>
        <v>-1.8435470026082479E-3</v>
      </c>
      <c r="P113" s="30">
        <f t="shared" si="14"/>
        <v>-1.8019532097007795E-3</v>
      </c>
      <c r="Q113" s="30">
        <f t="shared" si="15"/>
        <v>-2.4197359949073016E-3</v>
      </c>
    </row>
    <row r="114" spans="2:17" ht="13.95" customHeight="1" x14ac:dyDescent="0.3">
      <c r="B114" s="105">
        <v>43280</v>
      </c>
      <c r="C114" s="107">
        <f t="shared" si="8"/>
        <v>0</v>
      </c>
      <c r="D114" s="106">
        <v>3.581910167859939</v>
      </c>
      <c r="E114" s="106">
        <v>2.1247615623468321</v>
      </c>
      <c r="F114" s="106">
        <v>0.9421389274097286</v>
      </c>
      <c r="G114" s="106">
        <v>1.54018245465476</v>
      </c>
      <c r="H114" s="106">
        <v>1.9754636534884189</v>
      </c>
      <c r="I114" s="106">
        <v>0.93744728441251579</v>
      </c>
      <c r="J114" s="106">
        <v>1.726212040365849</v>
      </c>
      <c r="K114" s="30">
        <f t="shared" si="9"/>
        <v>3.1163751522380601E-2</v>
      </c>
      <c r="L114" s="30">
        <f t="shared" si="10"/>
        <v>-3.0779784051780945E-3</v>
      </c>
      <c r="M114" s="30">
        <f t="shared" si="11"/>
        <v>3.5367583410221171E-2</v>
      </c>
      <c r="N114" s="30">
        <f t="shared" si="12"/>
        <v>4.4658550716393686E-2</v>
      </c>
      <c r="O114" s="30">
        <f t="shared" si="13"/>
        <v>2.8629758714528997E-2</v>
      </c>
      <c r="P114" s="30">
        <f t="shared" si="14"/>
        <v>3.8317752442484476E-2</v>
      </c>
      <c r="Q114" s="30">
        <f t="shared" si="15"/>
        <v>1.9733733075127713E-2</v>
      </c>
    </row>
    <row r="115" spans="2:17" ht="13.95" customHeight="1" x14ac:dyDescent="0.3">
      <c r="B115" s="105">
        <v>43287</v>
      </c>
      <c r="C115" s="107">
        <f t="shared" si="8"/>
        <v>0</v>
      </c>
      <c r="D115" s="106">
        <v>3.748080723571992</v>
      </c>
      <c r="E115" s="106">
        <v>2.2000587833551069</v>
      </c>
      <c r="F115" s="106">
        <v>0.94955404350600148</v>
      </c>
      <c r="G115" s="106">
        <v>1.581338456672867</v>
      </c>
      <c r="H115" s="106">
        <v>2.038076564586456</v>
      </c>
      <c r="I115" s="106">
        <v>0.95281300728995943</v>
      </c>
      <c r="J115" s="106">
        <v>1.662577111516593</v>
      </c>
      <c r="K115" s="30">
        <f t="shared" si="9"/>
        <v>4.6391603341446652E-2</v>
      </c>
      <c r="L115" s="30">
        <f t="shared" si="10"/>
        <v>3.5437962707263848E-2</v>
      </c>
      <c r="M115" s="30">
        <f t="shared" si="11"/>
        <v>7.8705123846858349E-3</v>
      </c>
      <c r="N115" s="30">
        <f t="shared" si="12"/>
        <v>2.6721510749408095E-2</v>
      </c>
      <c r="O115" s="30">
        <f t="shared" si="13"/>
        <v>3.169529896815404E-2</v>
      </c>
      <c r="P115" s="30">
        <f t="shared" si="14"/>
        <v>1.6391026069346504E-2</v>
      </c>
      <c r="Q115" s="30">
        <f t="shared" si="15"/>
        <v>-3.6863912057854331E-2</v>
      </c>
    </row>
    <row r="116" spans="2:17" ht="13.95" customHeight="1" x14ac:dyDescent="0.3">
      <c r="B116" s="105">
        <v>43294</v>
      </c>
      <c r="C116" s="107">
        <f t="shared" si="8"/>
        <v>0</v>
      </c>
      <c r="D116" s="106">
        <v>3.93293423248504</v>
      </c>
      <c r="E116" s="106">
        <v>2.2181402931039771</v>
      </c>
      <c r="F116" s="106">
        <v>0.97442541044520936</v>
      </c>
      <c r="G116" s="106">
        <v>1.581384270763408</v>
      </c>
      <c r="H116" s="106">
        <v>2.081008402092213</v>
      </c>
      <c r="I116" s="106">
        <v>0.98781630308072355</v>
      </c>
      <c r="J116" s="106">
        <v>1.608997216837438</v>
      </c>
      <c r="K116" s="30">
        <f t="shared" si="9"/>
        <v>4.9319511116846737E-2</v>
      </c>
      <c r="L116" s="30">
        <f t="shared" si="10"/>
        <v>8.2186484677904126E-3</v>
      </c>
      <c r="M116" s="30">
        <f t="shared" si="11"/>
        <v>2.6192681827119868E-2</v>
      </c>
      <c r="N116" s="30">
        <f t="shared" si="12"/>
        <v>2.8971717185299894E-5</v>
      </c>
      <c r="O116" s="30">
        <f t="shared" si="13"/>
        <v>2.1064879628046818E-2</v>
      </c>
      <c r="P116" s="30">
        <f t="shared" si="14"/>
        <v>3.6736794652208138E-2</v>
      </c>
      <c r="Q116" s="30">
        <f t="shared" si="15"/>
        <v>-3.2227013296411755E-2</v>
      </c>
    </row>
    <row r="117" spans="2:17" ht="13.95" customHeight="1" x14ac:dyDescent="0.3">
      <c r="B117" s="105">
        <v>43301</v>
      </c>
      <c r="C117" s="107">
        <f t="shared" si="8"/>
        <v>0</v>
      </c>
      <c r="D117" s="106">
        <v>4.1065567057324959</v>
      </c>
      <c r="E117" s="106">
        <v>2.2727558707908582</v>
      </c>
      <c r="F117" s="106">
        <v>1.0108856940656921</v>
      </c>
      <c r="G117" s="106">
        <v>1.5870017145011019</v>
      </c>
      <c r="H117" s="106">
        <v>2.135267945105547</v>
      </c>
      <c r="I117" s="106">
        <v>1.0246046384319729</v>
      </c>
      <c r="J117" s="106">
        <v>1.6708739042658161</v>
      </c>
      <c r="K117" s="30">
        <f t="shared" si="9"/>
        <v>4.4145786068167103E-2</v>
      </c>
      <c r="L117" s="30">
        <f t="shared" si="10"/>
        <v>2.462223776227157E-2</v>
      </c>
      <c r="M117" s="30">
        <f t="shared" si="11"/>
        <v>3.7417213497977553E-2</v>
      </c>
      <c r="N117" s="30">
        <f t="shared" si="12"/>
        <v>3.5522319537060199E-3</v>
      </c>
      <c r="O117" s="30">
        <f t="shared" si="13"/>
        <v>2.607367801051752E-2</v>
      </c>
      <c r="P117" s="30">
        <f t="shared" si="14"/>
        <v>3.7242081585935338E-2</v>
      </c>
      <c r="Q117" s="30">
        <f t="shared" si="15"/>
        <v>3.8456677725024146E-2</v>
      </c>
    </row>
    <row r="118" spans="2:17" ht="13.95" customHeight="1" x14ac:dyDescent="0.3">
      <c r="B118" s="105">
        <v>43308</v>
      </c>
      <c r="C118" s="107">
        <f t="shared" si="8"/>
        <v>0</v>
      </c>
      <c r="D118" s="106">
        <v>4.1208320964986758</v>
      </c>
      <c r="E118" s="106">
        <v>2.293402509619789</v>
      </c>
      <c r="F118" s="106">
        <v>0.98260202422850929</v>
      </c>
      <c r="G118" s="106">
        <v>1.67575417348323</v>
      </c>
      <c r="H118" s="106">
        <v>2.1699464938824322</v>
      </c>
      <c r="I118" s="106">
        <v>0.99704056151750742</v>
      </c>
      <c r="J118" s="106">
        <v>1.6134566607074261</v>
      </c>
      <c r="K118" s="30">
        <f t="shared" si="9"/>
        <v>3.476243429501924E-3</v>
      </c>
      <c r="L118" s="30">
        <f t="shared" si="10"/>
        <v>9.0844067742947843E-3</v>
      </c>
      <c r="M118" s="30">
        <f t="shared" si="11"/>
        <v>-2.7979097936808639E-2</v>
      </c>
      <c r="N118" s="30">
        <f t="shared" si="12"/>
        <v>5.592461442930996E-2</v>
      </c>
      <c r="O118" s="30">
        <f t="shared" si="13"/>
        <v>1.6240841743714318E-2</v>
      </c>
      <c r="P118" s="30">
        <f t="shared" si="14"/>
        <v>-2.6902159018769245E-2</v>
      </c>
      <c r="Q118" s="30">
        <f t="shared" si="15"/>
        <v>-3.4363600635452629E-2</v>
      </c>
    </row>
    <row r="119" spans="2:17" ht="13.95" customHeight="1" x14ac:dyDescent="0.3">
      <c r="B119" s="105">
        <v>43315</v>
      </c>
      <c r="C119" s="107">
        <f t="shared" si="8"/>
        <v>0</v>
      </c>
      <c r="D119" s="106">
        <v>4.2455122763065161</v>
      </c>
      <c r="E119" s="106">
        <v>2.296757548224575</v>
      </c>
      <c r="F119" s="106">
        <v>0.99029195174348017</v>
      </c>
      <c r="G119" s="106">
        <v>1.7214339362216851</v>
      </c>
      <c r="H119" s="106">
        <v>2.21347781439925</v>
      </c>
      <c r="I119" s="106">
        <v>1.0103641311453411</v>
      </c>
      <c r="J119" s="106">
        <v>1.572386346045773</v>
      </c>
      <c r="K119" s="30">
        <f t="shared" si="9"/>
        <v>3.0256068892924981E-2</v>
      </c>
      <c r="L119" s="30">
        <f t="shared" si="10"/>
        <v>1.4629087526996098E-3</v>
      </c>
      <c r="M119" s="30">
        <f t="shared" si="11"/>
        <v>7.8260855619636249E-3</v>
      </c>
      <c r="N119" s="30">
        <f t="shared" si="12"/>
        <v>2.7259226598555841E-2</v>
      </c>
      <c r="O119" s="30">
        <f t="shared" si="13"/>
        <v>2.0061011015498398E-2</v>
      </c>
      <c r="P119" s="30">
        <f t="shared" si="14"/>
        <v>1.3363116950382725E-2</v>
      </c>
      <c r="Q119" s="30">
        <f t="shared" si="15"/>
        <v>-2.545486077304715E-2</v>
      </c>
    </row>
    <row r="120" spans="2:17" ht="13.95" customHeight="1" x14ac:dyDescent="0.3">
      <c r="B120" s="105">
        <v>43322</v>
      </c>
      <c r="C120" s="107">
        <f t="shared" si="8"/>
        <v>0</v>
      </c>
      <c r="D120" s="106">
        <v>3.880921997132734</v>
      </c>
      <c r="E120" s="106">
        <v>2.1718278318866391</v>
      </c>
      <c r="F120" s="106">
        <v>0.92219790962126869</v>
      </c>
      <c r="G120" s="106">
        <v>1.661543013443312</v>
      </c>
      <c r="H120" s="106">
        <v>2.0800806624468899</v>
      </c>
      <c r="I120" s="106">
        <v>0.9351567864100222</v>
      </c>
      <c r="J120" s="106">
        <v>1.519938162330601</v>
      </c>
      <c r="K120" s="30">
        <f t="shared" si="9"/>
        <v>-8.5876628177122161E-2</v>
      </c>
      <c r="L120" s="30">
        <f t="shared" si="10"/>
        <v>-5.4393950477928499E-2</v>
      </c>
      <c r="M120" s="30">
        <f t="shared" si="11"/>
        <v>-6.8761582887073902E-2</v>
      </c>
      <c r="N120" s="30">
        <f t="shared" si="12"/>
        <v>-3.4791298996826758E-2</v>
      </c>
      <c r="O120" s="30">
        <f t="shared" si="13"/>
        <v>-6.0265863558503607E-2</v>
      </c>
      <c r="P120" s="30">
        <f t="shared" si="14"/>
        <v>-7.4435881497559087E-2</v>
      </c>
      <c r="Q120" s="30">
        <f t="shared" si="15"/>
        <v>-3.3355786793155762E-2</v>
      </c>
    </row>
    <row r="121" spans="2:17" ht="13.95" customHeight="1" x14ac:dyDescent="0.3">
      <c r="B121" s="105">
        <v>43329</v>
      </c>
      <c r="C121" s="107">
        <f t="shared" si="8"/>
        <v>0</v>
      </c>
      <c r="D121" s="106">
        <v>3.8686834063925821</v>
      </c>
      <c r="E121" s="106">
        <v>2.2063045919997402</v>
      </c>
      <c r="F121" s="106">
        <v>0.91674311474325421</v>
      </c>
      <c r="G121" s="106">
        <v>1.623994603102908</v>
      </c>
      <c r="H121" s="106">
        <v>2.0669797082054648</v>
      </c>
      <c r="I121" s="106">
        <v>0.92336774487474116</v>
      </c>
      <c r="J121" s="106">
        <v>1.5717123834750459</v>
      </c>
      <c r="K121" s="30">
        <f t="shared" si="9"/>
        <v>-3.153526597337919E-3</v>
      </c>
      <c r="L121" s="30">
        <f t="shared" si="10"/>
        <v>1.5874536465052769E-2</v>
      </c>
      <c r="M121" s="30">
        <f t="shared" si="11"/>
        <v>-5.914993756876652E-3</v>
      </c>
      <c r="N121" s="30">
        <f t="shared" si="12"/>
        <v>-2.2598518387188959E-2</v>
      </c>
      <c r="O121" s="30">
        <f t="shared" si="13"/>
        <v>-6.298291445108628E-3</v>
      </c>
      <c r="P121" s="30">
        <f t="shared" si="14"/>
        <v>-1.260648664117392E-2</v>
      </c>
      <c r="Q121" s="30">
        <f t="shared" si="15"/>
        <v>3.4063373384254581E-2</v>
      </c>
    </row>
    <row r="122" spans="2:17" ht="13.95" customHeight="1" x14ac:dyDescent="0.3">
      <c r="B122" s="105">
        <v>43336</v>
      </c>
      <c r="C122" s="107">
        <f t="shared" si="8"/>
        <v>0</v>
      </c>
      <c r="D122" s="106">
        <v>3.768039563676238</v>
      </c>
      <c r="E122" s="106">
        <v>2.1997348230083911</v>
      </c>
      <c r="F122" s="106">
        <v>0.9043704707653869</v>
      </c>
      <c r="G122" s="106">
        <v>1.6915989374863021</v>
      </c>
      <c r="H122" s="106">
        <v>2.0732429398454921</v>
      </c>
      <c r="I122" s="106">
        <v>0.90714261828989196</v>
      </c>
      <c r="J122" s="106">
        <v>1.587041572981069</v>
      </c>
      <c r="K122" s="30">
        <f t="shared" si="9"/>
        <v>-2.6015011347281902E-2</v>
      </c>
      <c r="L122" s="30">
        <f t="shared" si="10"/>
        <v>-2.9777252946722177E-3</v>
      </c>
      <c r="M122" s="30">
        <f t="shared" si="11"/>
        <v>-1.3496304230583123E-2</v>
      </c>
      <c r="N122" s="30">
        <f t="shared" si="12"/>
        <v>4.1628423058934327E-2</v>
      </c>
      <c r="O122" s="30">
        <f t="shared" si="13"/>
        <v>3.0301369748158002E-3</v>
      </c>
      <c r="P122" s="30">
        <f t="shared" si="14"/>
        <v>-1.7571684385672581E-2</v>
      </c>
      <c r="Q122" s="30">
        <f t="shared" si="15"/>
        <v>9.7531772779764214E-3</v>
      </c>
    </row>
    <row r="123" spans="2:17" ht="13.95" customHeight="1" x14ac:dyDescent="0.3">
      <c r="B123" s="105">
        <v>43343</v>
      </c>
      <c r="C123" s="107">
        <f t="shared" si="8"/>
        <v>0</v>
      </c>
      <c r="D123" s="106">
        <v>3.8194465541139211</v>
      </c>
      <c r="E123" s="106">
        <v>2.1868184479827999</v>
      </c>
      <c r="F123" s="106">
        <v>0.91260609707164619</v>
      </c>
      <c r="G123" s="106">
        <v>1.6986313842962131</v>
      </c>
      <c r="H123" s="106">
        <v>2.0851242740418821</v>
      </c>
      <c r="I123" s="106">
        <v>0.91045980393755099</v>
      </c>
      <c r="J123" s="106">
        <v>1.649499793820097</v>
      </c>
      <c r="K123" s="30">
        <f t="shared" si="9"/>
        <v>1.364290092207221E-2</v>
      </c>
      <c r="L123" s="30">
        <f t="shared" si="10"/>
        <v>-5.8717873129482401E-3</v>
      </c>
      <c r="M123" s="30">
        <f t="shared" si="11"/>
        <v>9.1064741413873218E-3</v>
      </c>
      <c r="N123" s="30">
        <f t="shared" si="12"/>
        <v>4.157277859467845E-3</v>
      </c>
      <c r="O123" s="30">
        <f t="shared" si="13"/>
        <v>5.7307968921747054E-3</v>
      </c>
      <c r="P123" s="30">
        <f t="shared" si="14"/>
        <v>3.6567410468626438E-3</v>
      </c>
      <c r="Q123" s="30">
        <f t="shared" si="15"/>
        <v>3.9355125853261619E-2</v>
      </c>
    </row>
    <row r="124" spans="2:17" ht="13.95" customHeight="1" x14ac:dyDescent="0.3">
      <c r="B124" s="105">
        <v>43350</v>
      </c>
      <c r="C124" s="107">
        <f t="shared" si="8"/>
        <v>0</v>
      </c>
      <c r="D124" s="106">
        <v>3.828251182825352</v>
      </c>
      <c r="E124" s="106">
        <v>2.1672010453307089</v>
      </c>
      <c r="F124" s="106">
        <v>0.89717538001154429</v>
      </c>
      <c r="G124" s="106">
        <v>1.698976073233188</v>
      </c>
      <c r="H124" s="106">
        <v>2.078032152956343</v>
      </c>
      <c r="I124" s="106">
        <v>0.89017875211537156</v>
      </c>
      <c r="J124" s="106">
        <v>1.669133963271993</v>
      </c>
      <c r="K124" s="30">
        <f t="shared" si="9"/>
        <v>2.3052106075283074E-3</v>
      </c>
      <c r="L124" s="30">
        <f t="shared" si="10"/>
        <v>-8.9707504846535668E-3</v>
      </c>
      <c r="M124" s="30">
        <f t="shared" si="11"/>
        <v>-1.6908408906773364E-2</v>
      </c>
      <c r="N124" s="30">
        <f t="shared" si="12"/>
        <v>2.0292156389056792E-4</v>
      </c>
      <c r="O124" s="30">
        <f t="shared" si="13"/>
        <v>-3.4012941932671792E-3</v>
      </c>
      <c r="P124" s="30">
        <f t="shared" si="14"/>
        <v>-2.2275614732762516E-2</v>
      </c>
      <c r="Q124" s="30">
        <f t="shared" si="15"/>
        <v>1.1903105126448654E-2</v>
      </c>
    </row>
    <row r="125" spans="2:17" ht="13.95" customHeight="1" x14ac:dyDescent="0.3">
      <c r="B125" s="105">
        <v>43357</v>
      </c>
      <c r="C125" s="107">
        <f t="shared" si="8"/>
        <v>0</v>
      </c>
      <c r="D125" s="106">
        <v>3.7490048210469031</v>
      </c>
      <c r="E125" s="106">
        <v>2.1194029570384441</v>
      </c>
      <c r="F125" s="106">
        <v>0.87808218649089531</v>
      </c>
      <c r="G125" s="106">
        <v>1.703834073877561</v>
      </c>
      <c r="H125" s="106">
        <v>2.0512196764028161</v>
      </c>
      <c r="I125" s="106">
        <v>0.87129816060000131</v>
      </c>
      <c r="J125" s="106">
        <v>1.6329928255378181</v>
      </c>
      <c r="K125" s="30">
        <f t="shared" si="9"/>
        <v>-2.0700408095992051E-2</v>
      </c>
      <c r="L125" s="30">
        <f t="shared" si="10"/>
        <v>-2.2055216517750886E-2</v>
      </c>
      <c r="M125" s="30">
        <f t="shared" si="11"/>
        <v>-2.1281450590411088E-2</v>
      </c>
      <c r="N125" s="30">
        <f t="shared" si="12"/>
        <v>2.8593696644167998E-3</v>
      </c>
      <c r="O125" s="30">
        <f t="shared" si="13"/>
        <v>-1.2902820832383033E-2</v>
      </c>
      <c r="P125" s="30">
        <f t="shared" si="14"/>
        <v>-2.1209887868592125E-2</v>
      </c>
      <c r="Q125" s="30">
        <f t="shared" si="15"/>
        <v>-2.1652628566330101E-2</v>
      </c>
    </row>
    <row r="126" spans="2:17" ht="13.95" customHeight="1" x14ac:dyDescent="0.3">
      <c r="B126" s="105">
        <v>43364</v>
      </c>
      <c r="C126" s="107">
        <f t="shared" si="8"/>
        <v>0</v>
      </c>
      <c r="D126" s="106">
        <v>3.9500667037685591</v>
      </c>
      <c r="E126" s="106">
        <v>2.2037679334730571</v>
      </c>
      <c r="F126" s="106">
        <v>0.92552611224214554</v>
      </c>
      <c r="G126" s="106">
        <v>1.806292155229829</v>
      </c>
      <c r="H126" s="106">
        <v>2.1604673567504382</v>
      </c>
      <c r="I126" s="106">
        <v>0.92656620979817628</v>
      </c>
      <c r="J126" s="106">
        <v>1.641567645689517</v>
      </c>
      <c r="K126" s="30">
        <f t="shared" si="9"/>
        <v>5.3630734640002231E-2</v>
      </c>
      <c r="L126" s="30">
        <f t="shared" si="10"/>
        <v>3.9806010534448211E-2</v>
      </c>
      <c r="M126" s="30">
        <f t="shared" si="11"/>
        <v>5.4031304223186361E-2</v>
      </c>
      <c r="N126" s="30">
        <f t="shared" si="12"/>
        <v>6.0133837515701005E-2</v>
      </c>
      <c r="O126" s="30">
        <f t="shared" si="13"/>
        <v>5.3259863682278752E-2</v>
      </c>
      <c r="P126" s="30">
        <f t="shared" si="14"/>
        <v>6.3431844226683243E-2</v>
      </c>
      <c r="Q126" s="30">
        <f t="shared" si="15"/>
        <v>5.2509845833981217E-3</v>
      </c>
    </row>
    <row r="127" spans="2:17" ht="13.95" customHeight="1" x14ac:dyDescent="0.3">
      <c r="B127" s="105">
        <v>43371</v>
      </c>
      <c r="C127" s="107">
        <f t="shared" si="8"/>
        <v>0</v>
      </c>
      <c r="D127" s="106">
        <v>3.9423026738053122</v>
      </c>
      <c r="E127" s="106">
        <v>2.1607821001795049</v>
      </c>
      <c r="F127" s="106">
        <v>0.92742382652027755</v>
      </c>
      <c r="G127" s="106">
        <v>1.8210122182941231</v>
      </c>
      <c r="H127" s="106">
        <v>2.1578211424620202</v>
      </c>
      <c r="I127" s="106">
        <v>0.92408980792057716</v>
      </c>
      <c r="J127" s="106">
        <v>1.6874944945038659</v>
      </c>
      <c r="K127" s="30">
        <f t="shared" si="9"/>
        <v>-1.9655440136845392E-3</v>
      </c>
      <c r="L127" s="30">
        <f t="shared" si="10"/>
        <v>-1.9505607936588953E-2</v>
      </c>
      <c r="M127" s="30">
        <f t="shared" si="11"/>
        <v>2.0504167878470092E-3</v>
      </c>
      <c r="N127" s="30">
        <f t="shared" si="12"/>
        <v>8.1493256900189159E-3</v>
      </c>
      <c r="O127" s="30">
        <f t="shared" si="13"/>
        <v>-1.2248341916158978E-3</v>
      </c>
      <c r="P127" s="30">
        <f t="shared" si="14"/>
        <v>-2.6726658617720611E-3</v>
      </c>
      <c r="Q127" s="30">
        <f t="shared" si="15"/>
        <v>2.7977432995189178E-2</v>
      </c>
    </row>
    <row r="128" spans="2:17" ht="13.95" customHeight="1" x14ac:dyDescent="0.3">
      <c r="B128" s="105">
        <v>43378</v>
      </c>
      <c r="C128" s="107">
        <f t="shared" si="8"/>
        <v>0</v>
      </c>
      <c r="D128" s="106">
        <v>4.2604007152046837</v>
      </c>
      <c r="E128" s="106">
        <v>2.1706969820551278</v>
      </c>
      <c r="F128" s="106">
        <v>0.97155808443706315</v>
      </c>
      <c r="G128" s="106">
        <v>1.845464876180837</v>
      </c>
      <c r="H128" s="106">
        <v>2.2389043562386699</v>
      </c>
      <c r="I128" s="106">
        <v>0.9820695037243633</v>
      </c>
      <c r="J128" s="106">
        <v>1.6320684402124339</v>
      </c>
      <c r="K128" s="30">
        <f t="shared" si="9"/>
        <v>8.0688386387219424E-2</v>
      </c>
      <c r="L128" s="30">
        <f t="shared" si="10"/>
        <v>4.5885616484879765E-3</v>
      </c>
      <c r="M128" s="30">
        <f t="shared" si="11"/>
        <v>4.7588013866733059E-2</v>
      </c>
      <c r="N128" s="30">
        <f t="shared" si="12"/>
        <v>1.3428058110241947E-2</v>
      </c>
      <c r="O128" s="30">
        <f t="shared" si="13"/>
        <v>3.7576429381044996E-2</v>
      </c>
      <c r="P128" s="30">
        <f t="shared" si="14"/>
        <v>6.2742490293507647E-2</v>
      </c>
      <c r="Q128" s="30">
        <f t="shared" si="15"/>
        <v>-3.284517636765838E-2</v>
      </c>
    </row>
    <row r="129" spans="2:17" ht="13.95" customHeight="1" x14ac:dyDescent="0.3">
      <c r="B129" s="105">
        <v>43385</v>
      </c>
      <c r="C129" s="107">
        <f t="shared" si="8"/>
        <v>0</v>
      </c>
      <c r="D129" s="106">
        <v>4.3290535386658791</v>
      </c>
      <c r="E129" s="106">
        <v>2.1448902404244841</v>
      </c>
      <c r="F129" s="106">
        <v>0.97635589254554744</v>
      </c>
      <c r="G129" s="106">
        <v>1.8640865491456771</v>
      </c>
      <c r="H129" s="106">
        <v>2.255224855220535</v>
      </c>
      <c r="I129" s="106">
        <v>0.99390807588620411</v>
      </c>
      <c r="J129" s="106">
        <v>1.5723906047417191</v>
      </c>
      <c r="K129" s="30">
        <f t="shared" si="9"/>
        <v>1.6114170485462598E-2</v>
      </c>
      <c r="L129" s="30">
        <f t="shared" si="10"/>
        <v>-1.1888689137168784E-2</v>
      </c>
      <c r="M129" s="30">
        <f t="shared" si="11"/>
        <v>4.9382617316846567E-3</v>
      </c>
      <c r="N129" s="30">
        <f t="shared" si="12"/>
        <v>1.0090505219138901E-2</v>
      </c>
      <c r="O129" s="30">
        <f t="shared" si="13"/>
        <v>7.2895025356434218E-3</v>
      </c>
      <c r="P129" s="30">
        <f t="shared" si="14"/>
        <v>1.2054719260647717E-2</v>
      </c>
      <c r="Q129" s="30">
        <f t="shared" si="15"/>
        <v>-3.6565767709439312E-2</v>
      </c>
    </row>
    <row r="130" spans="2:17" ht="13.95" customHeight="1" x14ac:dyDescent="0.3">
      <c r="B130" s="105">
        <v>43392</v>
      </c>
      <c r="C130" s="107">
        <f t="shared" si="8"/>
        <v>0</v>
      </c>
      <c r="D130" s="106">
        <v>4.4103061409781654</v>
      </c>
      <c r="E130" s="106">
        <v>2.1637964483385419</v>
      </c>
      <c r="F130" s="106">
        <v>1.001998596906059</v>
      </c>
      <c r="G130" s="106">
        <v>1.886461324793824</v>
      </c>
      <c r="H130" s="106">
        <v>2.2905384806693112</v>
      </c>
      <c r="I130" s="106">
        <v>1.0221639291964939</v>
      </c>
      <c r="J130" s="106">
        <v>1.592828165917882</v>
      </c>
      <c r="K130" s="30">
        <f t="shared" si="9"/>
        <v>1.8769137777244094E-2</v>
      </c>
      <c r="L130" s="30">
        <f t="shared" si="10"/>
        <v>8.8145339830145719E-3</v>
      </c>
      <c r="M130" s="30">
        <f t="shared" si="11"/>
        <v>2.6263685768983303E-2</v>
      </c>
      <c r="N130" s="30">
        <f t="shared" si="12"/>
        <v>1.2003077678126806E-2</v>
      </c>
      <c r="O130" s="30">
        <f t="shared" si="13"/>
        <v>1.5658582942197574E-2</v>
      </c>
      <c r="P130" s="30">
        <f t="shared" si="14"/>
        <v>2.8429040869897282E-2</v>
      </c>
      <c r="Q130" s="30">
        <f t="shared" si="15"/>
        <v>1.2997763478445501E-2</v>
      </c>
    </row>
    <row r="131" spans="2:17" ht="13.95" customHeight="1" x14ac:dyDescent="0.3">
      <c r="B131" s="105">
        <v>43399</v>
      </c>
      <c r="C131" s="107">
        <f t="shared" si="8"/>
        <v>0</v>
      </c>
      <c r="D131" s="106">
        <v>4.5693292711021547</v>
      </c>
      <c r="E131" s="106">
        <v>2.1261144470785478</v>
      </c>
      <c r="F131" s="106">
        <v>1.0290053151371039</v>
      </c>
      <c r="G131" s="106">
        <v>1.91454019712003</v>
      </c>
      <c r="H131" s="106">
        <v>2.331312687415239</v>
      </c>
      <c r="I131" s="106">
        <v>1.0525883201956709</v>
      </c>
      <c r="J131" s="106">
        <v>1.607902484347441</v>
      </c>
      <c r="K131" s="30">
        <f t="shared" si="9"/>
        <v>3.6057163616473931E-2</v>
      </c>
      <c r="L131" s="30">
        <f t="shared" si="10"/>
        <v>-1.7414762506393844E-2</v>
      </c>
      <c r="M131" s="30">
        <f t="shared" si="11"/>
        <v>2.6952850347730539E-2</v>
      </c>
      <c r="N131" s="30">
        <f t="shared" si="12"/>
        <v>1.4884414515773159E-2</v>
      </c>
      <c r="O131" s="30">
        <f t="shared" si="13"/>
        <v>1.7801144617318743E-2</v>
      </c>
      <c r="P131" s="30">
        <f t="shared" si="14"/>
        <v>2.9764688549607898E-2</v>
      </c>
      <c r="Q131" s="30">
        <f t="shared" si="15"/>
        <v>9.4638698336126925E-3</v>
      </c>
    </row>
    <row r="132" spans="2:17" ht="13.95" customHeight="1" x14ac:dyDescent="0.3">
      <c r="B132" s="105">
        <v>43406</v>
      </c>
      <c r="C132" s="107">
        <f t="shared" si="8"/>
        <v>0</v>
      </c>
      <c r="D132" s="106">
        <v>4.7505360886766077</v>
      </c>
      <c r="E132" s="106">
        <v>2.2289214616677828</v>
      </c>
      <c r="F132" s="106">
        <v>1.0710475146312211</v>
      </c>
      <c r="G132" s="106">
        <v>1.936365891362994</v>
      </c>
      <c r="H132" s="106">
        <v>2.4047546432807789</v>
      </c>
      <c r="I132" s="106">
        <v>1.0946990112789119</v>
      </c>
      <c r="J132" s="106">
        <v>1.682218424563201</v>
      </c>
      <c r="K132" s="30">
        <f t="shared" si="9"/>
        <v>3.9657202802271474E-2</v>
      </c>
      <c r="L132" s="30">
        <f t="shared" si="10"/>
        <v>4.8354412308565964E-2</v>
      </c>
      <c r="M132" s="30">
        <f t="shared" si="11"/>
        <v>4.0857125687942197E-2</v>
      </c>
      <c r="N132" s="30">
        <f t="shared" si="12"/>
        <v>1.1399966569412001E-2</v>
      </c>
      <c r="O132" s="30">
        <f t="shared" si="13"/>
        <v>3.1502404744756074E-2</v>
      </c>
      <c r="P132" s="30">
        <f t="shared" si="14"/>
        <v>4.0006800641121387E-2</v>
      </c>
      <c r="Q132" s="30">
        <f t="shared" si="15"/>
        <v>4.6219183650257678E-2</v>
      </c>
    </row>
    <row r="133" spans="2:17" ht="13.95" customHeight="1" x14ac:dyDescent="0.3">
      <c r="B133" s="105">
        <v>43413</v>
      </c>
      <c r="C133" s="107">
        <f t="shared" si="8"/>
        <v>0</v>
      </c>
      <c r="D133" s="106">
        <v>4.7026986942312554</v>
      </c>
      <c r="E133" s="106">
        <v>2.2012798881428091</v>
      </c>
      <c r="F133" s="106">
        <v>1.00828540685108</v>
      </c>
      <c r="G133" s="106">
        <v>1.837973553537233</v>
      </c>
      <c r="H133" s="106">
        <v>2.3292631141854909</v>
      </c>
      <c r="I133" s="106">
        <v>1.0224893958200201</v>
      </c>
      <c r="J133" s="106">
        <v>1.661580671868649</v>
      </c>
      <c r="K133" s="30">
        <f t="shared" si="9"/>
        <v>-1.0069893913526418E-2</v>
      </c>
      <c r="L133" s="30">
        <f t="shared" si="10"/>
        <v>-1.2401322343718268E-2</v>
      </c>
      <c r="M133" s="30">
        <f t="shared" si="11"/>
        <v>-5.8598808103999978E-2</v>
      </c>
      <c r="N133" s="30">
        <f t="shared" si="12"/>
        <v>-5.0812885242728201E-2</v>
      </c>
      <c r="O133" s="30">
        <f t="shared" si="13"/>
        <v>-3.1392611843466867E-2</v>
      </c>
      <c r="P133" s="30">
        <f t="shared" si="14"/>
        <v>-6.5962985912018879E-2</v>
      </c>
      <c r="Q133" s="30">
        <f t="shared" si="15"/>
        <v>-1.2268176589440682E-2</v>
      </c>
    </row>
    <row r="134" spans="2:17" ht="13.95" customHeight="1" x14ac:dyDescent="0.3">
      <c r="B134" s="105">
        <v>43420</v>
      </c>
      <c r="C134" s="107">
        <f t="shared" si="8"/>
        <v>0</v>
      </c>
      <c r="D134" s="106">
        <v>4.900497358647935</v>
      </c>
      <c r="E134" s="106">
        <v>2.268783658270161</v>
      </c>
      <c r="F134" s="106">
        <v>1.0534515316808131</v>
      </c>
      <c r="G134" s="106">
        <v>1.877703021836953</v>
      </c>
      <c r="H134" s="106">
        <v>2.4074438503884998</v>
      </c>
      <c r="I134" s="106">
        <v>1.075202412086226</v>
      </c>
      <c r="J134" s="106">
        <v>1.6692000055696179</v>
      </c>
      <c r="K134" s="30">
        <f t="shared" si="9"/>
        <v>4.2060671388391757E-2</v>
      </c>
      <c r="L134" s="30">
        <f t="shared" si="10"/>
        <v>3.0665691578322551E-2</v>
      </c>
      <c r="M134" s="30">
        <f t="shared" si="11"/>
        <v>4.4794980193940237E-2</v>
      </c>
      <c r="N134" s="30">
        <f t="shared" si="12"/>
        <v>2.1615908576736231E-2</v>
      </c>
      <c r="O134" s="30">
        <f t="shared" si="13"/>
        <v>3.3564579169643283E-2</v>
      </c>
      <c r="P134" s="30">
        <f t="shared" si="14"/>
        <v>5.1553606796998608E-2</v>
      </c>
      <c r="Q134" s="30">
        <f t="shared" si="15"/>
        <v>4.5855936037100253E-3</v>
      </c>
    </row>
    <row r="135" spans="2:17" ht="13.95" customHeight="1" x14ac:dyDescent="0.3">
      <c r="B135" s="105">
        <v>43427</v>
      </c>
      <c r="C135" s="107">
        <f t="shared" si="8"/>
        <v>0</v>
      </c>
      <c r="D135" s="106">
        <v>4.8540017078778703</v>
      </c>
      <c r="E135" s="106">
        <v>2.254056531002322</v>
      </c>
      <c r="F135" s="106">
        <v>1.0510556550289221</v>
      </c>
      <c r="G135" s="106">
        <v>1.7590838732683931</v>
      </c>
      <c r="H135" s="106">
        <v>2.3456245151728998</v>
      </c>
      <c r="I135" s="106">
        <v>1.0750774836438659</v>
      </c>
      <c r="J135" s="106">
        <v>1.6429701984475089</v>
      </c>
      <c r="K135" s="30">
        <f t="shared" si="9"/>
        <v>-9.487945277230625E-3</v>
      </c>
      <c r="L135" s="30">
        <f t="shared" si="10"/>
        <v>-6.4911994645923121E-3</v>
      </c>
      <c r="M135" s="30">
        <f t="shared" si="11"/>
        <v>-2.2743112329698389E-3</v>
      </c>
      <c r="N135" s="30">
        <f t="shared" si="12"/>
        <v>-6.3172475726494315E-2</v>
      </c>
      <c r="O135" s="30">
        <f t="shared" si="13"/>
        <v>-2.5678412065819889E-2</v>
      </c>
      <c r="P135" s="30">
        <f t="shared" si="14"/>
        <v>-1.1619062695156224E-4</v>
      </c>
      <c r="Q135" s="30">
        <f t="shared" si="15"/>
        <v>-1.5713998942360474E-2</v>
      </c>
    </row>
    <row r="136" spans="2:17" ht="13.95" customHeight="1" x14ac:dyDescent="0.3">
      <c r="B136" s="105">
        <v>43434</v>
      </c>
      <c r="C136" s="107">
        <f t="shared" si="8"/>
        <v>0</v>
      </c>
      <c r="D136" s="106">
        <v>5.0420968113465046</v>
      </c>
      <c r="E136" s="106">
        <v>2.3302775817152308</v>
      </c>
      <c r="F136" s="106">
        <v>1.077123733733657</v>
      </c>
      <c r="G136" s="106">
        <v>1.838560049169214</v>
      </c>
      <c r="H136" s="106">
        <v>2.434451995272342</v>
      </c>
      <c r="I136" s="106">
        <v>1.1012535464036091</v>
      </c>
      <c r="J136" s="106">
        <v>1.688434829378056</v>
      </c>
      <c r="K136" s="30">
        <f t="shared" si="9"/>
        <v>3.8750522720946368E-2</v>
      </c>
      <c r="L136" s="30">
        <f t="shared" si="10"/>
        <v>3.3815057282088334E-2</v>
      </c>
      <c r="M136" s="30">
        <f t="shared" si="11"/>
        <v>2.4801806241190549E-2</v>
      </c>
      <c r="N136" s="30">
        <f t="shared" si="12"/>
        <v>4.5180435741903224E-2</v>
      </c>
      <c r="O136" s="30">
        <f t="shared" si="13"/>
        <v>3.7869437126382799E-2</v>
      </c>
      <c r="P136" s="30">
        <f t="shared" si="14"/>
        <v>2.4348070867433735E-2</v>
      </c>
      <c r="Q136" s="30">
        <f t="shared" si="15"/>
        <v>2.7672218871351406E-2</v>
      </c>
    </row>
    <row r="137" spans="2:17" ht="13.95" customHeight="1" x14ac:dyDescent="0.3">
      <c r="B137" s="105">
        <v>43441</v>
      </c>
      <c r="C137" s="107">
        <f t="shared" si="8"/>
        <v>0</v>
      </c>
      <c r="D137" s="106">
        <v>5.0008738394017431</v>
      </c>
      <c r="E137" s="106">
        <v>2.309259465348537</v>
      </c>
      <c r="F137" s="106">
        <v>1.052874622985549</v>
      </c>
      <c r="G137" s="106">
        <v>1.7940713913511801</v>
      </c>
      <c r="H137" s="106">
        <v>2.3966914958951602</v>
      </c>
      <c r="I137" s="106">
        <v>1.0789516216941171</v>
      </c>
      <c r="J137" s="106">
        <v>1.6264227710948129</v>
      </c>
      <c r="K137" s="30">
        <f t="shared" si="9"/>
        <v>-8.1757597061593579E-3</v>
      </c>
      <c r="L137" s="30">
        <f t="shared" si="10"/>
        <v>-9.0195762649113442E-3</v>
      </c>
      <c r="M137" s="30">
        <f t="shared" si="11"/>
        <v>-2.2512836723087348E-2</v>
      </c>
      <c r="N137" s="30">
        <f t="shared" si="12"/>
        <v>-2.4197554949666689E-2</v>
      </c>
      <c r="O137" s="30">
        <f t="shared" si="13"/>
        <v>-1.5510882716320507E-2</v>
      </c>
      <c r="P137" s="30">
        <f t="shared" si="14"/>
        <v>-2.025139876491111E-2</v>
      </c>
      <c r="Q137" s="30">
        <f t="shared" si="15"/>
        <v>-3.6727540325666941E-2</v>
      </c>
    </row>
    <row r="138" spans="2:17" ht="13.95" customHeight="1" x14ac:dyDescent="0.3">
      <c r="B138" s="105">
        <v>43448</v>
      </c>
      <c r="C138" s="107">
        <f t="shared" si="8"/>
        <v>0</v>
      </c>
      <c r="D138" s="106">
        <v>4.9976853624056012</v>
      </c>
      <c r="E138" s="106">
        <v>2.321718499926817</v>
      </c>
      <c r="F138" s="106">
        <v>1.0594888783837071</v>
      </c>
      <c r="G138" s="106">
        <v>1.7421519678373281</v>
      </c>
      <c r="H138" s="106">
        <v>2.3786489116876441</v>
      </c>
      <c r="I138" s="106">
        <v>1.087156048072675</v>
      </c>
      <c r="J138" s="106">
        <v>1.6228940849288349</v>
      </c>
      <c r="K138" s="30">
        <f t="shared" si="9"/>
        <v>-6.3758397002944278E-4</v>
      </c>
      <c r="L138" s="30">
        <f t="shared" si="10"/>
        <v>5.395251060018813E-3</v>
      </c>
      <c r="M138" s="30">
        <f t="shared" si="11"/>
        <v>6.2820921444592948E-3</v>
      </c>
      <c r="N138" s="30">
        <f t="shared" si="12"/>
        <v>-2.8939441186200288E-2</v>
      </c>
      <c r="O138" s="30">
        <f t="shared" si="13"/>
        <v>-7.5281212615048165E-3</v>
      </c>
      <c r="P138" s="30">
        <f t="shared" si="14"/>
        <v>7.6040725215054117E-3</v>
      </c>
      <c r="Q138" s="30">
        <f t="shared" si="15"/>
        <v>-2.1695995830178783E-3</v>
      </c>
    </row>
    <row r="139" spans="2:17" ht="13.95" customHeight="1" x14ac:dyDescent="0.3">
      <c r="B139" s="105">
        <v>43455</v>
      </c>
      <c r="C139" s="107">
        <f t="shared" si="8"/>
        <v>0</v>
      </c>
      <c r="D139" s="106">
        <v>4.8881740782966681</v>
      </c>
      <c r="E139" s="106">
        <v>2.2624131032196981</v>
      </c>
      <c r="F139" s="106">
        <v>1.070134081923598</v>
      </c>
      <c r="G139" s="106">
        <v>1.695148130216755</v>
      </c>
      <c r="H139" s="106">
        <v>2.3321534648087909</v>
      </c>
      <c r="I139" s="106">
        <v>1.0965569505802431</v>
      </c>
      <c r="J139" s="106">
        <v>1.653870651563712</v>
      </c>
      <c r="K139" s="30">
        <f t="shared" si="9"/>
        <v>-2.1912400675063837E-2</v>
      </c>
      <c r="L139" s="30">
        <f t="shared" si="10"/>
        <v>-2.5543749902922408E-2</v>
      </c>
      <c r="M139" s="30">
        <f t="shared" si="11"/>
        <v>1.004748965003821E-2</v>
      </c>
      <c r="N139" s="30">
        <f t="shared" si="12"/>
        <v>-2.6980331502838184E-2</v>
      </c>
      <c r="O139" s="30">
        <f t="shared" si="13"/>
        <v>-1.9546998571497776E-2</v>
      </c>
      <c r="P139" s="30">
        <f t="shared" si="14"/>
        <v>8.6472429824899777E-3</v>
      </c>
      <c r="Q139" s="30">
        <f t="shared" si="15"/>
        <v>1.9087238608202606E-2</v>
      </c>
    </row>
    <row r="140" spans="2:17" ht="13.95" customHeight="1" x14ac:dyDescent="0.3">
      <c r="B140" s="105">
        <v>43462</v>
      </c>
      <c r="C140" s="107">
        <f t="shared" si="8"/>
        <v>0</v>
      </c>
      <c r="D140" s="106">
        <v>5.0534074475412361</v>
      </c>
      <c r="E140" s="106">
        <v>2.2881020775943939</v>
      </c>
      <c r="F140" s="106">
        <v>1.086542850682366</v>
      </c>
      <c r="G140" s="106">
        <v>1.749688167995147</v>
      </c>
      <c r="H140" s="106">
        <v>2.393783328662459</v>
      </c>
      <c r="I140" s="106">
        <v>1.1139123182594719</v>
      </c>
      <c r="J140" s="106">
        <v>1.674012047764597</v>
      </c>
      <c r="K140" s="30">
        <f t="shared" si="9"/>
        <v>3.3802676950110744E-2</v>
      </c>
      <c r="L140" s="30">
        <f t="shared" si="10"/>
        <v>1.135467892143005E-2</v>
      </c>
      <c r="M140" s="30">
        <f t="shared" si="11"/>
        <v>1.5333376476780014E-2</v>
      </c>
      <c r="N140" s="30">
        <f t="shared" si="12"/>
        <v>3.2174201656004042E-2</v>
      </c>
      <c r="O140" s="30">
        <f t="shared" si="13"/>
        <v>2.6426161392737013E-2</v>
      </c>
      <c r="P140" s="30">
        <f t="shared" si="14"/>
        <v>1.582714666123386E-2</v>
      </c>
      <c r="Q140" s="30">
        <f t="shared" si="15"/>
        <v>1.2178338240564024E-2</v>
      </c>
    </row>
    <row r="141" spans="2:17" ht="13.95" customHeight="1" x14ac:dyDescent="0.3">
      <c r="B141" s="105">
        <v>43469</v>
      </c>
      <c r="C141" s="107">
        <f t="shared" si="8"/>
        <v>0</v>
      </c>
      <c r="D141" s="106">
        <v>5.2932715652782933</v>
      </c>
      <c r="E141" s="106">
        <v>2.425374480168816</v>
      </c>
      <c r="F141" s="106">
        <v>1.104303587791053</v>
      </c>
      <c r="G141" s="106">
        <v>1.8310675620463179</v>
      </c>
      <c r="H141" s="106">
        <v>2.5011440168023742</v>
      </c>
      <c r="I141" s="106">
        <v>1.134132758876774</v>
      </c>
      <c r="J141" s="106">
        <v>1.682077329674796</v>
      </c>
      <c r="K141" s="30">
        <f t="shared" si="9"/>
        <v>4.7465817911390484E-2</v>
      </c>
      <c r="L141" s="30">
        <f t="shared" si="10"/>
        <v>5.9994002854428574E-2</v>
      </c>
      <c r="M141" s="30">
        <f t="shared" si="11"/>
        <v>1.6346099095431832E-2</v>
      </c>
      <c r="N141" s="30">
        <f t="shared" si="12"/>
        <v>4.6510798632431793E-2</v>
      </c>
      <c r="O141" s="30">
        <f t="shared" si="13"/>
        <v>4.484979356920471E-2</v>
      </c>
      <c r="P141" s="30">
        <f t="shared" si="14"/>
        <v>1.8152632200797658E-2</v>
      </c>
      <c r="Q141" s="30">
        <f t="shared" si="15"/>
        <v>4.8179354031345767E-3</v>
      </c>
    </row>
    <row r="142" spans="2:17" ht="13.95" customHeight="1" x14ac:dyDescent="0.3">
      <c r="B142" s="105">
        <v>43476</v>
      </c>
      <c r="C142" s="107">
        <f t="shared" si="8"/>
        <v>0</v>
      </c>
      <c r="D142" s="106">
        <v>5.3862686043146013</v>
      </c>
      <c r="E142" s="106">
        <v>2.508965152461764</v>
      </c>
      <c r="F142" s="106">
        <v>1.1320476050632411</v>
      </c>
      <c r="G142" s="106">
        <v>1.8534735933858399</v>
      </c>
      <c r="H142" s="106">
        <v>2.551433227301354</v>
      </c>
      <c r="I142" s="106">
        <v>1.163394488827399</v>
      </c>
      <c r="J142" s="106">
        <v>1.71696903553586</v>
      </c>
      <c r="K142" s="30">
        <f t="shared" si="9"/>
        <v>1.756891515756176E-2</v>
      </c>
      <c r="L142" s="30">
        <f t="shared" si="10"/>
        <v>3.4465058066880383E-2</v>
      </c>
      <c r="M142" s="30">
        <f t="shared" si="11"/>
        <v>2.5123541731567389E-2</v>
      </c>
      <c r="N142" s="30">
        <f t="shared" si="12"/>
        <v>1.2236594544049462E-2</v>
      </c>
      <c r="O142" s="30">
        <f t="shared" si="13"/>
        <v>2.0106483337682057E-2</v>
      </c>
      <c r="P142" s="30">
        <f t="shared" si="14"/>
        <v>2.5800974111360064E-2</v>
      </c>
      <c r="Q142" s="30">
        <f t="shared" si="15"/>
        <v>2.0743223421131107E-2</v>
      </c>
    </row>
    <row r="143" spans="2:17" ht="13.95" customHeight="1" x14ac:dyDescent="0.3">
      <c r="B143" s="105">
        <v>43483</v>
      </c>
      <c r="C143" s="107">
        <f t="shared" si="8"/>
        <v>0</v>
      </c>
      <c r="D143" s="106">
        <v>5.4829602780014799</v>
      </c>
      <c r="E143" s="106">
        <v>2.5814211285013511</v>
      </c>
      <c r="F143" s="106">
        <v>1.154904120302199</v>
      </c>
      <c r="G143" s="106">
        <v>1.9162351953114261</v>
      </c>
      <c r="H143" s="106">
        <v>2.6157334620748509</v>
      </c>
      <c r="I143" s="106">
        <v>1.1979005973807471</v>
      </c>
      <c r="J143" s="106">
        <v>1.645984562410634</v>
      </c>
      <c r="K143" s="30">
        <f t="shared" si="9"/>
        <v>1.7951513522631357E-2</v>
      </c>
      <c r="L143" s="30">
        <f t="shared" si="10"/>
        <v>2.8878829173252685E-2</v>
      </c>
      <c r="M143" s="30">
        <f t="shared" si="11"/>
        <v>2.0190418792221276E-2</v>
      </c>
      <c r="N143" s="30">
        <f t="shared" si="12"/>
        <v>3.3861611058043861E-2</v>
      </c>
      <c r="O143" s="30">
        <f t="shared" si="13"/>
        <v>2.5201613777487308E-2</v>
      </c>
      <c r="P143" s="30">
        <f t="shared" si="14"/>
        <v>2.9659852169428014E-2</v>
      </c>
      <c r="Q143" s="30">
        <f t="shared" si="15"/>
        <v>-4.1342896497298831E-2</v>
      </c>
    </row>
    <row r="144" spans="2:17" ht="13.95" customHeight="1" x14ac:dyDescent="0.3">
      <c r="B144" s="105">
        <v>43490</v>
      </c>
      <c r="C144" s="107">
        <f t="shared" si="8"/>
        <v>0</v>
      </c>
      <c r="D144" s="106">
        <v>5.5420111410268698</v>
      </c>
      <c r="E144" s="106">
        <v>2.6039417997988572</v>
      </c>
      <c r="F144" s="106">
        <v>1.185334409669331</v>
      </c>
      <c r="G144" s="106">
        <v>1.9583220998612649</v>
      </c>
      <c r="H144" s="106">
        <v>2.6578267932418029</v>
      </c>
      <c r="I144" s="106">
        <v>1.234247204975734</v>
      </c>
      <c r="J144" s="106">
        <v>1.6434809315873651</v>
      </c>
      <c r="K144" s="30">
        <f t="shared" si="9"/>
        <v>1.0769887074015827E-2</v>
      </c>
      <c r="L144" s="30">
        <f t="shared" si="10"/>
        <v>8.7241368906672001E-3</v>
      </c>
      <c r="M144" s="30">
        <f t="shared" si="11"/>
        <v>2.6348758162858976E-2</v>
      </c>
      <c r="N144" s="30">
        <f t="shared" si="12"/>
        <v>2.1963329268148035E-2</v>
      </c>
      <c r="O144" s="30">
        <f t="shared" si="13"/>
        <v>1.6092362535119697E-2</v>
      </c>
      <c r="P144" s="30">
        <f t="shared" si="14"/>
        <v>3.0341922922870301E-2</v>
      </c>
      <c r="Q144" s="30">
        <f t="shared" si="15"/>
        <v>-1.5210536480380066E-3</v>
      </c>
    </row>
    <row r="145" spans="2:17" ht="13.95" customHeight="1" x14ac:dyDescent="0.3">
      <c r="B145" s="105">
        <v>43497</v>
      </c>
      <c r="C145" s="107">
        <f t="shared" si="8"/>
        <v>0</v>
      </c>
      <c r="D145" s="106">
        <v>5.7272328649681974</v>
      </c>
      <c r="E145" s="106">
        <v>2.6778549554054201</v>
      </c>
      <c r="F145" s="106">
        <v>1.217992739164679</v>
      </c>
      <c r="G145" s="106">
        <v>1.840762272285793</v>
      </c>
      <c r="H145" s="106">
        <v>2.664604643811558</v>
      </c>
      <c r="I145" s="106">
        <v>1.271120602057445</v>
      </c>
      <c r="J145" s="106">
        <v>1.6612260956209819</v>
      </c>
      <c r="K145" s="30">
        <f t="shared" si="9"/>
        <v>3.342139148190304E-2</v>
      </c>
      <c r="L145" s="30">
        <f t="shared" si="10"/>
        <v>2.8385102774675097E-2</v>
      </c>
      <c r="M145" s="30">
        <f t="shared" si="11"/>
        <v>2.7551996490558839E-2</v>
      </c>
      <c r="N145" s="30">
        <f t="shared" si="12"/>
        <v>-6.003089460298705E-2</v>
      </c>
      <c r="O145" s="30">
        <f t="shared" si="13"/>
        <v>2.5501475818474617E-3</v>
      </c>
      <c r="P145" s="30">
        <f t="shared" si="14"/>
        <v>2.9875212139885754E-2</v>
      </c>
      <c r="Q145" s="30">
        <f t="shared" si="15"/>
        <v>1.0797304484985837E-2</v>
      </c>
    </row>
    <row r="146" spans="2:17" ht="13.95" customHeight="1" x14ac:dyDescent="0.3">
      <c r="B146" s="105">
        <v>43504</v>
      </c>
      <c r="C146" s="107">
        <f t="shared" si="8"/>
        <v>0</v>
      </c>
      <c r="D146" s="106">
        <v>5.6263147767949642</v>
      </c>
      <c r="E146" s="106">
        <v>2.6204974240345051</v>
      </c>
      <c r="F146" s="106">
        <v>1.179136609405443</v>
      </c>
      <c r="G146" s="106">
        <v>1.7760056482407469</v>
      </c>
      <c r="H146" s="106">
        <v>2.5960599738188539</v>
      </c>
      <c r="I146" s="106">
        <v>1.2293230486758691</v>
      </c>
      <c r="J146" s="106">
        <v>1.6201722127803739</v>
      </c>
      <c r="K146" s="30">
        <f t="shared" si="9"/>
        <v>-1.7620741211784807E-2</v>
      </c>
      <c r="L146" s="30">
        <f t="shared" si="10"/>
        <v>-2.1419207659150841E-2</v>
      </c>
      <c r="M146" s="30">
        <f t="shared" si="11"/>
        <v>-3.1901774542501982E-2</v>
      </c>
      <c r="N146" s="30">
        <f t="shared" si="12"/>
        <v>-3.5179243414541372E-2</v>
      </c>
      <c r="O146" s="30">
        <f t="shared" si="13"/>
        <v>-2.572414266104972E-2</v>
      </c>
      <c r="P146" s="30">
        <f t="shared" si="14"/>
        <v>-3.2882445075567257E-2</v>
      </c>
      <c r="Q146" s="30">
        <f t="shared" si="15"/>
        <v>-2.4713001408313229E-2</v>
      </c>
    </row>
    <row r="147" spans="2:17" ht="13.95" customHeight="1" x14ac:dyDescent="0.3">
      <c r="B147" s="105">
        <v>43511</v>
      </c>
      <c r="C147" s="107">
        <f t="shared" si="8"/>
        <v>0</v>
      </c>
      <c r="D147" s="106">
        <v>5.7297993165931116</v>
      </c>
      <c r="E147" s="106">
        <v>2.6371610322414498</v>
      </c>
      <c r="F147" s="106">
        <v>1.1839186626333149</v>
      </c>
      <c r="G147" s="106">
        <v>1.862695595731938</v>
      </c>
      <c r="H147" s="106">
        <v>2.655481014812251</v>
      </c>
      <c r="I147" s="106">
        <v>1.2337118594259939</v>
      </c>
      <c r="J147" s="106">
        <v>1.6324601344302641</v>
      </c>
      <c r="K147" s="30">
        <f t="shared" si="9"/>
        <v>1.8392952385983818E-2</v>
      </c>
      <c r="L147" s="30">
        <f t="shared" si="10"/>
        <v>6.3589485164574633E-3</v>
      </c>
      <c r="M147" s="30">
        <f t="shared" si="11"/>
        <v>4.0555548778042905E-3</v>
      </c>
      <c r="N147" s="30">
        <f t="shared" si="12"/>
        <v>4.8811752134382713E-2</v>
      </c>
      <c r="O147" s="30">
        <f t="shared" si="13"/>
        <v>2.2888932302279397E-2</v>
      </c>
      <c r="P147" s="30">
        <f t="shared" si="14"/>
        <v>3.5701036882471726E-3</v>
      </c>
      <c r="Q147" s="30">
        <f t="shared" si="15"/>
        <v>7.5843305748362067E-3</v>
      </c>
    </row>
    <row r="148" spans="2:17" ht="13.95" customHeight="1" x14ac:dyDescent="0.3">
      <c r="B148" s="105">
        <v>43518</v>
      </c>
      <c r="C148" s="107">
        <f t="shared" si="8"/>
        <v>0</v>
      </c>
      <c r="D148" s="106">
        <v>5.7426679916348959</v>
      </c>
      <c r="E148" s="106">
        <v>2.6197685794274168</v>
      </c>
      <c r="F148" s="106">
        <v>1.1918899145008841</v>
      </c>
      <c r="G148" s="106">
        <v>1.885225393663488</v>
      </c>
      <c r="H148" s="106">
        <v>2.6666595440713041</v>
      </c>
      <c r="I148" s="106">
        <v>1.2416953100374</v>
      </c>
      <c r="J148" s="106">
        <v>1.6465463210803279</v>
      </c>
      <c r="K148" s="30">
        <f t="shared" si="9"/>
        <v>2.2459207261442682E-3</v>
      </c>
      <c r="L148" s="30">
        <f t="shared" si="10"/>
        <v>-6.595142504153495E-3</v>
      </c>
      <c r="M148" s="30">
        <f t="shared" si="11"/>
        <v>6.7329387728707335E-3</v>
      </c>
      <c r="N148" s="30">
        <f t="shared" si="12"/>
        <v>1.2095265583476511E-2</v>
      </c>
      <c r="O148" s="30">
        <f t="shared" si="13"/>
        <v>4.2096061680347852E-3</v>
      </c>
      <c r="P148" s="30">
        <f t="shared" si="14"/>
        <v>6.4710820037998662E-3</v>
      </c>
      <c r="Q148" s="30">
        <f t="shared" si="15"/>
        <v>8.6288089693411507E-3</v>
      </c>
    </row>
    <row r="149" spans="2:17" ht="13.95" customHeight="1" x14ac:dyDescent="0.3">
      <c r="B149" s="105">
        <v>43525</v>
      </c>
      <c r="C149" s="107">
        <f t="shared" si="8"/>
        <v>0</v>
      </c>
      <c r="D149" s="106">
        <v>5.4760569460657447</v>
      </c>
      <c r="E149" s="106">
        <v>2.510589658520602</v>
      </c>
      <c r="F149" s="106">
        <v>1.1634154422624561</v>
      </c>
      <c r="G149" s="106">
        <v>1.8506157914693531</v>
      </c>
      <c r="H149" s="106">
        <v>2.5769127625658879</v>
      </c>
      <c r="I149" s="106">
        <v>1.213191954691387</v>
      </c>
      <c r="J149" s="106">
        <v>1.5961444361656369</v>
      </c>
      <c r="K149" s="30">
        <f t="shared" si="9"/>
        <v>-4.64263380640344E-2</v>
      </c>
      <c r="L149" s="30">
        <f t="shared" si="10"/>
        <v>-4.1675024948454542E-2</v>
      </c>
      <c r="M149" s="30">
        <f t="shared" si="11"/>
        <v>-2.3890186410673642E-2</v>
      </c>
      <c r="N149" s="30">
        <f t="shared" si="12"/>
        <v>-1.8358336520642449E-2</v>
      </c>
      <c r="O149" s="30">
        <f t="shared" si="13"/>
        <v>-3.3655132956491363E-2</v>
      </c>
      <c r="P149" s="30">
        <f t="shared" si="14"/>
        <v>-2.295519288476211E-2</v>
      </c>
      <c r="Q149" s="30">
        <f t="shared" si="15"/>
        <v>-3.0610669295730086E-2</v>
      </c>
    </row>
    <row r="150" spans="2:17" ht="13.95" customHeight="1" x14ac:dyDescent="0.3">
      <c r="B150" s="105">
        <v>43532</v>
      </c>
      <c r="C150" s="107">
        <f t="shared" si="8"/>
        <v>0</v>
      </c>
      <c r="D150" s="106">
        <v>5.5545074003023043</v>
      </c>
      <c r="E150" s="106">
        <v>2.484717529284413</v>
      </c>
      <c r="F150" s="106">
        <v>1.1726424446334791</v>
      </c>
      <c r="G150" s="106">
        <v>1.8729146183194769</v>
      </c>
      <c r="H150" s="106">
        <v>2.5976641475480302</v>
      </c>
      <c r="I150" s="106">
        <v>1.2206258021819101</v>
      </c>
      <c r="J150" s="106">
        <v>1.629978041175663</v>
      </c>
      <c r="K150" s="30">
        <f t="shared" si="9"/>
        <v>1.4326084445290821E-2</v>
      </c>
      <c r="L150" s="30">
        <f t="shared" si="10"/>
        <v>-1.0305200273721504E-2</v>
      </c>
      <c r="M150" s="30">
        <f t="shared" si="11"/>
        <v>7.930960889671157E-3</v>
      </c>
      <c r="N150" s="30">
        <f t="shared" si="12"/>
        <v>1.2049409149599288E-2</v>
      </c>
      <c r="O150" s="30">
        <f t="shared" si="13"/>
        <v>8.0528084937883104E-3</v>
      </c>
      <c r="P150" s="30">
        <f t="shared" si="14"/>
        <v>6.1275113651855229E-3</v>
      </c>
      <c r="Q150" s="30">
        <f t="shared" si="15"/>
        <v>2.1197082321261274E-2</v>
      </c>
    </row>
    <row r="151" spans="2:17" ht="13.95" customHeight="1" x14ac:dyDescent="0.3">
      <c r="B151" s="105">
        <v>43539</v>
      </c>
      <c r="C151" s="107">
        <f t="shared" ref="C151:C214" si="16">IF(B151&gt;$C$17,1,0)</f>
        <v>0</v>
      </c>
      <c r="D151" s="106">
        <v>5.8090273028082517</v>
      </c>
      <c r="E151" s="106">
        <v>2.6004298172096072</v>
      </c>
      <c r="F151" s="106">
        <v>1.172164368431263</v>
      </c>
      <c r="G151" s="106">
        <v>1.962353886438079</v>
      </c>
      <c r="H151" s="106">
        <v>2.7004630036086898</v>
      </c>
      <c r="I151" s="106">
        <v>1.2159913079023259</v>
      </c>
      <c r="J151" s="106">
        <v>1.6693497282405729</v>
      </c>
      <c r="K151" s="30">
        <f t="shared" ref="K151:K214" si="17">D151/D150-1</f>
        <v>4.5822227636620916E-2</v>
      </c>
      <c r="L151" s="30">
        <f t="shared" ref="L151:L214" si="18">E151/E150-1</f>
        <v>4.6569594556093774E-2</v>
      </c>
      <c r="M151" s="30">
        <f t="shared" ref="M151:M214" si="19">F151/F150-1</f>
        <v>-4.0769136781970694E-4</v>
      </c>
      <c r="N151" s="30">
        <f t="shared" ref="N151:N214" si="20">G151/G150-1</f>
        <v>4.7754055226956194E-2</v>
      </c>
      <c r="O151" s="30">
        <f t="shared" ref="O151:O214" si="21">H151/H150-1</f>
        <v>3.9573574650785037E-2</v>
      </c>
      <c r="P151" s="30">
        <f t="shared" ref="P151:P214" si="22">I151/I150-1</f>
        <v>-3.7968182151317809E-3</v>
      </c>
      <c r="Q151" s="30">
        <f t="shared" ref="Q151:Q214" si="23">J151/J150-1</f>
        <v>2.4154734646923304E-2</v>
      </c>
    </row>
    <row r="152" spans="2:17" ht="13.95" customHeight="1" x14ac:dyDescent="0.3">
      <c r="B152" s="105">
        <v>43546</v>
      </c>
      <c r="C152" s="107">
        <f t="shared" si="16"/>
        <v>0</v>
      </c>
      <c r="D152" s="106">
        <v>5.312733647047855</v>
      </c>
      <c r="E152" s="106">
        <v>2.5122702451689589</v>
      </c>
      <c r="F152" s="106">
        <v>1.105363800477448</v>
      </c>
      <c r="G152" s="106">
        <v>1.9025617355152651</v>
      </c>
      <c r="H152" s="106">
        <v>2.5533278359736502</v>
      </c>
      <c r="I152" s="106">
        <v>1.146104687961147</v>
      </c>
      <c r="J152" s="106">
        <v>1.5799094729153991</v>
      </c>
      <c r="K152" s="30">
        <f t="shared" si="17"/>
        <v>-8.5434898114607583E-2</v>
      </c>
      <c r="L152" s="30">
        <f t="shared" si="18"/>
        <v>-3.390192323484742E-2</v>
      </c>
      <c r="M152" s="30">
        <f t="shared" si="19"/>
        <v>-5.6989079136756216E-2</v>
      </c>
      <c r="N152" s="30">
        <f t="shared" si="20"/>
        <v>-3.0469606596465693E-2</v>
      </c>
      <c r="O152" s="30">
        <f t="shared" si="21"/>
        <v>-5.448516326215902E-2</v>
      </c>
      <c r="P152" s="30">
        <f t="shared" si="22"/>
        <v>-5.747296011658054E-2</v>
      </c>
      <c r="Q152" s="30">
        <f t="shared" si="23"/>
        <v>-5.357790150985331E-2</v>
      </c>
    </row>
    <row r="153" spans="2:17" ht="13.95" customHeight="1" x14ac:dyDescent="0.3">
      <c r="B153" s="105">
        <v>43553</v>
      </c>
      <c r="C153" s="107">
        <f t="shared" si="16"/>
        <v>0</v>
      </c>
      <c r="D153" s="106">
        <v>5.4331729925565044</v>
      </c>
      <c r="E153" s="106">
        <v>2.567450002928727</v>
      </c>
      <c r="F153" s="106">
        <v>1.1113510078655211</v>
      </c>
      <c r="G153" s="106">
        <v>1.9336129465928209</v>
      </c>
      <c r="H153" s="106">
        <v>2.5992507209822389</v>
      </c>
      <c r="I153" s="106">
        <v>1.1550703223352561</v>
      </c>
      <c r="J153" s="106">
        <v>1.5617777002437421</v>
      </c>
      <c r="K153" s="30">
        <f t="shared" si="17"/>
        <v>2.2669938587185579E-2</v>
      </c>
      <c r="L153" s="30">
        <f t="shared" si="18"/>
        <v>2.196410114153835E-2</v>
      </c>
      <c r="M153" s="30">
        <f t="shared" si="19"/>
        <v>5.4165039469240561E-3</v>
      </c>
      <c r="N153" s="30">
        <f t="shared" si="20"/>
        <v>1.6320737717951728E-2</v>
      </c>
      <c r="O153" s="30">
        <f t="shared" si="21"/>
        <v>1.798550282560063E-2</v>
      </c>
      <c r="P153" s="30">
        <f t="shared" si="22"/>
        <v>7.8227010745923753E-3</v>
      </c>
      <c r="Q153" s="30">
        <f t="shared" si="23"/>
        <v>-1.1476463039492124E-2</v>
      </c>
    </row>
    <row r="154" spans="2:17" ht="13.95" customHeight="1" x14ac:dyDescent="0.3">
      <c r="B154" s="105">
        <v>43560</v>
      </c>
      <c r="C154" s="107">
        <f t="shared" si="16"/>
        <v>0</v>
      </c>
      <c r="D154" s="106">
        <v>5.5101480016221087</v>
      </c>
      <c r="E154" s="106">
        <v>2.6487095668191309</v>
      </c>
      <c r="F154" s="106">
        <v>1.116130018635499</v>
      </c>
      <c r="G154" s="106">
        <v>1.971174199608299</v>
      </c>
      <c r="H154" s="106">
        <v>2.645409292443599</v>
      </c>
      <c r="I154" s="106">
        <v>1.151872618254455</v>
      </c>
      <c r="J154" s="106">
        <v>1.647504383277022</v>
      </c>
      <c r="K154" s="30">
        <f t="shared" si="17"/>
        <v>1.4167597676543853E-2</v>
      </c>
      <c r="L154" s="30">
        <f t="shared" si="18"/>
        <v>3.1649910922397773E-2</v>
      </c>
      <c r="M154" s="30">
        <f t="shared" si="19"/>
        <v>4.3001812534066985E-3</v>
      </c>
      <c r="N154" s="30">
        <f t="shared" si="20"/>
        <v>1.9425424866783114E-2</v>
      </c>
      <c r="O154" s="30">
        <f t="shared" si="21"/>
        <v>1.775841441102588E-2</v>
      </c>
      <c r="P154" s="30">
        <f t="shared" si="22"/>
        <v>-2.7684064069243286E-3</v>
      </c>
      <c r="Q154" s="30">
        <f t="shared" si="23"/>
        <v>5.4890451451509836E-2</v>
      </c>
    </row>
    <row r="155" spans="2:17" ht="13.95" customHeight="1" x14ac:dyDescent="0.3">
      <c r="B155" s="105">
        <v>43567</v>
      </c>
      <c r="C155" s="107">
        <f t="shared" si="16"/>
        <v>0</v>
      </c>
      <c r="D155" s="106">
        <v>5.2581889380119637</v>
      </c>
      <c r="E155" s="106">
        <v>2.600239498219072</v>
      </c>
      <c r="F155" s="106">
        <v>1.0690323839810141</v>
      </c>
      <c r="G155" s="106">
        <v>1.859090017340197</v>
      </c>
      <c r="H155" s="106">
        <v>2.5301583469213509</v>
      </c>
      <c r="I155" s="106">
        <v>1.1033449727651219</v>
      </c>
      <c r="J155" s="106">
        <v>1.5772271725636919</v>
      </c>
      <c r="K155" s="30">
        <f t="shared" si="17"/>
        <v>-4.572636951602238E-2</v>
      </c>
      <c r="L155" s="30">
        <f t="shared" si="18"/>
        <v>-1.8299502975808402E-2</v>
      </c>
      <c r="M155" s="30">
        <f t="shared" si="19"/>
        <v>-4.2197265433343567E-2</v>
      </c>
      <c r="N155" s="30">
        <f t="shared" si="20"/>
        <v>-5.6861632163395237E-2</v>
      </c>
      <c r="O155" s="30">
        <f t="shared" si="21"/>
        <v>-4.356639475466173E-2</v>
      </c>
      <c r="P155" s="30">
        <f t="shared" si="22"/>
        <v>-4.2129350694065204E-2</v>
      </c>
      <c r="Q155" s="30">
        <f t="shared" si="23"/>
        <v>-4.2656767063370626E-2</v>
      </c>
    </row>
    <row r="156" spans="2:17" ht="13.95" customHeight="1" x14ac:dyDescent="0.3">
      <c r="B156" s="105">
        <v>43574</v>
      </c>
      <c r="C156" s="107">
        <f t="shared" si="16"/>
        <v>0</v>
      </c>
      <c r="D156" s="106">
        <v>5.3059071588768134</v>
      </c>
      <c r="E156" s="106">
        <v>2.6472189803673989</v>
      </c>
      <c r="F156" s="106">
        <v>1.0805420470156339</v>
      </c>
      <c r="G156" s="106">
        <v>1.9182599071833619</v>
      </c>
      <c r="H156" s="106">
        <v>2.576544668098443</v>
      </c>
      <c r="I156" s="106">
        <v>1.111938313459389</v>
      </c>
      <c r="J156" s="106">
        <v>1.6260047701920859</v>
      </c>
      <c r="K156" s="30">
        <f t="shared" si="17"/>
        <v>9.0750297160091531E-3</v>
      </c>
      <c r="L156" s="30">
        <f t="shared" si="18"/>
        <v>1.8067367325395933E-2</v>
      </c>
      <c r="M156" s="30">
        <f t="shared" si="19"/>
        <v>1.0766430659245874E-2</v>
      </c>
      <c r="N156" s="30">
        <f t="shared" si="20"/>
        <v>3.1827339876645322E-2</v>
      </c>
      <c r="O156" s="30">
        <f t="shared" si="21"/>
        <v>1.8333366855688649E-2</v>
      </c>
      <c r="P156" s="30">
        <f t="shared" si="22"/>
        <v>7.7884441461051335E-3</v>
      </c>
      <c r="Q156" s="30">
        <f t="shared" si="23"/>
        <v>3.0926171243365497E-2</v>
      </c>
    </row>
    <row r="157" spans="2:17" ht="13.95" customHeight="1" x14ac:dyDescent="0.3">
      <c r="B157" s="105">
        <v>43581</v>
      </c>
      <c r="C157" s="107">
        <f t="shared" si="16"/>
        <v>0</v>
      </c>
      <c r="D157" s="106">
        <v>5.4812803068306932</v>
      </c>
      <c r="E157" s="106">
        <v>2.7815916737193578</v>
      </c>
      <c r="F157" s="106">
        <v>1.1083032357470679</v>
      </c>
      <c r="G157" s="106">
        <v>1.874897401218675</v>
      </c>
      <c r="H157" s="106">
        <v>2.6217248137728779</v>
      </c>
      <c r="I157" s="106">
        <v>1.143217997180382</v>
      </c>
      <c r="J157" s="106">
        <v>1.6415369549078269</v>
      </c>
      <c r="K157" s="30">
        <f t="shared" si="17"/>
        <v>3.3052434334528424E-2</v>
      </c>
      <c r="L157" s="30">
        <f t="shared" si="18"/>
        <v>5.0759946324240079E-2</v>
      </c>
      <c r="M157" s="30">
        <f t="shared" si="19"/>
        <v>2.5691909730035878E-2</v>
      </c>
      <c r="N157" s="30">
        <f t="shared" si="20"/>
        <v>-2.2605125511045765E-2</v>
      </c>
      <c r="O157" s="30">
        <f t="shared" si="21"/>
        <v>1.7535168799452272E-2</v>
      </c>
      <c r="P157" s="30">
        <f t="shared" si="22"/>
        <v>2.8130772491935963E-2</v>
      </c>
      <c r="Q157" s="30">
        <f t="shared" si="23"/>
        <v>9.5523611003343056E-3</v>
      </c>
    </row>
    <row r="158" spans="2:17" ht="13.95" customHeight="1" x14ac:dyDescent="0.3">
      <c r="B158" s="105">
        <v>43588</v>
      </c>
      <c r="C158" s="107">
        <f t="shared" si="16"/>
        <v>0</v>
      </c>
      <c r="D158" s="106">
        <v>5.4773509988417048</v>
      </c>
      <c r="E158" s="106">
        <v>2.785065027076767</v>
      </c>
      <c r="F158" s="106">
        <v>1.108881665780207</v>
      </c>
      <c r="G158" s="106">
        <v>1.8607601066692141</v>
      </c>
      <c r="H158" s="106">
        <v>2.615834184516078</v>
      </c>
      <c r="I158" s="106">
        <v>1.1445788249563249</v>
      </c>
      <c r="J158" s="106">
        <v>1.634969610785266</v>
      </c>
      <c r="K158" s="30">
        <f t="shared" si="17"/>
        <v>-7.1685952351163706E-4</v>
      </c>
      <c r="L158" s="30">
        <f t="shared" si="18"/>
        <v>1.2486927503507772E-3</v>
      </c>
      <c r="M158" s="30">
        <f t="shared" si="19"/>
        <v>5.2190593195300394E-4</v>
      </c>
      <c r="N158" s="30">
        <f t="shared" si="20"/>
        <v>-7.5403030268599291E-3</v>
      </c>
      <c r="O158" s="30">
        <f t="shared" si="21"/>
        <v>-2.2468526162068292E-3</v>
      </c>
      <c r="P158" s="30">
        <f t="shared" si="22"/>
        <v>1.1903484543622778E-3</v>
      </c>
      <c r="Q158" s="30">
        <f t="shared" si="23"/>
        <v>-4.0007287700261074E-3</v>
      </c>
    </row>
    <row r="159" spans="2:17" ht="13.95" customHeight="1" x14ac:dyDescent="0.3">
      <c r="B159" s="105">
        <v>43595</v>
      </c>
      <c r="C159" s="107">
        <f t="shared" si="16"/>
        <v>0</v>
      </c>
      <c r="D159" s="106">
        <v>5.3162168617665682</v>
      </c>
      <c r="E159" s="106">
        <v>2.7210333662514108</v>
      </c>
      <c r="F159" s="106">
        <v>1.111518410875578</v>
      </c>
      <c r="G159" s="106">
        <v>1.836126193407192</v>
      </c>
      <c r="H159" s="106">
        <v>2.567159061658852</v>
      </c>
      <c r="I159" s="106">
        <v>1.14965733986838</v>
      </c>
      <c r="J159" s="106">
        <v>1.6161158114771439</v>
      </c>
      <c r="K159" s="30">
        <f t="shared" si="17"/>
        <v>-2.9418260233680771E-2</v>
      </c>
      <c r="L159" s="30">
        <f t="shared" si="18"/>
        <v>-2.2991082866228196E-2</v>
      </c>
      <c r="M159" s="30">
        <f t="shared" si="19"/>
        <v>2.3778417271564933E-3</v>
      </c>
      <c r="N159" s="30">
        <f t="shared" si="20"/>
        <v>-1.32386292965605E-2</v>
      </c>
      <c r="O159" s="30">
        <f t="shared" si="21"/>
        <v>-1.8607877802556794E-2</v>
      </c>
      <c r="P159" s="30">
        <f t="shared" si="22"/>
        <v>4.4370163079410219E-3</v>
      </c>
      <c r="Q159" s="30">
        <f t="shared" si="23"/>
        <v>-1.1531590057546559E-2</v>
      </c>
    </row>
    <row r="160" spans="2:17" ht="13.95" customHeight="1" x14ac:dyDescent="0.3">
      <c r="B160" s="105">
        <v>43602</v>
      </c>
      <c r="C160" s="107">
        <f t="shared" si="16"/>
        <v>0</v>
      </c>
      <c r="D160" s="106">
        <v>5.0734835963113154</v>
      </c>
      <c r="E160" s="106">
        <v>2.6869644907974162</v>
      </c>
      <c r="F160" s="106">
        <v>1.0395310127906701</v>
      </c>
      <c r="G160" s="106">
        <v>1.734273224290299</v>
      </c>
      <c r="H160" s="106">
        <v>2.4522108103757869</v>
      </c>
      <c r="I160" s="106">
        <v>1.0707300328448139</v>
      </c>
      <c r="J160" s="106">
        <v>1.5545775232064341</v>
      </c>
      <c r="K160" s="30">
        <f t="shared" si="17"/>
        <v>-4.5659022528022453E-2</v>
      </c>
      <c r="L160" s="30">
        <f t="shared" si="18"/>
        <v>-1.2520565119320537E-2</v>
      </c>
      <c r="M160" s="30">
        <f t="shared" si="19"/>
        <v>-6.4764917414369405E-2</v>
      </c>
      <c r="N160" s="30">
        <f t="shared" si="20"/>
        <v>-5.5471660653067856E-2</v>
      </c>
      <c r="O160" s="30">
        <f t="shared" si="21"/>
        <v>-4.4776442955890561E-2</v>
      </c>
      <c r="P160" s="30">
        <f t="shared" si="22"/>
        <v>-6.8652897073315899E-2</v>
      </c>
      <c r="Q160" s="30">
        <f t="shared" si="23"/>
        <v>-3.8077895057819666E-2</v>
      </c>
    </row>
    <row r="161" spans="2:17" ht="13.95" customHeight="1" x14ac:dyDescent="0.3">
      <c r="B161" s="105">
        <v>43609</v>
      </c>
      <c r="C161" s="107">
        <f t="shared" si="16"/>
        <v>0</v>
      </c>
      <c r="D161" s="106">
        <v>5.3544614756767057</v>
      </c>
      <c r="E161" s="106">
        <v>2.7705366703311829</v>
      </c>
      <c r="F161" s="106">
        <v>1.0926320422815441</v>
      </c>
      <c r="G161" s="106">
        <v>1.7824769027397001</v>
      </c>
      <c r="H161" s="106">
        <v>2.5533343370443728</v>
      </c>
      <c r="I161" s="106">
        <v>1.131795673667608</v>
      </c>
      <c r="J161" s="106">
        <v>1.572515383429459</v>
      </c>
      <c r="K161" s="30">
        <f t="shared" si="17"/>
        <v>5.5381647349697971E-2</v>
      </c>
      <c r="L161" s="30">
        <f t="shared" si="18"/>
        <v>3.110282246750673E-2</v>
      </c>
      <c r="M161" s="30">
        <f t="shared" si="19"/>
        <v>5.1081717464418697E-2</v>
      </c>
      <c r="N161" s="30">
        <f t="shared" si="20"/>
        <v>2.7794742935691064E-2</v>
      </c>
      <c r="O161" s="30">
        <f t="shared" si="21"/>
        <v>4.1237697118335914E-2</v>
      </c>
      <c r="P161" s="30">
        <f t="shared" si="22"/>
        <v>5.703178107421647E-2</v>
      </c>
      <c r="Q161" s="30">
        <f t="shared" si="23"/>
        <v>1.1538736380303893E-2</v>
      </c>
    </row>
    <row r="162" spans="2:17" ht="13.95" customHeight="1" x14ac:dyDescent="0.3">
      <c r="B162" s="105">
        <v>43616</v>
      </c>
      <c r="C162" s="107">
        <f t="shared" si="16"/>
        <v>0</v>
      </c>
      <c r="D162" s="106">
        <v>5.7101928692622961</v>
      </c>
      <c r="E162" s="106">
        <v>2.821966018733276</v>
      </c>
      <c r="F162" s="106">
        <v>1.15592470541543</v>
      </c>
      <c r="G162" s="106">
        <v>1.786994916225183</v>
      </c>
      <c r="H162" s="106">
        <v>2.645168233235303</v>
      </c>
      <c r="I162" s="106">
        <v>1.201015784851224</v>
      </c>
      <c r="J162" s="106">
        <v>1.6283023179863281</v>
      </c>
      <c r="K162" s="30">
        <f t="shared" si="17"/>
        <v>6.643644654117753E-2</v>
      </c>
      <c r="L162" s="30">
        <f t="shared" si="18"/>
        <v>1.8562955312172669E-2</v>
      </c>
      <c r="M162" s="30">
        <f t="shared" si="19"/>
        <v>5.7926786589310941E-2</v>
      </c>
      <c r="N162" s="30">
        <f t="shared" si="20"/>
        <v>2.5346827656160809E-3</v>
      </c>
      <c r="O162" s="30">
        <f t="shared" si="21"/>
        <v>3.5966263743287596E-2</v>
      </c>
      <c r="P162" s="30">
        <f t="shared" si="22"/>
        <v>6.1159547429004313E-2</v>
      </c>
      <c r="Q162" s="30">
        <f t="shared" si="23"/>
        <v>3.5476240897055478E-2</v>
      </c>
    </row>
    <row r="163" spans="2:17" ht="13.95" customHeight="1" x14ac:dyDescent="0.3">
      <c r="B163" s="105">
        <v>43623</v>
      </c>
      <c r="C163" s="107">
        <f t="shared" si="16"/>
        <v>0</v>
      </c>
      <c r="D163" s="106">
        <v>5.7476881974783023</v>
      </c>
      <c r="E163" s="106">
        <v>2.834069828237749</v>
      </c>
      <c r="F163" s="106">
        <v>1.1742442074071451</v>
      </c>
      <c r="G163" s="106">
        <v>1.8028015011839229</v>
      </c>
      <c r="H163" s="106">
        <v>2.6667555739270261</v>
      </c>
      <c r="I163" s="106">
        <v>1.223657192865409</v>
      </c>
      <c r="J163" s="106">
        <v>1.6172356487686139</v>
      </c>
      <c r="K163" s="30">
        <f t="shared" si="17"/>
        <v>6.5663855975586216E-3</v>
      </c>
      <c r="L163" s="30">
        <f t="shared" si="18"/>
        <v>4.2891407706979745E-3</v>
      </c>
      <c r="M163" s="30">
        <f t="shared" si="19"/>
        <v>1.5848352324238313E-2</v>
      </c>
      <c r="N163" s="30">
        <f t="shared" si="20"/>
        <v>8.8453441110674103E-3</v>
      </c>
      <c r="O163" s="30">
        <f t="shared" si="21"/>
        <v>8.1610464016950157E-3</v>
      </c>
      <c r="P163" s="30">
        <f t="shared" si="22"/>
        <v>1.8851882131582176E-2</v>
      </c>
      <c r="Q163" s="30">
        <f t="shared" si="23"/>
        <v>-6.7964462713533402E-3</v>
      </c>
    </row>
    <row r="164" spans="2:17" ht="13.95" customHeight="1" x14ac:dyDescent="0.3">
      <c r="B164" s="105">
        <v>43630</v>
      </c>
      <c r="C164" s="107">
        <f t="shared" si="16"/>
        <v>0</v>
      </c>
      <c r="D164" s="106">
        <v>5.5662195278361404</v>
      </c>
      <c r="E164" s="106">
        <v>2.843651974645133</v>
      </c>
      <c r="F164" s="106">
        <v>1.201808831002164</v>
      </c>
      <c r="G164" s="106">
        <v>1.8628009140094239</v>
      </c>
      <c r="H164" s="106">
        <v>2.6727595554547241</v>
      </c>
      <c r="I164" s="106">
        <v>1.2524828382866591</v>
      </c>
      <c r="J164" s="106">
        <v>1.6541659610322259</v>
      </c>
      <c r="K164" s="30">
        <f t="shared" si="17"/>
        <v>-3.1572462424419245E-2</v>
      </c>
      <c r="L164" s="30">
        <f t="shared" si="18"/>
        <v>3.3810551567610148E-3</v>
      </c>
      <c r="M164" s="30">
        <f t="shared" si="19"/>
        <v>2.347435347872362E-2</v>
      </c>
      <c r="N164" s="30">
        <f t="shared" si="20"/>
        <v>3.3281208600114187E-2</v>
      </c>
      <c r="O164" s="30">
        <f t="shared" si="21"/>
        <v>2.2514180101089742E-3</v>
      </c>
      <c r="P164" s="30">
        <f t="shared" si="22"/>
        <v>2.355696153246134E-2</v>
      </c>
      <c r="Q164" s="30">
        <f t="shared" si="23"/>
        <v>2.2835455236057456E-2</v>
      </c>
    </row>
    <row r="165" spans="2:17" ht="13.95" customHeight="1" x14ac:dyDescent="0.3">
      <c r="B165" s="105">
        <v>43637</v>
      </c>
      <c r="C165" s="107">
        <f t="shared" si="16"/>
        <v>0</v>
      </c>
      <c r="D165" s="106">
        <v>5.9000724282830479</v>
      </c>
      <c r="E165" s="106">
        <v>2.8978078995557319</v>
      </c>
      <c r="F165" s="106">
        <v>1.250342578026441</v>
      </c>
      <c r="G165" s="106">
        <v>1.921758029381992</v>
      </c>
      <c r="H165" s="106">
        <v>2.7810871140439088</v>
      </c>
      <c r="I165" s="106">
        <v>1.30136840420723</v>
      </c>
      <c r="J165" s="106">
        <v>1.7382893004976441</v>
      </c>
      <c r="K165" s="30">
        <f t="shared" si="17"/>
        <v>5.9978392655435364E-2</v>
      </c>
      <c r="L165" s="30">
        <f t="shared" si="18"/>
        <v>1.9044498199311866E-2</v>
      </c>
      <c r="M165" s="30">
        <f t="shared" si="19"/>
        <v>4.0383916120674268E-2</v>
      </c>
      <c r="N165" s="30">
        <f t="shared" si="20"/>
        <v>3.1649713573347338E-2</v>
      </c>
      <c r="O165" s="30">
        <f t="shared" si="21"/>
        <v>4.0530229652758543E-2</v>
      </c>
      <c r="P165" s="30">
        <f t="shared" si="22"/>
        <v>3.9030926753011785E-2</v>
      </c>
      <c r="Q165" s="30">
        <f t="shared" si="23"/>
        <v>5.0855441018097025E-2</v>
      </c>
    </row>
    <row r="166" spans="2:17" ht="13.95" customHeight="1" x14ac:dyDescent="0.3">
      <c r="B166" s="105">
        <v>43644</v>
      </c>
      <c r="C166" s="107">
        <f t="shared" si="16"/>
        <v>0</v>
      </c>
      <c r="D166" s="106">
        <v>5.8890415235876388</v>
      </c>
      <c r="E166" s="106">
        <v>2.8874765443000081</v>
      </c>
      <c r="F166" s="106">
        <v>1.23824610544253</v>
      </c>
      <c r="G166" s="106">
        <v>1.873906793544255</v>
      </c>
      <c r="H166" s="106">
        <v>2.7527577151517231</v>
      </c>
      <c r="I166" s="106">
        <v>1.286257254772017</v>
      </c>
      <c r="J166" s="106">
        <v>1.747241330077252</v>
      </c>
      <c r="K166" s="30">
        <f t="shared" si="17"/>
        <v>-1.8696219121870916E-3</v>
      </c>
      <c r="L166" s="30">
        <f t="shared" si="18"/>
        <v>-3.5652312416249998E-3</v>
      </c>
      <c r="M166" s="30">
        <f t="shared" si="19"/>
        <v>-9.6745266429335564E-3</v>
      </c>
      <c r="N166" s="30">
        <f t="shared" si="20"/>
        <v>-2.4899719478796767E-2</v>
      </c>
      <c r="O166" s="30">
        <f t="shared" si="21"/>
        <v>-1.0186447863904768E-2</v>
      </c>
      <c r="P166" s="30">
        <f t="shared" si="22"/>
        <v>-1.1611738371978042E-2</v>
      </c>
      <c r="Q166" s="30">
        <f t="shared" si="23"/>
        <v>5.1499077725698506E-3</v>
      </c>
    </row>
    <row r="167" spans="2:17" ht="13.95" customHeight="1" x14ac:dyDescent="0.3">
      <c r="B167" s="105">
        <v>43651</v>
      </c>
      <c r="C167" s="107">
        <f t="shared" si="16"/>
        <v>0</v>
      </c>
      <c r="D167" s="106">
        <v>6.1346425057046083</v>
      </c>
      <c r="E167" s="106">
        <v>3.0520005645385169</v>
      </c>
      <c r="F167" s="106">
        <v>1.2964658693165829</v>
      </c>
      <c r="G167" s="106">
        <v>1.8592378239936651</v>
      </c>
      <c r="H167" s="106">
        <v>2.8382410139479499</v>
      </c>
      <c r="I167" s="106">
        <v>1.3499229533220629</v>
      </c>
      <c r="J167" s="106">
        <v>1.796834915734985</v>
      </c>
      <c r="K167" s="30">
        <f t="shared" si="17"/>
        <v>4.1704746202459786E-2</v>
      </c>
      <c r="L167" s="30">
        <f t="shared" si="18"/>
        <v>5.6978478513803221E-2</v>
      </c>
      <c r="M167" s="30">
        <f t="shared" si="19"/>
        <v>4.7017926095754614E-2</v>
      </c>
      <c r="N167" s="30">
        <f t="shared" si="20"/>
        <v>-7.8280144995074297E-3</v>
      </c>
      <c r="O167" s="30">
        <f t="shared" si="21"/>
        <v>3.1053695109347856E-2</v>
      </c>
      <c r="P167" s="30">
        <f t="shared" si="22"/>
        <v>4.9496862555173937E-2</v>
      </c>
      <c r="Q167" s="30">
        <f t="shared" si="23"/>
        <v>2.8383935752904987E-2</v>
      </c>
    </row>
    <row r="168" spans="2:17" ht="13.95" customHeight="1" x14ac:dyDescent="0.3">
      <c r="B168" s="105">
        <v>43658</v>
      </c>
      <c r="C168" s="107">
        <f t="shared" si="16"/>
        <v>0</v>
      </c>
      <c r="D168" s="106">
        <v>5.9535409982892</v>
      </c>
      <c r="E168" s="106">
        <v>3.0426114673051279</v>
      </c>
      <c r="F168" s="106">
        <v>1.309903028751648</v>
      </c>
      <c r="G168" s="106">
        <v>1.912615613206931</v>
      </c>
      <c r="H168" s="106">
        <v>2.833233347293441</v>
      </c>
      <c r="I168" s="106">
        <v>1.363625583341322</v>
      </c>
      <c r="J168" s="106">
        <v>1.818404827365989</v>
      </c>
      <c r="K168" s="30">
        <f t="shared" si="17"/>
        <v>-2.9521118345038344E-2</v>
      </c>
      <c r="L168" s="30">
        <f t="shared" si="18"/>
        <v>-3.076374671250659E-3</v>
      </c>
      <c r="M168" s="30">
        <f t="shared" si="19"/>
        <v>1.0364452896973075E-2</v>
      </c>
      <c r="N168" s="30">
        <f t="shared" si="20"/>
        <v>2.8709500486930661E-2</v>
      </c>
      <c r="O168" s="30">
        <f t="shared" si="21"/>
        <v>-1.7643556801201221E-3</v>
      </c>
      <c r="P168" s="30">
        <f t="shared" si="22"/>
        <v>1.0150675625996142E-2</v>
      </c>
      <c r="Q168" s="30">
        <f t="shared" si="23"/>
        <v>1.2004392524942009E-2</v>
      </c>
    </row>
    <row r="169" spans="2:17" ht="13.95" customHeight="1" x14ac:dyDescent="0.3">
      <c r="B169" s="105">
        <v>43665</v>
      </c>
      <c r="C169" s="107">
        <f t="shared" si="16"/>
        <v>0</v>
      </c>
      <c r="D169" s="106">
        <v>5.9420049134613961</v>
      </c>
      <c r="E169" s="106">
        <v>3.0265781106629528</v>
      </c>
      <c r="F169" s="106">
        <v>1.3152425840971309</v>
      </c>
      <c r="G169" s="106">
        <v>1.8908898685190849</v>
      </c>
      <c r="H169" s="106">
        <v>2.8208610275248822</v>
      </c>
      <c r="I169" s="106">
        <v>1.3710069121323709</v>
      </c>
      <c r="J169" s="106">
        <v>1.8072048550321751</v>
      </c>
      <c r="K169" s="30">
        <f t="shared" si="17"/>
        <v>-1.9376846201477615E-3</v>
      </c>
      <c r="L169" s="30">
        <f t="shared" si="18"/>
        <v>-5.2696036988173489E-3</v>
      </c>
      <c r="M169" s="30">
        <f t="shared" si="19"/>
        <v>4.076298190234473E-3</v>
      </c>
      <c r="N169" s="30">
        <f t="shared" si="20"/>
        <v>-1.1359179825693233E-2</v>
      </c>
      <c r="O169" s="30">
        <f t="shared" si="21"/>
        <v>-4.3668551975706293E-3</v>
      </c>
      <c r="P169" s="30">
        <f t="shared" si="22"/>
        <v>5.4130172396460452E-3</v>
      </c>
      <c r="Q169" s="30">
        <f t="shared" si="23"/>
        <v>-6.1592293230090522E-3</v>
      </c>
    </row>
    <row r="170" spans="2:17" ht="13.95" customHeight="1" x14ac:dyDescent="0.3">
      <c r="B170" s="105">
        <v>43672</v>
      </c>
      <c r="C170" s="107">
        <f t="shared" si="16"/>
        <v>0</v>
      </c>
      <c r="D170" s="106">
        <v>5.9095127041653814</v>
      </c>
      <c r="E170" s="106">
        <v>3.1156724222078389</v>
      </c>
      <c r="F170" s="106">
        <v>1.3362167382885131</v>
      </c>
      <c r="G170" s="106">
        <v>1.808392842495592</v>
      </c>
      <c r="H170" s="106">
        <v>2.803641464658488</v>
      </c>
      <c r="I170" s="106">
        <v>1.393122999806381</v>
      </c>
      <c r="J170" s="106">
        <v>1.8334444236711991</v>
      </c>
      <c r="K170" s="30">
        <f t="shared" si="17"/>
        <v>-5.468223229234459E-3</v>
      </c>
      <c r="L170" s="30">
        <f t="shared" si="18"/>
        <v>2.9437307839833116E-2</v>
      </c>
      <c r="M170" s="30">
        <f t="shared" si="19"/>
        <v>1.5946985328018526E-2</v>
      </c>
      <c r="N170" s="30">
        <f t="shared" si="20"/>
        <v>-4.3628678431760437E-2</v>
      </c>
      <c r="O170" s="30">
        <f t="shared" si="21"/>
        <v>-6.1043641279638905E-3</v>
      </c>
      <c r="P170" s="30">
        <f t="shared" si="22"/>
        <v>1.6131273648804845E-2</v>
      </c>
      <c r="Q170" s="30">
        <f t="shared" si="23"/>
        <v>1.4519421285284606E-2</v>
      </c>
    </row>
    <row r="171" spans="2:17" ht="13.95" customHeight="1" x14ac:dyDescent="0.3">
      <c r="B171" s="105">
        <v>43679</v>
      </c>
      <c r="C171" s="107">
        <f t="shared" si="16"/>
        <v>0</v>
      </c>
      <c r="D171" s="106">
        <v>5.692427819140911</v>
      </c>
      <c r="E171" s="106">
        <v>3.231927078404321</v>
      </c>
      <c r="F171" s="106">
        <v>1.4017095200931129</v>
      </c>
      <c r="G171" s="106">
        <v>1.7832544838886051</v>
      </c>
      <c r="H171" s="106">
        <v>2.7997240896679099</v>
      </c>
      <c r="I171" s="106">
        <v>1.468043308279074</v>
      </c>
      <c r="J171" s="106">
        <v>1.8554353729136741</v>
      </c>
      <c r="K171" s="30">
        <f t="shared" si="17"/>
        <v>-3.6734819923723294E-2</v>
      </c>
      <c r="L171" s="30">
        <f t="shared" si="18"/>
        <v>3.7312862343243713E-2</v>
      </c>
      <c r="M171" s="30">
        <f t="shared" si="19"/>
        <v>4.901359182828835E-2</v>
      </c>
      <c r="N171" s="30">
        <f t="shared" si="20"/>
        <v>-1.3900939008526403E-2</v>
      </c>
      <c r="O171" s="30">
        <f t="shared" si="21"/>
        <v>-1.3972453467958612E-3</v>
      </c>
      <c r="P171" s="30">
        <f t="shared" si="22"/>
        <v>5.377867459162311E-2</v>
      </c>
      <c r="Q171" s="30">
        <f t="shared" si="23"/>
        <v>1.1994336429593799E-2</v>
      </c>
    </row>
    <row r="172" spans="2:17" ht="13.95" customHeight="1" x14ac:dyDescent="0.3">
      <c r="B172" s="105">
        <v>43686</v>
      </c>
      <c r="C172" s="107">
        <f t="shared" si="16"/>
        <v>0</v>
      </c>
      <c r="D172" s="106">
        <v>5.8957629022411107</v>
      </c>
      <c r="E172" s="106">
        <v>3.305401030648393</v>
      </c>
      <c r="F172" s="106">
        <v>1.426343936541564</v>
      </c>
      <c r="G172" s="106">
        <v>1.7361889849727841</v>
      </c>
      <c r="H172" s="106">
        <v>2.8362471305440149</v>
      </c>
      <c r="I172" s="106">
        <v>1.494590293555887</v>
      </c>
      <c r="J172" s="106">
        <v>1.880407389261961</v>
      </c>
      <c r="K172" s="30">
        <f t="shared" si="17"/>
        <v>3.5720274294296805E-2</v>
      </c>
      <c r="L172" s="30">
        <f t="shared" si="18"/>
        <v>2.2733790231538098E-2</v>
      </c>
      <c r="M172" s="30">
        <f t="shared" si="19"/>
        <v>1.7574551713692266E-2</v>
      </c>
      <c r="N172" s="30">
        <f t="shared" si="20"/>
        <v>-2.6393035509541529E-2</v>
      </c>
      <c r="O172" s="30">
        <f t="shared" si="21"/>
        <v>1.304522863909674E-2</v>
      </c>
      <c r="P172" s="30">
        <f t="shared" si="22"/>
        <v>1.8083243952750294E-2</v>
      </c>
      <c r="Q172" s="30">
        <f t="shared" si="23"/>
        <v>1.3458844599406383E-2</v>
      </c>
    </row>
    <row r="173" spans="2:17" ht="13.95" customHeight="1" x14ac:dyDescent="0.3">
      <c r="B173" s="105">
        <v>43693</v>
      </c>
      <c r="C173" s="107">
        <f t="shared" si="16"/>
        <v>0</v>
      </c>
      <c r="D173" s="106">
        <v>5.6928875628400304</v>
      </c>
      <c r="E173" s="106">
        <v>3.2263740260857312</v>
      </c>
      <c r="F173" s="106">
        <v>1.355179069630053</v>
      </c>
      <c r="G173" s="106">
        <v>1.638219052496565</v>
      </c>
      <c r="H173" s="106">
        <v>2.7212353360096069</v>
      </c>
      <c r="I173" s="106">
        <v>1.423160270483953</v>
      </c>
      <c r="J173" s="106">
        <v>1.754480200144203</v>
      </c>
      <c r="K173" s="30">
        <f t="shared" si="17"/>
        <v>-3.4410362622276258E-2</v>
      </c>
      <c r="L173" s="30">
        <f t="shared" si="18"/>
        <v>-2.3908446760289137E-2</v>
      </c>
      <c r="M173" s="30">
        <f t="shared" si="19"/>
        <v>-4.989320253575269E-2</v>
      </c>
      <c r="N173" s="30">
        <f t="shared" si="20"/>
        <v>-5.6428150002204358E-2</v>
      </c>
      <c r="O173" s="30">
        <f t="shared" si="21"/>
        <v>-4.0550695775352863E-2</v>
      </c>
      <c r="P173" s="30">
        <f t="shared" si="22"/>
        <v>-4.7792377201908431E-2</v>
      </c>
      <c r="Q173" s="30">
        <f t="shared" si="23"/>
        <v>-6.6968035669750847E-2</v>
      </c>
    </row>
    <row r="174" spans="2:17" ht="13.95" customHeight="1" x14ac:dyDescent="0.3">
      <c r="B174" s="105">
        <v>43700</v>
      </c>
      <c r="C174" s="107">
        <f t="shared" si="16"/>
        <v>0</v>
      </c>
      <c r="D174" s="106">
        <v>5.5149466438929249</v>
      </c>
      <c r="E174" s="106">
        <v>3.194122652494308</v>
      </c>
      <c r="F174" s="106">
        <v>1.308741501530579</v>
      </c>
      <c r="G174" s="106">
        <v>1.62212994879785</v>
      </c>
      <c r="H174" s="106">
        <v>2.6623093151207442</v>
      </c>
      <c r="I174" s="106">
        <v>1.3715882344387631</v>
      </c>
      <c r="J174" s="106">
        <v>1.723042921058874</v>
      </c>
      <c r="K174" s="30">
        <f t="shared" si="17"/>
        <v>-3.1256707072278012E-2</v>
      </c>
      <c r="L174" s="30">
        <f t="shared" si="18"/>
        <v>-9.9961670068832165E-3</v>
      </c>
      <c r="M174" s="30">
        <f t="shared" si="19"/>
        <v>-3.4266739459126172E-2</v>
      </c>
      <c r="N174" s="30">
        <f t="shared" si="20"/>
        <v>-9.8210942390127842E-3</v>
      </c>
      <c r="O174" s="30">
        <f t="shared" si="21"/>
        <v>-2.1654143656414271E-2</v>
      </c>
      <c r="P174" s="30">
        <f t="shared" si="22"/>
        <v>-3.6237686727758733E-2</v>
      </c>
      <c r="Q174" s="30">
        <f t="shared" si="23"/>
        <v>-1.7918286614317491E-2</v>
      </c>
    </row>
    <row r="175" spans="2:17" ht="13.95" customHeight="1" x14ac:dyDescent="0.3">
      <c r="B175" s="105">
        <v>43707</v>
      </c>
      <c r="C175" s="107">
        <f t="shared" si="16"/>
        <v>0</v>
      </c>
      <c r="D175" s="106">
        <v>5.6863635121152711</v>
      </c>
      <c r="E175" s="106">
        <v>3.2715547079310432</v>
      </c>
      <c r="F175" s="106">
        <v>1.3572600475408521</v>
      </c>
      <c r="G175" s="106">
        <v>1.7032501090930261</v>
      </c>
      <c r="H175" s="106">
        <v>2.756792038978721</v>
      </c>
      <c r="I175" s="106">
        <v>1.427083662239415</v>
      </c>
      <c r="J175" s="106">
        <v>1.739401692198592</v>
      </c>
      <c r="K175" s="30">
        <f t="shared" si="17"/>
        <v>3.1082235113220502E-2</v>
      </c>
      <c r="L175" s="30">
        <f t="shared" si="18"/>
        <v>2.4242041981784368E-2</v>
      </c>
      <c r="M175" s="30">
        <f t="shared" si="19"/>
        <v>3.7072673215856833E-2</v>
      </c>
      <c r="N175" s="30">
        <f t="shared" si="20"/>
        <v>5.0008422787147122E-2</v>
      </c>
      <c r="O175" s="30">
        <f t="shared" si="21"/>
        <v>3.5489010732658421E-2</v>
      </c>
      <c r="P175" s="30">
        <f t="shared" si="22"/>
        <v>4.0460705631059746E-2</v>
      </c>
      <c r="Q175" s="30">
        <f t="shared" si="23"/>
        <v>9.494117029693605E-3</v>
      </c>
    </row>
    <row r="176" spans="2:17" ht="13.95" customHeight="1" x14ac:dyDescent="0.3">
      <c r="B176" s="105">
        <v>43714</v>
      </c>
      <c r="C176" s="107">
        <f t="shared" si="16"/>
        <v>0</v>
      </c>
      <c r="D176" s="106">
        <v>5.8735989585694668</v>
      </c>
      <c r="E176" s="106">
        <v>3.2581934335306402</v>
      </c>
      <c r="F176" s="106">
        <v>1.36211826060415</v>
      </c>
      <c r="G176" s="106">
        <v>1.7457322414756911</v>
      </c>
      <c r="H176" s="106">
        <v>2.8059098935795088</v>
      </c>
      <c r="I176" s="106">
        <v>1.4311358472327369</v>
      </c>
      <c r="J176" s="106">
        <v>1.7566358025135631</v>
      </c>
      <c r="K176" s="30">
        <f t="shared" si="17"/>
        <v>3.2927097617884371E-2</v>
      </c>
      <c r="L176" s="30">
        <f t="shared" si="18"/>
        <v>-4.0840748797542625E-3</v>
      </c>
      <c r="M176" s="30">
        <f t="shared" si="19"/>
        <v>3.5794268549349528E-3</v>
      </c>
      <c r="N176" s="30">
        <f t="shared" si="20"/>
        <v>2.4941805173455345E-2</v>
      </c>
      <c r="O176" s="30">
        <f t="shared" si="21"/>
        <v>1.7817032952178735E-2</v>
      </c>
      <c r="P176" s="30">
        <f t="shared" si="22"/>
        <v>2.8394866401617591E-3</v>
      </c>
      <c r="Q176" s="30">
        <f t="shared" si="23"/>
        <v>9.9080680398713206E-3</v>
      </c>
    </row>
    <row r="177" spans="2:17" ht="13.95" customHeight="1" x14ac:dyDescent="0.3">
      <c r="B177" s="105">
        <v>43721</v>
      </c>
      <c r="C177" s="107">
        <f t="shared" si="16"/>
        <v>0</v>
      </c>
      <c r="D177" s="106">
        <v>5.8083823840167232</v>
      </c>
      <c r="E177" s="106">
        <v>3.268366619133428</v>
      </c>
      <c r="F177" s="106">
        <v>1.3497312341535761</v>
      </c>
      <c r="G177" s="106">
        <v>1.81279941641239</v>
      </c>
      <c r="H177" s="106">
        <v>2.821404454191617</v>
      </c>
      <c r="I177" s="106">
        <v>1.4069480048624179</v>
      </c>
      <c r="J177" s="106">
        <v>1.8571382375034711</v>
      </c>
      <c r="K177" s="30">
        <f t="shared" si="17"/>
        <v>-1.1103341411758061E-2</v>
      </c>
      <c r="L177" s="30">
        <f t="shared" si="18"/>
        <v>3.1223393608537098E-3</v>
      </c>
      <c r="M177" s="30">
        <f t="shared" si="19"/>
        <v>-9.0939434620601611E-3</v>
      </c>
      <c r="N177" s="30">
        <f t="shared" si="20"/>
        <v>3.8417790164662513E-2</v>
      </c>
      <c r="O177" s="30">
        <f t="shared" si="21"/>
        <v>5.5221162474115015E-3</v>
      </c>
      <c r="P177" s="30">
        <f t="shared" si="22"/>
        <v>-1.6901150521167474E-2</v>
      </c>
      <c r="Q177" s="30">
        <f t="shared" si="23"/>
        <v>5.7213017545298506E-2</v>
      </c>
    </row>
    <row r="178" spans="2:17" ht="13.95" customHeight="1" x14ac:dyDescent="0.3">
      <c r="B178" s="105">
        <v>43728</v>
      </c>
      <c r="C178" s="107">
        <f t="shared" si="16"/>
        <v>0</v>
      </c>
      <c r="D178" s="106">
        <v>5.8765025825361787</v>
      </c>
      <c r="E178" s="106">
        <v>3.3106018672107211</v>
      </c>
      <c r="F178" s="106">
        <v>1.4069898829462919</v>
      </c>
      <c r="G178" s="106">
        <v>1.8068489405511361</v>
      </c>
      <c r="H178" s="106">
        <v>2.85728532922885</v>
      </c>
      <c r="I178" s="106">
        <v>1.471172625088</v>
      </c>
      <c r="J178" s="106">
        <v>1.8886075022866311</v>
      </c>
      <c r="K178" s="30">
        <f t="shared" si="17"/>
        <v>1.1727912182039946E-2</v>
      </c>
      <c r="L178" s="30">
        <f t="shared" si="18"/>
        <v>1.2922432823185392E-2</v>
      </c>
      <c r="M178" s="30">
        <f t="shared" si="19"/>
        <v>4.2422259590534805E-2</v>
      </c>
      <c r="N178" s="30">
        <f t="shared" si="20"/>
        <v>-3.2824789148653277E-3</v>
      </c>
      <c r="O178" s="30">
        <f t="shared" si="21"/>
        <v>1.2717380871759332E-2</v>
      </c>
      <c r="P178" s="30">
        <f t="shared" si="22"/>
        <v>4.5648183162150691E-2</v>
      </c>
      <c r="Q178" s="30">
        <f t="shared" si="23"/>
        <v>1.6945030880126444E-2</v>
      </c>
    </row>
    <row r="179" spans="2:17" ht="13.95" customHeight="1" x14ac:dyDescent="0.3">
      <c r="B179" s="105">
        <v>43735</v>
      </c>
      <c r="C179" s="107">
        <f t="shared" si="16"/>
        <v>0</v>
      </c>
      <c r="D179" s="106">
        <v>5.9064497124123339</v>
      </c>
      <c r="E179" s="106">
        <v>3.3255621701206559</v>
      </c>
      <c r="F179" s="106">
        <v>1.398965693239278</v>
      </c>
      <c r="G179" s="106">
        <v>1.8114063311503801</v>
      </c>
      <c r="H179" s="106">
        <v>2.864456971372789</v>
      </c>
      <c r="I179" s="106">
        <v>1.468411114112508</v>
      </c>
      <c r="J179" s="106">
        <v>1.819158801795949</v>
      </c>
      <c r="K179" s="30">
        <f t="shared" si="17"/>
        <v>5.0960804416477767E-3</v>
      </c>
      <c r="L179" s="30">
        <f t="shared" si="18"/>
        <v>4.5189072893683235E-3</v>
      </c>
      <c r="M179" s="30">
        <f t="shared" si="19"/>
        <v>-5.7030898404265562E-3</v>
      </c>
      <c r="N179" s="30">
        <f t="shared" si="20"/>
        <v>2.522286449609723E-3</v>
      </c>
      <c r="O179" s="30">
        <f t="shared" si="21"/>
        <v>2.5099495911646841E-3</v>
      </c>
      <c r="P179" s="30">
        <f t="shared" si="22"/>
        <v>-1.8770815391747631E-3</v>
      </c>
      <c r="Q179" s="30">
        <f t="shared" si="23"/>
        <v>-3.6772437050364926E-2</v>
      </c>
    </row>
    <row r="180" spans="2:17" ht="13.95" customHeight="1" x14ac:dyDescent="0.3">
      <c r="B180" s="105">
        <v>43742</v>
      </c>
      <c r="C180" s="107">
        <f t="shared" si="16"/>
        <v>0</v>
      </c>
      <c r="D180" s="106">
        <v>5.6570965871430818</v>
      </c>
      <c r="E180" s="106">
        <v>3.3075215764277379</v>
      </c>
      <c r="F180" s="106">
        <v>1.4001371895754959</v>
      </c>
      <c r="G180" s="106">
        <v>1.7565370765095949</v>
      </c>
      <c r="H180" s="106">
        <v>2.795629622095881</v>
      </c>
      <c r="I180" s="106">
        <v>1.4736251836464791</v>
      </c>
      <c r="J180" s="106">
        <v>1.7791410731890229</v>
      </c>
      <c r="K180" s="30">
        <f t="shared" si="17"/>
        <v>-4.2217091046291233E-2</v>
      </c>
      <c r="L180" s="30">
        <f t="shared" si="18"/>
        <v>-5.4248252686442955E-3</v>
      </c>
      <c r="M180" s="30">
        <f t="shared" si="19"/>
        <v>8.3740176180113757E-4</v>
      </c>
      <c r="N180" s="30">
        <f t="shared" si="20"/>
        <v>-3.0290969892955544E-2</v>
      </c>
      <c r="O180" s="30">
        <f t="shared" si="21"/>
        <v>-2.4028061850732807E-2</v>
      </c>
      <c r="P180" s="30">
        <f t="shared" si="22"/>
        <v>3.5508240736261687E-3</v>
      </c>
      <c r="Q180" s="30">
        <f t="shared" si="23"/>
        <v>-2.1997930344189287E-2</v>
      </c>
    </row>
    <row r="181" spans="2:17" ht="13.95" customHeight="1" x14ac:dyDescent="0.3">
      <c r="B181" s="105">
        <v>43749</v>
      </c>
      <c r="C181" s="107">
        <f t="shared" si="16"/>
        <v>0</v>
      </c>
      <c r="D181" s="106">
        <v>5.7740182391748842</v>
      </c>
      <c r="E181" s="106">
        <v>3.2392098986352091</v>
      </c>
      <c r="F181" s="106">
        <v>1.4111493269919919</v>
      </c>
      <c r="G181" s="106">
        <v>1.8130828234823231</v>
      </c>
      <c r="H181" s="106">
        <v>2.8306077239590479</v>
      </c>
      <c r="I181" s="106">
        <v>1.4881597412376679</v>
      </c>
      <c r="J181" s="106">
        <v>1.762432233956525</v>
      </c>
      <c r="K181" s="30">
        <f t="shared" si="17"/>
        <v>2.0668137839034095E-2</v>
      </c>
      <c r="L181" s="30">
        <f t="shared" si="18"/>
        <v>-2.0653433761211648E-2</v>
      </c>
      <c r="M181" s="30">
        <f t="shared" si="19"/>
        <v>7.8650417248289362E-3</v>
      </c>
      <c r="N181" s="30">
        <f t="shared" si="20"/>
        <v>3.219160456612169E-2</v>
      </c>
      <c r="O181" s="30">
        <f t="shared" si="21"/>
        <v>1.2511708127110222E-2</v>
      </c>
      <c r="P181" s="30">
        <f t="shared" si="22"/>
        <v>9.8631305656864399E-3</v>
      </c>
      <c r="Q181" s="30">
        <f t="shared" si="23"/>
        <v>-9.3915201465998299E-3</v>
      </c>
    </row>
    <row r="182" spans="2:17" ht="13.95" customHeight="1" x14ac:dyDescent="0.3">
      <c r="B182" s="105">
        <v>43756</v>
      </c>
      <c r="C182" s="107">
        <f t="shared" si="16"/>
        <v>0</v>
      </c>
      <c r="D182" s="106">
        <v>5.8940780035361584</v>
      </c>
      <c r="E182" s="106">
        <v>3.2708779339973151</v>
      </c>
      <c r="F182" s="106">
        <v>1.4388074364519681</v>
      </c>
      <c r="G182" s="106">
        <v>1.7873820039844011</v>
      </c>
      <c r="H182" s="106">
        <v>2.8550263595797309</v>
      </c>
      <c r="I182" s="106">
        <v>1.5167141031732529</v>
      </c>
      <c r="J182" s="106">
        <v>1.8033685300804061</v>
      </c>
      <c r="K182" s="30">
        <f t="shared" si="17"/>
        <v>2.0793104453101119E-2</v>
      </c>
      <c r="L182" s="30">
        <f t="shared" si="18"/>
        <v>9.7764690628565631E-3</v>
      </c>
      <c r="M182" s="30">
        <f t="shared" si="19"/>
        <v>1.9599704248828287E-2</v>
      </c>
      <c r="N182" s="30">
        <f t="shared" si="20"/>
        <v>-1.417520433432784E-2</v>
      </c>
      <c r="O182" s="30">
        <f t="shared" si="21"/>
        <v>8.6266406376258598E-3</v>
      </c>
      <c r="P182" s="30">
        <f t="shared" si="22"/>
        <v>1.9187699508546707E-2</v>
      </c>
      <c r="Q182" s="30">
        <f t="shared" si="23"/>
        <v>2.3227160361214194E-2</v>
      </c>
    </row>
    <row r="183" spans="2:17" ht="13.95" customHeight="1" x14ac:dyDescent="0.3">
      <c r="B183" s="105">
        <v>43763</v>
      </c>
      <c r="C183" s="107">
        <f t="shared" si="16"/>
        <v>0</v>
      </c>
      <c r="D183" s="106">
        <v>6.2261164807524194</v>
      </c>
      <c r="E183" s="106">
        <v>3.2157576202867828</v>
      </c>
      <c r="F183" s="106">
        <v>1.4197556340796531</v>
      </c>
      <c r="G183" s="106">
        <v>1.862811701853343</v>
      </c>
      <c r="H183" s="106">
        <v>2.927083722257704</v>
      </c>
      <c r="I183" s="106">
        <v>1.4891710356833201</v>
      </c>
      <c r="J183" s="106">
        <v>1.857272063429088</v>
      </c>
      <c r="K183" s="30">
        <f t="shared" si="17"/>
        <v>5.633425228119715E-2</v>
      </c>
      <c r="L183" s="30">
        <f t="shared" si="18"/>
        <v>-1.6851840644254823E-2</v>
      </c>
      <c r="M183" s="30">
        <f t="shared" si="19"/>
        <v>-1.324138441993028E-2</v>
      </c>
      <c r="N183" s="30">
        <f t="shared" si="20"/>
        <v>4.2201218150790032E-2</v>
      </c>
      <c r="O183" s="30">
        <f t="shared" si="21"/>
        <v>2.5238773167957751E-2</v>
      </c>
      <c r="P183" s="30">
        <f t="shared" si="22"/>
        <v>-1.8159696301568995E-2</v>
      </c>
      <c r="Q183" s="30">
        <f t="shared" si="23"/>
        <v>2.9890470222566412E-2</v>
      </c>
    </row>
    <row r="184" spans="2:17" ht="13.95" customHeight="1" x14ac:dyDescent="0.3">
      <c r="B184" s="105">
        <v>43770</v>
      </c>
      <c r="C184" s="107">
        <f t="shared" si="16"/>
        <v>0</v>
      </c>
      <c r="D184" s="106">
        <v>6.171942419697384</v>
      </c>
      <c r="E184" s="106">
        <v>3.2424221132654432</v>
      </c>
      <c r="F184" s="106">
        <v>1.447778884578687</v>
      </c>
      <c r="G184" s="106">
        <v>1.9035719132545299</v>
      </c>
      <c r="H184" s="106">
        <v>2.9496898371614502</v>
      </c>
      <c r="I184" s="106">
        <v>1.5201772464360219</v>
      </c>
      <c r="J184" s="106">
        <v>1.877132074926158</v>
      </c>
      <c r="K184" s="30">
        <f t="shared" si="17"/>
        <v>-8.7010998304497544E-3</v>
      </c>
      <c r="L184" s="30">
        <f t="shared" si="18"/>
        <v>8.2918229938866439E-3</v>
      </c>
      <c r="M184" s="30">
        <f t="shared" si="19"/>
        <v>1.9738080150109694E-2</v>
      </c>
      <c r="N184" s="30">
        <f t="shared" si="20"/>
        <v>2.1881015327869013E-2</v>
      </c>
      <c r="O184" s="30">
        <f t="shared" si="21"/>
        <v>7.7230844925439968E-3</v>
      </c>
      <c r="P184" s="30">
        <f t="shared" si="22"/>
        <v>2.0821121288109312E-2</v>
      </c>
      <c r="Q184" s="30">
        <f t="shared" si="23"/>
        <v>1.0693108397055395E-2</v>
      </c>
    </row>
    <row r="185" spans="2:17" ht="13.95" customHeight="1" x14ac:dyDescent="0.3">
      <c r="B185" s="105">
        <v>43777</v>
      </c>
      <c r="C185" s="107">
        <f t="shared" si="16"/>
        <v>0</v>
      </c>
      <c r="D185" s="106">
        <v>6.0936997430356437</v>
      </c>
      <c r="E185" s="106">
        <v>3.2129294108311899</v>
      </c>
      <c r="F185" s="106">
        <v>1.4181295752617371</v>
      </c>
      <c r="G185" s="106">
        <v>1.934315392952187</v>
      </c>
      <c r="H185" s="106">
        <v>2.9343146435475469</v>
      </c>
      <c r="I185" s="106">
        <v>1.474078266458106</v>
      </c>
      <c r="J185" s="106">
        <v>1.9944471071668559</v>
      </c>
      <c r="K185" s="30">
        <f t="shared" si="17"/>
        <v>-1.2677155965038378E-2</v>
      </c>
      <c r="L185" s="30">
        <f t="shared" si="18"/>
        <v>-9.0958861628757104E-3</v>
      </c>
      <c r="M185" s="30">
        <f t="shared" si="19"/>
        <v>-2.0479169597488633E-2</v>
      </c>
      <c r="N185" s="30">
        <f t="shared" si="20"/>
        <v>1.6150416742120921E-2</v>
      </c>
      <c r="O185" s="30">
        <f t="shared" si="21"/>
        <v>-5.2124780782711877E-3</v>
      </c>
      <c r="P185" s="30">
        <f t="shared" si="22"/>
        <v>-3.0324740148553464E-2</v>
      </c>
      <c r="Q185" s="30">
        <f t="shared" si="23"/>
        <v>6.2496951497306164E-2</v>
      </c>
    </row>
    <row r="186" spans="2:17" ht="13.95" customHeight="1" x14ac:dyDescent="0.3">
      <c r="B186" s="105">
        <v>43784</v>
      </c>
      <c r="C186" s="107">
        <f t="shared" si="16"/>
        <v>0</v>
      </c>
      <c r="D186" s="106">
        <v>6.0538457938036068</v>
      </c>
      <c r="E186" s="106">
        <v>3.172519467708534</v>
      </c>
      <c r="F186" s="106">
        <v>1.444378343449759</v>
      </c>
      <c r="G186" s="106">
        <v>1.880059947887188</v>
      </c>
      <c r="H186" s="106">
        <v>2.9053947798969211</v>
      </c>
      <c r="I186" s="106">
        <v>1.5039345567725759</v>
      </c>
      <c r="J186" s="106">
        <v>2.0045977476839281</v>
      </c>
      <c r="K186" s="30">
        <f t="shared" si="17"/>
        <v>-6.5401891974715687E-3</v>
      </c>
      <c r="L186" s="30">
        <f t="shared" si="18"/>
        <v>-1.2577289431392025E-2</v>
      </c>
      <c r="M186" s="30">
        <f t="shared" si="19"/>
        <v>1.850942864877303E-2</v>
      </c>
      <c r="N186" s="30">
        <f t="shared" si="20"/>
        <v>-2.8048913461932057E-2</v>
      </c>
      <c r="O186" s="30">
        <f t="shared" si="21"/>
        <v>-9.8557473085647551E-3</v>
      </c>
      <c r="P186" s="30">
        <f t="shared" si="22"/>
        <v>2.0254209694176017E-2</v>
      </c>
      <c r="Q186" s="30">
        <f t="shared" si="23"/>
        <v>5.0894508461001298E-3</v>
      </c>
    </row>
    <row r="187" spans="2:17" ht="13.95" customHeight="1" x14ac:dyDescent="0.3">
      <c r="B187" s="105">
        <v>43791</v>
      </c>
      <c r="C187" s="107">
        <f t="shared" si="16"/>
        <v>0</v>
      </c>
      <c r="D187" s="106">
        <v>6.1015391181108418</v>
      </c>
      <c r="E187" s="106">
        <v>3.227719594350694</v>
      </c>
      <c r="F187" s="106">
        <v>1.4654427512834871</v>
      </c>
      <c r="G187" s="106">
        <v>1.957127569905539</v>
      </c>
      <c r="H187" s="106">
        <v>2.963910618860051</v>
      </c>
      <c r="I187" s="106">
        <v>1.5261270594602341</v>
      </c>
      <c r="J187" s="106">
        <v>2.0311312448407262</v>
      </c>
      <c r="K187" s="30">
        <f t="shared" si="17"/>
        <v>7.8781861863828073E-3</v>
      </c>
      <c r="L187" s="30">
        <f t="shared" si="18"/>
        <v>1.739946033555162E-2</v>
      </c>
      <c r="M187" s="30">
        <f t="shared" si="19"/>
        <v>1.4583718960655245E-2</v>
      </c>
      <c r="N187" s="30">
        <f t="shared" si="20"/>
        <v>4.0992108844699171E-2</v>
      </c>
      <c r="O187" s="30">
        <f t="shared" si="21"/>
        <v>2.0140408927562747E-2</v>
      </c>
      <c r="P187" s="30">
        <f t="shared" si="22"/>
        <v>1.475629547025159E-2</v>
      </c>
      <c r="Q187" s="30">
        <f t="shared" si="23"/>
        <v>1.3236319948705111E-2</v>
      </c>
    </row>
    <row r="188" spans="2:17" ht="13.95" customHeight="1" x14ac:dyDescent="0.3">
      <c r="B188" s="105">
        <v>43798</v>
      </c>
      <c r="C188" s="107">
        <f t="shared" si="16"/>
        <v>0</v>
      </c>
      <c r="D188" s="106">
        <v>5.9803818589332831</v>
      </c>
      <c r="E188" s="106">
        <v>3.2888655628334909</v>
      </c>
      <c r="F188" s="106">
        <v>1.4859165120644211</v>
      </c>
      <c r="G188" s="106">
        <v>1.933695058680742</v>
      </c>
      <c r="H188" s="106">
        <v>2.951535378552983</v>
      </c>
      <c r="I188" s="106">
        <v>1.5449873849850759</v>
      </c>
      <c r="J188" s="106">
        <v>2.0851218273040741</v>
      </c>
      <c r="K188" s="30">
        <f t="shared" si="17"/>
        <v>-1.9856835600370881E-2</v>
      </c>
      <c r="L188" s="30">
        <f t="shared" si="18"/>
        <v>1.8944015022190008E-2</v>
      </c>
      <c r="M188" s="30">
        <f t="shared" si="19"/>
        <v>1.397104101337443E-2</v>
      </c>
      <c r="N188" s="30">
        <f t="shared" si="20"/>
        <v>-1.1972909474637916E-2</v>
      </c>
      <c r="O188" s="30">
        <f t="shared" si="21"/>
        <v>-4.1753081986756202E-3</v>
      </c>
      <c r="P188" s="30">
        <f t="shared" si="22"/>
        <v>1.2358293110609209E-2</v>
      </c>
      <c r="Q188" s="30">
        <f t="shared" si="23"/>
        <v>2.6581533123715806E-2</v>
      </c>
    </row>
    <row r="189" spans="2:17" ht="13.95" customHeight="1" x14ac:dyDescent="0.3">
      <c r="B189" s="105">
        <v>43805</v>
      </c>
      <c r="C189" s="107">
        <f t="shared" si="16"/>
        <v>0</v>
      </c>
      <c r="D189" s="106">
        <v>6.1409186488472383</v>
      </c>
      <c r="E189" s="106">
        <v>3.3227579824246329</v>
      </c>
      <c r="F189" s="106">
        <v>1.5534072982534199</v>
      </c>
      <c r="G189" s="106">
        <v>1.9872402009384911</v>
      </c>
      <c r="H189" s="106">
        <v>3.030558913133568</v>
      </c>
      <c r="I189" s="106">
        <v>1.6123786641427871</v>
      </c>
      <c r="J189" s="106">
        <v>2.2092897976519552</v>
      </c>
      <c r="K189" s="30">
        <f t="shared" si="17"/>
        <v>2.6843902897964789E-2</v>
      </c>
      <c r="L189" s="30">
        <f t="shared" si="18"/>
        <v>1.0305200666804515E-2</v>
      </c>
      <c r="M189" s="30">
        <f t="shared" si="19"/>
        <v>4.5420308369298779E-2</v>
      </c>
      <c r="N189" s="30">
        <f t="shared" si="20"/>
        <v>2.769058234770494E-2</v>
      </c>
      <c r="O189" s="30">
        <f t="shared" si="21"/>
        <v>2.6773704003279386E-2</v>
      </c>
      <c r="P189" s="30">
        <f t="shared" si="22"/>
        <v>4.36193070653208E-2</v>
      </c>
      <c r="Q189" s="30">
        <f t="shared" si="23"/>
        <v>5.9549503881229926E-2</v>
      </c>
    </row>
    <row r="190" spans="2:17" ht="13.95" customHeight="1" x14ac:dyDescent="0.3">
      <c r="B190" s="105">
        <v>43812</v>
      </c>
      <c r="C190" s="107">
        <f t="shared" si="16"/>
        <v>0</v>
      </c>
      <c r="D190" s="106">
        <v>6.146187239617058</v>
      </c>
      <c r="E190" s="106">
        <v>3.325445814932535</v>
      </c>
      <c r="F190" s="106">
        <v>1.6277884575219279</v>
      </c>
      <c r="G190" s="106">
        <v>2.0177151050345579</v>
      </c>
      <c r="H190" s="106">
        <v>3.0699909372493819</v>
      </c>
      <c r="I190" s="106">
        <v>1.6923299796591049</v>
      </c>
      <c r="J190" s="106">
        <v>2.2859971145401849</v>
      </c>
      <c r="K190" s="30">
        <f t="shared" si="17"/>
        <v>8.5794830889174278E-4</v>
      </c>
      <c r="L190" s="30">
        <f t="shared" si="18"/>
        <v>8.0891612393041434E-4</v>
      </c>
      <c r="M190" s="30">
        <f t="shared" si="19"/>
        <v>4.7882586461476473E-2</v>
      </c>
      <c r="N190" s="30">
        <f t="shared" si="20"/>
        <v>1.5335289655309392E-2</v>
      </c>
      <c r="O190" s="30">
        <f t="shared" si="21"/>
        <v>1.3011469252396601E-2</v>
      </c>
      <c r="P190" s="30">
        <f t="shared" si="22"/>
        <v>4.9585942368459479E-2</v>
      </c>
      <c r="Q190" s="30">
        <f t="shared" si="23"/>
        <v>3.4720350842951664E-2</v>
      </c>
    </row>
    <row r="191" spans="2:17" ht="13.95" customHeight="1" x14ac:dyDescent="0.3">
      <c r="B191" s="105">
        <v>43819</v>
      </c>
      <c r="C191" s="107">
        <f t="shared" si="16"/>
        <v>0</v>
      </c>
      <c r="D191" s="106">
        <v>6.3437658700268846</v>
      </c>
      <c r="E191" s="106">
        <v>3.414670847107943</v>
      </c>
      <c r="F191" s="106">
        <v>1.635473236884923</v>
      </c>
      <c r="G191" s="106">
        <v>2.0604039980652908</v>
      </c>
      <c r="H191" s="106">
        <v>3.1408780829044032</v>
      </c>
      <c r="I191" s="106">
        <v>1.69947994809586</v>
      </c>
      <c r="J191" s="106">
        <v>2.30567795358483</v>
      </c>
      <c r="K191" s="30">
        <f t="shared" si="17"/>
        <v>3.2146536170631901E-2</v>
      </c>
      <c r="L191" s="30">
        <f t="shared" si="18"/>
        <v>2.6830998651294458E-2</v>
      </c>
      <c r="M191" s="30">
        <f t="shared" si="19"/>
        <v>4.7209938905046211E-3</v>
      </c>
      <c r="N191" s="30">
        <f t="shared" si="20"/>
        <v>2.115704686167863E-2</v>
      </c>
      <c r="O191" s="30">
        <f t="shared" si="21"/>
        <v>2.3090343621188003E-2</v>
      </c>
      <c r="P191" s="30">
        <f t="shared" si="22"/>
        <v>4.2249257075710478E-3</v>
      </c>
      <c r="Q191" s="30">
        <f t="shared" si="23"/>
        <v>8.6093017875936706E-3</v>
      </c>
    </row>
    <row r="192" spans="2:17" ht="13.95" customHeight="1" x14ac:dyDescent="0.3">
      <c r="B192" s="105">
        <v>43826</v>
      </c>
      <c r="C192" s="107">
        <f t="shared" si="16"/>
        <v>0</v>
      </c>
      <c r="D192" s="106">
        <v>6.3617462835149778</v>
      </c>
      <c r="E192" s="106">
        <v>3.4792731348344388</v>
      </c>
      <c r="F192" s="106">
        <v>1.6715172309706361</v>
      </c>
      <c r="G192" s="106">
        <v>2.0911259878062838</v>
      </c>
      <c r="H192" s="106">
        <v>3.181267950375505</v>
      </c>
      <c r="I192" s="106">
        <v>1.735375616916615</v>
      </c>
      <c r="J192" s="106">
        <v>2.3729986366102609</v>
      </c>
      <c r="K192" s="30">
        <f t="shared" si="17"/>
        <v>2.8343438040561164E-3</v>
      </c>
      <c r="L192" s="30">
        <f t="shared" si="18"/>
        <v>1.8919038062251481E-2</v>
      </c>
      <c r="M192" s="30">
        <f t="shared" si="19"/>
        <v>2.2038877355379904E-2</v>
      </c>
      <c r="N192" s="30">
        <f t="shared" si="20"/>
        <v>1.4910663039792604E-2</v>
      </c>
      <c r="O192" s="30">
        <f t="shared" si="21"/>
        <v>1.2859419055754273E-2</v>
      </c>
      <c r="P192" s="30">
        <f t="shared" si="22"/>
        <v>2.1121560663880379E-2</v>
      </c>
      <c r="Q192" s="30">
        <f t="shared" si="23"/>
        <v>2.9197782335890432E-2</v>
      </c>
    </row>
    <row r="193" spans="2:17" ht="13.95" customHeight="1" x14ac:dyDescent="0.3">
      <c r="B193" s="105">
        <v>43833</v>
      </c>
      <c r="C193" s="107">
        <f t="shared" si="16"/>
        <v>0</v>
      </c>
      <c r="D193" s="106">
        <v>6.4511369535814396</v>
      </c>
      <c r="E193" s="106">
        <v>3.529958129644557</v>
      </c>
      <c r="F193" s="106">
        <v>1.6794694837982631</v>
      </c>
      <c r="G193" s="106">
        <v>2.1027510672352152</v>
      </c>
      <c r="H193" s="106">
        <v>3.2135060193048579</v>
      </c>
      <c r="I193" s="106">
        <v>1.7441467377696731</v>
      </c>
      <c r="J193" s="106">
        <v>2.378837454749529</v>
      </c>
      <c r="K193" s="30">
        <f t="shared" si="17"/>
        <v>1.4051278702845726E-2</v>
      </c>
      <c r="L193" s="30">
        <f t="shared" si="18"/>
        <v>1.456769642563005E-2</v>
      </c>
      <c r="M193" s="30">
        <f t="shared" si="19"/>
        <v>4.7575057440534252E-3</v>
      </c>
      <c r="N193" s="30">
        <f t="shared" si="20"/>
        <v>5.5592439177358788E-3</v>
      </c>
      <c r="O193" s="30">
        <f t="shared" si="21"/>
        <v>1.0133716943128812E-2</v>
      </c>
      <c r="P193" s="30">
        <f t="shared" si="22"/>
        <v>5.0543068414448111E-3</v>
      </c>
      <c r="Q193" s="30">
        <f t="shared" si="23"/>
        <v>2.4605231748504597E-3</v>
      </c>
    </row>
    <row r="194" spans="2:17" ht="13.95" customHeight="1" x14ac:dyDescent="0.3">
      <c r="B194" s="105">
        <v>43840</v>
      </c>
      <c r="C194" s="107">
        <f t="shared" si="16"/>
        <v>0</v>
      </c>
      <c r="D194" s="106">
        <v>6.1090086618665982</v>
      </c>
      <c r="E194" s="106">
        <v>3.5560640364108251</v>
      </c>
      <c r="F194" s="106">
        <v>1.6738374654169439</v>
      </c>
      <c r="G194" s="106">
        <v>2.0969605080379199</v>
      </c>
      <c r="H194" s="106">
        <v>3.1562053112151021</v>
      </c>
      <c r="I194" s="106">
        <v>1.7419890518359931</v>
      </c>
      <c r="J194" s="106">
        <v>2.3318346537901768</v>
      </c>
      <c r="K194" s="30">
        <f t="shared" si="17"/>
        <v>-5.3033797635454683E-2</v>
      </c>
      <c r="L194" s="30">
        <f t="shared" si="18"/>
        <v>7.3955287307889694E-3</v>
      </c>
      <c r="M194" s="30">
        <f t="shared" si="19"/>
        <v>-3.3534508579351474E-3</v>
      </c>
      <c r="N194" s="30">
        <f t="shared" si="20"/>
        <v>-2.7538015733402643E-3</v>
      </c>
      <c r="O194" s="30">
        <f t="shared" si="21"/>
        <v>-1.7831212310021161E-2</v>
      </c>
      <c r="P194" s="30">
        <f t="shared" si="22"/>
        <v>-1.2371011492067208E-3</v>
      </c>
      <c r="Q194" s="30">
        <f t="shared" si="23"/>
        <v>-1.9758727468120019E-2</v>
      </c>
    </row>
    <row r="195" spans="2:17" ht="13.95" customHeight="1" x14ac:dyDescent="0.3">
      <c r="B195" s="105">
        <v>43847</v>
      </c>
      <c r="C195" s="107">
        <f t="shared" si="16"/>
        <v>0</v>
      </c>
      <c r="D195" s="106">
        <v>6.2247855699282226</v>
      </c>
      <c r="E195" s="106">
        <v>3.648622089876556</v>
      </c>
      <c r="F195" s="106">
        <v>1.7348022584271361</v>
      </c>
      <c r="G195" s="106">
        <v>2.1529093196353011</v>
      </c>
      <c r="H195" s="106">
        <v>3.2375144415228401</v>
      </c>
      <c r="I195" s="106">
        <v>1.804301247644259</v>
      </c>
      <c r="J195" s="106">
        <v>2.4287630839249048</v>
      </c>
      <c r="K195" s="30">
        <f t="shared" si="17"/>
        <v>1.8951832362642085E-2</v>
      </c>
      <c r="L195" s="30">
        <f t="shared" si="18"/>
        <v>2.6028230233770211E-2</v>
      </c>
      <c r="M195" s="30">
        <f t="shared" si="19"/>
        <v>3.6422170174692736E-2</v>
      </c>
      <c r="N195" s="30">
        <f t="shared" si="20"/>
        <v>2.6680908573586404E-2</v>
      </c>
      <c r="O195" s="30">
        <f t="shared" si="21"/>
        <v>2.5761673367324489E-2</v>
      </c>
      <c r="P195" s="30">
        <f t="shared" si="22"/>
        <v>3.5770716091809707E-2</v>
      </c>
      <c r="Q195" s="30">
        <f t="shared" si="23"/>
        <v>4.156745418341723E-2</v>
      </c>
    </row>
    <row r="196" spans="2:17" ht="13.95" customHeight="1" x14ac:dyDescent="0.3">
      <c r="B196" s="105">
        <v>43854</v>
      </c>
      <c r="C196" s="107">
        <f t="shared" si="16"/>
        <v>0</v>
      </c>
      <c r="D196" s="106">
        <v>6.2030731186677768</v>
      </c>
      <c r="E196" s="106">
        <v>3.662612047305295</v>
      </c>
      <c r="F196" s="106">
        <v>1.7754472846240941</v>
      </c>
      <c r="G196" s="106">
        <v>2.114360610127378</v>
      </c>
      <c r="H196" s="106">
        <v>3.2337947119105541</v>
      </c>
      <c r="I196" s="106">
        <v>1.8370973178259009</v>
      </c>
      <c r="J196" s="106">
        <v>2.5858654456350409</v>
      </c>
      <c r="K196" s="30">
        <f t="shared" si="17"/>
        <v>-3.4880641295240711E-3</v>
      </c>
      <c r="L196" s="30">
        <f t="shared" si="18"/>
        <v>3.8343125388500265E-3</v>
      </c>
      <c r="M196" s="30">
        <f t="shared" si="19"/>
        <v>2.3429198342068691E-2</v>
      </c>
      <c r="N196" s="30">
        <f t="shared" si="20"/>
        <v>-1.7905403240324635E-2</v>
      </c>
      <c r="O196" s="30">
        <f t="shared" si="21"/>
        <v>-1.1489461064878581E-3</v>
      </c>
      <c r="P196" s="30">
        <f t="shared" si="22"/>
        <v>1.8176604502414095E-2</v>
      </c>
      <c r="Q196" s="30">
        <f t="shared" si="23"/>
        <v>6.4684103093438416E-2</v>
      </c>
    </row>
    <row r="197" spans="2:17" ht="13.95" customHeight="1" x14ac:dyDescent="0.3">
      <c r="B197" s="105">
        <v>43861</v>
      </c>
      <c r="C197" s="107">
        <f t="shared" si="16"/>
        <v>0</v>
      </c>
      <c r="D197" s="106">
        <v>6.0026176761909031</v>
      </c>
      <c r="E197" s="106">
        <v>3.5250163850608551</v>
      </c>
      <c r="F197" s="106">
        <v>1.725267651230624</v>
      </c>
      <c r="G197" s="106">
        <v>2.0000384121045851</v>
      </c>
      <c r="H197" s="106">
        <v>3.1085473329487572</v>
      </c>
      <c r="I197" s="106">
        <v>1.7881807304323749</v>
      </c>
      <c r="J197" s="106">
        <v>2.4810055780769829</v>
      </c>
      <c r="K197" s="30">
        <f t="shared" si="17"/>
        <v>-3.2315505337767947E-2</v>
      </c>
      <c r="L197" s="30">
        <f t="shared" si="18"/>
        <v>-3.7567632189074884E-2</v>
      </c>
      <c r="M197" s="30">
        <f t="shared" si="19"/>
        <v>-2.8263093941476525E-2</v>
      </c>
      <c r="N197" s="30">
        <f t="shared" si="20"/>
        <v>-5.4069394537153093E-2</v>
      </c>
      <c r="O197" s="30">
        <f t="shared" si="21"/>
        <v>-3.8730776106625453E-2</v>
      </c>
      <c r="P197" s="30">
        <f t="shared" si="22"/>
        <v>-2.6627107295228103E-2</v>
      </c>
      <c r="Q197" s="30">
        <f t="shared" si="23"/>
        <v>-4.0551169332906478E-2</v>
      </c>
    </row>
    <row r="198" spans="2:17" ht="13.95" customHeight="1" x14ac:dyDescent="0.3">
      <c r="B198" s="105">
        <v>43868</v>
      </c>
      <c r="C198" s="107">
        <f t="shared" si="16"/>
        <v>0</v>
      </c>
      <c r="D198" s="106">
        <v>6.0527818612502298</v>
      </c>
      <c r="E198" s="106">
        <v>3.4642427086685532</v>
      </c>
      <c r="F198" s="106">
        <v>1.6991437171590671</v>
      </c>
      <c r="G198" s="106">
        <v>2.0324407535018691</v>
      </c>
      <c r="H198" s="106">
        <v>3.1088383703520321</v>
      </c>
      <c r="I198" s="106">
        <v>1.750026618921134</v>
      </c>
      <c r="J198" s="106">
        <v>2.564741501658895</v>
      </c>
      <c r="K198" s="30">
        <f t="shared" si="17"/>
        <v>8.3570515007644897E-3</v>
      </c>
      <c r="L198" s="30">
        <f t="shared" si="18"/>
        <v>-1.724067912134053E-2</v>
      </c>
      <c r="M198" s="30">
        <f t="shared" si="19"/>
        <v>-1.5141960178133962E-2</v>
      </c>
      <c r="N198" s="30">
        <f t="shared" si="20"/>
        <v>1.6200859544086343E-2</v>
      </c>
      <c r="O198" s="30">
        <f t="shared" si="21"/>
        <v>9.3624890375787473E-5</v>
      </c>
      <c r="P198" s="30">
        <f t="shared" si="22"/>
        <v>-2.1336831821253011E-2</v>
      </c>
      <c r="Q198" s="30">
        <f t="shared" si="23"/>
        <v>3.3750800208524945E-2</v>
      </c>
    </row>
    <row r="199" spans="2:17" ht="13.95" customHeight="1" x14ac:dyDescent="0.3">
      <c r="B199" s="105">
        <v>43875</v>
      </c>
      <c r="C199" s="107">
        <f t="shared" si="16"/>
        <v>0</v>
      </c>
      <c r="D199" s="106">
        <v>6.0117118984305593</v>
      </c>
      <c r="E199" s="106">
        <v>3.4730197677551971</v>
      </c>
      <c r="F199" s="106">
        <v>1.749012646228393</v>
      </c>
      <c r="G199" s="106">
        <v>2.043899331284456</v>
      </c>
      <c r="H199" s="106">
        <v>3.1254893759360529</v>
      </c>
      <c r="I199" s="106">
        <v>1.789962625576534</v>
      </c>
      <c r="J199" s="106">
        <v>2.7651374787954039</v>
      </c>
      <c r="K199" s="30">
        <f t="shared" si="17"/>
        <v>-6.7853036440317371E-3</v>
      </c>
      <c r="L199" s="30">
        <f t="shared" si="18"/>
        <v>2.5336155185320397E-3</v>
      </c>
      <c r="M199" s="30">
        <f t="shared" si="19"/>
        <v>2.9349447351461055E-2</v>
      </c>
      <c r="N199" s="30">
        <f t="shared" si="20"/>
        <v>5.6378409864317192E-3</v>
      </c>
      <c r="O199" s="30">
        <f t="shared" si="21"/>
        <v>5.3560216390842186E-3</v>
      </c>
      <c r="P199" s="30">
        <f t="shared" si="22"/>
        <v>2.2820228117455654E-2</v>
      </c>
      <c r="Q199" s="30">
        <f t="shared" si="23"/>
        <v>7.813496097243755E-2</v>
      </c>
    </row>
    <row r="200" spans="2:17" ht="13.95" customHeight="1" x14ac:dyDescent="0.3">
      <c r="B200" s="105">
        <v>43882</v>
      </c>
      <c r="C200" s="107">
        <f t="shared" si="16"/>
        <v>0</v>
      </c>
      <c r="D200" s="106">
        <v>5.9688130449439409</v>
      </c>
      <c r="E200" s="106">
        <v>3.4462967568326528</v>
      </c>
      <c r="F200" s="106">
        <v>1.7816835307068291</v>
      </c>
      <c r="G200" s="106">
        <v>2.0024870424797192</v>
      </c>
      <c r="H200" s="106">
        <v>3.1071160140325551</v>
      </c>
      <c r="I200" s="106">
        <v>1.8075871009222719</v>
      </c>
      <c r="J200" s="106">
        <v>2.9899291102088168</v>
      </c>
      <c r="K200" s="30">
        <f t="shared" si="17"/>
        <v>-7.1358797978688937E-3</v>
      </c>
      <c r="L200" s="30">
        <f t="shared" si="18"/>
        <v>-7.6944597812689253E-3</v>
      </c>
      <c r="M200" s="30">
        <f t="shared" si="19"/>
        <v>1.8679615924383608E-2</v>
      </c>
      <c r="N200" s="30">
        <f t="shared" si="20"/>
        <v>-2.0261413158108921E-2</v>
      </c>
      <c r="O200" s="30">
        <f t="shared" si="21"/>
        <v>-5.8785552256100937E-3</v>
      </c>
      <c r="P200" s="30">
        <f t="shared" si="22"/>
        <v>9.8462811982240606E-3</v>
      </c>
      <c r="Q200" s="30">
        <f t="shared" si="23"/>
        <v>8.1294920464981768E-2</v>
      </c>
    </row>
    <row r="201" spans="2:17" ht="13.95" customHeight="1" x14ac:dyDescent="0.3">
      <c r="B201" s="105">
        <v>43889</v>
      </c>
      <c r="C201" s="107">
        <f t="shared" si="16"/>
        <v>0</v>
      </c>
      <c r="D201" s="106">
        <v>5.7164835095911144</v>
      </c>
      <c r="E201" s="106">
        <v>3.1647377543014819</v>
      </c>
      <c r="F201" s="106">
        <v>1.5913117853872549</v>
      </c>
      <c r="G201" s="106">
        <v>1.76879809050061</v>
      </c>
      <c r="H201" s="106">
        <v>2.8480128642873321</v>
      </c>
      <c r="I201" s="106">
        <v>1.6210436407548741</v>
      </c>
      <c r="J201" s="106">
        <v>2.5982277811992009</v>
      </c>
      <c r="K201" s="30">
        <f t="shared" si="17"/>
        <v>-4.2274658873185822E-2</v>
      </c>
      <c r="L201" s="30">
        <f t="shared" si="18"/>
        <v>-8.1699001101094959E-2</v>
      </c>
      <c r="M201" s="30">
        <f t="shared" si="19"/>
        <v>-0.10684936019139712</v>
      </c>
      <c r="N201" s="30">
        <f t="shared" si="20"/>
        <v>-0.11669935785937846</v>
      </c>
      <c r="O201" s="30">
        <f t="shared" si="21"/>
        <v>-8.3390239880018924E-2</v>
      </c>
      <c r="P201" s="30">
        <f t="shared" si="22"/>
        <v>-0.10320026076321254</v>
      </c>
      <c r="Q201" s="30">
        <f t="shared" si="23"/>
        <v>-0.13100689500369433</v>
      </c>
    </row>
    <row r="202" spans="2:17" ht="13.95" customHeight="1" x14ac:dyDescent="0.3">
      <c r="B202" s="105">
        <v>43896</v>
      </c>
      <c r="C202" s="107">
        <f t="shared" si="16"/>
        <v>0</v>
      </c>
      <c r="D202" s="106">
        <v>5.2348162300797858</v>
      </c>
      <c r="E202" s="106">
        <v>3.0976818528067409</v>
      </c>
      <c r="F202" s="106">
        <v>1.459844040044084</v>
      </c>
      <c r="G202" s="106">
        <v>1.6859079280811251</v>
      </c>
      <c r="H202" s="106">
        <v>2.6769752407174132</v>
      </c>
      <c r="I202" s="106">
        <v>1.468351005500977</v>
      </c>
      <c r="J202" s="106">
        <v>2.591160170000173</v>
      </c>
      <c r="K202" s="30">
        <f t="shared" si="17"/>
        <v>-8.4259366567433824E-2</v>
      </c>
      <c r="L202" s="30">
        <f t="shared" si="18"/>
        <v>-2.1188454368327725E-2</v>
      </c>
      <c r="M202" s="30">
        <f t="shared" si="19"/>
        <v>-8.2615956565153859E-2</v>
      </c>
      <c r="N202" s="30">
        <f t="shared" si="20"/>
        <v>-4.6862421926306519E-2</v>
      </c>
      <c r="O202" s="30">
        <f t="shared" si="21"/>
        <v>-6.0055074088549931E-2</v>
      </c>
      <c r="P202" s="30">
        <f t="shared" si="22"/>
        <v>-9.4194031187705973E-2</v>
      </c>
      <c r="Q202" s="30">
        <f t="shared" si="23"/>
        <v>-2.7201661263763777E-3</v>
      </c>
    </row>
    <row r="203" spans="2:17" ht="13.95" customHeight="1" x14ac:dyDescent="0.3">
      <c r="B203" s="105">
        <v>43903</v>
      </c>
      <c r="C203" s="107">
        <f t="shared" si="16"/>
        <v>0</v>
      </c>
      <c r="D203" s="106">
        <v>4.5321119242224839</v>
      </c>
      <c r="E203" s="106">
        <v>2.6519133624946849</v>
      </c>
      <c r="F203" s="106">
        <v>1.229004853413425</v>
      </c>
      <c r="G203" s="106">
        <v>1.359877578873276</v>
      </c>
      <c r="H203" s="106">
        <v>2.2585932325736842</v>
      </c>
      <c r="I203" s="106">
        <v>1.2527700505778161</v>
      </c>
      <c r="J203" s="106">
        <v>1.9977906154620071</v>
      </c>
      <c r="K203" s="30">
        <f t="shared" si="17"/>
        <v>-0.13423667135046524</v>
      </c>
      <c r="L203" s="30">
        <f t="shared" si="18"/>
        <v>-0.14390389700871153</v>
      </c>
      <c r="M203" s="30">
        <f t="shared" si="19"/>
        <v>-0.15812592324840957</v>
      </c>
      <c r="N203" s="30">
        <f t="shared" si="20"/>
        <v>-0.19338561956875777</v>
      </c>
      <c r="O203" s="30">
        <f t="shared" si="21"/>
        <v>-0.15628908395566832</v>
      </c>
      <c r="P203" s="30">
        <f t="shared" si="22"/>
        <v>-0.14681840657684453</v>
      </c>
      <c r="Q203" s="30">
        <f t="shared" si="23"/>
        <v>-0.22899763642867599</v>
      </c>
    </row>
    <row r="204" spans="2:17" ht="13.95" customHeight="1" x14ac:dyDescent="0.3">
      <c r="B204" s="105">
        <v>43910</v>
      </c>
      <c r="C204" s="107">
        <f t="shared" si="16"/>
        <v>0</v>
      </c>
      <c r="D204" s="106">
        <v>3.5822045337360771</v>
      </c>
      <c r="E204" s="106">
        <v>2.3537677136081649</v>
      </c>
      <c r="F204" s="106">
        <v>0.94648614768032957</v>
      </c>
      <c r="G204" s="106">
        <v>1.0814992423443051</v>
      </c>
      <c r="H204" s="106">
        <v>1.832157622309452</v>
      </c>
      <c r="I204" s="106">
        <v>0.94448193593271546</v>
      </c>
      <c r="J204" s="106">
        <v>1.7631425991627829</v>
      </c>
      <c r="K204" s="30">
        <f t="shared" si="17"/>
        <v>-0.20959486578641151</v>
      </c>
      <c r="L204" s="30">
        <f t="shared" si="18"/>
        <v>-0.11242661736356685</v>
      </c>
      <c r="M204" s="30">
        <f t="shared" si="19"/>
        <v>-0.22987598864921566</v>
      </c>
      <c r="N204" s="30">
        <f t="shared" si="20"/>
        <v>-0.20470838026436233</v>
      </c>
      <c r="O204" s="30">
        <f t="shared" si="21"/>
        <v>-0.18880584786765942</v>
      </c>
      <c r="P204" s="30">
        <f t="shared" si="22"/>
        <v>-0.24608515705089584</v>
      </c>
      <c r="Q204" s="30">
        <f t="shared" si="23"/>
        <v>-0.11745375840849048</v>
      </c>
    </row>
    <row r="205" spans="2:17" ht="13.95" customHeight="1" x14ac:dyDescent="0.3">
      <c r="B205" s="105">
        <v>43917</v>
      </c>
      <c r="C205" s="107">
        <f t="shared" si="16"/>
        <v>0</v>
      </c>
      <c r="D205" s="106">
        <v>3.9049198462276888</v>
      </c>
      <c r="E205" s="106">
        <v>2.466528979201144</v>
      </c>
      <c r="F205" s="106">
        <v>1.0744359357447339</v>
      </c>
      <c r="G205" s="106">
        <v>1.214152820661681</v>
      </c>
      <c r="H205" s="106">
        <v>2.005969427265454</v>
      </c>
      <c r="I205" s="106">
        <v>1.079657346740289</v>
      </c>
      <c r="J205" s="106">
        <v>1.9185764695395799</v>
      </c>
      <c r="K205" s="30">
        <f t="shared" si="17"/>
        <v>9.0088466320775495E-2</v>
      </c>
      <c r="L205" s="30">
        <f t="shared" si="18"/>
        <v>4.7906709290409966E-2</v>
      </c>
      <c r="M205" s="30">
        <f t="shared" si="19"/>
        <v>0.13518400494078731</v>
      </c>
      <c r="N205" s="30">
        <f t="shared" si="20"/>
        <v>0.12265711627298992</v>
      </c>
      <c r="O205" s="30">
        <f t="shared" si="21"/>
        <v>9.4867277159762287E-2</v>
      </c>
      <c r="P205" s="30">
        <f t="shared" si="22"/>
        <v>0.14312122409634243</v>
      </c>
      <c r="Q205" s="30">
        <f t="shared" si="23"/>
        <v>8.815728827072955E-2</v>
      </c>
    </row>
    <row r="206" spans="2:17" ht="13.95" customHeight="1" x14ac:dyDescent="0.3">
      <c r="B206" s="105">
        <v>43924</v>
      </c>
      <c r="C206" s="107">
        <f t="shared" si="16"/>
        <v>0</v>
      </c>
      <c r="D206" s="106">
        <v>3.609502410219676</v>
      </c>
      <c r="E206" s="106">
        <v>2.29825006156041</v>
      </c>
      <c r="F206" s="106">
        <v>0.93477327452289816</v>
      </c>
      <c r="G206" s="106">
        <v>1.272295781265331</v>
      </c>
      <c r="H206" s="106">
        <v>1.8996402056360311</v>
      </c>
      <c r="I206" s="106">
        <v>0.92835730778728132</v>
      </c>
      <c r="J206" s="106">
        <v>1.790405064491412</v>
      </c>
      <c r="K206" s="30">
        <f t="shared" si="17"/>
        <v>-7.5652624801863189E-2</v>
      </c>
      <c r="L206" s="30">
        <f t="shared" si="18"/>
        <v>-6.8224991094666176E-2</v>
      </c>
      <c r="M206" s="30">
        <f t="shared" si="19"/>
        <v>-0.12998696020440725</v>
      </c>
      <c r="N206" s="30">
        <f t="shared" si="20"/>
        <v>4.7887679058360888E-2</v>
      </c>
      <c r="O206" s="30">
        <f t="shared" si="21"/>
        <v>-5.3006401884385324E-2</v>
      </c>
      <c r="P206" s="30">
        <f t="shared" si="22"/>
        <v>-0.14013709017014897</v>
      </c>
      <c r="Q206" s="30">
        <f t="shared" si="23"/>
        <v>-6.680547118297897E-2</v>
      </c>
    </row>
    <row r="207" spans="2:17" ht="13.95" customHeight="1" x14ac:dyDescent="0.3">
      <c r="B207" s="105">
        <v>43931</v>
      </c>
      <c r="C207" s="107">
        <f t="shared" si="16"/>
        <v>0</v>
      </c>
      <c r="D207" s="106">
        <v>4.1157987482826446</v>
      </c>
      <c r="E207" s="106">
        <v>2.522446443397615</v>
      </c>
      <c r="F207" s="106">
        <v>1.0875508988555671</v>
      </c>
      <c r="G207" s="106">
        <v>1.3747257962762069</v>
      </c>
      <c r="H207" s="106">
        <v>2.1221347140251021</v>
      </c>
      <c r="I207" s="106">
        <v>1.0808694016085629</v>
      </c>
      <c r="J207" s="106">
        <v>2.074362364004716</v>
      </c>
      <c r="K207" s="30">
        <f t="shared" si="17"/>
        <v>0.14026762709161211</v>
      </c>
      <c r="L207" s="30">
        <f t="shared" si="18"/>
        <v>9.7550908661777846E-2</v>
      </c>
      <c r="M207" s="30">
        <f t="shared" si="19"/>
        <v>0.16343816035032188</v>
      </c>
      <c r="N207" s="30">
        <f t="shared" si="20"/>
        <v>8.0508020634169286E-2</v>
      </c>
      <c r="O207" s="30">
        <f t="shared" si="21"/>
        <v>0.11712455218043583</v>
      </c>
      <c r="P207" s="30">
        <f t="shared" si="22"/>
        <v>0.16428167532260907</v>
      </c>
      <c r="Q207" s="30">
        <f t="shared" si="23"/>
        <v>0.15859947290417531</v>
      </c>
    </row>
    <row r="208" spans="2:17" ht="13.95" customHeight="1" x14ac:dyDescent="0.3">
      <c r="B208" s="105">
        <v>43938</v>
      </c>
      <c r="C208" s="107">
        <f t="shared" si="16"/>
        <v>0</v>
      </c>
      <c r="D208" s="106">
        <v>4.1201285063333994</v>
      </c>
      <c r="E208" s="106">
        <v>2.6018831846315629</v>
      </c>
      <c r="F208" s="106">
        <v>1.131914137406923</v>
      </c>
      <c r="G208" s="106">
        <v>1.3833666391148911</v>
      </c>
      <c r="H208" s="106">
        <v>2.1578711906726689</v>
      </c>
      <c r="I208" s="106">
        <v>1.132293386339118</v>
      </c>
      <c r="J208" s="106">
        <v>2.0778516003019978</v>
      </c>
      <c r="K208" s="30">
        <f t="shared" si="17"/>
        <v>1.0519848796206599E-3</v>
      </c>
      <c r="L208" s="30">
        <f t="shared" si="18"/>
        <v>3.149194364140806E-2</v>
      </c>
      <c r="M208" s="30">
        <f t="shared" si="19"/>
        <v>4.0791873371664344E-2</v>
      </c>
      <c r="N208" s="30">
        <f t="shared" si="20"/>
        <v>6.285502797787057E-3</v>
      </c>
      <c r="O208" s="30">
        <f t="shared" si="21"/>
        <v>1.683987185704372E-2</v>
      </c>
      <c r="P208" s="30">
        <f t="shared" si="22"/>
        <v>4.7576501521853887E-2</v>
      </c>
      <c r="Q208" s="30">
        <f t="shared" si="23"/>
        <v>1.6820765541396554E-3</v>
      </c>
    </row>
    <row r="209" spans="2:17" ht="13.95" customHeight="1" x14ac:dyDescent="0.3">
      <c r="B209" s="105">
        <v>43945</v>
      </c>
      <c r="C209" s="107">
        <f t="shared" si="16"/>
        <v>0</v>
      </c>
      <c r="D209" s="106">
        <v>3.671838386402317</v>
      </c>
      <c r="E209" s="106">
        <v>2.508198877657537</v>
      </c>
      <c r="F209" s="106">
        <v>1.126592797836566</v>
      </c>
      <c r="G209" s="106">
        <v>1.3680016967833899</v>
      </c>
      <c r="H209" s="106">
        <v>2.057880334238114</v>
      </c>
      <c r="I209" s="106">
        <v>1.1300506193147131</v>
      </c>
      <c r="J209" s="106">
        <v>2.034005416699018</v>
      </c>
      <c r="K209" s="30">
        <f t="shared" si="17"/>
        <v>-0.10880488781890607</v>
      </c>
      <c r="L209" s="30">
        <f t="shared" si="18"/>
        <v>-3.60063462984761E-2</v>
      </c>
      <c r="M209" s="30">
        <f t="shared" si="19"/>
        <v>-4.7011865957851118E-3</v>
      </c>
      <c r="N209" s="30">
        <f t="shared" si="20"/>
        <v>-1.1106919812185145E-2</v>
      </c>
      <c r="O209" s="30">
        <f t="shared" si="21"/>
        <v>-4.6337731773222757E-2</v>
      </c>
      <c r="P209" s="30">
        <f t="shared" si="22"/>
        <v>-1.9807295984092255E-3</v>
      </c>
      <c r="Q209" s="30">
        <f t="shared" si="23"/>
        <v>-2.1101691572491088E-2</v>
      </c>
    </row>
    <row r="210" spans="2:17" ht="13.95" customHeight="1" x14ac:dyDescent="0.3">
      <c r="B210" s="105">
        <v>43952</v>
      </c>
      <c r="C210" s="107">
        <f t="shared" si="16"/>
        <v>0</v>
      </c>
      <c r="D210" s="106">
        <v>3.9865167083198751</v>
      </c>
      <c r="E210" s="106">
        <v>2.618145319581286</v>
      </c>
      <c r="F210" s="106">
        <v>1.201031461786584</v>
      </c>
      <c r="G210" s="106">
        <v>1.471243076251969</v>
      </c>
      <c r="H210" s="106">
        <v>2.1993941657404381</v>
      </c>
      <c r="I210" s="106">
        <v>1.2106079017729681</v>
      </c>
      <c r="J210" s="106">
        <v>2.10323821639395</v>
      </c>
      <c r="K210" s="30">
        <f t="shared" si="17"/>
        <v>8.5700482647299125E-2</v>
      </c>
      <c r="L210" s="30">
        <f t="shared" si="18"/>
        <v>4.3834818244728124E-2</v>
      </c>
      <c r="M210" s="30">
        <f t="shared" si="19"/>
        <v>6.6074152163022148E-2</v>
      </c>
      <c r="N210" s="30">
        <f t="shared" si="20"/>
        <v>7.5468751033959114E-2</v>
      </c>
      <c r="O210" s="30">
        <f t="shared" si="21"/>
        <v>6.8766793261920478E-2</v>
      </c>
      <c r="P210" s="30">
        <f t="shared" si="22"/>
        <v>7.1286437157219273E-2</v>
      </c>
      <c r="Q210" s="30">
        <f t="shared" si="23"/>
        <v>3.4037667317174503E-2</v>
      </c>
    </row>
    <row r="211" spans="2:17" ht="13.95" customHeight="1" x14ac:dyDescent="0.3">
      <c r="B211" s="105">
        <v>43959</v>
      </c>
      <c r="C211" s="107">
        <f t="shared" si="16"/>
        <v>0</v>
      </c>
      <c r="D211" s="106">
        <v>3.803593480492494</v>
      </c>
      <c r="E211" s="106">
        <v>2.6029033070905001</v>
      </c>
      <c r="F211" s="106">
        <v>1.155727613683653</v>
      </c>
      <c r="G211" s="106">
        <v>1.570352568850893</v>
      </c>
      <c r="H211" s="106">
        <v>2.1928079605307631</v>
      </c>
      <c r="I211" s="106">
        <v>1.1686718938064169</v>
      </c>
      <c r="J211" s="106">
        <v>1.9798300368087749</v>
      </c>
      <c r="K211" s="30">
        <f t="shared" si="17"/>
        <v>-4.5885478780414934E-2</v>
      </c>
      <c r="L211" s="30">
        <f t="shared" si="18"/>
        <v>-5.8216831498197896E-3</v>
      </c>
      <c r="M211" s="30">
        <f t="shared" si="19"/>
        <v>-3.7720783796570734E-2</v>
      </c>
      <c r="N211" s="30">
        <f t="shared" si="20"/>
        <v>6.7364458122996185E-2</v>
      </c>
      <c r="O211" s="30">
        <f t="shared" si="21"/>
        <v>-2.9945542787496171E-3</v>
      </c>
      <c r="P211" s="30">
        <f t="shared" si="22"/>
        <v>-3.464045452300013E-2</v>
      </c>
      <c r="Q211" s="30">
        <f t="shared" si="23"/>
        <v>-5.8675321997886276E-2</v>
      </c>
    </row>
    <row r="212" spans="2:17" ht="13.95" customHeight="1" x14ac:dyDescent="0.3">
      <c r="B212" s="105">
        <v>43966</v>
      </c>
      <c r="C212" s="107">
        <f t="shared" si="16"/>
        <v>0</v>
      </c>
      <c r="D212" s="106">
        <v>3.7060201293664838</v>
      </c>
      <c r="E212" s="106">
        <v>2.5216731626328972</v>
      </c>
      <c r="F212" s="106">
        <v>1.118697563078574</v>
      </c>
      <c r="G212" s="106">
        <v>1.500519887071168</v>
      </c>
      <c r="H212" s="106">
        <v>2.1188419520399648</v>
      </c>
      <c r="I212" s="106">
        <v>1.1375450390595261</v>
      </c>
      <c r="J212" s="106">
        <v>1.841726216475887</v>
      </c>
      <c r="K212" s="30">
        <f t="shared" si="17"/>
        <v>-2.5652938892243626E-2</v>
      </c>
      <c r="L212" s="30">
        <f t="shared" si="18"/>
        <v>-3.1207515175967537E-2</v>
      </c>
      <c r="M212" s="30">
        <f t="shared" si="19"/>
        <v>-3.204046538877181E-2</v>
      </c>
      <c r="N212" s="30">
        <f t="shared" si="20"/>
        <v>-4.4469428818029844E-2</v>
      </c>
      <c r="O212" s="30">
        <f t="shared" si="21"/>
        <v>-3.3731183862035552E-2</v>
      </c>
      <c r="P212" s="30">
        <f t="shared" si="22"/>
        <v>-2.6634382936607803E-2</v>
      </c>
      <c r="Q212" s="30">
        <f t="shared" si="23"/>
        <v>-6.9755392011070394E-2</v>
      </c>
    </row>
    <row r="213" spans="2:17" ht="13.95" customHeight="1" x14ac:dyDescent="0.3">
      <c r="B213" s="105">
        <v>43973</v>
      </c>
      <c r="C213" s="107">
        <f t="shared" si="16"/>
        <v>0</v>
      </c>
      <c r="D213" s="106">
        <v>4.0284114294881883</v>
      </c>
      <c r="E213" s="106">
        <v>2.590031427497109</v>
      </c>
      <c r="F213" s="106">
        <v>1.2088980117521491</v>
      </c>
      <c r="G213" s="106">
        <v>1.57456116083619</v>
      </c>
      <c r="H213" s="106">
        <v>2.2449858192149841</v>
      </c>
      <c r="I213" s="106">
        <v>1.237898883664394</v>
      </c>
      <c r="J213" s="106">
        <v>1.8881858497340669</v>
      </c>
      <c r="K213" s="30">
        <f t="shared" si="17"/>
        <v>8.6991243670555773E-2</v>
      </c>
      <c r="L213" s="30">
        <f t="shared" si="18"/>
        <v>2.7108296934420517E-2</v>
      </c>
      <c r="M213" s="30">
        <f t="shared" si="19"/>
        <v>8.0629878575358527E-2</v>
      </c>
      <c r="N213" s="30">
        <f t="shared" si="20"/>
        <v>4.9343747059255261E-2</v>
      </c>
      <c r="O213" s="30">
        <f t="shared" si="21"/>
        <v>5.9534344717675269E-2</v>
      </c>
      <c r="P213" s="30">
        <f t="shared" si="22"/>
        <v>8.8219667054094231E-2</v>
      </c>
      <c r="Q213" s="30">
        <f t="shared" si="23"/>
        <v>2.5226134504986231E-2</v>
      </c>
    </row>
    <row r="214" spans="2:17" ht="13.95" customHeight="1" x14ac:dyDescent="0.3">
      <c r="B214" s="105">
        <v>43980</v>
      </c>
      <c r="C214" s="107">
        <f t="shared" si="16"/>
        <v>0</v>
      </c>
      <c r="D214" s="106">
        <v>4.1437295226717499</v>
      </c>
      <c r="E214" s="106">
        <v>2.801302478924669</v>
      </c>
      <c r="F214" s="106">
        <v>1.31967276127767</v>
      </c>
      <c r="G214" s="106">
        <v>1.676987571323967</v>
      </c>
      <c r="H214" s="106">
        <v>2.3877833446005341</v>
      </c>
      <c r="I214" s="106">
        <v>1.3467330320459181</v>
      </c>
      <c r="J214" s="106">
        <v>2.115547967943717</v>
      </c>
      <c r="K214" s="30">
        <f t="shared" si="17"/>
        <v>2.8626195512063912E-2</v>
      </c>
      <c r="L214" s="30">
        <f t="shared" si="18"/>
        <v>8.1570844733618975E-2</v>
      </c>
      <c r="M214" s="30">
        <f t="shared" si="19"/>
        <v>9.1632832917779794E-2</v>
      </c>
      <c r="N214" s="30">
        <f t="shared" si="20"/>
        <v>6.5050766547158023E-2</v>
      </c>
      <c r="O214" s="30">
        <f t="shared" si="21"/>
        <v>6.3607317321711543E-2</v>
      </c>
      <c r="P214" s="30">
        <f t="shared" si="22"/>
        <v>8.7918447797090016E-2</v>
      </c>
      <c r="Q214" s="30">
        <f t="shared" si="23"/>
        <v>0.12041299760914526</v>
      </c>
    </row>
    <row r="215" spans="2:17" ht="13.95" customHeight="1" x14ac:dyDescent="0.3">
      <c r="B215" s="105">
        <v>43987</v>
      </c>
      <c r="C215" s="107">
        <f t="shared" ref="C215:C278" si="24">IF(B215&gt;$C$17,1,0)</f>
        <v>0</v>
      </c>
      <c r="D215" s="106">
        <v>4.7693981711274906</v>
      </c>
      <c r="E215" s="106">
        <v>2.903345862988604</v>
      </c>
      <c r="F215" s="106">
        <v>1.434574348010808</v>
      </c>
      <c r="G215" s="106">
        <v>1.77094026092079</v>
      </c>
      <c r="H215" s="106">
        <v>2.5854473299208638</v>
      </c>
      <c r="I215" s="106">
        <v>1.4632256783959841</v>
      </c>
      <c r="J215" s="106">
        <v>2.308786838503774</v>
      </c>
      <c r="K215" s="30">
        <f t="shared" ref="K215:K278" si="25">D215/D214-1</f>
        <v>0.15099167188217644</v>
      </c>
      <c r="L215" s="30">
        <f t="shared" ref="L215:L278" si="26">E215/E214-1</f>
        <v>3.6427120895243803E-2</v>
      </c>
      <c r="M215" s="30">
        <f t="shared" ref="M215:M278" si="27">F215/F214-1</f>
        <v>8.706824154034476E-2</v>
      </c>
      <c r="N215" s="30">
        <f t="shared" ref="N215:N278" si="28">G215/G214-1</f>
        <v>5.6024678538701522E-2</v>
      </c>
      <c r="O215" s="30">
        <f t="shared" ref="O215:O278" si="29">H215/H214-1</f>
        <v>8.2781373681705572E-2</v>
      </c>
      <c r="P215" s="30">
        <f t="shared" ref="P215:P278" si="30">I215/I214-1</f>
        <v>8.6500177524489574E-2</v>
      </c>
      <c r="Q215" s="30">
        <f t="shared" ref="Q215:Q278" si="31">J215/J214-1</f>
        <v>9.1342230707197158E-2</v>
      </c>
    </row>
    <row r="216" spans="2:17" ht="13.95" customHeight="1" x14ac:dyDescent="0.3">
      <c r="B216" s="105">
        <v>43994</v>
      </c>
      <c r="C216" s="107">
        <f t="shared" si="24"/>
        <v>0</v>
      </c>
      <c r="D216" s="106">
        <v>4.6545665959912954</v>
      </c>
      <c r="E216" s="106">
        <v>2.8933611782446</v>
      </c>
      <c r="F216" s="106">
        <v>1.4380514471446799</v>
      </c>
      <c r="G216" s="106">
        <v>1.694941483145515</v>
      </c>
      <c r="H216" s="106">
        <v>2.5351181802386211</v>
      </c>
      <c r="I216" s="106">
        <v>1.4683853199689161</v>
      </c>
      <c r="J216" s="106">
        <v>2.2953177794398401</v>
      </c>
      <c r="K216" s="30">
        <f t="shared" si="25"/>
        <v>-2.4076743231745912E-2</v>
      </c>
      <c r="L216" s="30">
        <f t="shared" si="26"/>
        <v>-3.4390269761819248E-3</v>
      </c>
      <c r="M216" s="30">
        <f t="shared" si="27"/>
        <v>2.4237845453554119E-3</v>
      </c>
      <c r="N216" s="30">
        <f t="shared" si="28"/>
        <v>-4.2914365578746283E-2</v>
      </c>
      <c r="O216" s="30">
        <f t="shared" si="29"/>
        <v>-1.9466321784935792E-2</v>
      </c>
      <c r="P216" s="30">
        <f t="shared" si="30"/>
        <v>3.5262103782842669E-3</v>
      </c>
      <c r="Q216" s="30">
        <f t="shared" si="31"/>
        <v>-5.8338252970389082E-3</v>
      </c>
    </row>
    <row r="217" spans="2:17" ht="13.95" customHeight="1" x14ac:dyDescent="0.3">
      <c r="B217" s="105">
        <v>44001</v>
      </c>
      <c r="C217" s="107">
        <f t="shared" si="24"/>
        <v>0</v>
      </c>
      <c r="D217" s="106">
        <v>4.8627684357315388</v>
      </c>
      <c r="E217" s="106">
        <v>2.97987736209017</v>
      </c>
      <c r="F217" s="106">
        <v>1.503729796589486</v>
      </c>
      <c r="G217" s="106">
        <v>1.7674348053769109</v>
      </c>
      <c r="H217" s="106">
        <v>2.6383249872320489</v>
      </c>
      <c r="I217" s="106">
        <v>1.5374581766458779</v>
      </c>
      <c r="J217" s="106">
        <v>2.3764035529142862</v>
      </c>
      <c r="K217" s="30">
        <f t="shared" si="25"/>
        <v>4.4730660835222702E-2</v>
      </c>
      <c r="L217" s="30">
        <f t="shared" si="26"/>
        <v>2.990161909135014E-2</v>
      </c>
      <c r="M217" s="30">
        <f t="shared" si="27"/>
        <v>4.5671766177221018E-2</v>
      </c>
      <c r="N217" s="30">
        <f t="shared" si="28"/>
        <v>4.2770398242221841E-2</v>
      </c>
      <c r="O217" s="30">
        <f t="shared" si="29"/>
        <v>4.0710846459912631E-2</v>
      </c>
      <c r="P217" s="30">
        <f t="shared" si="30"/>
        <v>4.7040007644876258E-2</v>
      </c>
      <c r="Q217" s="30">
        <f t="shared" si="31"/>
        <v>3.532660017744238E-2</v>
      </c>
    </row>
    <row r="218" spans="2:17" ht="13.95" customHeight="1" x14ac:dyDescent="0.3">
      <c r="B218" s="105">
        <v>44008</v>
      </c>
      <c r="C218" s="107">
        <f t="shared" si="24"/>
        <v>0</v>
      </c>
      <c r="D218" s="106">
        <v>4.6603071959802298</v>
      </c>
      <c r="E218" s="106">
        <v>2.9130769776441481</v>
      </c>
      <c r="F218" s="106">
        <v>1.450813875245113</v>
      </c>
      <c r="G218" s="106">
        <v>1.741276097180076</v>
      </c>
      <c r="H218" s="106">
        <v>2.563560696542913</v>
      </c>
      <c r="I218" s="106">
        <v>1.4661589066322309</v>
      </c>
      <c r="J218" s="106">
        <v>2.496021816105376</v>
      </c>
      <c r="K218" s="30">
        <f t="shared" si="25"/>
        <v>-4.1634974485650456E-2</v>
      </c>
      <c r="L218" s="30">
        <f t="shared" si="26"/>
        <v>-2.2417158939442516E-2</v>
      </c>
      <c r="M218" s="30">
        <f t="shared" si="27"/>
        <v>-3.5189780414266125E-2</v>
      </c>
      <c r="N218" s="30">
        <f t="shared" si="28"/>
        <v>-1.4800380821546888E-2</v>
      </c>
      <c r="O218" s="30">
        <f t="shared" si="29"/>
        <v>-2.8337786683199195E-2</v>
      </c>
      <c r="P218" s="30">
        <f t="shared" si="30"/>
        <v>-4.6374770446890201E-2</v>
      </c>
      <c r="Q218" s="30">
        <f t="shared" si="31"/>
        <v>5.0335837549307039E-2</v>
      </c>
    </row>
    <row r="219" spans="2:17" ht="13.95" customHeight="1" x14ac:dyDescent="0.3">
      <c r="B219" s="105">
        <v>44015</v>
      </c>
      <c r="C219" s="107">
        <f t="shared" si="24"/>
        <v>0</v>
      </c>
      <c r="D219" s="106">
        <v>4.8216260095728707</v>
      </c>
      <c r="E219" s="106">
        <v>2.992497622787988</v>
      </c>
      <c r="F219" s="106">
        <v>1.520613647194532</v>
      </c>
      <c r="G219" s="106">
        <v>1.7752291529216591</v>
      </c>
      <c r="H219" s="106">
        <v>2.6434189486637369</v>
      </c>
      <c r="I219" s="106">
        <v>1.5309634769283189</v>
      </c>
      <c r="J219" s="106">
        <v>2.685286469095848</v>
      </c>
      <c r="K219" s="30">
        <f t="shared" si="25"/>
        <v>3.4615489238946973E-2</v>
      </c>
      <c r="L219" s="30">
        <f t="shared" si="26"/>
        <v>2.7263490032477078E-2</v>
      </c>
      <c r="M219" s="30">
        <f t="shared" si="27"/>
        <v>4.8110769506961359E-2</v>
      </c>
      <c r="N219" s="30">
        <f t="shared" si="28"/>
        <v>1.9498950107090129E-2</v>
      </c>
      <c r="O219" s="30">
        <f t="shared" si="29"/>
        <v>3.1151301480209392E-2</v>
      </c>
      <c r="P219" s="30">
        <f t="shared" si="30"/>
        <v>4.4200236415672167E-2</v>
      </c>
      <c r="Q219" s="30">
        <f t="shared" si="31"/>
        <v>7.5826521935528524E-2</v>
      </c>
    </row>
    <row r="220" spans="2:17" ht="13.95" customHeight="1" x14ac:dyDescent="0.3">
      <c r="B220" s="105">
        <v>44022</v>
      </c>
      <c r="C220" s="107">
        <f t="shared" si="24"/>
        <v>0</v>
      </c>
      <c r="D220" s="106">
        <v>4.9998435428954124</v>
      </c>
      <c r="E220" s="106">
        <v>3.0346156750362789</v>
      </c>
      <c r="F220" s="106">
        <v>1.629975553738328</v>
      </c>
      <c r="G220" s="106">
        <v>1.812553422680909</v>
      </c>
      <c r="H220" s="106">
        <v>2.7326764268089732</v>
      </c>
      <c r="I220" s="106">
        <v>1.6551515135896591</v>
      </c>
      <c r="J220" s="106">
        <v>2.709300285479213</v>
      </c>
      <c r="K220" s="30">
        <f t="shared" si="25"/>
        <v>3.6962122937097996E-2</v>
      </c>
      <c r="L220" s="30">
        <f t="shared" si="26"/>
        <v>1.4074548272840826E-2</v>
      </c>
      <c r="M220" s="30">
        <f t="shared" si="27"/>
        <v>7.1919587691169351E-2</v>
      </c>
      <c r="N220" s="30">
        <f t="shared" si="28"/>
        <v>2.1025043272763888E-2</v>
      </c>
      <c r="O220" s="30">
        <f t="shared" si="29"/>
        <v>3.3765922042117591E-2</v>
      </c>
      <c r="P220" s="30">
        <f t="shared" si="30"/>
        <v>8.1117569774105558E-2</v>
      </c>
      <c r="Q220" s="30">
        <f t="shared" si="31"/>
        <v>8.9427391303433801E-3</v>
      </c>
    </row>
    <row r="221" spans="2:17" ht="13.95" customHeight="1" x14ac:dyDescent="0.3">
      <c r="B221" s="105">
        <v>44029</v>
      </c>
      <c r="C221" s="107">
        <f t="shared" si="24"/>
        <v>0</v>
      </c>
      <c r="D221" s="106">
        <v>5.1209581203796093</v>
      </c>
      <c r="E221" s="106">
        <v>3.0848774520180982</v>
      </c>
      <c r="F221" s="106">
        <v>1.6645906845142351</v>
      </c>
      <c r="G221" s="106">
        <v>1.9008893881884079</v>
      </c>
      <c r="H221" s="106">
        <v>2.8104164619756502</v>
      </c>
      <c r="I221" s="106">
        <v>1.6817940546396399</v>
      </c>
      <c r="J221" s="106">
        <v>2.869001780793385</v>
      </c>
      <c r="K221" s="30">
        <f t="shared" si="25"/>
        <v>2.4223673490002762E-2</v>
      </c>
      <c r="L221" s="30">
        <f t="shared" si="26"/>
        <v>1.6562814657318459E-2</v>
      </c>
      <c r="M221" s="30">
        <f t="shared" si="27"/>
        <v>2.1236595049856755E-2</v>
      </c>
      <c r="N221" s="30">
        <f t="shared" si="28"/>
        <v>4.8735647955050698E-2</v>
      </c>
      <c r="O221" s="30">
        <f t="shared" si="29"/>
        <v>2.8448313310718731E-2</v>
      </c>
      <c r="P221" s="30">
        <f t="shared" si="30"/>
        <v>1.6096738474533412E-2</v>
      </c>
      <c r="Q221" s="30">
        <f t="shared" si="31"/>
        <v>5.8945660682246714E-2</v>
      </c>
    </row>
    <row r="222" spans="2:17" ht="13.95" customHeight="1" x14ac:dyDescent="0.3">
      <c r="B222" s="105">
        <v>44036</v>
      </c>
      <c r="C222" s="107">
        <f t="shared" si="24"/>
        <v>0</v>
      </c>
      <c r="D222" s="106">
        <v>5.1022310190947966</v>
      </c>
      <c r="E222" s="106">
        <v>3.1006608642376801</v>
      </c>
      <c r="F222" s="106">
        <v>1.6515003419004921</v>
      </c>
      <c r="G222" s="106">
        <v>1.877649093618595</v>
      </c>
      <c r="H222" s="106">
        <v>2.796943778116312</v>
      </c>
      <c r="I222" s="106">
        <v>1.6373427160390319</v>
      </c>
      <c r="J222" s="106">
        <v>3.2214357984636521</v>
      </c>
      <c r="K222" s="30">
        <f t="shared" si="25"/>
        <v>-3.6569526335873404E-3</v>
      </c>
      <c r="L222" s="30">
        <f t="shared" si="26"/>
        <v>5.1163822437279016E-3</v>
      </c>
      <c r="M222" s="30">
        <f t="shared" si="27"/>
        <v>-7.8640008835343389E-3</v>
      </c>
      <c r="N222" s="30">
        <f t="shared" si="28"/>
        <v>-1.2226011000020076E-2</v>
      </c>
      <c r="O222" s="30">
        <f t="shared" si="29"/>
        <v>-4.7938389351260824E-3</v>
      </c>
      <c r="P222" s="30">
        <f t="shared" si="30"/>
        <v>-2.6430904829267354E-2</v>
      </c>
      <c r="Q222" s="30">
        <f t="shared" si="31"/>
        <v>0.12284203517392256</v>
      </c>
    </row>
    <row r="223" spans="2:17" ht="13.95" customHeight="1" x14ac:dyDescent="0.3">
      <c r="B223" s="105">
        <v>44043</v>
      </c>
      <c r="C223" s="107">
        <f t="shared" si="24"/>
        <v>0</v>
      </c>
      <c r="D223" s="106">
        <v>5.0775931832493288</v>
      </c>
      <c r="E223" s="106">
        <v>3.1359602747976121</v>
      </c>
      <c r="F223" s="106">
        <v>1.6669593466651429</v>
      </c>
      <c r="G223" s="106">
        <v>1.8920793596838339</v>
      </c>
      <c r="H223" s="106">
        <v>2.811793693097179</v>
      </c>
      <c r="I223" s="106">
        <v>1.654003055837898</v>
      </c>
      <c r="J223" s="106">
        <v>3.2355717348363302</v>
      </c>
      <c r="K223" s="30">
        <f t="shared" si="25"/>
        <v>-4.8288358079557892E-3</v>
      </c>
      <c r="L223" s="30">
        <f t="shared" si="26"/>
        <v>1.1384479665953684E-2</v>
      </c>
      <c r="M223" s="30">
        <f t="shared" si="27"/>
        <v>9.3605822369138281E-3</v>
      </c>
      <c r="N223" s="30">
        <f t="shared" si="28"/>
        <v>7.6852837488547987E-3</v>
      </c>
      <c r="O223" s="30">
        <f t="shared" si="29"/>
        <v>5.3093362466041238E-3</v>
      </c>
      <c r="P223" s="30">
        <f t="shared" si="30"/>
        <v>1.0175230656151113E-2</v>
      </c>
      <c r="Q223" s="30">
        <f t="shared" si="31"/>
        <v>4.3880857037161825E-3</v>
      </c>
    </row>
    <row r="224" spans="2:17" ht="13.95" customHeight="1" x14ac:dyDescent="0.3">
      <c r="B224" s="105">
        <v>44050</v>
      </c>
      <c r="C224" s="107">
        <f t="shared" si="24"/>
        <v>0</v>
      </c>
      <c r="D224" s="106">
        <v>4.9601157960623103</v>
      </c>
      <c r="E224" s="106">
        <v>3.102108770588671</v>
      </c>
      <c r="F224" s="106">
        <v>1.692845982967264</v>
      </c>
      <c r="G224" s="106">
        <v>1.9247354461264441</v>
      </c>
      <c r="H224" s="106">
        <v>2.8080971228701128</v>
      </c>
      <c r="I224" s="106">
        <v>1.680351418804507</v>
      </c>
      <c r="J224" s="106">
        <v>3.2776886412163471</v>
      </c>
      <c r="K224" s="30">
        <f t="shared" si="25"/>
        <v>-2.3136431562609139E-2</v>
      </c>
      <c r="L224" s="30">
        <f t="shared" si="26"/>
        <v>-1.0794621501104884E-2</v>
      </c>
      <c r="M224" s="30">
        <f t="shared" si="27"/>
        <v>1.5529254719923946E-2</v>
      </c>
      <c r="N224" s="30">
        <f t="shared" si="28"/>
        <v>1.725936403009376E-2</v>
      </c>
      <c r="O224" s="30">
        <f t="shared" si="29"/>
        <v>-1.3146662346320559E-3</v>
      </c>
      <c r="P224" s="30">
        <f t="shared" si="30"/>
        <v>1.5930057005403286E-2</v>
      </c>
      <c r="Q224" s="30">
        <f t="shared" si="31"/>
        <v>1.3016835920081071E-2</v>
      </c>
    </row>
    <row r="225" spans="2:17" ht="13.95" customHeight="1" x14ac:dyDescent="0.3">
      <c r="B225" s="105">
        <v>44057</v>
      </c>
      <c r="C225" s="107">
        <f t="shared" si="24"/>
        <v>0</v>
      </c>
      <c r="D225" s="106">
        <v>4.8141504464354989</v>
      </c>
      <c r="E225" s="106">
        <v>3.0518460520176069</v>
      </c>
      <c r="F225" s="106">
        <v>1.649527285864036</v>
      </c>
      <c r="G225" s="106">
        <v>1.948606539872902</v>
      </c>
      <c r="H225" s="106">
        <v>2.7692162589038141</v>
      </c>
      <c r="I225" s="106">
        <v>1.627323411845973</v>
      </c>
      <c r="J225" s="106">
        <v>3.3167953418146858</v>
      </c>
      <c r="K225" s="30">
        <f t="shared" si="25"/>
        <v>-2.9427810887537986E-2</v>
      </c>
      <c r="L225" s="30">
        <f t="shared" si="26"/>
        <v>-1.6202758280950302E-2</v>
      </c>
      <c r="M225" s="30">
        <f t="shared" si="27"/>
        <v>-2.5589272467243518E-2</v>
      </c>
      <c r="N225" s="30">
        <f t="shared" si="28"/>
        <v>1.2402272631544697E-2</v>
      </c>
      <c r="O225" s="30">
        <f t="shared" si="29"/>
        <v>-1.384598262276604E-2</v>
      </c>
      <c r="P225" s="30">
        <f t="shared" si="30"/>
        <v>-3.1557688686489782E-2</v>
      </c>
      <c r="Q225" s="30">
        <f t="shared" si="31"/>
        <v>1.1931182268681395E-2</v>
      </c>
    </row>
    <row r="226" spans="2:17" ht="13.95" customHeight="1" x14ac:dyDescent="0.3">
      <c r="B226" s="105">
        <v>44064</v>
      </c>
      <c r="C226" s="107">
        <f t="shared" si="24"/>
        <v>0</v>
      </c>
      <c r="D226" s="106">
        <v>4.7627603185524539</v>
      </c>
      <c r="E226" s="106">
        <v>3.0250722509455539</v>
      </c>
      <c r="F226" s="106">
        <v>1.657914411003081</v>
      </c>
      <c r="G226" s="106">
        <v>1.987010549285714</v>
      </c>
      <c r="H226" s="106">
        <v>2.773857397106184</v>
      </c>
      <c r="I226" s="106">
        <v>1.644104423848729</v>
      </c>
      <c r="J226" s="106">
        <v>3.2293459475775572</v>
      </c>
      <c r="K226" s="30">
        <f t="shared" si="25"/>
        <v>-1.0674807207384895E-2</v>
      </c>
      <c r="L226" s="30">
        <f t="shared" si="26"/>
        <v>-8.7729854703361143E-3</v>
      </c>
      <c r="M226" s="30">
        <f t="shared" si="27"/>
        <v>5.0845628386508857E-3</v>
      </c>
      <c r="N226" s="30">
        <f t="shared" si="28"/>
        <v>1.9708447358139702E-2</v>
      </c>
      <c r="O226" s="30">
        <f t="shared" si="29"/>
        <v>1.6759753549211442E-3</v>
      </c>
      <c r="P226" s="30">
        <f t="shared" si="30"/>
        <v>1.0312032556405226E-2</v>
      </c>
      <c r="Q226" s="30">
        <f t="shared" si="31"/>
        <v>-2.6365628633958194E-2</v>
      </c>
    </row>
    <row r="227" spans="2:17" ht="13.95" customHeight="1" x14ac:dyDescent="0.3">
      <c r="B227" s="105">
        <v>44071</v>
      </c>
      <c r="C227" s="107">
        <f t="shared" si="24"/>
        <v>0</v>
      </c>
      <c r="D227" s="106">
        <v>4.8314915847134809</v>
      </c>
      <c r="E227" s="106">
        <v>3.046865980674915</v>
      </c>
      <c r="F227" s="106">
        <v>1.6854748149109</v>
      </c>
      <c r="G227" s="106">
        <v>1.96799041165385</v>
      </c>
      <c r="H227" s="106">
        <v>2.791040367817879</v>
      </c>
      <c r="I227" s="106">
        <v>1.6760514423550319</v>
      </c>
      <c r="J227" s="106">
        <v>3.2264234492489492</v>
      </c>
      <c r="K227" s="30">
        <f t="shared" si="25"/>
        <v>1.4430973125667768E-2</v>
      </c>
      <c r="L227" s="30">
        <f t="shared" si="26"/>
        <v>7.2043666800185591E-3</v>
      </c>
      <c r="M227" s="30">
        <f t="shared" si="27"/>
        <v>1.6623538419660688E-2</v>
      </c>
      <c r="N227" s="30">
        <f t="shared" si="28"/>
        <v>-9.5722378719635959E-3</v>
      </c>
      <c r="O227" s="30">
        <f t="shared" si="29"/>
        <v>6.194612141785294E-3</v>
      </c>
      <c r="P227" s="30">
        <f t="shared" si="30"/>
        <v>1.9431258770971072E-2</v>
      </c>
      <c r="Q227" s="30">
        <f t="shared" si="31"/>
        <v>-9.0498149657836091E-4</v>
      </c>
    </row>
    <row r="228" spans="2:17" ht="13.95" customHeight="1" x14ac:dyDescent="0.3">
      <c r="B228" s="105">
        <v>44078</v>
      </c>
      <c r="C228" s="107">
        <f t="shared" si="24"/>
        <v>0</v>
      </c>
      <c r="D228" s="106">
        <v>4.8240679909602271</v>
      </c>
      <c r="E228" s="106">
        <v>3.0265156398622302</v>
      </c>
      <c r="F228" s="106">
        <v>1.639688838566205</v>
      </c>
      <c r="G228" s="106">
        <v>1.95957337347924</v>
      </c>
      <c r="H228" s="106">
        <v>2.7664347865631922</v>
      </c>
      <c r="I228" s="106">
        <v>1.6333727671834211</v>
      </c>
      <c r="J228" s="106">
        <v>3.103812622190758</v>
      </c>
      <c r="K228" s="30">
        <f t="shared" si="25"/>
        <v>-1.5365014350312567E-3</v>
      </c>
      <c r="L228" s="30">
        <f t="shared" si="26"/>
        <v>-6.6791059868596125E-3</v>
      </c>
      <c r="M228" s="30">
        <f t="shared" si="27"/>
        <v>-2.7165031443745158E-2</v>
      </c>
      <c r="N228" s="30">
        <f t="shared" si="28"/>
        <v>-4.2769711299236457E-3</v>
      </c>
      <c r="O228" s="30">
        <f t="shared" si="29"/>
        <v>-8.8159173684485559E-3</v>
      </c>
      <c r="P228" s="30">
        <f t="shared" si="30"/>
        <v>-2.5463821749792337E-2</v>
      </c>
      <c r="Q228" s="30">
        <f t="shared" si="31"/>
        <v>-3.8002087756562997E-2</v>
      </c>
    </row>
    <row r="229" spans="2:17" ht="13.95" customHeight="1" x14ac:dyDescent="0.3">
      <c r="B229" s="105">
        <v>44085</v>
      </c>
      <c r="C229" s="107">
        <f t="shared" si="24"/>
        <v>0</v>
      </c>
      <c r="D229" s="106">
        <v>4.5615615190125389</v>
      </c>
      <c r="E229" s="106">
        <v>2.978195080566806</v>
      </c>
      <c r="F229" s="106">
        <v>1.588763537016185</v>
      </c>
      <c r="G229" s="106">
        <v>1.9395682981706239</v>
      </c>
      <c r="H229" s="106">
        <v>2.689159296225307</v>
      </c>
      <c r="I229" s="106">
        <v>1.5854128436279811</v>
      </c>
      <c r="J229" s="106">
        <v>2.9734602274557949</v>
      </c>
      <c r="K229" s="30">
        <f t="shared" si="25"/>
        <v>-5.441599754389792E-2</v>
      </c>
      <c r="L229" s="30">
        <f t="shared" si="26"/>
        <v>-1.5965739168499304E-2</v>
      </c>
      <c r="M229" s="30">
        <f t="shared" si="27"/>
        <v>-3.1057905836909039E-2</v>
      </c>
      <c r="N229" s="30">
        <f t="shared" si="28"/>
        <v>-1.020889321082008E-2</v>
      </c>
      <c r="O229" s="30">
        <f t="shared" si="29"/>
        <v>-2.7933241265335029E-2</v>
      </c>
      <c r="P229" s="30">
        <f t="shared" si="30"/>
        <v>-2.9362509599166309E-2</v>
      </c>
      <c r="Q229" s="30">
        <f t="shared" si="31"/>
        <v>-4.19975077757615E-2</v>
      </c>
    </row>
    <row r="230" spans="2:17" ht="13.95" customHeight="1" x14ac:dyDescent="0.3">
      <c r="B230" s="105">
        <v>44092</v>
      </c>
      <c r="C230" s="107">
        <f t="shared" si="24"/>
        <v>0</v>
      </c>
      <c r="D230" s="106">
        <v>4.4902167651525264</v>
      </c>
      <c r="E230" s="106">
        <v>3.001813407928168</v>
      </c>
      <c r="F230" s="106">
        <v>1.5842002423376611</v>
      </c>
      <c r="G230" s="106">
        <v>1.9562678356923131</v>
      </c>
      <c r="H230" s="106">
        <v>2.6882039769386932</v>
      </c>
      <c r="I230" s="106">
        <v>1.5809976452952801</v>
      </c>
      <c r="J230" s="106">
        <v>2.9632218981157021</v>
      </c>
      <c r="K230" s="30">
        <f t="shared" si="25"/>
        <v>-1.5640423473989862E-2</v>
      </c>
      <c r="L230" s="30">
        <f t="shared" si="26"/>
        <v>7.9304164846270009E-3</v>
      </c>
      <c r="M230" s="30">
        <f t="shared" si="27"/>
        <v>-2.8722302420749468E-3</v>
      </c>
      <c r="N230" s="30">
        <f t="shared" si="28"/>
        <v>8.6099249701285796E-3</v>
      </c>
      <c r="O230" s="30">
        <f t="shared" si="29"/>
        <v>-3.5524830676814112E-4</v>
      </c>
      <c r="P230" s="30">
        <f t="shared" si="30"/>
        <v>-2.7848887123921306E-3</v>
      </c>
      <c r="Q230" s="30">
        <f t="shared" si="31"/>
        <v>-3.4432373588036969E-3</v>
      </c>
    </row>
    <row r="231" spans="2:17" ht="13.95" customHeight="1" x14ac:dyDescent="0.3">
      <c r="B231" s="105">
        <v>44099</v>
      </c>
      <c r="C231" s="107">
        <f t="shared" si="24"/>
        <v>0</v>
      </c>
      <c r="D231" s="106">
        <v>4.5022494965026461</v>
      </c>
      <c r="E231" s="106">
        <v>2.946601425189145</v>
      </c>
      <c r="F231" s="106">
        <v>1.5958196529465289</v>
      </c>
      <c r="G231" s="106">
        <v>1.89379868985043</v>
      </c>
      <c r="H231" s="106">
        <v>2.6568027147859912</v>
      </c>
      <c r="I231" s="106">
        <v>1.588555595315972</v>
      </c>
      <c r="J231" s="106">
        <v>3.0344670506780491</v>
      </c>
      <c r="K231" s="30">
        <f t="shared" si="25"/>
        <v>2.6797662517104026E-3</v>
      </c>
      <c r="L231" s="30">
        <f t="shared" si="26"/>
        <v>-1.8392876317095852E-2</v>
      </c>
      <c r="M231" s="30">
        <f t="shared" si="27"/>
        <v>7.3345592926574721E-3</v>
      </c>
      <c r="N231" s="30">
        <f t="shared" si="28"/>
        <v>-3.1932818554866071E-2</v>
      </c>
      <c r="O231" s="30">
        <f t="shared" si="29"/>
        <v>-1.1681130755732849E-2</v>
      </c>
      <c r="P231" s="30">
        <f t="shared" si="30"/>
        <v>4.7804941665681167E-3</v>
      </c>
      <c r="Q231" s="30">
        <f t="shared" si="31"/>
        <v>2.404313784521217E-2</v>
      </c>
    </row>
    <row r="232" spans="2:17" ht="13.95" customHeight="1" x14ac:dyDescent="0.3">
      <c r="B232" s="105">
        <v>44106</v>
      </c>
      <c r="C232" s="107">
        <f t="shared" si="24"/>
        <v>0</v>
      </c>
      <c r="D232" s="106">
        <v>4.3996033066258811</v>
      </c>
      <c r="E232" s="106">
        <v>2.833560432322991</v>
      </c>
      <c r="F232" s="106">
        <v>1.5532067044212901</v>
      </c>
      <c r="G232" s="106">
        <v>1.8318429440873381</v>
      </c>
      <c r="H232" s="106">
        <v>2.5763894270595662</v>
      </c>
      <c r="I232" s="106">
        <v>1.528555227858458</v>
      </c>
      <c r="J232" s="106">
        <v>3.1730924626937052</v>
      </c>
      <c r="K232" s="30">
        <f t="shared" si="25"/>
        <v>-2.2798867534218337E-2</v>
      </c>
      <c r="L232" s="30">
        <f t="shared" si="26"/>
        <v>-3.8363177286150241E-2</v>
      </c>
      <c r="M232" s="30">
        <f t="shared" si="27"/>
        <v>-2.6702859841685855E-2</v>
      </c>
      <c r="N232" s="30">
        <f t="shared" si="28"/>
        <v>-3.2715064222578527E-2</v>
      </c>
      <c r="O232" s="30">
        <f t="shared" si="29"/>
        <v>-3.026693976142758E-2</v>
      </c>
      <c r="P232" s="30">
        <f t="shared" si="30"/>
        <v>-3.7770391942486325E-2</v>
      </c>
      <c r="Q232" s="30">
        <f t="shared" si="31"/>
        <v>4.5683610894598603E-2</v>
      </c>
    </row>
    <row r="233" spans="2:17" ht="13.95" customHeight="1" x14ac:dyDescent="0.3">
      <c r="B233" s="105">
        <v>44113</v>
      </c>
      <c r="C233" s="107">
        <f t="shared" si="24"/>
        <v>0</v>
      </c>
      <c r="D233" s="106">
        <v>4.5900041334639514</v>
      </c>
      <c r="E233" s="106">
        <v>2.8707228482293941</v>
      </c>
      <c r="F233" s="106">
        <v>1.6306693336394309</v>
      </c>
      <c r="G233" s="106">
        <v>1.90737974090381</v>
      </c>
      <c r="H233" s="106">
        <v>2.6714230244299411</v>
      </c>
      <c r="I233" s="106">
        <v>1.583992886179111</v>
      </c>
      <c r="J233" s="106">
        <v>3.604049567988524</v>
      </c>
      <c r="K233" s="30">
        <f t="shared" si="25"/>
        <v>4.3276816923772055E-2</v>
      </c>
      <c r="L233" s="30">
        <f t="shared" si="26"/>
        <v>1.3115095581687219E-2</v>
      </c>
      <c r="M233" s="30">
        <f t="shared" si="27"/>
        <v>4.9872711080656051E-2</v>
      </c>
      <c r="N233" s="30">
        <f t="shared" si="28"/>
        <v>4.1235411070737804E-2</v>
      </c>
      <c r="O233" s="30">
        <f t="shared" si="29"/>
        <v>3.6886348147623371E-2</v>
      </c>
      <c r="P233" s="30">
        <f t="shared" si="30"/>
        <v>3.6268011328790761E-2</v>
      </c>
      <c r="Q233" s="30">
        <f t="shared" si="31"/>
        <v>0.13581611956210393</v>
      </c>
    </row>
    <row r="234" spans="2:17" ht="13.95" customHeight="1" x14ac:dyDescent="0.3">
      <c r="B234" s="105">
        <v>44120</v>
      </c>
      <c r="C234" s="107">
        <f t="shared" si="24"/>
        <v>0</v>
      </c>
      <c r="D234" s="106">
        <v>4.4872603348906113</v>
      </c>
      <c r="E234" s="106">
        <v>2.9362236055280171</v>
      </c>
      <c r="F234" s="106">
        <v>1.6784345426693761</v>
      </c>
      <c r="G234" s="106">
        <v>1.92394018868946</v>
      </c>
      <c r="H234" s="106">
        <v>2.6940775231591769</v>
      </c>
      <c r="I234" s="106">
        <v>1.6224148254294291</v>
      </c>
      <c r="J234" s="106">
        <v>3.8142138997542552</v>
      </c>
      <c r="K234" s="30">
        <f t="shared" si="25"/>
        <v>-2.2384249683845558E-2</v>
      </c>
      <c r="L234" s="30">
        <f t="shared" si="26"/>
        <v>2.2816816795470984E-2</v>
      </c>
      <c r="M234" s="30">
        <f t="shared" si="27"/>
        <v>2.929178101567631E-2</v>
      </c>
      <c r="N234" s="30">
        <f t="shared" si="28"/>
        <v>8.6823024437718832E-3</v>
      </c>
      <c r="O234" s="30">
        <f t="shared" si="29"/>
        <v>8.4803112506190992E-3</v>
      </c>
      <c r="P234" s="30">
        <f t="shared" si="30"/>
        <v>2.4256383715837826E-2</v>
      </c>
      <c r="Q234" s="30">
        <f t="shared" si="31"/>
        <v>5.8313385485157854E-2</v>
      </c>
    </row>
    <row r="235" spans="2:17" ht="13.95" customHeight="1" x14ac:dyDescent="0.3">
      <c r="B235" s="105">
        <v>44127</v>
      </c>
      <c r="C235" s="107">
        <f t="shared" si="24"/>
        <v>0</v>
      </c>
      <c r="D235" s="106">
        <v>4.8397524929223579</v>
      </c>
      <c r="E235" s="106">
        <v>2.9498237206792428</v>
      </c>
      <c r="F235" s="106">
        <v>1.678751774443842</v>
      </c>
      <c r="G235" s="106">
        <v>1.9850389884826909</v>
      </c>
      <c r="H235" s="106">
        <v>2.774881493936264</v>
      </c>
      <c r="I235" s="106">
        <v>1.621808703772557</v>
      </c>
      <c r="J235" s="106">
        <v>3.826904534747321</v>
      </c>
      <c r="K235" s="30">
        <f t="shared" si="25"/>
        <v>7.8553979872963975E-2</v>
      </c>
      <c r="L235" s="30">
        <f t="shared" si="26"/>
        <v>4.6318390485047267E-3</v>
      </c>
      <c r="M235" s="30">
        <f t="shared" si="27"/>
        <v>1.8900455537651517E-4</v>
      </c>
      <c r="N235" s="30">
        <f t="shared" si="28"/>
        <v>3.1757120180981202E-2</v>
      </c>
      <c r="O235" s="30">
        <f t="shared" si="29"/>
        <v>2.999318693781805E-2</v>
      </c>
      <c r="P235" s="30">
        <f t="shared" si="30"/>
        <v>-3.7359228193167837E-4</v>
      </c>
      <c r="Q235" s="30">
        <f t="shared" si="31"/>
        <v>3.327195413420192E-3</v>
      </c>
    </row>
    <row r="236" spans="2:17" ht="13.95" customHeight="1" x14ac:dyDescent="0.3">
      <c r="B236" s="105">
        <v>44134</v>
      </c>
      <c r="C236" s="107">
        <f t="shared" si="24"/>
        <v>0</v>
      </c>
      <c r="D236" s="106">
        <v>4.4208179803263157</v>
      </c>
      <c r="E236" s="106">
        <v>2.7685231297093869</v>
      </c>
      <c r="F236" s="106">
        <v>1.5404353855155219</v>
      </c>
      <c r="G236" s="106">
        <v>1.8649636640278759</v>
      </c>
      <c r="H236" s="106">
        <v>2.5746642662293771</v>
      </c>
      <c r="I236" s="106">
        <v>1.4869769515695861</v>
      </c>
      <c r="J236" s="106">
        <v>3.5274254361635302</v>
      </c>
      <c r="K236" s="30">
        <f t="shared" si="25"/>
        <v>-8.6561144027239245E-2</v>
      </c>
      <c r="L236" s="30">
        <f t="shared" si="26"/>
        <v>-6.146150012249163E-2</v>
      </c>
      <c r="M236" s="30">
        <f t="shared" si="27"/>
        <v>-8.2392400731277404E-2</v>
      </c>
      <c r="N236" s="30">
        <f t="shared" si="28"/>
        <v>-6.049015921173273E-2</v>
      </c>
      <c r="O236" s="30">
        <f t="shared" si="29"/>
        <v>-7.2153433631096053E-2</v>
      </c>
      <c r="P236" s="30">
        <f t="shared" si="30"/>
        <v>-8.3136655938109816E-2</v>
      </c>
      <c r="Q236" s="30">
        <f t="shared" si="31"/>
        <v>-7.8256224022469456E-2</v>
      </c>
    </row>
    <row r="237" spans="2:17" ht="13.95" customHeight="1" x14ac:dyDescent="0.3">
      <c r="B237" s="105">
        <v>44141</v>
      </c>
      <c r="C237" s="107">
        <f t="shared" si="24"/>
        <v>0</v>
      </c>
      <c r="D237" s="106">
        <v>4.7450463485460963</v>
      </c>
      <c r="E237" s="106">
        <v>2.987640627059907</v>
      </c>
      <c r="F237" s="106">
        <v>1.704235273949726</v>
      </c>
      <c r="G237" s="106">
        <v>1.9555129680935059</v>
      </c>
      <c r="H237" s="106">
        <v>2.7657807150722271</v>
      </c>
      <c r="I237" s="106">
        <v>1.645175694312867</v>
      </c>
      <c r="J237" s="106">
        <v>3.9014178408595059</v>
      </c>
      <c r="K237" s="30">
        <f t="shared" si="25"/>
        <v>7.3341261653991019E-2</v>
      </c>
      <c r="L237" s="30">
        <f t="shared" si="26"/>
        <v>7.9145987620309777E-2</v>
      </c>
      <c r="M237" s="30">
        <f t="shared" si="27"/>
        <v>0.10633350153754528</v>
      </c>
      <c r="N237" s="30">
        <f t="shared" si="28"/>
        <v>4.8552851625036642E-2</v>
      </c>
      <c r="O237" s="30">
        <f t="shared" si="29"/>
        <v>7.4229658347937599E-2</v>
      </c>
      <c r="P237" s="30">
        <f t="shared" si="30"/>
        <v>0.10638950561829041</v>
      </c>
      <c r="Q237" s="30">
        <f t="shared" si="31"/>
        <v>0.10602418434186212</v>
      </c>
    </row>
    <row r="238" spans="2:17" ht="13.95" customHeight="1" x14ac:dyDescent="0.3">
      <c r="B238" s="105">
        <v>44148</v>
      </c>
      <c r="C238" s="107">
        <f t="shared" si="24"/>
        <v>0</v>
      </c>
      <c r="D238" s="106">
        <v>5.1031831607406692</v>
      </c>
      <c r="E238" s="106">
        <v>3.0838123530157069</v>
      </c>
      <c r="F238" s="106">
        <v>1.679458028329589</v>
      </c>
      <c r="G238" s="106">
        <v>2.0491085083688012</v>
      </c>
      <c r="H238" s="106">
        <v>2.8699086023311202</v>
      </c>
      <c r="I238" s="106">
        <v>1.6174116906451219</v>
      </c>
      <c r="J238" s="106">
        <v>3.895079093457229</v>
      </c>
      <c r="K238" s="30">
        <f t="shared" si="25"/>
        <v>7.5475935509946579E-2</v>
      </c>
      <c r="L238" s="30">
        <f t="shared" si="26"/>
        <v>3.2189857469718808E-2</v>
      </c>
      <c r="M238" s="30">
        <f t="shared" si="27"/>
        <v>-1.4538629729634267E-2</v>
      </c>
      <c r="N238" s="30">
        <f t="shared" si="28"/>
        <v>4.7862398154559171E-2</v>
      </c>
      <c r="O238" s="30">
        <f t="shared" si="29"/>
        <v>3.7648641734843391E-2</v>
      </c>
      <c r="P238" s="30">
        <f t="shared" si="30"/>
        <v>-1.6876011336492081E-2</v>
      </c>
      <c r="Q238" s="30">
        <f t="shared" si="31"/>
        <v>-1.6247291781699147E-3</v>
      </c>
    </row>
    <row r="239" spans="2:17" ht="13.95" customHeight="1" x14ac:dyDescent="0.3">
      <c r="B239" s="105">
        <v>44155</v>
      </c>
      <c r="C239" s="107">
        <f t="shared" si="24"/>
        <v>0</v>
      </c>
      <c r="D239" s="106">
        <v>5.1709901016938176</v>
      </c>
      <c r="E239" s="106">
        <v>3.0461533165775592</v>
      </c>
      <c r="F239" s="106">
        <v>1.666505849492522</v>
      </c>
      <c r="G239" s="106">
        <v>2.1435573867859179</v>
      </c>
      <c r="H239" s="106">
        <v>2.9062009778789148</v>
      </c>
      <c r="I239" s="106">
        <v>1.610417579295693</v>
      </c>
      <c r="J239" s="106">
        <v>3.793246537364944</v>
      </c>
      <c r="K239" s="30">
        <f t="shared" si="25"/>
        <v>1.3287185432573567E-2</v>
      </c>
      <c r="L239" s="30">
        <f t="shared" si="26"/>
        <v>-1.2211844343032241E-2</v>
      </c>
      <c r="M239" s="30">
        <f t="shared" si="27"/>
        <v>-7.712118206341545E-3</v>
      </c>
      <c r="N239" s="30">
        <f t="shared" si="28"/>
        <v>4.6092668119514624E-2</v>
      </c>
      <c r="O239" s="30">
        <f t="shared" si="29"/>
        <v>1.2645829737684133E-2</v>
      </c>
      <c r="P239" s="30">
        <f t="shared" si="30"/>
        <v>-4.3242616520468014E-3</v>
      </c>
      <c r="Q239" s="30">
        <f t="shared" si="31"/>
        <v>-2.6143899430267958E-2</v>
      </c>
    </row>
    <row r="240" spans="2:17" ht="13.95" customHeight="1" x14ac:dyDescent="0.3">
      <c r="B240" s="105">
        <v>44162</v>
      </c>
      <c r="C240" s="107">
        <f t="shared" si="24"/>
        <v>0</v>
      </c>
      <c r="D240" s="106">
        <v>5.2730909773300771</v>
      </c>
      <c r="E240" s="106">
        <v>3.0976634941748999</v>
      </c>
      <c r="F240" s="106">
        <v>1.6930060388122701</v>
      </c>
      <c r="G240" s="106">
        <v>2.3596558710228739</v>
      </c>
      <c r="H240" s="106">
        <v>3.0312818891407951</v>
      </c>
      <c r="I240" s="106">
        <v>1.6491830821544891</v>
      </c>
      <c r="J240" s="106">
        <v>3.6811794906655222</v>
      </c>
      <c r="K240" s="30">
        <f t="shared" si="25"/>
        <v>1.974493735789884E-2</v>
      </c>
      <c r="L240" s="30">
        <f t="shared" si="26"/>
        <v>1.690990972680706E-2</v>
      </c>
      <c r="M240" s="30">
        <f t="shared" si="27"/>
        <v>1.5901647946701125E-2</v>
      </c>
      <c r="N240" s="30">
        <f t="shared" si="28"/>
        <v>0.10081301558293121</v>
      </c>
      <c r="O240" s="30">
        <f t="shared" si="29"/>
        <v>4.3039319102139428E-2</v>
      </c>
      <c r="P240" s="30">
        <f t="shared" si="30"/>
        <v>2.4071708702875672E-2</v>
      </c>
      <c r="Q240" s="30">
        <f t="shared" si="31"/>
        <v>-2.9543834178853978E-2</v>
      </c>
    </row>
    <row r="241" spans="2:17" ht="13.95" customHeight="1" x14ac:dyDescent="0.3">
      <c r="B241" s="105">
        <v>44169</v>
      </c>
      <c r="C241" s="107">
        <f t="shared" si="24"/>
        <v>0</v>
      </c>
      <c r="D241" s="106">
        <v>5.469864111359179</v>
      </c>
      <c r="E241" s="106">
        <v>3.1269190625523482</v>
      </c>
      <c r="F241" s="106">
        <v>1.712068726566365</v>
      </c>
      <c r="G241" s="106">
        <v>2.466600707628416</v>
      </c>
      <c r="H241" s="106">
        <v>3.117785813072953</v>
      </c>
      <c r="I241" s="106">
        <v>1.6839124467078519</v>
      </c>
      <c r="J241" s="106">
        <v>3.5108955392985219</v>
      </c>
      <c r="K241" s="30">
        <f t="shared" si="25"/>
        <v>3.7316468628184829E-2</v>
      </c>
      <c r="L241" s="30">
        <f t="shared" si="26"/>
        <v>9.4443984740313347E-3</v>
      </c>
      <c r="M241" s="30">
        <f t="shared" si="27"/>
        <v>1.1259669083914403E-2</v>
      </c>
      <c r="N241" s="30">
        <f t="shared" si="28"/>
        <v>4.5322217497411277E-2</v>
      </c>
      <c r="O241" s="30">
        <f t="shared" si="29"/>
        <v>2.8537076753583301E-2</v>
      </c>
      <c r="P241" s="30">
        <f t="shared" si="30"/>
        <v>2.1058525841771703E-2</v>
      </c>
      <c r="Q241" s="30">
        <f t="shared" si="31"/>
        <v>-4.6257986549907315E-2</v>
      </c>
    </row>
    <row r="242" spans="2:17" ht="13.95" customHeight="1" x14ac:dyDescent="0.3">
      <c r="B242" s="105">
        <v>44176</v>
      </c>
      <c r="C242" s="107">
        <f t="shared" si="24"/>
        <v>0</v>
      </c>
      <c r="D242" s="106">
        <v>5.6325631138396357</v>
      </c>
      <c r="E242" s="106">
        <v>3.1967126675272319</v>
      </c>
      <c r="F242" s="106">
        <v>1.6651853776435059</v>
      </c>
      <c r="G242" s="106">
        <v>2.5030300562824248</v>
      </c>
      <c r="H242" s="106">
        <v>3.1557220481753299</v>
      </c>
      <c r="I242" s="106">
        <v>1.6342162845545889</v>
      </c>
      <c r="J242" s="106">
        <v>3.461709536979916</v>
      </c>
      <c r="K242" s="30">
        <f t="shared" si="25"/>
        <v>2.9744615070524727E-2</v>
      </c>
      <c r="L242" s="30">
        <f t="shared" si="26"/>
        <v>2.2320246728073201E-2</v>
      </c>
      <c r="M242" s="30">
        <f t="shared" si="27"/>
        <v>-2.7384034411332192E-2</v>
      </c>
      <c r="N242" s="30">
        <f t="shared" si="28"/>
        <v>1.476904978634952E-2</v>
      </c>
      <c r="O242" s="30">
        <f t="shared" si="29"/>
        <v>1.2167684817638635E-2</v>
      </c>
      <c r="P242" s="30">
        <f t="shared" si="30"/>
        <v>-2.9512319509498175E-2</v>
      </c>
      <c r="Q242" s="30">
        <f t="shared" si="31"/>
        <v>-1.400953169014918E-2</v>
      </c>
    </row>
    <row r="243" spans="2:17" ht="13.95" customHeight="1" x14ac:dyDescent="0.3">
      <c r="B243" s="105">
        <v>44183</v>
      </c>
      <c r="C243" s="107">
        <f t="shared" si="24"/>
        <v>0</v>
      </c>
      <c r="D243" s="106">
        <v>5.7432699448556992</v>
      </c>
      <c r="E243" s="106">
        <v>3.2487939591403152</v>
      </c>
      <c r="F243" s="106">
        <v>1.69652006348213</v>
      </c>
      <c r="G243" s="106">
        <v>2.6021716507278798</v>
      </c>
      <c r="H243" s="106">
        <v>3.2355522463797679</v>
      </c>
      <c r="I243" s="106">
        <v>1.6641871156864729</v>
      </c>
      <c r="J243" s="106">
        <v>3.537084460947443</v>
      </c>
      <c r="K243" s="30">
        <f t="shared" si="25"/>
        <v>1.9654787488141645E-2</v>
      </c>
      <c r="L243" s="30">
        <f t="shared" si="26"/>
        <v>1.6292140404777111E-2</v>
      </c>
      <c r="M243" s="30">
        <f t="shared" si="27"/>
        <v>1.8817536028912007E-2</v>
      </c>
      <c r="N243" s="30">
        <f t="shared" si="28"/>
        <v>3.9608631225428903E-2</v>
      </c>
      <c r="O243" s="30">
        <f t="shared" si="29"/>
        <v>2.5296967535717085E-2</v>
      </c>
      <c r="P243" s="30">
        <f t="shared" si="30"/>
        <v>1.8339574397309821E-2</v>
      </c>
      <c r="Q243" s="30">
        <f t="shared" si="31"/>
        <v>2.1773901929763362E-2</v>
      </c>
    </row>
    <row r="244" spans="2:17" ht="13.95" customHeight="1" x14ac:dyDescent="0.3">
      <c r="B244" s="105">
        <v>44190</v>
      </c>
      <c r="C244" s="107">
        <f t="shared" si="24"/>
        <v>0</v>
      </c>
      <c r="D244" s="106">
        <v>5.789279264015029</v>
      </c>
      <c r="E244" s="106">
        <v>3.245552096945969</v>
      </c>
      <c r="F244" s="106">
        <v>1.67615699547224</v>
      </c>
      <c r="G244" s="106">
        <v>2.5908289525529109</v>
      </c>
      <c r="H244" s="106">
        <v>3.2298000043946642</v>
      </c>
      <c r="I244" s="106">
        <v>1.6430583635846521</v>
      </c>
      <c r="J244" s="106">
        <v>3.5097463977101242</v>
      </c>
      <c r="K244" s="30">
        <f t="shared" si="25"/>
        <v>8.010997149897392E-3</v>
      </c>
      <c r="L244" s="30">
        <f t="shared" si="26"/>
        <v>-9.9786635752185937E-4</v>
      </c>
      <c r="M244" s="30">
        <f t="shared" si="27"/>
        <v>-1.2002845382267147E-2</v>
      </c>
      <c r="N244" s="30">
        <f t="shared" si="28"/>
        <v>-4.3589354191128082E-3</v>
      </c>
      <c r="O244" s="30">
        <f t="shared" si="29"/>
        <v>-1.7778238603749497E-3</v>
      </c>
      <c r="P244" s="30">
        <f t="shared" si="30"/>
        <v>-1.2696139696469988E-2</v>
      </c>
      <c r="Q244" s="30">
        <f t="shared" si="31"/>
        <v>-7.7289823127367763E-3</v>
      </c>
    </row>
    <row r="245" spans="2:17" ht="13.95" customHeight="1" x14ac:dyDescent="0.3">
      <c r="B245" s="105">
        <v>44197</v>
      </c>
      <c r="C245" s="107">
        <f t="shared" si="24"/>
        <v>0</v>
      </c>
      <c r="D245" s="106">
        <v>5.8155553418100601</v>
      </c>
      <c r="E245" s="106">
        <v>3.283792412518018</v>
      </c>
      <c r="F245" s="106">
        <v>1.705161985592146</v>
      </c>
      <c r="G245" s="106">
        <v>2.61805478946183</v>
      </c>
      <c r="H245" s="106">
        <v>3.2635353333328538</v>
      </c>
      <c r="I245" s="106">
        <v>1.664894412260455</v>
      </c>
      <c r="J245" s="106">
        <v>3.6569056298771718</v>
      </c>
      <c r="K245" s="30">
        <f t="shared" si="25"/>
        <v>4.5387476742326793E-3</v>
      </c>
      <c r="L245" s="30">
        <f t="shared" si="26"/>
        <v>1.178237613502886E-2</v>
      </c>
      <c r="M245" s="30">
        <f t="shared" si="27"/>
        <v>1.7304459068128164E-2</v>
      </c>
      <c r="N245" s="30">
        <f t="shared" si="28"/>
        <v>1.050854278978619E-2</v>
      </c>
      <c r="O245" s="30">
        <f t="shared" si="29"/>
        <v>1.0445021020585532E-2</v>
      </c>
      <c r="P245" s="30">
        <f t="shared" si="30"/>
        <v>1.3289880116104547E-2</v>
      </c>
      <c r="Q245" s="30">
        <f t="shared" si="31"/>
        <v>4.1928736578534354E-2</v>
      </c>
    </row>
    <row r="246" spans="2:17" ht="13.95" customHeight="1" x14ac:dyDescent="0.3">
      <c r="B246" s="105">
        <v>44204</v>
      </c>
      <c r="C246" s="107">
        <f t="shared" si="24"/>
        <v>0</v>
      </c>
      <c r="D246" s="106">
        <v>5.9521371232558273</v>
      </c>
      <c r="E246" s="106">
        <v>3.34965007164302</v>
      </c>
      <c r="F246" s="106">
        <v>1.712526074714205</v>
      </c>
      <c r="G246" s="106">
        <v>2.9513034015171971</v>
      </c>
      <c r="H246" s="106">
        <v>3.4380740723744032</v>
      </c>
      <c r="I246" s="106">
        <v>1.6278694113521051</v>
      </c>
      <c r="J246" s="106">
        <v>4.2574618698534268</v>
      </c>
      <c r="K246" s="30">
        <f t="shared" si="25"/>
        <v>2.3485595685734939E-2</v>
      </c>
      <c r="L246" s="30">
        <f t="shared" si="26"/>
        <v>2.005536612909764E-2</v>
      </c>
      <c r="M246" s="30">
        <f t="shared" si="27"/>
        <v>4.3187035509131277E-3</v>
      </c>
      <c r="N246" s="30">
        <f t="shared" si="28"/>
        <v>0.12728863177224414</v>
      </c>
      <c r="O246" s="30">
        <f t="shared" si="29"/>
        <v>5.3481492067469993E-2</v>
      </c>
      <c r="P246" s="30">
        <f t="shared" si="30"/>
        <v>-2.2238648070228351E-2</v>
      </c>
      <c r="Q246" s="30">
        <f t="shared" si="31"/>
        <v>0.16422524963993301</v>
      </c>
    </row>
    <row r="247" spans="2:17" ht="13.95" customHeight="1" x14ac:dyDescent="0.3">
      <c r="B247" s="105">
        <v>44211</v>
      </c>
      <c r="C247" s="107">
        <f t="shared" si="24"/>
        <v>0</v>
      </c>
      <c r="D247" s="106">
        <v>5.689907544861259</v>
      </c>
      <c r="E247" s="106">
        <v>3.3470654044144079</v>
      </c>
      <c r="F247" s="106">
        <v>1.715552168543641</v>
      </c>
      <c r="G247" s="106">
        <v>2.7177667654578901</v>
      </c>
      <c r="H247" s="106">
        <v>3.3033667829215139</v>
      </c>
      <c r="I247" s="106">
        <v>1.6405884950908041</v>
      </c>
      <c r="J247" s="106">
        <v>4.1348129650233849</v>
      </c>
      <c r="K247" s="30">
        <f t="shared" si="25"/>
        <v>-4.4056373864439502E-2</v>
      </c>
      <c r="L247" s="30">
        <f t="shared" si="26"/>
        <v>-7.716230571345184E-4</v>
      </c>
      <c r="M247" s="30">
        <f t="shared" si="27"/>
        <v>1.7670351851086785E-3</v>
      </c>
      <c r="N247" s="30">
        <f t="shared" si="28"/>
        <v>-7.9129999287518626E-2</v>
      </c>
      <c r="O247" s="30">
        <f t="shared" si="29"/>
        <v>-3.9181031768712793E-2</v>
      </c>
      <c r="P247" s="30">
        <f t="shared" si="30"/>
        <v>7.813331739021212E-3</v>
      </c>
      <c r="Q247" s="30">
        <f t="shared" si="31"/>
        <v>-2.8807986678284547E-2</v>
      </c>
    </row>
    <row r="248" spans="2:17" ht="13.95" customHeight="1" x14ac:dyDescent="0.3">
      <c r="B248" s="105">
        <v>44218</v>
      </c>
      <c r="C248" s="107">
        <f t="shared" si="24"/>
        <v>0</v>
      </c>
      <c r="D248" s="106">
        <v>5.3861747364892798</v>
      </c>
      <c r="E248" s="106">
        <v>3.2577418813901011</v>
      </c>
      <c r="F248" s="106">
        <v>1.722230720195028</v>
      </c>
      <c r="G248" s="106">
        <v>2.673344988602099</v>
      </c>
      <c r="H248" s="106">
        <v>3.222579922580938</v>
      </c>
      <c r="I248" s="106">
        <v>1.6420682514713349</v>
      </c>
      <c r="J248" s="106">
        <v>4.2158061109556941</v>
      </c>
      <c r="K248" s="30">
        <f t="shared" si="25"/>
        <v>-5.3380974291276528E-2</v>
      </c>
      <c r="L248" s="30">
        <f t="shared" si="26"/>
        <v>-2.6687116094743502E-2</v>
      </c>
      <c r="M248" s="30">
        <f t="shared" si="27"/>
        <v>3.8929458245833271E-3</v>
      </c>
      <c r="N248" s="30">
        <f t="shared" si="28"/>
        <v>-1.6344955505520287E-2</v>
      </c>
      <c r="O248" s="30">
        <f t="shared" si="29"/>
        <v>-2.4455915933479067E-2</v>
      </c>
      <c r="P248" s="30">
        <f t="shared" si="30"/>
        <v>9.0196681554144398E-4</v>
      </c>
      <c r="Q248" s="30">
        <f t="shared" si="31"/>
        <v>1.9588103891865272E-2</v>
      </c>
    </row>
    <row r="249" spans="2:17" ht="13.95" customHeight="1" x14ac:dyDescent="0.3">
      <c r="B249" s="105">
        <v>44225</v>
      </c>
      <c r="C249" s="107">
        <f t="shared" si="24"/>
        <v>0</v>
      </c>
      <c r="D249" s="106">
        <v>5.3390094781486814</v>
      </c>
      <c r="E249" s="106">
        <v>3.2312106796645712</v>
      </c>
      <c r="F249" s="106">
        <v>1.68755659949385</v>
      </c>
      <c r="G249" s="106">
        <v>2.5741025618658551</v>
      </c>
      <c r="H249" s="106">
        <v>3.1566999628406021</v>
      </c>
      <c r="I249" s="106">
        <v>1.618942896588961</v>
      </c>
      <c r="J249" s="106">
        <v>3.9995361181518652</v>
      </c>
      <c r="K249" s="30">
        <f t="shared" si="25"/>
        <v>-8.7567263685435215E-3</v>
      </c>
      <c r="L249" s="30">
        <f t="shared" si="26"/>
        <v>-8.1440466100429765E-3</v>
      </c>
      <c r="M249" s="30">
        <f t="shared" si="27"/>
        <v>-2.0133261063448815E-2</v>
      </c>
      <c r="N249" s="30">
        <f t="shared" si="28"/>
        <v>-3.7122940420846406E-2</v>
      </c>
      <c r="O249" s="30">
        <f t="shared" si="29"/>
        <v>-2.0443235334121068E-2</v>
      </c>
      <c r="P249" s="30">
        <f t="shared" si="30"/>
        <v>-1.4083065586130816E-2</v>
      </c>
      <c r="Q249" s="30">
        <f t="shared" si="31"/>
        <v>-5.1299795842556395E-2</v>
      </c>
    </row>
    <row r="250" spans="2:17" ht="13.95" customHeight="1" x14ac:dyDescent="0.3">
      <c r="B250" s="105">
        <v>44232</v>
      </c>
      <c r="C250" s="107">
        <f t="shared" si="24"/>
        <v>0</v>
      </c>
      <c r="D250" s="106">
        <v>5.5123505198005676</v>
      </c>
      <c r="E250" s="106">
        <v>3.377033033055068</v>
      </c>
      <c r="F250" s="106">
        <v>1.739247234199031</v>
      </c>
      <c r="G250" s="106">
        <v>2.7373513222969859</v>
      </c>
      <c r="H250" s="106">
        <v>3.2986267497691979</v>
      </c>
      <c r="I250" s="106">
        <v>1.6736293469605239</v>
      </c>
      <c r="J250" s="106">
        <v>4.059439405178332</v>
      </c>
      <c r="K250" s="30">
        <f t="shared" si="25"/>
        <v>3.246689153883886E-2</v>
      </c>
      <c r="L250" s="30">
        <f t="shared" si="26"/>
        <v>4.5129323912000308E-2</v>
      </c>
      <c r="M250" s="30">
        <f t="shared" si="27"/>
        <v>3.0630459873573823E-2</v>
      </c>
      <c r="N250" s="30">
        <f t="shared" si="28"/>
        <v>6.3419679871962398E-2</v>
      </c>
      <c r="O250" s="30">
        <f t="shared" si="29"/>
        <v>4.4960493109671651E-2</v>
      </c>
      <c r="P250" s="30">
        <f t="shared" si="30"/>
        <v>3.3779110113633326E-2</v>
      </c>
      <c r="Q250" s="30">
        <f t="shared" si="31"/>
        <v>1.4977558711020578E-2</v>
      </c>
    </row>
    <row r="251" spans="2:17" ht="13.95" customHeight="1" x14ac:dyDescent="0.3">
      <c r="B251" s="105">
        <v>44239</v>
      </c>
      <c r="C251" s="107">
        <f t="shared" si="24"/>
        <v>0</v>
      </c>
      <c r="D251" s="106">
        <v>5.3774400457993821</v>
      </c>
      <c r="E251" s="106">
        <v>3.382686156168432</v>
      </c>
      <c r="F251" s="106">
        <v>1.728594032660915</v>
      </c>
      <c r="G251" s="106">
        <v>2.7387141881599848</v>
      </c>
      <c r="H251" s="106">
        <v>3.276395020364145</v>
      </c>
      <c r="I251" s="106">
        <v>1.6515821111727871</v>
      </c>
      <c r="J251" s="106">
        <v>4.1794456719612496</v>
      </c>
      <c r="K251" s="30">
        <f t="shared" si="25"/>
        <v>-2.447421903171465E-2</v>
      </c>
      <c r="L251" s="30">
        <f t="shared" si="26"/>
        <v>1.6739910619856246E-3</v>
      </c>
      <c r="M251" s="30">
        <f t="shared" si="27"/>
        <v>-6.1251795194154912E-3</v>
      </c>
      <c r="N251" s="30">
        <f t="shared" si="28"/>
        <v>4.9787758403452287E-4</v>
      </c>
      <c r="O251" s="30">
        <f t="shared" si="29"/>
        <v>-6.7396923300304667E-3</v>
      </c>
      <c r="P251" s="30">
        <f t="shared" si="30"/>
        <v>-1.3173308551129748E-2</v>
      </c>
      <c r="Q251" s="30">
        <f t="shared" si="31"/>
        <v>2.9562275675265592E-2</v>
      </c>
    </row>
    <row r="252" spans="2:17" ht="13.95" customHeight="1" x14ac:dyDescent="0.3">
      <c r="B252" s="105">
        <v>44246</v>
      </c>
      <c r="C252" s="107">
        <f t="shared" si="24"/>
        <v>0</v>
      </c>
      <c r="D252" s="106">
        <v>5.2686119061862016</v>
      </c>
      <c r="E252" s="106">
        <v>3.315689652685438</v>
      </c>
      <c r="F252" s="106">
        <v>1.6951668561129369</v>
      </c>
      <c r="G252" s="106">
        <v>2.77944020328873</v>
      </c>
      <c r="H252" s="106">
        <v>3.2486582466534588</v>
      </c>
      <c r="I252" s="106">
        <v>1.6197489046924349</v>
      </c>
      <c r="J252" s="106">
        <v>4.097338222152147</v>
      </c>
      <c r="K252" s="30">
        <f t="shared" si="25"/>
        <v>-2.023790850038254E-2</v>
      </c>
      <c r="L252" s="30">
        <f t="shared" si="26"/>
        <v>-1.9805710725135928E-2</v>
      </c>
      <c r="M252" s="30">
        <f t="shared" si="27"/>
        <v>-1.9337783144213416E-2</v>
      </c>
      <c r="N252" s="30">
        <f t="shared" si="28"/>
        <v>1.4870487510092234E-2</v>
      </c>
      <c r="O252" s="30">
        <f t="shared" si="29"/>
        <v>-8.4656378544988309E-3</v>
      </c>
      <c r="P252" s="30">
        <f t="shared" si="30"/>
        <v>-1.9274371080313712E-2</v>
      </c>
      <c r="Q252" s="30">
        <f t="shared" si="31"/>
        <v>-1.9645535856570362E-2</v>
      </c>
    </row>
    <row r="253" spans="2:17" ht="13.95" customHeight="1" x14ac:dyDescent="0.3">
      <c r="B253" s="105">
        <v>44253</v>
      </c>
      <c r="C253" s="107">
        <f t="shared" si="24"/>
        <v>0</v>
      </c>
      <c r="D253" s="106">
        <v>4.9087101388064216</v>
      </c>
      <c r="E253" s="106">
        <v>3.1140994083107851</v>
      </c>
      <c r="F253" s="106">
        <v>1.579695693292168</v>
      </c>
      <c r="G253" s="106">
        <v>2.5540943734620019</v>
      </c>
      <c r="H253" s="106">
        <v>3.0186441771660859</v>
      </c>
      <c r="I253" s="106">
        <v>1.502822669636708</v>
      </c>
      <c r="J253" s="106">
        <v>3.8992000609175621</v>
      </c>
      <c r="K253" s="30">
        <f t="shared" si="25"/>
        <v>-6.8310548164915552E-2</v>
      </c>
      <c r="L253" s="30">
        <f t="shared" si="26"/>
        <v>-6.0798888162340914E-2</v>
      </c>
      <c r="M253" s="30">
        <f t="shared" si="27"/>
        <v>-6.8117874299139736E-2</v>
      </c>
      <c r="N253" s="30">
        <f t="shared" si="28"/>
        <v>-8.1075976939561811E-2</v>
      </c>
      <c r="O253" s="30">
        <f t="shared" si="29"/>
        <v>-7.0802790574944985E-2</v>
      </c>
      <c r="P253" s="30">
        <f t="shared" si="30"/>
        <v>-7.2187877217876228E-2</v>
      </c>
      <c r="Q253" s="30">
        <f t="shared" si="31"/>
        <v>-4.8357775338964348E-2</v>
      </c>
    </row>
    <row r="254" spans="2:17" ht="13.95" customHeight="1" x14ac:dyDescent="0.3">
      <c r="B254" s="105">
        <v>44260</v>
      </c>
      <c r="C254" s="107">
        <f t="shared" si="24"/>
        <v>0</v>
      </c>
      <c r="D254" s="106">
        <v>5.2102659058205667</v>
      </c>
      <c r="E254" s="106">
        <v>3.2291537286946479</v>
      </c>
      <c r="F254" s="106">
        <v>1.59726809661178</v>
      </c>
      <c r="G254" s="106">
        <v>2.7200643302078849</v>
      </c>
      <c r="H254" s="106">
        <v>3.161573889452197</v>
      </c>
      <c r="I254" s="106">
        <v>1.537400453719961</v>
      </c>
      <c r="J254" s="106">
        <v>3.7223191402385329</v>
      </c>
      <c r="K254" s="30">
        <f t="shared" si="25"/>
        <v>6.1432791606527815E-2</v>
      </c>
      <c r="L254" s="30">
        <f t="shared" si="26"/>
        <v>3.6946258066396398E-2</v>
      </c>
      <c r="M254" s="30">
        <f t="shared" si="27"/>
        <v>1.1123916710179982E-2</v>
      </c>
      <c r="N254" s="30">
        <f t="shared" si="28"/>
        <v>6.4981920194638443E-2</v>
      </c>
      <c r="O254" s="30">
        <f t="shared" si="29"/>
        <v>4.7348976526373487E-2</v>
      </c>
      <c r="P254" s="30">
        <f t="shared" si="30"/>
        <v>2.3008559014891627E-2</v>
      </c>
      <c r="Q254" s="30">
        <f t="shared" si="31"/>
        <v>-4.5363386826939411E-2</v>
      </c>
    </row>
    <row r="255" spans="2:17" ht="13.95" customHeight="1" x14ac:dyDescent="0.3">
      <c r="B255" s="105">
        <v>44267</v>
      </c>
      <c r="C255" s="107">
        <f t="shared" si="24"/>
        <v>0</v>
      </c>
      <c r="D255" s="106">
        <v>5.1303594951899099</v>
      </c>
      <c r="E255" s="106">
        <v>3.2076937214499939</v>
      </c>
      <c r="F255" s="106">
        <v>1.583970540245041</v>
      </c>
      <c r="G255" s="106">
        <v>2.702018824269071</v>
      </c>
      <c r="H255" s="106">
        <v>3.1328210690302569</v>
      </c>
      <c r="I255" s="106">
        <v>1.5232228006013151</v>
      </c>
      <c r="J255" s="106">
        <v>3.7083298333916082</v>
      </c>
      <c r="K255" s="30">
        <f t="shared" si="25"/>
        <v>-1.5336340231962176E-2</v>
      </c>
      <c r="L255" s="30">
        <f t="shared" si="26"/>
        <v>-6.6457062895327601E-3</v>
      </c>
      <c r="M255" s="30">
        <f t="shared" si="27"/>
        <v>-8.3251874841465678E-3</v>
      </c>
      <c r="N255" s="30">
        <f t="shared" si="28"/>
        <v>-6.6342202786926485E-3</v>
      </c>
      <c r="O255" s="30">
        <f t="shared" si="29"/>
        <v>-9.0944641584581598E-3</v>
      </c>
      <c r="P255" s="30">
        <f t="shared" si="30"/>
        <v>-9.2218348734977029E-3</v>
      </c>
      <c r="Q255" s="30">
        <f t="shared" si="31"/>
        <v>-3.758223387054449E-3</v>
      </c>
    </row>
    <row r="256" spans="2:17" ht="13.95" customHeight="1" x14ac:dyDescent="0.3">
      <c r="B256" s="105">
        <v>44274</v>
      </c>
      <c r="C256" s="107">
        <f t="shared" si="24"/>
        <v>0</v>
      </c>
      <c r="D256" s="106">
        <v>5.2966132549320522</v>
      </c>
      <c r="E256" s="106">
        <v>3.3417074472568649</v>
      </c>
      <c r="F256" s="106">
        <v>1.5783489572278171</v>
      </c>
      <c r="G256" s="106">
        <v>2.707724605120633</v>
      </c>
      <c r="H256" s="106">
        <v>3.188448645807378</v>
      </c>
      <c r="I256" s="106">
        <v>1.513549748461922</v>
      </c>
      <c r="J256" s="106">
        <v>3.7477901342339921</v>
      </c>
      <c r="K256" s="30">
        <f t="shared" si="25"/>
        <v>3.2405869393366649E-2</v>
      </c>
      <c r="L256" s="30">
        <f t="shared" si="26"/>
        <v>4.1778840950654095E-2</v>
      </c>
      <c r="M256" s="30">
        <f t="shared" si="27"/>
        <v>-3.5490451838544601E-3</v>
      </c>
      <c r="N256" s="30">
        <f t="shared" si="28"/>
        <v>2.111673242360057E-3</v>
      </c>
      <c r="O256" s="30">
        <f t="shared" si="29"/>
        <v>1.7756384916786994E-2</v>
      </c>
      <c r="P256" s="30">
        <f t="shared" si="30"/>
        <v>-6.3503856005664439E-3</v>
      </c>
      <c r="Q256" s="30">
        <f t="shared" si="31"/>
        <v>1.0640990045454934E-2</v>
      </c>
    </row>
    <row r="257" spans="2:17" ht="13.95" customHeight="1" x14ac:dyDescent="0.3">
      <c r="B257" s="105">
        <v>44281</v>
      </c>
      <c r="C257" s="107">
        <f t="shared" si="24"/>
        <v>0</v>
      </c>
      <c r="D257" s="106">
        <v>5.2596156471845932</v>
      </c>
      <c r="E257" s="106">
        <v>3.305310739333907</v>
      </c>
      <c r="F257" s="106">
        <v>1.5172174964710721</v>
      </c>
      <c r="G257" s="106">
        <v>2.7000203276535779</v>
      </c>
      <c r="H257" s="106">
        <v>3.1495031275042811</v>
      </c>
      <c r="I257" s="106">
        <v>1.4449515746313171</v>
      </c>
      <c r="J257" s="106">
        <v>3.7256629877236538</v>
      </c>
      <c r="K257" s="30">
        <f t="shared" si="25"/>
        <v>-6.9851442736559299E-3</v>
      </c>
      <c r="L257" s="30">
        <f t="shared" si="26"/>
        <v>-1.0891650001509046E-2</v>
      </c>
      <c r="M257" s="30">
        <f t="shared" si="27"/>
        <v>-3.8731270722359934E-2</v>
      </c>
      <c r="N257" s="30">
        <f t="shared" si="28"/>
        <v>-2.8452958075888546E-3</v>
      </c>
      <c r="O257" s="30">
        <f t="shared" si="29"/>
        <v>-1.2214566590027398E-2</v>
      </c>
      <c r="P257" s="30">
        <f t="shared" si="30"/>
        <v>-4.5322708355186037E-2</v>
      </c>
      <c r="Q257" s="30">
        <f t="shared" si="31"/>
        <v>-5.9040516458536141E-3</v>
      </c>
    </row>
    <row r="258" spans="2:17" ht="13.95" customHeight="1" x14ac:dyDescent="0.3">
      <c r="B258" s="105">
        <v>44288</v>
      </c>
      <c r="C258" s="107">
        <f t="shared" si="24"/>
        <v>0</v>
      </c>
      <c r="D258" s="106">
        <v>5.1484768386961131</v>
      </c>
      <c r="E258" s="106">
        <v>3.3087040643573551</v>
      </c>
      <c r="F258" s="106">
        <v>1.5616100775239929</v>
      </c>
      <c r="G258" s="106">
        <v>2.7335725692587691</v>
      </c>
      <c r="H258" s="106">
        <v>3.162834767780291</v>
      </c>
      <c r="I258" s="106">
        <v>1.4853372125038551</v>
      </c>
      <c r="J258" s="106">
        <v>3.858006579950326</v>
      </c>
      <c r="K258" s="30">
        <f t="shared" si="25"/>
        <v>-2.1130595074560499E-2</v>
      </c>
      <c r="L258" s="30">
        <f t="shared" si="26"/>
        <v>1.0266281421189571E-3</v>
      </c>
      <c r="M258" s="30">
        <f t="shared" si="27"/>
        <v>2.9259207171137058E-2</v>
      </c>
      <c r="N258" s="30">
        <f t="shared" si="28"/>
        <v>1.2426662592703197E-2</v>
      </c>
      <c r="O258" s="30">
        <f t="shared" si="29"/>
        <v>4.2329344459404172E-3</v>
      </c>
      <c r="P258" s="30">
        <f t="shared" si="30"/>
        <v>2.7949474973126609E-2</v>
      </c>
      <c r="Q258" s="30">
        <f t="shared" si="31"/>
        <v>3.5522158784289992E-2</v>
      </c>
    </row>
    <row r="259" spans="2:17" ht="13.95" customHeight="1" x14ac:dyDescent="0.3">
      <c r="B259" s="105">
        <v>44295</v>
      </c>
      <c r="C259" s="107">
        <f t="shared" si="24"/>
        <v>0</v>
      </c>
      <c r="D259" s="106">
        <v>5.1243344429877906</v>
      </c>
      <c r="E259" s="106">
        <v>3.3716297296883631</v>
      </c>
      <c r="F259" s="106">
        <v>1.6073282914310529</v>
      </c>
      <c r="G259" s="106">
        <v>2.833480155939875</v>
      </c>
      <c r="H259" s="106">
        <v>3.229165275694756</v>
      </c>
      <c r="I259" s="106">
        <v>1.529191311292909</v>
      </c>
      <c r="J259" s="106">
        <v>3.9664076205322578</v>
      </c>
      <c r="K259" s="30">
        <f t="shared" si="25"/>
        <v>-4.6892307112790244E-3</v>
      </c>
      <c r="L259" s="30">
        <f t="shared" si="26"/>
        <v>1.9018221063910712E-2</v>
      </c>
      <c r="M259" s="30">
        <f t="shared" si="27"/>
        <v>2.9276331246240739E-2</v>
      </c>
      <c r="N259" s="30">
        <f t="shared" si="28"/>
        <v>3.6548357195505865E-2</v>
      </c>
      <c r="O259" s="30">
        <f t="shared" si="29"/>
        <v>2.0971853664368378E-2</v>
      </c>
      <c r="P259" s="30">
        <f t="shared" si="30"/>
        <v>2.9524675218449703E-2</v>
      </c>
      <c r="Q259" s="30">
        <f t="shared" si="31"/>
        <v>2.809768162275339E-2</v>
      </c>
    </row>
    <row r="260" spans="2:17" ht="13.95" customHeight="1" x14ac:dyDescent="0.3">
      <c r="B260" s="105">
        <v>44302</v>
      </c>
      <c r="C260" s="107">
        <f t="shared" si="24"/>
        <v>0</v>
      </c>
      <c r="D260" s="106">
        <v>5.2675979665768491</v>
      </c>
      <c r="E260" s="106">
        <v>3.4309804163294628</v>
      </c>
      <c r="F260" s="106">
        <v>1.6538653419421969</v>
      </c>
      <c r="G260" s="106">
        <v>2.941670605235585</v>
      </c>
      <c r="H260" s="106">
        <v>3.3233313566905829</v>
      </c>
      <c r="I260" s="106">
        <v>1.577883774474689</v>
      </c>
      <c r="J260" s="106">
        <v>4.0267885604500977</v>
      </c>
      <c r="K260" s="30">
        <f t="shared" si="25"/>
        <v>2.7957488954512444E-2</v>
      </c>
      <c r="L260" s="30">
        <f t="shared" si="26"/>
        <v>1.7602966932725783E-2</v>
      </c>
      <c r="M260" s="30">
        <f t="shared" si="27"/>
        <v>2.8953046343575872E-2</v>
      </c>
      <c r="N260" s="30">
        <f t="shared" si="28"/>
        <v>3.8182885829960211E-2</v>
      </c>
      <c r="O260" s="30">
        <f t="shared" si="29"/>
        <v>2.9161121514775123E-2</v>
      </c>
      <c r="P260" s="30">
        <f t="shared" si="30"/>
        <v>3.1841969557498517E-2</v>
      </c>
      <c r="Q260" s="30">
        <f t="shared" si="31"/>
        <v>1.5223079848192045E-2</v>
      </c>
    </row>
    <row r="261" spans="2:17" ht="13.95" customHeight="1" x14ac:dyDescent="0.3">
      <c r="B261" s="105">
        <v>44309</v>
      </c>
      <c r="C261" s="107">
        <f t="shared" si="24"/>
        <v>0</v>
      </c>
      <c r="D261" s="106">
        <v>5.2010239058556076</v>
      </c>
      <c r="E261" s="106">
        <v>3.437227396194285</v>
      </c>
      <c r="F261" s="106">
        <v>1.6112320533776141</v>
      </c>
      <c r="G261" s="106">
        <v>2.9635897656031638</v>
      </c>
      <c r="H261" s="106">
        <v>3.3077951764825282</v>
      </c>
      <c r="I261" s="106">
        <v>1.536317958524317</v>
      </c>
      <c r="J261" s="106">
        <v>3.9339719747797952</v>
      </c>
      <c r="K261" s="30">
        <f t="shared" si="25"/>
        <v>-1.2638409602186207E-2</v>
      </c>
      <c r="L261" s="30">
        <f t="shared" si="26"/>
        <v>1.8207564913779173E-3</v>
      </c>
      <c r="M261" s="30">
        <f t="shared" si="27"/>
        <v>-2.5777968425480746E-2</v>
      </c>
      <c r="N261" s="30">
        <f t="shared" si="28"/>
        <v>7.4512626697791351E-3</v>
      </c>
      <c r="O261" s="30">
        <f t="shared" si="29"/>
        <v>-4.6748814790246174E-3</v>
      </c>
      <c r="P261" s="30">
        <f t="shared" si="30"/>
        <v>-2.634276150295678E-2</v>
      </c>
      <c r="Q261" s="30">
        <f t="shared" si="31"/>
        <v>-2.3049778819260291E-2</v>
      </c>
    </row>
    <row r="262" spans="2:17" ht="13.95" customHeight="1" x14ac:dyDescent="0.3">
      <c r="B262" s="105">
        <v>44316</v>
      </c>
      <c r="C262" s="107">
        <f t="shared" si="24"/>
        <v>0</v>
      </c>
      <c r="D262" s="106">
        <v>5.1710980420220016</v>
      </c>
      <c r="E262" s="106">
        <v>3.3470614670542331</v>
      </c>
      <c r="F262" s="106">
        <v>1.5608008990967901</v>
      </c>
      <c r="G262" s="106">
        <v>2.960484546269238</v>
      </c>
      <c r="H262" s="106">
        <v>3.2631216649933141</v>
      </c>
      <c r="I262" s="106">
        <v>1.4969043755440481</v>
      </c>
      <c r="J262" s="106">
        <v>3.7039274452179751</v>
      </c>
      <c r="K262" s="30">
        <f t="shared" si="25"/>
        <v>-5.7538408542813224E-3</v>
      </c>
      <c r="L262" s="30">
        <f t="shared" si="26"/>
        <v>-2.6232168764825925E-2</v>
      </c>
      <c r="M262" s="30">
        <f t="shared" si="27"/>
        <v>-3.1299746163257813E-2</v>
      </c>
      <c r="N262" s="30">
        <f t="shared" si="28"/>
        <v>-1.0477898695583354E-3</v>
      </c>
      <c r="O262" s="30">
        <f t="shared" si="29"/>
        <v>-1.3505525313909916E-2</v>
      </c>
      <c r="P262" s="30">
        <f t="shared" si="30"/>
        <v>-2.5654574146960374E-2</v>
      </c>
      <c r="Q262" s="30">
        <f t="shared" si="31"/>
        <v>-5.847640273916721E-2</v>
      </c>
    </row>
    <row r="263" spans="2:17" ht="13.95" customHeight="1" x14ac:dyDescent="0.3">
      <c r="B263" s="105">
        <v>44323</v>
      </c>
      <c r="C263" s="107">
        <f t="shared" si="24"/>
        <v>0</v>
      </c>
      <c r="D263" s="106">
        <v>5.2435017653252798</v>
      </c>
      <c r="E263" s="106">
        <v>3.4526513127624838</v>
      </c>
      <c r="F263" s="106">
        <v>1.580862778269257</v>
      </c>
      <c r="G263" s="106">
        <v>3.0761782853649229</v>
      </c>
      <c r="H263" s="106">
        <v>3.3494552544655258</v>
      </c>
      <c r="I263" s="106">
        <v>1.525300582710212</v>
      </c>
      <c r="J263" s="106">
        <v>3.6345143741034982</v>
      </c>
      <c r="K263" s="30">
        <f t="shared" si="25"/>
        <v>1.4001614882352298E-2</v>
      </c>
      <c r="L263" s="30">
        <f t="shared" si="26"/>
        <v>3.1547029162025231E-2</v>
      </c>
      <c r="M263" s="30">
        <f t="shared" si="27"/>
        <v>1.2853579969153373E-2</v>
      </c>
      <c r="N263" s="30">
        <f t="shared" si="28"/>
        <v>3.907932545754389E-2</v>
      </c>
      <c r="O263" s="30">
        <f t="shared" si="29"/>
        <v>2.6457361488661624E-2</v>
      </c>
      <c r="P263" s="30">
        <f t="shared" si="30"/>
        <v>1.8969954013156931E-2</v>
      </c>
      <c r="Q263" s="30">
        <f t="shared" si="31"/>
        <v>-1.874039708960662E-2</v>
      </c>
    </row>
    <row r="264" spans="2:17" ht="13.95" customHeight="1" x14ac:dyDescent="0.3">
      <c r="B264" s="105">
        <v>44330</v>
      </c>
      <c r="C264" s="107">
        <f t="shared" si="24"/>
        <v>0</v>
      </c>
      <c r="D264" s="106">
        <v>5.3689992108373463</v>
      </c>
      <c r="E264" s="106">
        <v>3.4606944270750448</v>
      </c>
      <c r="F264" s="106">
        <v>1.5379543354249361</v>
      </c>
      <c r="G264" s="106">
        <v>3.0519637793071959</v>
      </c>
      <c r="H264" s="106">
        <v>3.3452228240665991</v>
      </c>
      <c r="I264" s="106">
        <v>1.48852413750386</v>
      </c>
      <c r="J264" s="106">
        <v>3.4767648403721112</v>
      </c>
      <c r="K264" s="30">
        <f t="shared" si="25"/>
        <v>2.3933899735090636E-2</v>
      </c>
      <c r="L264" s="30">
        <f t="shared" si="26"/>
        <v>2.3295472331161804E-3</v>
      </c>
      <c r="M264" s="30">
        <f t="shared" si="27"/>
        <v>-2.714242085660179E-2</v>
      </c>
      <c r="N264" s="30">
        <f t="shared" si="28"/>
        <v>-7.8716198514660052E-3</v>
      </c>
      <c r="O264" s="30">
        <f t="shared" si="29"/>
        <v>-1.2636175369962199E-3</v>
      </c>
      <c r="P264" s="30">
        <f t="shared" si="30"/>
        <v>-2.4110949424149708E-2</v>
      </c>
      <c r="Q264" s="30">
        <f t="shared" si="31"/>
        <v>-4.3403194345681517E-2</v>
      </c>
    </row>
    <row r="265" spans="2:17" ht="13.95" customHeight="1" x14ac:dyDescent="0.3">
      <c r="B265" s="105">
        <v>44337</v>
      </c>
      <c r="C265" s="107">
        <f t="shared" si="24"/>
        <v>0</v>
      </c>
      <c r="D265" s="106">
        <v>5.4631388133238028</v>
      </c>
      <c r="E265" s="106">
        <v>3.553710911954048</v>
      </c>
      <c r="F265" s="106">
        <v>1.531305711259227</v>
      </c>
      <c r="G265" s="106">
        <v>3.0167267036174432</v>
      </c>
      <c r="H265" s="106">
        <v>3.3647401403507589</v>
      </c>
      <c r="I265" s="106">
        <v>1.481299914849215</v>
      </c>
      <c r="J265" s="106">
        <v>3.471822874028514</v>
      </c>
      <c r="K265" s="30">
        <f t="shared" si="25"/>
        <v>1.7533919970864398E-2</v>
      </c>
      <c r="L265" s="30">
        <f t="shared" si="26"/>
        <v>2.6877982682111501E-2</v>
      </c>
      <c r="M265" s="30">
        <f t="shared" si="27"/>
        <v>-4.3230309330817285E-3</v>
      </c>
      <c r="N265" s="30">
        <f t="shared" si="28"/>
        <v>-1.15457057284446E-2</v>
      </c>
      <c r="O265" s="30">
        <f t="shared" si="29"/>
        <v>5.8343845270174555E-3</v>
      </c>
      <c r="P265" s="30">
        <f t="shared" si="30"/>
        <v>-4.8532788099490132E-3</v>
      </c>
      <c r="Q265" s="30">
        <f t="shared" si="31"/>
        <v>-1.42142669133416E-3</v>
      </c>
    </row>
    <row r="266" spans="2:17" ht="13.95" customHeight="1" x14ac:dyDescent="0.3">
      <c r="B266" s="105">
        <v>44344</v>
      </c>
      <c r="C266" s="107">
        <f t="shared" si="24"/>
        <v>0</v>
      </c>
      <c r="D266" s="106">
        <v>5.5519163703128998</v>
      </c>
      <c r="E266" s="106">
        <v>3.6169474987060228</v>
      </c>
      <c r="F266" s="106">
        <v>1.626568039398548</v>
      </c>
      <c r="G266" s="106">
        <v>3.0624151759054432</v>
      </c>
      <c r="H266" s="106">
        <v>3.4460274400682831</v>
      </c>
      <c r="I266" s="106">
        <v>1.569478798771218</v>
      </c>
      <c r="J266" s="106">
        <v>3.7385798141079558</v>
      </c>
      <c r="K266" s="30">
        <f t="shared" si="25"/>
        <v>1.625028395262107E-2</v>
      </c>
      <c r="L266" s="30">
        <f t="shared" si="26"/>
        <v>1.77945219289668E-2</v>
      </c>
      <c r="M266" s="30">
        <f t="shared" si="27"/>
        <v>6.2209869289251651E-2</v>
      </c>
      <c r="N266" s="30">
        <f t="shared" si="28"/>
        <v>1.5145048516729709E-2</v>
      </c>
      <c r="O266" s="30">
        <f t="shared" si="29"/>
        <v>2.4158566880903454E-2</v>
      </c>
      <c r="P266" s="30">
        <f t="shared" si="30"/>
        <v>5.9528042254008318E-2</v>
      </c>
      <c r="Q266" s="30">
        <f t="shared" si="31"/>
        <v>7.683483569249927E-2</v>
      </c>
    </row>
    <row r="267" spans="2:17" ht="13.95" customHeight="1" x14ac:dyDescent="0.3">
      <c r="B267" s="105">
        <v>44351</v>
      </c>
      <c r="C267" s="107">
        <f t="shared" si="24"/>
        <v>0</v>
      </c>
      <c r="D267" s="106">
        <v>5.8348691133489012</v>
      </c>
      <c r="E267" s="106">
        <v>3.7102279264948841</v>
      </c>
      <c r="F267" s="106">
        <v>1.6837996680879559</v>
      </c>
      <c r="G267" s="106">
        <v>3.1655364527516912</v>
      </c>
      <c r="H267" s="106">
        <v>3.5714828202116742</v>
      </c>
      <c r="I267" s="106">
        <v>1.636646821130292</v>
      </c>
      <c r="J267" s="106">
        <v>3.715620049232617</v>
      </c>
      <c r="K267" s="30">
        <f t="shared" si="25"/>
        <v>5.0964878460525886E-2</v>
      </c>
      <c r="L267" s="30">
        <f t="shared" si="26"/>
        <v>2.5789820787344153E-2</v>
      </c>
      <c r="M267" s="30">
        <f t="shared" si="27"/>
        <v>3.5185511643626155E-2</v>
      </c>
      <c r="N267" s="30">
        <f t="shared" si="28"/>
        <v>3.3673186332666027E-2</v>
      </c>
      <c r="O267" s="30">
        <f t="shared" si="29"/>
        <v>3.6405798365002351E-2</v>
      </c>
      <c r="P267" s="30">
        <f t="shared" si="30"/>
        <v>4.2796387190232599E-2</v>
      </c>
      <c r="Q267" s="30">
        <f t="shared" si="31"/>
        <v>-6.1413065968787262E-3</v>
      </c>
    </row>
    <row r="268" spans="2:17" ht="13.95" customHeight="1" x14ac:dyDescent="0.3">
      <c r="B268" s="105">
        <v>44358</v>
      </c>
      <c r="C268" s="107">
        <f t="shared" si="24"/>
        <v>0</v>
      </c>
      <c r="D268" s="106">
        <v>5.7620853838492723</v>
      </c>
      <c r="E268" s="106">
        <v>3.666451574967986</v>
      </c>
      <c r="F268" s="106">
        <v>1.672075790369516</v>
      </c>
      <c r="G268" s="106">
        <v>3.1832666701922432</v>
      </c>
      <c r="H268" s="106">
        <v>3.5527185134606838</v>
      </c>
      <c r="I268" s="106">
        <v>1.6108202863195851</v>
      </c>
      <c r="J268" s="106">
        <v>3.8768058080692289</v>
      </c>
      <c r="K268" s="30">
        <f t="shared" si="25"/>
        <v>-1.2473926678683411E-2</v>
      </c>
      <c r="L268" s="30">
        <f t="shared" si="26"/>
        <v>-1.1798830798046001E-2</v>
      </c>
      <c r="M268" s="30">
        <f t="shared" si="27"/>
        <v>-6.9627509380334462E-3</v>
      </c>
      <c r="N268" s="30">
        <f t="shared" si="28"/>
        <v>5.6010150902352507E-3</v>
      </c>
      <c r="O268" s="30">
        <f t="shared" si="29"/>
        <v>-5.2539260849302494E-3</v>
      </c>
      <c r="P268" s="30">
        <f t="shared" si="30"/>
        <v>-1.5780151513000718E-2</v>
      </c>
      <c r="Q268" s="30">
        <f t="shared" si="31"/>
        <v>4.3380581625912296E-2</v>
      </c>
    </row>
    <row r="269" spans="2:17" ht="13.95" customHeight="1" x14ac:dyDescent="0.3">
      <c r="B269" s="105">
        <v>44365</v>
      </c>
      <c r="C269" s="107">
        <f t="shared" si="24"/>
        <v>0</v>
      </c>
      <c r="D269" s="106">
        <v>5.8050328676126659</v>
      </c>
      <c r="E269" s="106">
        <v>3.6746792552513692</v>
      </c>
      <c r="F269" s="106">
        <v>1.689667437738898</v>
      </c>
      <c r="G269" s="106">
        <v>3.0683401195748301</v>
      </c>
      <c r="H269" s="106">
        <v>3.5243760493557952</v>
      </c>
      <c r="I269" s="106">
        <v>1.6277400035195679</v>
      </c>
      <c r="J269" s="106">
        <v>3.9179491531876391</v>
      </c>
      <c r="K269" s="30">
        <f t="shared" si="25"/>
        <v>7.4534618809662945E-3</v>
      </c>
      <c r="L269" s="30">
        <f t="shared" si="26"/>
        <v>2.244044443285631E-3</v>
      </c>
      <c r="M269" s="30">
        <f t="shared" si="27"/>
        <v>1.0520843295921622E-2</v>
      </c>
      <c r="N269" s="30">
        <f t="shared" si="28"/>
        <v>-3.6103337396634849E-2</v>
      </c>
      <c r="O269" s="30">
        <f t="shared" si="29"/>
        <v>-7.9776835675282598E-3</v>
      </c>
      <c r="P269" s="30">
        <f t="shared" si="30"/>
        <v>1.0503789493886417E-2</v>
      </c>
      <c r="Q269" s="30">
        <f t="shared" si="31"/>
        <v>1.0612691776506811E-2</v>
      </c>
    </row>
    <row r="270" spans="2:17" ht="13.95" customHeight="1" x14ac:dyDescent="0.3">
      <c r="B270" s="105">
        <v>44372</v>
      </c>
      <c r="C270" s="107">
        <f t="shared" si="24"/>
        <v>0</v>
      </c>
      <c r="D270" s="106">
        <v>5.5751211526592046</v>
      </c>
      <c r="E270" s="106">
        <v>3.5551847821318292</v>
      </c>
      <c r="F270" s="106">
        <v>1.665788913637877</v>
      </c>
      <c r="G270" s="106">
        <v>3.1739420210863809</v>
      </c>
      <c r="H270" s="106">
        <v>3.4931217250775419</v>
      </c>
      <c r="I270" s="106">
        <v>1.61437798535752</v>
      </c>
      <c r="J270" s="106">
        <v>3.73760764506584</v>
      </c>
      <c r="K270" s="30">
        <f t="shared" si="25"/>
        <v>-3.9605583671400102E-2</v>
      </c>
      <c r="L270" s="30">
        <f t="shared" si="26"/>
        <v>-3.251834100861295E-2</v>
      </c>
      <c r="M270" s="30">
        <f t="shared" si="27"/>
        <v>-1.413208514746267E-2</v>
      </c>
      <c r="N270" s="30">
        <f t="shared" si="28"/>
        <v>3.441662182032923E-2</v>
      </c>
      <c r="O270" s="30">
        <f t="shared" si="29"/>
        <v>-8.8680446809772384E-3</v>
      </c>
      <c r="P270" s="30">
        <f t="shared" si="30"/>
        <v>-8.2089388558099774E-3</v>
      </c>
      <c r="Q270" s="30">
        <f t="shared" si="31"/>
        <v>-4.6029568294696621E-2</v>
      </c>
    </row>
    <row r="271" spans="2:17" ht="13.95" customHeight="1" x14ac:dyDescent="0.3">
      <c r="B271" s="105">
        <v>44379</v>
      </c>
      <c r="C271" s="107">
        <f t="shared" si="24"/>
        <v>0</v>
      </c>
      <c r="D271" s="106">
        <v>5.5190279395475601</v>
      </c>
      <c r="E271" s="106">
        <v>3.558124972359705</v>
      </c>
      <c r="F271" s="106">
        <v>1.66545765578565</v>
      </c>
      <c r="G271" s="106">
        <v>3.222312063383967</v>
      </c>
      <c r="H271" s="106">
        <v>3.5033198158538328</v>
      </c>
      <c r="I271" s="106">
        <v>1.6029980970600579</v>
      </c>
      <c r="J271" s="106">
        <v>3.880594119082414</v>
      </c>
      <c r="K271" s="30">
        <f t="shared" si="25"/>
        <v>-1.0061344242696779E-2</v>
      </c>
      <c r="L271" s="30">
        <f t="shared" si="26"/>
        <v>8.270147427085206E-4</v>
      </c>
      <c r="M271" s="30">
        <f t="shared" si="27"/>
        <v>-1.9885944102215891E-4</v>
      </c>
      <c r="N271" s="30">
        <f t="shared" si="28"/>
        <v>1.5239737202581205E-2</v>
      </c>
      <c r="O271" s="30">
        <f t="shared" si="29"/>
        <v>2.9194776417544865E-3</v>
      </c>
      <c r="P271" s="30">
        <f t="shared" si="30"/>
        <v>-7.0490854066880271E-3</v>
      </c>
      <c r="Q271" s="30">
        <f t="shared" si="31"/>
        <v>3.8256148744059804E-2</v>
      </c>
    </row>
    <row r="272" spans="2:17" ht="13.95" customHeight="1" x14ac:dyDescent="0.3">
      <c r="B272" s="105">
        <v>44386</v>
      </c>
      <c r="C272" s="107">
        <f t="shared" si="24"/>
        <v>0</v>
      </c>
      <c r="D272" s="106">
        <v>5.3895426329219447</v>
      </c>
      <c r="E272" s="106">
        <v>3.5238039462392212</v>
      </c>
      <c r="F272" s="106">
        <v>1.646989789079669</v>
      </c>
      <c r="G272" s="106">
        <v>3.15665971344542</v>
      </c>
      <c r="H272" s="106">
        <v>3.4437841927125299</v>
      </c>
      <c r="I272" s="106">
        <v>1.5879092775941821</v>
      </c>
      <c r="J272" s="106">
        <v>3.8026164293037099</v>
      </c>
      <c r="K272" s="30">
        <f t="shared" si="25"/>
        <v>-2.3461614625605698E-2</v>
      </c>
      <c r="L272" s="30">
        <f t="shared" si="26"/>
        <v>-9.6458180606631139E-3</v>
      </c>
      <c r="M272" s="30">
        <f t="shared" si="27"/>
        <v>-1.108876388530522E-2</v>
      </c>
      <c r="N272" s="30">
        <f t="shared" si="28"/>
        <v>-2.03742991513991E-2</v>
      </c>
      <c r="O272" s="30">
        <f t="shared" si="29"/>
        <v>-1.6994058855797856E-2</v>
      </c>
      <c r="P272" s="30">
        <f t="shared" si="30"/>
        <v>-9.4128742220899175E-3</v>
      </c>
      <c r="Q272" s="30">
        <f t="shared" si="31"/>
        <v>-2.0094265822662827E-2</v>
      </c>
    </row>
    <row r="273" spans="2:17" ht="13.95" customHeight="1" x14ac:dyDescent="0.3">
      <c r="B273" s="105">
        <v>44393</v>
      </c>
      <c r="C273" s="107">
        <f t="shared" si="24"/>
        <v>0</v>
      </c>
      <c r="D273" s="106">
        <v>5.4245216780907954</v>
      </c>
      <c r="E273" s="106">
        <v>3.5562502048827511</v>
      </c>
      <c r="F273" s="106">
        <v>1.6873746207334379</v>
      </c>
      <c r="G273" s="106">
        <v>3.119406085640736</v>
      </c>
      <c r="H273" s="106">
        <v>3.4579403616551678</v>
      </c>
      <c r="I273" s="106">
        <v>1.639174319026623</v>
      </c>
      <c r="J273" s="106">
        <v>3.7354775578451762</v>
      </c>
      <c r="K273" s="30">
        <f t="shared" si="25"/>
        <v>6.4901694914112351E-3</v>
      </c>
      <c r="L273" s="30">
        <f t="shared" si="26"/>
        <v>9.2077366217147016E-3</v>
      </c>
      <c r="M273" s="30">
        <f t="shared" si="27"/>
        <v>2.4520389817556776E-2</v>
      </c>
      <c r="N273" s="30">
        <f t="shared" si="28"/>
        <v>-1.1801597633728678E-2</v>
      </c>
      <c r="O273" s="30">
        <f t="shared" si="29"/>
        <v>4.1106434522215629E-3</v>
      </c>
      <c r="P273" s="30">
        <f t="shared" si="30"/>
        <v>3.2284616102320252E-2</v>
      </c>
      <c r="Q273" s="30">
        <f t="shared" si="31"/>
        <v>-1.7655967333741196E-2</v>
      </c>
    </row>
    <row r="274" spans="2:17" ht="13.95" customHeight="1" x14ac:dyDescent="0.3">
      <c r="B274" s="105">
        <v>44400</v>
      </c>
      <c r="C274" s="107">
        <f t="shared" si="24"/>
        <v>0</v>
      </c>
      <c r="D274" s="106">
        <v>5.3812496588076577</v>
      </c>
      <c r="E274" s="106">
        <v>3.5132881163721872</v>
      </c>
      <c r="F274" s="106">
        <v>1.650077489114933</v>
      </c>
      <c r="G274" s="106">
        <v>3.1399998380906671</v>
      </c>
      <c r="H274" s="106">
        <v>3.435062153102133</v>
      </c>
      <c r="I274" s="106">
        <v>1.5899713498862449</v>
      </c>
      <c r="J274" s="106">
        <v>3.8216464505064791</v>
      </c>
      <c r="K274" s="30">
        <f t="shared" si="25"/>
        <v>-7.9771124259507831E-3</v>
      </c>
      <c r="L274" s="30">
        <f t="shared" si="26"/>
        <v>-1.2080727180437623E-2</v>
      </c>
      <c r="M274" s="30">
        <f t="shared" si="27"/>
        <v>-2.2103646197009441E-2</v>
      </c>
      <c r="N274" s="30">
        <f t="shared" si="28"/>
        <v>6.6018183861114021E-3</v>
      </c>
      <c r="O274" s="30">
        <f t="shared" si="29"/>
        <v>-6.6161373998029349E-3</v>
      </c>
      <c r="P274" s="30">
        <f t="shared" si="30"/>
        <v>-3.0016922891761721E-2</v>
      </c>
      <c r="Q274" s="30">
        <f t="shared" si="31"/>
        <v>2.3067704551010593E-2</v>
      </c>
    </row>
    <row r="275" spans="2:17" ht="13.95" customHeight="1" x14ac:dyDescent="0.3">
      <c r="B275" s="105">
        <v>44407</v>
      </c>
      <c r="C275" s="107">
        <f t="shared" si="24"/>
        <v>0</v>
      </c>
      <c r="D275" s="106">
        <v>5.3372888968232282</v>
      </c>
      <c r="E275" s="106">
        <v>3.4303906392672721</v>
      </c>
      <c r="F275" s="106">
        <v>1.559959897121928</v>
      </c>
      <c r="G275" s="106">
        <v>3.0658603874698751</v>
      </c>
      <c r="H275" s="106">
        <v>3.3471485548658189</v>
      </c>
      <c r="I275" s="106">
        <v>1.4807503445829071</v>
      </c>
      <c r="J275" s="106">
        <v>3.904139835477372</v>
      </c>
      <c r="K275" s="30">
        <f t="shared" si="25"/>
        <v>-8.1692478089132603E-3</v>
      </c>
      <c r="L275" s="30">
        <f t="shared" si="26"/>
        <v>-2.3595411010730039E-2</v>
      </c>
      <c r="M275" s="30">
        <f t="shared" si="27"/>
        <v>-5.4614157569861876E-2</v>
      </c>
      <c r="N275" s="30">
        <f t="shared" si="28"/>
        <v>-2.3611291224101993E-2</v>
      </c>
      <c r="O275" s="30">
        <f t="shared" si="29"/>
        <v>-2.5593015298695954E-2</v>
      </c>
      <c r="P275" s="30">
        <f t="shared" si="30"/>
        <v>-6.8693693953134516E-2</v>
      </c>
      <c r="Q275" s="30">
        <f t="shared" si="31"/>
        <v>2.1585823293507556E-2</v>
      </c>
    </row>
    <row r="276" spans="2:17" ht="13.95" customHeight="1" x14ac:dyDescent="0.3">
      <c r="B276" s="105">
        <v>44414</v>
      </c>
      <c r="C276" s="107">
        <f t="shared" si="24"/>
        <v>0</v>
      </c>
      <c r="D276" s="106">
        <v>5.4127747439304859</v>
      </c>
      <c r="E276" s="106">
        <v>3.4577938352551838</v>
      </c>
      <c r="F276" s="106">
        <v>1.5414806926103619</v>
      </c>
      <c r="G276" s="106">
        <v>3.111440887645315</v>
      </c>
      <c r="H276" s="106">
        <v>3.3749198927428421</v>
      </c>
      <c r="I276" s="106">
        <v>1.4530393379871029</v>
      </c>
      <c r="J276" s="106">
        <v>3.9918391884438691</v>
      </c>
      <c r="K276" s="30">
        <f t="shared" si="25"/>
        <v>1.4143106840663444E-2</v>
      </c>
      <c r="L276" s="30">
        <f t="shared" si="26"/>
        <v>7.9883601809749294E-3</v>
      </c>
      <c r="M276" s="30">
        <f t="shared" si="27"/>
        <v>-1.1845948441148724E-2</v>
      </c>
      <c r="N276" s="30">
        <f t="shared" si="28"/>
        <v>1.4867115398250697E-2</v>
      </c>
      <c r="O276" s="30">
        <f t="shared" si="29"/>
        <v>8.2970138378386515E-3</v>
      </c>
      <c r="P276" s="30">
        <f t="shared" si="30"/>
        <v>-1.8714165218451928E-2</v>
      </c>
      <c r="Q276" s="30">
        <f t="shared" si="31"/>
        <v>2.2463169010895179E-2</v>
      </c>
    </row>
    <row r="277" spans="2:17" ht="13.95" customHeight="1" x14ac:dyDescent="0.3">
      <c r="B277" s="105">
        <v>44421</v>
      </c>
      <c r="C277" s="107">
        <f t="shared" si="24"/>
        <v>0</v>
      </c>
      <c r="D277" s="106">
        <v>5.2556506441260096</v>
      </c>
      <c r="E277" s="106">
        <v>3.4357836961719381</v>
      </c>
      <c r="F277" s="106">
        <v>1.4952096843455189</v>
      </c>
      <c r="G277" s="106">
        <v>3.118633874503943</v>
      </c>
      <c r="H277" s="106">
        <v>3.330525529844051</v>
      </c>
      <c r="I277" s="106">
        <v>1.3983092486515161</v>
      </c>
      <c r="J277" s="106">
        <v>4.0183923812846416</v>
      </c>
      <c r="K277" s="30">
        <f t="shared" si="25"/>
        <v>-2.902838326694912E-2</v>
      </c>
      <c r="L277" s="30">
        <f t="shared" si="26"/>
        <v>-6.3653705605097866E-3</v>
      </c>
      <c r="M277" s="30">
        <f t="shared" si="27"/>
        <v>-3.0017248017869869E-2</v>
      </c>
      <c r="N277" s="30">
        <f t="shared" si="28"/>
        <v>2.3117864418344958E-3</v>
      </c>
      <c r="O277" s="30">
        <f t="shared" si="29"/>
        <v>-1.3154197524585132E-2</v>
      </c>
      <c r="P277" s="30">
        <f t="shared" si="30"/>
        <v>-3.7665937806889982E-2</v>
      </c>
      <c r="Q277" s="30">
        <f t="shared" si="31"/>
        <v>6.6518693733059742E-3</v>
      </c>
    </row>
    <row r="278" spans="2:17" ht="13.95" customHeight="1" x14ac:dyDescent="0.3">
      <c r="B278" s="105">
        <v>44428</v>
      </c>
      <c r="C278" s="107">
        <f t="shared" si="24"/>
        <v>0</v>
      </c>
      <c r="D278" s="106">
        <v>5.1229926317075636</v>
      </c>
      <c r="E278" s="106">
        <v>3.5189597739954599</v>
      </c>
      <c r="F278" s="106">
        <v>1.4711802489067911</v>
      </c>
      <c r="G278" s="106">
        <v>2.9195818311848529</v>
      </c>
      <c r="H278" s="106">
        <v>3.2444591126308908</v>
      </c>
      <c r="I278" s="106">
        <v>1.3725674870924811</v>
      </c>
      <c r="J278" s="106">
        <v>3.99687605670101</v>
      </c>
      <c r="K278" s="30">
        <f t="shared" si="25"/>
        <v>-2.5241025593417565E-2</v>
      </c>
      <c r="L278" s="30">
        <f t="shared" si="26"/>
        <v>2.4208764339907152E-2</v>
      </c>
      <c r="M278" s="30">
        <f t="shared" si="27"/>
        <v>-1.6070946898157579E-2</v>
      </c>
      <c r="N278" s="30">
        <f t="shared" si="28"/>
        <v>-6.3826679029692746E-2</v>
      </c>
      <c r="O278" s="30">
        <f t="shared" si="29"/>
        <v>-2.5841692682412876E-2</v>
      </c>
      <c r="P278" s="30">
        <f t="shared" si="30"/>
        <v>-1.8409204962249626E-2</v>
      </c>
      <c r="Q278" s="30">
        <f t="shared" si="31"/>
        <v>-5.3544608246427483E-3</v>
      </c>
    </row>
    <row r="279" spans="2:17" ht="13.95" customHeight="1" x14ac:dyDescent="0.3">
      <c r="B279" s="105">
        <v>44435</v>
      </c>
      <c r="C279" s="107">
        <f t="shared" ref="C279:C342" si="32">IF(B279&gt;$C$17,1,0)</f>
        <v>0</v>
      </c>
      <c r="D279" s="106">
        <v>5.2375490966315628</v>
      </c>
      <c r="E279" s="106">
        <v>3.4685270702841708</v>
      </c>
      <c r="F279" s="106">
        <v>1.505941948363795</v>
      </c>
      <c r="G279" s="106">
        <v>3.0612455837294181</v>
      </c>
      <c r="H279" s="106">
        <v>3.317615163958751</v>
      </c>
      <c r="I279" s="106">
        <v>1.393557777541274</v>
      </c>
      <c r="J279" s="106">
        <v>4.2420065876697528</v>
      </c>
      <c r="K279" s="30">
        <f t="shared" ref="K279:K342" si="33">D279/D278-1</f>
        <v>2.2361239447228343E-2</v>
      </c>
      <c r="L279" s="30">
        <f t="shared" ref="L279:L342" si="34">E279/E278-1</f>
        <v>-1.433170793368499E-2</v>
      </c>
      <c r="M279" s="30">
        <f t="shared" ref="M279:M342" si="35">F279/F278-1</f>
        <v>2.3628443545809397E-2</v>
      </c>
      <c r="N279" s="30">
        <f t="shared" ref="N279:N342" si="36">G279/G278-1</f>
        <v>4.8521932501228715E-2</v>
      </c>
      <c r="O279" s="30">
        <f t="shared" ref="O279:O342" si="37">H279/H278-1</f>
        <v>2.254799607215241E-2</v>
      </c>
      <c r="P279" s="30">
        <f t="shared" ref="P279:P342" si="38">I279/I278-1</f>
        <v>1.5292720136666382E-2</v>
      </c>
      <c r="Q279" s="30">
        <f t="shared" ref="Q279:Q342" si="39">J279/J278-1</f>
        <v>6.1330531017534717E-2</v>
      </c>
    </row>
    <row r="280" spans="2:17" ht="13.95" customHeight="1" x14ac:dyDescent="0.3">
      <c r="B280" s="105">
        <v>44442</v>
      </c>
      <c r="C280" s="107">
        <f t="shared" si="32"/>
        <v>0</v>
      </c>
      <c r="D280" s="106">
        <v>5.0656240134421608</v>
      </c>
      <c r="E280" s="106">
        <v>3.4335748287393271</v>
      </c>
      <c r="F280" s="106">
        <v>1.4450796698196959</v>
      </c>
      <c r="G280" s="106">
        <v>2.940719427865345</v>
      </c>
      <c r="H280" s="106">
        <v>3.2143836055171962</v>
      </c>
      <c r="I280" s="106">
        <v>1.3348624904833979</v>
      </c>
      <c r="J280" s="106">
        <v>4.1022055598079268</v>
      </c>
      <c r="K280" s="30">
        <f t="shared" si="33"/>
        <v>-3.282548383173578E-2</v>
      </c>
      <c r="L280" s="30">
        <f t="shared" si="34"/>
        <v>-1.0076969513742373E-2</v>
      </c>
      <c r="M280" s="30">
        <f t="shared" si="35"/>
        <v>-4.0414757428216874E-2</v>
      </c>
      <c r="N280" s="30">
        <f t="shared" si="36"/>
        <v>-3.9371606284929306E-2</v>
      </c>
      <c r="O280" s="30">
        <f t="shared" si="37"/>
        <v>-3.1116194416706766E-2</v>
      </c>
      <c r="P280" s="30">
        <f t="shared" si="38"/>
        <v>-4.2119019393250579E-2</v>
      </c>
      <c r="Q280" s="30">
        <f t="shared" si="39"/>
        <v>-3.2956343884091521E-2</v>
      </c>
    </row>
    <row r="281" spans="2:17" ht="13.95" customHeight="1" x14ac:dyDescent="0.3">
      <c r="B281" s="105">
        <v>44449</v>
      </c>
      <c r="C281" s="107">
        <f t="shared" si="32"/>
        <v>0</v>
      </c>
      <c r="D281" s="106">
        <v>4.9083902414627314</v>
      </c>
      <c r="E281" s="106">
        <v>3.416303274392722</v>
      </c>
      <c r="F281" s="106">
        <v>1.4192289303962931</v>
      </c>
      <c r="G281" s="106">
        <v>2.8528860956627771</v>
      </c>
      <c r="H281" s="106">
        <v>3.1433688761800802</v>
      </c>
      <c r="I281" s="106">
        <v>1.2915652280418259</v>
      </c>
      <c r="J281" s="106">
        <v>4.2871815707017671</v>
      </c>
      <c r="K281" s="30">
        <f t="shared" si="33"/>
        <v>-3.1039368804750112E-2</v>
      </c>
      <c r="L281" s="30">
        <f t="shared" si="34"/>
        <v>-5.0301959934120344E-3</v>
      </c>
      <c r="M281" s="30">
        <f t="shared" si="35"/>
        <v>-1.7888798772339176E-2</v>
      </c>
      <c r="N281" s="30">
        <f t="shared" si="36"/>
        <v>-2.9867974268570685E-2</v>
      </c>
      <c r="O281" s="30">
        <f t="shared" si="37"/>
        <v>-2.2092798512046152E-2</v>
      </c>
      <c r="P281" s="30">
        <f t="shared" si="38"/>
        <v>-3.2435747314985663E-2</v>
      </c>
      <c r="Q281" s="30">
        <f t="shared" si="39"/>
        <v>4.5091843447869762E-2</v>
      </c>
    </row>
    <row r="282" spans="2:17" ht="13.95" customHeight="1" x14ac:dyDescent="0.3">
      <c r="B282" s="105">
        <v>44456</v>
      </c>
      <c r="C282" s="107">
        <f t="shared" si="32"/>
        <v>0</v>
      </c>
      <c r="D282" s="106">
        <v>4.8230050155834494</v>
      </c>
      <c r="E282" s="106">
        <v>3.426778225579846</v>
      </c>
      <c r="F282" s="106">
        <v>1.4077729454677159</v>
      </c>
      <c r="G282" s="106">
        <v>2.6964492357705869</v>
      </c>
      <c r="H282" s="106">
        <v>3.0698977553738671</v>
      </c>
      <c r="I282" s="106">
        <v>1.2760425141102829</v>
      </c>
      <c r="J282" s="106">
        <v>4.3203943344323479</v>
      </c>
      <c r="K282" s="30">
        <f t="shared" si="33"/>
        <v>-1.7395769626873947E-2</v>
      </c>
      <c r="L282" s="30">
        <f t="shared" si="34"/>
        <v>3.066165485260175E-3</v>
      </c>
      <c r="M282" s="30">
        <f t="shared" si="35"/>
        <v>-8.0719781588571848E-3</v>
      </c>
      <c r="N282" s="30">
        <f t="shared" si="36"/>
        <v>-5.4834597192653489E-2</v>
      </c>
      <c r="O282" s="30">
        <f t="shared" si="37"/>
        <v>-2.3373369050945558E-2</v>
      </c>
      <c r="P282" s="30">
        <f t="shared" si="38"/>
        <v>-1.2018528831933217E-2</v>
      </c>
      <c r="Q282" s="30">
        <f t="shared" si="39"/>
        <v>7.7469925597632994E-3</v>
      </c>
    </row>
    <row r="283" spans="2:17" ht="13.95" customHeight="1" x14ac:dyDescent="0.3">
      <c r="B283" s="105">
        <v>44463</v>
      </c>
      <c r="C283" s="107">
        <f t="shared" si="32"/>
        <v>0</v>
      </c>
      <c r="D283" s="106">
        <v>4.8543708547040483</v>
      </c>
      <c r="E283" s="106">
        <v>3.4514428818051992</v>
      </c>
      <c r="F283" s="106">
        <v>1.428165515764616</v>
      </c>
      <c r="G283" s="106">
        <v>2.7936487614708478</v>
      </c>
      <c r="H283" s="106">
        <v>3.1243886852160219</v>
      </c>
      <c r="I283" s="106">
        <v>1.2754463777011791</v>
      </c>
      <c r="J283" s="106">
        <v>4.636844998217569</v>
      </c>
      <c r="K283" s="30">
        <f t="shared" si="33"/>
        <v>6.5033809874246451E-3</v>
      </c>
      <c r="L283" s="30">
        <f t="shared" si="34"/>
        <v>7.1976225485614886E-3</v>
      </c>
      <c r="M283" s="30">
        <f t="shared" si="35"/>
        <v>1.448569555378465E-2</v>
      </c>
      <c r="N283" s="30">
        <f t="shared" si="36"/>
        <v>3.6047229968519501E-2</v>
      </c>
      <c r="O283" s="30">
        <f t="shared" si="37"/>
        <v>1.7750079704370592E-2</v>
      </c>
      <c r="P283" s="30">
        <f t="shared" si="38"/>
        <v>-4.6717597769030395E-4</v>
      </c>
      <c r="Q283" s="30">
        <f t="shared" si="39"/>
        <v>7.3245782511840885E-2</v>
      </c>
    </row>
    <row r="284" spans="2:17" ht="13.95" customHeight="1" x14ac:dyDescent="0.3">
      <c r="B284" s="105">
        <v>44470</v>
      </c>
      <c r="C284" s="107">
        <f t="shared" si="32"/>
        <v>1</v>
      </c>
      <c r="D284" s="106">
        <v>4.9526590753114323</v>
      </c>
      <c r="E284" s="106">
        <v>3.401941746898963</v>
      </c>
      <c r="F284" s="106">
        <v>1.389300472412913</v>
      </c>
      <c r="G284" s="106">
        <v>2.8191358799998412</v>
      </c>
      <c r="H284" s="106">
        <v>3.1228415860973171</v>
      </c>
      <c r="I284" s="106">
        <v>1.2372096672871311</v>
      </c>
      <c r="J284" s="106">
        <v>4.5542636541467711</v>
      </c>
      <c r="K284" s="30">
        <f t="shared" si="33"/>
        <v>2.0247365425766661E-2</v>
      </c>
      <c r="L284" s="30">
        <f t="shared" si="34"/>
        <v>-1.4342156773675452E-2</v>
      </c>
      <c r="M284" s="30">
        <f t="shared" si="35"/>
        <v>-2.7213262694482099E-2</v>
      </c>
      <c r="N284" s="30">
        <f t="shared" si="36"/>
        <v>9.1232365644902114E-3</v>
      </c>
      <c r="O284" s="30">
        <f t="shared" si="37"/>
        <v>-4.9516858322573576E-4</v>
      </c>
      <c r="P284" s="30">
        <f t="shared" si="38"/>
        <v>-2.9979081114303252E-2</v>
      </c>
      <c r="Q284" s="30">
        <f t="shared" si="39"/>
        <v>-1.7809813375806782E-2</v>
      </c>
    </row>
    <row r="285" spans="2:17" ht="13.95" customHeight="1" x14ac:dyDescent="0.3">
      <c r="B285" s="105">
        <v>44477</v>
      </c>
      <c r="C285" s="107">
        <f t="shared" si="32"/>
        <v>1</v>
      </c>
      <c r="D285" s="106">
        <v>4.8940302013044219</v>
      </c>
      <c r="E285" s="106">
        <v>3.3545715536065939</v>
      </c>
      <c r="F285" s="106">
        <v>1.3729317622519559</v>
      </c>
      <c r="G285" s="106">
        <v>2.884062607622353</v>
      </c>
      <c r="H285" s="106">
        <v>3.1208457898464528</v>
      </c>
      <c r="I285" s="106">
        <v>1.2266814715979091</v>
      </c>
      <c r="J285" s="106">
        <v>4.4423187164216547</v>
      </c>
      <c r="K285" s="30">
        <f t="shared" si="33"/>
        <v>-1.1837857828589482E-2</v>
      </c>
      <c r="L285" s="30">
        <f t="shared" si="34"/>
        <v>-1.3924457505937404E-2</v>
      </c>
      <c r="M285" s="30">
        <f t="shared" si="35"/>
        <v>-1.1781979842364954E-2</v>
      </c>
      <c r="N285" s="30">
        <f t="shared" si="36"/>
        <v>2.3030719477954209E-2</v>
      </c>
      <c r="O285" s="30">
        <f t="shared" si="37"/>
        <v>-6.3909621920932302E-4</v>
      </c>
      <c r="P285" s="30">
        <f t="shared" si="38"/>
        <v>-8.5096293438342574E-3</v>
      </c>
      <c r="Q285" s="30">
        <f t="shared" si="39"/>
        <v>-2.4580249679481692E-2</v>
      </c>
    </row>
    <row r="286" spans="2:17" ht="13.95" customHeight="1" x14ac:dyDescent="0.3">
      <c r="B286" s="105">
        <v>44484</v>
      </c>
      <c r="C286" s="107">
        <f t="shared" si="32"/>
        <v>1</v>
      </c>
      <c r="D286" s="106">
        <v>4.9836601165713637</v>
      </c>
      <c r="E286" s="106">
        <v>3.3959680050987049</v>
      </c>
      <c r="F286" s="106">
        <v>1.402500777443271</v>
      </c>
      <c r="G286" s="106">
        <v>2.924326480787526</v>
      </c>
      <c r="H286" s="106">
        <v>3.1705984494189079</v>
      </c>
      <c r="I286" s="106">
        <v>1.2480444612471391</v>
      </c>
      <c r="J286" s="106">
        <v>4.6107868803579297</v>
      </c>
      <c r="K286" s="30">
        <f t="shared" si="33"/>
        <v>1.8314132030295305E-2</v>
      </c>
      <c r="L286" s="30">
        <f t="shared" si="34"/>
        <v>1.234030958367982E-2</v>
      </c>
      <c r="M286" s="30">
        <f t="shared" si="35"/>
        <v>2.1537133894268923E-2</v>
      </c>
      <c r="N286" s="30">
        <f t="shared" si="36"/>
        <v>1.3960817999844721E-2</v>
      </c>
      <c r="O286" s="30">
        <f t="shared" si="37"/>
        <v>1.5942043574957543E-2</v>
      </c>
      <c r="P286" s="30">
        <f t="shared" si="38"/>
        <v>1.7415270503272628E-2</v>
      </c>
      <c r="Q286" s="30">
        <f t="shared" si="39"/>
        <v>3.7923475259330042E-2</v>
      </c>
    </row>
    <row r="287" spans="2:17" ht="13.95" customHeight="1" x14ac:dyDescent="0.3">
      <c r="B287" s="105">
        <v>44491</v>
      </c>
      <c r="C287" s="107">
        <f t="shared" si="32"/>
        <v>1</v>
      </c>
      <c r="D287" s="106">
        <v>4.6735727267824636</v>
      </c>
      <c r="E287" s="106">
        <v>3.1588922637866039</v>
      </c>
      <c r="F287" s="106">
        <v>1.2491204274198919</v>
      </c>
      <c r="G287" s="106">
        <v>2.7385234456636942</v>
      </c>
      <c r="H287" s="106">
        <v>2.9403734409675959</v>
      </c>
      <c r="I287" s="106">
        <v>1.088277426307201</v>
      </c>
      <c r="J287" s="106">
        <v>4.4416757223998786</v>
      </c>
      <c r="K287" s="30">
        <f t="shared" si="33"/>
        <v>-6.2220814127716406E-2</v>
      </c>
      <c r="L287" s="30">
        <f t="shared" si="34"/>
        <v>-6.9810946674454977E-2</v>
      </c>
      <c r="M287" s="30">
        <f t="shared" si="35"/>
        <v>-0.10936204278117279</v>
      </c>
      <c r="N287" s="30">
        <f t="shared" si="36"/>
        <v>-6.353703539756439E-2</v>
      </c>
      <c r="O287" s="30">
        <f t="shared" si="37"/>
        <v>-7.2612477462577041E-2</v>
      </c>
      <c r="P287" s="30">
        <f t="shared" si="38"/>
        <v>-0.12801389686092346</v>
      </c>
      <c r="Q287" s="30">
        <f t="shared" si="39"/>
        <v>-3.6677287922039725E-2</v>
      </c>
    </row>
    <row r="288" spans="2:17" ht="13.95" customHeight="1" x14ac:dyDescent="0.3">
      <c r="B288" s="105">
        <v>44498</v>
      </c>
      <c r="C288" s="107">
        <f t="shared" si="32"/>
        <v>1</v>
      </c>
      <c r="D288" s="106">
        <v>4.5400778258958248</v>
      </c>
      <c r="E288" s="106">
        <v>3.215953826492902</v>
      </c>
      <c r="F288" s="106">
        <v>1.1718011524362451</v>
      </c>
      <c r="G288" s="106">
        <v>2.635238421899289</v>
      </c>
      <c r="H288" s="106">
        <v>2.863644174710585</v>
      </c>
      <c r="I288" s="106">
        <v>1.0202345956142811</v>
      </c>
      <c r="J288" s="106">
        <v>4.1765242251021011</v>
      </c>
      <c r="K288" s="30">
        <f t="shared" si="33"/>
        <v>-2.8563779508903431E-2</v>
      </c>
      <c r="L288" s="30">
        <f t="shared" si="34"/>
        <v>1.8063788803578174E-2</v>
      </c>
      <c r="M288" s="30">
        <f t="shared" si="35"/>
        <v>-6.1898975700327763E-2</v>
      </c>
      <c r="N288" s="30">
        <f t="shared" si="36"/>
        <v>-3.7715588642467712E-2</v>
      </c>
      <c r="O288" s="30">
        <f t="shared" si="37"/>
        <v>-2.6095075267637213E-2</v>
      </c>
      <c r="P288" s="30">
        <f t="shared" si="38"/>
        <v>-6.2523423759515473E-2</v>
      </c>
      <c r="Q288" s="30">
        <f t="shared" si="39"/>
        <v>-5.9696275430596635E-2</v>
      </c>
    </row>
    <row r="289" spans="2:17" ht="13.95" customHeight="1" x14ac:dyDescent="0.3">
      <c r="B289" s="105">
        <v>44505</v>
      </c>
      <c r="C289" s="107">
        <f t="shared" si="32"/>
        <v>1</v>
      </c>
      <c r="D289" s="106">
        <v>4.6514243653892704</v>
      </c>
      <c r="E289" s="106">
        <v>3.33779672670798</v>
      </c>
      <c r="F289" s="106">
        <v>1.278892460123487</v>
      </c>
      <c r="G289" s="106">
        <v>2.502106569678137</v>
      </c>
      <c r="H289" s="106">
        <v>2.90031978050393</v>
      </c>
      <c r="I289" s="106">
        <v>1.1322036888367339</v>
      </c>
      <c r="J289" s="106">
        <v>4.2868270022111261</v>
      </c>
      <c r="K289" s="30">
        <f t="shared" si="33"/>
        <v>2.4525249073560795E-2</v>
      </c>
      <c r="L289" s="30">
        <f t="shared" si="34"/>
        <v>3.7887017907825893E-2</v>
      </c>
      <c r="M289" s="30">
        <f t="shared" si="35"/>
        <v>9.1390341667263897E-2</v>
      </c>
      <c r="N289" s="30">
        <f t="shared" si="36"/>
        <v>-5.0519850923090415E-2</v>
      </c>
      <c r="O289" s="30">
        <f t="shared" si="37"/>
        <v>1.2807319469798184E-2</v>
      </c>
      <c r="P289" s="30">
        <f t="shared" si="38"/>
        <v>0.10974837915100943</v>
      </c>
      <c r="Q289" s="30">
        <f t="shared" si="39"/>
        <v>2.641018492029179E-2</v>
      </c>
    </row>
    <row r="290" spans="2:17" ht="13.95" customHeight="1" x14ac:dyDescent="0.3">
      <c r="B290" s="105">
        <v>44512</v>
      </c>
      <c r="C290" s="107">
        <f t="shared" si="32"/>
        <v>1</v>
      </c>
      <c r="D290" s="106">
        <v>4.7285261558157412</v>
      </c>
      <c r="E290" s="106">
        <v>3.3147648732037061</v>
      </c>
      <c r="F290" s="106">
        <v>1.264769183950865</v>
      </c>
      <c r="G290" s="106">
        <v>2.612165533752945</v>
      </c>
      <c r="H290" s="106">
        <v>2.9425071912488669</v>
      </c>
      <c r="I290" s="106">
        <v>1.1320588697622089</v>
      </c>
      <c r="J290" s="106">
        <v>4.0604106166467204</v>
      </c>
      <c r="K290" s="30">
        <f t="shared" si="33"/>
        <v>1.6575952734000587E-2</v>
      </c>
      <c r="L290" s="30">
        <f t="shared" si="34"/>
        <v>-6.9003164033268893E-3</v>
      </c>
      <c r="M290" s="30">
        <f t="shared" si="35"/>
        <v>-1.1043364952873613E-2</v>
      </c>
      <c r="N290" s="30">
        <f t="shared" si="36"/>
        <v>4.3986521361064845E-2</v>
      </c>
      <c r="O290" s="30">
        <f t="shared" si="37"/>
        <v>1.4545779064957687E-2</v>
      </c>
      <c r="P290" s="30">
        <f t="shared" si="38"/>
        <v>-1.2790902904913359E-4</v>
      </c>
      <c r="Q290" s="30">
        <f t="shared" si="39"/>
        <v>-5.2816776941924881E-2</v>
      </c>
    </row>
    <row r="291" spans="2:17" ht="13.95" customHeight="1" x14ac:dyDescent="0.3">
      <c r="B291" s="105">
        <v>44519</v>
      </c>
      <c r="C291" s="107">
        <f t="shared" si="32"/>
        <v>1</v>
      </c>
      <c r="D291" s="106">
        <v>4.5574502618370154</v>
      </c>
      <c r="E291" s="106">
        <v>3.263881363310047</v>
      </c>
      <c r="F291" s="106">
        <v>1.2201833767659771</v>
      </c>
      <c r="G291" s="106">
        <v>2.5156255955326889</v>
      </c>
      <c r="H291" s="106">
        <v>2.851303519873861</v>
      </c>
      <c r="I291" s="106">
        <v>1.085154136049908</v>
      </c>
      <c r="J291" s="106">
        <v>4.018662865954326</v>
      </c>
      <c r="K291" s="30">
        <f t="shared" si="33"/>
        <v>-3.6179538473804396E-2</v>
      </c>
      <c r="L291" s="30">
        <f t="shared" si="34"/>
        <v>-1.535056386804301E-2</v>
      </c>
      <c r="M291" s="30">
        <f t="shared" si="35"/>
        <v>-3.5252129598549731E-2</v>
      </c>
      <c r="N291" s="30">
        <f t="shared" si="36"/>
        <v>-3.6957817937960269E-2</v>
      </c>
      <c r="O291" s="30">
        <f t="shared" si="37"/>
        <v>-3.0995224632330287E-2</v>
      </c>
      <c r="P291" s="30">
        <f t="shared" si="38"/>
        <v>-4.1433122397736666E-2</v>
      </c>
      <c r="Q291" s="30">
        <f t="shared" si="39"/>
        <v>-1.0281657357814611E-2</v>
      </c>
    </row>
    <row r="292" spans="2:17" ht="13.95" customHeight="1" x14ac:dyDescent="0.3">
      <c r="B292" s="105">
        <v>44526</v>
      </c>
      <c r="C292" s="107">
        <f t="shared" si="32"/>
        <v>1</v>
      </c>
      <c r="D292" s="106">
        <v>4.5447570805503172</v>
      </c>
      <c r="E292" s="106">
        <v>3.0905757626043289</v>
      </c>
      <c r="F292" s="106">
        <v>1.1367337425791759</v>
      </c>
      <c r="G292" s="106">
        <v>2.655204172686624</v>
      </c>
      <c r="H292" s="106">
        <v>2.8297058004247431</v>
      </c>
      <c r="I292" s="106">
        <v>1.0149668542504959</v>
      </c>
      <c r="J292" s="106">
        <v>3.68546277190348</v>
      </c>
      <c r="K292" s="30">
        <f t="shared" si="33"/>
        <v>-2.7851497125460645E-3</v>
      </c>
      <c r="L292" s="30">
        <f t="shared" si="34"/>
        <v>-5.3098008602237012E-2</v>
      </c>
      <c r="M292" s="30">
        <f t="shared" si="35"/>
        <v>-6.8391059717580638E-2</v>
      </c>
      <c r="N292" s="30">
        <f t="shared" si="36"/>
        <v>5.5484638652827378E-2</v>
      </c>
      <c r="O292" s="30">
        <f t="shared" si="37"/>
        <v>-7.5746827016414109E-3</v>
      </c>
      <c r="P292" s="30">
        <f t="shared" si="38"/>
        <v>-6.4679550552055431E-2</v>
      </c>
      <c r="Q292" s="30">
        <f t="shared" si="39"/>
        <v>-8.2913174148964042E-2</v>
      </c>
    </row>
    <row r="293" spans="2:17" ht="13.95" customHeight="1" x14ac:dyDescent="0.3">
      <c r="B293" s="105">
        <v>44533</v>
      </c>
      <c r="C293" s="107">
        <f t="shared" si="32"/>
        <v>1</v>
      </c>
      <c r="D293" s="106">
        <v>4.574807643287131</v>
      </c>
      <c r="E293" s="106">
        <v>3.075807297427589</v>
      </c>
      <c r="F293" s="106">
        <v>1.1330547040432279</v>
      </c>
      <c r="G293" s="106">
        <v>2.8774027096835448</v>
      </c>
      <c r="H293" s="106">
        <v>2.9128906168224749</v>
      </c>
      <c r="I293" s="106">
        <v>1.0106724502143429</v>
      </c>
      <c r="J293" s="106">
        <v>3.6881308294831059</v>
      </c>
      <c r="K293" s="30">
        <f t="shared" si="33"/>
        <v>6.6121383836812431E-3</v>
      </c>
      <c r="L293" s="30">
        <f t="shared" si="34"/>
        <v>-4.7785481771509541E-3</v>
      </c>
      <c r="M293" s="30">
        <f t="shared" si="35"/>
        <v>-3.2364998047832438E-3</v>
      </c>
      <c r="N293" s="30">
        <f t="shared" si="36"/>
        <v>8.3684162326429723E-2</v>
      </c>
      <c r="O293" s="30">
        <f t="shared" si="37"/>
        <v>2.9396984091153877E-2</v>
      </c>
      <c r="P293" s="30">
        <f t="shared" si="38"/>
        <v>-4.2310781068060077E-3</v>
      </c>
      <c r="Q293" s="30">
        <f t="shared" si="39"/>
        <v>7.2394099323602745E-4</v>
      </c>
    </row>
    <row r="294" spans="2:17" ht="13.95" customHeight="1" x14ac:dyDescent="0.3">
      <c r="B294" s="105">
        <v>44540</v>
      </c>
      <c r="C294" s="107">
        <f t="shared" si="32"/>
        <v>1</v>
      </c>
      <c r="D294" s="106">
        <v>4.5925842628812834</v>
      </c>
      <c r="E294" s="106">
        <v>3.1177054707474059</v>
      </c>
      <c r="F294" s="106">
        <v>1.179103519790637</v>
      </c>
      <c r="G294" s="106">
        <v>2.9957118273376411</v>
      </c>
      <c r="H294" s="106">
        <v>2.9877567881346918</v>
      </c>
      <c r="I294" s="106">
        <v>1.0371104670744971</v>
      </c>
      <c r="J294" s="106">
        <v>4.0497615335541166</v>
      </c>
      <c r="K294" s="30">
        <f t="shared" si="33"/>
        <v>3.8857632889193194E-3</v>
      </c>
      <c r="L294" s="30">
        <f t="shared" si="34"/>
        <v>1.3621845996287796E-2</v>
      </c>
      <c r="M294" s="30">
        <f t="shared" si="35"/>
        <v>4.064129965048191E-2</v>
      </c>
      <c r="N294" s="30">
        <f t="shared" si="36"/>
        <v>4.1116635240504129E-2</v>
      </c>
      <c r="O294" s="30">
        <f t="shared" si="37"/>
        <v>2.5701676156272724E-2</v>
      </c>
      <c r="P294" s="30">
        <f t="shared" si="38"/>
        <v>2.6158837964314952E-2</v>
      </c>
      <c r="Q294" s="30">
        <f t="shared" si="39"/>
        <v>9.8052569388297206E-2</v>
      </c>
    </row>
    <row r="295" spans="2:17" ht="13.95" customHeight="1" x14ac:dyDescent="0.3">
      <c r="B295" s="105">
        <v>44547</v>
      </c>
      <c r="C295" s="107">
        <f t="shared" si="32"/>
        <v>1</v>
      </c>
      <c r="D295" s="106">
        <v>4.4422871919196316</v>
      </c>
      <c r="E295" s="106">
        <v>3.1489053891028629</v>
      </c>
      <c r="F295" s="106">
        <v>1.1473477159963039</v>
      </c>
      <c r="G295" s="106">
        <v>3.029024433246839</v>
      </c>
      <c r="H295" s="106">
        <v>2.9720674765499711</v>
      </c>
      <c r="I295" s="106">
        <v>1.010416514972968</v>
      </c>
      <c r="J295" s="106">
        <v>3.9227884546885501</v>
      </c>
      <c r="K295" s="30">
        <f t="shared" si="33"/>
        <v>-3.2726034484854227E-2</v>
      </c>
      <c r="L295" s="30">
        <f t="shared" si="34"/>
        <v>1.0007333485538394E-2</v>
      </c>
      <c r="M295" s="30">
        <f t="shared" si="35"/>
        <v>-2.6932159272980316E-2</v>
      </c>
      <c r="N295" s="30">
        <f t="shared" si="36"/>
        <v>1.1120096934958967E-2</v>
      </c>
      <c r="O295" s="30">
        <f t="shared" si="37"/>
        <v>-5.2512010505767481E-3</v>
      </c>
      <c r="P295" s="30">
        <f t="shared" si="38"/>
        <v>-2.5738774170149803E-2</v>
      </c>
      <c r="Q295" s="30">
        <f t="shared" si="39"/>
        <v>-3.135322359441084E-2</v>
      </c>
    </row>
    <row r="296" spans="2:17" ht="13.95" customHeight="1" x14ac:dyDescent="0.3">
      <c r="B296" s="105">
        <v>44554</v>
      </c>
      <c r="C296" s="107">
        <f t="shared" si="32"/>
        <v>1</v>
      </c>
      <c r="D296" s="106">
        <v>4.3212266074111083</v>
      </c>
      <c r="E296" s="106">
        <v>3.0957450099857842</v>
      </c>
      <c r="F296" s="106">
        <v>1.113120100570534</v>
      </c>
      <c r="G296" s="106">
        <v>2.9802838505299798</v>
      </c>
      <c r="H296" s="106">
        <v>2.9099554139252701</v>
      </c>
      <c r="I296" s="106">
        <v>0.96852941811145365</v>
      </c>
      <c r="J296" s="106">
        <v>3.9756594709403181</v>
      </c>
      <c r="K296" s="30">
        <f t="shared" si="33"/>
        <v>-2.7251859071319884E-2</v>
      </c>
      <c r="L296" s="30">
        <f t="shared" si="34"/>
        <v>-1.6882177311851376E-2</v>
      </c>
      <c r="M296" s="30">
        <f t="shared" si="35"/>
        <v>-2.9831946277984467E-2</v>
      </c>
      <c r="N296" s="30">
        <f t="shared" si="36"/>
        <v>-1.6091181761981987E-2</v>
      </c>
      <c r="O296" s="30">
        <f t="shared" si="37"/>
        <v>-2.0898604461296322E-2</v>
      </c>
      <c r="P296" s="30">
        <f t="shared" si="38"/>
        <v>-4.1455277344348396E-2</v>
      </c>
      <c r="Q296" s="30">
        <f t="shared" si="39"/>
        <v>1.3477916758059205E-2</v>
      </c>
    </row>
    <row r="297" spans="2:17" ht="13.95" customHeight="1" x14ac:dyDescent="0.3">
      <c r="B297" s="105">
        <v>44561</v>
      </c>
      <c r="C297" s="107">
        <f t="shared" si="32"/>
        <v>1</v>
      </c>
      <c r="D297" s="106">
        <v>4.274144649673203</v>
      </c>
      <c r="E297" s="106">
        <v>3.096507804366543</v>
      </c>
      <c r="F297" s="106">
        <v>1.124821318464176</v>
      </c>
      <c r="G297" s="106">
        <v>2.9838284945388969</v>
      </c>
      <c r="H297" s="106">
        <v>2.9090280376478219</v>
      </c>
      <c r="I297" s="106">
        <v>0.98315519560436837</v>
      </c>
      <c r="J297" s="106">
        <v>3.9531573552437278</v>
      </c>
      <c r="K297" s="30">
        <f t="shared" si="33"/>
        <v>-1.0895507691533135E-2</v>
      </c>
      <c r="L297" s="30">
        <f t="shared" si="34"/>
        <v>2.4640090779382007E-4</v>
      </c>
      <c r="M297" s="30">
        <f t="shared" si="35"/>
        <v>1.0512089295346083E-2</v>
      </c>
      <c r="N297" s="30">
        <f t="shared" si="36"/>
        <v>1.1893645661593677E-3</v>
      </c>
      <c r="O297" s="30">
        <f t="shared" si="37"/>
        <v>-3.1869088887426233E-4</v>
      </c>
      <c r="P297" s="30">
        <f t="shared" si="38"/>
        <v>1.5101015229288306E-2</v>
      </c>
      <c r="Q297" s="30">
        <f t="shared" si="39"/>
        <v>-5.6599705938266132E-3</v>
      </c>
    </row>
    <row r="298" spans="2:17" ht="13.95" customHeight="1" x14ac:dyDescent="0.3">
      <c r="B298" s="105">
        <v>44568</v>
      </c>
      <c r="C298" s="107">
        <f t="shared" si="32"/>
        <v>1</v>
      </c>
      <c r="D298" s="106">
        <v>4.3737119742238137</v>
      </c>
      <c r="E298" s="106">
        <v>2.892185405117714</v>
      </c>
      <c r="F298" s="106">
        <v>1.0111181070142541</v>
      </c>
      <c r="G298" s="106">
        <v>3.0341903271843629</v>
      </c>
      <c r="H298" s="106">
        <v>2.8509219429153059</v>
      </c>
      <c r="I298" s="106">
        <v>0.87990867674616824</v>
      </c>
      <c r="J298" s="106">
        <v>3.6089485838045041</v>
      </c>
      <c r="K298" s="30">
        <f t="shared" si="33"/>
        <v>2.3295263195695526E-2</v>
      </c>
      <c r="L298" s="30">
        <f t="shared" si="34"/>
        <v>-6.5984784201319813E-2</v>
      </c>
      <c r="M298" s="30">
        <f t="shared" si="35"/>
        <v>-0.10108557651198469</v>
      </c>
      <c r="N298" s="30">
        <f t="shared" si="36"/>
        <v>1.687825983887481E-2</v>
      </c>
      <c r="O298" s="30">
        <f t="shared" si="37"/>
        <v>-1.9974401752242743E-2</v>
      </c>
      <c r="P298" s="30">
        <f t="shared" si="38"/>
        <v>-0.10501548414717177</v>
      </c>
      <c r="Q298" s="30">
        <f t="shared" si="39"/>
        <v>-8.7071861934016503E-2</v>
      </c>
    </row>
    <row r="299" spans="2:17" ht="13.95" customHeight="1" x14ac:dyDescent="0.3">
      <c r="B299" s="105">
        <v>44575</v>
      </c>
      <c r="C299" s="107">
        <f t="shared" si="32"/>
        <v>1</v>
      </c>
      <c r="D299" s="106">
        <v>4.5557864926819764</v>
      </c>
      <c r="E299" s="106">
        <v>2.9783407668675599</v>
      </c>
      <c r="F299" s="106">
        <v>1.04157192743712</v>
      </c>
      <c r="G299" s="106">
        <v>3.188940473856118</v>
      </c>
      <c r="H299" s="106">
        <v>2.9677401770863061</v>
      </c>
      <c r="I299" s="106">
        <v>0.91234396340114643</v>
      </c>
      <c r="J299" s="106">
        <v>3.6325730119319388</v>
      </c>
      <c r="K299" s="30">
        <f t="shared" si="33"/>
        <v>4.1629288698297184E-2</v>
      </c>
      <c r="L299" s="30">
        <f t="shared" si="34"/>
        <v>2.9789017535803319E-2</v>
      </c>
      <c r="M299" s="30">
        <f t="shared" si="35"/>
        <v>3.011895466177883E-2</v>
      </c>
      <c r="N299" s="30">
        <f t="shared" si="36"/>
        <v>5.1002122472441735E-2</v>
      </c>
      <c r="O299" s="30">
        <f t="shared" si="37"/>
        <v>4.0975598950121928E-2</v>
      </c>
      <c r="P299" s="30">
        <f t="shared" si="38"/>
        <v>3.6862105707289095E-2</v>
      </c>
      <c r="Q299" s="30">
        <f t="shared" si="39"/>
        <v>6.5460694656198637E-3</v>
      </c>
    </row>
    <row r="300" spans="2:17" ht="13.95" customHeight="1" x14ac:dyDescent="0.3">
      <c r="B300" s="105">
        <v>44582</v>
      </c>
      <c r="C300" s="107">
        <f t="shared" si="32"/>
        <v>1</v>
      </c>
      <c r="D300" s="106">
        <v>4.6731324952365387</v>
      </c>
      <c r="E300" s="106">
        <v>3.0324180120585931</v>
      </c>
      <c r="F300" s="106">
        <v>1.1010897560033051</v>
      </c>
      <c r="G300" s="106">
        <v>3.195051319430485</v>
      </c>
      <c r="H300" s="106">
        <v>3.0237257404233802</v>
      </c>
      <c r="I300" s="106">
        <v>0.98396418106723882</v>
      </c>
      <c r="J300" s="106">
        <v>3.5607424588531842</v>
      </c>
      <c r="K300" s="30">
        <f t="shared" si="33"/>
        <v>2.5757572867617151E-2</v>
      </c>
      <c r="L300" s="30">
        <f t="shared" si="34"/>
        <v>1.8156836112446673E-2</v>
      </c>
      <c r="M300" s="30">
        <f t="shared" si="35"/>
        <v>5.7142312497451719E-2</v>
      </c>
      <c r="N300" s="30">
        <f t="shared" si="36"/>
        <v>1.916262038901495E-3</v>
      </c>
      <c r="O300" s="30">
        <f t="shared" si="37"/>
        <v>1.8864711867074613E-2</v>
      </c>
      <c r="P300" s="30">
        <f t="shared" si="38"/>
        <v>7.8501333421550745E-2</v>
      </c>
      <c r="Q300" s="30">
        <f t="shared" si="39"/>
        <v>-1.9774014959317299E-2</v>
      </c>
    </row>
    <row r="301" spans="2:17" ht="13.95" customHeight="1" x14ac:dyDescent="0.3">
      <c r="B301" s="105">
        <v>44589</v>
      </c>
      <c r="C301" s="107">
        <f t="shared" si="32"/>
        <v>1</v>
      </c>
      <c r="D301" s="106">
        <v>4.9837357036295007</v>
      </c>
      <c r="E301" s="106">
        <v>3.0971975275652222</v>
      </c>
      <c r="F301" s="106">
        <v>1.1239896522463151</v>
      </c>
      <c r="G301" s="106">
        <v>3.2285058842321659</v>
      </c>
      <c r="H301" s="106">
        <v>3.1069105023961292</v>
      </c>
      <c r="I301" s="106">
        <v>1.005611385644523</v>
      </c>
      <c r="J301" s="106">
        <v>3.617831683091012</v>
      </c>
      <c r="K301" s="30">
        <f t="shared" si="33"/>
        <v>6.6465739781521149E-2</v>
      </c>
      <c r="L301" s="30">
        <f t="shared" si="34"/>
        <v>2.1362330407295183E-2</v>
      </c>
      <c r="M301" s="30">
        <f t="shared" si="35"/>
        <v>2.0797483691185281E-2</v>
      </c>
      <c r="N301" s="30">
        <f t="shared" si="36"/>
        <v>1.0470744115510522E-2</v>
      </c>
      <c r="O301" s="30">
        <f t="shared" si="37"/>
        <v>2.7510683545360681E-2</v>
      </c>
      <c r="P301" s="30">
        <f t="shared" si="38"/>
        <v>2.1999992473104912E-2</v>
      </c>
      <c r="Q301" s="30">
        <f t="shared" si="39"/>
        <v>1.6032955176492836E-2</v>
      </c>
    </row>
    <row r="302" spans="2:17" ht="13.95" customHeight="1" x14ac:dyDescent="0.3">
      <c r="B302" s="105">
        <v>44596</v>
      </c>
      <c r="C302" s="107">
        <f t="shared" si="32"/>
        <v>1</v>
      </c>
      <c r="D302" s="106">
        <v>4.9836571719549712</v>
      </c>
      <c r="E302" s="106">
        <v>3.0533548772749488</v>
      </c>
      <c r="F302" s="106">
        <v>1.096330781672213</v>
      </c>
      <c r="G302" s="106">
        <v>3.3101247361937962</v>
      </c>
      <c r="H302" s="106">
        <v>3.116288279369519</v>
      </c>
      <c r="I302" s="106">
        <v>0.98187869787529281</v>
      </c>
      <c r="J302" s="106">
        <v>3.51428666384344</v>
      </c>
      <c r="K302" s="30">
        <f t="shared" si="33"/>
        <v>-1.5757592135567933E-5</v>
      </c>
      <c r="L302" s="30">
        <f t="shared" si="34"/>
        <v>-1.4155587397985281E-2</v>
      </c>
      <c r="M302" s="30">
        <f t="shared" si="35"/>
        <v>-2.4607762641609132E-2</v>
      </c>
      <c r="N302" s="30">
        <f t="shared" si="36"/>
        <v>2.5280688618302349E-2</v>
      </c>
      <c r="O302" s="30">
        <f t="shared" si="37"/>
        <v>3.0183608334251044E-3</v>
      </c>
      <c r="P302" s="30">
        <f t="shared" si="38"/>
        <v>-2.3600257622400811E-2</v>
      </c>
      <c r="Q302" s="30">
        <f t="shared" si="39"/>
        <v>-2.8620739801555661E-2</v>
      </c>
    </row>
    <row r="303" spans="2:17" ht="13.95" customHeight="1" x14ac:dyDescent="0.3">
      <c r="B303" s="105">
        <v>44603</v>
      </c>
      <c r="C303" s="107">
        <f t="shared" si="32"/>
        <v>1</v>
      </c>
      <c r="D303" s="106">
        <v>4.9696705996622033</v>
      </c>
      <c r="E303" s="106">
        <v>3.1101106043080371</v>
      </c>
      <c r="F303" s="106">
        <v>1.0865438033314589</v>
      </c>
      <c r="G303" s="106">
        <v>3.3904062848083791</v>
      </c>
      <c r="H303" s="106">
        <v>3.153141879598536</v>
      </c>
      <c r="I303" s="106">
        <v>0.97876428665962256</v>
      </c>
      <c r="J303" s="106">
        <v>3.4020076999135851</v>
      </c>
      <c r="K303" s="30">
        <f t="shared" si="33"/>
        <v>-2.8064876475605294E-3</v>
      </c>
      <c r="L303" s="30">
        <f t="shared" si="34"/>
        <v>1.8587989052796017E-2</v>
      </c>
      <c r="M303" s="30">
        <f t="shared" si="35"/>
        <v>-8.9270305133877237E-3</v>
      </c>
      <c r="N303" s="30">
        <f t="shared" si="36"/>
        <v>2.4253330316154731E-2</v>
      </c>
      <c r="O303" s="30">
        <f t="shared" si="37"/>
        <v>1.1826120347400382E-2</v>
      </c>
      <c r="P303" s="30">
        <f t="shared" si="38"/>
        <v>-3.1718899925312627E-3</v>
      </c>
      <c r="Q303" s="30">
        <f t="shared" si="39"/>
        <v>-3.1949290046549561E-2</v>
      </c>
    </row>
    <row r="304" spans="2:17" ht="13.95" customHeight="1" x14ac:dyDescent="0.3">
      <c r="B304" s="105">
        <v>44610</v>
      </c>
      <c r="C304" s="107">
        <f t="shared" si="32"/>
        <v>1</v>
      </c>
      <c r="D304" s="106">
        <v>5.0671294387161794</v>
      </c>
      <c r="E304" s="106">
        <v>3.1427036348828441</v>
      </c>
      <c r="F304" s="106">
        <v>1.1208917920088359</v>
      </c>
      <c r="G304" s="106">
        <v>3.2339401323687951</v>
      </c>
      <c r="H304" s="106">
        <v>3.130676758640544</v>
      </c>
      <c r="I304" s="106">
        <v>1.0151461491884599</v>
      </c>
      <c r="J304" s="106">
        <v>3.4316499870788348</v>
      </c>
      <c r="K304" s="30">
        <f t="shared" si="33"/>
        <v>1.9610724111292388E-2</v>
      </c>
      <c r="L304" s="30">
        <f t="shared" si="34"/>
        <v>1.0479701438804057E-2</v>
      </c>
      <c r="M304" s="30">
        <f t="shared" si="35"/>
        <v>3.1612152747144018E-2</v>
      </c>
      <c r="N304" s="30">
        <f t="shared" si="36"/>
        <v>-4.6149676261713068E-2</v>
      </c>
      <c r="O304" s="30">
        <f t="shared" si="37"/>
        <v>-7.1246781197338294E-3</v>
      </c>
      <c r="P304" s="30">
        <f t="shared" si="38"/>
        <v>3.7171219899127417E-2</v>
      </c>
      <c r="Q304" s="30">
        <f t="shared" si="39"/>
        <v>8.7131746250905806E-3</v>
      </c>
    </row>
    <row r="305" spans="2:17" ht="13.95" customHeight="1" x14ac:dyDescent="0.3">
      <c r="B305" s="105">
        <v>44617</v>
      </c>
      <c r="C305" s="107">
        <f t="shared" si="32"/>
        <v>1</v>
      </c>
      <c r="D305" s="106">
        <v>4.9221990043723576</v>
      </c>
      <c r="E305" s="106">
        <v>3.1706162457372922</v>
      </c>
      <c r="F305" s="106">
        <v>1.075855815409807</v>
      </c>
      <c r="G305" s="106">
        <v>3.345696855202009</v>
      </c>
      <c r="H305" s="106">
        <v>3.1389209057280918</v>
      </c>
      <c r="I305" s="106">
        <v>0.97069396292923738</v>
      </c>
      <c r="J305" s="106">
        <v>3.3462439182986108</v>
      </c>
      <c r="K305" s="30">
        <f t="shared" si="33"/>
        <v>-2.8602078572625089E-2</v>
      </c>
      <c r="L305" s="30">
        <f t="shared" si="34"/>
        <v>8.8817190856396167E-3</v>
      </c>
      <c r="M305" s="30">
        <f t="shared" si="35"/>
        <v>-4.0178701387683868E-2</v>
      </c>
      <c r="N305" s="30">
        <f t="shared" si="36"/>
        <v>3.4557449507067517E-2</v>
      </c>
      <c r="O305" s="30">
        <f t="shared" si="37"/>
        <v>2.6333434343850382E-3</v>
      </c>
      <c r="P305" s="30">
        <f t="shared" si="38"/>
        <v>-4.378895225555357E-2</v>
      </c>
      <c r="Q305" s="30">
        <f t="shared" si="39"/>
        <v>-2.4887756356797075E-2</v>
      </c>
    </row>
    <row r="306" spans="2:17" ht="13.95" customHeight="1" x14ac:dyDescent="0.3">
      <c r="B306" s="105">
        <v>44624</v>
      </c>
      <c r="C306" s="107">
        <f t="shared" si="32"/>
        <v>1</v>
      </c>
      <c r="D306" s="106">
        <v>4.8081168894107904</v>
      </c>
      <c r="E306" s="106">
        <v>3.1032583694640001</v>
      </c>
      <c r="F306" s="106">
        <v>1.0498781962407171</v>
      </c>
      <c r="G306" s="106">
        <v>3.5611487283394112</v>
      </c>
      <c r="H306" s="106">
        <v>3.1760187190526881</v>
      </c>
      <c r="I306" s="106">
        <v>0.93230127870231461</v>
      </c>
      <c r="J306" s="106">
        <v>3.480701551838179</v>
      </c>
      <c r="K306" s="30">
        <f t="shared" si="33"/>
        <v>-2.3177062703118811E-2</v>
      </c>
      <c r="L306" s="30">
        <f t="shared" si="34"/>
        <v>-2.1244411512699068E-2</v>
      </c>
      <c r="M306" s="30">
        <f t="shared" si="35"/>
        <v>-2.4146004322330827E-2</v>
      </c>
      <c r="N306" s="30">
        <f t="shared" si="36"/>
        <v>6.4396710898182441E-2</v>
      </c>
      <c r="O306" s="30">
        <f t="shared" si="37"/>
        <v>1.1818651835698635E-2</v>
      </c>
      <c r="P306" s="30">
        <f t="shared" si="38"/>
        <v>-3.95517904644902E-2</v>
      </c>
      <c r="Q306" s="30">
        <f t="shared" si="39"/>
        <v>4.0181659443383477E-2</v>
      </c>
    </row>
    <row r="307" spans="2:17" ht="13.95" customHeight="1" x14ac:dyDescent="0.3">
      <c r="B307" s="105">
        <v>44631</v>
      </c>
      <c r="C307" s="107">
        <f t="shared" si="32"/>
        <v>1</v>
      </c>
      <c r="D307" s="106">
        <v>4.7680572862985731</v>
      </c>
      <c r="E307" s="106">
        <v>3.0331166011915109</v>
      </c>
      <c r="F307" s="106">
        <v>1.004625377487655</v>
      </c>
      <c r="G307" s="106">
        <v>3.4632279728778461</v>
      </c>
      <c r="H307" s="106">
        <v>3.0995187952083678</v>
      </c>
      <c r="I307" s="106">
        <v>0.8922339740458175</v>
      </c>
      <c r="J307" s="106">
        <v>3.3289803011239401</v>
      </c>
      <c r="K307" s="30">
        <f t="shared" si="33"/>
        <v>-8.3316616533268828E-3</v>
      </c>
      <c r="L307" s="30">
        <f t="shared" si="34"/>
        <v>-2.2602619544245139E-2</v>
      </c>
      <c r="M307" s="30">
        <f t="shared" si="35"/>
        <v>-4.3102922715318903E-2</v>
      </c>
      <c r="N307" s="30">
        <f t="shared" si="36"/>
        <v>-2.7496957563810098E-2</v>
      </c>
      <c r="O307" s="30">
        <f t="shared" si="37"/>
        <v>-2.4086735819723981E-2</v>
      </c>
      <c r="P307" s="30">
        <f t="shared" si="38"/>
        <v>-4.2976777541555489E-2</v>
      </c>
      <c r="Q307" s="30">
        <f t="shared" si="39"/>
        <v>-4.3589273155037911E-2</v>
      </c>
    </row>
    <row r="308" spans="2:17" ht="13.95" customHeight="1" x14ac:dyDescent="0.3">
      <c r="B308" s="105">
        <v>44638</v>
      </c>
      <c r="C308" s="107">
        <f t="shared" si="32"/>
        <v>1</v>
      </c>
      <c r="D308" s="106">
        <v>5.0025898779977496</v>
      </c>
      <c r="E308" s="106">
        <v>3.2234358472569951</v>
      </c>
      <c r="F308" s="106">
        <v>1.0773183982894059</v>
      </c>
      <c r="G308" s="106">
        <v>3.4388397395285981</v>
      </c>
      <c r="H308" s="106">
        <v>3.198340954976167</v>
      </c>
      <c r="I308" s="106">
        <v>0.95620389003050443</v>
      </c>
      <c r="J308" s="106">
        <v>3.578361741411519</v>
      </c>
      <c r="K308" s="30">
        <f t="shared" si="33"/>
        <v>4.9188291502521686E-2</v>
      </c>
      <c r="L308" s="30">
        <f t="shared" si="34"/>
        <v>6.2747091882560779E-2</v>
      </c>
      <c r="M308" s="30">
        <f t="shared" si="35"/>
        <v>7.235833618252796E-2</v>
      </c>
      <c r="N308" s="30">
        <f t="shared" si="36"/>
        <v>-7.0420525418031232E-3</v>
      </c>
      <c r="O308" s="30">
        <f t="shared" si="37"/>
        <v>3.1883065177914505E-2</v>
      </c>
      <c r="P308" s="30">
        <f t="shared" si="38"/>
        <v>7.1696346300978098E-2</v>
      </c>
      <c r="Q308" s="30">
        <f t="shared" si="39"/>
        <v>7.4912260731426317E-2</v>
      </c>
    </row>
    <row r="309" spans="2:17" ht="13.95" customHeight="1" x14ac:dyDescent="0.3">
      <c r="B309" s="105">
        <v>44645</v>
      </c>
      <c r="C309" s="107">
        <f t="shared" si="32"/>
        <v>1</v>
      </c>
      <c r="D309" s="106">
        <v>5.2854802391723226</v>
      </c>
      <c r="E309" s="106">
        <v>3.2925368765554772</v>
      </c>
      <c r="F309" s="106">
        <v>1.1662787029317641</v>
      </c>
      <c r="G309" s="106">
        <v>3.4669395880319018</v>
      </c>
      <c r="H309" s="106">
        <v>3.3024307981043441</v>
      </c>
      <c r="I309" s="106">
        <v>1.0578603423504009</v>
      </c>
      <c r="J309" s="106">
        <v>3.5471372570603341</v>
      </c>
      <c r="K309" s="30">
        <f t="shared" si="33"/>
        <v>5.654878134599306E-2</v>
      </c>
      <c r="L309" s="30">
        <f t="shared" si="34"/>
        <v>2.143707291624386E-2</v>
      </c>
      <c r="M309" s="30">
        <f t="shared" si="35"/>
        <v>8.2575684944777406E-2</v>
      </c>
      <c r="N309" s="30">
        <f t="shared" si="36"/>
        <v>8.171316674139506E-3</v>
      </c>
      <c r="O309" s="30">
        <f t="shared" si="37"/>
        <v>3.2544948957436315E-2</v>
      </c>
      <c r="P309" s="30">
        <f t="shared" si="38"/>
        <v>0.10631252746383768</v>
      </c>
      <c r="Q309" s="30">
        <f t="shared" si="39"/>
        <v>-8.7259161056388868E-3</v>
      </c>
    </row>
    <row r="310" spans="2:17" ht="13.95" customHeight="1" x14ac:dyDescent="0.3">
      <c r="B310" s="105">
        <v>44652</v>
      </c>
      <c r="C310" s="107">
        <f t="shared" si="32"/>
        <v>1</v>
      </c>
      <c r="D310" s="106">
        <v>5.3338298795793024</v>
      </c>
      <c r="E310" s="106">
        <v>3.4274646041351029</v>
      </c>
      <c r="F310" s="106">
        <v>1.223398887982198</v>
      </c>
      <c r="G310" s="106">
        <v>3.488112578387728</v>
      </c>
      <c r="H310" s="106">
        <v>3.3715250399668708</v>
      </c>
      <c r="I310" s="106">
        <v>1.106614770383338</v>
      </c>
      <c r="J310" s="106">
        <v>3.7644912964129782</v>
      </c>
      <c r="K310" s="30">
        <f t="shared" si="33"/>
        <v>9.1476343149758943E-3</v>
      </c>
      <c r="L310" s="30">
        <f t="shared" si="34"/>
        <v>4.0979868301667111E-2</v>
      </c>
      <c r="M310" s="30">
        <f t="shared" si="35"/>
        <v>4.8976445258621659E-2</v>
      </c>
      <c r="N310" s="30">
        <f t="shared" si="36"/>
        <v>6.1071125752858446E-3</v>
      </c>
      <c r="O310" s="30">
        <f t="shared" si="37"/>
        <v>2.0922237614241057E-2</v>
      </c>
      <c r="P310" s="30">
        <f t="shared" si="38"/>
        <v>4.6087773670210774E-2</v>
      </c>
      <c r="Q310" s="30">
        <f t="shared" si="39"/>
        <v>6.1275903242823615E-2</v>
      </c>
    </row>
    <row r="311" spans="2:17" ht="13.95" customHeight="1" x14ac:dyDescent="0.3">
      <c r="B311" s="105">
        <v>44659</v>
      </c>
      <c r="C311" s="107">
        <f t="shared" si="32"/>
        <v>1</v>
      </c>
      <c r="D311" s="106">
        <v>5.1675365715193946</v>
      </c>
      <c r="E311" s="106">
        <v>3.3356985773531509</v>
      </c>
      <c r="F311" s="106">
        <v>1.1293785607313369</v>
      </c>
      <c r="G311" s="106">
        <v>3.4715701871560518</v>
      </c>
      <c r="H311" s="106">
        <v>3.281469489827185</v>
      </c>
      <c r="I311" s="106">
        <v>1.012470484632132</v>
      </c>
      <c r="J311" s="106">
        <v>3.606793894474924</v>
      </c>
      <c r="K311" s="30">
        <f t="shared" si="33"/>
        <v>-3.117709259842838E-2</v>
      </c>
      <c r="L311" s="30">
        <f t="shared" si="34"/>
        <v>-2.6773734343234268E-2</v>
      </c>
      <c r="M311" s="30">
        <f t="shared" si="35"/>
        <v>-7.6851735091841289E-2</v>
      </c>
      <c r="N311" s="30">
        <f t="shared" si="36"/>
        <v>-4.7425049679223896E-3</v>
      </c>
      <c r="O311" s="30">
        <f t="shared" si="37"/>
        <v>-2.6710627704716883E-2</v>
      </c>
      <c r="P311" s="30">
        <f t="shared" si="38"/>
        <v>-8.5074127212845574E-2</v>
      </c>
      <c r="Q311" s="30">
        <f t="shared" si="39"/>
        <v>-4.189076013758275E-2</v>
      </c>
    </row>
    <row r="312" spans="2:17" ht="13.95" customHeight="1" x14ac:dyDescent="0.3">
      <c r="B312" s="105">
        <v>44666</v>
      </c>
      <c r="C312" s="107">
        <f t="shared" si="32"/>
        <v>1</v>
      </c>
      <c r="D312" s="106">
        <v>5.0554302914137628</v>
      </c>
      <c r="E312" s="106">
        <v>3.2588929846572001</v>
      </c>
      <c r="F312" s="106">
        <v>1.1001123268930539</v>
      </c>
      <c r="G312" s="106">
        <v>3.43689750052385</v>
      </c>
      <c r="H312" s="106">
        <v>3.2223059189997438</v>
      </c>
      <c r="I312" s="106">
        <v>0.99173444378312237</v>
      </c>
      <c r="J312" s="106">
        <v>3.433765799601193</v>
      </c>
      <c r="K312" s="30">
        <f t="shared" si="33"/>
        <v>-2.1694337050946033E-2</v>
      </c>
      <c r="L312" s="30">
        <f t="shared" si="34"/>
        <v>-2.3025339644715537E-2</v>
      </c>
      <c r="M312" s="30">
        <f t="shared" si="35"/>
        <v>-2.5913573053247485E-2</v>
      </c>
      <c r="N312" s="30">
        <f t="shared" si="36"/>
        <v>-9.9876092842605679E-3</v>
      </c>
      <c r="O312" s="30">
        <f t="shared" si="37"/>
        <v>-1.8029596499633094E-2</v>
      </c>
      <c r="P312" s="30">
        <f t="shared" si="38"/>
        <v>-2.0480637375363875E-2</v>
      </c>
      <c r="Q312" s="30">
        <f t="shared" si="39"/>
        <v>-4.7972825710608125E-2</v>
      </c>
    </row>
    <row r="313" spans="2:17" ht="13.95" customHeight="1" x14ac:dyDescent="0.3">
      <c r="B313" s="105">
        <v>44673</v>
      </c>
      <c r="C313" s="107">
        <f t="shared" si="32"/>
        <v>1</v>
      </c>
      <c r="D313" s="106">
        <v>4.9836916333074122</v>
      </c>
      <c r="E313" s="106">
        <v>3.1530014082536209</v>
      </c>
      <c r="F313" s="106">
        <v>1.06966481778958</v>
      </c>
      <c r="G313" s="106">
        <v>3.182936355146166</v>
      </c>
      <c r="H313" s="106">
        <v>3.0812346712891459</v>
      </c>
      <c r="I313" s="106">
        <v>0.9636706446939225</v>
      </c>
      <c r="J313" s="106">
        <v>3.3476379773836711</v>
      </c>
      <c r="K313" s="30">
        <f t="shared" si="33"/>
        <v>-1.4190415844165249E-2</v>
      </c>
      <c r="L313" s="30">
        <f t="shared" si="34"/>
        <v>-3.2493112508485078E-2</v>
      </c>
      <c r="M313" s="30">
        <f t="shared" si="35"/>
        <v>-2.7676727511511512E-2</v>
      </c>
      <c r="N313" s="30">
        <f t="shared" si="36"/>
        <v>-7.3892557266830194E-2</v>
      </c>
      <c r="O313" s="30">
        <f t="shared" si="37"/>
        <v>-4.3779594879181705E-2</v>
      </c>
      <c r="P313" s="30">
        <f t="shared" si="38"/>
        <v>-2.8297695280347646E-2</v>
      </c>
      <c r="Q313" s="30">
        <f t="shared" si="39"/>
        <v>-2.5082614029042105E-2</v>
      </c>
    </row>
    <row r="314" spans="2:17" ht="13.95" customHeight="1" x14ac:dyDescent="0.3">
      <c r="B314" s="105">
        <v>44680</v>
      </c>
      <c r="C314" s="107">
        <f t="shared" si="32"/>
        <v>1</v>
      </c>
      <c r="D314" s="106">
        <v>4.6546838485656599</v>
      </c>
      <c r="E314" s="106">
        <v>3.0550151314576728</v>
      </c>
      <c r="F314" s="106">
        <v>1.01278815586451</v>
      </c>
      <c r="G314" s="106">
        <v>3.202077874895231</v>
      </c>
      <c r="H314" s="106">
        <v>2.9933141993434051</v>
      </c>
      <c r="I314" s="106">
        <v>0.90594185864183163</v>
      </c>
      <c r="J314" s="106">
        <v>3.2634811824216472</v>
      </c>
      <c r="K314" s="30">
        <f t="shared" si="33"/>
        <v>-6.6016882453741932E-2</v>
      </c>
      <c r="L314" s="30">
        <f t="shared" si="34"/>
        <v>-3.1077143365508486E-2</v>
      </c>
      <c r="M314" s="30">
        <f t="shared" si="35"/>
        <v>-5.3172415301648734E-2</v>
      </c>
      <c r="N314" s="30">
        <f t="shared" si="36"/>
        <v>6.0137928042818256E-3</v>
      </c>
      <c r="O314" s="30">
        <f t="shared" si="37"/>
        <v>-2.8534169359114681E-2</v>
      </c>
      <c r="P314" s="30">
        <f t="shared" si="38"/>
        <v>-5.9905099703879139E-2</v>
      </c>
      <c r="Q314" s="30">
        <f t="shared" si="39"/>
        <v>-2.5139156483042435E-2</v>
      </c>
    </row>
    <row r="315" spans="2:17" ht="13.95" customHeight="1" x14ac:dyDescent="0.3">
      <c r="B315" s="105">
        <v>44687</v>
      </c>
      <c r="C315" s="107">
        <f t="shared" si="32"/>
        <v>1</v>
      </c>
      <c r="D315" s="106">
        <v>4.532227119023494</v>
      </c>
      <c r="E315" s="106">
        <v>2.8996115265615048</v>
      </c>
      <c r="F315" s="106">
        <v>0.9518821858224753</v>
      </c>
      <c r="G315" s="106">
        <v>3.213816731011427</v>
      </c>
      <c r="H315" s="106">
        <v>2.917322479877686</v>
      </c>
      <c r="I315" s="106">
        <v>0.85557658578012286</v>
      </c>
      <c r="J315" s="106">
        <v>3.0077486249686349</v>
      </c>
      <c r="K315" s="30">
        <f t="shared" si="33"/>
        <v>-2.6308280761087821E-2</v>
      </c>
      <c r="L315" s="30">
        <f t="shared" si="34"/>
        <v>-5.0868358488954102E-2</v>
      </c>
      <c r="M315" s="30">
        <f t="shared" si="35"/>
        <v>-6.0136929612931489E-2</v>
      </c>
      <c r="N315" s="30">
        <f t="shared" si="36"/>
        <v>3.6660120630513937E-3</v>
      </c>
      <c r="O315" s="30">
        <f t="shared" si="37"/>
        <v>-2.5387150965437644E-2</v>
      </c>
      <c r="P315" s="30">
        <f t="shared" si="38"/>
        <v>-5.5594376594117478E-2</v>
      </c>
      <c r="Q315" s="30">
        <f t="shared" si="39"/>
        <v>-7.8361891231512271E-2</v>
      </c>
    </row>
    <row r="316" spans="2:17" ht="13.95" customHeight="1" x14ac:dyDescent="0.3">
      <c r="B316" s="105">
        <v>44694</v>
      </c>
      <c r="C316" s="107">
        <f t="shared" si="32"/>
        <v>1</v>
      </c>
      <c r="D316" s="106">
        <v>4.7053463145951788</v>
      </c>
      <c r="E316" s="106">
        <v>2.9567070458032818</v>
      </c>
      <c r="F316" s="106">
        <v>0.97668369663710142</v>
      </c>
      <c r="G316" s="106">
        <v>3.2130028202421652</v>
      </c>
      <c r="H316" s="106">
        <v>2.966913223966678</v>
      </c>
      <c r="I316" s="106">
        <v>0.88853830250263399</v>
      </c>
      <c r="J316" s="106">
        <v>2.931914116426968</v>
      </c>
      <c r="K316" s="30">
        <f t="shared" si="33"/>
        <v>3.8197378689394768E-2</v>
      </c>
      <c r="L316" s="30">
        <f t="shared" si="34"/>
        <v>1.9690747784232965E-2</v>
      </c>
      <c r="M316" s="30">
        <f t="shared" si="35"/>
        <v>2.6055231607466478E-2</v>
      </c>
      <c r="N316" s="30">
        <f t="shared" si="36"/>
        <v>-2.5325363497175069E-4</v>
      </c>
      <c r="O316" s="30">
        <f t="shared" si="37"/>
        <v>1.6998718664475998E-2</v>
      </c>
      <c r="P316" s="30">
        <f t="shared" si="38"/>
        <v>3.8525734890765273E-2</v>
      </c>
      <c r="Q316" s="30">
        <f t="shared" si="39"/>
        <v>-2.5213047364441188E-2</v>
      </c>
    </row>
    <row r="317" spans="2:17" ht="13.95" customHeight="1" x14ac:dyDescent="0.3">
      <c r="B317" s="105">
        <v>44701</v>
      </c>
      <c r="C317" s="107">
        <f t="shared" si="32"/>
        <v>1</v>
      </c>
      <c r="D317" s="106">
        <v>4.8282703894374768</v>
      </c>
      <c r="E317" s="106">
        <v>2.9404235891079922</v>
      </c>
      <c r="F317" s="106">
        <v>0.9723265570202978</v>
      </c>
      <c r="G317" s="106">
        <v>3.297824520834201</v>
      </c>
      <c r="H317" s="106">
        <v>3.0103945439151132</v>
      </c>
      <c r="I317" s="106">
        <v>0.89032441025809328</v>
      </c>
      <c r="J317" s="106">
        <v>2.8357314201669421</v>
      </c>
      <c r="K317" s="30">
        <f t="shared" si="33"/>
        <v>2.6124341679380381E-2</v>
      </c>
      <c r="L317" s="30">
        <f t="shared" si="34"/>
        <v>-5.5072945824653496E-3</v>
      </c>
      <c r="M317" s="30">
        <f t="shared" si="35"/>
        <v>-4.4611573140884708E-3</v>
      </c>
      <c r="N317" s="30">
        <f t="shared" si="36"/>
        <v>2.6399510158426454E-2</v>
      </c>
      <c r="O317" s="30">
        <f t="shared" si="37"/>
        <v>1.4655406702559937E-2</v>
      </c>
      <c r="P317" s="30">
        <f t="shared" si="38"/>
        <v>2.0101640530616471E-3</v>
      </c>
      <c r="Q317" s="30">
        <f t="shared" si="39"/>
        <v>-3.2805427594598369E-2</v>
      </c>
    </row>
    <row r="318" spans="2:17" ht="13.95" customHeight="1" x14ac:dyDescent="0.3">
      <c r="B318" s="105">
        <v>44708</v>
      </c>
      <c r="C318" s="107">
        <f t="shared" si="32"/>
        <v>1</v>
      </c>
      <c r="D318" s="106">
        <v>4.9850351472334609</v>
      </c>
      <c r="E318" s="106">
        <v>3.025140633333943</v>
      </c>
      <c r="F318" s="106">
        <v>0.99431146501477286</v>
      </c>
      <c r="G318" s="106">
        <v>3.4127658333768038</v>
      </c>
      <c r="H318" s="106">
        <v>3.1045199313658118</v>
      </c>
      <c r="I318" s="106">
        <v>0.91349323389210335</v>
      </c>
      <c r="J318" s="106">
        <v>2.8559414200514501</v>
      </c>
      <c r="K318" s="30">
        <f t="shared" si="33"/>
        <v>3.2468098335778572E-2</v>
      </c>
      <c r="L318" s="30">
        <f t="shared" si="34"/>
        <v>2.8811170111599615E-2</v>
      </c>
      <c r="M318" s="30">
        <f t="shared" si="35"/>
        <v>2.2610621746101511E-2</v>
      </c>
      <c r="N318" s="30">
        <f t="shared" si="36"/>
        <v>3.4853677573337905E-2</v>
      </c>
      <c r="O318" s="30">
        <f t="shared" si="37"/>
        <v>3.1266794460863556E-2</v>
      </c>
      <c r="P318" s="30">
        <f t="shared" si="38"/>
        <v>2.6022900604616428E-2</v>
      </c>
      <c r="Q318" s="30">
        <f t="shared" si="39"/>
        <v>7.126909036864415E-3</v>
      </c>
    </row>
    <row r="319" spans="2:17" ht="13.95" customHeight="1" x14ac:dyDescent="0.3">
      <c r="B319" s="105">
        <v>44715</v>
      </c>
      <c r="C319" s="107">
        <f t="shared" si="32"/>
        <v>1</v>
      </c>
      <c r="D319" s="106">
        <v>4.8824429417752153</v>
      </c>
      <c r="E319" s="106">
        <v>2.9714430581773099</v>
      </c>
      <c r="F319" s="106">
        <v>0.97762506154563</v>
      </c>
      <c r="G319" s="106">
        <v>3.4466392249166962</v>
      </c>
      <c r="H319" s="106">
        <v>3.080951035127256</v>
      </c>
      <c r="I319" s="106">
        <v>0.89576814670871341</v>
      </c>
      <c r="J319" s="106">
        <v>2.842643334629853</v>
      </c>
      <c r="K319" s="30">
        <f t="shared" si="33"/>
        <v>-2.0580036534984303E-2</v>
      </c>
      <c r="L319" s="30">
        <f t="shared" si="34"/>
        <v>-1.7750439290306397E-2</v>
      </c>
      <c r="M319" s="30">
        <f t="shared" si="35"/>
        <v>-1.6781867710732756E-2</v>
      </c>
      <c r="N319" s="30">
        <f t="shared" si="36"/>
        <v>9.9254953881133812E-3</v>
      </c>
      <c r="O319" s="30">
        <f t="shared" si="37"/>
        <v>-7.5918005874057171E-3</v>
      </c>
      <c r="P319" s="30">
        <f t="shared" si="38"/>
        <v>-1.9403632698918871E-2</v>
      </c>
      <c r="Q319" s="30">
        <f t="shared" si="39"/>
        <v>-4.656287880497767E-3</v>
      </c>
    </row>
    <row r="320" spans="2:17" ht="13.95" customHeight="1" x14ac:dyDescent="0.3">
      <c r="B320" s="105">
        <v>44722</v>
      </c>
      <c r="C320" s="107">
        <f t="shared" si="32"/>
        <v>1</v>
      </c>
      <c r="D320" s="106">
        <v>4.6042829034809021</v>
      </c>
      <c r="E320" s="106">
        <v>2.864067762308919</v>
      </c>
      <c r="F320" s="106">
        <v>0.89233823288605352</v>
      </c>
      <c r="G320" s="106">
        <v>3.2984032813254789</v>
      </c>
      <c r="H320" s="106">
        <v>2.9250777836767732</v>
      </c>
      <c r="I320" s="106">
        <v>0.81493909354036431</v>
      </c>
      <c r="J320" s="106">
        <v>2.633445205376717</v>
      </c>
      <c r="K320" s="30">
        <f t="shared" si="33"/>
        <v>-5.6971487759604367E-2</v>
      </c>
      <c r="L320" s="30">
        <f t="shared" si="34"/>
        <v>-3.6135740704469455E-2</v>
      </c>
      <c r="M320" s="30">
        <f t="shared" si="35"/>
        <v>-8.7238791244505953E-2</v>
      </c>
      <c r="N320" s="30">
        <f t="shared" si="36"/>
        <v>-4.3008836700858977E-2</v>
      </c>
      <c r="O320" s="30">
        <f t="shared" si="37"/>
        <v>-5.0592576666524169E-2</v>
      </c>
      <c r="P320" s="30">
        <f t="shared" si="38"/>
        <v>-9.0234346315323011E-2</v>
      </c>
      <c r="Q320" s="30">
        <f t="shared" si="39"/>
        <v>-7.3592816483386225E-2</v>
      </c>
    </row>
    <row r="321" spans="2:17" ht="13.95" customHeight="1" x14ac:dyDescent="0.3">
      <c r="B321" s="105">
        <v>44729</v>
      </c>
      <c r="C321" s="107">
        <f t="shared" si="32"/>
        <v>1</v>
      </c>
      <c r="D321" s="106">
        <v>4.489747104649723</v>
      </c>
      <c r="E321" s="106">
        <v>2.7815604925540871</v>
      </c>
      <c r="F321" s="106">
        <v>0.85176584806396705</v>
      </c>
      <c r="G321" s="106">
        <v>3.0072011745586411</v>
      </c>
      <c r="H321" s="106">
        <v>2.768337632124009</v>
      </c>
      <c r="I321" s="106">
        <v>0.77813079988621636</v>
      </c>
      <c r="J321" s="106">
        <v>2.5101680575511138</v>
      </c>
      <c r="K321" s="30">
        <f t="shared" si="33"/>
        <v>-2.4875925574553315E-2</v>
      </c>
      <c r="L321" s="30">
        <f t="shared" si="34"/>
        <v>-2.8807722652594348E-2</v>
      </c>
      <c r="M321" s="30">
        <f t="shared" si="35"/>
        <v>-4.5467495762077648E-2</v>
      </c>
      <c r="N321" s="30">
        <f t="shared" si="36"/>
        <v>-8.8285780097155597E-2</v>
      </c>
      <c r="O321" s="30">
        <f t="shared" si="37"/>
        <v>-5.3584951630156086E-2</v>
      </c>
      <c r="P321" s="30">
        <f t="shared" si="38"/>
        <v>-4.5166925903923127E-2</v>
      </c>
      <c r="Q321" s="30">
        <f t="shared" si="39"/>
        <v>-4.6812118047456441E-2</v>
      </c>
    </row>
    <row r="322" spans="2:17" ht="13.95" customHeight="1" x14ac:dyDescent="0.3">
      <c r="B322" s="105">
        <v>44736</v>
      </c>
      <c r="C322" s="107">
        <f t="shared" si="32"/>
        <v>1</v>
      </c>
      <c r="D322" s="106">
        <v>4.4567019587614611</v>
      </c>
      <c r="E322" s="106">
        <v>2.7762865221616919</v>
      </c>
      <c r="F322" s="106">
        <v>0.87080034675352835</v>
      </c>
      <c r="G322" s="106">
        <v>2.9127707858903591</v>
      </c>
      <c r="H322" s="106">
        <v>2.736555298446361</v>
      </c>
      <c r="I322" s="106">
        <v>0.77456043012476983</v>
      </c>
      <c r="J322" s="106">
        <v>2.8692553350941741</v>
      </c>
      <c r="K322" s="30">
        <f t="shared" si="33"/>
        <v>-7.3601352410338494E-3</v>
      </c>
      <c r="L322" s="30">
        <f t="shared" si="34"/>
        <v>-1.8960473469884498E-3</v>
      </c>
      <c r="M322" s="30">
        <f t="shared" si="35"/>
        <v>2.2347102472852098E-2</v>
      </c>
      <c r="N322" s="30">
        <f t="shared" si="36"/>
        <v>-3.1401420519244549E-2</v>
      </c>
      <c r="O322" s="30">
        <f t="shared" si="37"/>
        <v>-1.1480656589298643E-2</v>
      </c>
      <c r="P322" s="30">
        <f t="shared" si="38"/>
        <v>-4.5883928023008336E-3</v>
      </c>
      <c r="Q322" s="30">
        <f t="shared" si="39"/>
        <v>0.14305308222804047</v>
      </c>
    </row>
    <row r="323" spans="2:17" ht="13.95" customHeight="1" x14ac:dyDescent="0.3">
      <c r="B323" s="105">
        <v>44743</v>
      </c>
      <c r="C323" s="107">
        <f t="shared" si="32"/>
        <v>1</v>
      </c>
      <c r="D323" s="106">
        <v>4.3763166808721872</v>
      </c>
      <c r="E323" s="106">
        <v>2.7688152910170869</v>
      </c>
      <c r="F323" s="106">
        <v>0.85552760416362517</v>
      </c>
      <c r="G323" s="106">
        <v>2.987687491088364</v>
      </c>
      <c r="H323" s="106">
        <v>2.7427312498428069</v>
      </c>
      <c r="I323" s="106">
        <v>0.75896895379923668</v>
      </c>
      <c r="J323" s="106">
        <v>2.8479364561617189</v>
      </c>
      <c r="K323" s="30">
        <f t="shared" si="33"/>
        <v>-1.8036942706308623E-2</v>
      </c>
      <c r="L323" s="30">
        <f t="shared" si="34"/>
        <v>-2.6910879280528377E-3</v>
      </c>
      <c r="M323" s="30">
        <f t="shared" si="35"/>
        <v>-1.7538741970926197E-2</v>
      </c>
      <c r="N323" s="30">
        <f t="shared" si="36"/>
        <v>2.5720082596579763E-2</v>
      </c>
      <c r="O323" s="30">
        <f t="shared" si="37"/>
        <v>2.2568341301021366E-3</v>
      </c>
      <c r="P323" s="30">
        <f t="shared" si="38"/>
        <v>-2.0129451130135312E-2</v>
      </c>
      <c r="Q323" s="30">
        <f t="shared" si="39"/>
        <v>-7.4301086667686311E-3</v>
      </c>
    </row>
    <row r="324" spans="2:17" ht="13.95" customHeight="1" x14ac:dyDescent="0.3">
      <c r="B324" s="105">
        <v>44750</v>
      </c>
      <c r="C324" s="107">
        <f t="shared" si="32"/>
        <v>1</v>
      </c>
      <c r="D324" s="106">
        <v>4.4011351171153832</v>
      </c>
      <c r="E324" s="106">
        <v>2.8256633295118969</v>
      </c>
      <c r="F324" s="106">
        <v>0.90284396230893071</v>
      </c>
      <c r="G324" s="106">
        <v>2.98473209343849</v>
      </c>
      <c r="H324" s="106">
        <v>2.7790281071540242</v>
      </c>
      <c r="I324" s="106">
        <v>0.8082703729156091</v>
      </c>
      <c r="J324" s="106">
        <v>2.8996074072424101</v>
      </c>
      <c r="K324" s="30">
        <f t="shared" si="33"/>
        <v>5.6710786839697658E-3</v>
      </c>
      <c r="L324" s="30">
        <f t="shared" si="34"/>
        <v>2.0531538770117042E-2</v>
      </c>
      <c r="M324" s="30">
        <f t="shared" si="35"/>
        <v>5.5306641089112096E-2</v>
      </c>
      <c r="N324" s="30">
        <f t="shared" si="36"/>
        <v>-9.8919236322048132E-4</v>
      </c>
      <c r="O324" s="30">
        <f t="shared" si="37"/>
        <v>1.3233836641230345E-2</v>
      </c>
      <c r="P324" s="30">
        <f t="shared" si="38"/>
        <v>6.4958413476045473E-2</v>
      </c>
      <c r="Q324" s="30">
        <f t="shared" si="39"/>
        <v>1.8143294935144105E-2</v>
      </c>
    </row>
    <row r="325" spans="2:17" ht="13.95" customHeight="1" x14ac:dyDescent="0.3">
      <c r="B325" s="105">
        <v>44757</v>
      </c>
      <c r="C325" s="107">
        <f t="shared" si="32"/>
        <v>1</v>
      </c>
      <c r="D325" s="106">
        <v>4.2301821147326786</v>
      </c>
      <c r="E325" s="106">
        <v>2.7900248475329872</v>
      </c>
      <c r="F325" s="106">
        <v>0.88217464222402531</v>
      </c>
      <c r="G325" s="106">
        <v>2.8114935657286781</v>
      </c>
      <c r="H325" s="106">
        <v>2.6757249145290301</v>
      </c>
      <c r="I325" s="106">
        <v>0.79049199060689901</v>
      </c>
      <c r="J325" s="106">
        <v>2.8227383797242052</v>
      </c>
      <c r="K325" s="30">
        <f t="shared" si="33"/>
        <v>-3.8842934341618562E-2</v>
      </c>
      <c r="L325" s="30">
        <f t="shared" si="34"/>
        <v>-1.2612430365179339E-2</v>
      </c>
      <c r="M325" s="30">
        <f t="shared" si="35"/>
        <v>-2.2893568487788007E-2</v>
      </c>
      <c r="N325" s="30">
        <f t="shared" si="36"/>
        <v>-5.8041566977033554E-2</v>
      </c>
      <c r="O325" s="30">
        <f t="shared" si="37"/>
        <v>-3.7172417349454534E-2</v>
      </c>
      <c r="P325" s="30">
        <f t="shared" si="38"/>
        <v>-2.1995588239340669E-2</v>
      </c>
      <c r="Q325" s="30">
        <f t="shared" si="39"/>
        <v>-2.6510150072802108E-2</v>
      </c>
    </row>
    <row r="326" spans="2:17" ht="13.95" customHeight="1" x14ac:dyDescent="0.3">
      <c r="B326" s="105">
        <v>44764</v>
      </c>
      <c r="C326" s="107">
        <f t="shared" si="32"/>
        <v>1</v>
      </c>
      <c r="D326" s="106">
        <v>4.3854276838735862</v>
      </c>
      <c r="E326" s="106">
        <v>2.8266840181026289</v>
      </c>
      <c r="F326" s="106">
        <v>0.89225424166265588</v>
      </c>
      <c r="G326" s="106">
        <v>2.8960950116522381</v>
      </c>
      <c r="H326" s="106">
        <v>2.7417362701023311</v>
      </c>
      <c r="I326" s="106">
        <v>0.80394273758829593</v>
      </c>
      <c r="J326" s="106">
        <v>2.791148273483901</v>
      </c>
      <c r="K326" s="30">
        <f t="shared" si="33"/>
        <v>3.6699500146867292E-2</v>
      </c>
      <c r="L326" s="30">
        <f t="shared" si="34"/>
        <v>1.3139370641109815E-2</v>
      </c>
      <c r="M326" s="30">
        <f t="shared" si="35"/>
        <v>1.142585487746417E-2</v>
      </c>
      <c r="N326" s="30">
        <f t="shared" si="36"/>
        <v>3.0091282069725445E-2</v>
      </c>
      <c r="O326" s="30">
        <f t="shared" si="37"/>
        <v>2.4670456673204111E-2</v>
      </c>
      <c r="P326" s="30">
        <f t="shared" si="38"/>
        <v>1.701566510632202E-2</v>
      </c>
      <c r="Q326" s="30">
        <f t="shared" si="39"/>
        <v>-1.119129794925966E-2</v>
      </c>
    </row>
    <row r="327" spans="2:17" ht="13.95" customHeight="1" x14ac:dyDescent="0.3">
      <c r="B327" s="105">
        <v>44771</v>
      </c>
      <c r="C327" s="107">
        <f t="shared" si="32"/>
        <v>1</v>
      </c>
      <c r="D327" s="106">
        <v>4.4835396627403954</v>
      </c>
      <c r="E327" s="106">
        <v>2.9184500420071222</v>
      </c>
      <c r="F327" s="106">
        <v>0.92059724763586082</v>
      </c>
      <c r="G327" s="106">
        <v>3.0899447774877551</v>
      </c>
      <c r="H327" s="106">
        <v>2.858704296280064</v>
      </c>
      <c r="I327" s="106">
        <v>0.82169898557695231</v>
      </c>
      <c r="J327" s="106">
        <v>2.9922393947604902</v>
      </c>
      <c r="K327" s="30">
        <f t="shared" si="33"/>
        <v>2.2372271518144915E-2</v>
      </c>
      <c r="L327" s="30">
        <f t="shared" si="34"/>
        <v>3.2464195968423093E-2</v>
      </c>
      <c r="M327" s="30">
        <f t="shared" si="35"/>
        <v>3.1765616401430163E-2</v>
      </c>
      <c r="N327" s="30">
        <f t="shared" si="36"/>
        <v>6.6934877846056784E-2</v>
      </c>
      <c r="O327" s="30">
        <f t="shared" si="37"/>
        <v>4.2662026779609619E-2</v>
      </c>
      <c r="P327" s="30">
        <f t="shared" si="38"/>
        <v>2.2086458597688763E-2</v>
      </c>
      <c r="Q327" s="30">
        <f t="shared" si="39"/>
        <v>7.2046018904466047E-2</v>
      </c>
    </row>
    <row r="328" spans="2:17" ht="13.95" customHeight="1" x14ac:dyDescent="0.3">
      <c r="B328" s="105">
        <v>44778</v>
      </c>
      <c r="C328" s="107">
        <f t="shared" si="32"/>
        <v>1</v>
      </c>
      <c r="D328" s="106">
        <v>4.7596067354187772</v>
      </c>
      <c r="E328" s="106">
        <v>2.9905508002153001</v>
      </c>
      <c r="F328" s="106">
        <v>0.99173664960127683</v>
      </c>
      <c r="G328" s="106">
        <v>3.100001513354282</v>
      </c>
      <c r="H328" s="106">
        <v>2.9505018390057192</v>
      </c>
      <c r="I328" s="106">
        <v>0.89144606549811012</v>
      </c>
      <c r="J328" s="106">
        <v>3.1325045419110888</v>
      </c>
      <c r="K328" s="30">
        <f t="shared" si="33"/>
        <v>6.1573465039817643E-2</v>
      </c>
      <c r="L328" s="30">
        <f t="shared" si="34"/>
        <v>2.4705154164157417E-2</v>
      </c>
      <c r="M328" s="30">
        <f t="shared" si="35"/>
        <v>7.7275271187379202E-2</v>
      </c>
      <c r="N328" s="30">
        <f t="shared" si="36"/>
        <v>3.254665241850585E-3</v>
      </c>
      <c r="O328" s="30">
        <f t="shared" si="37"/>
        <v>3.2111590850830041E-2</v>
      </c>
      <c r="P328" s="30">
        <f t="shared" si="38"/>
        <v>8.4881545609047038E-2</v>
      </c>
      <c r="Q328" s="30">
        <f t="shared" si="39"/>
        <v>4.6876311900781564E-2</v>
      </c>
    </row>
    <row r="329" spans="2:17" ht="13.95" customHeight="1" x14ac:dyDescent="0.3">
      <c r="B329" s="105">
        <v>44785</v>
      </c>
      <c r="C329" s="107">
        <f t="shared" si="32"/>
        <v>1</v>
      </c>
      <c r="D329" s="106">
        <v>5.1256924804891231</v>
      </c>
      <c r="E329" s="106">
        <v>3.02989617972346</v>
      </c>
      <c r="F329" s="106">
        <v>1.0440094711389969</v>
      </c>
      <c r="G329" s="106">
        <v>3.3704875108715768</v>
      </c>
      <c r="H329" s="106">
        <v>3.1302418814079429</v>
      </c>
      <c r="I329" s="106">
        <v>0.93320875379726409</v>
      </c>
      <c r="J329" s="106">
        <v>3.3736414432440109</v>
      </c>
      <c r="K329" s="30">
        <f t="shared" si="33"/>
        <v>7.6915124593405215E-2</v>
      </c>
      <c r="L329" s="30">
        <f t="shared" si="34"/>
        <v>1.3156566176815154E-2</v>
      </c>
      <c r="M329" s="30">
        <f t="shared" si="35"/>
        <v>5.2708369261876165E-2</v>
      </c>
      <c r="N329" s="30">
        <f t="shared" si="36"/>
        <v>8.7253504990912667E-2</v>
      </c>
      <c r="O329" s="30">
        <f t="shared" si="37"/>
        <v>6.091846479336338E-2</v>
      </c>
      <c r="P329" s="30">
        <f t="shared" si="38"/>
        <v>4.6848250180809847E-2</v>
      </c>
      <c r="Q329" s="30">
        <f t="shared" si="39"/>
        <v>7.6978947071472792E-2</v>
      </c>
    </row>
    <row r="330" spans="2:17" ht="13.95" customHeight="1" x14ac:dyDescent="0.3">
      <c r="B330" s="105">
        <v>44792</v>
      </c>
      <c r="C330" s="107">
        <f t="shared" si="32"/>
        <v>1</v>
      </c>
      <c r="D330" s="106">
        <v>5.0456013503413484</v>
      </c>
      <c r="E330" s="106">
        <v>3.0723225610866689</v>
      </c>
      <c r="F330" s="106">
        <v>1.026035737058604</v>
      </c>
      <c r="G330" s="106">
        <v>3.2966421820628722</v>
      </c>
      <c r="H330" s="106">
        <v>3.0961653750594991</v>
      </c>
      <c r="I330" s="106">
        <v>0.91985865856520932</v>
      </c>
      <c r="J330" s="106">
        <v>3.276031789039294</v>
      </c>
      <c r="K330" s="30">
        <f t="shared" si="33"/>
        <v>-1.5625426311203894E-2</v>
      </c>
      <c r="L330" s="30">
        <f t="shared" si="34"/>
        <v>1.40025858467141E-2</v>
      </c>
      <c r="M330" s="30">
        <f t="shared" si="35"/>
        <v>-1.7216064199861991E-2</v>
      </c>
      <c r="N330" s="30">
        <f t="shared" si="36"/>
        <v>-2.1909391021481373E-2</v>
      </c>
      <c r="O330" s="30">
        <f t="shared" si="37"/>
        <v>-1.0886221461300138E-2</v>
      </c>
      <c r="P330" s="30">
        <f t="shared" si="38"/>
        <v>-1.4305582944579842E-2</v>
      </c>
      <c r="Q330" s="30">
        <f t="shared" si="39"/>
        <v>-2.8933025588770866E-2</v>
      </c>
    </row>
    <row r="331" spans="2:17" ht="13.95" customHeight="1" x14ac:dyDescent="0.3">
      <c r="B331" s="105">
        <v>44799</v>
      </c>
      <c r="C331" s="107">
        <f t="shared" si="32"/>
        <v>1</v>
      </c>
      <c r="D331" s="106">
        <v>5.0408920851685917</v>
      </c>
      <c r="E331" s="106">
        <v>3.0252340336975361</v>
      </c>
      <c r="F331" s="106">
        <v>1.0469557355322181</v>
      </c>
      <c r="G331" s="106">
        <v>3.3857744062773709</v>
      </c>
      <c r="H331" s="106">
        <v>3.1229684205708961</v>
      </c>
      <c r="I331" s="106">
        <v>0.94969927661547049</v>
      </c>
      <c r="J331" s="106">
        <v>3.181493700436576</v>
      </c>
      <c r="K331" s="30">
        <f t="shared" si="33"/>
        <v>-9.3334071516337769E-4</v>
      </c>
      <c r="L331" s="30">
        <f t="shared" si="34"/>
        <v>-1.5326687368554803E-2</v>
      </c>
      <c r="M331" s="30">
        <f t="shared" si="35"/>
        <v>2.0389151876509359E-2</v>
      </c>
      <c r="N331" s="30">
        <f t="shared" si="36"/>
        <v>2.7037275898327717E-2</v>
      </c>
      <c r="O331" s="30">
        <f t="shared" si="37"/>
        <v>8.6568520297085616E-3</v>
      </c>
      <c r="P331" s="30">
        <f t="shared" si="38"/>
        <v>3.2440438291689633E-2</v>
      </c>
      <c r="Q331" s="30">
        <f t="shared" si="39"/>
        <v>-2.8857500381716861E-2</v>
      </c>
    </row>
    <row r="332" spans="2:17" ht="13.95" customHeight="1" x14ac:dyDescent="0.3">
      <c r="B332" s="105">
        <v>44806</v>
      </c>
      <c r="C332" s="107">
        <f t="shared" si="32"/>
        <v>1</v>
      </c>
      <c r="D332" s="106">
        <v>5.0525271982433804</v>
      </c>
      <c r="E332" s="106">
        <v>3.027612471264983</v>
      </c>
      <c r="F332" s="106">
        <v>1.0391677925565961</v>
      </c>
      <c r="G332" s="106">
        <v>3.270920087224328</v>
      </c>
      <c r="H332" s="106">
        <v>3.083846822720965</v>
      </c>
      <c r="I332" s="106">
        <v>0.93601686198945688</v>
      </c>
      <c r="J332" s="106">
        <v>3.2540907127783498</v>
      </c>
      <c r="K332" s="30">
        <f t="shared" si="33"/>
        <v>2.3081456373608145E-3</v>
      </c>
      <c r="L332" s="30">
        <f t="shared" si="34"/>
        <v>7.8619952736014298E-4</v>
      </c>
      <c r="M332" s="30">
        <f t="shared" si="35"/>
        <v>-7.4386554381528081E-3</v>
      </c>
      <c r="N332" s="30">
        <f t="shared" si="36"/>
        <v>-3.3922614229730752E-2</v>
      </c>
      <c r="O332" s="30">
        <f t="shared" si="37"/>
        <v>-1.2527055218438443E-2</v>
      </c>
      <c r="P332" s="30">
        <f t="shared" si="38"/>
        <v>-1.4407102293238383E-2</v>
      </c>
      <c r="Q332" s="30">
        <f t="shared" si="39"/>
        <v>2.2818530909494372E-2</v>
      </c>
    </row>
    <row r="333" spans="2:17" ht="13.95" customHeight="1" x14ac:dyDescent="0.3">
      <c r="B333" s="105">
        <v>44813</v>
      </c>
      <c r="C333" s="107">
        <f t="shared" si="32"/>
        <v>1</v>
      </c>
      <c r="D333" s="106">
        <v>5.0660707612313409</v>
      </c>
      <c r="E333" s="106">
        <v>3.0401216679550802</v>
      </c>
      <c r="F333" s="106">
        <v>1.0578392929721789</v>
      </c>
      <c r="G333" s="106">
        <v>3.336513472828623</v>
      </c>
      <c r="H333" s="106">
        <v>3.1186321396330232</v>
      </c>
      <c r="I333" s="106">
        <v>0.9545848165349855</v>
      </c>
      <c r="J333" s="106">
        <v>3.2871086166397139</v>
      </c>
      <c r="K333" s="30">
        <f t="shared" si="33"/>
        <v>2.6805522180404218E-3</v>
      </c>
      <c r="L333" s="30">
        <f t="shared" si="34"/>
        <v>4.1317033830523542E-3</v>
      </c>
      <c r="M333" s="30">
        <f t="shared" si="35"/>
        <v>1.796774356299724E-2</v>
      </c>
      <c r="N333" s="30">
        <f t="shared" si="36"/>
        <v>2.0053496831210271E-2</v>
      </c>
      <c r="O333" s="30">
        <f t="shared" si="37"/>
        <v>1.1279845891102314E-2</v>
      </c>
      <c r="P333" s="30">
        <f t="shared" si="38"/>
        <v>1.9837200909034181E-2</v>
      </c>
      <c r="Q333" s="30">
        <f t="shared" si="39"/>
        <v>1.0146583723590563E-2</v>
      </c>
    </row>
    <row r="334" spans="2:17" ht="13.95" customHeight="1" x14ac:dyDescent="0.3">
      <c r="B334" s="105">
        <v>44820</v>
      </c>
      <c r="C334" s="107">
        <f t="shared" si="32"/>
        <v>1</v>
      </c>
      <c r="D334" s="106">
        <v>4.9938264933376058</v>
      </c>
      <c r="E334" s="106">
        <v>2.921204181604836</v>
      </c>
      <c r="F334" s="106">
        <v>1.0339383712161421</v>
      </c>
      <c r="G334" s="106">
        <v>3.2398197872348331</v>
      </c>
      <c r="H334" s="106">
        <v>3.0343663407352022</v>
      </c>
      <c r="I334" s="106">
        <v>0.9288401616572789</v>
      </c>
      <c r="J334" s="106">
        <v>3.2735874050784042</v>
      </c>
      <c r="K334" s="30">
        <f t="shared" si="33"/>
        <v>-1.4260414293182033E-2</v>
      </c>
      <c r="L334" s="30">
        <f t="shared" si="34"/>
        <v>-3.9116028678626291E-2</v>
      </c>
      <c r="M334" s="30">
        <f t="shared" si="35"/>
        <v>-2.2594095260805802E-2</v>
      </c>
      <c r="N334" s="30">
        <f t="shared" si="36"/>
        <v>-2.8980457109263558E-2</v>
      </c>
      <c r="O334" s="30">
        <f t="shared" si="37"/>
        <v>-2.702011494941392E-2</v>
      </c>
      <c r="P334" s="30">
        <f t="shared" si="38"/>
        <v>-2.6969478700862082E-2</v>
      </c>
      <c r="Q334" s="30">
        <f t="shared" si="39"/>
        <v>-4.1134057733486218E-3</v>
      </c>
    </row>
    <row r="335" spans="2:17" ht="13.95" customHeight="1" x14ac:dyDescent="0.3">
      <c r="B335" s="105">
        <v>44827</v>
      </c>
      <c r="C335" s="107">
        <f t="shared" si="32"/>
        <v>1</v>
      </c>
      <c r="D335" s="106">
        <v>5.2381802646834839</v>
      </c>
      <c r="E335" s="106">
        <v>3.0098815874902298</v>
      </c>
      <c r="F335" s="106">
        <v>1.0659626699212379</v>
      </c>
      <c r="G335" s="106">
        <v>3.2175683118226921</v>
      </c>
      <c r="H335" s="106">
        <v>3.1013208758596549</v>
      </c>
      <c r="I335" s="106">
        <v>0.96580657979357665</v>
      </c>
      <c r="J335" s="106">
        <v>3.2557536622678009</v>
      </c>
      <c r="K335" s="30">
        <f t="shared" si="33"/>
        <v>4.8931169649541584E-2</v>
      </c>
      <c r="L335" s="30">
        <f t="shared" si="34"/>
        <v>3.0356455890281797E-2</v>
      </c>
      <c r="M335" s="30">
        <f t="shared" si="35"/>
        <v>3.0973121412863458E-2</v>
      </c>
      <c r="N335" s="30">
        <f t="shared" si="36"/>
        <v>-6.868121338049038E-3</v>
      </c>
      <c r="O335" s="30">
        <f t="shared" si="37"/>
        <v>2.2065409250562107E-2</v>
      </c>
      <c r="P335" s="30">
        <f t="shared" si="38"/>
        <v>3.9798470891203364E-2</v>
      </c>
      <c r="Q335" s="30">
        <f t="shared" si="39"/>
        <v>-5.4477674196012904E-3</v>
      </c>
    </row>
    <row r="336" spans="2:17" ht="13.95" customHeight="1" x14ac:dyDescent="0.3">
      <c r="B336" s="105">
        <v>44834</v>
      </c>
      <c r="C336" s="107">
        <f t="shared" si="32"/>
        <v>1</v>
      </c>
      <c r="D336" s="106">
        <v>5.1240423922158733</v>
      </c>
      <c r="E336" s="106">
        <v>2.8725579332006741</v>
      </c>
      <c r="F336" s="106">
        <v>1.044747009037162</v>
      </c>
      <c r="G336" s="106">
        <v>3.2621330690034229</v>
      </c>
      <c r="H336" s="106">
        <v>3.0533147796156839</v>
      </c>
      <c r="I336" s="106">
        <v>0.93534003259416731</v>
      </c>
      <c r="J336" s="106">
        <v>3.354498393810156</v>
      </c>
      <c r="K336" s="30">
        <f t="shared" si="33"/>
        <v>-2.1789603774643562E-2</v>
      </c>
      <c r="L336" s="30">
        <f t="shared" si="34"/>
        <v>-4.5624271353499335E-2</v>
      </c>
      <c r="M336" s="30">
        <f t="shared" si="35"/>
        <v>-1.990281787789383E-2</v>
      </c>
      <c r="N336" s="30">
        <f t="shared" si="36"/>
        <v>1.385044631903587E-2</v>
      </c>
      <c r="O336" s="30">
        <f t="shared" si="37"/>
        <v>-1.5479241963527568E-2</v>
      </c>
      <c r="P336" s="30">
        <f t="shared" si="38"/>
        <v>-3.1545184964385964E-2</v>
      </c>
      <c r="Q336" s="30">
        <f t="shared" si="39"/>
        <v>3.0329300612250254E-2</v>
      </c>
    </row>
    <row r="337" spans="2:17" ht="13.95" customHeight="1" x14ac:dyDescent="0.3">
      <c r="B337" s="105">
        <v>44841</v>
      </c>
      <c r="C337" s="107">
        <f t="shared" si="32"/>
        <v>1</v>
      </c>
      <c r="D337" s="106">
        <v>5.4264646500514608</v>
      </c>
      <c r="E337" s="106">
        <v>2.9367424619096201</v>
      </c>
      <c r="F337" s="106">
        <v>1.118742145161481</v>
      </c>
      <c r="G337" s="106">
        <v>3.5099965459451048</v>
      </c>
      <c r="H337" s="106">
        <v>3.2292599879805448</v>
      </c>
      <c r="I337" s="106">
        <v>1.0080598676331931</v>
      </c>
      <c r="J337" s="106">
        <v>3.492697455325994</v>
      </c>
      <c r="K337" s="30">
        <f t="shared" si="33"/>
        <v>5.9020248992281754E-2</v>
      </c>
      <c r="L337" s="30">
        <f t="shared" si="34"/>
        <v>2.2344032810307946E-2</v>
      </c>
      <c r="M337" s="30">
        <f t="shared" si="35"/>
        <v>7.0825889410789378E-2</v>
      </c>
      <c r="N337" s="30">
        <f t="shared" si="36"/>
        <v>7.5982025165332701E-2</v>
      </c>
      <c r="O337" s="30">
        <f t="shared" si="37"/>
        <v>5.7624326695528971E-2</v>
      </c>
      <c r="P337" s="30">
        <f t="shared" si="38"/>
        <v>7.7746950312109764E-2</v>
      </c>
      <c r="Q337" s="30">
        <f t="shared" si="39"/>
        <v>4.1198130179715742E-2</v>
      </c>
    </row>
    <row r="338" spans="2:17" ht="13.95" customHeight="1" x14ac:dyDescent="0.3">
      <c r="B338" s="105">
        <v>44848</v>
      </c>
      <c r="C338" s="107">
        <f t="shared" si="32"/>
        <v>1</v>
      </c>
      <c r="D338" s="106">
        <v>5.2407352759228054</v>
      </c>
      <c r="E338" s="106">
        <v>2.845448123479358</v>
      </c>
      <c r="F338" s="106">
        <v>1.0645302677069921</v>
      </c>
      <c r="G338" s="106">
        <v>3.3760284004566889</v>
      </c>
      <c r="H338" s="106">
        <v>3.109852424195358</v>
      </c>
      <c r="I338" s="106">
        <v>0.95375475936509369</v>
      </c>
      <c r="J338" s="106">
        <v>3.4072230787862199</v>
      </c>
      <c r="K338" s="30">
        <f t="shared" si="33"/>
        <v>-3.4226588784079581E-2</v>
      </c>
      <c r="L338" s="30">
        <f t="shared" si="34"/>
        <v>-3.1086940586168343E-2</v>
      </c>
      <c r="M338" s="30">
        <f t="shared" si="35"/>
        <v>-4.8457884320308509E-2</v>
      </c>
      <c r="N338" s="30">
        <f t="shared" si="36"/>
        <v>-3.8167600376468047E-2</v>
      </c>
      <c r="O338" s="30">
        <f t="shared" si="37"/>
        <v>-3.6976757594503806E-2</v>
      </c>
      <c r="P338" s="30">
        <f t="shared" si="38"/>
        <v>-5.3870915817332832E-2</v>
      </c>
      <c r="Q338" s="30">
        <f t="shared" si="39"/>
        <v>-2.4472310480094572E-2</v>
      </c>
    </row>
    <row r="339" spans="2:17" ht="13.95" customHeight="1" x14ac:dyDescent="0.3">
      <c r="B339" s="105">
        <v>44855</v>
      </c>
      <c r="C339" s="107">
        <f t="shared" si="32"/>
        <v>1</v>
      </c>
      <c r="D339" s="106">
        <v>5.6440941687727193</v>
      </c>
      <c r="E339" s="106">
        <v>3.0209460504605121</v>
      </c>
      <c r="F339" s="106">
        <v>1.102717605724145</v>
      </c>
      <c r="G339" s="106">
        <v>3.6613175971539551</v>
      </c>
      <c r="H339" s="106">
        <v>3.3279004579705478</v>
      </c>
      <c r="I339" s="106">
        <v>0.97921610752318833</v>
      </c>
      <c r="J339" s="106">
        <v>3.663818307165891</v>
      </c>
      <c r="K339" s="30">
        <f t="shared" si="33"/>
        <v>7.6966088079861938E-2</v>
      </c>
      <c r="L339" s="30">
        <f t="shared" si="34"/>
        <v>6.167672695665205E-2</v>
      </c>
      <c r="M339" s="30">
        <f t="shared" si="35"/>
        <v>3.5872477444355511E-2</v>
      </c>
      <c r="N339" s="30">
        <f t="shared" si="36"/>
        <v>8.4504382918897836E-2</v>
      </c>
      <c r="O339" s="30">
        <f t="shared" si="37"/>
        <v>7.0115235076342097E-2</v>
      </c>
      <c r="P339" s="30">
        <f t="shared" si="38"/>
        <v>2.6695906791641022E-2</v>
      </c>
      <c r="Q339" s="30">
        <f t="shared" si="39"/>
        <v>7.5309195331900503E-2</v>
      </c>
    </row>
    <row r="340" spans="2:17" ht="13.95" customHeight="1" x14ac:dyDescent="0.3">
      <c r="B340" s="105">
        <v>44862</v>
      </c>
      <c r="C340" s="107">
        <f t="shared" si="32"/>
        <v>1</v>
      </c>
      <c r="D340" s="106">
        <v>5.3196204665646398</v>
      </c>
      <c r="E340" s="106">
        <v>3.0106068439170528</v>
      </c>
      <c r="F340" s="106">
        <v>1.117427744165908</v>
      </c>
      <c r="G340" s="106">
        <v>3.3485978533859408</v>
      </c>
      <c r="H340" s="106">
        <v>3.178279092475933</v>
      </c>
      <c r="I340" s="106">
        <v>0.97490485440563968</v>
      </c>
      <c r="J340" s="106">
        <v>3.9794291063981762</v>
      </c>
      <c r="K340" s="30">
        <f t="shared" si="33"/>
        <v>-5.7489066005189438E-2</v>
      </c>
      <c r="L340" s="30">
        <f t="shared" si="34"/>
        <v>-3.4225061853995209E-3</v>
      </c>
      <c r="M340" s="30">
        <f t="shared" si="35"/>
        <v>1.3339896239439319E-2</v>
      </c>
      <c r="N340" s="30">
        <f t="shared" si="36"/>
        <v>-8.5411804758784182E-2</v>
      </c>
      <c r="O340" s="30">
        <f t="shared" si="37"/>
        <v>-4.4959687762373246E-2</v>
      </c>
      <c r="P340" s="30">
        <f t="shared" si="38"/>
        <v>-4.4027595996694036E-3</v>
      </c>
      <c r="Q340" s="30">
        <f t="shared" si="39"/>
        <v>8.6142590263004193E-2</v>
      </c>
    </row>
    <row r="341" spans="2:17" ht="13.95" customHeight="1" x14ac:dyDescent="0.3">
      <c r="B341" s="105">
        <v>44869</v>
      </c>
      <c r="C341" s="107">
        <f t="shared" si="32"/>
        <v>1</v>
      </c>
      <c r="D341" s="106">
        <v>5.5092988754401144</v>
      </c>
      <c r="E341" s="106">
        <v>3.1546305746149672</v>
      </c>
      <c r="F341" s="106">
        <v>1.1731509289265081</v>
      </c>
      <c r="G341" s="106">
        <v>3.3813575316610871</v>
      </c>
      <c r="H341" s="106">
        <v>3.2786687680019391</v>
      </c>
      <c r="I341" s="106">
        <v>1.0218541588889201</v>
      </c>
      <c r="J341" s="106">
        <v>4.2035477369109966</v>
      </c>
      <c r="K341" s="30">
        <f t="shared" si="33"/>
        <v>3.5656380012006217E-2</v>
      </c>
      <c r="L341" s="30">
        <f t="shared" si="34"/>
        <v>4.7838770774375705E-2</v>
      </c>
      <c r="M341" s="30">
        <f t="shared" si="35"/>
        <v>4.986737178446754E-2</v>
      </c>
      <c r="N341" s="30">
        <f t="shared" si="36"/>
        <v>9.7831031701884896E-3</v>
      </c>
      <c r="O341" s="30">
        <f t="shared" si="37"/>
        <v>3.1586173713838539E-2</v>
      </c>
      <c r="P341" s="30">
        <f t="shared" si="38"/>
        <v>4.8157832296263914E-2</v>
      </c>
      <c r="Q341" s="30">
        <f t="shared" si="39"/>
        <v>5.631929216994469E-2</v>
      </c>
    </row>
    <row r="342" spans="2:17" ht="13.95" customHeight="1" x14ac:dyDescent="0.3">
      <c r="B342" s="105">
        <v>44876</v>
      </c>
      <c r="C342" s="107">
        <f t="shared" si="32"/>
        <v>1</v>
      </c>
      <c r="D342" s="106">
        <v>4.7210020531147112</v>
      </c>
      <c r="E342" s="106">
        <v>2.9505067292388731</v>
      </c>
      <c r="F342" s="106">
        <v>1.037327586021336</v>
      </c>
      <c r="G342" s="106">
        <v>3.5645598468339901</v>
      </c>
      <c r="H342" s="106">
        <v>3.1149704024199121</v>
      </c>
      <c r="I342" s="106">
        <v>0.87548300933943224</v>
      </c>
      <c r="J342" s="106">
        <v>4.1489997640627498</v>
      </c>
      <c r="K342" s="30">
        <f t="shared" si="33"/>
        <v>-0.1430847808674075</v>
      </c>
      <c r="L342" s="30">
        <f t="shared" si="34"/>
        <v>-6.4706101252761772E-2</v>
      </c>
      <c r="M342" s="30">
        <f t="shared" si="35"/>
        <v>-0.11577652930766313</v>
      </c>
      <c r="N342" s="30">
        <f t="shared" si="36"/>
        <v>5.4180107680865452E-2</v>
      </c>
      <c r="O342" s="30">
        <f t="shared" si="37"/>
        <v>-4.9928302358455912E-2</v>
      </c>
      <c r="P342" s="30">
        <f t="shared" si="38"/>
        <v>-0.14324074357992511</v>
      </c>
      <c r="Q342" s="30">
        <f t="shared" si="39"/>
        <v>-1.2976651215178436E-2</v>
      </c>
    </row>
    <row r="343" spans="2:17" ht="13.95" customHeight="1" x14ac:dyDescent="0.3">
      <c r="B343" s="105">
        <v>44883</v>
      </c>
      <c r="C343" s="107">
        <f t="shared" ref="C343:C406" si="40">IF(B343&gt;$C$17,1,0)</f>
        <v>1</v>
      </c>
      <c r="D343" s="106">
        <v>4.6701718018276006</v>
      </c>
      <c r="E343" s="106">
        <v>2.8038585289791089</v>
      </c>
      <c r="F343" s="106">
        <v>0.99510453453723613</v>
      </c>
      <c r="G343" s="106">
        <v>3.477143418938935</v>
      </c>
      <c r="H343" s="106">
        <v>3.0210603748800029</v>
      </c>
      <c r="I343" s="106">
        <v>0.83218970700200456</v>
      </c>
      <c r="J343" s="106">
        <v>4.0980336550279093</v>
      </c>
      <c r="K343" s="30">
        <f t="shared" ref="K343:K406" si="41">D343/D342-1</f>
        <v>-1.076683524286437E-2</v>
      </c>
      <c r="L343" s="30">
        <f t="shared" ref="L343:L406" si="42">E343/E342-1</f>
        <v>-4.9702716759298604E-2</v>
      </c>
      <c r="M343" s="30">
        <f t="shared" ref="M343:M406" si="43">F343/F342-1</f>
        <v>-4.0703681318305818E-2</v>
      </c>
      <c r="N343" s="30">
        <f t="shared" ref="N343:N406" si="44">G343/G342-1</f>
        <v>-2.4523764967138262E-2</v>
      </c>
      <c r="O343" s="30">
        <f t="shared" ref="O343:O406" si="45">H343/H342-1</f>
        <v>-3.0147967848090595E-2</v>
      </c>
      <c r="P343" s="30">
        <f t="shared" ref="P343:P406" si="46">I343/I342-1</f>
        <v>-4.9450762465502618E-2</v>
      </c>
      <c r="Q343" s="30">
        <f t="shared" ref="Q343:Q406" si="47">J343/J342-1</f>
        <v>-1.2283950815397016E-2</v>
      </c>
    </row>
    <row r="344" spans="2:17" ht="13.95" customHeight="1" x14ac:dyDescent="0.3">
      <c r="B344" s="105">
        <v>44890</v>
      </c>
      <c r="C344" s="107">
        <f t="shared" si="40"/>
        <v>1</v>
      </c>
      <c r="D344" s="106">
        <v>4.6452231977726184</v>
      </c>
      <c r="E344" s="106">
        <v>2.833409158149053</v>
      </c>
      <c r="F344" s="106">
        <v>0.9880097103715989</v>
      </c>
      <c r="G344" s="106">
        <v>3.4896497400059809</v>
      </c>
      <c r="H344" s="106">
        <v>3.0266200123725069</v>
      </c>
      <c r="I344" s="106">
        <v>0.82507962418099556</v>
      </c>
      <c r="J344" s="106">
        <v>4.086935618224369</v>
      </c>
      <c r="K344" s="30">
        <f t="shared" si="41"/>
        <v>-5.3421169742018382E-3</v>
      </c>
      <c r="L344" s="30">
        <f t="shared" si="42"/>
        <v>1.0539272529097143E-2</v>
      </c>
      <c r="M344" s="30">
        <f t="shared" si="43"/>
        <v>-7.1297275003742167E-3</v>
      </c>
      <c r="N344" s="30">
        <f t="shared" si="44"/>
        <v>3.5967228153224173E-3</v>
      </c>
      <c r="O344" s="30">
        <f t="shared" si="45"/>
        <v>1.8402934078154409E-3</v>
      </c>
      <c r="P344" s="30">
        <f t="shared" si="46"/>
        <v>-8.5438245164355386E-3</v>
      </c>
      <c r="Q344" s="30">
        <f t="shared" si="47"/>
        <v>-2.708137057372384E-3</v>
      </c>
    </row>
    <row r="345" spans="2:17" ht="13.95" customHeight="1" x14ac:dyDescent="0.3">
      <c r="B345" s="105">
        <v>44897</v>
      </c>
      <c r="C345" s="107">
        <f t="shared" si="40"/>
        <v>1</v>
      </c>
      <c r="D345" s="106">
        <v>4.7544978638301556</v>
      </c>
      <c r="E345" s="106">
        <v>2.835565902352188</v>
      </c>
      <c r="F345" s="106">
        <v>0.98163720920476871</v>
      </c>
      <c r="G345" s="106">
        <v>3.6999914001291421</v>
      </c>
      <c r="H345" s="106">
        <v>3.111487077995776</v>
      </c>
      <c r="I345" s="106">
        <v>0.82150800768822019</v>
      </c>
      <c r="J345" s="106">
        <v>4.0335336947039737</v>
      </c>
      <c r="K345" s="30">
        <f t="shared" si="41"/>
        <v>2.3524093763661158E-2</v>
      </c>
      <c r="L345" s="30">
        <f t="shared" si="42"/>
        <v>7.6118346583720076E-4</v>
      </c>
      <c r="M345" s="30">
        <f t="shared" si="43"/>
        <v>-6.4498365754254161E-3</v>
      </c>
      <c r="N345" s="30">
        <f t="shared" si="44"/>
        <v>6.0275866002185152E-2</v>
      </c>
      <c r="O345" s="30">
        <f t="shared" si="45"/>
        <v>2.8040211614388744E-2</v>
      </c>
      <c r="P345" s="30">
        <f t="shared" si="46"/>
        <v>-4.3288143205822971E-3</v>
      </c>
      <c r="Q345" s="30">
        <f t="shared" si="47"/>
        <v>-1.3066494926483929E-2</v>
      </c>
    </row>
    <row r="346" spans="2:17" ht="13.95" customHeight="1" x14ac:dyDescent="0.3">
      <c r="B346" s="105">
        <v>44904</v>
      </c>
      <c r="C346" s="107">
        <f t="shared" si="40"/>
        <v>1</v>
      </c>
      <c r="D346" s="106">
        <v>4.4748644362854062</v>
      </c>
      <c r="E346" s="106">
        <v>2.6913831767699379</v>
      </c>
      <c r="F346" s="106">
        <v>0.90167837875086088</v>
      </c>
      <c r="G346" s="106">
        <v>3.6773073140178072</v>
      </c>
      <c r="H346" s="106">
        <v>2.9897503678619999</v>
      </c>
      <c r="I346" s="106">
        <v>0.74468108624953477</v>
      </c>
      <c r="J346" s="106">
        <v>3.8573516517330422</v>
      </c>
      <c r="K346" s="30">
        <f t="shared" si="41"/>
        <v>-5.881450272005817E-2</v>
      </c>
      <c r="L346" s="30">
        <f t="shared" si="42"/>
        <v>-5.0847954358121616E-2</v>
      </c>
      <c r="M346" s="30">
        <f t="shared" si="43"/>
        <v>-8.1454563563949534E-2</v>
      </c>
      <c r="N346" s="30">
        <f t="shared" si="44"/>
        <v>-6.1308483340104525E-3</v>
      </c>
      <c r="O346" s="30">
        <f t="shared" si="45"/>
        <v>-3.9124928718068497E-2</v>
      </c>
      <c r="P346" s="30">
        <f t="shared" si="46"/>
        <v>-9.3519382306304744E-2</v>
      </c>
      <c r="Q346" s="30">
        <f t="shared" si="47"/>
        <v>-4.3679328426649455E-2</v>
      </c>
    </row>
    <row r="347" spans="2:17" ht="13.95" customHeight="1" x14ac:dyDescent="0.3">
      <c r="B347" s="105">
        <v>44911</v>
      </c>
      <c r="C347" s="107">
        <f t="shared" si="40"/>
        <v>1</v>
      </c>
      <c r="D347" s="106">
        <v>4.3239281238828911</v>
      </c>
      <c r="E347" s="106">
        <v>2.584699162129128</v>
      </c>
      <c r="F347" s="106">
        <v>0.86389021105805086</v>
      </c>
      <c r="G347" s="106">
        <v>3.4903562793470759</v>
      </c>
      <c r="H347" s="106">
        <v>2.8606001310918052</v>
      </c>
      <c r="I347" s="106">
        <v>0.69968689228653835</v>
      </c>
      <c r="J347" s="106">
        <v>3.9076215597106541</v>
      </c>
      <c r="K347" s="30">
        <f t="shared" si="41"/>
        <v>-3.3729806690592778E-2</v>
      </c>
      <c r="L347" s="30">
        <f t="shared" si="42"/>
        <v>-3.9639102882721655E-2</v>
      </c>
      <c r="M347" s="30">
        <f t="shared" si="43"/>
        <v>-4.190869891452853E-2</v>
      </c>
      <c r="N347" s="30">
        <f t="shared" si="44"/>
        <v>-5.0839110987019875E-2</v>
      </c>
      <c r="O347" s="30">
        <f t="shared" si="45"/>
        <v>-4.3197665650778538E-2</v>
      </c>
      <c r="P347" s="30">
        <f t="shared" si="46"/>
        <v>-6.0420755668177839E-2</v>
      </c>
      <c r="Q347" s="30">
        <f t="shared" si="47"/>
        <v>1.303223364533701E-2</v>
      </c>
    </row>
    <row r="348" spans="2:17" ht="13.95" customHeight="1" x14ac:dyDescent="0.3">
      <c r="B348" s="105">
        <v>44918</v>
      </c>
      <c r="C348" s="107">
        <f t="shared" si="40"/>
        <v>1</v>
      </c>
      <c r="D348" s="106">
        <v>4.7515587756342796</v>
      </c>
      <c r="E348" s="106">
        <v>2.7578363011466949</v>
      </c>
      <c r="F348" s="106">
        <v>0.95425763431439681</v>
      </c>
      <c r="G348" s="106">
        <v>3.6198980002234342</v>
      </c>
      <c r="H348" s="106">
        <v>3.0517584146920642</v>
      </c>
      <c r="I348" s="106">
        <v>0.79150423676243609</v>
      </c>
      <c r="J348" s="106">
        <v>4.0300337437047293</v>
      </c>
      <c r="K348" s="30">
        <f t="shared" si="41"/>
        <v>9.8898649445489761E-2</v>
      </c>
      <c r="L348" s="30">
        <f t="shared" si="42"/>
        <v>6.698541228873478E-2</v>
      </c>
      <c r="M348" s="30">
        <f t="shared" si="43"/>
        <v>0.10460521730610695</v>
      </c>
      <c r="N348" s="30">
        <f t="shared" si="44"/>
        <v>3.7114182767780557E-2</v>
      </c>
      <c r="O348" s="30">
        <f t="shared" si="45"/>
        <v>6.6824538502450403E-2</v>
      </c>
      <c r="P348" s="30">
        <f t="shared" si="46"/>
        <v>0.13122633207525691</v>
      </c>
      <c r="Q348" s="30">
        <f t="shared" si="47"/>
        <v>3.1326519757235438E-2</v>
      </c>
    </row>
    <row r="349" spans="2:17" ht="13.95" customHeight="1" x14ac:dyDescent="0.3">
      <c r="B349" s="105">
        <v>44925</v>
      </c>
      <c r="C349" s="107">
        <f t="shared" si="40"/>
        <v>1</v>
      </c>
      <c r="D349" s="106">
        <v>4.7116003292708104</v>
      </c>
      <c r="E349" s="106">
        <v>2.7515934880738571</v>
      </c>
      <c r="F349" s="106">
        <v>0.93246446869238164</v>
      </c>
      <c r="G349" s="106">
        <v>3.6745418112082882</v>
      </c>
      <c r="H349" s="106">
        <v>3.053027737518732</v>
      </c>
      <c r="I349" s="106">
        <v>0.7668126049982481</v>
      </c>
      <c r="J349" s="106">
        <v>4.0396954669465321</v>
      </c>
      <c r="K349" s="30">
        <f t="shared" si="41"/>
        <v>-8.4095447936736178E-3</v>
      </c>
      <c r="L349" s="30">
        <f t="shared" si="42"/>
        <v>-2.263663390840831E-3</v>
      </c>
      <c r="M349" s="30">
        <f t="shared" si="43"/>
        <v>-2.2837821609541398E-2</v>
      </c>
      <c r="N349" s="30">
        <f t="shared" si="44"/>
        <v>1.5095400749270071E-2</v>
      </c>
      <c r="O349" s="30">
        <f t="shared" si="45"/>
        <v>4.1593162176822851E-4</v>
      </c>
      <c r="P349" s="30">
        <f t="shared" si="46"/>
        <v>-3.1195830189344909E-2</v>
      </c>
      <c r="Q349" s="30">
        <f t="shared" si="47"/>
        <v>2.3974298619446888E-3</v>
      </c>
    </row>
    <row r="350" spans="2:17" ht="13.95" customHeight="1" x14ac:dyDescent="0.3">
      <c r="B350" s="105">
        <v>44932</v>
      </c>
      <c r="C350" s="107">
        <f t="shared" si="40"/>
        <v>1</v>
      </c>
      <c r="D350" s="106">
        <v>4.6791680358941683</v>
      </c>
      <c r="E350" s="106">
        <v>2.6932614853992289</v>
      </c>
      <c r="F350" s="106">
        <v>0.91693701006823281</v>
      </c>
      <c r="G350" s="106">
        <v>3.6982673863224469</v>
      </c>
      <c r="H350" s="106">
        <v>3.0318984613856799</v>
      </c>
      <c r="I350" s="106">
        <v>0.751745533966788</v>
      </c>
      <c r="J350" s="106">
        <v>4.0095834276551079</v>
      </c>
      <c r="K350" s="30">
        <f t="shared" si="41"/>
        <v>-6.883498410329203E-3</v>
      </c>
      <c r="L350" s="30">
        <f t="shared" si="42"/>
        <v>-2.1199353366496365E-2</v>
      </c>
      <c r="M350" s="30">
        <f t="shared" si="43"/>
        <v>-1.6652064658209897E-2</v>
      </c>
      <c r="N350" s="30">
        <f t="shared" si="44"/>
        <v>6.4567438154574663E-3</v>
      </c>
      <c r="O350" s="30">
        <f t="shared" si="45"/>
        <v>-6.9207612736019719E-3</v>
      </c>
      <c r="P350" s="30">
        <f t="shared" si="46"/>
        <v>-1.9648961080255711E-2</v>
      </c>
      <c r="Q350" s="30">
        <f t="shared" si="47"/>
        <v>-7.4540369534797923E-3</v>
      </c>
    </row>
    <row r="351" spans="2:17" ht="13.95" customHeight="1" x14ac:dyDescent="0.3">
      <c r="B351" s="105">
        <v>44939</v>
      </c>
      <c r="C351" s="107">
        <f t="shared" si="40"/>
        <v>1</v>
      </c>
      <c r="D351" s="106">
        <v>4.7910544455055897</v>
      </c>
      <c r="E351" s="106">
        <v>2.6908840541658341</v>
      </c>
      <c r="F351" s="106">
        <v>0.92975759758218368</v>
      </c>
      <c r="G351" s="106">
        <v>3.8047674551156669</v>
      </c>
      <c r="H351" s="106">
        <v>3.086645453368654</v>
      </c>
      <c r="I351" s="106">
        <v>0.75707983784847033</v>
      </c>
      <c r="J351" s="106">
        <v>4.1493452959193382</v>
      </c>
      <c r="K351" s="30">
        <f t="shared" si="41"/>
        <v>2.3911603249367142E-2</v>
      </c>
      <c r="L351" s="30">
        <f t="shared" si="42"/>
        <v>-8.8273316433751248E-4</v>
      </c>
      <c r="M351" s="30">
        <f t="shared" si="43"/>
        <v>1.3981971905569379E-2</v>
      </c>
      <c r="N351" s="30">
        <f t="shared" si="44"/>
        <v>2.8797287396551186E-2</v>
      </c>
      <c r="O351" s="30">
        <f t="shared" si="45"/>
        <v>1.805700048343728E-2</v>
      </c>
      <c r="P351" s="30">
        <f t="shared" si="46"/>
        <v>7.0958903520641492E-3</v>
      </c>
      <c r="Q351" s="30">
        <f t="shared" si="47"/>
        <v>3.4856954789930894E-2</v>
      </c>
    </row>
    <row r="352" spans="2:17" ht="13.95" customHeight="1" x14ac:dyDescent="0.3">
      <c r="B352" s="105">
        <v>44946</v>
      </c>
      <c r="C352" s="107">
        <f t="shared" si="40"/>
        <v>1</v>
      </c>
      <c r="D352" s="106">
        <v>4.8105201877448804</v>
      </c>
      <c r="E352" s="106">
        <v>2.692036233990422</v>
      </c>
      <c r="F352" s="106">
        <v>0.93034253477533213</v>
      </c>
      <c r="G352" s="106">
        <v>3.8937681945454021</v>
      </c>
      <c r="H352" s="106">
        <v>3.1178474197900812</v>
      </c>
      <c r="I352" s="106">
        <v>0.76512779098140582</v>
      </c>
      <c r="J352" s="106">
        <v>4.0295299440099672</v>
      </c>
      <c r="K352" s="30">
        <f t="shared" si="41"/>
        <v>4.0629348843137514E-3</v>
      </c>
      <c r="L352" s="30">
        <f t="shared" si="42"/>
        <v>4.2817891867330538E-4</v>
      </c>
      <c r="M352" s="30">
        <f t="shared" si="43"/>
        <v>6.2912870480391625E-4</v>
      </c>
      <c r="N352" s="30">
        <f t="shared" si="44"/>
        <v>2.3391899893926427E-2</v>
      </c>
      <c r="O352" s="30">
        <f t="shared" si="45"/>
        <v>1.0108697902888153E-2</v>
      </c>
      <c r="P352" s="30">
        <f t="shared" si="46"/>
        <v>1.0630256850858499E-2</v>
      </c>
      <c r="Q352" s="30">
        <f t="shared" si="47"/>
        <v>-2.887572456965759E-2</v>
      </c>
    </row>
    <row r="353" spans="2:17" ht="13.95" customHeight="1" x14ac:dyDescent="0.3">
      <c r="B353" s="105">
        <v>44953</v>
      </c>
      <c r="C353" s="107">
        <f t="shared" si="40"/>
        <v>1</v>
      </c>
      <c r="D353" s="106">
        <v>4.6943923010162836</v>
      </c>
      <c r="E353" s="106">
        <v>2.7416784228527802</v>
      </c>
      <c r="F353" s="106">
        <v>0.96340384777205357</v>
      </c>
      <c r="G353" s="106">
        <v>3.8834342429135251</v>
      </c>
      <c r="H353" s="106">
        <v>3.1254519511424519</v>
      </c>
      <c r="I353" s="106">
        <v>0.79763724053799578</v>
      </c>
      <c r="J353" s="106">
        <v>4.0867181732574842</v>
      </c>
      <c r="K353" s="30">
        <f t="shared" si="41"/>
        <v>-2.4140401078544538E-2</v>
      </c>
      <c r="L353" s="30">
        <f t="shared" si="42"/>
        <v>1.8440386587506463E-2</v>
      </c>
      <c r="M353" s="30">
        <f t="shared" si="43"/>
        <v>3.5536710148059036E-2</v>
      </c>
      <c r="N353" s="30">
        <f t="shared" si="44"/>
        <v>-2.6539719663726258E-3</v>
      </c>
      <c r="O353" s="30">
        <f t="shared" si="45"/>
        <v>2.4390325530692092E-3</v>
      </c>
      <c r="P353" s="30">
        <f t="shared" si="46"/>
        <v>4.2488914845049797E-2</v>
      </c>
      <c r="Q353" s="30">
        <f t="shared" si="47"/>
        <v>1.4192282981425386E-2</v>
      </c>
    </row>
    <row r="354" spans="2:17" ht="13.95" customHeight="1" x14ac:dyDescent="0.3">
      <c r="B354" s="105">
        <v>44960</v>
      </c>
      <c r="C354" s="107">
        <f t="shared" si="40"/>
        <v>1</v>
      </c>
      <c r="D354" s="106">
        <v>4.6135934655147004</v>
      </c>
      <c r="E354" s="106">
        <v>2.6410167842655041</v>
      </c>
      <c r="F354" s="106">
        <v>0.94789448556395361</v>
      </c>
      <c r="G354" s="106">
        <v>3.7009841322411638</v>
      </c>
      <c r="H354" s="106">
        <v>3.020407523222516</v>
      </c>
      <c r="I354" s="106">
        <v>0.78034134569785241</v>
      </c>
      <c r="J354" s="106">
        <v>4.0920444268246454</v>
      </c>
      <c r="K354" s="30">
        <f t="shared" si="41"/>
        <v>-1.7211777440094056E-2</v>
      </c>
      <c r="L354" s="30">
        <f t="shared" si="42"/>
        <v>-3.6715333843761022E-2</v>
      </c>
      <c r="M354" s="30">
        <f t="shared" si="43"/>
        <v>-1.609850556852821E-2</v>
      </c>
      <c r="N354" s="30">
        <f t="shared" si="44"/>
        <v>-4.6981640285346793E-2</v>
      </c>
      <c r="O354" s="30">
        <f t="shared" si="45"/>
        <v>-3.3609356202561003E-2</v>
      </c>
      <c r="P354" s="30">
        <f t="shared" si="46"/>
        <v>-2.1683910882191904E-2</v>
      </c>
      <c r="Q354" s="30">
        <f t="shared" si="47"/>
        <v>1.3033082638325144E-3</v>
      </c>
    </row>
    <row r="355" spans="2:17" ht="13.95" customHeight="1" x14ac:dyDescent="0.3">
      <c r="B355" s="105">
        <v>44967</v>
      </c>
      <c r="C355" s="107">
        <f t="shared" si="40"/>
        <v>1</v>
      </c>
      <c r="D355" s="106">
        <v>4.6083872574749138</v>
      </c>
      <c r="E355" s="106">
        <v>2.593062892392914</v>
      </c>
      <c r="F355" s="106">
        <v>0.9252972718099256</v>
      </c>
      <c r="G355" s="106">
        <v>3.7391379474161641</v>
      </c>
      <c r="H355" s="106">
        <v>3.0080089800418319</v>
      </c>
      <c r="I355" s="106">
        <v>0.75295627404752852</v>
      </c>
      <c r="J355" s="106">
        <v>4.1350772388530608</v>
      </c>
      <c r="K355" s="30">
        <f t="shared" si="41"/>
        <v>-1.1284496734923488E-3</v>
      </c>
      <c r="L355" s="30">
        <f t="shared" si="42"/>
        <v>-1.8157359755639257E-2</v>
      </c>
      <c r="M355" s="30">
        <f t="shared" si="43"/>
        <v>-2.3839376743059915E-2</v>
      </c>
      <c r="N355" s="30">
        <f t="shared" si="44"/>
        <v>1.0309099907406472E-2</v>
      </c>
      <c r="O355" s="30">
        <f t="shared" si="45"/>
        <v>-4.104923949949657E-3</v>
      </c>
      <c r="P355" s="30">
        <f t="shared" si="46"/>
        <v>-3.5093708415300795E-2</v>
      </c>
      <c r="Q355" s="30">
        <f t="shared" si="47"/>
        <v>1.0516213300696853E-2</v>
      </c>
    </row>
    <row r="356" spans="2:17" ht="13.95" customHeight="1" x14ac:dyDescent="0.3">
      <c r="B356" s="105">
        <v>44974</v>
      </c>
      <c r="C356" s="107">
        <f t="shared" si="40"/>
        <v>1</v>
      </c>
      <c r="D356" s="106">
        <v>4.7571584974848102</v>
      </c>
      <c r="E356" s="106">
        <v>2.6216744376712628</v>
      </c>
      <c r="F356" s="106">
        <v>0.93517202777844</v>
      </c>
      <c r="G356" s="106">
        <v>3.725332807941848</v>
      </c>
      <c r="H356" s="106">
        <v>3.0386294874901059</v>
      </c>
      <c r="I356" s="106">
        <v>0.75688017725626333</v>
      </c>
      <c r="J356" s="106">
        <v>4.2450251722705623</v>
      </c>
      <c r="K356" s="30">
        <f t="shared" si="41"/>
        <v>3.2282712302136973E-2</v>
      </c>
      <c r="L356" s="30">
        <f t="shared" si="42"/>
        <v>1.1033880189440959E-2</v>
      </c>
      <c r="M356" s="30">
        <f t="shared" si="43"/>
        <v>1.0671982150340709E-2</v>
      </c>
      <c r="N356" s="30">
        <f t="shared" si="44"/>
        <v>-3.6920647669219653E-3</v>
      </c>
      <c r="O356" s="30">
        <f t="shared" si="45"/>
        <v>1.0179659585939138E-2</v>
      </c>
      <c r="P356" s="30">
        <f t="shared" si="46"/>
        <v>5.2113294542879274E-3</v>
      </c>
      <c r="Q356" s="30">
        <f t="shared" si="47"/>
        <v>2.6589088199957756E-2</v>
      </c>
    </row>
    <row r="357" spans="2:17" ht="13.95" customHeight="1" x14ac:dyDescent="0.3">
      <c r="B357" s="105">
        <v>44981</v>
      </c>
      <c r="C357" s="107">
        <f t="shared" si="40"/>
        <v>1</v>
      </c>
      <c r="D357" s="106">
        <v>4.5516972738386396</v>
      </c>
      <c r="E357" s="106">
        <v>2.5403330241189508</v>
      </c>
      <c r="F357" s="106">
        <v>0.90881476296529873</v>
      </c>
      <c r="G357" s="106">
        <v>3.6354986507680289</v>
      </c>
      <c r="H357" s="106">
        <v>2.944781194151163</v>
      </c>
      <c r="I357" s="106">
        <v>0.73243946181255815</v>
      </c>
      <c r="J357" s="106">
        <v>4.1751421223335896</v>
      </c>
      <c r="K357" s="30">
        <f t="shared" si="41"/>
        <v>-4.3189905014685004E-2</v>
      </c>
      <c r="L357" s="30">
        <f t="shared" si="42"/>
        <v>-3.1026512057906297E-2</v>
      </c>
      <c r="M357" s="30">
        <f t="shared" si="43"/>
        <v>-2.8184402473793613E-2</v>
      </c>
      <c r="N357" s="30">
        <f t="shared" si="44"/>
        <v>-2.4114397774691709E-2</v>
      </c>
      <c r="O357" s="30">
        <f t="shared" si="45"/>
        <v>-3.0885072933476088E-2</v>
      </c>
      <c r="P357" s="30">
        <f t="shared" si="46"/>
        <v>-3.2291393245763467E-2</v>
      </c>
      <c r="Q357" s="30">
        <f t="shared" si="47"/>
        <v>-1.6462340528264452E-2</v>
      </c>
    </row>
    <row r="358" spans="2:17" ht="13.95" customHeight="1" x14ac:dyDescent="0.3">
      <c r="B358" s="105">
        <v>44988</v>
      </c>
      <c r="C358" s="107">
        <f t="shared" si="40"/>
        <v>1</v>
      </c>
      <c r="D358" s="106">
        <v>4.3783769742072609</v>
      </c>
      <c r="E358" s="106">
        <v>2.4165450804489081</v>
      </c>
      <c r="F358" s="106">
        <v>0.88149700709187995</v>
      </c>
      <c r="G358" s="106">
        <v>3.6999051411681072</v>
      </c>
      <c r="H358" s="106">
        <v>2.891124883661405</v>
      </c>
      <c r="I358" s="106">
        <v>0.69706617976196705</v>
      </c>
      <c r="J358" s="106">
        <v>4.264218055672643</v>
      </c>
      <c r="K358" s="30">
        <f t="shared" si="41"/>
        <v>-3.8078169351805413E-2</v>
      </c>
      <c r="L358" s="30">
        <f t="shared" si="42"/>
        <v>-4.8729021941119388E-2</v>
      </c>
      <c r="M358" s="30">
        <f t="shared" si="43"/>
        <v>-3.0058662102149247E-2</v>
      </c>
      <c r="N358" s="30">
        <f t="shared" si="44"/>
        <v>1.7715998983102832E-2</v>
      </c>
      <c r="O358" s="30">
        <f t="shared" si="45"/>
        <v>-1.8220814027313348E-2</v>
      </c>
      <c r="P358" s="30">
        <f t="shared" si="46"/>
        <v>-4.8295161436350376E-2</v>
      </c>
      <c r="Q358" s="30">
        <f t="shared" si="47"/>
        <v>2.1334826630827752E-2</v>
      </c>
    </row>
    <row r="359" spans="2:17" ht="13.95" customHeight="1" x14ac:dyDescent="0.3">
      <c r="B359" s="105">
        <v>44995</v>
      </c>
      <c r="C359" s="107">
        <f t="shared" si="40"/>
        <v>1</v>
      </c>
      <c r="D359" s="106">
        <v>4.4848775925724036</v>
      </c>
      <c r="E359" s="106">
        <v>2.429201676253177</v>
      </c>
      <c r="F359" s="106">
        <v>0.93144135460309785</v>
      </c>
      <c r="G359" s="106">
        <v>3.5480174754373039</v>
      </c>
      <c r="H359" s="106">
        <v>2.8842545730447942</v>
      </c>
      <c r="I359" s="106">
        <v>0.74460679560119314</v>
      </c>
      <c r="J359" s="106">
        <v>4.3763871521144999</v>
      </c>
      <c r="K359" s="30">
        <f t="shared" si="41"/>
        <v>2.4324223106537257E-2</v>
      </c>
      <c r="L359" s="30">
        <f t="shared" si="42"/>
        <v>5.2374755623916247E-3</v>
      </c>
      <c r="M359" s="30">
        <f t="shared" si="43"/>
        <v>5.6658555967181057E-2</v>
      </c>
      <c r="N359" s="30">
        <f t="shared" si="44"/>
        <v>-4.1051772933521802E-2</v>
      </c>
      <c r="O359" s="30">
        <f t="shared" si="45"/>
        <v>-2.3763451573596273E-3</v>
      </c>
      <c r="P359" s="30">
        <f t="shared" si="46"/>
        <v>6.820100762234671E-2</v>
      </c>
      <c r="Q359" s="30">
        <f t="shared" si="47"/>
        <v>2.6304728083180295E-2</v>
      </c>
    </row>
    <row r="360" spans="2:17" ht="13.95" customHeight="1" x14ac:dyDescent="0.3">
      <c r="B360" s="105">
        <v>45002</v>
      </c>
      <c r="C360" s="107">
        <f t="shared" si="40"/>
        <v>1</v>
      </c>
      <c r="D360" s="106">
        <v>4.396196732262335</v>
      </c>
      <c r="E360" s="106">
        <v>2.4298722353274438</v>
      </c>
      <c r="F360" s="106">
        <v>0.93899577543150081</v>
      </c>
      <c r="G360" s="106">
        <v>3.434439335007998</v>
      </c>
      <c r="H360" s="106">
        <v>2.8388393994224681</v>
      </c>
      <c r="I360" s="106">
        <v>0.74752550174779575</v>
      </c>
      <c r="J360" s="106">
        <v>4.4620802144514249</v>
      </c>
      <c r="K360" s="30">
        <f t="shared" si="41"/>
        <v>-1.9773306735714868E-2</v>
      </c>
      <c r="L360" s="30">
        <f t="shared" si="42"/>
        <v>2.7604092357669252E-4</v>
      </c>
      <c r="M360" s="30">
        <f t="shared" si="43"/>
        <v>8.1104631988579978E-3</v>
      </c>
      <c r="N360" s="30">
        <f t="shared" si="44"/>
        <v>-3.2011719563277308E-2</v>
      </c>
      <c r="O360" s="30">
        <f t="shared" si="45"/>
        <v>-1.5745896373627999E-2</v>
      </c>
      <c r="P360" s="30">
        <f t="shared" si="46"/>
        <v>3.9197952044556228E-3</v>
      </c>
      <c r="Q360" s="30">
        <f t="shared" si="47"/>
        <v>1.9580777330342247E-2</v>
      </c>
    </row>
    <row r="361" spans="2:17" ht="13.95" customHeight="1" x14ac:dyDescent="0.3">
      <c r="B361" s="105">
        <v>45009</v>
      </c>
      <c r="C361" s="107">
        <f t="shared" si="40"/>
        <v>1</v>
      </c>
      <c r="D361" s="106">
        <v>4.3150039795628068</v>
      </c>
      <c r="E361" s="106">
        <v>2.3550723156345059</v>
      </c>
      <c r="F361" s="106">
        <v>0.9051397969063798</v>
      </c>
      <c r="G361" s="106">
        <v>3.3093788468000689</v>
      </c>
      <c r="H361" s="106">
        <v>2.7514518623779818</v>
      </c>
      <c r="I361" s="106">
        <v>0.70580725401704625</v>
      </c>
      <c r="J361" s="106">
        <v>4.538738630697142</v>
      </c>
      <c r="K361" s="30">
        <f t="shared" si="41"/>
        <v>-1.8468862438225209E-2</v>
      </c>
      <c r="L361" s="30">
        <f t="shared" si="42"/>
        <v>-3.0783478491352878E-2</v>
      </c>
      <c r="M361" s="30">
        <f t="shared" si="43"/>
        <v>-3.6055517405882975E-2</v>
      </c>
      <c r="N361" s="30">
        <f t="shared" si="44"/>
        <v>-3.6413654750910851E-2</v>
      </c>
      <c r="O361" s="30">
        <f t="shared" si="45"/>
        <v>-3.0782839304775211E-2</v>
      </c>
      <c r="P361" s="30">
        <f t="shared" si="46"/>
        <v>-5.5808460892916356E-2</v>
      </c>
      <c r="Q361" s="30">
        <f t="shared" si="47"/>
        <v>1.7179972694673307E-2</v>
      </c>
    </row>
    <row r="362" spans="2:17" ht="13.95" customHeight="1" x14ac:dyDescent="0.3">
      <c r="B362" s="105">
        <v>45016</v>
      </c>
      <c r="C362" s="107">
        <f t="shared" si="40"/>
        <v>1</v>
      </c>
      <c r="D362" s="106">
        <v>4.4736367864877069</v>
      </c>
      <c r="E362" s="106">
        <v>2.434539636235979</v>
      </c>
      <c r="F362" s="106">
        <v>0.92436610172168543</v>
      </c>
      <c r="G362" s="106">
        <v>3.4055364758004831</v>
      </c>
      <c r="H362" s="106">
        <v>2.8366668657337022</v>
      </c>
      <c r="I362" s="106">
        <v>0.72569861438919092</v>
      </c>
      <c r="J362" s="106">
        <v>4.5563338070881416</v>
      </c>
      <c r="K362" s="30">
        <f t="shared" si="41"/>
        <v>3.6763073145757108E-2</v>
      </c>
      <c r="L362" s="30">
        <f t="shared" si="42"/>
        <v>3.3743049023979843E-2</v>
      </c>
      <c r="M362" s="30">
        <f t="shared" si="43"/>
        <v>2.1241254534402287E-2</v>
      </c>
      <c r="N362" s="30">
        <f t="shared" si="44"/>
        <v>2.905609585720037E-2</v>
      </c>
      <c r="O362" s="30">
        <f t="shared" si="45"/>
        <v>3.0970922850190208E-2</v>
      </c>
      <c r="P362" s="30">
        <f t="shared" si="46"/>
        <v>2.8182425526139809E-2</v>
      </c>
      <c r="Q362" s="30">
        <f t="shared" si="47"/>
        <v>3.8766665857330462E-3</v>
      </c>
    </row>
    <row r="363" spans="2:17" ht="13.95" customHeight="1" x14ac:dyDescent="0.3">
      <c r="B363" s="105">
        <v>45023</v>
      </c>
      <c r="C363" s="107">
        <f t="shared" si="40"/>
        <v>1</v>
      </c>
      <c r="D363" s="106">
        <v>4.4797216611043726</v>
      </c>
      <c r="E363" s="106">
        <v>2.4163815454276709</v>
      </c>
      <c r="F363" s="106">
        <v>0.89865809647173756</v>
      </c>
      <c r="G363" s="106">
        <v>3.3598801045481288</v>
      </c>
      <c r="H363" s="106">
        <v>2.80722946853425</v>
      </c>
      <c r="I363" s="106">
        <v>0.71164035835501882</v>
      </c>
      <c r="J363" s="106">
        <v>4.3312685739971766</v>
      </c>
      <c r="K363" s="30">
        <f t="shared" si="41"/>
        <v>1.3601628623594042E-3</v>
      </c>
      <c r="L363" s="30">
        <f t="shared" si="42"/>
        <v>-7.4585315999956547E-3</v>
      </c>
      <c r="M363" s="30">
        <f t="shared" si="43"/>
        <v>-2.7811497200151747E-2</v>
      </c>
      <c r="N363" s="30">
        <f t="shared" si="44"/>
        <v>-1.3406513651163521E-2</v>
      </c>
      <c r="O363" s="30">
        <f t="shared" si="45"/>
        <v>-1.0377460094115887E-2</v>
      </c>
      <c r="P363" s="30">
        <f t="shared" si="46"/>
        <v>-1.9372030971844589E-2</v>
      </c>
      <c r="Q363" s="30">
        <f t="shared" si="47"/>
        <v>-4.939612473977173E-2</v>
      </c>
    </row>
    <row r="364" spans="2:17" ht="13.95" customHeight="1" x14ac:dyDescent="0.3">
      <c r="B364" s="105">
        <v>45030</v>
      </c>
      <c r="C364" s="107">
        <f t="shared" si="40"/>
        <v>1</v>
      </c>
      <c r="D364" s="106">
        <v>4.8391540158475159</v>
      </c>
      <c r="E364" s="106">
        <v>2.4936768145405681</v>
      </c>
      <c r="F364" s="106">
        <v>0.94356658534113746</v>
      </c>
      <c r="G364" s="106">
        <v>3.541744380931513</v>
      </c>
      <c r="H364" s="106">
        <v>2.9591964301805032</v>
      </c>
      <c r="I364" s="106">
        <v>0.75737847865521846</v>
      </c>
      <c r="J364" s="106">
        <v>4.3843181456803828</v>
      </c>
      <c r="K364" s="30">
        <f t="shared" si="41"/>
        <v>8.0235421290556941E-2</v>
      </c>
      <c r="L364" s="30">
        <f t="shared" si="42"/>
        <v>3.1988023273541888E-2</v>
      </c>
      <c r="M364" s="30">
        <f t="shared" si="43"/>
        <v>4.997283065241076E-2</v>
      </c>
      <c r="N364" s="30">
        <f t="shared" si="44"/>
        <v>5.412820419907316E-2</v>
      </c>
      <c r="O364" s="30">
        <f t="shared" si="45"/>
        <v>5.4134143057995354E-2</v>
      </c>
      <c r="P364" s="30">
        <f t="shared" si="46"/>
        <v>6.4271397431597155E-2</v>
      </c>
      <c r="Q364" s="30">
        <f t="shared" si="47"/>
        <v>1.2248044834183291E-2</v>
      </c>
    </row>
    <row r="365" spans="2:17" ht="13.95" customHeight="1" x14ac:dyDescent="0.3">
      <c r="B365" s="105">
        <v>45037</v>
      </c>
      <c r="C365" s="107">
        <f t="shared" si="40"/>
        <v>1</v>
      </c>
      <c r="D365" s="106">
        <v>4.7659529012502606</v>
      </c>
      <c r="E365" s="106">
        <v>2.468687568016521</v>
      </c>
      <c r="F365" s="106">
        <v>0.93038546213318762</v>
      </c>
      <c r="G365" s="106">
        <v>3.447190741923956</v>
      </c>
      <c r="H365" s="106">
        <v>2.905945409254056</v>
      </c>
      <c r="I365" s="106">
        <v>0.73554263108620654</v>
      </c>
      <c r="J365" s="106">
        <v>4.5038140569716818</v>
      </c>
      <c r="K365" s="30">
        <f t="shared" si="41"/>
        <v>-1.5126841253147227E-2</v>
      </c>
      <c r="L365" s="30">
        <f t="shared" si="42"/>
        <v>-1.0021044578966909E-2</v>
      </c>
      <c r="M365" s="30">
        <f t="shared" si="43"/>
        <v>-1.3969467987449247E-2</v>
      </c>
      <c r="N365" s="30">
        <f t="shared" si="44"/>
        <v>-2.6696912266347295E-2</v>
      </c>
      <c r="O365" s="30">
        <f t="shared" si="45"/>
        <v>-1.7995095014087692E-2</v>
      </c>
      <c r="P365" s="30">
        <f t="shared" si="46"/>
        <v>-2.8830826574030799E-2</v>
      </c>
      <c r="Q365" s="30">
        <f t="shared" si="47"/>
        <v>2.725530112567931E-2</v>
      </c>
    </row>
    <row r="366" spans="2:17" ht="13.95" customHeight="1" x14ac:dyDescent="0.3">
      <c r="B366" s="105">
        <v>45044</v>
      </c>
      <c r="C366" s="107">
        <f t="shared" si="40"/>
        <v>1</v>
      </c>
      <c r="D366" s="106">
        <v>4.8109909367370731</v>
      </c>
      <c r="E366" s="106">
        <v>2.4734155043020851</v>
      </c>
      <c r="F366" s="106">
        <v>0.94909090650568995</v>
      </c>
      <c r="G366" s="106">
        <v>3.4029540950527801</v>
      </c>
      <c r="H366" s="106">
        <v>2.9081771729453232</v>
      </c>
      <c r="I366" s="106">
        <v>0.75375260401061306</v>
      </c>
      <c r="J366" s="106">
        <v>4.5394156722128489</v>
      </c>
      <c r="K366" s="30">
        <f t="shared" si="41"/>
        <v>9.4499539588395187E-3</v>
      </c>
      <c r="L366" s="30">
        <f t="shared" si="42"/>
        <v>1.9151618644730473E-3</v>
      </c>
      <c r="M366" s="30">
        <f t="shared" si="43"/>
        <v>2.0105047997648784E-2</v>
      </c>
      <c r="N366" s="30">
        <f t="shared" si="44"/>
        <v>-1.2832665838063417E-2</v>
      </c>
      <c r="O366" s="30">
        <f t="shared" si="45"/>
        <v>7.6799917994341271E-4</v>
      </c>
      <c r="P366" s="30">
        <f t="shared" si="46"/>
        <v>2.4757195782812769E-2</v>
      </c>
      <c r="Q366" s="30">
        <f t="shared" si="47"/>
        <v>7.9047702215986337E-3</v>
      </c>
    </row>
    <row r="367" spans="2:17" ht="13.95" customHeight="1" x14ac:dyDescent="0.3">
      <c r="B367" s="105">
        <v>45051</v>
      </c>
      <c r="C367" s="107">
        <f t="shared" si="40"/>
        <v>1</v>
      </c>
      <c r="D367" s="106">
        <v>4.9395149589779548</v>
      </c>
      <c r="E367" s="106">
        <v>2.4922294238115139</v>
      </c>
      <c r="F367" s="106">
        <v>0.96588913752771888</v>
      </c>
      <c r="G367" s="106">
        <v>3.3684048215239528</v>
      </c>
      <c r="H367" s="106">
        <v>2.928918950385957</v>
      </c>
      <c r="I367" s="106">
        <v>0.79051430438308257</v>
      </c>
      <c r="J367" s="106">
        <v>4.2276668848705334</v>
      </c>
      <c r="K367" s="30">
        <f t="shared" si="41"/>
        <v>2.6714667296390715E-2</v>
      </c>
      <c r="L367" s="30">
        <f t="shared" si="42"/>
        <v>7.6064532937167861E-3</v>
      </c>
      <c r="M367" s="30">
        <f t="shared" si="43"/>
        <v>1.769928560781997E-2</v>
      </c>
      <c r="N367" s="30">
        <f t="shared" si="44"/>
        <v>-1.0152729823495132E-2</v>
      </c>
      <c r="O367" s="30">
        <f t="shared" si="45"/>
        <v>7.1322262046460416E-3</v>
      </c>
      <c r="P367" s="30">
        <f t="shared" si="46"/>
        <v>4.8771573294560611E-2</v>
      </c>
      <c r="Q367" s="30">
        <f t="shared" si="47"/>
        <v>-6.8675972824129183E-2</v>
      </c>
    </row>
    <row r="368" spans="2:17" ht="13.95" customHeight="1" x14ac:dyDescent="0.3">
      <c r="B368" s="105">
        <v>45058</v>
      </c>
      <c r="C368" s="107">
        <f t="shared" si="40"/>
        <v>1</v>
      </c>
      <c r="D368" s="106">
        <v>5.1175691427227239</v>
      </c>
      <c r="E368" s="106">
        <v>2.5770959763880441</v>
      </c>
      <c r="F368" s="106">
        <v>0.99756014784155467</v>
      </c>
      <c r="G368" s="106">
        <v>3.45640403596733</v>
      </c>
      <c r="H368" s="106">
        <v>3.0212187142520048</v>
      </c>
      <c r="I368" s="106">
        <v>0.82315557226553471</v>
      </c>
      <c r="J368" s="106">
        <v>4.2537770170783276</v>
      </c>
      <c r="K368" s="30">
        <f t="shared" si="41"/>
        <v>3.6046896349841262E-2</v>
      </c>
      <c r="L368" s="30">
        <f t="shared" si="42"/>
        <v>3.405246393678274E-2</v>
      </c>
      <c r="M368" s="30">
        <f t="shared" si="43"/>
        <v>3.2789488030583458E-2</v>
      </c>
      <c r="N368" s="30">
        <f t="shared" si="44"/>
        <v>2.6124892673548672E-2</v>
      </c>
      <c r="O368" s="30">
        <f t="shared" si="45"/>
        <v>3.151325298840546E-2</v>
      </c>
      <c r="P368" s="30">
        <f t="shared" si="46"/>
        <v>4.1291179301208736E-2</v>
      </c>
      <c r="Q368" s="30">
        <f t="shared" si="47"/>
        <v>6.1760145533777955E-3</v>
      </c>
    </row>
    <row r="369" spans="2:17" ht="13.95" customHeight="1" x14ac:dyDescent="0.3">
      <c r="B369" s="105">
        <v>45065</v>
      </c>
      <c r="C369" s="107">
        <f t="shared" si="40"/>
        <v>1</v>
      </c>
      <c r="D369" s="106">
        <v>5.1817038390377528</v>
      </c>
      <c r="E369" s="106">
        <v>2.637122431292116</v>
      </c>
      <c r="F369" s="106">
        <v>1.028185424738072</v>
      </c>
      <c r="G369" s="106">
        <v>3.532010354518845</v>
      </c>
      <c r="H369" s="106">
        <v>3.0849748082588881</v>
      </c>
      <c r="I369" s="106">
        <v>0.84850215409111018</v>
      </c>
      <c r="J369" s="106">
        <v>4.3831038249208003</v>
      </c>
      <c r="K369" s="30">
        <f t="shared" si="41"/>
        <v>1.2532257899481314E-2</v>
      </c>
      <c r="L369" s="30">
        <f t="shared" si="42"/>
        <v>2.3292285368511134E-2</v>
      </c>
      <c r="M369" s="30">
        <f t="shared" si="43"/>
        <v>3.0700180798904242E-2</v>
      </c>
      <c r="N369" s="30">
        <f t="shared" si="44"/>
        <v>2.1874270995160261E-2</v>
      </c>
      <c r="O369" s="30">
        <f t="shared" si="45"/>
        <v>2.1102773429188204E-2</v>
      </c>
      <c r="P369" s="30">
        <f t="shared" si="46"/>
        <v>3.0791970168913663E-2</v>
      </c>
      <c r="Q369" s="30">
        <f t="shared" si="47"/>
        <v>3.0402817854166653E-2</v>
      </c>
    </row>
    <row r="370" spans="2:17" ht="13.95" customHeight="1" x14ac:dyDescent="0.3">
      <c r="B370" s="105">
        <v>45072</v>
      </c>
      <c r="C370" s="107">
        <f t="shared" si="40"/>
        <v>1</v>
      </c>
      <c r="D370" s="106">
        <v>5.221461581120951</v>
      </c>
      <c r="E370" s="106">
        <v>2.6572084088355918</v>
      </c>
      <c r="F370" s="106">
        <v>1.0443670572342501</v>
      </c>
      <c r="G370" s="106">
        <v>3.487016218629877</v>
      </c>
      <c r="H370" s="106">
        <v>3.0894104668231641</v>
      </c>
      <c r="I370" s="106">
        <v>0.86779713665020486</v>
      </c>
      <c r="J370" s="106">
        <v>4.3526221185826746</v>
      </c>
      <c r="K370" s="30">
        <f t="shared" si="41"/>
        <v>7.672716025117543E-3</v>
      </c>
      <c r="L370" s="30">
        <f t="shared" si="42"/>
        <v>7.6166268600712517E-3</v>
      </c>
      <c r="M370" s="30">
        <f t="shared" si="43"/>
        <v>1.5738048903290336E-2</v>
      </c>
      <c r="N370" s="30">
        <f t="shared" si="44"/>
        <v>-1.273895922513435E-2</v>
      </c>
      <c r="O370" s="30">
        <f t="shared" si="45"/>
        <v>1.437826510738871E-3</v>
      </c>
      <c r="P370" s="30">
        <f t="shared" si="46"/>
        <v>2.274005135527668E-2</v>
      </c>
      <c r="Q370" s="30">
        <f t="shared" si="47"/>
        <v>-6.9543655719076503E-3</v>
      </c>
    </row>
    <row r="371" spans="2:17" ht="13.95" customHeight="1" x14ac:dyDescent="0.3">
      <c r="B371" s="105">
        <v>45079</v>
      </c>
      <c r="C371" s="107">
        <f t="shared" si="40"/>
        <v>1</v>
      </c>
      <c r="D371" s="106">
        <v>5.3082391117800869</v>
      </c>
      <c r="E371" s="106">
        <v>2.669298705009902</v>
      </c>
      <c r="F371" s="106">
        <v>1.0623219422101291</v>
      </c>
      <c r="G371" s="106">
        <v>3.5584913287811242</v>
      </c>
      <c r="H371" s="106">
        <v>3.1357422557681169</v>
      </c>
      <c r="I371" s="106">
        <v>0.89367182206056583</v>
      </c>
      <c r="J371" s="106">
        <v>4.244256215827491</v>
      </c>
      <c r="K371" s="30">
        <f t="shared" si="41"/>
        <v>1.6619394648596852E-2</v>
      </c>
      <c r="L371" s="30">
        <f t="shared" si="42"/>
        <v>4.5499992150062063E-3</v>
      </c>
      <c r="M371" s="30">
        <f t="shared" si="43"/>
        <v>1.7192121152718176E-2</v>
      </c>
      <c r="N371" s="30">
        <f t="shared" si="44"/>
        <v>2.0497498626298682E-2</v>
      </c>
      <c r="O371" s="30">
        <f t="shared" si="45"/>
        <v>1.4996967687688212E-2</v>
      </c>
      <c r="P371" s="30">
        <f t="shared" si="46"/>
        <v>2.9816513926561372E-2</v>
      </c>
      <c r="Q371" s="30">
        <f t="shared" si="47"/>
        <v>-2.4896694406926878E-2</v>
      </c>
    </row>
    <row r="372" spans="2:17" ht="13.95" customHeight="1" x14ac:dyDescent="0.3">
      <c r="B372" s="105">
        <v>45086</v>
      </c>
      <c r="C372" s="107">
        <f t="shared" si="40"/>
        <v>1</v>
      </c>
      <c r="D372" s="106">
        <v>5.4868589898751532</v>
      </c>
      <c r="E372" s="106">
        <v>2.812037929717643</v>
      </c>
      <c r="F372" s="106">
        <v>1.092573260113969</v>
      </c>
      <c r="G372" s="106">
        <v>3.6956149059379468</v>
      </c>
      <c r="H372" s="106">
        <v>3.260076095870621</v>
      </c>
      <c r="I372" s="106">
        <v>0.92561858016918863</v>
      </c>
      <c r="J372" s="106">
        <v>4.2565193405624706</v>
      </c>
      <c r="K372" s="30">
        <f t="shared" si="41"/>
        <v>3.3649553897953099E-2</v>
      </c>
      <c r="L372" s="30">
        <f t="shared" si="42"/>
        <v>5.347442923485457E-2</v>
      </c>
      <c r="M372" s="30">
        <f t="shared" si="43"/>
        <v>2.8476600832420873E-2</v>
      </c>
      <c r="N372" s="30">
        <f t="shared" si="44"/>
        <v>3.8534188926572677E-2</v>
      </c>
      <c r="O372" s="30">
        <f t="shared" si="45"/>
        <v>3.9650529272230672E-2</v>
      </c>
      <c r="P372" s="30">
        <f t="shared" si="46"/>
        <v>3.5747751378086612E-2</v>
      </c>
      <c r="Q372" s="30">
        <f t="shared" si="47"/>
        <v>2.8893460034877805E-3</v>
      </c>
    </row>
    <row r="373" spans="2:17" ht="13.95" customHeight="1" x14ac:dyDescent="0.3">
      <c r="B373" s="105">
        <v>45093</v>
      </c>
      <c r="C373" s="107">
        <f t="shared" si="40"/>
        <v>1</v>
      </c>
      <c r="D373" s="106">
        <v>5.5891421475991523</v>
      </c>
      <c r="E373" s="106">
        <v>2.8274121644503811</v>
      </c>
      <c r="F373" s="106">
        <v>1.0783967846592351</v>
      </c>
      <c r="G373" s="106">
        <v>3.811652976062387</v>
      </c>
      <c r="H373" s="106">
        <v>3.3102782082638682</v>
      </c>
      <c r="I373" s="106">
        <v>0.90817344713935844</v>
      </c>
      <c r="J373" s="106">
        <v>4.2921217820707867</v>
      </c>
      <c r="K373" s="30">
        <f t="shared" si="41"/>
        <v>1.864147737580657E-2</v>
      </c>
      <c r="L373" s="30">
        <f t="shared" si="42"/>
        <v>5.4672928022283518E-3</v>
      </c>
      <c r="M373" s="30">
        <f t="shared" si="43"/>
        <v>-1.2975308816596143E-2</v>
      </c>
      <c r="N373" s="30">
        <f t="shared" si="44"/>
        <v>3.1398853256597636E-2</v>
      </c>
      <c r="O373" s="30">
        <f t="shared" si="45"/>
        <v>1.5399061530139146E-2</v>
      </c>
      <c r="P373" s="30">
        <f t="shared" si="46"/>
        <v>-1.8846999621206284E-2</v>
      </c>
      <c r="Q373" s="30">
        <f t="shared" si="47"/>
        <v>8.3642146692586294E-3</v>
      </c>
    </row>
    <row r="374" spans="2:17" ht="13.95" customHeight="1" x14ac:dyDescent="0.3">
      <c r="B374" s="105">
        <v>45100</v>
      </c>
      <c r="C374" s="107">
        <f t="shared" si="40"/>
        <v>1</v>
      </c>
      <c r="D374" s="106">
        <v>5.6166820327245199</v>
      </c>
      <c r="E374" s="106">
        <v>2.8898821344123808</v>
      </c>
      <c r="F374" s="106">
        <v>1.0841446678864191</v>
      </c>
      <c r="G374" s="106">
        <v>3.7542646147737679</v>
      </c>
      <c r="H374" s="106">
        <v>3.3172372943573372</v>
      </c>
      <c r="I374" s="106">
        <v>0.92936918478169395</v>
      </c>
      <c r="J374" s="106">
        <v>4.0416617936048871</v>
      </c>
      <c r="K374" s="30">
        <f t="shared" si="41"/>
        <v>4.9273903576056988E-3</v>
      </c>
      <c r="L374" s="30">
        <f t="shared" si="42"/>
        <v>2.209439810277658E-2</v>
      </c>
      <c r="M374" s="30">
        <f t="shared" si="43"/>
        <v>5.3300263028883688E-3</v>
      </c>
      <c r="N374" s="30">
        <f t="shared" si="44"/>
        <v>-1.5056029929540915E-2</v>
      </c>
      <c r="O374" s="30">
        <f t="shared" si="45"/>
        <v>2.1022662313083806E-3</v>
      </c>
      <c r="P374" s="30">
        <f t="shared" si="46"/>
        <v>2.3338865179443058E-2</v>
      </c>
      <c r="Q374" s="30">
        <f t="shared" si="47"/>
        <v>-5.8353420798107458E-2</v>
      </c>
    </row>
    <row r="375" spans="2:17" ht="13.95" customHeight="1" x14ac:dyDescent="0.3">
      <c r="B375" s="105">
        <v>45107</v>
      </c>
      <c r="C375" s="107">
        <f t="shared" si="40"/>
        <v>1</v>
      </c>
      <c r="D375" s="106">
        <v>5.6179237866698806</v>
      </c>
      <c r="E375" s="106">
        <v>2.8930010446951901</v>
      </c>
      <c r="F375" s="106">
        <v>1.0858506971192401</v>
      </c>
      <c r="G375" s="106">
        <v>3.6700933762716939</v>
      </c>
      <c r="H375" s="106">
        <v>3.2926525118129168</v>
      </c>
      <c r="I375" s="106">
        <v>0.92123088075368198</v>
      </c>
      <c r="J375" s="106">
        <v>4.2084757751141826</v>
      </c>
      <c r="K375" s="30">
        <f t="shared" si="41"/>
        <v>2.2108318365288149E-4</v>
      </c>
      <c r="L375" s="30">
        <f t="shared" si="42"/>
        <v>1.0792517264526236E-3</v>
      </c>
      <c r="M375" s="30">
        <f t="shared" si="43"/>
        <v>1.5736176945342351E-3</v>
      </c>
      <c r="N375" s="30">
        <f t="shared" si="44"/>
        <v>-2.242016670078173E-2</v>
      </c>
      <c r="O375" s="30">
        <f t="shared" si="45"/>
        <v>-7.4112221595480365E-3</v>
      </c>
      <c r="P375" s="30">
        <f t="shared" si="46"/>
        <v>-8.7568042509647004E-3</v>
      </c>
      <c r="Q375" s="30">
        <f t="shared" si="47"/>
        <v>4.1273612199131726E-2</v>
      </c>
    </row>
    <row r="376" spans="2:17" ht="13.95" customHeight="1" x14ac:dyDescent="0.3">
      <c r="B376" s="105">
        <v>45114</v>
      </c>
      <c r="C376" s="107">
        <f t="shared" si="40"/>
        <v>1</v>
      </c>
      <c r="D376" s="106">
        <v>5.662991258379094</v>
      </c>
      <c r="E376" s="106">
        <v>2.8763533810681721</v>
      </c>
      <c r="F376" s="106">
        <v>1.0925490889068179</v>
      </c>
      <c r="G376" s="106">
        <v>3.7288059682952381</v>
      </c>
      <c r="H376" s="106">
        <v>3.3154318279625619</v>
      </c>
      <c r="I376" s="106">
        <v>0.93330020192482943</v>
      </c>
      <c r="J376" s="106">
        <v>4.1278102067795013</v>
      </c>
      <c r="K376" s="30">
        <f t="shared" si="41"/>
        <v>8.0220867033029553E-3</v>
      </c>
      <c r="L376" s="30">
        <f t="shared" si="42"/>
        <v>-5.7544616713998131E-3</v>
      </c>
      <c r="M376" s="30">
        <f t="shared" si="43"/>
        <v>6.1687963228724829E-3</v>
      </c>
      <c r="N376" s="30">
        <f t="shared" si="44"/>
        <v>1.599757444950578E-2</v>
      </c>
      <c r="O376" s="30">
        <f t="shared" si="45"/>
        <v>6.9182265872029802E-3</v>
      </c>
      <c r="P376" s="30">
        <f t="shared" si="46"/>
        <v>1.3101298950457752E-2</v>
      </c>
      <c r="Q376" s="30">
        <f t="shared" si="47"/>
        <v>-1.9167407072099074E-2</v>
      </c>
    </row>
    <row r="377" spans="2:17" ht="13.95" customHeight="1" x14ac:dyDescent="0.3">
      <c r="B377" s="105">
        <v>45121</v>
      </c>
      <c r="C377" s="107">
        <f t="shared" si="40"/>
        <v>1</v>
      </c>
      <c r="D377" s="106">
        <v>5.5736258729641959</v>
      </c>
      <c r="E377" s="106">
        <v>2.8169718044251839</v>
      </c>
      <c r="F377" s="106">
        <v>1.0448838646032099</v>
      </c>
      <c r="G377" s="106">
        <v>3.7869842730818042</v>
      </c>
      <c r="H377" s="106">
        <v>3.2825068840373159</v>
      </c>
      <c r="I377" s="106">
        <v>0.88934740172138693</v>
      </c>
      <c r="J377" s="106">
        <v>4.0017385541056818</v>
      </c>
      <c r="K377" s="30">
        <f t="shared" si="41"/>
        <v>-1.5780597450626654E-2</v>
      </c>
      <c r="L377" s="30">
        <f t="shared" si="42"/>
        <v>-2.064474310904596E-2</v>
      </c>
      <c r="M377" s="30">
        <f t="shared" si="43"/>
        <v>-4.3627535629818581E-2</v>
      </c>
      <c r="N377" s="30">
        <f t="shared" si="44"/>
        <v>1.5602395319369355E-2</v>
      </c>
      <c r="O377" s="30">
        <f t="shared" si="45"/>
        <v>-9.9308161451412413E-3</v>
      </c>
      <c r="P377" s="30">
        <f t="shared" si="46"/>
        <v>-4.7093957670634401E-2</v>
      </c>
      <c r="Q377" s="30">
        <f t="shared" si="47"/>
        <v>-3.0542017766892471E-2</v>
      </c>
    </row>
    <row r="378" spans="2:17" ht="13.95" customHeight="1" x14ac:dyDescent="0.3">
      <c r="B378" s="105">
        <v>45128</v>
      </c>
      <c r="C378" s="107">
        <f t="shared" si="40"/>
        <v>1</v>
      </c>
      <c r="D378" s="106">
        <v>5.7674251108274852</v>
      </c>
      <c r="E378" s="106">
        <v>2.8791631422470858</v>
      </c>
      <c r="F378" s="106">
        <v>1.0826999290121231</v>
      </c>
      <c r="G378" s="106">
        <v>3.8092620746032981</v>
      </c>
      <c r="H378" s="106">
        <v>3.3526104942868491</v>
      </c>
      <c r="I378" s="106">
        <v>0.91472094303492568</v>
      </c>
      <c r="J378" s="106">
        <v>4.2603234194383353</v>
      </c>
      <c r="K378" s="30">
        <f t="shared" si="41"/>
        <v>3.477076543715385E-2</v>
      </c>
      <c r="L378" s="30">
        <f t="shared" si="42"/>
        <v>2.2077373200614092E-2</v>
      </c>
      <c r="M378" s="30">
        <f t="shared" si="43"/>
        <v>3.6191643578756594E-2</v>
      </c>
      <c r="N378" s="30">
        <f t="shared" si="44"/>
        <v>5.8827288192999649E-3</v>
      </c>
      <c r="O378" s="30">
        <f t="shared" si="45"/>
        <v>2.1356729087285142E-2</v>
      </c>
      <c r="P378" s="30">
        <f t="shared" si="46"/>
        <v>2.8530517168461555E-2</v>
      </c>
      <c r="Q378" s="30">
        <f t="shared" si="47"/>
        <v>6.4618130804010576E-2</v>
      </c>
    </row>
    <row r="379" spans="2:17" ht="13.95" customHeight="1" x14ac:dyDescent="0.3">
      <c r="B379" s="105">
        <v>45135</v>
      </c>
      <c r="C379" s="107">
        <f t="shared" si="40"/>
        <v>1</v>
      </c>
      <c r="D379" s="106">
        <v>5.6466748321267728</v>
      </c>
      <c r="E379" s="106">
        <v>2.908036653951156</v>
      </c>
      <c r="F379" s="106">
        <v>1.085511841758815</v>
      </c>
      <c r="G379" s="106">
        <v>3.8306575832025809</v>
      </c>
      <c r="H379" s="106">
        <v>3.3511492563387688</v>
      </c>
      <c r="I379" s="106">
        <v>0.90725179024734648</v>
      </c>
      <c r="J379" s="106">
        <v>4.4357551120482386</v>
      </c>
      <c r="K379" s="30">
        <f t="shared" si="41"/>
        <v>-2.0936601062061744E-2</v>
      </c>
      <c r="L379" s="30">
        <f t="shared" si="42"/>
        <v>1.002843891698868E-2</v>
      </c>
      <c r="M379" s="30">
        <f t="shared" si="43"/>
        <v>2.5971302586651479E-3</v>
      </c>
      <c r="N379" s="30">
        <f t="shared" si="44"/>
        <v>5.6167069054997576E-3</v>
      </c>
      <c r="O379" s="30">
        <f t="shared" si="45"/>
        <v>-4.3585079464802945E-4</v>
      </c>
      <c r="P379" s="30">
        <f t="shared" si="46"/>
        <v>-8.1654988272134021E-3</v>
      </c>
      <c r="Q379" s="30">
        <f t="shared" si="47"/>
        <v>4.1178022262223335E-2</v>
      </c>
    </row>
    <row r="380" spans="2:17" ht="13.95" customHeight="1" x14ac:dyDescent="0.3">
      <c r="B380" s="105">
        <v>45142</v>
      </c>
      <c r="C380" s="107">
        <f t="shared" si="40"/>
        <v>1</v>
      </c>
      <c r="D380" s="106">
        <v>5.5270501055141548</v>
      </c>
      <c r="E380" s="106">
        <v>2.8739010945999128</v>
      </c>
      <c r="F380" s="106">
        <v>1.086491487577572</v>
      </c>
      <c r="G380" s="106">
        <v>3.856964286829474</v>
      </c>
      <c r="H380" s="106">
        <v>3.331983655890268</v>
      </c>
      <c r="I380" s="106">
        <v>0.90826943807660632</v>
      </c>
      <c r="J380" s="106">
        <v>4.4376908288948416</v>
      </c>
      <c r="K380" s="30">
        <f t="shared" si="41"/>
        <v>-2.1184985884438179E-2</v>
      </c>
      <c r="L380" s="30">
        <f t="shared" si="42"/>
        <v>-1.173835250833688E-2</v>
      </c>
      <c r="M380" s="30">
        <f t="shared" si="43"/>
        <v>9.0247363600348685E-4</v>
      </c>
      <c r="N380" s="30">
        <f t="shared" si="44"/>
        <v>6.8674119405107703E-3</v>
      </c>
      <c r="O380" s="30">
        <f t="shared" si="45"/>
        <v>-5.7191127528112284E-3</v>
      </c>
      <c r="P380" s="30">
        <f t="shared" si="46"/>
        <v>1.121681808952335E-3</v>
      </c>
      <c r="Q380" s="30">
        <f t="shared" si="47"/>
        <v>4.3638947545709961E-4</v>
      </c>
    </row>
    <row r="381" spans="2:17" ht="13.95" customHeight="1" x14ac:dyDescent="0.3">
      <c r="B381" s="105">
        <v>45149</v>
      </c>
      <c r="C381" s="107">
        <f t="shared" si="40"/>
        <v>1</v>
      </c>
      <c r="D381" s="106">
        <v>5.467131984736632</v>
      </c>
      <c r="E381" s="106">
        <v>2.854610060732869</v>
      </c>
      <c r="F381" s="106">
        <v>1.066907106740264</v>
      </c>
      <c r="G381" s="106">
        <v>3.8018491441815021</v>
      </c>
      <c r="H381" s="106">
        <v>3.2919235827725348</v>
      </c>
      <c r="I381" s="106">
        <v>0.88972396276593158</v>
      </c>
      <c r="J381" s="106">
        <v>4.3950588800187989</v>
      </c>
      <c r="K381" s="30">
        <f t="shared" si="41"/>
        <v>-1.0840886120743631E-2</v>
      </c>
      <c r="L381" s="30">
        <f t="shared" si="42"/>
        <v>-6.7124905249146272E-3</v>
      </c>
      <c r="M381" s="30">
        <f t="shared" si="43"/>
        <v>-1.802534217821905E-2</v>
      </c>
      <c r="N381" s="30">
        <f t="shared" si="44"/>
        <v>-1.4289772616297158E-2</v>
      </c>
      <c r="O381" s="30">
        <f t="shared" si="45"/>
        <v>-1.2022890042367118E-2</v>
      </c>
      <c r="P381" s="30">
        <f t="shared" si="46"/>
        <v>-2.0418473344151589E-2</v>
      </c>
      <c r="Q381" s="30">
        <f t="shared" si="47"/>
        <v>-9.6067866193958462E-3</v>
      </c>
    </row>
    <row r="382" spans="2:17" ht="13.95" customHeight="1" x14ac:dyDescent="0.3">
      <c r="B382" s="105">
        <v>45156</v>
      </c>
      <c r="C382" s="107">
        <f t="shared" si="40"/>
        <v>1</v>
      </c>
      <c r="D382" s="106">
        <v>5.348618648976168</v>
      </c>
      <c r="E382" s="106">
        <v>2.7775874203878552</v>
      </c>
      <c r="F382" s="106">
        <v>1.017681311127776</v>
      </c>
      <c r="G382" s="106">
        <v>3.766397708979254</v>
      </c>
      <c r="H382" s="106">
        <v>3.2194499130036678</v>
      </c>
      <c r="I382" s="106">
        <v>0.85410077578302823</v>
      </c>
      <c r="J382" s="106">
        <v>4.0989892876781777</v>
      </c>
      <c r="K382" s="30">
        <f t="shared" si="41"/>
        <v>-2.1677423572603383E-2</v>
      </c>
      <c r="L382" s="30">
        <f t="shared" si="42"/>
        <v>-2.6981842950991264E-2</v>
      </c>
      <c r="M382" s="30">
        <f t="shared" si="43"/>
        <v>-4.6138783125072802E-2</v>
      </c>
      <c r="N382" s="30">
        <f t="shared" si="44"/>
        <v>-9.3247874541535491E-3</v>
      </c>
      <c r="O382" s="30">
        <f t="shared" si="45"/>
        <v>-2.2015599070446257E-2</v>
      </c>
      <c r="P382" s="30">
        <f t="shared" si="46"/>
        <v>-4.003847088951018E-2</v>
      </c>
      <c r="Q382" s="30">
        <f t="shared" si="47"/>
        <v>-6.736419247683767E-2</v>
      </c>
    </row>
    <row r="383" spans="2:17" ht="13.95" customHeight="1" x14ac:dyDescent="0.3">
      <c r="B383" s="105">
        <v>45163</v>
      </c>
      <c r="C383" s="107">
        <f t="shared" si="40"/>
        <v>1</v>
      </c>
      <c r="D383" s="106">
        <v>5.3337067143998222</v>
      </c>
      <c r="E383" s="106">
        <v>2.7504124803825012</v>
      </c>
      <c r="F383" s="106">
        <v>1.0069040794316571</v>
      </c>
      <c r="G383" s="106">
        <v>3.854453494912331</v>
      </c>
      <c r="H383" s="106">
        <v>3.2318551131916782</v>
      </c>
      <c r="I383" s="106">
        <v>0.84261413249645711</v>
      </c>
      <c r="J383" s="106">
        <v>4.0975483017029877</v>
      </c>
      <c r="K383" s="30">
        <f t="shared" si="41"/>
        <v>-2.7879973419305815E-3</v>
      </c>
      <c r="L383" s="30">
        <f t="shared" si="42"/>
        <v>-9.7836488622775608E-3</v>
      </c>
      <c r="M383" s="30">
        <f t="shared" si="43"/>
        <v>-1.0589986843893118E-2</v>
      </c>
      <c r="N383" s="30">
        <f t="shared" si="44"/>
        <v>2.3379311675755465E-2</v>
      </c>
      <c r="O383" s="30">
        <f t="shared" si="45"/>
        <v>3.8532049024599946E-3</v>
      </c>
      <c r="P383" s="30">
        <f t="shared" si="46"/>
        <v>-1.3448814955167698E-2</v>
      </c>
      <c r="Q383" s="30">
        <f t="shared" si="47"/>
        <v>-3.5154665554304465E-4</v>
      </c>
    </row>
    <row r="384" spans="2:17" ht="13.95" customHeight="1" x14ac:dyDescent="0.3">
      <c r="B384" s="105">
        <v>45170</v>
      </c>
      <c r="C384" s="107">
        <f t="shared" si="40"/>
        <v>1</v>
      </c>
      <c r="D384" s="106">
        <v>5.365874696242849</v>
      </c>
      <c r="E384" s="106">
        <v>2.7214267241932939</v>
      </c>
      <c r="F384" s="106">
        <v>1.0065466413363009</v>
      </c>
      <c r="G384" s="106">
        <v>4.053791324890855</v>
      </c>
      <c r="H384" s="106">
        <v>3.289251322583743</v>
      </c>
      <c r="I384" s="106">
        <v>0.84044330040259141</v>
      </c>
      <c r="J384" s="106">
        <v>4.1282818105601651</v>
      </c>
      <c r="K384" s="30">
        <f t="shared" si="41"/>
        <v>6.0310743663838373E-3</v>
      </c>
      <c r="L384" s="30">
        <f t="shared" si="42"/>
        <v>-1.0538694248935387E-2</v>
      </c>
      <c r="M384" s="30">
        <f t="shared" si="43"/>
        <v>-3.5498723528648579E-4</v>
      </c>
      <c r="N384" s="30">
        <f t="shared" si="44"/>
        <v>5.171623687810456E-2</v>
      </c>
      <c r="O384" s="30">
        <f t="shared" si="45"/>
        <v>1.7759524292344286E-2</v>
      </c>
      <c r="P384" s="30">
        <f t="shared" si="46"/>
        <v>-2.5763062950701077E-3</v>
      </c>
      <c r="Q384" s="30">
        <f t="shared" si="47"/>
        <v>7.5004628607804325E-3</v>
      </c>
    </row>
    <row r="385" spans="2:17" ht="13.95" customHeight="1" x14ac:dyDescent="0.3">
      <c r="B385" s="105">
        <v>45177</v>
      </c>
      <c r="C385" s="107">
        <f t="shared" si="40"/>
        <v>1</v>
      </c>
      <c r="D385" s="106">
        <v>5.1968969599499584</v>
      </c>
      <c r="E385" s="106">
        <v>2.6711019843775938</v>
      </c>
      <c r="F385" s="106">
        <v>0.96569937918308646</v>
      </c>
      <c r="G385" s="106">
        <v>4.0162552454991207</v>
      </c>
      <c r="H385" s="106">
        <v>3.2198947438767012</v>
      </c>
      <c r="I385" s="106">
        <v>0.80337874239289397</v>
      </c>
      <c r="J385" s="106">
        <v>4.0115708099158063</v>
      </c>
      <c r="K385" s="30">
        <f t="shared" si="41"/>
        <v>-3.1491181933713031E-2</v>
      </c>
      <c r="L385" s="30">
        <f t="shared" si="42"/>
        <v>-1.8492042930392638E-2</v>
      </c>
      <c r="M385" s="30">
        <f t="shared" si="43"/>
        <v>-4.0581589044880406E-2</v>
      </c>
      <c r="N385" s="30">
        <f t="shared" si="44"/>
        <v>-9.25949965930839E-3</v>
      </c>
      <c r="O385" s="30">
        <f t="shared" si="45"/>
        <v>-2.1085825285178106E-2</v>
      </c>
      <c r="P385" s="30">
        <f t="shared" si="46"/>
        <v>-4.4101199916690037E-2</v>
      </c>
      <c r="Q385" s="30">
        <f t="shared" si="47"/>
        <v>-2.8271083709889067E-2</v>
      </c>
    </row>
    <row r="386" spans="2:17" ht="13.95" customHeight="1" x14ac:dyDescent="0.3">
      <c r="B386" s="105">
        <v>45184</v>
      </c>
      <c r="C386" s="107">
        <f t="shared" si="40"/>
        <v>1</v>
      </c>
      <c r="D386" s="106">
        <v>5.3834245097193536</v>
      </c>
      <c r="E386" s="106">
        <v>2.74899655539835</v>
      </c>
      <c r="F386" s="106">
        <v>0.97818291962980641</v>
      </c>
      <c r="G386" s="106">
        <v>4.1444017141654834</v>
      </c>
      <c r="H386" s="106">
        <v>3.315581621477691</v>
      </c>
      <c r="I386" s="106">
        <v>0.81536347755227445</v>
      </c>
      <c r="J386" s="106">
        <v>4.0359474707876339</v>
      </c>
      <c r="K386" s="30">
        <f t="shared" si="41"/>
        <v>3.5892100845345887E-2</v>
      </c>
      <c r="L386" s="30">
        <f t="shared" si="42"/>
        <v>2.9161960672537512E-2</v>
      </c>
      <c r="M386" s="30">
        <f t="shared" si="43"/>
        <v>1.2926942603276981E-2</v>
      </c>
      <c r="N386" s="30">
        <f t="shared" si="44"/>
        <v>3.1906953326726883E-2</v>
      </c>
      <c r="O386" s="30">
        <f t="shared" si="45"/>
        <v>2.9717393024401906E-2</v>
      </c>
      <c r="P386" s="30">
        <f t="shared" si="46"/>
        <v>1.4917914212770222E-2</v>
      </c>
      <c r="Q386" s="30">
        <f t="shared" si="47"/>
        <v>6.0765874583526003E-3</v>
      </c>
    </row>
    <row r="387" spans="2:17" ht="13.95" customHeight="1" x14ac:dyDescent="0.3">
      <c r="B387" s="105">
        <v>45191</v>
      </c>
      <c r="C387" s="107">
        <f t="shared" si="40"/>
        <v>1</v>
      </c>
      <c r="D387" s="106">
        <v>5.2141304082990523</v>
      </c>
      <c r="E387" s="106">
        <v>2.700480268231467</v>
      </c>
      <c r="F387" s="106">
        <v>0.93470900063043005</v>
      </c>
      <c r="G387" s="106">
        <v>4.0951716912587646</v>
      </c>
      <c r="H387" s="106">
        <v>3.2420063617498531</v>
      </c>
      <c r="I387" s="106">
        <v>0.77682719165183312</v>
      </c>
      <c r="J387" s="106">
        <v>3.8960680182235201</v>
      </c>
      <c r="K387" s="30">
        <f t="shared" si="41"/>
        <v>-3.1447288081156155E-2</v>
      </c>
      <c r="L387" s="30">
        <f t="shared" si="42"/>
        <v>-1.7648726067556852E-2</v>
      </c>
      <c r="M387" s="30">
        <f t="shared" si="43"/>
        <v>-4.4443547445940923E-2</v>
      </c>
      <c r="N387" s="30">
        <f t="shared" si="44"/>
        <v>-1.1878680278133213E-2</v>
      </c>
      <c r="O387" s="30">
        <f t="shared" si="45"/>
        <v>-2.2190755085391811E-2</v>
      </c>
      <c r="P387" s="30">
        <f t="shared" si="46"/>
        <v>-4.7262707935027293E-2</v>
      </c>
      <c r="Q387" s="30">
        <f t="shared" si="47"/>
        <v>-3.4658392750789635E-2</v>
      </c>
    </row>
    <row r="388" spans="2:17" ht="13.95" customHeight="1" x14ac:dyDescent="0.3">
      <c r="B388" s="105">
        <v>45198</v>
      </c>
      <c r="C388" s="107">
        <f t="shared" si="40"/>
        <v>1</v>
      </c>
      <c r="D388" s="106">
        <v>5.2476929792625358</v>
      </c>
      <c r="E388" s="106">
        <v>2.7159617176031938</v>
      </c>
      <c r="F388" s="106">
        <v>0.94253851884367224</v>
      </c>
      <c r="G388" s="106">
        <v>4.1050795089102898</v>
      </c>
      <c r="H388" s="106">
        <v>3.258055022530908</v>
      </c>
      <c r="I388" s="106">
        <v>0.77738832395468438</v>
      </c>
      <c r="J388" s="106">
        <v>4.0308581791626574</v>
      </c>
      <c r="K388" s="30">
        <f t="shared" si="41"/>
        <v>6.4368491647357473E-3</v>
      </c>
      <c r="L388" s="30">
        <f t="shared" si="42"/>
        <v>5.7328503947431386E-3</v>
      </c>
      <c r="M388" s="30">
        <f t="shared" si="43"/>
        <v>8.3764232589622623E-3</v>
      </c>
      <c r="N388" s="30">
        <f t="shared" si="44"/>
        <v>2.4193900521127798E-3</v>
      </c>
      <c r="O388" s="30">
        <f t="shared" si="45"/>
        <v>4.9502249503274864E-3</v>
      </c>
      <c r="P388" s="30">
        <f t="shared" si="46"/>
        <v>7.2233864736137576E-4</v>
      </c>
      <c r="Q388" s="30">
        <f t="shared" si="47"/>
        <v>3.4596459894608689E-2</v>
      </c>
    </row>
    <row r="389" spans="2:17" ht="13.95" customHeight="1" x14ac:dyDescent="0.3">
      <c r="B389" s="105">
        <v>45205</v>
      </c>
      <c r="C389" s="107">
        <f t="shared" si="40"/>
        <v>1</v>
      </c>
      <c r="D389" s="106">
        <v>5.2978014594418603</v>
      </c>
      <c r="E389" s="106">
        <v>2.6483811665879471</v>
      </c>
      <c r="F389" s="106">
        <v>0.89390057696372061</v>
      </c>
      <c r="G389" s="106">
        <v>4.0024503249036369</v>
      </c>
      <c r="H389" s="106">
        <v>3.1917717170791842</v>
      </c>
      <c r="I389" s="106">
        <v>0.73381401632425192</v>
      </c>
      <c r="J389" s="106">
        <v>3.8763232694448631</v>
      </c>
      <c r="K389" s="30">
        <f t="shared" si="41"/>
        <v>9.5486684105452468E-3</v>
      </c>
      <c r="L389" s="30">
        <f t="shared" si="42"/>
        <v>-2.488273327905588E-2</v>
      </c>
      <c r="M389" s="30">
        <f t="shared" si="43"/>
        <v>-5.1603134415792118E-2</v>
      </c>
      <c r="N389" s="30">
        <f t="shared" si="44"/>
        <v>-2.5000535016164949E-2</v>
      </c>
      <c r="O389" s="30">
        <f t="shared" si="45"/>
        <v>-2.0344440162411326E-2</v>
      </c>
      <c r="P389" s="30">
        <f t="shared" si="46"/>
        <v>-5.6052176612022886E-2</v>
      </c>
      <c r="Q389" s="30">
        <f t="shared" si="47"/>
        <v>-3.83379674622778E-2</v>
      </c>
    </row>
    <row r="390" spans="2:17" ht="13.95" customHeight="1" x14ac:dyDescent="0.3">
      <c r="B390" s="105">
        <v>45212</v>
      </c>
      <c r="C390" s="107">
        <f t="shared" si="40"/>
        <v>1</v>
      </c>
      <c r="D390" s="106">
        <v>5.2634286915462454</v>
      </c>
      <c r="E390" s="106">
        <v>2.648779525659072</v>
      </c>
      <c r="F390" s="106">
        <v>0.89944882503815993</v>
      </c>
      <c r="G390" s="106">
        <v>4.1542267312074914</v>
      </c>
      <c r="H390" s="106">
        <v>3.236052697744725</v>
      </c>
      <c r="I390" s="106">
        <v>0.74060036851455824</v>
      </c>
      <c r="J390" s="106">
        <v>3.865880575529562</v>
      </c>
      <c r="K390" s="30">
        <f t="shared" si="41"/>
        <v>-6.4881192998191839E-3</v>
      </c>
      <c r="L390" s="30">
        <f t="shared" si="42"/>
        <v>1.5041606402843577E-4</v>
      </c>
      <c r="M390" s="30">
        <f t="shared" si="43"/>
        <v>6.2067843084796515E-3</v>
      </c>
      <c r="N390" s="30">
        <f t="shared" si="44"/>
        <v>3.7920871961729663E-2</v>
      </c>
      <c r="O390" s="30">
        <f t="shared" si="45"/>
        <v>1.387347986968912E-2</v>
      </c>
      <c r="P390" s="30">
        <f t="shared" si="46"/>
        <v>9.2480547377655764E-3</v>
      </c>
      <c r="Q390" s="30">
        <f t="shared" si="47"/>
        <v>-2.6939687919259603E-3</v>
      </c>
    </row>
    <row r="391" spans="2:17" ht="13.95" customHeight="1" x14ac:dyDescent="0.3">
      <c r="B391" s="105">
        <v>45219</v>
      </c>
      <c r="C391" s="107">
        <f t="shared" si="40"/>
        <v>1</v>
      </c>
      <c r="D391" s="106">
        <v>5.1502034064490037</v>
      </c>
      <c r="E391" s="106">
        <v>2.5886737660135459</v>
      </c>
      <c r="F391" s="106">
        <v>0.86257228828907984</v>
      </c>
      <c r="G391" s="106">
        <v>4.0841230350201734</v>
      </c>
      <c r="H391" s="106">
        <v>3.163569970261213</v>
      </c>
      <c r="I391" s="106">
        <v>0.70209509399417014</v>
      </c>
      <c r="J391" s="106">
        <v>3.8332476985757178</v>
      </c>
      <c r="K391" s="30">
        <f t="shared" si="41"/>
        <v>-2.1511697361663917E-2</v>
      </c>
      <c r="L391" s="30">
        <f t="shared" si="42"/>
        <v>-2.2691869618922111E-2</v>
      </c>
      <c r="M391" s="30">
        <f t="shared" si="43"/>
        <v>-4.0999038213781147E-2</v>
      </c>
      <c r="N391" s="30">
        <f t="shared" si="44"/>
        <v>-1.6875269628564893E-2</v>
      </c>
      <c r="O391" s="30">
        <f t="shared" si="45"/>
        <v>-2.2398500350141681E-2</v>
      </c>
      <c r="P391" s="30">
        <f t="shared" si="46"/>
        <v>-5.1991973211705456E-2</v>
      </c>
      <c r="Q391" s="30">
        <f t="shared" si="47"/>
        <v>-8.4412532452258215E-3</v>
      </c>
    </row>
    <row r="392" spans="2:17" ht="13.95" customHeight="1" x14ac:dyDescent="0.3">
      <c r="B392" s="105">
        <v>45226</v>
      </c>
      <c r="C392" s="107">
        <f t="shared" si="40"/>
        <v>1</v>
      </c>
      <c r="D392" s="106">
        <v>5.1865126057724931</v>
      </c>
      <c r="E392" s="106">
        <v>2.5768671770175038</v>
      </c>
      <c r="F392" s="106">
        <v>0.85379633490961226</v>
      </c>
      <c r="G392" s="106">
        <v>4.1045877835470099</v>
      </c>
      <c r="H392" s="106">
        <v>3.1676687096482721</v>
      </c>
      <c r="I392" s="106">
        <v>0.70620940598271309</v>
      </c>
      <c r="J392" s="106">
        <v>3.6202074926335359</v>
      </c>
      <c r="K392" s="30">
        <f t="shared" si="41"/>
        <v>7.0500515140865527E-3</v>
      </c>
      <c r="L392" s="30">
        <f t="shared" si="42"/>
        <v>-4.5608640034328074E-3</v>
      </c>
      <c r="M392" s="30">
        <f t="shared" si="43"/>
        <v>-1.0174165688622727E-2</v>
      </c>
      <c r="N392" s="30">
        <f t="shared" si="44"/>
        <v>5.0108060779161523E-3</v>
      </c>
      <c r="O392" s="30">
        <f t="shared" si="45"/>
        <v>1.2956057320017145E-3</v>
      </c>
      <c r="P392" s="30">
        <f t="shared" si="46"/>
        <v>5.8600494772538259E-3</v>
      </c>
      <c r="Q392" s="30">
        <f t="shared" si="47"/>
        <v>-5.557694745928865E-2</v>
      </c>
    </row>
    <row r="393" spans="2:17" ht="13.95" customHeight="1" x14ac:dyDescent="0.3">
      <c r="B393" s="105">
        <v>45233</v>
      </c>
      <c r="C393" s="107">
        <f t="shared" si="40"/>
        <v>1</v>
      </c>
      <c r="D393" s="106">
        <v>5.3876465607634749</v>
      </c>
      <c r="E393" s="106">
        <v>2.7150851874156561</v>
      </c>
      <c r="F393" s="106">
        <v>0.91327059021408985</v>
      </c>
      <c r="G393" s="106">
        <v>4.2307394456637901</v>
      </c>
      <c r="H393" s="106">
        <v>3.303602635151361</v>
      </c>
      <c r="I393" s="106">
        <v>0.75694309518287117</v>
      </c>
      <c r="J393" s="106">
        <v>3.848639297082157</v>
      </c>
      <c r="K393" s="30">
        <f t="shared" si="41"/>
        <v>3.8780192063376795E-2</v>
      </c>
      <c r="L393" s="30">
        <f t="shared" si="42"/>
        <v>5.3638003398424061E-2</v>
      </c>
      <c r="M393" s="30">
        <f t="shared" si="43"/>
        <v>6.9658597574998815E-2</v>
      </c>
      <c r="N393" s="30">
        <f t="shared" si="44"/>
        <v>3.0734307260390725E-2</v>
      </c>
      <c r="O393" s="30">
        <f t="shared" si="45"/>
        <v>4.291292365551147E-2</v>
      </c>
      <c r="P393" s="30">
        <f t="shared" si="46"/>
        <v>7.1839441347514299E-2</v>
      </c>
      <c r="Q393" s="30">
        <f t="shared" si="47"/>
        <v>6.3099091671800167E-2</v>
      </c>
    </row>
    <row r="394" spans="2:17" ht="13.95" customHeight="1" x14ac:dyDescent="0.3">
      <c r="B394" s="105">
        <v>45240</v>
      </c>
      <c r="C394" s="107">
        <f t="shared" si="40"/>
        <v>1</v>
      </c>
      <c r="D394" s="106">
        <v>5.5989771027202444</v>
      </c>
      <c r="E394" s="106">
        <v>2.7936345809983898</v>
      </c>
      <c r="F394" s="106">
        <v>0.93699415604226</v>
      </c>
      <c r="G394" s="106">
        <v>4.2392003454205707</v>
      </c>
      <c r="H394" s="106">
        <v>3.3709620001331482</v>
      </c>
      <c r="I394" s="106">
        <v>0.78346949074244787</v>
      </c>
      <c r="J394" s="106">
        <v>3.842553846050222</v>
      </c>
      <c r="K394" s="30">
        <f t="shared" si="41"/>
        <v>3.9225019602403544E-2</v>
      </c>
      <c r="L394" s="30">
        <f t="shared" si="42"/>
        <v>2.8930728931382266E-2</v>
      </c>
      <c r="M394" s="30">
        <f t="shared" si="43"/>
        <v>2.5976491614176256E-2</v>
      </c>
      <c r="N394" s="30">
        <f t="shared" si="44"/>
        <v>1.9998631126887378E-3</v>
      </c>
      <c r="O394" s="30">
        <f t="shared" si="45"/>
        <v>2.0389669225064244E-2</v>
      </c>
      <c r="P394" s="30">
        <f t="shared" si="46"/>
        <v>3.504410797639701E-2</v>
      </c>
      <c r="Q394" s="30">
        <f t="shared" si="47"/>
        <v>-1.5811954725267752E-3</v>
      </c>
    </row>
    <row r="395" spans="2:17" ht="13.95" customHeight="1" x14ac:dyDescent="0.3">
      <c r="B395" s="105">
        <v>45247</v>
      </c>
      <c r="C395" s="107">
        <f t="shared" si="40"/>
        <v>1</v>
      </c>
      <c r="D395" s="106">
        <v>5.6900402095369067</v>
      </c>
      <c r="E395" s="106">
        <v>2.912886800133236</v>
      </c>
      <c r="F395" s="106">
        <v>0.97715719399416634</v>
      </c>
      <c r="G395" s="106">
        <v>4.4042128463360406</v>
      </c>
      <c r="H395" s="106">
        <v>3.4885676874543159</v>
      </c>
      <c r="I395" s="106">
        <v>0.82534032953704572</v>
      </c>
      <c r="J395" s="106">
        <v>3.8791843837596551</v>
      </c>
      <c r="K395" s="30">
        <f t="shared" si="41"/>
        <v>1.6264239904181688E-2</v>
      </c>
      <c r="L395" s="30">
        <f t="shared" si="42"/>
        <v>4.2687121624986446E-2</v>
      </c>
      <c r="M395" s="30">
        <f t="shared" si="43"/>
        <v>4.2863701649484831E-2</v>
      </c>
      <c r="N395" s="30">
        <f t="shared" si="44"/>
        <v>3.8925383909662603E-2</v>
      </c>
      <c r="O395" s="30">
        <f t="shared" si="45"/>
        <v>3.4887870974672053E-2</v>
      </c>
      <c r="P395" s="30">
        <f t="shared" si="46"/>
        <v>5.3442845304568776E-2</v>
      </c>
      <c r="Q395" s="30">
        <f t="shared" si="47"/>
        <v>9.5328625640693776E-3</v>
      </c>
    </row>
    <row r="396" spans="2:17" ht="13.95" customHeight="1" x14ac:dyDescent="0.3">
      <c r="B396" s="105">
        <v>45254</v>
      </c>
      <c r="C396" s="107">
        <f t="shared" si="40"/>
        <v>1</v>
      </c>
      <c r="D396" s="106">
        <v>5.7882638275490361</v>
      </c>
      <c r="E396" s="106">
        <v>2.9250571271350561</v>
      </c>
      <c r="F396" s="106">
        <v>0.96467983932089929</v>
      </c>
      <c r="G396" s="106">
        <v>4.4363311294015553</v>
      </c>
      <c r="H396" s="106">
        <v>3.5107377986469568</v>
      </c>
      <c r="I396" s="106">
        <v>0.80854254702084039</v>
      </c>
      <c r="J396" s="106">
        <v>3.9263667261100732</v>
      </c>
      <c r="K396" s="30">
        <f t="shared" si="41"/>
        <v>1.7262376783822919E-2</v>
      </c>
      <c r="L396" s="30">
        <f t="shared" si="42"/>
        <v>4.1780981675165751E-3</v>
      </c>
      <c r="M396" s="30">
        <f t="shared" si="43"/>
        <v>-1.2769035268793805E-2</v>
      </c>
      <c r="N396" s="30">
        <f t="shared" si="44"/>
        <v>7.2926273516127349E-3</v>
      </c>
      <c r="O396" s="30">
        <f t="shared" si="45"/>
        <v>6.3550755435732853E-3</v>
      </c>
      <c r="P396" s="30">
        <f t="shared" si="46"/>
        <v>-2.0352552656220824E-2</v>
      </c>
      <c r="Q396" s="30">
        <f t="shared" si="47"/>
        <v>1.2162954292131323E-2</v>
      </c>
    </row>
    <row r="397" spans="2:17" ht="13.95" customHeight="1" x14ac:dyDescent="0.3">
      <c r="B397" s="105">
        <v>45261</v>
      </c>
      <c r="C397" s="107">
        <f t="shared" si="40"/>
        <v>1</v>
      </c>
      <c r="D397" s="106">
        <v>5.9780462540432726</v>
      </c>
      <c r="E397" s="106">
        <v>2.9818175043985282</v>
      </c>
      <c r="F397" s="106">
        <v>1.0070165770496231</v>
      </c>
      <c r="G397" s="106">
        <v>4.4717093187731933</v>
      </c>
      <c r="H397" s="106">
        <v>3.585224839292517</v>
      </c>
      <c r="I397" s="106">
        <v>0.84086537063508437</v>
      </c>
      <c r="J397" s="106">
        <v>4.1474738941787974</v>
      </c>
      <c r="K397" s="30">
        <f t="shared" si="41"/>
        <v>3.2787452705761888E-2</v>
      </c>
      <c r="L397" s="30">
        <f t="shared" si="42"/>
        <v>1.9404878194316133E-2</v>
      </c>
      <c r="M397" s="30">
        <f t="shared" si="43"/>
        <v>4.388682752873474E-2</v>
      </c>
      <c r="N397" s="30">
        <f t="shared" si="44"/>
        <v>7.9746502999225033E-3</v>
      </c>
      <c r="O397" s="30">
        <f t="shared" si="45"/>
        <v>2.1216919325125261E-2</v>
      </c>
      <c r="P397" s="30">
        <f t="shared" si="46"/>
        <v>3.9976651486481218E-2</v>
      </c>
      <c r="Q397" s="30">
        <f t="shared" si="47"/>
        <v>5.6313427525344517E-2</v>
      </c>
    </row>
    <row r="398" spans="2:17" ht="13.95" customHeight="1" x14ac:dyDescent="0.3">
      <c r="B398" s="105">
        <v>45268</v>
      </c>
      <c r="C398" s="107">
        <f t="shared" si="40"/>
        <v>1</v>
      </c>
      <c r="D398" s="106">
        <v>6.0318337170490306</v>
      </c>
      <c r="E398" s="106">
        <v>2.961037735003853</v>
      </c>
      <c r="F398" s="106">
        <v>1.0071462736543171</v>
      </c>
      <c r="G398" s="106">
        <v>4.3678224045359233</v>
      </c>
      <c r="H398" s="106">
        <v>3.5553966605815051</v>
      </c>
      <c r="I398" s="106">
        <v>0.84089913874162192</v>
      </c>
      <c r="J398" s="106">
        <v>4.1491580959805816</v>
      </c>
      <c r="K398" s="30">
        <f t="shared" si="41"/>
        <v>8.9974986341696539E-3</v>
      </c>
      <c r="L398" s="30">
        <f t="shared" si="42"/>
        <v>-6.9688266850747027E-3</v>
      </c>
      <c r="M398" s="30">
        <f t="shared" si="43"/>
        <v>1.2879291925260716E-4</v>
      </c>
      <c r="N398" s="30">
        <f t="shared" si="44"/>
        <v>-2.323203652820871E-2</v>
      </c>
      <c r="O398" s="30">
        <f t="shared" si="45"/>
        <v>-8.3197512145146701E-3</v>
      </c>
      <c r="P398" s="30">
        <f t="shared" si="46"/>
        <v>4.0158755154839909E-5</v>
      </c>
      <c r="Q398" s="30">
        <f t="shared" si="47"/>
        <v>4.060789397970499E-4</v>
      </c>
    </row>
    <row r="399" spans="2:17" ht="13.95" customHeight="1" x14ac:dyDescent="0.3">
      <c r="B399" s="105">
        <v>45275</v>
      </c>
      <c r="C399" s="107">
        <f t="shared" si="40"/>
        <v>1</v>
      </c>
      <c r="D399" s="106">
        <v>6.2697389875197711</v>
      </c>
      <c r="E399" s="106">
        <v>3.0016321835264712</v>
      </c>
      <c r="F399" s="106">
        <v>1.0435924809873509</v>
      </c>
      <c r="G399" s="106">
        <v>4.4450488259514342</v>
      </c>
      <c r="H399" s="106">
        <v>3.642340946271025</v>
      </c>
      <c r="I399" s="106">
        <v>0.87090444270953349</v>
      </c>
      <c r="J399" s="106">
        <v>4.3058613940142614</v>
      </c>
      <c r="K399" s="30">
        <f t="shared" si="41"/>
        <v>3.9441616203427454E-2</v>
      </c>
      <c r="L399" s="30">
        <f t="shared" si="42"/>
        <v>1.3709534344237273E-2</v>
      </c>
      <c r="M399" s="30">
        <f t="shared" si="43"/>
        <v>3.6187600834576727E-2</v>
      </c>
      <c r="N399" s="30">
        <f t="shared" si="44"/>
        <v>1.768076040255484E-2</v>
      </c>
      <c r="O399" s="30">
        <f t="shared" si="45"/>
        <v>2.4454173187894002E-2</v>
      </c>
      <c r="P399" s="30">
        <f t="shared" si="46"/>
        <v>3.5682405398599348E-2</v>
      </c>
      <c r="Q399" s="30">
        <f t="shared" si="47"/>
        <v>3.7767492683752568E-2</v>
      </c>
    </row>
    <row r="400" spans="2:17" ht="13.95" customHeight="1" x14ac:dyDescent="0.3">
      <c r="B400" s="105">
        <v>45282</v>
      </c>
      <c r="C400" s="107">
        <f t="shared" si="40"/>
        <v>1</v>
      </c>
      <c r="D400" s="106">
        <v>6.3210606027984646</v>
      </c>
      <c r="E400" s="106">
        <v>3.0589436934295602</v>
      </c>
      <c r="F400" s="106">
        <v>1.046775654496426</v>
      </c>
      <c r="G400" s="106">
        <v>4.6026130164979424</v>
      </c>
      <c r="H400" s="106">
        <v>3.7163312594954538</v>
      </c>
      <c r="I400" s="106">
        <v>0.87445364656600022</v>
      </c>
      <c r="J400" s="106">
        <v>4.305219231504263</v>
      </c>
      <c r="K400" s="30">
        <f t="shared" si="41"/>
        <v>8.1856063515326483E-3</v>
      </c>
      <c r="L400" s="30">
        <f t="shared" si="42"/>
        <v>1.9093448630256971E-2</v>
      </c>
      <c r="M400" s="30">
        <f t="shared" si="43"/>
        <v>3.0502074009419733E-3</v>
      </c>
      <c r="N400" s="30">
        <f t="shared" si="44"/>
        <v>3.544712256625937E-2</v>
      </c>
      <c r="O400" s="30">
        <f t="shared" si="45"/>
        <v>2.0313944882117463E-2</v>
      </c>
      <c r="P400" s="30">
        <f t="shared" si="46"/>
        <v>4.07530801591105E-3</v>
      </c>
      <c r="Q400" s="30">
        <f t="shared" si="47"/>
        <v>-1.4913682797390582E-4</v>
      </c>
    </row>
    <row r="401" spans="2:17" ht="13.95" customHeight="1" x14ac:dyDescent="0.3">
      <c r="B401" s="105">
        <v>45289</v>
      </c>
      <c r="C401" s="107">
        <f t="shared" si="40"/>
        <v>1</v>
      </c>
      <c r="D401" s="106">
        <v>6.4149248788360023</v>
      </c>
      <c r="E401" s="106">
        <v>3.0909674555870472</v>
      </c>
      <c r="F401" s="106">
        <v>1.0481946678321949</v>
      </c>
      <c r="G401" s="106">
        <v>4.656747191507149</v>
      </c>
      <c r="H401" s="106">
        <v>3.7567691661478562</v>
      </c>
      <c r="I401" s="106">
        <v>0.87469215046171833</v>
      </c>
      <c r="J401" s="106">
        <v>4.3256668190571563</v>
      </c>
      <c r="K401" s="30">
        <f t="shared" si="41"/>
        <v>1.484945042228869E-2</v>
      </c>
      <c r="L401" s="30">
        <f t="shared" si="42"/>
        <v>1.046889559499653E-2</v>
      </c>
      <c r="M401" s="30">
        <f t="shared" si="43"/>
        <v>1.3556040682392023E-3</v>
      </c>
      <c r="N401" s="30">
        <f t="shared" si="44"/>
        <v>1.1761617762597876E-2</v>
      </c>
      <c r="O401" s="30">
        <f t="shared" si="45"/>
        <v>1.08811362143999E-2</v>
      </c>
      <c r="P401" s="30">
        <f t="shared" si="46"/>
        <v>2.7274618460881861E-4</v>
      </c>
      <c r="Q401" s="30">
        <f t="shared" si="47"/>
        <v>4.7494881104461761E-3</v>
      </c>
    </row>
    <row r="402" spans="2:17" ht="13.95" customHeight="1" x14ac:dyDescent="0.3">
      <c r="B402" s="105">
        <v>45296</v>
      </c>
      <c r="C402" s="107">
        <f t="shared" si="40"/>
        <v>1</v>
      </c>
      <c r="D402" s="106">
        <v>6.3284546879488097</v>
      </c>
      <c r="E402" s="106">
        <v>3.0163513488322669</v>
      </c>
      <c r="F402" s="106">
        <v>1.0061241101490419</v>
      </c>
      <c r="G402" s="106">
        <v>4.6385636385597637</v>
      </c>
      <c r="H402" s="106">
        <v>3.6964516056156351</v>
      </c>
      <c r="I402" s="106">
        <v>0.83676370177195314</v>
      </c>
      <c r="J402" s="106">
        <v>4.1954073769681273</v>
      </c>
      <c r="K402" s="30">
        <f t="shared" si="41"/>
        <v>-1.3479532889383194E-2</v>
      </c>
      <c r="L402" s="30">
        <f t="shared" si="42"/>
        <v>-2.4140049297480926E-2</v>
      </c>
      <c r="M402" s="30">
        <f t="shared" si="43"/>
        <v>-4.0136206540871355E-2</v>
      </c>
      <c r="N402" s="30">
        <f t="shared" si="44"/>
        <v>-3.9047756297674319E-3</v>
      </c>
      <c r="O402" s="30">
        <f t="shared" si="45"/>
        <v>-1.6055700487466962E-2</v>
      </c>
      <c r="P402" s="30">
        <f t="shared" si="46"/>
        <v>-4.3362054489392787E-2</v>
      </c>
      <c r="Q402" s="30">
        <f t="shared" si="47"/>
        <v>-3.0113147299084209E-2</v>
      </c>
    </row>
    <row r="403" spans="2:17" ht="13.95" customHeight="1" x14ac:dyDescent="0.3">
      <c r="B403" s="105">
        <v>45303</v>
      </c>
      <c r="C403" s="107">
        <f t="shared" si="40"/>
        <v>1</v>
      </c>
      <c r="D403" s="106">
        <v>6.2533629891074733</v>
      </c>
      <c r="E403" s="106">
        <v>3.056091577948453</v>
      </c>
      <c r="F403" s="106">
        <v>1.009913374909406</v>
      </c>
      <c r="G403" s="106">
        <v>4.5310486865341133</v>
      </c>
      <c r="H403" s="106">
        <v>3.6674739660457218</v>
      </c>
      <c r="I403" s="106">
        <v>0.84760599295576433</v>
      </c>
      <c r="J403" s="106">
        <v>4.0930319803361286</v>
      </c>
      <c r="K403" s="30">
        <f t="shared" si="41"/>
        <v>-1.18657243425212E-2</v>
      </c>
      <c r="L403" s="30">
        <f t="shared" si="42"/>
        <v>1.3174933726328275E-2</v>
      </c>
      <c r="M403" s="30">
        <f t="shared" si="43"/>
        <v>3.7662001358886865E-3</v>
      </c>
      <c r="N403" s="30">
        <f t="shared" si="44"/>
        <v>-2.3178501019559761E-2</v>
      </c>
      <c r="O403" s="30">
        <f t="shared" si="45"/>
        <v>-7.8393125790935381E-3</v>
      </c>
      <c r="P403" s="30">
        <f t="shared" si="46"/>
        <v>1.2957410988133633E-2</v>
      </c>
      <c r="Q403" s="30">
        <f t="shared" si="47"/>
        <v>-2.4401777332522578E-2</v>
      </c>
    </row>
    <row r="404" spans="2:17" ht="13.95" customHeight="1" x14ac:dyDescent="0.3">
      <c r="B404" s="105">
        <v>45310</v>
      </c>
      <c r="C404" s="107">
        <f t="shared" si="40"/>
        <v>1</v>
      </c>
      <c r="D404" s="106">
        <v>6.185435826167101</v>
      </c>
      <c r="E404" s="106">
        <v>2.9751838625347191</v>
      </c>
      <c r="F404" s="106">
        <v>0.97578518641401113</v>
      </c>
      <c r="G404" s="106">
        <v>4.3855272568881114</v>
      </c>
      <c r="H404" s="106">
        <v>3.5736236176348242</v>
      </c>
      <c r="I404" s="106">
        <v>0.81801410246549466</v>
      </c>
      <c r="J404" s="106">
        <v>3.9692911368528092</v>
      </c>
      <c r="K404" s="30">
        <f t="shared" si="41"/>
        <v>-1.0862501194747964E-2</v>
      </c>
      <c r="L404" s="30">
        <f t="shared" si="42"/>
        <v>-2.6474244423017934E-2</v>
      </c>
      <c r="M404" s="30">
        <f t="shared" si="43"/>
        <v>-3.3793183993088838E-2</v>
      </c>
      <c r="N404" s="30">
        <f t="shared" si="44"/>
        <v>-3.2116500994235464E-2</v>
      </c>
      <c r="O404" s="30">
        <f t="shared" si="45"/>
        <v>-2.5589915369484517E-2</v>
      </c>
      <c r="P404" s="30">
        <f t="shared" si="46"/>
        <v>-3.4912318619972349E-2</v>
      </c>
      <c r="Q404" s="30">
        <f t="shared" si="47"/>
        <v>-3.0232073455032649E-2</v>
      </c>
    </row>
    <row r="405" spans="2:17" ht="13.95" customHeight="1" x14ac:dyDescent="0.3">
      <c r="B405" s="105">
        <v>45317</v>
      </c>
      <c r="C405" s="107">
        <f t="shared" si="40"/>
        <v>1</v>
      </c>
      <c r="D405" s="106">
        <v>6.1456952364623358</v>
      </c>
      <c r="E405" s="106">
        <v>2.975678645341282</v>
      </c>
      <c r="F405" s="106">
        <v>0.96069235213944904</v>
      </c>
      <c r="G405" s="106">
        <v>4.5528677971090667</v>
      </c>
      <c r="H405" s="106">
        <v>3.6109180123852642</v>
      </c>
      <c r="I405" s="106">
        <v>0.80007235207028549</v>
      </c>
      <c r="J405" s="106">
        <v>3.9891695555383362</v>
      </c>
      <c r="K405" s="30">
        <f t="shared" si="41"/>
        <v>-6.4248649281340997E-3</v>
      </c>
      <c r="L405" s="30">
        <f t="shared" si="42"/>
        <v>1.6630327046129878E-4</v>
      </c>
      <c r="M405" s="30">
        <f t="shared" si="43"/>
        <v>-1.5467373848979893E-2</v>
      </c>
      <c r="N405" s="30">
        <f t="shared" si="44"/>
        <v>3.8157450727987818E-2</v>
      </c>
      <c r="O405" s="30">
        <f t="shared" si="45"/>
        <v>1.0436016419413274E-2</v>
      </c>
      <c r="P405" s="30">
        <f t="shared" si="46"/>
        <v>-2.1933302055713644E-2</v>
      </c>
      <c r="Q405" s="30">
        <f t="shared" si="47"/>
        <v>5.0080525716458268E-3</v>
      </c>
    </row>
    <row r="406" spans="2:17" ht="13.95" customHeight="1" x14ac:dyDescent="0.3">
      <c r="B406" s="105">
        <v>45324</v>
      </c>
      <c r="C406" s="107">
        <f t="shared" si="40"/>
        <v>1</v>
      </c>
      <c r="D406" s="106">
        <v>6.1332196894891817</v>
      </c>
      <c r="E406" s="106">
        <v>2.9388148455492198</v>
      </c>
      <c r="F406" s="106">
        <v>0.94242318864813268</v>
      </c>
      <c r="G406" s="106">
        <v>4.4576245053075114</v>
      </c>
      <c r="H406" s="106">
        <v>3.5609794805012811</v>
      </c>
      <c r="I406" s="106">
        <v>0.78320455569534486</v>
      </c>
      <c r="J406" s="106">
        <v>3.9387150239810271</v>
      </c>
      <c r="K406" s="30">
        <f t="shared" si="41"/>
        <v>-2.0299651208112168E-3</v>
      </c>
      <c r="L406" s="30">
        <f t="shared" si="42"/>
        <v>-1.2388367221634056E-2</v>
      </c>
      <c r="M406" s="30">
        <f t="shared" si="43"/>
        <v>-1.9016663816081358E-2</v>
      </c>
      <c r="N406" s="30">
        <f t="shared" si="44"/>
        <v>-2.091940641501433E-2</v>
      </c>
      <c r="O406" s="30">
        <f t="shared" si="45"/>
        <v>-1.3829871437871621E-2</v>
      </c>
      <c r="P406" s="30">
        <f t="shared" si="46"/>
        <v>-2.1082838734888365E-2</v>
      </c>
      <c r="Q406" s="30">
        <f t="shared" si="47"/>
        <v>-1.2647878425538717E-2</v>
      </c>
    </row>
    <row r="407" spans="2:17" ht="13.95" customHeight="1" x14ac:dyDescent="0.3">
      <c r="B407" s="105">
        <v>45331</v>
      </c>
      <c r="C407" s="107">
        <f t="shared" ref="C407:C470" si="48">IF(B407&gt;$C$17,1,0)</f>
        <v>1</v>
      </c>
      <c r="D407" s="106">
        <v>6.1233519673637362</v>
      </c>
      <c r="E407" s="106">
        <v>2.9822975876816509</v>
      </c>
      <c r="F407" s="106">
        <v>0.94315493162039987</v>
      </c>
      <c r="G407" s="106">
        <v>4.4954160611926488</v>
      </c>
      <c r="H407" s="106">
        <v>3.584561556278326</v>
      </c>
      <c r="I407" s="106">
        <v>0.7790894476199699</v>
      </c>
      <c r="J407" s="106">
        <v>4.0143579980668136</v>
      </c>
      <c r="K407" s="30">
        <f t="shared" ref="K407:K470" si="49">D407/D406-1</f>
        <v>-1.6088975489262358E-3</v>
      </c>
      <c r="L407" s="30">
        <f t="shared" ref="L407:L470" si="50">E407/E406-1</f>
        <v>1.4796012820707194E-2</v>
      </c>
      <c r="M407" s="30">
        <f t="shared" ref="M407:M470" si="51">F407/F406-1</f>
        <v>7.7644839503232532E-4</v>
      </c>
      <c r="N407" s="30">
        <f t="shared" ref="N407:N470" si="52">G407/G406-1</f>
        <v>8.4779585719121364E-3</v>
      </c>
      <c r="O407" s="30">
        <f t="shared" ref="O407:O470" si="53">H407/H406-1</f>
        <v>6.6223565471725809E-3</v>
      </c>
      <c r="P407" s="30">
        <f t="shared" ref="P407:P470" si="54">I407/I406-1</f>
        <v>-5.2541932314495998E-3</v>
      </c>
      <c r="Q407" s="30">
        <f t="shared" ref="Q407:Q470" si="55">J407/J406-1</f>
        <v>1.9204987826037412E-2</v>
      </c>
    </row>
    <row r="408" spans="2:17" ht="13.95" customHeight="1" x14ac:dyDescent="0.3">
      <c r="B408" s="105">
        <v>45338</v>
      </c>
      <c r="C408" s="107">
        <f t="shared" si="48"/>
        <v>1</v>
      </c>
      <c r="D408" s="106">
        <v>6.1007936872273731</v>
      </c>
      <c r="E408" s="106">
        <v>2.9453223030930968</v>
      </c>
      <c r="F408" s="106">
        <v>0.93361014627645922</v>
      </c>
      <c r="G408" s="106">
        <v>4.6254061193983471</v>
      </c>
      <c r="H408" s="106">
        <v>3.6042186907741649</v>
      </c>
      <c r="I408" s="106">
        <v>0.76853082528299588</v>
      </c>
      <c r="J408" s="106">
        <v>4.0148283944455141</v>
      </c>
      <c r="K408" s="30">
        <f t="shared" si="49"/>
        <v>-3.6839757467143075E-3</v>
      </c>
      <c r="L408" s="30">
        <f t="shared" si="50"/>
        <v>-1.2398254534114916E-2</v>
      </c>
      <c r="M408" s="30">
        <f t="shared" si="51"/>
        <v>-1.0120060897674699E-2</v>
      </c>
      <c r="N408" s="30">
        <f t="shared" si="52"/>
        <v>2.8916135111020536E-2</v>
      </c>
      <c r="O408" s="30">
        <f t="shared" si="53"/>
        <v>5.4838323145574019E-3</v>
      </c>
      <c r="P408" s="30">
        <f t="shared" si="54"/>
        <v>-1.3552516170292628E-2</v>
      </c>
      <c r="Q408" s="30">
        <f t="shared" si="55"/>
        <v>1.1717848256864727E-4</v>
      </c>
    </row>
    <row r="409" spans="2:17" ht="13.95" customHeight="1" x14ac:dyDescent="0.3">
      <c r="B409" s="105">
        <v>45345</v>
      </c>
      <c r="C409" s="107">
        <f t="shared" si="48"/>
        <v>1</v>
      </c>
      <c r="D409" s="106">
        <v>6.1748201160314187</v>
      </c>
      <c r="E409" s="106">
        <v>2.9567016905590302</v>
      </c>
      <c r="F409" s="106">
        <v>0.9609756939734232</v>
      </c>
      <c r="G409" s="106">
        <v>4.6012968566456633</v>
      </c>
      <c r="H409" s="106">
        <v>3.6238659896730381</v>
      </c>
      <c r="I409" s="106">
        <v>0.78294825366192777</v>
      </c>
      <c r="J409" s="106">
        <v>4.2571312582837253</v>
      </c>
      <c r="K409" s="30">
        <f t="shared" si="49"/>
        <v>1.2133901357626264E-2</v>
      </c>
      <c r="L409" s="30">
        <f t="shared" si="50"/>
        <v>3.8635457498090719E-3</v>
      </c>
      <c r="M409" s="30">
        <f t="shared" si="51"/>
        <v>2.931153630464145E-2</v>
      </c>
      <c r="N409" s="30">
        <f t="shared" si="52"/>
        <v>-5.2123558732654063E-3</v>
      </c>
      <c r="O409" s="30">
        <f t="shared" si="53"/>
        <v>5.4511949980073915E-3</v>
      </c>
      <c r="P409" s="30">
        <f t="shared" si="54"/>
        <v>1.8759726877087823E-2</v>
      </c>
      <c r="Q409" s="30">
        <f t="shared" si="55"/>
        <v>6.0351985199027514E-2</v>
      </c>
    </row>
    <row r="410" spans="2:17" ht="13.95" customHeight="1" x14ac:dyDescent="0.3">
      <c r="B410" s="105">
        <v>45352</v>
      </c>
      <c r="C410" s="107">
        <f t="shared" si="48"/>
        <v>1</v>
      </c>
      <c r="D410" s="106">
        <v>6.158823396405813</v>
      </c>
      <c r="E410" s="106">
        <v>2.9843394671714569</v>
      </c>
      <c r="F410" s="106">
        <v>0.9865689036954266</v>
      </c>
      <c r="G410" s="106">
        <v>4.5187617474615926</v>
      </c>
      <c r="H410" s="106">
        <v>3.617240419364308</v>
      </c>
      <c r="I410" s="106">
        <v>0.79252464468017525</v>
      </c>
      <c r="J410" s="106">
        <v>4.5442056639681994</v>
      </c>
      <c r="K410" s="30">
        <f t="shared" si="49"/>
        <v>-2.5906373505640845E-3</v>
      </c>
      <c r="L410" s="30">
        <f t="shared" si="50"/>
        <v>9.3475025568783288E-3</v>
      </c>
      <c r="M410" s="30">
        <f t="shared" si="51"/>
        <v>2.6632525549299846E-2</v>
      </c>
      <c r="N410" s="30">
        <f t="shared" si="52"/>
        <v>-1.7937358043931706E-2</v>
      </c>
      <c r="O410" s="30">
        <f t="shared" si="53"/>
        <v>-1.8283154861716833E-3</v>
      </c>
      <c r="P410" s="30">
        <f t="shared" si="54"/>
        <v>1.2231192768433541E-2</v>
      </c>
      <c r="Q410" s="30">
        <f t="shared" si="55"/>
        <v>6.7433768955531104E-2</v>
      </c>
    </row>
    <row r="411" spans="2:17" ht="13.95" customHeight="1" x14ac:dyDescent="0.3">
      <c r="B411" s="105">
        <v>45359</v>
      </c>
      <c r="C411" s="107">
        <f t="shared" si="48"/>
        <v>1</v>
      </c>
      <c r="D411" s="106">
        <v>6.1674429302053104</v>
      </c>
      <c r="E411" s="106">
        <v>2.9988641557002489</v>
      </c>
      <c r="F411" s="106">
        <v>0.98265641748665955</v>
      </c>
      <c r="G411" s="106">
        <v>4.3081572872848168</v>
      </c>
      <c r="H411" s="106">
        <v>3.558212718384238</v>
      </c>
      <c r="I411" s="106">
        <v>0.78759421154863041</v>
      </c>
      <c r="J411" s="106">
        <v>4.5538108074458634</v>
      </c>
      <c r="K411" s="30">
        <f t="shared" si="49"/>
        <v>1.3995422899328869E-3</v>
      </c>
      <c r="L411" s="30">
        <f t="shared" si="50"/>
        <v>4.8669692870288994E-3</v>
      </c>
      <c r="M411" s="30">
        <f t="shared" si="51"/>
        <v>-3.9657505868185838E-3</v>
      </c>
      <c r="N411" s="30">
        <f t="shared" si="52"/>
        <v>-4.6606675002301756E-2</v>
      </c>
      <c r="O411" s="30">
        <f t="shared" si="53"/>
        <v>-1.6318434534811299E-2</v>
      </c>
      <c r="P411" s="30">
        <f t="shared" si="54"/>
        <v>-6.2211732652610596E-3</v>
      </c>
      <c r="Q411" s="30">
        <f t="shared" si="55"/>
        <v>2.1137123158454507E-3</v>
      </c>
    </row>
    <row r="412" spans="2:17" ht="13.95" customHeight="1" x14ac:dyDescent="0.3">
      <c r="B412" s="105">
        <v>45366</v>
      </c>
      <c r="C412" s="107">
        <f t="shared" si="48"/>
        <v>1</v>
      </c>
      <c r="D412" s="106">
        <v>6.2265024006076324</v>
      </c>
      <c r="E412" s="106">
        <v>2.9869137006743229</v>
      </c>
      <c r="F412" s="106">
        <v>0.99021184800678674</v>
      </c>
      <c r="G412" s="106">
        <v>4.2484701422133053</v>
      </c>
      <c r="H412" s="106">
        <v>3.5486017633219298</v>
      </c>
      <c r="I412" s="106">
        <v>0.7830069579262614</v>
      </c>
      <c r="J412" s="106">
        <v>4.7533150813031604</v>
      </c>
      <c r="K412" s="30">
        <f t="shared" si="49"/>
        <v>9.5760059834644196E-3</v>
      </c>
      <c r="L412" s="30">
        <f t="shared" si="50"/>
        <v>-3.98499378613415E-3</v>
      </c>
      <c r="M412" s="30">
        <f t="shared" si="51"/>
        <v>7.6887815371435853E-3</v>
      </c>
      <c r="N412" s="30">
        <f t="shared" si="52"/>
        <v>-1.3854448918955042E-2</v>
      </c>
      <c r="O412" s="30">
        <f t="shared" si="53"/>
        <v>-2.701062534190668E-3</v>
      </c>
      <c r="P412" s="30">
        <f t="shared" si="54"/>
        <v>-5.8243871718522966E-3</v>
      </c>
      <c r="Q412" s="30">
        <f t="shared" si="55"/>
        <v>4.3810400188582843E-2</v>
      </c>
    </row>
    <row r="413" spans="2:17" ht="13.95" customHeight="1" x14ac:dyDescent="0.3">
      <c r="B413" s="105">
        <v>45373</v>
      </c>
      <c r="C413" s="107">
        <f t="shared" si="48"/>
        <v>1</v>
      </c>
      <c r="D413" s="106">
        <v>6.1137077507718169</v>
      </c>
      <c r="E413" s="106">
        <v>2.999378787680735</v>
      </c>
      <c r="F413" s="106">
        <v>1.0091191694563599</v>
      </c>
      <c r="G413" s="106">
        <v>4.2898960058262601</v>
      </c>
      <c r="H413" s="106">
        <v>3.557322657788446</v>
      </c>
      <c r="I413" s="106">
        <v>0.78126269229705869</v>
      </c>
      <c r="J413" s="106">
        <v>5.1021077944778952</v>
      </c>
      <c r="K413" s="30">
        <f t="shared" si="49"/>
        <v>-1.8115250357055634E-2</v>
      </c>
      <c r="L413" s="30">
        <f t="shared" si="50"/>
        <v>4.1732330611352619E-3</v>
      </c>
      <c r="M413" s="30">
        <f t="shared" si="51"/>
        <v>1.9094218563060039E-2</v>
      </c>
      <c r="N413" s="30">
        <f t="shared" si="52"/>
        <v>9.7507719782099489E-3</v>
      </c>
      <c r="O413" s="30">
        <f t="shared" si="53"/>
        <v>2.4575579476555642E-3</v>
      </c>
      <c r="P413" s="30">
        <f t="shared" si="54"/>
        <v>-2.2276502290889955E-3</v>
      </c>
      <c r="Q413" s="30">
        <f t="shared" si="55"/>
        <v>7.3378832921614512E-2</v>
      </c>
    </row>
    <row r="414" spans="2:17" ht="13.95" customHeight="1" x14ac:dyDescent="0.3">
      <c r="B414" s="105">
        <v>45380</v>
      </c>
      <c r="C414" s="107">
        <f t="shared" si="48"/>
        <v>1</v>
      </c>
      <c r="D414" s="106">
        <v>6.2168766488226472</v>
      </c>
      <c r="E414" s="106">
        <v>2.9790358501613161</v>
      </c>
      <c r="F414" s="106">
        <v>1.005355263802137</v>
      </c>
      <c r="G414" s="106">
        <v>4.3687580948892961</v>
      </c>
      <c r="H414" s="106">
        <v>3.587690126902495</v>
      </c>
      <c r="I414" s="106">
        <v>0.7859415008804852</v>
      </c>
      <c r="J414" s="106">
        <v>4.965726593110845</v>
      </c>
      <c r="K414" s="30">
        <f t="shared" si="49"/>
        <v>1.6875013045529741E-2</v>
      </c>
      <c r="L414" s="30">
        <f t="shared" si="50"/>
        <v>-6.7823836065563636E-3</v>
      </c>
      <c r="M414" s="30">
        <f t="shared" si="51"/>
        <v>-3.7298921357827863E-3</v>
      </c>
      <c r="N414" s="30">
        <f t="shared" si="52"/>
        <v>1.8383216972143623E-2</v>
      </c>
      <c r="O414" s="30">
        <f t="shared" si="53"/>
        <v>8.5366080154585244E-3</v>
      </c>
      <c r="P414" s="30">
        <f t="shared" si="54"/>
        <v>5.9887776922638025E-3</v>
      </c>
      <c r="Q414" s="30">
        <f t="shared" si="55"/>
        <v>-2.6730364559262809E-2</v>
      </c>
    </row>
    <row r="415" spans="2:17" ht="13.95" customHeight="1" x14ac:dyDescent="0.3">
      <c r="B415" s="105">
        <v>45387</v>
      </c>
      <c r="C415" s="107">
        <f t="shared" si="48"/>
        <v>1</v>
      </c>
      <c r="D415" s="106">
        <v>6.0997772125848213</v>
      </c>
      <c r="E415" s="106">
        <v>2.9519922416974018</v>
      </c>
      <c r="F415" s="106">
        <v>0.98628779862412885</v>
      </c>
      <c r="G415" s="106">
        <v>4.3607200833313708</v>
      </c>
      <c r="H415" s="106">
        <v>3.5511749268481538</v>
      </c>
      <c r="I415" s="106">
        <v>0.76888139782729858</v>
      </c>
      <c r="J415" s="106">
        <v>4.9048147595246814</v>
      </c>
      <c r="K415" s="30">
        <f t="shared" si="49"/>
        <v>-1.8835734220334244E-2</v>
      </c>
      <c r="L415" s="30">
        <f t="shared" si="50"/>
        <v>-9.0779734867741935E-3</v>
      </c>
      <c r="M415" s="30">
        <f t="shared" si="51"/>
        <v>-1.8965897792087127E-2</v>
      </c>
      <c r="N415" s="30">
        <f t="shared" si="52"/>
        <v>-1.8398847872416191E-3</v>
      </c>
      <c r="O415" s="30">
        <f t="shared" si="53"/>
        <v>-1.0177913577465891E-2</v>
      </c>
      <c r="P415" s="30">
        <f t="shared" si="54"/>
        <v>-2.1706581258368884E-2</v>
      </c>
      <c r="Q415" s="30">
        <f t="shared" si="55"/>
        <v>-1.2266449318951489E-2</v>
      </c>
    </row>
    <row r="416" spans="2:17" ht="13.95" customHeight="1" x14ac:dyDescent="0.3">
      <c r="B416" s="105">
        <v>45394</v>
      </c>
      <c r="C416" s="107">
        <f t="shared" si="48"/>
        <v>1</v>
      </c>
      <c r="D416" s="106">
        <v>6.0152508134291107</v>
      </c>
      <c r="E416" s="106">
        <v>2.8938369071178709</v>
      </c>
      <c r="F416" s="106">
        <v>0.96160124049921858</v>
      </c>
      <c r="G416" s="106">
        <v>4.4212067534918758</v>
      </c>
      <c r="H416" s="106">
        <v>3.5273551297918431</v>
      </c>
      <c r="I416" s="106">
        <v>0.74355300434269345</v>
      </c>
      <c r="J416" s="106">
        <v>4.8760042490669306</v>
      </c>
      <c r="K416" s="30">
        <f t="shared" si="49"/>
        <v>-1.3857292850191105E-2</v>
      </c>
      <c r="L416" s="30">
        <f t="shared" si="50"/>
        <v>-1.970036836753053E-2</v>
      </c>
      <c r="M416" s="30">
        <f t="shared" si="51"/>
        <v>-2.5029771390610356E-2</v>
      </c>
      <c r="N416" s="30">
        <f t="shared" si="52"/>
        <v>1.387079863064633E-2</v>
      </c>
      <c r="O416" s="30">
        <f t="shared" si="53"/>
        <v>-6.7075820107380668E-3</v>
      </c>
      <c r="P416" s="30">
        <f t="shared" si="54"/>
        <v>-3.2941873162984581E-2</v>
      </c>
      <c r="Q416" s="30">
        <f t="shared" si="55"/>
        <v>-5.87392427039235E-3</v>
      </c>
    </row>
    <row r="417" spans="2:17" ht="13.95" customHeight="1" x14ac:dyDescent="0.3">
      <c r="B417" s="105">
        <v>45401</v>
      </c>
      <c r="C417" s="107">
        <f t="shared" si="48"/>
        <v>1</v>
      </c>
      <c r="D417" s="106">
        <v>5.8178872072454393</v>
      </c>
      <c r="E417" s="106">
        <v>2.852821358359757</v>
      </c>
      <c r="F417" s="106">
        <v>0.9391509866153166</v>
      </c>
      <c r="G417" s="106">
        <v>4.5175119706422242</v>
      </c>
      <c r="H417" s="106">
        <v>3.50429635648281</v>
      </c>
      <c r="I417" s="106">
        <v>0.7179211357624169</v>
      </c>
      <c r="J417" s="106">
        <v>4.8899271259831174</v>
      </c>
      <c r="K417" s="30">
        <f t="shared" si="49"/>
        <v>-3.2810536468912521E-2</v>
      </c>
      <c r="L417" s="30">
        <f t="shared" si="50"/>
        <v>-1.4173414077769619E-2</v>
      </c>
      <c r="M417" s="30">
        <f t="shared" si="51"/>
        <v>-2.3346739727838628E-2</v>
      </c>
      <c r="N417" s="30">
        <f t="shared" si="52"/>
        <v>2.1782563566900892E-2</v>
      </c>
      <c r="O417" s="30">
        <f t="shared" si="53"/>
        <v>-6.5371283753881126E-3</v>
      </c>
      <c r="P417" s="30">
        <f t="shared" si="54"/>
        <v>-3.4472147151009547E-2</v>
      </c>
      <c r="Q417" s="30">
        <f t="shared" si="55"/>
        <v>2.855386542957028E-3</v>
      </c>
    </row>
    <row r="418" spans="2:17" ht="13.95" customHeight="1" x14ac:dyDescent="0.3">
      <c r="B418" s="105">
        <v>45408</v>
      </c>
      <c r="C418" s="107">
        <f t="shared" si="48"/>
        <v>1</v>
      </c>
      <c r="D418" s="106">
        <v>5.8959773234382649</v>
      </c>
      <c r="E418" s="106">
        <v>2.8784066264847041</v>
      </c>
      <c r="F418" s="106">
        <v>0.94977155642640809</v>
      </c>
      <c r="G418" s="106">
        <v>4.5694987611302711</v>
      </c>
      <c r="H418" s="106">
        <v>3.5438753064729869</v>
      </c>
      <c r="I418" s="106">
        <v>0.71903968638022686</v>
      </c>
      <c r="J418" s="106">
        <v>5.0533401056192808</v>
      </c>
      <c r="K418" s="30">
        <f t="shared" si="49"/>
        <v>1.3422418381637602E-2</v>
      </c>
      <c r="L418" s="30">
        <f t="shared" si="50"/>
        <v>8.968408782405346E-3</v>
      </c>
      <c r="M418" s="30">
        <f t="shared" si="51"/>
        <v>1.1308692598373193E-2</v>
      </c>
      <c r="N418" s="30">
        <f t="shared" si="52"/>
        <v>1.1507836797310489E-2</v>
      </c>
      <c r="O418" s="30">
        <f t="shared" si="53"/>
        <v>1.1294407197312895E-2</v>
      </c>
      <c r="P418" s="30">
        <f t="shared" si="54"/>
        <v>1.5580410745563711E-3</v>
      </c>
      <c r="Q418" s="30">
        <f t="shared" si="55"/>
        <v>3.3418285268067116E-2</v>
      </c>
    </row>
    <row r="419" spans="2:17" ht="13.95" customHeight="1" x14ac:dyDescent="0.3">
      <c r="B419" s="105">
        <v>45415</v>
      </c>
      <c r="C419" s="107">
        <f t="shared" si="48"/>
        <v>1</v>
      </c>
      <c r="D419" s="106">
        <v>5.9706037646843804</v>
      </c>
      <c r="E419" s="106">
        <v>2.9636024562047778</v>
      </c>
      <c r="F419" s="106">
        <v>0.96422544593414328</v>
      </c>
      <c r="G419" s="106">
        <v>4.6084494869115922</v>
      </c>
      <c r="H419" s="106">
        <v>3.599611025804121</v>
      </c>
      <c r="I419" s="106">
        <v>0.73470139486889818</v>
      </c>
      <c r="J419" s="106">
        <v>5.0597772885695917</v>
      </c>
      <c r="K419" s="30">
        <f t="shared" si="49"/>
        <v>1.2657179149833775E-2</v>
      </c>
      <c r="L419" s="30">
        <f t="shared" si="50"/>
        <v>2.9598260696099166E-2</v>
      </c>
      <c r="M419" s="30">
        <f t="shared" si="51"/>
        <v>1.5218280027377462E-2</v>
      </c>
      <c r="N419" s="30">
        <f t="shared" si="52"/>
        <v>8.5240696666009086E-3</v>
      </c>
      <c r="O419" s="30">
        <f t="shared" si="53"/>
        <v>1.5727336463935648E-2</v>
      </c>
      <c r="P419" s="30">
        <f t="shared" si="54"/>
        <v>2.1781424287601103E-2</v>
      </c>
      <c r="Q419" s="30">
        <f t="shared" si="55"/>
        <v>1.273847161633368E-3</v>
      </c>
    </row>
    <row r="420" spans="2:17" ht="13.95" customHeight="1" x14ac:dyDescent="0.3">
      <c r="B420" s="105">
        <v>45422</v>
      </c>
      <c r="C420" s="107">
        <f t="shared" si="48"/>
        <v>1</v>
      </c>
      <c r="D420" s="106">
        <v>5.8953151889846014</v>
      </c>
      <c r="E420" s="106">
        <v>2.9426183429481578</v>
      </c>
      <c r="F420" s="106">
        <v>0.94240679487973167</v>
      </c>
      <c r="G420" s="106">
        <v>4.628164446389988</v>
      </c>
      <c r="H420" s="106">
        <v>3.577894763641241</v>
      </c>
      <c r="I420" s="106">
        <v>0.71158909042446694</v>
      </c>
      <c r="J420" s="106">
        <v>5.0441621562039671</v>
      </c>
      <c r="K420" s="30">
        <f t="shared" si="49"/>
        <v>-1.2609876432448042E-2</v>
      </c>
      <c r="L420" s="30">
        <f t="shared" si="50"/>
        <v>-7.0806100233472558E-3</v>
      </c>
      <c r="M420" s="30">
        <f t="shared" si="51"/>
        <v>-2.2628163513433996E-2</v>
      </c>
      <c r="N420" s="30">
        <f t="shared" si="52"/>
        <v>4.2780027283337851E-3</v>
      </c>
      <c r="O420" s="30">
        <f t="shared" si="53"/>
        <v>-6.0329468954297694E-3</v>
      </c>
      <c r="P420" s="30">
        <f t="shared" si="54"/>
        <v>-3.1458092506487567E-2</v>
      </c>
      <c r="Q420" s="30">
        <f t="shared" si="55"/>
        <v>-3.0861303719632582E-3</v>
      </c>
    </row>
    <row r="421" spans="2:17" ht="13.95" customHeight="1" x14ac:dyDescent="0.3">
      <c r="B421" s="105">
        <v>45429</v>
      </c>
      <c r="C421" s="107">
        <f t="shared" si="48"/>
        <v>1</v>
      </c>
      <c r="D421" s="106">
        <v>6.0030556740414118</v>
      </c>
      <c r="E421" s="106">
        <v>3.038618767156565</v>
      </c>
      <c r="F421" s="106">
        <v>0.96370797134578545</v>
      </c>
      <c r="G421" s="106">
        <v>4.4790801923284178</v>
      </c>
      <c r="H421" s="106">
        <v>3.5893265419637732</v>
      </c>
      <c r="I421" s="106">
        <v>0.71326617214919508</v>
      </c>
      <c r="J421" s="106">
        <v>5.3777610963768492</v>
      </c>
      <c r="K421" s="30">
        <f t="shared" si="49"/>
        <v>1.8275610650660967E-2</v>
      </c>
      <c r="L421" s="30">
        <f t="shared" si="50"/>
        <v>3.262415067807467E-2</v>
      </c>
      <c r="M421" s="30">
        <f t="shared" si="51"/>
        <v>2.2602952972948565E-2</v>
      </c>
      <c r="N421" s="30">
        <f t="shared" si="52"/>
        <v>-3.2212393442038856E-2</v>
      </c>
      <c r="O421" s="30">
        <f t="shared" si="53"/>
        <v>3.1951130700385022E-3</v>
      </c>
      <c r="P421" s="30">
        <f t="shared" si="54"/>
        <v>2.3568120243773194E-3</v>
      </c>
      <c r="Q421" s="30">
        <f t="shared" si="55"/>
        <v>6.6135649458171963E-2</v>
      </c>
    </row>
    <row r="422" spans="2:17" ht="13.95" customHeight="1" x14ac:dyDescent="0.3">
      <c r="B422" s="105">
        <v>45436</v>
      </c>
      <c r="C422" s="107">
        <f t="shared" si="48"/>
        <v>1</v>
      </c>
      <c r="D422" s="106">
        <v>5.7834726576123749</v>
      </c>
      <c r="E422" s="106">
        <v>2.9463301549668439</v>
      </c>
      <c r="F422" s="106">
        <v>0.92618269311174428</v>
      </c>
      <c r="G422" s="106">
        <v>4.3822296847041224</v>
      </c>
      <c r="H422" s="106">
        <v>3.482682229029642</v>
      </c>
      <c r="I422" s="106">
        <v>0.68504596909361304</v>
      </c>
      <c r="J422" s="106">
        <v>5.1751685177015947</v>
      </c>
      <c r="K422" s="30">
        <f t="shared" si="49"/>
        <v>-3.6578540721946662E-2</v>
      </c>
      <c r="L422" s="30">
        <f t="shared" si="50"/>
        <v>-3.0371895674191962E-2</v>
      </c>
      <c r="M422" s="30">
        <f t="shared" si="51"/>
        <v>-3.8938432958729563E-2</v>
      </c>
      <c r="N422" s="30">
        <f t="shared" si="52"/>
        <v>-2.1622856360146603E-2</v>
      </c>
      <c r="O422" s="30">
        <f t="shared" si="53"/>
        <v>-2.9711510414927145E-2</v>
      </c>
      <c r="P422" s="30">
        <f t="shared" si="54"/>
        <v>-3.9564757390007199E-2</v>
      </c>
      <c r="Q422" s="30">
        <f t="shared" si="55"/>
        <v>-3.7672290576788003E-2</v>
      </c>
    </row>
    <row r="423" spans="2:17" ht="13.95" customHeight="1" x14ac:dyDescent="0.3">
      <c r="B423" s="105">
        <v>45443</v>
      </c>
      <c r="C423" s="107">
        <f t="shared" si="48"/>
        <v>1</v>
      </c>
      <c r="D423" s="106">
        <v>5.6623709647058718</v>
      </c>
      <c r="E423" s="106">
        <v>2.8399052311537738</v>
      </c>
      <c r="F423" s="106">
        <v>0.89911254081442271</v>
      </c>
      <c r="G423" s="106">
        <v>4.3958488172424106</v>
      </c>
      <c r="H423" s="106">
        <v>3.4233630085389599</v>
      </c>
      <c r="I423" s="106">
        <v>0.66408548867059247</v>
      </c>
      <c r="J423" s="106">
        <v>5.0382100568242656</v>
      </c>
      <c r="K423" s="30">
        <f t="shared" si="49"/>
        <v>-2.0939269548911121E-2</v>
      </c>
      <c r="L423" s="30">
        <f t="shared" si="50"/>
        <v>-3.6121180660511509E-2</v>
      </c>
      <c r="M423" s="30">
        <f t="shared" si="51"/>
        <v>-2.9227659400946626E-2</v>
      </c>
      <c r="N423" s="30">
        <f t="shared" si="52"/>
        <v>3.1078089279128474E-3</v>
      </c>
      <c r="O423" s="30">
        <f t="shared" si="53"/>
        <v>-1.7032625025685921E-2</v>
      </c>
      <c r="P423" s="30">
        <f t="shared" si="54"/>
        <v>-3.0597188172281964E-2</v>
      </c>
      <c r="Q423" s="30">
        <f t="shared" si="55"/>
        <v>-2.6464541281866372E-2</v>
      </c>
    </row>
    <row r="424" spans="2:17" ht="13.95" customHeight="1" x14ac:dyDescent="0.3">
      <c r="B424" s="105">
        <v>45450</v>
      </c>
      <c r="C424" s="107">
        <f t="shared" si="48"/>
        <v>1</v>
      </c>
      <c r="D424" s="106">
        <v>5.7254055717374337</v>
      </c>
      <c r="E424" s="106">
        <v>2.8641432249951202</v>
      </c>
      <c r="F424" s="106">
        <v>0.90471538965777776</v>
      </c>
      <c r="G424" s="106">
        <v>4.2045752739102253</v>
      </c>
      <c r="H424" s="106">
        <v>3.3862365426431471</v>
      </c>
      <c r="I424" s="106">
        <v>0.66223452123561255</v>
      </c>
      <c r="J424" s="106">
        <v>5.1630840608902497</v>
      </c>
      <c r="K424" s="30">
        <f t="shared" si="49"/>
        <v>1.1132193108587041E-2</v>
      </c>
      <c r="L424" s="30">
        <f t="shared" si="50"/>
        <v>8.534789673773524E-3</v>
      </c>
      <c r="M424" s="30">
        <f t="shared" si="51"/>
        <v>6.2315323043764526E-3</v>
      </c>
      <c r="N424" s="30">
        <f t="shared" si="52"/>
        <v>-4.3512311565841011E-2</v>
      </c>
      <c r="O424" s="30">
        <f t="shared" si="53"/>
        <v>-1.0845027478303515E-2</v>
      </c>
      <c r="P424" s="30">
        <f t="shared" si="54"/>
        <v>-2.7872427067866523E-3</v>
      </c>
      <c r="Q424" s="30">
        <f t="shared" si="55"/>
        <v>2.478539057672724E-2</v>
      </c>
    </row>
    <row r="425" spans="2:17" ht="13.95" customHeight="1" x14ac:dyDescent="0.3">
      <c r="B425" s="105">
        <v>45457</v>
      </c>
      <c r="C425" s="107">
        <f t="shared" si="48"/>
        <v>1</v>
      </c>
      <c r="D425" s="106">
        <v>5.6515137591132421</v>
      </c>
      <c r="E425" s="106">
        <v>2.848194988477335</v>
      </c>
      <c r="F425" s="106">
        <v>0.89515755252962348</v>
      </c>
      <c r="G425" s="106">
        <v>4.1713964090135267</v>
      </c>
      <c r="H425" s="106">
        <v>3.3561964831738371</v>
      </c>
      <c r="I425" s="106">
        <v>0.64947885280740592</v>
      </c>
      <c r="J425" s="106">
        <v>5.1984315810479682</v>
      </c>
      <c r="K425" s="30">
        <f t="shared" si="49"/>
        <v>-1.2905952547527244E-2</v>
      </c>
      <c r="L425" s="30">
        <f t="shared" si="50"/>
        <v>-5.5682398766256913E-3</v>
      </c>
      <c r="M425" s="30">
        <f t="shared" si="51"/>
        <v>-1.0564468381343284E-2</v>
      </c>
      <c r="N425" s="30">
        <f t="shared" si="52"/>
        <v>-7.8911335236585556E-3</v>
      </c>
      <c r="O425" s="30">
        <f t="shared" si="53"/>
        <v>-8.8712229907784712E-3</v>
      </c>
      <c r="P425" s="30">
        <f t="shared" si="54"/>
        <v>-1.9261557679606911E-2</v>
      </c>
      <c r="Q425" s="30">
        <f t="shared" si="55"/>
        <v>6.846202723188588E-3</v>
      </c>
    </row>
    <row r="426" spans="2:17" ht="13.95" customHeight="1" x14ac:dyDescent="0.3">
      <c r="B426" s="105">
        <v>45464</v>
      </c>
      <c r="C426" s="107">
        <f t="shared" si="48"/>
        <v>1</v>
      </c>
      <c r="D426" s="106">
        <v>5.7435187025177408</v>
      </c>
      <c r="E426" s="106">
        <v>2.8513485218458872</v>
      </c>
      <c r="F426" s="106">
        <v>0.90961979121273873</v>
      </c>
      <c r="G426" s="106">
        <v>4.2637162318092319</v>
      </c>
      <c r="H426" s="106">
        <v>3.404751277615444</v>
      </c>
      <c r="I426" s="106">
        <v>0.65036376591800082</v>
      </c>
      <c r="J426" s="106">
        <v>5.4323785462115639</v>
      </c>
      <c r="K426" s="30">
        <f t="shared" si="49"/>
        <v>1.6279699090555599E-2</v>
      </c>
      <c r="L426" s="30">
        <f t="shared" si="50"/>
        <v>1.1072041701183366E-3</v>
      </c>
      <c r="M426" s="30">
        <f t="shared" si="51"/>
        <v>1.6156081845309256E-2</v>
      </c>
      <c r="N426" s="30">
        <f t="shared" si="52"/>
        <v>2.2131635007457184E-2</v>
      </c>
      <c r="O426" s="30">
        <f t="shared" si="53"/>
        <v>1.4467208545457577E-2</v>
      </c>
      <c r="P426" s="30">
        <f t="shared" si="54"/>
        <v>1.3624971879682146E-3</v>
      </c>
      <c r="Q426" s="30">
        <f t="shared" si="55"/>
        <v>4.5003374867238932E-2</v>
      </c>
    </row>
    <row r="427" spans="2:17" ht="13.95" customHeight="1" x14ac:dyDescent="0.3">
      <c r="B427" s="105">
        <v>45471</v>
      </c>
      <c r="C427" s="107">
        <f t="shared" si="48"/>
        <v>1</v>
      </c>
      <c r="D427" s="106">
        <v>5.754114507273707</v>
      </c>
      <c r="E427" s="106">
        <v>2.9112024299115919</v>
      </c>
      <c r="F427" s="106">
        <v>0.92073927305915737</v>
      </c>
      <c r="G427" s="106">
        <v>4.4233970609474929</v>
      </c>
      <c r="H427" s="106">
        <v>3.4770281068844331</v>
      </c>
      <c r="I427" s="106">
        <v>0.66107323194217371</v>
      </c>
      <c r="J427" s="106">
        <v>5.4557207067454234</v>
      </c>
      <c r="K427" s="30">
        <f t="shared" si="49"/>
        <v>1.8448281105660769E-3</v>
      </c>
      <c r="L427" s="30">
        <f t="shared" si="50"/>
        <v>2.0991438825218367E-2</v>
      </c>
      <c r="M427" s="30">
        <f t="shared" si="51"/>
        <v>1.222431828532855E-2</v>
      </c>
      <c r="N427" s="30">
        <f t="shared" si="52"/>
        <v>3.7451092065407865E-2</v>
      </c>
      <c r="O427" s="30">
        <f t="shared" si="53"/>
        <v>2.1228225904245557E-2</v>
      </c>
      <c r="P427" s="30">
        <f t="shared" si="54"/>
        <v>1.6466886049619101E-2</v>
      </c>
      <c r="Q427" s="30">
        <f t="shared" si="55"/>
        <v>4.2968582427191926E-3</v>
      </c>
    </row>
    <row r="428" spans="2:17" ht="13.95" customHeight="1" x14ac:dyDescent="0.3">
      <c r="B428" s="105">
        <v>45478</v>
      </c>
      <c r="C428" s="107">
        <f t="shared" si="48"/>
        <v>1</v>
      </c>
      <c r="D428" s="106">
        <v>5.8474924227121932</v>
      </c>
      <c r="E428" s="106">
        <v>2.9947763376383012</v>
      </c>
      <c r="F428" s="106">
        <v>0.94874487506616623</v>
      </c>
      <c r="G428" s="106">
        <v>4.4707021986374738</v>
      </c>
      <c r="H428" s="106">
        <v>3.543688924351224</v>
      </c>
      <c r="I428" s="106">
        <v>0.69240675938750373</v>
      </c>
      <c r="J428" s="106">
        <v>5.4465663551938954</v>
      </c>
      <c r="K428" s="30">
        <f t="shared" si="49"/>
        <v>1.6228025236628252E-2</v>
      </c>
      <c r="L428" s="30">
        <f t="shared" si="50"/>
        <v>2.8707693724083327E-2</v>
      </c>
      <c r="M428" s="30">
        <f t="shared" si="51"/>
        <v>3.0416430390723059E-2</v>
      </c>
      <c r="N428" s="30">
        <f t="shared" si="52"/>
        <v>1.0694300565422976E-2</v>
      </c>
      <c r="O428" s="30">
        <f t="shared" si="53"/>
        <v>1.9171779869942451E-2</v>
      </c>
      <c r="P428" s="30">
        <f t="shared" si="54"/>
        <v>4.739796732243251E-2</v>
      </c>
      <c r="Q428" s="30">
        <f t="shared" si="55"/>
        <v>-1.677936251430423E-3</v>
      </c>
    </row>
    <row r="429" spans="2:17" ht="13.95" customHeight="1" x14ac:dyDescent="0.3">
      <c r="B429" s="105">
        <v>45485</v>
      </c>
      <c r="C429" s="107">
        <f t="shared" si="48"/>
        <v>1</v>
      </c>
      <c r="D429" s="106">
        <v>5.9887402666809066</v>
      </c>
      <c r="E429" s="106">
        <v>3.0772850017873661</v>
      </c>
      <c r="F429" s="106">
        <v>1.0022055682694639</v>
      </c>
      <c r="G429" s="106">
        <v>4.4783599441205553</v>
      </c>
      <c r="H429" s="106">
        <v>3.617480816008686</v>
      </c>
      <c r="I429" s="106">
        <v>0.71681441792215272</v>
      </c>
      <c r="J429" s="106">
        <v>5.9813326297780582</v>
      </c>
      <c r="K429" s="30">
        <f t="shared" si="49"/>
        <v>2.4155284651604436E-2</v>
      </c>
      <c r="L429" s="30">
        <f t="shared" si="50"/>
        <v>2.7550860180140191E-2</v>
      </c>
      <c r="M429" s="30">
        <f t="shared" si="51"/>
        <v>5.6348861119876137E-2</v>
      </c>
      <c r="N429" s="30">
        <f t="shared" si="52"/>
        <v>1.7128730885755949E-3</v>
      </c>
      <c r="O429" s="30">
        <f t="shared" si="53"/>
        <v>2.082346764423515E-2</v>
      </c>
      <c r="P429" s="30">
        <f t="shared" si="54"/>
        <v>3.5250462540602268E-2</v>
      </c>
      <c r="Q429" s="30">
        <f t="shared" si="55"/>
        <v>9.8184110815836334E-2</v>
      </c>
    </row>
    <row r="430" spans="2:17" ht="13.95" customHeight="1" x14ac:dyDescent="0.3">
      <c r="B430" s="105">
        <v>45492</v>
      </c>
      <c r="C430" s="107">
        <f t="shared" si="48"/>
        <v>1</v>
      </c>
      <c r="D430" s="106">
        <v>6.0111762145837391</v>
      </c>
      <c r="E430" s="106">
        <v>2.9858689983031881</v>
      </c>
      <c r="F430" s="106">
        <v>0.98715187913933344</v>
      </c>
      <c r="G430" s="106">
        <v>4.465272747375761</v>
      </c>
      <c r="H430" s="106">
        <v>3.5815299311301989</v>
      </c>
      <c r="I430" s="106">
        <v>0.68840678028386271</v>
      </c>
      <c r="J430" s="106">
        <v>6.166639829537754</v>
      </c>
      <c r="K430" s="30">
        <f t="shared" si="49"/>
        <v>3.7463551437784126E-3</v>
      </c>
      <c r="L430" s="30">
        <f t="shared" si="50"/>
        <v>-2.9706706863706578E-2</v>
      </c>
      <c r="M430" s="30">
        <f t="shared" si="51"/>
        <v>-1.5020560259033644E-2</v>
      </c>
      <c r="N430" s="30">
        <f t="shared" si="52"/>
        <v>-2.9223190873649552E-3</v>
      </c>
      <c r="O430" s="30">
        <f t="shared" si="53"/>
        <v>-9.9380996630006324E-3</v>
      </c>
      <c r="P430" s="30">
        <f t="shared" si="54"/>
        <v>-3.96303937644501E-2</v>
      </c>
      <c r="Q430" s="30">
        <f t="shared" si="55"/>
        <v>3.0980922016800028E-2</v>
      </c>
    </row>
    <row r="431" spans="2:17" ht="13.95" customHeight="1" x14ac:dyDescent="0.3">
      <c r="B431" s="105">
        <v>45499</v>
      </c>
      <c r="C431" s="107">
        <f t="shared" si="48"/>
        <v>1</v>
      </c>
      <c r="D431" s="106">
        <v>5.9992125045464766</v>
      </c>
      <c r="E431" s="106">
        <v>3.0303366325820189</v>
      </c>
      <c r="F431" s="106">
        <v>0.98449479226332626</v>
      </c>
      <c r="G431" s="106">
        <v>4.4172901866501526</v>
      </c>
      <c r="H431" s="106">
        <v>3.5781172979075402</v>
      </c>
      <c r="I431" s="106">
        <v>0.6876452409019036</v>
      </c>
      <c r="J431" s="106">
        <v>6.1330178046895147</v>
      </c>
      <c r="K431" s="30">
        <f t="shared" si="49"/>
        <v>-1.9902444397216223E-3</v>
      </c>
      <c r="L431" s="30">
        <f t="shared" si="50"/>
        <v>1.4892694322524269E-2</v>
      </c>
      <c r="M431" s="30">
        <f t="shared" si="51"/>
        <v>-2.6916697745881235E-3</v>
      </c>
      <c r="N431" s="30">
        <f t="shared" si="52"/>
        <v>-1.0745717773636088E-2</v>
      </c>
      <c r="O431" s="30">
        <f t="shared" si="53"/>
        <v>-9.5284230155290306E-4</v>
      </c>
      <c r="P431" s="30">
        <f t="shared" si="54"/>
        <v>-1.1062345749196512E-3</v>
      </c>
      <c r="Q431" s="30">
        <f t="shared" si="55"/>
        <v>-5.4522439736454098E-3</v>
      </c>
    </row>
    <row r="432" spans="2:17" ht="13.95" customHeight="1" x14ac:dyDescent="0.3">
      <c r="B432" s="105">
        <v>45506</v>
      </c>
      <c r="C432" s="107">
        <f t="shared" si="48"/>
        <v>1</v>
      </c>
      <c r="D432" s="106">
        <v>5.8789134286587359</v>
      </c>
      <c r="E432" s="106">
        <v>3.0545624653174879</v>
      </c>
      <c r="F432" s="106">
        <v>1.0032132361753729</v>
      </c>
      <c r="G432" s="106">
        <v>4.2634973683634696</v>
      </c>
      <c r="H432" s="106">
        <v>3.532298850908052</v>
      </c>
      <c r="I432" s="106">
        <v>0.69785569733459596</v>
      </c>
      <c r="J432" s="106">
        <v>6.2943339015619042</v>
      </c>
      <c r="K432" s="30">
        <f t="shared" si="49"/>
        <v>-2.0052477853813699E-2</v>
      </c>
      <c r="L432" s="30">
        <f t="shared" si="50"/>
        <v>7.9944361543844433E-3</v>
      </c>
      <c r="M432" s="30">
        <f t="shared" si="51"/>
        <v>1.9013248276319894E-2</v>
      </c>
      <c r="N432" s="30">
        <f t="shared" si="52"/>
        <v>-3.4816100321294896E-2</v>
      </c>
      <c r="O432" s="30">
        <f t="shared" si="53"/>
        <v>-1.2805183057101766E-2</v>
      </c>
      <c r="P432" s="30">
        <f t="shared" si="54"/>
        <v>1.484843611991038E-2</v>
      </c>
      <c r="Q432" s="30">
        <f t="shared" si="55"/>
        <v>2.630289068279601E-2</v>
      </c>
    </row>
    <row r="433" spans="2:17" ht="13.95" customHeight="1" x14ac:dyDescent="0.3">
      <c r="B433" s="105">
        <v>45513</v>
      </c>
      <c r="C433" s="107">
        <f t="shared" si="48"/>
        <v>1</v>
      </c>
      <c r="D433" s="106">
        <v>6.2747178283289511</v>
      </c>
      <c r="E433" s="106">
        <v>3.174413221109623</v>
      </c>
      <c r="F433" s="106">
        <v>1.0492524458534369</v>
      </c>
      <c r="G433" s="106">
        <v>4.3273563622747746</v>
      </c>
      <c r="H433" s="106">
        <v>3.667721078703158</v>
      </c>
      <c r="I433" s="106">
        <v>0.73646022411692824</v>
      </c>
      <c r="J433" s="106">
        <v>6.4805944755175702</v>
      </c>
      <c r="K433" s="30">
        <f t="shared" si="49"/>
        <v>6.7326114676350635E-2</v>
      </c>
      <c r="L433" s="30">
        <f t="shared" si="50"/>
        <v>3.9236636065872021E-2</v>
      </c>
      <c r="M433" s="30">
        <f t="shared" si="51"/>
        <v>4.589174865114698E-2</v>
      </c>
      <c r="N433" s="30">
        <f t="shared" si="52"/>
        <v>1.4978077478166041E-2</v>
      </c>
      <c r="O433" s="30">
        <f t="shared" si="53"/>
        <v>3.8338270206184077E-2</v>
      </c>
      <c r="P433" s="30">
        <f t="shared" si="54"/>
        <v>5.5318781418248975E-2</v>
      </c>
      <c r="Q433" s="30">
        <f t="shared" si="55"/>
        <v>2.9591784749367411E-2</v>
      </c>
    </row>
    <row r="434" spans="2:17" ht="13.95" customHeight="1" x14ac:dyDescent="0.3">
      <c r="B434" s="105">
        <v>45520</v>
      </c>
      <c r="C434" s="107">
        <f t="shared" si="48"/>
        <v>1</v>
      </c>
      <c r="D434" s="106">
        <v>6.6045884867954108</v>
      </c>
      <c r="E434" s="106">
        <v>3.2527203086728971</v>
      </c>
      <c r="F434" s="106">
        <v>1.048651222415055</v>
      </c>
      <c r="G434" s="106">
        <v>4.3994276475359424</v>
      </c>
      <c r="H434" s="106">
        <v>3.7608356465952011</v>
      </c>
      <c r="I434" s="106">
        <v>0.71160161510262832</v>
      </c>
      <c r="J434" s="106">
        <v>6.8579792337116574</v>
      </c>
      <c r="K434" s="30">
        <f t="shared" si="49"/>
        <v>5.2571393246906961E-2</v>
      </c>
      <c r="L434" s="30">
        <f t="shared" si="50"/>
        <v>2.4668208613339182E-2</v>
      </c>
      <c r="M434" s="30">
        <f t="shared" si="51"/>
        <v>-5.7300170302942988E-4</v>
      </c>
      <c r="N434" s="30">
        <f t="shared" si="52"/>
        <v>1.6654807052516984E-2</v>
      </c>
      <c r="O434" s="30">
        <f t="shared" si="53"/>
        <v>2.5387581523774738E-2</v>
      </c>
      <c r="P434" s="30">
        <f t="shared" si="54"/>
        <v>-3.375417734760533E-2</v>
      </c>
      <c r="Q434" s="30">
        <f t="shared" si="55"/>
        <v>5.8233046307676561E-2</v>
      </c>
    </row>
    <row r="435" spans="2:17" ht="13.95" customHeight="1" x14ac:dyDescent="0.3">
      <c r="B435" s="105">
        <v>45527</v>
      </c>
      <c r="C435" s="107">
        <f t="shared" si="48"/>
        <v>1</v>
      </c>
      <c r="D435" s="106">
        <v>6.6938382011969182</v>
      </c>
      <c r="E435" s="106">
        <v>3.2981327756705601</v>
      </c>
      <c r="F435" s="106">
        <v>1.075874864259464</v>
      </c>
      <c r="G435" s="106">
        <v>4.4245024447940411</v>
      </c>
      <c r="H435" s="106">
        <v>3.8082593941078291</v>
      </c>
      <c r="I435" s="106">
        <v>0.73362558258774402</v>
      </c>
      <c r="J435" s="106">
        <v>6.980647720256731</v>
      </c>
      <c r="K435" s="30">
        <f t="shared" si="49"/>
        <v>1.3513289220054236E-2</v>
      </c>
      <c r="L435" s="30">
        <f t="shared" si="50"/>
        <v>1.3961380840700421E-2</v>
      </c>
      <c r="M435" s="30">
        <f t="shared" si="51"/>
        <v>2.596062567086177E-2</v>
      </c>
      <c r="N435" s="30">
        <f t="shared" si="52"/>
        <v>5.6995589578892059E-3</v>
      </c>
      <c r="O435" s="30">
        <f t="shared" si="53"/>
        <v>1.2609896302052448E-2</v>
      </c>
      <c r="P435" s="30">
        <f t="shared" si="54"/>
        <v>3.0949855955483496E-2</v>
      </c>
      <c r="Q435" s="30">
        <f t="shared" si="55"/>
        <v>1.7886972585462901E-2</v>
      </c>
    </row>
    <row r="436" spans="2:17" ht="13.95" customHeight="1" x14ac:dyDescent="0.3">
      <c r="B436" s="105">
        <v>45534</v>
      </c>
      <c r="C436" s="107">
        <f t="shared" si="48"/>
        <v>1</v>
      </c>
      <c r="D436" s="106">
        <v>6.6856760405293123</v>
      </c>
      <c r="E436" s="106">
        <v>3.2406327884084809</v>
      </c>
      <c r="F436" s="106">
        <v>1.0477117393203439</v>
      </c>
      <c r="G436" s="106">
        <v>4.5794027466476841</v>
      </c>
      <c r="H436" s="106">
        <v>3.8208364135528639</v>
      </c>
      <c r="I436" s="106">
        <v>0.69840622430604893</v>
      </c>
      <c r="J436" s="106">
        <v>7.047679853139706</v>
      </c>
      <c r="K436" s="30">
        <f t="shared" si="49"/>
        <v>-1.2193543408542951E-3</v>
      </c>
      <c r="L436" s="30">
        <f t="shared" si="50"/>
        <v>-1.7434103225388964E-2</v>
      </c>
      <c r="M436" s="30">
        <f t="shared" si="51"/>
        <v>-2.6176952241100171E-2</v>
      </c>
      <c r="N436" s="30">
        <f t="shared" si="52"/>
        <v>3.5009654483500574E-2</v>
      </c>
      <c r="O436" s="30">
        <f t="shared" si="53"/>
        <v>3.302563755109178E-3</v>
      </c>
      <c r="P436" s="30">
        <f t="shared" si="54"/>
        <v>-4.8007265719203218E-2</v>
      </c>
      <c r="Q436" s="30">
        <f t="shared" si="55"/>
        <v>9.6025663475982626E-3</v>
      </c>
    </row>
    <row r="437" spans="2:17" ht="13.95" customHeight="1" x14ac:dyDescent="0.3">
      <c r="B437" s="105">
        <v>45541</v>
      </c>
      <c r="C437" s="107">
        <f t="shared" si="48"/>
        <v>1</v>
      </c>
      <c r="D437" s="106">
        <v>6.6988063607725854</v>
      </c>
      <c r="E437" s="106">
        <v>3.275951258340259</v>
      </c>
      <c r="F437" s="106">
        <v>1.0478826855088119</v>
      </c>
      <c r="G437" s="106">
        <v>4.3920900968387793</v>
      </c>
      <c r="H437" s="106">
        <v>3.7807007667558041</v>
      </c>
      <c r="I437" s="106">
        <v>0.70183619929393859</v>
      </c>
      <c r="J437" s="106">
        <v>6.987719036536471</v>
      </c>
      <c r="K437" s="30">
        <f t="shared" si="49"/>
        <v>1.9639480231581352E-3</v>
      </c>
      <c r="L437" s="30">
        <f t="shared" si="50"/>
        <v>1.0898633766253774E-2</v>
      </c>
      <c r="M437" s="30">
        <f t="shared" si="51"/>
        <v>1.6316147090122968E-4</v>
      </c>
      <c r="N437" s="30">
        <f t="shared" si="52"/>
        <v>-4.0903292453590256E-2</v>
      </c>
      <c r="O437" s="30">
        <f t="shared" si="53"/>
        <v>-1.0504413812299052E-2</v>
      </c>
      <c r="P437" s="30">
        <f t="shared" si="54"/>
        <v>4.9111460759070358E-3</v>
      </c>
      <c r="Q437" s="30">
        <f t="shared" si="55"/>
        <v>-8.5078803028378891E-3</v>
      </c>
    </row>
    <row r="438" spans="2:17" ht="13.95" customHeight="1" x14ac:dyDescent="0.3">
      <c r="B438" s="105">
        <v>45548</v>
      </c>
      <c r="C438" s="107">
        <f t="shared" si="48"/>
        <v>1</v>
      </c>
      <c r="D438" s="106">
        <v>6.6673220824868196</v>
      </c>
      <c r="E438" s="106">
        <v>3.2545563309080392</v>
      </c>
      <c r="F438" s="106">
        <v>1.07729211451097</v>
      </c>
      <c r="G438" s="106">
        <v>4.4144156364228104</v>
      </c>
      <c r="H438" s="106">
        <v>3.7895273672261611</v>
      </c>
      <c r="I438" s="106">
        <v>0.7175245381180948</v>
      </c>
      <c r="J438" s="106">
        <v>7.2577167353627736</v>
      </c>
      <c r="K438" s="30">
        <f t="shared" si="49"/>
        <v>-4.6999833388429169E-3</v>
      </c>
      <c r="L438" s="30">
        <f t="shared" si="50"/>
        <v>-6.5309052989571681E-3</v>
      </c>
      <c r="M438" s="30">
        <f t="shared" si="51"/>
        <v>2.806557395103626E-2</v>
      </c>
      <c r="N438" s="30">
        <f t="shared" si="52"/>
        <v>5.083124228280278E-3</v>
      </c>
      <c r="O438" s="30">
        <f t="shared" si="53"/>
        <v>2.3346466739633254E-3</v>
      </c>
      <c r="P438" s="30">
        <f t="shared" si="54"/>
        <v>2.2353276790138432E-2</v>
      </c>
      <c r="Q438" s="30">
        <f t="shared" si="55"/>
        <v>3.8638888801134419E-2</v>
      </c>
    </row>
    <row r="439" spans="2:17" ht="13.95" customHeight="1" x14ac:dyDescent="0.3">
      <c r="B439" s="105">
        <v>45555</v>
      </c>
      <c r="C439" s="107">
        <f t="shared" si="48"/>
        <v>1</v>
      </c>
      <c r="D439" s="106">
        <v>6.4438687368017034</v>
      </c>
      <c r="E439" s="106">
        <v>3.1815152506645741</v>
      </c>
      <c r="F439" s="106">
        <v>1.029965157948477</v>
      </c>
      <c r="G439" s="106">
        <v>4.3147450077660006</v>
      </c>
      <c r="H439" s="106">
        <v>3.6826855331912438</v>
      </c>
      <c r="I439" s="106">
        <v>0.68390266284919188</v>
      </c>
      <c r="J439" s="106">
        <v>6.9775760424687139</v>
      </c>
      <c r="K439" s="30">
        <f t="shared" si="49"/>
        <v>-3.3514706942396777E-2</v>
      </c>
      <c r="L439" s="30">
        <f t="shared" si="50"/>
        <v>-2.2442715017652271E-2</v>
      </c>
      <c r="M439" s="30">
        <f t="shared" si="51"/>
        <v>-4.3931405349585062E-2</v>
      </c>
      <c r="N439" s="30">
        <f t="shared" si="52"/>
        <v>-2.2578442282244482E-2</v>
      </c>
      <c r="O439" s="30">
        <f t="shared" si="53"/>
        <v>-2.8193973464591404E-2</v>
      </c>
      <c r="P439" s="30">
        <f t="shared" si="54"/>
        <v>-4.685815394841486E-2</v>
      </c>
      <c r="Q439" s="30">
        <f t="shared" si="55"/>
        <v>-3.8599011660112259E-2</v>
      </c>
    </row>
    <row r="440" spans="2:17" ht="13.95" customHeight="1" x14ac:dyDescent="0.3">
      <c r="B440" s="105">
        <v>45562</v>
      </c>
      <c r="C440" s="107">
        <f t="shared" si="48"/>
        <v>1</v>
      </c>
      <c r="D440" s="106">
        <v>6.4644590275790357</v>
      </c>
      <c r="E440" s="106">
        <v>3.127962551215187</v>
      </c>
      <c r="F440" s="106">
        <v>1.044288836221517</v>
      </c>
      <c r="G440" s="106">
        <v>4.5062907624596482</v>
      </c>
      <c r="H440" s="106">
        <v>3.7298579237585709</v>
      </c>
      <c r="I440" s="106">
        <v>0.68210420957408424</v>
      </c>
      <c r="J440" s="106">
        <v>7.2830340137613421</v>
      </c>
      <c r="K440" s="30">
        <f t="shared" si="49"/>
        <v>3.1953305721046377E-3</v>
      </c>
      <c r="L440" s="30">
        <f t="shared" si="50"/>
        <v>-1.6832450964426648E-2</v>
      </c>
      <c r="M440" s="30">
        <f t="shared" si="51"/>
        <v>1.3906954194033538E-2</v>
      </c>
      <c r="N440" s="30">
        <f t="shared" si="52"/>
        <v>4.4393296556086037E-2</v>
      </c>
      <c r="O440" s="30">
        <f t="shared" si="53"/>
        <v>1.2809236667690627E-2</v>
      </c>
      <c r="P440" s="30">
        <f t="shared" si="54"/>
        <v>-2.6296918740089659E-3</v>
      </c>
      <c r="Q440" s="30">
        <f t="shared" si="55"/>
        <v>4.3777089555666837E-2</v>
      </c>
    </row>
    <row r="441" spans="2:17" ht="13.95" customHeight="1" x14ac:dyDescent="0.3">
      <c r="B441" s="105">
        <v>45569</v>
      </c>
      <c r="C441" s="107">
        <f t="shared" si="48"/>
        <v>1</v>
      </c>
      <c r="D441" s="106">
        <v>6.316587610168904</v>
      </c>
      <c r="E441" s="106">
        <v>3.094404399102348</v>
      </c>
      <c r="F441" s="106">
        <v>1.032597730683761</v>
      </c>
      <c r="G441" s="106">
        <v>4.5473841398060362</v>
      </c>
      <c r="H441" s="106">
        <v>3.7039197674869069</v>
      </c>
      <c r="I441" s="106">
        <v>0.68328599495814091</v>
      </c>
      <c r="J441" s="106">
        <v>7.039174777523896</v>
      </c>
      <c r="K441" s="30">
        <f t="shared" si="49"/>
        <v>-2.2874523108472711E-2</v>
      </c>
      <c r="L441" s="30">
        <f t="shared" si="50"/>
        <v>-1.0728437941113445E-2</v>
      </c>
      <c r="M441" s="30">
        <f t="shared" si="51"/>
        <v>-1.1195279631693866E-2</v>
      </c>
      <c r="N441" s="30">
        <f t="shared" si="52"/>
        <v>9.1191135930959177E-3</v>
      </c>
      <c r="O441" s="30">
        <f t="shared" si="53"/>
        <v>-6.9541941816181341E-3</v>
      </c>
      <c r="P441" s="30">
        <f t="shared" si="54"/>
        <v>1.7325584089189494E-3</v>
      </c>
      <c r="Q441" s="30">
        <f t="shared" si="55"/>
        <v>-3.3483193374721609E-2</v>
      </c>
    </row>
    <row r="442" spans="2:17" ht="13.95" customHeight="1" x14ac:dyDescent="0.3">
      <c r="B442" s="105">
        <v>45576</v>
      </c>
      <c r="C442" s="107">
        <f t="shared" si="48"/>
        <v>1</v>
      </c>
      <c r="D442" s="106">
        <v>6.2318332548571123</v>
      </c>
      <c r="E442" s="106">
        <v>3.0367229134831759</v>
      </c>
      <c r="F442" s="106">
        <v>1.0253367510149951</v>
      </c>
      <c r="G442" s="106">
        <v>4.4905113563881311</v>
      </c>
      <c r="H442" s="106">
        <v>3.6532906137328371</v>
      </c>
      <c r="I442" s="106">
        <v>0.67890480704789713</v>
      </c>
      <c r="J442" s="106">
        <v>6.9818884320940864</v>
      </c>
      <c r="K442" s="30">
        <f t="shared" si="49"/>
        <v>-1.3417743969124762E-2</v>
      </c>
      <c r="L442" s="30">
        <f t="shared" si="50"/>
        <v>-1.8640577694339133E-2</v>
      </c>
      <c r="M442" s="30">
        <f t="shared" si="51"/>
        <v>-7.0317602421592351E-3</v>
      </c>
      <c r="N442" s="30">
        <f t="shared" si="52"/>
        <v>-1.2506703121925145E-2</v>
      </c>
      <c r="O442" s="30">
        <f t="shared" si="53"/>
        <v>-1.3669074097795941E-2</v>
      </c>
      <c r="P442" s="30">
        <f t="shared" si="54"/>
        <v>-6.4119386941513534E-3</v>
      </c>
      <c r="Q442" s="30">
        <f t="shared" si="55"/>
        <v>-8.1382189305378994E-3</v>
      </c>
    </row>
    <row r="443" spans="2:17" ht="13.95" customHeight="1" x14ac:dyDescent="0.3">
      <c r="B443" s="105">
        <v>45583</v>
      </c>
      <c r="C443" s="107">
        <f t="shared" si="48"/>
        <v>1</v>
      </c>
      <c r="D443" s="106">
        <v>6.3390090962649488</v>
      </c>
      <c r="E443" s="106">
        <v>3.0893544002181978</v>
      </c>
      <c r="F443" s="106">
        <v>1.041112978393766</v>
      </c>
      <c r="G443" s="106">
        <v>4.4011034994963296</v>
      </c>
      <c r="H443" s="106">
        <v>3.6676227523360621</v>
      </c>
      <c r="I443" s="106">
        <v>0.68310477838425876</v>
      </c>
      <c r="J443" s="106">
        <v>7.2041785350821792</v>
      </c>
      <c r="K443" s="30">
        <f t="shared" si="49"/>
        <v>1.7198124055117114E-2</v>
      </c>
      <c r="L443" s="30">
        <f t="shared" si="50"/>
        <v>1.7331672409536036E-2</v>
      </c>
      <c r="M443" s="30">
        <f t="shared" si="51"/>
        <v>1.5386386339077296E-2</v>
      </c>
      <c r="N443" s="30">
        <f t="shared" si="52"/>
        <v>-1.9910395452983565E-2</v>
      </c>
      <c r="O443" s="30">
        <f t="shared" si="53"/>
        <v>3.9230765133630996E-3</v>
      </c>
      <c r="P443" s="30">
        <f t="shared" si="54"/>
        <v>6.1863921020453017E-3</v>
      </c>
      <c r="Q443" s="30">
        <f t="shared" si="55"/>
        <v>3.18381058577617E-2</v>
      </c>
    </row>
    <row r="444" spans="2:17" ht="13.95" customHeight="1" x14ac:dyDescent="0.3">
      <c r="B444" s="105">
        <v>45590</v>
      </c>
      <c r="C444" s="107">
        <f t="shared" si="48"/>
        <v>1</v>
      </c>
      <c r="D444" s="106">
        <v>6.3027384537930979</v>
      </c>
      <c r="E444" s="106">
        <v>3.0529090483578849</v>
      </c>
      <c r="F444" s="106">
        <v>1.0439486866931511</v>
      </c>
      <c r="G444" s="106">
        <v>4.3970825209710016</v>
      </c>
      <c r="H444" s="106">
        <v>3.6507787622286592</v>
      </c>
      <c r="I444" s="106">
        <v>0.68053531090659469</v>
      </c>
      <c r="J444" s="106">
        <v>7.3052706711367703</v>
      </c>
      <c r="K444" s="30">
        <f t="shared" si="49"/>
        <v>-5.7218158108058859E-3</v>
      </c>
      <c r="L444" s="30">
        <f t="shared" si="50"/>
        <v>-1.1797077039053527E-2</v>
      </c>
      <c r="M444" s="30">
        <f t="shared" si="51"/>
        <v>2.7237277396734427E-3</v>
      </c>
      <c r="N444" s="30">
        <f t="shared" si="52"/>
        <v>-9.1362962170471462E-4</v>
      </c>
      <c r="O444" s="30">
        <f t="shared" si="53"/>
        <v>-4.5926179557791436E-3</v>
      </c>
      <c r="P444" s="30">
        <f t="shared" si="54"/>
        <v>-3.761454404903497E-3</v>
      </c>
      <c r="Q444" s="30">
        <f t="shared" si="55"/>
        <v>1.403243070147453E-2</v>
      </c>
    </row>
    <row r="445" spans="2:17" ht="13.95" customHeight="1" x14ac:dyDescent="0.3">
      <c r="B445" s="105">
        <v>45597</v>
      </c>
      <c r="C445" s="107">
        <f t="shared" si="48"/>
        <v>1</v>
      </c>
      <c r="D445" s="106">
        <v>6.1592455507817068</v>
      </c>
      <c r="E445" s="106">
        <v>3.0066494881575712</v>
      </c>
      <c r="F445" s="106">
        <v>1.0319748843765819</v>
      </c>
      <c r="G445" s="106">
        <v>4.3680788104433876</v>
      </c>
      <c r="H445" s="106">
        <v>3.6011240101548729</v>
      </c>
      <c r="I445" s="106">
        <v>0.67471972515794176</v>
      </c>
      <c r="J445" s="106">
        <v>7.1836552904921396</v>
      </c>
      <c r="K445" s="30">
        <f t="shared" si="49"/>
        <v>-2.2766755127691329E-2</v>
      </c>
      <c r="L445" s="30">
        <f t="shared" si="50"/>
        <v>-1.5152616559342302E-2</v>
      </c>
      <c r="M445" s="30">
        <f t="shared" si="51"/>
        <v>-1.1469723051712233E-2</v>
      </c>
      <c r="N445" s="30">
        <f t="shared" si="52"/>
        <v>-6.5961260425035917E-3</v>
      </c>
      <c r="O445" s="30">
        <f t="shared" si="53"/>
        <v>-1.3601139731478584E-2</v>
      </c>
      <c r="P445" s="30">
        <f t="shared" si="54"/>
        <v>-8.5456046959643261E-3</v>
      </c>
      <c r="Q445" s="30">
        <f t="shared" si="55"/>
        <v>-1.6647621439289662E-2</v>
      </c>
    </row>
    <row r="446" spans="2:17" ht="13.95" customHeight="1" x14ac:dyDescent="0.3">
      <c r="B446" s="105">
        <v>45604</v>
      </c>
      <c r="C446" s="107">
        <f t="shared" si="48"/>
        <v>1</v>
      </c>
      <c r="D446" s="106">
        <v>6.1409075634675014</v>
      </c>
      <c r="E446" s="106">
        <v>2.9659282539082952</v>
      </c>
      <c r="F446" s="106">
        <v>1.0457678234046579</v>
      </c>
      <c r="G446" s="106">
        <v>4.3724436681527079</v>
      </c>
      <c r="H446" s="106">
        <v>3.5929624904237132</v>
      </c>
      <c r="I446" s="106">
        <v>0.67247044333670347</v>
      </c>
      <c r="J446" s="106">
        <v>7.4848875195250031</v>
      </c>
      <c r="K446" s="30">
        <f t="shared" si="49"/>
        <v>-2.9773106402419813E-3</v>
      </c>
      <c r="L446" s="30">
        <f t="shared" si="50"/>
        <v>-1.3543725136457185E-2</v>
      </c>
      <c r="M446" s="30">
        <f t="shared" si="51"/>
        <v>1.3365576272147628E-2</v>
      </c>
      <c r="N446" s="30">
        <f t="shared" si="52"/>
        <v>9.9926258172922111E-4</v>
      </c>
      <c r="O446" s="30">
        <f t="shared" si="53"/>
        <v>-2.2663811932455147E-3</v>
      </c>
      <c r="P446" s="30">
        <f t="shared" si="54"/>
        <v>-3.3336535710613013E-3</v>
      </c>
      <c r="Q446" s="30">
        <f t="shared" si="55"/>
        <v>4.1933001633799982E-2</v>
      </c>
    </row>
    <row r="447" spans="2:17" ht="13.95" customHeight="1" x14ac:dyDescent="0.3">
      <c r="B447" s="105">
        <v>45611</v>
      </c>
      <c r="C447" s="107">
        <f t="shared" si="48"/>
        <v>1</v>
      </c>
      <c r="D447" s="106">
        <v>6.0790257598776707</v>
      </c>
      <c r="E447" s="106">
        <v>3.0238092642643561</v>
      </c>
      <c r="F447" s="106">
        <v>1.0611501504931951</v>
      </c>
      <c r="G447" s="106">
        <v>4.3090593993581781</v>
      </c>
      <c r="H447" s="106">
        <v>3.5920210787627109</v>
      </c>
      <c r="I447" s="106">
        <v>0.68743495181349967</v>
      </c>
      <c r="J447" s="106">
        <v>7.5025847922248721</v>
      </c>
      <c r="K447" s="30">
        <f t="shared" si="49"/>
        <v>-1.0076980145079517E-2</v>
      </c>
      <c r="L447" s="30">
        <f t="shared" si="50"/>
        <v>1.9515310351755577E-2</v>
      </c>
      <c r="M447" s="30">
        <f t="shared" si="51"/>
        <v>1.4709122564564581E-2</v>
      </c>
      <c r="N447" s="30">
        <f t="shared" si="52"/>
        <v>-1.4496303121340981E-2</v>
      </c>
      <c r="O447" s="30">
        <f t="shared" si="53"/>
        <v>-2.6201544366555307E-4</v>
      </c>
      <c r="P447" s="30">
        <f t="shared" si="54"/>
        <v>2.2253035245005659E-2</v>
      </c>
      <c r="Q447" s="30">
        <f t="shared" si="55"/>
        <v>2.3644006210787882E-3</v>
      </c>
    </row>
    <row r="448" spans="2:17" ht="13.95" customHeight="1" x14ac:dyDescent="0.3">
      <c r="B448" s="105">
        <v>45618</v>
      </c>
      <c r="C448" s="107">
        <f t="shared" si="48"/>
        <v>1</v>
      </c>
      <c r="D448" s="106">
        <v>6.0593446661848427</v>
      </c>
      <c r="E448" s="106">
        <v>3.0205945096638702</v>
      </c>
      <c r="F448" s="106">
        <v>1.0612624343817381</v>
      </c>
      <c r="G448" s="106">
        <v>4.4534566228998642</v>
      </c>
      <c r="H448" s="106">
        <v>3.6295466011112261</v>
      </c>
      <c r="I448" s="106">
        <v>0.68508744880714756</v>
      </c>
      <c r="J448" s="106">
        <v>7.5474600964681882</v>
      </c>
      <c r="K448" s="30">
        <f t="shared" si="49"/>
        <v>-3.2375407623250751E-3</v>
      </c>
      <c r="L448" s="30">
        <f t="shared" si="50"/>
        <v>-1.0631472819658816E-3</v>
      </c>
      <c r="M448" s="30">
        <f t="shared" si="51"/>
        <v>1.0581338417647856E-4</v>
      </c>
      <c r="N448" s="30">
        <f t="shared" si="52"/>
        <v>3.3510149236558151E-2</v>
      </c>
      <c r="O448" s="30">
        <f t="shared" si="53"/>
        <v>1.0446910395481623E-2</v>
      </c>
      <c r="P448" s="30">
        <f t="shared" si="54"/>
        <v>-3.4148729274809941E-3</v>
      </c>
      <c r="Q448" s="30">
        <f t="shared" si="55"/>
        <v>5.9813125057674998E-3</v>
      </c>
    </row>
    <row r="449" spans="2:17" ht="13.95" customHeight="1" x14ac:dyDescent="0.3">
      <c r="B449" s="105">
        <v>45625</v>
      </c>
      <c r="C449" s="107">
        <f t="shared" si="48"/>
        <v>1</v>
      </c>
      <c r="D449" s="106">
        <v>5.7403015482863768</v>
      </c>
      <c r="E449" s="106">
        <v>2.9488567157489469</v>
      </c>
      <c r="F449" s="106">
        <v>1.0080459483911071</v>
      </c>
      <c r="G449" s="106">
        <v>4.4459675508610914</v>
      </c>
      <c r="H449" s="106">
        <v>3.5331409998441119</v>
      </c>
      <c r="I449" s="106">
        <v>0.62689435723481113</v>
      </c>
      <c r="J449" s="106">
        <v>7.6032043990853229</v>
      </c>
      <c r="K449" s="30">
        <f t="shared" si="49"/>
        <v>-5.265307314154577E-2</v>
      </c>
      <c r="L449" s="30">
        <f t="shared" si="50"/>
        <v>-2.3749561116333417E-2</v>
      </c>
      <c r="M449" s="30">
        <f t="shared" si="51"/>
        <v>-5.0144511165735817E-2</v>
      </c>
      <c r="N449" s="30">
        <f t="shared" si="52"/>
        <v>-1.6816312974204939E-3</v>
      </c>
      <c r="O449" s="30">
        <f t="shared" si="53"/>
        <v>-2.6561334475661114E-2</v>
      </c>
      <c r="P449" s="30">
        <f t="shared" si="54"/>
        <v>-8.4942574373038648E-2</v>
      </c>
      <c r="Q449" s="30">
        <f t="shared" si="55"/>
        <v>7.3858360169694048E-3</v>
      </c>
    </row>
    <row r="450" spans="2:17" ht="13.95" customHeight="1" x14ac:dyDescent="0.3">
      <c r="B450" s="105">
        <v>45632</v>
      </c>
      <c r="C450" s="107">
        <f t="shared" si="48"/>
        <v>1</v>
      </c>
      <c r="D450" s="106">
        <v>5.7964199447606051</v>
      </c>
      <c r="E450" s="106">
        <v>3.0109109155813059</v>
      </c>
      <c r="F450" s="106">
        <v>0.995944520722573</v>
      </c>
      <c r="G450" s="106">
        <v>4.3951163033790639</v>
      </c>
      <c r="H450" s="106">
        <v>3.5411385997906031</v>
      </c>
      <c r="I450" s="106">
        <v>0.60864878855845772</v>
      </c>
      <c r="J450" s="106">
        <v>7.7065995155129707</v>
      </c>
      <c r="K450" s="30">
        <f t="shared" si="49"/>
        <v>9.7762105356609119E-3</v>
      </c>
      <c r="L450" s="30">
        <f t="shared" si="50"/>
        <v>2.1043477460585436E-2</v>
      </c>
      <c r="M450" s="30">
        <f t="shared" si="51"/>
        <v>-1.2004837366638488E-2</v>
      </c>
      <c r="N450" s="30">
        <f t="shared" si="52"/>
        <v>-1.1437611026238526E-2</v>
      </c>
      <c r="O450" s="30">
        <f t="shared" si="53"/>
        <v>2.2635948995084476E-3</v>
      </c>
      <c r="P450" s="30">
        <f t="shared" si="54"/>
        <v>-2.9104694380777896E-2</v>
      </c>
      <c r="Q450" s="30">
        <f t="shared" si="55"/>
        <v>1.3598886864081505E-2</v>
      </c>
    </row>
    <row r="451" spans="2:17" ht="13.95" customHeight="1" x14ac:dyDescent="0.3">
      <c r="B451" s="105">
        <v>45639</v>
      </c>
      <c r="C451" s="107">
        <f t="shared" si="48"/>
        <v>1</v>
      </c>
      <c r="D451" s="106">
        <v>5.7788361903207548</v>
      </c>
      <c r="E451" s="106">
        <v>2.9316824619551158</v>
      </c>
      <c r="F451" s="106">
        <v>0.986830218106727</v>
      </c>
      <c r="G451" s="106">
        <v>4.383198777297947</v>
      </c>
      <c r="H451" s="106">
        <v>3.5051018007728429</v>
      </c>
      <c r="I451" s="106">
        <v>0.59455023130855955</v>
      </c>
      <c r="J451" s="106">
        <v>7.7909508227420181</v>
      </c>
      <c r="K451" s="30">
        <f t="shared" si="49"/>
        <v>-3.0335542640840263E-3</v>
      </c>
      <c r="L451" s="30">
        <f t="shared" si="50"/>
        <v>-2.6313782057179713E-2</v>
      </c>
      <c r="M451" s="30">
        <f t="shared" si="51"/>
        <v>-9.1514159937678974E-3</v>
      </c>
      <c r="N451" s="30">
        <f t="shared" si="52"/>
        <v>-2.7115382753248873E-3</v>
      </c>
      <c r="O451" s="30">
        <f t="shared" si="53"/>
        <v>-1.0176613538902757E-2</v>
      </c>
      <c r="P451" s="30">
        <f t="shared" si="54"/>
        <v>-2.3163698860371729E-2</v>
      </c>
      <c r="Q451" s="30">
        <f t="shared" si="55"/>
        <v>1.0945334198209311E-2</v>
      </c>
    </row>
    <row r="452" spans="2:17" ht="13.95" customHeight="1" x14ac:dyDescent="0.3">
      <c r="B452" s="105">
        <v>45646</v>
      </c>
      <c r="C452" s="107">
        <f t="shared" si="48"/>
        <v>1</v>
      </c>
      <c r="D452" s="106">
        <v>5.67100686164863</v>
      </c>
      <c r="E452" s="106">
        <v>2.893069913076717</v>
      </c>
      <c r="F452" s="106">
        <v>0.97366245297466192</v>
      </c>
      <c r="G452" s="106">
        <v>4.2584758410835386</v>
      </c>
      <c r="H452" s="106">
        <v>3.4351112337950549</v>
      </c>
      <c r="I452" s="106">
        <v>0.59235408128782441</v>
      </c>
      <c r="J452" s="106">
        <v>7.5828049189878346</v>
      </c>
      <c r="K452" s="30">
        <f t="shared" si="49"/>
        <v>-1.8659350277610121E-2</v>
      </c>
      <c r="L452" s="30">
        <f t="shared" si="50"/>
        <v>-1.3170781412884858E-2</v>
      </c>
      <c r="M452" s="30">
        <f t="shared" si="51"/>
        <v>-1.3343496064934013E-2</v>
      </c>
      <c r="N452" s="30">
        <f t="shared" si="52"/>
        <v>-2.8454775279731837E-2</v>
      </c>
      <c r="O452" s="30">
        <f t="shared" si="53"/>
        <v>-1.9968198059855391E-2</v>
      </c>
      <c r="P452" s="30">
        <f t="shared" si="54"/>
        <v>-3.6938006329617634E-3</v>
      </c>
      <c r="Q452" s="30">
        <f t="shared" si="55"/>
        <v>-2.6716367294553955E-2</v>
      </c>
    </row>
    <row r="453" spans="2:17" ht="13.95" customHeight="1" x14ac:dyDescent="0.3">
      <c r="B453" s="105">
        <v>45653</v>
      </c>
      <c r="C453" s="107">
        <f t="shared" si="48"/>
        <v>1</v>
      </c>
      <c r="D453" s="106">
        <v>5.5974211639907043</v>
      </c>
      <c r="E453" s="106">
        <v>2.8156123600175391</v>
      </c>
      <c r="F453" s="106">
        <v>0.94646248139662825</v>
      </c>
      <c r="G453" s="106">
        <v>4.2558926296954516</v>
      </c>
      <c r="H453" s="106">
        <v>3.3857639388860981</v>
      </c>
      <c r="I453" s="106">
        <v>0.56887249587677879</v>
      </c>
      <c r="J453" s="106">
        <v>7.4968896404381153</v>
      </c>
      <c r="K453" s="30">
        <f t="shared" si="49"/>
        <v>-1.2975772989372358E-2</v>
      </c>
      <c r="L453" s="30">
        <f t="shared" si="50"/>
        <v>-2.6773481245326525E-2</v>
      </c>
      <c r="M453" s="30">
        <f t="shared" si="51"/>
        <v>-2.79357301854809E-2</v>
      </c>
      <c r="N453" s="30">
        <f t="shared" si="52"/>
        <v>-6.066046831041394E-4</v>
      </c>
      <c r="O453" s="30">
        <f t="shared" si="53"/>
        <v>-1.4365559526419935E-2</v>
      </c>
      <c r="P453" s="30">
        <f t="shared" si="54"/>
        <v>-3.9641130453587525E-2</v>
      </c>
      <c r="Q453" s="30">
        <f t="shared" si="55"/>
        <v>-1.1330276786441051E-2</v>
      </c>
    </row>
    <row r="454" spans="2:17" ht="13.95" customHeight="1" x14ac:dyDescent="0.3">
      <c r="B454" s="105">
        <v>45660</v>
      </c>
      <c r="C454" s="107">
        <f t="shared" si="48"/>
        <v>1</v>
      </c>
      <c r="D454" s="106">
        <v>5.4780166878038283</v>
      </c>
      <c r="E454" s="106">
        <v>2.7447046093281782</v>
      </c>
      <c r="F454" s="106">
        <v>0.93538929536179027</v>
      </c>
      <c r="G454" s="106">
        <v>4.2480877874435743</v>
      </c>
      <c r="H454" s="106">
        <v>3.3379452158401191</v>
      </c>
      <c r="I454" s="106">
        <v>0.56127140787565877</v>
      </c>
      <c r="J454" s="106">
        <v>7.4260565595726842</v>
      </c>
      <c r="K454" s="30">
        <f t="shared" si="49"/>
        <v>-2.1332051437370492E-2</v>
      </c>
      <c r="L454" s="30">
        <f t="shared" si="50"/>
        <v>-2.5183775897659189E-2</v>
      </c>
      <c r="M454" s="30">
        <f t="shared" si="51"/>
        <v>-1.1699550962123828E-2</v>
      </c>
      <c r="N454" s="30">
        <f t="shared" si="52"/>
        <v>-1.8338907794381853E-3</v>
      </c>
      <c r="O454" s="30">
        <f t="shared" si="53"/>
        <v>-1.4123466345888014E-2</v>
      </c>
      <c r="P454" s="30">
        <f t="shared" si="54"/>
        <v>-1.3361672529807911E-2</v>
      </c>
      <c r="Q454" s="30">
        <f t="shared" si="55"/>
        <v>-9.4483291421763038E-3</v>
      </c>
    </row>
    <row r="455" spans="2:17" ht="13.95" customHeight="1" x14ac:dyDescent="0.3">
      <c r="B455" s="105">
        <v>45667</v>
      </c>
      <c r="C455" s="107">
        <f t="shared" si="48"/>
        <v>1</v>
      </c>
      <c r="D455" s="106">
        <v>5.5516570685181144</v>
      </c>
      <c r="E455" s="106">
        <v>2.7628389581207009</v>
      </c>
      <c r="F455" s="106">
        <v>0.93256122928039908</v>
      </c>
      <c r="G455" s="106">
        <v>4.2231022349978939</v>
      </c>
      <c r="H455" s="106">
        <v>3.3461348462299338</v>
      </c>
      <c r="I455" s="106">
        <v>0.55329787876639125</v>
      </c>
      <c r="J455" s="106">
        <v>7.5169637334409174</v>
      </c>
      <c r="K455" s="30">
        <f t="shared" si="49"/>
        <v>1.3442890905797755E-2</v>
      </c>
      <c r="L455" s="30">
        <f t="shared" si="50"/>
        <v>6.6070311285562067E-3</v>
      </c>
      <c r="M455" s="30">
        <f t="shared" si="51"/>
        <v>-3.0234107824564926E-3</v>
      </c>
      <c r="N455" s="30">
        <f t="shared" si="52"/>
        <v>-5.8815998387632407E-3</v>
      </c>
      <c r="O455" s="30">
        <f t="shared" si="53"/>
        <v>2.4534945483680737E-3</v>
      </c>
      <c r="P455" s="30">
        <f t="shared" si="54"/>
        <v>-1.4206191509819277E-2</v>
      </c>
      <c r="Q455" s="30">
        <f t="shared" si="55"/>
        <v>1.2241648462944621E-2</v>
      </c>
    </row>
    <row r="456" spans="2:17" ht="13.95" customHeight="1" x14ac:dyDescent="0.3">
      <c r="B456" s="105">
        <v>45674</v>
      </c>
      <c r="C456" s="107">
        <f t="shared" si="48"/>
        <v>1</v>
      </c>
      <c r="D456" s="106">
        <v>5.8393093869934507</v>
      </c>
      <c r="E456" s="106">
        <v>2.8029089669212248</v>
      </c>
      <c r="F456" s="106">
        <v>0.95511418520248414</v>
      </c>
      <c r="G456" s="106">
        <v>4.3364255104569311</v>
      </c>
      <c r="H456" s="106">
        <v>3.4436875060092151</v>
      </c>
      <c r="I456" s="106">
        <v>0.56561550800172034</v>
      </c>
      <c r="J456" s="106">
        <v>7.7179564148685111</v>
      </c>
      <c r="K456" s="30">
        <f t="shared" si="49"/>
        <v>5.1813776486039131E-2</v>
      </c>
      <c r="L456" s="30">
        <f t="shared" si="50"/>
        <v>1.4503201021814016E-2</v>
      </c>
      <c r="M456" s="30">
        <f t="shared" si="51"/>
        <v>2.4183887571101126E-2</v>
      </c>
      <c r="N456" s="30">
        <f t="shared" si="52"/>
        <v>2.6834130256165434E-2</v>
      </c>
      <c r="O456" s="30">
        <f t="shared" si="53"/>
        <v>2.915383397928295E-2</v>
      </c>
      <c r="P456" s="30">
        <f t="shared" si="54"/>
        <v>2.2262202166384526E-2</v>
      </c>
      <c r="Q456" s="30">
        <f t="shared" si="55"/>
        <v>2.6738546114494666E-2</v>
      </c>
    </row>
    <row r="457" spans="2:17" ht="13.95" customHeight="1" x14ac:dyDescent="0.3">
      <c r="B457" s="105">
        <v>45681</v>
      </c>
      <c r="C457" s="107">
        <f t="shared" si="48"/>
        <v>1</v>
      </c>
      <c r="D457" s="106">
        <v>5.8903005788633633</v>
      </c>
      <c r="E457" s="106">
        <v>2.8078925506145511</v>
      </c>
      <c r="F457" s="106">
        <v>0.98492978039689605</v>
      </c>
      <c r="G457" s="106">
        <v>4.2597858925380931</v>
      </c>
      <c r="H457" s="106">
        <v>3.445319499299214</v>
      </c>
      <c r="I457" s="106">
        <v>0.5757771423933965</v>
      </c>
      <c r="J457" s="106">
        <v>8.0942521354973795</v>
      </c>
      <c r="K457" s="30">
        <f t="shared" si="49"/>
        <v>8.7324011266625146E-3</v>
      </c>
      <c r="L457" s="30">
        <f t="shared" si="50"/>
        <v>1.7780041207688946E-3</v>
      </c>
      <c r="M457" s="30">
        <f t="shared" si="51"/>
        <v>3.1216786072642222E-2</v>
      </c>
      <c r="N457" s="30">
        <f t="shared" si="52"/>
        <v>-1.7673454261817212E-2</v>
      </c>
      <c r="O457" s="30">
        <f t="shared" si="53"/>
        <v>4.7390864796859056E-4</v>
      </c>
      <c r="P457" s="30">
        <f t="shared" si="54"/>
        <v>1.7965621960360556E-2</v>
      </c>
      <c r="Q457" s="30">
        <f t="shared" si="55"/>
        <v>4.8755875312270547E-2</v>
      </c>
    </row>
    <row r="458" spans="2:17" ht="13.95" customHeight="1" x14ac:dyDescent="0.3">
      <c r="B458" s="105">
        <v>45688</v>
      </c>
      <c r="C458" s="107">
        <f t="shared" si="48"/>
        <v>1</v>
      </c>
      <c r="D458" s="106">
        <v>6.1773988909145743</v>
      </c>
      <c r="E458" s="106">
        <v>2.904188645138928</v>
      </c>
      <c r="F458" s="106">
        <v>1.0027762066406301</v>
      </c>
      <c r="G458" s="106">
        <v>4.3359351256302814</v>
      </c>
      <c r="H458" s="106">
        <v>3.5484337943561188</v>
      </c>
      <c r="I458" s="106">
        <v>0.61148141254493049</v>
      </c>
      <c r="J458" s="106">
        <v>7.7844958080401554</v>
      </c>
      <c r="K458" s="30">
        <f t="shared" si="49"/>
        <v>4.8740859351291688E-2</v>
      </c>
      <c r="L458" s="30">
        <f t="shared" si="50"/>
        <v>3.4294793261694156E-2</v>
      </c>
      <c r="M458" s="30">
        <f t="shared" si="51"/>
        <v>1.8119490951469031E-2</v>
      </c>
      <c r="N458" s="30">
        <f t="shared" si="52"/>
        <v>1.7876305291676609E-2</v>
      </c>
      <c r="O458" s="30">
        <f t="shared" si="53"/>
        <v>2.992880488380778E-2</v>
      </c>
      <c r="P458" s="30">
        <f t="shared" si="54"/>
        <v>6.2010572359850968E-2</v>
      </c>
      <c r="Q458" s="30">
        <f t="shared" si="55"/>
        <v>-3.8268677855831323E-2</v>
      </c>
    </row>
    <row r="459" spans="2:17" ht="13.95" customHeight="1" x14ac:dyDescent="0.3">
      <c r="B459" s="105">
        <v>45695</v>
      </c>
      <c r="C459" s="107">
        <f t="shared" si="48"/>
        <v>1</v>
      </c>
      <c r="D459" s="106">
        <v>6.165233767831773</v>
      </c>
      <c r="E459" s="106">
        <v>2.8695115915505331</v>
      </c>
      <c r="F459" s="106">
        <v>0.99220919564373289</v>
      </c>
      <c r="G459" s="106">
        <v>4.2481287683109601</v>
      </c>
      <c r="H459" s="106">
        <v>3.505861878224354</v>
      </c>
      <c r="I459" s="106">
        <v>0.59859517986884825</v>
      </c>
      <c r="J459" s="106">
        <v>7.8221476089396731</v>
      </c>
      <c r="K459" s="30">
        <f t="shared" si="49"/>
        <v>-1.9692953778156497E-3</v>
      </c>
      <c r="L459" s="30">
        <f t="shared" si="50"/>
        <v>-1.1940358504754056E-2</v>
      </c>
      <c r="M459" s="30">
        <f t="shared" si="51"/>
        <v>-1.0537756008688448E-2</v>
      </c>
      <c r="N459" s="30">
        <f t="shared" si="52"/>
        <v>-2.0250846651345467E-2</v>
      </c>
      <c r="O459" s="30">
        <f t="shared" si="53"/>
        <v>-1.1997382112490462E-2</v>
      </c>
      <c r="P459" s="30">
        <f t="shared" si="54"/>
        <v>-2.1073792942373992E-2</v>
      </c>
      <c r="Q459" s="30">
        <f t="shared" si="55"/>
        <v>4.8367680872316576E-3</v>
      </c>
    </row>
    <row r="460" spans="2:17" ht="13.95" customHeight="1" x14ac:dyDescent="0.3">
      <c r="B460" s="105">
        <v>45702</v>
      </c>
      <c r="C460" s="107">
        <f t="shared" si="48"/>
        <v>1</v>
      </c>
      <c r="D460" s="106">
        <v>6.3354709724791318</v>
      </c>
      <c r="E460" s="106">
        <v>2.990725034240393</v>
      </c>
      <c r="F460" s="106">
        <v>1.0149974559792461</v>
      </c>
      <c r="G460" s="106">
        <v>4.3400038850479934</v>
      </c>
      <c r="H460" s="106">
        <v>3.6071940171258028</v>
      </c>
      <c r="I460" s="106">
        <v>0.62801081698563366</v>
      </c>
      <c r="J460" s="106">
        <v>7.7107462911271982</v>
      </c>
      <c r="K460" s="30">
        <f t="shared" si="49"/>
        <v>2.761244926925599E-2</v>
      </c>
      <c r="L460" s="30">
        <f t="shared" si="50"/>
        <v>4.2241837616819877E-2</v>
      </c>
      <c r="M460" s="30">
        <f t="shared" si="51"/>
        <v>2.2967193244695094E-2</v>
      </c>
      <c r="N460" s="30">
        <f t="shared" si="52"/>
        <v>2.1627196760695799E-2</v>
      </c>
      <c r="O460" s="30">
        <f t="shared" si="53"/>
        <v>2.8903631238539118E-2</v>
      </c>
      <c r="P460" s="30">
        <f t="shared" si="54"/>
        <v>4.9141119250626808E-2</v>
      </c>
      <c r="Q460" s="30">
        <f t="shared" si="55"/>
        <v>-1.4241781590155322E-2</v>
      </c>
    </row>
    <row r="461" spans="2:17" ht="13.95" customHeight="1" x14ac:dyDescent="0.3">
      <c r="B461" s="105">
        <v>45709</v>
      </c>
      <c r="C461" s="107">
        <f t="shared" si="48"/>
        <v>1</v>
      </c>
      <c r="D461" s="106">
        <v>6.2332646863935226</v>
      </c>
      <c r="E461" s="106">
        <v>2.9380752225804301</v>
      </c>
      <c r="F461" s="106">
        <v>0.98106521940681468</v>
      </c>
      <c r="G461" s="106">
        <v>4.4060906597916709</v>
      </c>
      <c r="H461" s="106">
        <v>3.576958758548185</v>
      </c>
      <c r="I461" s="106">
        <v>0.60083964283874292</v>
      </c>
      <c r="J461" s="106">
        <v>7.567704261063291</v>
      </c>
      <c r="K461" s="30">
        <f t="shared" si="49"/>
        <v>-1.6132389609168185E-2</v>
      </c>
      <c r="L461" s="30">
        <f t="shared" si="50"/>
        <v>-1.7604363843945037E-2</v>
      </c>
      <c r="M461" s="30">
        <f t="shared" si="51"/>
        <v>-3.3430858740127967E-2</v>
      </c>
      <c r="N461" s="30">
        <f t="shared" si="52"/>
        <v>1.5227353821354095E-2</v>
      </c>
      <c r="O461" s="30">
        <f t="shared" si="53"/>
        <v>-8.3819330022367744E-3</v>
      </c>
      <c r="P461" s="30">
        <f t="shared" si="54"/>
        <v>-4.3265455645029594E-2</v>
      </c>
      <c r="Q461" s="30">
        <f t="shared" si="55"/>
        <v>-1.8550996837816691E-2</v>
      </c>
    </row>
    <row r="462" spans="2:17" ht="13.95" customHeight="1" x14ac:dyDescent="0.3">
      <c r="B462" s="105">
        <v>45716</v>
      </c>
      <c r="C462" s="107">
        <f t="shared" si="48"/>
        <v>1</v>
      </c>
      <c r="D462" s="106">
        <v>6.0143322951575531</v>
      </c>
      <c r="E462" s="106">
        <v>2.8754007686158269</v>
      </c>
      <c r="F462" s="106">
        <v>0.96158685216158934</v>
      </c>
      <c r="G462" s="106">
        <v>4.1925050246442632</v>
      </c>
      <c r="H462" s="106">
        <v>3.4554295814037621</v>
      </c>
      <c r="I462" s="106">
        <v>0.57238573879730181</v>
      </c>
      <c r="J462" s="106">
        <v>7.7244284057381201</v>
      </c>
      <c r="K462" s="30">
        <f t="shared" si="49"/>
        <v>-3.5123230321643995E-2</v>
      </c>
      <c r="L462" s="30">
        <f t="shared" si="50"/>
        <v>-2.1331807124242985E-2</v>
      </c>
      <c r="M462" s="30">
        <f t="shared" si="51"/>
        <v>-1.9854304137907008E-2</v>
      </c>
      <c r="N462" s="30">
        <f t="shared" si="52"/>
        <v>-4.8475088607801475E-2</v>
      </c>
      <c r="O462" s="30">
        <f t="shared" si="53"/>
        <v>-3.3975560063138399E-2</v>
      </c>
      <c r="P462" s="30">
        <f t="shared" si="54"/>
        <v>-4.7356901929784478E-2</v>
      </c>
      <c r="Q462" s="30">
        <f t="shared" si="55"/>
        <v>2.070960218162754E-2</v>
      </c>
    </row>
    <row r="463" spans="2:17" ht="13.95" customHeight="1" x14ac:dyDescent="0.3">
      <c r="B463" s="105">
        <v>45723</v>
      </c>
      <c r="C463" s="107">
        <f t="shared" si="48"/>
        <v>1</v>
      </c>
      <c r="D463" s="106">
        <v>6.1727137710545597</v>
      </c>
      <c r="E463" s="106">
        <v>2.9600206049628341</v>
      </c>
      <c r="F463" s="106">
        <v>0.98860055062069785</v>
      </c>
      <c r="G463" s="106">
        <v>4.1894403743728974</v>
      </c>
      <c r="H463" s="106">
        <v>3.518462226221621</v>
      </c>
      <c r="I463" s="106">
        <v>0.59030896677850309</v>
      </c>
      <c r="J463" s="106">
        <v>7.9071134097290212</v>
      </c>
      <c r="K463" s="30">
        <f t="shared" si="49"/>
        <v>2.6334008186499336E-2</v>
      </c>
      <c r="L463" s="30">
        <f t="shared" si="50"/>
        <v>2.9428884234367736E-2</v>
      </c>
      <c r="M463" s="30">
        <f t="shared" si="51"/>
        <v>2.809283259061135E-2</v>
      </c>
      <c r="N463" s="30">
        <f t="shared" si="52"/>
        <v>-7.3098308847607818E-4</v>
      </c>
      <c r="O463" s="30">
        <f t="shared" si="53"/>
        <v>1.8241623315689681E-2</v>
      </c>
      <c r="P463" s="30">
        <f t="shared" si="54"/>
        <v>3.1313198017234978E-2</v>
      </c>
      <c r="Q463" s="30">
        <f t="shared" si="55"/>
        <v>2.3650294157065765E-2</v>
      </c>
    </row>
    <row r="464" spans="2:17" ht="13.95" customHeight="1" x14ac:dyDescent="0.3">
      <c r="B464" s="105">
        <v>45730</v>
      </c>
      <c r="C464" s="107">
        <f t="shared" si="48"/>
        <v>1</v>
      </c>
      <c r="D464" s="106">
        <v>6.5201954018663608</v>
      </c>
      <c r="E464" s="106">
        <v>3.0313998287227362</v>
      </c>
      <c r="F464" s="106">
        <v>1.0034658754986909</v>
      </c>
      <c r="G464" s="106">
        <v>4.2948323035251876</v>
      </c>
      <c r="H464" s="106">
        <v>3.629178215102844</v>
      </c>
      <c r="I464" s="106">
        <v>0.60762109443736201</v>
      </c>
      <c r="J464" s="106">
        <v>7.8689633559663381</v>
      </c>
      <c r="K464" s="30">
        <f t="shared" si="49"/>
        <v>5.6293170832127704E-2</v>
      </c>
      <c r="L464" s="30">
        <f t="shared" si="50"/>
        <v>2.4114434757726455E-2</v>
      </c>
      <c r="M464" s="30">
        <f t="shared" si="51"/>
        <v>1.5036735381807942E-2</v>
      </c>
      <c r="N464" s="30">
        <f t="shared" si="52"/>
        <v>2.5156565014501808E-2</v>
      </c>
      <c r="O464" s="30">
        <f t="shared" si="53"/>
        <v>3.1467152910184204E-2</v>
      </c>
      <c r="P464" s="30">
        <f t="shared" si="54"/>
        <v>2.9327231387550334E-2</v>
      </c>
      <c r="Q464" s="30">
        <f t="shared" si="55"/>
        <v>-4.824776348312243E-3</v>
      </c>
    </row>
    <row r="465" spans="2:17" ht="13.95" customHeight="1" x14ac:dyDescent="0.3">
      <c r="B465" s="105">
        <v>45737</v>
      </c>
      <c r="C465" s="107">
        <f t="shared" si="48"/>
        <v>1</v>
      </c>
      <c r="D465" s="106">
        <v>6.6669700239256686</v>
      </c>
      <c r="E465" s="106">
        <v>3.138454343472513</v>
      </c>
      <c r="F465" s="106">
        <v>1.019258162586073</v>
      </c>
      <c r="G465" s="106">
        <v>4.4056443917589307</v>
      </c>
      <c r="H465" s="106">
        <v>3.724364434402982</v>
      </c>
      <c r="I465" s="106">
        <v>0.61900801973327446</v>
      </c>
      <c r="J465" s="106">
        <v>7.9588397881823552</v>
      </c>
      <c r="K465" s="30">
        <f t="shared" si="49"/>
        <v>2.2510770462077723E-2</v>
      </c>
      <c r="L465" s="30">
        <f t="shared" si="50"/>
        <v>3.5315207758286338E-2</v>
      </c>
      <c r="M465" s="30">
        <f t="shared" si="51"/>
        <v>1.5737742032865709E-2</v>
      </c>
      <c r="N465" s="30">
        <f t="shared" si="52"/>
        <v>2.5801260771646239E-2</v>
      </c>
      <c r="O465" s="30">
        <f t="shared" si="53"/>
        <v>2.6228036667921062E-2</v>
      </c>
      <c r="P465" s="30">
        <f t="shared" si="54"/>
        <v>1.8740174428039547E-2</v>
      </c>
      <c r="Q465" s="30">
        <f t="shared" si="55"/>
        <v>1.1421635627248294E-2</v>
      </c>
    </row>
    <row r="466" spans="2:17" ht="13.95" customHeight="1" x14ac:dyDescent="0.3">
      <c r="B466" s="105">
        <v>45744</v>
      </c>
      <c r="C466" s="107">
        <f t="shared" si="48"/>
        <v>1</v>
      </c>
      <c r="D466" s="106">
        <v>6.6454606707680277</v>
      </c>
      <c r="E466" s="106">
        <v>3.1189155782399842</v>
      </c>
      <c r="F466" s="106">
        <v>0.99115830281970296</v>
      </c>
      <c r="G466" s="106">
        <v>4.4459247291709234</v>
      </c>
      <c r="H466" s="106">
        <v>3.7126043818221679</v>
      </c>
      <c r="I466" s="106">
        <v>0.62214468961748459</v>
      </c>
      <c r="J466" s="106">
        <v>7.3633266049756072</v>
      </c>
      <c r="K466" s="30">
        <f t="shared" si="49"/>
        <v>-3.2262561674120116E-3</v>
      </c>
      <c r="L466" s="30">
        <f t="shared" si="50"/>
        <v>-6.2256012336665556E-3</v>
      </c>
      <c r="M466" s="30">
        <f t="shared" si="51"/>
        <v>-2.7568932776633193E-2</v>
      </c>
      <c r="N466" s="30">
        <f t="shared" si="52"/>
        <v>9.142893486214998E-3</v>
      </c>
      <c r="O466" s="30">
        <f t="shared" si="53"/>
        <v>-3.1575998503753366E-3</v>
      </c>
      <c r="P466" s="30">
        <f t="shared" si="54"/>
        <v>5.0672524171200273E-3</v>
      </c>
      <c r="Q466" s="30">
        <f t="shared" si="55"/>
        <v>-7.4824119979270409E-2</v>
      </c>
    </row>
    <row r="467" spans="2:17" ht="13.95" customHeight="1" x14ac:dyDescent="0.3">
      <c r="B467" s="105">
        <v>45751</v>
      </c>
      <c r="C467" s="107">
        <f t="shared" si="48"/>
        <v>1</v>
      </c>
      <c r="D467" s="106">
        <v>6.5178598042839182</v>
      </c>
      <c r="E467" s="106">
        <v>3.1221558841590809</v>
      </c>
      <c r="F467" s="106">
        <v>0.96995281375158549</v>
      </c>
      <c r="G467" s="106">
        <v>4.0762542263963519</v>
      </c>
      <c r="H467" s="106">
        <v>3.5822632869787681</v>
      </c>
      <c r="I467" s="106">
        <v>0.62784375382667978</v>
      </c>
      <c r="J467" s="106">
        <v>6.8541023092591962</v>
      </c>
      <c r="K467" s="30">
        <f t="shared" si="49"/>
        <v>-1.9201207080405847E-2</v>
      </c>
      <c r="L467" s="30">
        <f t="shared" si="50"/>
        <v>1.038920688236411E-3</v>
      </c>
      <c r="M467" s="30">
        <f t="shared" si="51"/>
        <v>-2.1394654121133727E-2</v>
      </c>
      <c r="N467" s="30">
        <f t="shared" si="52"/>
        <v>-8.3148169457090138E-2</v>
      </c>
      <c r="O467" s="30">
        <f t="shared" si="53"/>
        <v>-3.5107725315840832E-2</v>
      </c>
      <c r="P467" s="30">
        <f t="shared" si="54"/>
        <v>9.1603517707419257E-3</v>
      </c>
      <c r="Q467" s="30">
        <f t="shared" si="55"/>
        <v>-6.9156825852640269E-2</v>
      </c>
    </row>
    <row r="468" spans="2:17" ht="13.95" customHeight="1" x14ac:dyDescent="0.3">
      <c r="B468" s="105">
        <v>45758</v>
      </c>
      <c r="C468" s="107">
        <f t="shared" si="48"/>
        <v>1</v>
      </c>
      <c r="D468" s="106">
        <v>6.5724332257180889</v>
      </c>
      <c r="E468" s="106">
        <v>3.1830862160393689</v>
      </c>
      <c r="F468" s="106">
        <v>0.99770055710918792</v>
      </c>
      <c r="G468" s="106">
        <v>3.9701653881900931</v>
      </c>
      <c r="H468" s="106">
        <v>3.594290791139878</v>
      </c>
      <c r="I468" s="106">
        <v>0.64791614266294961</v>
      </c>
      <c r="J468" s="106">
        <v>7.0110877304831156</v>
      </c>
      <c r="K468" s="30">
        <f t="shared" si="49"/>
        <v>8.3729050751140122E-3</v>
      </c>
      <c r="L468" s="30">
        <f t="shared" si="50"/>
        <v>1.9515467561831645E-2</v>
      </c>
      <c r="M468" s="30">
        <f t="shared" si="51"/>
        <v>2.8607312607589197E-2</v>
      </c>
      <c r="N468" s="30">
        <f t="shared" si="52"/>
        <v>-2.6026060278396268E-2</v>
      </c>
      <c r="O468" s="30">
        <f t="shared" si="53"/>
        <v>3.3575154022957854E-3</v>
      </c>
      <c r="P468" s="30">
        <f t="shared" si="54"/>
        <v>3.1970356818761925E-2</v>
      </c>
      <c r="Q468" s="30">
        <f t="shared" si="55"/>
        <v>2.2903863137824443E-2</v>
      </c>
    </row>
    <row r="469" spans="2:17" ht="13.95" customHeight="1" x14ac:dyDescent="0.3">
      <c r="B469" s="105">
        <v>45765</v>
      </c>
      <c r="C469" s="107">
        <f t="shared" si="48"/>
        <v>1</v>
      </c>
      <c r="D469" s="106">
        <v>6.7040137446744543</v>
      </c>
      <c r="E469" s="106">
        <v>3.2481757727499319</v>
      </c>
      <c r="F469" s="106">
        <v>1.0356099946061861</v>
      </c>
      <c r="G469" s="106">
        <v>3.9578662420837238</v>
      </c>
      <c r="H469" s="106">
        <v>3.6498412454657752</v>
      </c>
      <c r="I469" s="106">
        <v>0.67630143214479954</v>
      </c>
      <c r="J469" s="106">
        <v>7.2077522993178631</v>
      </c>
      <c r="K469" s="30">
        <f t="shared" si="49"/>
        <v>2.0020061739309591E-2</v>
      </c>
      <c r="L469" s="30">
        <f t="shared" si="50"/>
        <v>2.044856855669841E-2</v>
      </c>
      <c r="M469" s="30">
        <f t="shared" si="51"/>
        <v>3.7996808989302133E-2</v>
      </c>
      <c r="N469" s="30">
        <f t="shared" si="52"/>
        <v>-3.097892632623056E-3</v>
      </c>
      <c r="O469" s="30">
        <f t="shared" si="53"/>
        <v>1.5455192012519436E-2</v>
      </c>
      <c r="P469" s="30">
        <f t="shared" si="54"/>
        <v>4.3810128522474789E-2</v>
      </c>
      <c r="Q469" s="30">
        <f t="shared" si="55"/>
        <v>2.8050507481125919E-2</v>
      </c>
    </row>
    <row r="470" spans="2:17" ht="13.95" customHeight="1" x14ac:dyDescent="0.3">
      <c r="B470" s="105">
        <v>45772</v>
      </c>
      <c r="C470" s="107">
        <f t="shared" si="48"/>
        <v>1</v>
      </c>
      <c r="D470" s="106">
        <v>7.0674027169088838</v>
      </c>
      <c r="E470" s="106">
        <v>3.411744435122114</v>
      </c>
      <c r="F470" s="106">
        <v>1.084287639831123</v>
      </c>
      <c r="G470" s="106">
        <v>4.0021538844118849</v>
      </c>
      <c r="H470" s="106">
        <v>3.7927070533627032</v>
      </c>
      <c r="I470" s="106">
        <v>0.70694743542766947</v>
      </c>
      <c r="J470" s="106">
        <v>7.5677015722110426</v>
      </c>
      <c r="K470" s="30">
        <f t="shared" si="49"/>
        <v>5.4204687829451315E-2</v>
      </c>
      <c r="L470" s="30">
        <f t="shared" si="50"/>
        <v>5.0357084657922879E-2</v>
      </c>
      <c r="M470" s="30">
        <f t="shared" si="51"/>
        <v>4.7003838779527962E-2</v>
      </c>
      <c r="N470" s="30">
        <f t="shared" si="52"/>
        <v>1.1189777425334224E-2</v>
      </c>
      <c r="O470" s="30">
        <f t="shared" si="53"/>
        <v>3.9143019733916207E-2</v>
      </c>
      <c r="P470" s="30">
        <f t="shared" si="54"/>
        <v>4.5314118566450734E-2</v>
      </c>
      <c r="Q470" s="30">
        <f t="shared" si="55"/>
        <v>4.9939184636969891E-2</v>
      </c>
    </row>
    <row r="471" spans="2:17" ht="13.95" customHeight="1" x14ac:dyDescent="0.3">
      <c r="B471" s="105">
        <v>45779</v>
      </c>
      <c r="C471" s="107">
        <f t="shared" ref="C471:C534" si="56">IF(B471&gt;$C$17,1,0)</f>
        <v>1</v>
      </c>
      <c r="D471" s="106">
        <v>7.1719726621840678</v>
      </c>
      <c r="E471" s="106">
        <v>3.4348642816158832</v>
      </c>
      <c r="F471" s="106">
        <v>1.0757527992240199</v>
      </c>
      <c r="G471" s="106">
        <v>3.9762641705098858</v>
      </c>
      <c r="H471" s="106">
        <v>3.804288179403664</v>
      </c>
      <c r="I471" s="106">
        <v>0.71655561222950337</v>
      </c>
      <c r="J471" s="106">
        <v>7.2272402502768829</v>
      </c>
      <c r="K471" s="30">
        <f t="shared" ref="K471:K534" si="57">D471/D470-1</f>
        <v>1.4796092633153402E-2</v>
      </c>
      <c r="L471" s="30">
        <f t="shared" ref="L471:L534" si="58">E471/E470-1</f>
        <v>6.7765469933100952E-3</v>
      </c>
      <c r="M471" s="30">
        <f t="shared" ref="M471:M534" si="59">F471/F470-1</f>
        <v>-7.8713805207927257E-3</v>
      </c>
      <c r="N471" s="30">
        <f t="shared" ref="N471:N534" si="60">G471/G470-1</f>
        <v>-6.4689451354775773E-3</v>
      </c>
      <c r="O471" s="30">
        <f t="shared" ref="O471:O534" si="61">H471/H470-1</f>
        <v>3.0535250621828158E-3</v>
      </c>
      <c r="P471" s="30">
        <f t="shared" ref="P471:P534" si="62">I471/I470-1</f>
        <v>1.3591076677463843E-2</v>
      </c>
      <c r="Q471" s="30">
        <f t="shared" ref="Q471:Q534" si="63">J471/J470-1</f>
        <v>-4.4988735177448058E-2</v>
      </c>
    </row>
    <row r="472" spans="2:17" ht="13.95" customHeight="1" x14ac:dyDescent="0.3">
      <c r="B472" s="105">
        <v>45786</v>
      </c>
      <c r="C472" s="107">
        <f t="shared" si="56"/>
        <v>1</v>
      </c>
      <c r="D472" s="106">
        <v>7.5717516082021064</v>
      </c>
      <c r="E472" s="106">
        <v>3.406527119064759</v>
      </c>
      <c r="F472" s="106">
        <v>1.061496314704915</v>
      </c>
      <c r="G472" s="106">
        <v>3.9761938795250988</v>
      </c>
      <c r="H472" s="106">
        <v>3.8469234532477361</v>
      </c>
      <c r="I472" s="106">
        <v>0.70983812212094788</v>
      </c>
      <c r="J472" s="106">
        <v>7.0803486583194628</v>
      </c>
      <c r="K472" s="30">
        <f t="shared" si="57"/>
        <v>5.5741839079500144E-2</v>
      </c>
      <c r="L472" s="30">
        <f t="shared" si="58"/>
        <v>-8.2498638163931437E-3</v>
      </c>
      <c r="M472" s="30">
        <f t="shared" si="59"/>
        <v>-1.3252565579553788E-2</v>
      </c>
      <c r="N472" s="30">
        <f t="shared" si="60"/>
        <v>-1.7677644586155949E-5</v>
      </c>
      <c r="O472" s="30">
        <f t="shared" si="61"/>
        <v>1.1207161979709834E-2</v>
      </c>
      <c r="P472" s="30">
        <f t="shared" si="62"/>
        <v>-9.3746947116283286E-3</v>
      </c>
      <c r="Q472" s="30">
        <f t="shared" si="63"/>
        <v>-2.0324714119167808E-2</v>
      </c>
    </row>
    <row r="473" spans="2:17" ht="13.95" customHeight="1" x14ac:dyDescent="0.3">
      <c r="B473" s="105">
        <v>45793</v>
      </c>
      <c r="C473" s="107">
        <f t="shared" si="56"/>
        <v>1</v>
      </c>
      <c r="D473" s="106">
        <v>7.5228136950825526</v>
      </c>
      <c r="E473" s="106">
        <v>3.4394476589246672</v>
      </c>
      <c r="F473" s="106">
        <v>1.1067072401395881</v>
      </c>
      <c r="G473" s="106">
        <v>4.1498738484396842</v>
      </c>
      <c r="H473" s="106">
        <v>3.9204683139926599</v>
      </c>
      <c r="I473" s="106">
        <v>0.73824094189874934</v>
      </c>
      <c r="J473" s="106">
        <v>7.4155811935850178</v>
      </c>
      <c r="K473" s="30">
        <f t="shared" si="57"/>
        <v>-6.46322220429707E-3</v>
      </c>
      <c r="L473" s="30">
        <f t="shared" si="58"/>
        <v>9.6639594253240535E-3</v>
      </c>
      <c r="M473" s="30">
        <f t="shared" si="59"/>
        <v>4.259169326201695E-2</v>
      </c>
      <c r="N473" s="30">
        <f t="shared" si="60"/>
        <v>4.3679954795194487E-2</v>
      </c>
      <c r="O473" s="30">
        <f t="shared" si="61"/>
        <v>1.9117838355435568E-2</v>
      </c>
      <c r="P473" s="30">
        <f t="shared" si="62"/>
        <v>4.0013094384020675E-2</v>
      </c>
      <c r="Q473" s="30">
        <f t="shared" si="63"/>
        <v>4.7346896522059589E-2</v>
      </c>
    </row>
    <row r="474" spans="2:17" ht="13.95" customHeight="1" x14ac:dyDescent="0.3">
      <c r="B474" s="105">
        <v>45800</v>
      </c>
      <c r="C474" s="107">
        <f t="shared" si="56"/>
        <v>1</v>
      </c>
      <c r="D474" s="106">
        <v>7.4495835823824548</v>
      </c>
      <c r="E474" s="106">
        <v>3.4567962452169079</v>
      </c>
      <c r="F474" s="106">
        <v>1.084821144779011</v>
      </c>
      <c r="G474" s="106">
        <v>4.0706471223969647</v>
      </c>
      <c r="H474" s="106">
        <v>3.882878408044288</v>
      </c>
      <c r="I474" s="106">
        <v>0.7263435895700473</v>
      </c>
      <c r="J474" s="106">
        <v>7.2192305036920184</v>
      </c>
      <c r="K474" s="30">
        <f t="shared" si="57"/>
        <v>-9.7344046613790924E-3</v>
      </c>
      <c r="L474" s="30">
        <f t="shared" si="58"/>
        <v>5.0440035763372748E-3</v>
      </c>
      <c r="M474" s="30">
        <f t="shared" si="59"/>
        <v>-1.9775867155090276E-2</v>
      </c>
      <c r="N474" s="30">
        <f t="shared" si="60"/>
        <v>-1.9091357698140188E-2</v>
      </c>
      <c r="O474" s="30">
        <f t="shared" si="61"/>
        <v>-9.5881162498390182E-3</v>
      </c>
      <c r="P474" s="30">
        <f t="shared" si="62"/>
        <v>-1.6115812133234098E-2</v>
      </c>
      <c r="Q474" s="30">
        <f t="shared" si="63"/>
        <v>-2.6478125553106469E-2</v>
      </c>
    </row>
    <row r="475" spans="2:17" ht="13.95" customHeight="1" x14ac:dyDescent="0.3">
      <c r="B475" s="105">
        <v>45807</v>
      </c>
      <c r="C475" s="107">
        <f t="shared" si="56"/>
        <v>1</v>
      </c>
      <c r="D475" s="106">
        <v>7.4056612474430343</v>
      </c>
      <c r="E475" s="106">
        <v>3.4777092460628669</v>
      </c>
      <c r="F475" s="106">
        <v>1.097604841945153</v>
      </c>
      <c r="G475" s="106">
        <v>3.96678472420892</v>
      </c>
      <c r="H475" s="106">
        <v>3.860657963349595</v>
      </c>
      <c r="I475" s="106">
        <v>0.75039937044910399</v>
      </c>
      <c r="J475" s="106">
        <v>7.0192586247158619</v>
      </c>
      <c r="K475" s="30">
        <f t="shared" si="57"/>
        <v>-5.8959449818500875E-3</v>
      </c>
      <c r="L475" s="30">
        <f t="shared" si="58"/>
        <v>6.0498216737234767E-3</v>
      </c>
      <c r="M475" s="30">
        <f t="shared" si="59"/>
        <v>1.1784151910816609E-2</v>
      </c>
      <c r="N475" s="30">
        <f t="shared" si="60"/>
        <v>-2.551495992285524E-2</v>
      </c>
      <c r="O475" s="30">
        <f t="shared" si="61"/>
        <v>-5.7226733262257801E-3</v>
      </c>
      <c r="P475" s="30">
        <f t="shared" si="62"/>
        <v>3.3119010375373792E-2</v>
      </c>
      <c r="Q475" s="30">
        <f t="shared" si="63"/>
        <v>-2.769988835706072E-2</v>
      </c>
    </row>
    <row r="476" spans="2:17" ht="13.95" customHeight="1" x14ac:dyDescent="0.3">
      <c r="B476" s="105">
        <v>45814</v>
      </c>
      <c r="C476" s="107">
        <f t="shared" si="56"/>
        <v>1</v>
      </c>
      <c r="D476" s="106">
        <v>7.2450136796227937</v>
      </c>
      <c r="E476" s="106">
        <v>3.4314347896689519</v>
      </c>
      <c r="F476" s="106">
        <v>1.094437483254262</v>
      </c>
      <c r="G476" s="106">
        <v>4.0175651320028134</v>
      </c>
      <c r="H476" s="106">
        <v>3.8359211731840719</v>
      </c>
      <c r="I476" s="106">
        <v>0.74851126479336383</v>
      </c>
      <c r="J476" s="106">
        <v>6.9943221061976901</v>
      </c>
      <c r="K476" s="30">
        <f t="shared" si="57"/>
        <v>-2.1692535271675806E-2</v>
      </c>
      <c r="L476" s="30">
        <f t="shared" si="58"/>
        <v>-1.330601643777507E-2</v>
      </c>
      <c r="M476" s="30">
        <f t="shared" si="59"/>
        <v>-2.8857003630539113E-3</v>
      </c>
      <c r="N476" s="30">
        <f t="shared" si="60"/>
        <v>1.2801402476919188E-2</v>
      </c>
      <c r="O476" s="30">
        <f t="shared" si="61"/>
        <v>-6.4074026760093661E-3</v>
      </c>
      <c r="P476" s="30">
        <f t="shared" si="62"/>
        <v>-2.5161343813629999E-3</v>
      </c>
      <c r="Q476" s="30">
        <f t="shared" si="63"/>
        <v>-3.5525858002106725E-3</v>
      </c>
    </row>
    <row r="477" spans="2:17" ht="13.95" customHeight="1" x14ac:dyDescent="0.3">
      <c r="B477" s="105">
        <v>45821</v>
      </c>
      <c r="C477" s="107">
        <f t="shared" si="56"/>
        <v>1</v>
      </c>
      <c r="D477" s="106">
        <v>7.2239476295377374</v>
      </c>
      <c r="E477" s="106">
        <v>3.409429841251165</v>
      </c>
      <c r="F477" s="106">
        <v>1.0969781363352631</v>
      </c>
      <c r="G477" s="106">
        <v>4.160116724972589</v>
      </c>
      <c r="H477" s="106">
        <v>3.86803325603241</v>
      </c>
      <c r="I477" s="106">
        <v>0.74689359457226201</v>
      </c>
      <c r="J477" s="106">
        <v>7.0671941714861868</v>
      </c>
      <c r="K477" s="30">
        <f t="shared" si="57"/>
        <v>-2.9076618784455999E-3</v>
      </c>
      <c r="L477" s="30">
        <f t="shared" si="58"/>
        <v>-6.4127543627048311E-3</v>
      </c>
      <c r="M477" s="30">
        <f t="shared" si="59"/>
        <v>2.3214236718633874E-3</v>
      </c>
      <c r="N477" s="30">
        <f t="shared" si="60"/>
        <v>3.5482086359782672E-2</v>
      </c>
      <c r="O477" s="30">
        <f t="shared" si="61"/>
        <v>8.3714136444787979E-3</v>
      </c>
      <c r="P477" s="30">
        <f t="shared" si="62"/>
        <v>-2.1611835348241959E-3</v>
      </c>
      <c r="Q477" s="30">
        <f t="shared" si="63"/>
        <v>1.0418745974527521E-2</v>
      </c>
    </row>
    <row r="478" spans="2:17" ht="13.95" customHeight="1" x14ac:dyDescent="0.3">
      <c r="B478" s="105">
        <v>45828</v>
      </c>
      <c r="C478" s="107">
        <f t="shared" si="56"/>
        <v>1</v>
      </c>
      <c r="D478" s="106">
        <v>7.3276330733996149</v>
      </c>
      <c r="E478" s="106">
        <v>3.3952280526222021</v>
      </c>
      <c r="F478" s="106">
        <v>1.10710758662499</v>
      </c>
      <c r="G478" s="106">
        <v>4.0984524305937553</v>
      </c>
      <c r="H478" s="106">
        <v>3.8656222032706209</v>
      </c>
      <c r="I478" s="106">
        <v>0.74504557723499565</v>
      </c>
      <c r="J478" s="106">
        <v>7.2800596993527824</v>
      </c>
      <c r="K478" s="30">
        <f t="shared" si="57"/>
        <v>1.4353017100777743E-2</v>
      </c>
      <c r="L478" s="30">
        <f t="shared" si="58"/>
        <v>-4.1654438689816553E-3</v>
      </c>
      <c r="M478" s="30">
        <f t="shared" si="59"/>
        <v>9.2339582296205869E-3</v>
      </c>
      <c r="N478" s="30">
        <f t="shared" si="60"/>
        <v>-1.4822731777854092E-2</v>
      </c>
      <c r="O478" s="30">
        <f t="shared" si="61"/>
        <v>-6.2332782636476125E-4</v>
      </c>
      <c r="P478" s="30">
        <f t="shared" si="62"/>
        <v>-2.474271235817338E-3</v>
      </c>
      <c r="Q478" s="30">
        <f t="shared" si="63"/>
        <v>3.0120231976282552E-2</v>
      </c>
    </row>
    <row r="479" spans="2:17" ht="13.95" customHeight="1" x14ac:dyDescent="0.3">
      <c r="B479" s="105">
        <v>45835</v>
      </c>
      <c r="C479" s="107">
        <f t="shared" si="56"/>
        <v>1</v>
      </c>
      <c r="D479" s="106">
        <v>7.3479685890830018</v>
      </c>
      <c r="E479" s="106">
        <v>3.37750164286865</v>
      </c>
      <c r="F479" s="106">
        <v>1.118788423399006</v>
      </c>
      <c r="G479" s="106">
        <v>4.0630754792374342</v>
      </c>
      <c r="H479" s="106">
        <v>3.8585469842346751</v>
      </c>
      <c r="I479" s="106">
        <v>0.74716374367409011</v>
      </c>
      <c r="J479" s="106">
        <v>7.4538024354979351</v>
      </c>
      <c r="K479" s="30">
        <f t="shared" si="57"/>
        <v>2.7751820375951919E-3</v>
      </c>
      <c r="L479" s="30">
        <f t="shared" si="58"/>
        <v>-5.2209776423889354E-3</v>
      </c>
      <c r="M479" s="30">
        <f t="shared" si="59"/>
        <v>1.0550769333651511E-2</v>
      </c>
      <c r="N479" s="30">
        <f t="shared" si="60"/>
        <v>-8.6317828388692286E-3</v>
      </c>
      <c r="O479" s="30">
        <f t="shared" si="61"/>
        <v>-1.830292424841562E-3</v>
      </c>
      <c r="P479" s="30">
        <f t="shared" si="62"/>
        <v>2.843002500538816E-3</v>
      </c>
      <c r="Q479" s="30">
        <f t="shared" si="63"/>
        <v>2.3865564750876755E-2</v>
      </c>
    </row>
    <row r="480" spans="2:17" ht="13.95" customHeight="1" x14ac:dyDescent="0.3">
      <c r="B480" s="105">
        <v>45842</v>
      </c>
      <c r="C480" s="107">
        <f t="shared" si="56"/>
        <v>1</v>
      </c>
      <c r="D480" s="106">
        <v>7.5999429051784846</v>
      </c>
      <c r="E480" s="106">
        <v>3.4490714511330092</v>
      </c>
      <c r="F480" s="106">
        <v>1.151660693272061</v>
      </c>
      <c r="G480" s="106">
        <v>4.2278723951648347</v>
      </c>
      <c r="H480" s="106">
        <v>3.9821507710233748</v>
      </c>
      <c r="I480" s="106">
        <v>0.75395181346686135</v>
      </c>
      <c r="J480" s="106">
        <v>7.9268272687071999</v>
      </c>
      <c r="K480" s="30">
        <f t="shared" si="57"/>
        <v>3.4291697499883922E-2</v>
      </c>
      <c r="L480" s="30">
        <f t="shared" si="58"/>
        <v>2.1190162383924793E-2</v>
      </c>
      <c r="M480" s="30">
        <f t="shared" si="59"/>
        <v>2.9382025399570466E-2</v>
      </c>
      <c r="N480" s="30">
        <f t="shared" si="60"/>
        <v>4.0559649154814581E-2</v>
      </c>
      <c r="O480" s="30">
        <f t="shared" si="61"/>
        <v>3.203376485856535E-2</v>
      </c>
      <c r="P480" s="30">
        <f t="shared" si="62"/>
        <v>9.0851166832477404E-3</v>
      </c>
      <c r="Q480" s="30">
        <f t="shared" si="63"/>
        <v>6.3460876150477796E-2</v>
      </c>
    </row>
    <row r="481" spans="2:17" ht="13.95" customHeight="1" x14ac:dyDescent="0.3">
      <c r="B481" s="105">
        <v>45849</v>
      </c>
      <c r="C481" s="107">
        <f t="shared" si="56"/>
        <v>1</v>
      </c>
      <c r="D481" s="106">
        <v>7.1658307235763177</v>
      </c>
      <c r="E481" s="106">
        <v>3.314750020868138</v>
      </c>
      <c r="F481" s="106">
        <v>1.0707135119817759</v>
      </c>
      <c r="G481" s="106">
        <v>4.2363699931944376</v>
      </c>
      <c r="H481" s="106">
        <v>3.839044328063804</v>
      </c>
      <c r="I481" s="106">
        <v>0.7114722965402841</v>
      </c>
      <c r="J481" s="106">
        <v>7.1936325545293363</v>
      </c>
      <c r="K481" s="30">
        <f t="shared" si="57"/>
        <v>-5.7120453011083705E-2</v>
      </c>
      <c r="L481" s="30">
        <f t="shared" si="58"/>
        <v>-3.8944229531906904E-2</v>
      </c>
      <c r="M481" s="30">
        <f t="shared" si="59"/>
        <v>-7.0287352657926183E-2</v>
      </c>
      <c r="N481" s="30">
        <f t="shared" si="60"/>
        <v>2.009899361986589E-3</v>
      </c>
      <c r="O481" s="30">
        <f t="shared" si="61"/>
        <v>-3.5936972552848334E-2</v>
      </c>
      <c r="P481" s="30">
        <f t="shared" si="62"/>
        <v>-5.6342482593477294E-2</v>
      </c>
      <c r="Q481" s="30">
        <f t="shared" si="63"/>
        <v>-9.2495356505660542E-2</v>
      </c>
    </row>
    <row r="482" spans="2:17" ht="13.95" customHeight="1" x14ac:dyDescent="0.3">
      <c r="B482" s="105">
        <v>45856</v>
      </c>
      <c r="C482" s="107">
        <f t="shared" si="56"/>
        <v>1</v>
      </c>
      <c r="D482" s="106">
        <v>7.033035373476058</v>
      </c>
      <c r="E482" s="106">
        <v>3.2779661236322881</v>
      </c>
      <c r="F482" s="106">
        <v>1.058330191380711</v>
      </c>
      <c r="G482" s="106">
        <v>4.0917491046711154</v>
      </c>
      <c r="H482" s="106">
        <v>3.7599796981075841</v>
      </c>
      <c r="I482" s="106">
        <v>0.70025831301879704</v>
      </c>
      <c r="J482" s="106">
        <v>7.160422316059635</v>
      </c>
      <c r="K482" s="30">
        <f t="shared" si="57"/>
        <v>-1.853174533740376E-2</v>
      </c>
      <c r="L482" s="30">
        <f t="shared" si="58"/>
        <v>-1.1097035071807926E-2</v>
      </c>
      <c r="M482" s="30">
        <f t="shared" si="59"/>
        <v>-1.1565484569392104E-2</v>
      </c>
      <c r="N482" s="30">
        <f t="shared" si="60"/>
        <v>-3.4137926752302095E-2</v>
      </c>
      <c r="O482" s="30">
        <f t="shared" si="61"/>
        <v>-2.0594872890174587E-2</v>
      </c>
      <c r="P482" s="30">
        <f t="shared" si="62"/>
        <v>-1.576165871252877E-2</v>
      </c>
      <c r="Q482" s="30">
        <f t="shared" si="63"/>
        <v>-4.6166159055192058E-3</v>
      </c>
    </row>
    <row r="483" spans="2:17" ht="13.95" customHeight="1" x14ac:dyDescent="0.3">
      <c r="B483" s="105">
        <v>45863</v>
      </c>
      <c r="C483" s="107">
        <f t="shared" si="56"/>
        <v>1</v>
      </c>
      <c r="D483" s="106">
        <v>7.0131930682621411</v>
      </c>
      <c r="E483" s="106">
        <v>3.260712925719726</v>
      </c>
      <c r="F483" s="106">
        <v>1.016796196283456</v>
      </c>
      <c r="G483" s="106">
        <v>4.206526071249872</v>
      </c>
      <c r="H483" s="106">
        <v>3.7639816812021198</v>
      </c>
      <c r="I483" s="106">
        <v>0.69659253124437548</v>
      </c>
      <c r="J483" s="106">
        <v>6.4806496208365276</v>
      </c>
      <c r="K483" s="30">
        <f t="shared" si="57"/>
        <v>-2.8213003575595641E-3</v>
      </c>
      <c r="L483" s="30">
        <f t="shared" si="58"/>
        <v>-5.2633850570255047E-3</v>
      </c>
      <c r="M483" s="30">
        <f t="shared" si="59"/>
        <v>-3.9244836285988738E-2</v>
      </c>
      <c r="N483" s="30">
        <f t="shared" si="60"/>
        <v>2.8050831965168221E-2</v>
      </c>
      <c r="O483" s="30">
        <f t="shared" si="61"/>
        <v>1.0643629529569765E-3</v>
      </c>
      <c r="P483" s="30">
        <f t="shared" si="62"/>
        <v>-5.2348993311032155E-3</v>
      </c>
      <c r="Q483" s="30">
        <f t="shared" si="63"/>
        <v>-9.4934721056674332E-2</v>
      </c>
    </row>
    <row r="484" spans="2:17" ht="13.95" customHeight="1" x14ac:dyDescent="0.3">
      <c r="B484" s="105">
        <v>45870</v>
      </c>
      <c r="C484" s="107">
        <f t="shared" si="56"/>
        <v>1</v>
      </c>
      <c r="D484" s="106">
        <v>6.8851851281884091</v>
      </c>
      <c r="E484" s="106">
        <v>3.2277018178753552</v>
      </c>
      <c r="F484" s="106">
        <v>1.052008888430787</v>
      </c>
      <c r="G484" s="106">
        <v>4.1380609437017482</v>
      </c>
      <c r="H484" s="106">
        <v>3.7334435221106328</v>
      </c>
      <c r="I484" s="106">
        <v>0.69176362050100948</v>
      </c>
      <c r="J484" s="106">
        <v>7.1898001224353179</v>
      </c>
      <c r="K484" s="30">
        <f t="shared" si="57"/>
        <v>-1.825244775493573E-2</v>
      </c>
      <c r="L484" s="30">
        <f t="shared" si="58"/>
        <v>-1.0123892718057803E-2</v>
      </c>
      <c r="M484" s="30">
        <f t="shared" si="59"/>
        <v>3.4631022692687807E-2</v>
      </c>
      <c r="N484" s="30">
        <f t="shared" si="60"/>
        <v>-1.6275930872284072E-2</v>
      </c>
      <c r="O484" s="30">
        <f t="shared" si="61"/>
        <v>-8.11325922333761E-3</v>
      </c>
      <c r="P484" s="30">
        <f t="shared" si="62"/>
        <v>-6.9321885130461114E-3</v>
      </c>
      <c r="Q484" s="30">
        <f t="shared" si="63"/>
        <v>0.10942583584811238</v>
      </c>
    </row>
    <row r="485" spans="2:17" ht="13.95" customHeight="1" x14ac:dyDescent="0.3">
      <c r="B485" s="105">
        <v>45877</v>
      </c>
      <c r="C485" s="107">
        <f t="shared" si="56"/>
        <v>1</v>
      </c>
      <c r="D485" s="106">
        <v>7.1721096941521996</v>
      </c>
      <c r="E485" s="106">
        <v>3.4219702851308429</v>
      </c>
      <c r="F485" s="106">
        <v>1.0686474679250171</v>
      </c>
      <c r="G485" s="106">
        <v>4.0985852355497476</v>
      </c>
      <c r="H485" s="106">
        <v>3.8314530345209858</v>
      </c>
      <c r="I485" s="106">
        <v>0.70412526410192888</v>
      </c>
      <c r="J485" s="106">
        <v>7.2797064018816764</v>
      </c>
      <c r="K485" s="30">
        <f t="shared" si="57"/>
        <v>4.1672745267095523E-2</v>
      </c>
      <c r="L485" s="30">
        <f t="shared" si="58"/>
        <v>6.018786065664683E-2</v>
      </c>
      <c r="M485" s="30">
        <f t="shared" si="59"/>
        <v>1.5816006572956676E-2</v>
      </c>
      <c r="N485" s="30">
        <f t="shared" si="60"/>
        <v>-9.5396633082660554E-3</v>
      </c>
      <c r="O485" s="30">
        <f t="shared" si="61"/>
        <v>2.6251773149884139E-2</v>
      </c>
      <c r="P485" s="30">
        <f t="shared" si="62"/>
        <v>1.7869750930189943E-2</v>
      </c>
      <c r="Q485" s="30">
        <f t="shared" si="63"/>
        <v>1.2504698032677064E-2</v>
      </c>
    </row>
    <row r="486" spans="2:17" ht="13.95" customHeight="1" x14ac:dyDescent="0.3">
      <c r="B486" s="105">
        <v>45884</v>
      </c>
      <c r="C486" s="107">
        <f t="shared" si="56"/>
        <v>1</v>
      </c>
      <c r="D486" s="106">
        <v>7.3667074925171336</v>
      </c>
      <c r="E486" s="106">
        <v>3.4499155353813489</v>
      </c>
      <c r="F486" s="106">
        <v>1.0480799548847051</v>
      </c>
      <c r="G486" s="106">
        <v>4.0587922514844701</v>
      </c>
      <c r="H486" s="106">
        <v>3.8459993218543471</v>
      </c>
      <c r="I486" s="106">
        <v>0.69927812955551671</v>
      </c>
      <c r="J486" s="106">
        <v>6.9937293436230457</v>
      </c>
      <c r="K486" s="30">
        <f t="shared" si="57"/>
        <v>2.7132574188540426E-2</v>
      </c>
      <c r="L486" s="30">
        <f t="shared" si="58"/>
        <v>8.1664210738281451E-3</v>
      </c>
      <c r="M486" s="30">
        <f t="shared" si="59"/>
        <v>-1.9246303067790738E-2</v>
      </c>
      <c r="N486" s="30">
        <f t="shared" si="60"/>
        <v>-9.708956085657694E-3</v>
      </c>
      <c r="O486" s="30">
        <f t="shared" si="61"/>
        <v>3.7965459062920814E-3</v>
      </c>
      <c r="P486" s="30">
        <f t="shared" si="62"/>
        <v>-6.8839094313628557E-3</v>
      </c>
      <c r="Q486" s="30">
        <f t="shared" si="63"/>
        <v>-3.9284147254168178E-2</v>
      </c>
    </row>
    <row r="487" spans="2:17" ht="13.95" customHeight="1" x14ac:dyDescent="0.3">
      <c r="B487" s="105">
        <v>45891</v>
      </c>
      <c r="C487" s="107">
        <f t="shared" si="56"/>
        <v>1</v>
      </c>
      <c r="D487" s="106">
        <v>7.3402354267259344</v>
      </c>
      <c r="E487" s="106">
        <v>3.4993553890402649</v>
      </c>
      <c r="F487" s="106">
        <v>1.059917108761316</v>
      </c>
      <c r="G487" s="106">
        <v>4.1627495681070217</v>
      </c>
      <c r="H487" s="106">
        <v>3.8937375995201138</v>
      </c>
      <c r="I487" s="106">
        <v>0.70242802629186663</v>
      </c>
      <c r="J487" s="106">
        <v>7.1522800049191693</v>
      </c>
      <c r="K487" s="30">
        <f t="shared" si="57"/>
        <v>-3.5934731789050156E-3</v>
      </c>
      <c r="L487" s="30">
        <f t="shared" si="58"/>
        <v>1.4330743217297659E-2</v>
      </c>
      <c r="M487" s="30">
        <f t="shared" si="59"/>
        <v>1.1294132495753173E-2</v>
      </c>
      <c r="N487" s="30">
        <f t="shared" si="60"/>
        <v>2.5612869588121923E-2</v>
      </c>
      <c r="O487" s="30">
        <f t="shared" si="61"/>
        <v>1.2412450879671466E-2</v>
      </c>
      <c r="P487" s="30">
        <f t="shared" si="62"/>
        <v>4.5044977144532705E-3</v>
      </c>
      <c r="Q487" s="30">
        <f t="shared" si="63"/>
        <v>2.2670402800287315E-2</v>
      </c>
    </row>
    <row r="488" spans="2:17" ht="13.95" customHeight="1" x14ac:dyDescent="0.3">
      <c r="B488" s="105">
        <v>45898</v>
      </c>
      <c r="C488" s="107">
        <f t="shared" si="56"/>
        <v>1</v>
      </c>
      <c r="D488" s="106">
        <v>7.5724133190884926</v>
      </c>
      <c r="E488" s="106">
        <v>3.5936525656547951</v>
      </c>
      <c r="F488" s="106">
        <v>1.0759424213738329</v>
      </c>
      <c r="G488" s="106">
        <v>4.2547267509562721</v>
      </c>
      <c r="H488" s="106">
        <v>3.9913051166236042</v>
      </c>
      <c r="I488" s="106">
        <v>0.72250032794483943</v>
      </c>
      <c r="J488" s="106">
        <v>7.1020249967495541</v>
      </c>
      <c r="K488" s="30">
        <f t="shared" si="57"/>
        <v>3.1630850901211538E-2</v>
      </c>
      <c r="L488" s="30">
        <f t="shared" si="58"/>
        <v>2.6947013415631549E-2</v>
      </c>
      <c r="M488" s="30">
        <f t="shared" si="59"/>
        <v>1.5119401772130114E-2</v>
      </c>
      <c r="N488" s="30">
        <f t="shared" si="60"/>
        <v>2.2095295752099897E-2</v>
      </c>
      <c r="O488" s="30">
        <f t="shared" si="61"/>
        <v>2.5057548078102343E-2</v>
      </c>
      <c r="P488" s="30">
        <f t="shared" si="62"/>
        <v>2.8575599067330648E-2</v>
      </c>
      <c r="Q488" s="30">
        <f t="shared" si="63"/>
        <v>-7.0264318699841954E-3</v>
      </c>
    </row>
    <row r="489" spans="2:17" ht="13.95" customHeight="1" x14ac:dyDescent="0.3">
      <c r="B489" s="105">
        <v>45905</v>
      </c>
      <c r="C489" s="107">
        <f t="shared" si="56"/>
        <v>1</v>
      </c>
      <c r="D489" s="106">
        <v>7.6360678683691594</v>
      </c>
      <c r="E489" s="106">
        <v>3.604715019697291</v>
      </c>
      <c r="F489" s="106">
        <v>1.109826232863437</v>
      </c>
      <c r="G489" s="106">
        <v>4.2671070828501909</v>
      </c>
      <c r="H489" s="106">
        <v>4.025775127010661</v>
      </c>
      <c r="I489" s="106">
        <v>0.74145751517404646</v>
      </c>
      <c r="J489" s="106">
        <v>7.3918972965918011</v>
      </c>
      <c r="K489" s="30">
        <f t="shared" si="57"/>
        <v>8.4061113146329802E-3</v>
      </c>
      <c r="L489" s="30">
        <f t="shared" si="58"/>
        <v>3.0783315416247348E-3</v>
      </c>
      <c r="M489" s="30">
        <f t="shared" si="59"/>
        <v>3.1492216327281719E-2</v>
      </c>
      <c r="N489" s="30">
        <f t="shared" si="60"/>
        <v>2.9097830762307986E-3</v>
      </c>
      <c r="O489" s="30">
        <f t="shared" si="61"/>
        <v>8.6362754487223636E-3</v>
      </c>
      <c r="P489" s="30">
        <f t="shared" si="62"/>
        <v>2.62383095148635E-2</v>
      </c>
      <c r="Q489" s="30">
        <f t="shared" si="63"/>
        <v>4.0815443479136571E-2</v>
      </c>
    </row>
    <row r="490" spans="2:17" ht="13.95" customHeight="1" x14ac:dyDescent="0.3">
      <c r="B490" s="105">
        <v>45912</v>
      </c>
      <c r="C490" s="107">
        <f t="shared" si="56"/>
        <v>1</v>
      </c>
      <c r="D490" s="106">
        <v>7.5277513597548031</v>
      </c>
      <c r="E490" s="106">
        <v>3.6299518597934739</v>
      </c>
      <c r="F490" s="106">
        <v>1.08635797914475</v>
      </c>
      <c r="G490" s="106">
        <v>4.3039185460637004</v>
      </c>
      <c r="H490" s="106">
        <v>4.0154313572268148</v>
      </c>
      <c r="I490" s="106">
        <v>0.73588853968586709</v>
      </c>
      <c r="J490" s="106">
        <v>7.0592411354100442</v>
      </c>
      <c r="K490" s="30">
        <f t="shared" si="57"/>
        <v>-1.4184854100503075E-2</v>
      </c>
      <c r="L490" s="30">
        <f t="shared" si="58"/>
        <v>7.0010638728112973E-3</v>
      </c>
      <c r="M490" s="30">
        <f t="shared" si="59"/>
        <v>-2.1145881241369735E-2</v>
      </c>
      <c r="N490" s="30">
        <f t="shared" si="60"/>
        <v>8.6267962108232954E-3</v>
      </c>
      <c r="O490" s="30">
        <f t="shared" si="61"/>
        <v>-2.5693858840861727E-3</v>
      </c>
      <c r="P490" s="30">
        <f t="shared" si="62"/>
        <v>-7.5108490698514441E-3</v>
      </c>
      <c r="Q490" s="30">
        <f t="shared" si="63"/>
        <v>-4.5002811569789469E-2</v>
      </c>
    </row>
    <row r="491" spans="2:17" ht="13.95" customHeight="1" x14ac:dyDescent="0.3">
      <c r="B491" s="105">
        <v>45919</v>
      </c>
      <c r="C491" s="107">
        <f t="shared" si="56"/>
        <v>1</v>
      </c>
      <c r="D491" s="106">
        <v>7.8008410270452693</v>
      </c>
      <c r="E491" s="106">
        <v>3.772422030769083</v>
      </c>
      <c r="F491" s="106">
        <v>1.1083057423653879</v>
      </c>
      <c r="G491" s="106">
        <v>4.3275081319670639</v>
      </c>
      <c r="H491" s="106">
        <v>4.1165102957682906</v>
      </c>
      <c r="I491" s="106">
        <v>0.76209761555161648</v>
      </c>
      <c r="J491" s="106">
        <v>7.0040200868112574</v>
      </c>
      <c r="K491" s="30">
        <f t="shared" si="57"/>
        <v>3.6277721492034232E-2</v>
      </c>
      <c r="L491" s="30">
        <f t="shared" si="58"/>
        <v>3.9248501489415055E-2</v>
      </c>
      <c r="M491" s="30">
        <f t="shared" si="59"/>
        <v>2.0203067167524846E-2</v>
      </c>
      <c r="N491" s="30">
        <f t="shared" si="60"/>
        <v>5.4809554713663999E-3</v>
      </c>
      <c r="O491" s="30">
        <f t="shared" si="61"/>
        <v>2.5172622702056113E-2</v>
      </c>
      <c r="P491" s="30">
        <f t="shared" si="62"/>
        <v>3.5615551068287399E-2</v>
      </c>
      <c r="Q491" s="30">
        <f t="shared" si="63"/>
        <v>-7.8225190979510639E-3</v>
      </c>
    </row>
    <row r="492" spans="2:17" ht="13.95" customHeight="1" x14ac:dyDescent="0.3">
      <c r="B492" s="105">
        <v>45926</v>
      </c>
      <c r="C492" s="107">
        <f t="shared" si="56"/>
        <v>1</v>
      </c>
      <c r="D492" s="106">
        <v>7.769700580797692</v>
      </c>
      <c r="E492" s="106">
        <v>3.7203321638170919</v>
      </c>
      <c r="F492" s="106">
        <v>1.114490706272361</v>
      </c>
      <c r="G492" s="106">
        <v>4.3515492742393516</v>
      </c>
      <c r="H492" s="106">
        <v>4.1067388967662106</v>
      </c>
      <c r="I492" s="106">
        <v>0.75794194383766289</v>
      </c>
      <c r="J492" s="106">
        <v>7.1897799746741482</v>
      </c>
      <c r="K492" s="30">
        <f t="shared" si="57"/>
        <v>-3.9919344772716414E-3</v>
      </c>
      <c r="L492" s="30">
        <f t="shared" si="58"/>
        <v>-1.3808069862578876E-2</v>
      </c>
      <c r="M492" s="30">
        <f t="shared" si="59"/>
        <v>5.5805574856744311E-3</v>
      </c>
      <c r="N492" s="30">
        <f t="shared" si="60"/>
        <v>5.5554239389401516E-3</v>
      </c>
      <c r="O492" s="30">
        <f t="shared" si="61"/>
        <v>-2.3737093557435474E-3</v>
      </c>
      <c r="P492" s="30">
        <f t="shared" si="62"/>
        <v>-5.4529388744323226E-3</v>
      </c>
      <c r="Q492" s="30">
        <f t="shared" si="63"/>
        <v>2.6521895363018855E-2</v>
      </c>
    </row>
    <row r="493" spans="2:17" ht="13.95" customHeight="1" x14ac:dyDescent="0.3">
      <c r="B493" s="105">
        <v>45933</v>
      </c>
      <c r="C493" s="107">
        <f t="shared" si="56"/>
        <v>1</v>
      </c>
      <c r="D493" s="106">
        <v>7.6629165181395464</v>
      </c>
      <c r="E493" s="106">
        <v>3.7197745370611628</v>
      </c>
      <c r="F493" s="106">
        <v>1.090784298680705</v>
      </c>
      <c r="G493" s="106">
        <v>4.3304098065108674</v>
      </c>
      <c r="H493" s="106">
        <v>4.0722164370779614</v>
      </c>
      <c r="I493" s="106">
        <v>0.74301479051865793</v>
      </c>
      <c r="J493" s="106">
        <v>7.0165980783278794</v>
      </c>
      <c r="K493" s="30">
        <f t="shared" si="57"/>
        <v>-1.3743652222848235E-2</v>
      </c>
      <c r="L493" s="30">
        <f t="shared" si="58"/>
        <v>-1.4988628202405874E-4</v>
      </c>
      <c r="M493" s="30">
        <f t="shared" si="59"/>
        <v>-2.1271067993870352E-2</v>
      </c>
      <c r="N493" s="30">
        <f t="shared" si="60"/>
        <v>-4.8579175820500087E-3</v>
      </c>
      <c r="O493" s="30">
        <f t="shared" si="61"/>
        <v>-8.4062952517953704E-3</v>
      </c>
      <c r="P493" s="30">
        <f t="shared" si="62"/>
        <v>-1.9694322817688126E-2</v>
      </c>
      <c r="Q493" s="30">
        <f t="shared" si="63"/>
        <v>-2.4087231731193204E-2</v>
      </c>
    </row>
    <row r="494" spans="2:17" ht="13.95" customHeight="1" x14ac:dyDescent="0.3">
      <c r="B494" s="105">
        <v>45940</v>
      </c>
      <c r="C494" s="107">
        <f t="shared" si="56"/>
        <v>1</v>
      </c>
      <c r="D494" s="106">
        <v>7.4858873381313424</v>
      </c>
      <c r="E494" s="106">
        <v>3.6191775617049289</v>
      </c>
      <c r="F494" s="106">
        <v>1.0548809407860109</v>
      </c>
      <c r="G494" s="106">
        <v>4.2466604797443024</v>
      </c>
      <c r="H494" s="106">
        <v>3.9728450626762171</v>
      </c>
      <c r="I494" s="106">
        <v>0.70187482759867292</v>
      </c>
      <c r="J494" s="106">
        <v>7.0673180295651044</v>
      </c>
      <c r="K494" s="30">
        <f t="shared" si="57"/>
        <v>-2.3102062979433846E-2</v>
      </c>
      <c r="L494" s="30">
        <f t="shared" si="58"/>
        <v>-2.7043836757835171E-2</v>
      </c>
      <c r="M494" s="30">
        <f t="shared" si="59"/>
        <v>-3.2915176665193058E-2</v>
      </c>
      <c r="N494" s="30">
        <f t="shared" si="60"/>
        <v>-1.9339815515992509E-2</v>
      </c>
      <c r="O494" s="30">
        <f t="shared" si="61"/>
        <v>-2.4402282132392927E-2</v>
      </c>
      <c r="P494" s="30">
        <f t="shared" si="62"/>
        <v>-5.5368969023170345E-2</v>
      </c>
      <c r="Q494" s="30">
        <f t="shared" si="63"/>
        <v>7.2285672730612038E-3</v>
      </c>
    </row>
    <row r="495" spans="2:17" ht="13.95" customHeight="1" x14ac:dyDescent="0.3">
      <c r="B495" s="105">
        <v>45947</v>
      </c>
      <c r="C495" s="107">
        <f t="shared" si="56"/>
        <v>1</v>
      </c>
      <c r="D495" s="106">
        <v>7.5666342701271718</v>
      </c>
      <c r="E495" s="106">
        <v>3.745743550054224</v>
      </c>
      <c r="F495" s="106">
        <v>1.0885039135705421</v>
      </c>
      <c r="G495" s="106">
        <v>4.278941118284008</v>
      </c>
      <c r="H495" s="106">
        <v>4.0496150451453303</v>
      </c>
      <c r="I495" s="106">
        <v>0.70880701396071211</v>
      </c>
      <c r="J495" s="106">
        <v>7.5532438355171347</v>
      </c>
      <c r="K495" s="30">
        <f t="shared" si="57"/>
        <v>1.0786554532356218E-2</v>
      </c>
      <c r="L495" s="30">
        <f t="shared" si="58"/>
        <v>3.4970925352906024E-2</v>
      </c>
      <c r="M495" s="30">
        <f t="shared" si="59"/>
        <v>3.1873713406441961E-2</v>
      </c>
      <c r="N495" s="30">
        <f t="shared" si="60"/>
        <v>7.6014173239602467E-3</v>
      </c>
      <c r="O495" s="30">
        <f t="shared" si="61"/>
        <v>1.9323678939897837E-2</v>
      </c>
      <c r="P495" s="30">
        <f t="shared" si="62"/>
        <v>9.8766704395942817E-3</v>
      </c>
      <c r="Q495" s="30">
        <f t="shared" si="63"/>
        <v>6.8756748163763204E-2</v>
      </c>
    </row>
    <row r="496" spans="2:17" ht="13.95" customHeight="1" x14ac:dyDescent="0.3">
      <c r="B496" s="105">
        <v>45954</v>
      </c>
      <c r="C496" s="107">
        <f t="shared" si="56"/>
        <v>1</v>
      </c>
      <c r="D496" s="106">
        <v>7.6698632795190944</v>
      </c>
      <c r="E496" s="106">
        <v>3.794062512658364</v>
      </c>
      <c r="F496" s="106">
        <v>1.1389130592747501</v>
      </c>
      <c r="G496" s="106">
        <v>4.3548869104623993</v>
      </c>
      <c r="H496" s="106">
        <v>4.1280101185502858</v>
      </c>
      <c r="I496" s="106">
        <v>0.73958136948103648</v>
      </c>
      <c r="J496" s="106">
        <v>7.9376632115491574</v>
      </c>
      <c r="K496" s="30">
        <f t="shared" si="57"/>
        <v>1.3642658770950167E-2</v>
      </c>
      <c r="L496" s="30">
        <f t="shared" si="58"/>
        <v>1.2899698540077775E-2</v>
      </c>
      <c r="M496" s="30">
        <f t="shared" si="59"/>
        <v>4.6310486416952346E-2</v>
      </c>
      <c r="N496" s="30">
        <f t="shared" si="60"/>
        <v>1.7748735044255115E-2</v>
      </c>
      <c r="O496" s="30">
        <f t="shared" si="61"/>
        <v>1.9358648298912984E-2</v>
      </c>
      <c r="P496" s="30">
        <f t="shared" si="62"/>
        <v>4.3417114834066961E-2</v>
      </c>
      <c r="Q496" s="30">
        <f t="shared" si="63"/>
        <v>5.0894606926946029E-2</v>
      </c>
    </row>
    <row r="497" spans="2:17" ht="13.95" customHeight="1" x14ac:dyDescent="0.3">
      <c r="B497" s="105">
        <v>45961</v>
      </c>
      <c r="C497" s="107">
        <f t="shared" si="56"/>
        <v>1</v>
      </c>
      <c r="D497" s="106">
        <v>7.8890719059290824</v>
      </c>
      <c r="E497" s="106">
        <v>3.8689150855002601</v>
      </c>
      <c r="F497" s="106">
        <v>1.1583723657267351</v>
      </c>
      <c r="G497" s="106">
        <v>4.459166790421583</v>
      </c>
      <c r="H497" s="106">
        <v>4.2231670143789799</v>
      </c>
      <c r="I497" s="106">
        <v>0.75448068499742393</v>
      </c>
      <c r="J497" s="106">
        <v>8.0350792127998147</v>
      </c>
      <c r="K497" s="30">
        <f t="shared" si="57"/>
        <v>2.8580512901102528E-2</v>
      </c>
      <c r="L497" s="30">
        <f t="shared" si="58"/>
        <v>1.9728871781147683E-2</v>
      </c>
      <c r="M497" s="30">
        <f t="shared" si="59"/>
        <v>1.7085857689942197E-2</v>
      </c>
      <c r="N497" s="30">
        <f t="shared" si="60"/>
        <v>2.3945485176355863E-2</v>
      </c>
      <c r="O497" s="30">
        <f t="shared" si="61"/>
        <v>2.3051517098052088E-2</v>
      </c>
      <c r="P497" s="30">
        <f t="shared" si="62"/>
        <v>2.0145606867899124E-2</v>
      </c>
      <c r="Q497" s="30">
        <f t="shared" si="63"/>
        <v>1.2272629696472803E-2</v>
      </c>
    </row>
    <row r="498" spans="2:17" ht="13.95" customHeight="1" x14ac:dyDescent="0.3">
      <c r="B498" s="105">
        <v>45968</v>
      </c>
      <c r="C498" s="107">
        <f t="shared" si="56"/>
        <v>1</v>
      </c>
      <c r="D498" s="106">
        <v>8.1078842369532271</v>
      </c>
      <c r="E498" s="106">
        <v>4.0440699290906643</v>
      </c>
      <c r="F498" s="106">
        <v>1.177422333505638</v>
      </c>
      <c r="G498" s="106">
        <v>4.5758210357443181</v>
      </c>
      <c r="H498" s="106">
        <v>4.3515176354751066</v>
      </c>
      <c r="I498" s="106">
        <v>0.76039146783256928</v>
      </c>
      <c r="J498" s="106">
        <v>8.2768841963593864</v>
      </c>
      <c r="K498" s="30">
        <f t="shared" si="57"/>
        <v>2.7736130895155808E-2</v>
      </c>
      <c r="L498" s="30">
        <f t="shared" si="58"/>
        <v>4.5272341139468653E-2</v>
      </c>
      <c r="M498" s="30">
        <f t="shared" si="59"/>
        <v>1.6445461185489618E-2</v>
      </c>
      <c r="N498" s="30">
        <f t="shared" si="60"/>
        <v>2.6160547655071253E-2</v>
      </c>
      <c r="O498" s="30">
        <f t="shared" si="61"/>
        <v>3.0392030591998909E-2</v>
      </c>
      <c r="P498" s="30">
        <f t="shared" si="62"/>
        <v>7.8342400974327209E-3</v>
      </c>
      <c r="Q498" s="30">
        <f t="shared" si="63"/>
        <v>3.0093665184330431E-2</v>
      </c>
    </row>
    <row r="499" spans="2:17" ht="13.95" customHeight="1" x14ac:dyDescent="0.3">
      <c r="B499" s="105">
        <v>45975</v>
      </c>
      <c r="C499" s="107">
        <f t="shared" si="56"/>
        <v>1</v>
      </c>
      <c r="D499" s="106">
        <v>8.3345230581577798</v>
      </c>
      <c r="E499" s="106">
        <v>4.1732723243912622</v>
      </c>
      <c r="F499" s="106">
        <v>1.206200771796653</v>
      </c>
      <c r="G499" s="106">
        <v>4.6303261269768656</v>
      </c>
      <c r="H499" s="106">
        <v>4.4543797917518546</v>
      </c>
      <c r="I499" s="106">
        <v>0.80238678816050923</v>
      </c>
      <c r="J499" s="106">
        <v>8.0840455818113455</v>
      </c>
      <c r="K499" s="30">
        <f t="shared" si="57"/>
        <v>2.7952893082957786E-2</v>
      </c>
      <c r="L499" s="30">
        <f t="shared" si="58"/>
        <v>3.1948605628995708E-2</v>
      </c>
      <c r="M499" s="30">
        <f t="shared" si="59"/>
        <v>2.4441899454489269E-2</v>
      </c>
      <c r="N499" s="30">
        <f t="shared" si="60"/>
        <v>1.1911543481875064E-2</v>
      </c>
      <c r="O499" s="30">
        <f t="shared" si="61"/>
        <v>2.3638225762474097E-2</v>
      </c>
      <c r="P499" s="30">
        <f t="shared" si="62"/>
        <v>5.5228552797474295E-2</v>
      </c>
      <c r="Q499" s="30">
        <f t="shared" si="63"/>
        <v>-2.3298455067531476E-2</v>
      </c>
    </row>
    <row r="500" spans="2:17" ht="13.95" customHeight="1" x14ac:dyDescent="0.3">
      <c r="B500" s="105">
        <v>45982</v>
      </c>
      <c r="C500" s="107">
        <f t="shared" si="56"/>
        <v>1</v>
      </c>
      <c r="D500" s="106">
        <v>8.1290788039483832</v>
      </c>
      <c r="E500" s="106">
        <v>4.0984998233277583</v>
      </c>
      <c r="F500" s="106">
        <v>1.170350080463392</v>
      </c>
      <c r="G500" s="106">
        <v>4.5978407911279247</v>
      </c>
      <c r="H500" s="106">
        <v>4.3734995668222938</v>
      </c>
      <c r="I500" s="106">
        <v>0.77292832143873769</v>
      </c>
      <c r="J500" s="106">
        <v>7.9384630013016766</v>
      </c>
      <c r="K500" s="30">
        <f t="shared" si="57"/>
        <v>-2.4649791328888226E-2</v>
      </c>
      <c r="L500" s="30">
        <f t="shared" si="58"/>
        <v>-1.7916995405855896E-2</v>
      </c>
      <c r="M500" s="30">
        <f t="shared" si="59"/>
        <v>-2.9721993362565091E-2</v>
      </c>
      <c r="N500" s="30">
        <f t="shared" si="60"/>
        <v>-7.0157770658263452E-3</v>
      </c>
      <c r="O500" s="30">
        <f t="shared" si="61"/>
        <v>-1.8157460457082331E-2</v>
      </c>
      <c r="P500" s="30">
        <f t="shared" si="62"/>
        <v>-3.6713549071895613E-2</v>
      </c>
      <c r="Q500" s="30">
        <f t="shared" si="63"/>
        <v>-1.8008629347318617E-2</v>
      </c>
    </row>
    <row r="501" spans="2:17" ht="13.95" customHeight="1" x14ac:dyDescent="0.3">
      <c r="B501" s="105">
        <v>45989</v>
      </c>
      <c r="C501" s="107">
        <f t="shared" si="56"/>
        <v>1</v>
      </c>
      <c r="D501" s="106">
        <v>8.4968968062580714</v>
      </c>
      <c r="E501" s="106">
        <v>4.2088559285707996</v>
      </c>
      <c r="F501" s="106">
        <v>1.215057791685098</v>
      </c>
      <c r="G501" s="106">
        <v>4.6280497172628809</v>
      </c>
      <c r="H501" s="106">
        <v>4.4928253693341134</v>
      </c>
      <c r="I501" s="106">
        <v>0.81081401670437636</v>
      </c>
      <c r="J501" s="106">
        <v>8.1006107450368656</v>
      </c>
      <c r="K501" s="30">
        <f t="shared" si="57"/>
        <v>4.5247193584964984E-2</v>
      </c>
      <c r="L501" s="30">
        <f t="shared" si="58"/>
        <v>2.6925975356865584E-2</v>
      </c>
      <c r="M501" s="30">
        <f t="shared" si="59"/>
        <v>3.8200288928936788E-2</v>
      </c>
      <c r="N501" s="30">
        <f t="shared" si="60"/>
        <v>6.5702418825044351E-3</v>
      </c>
      <c r="O501" s="30">
        <f t="shared" si="61"/>
        <v>2.7283826301718328E-2</v>
      </c>
      <c r="P501" s="30">
        <f t="shared" si="62"/>
        <v>4.9015793851514999E-2</v>
      </c>
      <c r="Q501" s="30">
        <f t="shared" si="63"/>
        <v>2.0425584109745376E-2</v>
      </c>
    </row>
    <row r="502" spans="2:17" ht="13.95" customHeight="1" x14ac:dyDescent="0.3">
      <c r="B502" s="105">
        <v>45996</v>
      </c>
      <c r="C502" s="107">
        <f t="shared" si="56"/>
        <v>1</v>
      </c>
      <c r="D502" s="106">
        <v>8.2170030699151226</v>
      </c>
      <c r="E502" s="106">
        <v>4.1102362115335493</v>
      </c>
      <c r="F502" s="106">
        <v>1.2104451286197171</v>
      </c>
      <c r="G502" s="106">
        <v>4.7114688711959403</v>
      </c>
      <c r="H502" s="106">
        <v>4.4450350428665164</v>
      </c>
      <c r="I502" s="106">
        <v>0.78855621259770936</v>
      </c>
      <c r="J502" s="106">
        <v>8.3922700541888826</v>
      </c>
      <c r="K502" s="30">
        <f t="shared" si="57"/>
        <v>-3.29407009082191E-2</v>
      </c>
      <c r="L502" s="30">
        <f t="shared" si="58"/>
        <v>-2.3431478461354405E-2</v>
      </c>
      <c r="M502" s="30">
        <f t="shared" si="59"/>
        <v>-3.7962499372016234E-3</v>
      </c>
      <c r="N502" s="30">
        <f t="shared" si="60"/>
        <v>1.8024688374003617E-2</v>
      </c>
      <c r="O502" s="30">
        <f t="shared" si="61"/>
        <v>-1.0637031831637778E-2</v>
      </c>
      <c r="P502" s="30">
        <f t="shared" si="62"/>
        <v>-2.7451183191351092E-2</v>
      </c>
      <c r="Q502" s="30">
        <f t="shared" si="63"/>
        <v>3.6004607347750017E-2</v>
      </c>
    </row>
    <row r="503" spans="2:17" ht="13.95" customHeight="1" x14ac:dyDescent="0.3">
      <c r="B503" s="105">
        <v>46003</v>
      </c>
      <c r="C503" s="107">
        <f t="shared" si="56"/>
        <v>1</v>
      </c>
      <c r="D503" s="106">
        <v>8.4359529007172913</v>
      </c>
      <c r="E503" s="106">
        <v>4.1793275897281248</v>
      </c>
      <c r="F503" s="106">
        <v>1.2497997552935161</v>
      </c>
      <c r="G503" s="106">
        <v>4.7971278764231773</v>
      </c>
      <c r="H503" s="106">
        <v>4.5435377501869114</v>
      </c>
      <c r="I503" s="106">
        <v>0.80525514097900441</v>
      </c>
      <c r="J503" s="106">
        <v>8.8153887705091805</v>
      </c>
      <c r="K503" s="30">
        <f t="shared" si="57"/>
        <v>2.6645947304535955E-2</v>
      </c>
      <c r="L503" s="30">
        <f t="shared" si="58"/>
        <v>1.6809588217996163E-2</v>
      </c>
      <c r="M503" s="30">
        <f t="shared" si="59"/>
        <v>3.2512524312998448E-2</v>
      </c>
      <c r="N503" s="30">
        <f t="shared" si="60"/>
        <v>1.8180955359998752E-2</v>
      </c>
      <c r="O503" s="30">
        <f t="shared" si="61"/>
        <v>2.2160164401509919E-2</v>
      </c>
      <c r="P503" s="30">
        <f t="shared" si="62"/>
        <v>2.1176585910450685E-2</v>
      </c>
      <c r="Q503" s="30">
        <f t="shared" si="63"/>
        <v>5.0417671689330756E-2</v>
      </c>
    </row>
    <row r="504" spans="2:17" ht="13.95" customHeight="1" x14ac:dyDescent="0.3">
      <c r="B504" s="105">
        <v>46010</v>
      </c>
      <c r="C504" s="107">
        <f t="shared" si="56"/>
        <v>1</v>
      </c>
      <c r="D504" s="106">
        <v>8.2704770444684108</v>
      </c>
      <c r="E504" s="106">
        <v>4.0942813618767779</v>
      </c>
      <c r="F504" s="106">
        <v>1.207523263632494</v>
      </c>
      <c r="G504" s="106">
        <v>4.8276047943155582</v>
      </c>
      <c r="H504" s="106">
        <v>4.4809436693268836</v>
      </c>
      <c r="I504" s="106">
        <v>0.7561633023371479</v>
      </c>
      <c r="J504" s="106">
        <v>8.8845389321497095</v>
      </c>
      <c r="K504" s="30">
        <f t="shared" si="57"/>
        <v>-1.9615550038788232E-2</v>
      </c>
      <c r="L504" s="30">
        <f t="shared" si="58"/>
        <v>-2.0349260981687989E-2</v>
      </c>
      <c r="M504" s="30">
        <f t="shared" si="59"/>
        <v>-3.3826612208844198E-2</v>
      </c>
      <c r="N504" s="30">
        <f t="shared" si="60"/>
        <v>6.353159364829164E-3</v>
      </c>
      <c r="O504" s="30">
        <f t="shared" si="61"/>
        <v>-1.377650727287405E-2</v>
      </c>
      <c r="P504" s="30">
        <f t="shared" si="62"/>
        <v>-6.0964328128563339E-2</v>
      </c>
      <c r="Q504" s="30">
        <f t="shared" si="63"/>
        <v>7.844255476498363E-3</v>
      </c>
    </row>
    <row r="505" spans="2:17" ht="13.95" customHeight="1" x14ac:dyDescent="0.3">
      <c r="B505" s="105">
        <v>46017</v>
      </c>
      <c r="C505" s="107">
        <f t="shared" si="56"/>
        <v>1</v>
      </c>
      <c r="D505" s="106">
        <v>8.3841713637269173</v>
      </c>
      <c r="E505" s="106">
        <v>4.1451662718762883</v>
      </c>
      <c r="F505" s="106">
        <v>1.2195365157648119</v>
      </c>
      <c r="G505" s="106">
        <v>4.9394611752340269</v>
      </c>
      <c r="H505" s="106">
        <v>4.5519746354555446</v>
      </c>
      <c r="I505" s="106">
        <v>0.76407961484153675</v>
      </c>
      <c r="J505" s="106">
        <v>8.9663136923492619</v>
      </c>
      <c r="K505" s="30">
        <f t="shared" si="57"/>
        <v>1.3747008624436008E-2</v>
      </c>
      <c r="L505" s="30">
        <f t="shared" si="58"/>
        <v>1.242828850828781E-2</v>
      </c>
      <c r="M505" s="30">
        <f t="shared" si="59"/>
        <v>9.9486713789509462E-3</v>
      </c>
      <c r="N505" s="30">
        <f t="shared" si="60"/>
        <v>2.3170161122173516E-2</v>
      </c>
      <c r="O505" s="30">
        <f t="shared" si="61"/>
        <v>1.5851787339993706E-2</v>
      </c>
      <c r="P505" s="30">
        <f t="shared" si="62"/>
        <v>1.0469051433626975E-2</v>
      </c>
      <c r="Q505" s="30">
        <f t="shared" si="63"/>
        <v>9.204164765786782E-3</v>
      </c>
    </row>
    <row r="506" spans="2:17" ht="13.95" customHeight="1" x14ac:dyDescent="0.3">
      <c r="B506" s="105">
        <v>46024</v>
      </c>
      <c r="C506" s="107">
        <f t="shared" si="56"/>
        <v>1</v>
      </c>
      <c r="D506" s="106">
        <v>8.400937535101539</v>
      </c>
      <c r="E506" s="106">
        <v>4.1318003160704126</v>
      </c>
      <c r="F506" s="106">
        <v>1.2092713104017261</v>
      </c>
      <c r="G506" s="106">
        <v>4.9347854851506323</v>
      </c>
      <c r="H506" s="106">
        <v>4.5436151423611193</v>
      </c>
      <c r="I506" s="106">
        <v>0.75775485648346841</v>
      </c>
      <c r="J506" s="106">
        <v>8.8890060676988867</v>
      </c>
      <c r="K506" s="30">
        <f t="shared" si="57"/>
        <v>1.9997410175986996E-3</v>
      </c>
      <c r="L506" s="30">
        <f t="shared" si="58"/>
        <v>-3.2244679535678999E-3</v>
      </c>
      <c r="M506" s="30">
        <f t="shared" si="59"/>
        <v>-8.4173005321190875E-3</v>
      </c>
      <c r="N506" s="30">
        <f t="shared" si="60"/>
        <v>-9.465992175093918E-4</v>
      </c>
      <c r="O506" s="30">
        <f t="shared" si="61"/>
        <v>-1.8364542344574408E-3</v>
      </c>
      <c r="P506" s="30">
        <f t="shared" si="62"/>
        <v>-8.2776169331255645E-3</v>
      </c>
      <c r="Q506" s="30">
        <f t="shared" si="63"/>
        <v>-8.622007583377278E-3</v>
      </c>
    </row>
    <row r="507" spans="2:17" ht="13.95" customHeight="1" x14ac:dyDescent="0.3">
      <c r="B507" s="105">
        <v>46031</v>
      </c>
      <c r="C507" s="107">
        <f t="shared" si="56"/>
        <v>1</v>
      </c>
      <c r="D507" s="106">
        <v>8.6297358335413143</v>
      </c>
      <c r="E507" s="106">
        <v>4.1869472737129376</v>
      </c>
      <c r="F507" s="106">
        <v>1.23474624579223</v>
      </c>
      <c r="G507" s="106">
        <v>4.9988800882676374</v>
      </c>
      <c r="H507" s="106">
        <v>4.6257154971411474</v>
      </c>
      <c r="I507" s="106">
        <v>0.77661380162214866</v>
      </c>
      <c r="J507" s="106">
        <v>9.027642627605843</v>
      </c>
      <c r="K507" s="30">
        <f t="shared" si="57"/>
        <v>2.7234852953469835E-2</v>
      </c>
      <c r="L507" s="30">
        <f t="shared" si="58"/>
        <v>1.3346956150817268E-2</v>
      </c>
      <c r="M507" s="30">
        <f t="shared" si="59"/>
        <v>2.1066352249803355E-2</v>
      </c>
      <c r="N507" s="30">
        <f t="shared" si="60"/>
        <v>1.2988326100470626E-2</v>
      </c>
      <c r="O507" s="30">
        <f t="shared" si="61"/>
        <v>1.8069390167883892E-2</v>
      </c>
      <c r="P507" s="30">
        <f t="shared" si="62"/>
        <v>2.4887923815096968E-2</v>
      </c>
      <c r="Q507" s="30">
        <f t="shared" si="63"/>
        <v>1.5596407388080991E-2</v>
      </c>
    </row>
    <row r="508" spans="2:17" ht="13.95" customHeight="1" x14ac:dyDescent="0.3">
      <c r="B508" s="105">
        <v>46038</v>
      </c>
      <c r="C508" s="107">
        <f t="shared" si="56"/>
        <v>1</v>
      </c>
      <c r="D508" s="106">
        <v>8.6630566196073211</v>
      </c>
      <c r="E508" s="106">
        <v>4.1224003084417431</v>
      </c>
      <c r="F508" s="106">
        <v>1.216666443730489</v>
      </c>
      <c r="G508" s="106">
        <v>5.2301014809587976</v>
      </c>
      <c r="H508" s="106">
        <v>4.6698604218122686</v>
      </c>
      <c r="I508" s="106">
        <v>0.74630005154712353</v>
      </c>
      <c r="J508" s="106">
        <v>9.2135048623235605</v>
      </c>
      <c r="K508" s="30">
        <f t="shared" si="57"/>
        <v>3.8611594501536395E-3</v>
      </c>
      <c r="L508" s="30">
        <f t="shared" si="58"/>
        <v>-1.5416235517567212E-2</v>
      </c>
      <c r="M508" s="30">
        <f t="shared" si="59"/>
        <v>-1.4642524424231529E-2</v>
      </c>
      <c r="N508" s="30">
        <f t="shared" si="60"/>
        <v>4.6254638760756972E-2</v>
      </c>
      <c r="O508" s="30">
        <f t="shared" si="61"/>
        <v>9.5433721979667485E-3</v>
      </c>
      <c r="P508" s="30">
        <f t="shared" si="62"/>
        <v>-3.9033236354681589E-2</v>
      </c>
      <c r="Q508" s="30">
        <f t="shared" si="63"/>
        <v>2.0588124982857003E-2</v>
      </c>
    </row>
    <row r="509" spans="2:17" ht="13.95" customHeight="1" x14ac:dyDescent="0.3">
      <c r="B509" s="105">
        <v>46045</v>
      </c>
      <c r="C509" s="107">
        <f t="shared" si="56"/>
        <v>1</v>
      </c>
      <c r="D509" s="106">
        <v>9.4614284605043046</v>
      </c>
      <c r="E509" s="106">
        <v>4.4635558000433662</v>
      </c>
      <c r="F509" s="106">
        <v>1.313597586968781</v>
      </c>
      <c r="G509" s="106">
        <v>5.6641302510708869</v>
      </c>
      <c r="H509" s="106">
        <v>5.066558131125265</v>
      </c>
      <c r="I509" s="106">
        <v>0.81580311143067885</v>
      </c>
      <c r="J509" s="106">
        <v>9.7788658873399346</v>
      </c>
      <c r="K509" s="30">
        <f t="shared" si="57"/>
        <v>9.2158215737619509E-2</v>
      </c>
      <c r="L509" s="30">
        <f t="shared" si="58"/>
        <v>8.2756517095880611E-2</v>
      </c>
      <c r="M509" s="30">
        <f t="shared" si="59"/>
        <v>7.9669447396844451E-2</v>
      </c>
      <c r="N509" s="30">
        <f t="shared" si="60"/>
        <v>8.298668232198847E-2</v>
      </c>
      <c r="O509" s="30">
        <f t="shared" si="61"/>
        <v>8.4948515261842994E-2</v>
      </c>
      <c r="P509" s="30">
        <f t="shared" si="62"/>
        <v>9.3130182343511114E-2</v>
      </c>
      <c r="Q509" s="30">
        <f t="shared" si="63"/>
        <v>6.1362210522977412E-2</v>
      </c>
    </row>
    <row r="510" spans="2:17" ht="13.95" customHeight="1" x14ac:dyDescent="0.3">
      <c r="B510" s="105">
        <v>46052</v>
      </c>
      <c r="C510" s="107">
        <f t="shared" si="56"/>
        <v>1</v>
      </c>
      <c r="D510" s="106">
        <v>9.7401700350980001</v>
      </c>
      <c r="E510" s="106">
        <v>4.4230878205406174</v>
      </c>
      <c r="F510" s="106">
        <v>1.3242628288798619</v>
      </c>
      <c r="G510" s="106">
        <v>5.7752751192407468</v>
      </c>
      <c r="H510" s="106">
        <v>5.1335861223182766</v>
      </c>
      <c r="I510" s="106">
        <v>0.83642816650425333</v>
      </c>
      <c r="J510" s="106">
        <v>9.6231690656044346</v>
      </c>
      <c r="K510" s="30">
        <f t="shared" si="57"/>
        <v>2.9460834139080738E-2</v>
      </c>
      <c r="L510" s="30">
        <f t="shared" si="58"/>
        <v>-9.0663097574260609E-3</v>
      </c>
      <c r="M510" s="30">
        <f t="shared" si="59"/>
        <v>8.1191089393606308E-3</v>
      </c>
      <c r="N510" s="30">
        <f t="shared" si="60"/>
        <v>1.9622583387598924E-2</v>
      </c>
      <c r="O510" s="30">
        <f t="shared" si="61"/>
        <v>1.3229492183508107E-2</v>
      </c>
      <c r="P510" s="30">
        <f t="shared" si="62"/>
        <v>2.5281902930480715E-2</v>
      </c>
      <c r="Q510" s="30">
        <f t="shared" si="63"/>
        <v>-1.5921766749769084E-2</v>
      </c>
    </row>
    <row r="511" spans="2:17" ht="13.95" customHeight="1" x14ac:dyDescent="0.3">
      <c r="B511" s="105">
        <v>46059</v>
      </c>
      <c r="C511" s="107">
        <f t="shared" si="56"/>
        <v>1</v>
      </c>
      <c r="D511" s="106">
        <v>9.840801516823598</v>
      </c>
      <c r="E511" s="106">
        <v>4.5422179629892074</v>
      </c>
      <c r="F511" s="106">
        <v>1.3168086411602249</v>
      </c>
      <c r="G511" s="106">
        <v>5.7659975587857284</v>
      </c>
      <c r="H511" s="106">
        <v>5.1785408103840336</v>
      </c>
      <c r="I511" s="106">
        <v>0.84224309586792812</v>
      </c>
      <c r="J511" s="106">
        <v>9.3896154751652698</v>
      </c>
      <c r="K511" s="30">
        <f t="shared" si="57"/>
        <v>1.0331593941684813E-2</v>
      </c>
      <c r="L511" s="30">
        <f t="shared" si="58"/>
        <v>2.6933704977630146E-2</v>
      </c>
      <c r="M511" s="30">
        <f t="shared" si="59"/>
        <v>-5.6289337411533635E-3</v>
      </c>
      <c r="N511" s="30">
        <f t="shared" si="60"/>
        <v>-1.6064274451808025E-3</v>
      </c>
      <c r="O511" s="30">
        <f t="shared" si="61"/>
        <v>8.7569755322338683E-3</v>
      </c>
      <c r="P511" s="30">
        <f t="shared" si="62"/>
        <v>6.9520965416283165E-3</v>
      </c>
      <c r="Q511" s="30">
        <f t="shared" si="63"/>
        <v>-2.4269924891368921E-2</v>
      </c>
    </row>
    <row r="512" spans="2:17" ht="13.95" customHeight="1" x14ac:dyDescent="0.3">
      <c r="B512" s="105">
        <v>46066</v>
      </c>
      <c r="C512" s="107">
        <f t="shared" si="56"/>
        <v>1</v>
      </c>
      <c r="D512" s="106">
        <v>10.021542999007711</v>
      </c>
      <c r="E512" s="106">
        <v>4.6627610558085051</v>
      </c>
      <c r="F512" s="106">
        <v>1.328524947329673</v>
      </c>
      <c r="G512" s="106">
        <v>5.8705012567996944</v>
      </c>
      <c r="H512" s="106">
        <v>5.2779735837465527</v>
      </c>
      <c r="I512" s="106">
        <v>0.84047895714579623</v>
      </c>
      <c r="J512" s="106">
        <v>9.6309785991699322</v>
      </c>
      <c r="K512" s="30">
        <f t="shared" si="57"/>
        <v>1.8366540761453276E-2</v>
      </c>
      <c r="L512" s="30">
        <f t="shared" si="58"/>
        <v>2.653837702230577E-2</v>
      </c>
      <c r="M512" s="30">
        <f t="shared" si="59"/>
        <v>8.8975009756353529E-3</v>
      </c>
      <c r="N512" s="30">
        <f t="shared" si="60"/>
        <v>1.8124131505177665E-2</v>
      </c>
      <c r="O512" s="30">
        <f t="shared" si="61"/>
        <v>1.9200924932972541E-2</v>
      </c>
      <c r="P512" s="30">
        <f t="shared" si="62"/>
        <v>-2.094571900662423E-3</v>
      </c>
      <c r="Q512" s="30">
        <f t="shared" si="63"/>
        <v>2.5705325701893544E-2</v>
      </c>
    </row>
    <row r="513" spans="2:17" ht="13.95" customHeight="1" x14ac:dyDescent="0.3">
      <c r="B513" s="105">
        <v>46073</v>
      </c>
      <c r="C513" s="107">
        <f t="shared" si="56"/>
        <v>1</v>
      </c>
      <c r="D513" s="106">
        <v>10.379504682708189</v>
      </c>
      <c r="E513" s="106">
        <v>4.7593838404642028</v>
      </c>
      <c r="F513" s="106">
        <v>1.35095322708442</v>
      </c>
      <c r="G513" s="106">
        <v>5.9426326055358691</v>
      </c>
      <c r="H513" s="106">
        <v>5.3931422384864796</v>
      </c>
      <c r="I513" s="106">
        <v>0.86656684752464452</v>
      </c>
      <c r="J513" s="106">
        <v>9.5907326677358888</v>
      </c>
      <c r="K513" s="30">
        <f t="shared" si="57"/>
        <v>3.5719218461261137E-2</v>
      </c>
      <c r="L513" s="30">
        <f t="shared" si="58"/>
        <v>2.0722225200738631E-2</v>
      </c>
      <c r="M513" s="30">
        <f t="shared" si="59"/>
        <v>1.6882091525513232E-2</v>
      </c>
      <c r="N513" s="30">
        <f t="shared" si="60"/>
        <v>1.2287085136490905E-2</v>
      </c>
      <c r="O513" s="30">
        <f t="shared" si="61"/>
        <v>2.1820619772441985E-2</v>
      </c>
      <c r="P513" s="30">
        <f t="shared" si="62"/>
        <v>3.1039314139928997E-2</v>
      </c>
      <c r="Q513" s="30">
        <f t="shared" si="63"/>
        <v>-4.1787997989645165E-3</v>
      </c>
    </row>
    <row r="514" spans="2:17" ht="13.95" customHeight="1" x14ac:dyDescent="0.3">
      <c r="B514" s="105">
        <v>46080</v>
      </c>
      <c r="C514" s="107">
        <f t="shared" si="56"/>
        <v>1</v>
      </c>
      <c r="D514" s="106">
        <v>10.07918057207889</v>
      </c>
      <c r="E514" s="106">
        <v>4.7309885989254488</v>
      </c>
      <c r="F514" s="106">
        <v>1.3117642499956901</v>
      </c>
      <c r="G514" s="106">
        <v>6.033308922296067</v>
      </c>
      <c r="H514" s="106">
        <v>5.3440861330472487</v>
      </c>
      <c r="I514" s="106">
        <v>0.847318821740493</v>
      </c>
      <c r="J514" s="106">
        <v>9.2121208591916748</v>
      </c>
      <c r="K514" s="30">
        <f t="shared" si="57"/>
        <v>-2.8934339336021186E-2</v>
      </c>
      <c r="L514" s="30">
        <f t="shared" si="58"/>
        <v>-5.9661591690374216E-3</v>
      </c>
      <c r="M514" s="30">
        <f t="shared" si="59"/>
        <v>-2.9008389264005952E-2</v>
      </c>
      <c r="N514" s="30">
        <f t="shared" si="60"/>
        <v>1.5258610582072452E-2</v>
      </c>
      <c r="O514" s="30">
        <f t="shared" si="61"/>
        <v>-9.0960155082054905E-3</v>
      </c>
      <c r="P514" s="30">
        <f t="shared" si="62"/>
        <v>-2.2211818787129523E-2</v>
      </c>
      <c r="Q514" s="30">
        <f t="shared" si="63"/>
        <v>-3.9476838909075163E-2</v>
      </c>
    </row>
    <row r="515" spans="2:17" ht="13.95" customHeight="1" x14ac:dyDescent="0.3">
      <c r="B515" s="105">
        <v>46087</v>
      </c>
      <c r="C515" s="107">
        <f t="shared" si="56"/>
        <v>1</v>
      </c>
      <c r="D515" s="106">
        <v>9.3695831740975386</v>
      </c>
      <c r="E515" s="106">
        <v>4.5019933986410168</v>
      </c>
      <c r="F515" s="106">
        <v>1.2055806262323889</v>
      </c>
      <c r="G515" s="106">
        <v>5.9123443126205597</v>
      </c>
      <c r="H515" s="106">
        <v>5.0775261541756249</v>
      </c>
      <c r="I515" s="106">
        <v>0.78668305760309631</v>
      </c>
      <c r="J515" s="106">
        <v>8.3310425380211708</v>
      </c>
      <c r="K515" s="30">
        <f t="shared" si="57"/>
        <v>-7.0402290434905201E-2</v>
      </c>
      <c r="L515" s="30">
        <f t="shared" si="58"/>
        <v>-4.8403245008124429E-2</v>
      </c>
      <c r="M515" s="30">
        <f t="shared" si="59"/>
        <v>-8.0947185261109222E-2</v>
      </c>
      <c r="N515" s="30">
        <f t="shared" si="60"/>
        <v>-2.004946393984286E-2</v>
      </c>
      <c r="O515" s="30">
        <f t="shared" si="61"/>
        <v>-4.9879431625034165E-2</v>
      </c>
      <c r="P515" s="30">
        <f t="shared" si="62"/>
        <v>-7.1561922834245117E-2</v>
      </c>
      <c r="Q515" s="30">
        <f t="shared" si="63"/>
        <v>-9.5643374054453667E-2</v>
      </c>
    </row>
    <row r="516" spans="2:17" ht="13.95" customHeight="1" x14ac:dyDescent="0.3">
      <c r="B516" s="105">
        <v>46094</v>
      </c>
      <c r="C516" s="107">
        <f t="shared" si="56"/>
        <v>1</v>
      </c>
      <c r="D516" s="106">
        <v>9.205323432066935</v>
      </c>
      <c r="E516" s="106">
        <v>4.4370384770813649</v>
      </c>
      <c r="F516" s="106">
        <v>1.1591150149209959</v>
      </c>
      <c r="G516" s="106">
        <v>5.9857183882214313</v>
      </c>
      <c r="H516" s="106">
        <v>5.0288291431086307</v>
      </c>
      <c r="I516" s="106">
        <v>0.75730785189536631</v>
      </c>
      <c r="J516" s="106">
        <v>7.9938549937556767</v>
      </c>
      <c r="K516" s="30">
        <f t="shared" si="57"/>
        <v>-1.753116856731729E-2</v>
      </c>
      <c r="L516" s="30">
        <f t="shared" si="58"/>
        <v>-1.442803571841289E-2</v>
      </c>
      <c r="M516" s="30">
        <f t="shared" si="59"/>
        <v>-3.8542101872194756E-2</v>
      </c>
      <c r="N516" s="30">
        <f t="shared" si="60"/>
        <v>1.2410318432275025E-2</v>
      </c>
      <c r="O516" s="30">
        <f t="shared" si="61"/>
        <v>-9.5906962541093543E-3</v>
      </c>
      <c r="P516" s="30">
        <f t="shared" si="62"/>
        <v>-3.7340585161744544E-2</v>
      </c>
      <c r="Q516" s="30">
        <f t="shared" si="63"/>
        <v>-4.0473631328448945E-2</v>
      </c>
    </row>
    <row r="517" spans="2:17" ht="13.95" customHeight="1" x14ac:dyDescent="0.3">
      <c r="B517" s="105">
        <v>46101</v>
      </c>
      <c r="C517" s="107">
        <f t="shared" si="56"/>
        <v>1</v>
      </c>
      <c r="D517" s="106">
        <v>8.9848280291793312</v>
      </c>
      <c r="E517" s="106">
        <v>4.4463017326857148</v>
      </c>
      <c r="F517" s="106">
        <v>1.141131314243752</v>
      </c>
      <c r="G517" s="106">
        <v>5.9855456752922187</v>
      </c>
      <c r="H517" s="106">
        <v>4.9892316099589964</v>
      </c>
      <c r="I517" s="106">
        <v>0.74395662233220428</v>
      </c>
      <c r="J517" s="106">
        <v>7.8970959736122683</v>
      </c>
      <c r="K517" s="30">
        <f t="shared" si="57"/>
        <v>-2.3953031581650186E-2</v>
      </c>
      <c r="L517" s="30">
        <f t="shared" si="58"/>
        <v>2.087711353461863E-3</v>
      </c>
      <c r="M517" s="30">
        <f t="shared" si="59"/>
        <v>-1.5515026934984189E-2</v>
      </c>
      <c r="N517" s="30">
        <f t="shared" si="60"/>
        <v>-2.885416887510317E-5</v>
      </c>
      <c r="O517" s="30">
        <f t="shared" si="61"/>
        <v>-7.8741058848454948E-3</v>
      </c>
      <c r="P517" s="30">
        <f t="shared" si="62"/>
        <v>-1.7629857566836216E-2</v>
      </c>
      <c r="Q517" s="30">
        <f t="shared" si="63"/>
        <v>-1.21041750468317E-2</v>
      </c>
    </row>
    <row r="518" spans="2:17" ht="13.95" customHeight="1" x14ac:dyDescent="0.3">
      <c r="B518" s="105">
        <v>46108</v>
      </c>
      <c r="C518" s="107">
        <f t="shared" si="56"/>
        <v>1</v>
      </c>
      <c r="D518" s="106">
        <v>9.0784124031600726</v>
      </c>
      <c r="E518" s="106">
        <v>4.5207923595631234</v>
      </c>
      <c r="F518" s="106">
        <v>1.168048666266309</v>
      </c>
      <c r="G518" s="106">
        <v>6.34410635249652</v>
      </c>
      <c r="H518" s="106">
        <v>5.1408866914404303</v>
      </c>
      <c r="I518" s="106">
        <v>0.76059072560972385</v>
      </c>
      <c r="J518" s="106">
        <v>8.0989450761717325</v>
      </c>
      <c r="K518" s="30">
        <f t="shared" si="57"/>
        <v>1.0415822503982763E-2</v>
      </c>
      <c r="L518" s="30">
        <f t="shared" si="58"/>
        <v>1.6753389975721289E-2</v>
      </c>
      <c r="M518" s="30">
        <f t="shared" si="59"/>
        <v>2.3588303718047987E-2</v>
      </c>
      <c r="N518" s="30">
        <f t="shared" si="60"/>
        <v>5.9904425871212919E-2</v>
      </c>
      <c r="O518" s="30">
        <f t="shared" si="61"/>
        <v>3.0396480527926428E-2</v>
      </c>
      <c r="P518" s="30">
        <f t="shared" si="62"/>
        <v>2.2358969297664011E-2</v>
      </c>
      <c r="Q518" s="30">
        <f t="shared" si="63"/>
        <v>2.5559915092070895E-2</v>
      </c>
    </row>
    <row r="519" spans="2:17" ht="13.95" customHeight="1" x14ac:dyDescent="0.3">
      <c r="B519" s="105">
        <v>46115</v>
      </c>
      <c r="C519" s="107">
        <f t="shared" si="56"/>
        <v>1</v>
      </c>
      <c r="D519" s="106">
        <v>9.5368832478174763</v>
      </c>
      <c r="E519" s="106">
        <v>4.7057306290091372</v>
      </c>
      <c r="F519" s="106">
        <v>1.2358098074260111</v>
      </c>
      <c r="G519" s="106">
        <v>6.4265558565381742</v>
      </c>
      <c r="H519" s="106">
        <v>5.325215537511836</v>
      </c>
      <c r="I519" s="106">
        <v>0.79461700829615434</v>
      </c>
      <c r="J519" s="106">
        <v>8.7404859935314896</v>
      </c>
      <c r="K519" s="30">
        <f t="shared" si="57"/>
        <v>5.0501213681129586E-2</v>
      </c>
      <c r="L519" s="30">
        <f t="shared" si="58"/>
        <v>4.090837506721634E-2</v>
      </c>
      <c r="M519" s="30">
        <f t="shared" si="59"/>
        <v>5.8012258492877722E-2</v>
      </c>
      <c r="N519" s="30">
        <f t="shared" si="60"/>
        <v>1.2996236106478376E-2</v>
      </c>
      <c r="O519" s="30">
        <f t="shared" si="61"/>
        <v>3.5855457848995798E-2</v>
      </c>
      <c r="P519" s="30">
        <f t="shared" si="62"/>
        <v>4.473665210570843E-2</v>
      </c>
      <c r="Q519" s="30">
        <f t="shared" si="63"/>
        <v>7.9212898880776761E-2</v>
      </c>
    </row>
    <row r="520" spans="2:17" ht="13.95" customHeight="1" x14ac:dyDescent="0.3">
      <c r="B520" s="105">
        <v>46122</v>
      </c>
      <c r="C520" s="107">
        <f t="shared" si="56"/>
        <v>1</v>
      </c>
      <c r="D520" s="106">
        <v>10.168720158220699</v>
      </c>
      <c r="E520" s="106">
        <v>5.047018417157811</v>
      </c>
      <c r="F520" s="106">
        <v>1.284740267861354</v>
      </c>
      <c r="G520" s="106">
        <v>6.5642721958885426</v>
      </c>
      <c r="H520" s="106">
        <v>5.5886146830743098</v>
      </c>
      <c r="I520" s="106">
        <v>0.81592678458695655</v>
      </c>
      <c r="J520" s="106">
        <v>9.258736389679699</v>
      </c>
      <c r="K520" s="30">
        <f t="shared" si="57"/>
        <v>6.6251928851893904E-2</v>
      </c>
      <c r="L520" s="30">
        <f t="shared" si="58"/>
        <v>7.2525993316480353E-2</v>
      </c>
      <c r="M520" s="30">
        <f t="shared" si="59"/>
        <v>3.9593843762461223E-2</v>
      </c>
      <c r="N520" s="30">
        <f t="shared" si="60"/>
        <v>2.1429260466204525E-2</v>
      </c>
      <c r="O520" s="30">
        <f t="shared" si="61"/>
        <v>4.9462626199266557E-2</v>
      </c>
      <c r="P520" s="30">
        <f t="shared" si="62"/>
        <v>2.6817669478904627E-2</v>
      </c>
      <c r="Q520" s="30">
        <f t="shared" si="63"/>
        <v>5.9293086966988762E-2</v>
      </c>
    </row>
    <row r="521" spans="2:17" ht="13.95" customHeight="1" x14ac:dyDescent="0.3">
      <c r="B521" s="105">
        <v>46129</v>
      </c>
      <c r="C521" s="107">
        <f t="shared" si="56"/>
        <v>1</v>
      </c>
      <c r="D521" s="106">
        <v>10.26720708167311</v>
      </c>
      <c r="E521" s="106">
        <v>4.9534596583650199</v>
      </c>
      <c r="F521" s="106">
        <v>1.275819902247386</v>
      </c>
      <c r="G521" s="106">
        <v>6.4718948026193663</v>
      </c>
      <c r="H521" s="106">
        <v>5.5437801760585641</v>
      </c>
      <c r="I521" s="106">
        <v>0.83655956370905793</v>
      </c>
      <c r="J521" s="106">
        <v>8.7484349451792216</v>
      </c>
      <c r="K521" s="30">
        <f t="shared" si="57"/>
        <v>9.6852821122028754E-3</v>
      </c>
      <c r="L521" s="30">
        <f t="shared" si="58"/>
        <v>-1.8537431619969791E-2</v>
      </c>
      <c r="M521" s="30">
        <f t="shared" si="59"/>
        <v>-6.943322192910939E-3</v>
      </c>
      <c r="N521" s="30">
        <f t="shared" si="60"/>
        <v>-1.4072754832902268E-2</v>
      </c>
      <c r="O521" s="30">
        <f t="shared" si="61"/>
        <v>-8.0224723940141018E-3</v>
      </c>
      <c r="P521" s="30">
        <f t="shared" si="62"/>
        <v>2.528753745049106E-2</v>
      </c>
      <c r="Q521" s="30">
        <f t="shared" si="63"/>
        <v>-5.5115668383137861E-2</v>
      </c>
    </row>
    <row r="522" spans="2:17" ht="13.95" customHeight="1" x14ac:dyDescent="0.3">
      <c r="B522" s="105">
        <v>46136</v>
      </c>
      <c r="C522" s="107">
        <f t="shared" si="56"/>
        <v>1</v>
      </c>
      <c r="D522" s="106">
        <v>9.7739450453112848</v>
      </c>
      <c r="E522" s="106">
        <v>4.8772771253882707</v>
      </c>
      <c r="F522" s="106">
        <v>1.2101417276723241</v>
      </c>
      <c r="G522" s="106">
        <v>6.4436715233741211</v>
      </c>
      <c r="H522" s="106">
        <v>5.4041395393619718</v>
      </c>
      <c r="I522" s="106">
        <v>0.78915218771163875</v>
      </c>
      <c r="J522" s="106">
        <v>8.3717124759797361</v>
      </c>
      <c r="K522" s="30">
        <f t="shared" si="57"/>
        <v>-4.8042474690346393E-2</v>
      </c>
      <c r="L522" s="30">
        <f t="shared" si="58"/>
        <v>-1.5379661535770861E-2</v>
      </c>
      <c r="M522" s="30">
        <f t="shared" si="59"/>
        <v>-5.1479189546556059E-2</v>
      </c>
      <c r="N522" s="30">
        <f t="shared" si="60"/>
        <v>-4.3608989493807426E-3</v>
      </c>
      <c r="O522" s="30">
        <f t="shared" si="61"/>
        <v>-2.5188703783682875E-2</v>
      </c>
      <c r="P522" s="30">
        <f t="shared" si="62"/>
        <v>-5.6669456729690482E-2</v>
      </c>
      <c r="Q522" s="30">
        <f t="shared" si="63"/>
        <v>-4.3061698642118396E-2</v>
      </c>
    </row>
    <row r="523" spans="2:17" ht="13.95" customHeight="1" x14ac:dyDescent="0.3">
      <c r="B523" s="105">
        <v>46143</v>
      </c>
      <c r="C523" s="107">
        <f t="shared" si="56"/>
        <v>1</v>
      </c>
      <c r="D523" s="106">
        <v>9.4978322968277045</v>
      </c>
      <c r="E523" s="106">
        <v>4.7725392337187911</v>
      </c>
      <c r="F523" s="106">
        <v>1.158624823061521</v>
      </c>
      <c r="G523" s="106">
        <v>6.4592973888884622</v>
      </c>
      <c r="H523" s="106">
        <v>5.3078203003211932</v>
      </c>
      <c r="I523" s="106">
        <v>0.75509635808201803</v>
      </c>
      <c r="J523" s="106">
        <v>8.0231367218620502</v>
      </c>
      <c r="K523" s="30">
        <f t="shared" si="57"/>
        <v>-2.8249877322160333E-2</v>
      </c>
      <c r="L523" s="30">
        <f t="shared" si="58"/>
        <v>-2.1474664854345682E-2</v>
      </c>
      <c r="M523" s="30">
        <f t="shared" si="59"/>
        <v>-4.2570967873237886E-2</v>
      </c>
      <c r="N523" s="30">
        <f t="shared" si="60"/>
        <v>2.4249941136289532E-3</v>
      </c>
      <c r="O523" s="30">
        <f t="shared" si="61"/>
        <v>-1.7823233160287777E-2</v>
      </c>
      <c r="P523" s="30">
        <f t="shared" si="62"/>
        <v>-4.3154958143593158E-2</v>
      </c>
      <c r="Q523" s="30">
        <f t="shared" si="63"/>
        <v>-4.1637329891324626E-2</v>
      </c>
    </row>
    <row r="524" spans="2:17" ht="13.95" customHeight="1" x14ac:dyDescent="0.3">
      <c r="B524" s="105">
        <v>46150</v>
      </c>
      <c r="C524" s="107">
        <f t="shared" si="56"/>
        <v>1</v>
      </c>
      <c r="D524" s="106">
        <v>9.2451859045990261</v>
      </c>
      <c r="E524" s="106">
        <v>4.7069878521567867</v>
      </c>
      <c r="F524" s="106">
        <v>1.1869708083027459</v>
      </c>
      <c r="G524" s="106">
        <v>6.2827512687830884</v>
      </c>
      <c r="H524" s="106">
        <v>5.2169518084229116</v>
      </c>
      <c r="I524" s="106">
        <v>0.79033286851910134</v>
      </c>
      <c r="J524" s="106">
        <v>7.9346829769193281</v>
      </c>
      <c r="K524" s="30">
        <f t="shared" si="57"/>
        <v>-2.660042674295926E-2</v>
      </c>
      <c r="L524" s="30">
        <f t="shared" si="58"/>
        <v>-1.3735116329452679E-2</v>
      </c>
      <c r="M524" s="30">
        <f t="shared" si="59"/>
        <v>2.4465197600655797E-2</v>
      </c>
      <c r="N524" s="30">
        <f t="shared" si="60"/>
        <v>-2.7332093488848352E-2</v>
      </c>
      <c r="O524" s="30">
        <f t="shared" si="61"/>
        <v>-1.7119737812672953E-2</v>
      </c>
      <c r="P524" s="30">
        <f t="shared" si="62"/>
        <v>4.6664919066204735E-2</v>
      </c>
      <c r="Q524" s="30">
        <f t="shared" si="63"/>
        <v>-1.1024833305120718E-2</v>
      </c>
    </row>
    <row r="525" spans="2:17" ht="13.95" customHeight="1" x14ac:dyDescent="0.3">
      <c r="B525" s="105">
        <v>46157</v>
      </c>
      <c r="C525" s="107">
        <f t="shared" si="56"/>
        <v>1</v>
      </c>
      <c r="D525" s="106">
        <v>8.800296089711054</v>
      </c>
      <c r="E525" s="106">
        <v>4.4112742352884977</v>
      </c>
      <c r="F525" s="106">
        <v>1.099033320507893</v>
      </c>
      <c r="G525" s="106">
        <v>6.3286047040305142</v>
      </c>
      <c r="H525" s="106">
        <v>5.0235944023201906</v>
      </c>
      <c r="I525" s="106">
        <v>0.71795288540644053</v>
      </c>
      <c r="J525" s="106">
        <v>7.5817188978942891</v>
      </c>
      <c r="K525" s="30">
        <f t="shared" si="57"/>
        <v>-4.8121240554682809E-2</v>
      </c>
      <c r="L525" s="30">
        <f t="shared" si="58"/>
        <v>-6.2824384968996672E-2</v>
      </c>
      <c r="M525" s="30">
        <f t="shared" si="59"/>
        <v>-7.4085636461940441E-2</v>
      </c>
      <c r="N525" s="30">
        <f t="shared" si="60"/>
        <v>7.2983050395860616E-3</v>
      </c>
      <c r="O525" s="30">
        <f t="shared" si="61"/>
        <v>-3.7063291593098513E-2</v>
      </c>
      <c r="P525" s="30">
        <f t="shared" si="62"/>
        <v>-9.1581643628568687E-2</v>
      </c>
      <c r="Q525" s="30">
        <f t="shared" si="63"/>
        <v>-4.448370275810043E-2</v>
      </c>
    </row>
    <row r="526" spans="2:17" ht="13.95" customHeight="1" x14ac:dyDescent="0.3">
      <c r="B526" s="105">
        <v>46164</v>
      </c>
      <c r="C526" s="107">
        <f t="shared" si="56"/>
        <v>1</v>
      </c>
      <c r="D526" s="106">
        <v>8.7756989517095914</v>
      </c>
      <c r="E526" s="106">
        <v>4.3585956608691179</v>
      </c>
      <c r="F526" s="106">
        <v>1.1010932958596811</v>
      </c>
      <c r="G526" s="106">
        <v>6.2861733455168158</v>
      </c>
      <c r="H526" s="106">
        <v>4.9932358969092911</v>
      </c>
      <c r="I526" s="106">
        <v>0.71945730294722821</v>
      </c>
      <c r="J526" s="106">
        <v>7.5932336126349966</v>
      </c>
      <c r="K526" s="30">
        <f t="shared" si="57"/>
        <v>-2.7950352750313323E-3</v>
      </c>
      <c r="L526" s="30">
        <f t="shared" si="58"/>
        <v>-1.1941804478617923E-2</v>
      </c>
      <c r="M526" s="30">
        <f t="shared" si="59"/>
        <v>1.8743520449735485E-3</v>
      </c>
      <c r="N526" s="30">
        <f t="shared" si="60"/>
        <v>-6.7046940831483326E-3</v>
      </c>
      <c r="O526" s="30">
        <f t="shared" si="61"/>
        <v>-6.0431840191712549E-3</v>
      </c>
      <c r="P526" s="30">
        <f t="shared" si="62"/>
        <v>2.0954265542592054E-3</v>
      </c>
      <c r="Q526" s="30">
        <f t="shared" si="63"/>
        <v>1.5187472518805034E-3</v>
      </c>
    </row>
    <row r="527" spans="2:17" ht="13.95" customHeight="1" x14ac:dyDescent="0.3">
      <c r="B527" s="105">
        <v>46171</v>
      </c>
      <c r="C527" s="107">
        <f t="shared" si="56"/>
        <v>1</v>
      </c>
      <c r="D527" s="106">
        <v>8.798121371807234</v>
      </c>
      <c r="E527" s="106">
        <v>4.3368971742911651</v>
      </c>
      <c r="F527" s="106">
        <v>1.1064574137548351</v>
      </c>
      <c r="G527" s="106">
        <v>6.0386063129937622</v>
      </c>
      <c r="H527" s="106">
        <v>4.9247000084727883</v>
      </c>
      <c r="I527" s="106">
        <v>0.7143195548240624</v>
      </c>
      <c r="J527" s="106">
        <v>7.7770327700326769</v>
      </c>
      <c r="K527" s="30">
        <f t="shared" si="57"/>
        <v>2.5550580325313099E-3</v>
      </c>
      <c r="L527" s="30">
        <f t="shared" si="58"/>
        <v>-4.9783206028397586E-3</v>
      </c>
      <c r="M527" s="30">
        <f t="shared" si="59"/>
        <v>4.8716288758854365E-3</v>
      </c>
      <c r="N527" s="30">
        <f t="shared" si="60"/>
        <v>-3.9382788051750772E-2</v>
      </c>
      <c r="O527" s="30">
        <f t="shared" si="61"/>
        <v>-1.3725746159704788E-2</v>
      </c>
      <c r="P527" s="30">
        <f t="shared" si="62"/>
        <v>-7.1411438901505253E-3</v>
      </c>
      <c r="Q527" s="30">
        <f t="shared" si="63"/>
        <v>2.4205650289995218E-2</v>
      </c>
    </row>
    <row r="528" spans="2:17" ht="13.95" customHeight="1" x14ac:dyDescent="0.3">
      <c r="B528" s="105">
        <v>46178</v>
      </c>
      <c r="C528" s="107">
        <f t="shared" si="56"/>
        <v>1</v>
      </c>
      <c r="D528" s="106">
        <v>8.4984866511501966</v>
      </c>
      <c r="E528" s="106">
        <v>4.2439338007695868</v>
      </c>
      <c r="F528" s="106">
        <v>1.074218616854969</v>
      </c>
      <c r="G528" s="106">
        <v>5.8864072071029758</v>
      </c>
      <c r="H528" s="106">
        <v>4.7914731789584888</v>
      </c>
      <c r="I528" s="106">
        <v>0.69254574393886437</v>
      </c>
      <c r="J528" s="106">
        <v>7.5667293090243959</v>
      </c>
      <c r="K528" s="30">
        <f t="shared" si="57"/>
        <v>-3.4056670508909925E-2</v>
      </c>
      <c r="L528" s="30">
        <f t="shared" si="58"/>
        <v>-2.1435457144951209E-2</v>
      </c>
      <c r="M528" s="30">
        <f t="shared" si="59"/>
        <v>-2.9136952312029507E-2</v>
      </c>
      <c r="N528" s="30">
        <f t="shared" si="60"/>
        <v>-2.5204343188143796E-2</v>
      </c>
      <c r="O528" s="30">
        <f t="shared" si="61"/>
        <v>-2.7052780734884818E-2</v>
      </c>
      <c r="P528" s="30">
        <f t="shared" si="62"/>
        <v>-3.0481891106230341E-2</v>
      </c>
      <c r="Q528" s="30">
        <f t="shared" si="63"/>
        <v>-2.704160664188604E-2</v>
      </c>
    </row>
    <row r="529" spans="2:17" ht="13.95" customHeight="1" x14ac:dyDescent="0.3">
      <c r="B529" s="105">
        <v>46185</v>
      </c>
      <c r="C529" s="107">
        <f t="shared" si="56"/>
        <v>1</v>
      </c>
      <c r="D529" s="106">
        <v>8.7119625171626165</v>
      </c>
      <c r="E529" s="106">
        <v>4.3030686107195022</v>
      </c>
      <c r="F529" s="106">
        <v>1.074706354994255</v>
      </c>
      <c r="G529" s="106">
        <v>5.9181256597240051</v>
      </c>
      <c r="H529" s="106">
        <v>4.8505899271579116</v>
      </c>
      <c r="I529" s="106">
        <v>0.69075389952546151</v>
      </c>
      <c r="J529" s="106">
        <v>7.6058915538356802</v>
      </c>
      <c r="K529" s="30">
        <f t="shared" si="57"/>
        <v>2.5119280028936375E-2</v>
      </c>
      <c r="L529" s="30">
        <f t="shared" si="58"/>
        <v>1.3933961443788778E-2</v>
      </c>
      <c r="M529" s="30">
        <f t="shared" si="59"/>
        <v>4.5403992412085259E-4</v>
      </c>
      <c r="N529" s="30">
        <f t="shared" si="60"/>
        <v>5.3884231085399303E-3</v>
      </c>
      <c r="O529" s="30">
        <f t="shared" si="61"/>
        <v>1.2337906525081044E-2</v>
      </c>
      <c r="P529" s="30">
        <f t="shared" si="62"/>
        <v>-2.5873300487152529E-3</v>
      </c>
      <c r="Q529" s="30">
        <f t="shared" si="63"/>
        <v>5.1755842203284885E-3</v>
      </c>
    </row>
    <row r="530" spans="2:17" ht="13.95" customHeight="1" x14ac:dyDescent="0.3">
      <c r="B530" s="105">
        <v>46192</v>
      </c>
      <c r="C530" s="107">
        <f t="shared" si="56"/>
        <v>1</v>
      </c>
      <c r="D530" s="106">
        <v>8.6266352736569445</v>
      </c>
      <c r="E530" s="106">
        <v>4.1999436547409958</v>
      </c>
      <c r="F530" s="106">
        <v>1.0850162221857469</v>
      </c>
      <c r="G530" s="106">
        <v>5.7727104039488957</v>
      </c>
      <c r="H530" s="106">
        <v>4.7718931370488491</v>
      </c>
      <c r="I530" s="106">
        <v>0.66933180517587665</v>
      </c>
      <c r="J530" s="106">
        <v>8.1546144784384254</v>
      </c>
      <c r="K530" s="30">
        <f t="shared" si="57"/>
        <v>-9.7942620089993548E-3</v>
      </c>
      <c r="L530" s="30">
        <f t="shared" si="58"/>
        <v>-2.396544543157153E-2</v>
      </c>
      <c r="M530" s="30">
        <f t="shared" si="59"/>
        <v>9.5931945908582783E-3</v>
      </c>
      <c r="N530" s="30">
        <f t="shared" si="60"/>
        <v>-2.4571167314803355E-2</v>
      </c>
      <c r="O530" s="30">
        <f t="shared" si="61"/>
        <v>-1.6224168872418621E-2</v>
      </c>
      <c r="P530" s="30">
        <f t="shared" si="62"/>
        <v>-3.101262890343659E-2</v>
      </c>
      <c r="Q530" s="30">
        <f t="shared" si="63"/>
        <v>7.2144458111031318E-2</v>
      </c>
    </row>
    <row r="531" spans="2:17" ht="13.95" customHeight="1" x14ac:dyDescent="0.3">
      <c r="B531" s="105">
        <v>46199</v>
      </c>
      <c r="C531" s="107">
        <f t="shared" si="56"/>
        <v>1</v>
      </c>
      <c r="D531" s="106">
        <v>9.0400338981383825</v>
      </c>
      <c r="E531" s="106">
        <v>4.472276693403793</v>
      </c>
      <c r="F531" s="106">
        <v>1.143629483384355</v>
      </c>
      <c r="G531" s="106">
        <v>5.6322601595640638</v>
      </c>
      <c r="H531" s="106">
        <v>4.9109518967333194</v>
      </c>
      <c r="I531" s="106">
        <v>0.71247011622062095</v>
      </c>
      <c r="J531" s="106">
        <v>8.4767279112240121</v>
      </c>
      <c r="K531" s="30">
        <f t="shared" si="57"/>
        <v>4.7921189591013436E-2</v>
      </c>
      <c r="L531" s="30">
        <f t="shared" si="58"/>
        <v>6.4842069572857541E-2</v>
      </c>
      <c r="M531" s="30">
        <f t="shared" si="59"/>
        <v>5.4020631212805981E-2</v>
      </c>
      <c r="N531" s="30">
        <f t="shared" si="60"/>
        <v>-2.433003469024797E-2</v>
      </c>
      <c r="O531" s="30">
        <f t="shared" si="61"/>
        <v>2.9141214124185133E-2</v>
      </c>
      <c r="P531" s="30">
        <f t="shared" si="62"/>
        <v>6.4449815041150105E-2</v>
      </c>
      <c r="Q531" s="30">
        <f t="shared" si="63"/>
        <v>3.9500755509323637E-2</v>
      </c>
    </row>
    <row r="532" spans="2:17" ht="13.95" customHeight="1" x14ac:dyDescent="0.3">
      <c r="B532" s="105">
        <v>46206</v>
      </c>
      <c r="C532" s="107">
        <f t="shared" si="56"/>
        <v>1</v>
      </c>
      <c r="D532" s="106">
        <v>9.1198947157630581</v>
      </c>
      <c r="E532" s="106">
        <v>4.4541083638044077</v>
      </c>
      <c r="F532" s="106">
        <v>1.149304446798125</v>
      </c>
      <c r="G532" s="106">
        <v>5.6812362470415882</v>
      </c>
      <c r="H532" s="106">
        <v>4.9338675273091841</v>
      </c>
      <c r="I532" s="106">
        <v>0.71277884199764086</v>
      </c>
      <c r="J532" s="106">
        <v>8.5735122819439376</v>
      </c>
      <c r="K532" s="30">
        <f t="shared" si="57"/>
        <v>8.8341281155064344E-3</v>
      </c>
      <c r="L532" s="30">
        <f t="shared" si="58"/>
        <v>-4.0624341571222633E-3</v>
      </c>
      <c r="M532" s="30">
        <f t="shared" si="59"/>
        <v>4.9622395157005172E-3</v>
      </c>
      <c r="N532" s="30">
        <f t="shared" si="60"/>
        <v>8.6956365810550995E-3</v>
      </c>
      <c r="O532" s="30">
        <f t="shared" si="61"/>
        <v>4.6662298995654439E-3</v>
      </c>
      <c r="P532" s="30">
        <f t="shared" si="62"/>
        <v>4.3331751043473865E-4</v>
      </c>
      <c r="Q532" s="30">
        <f t="shared" si="63"/>
        <v>1.1417656875806204E-2</v>
      </c>
    </row>
    <row r="533" spans="2:17" ht="13.95" customHeight="1" x14ac:dyDescent="0.3">
      <c r="B533" s="105">
        <v>46213</v>
      </c>
      <c r="C533" s="107">
        <f t="shared" si="56"/>
        <v>1</v>
      </c>
      <c r="D533" s="106">
        <v>9.5078378488251527</v>
      </c>
      <c r="E533" s="106">
        <v>4.5515436081299727</v>
      </c>
      <c r="F533" s="106">
        <v>1.1557594240989939</v>
      </c>
      <c r="G533" s="106">
        <v>5.7433366846621059</v>
      </c>
      <c r="H533" s="106">
        <v>5.0425096382917918</v>
      </c>
      <c r="I533" s="106">
        <v>0.7200968658453627</v>
      </c>
      <c r="J533" s="106">
        <v>8.565622481711598</v>
      </c>
      <c r="K533" s="30">
        <f t="shared" si="57"/>
        <v>4.2538115313059954E-2</v>
      </c>
      <c r="L533" s="30">
        <f t="shared" si="58"/>
        <v>2.1875364577421896E-2</v>
      </c>
      <c r="M533" s="30">
        <f t="shared" si="59"/>
        <v>5.6164207132860522E-3</v>
      </c>
      <c r="N533" s="30">
        <f t="shared" si="60"/>
        <v>1.0930796559086131E-2</v>
      </c>
      <c r="O533" s="30">
        <f t="shared" si="61"/>
        <v>2.201966517772691E-2</v>
      </c>
      <c r="P533" s="30">
        <f t="shared" si="62"/>
        <v>1.0266892641218606E-2</v>
      </c>
      <c r="Q533" s="30">
        <f t="shared" si="63"/>
        <v>-9.2025298067810457E-4</v>
      </c>
    </row>
    <row r="534" spans="2:17" ht="13.95" customHeight="1" x14ac:dyDescent="0.3">
      <c r="B534" s="105">
        <v>46220</v>
      </c>
      <c r="C534" s="107">
        <f t="shared" si="56"/>
        <v>1</v>
      </c>
      <c r="D534" s="106">
        <v>9.1910701285204315</v>
      </c>
      <c r="E534" s="106">
        <v>4.3579791593848283</v>
      </c>
      <c r="F534" s="106">
        <v>1.094006603262963</v>
      </c>
      <c r="G534" s="106">
        <v>5.8296874100426406</v>
      </c>
      <c r="H534" s="106">
        <v>4.924759578053628</v>
      </c>
      <c r="I534" s="106">
        <v>0.67926380154117627</v>
      </c>
      <c r="J534" s="106">
        <v>8.1478219297525172</v>
      </c>
      <c r="K534" s="30">
        <f t="shared" si="57"/>
        <v>-3.3316483236392469E-2</v>
      </c>
      <c r="L534" s="30">
        <f t="shared" si="58"/>
        <v>-4.2527209538188226E-2</v>
      </c>
      <c r="M534" s="30">
        <f t="shared" si="59"/>
        <v>-5.343051464553028E-2</v>
      </c>
      <c r="N534" s="30">
        <f t="shared" si="60"/>
        <v>1.5034940509606409E-2</v>
      </c>
      <c r="O534" s="30">
        <f t="shared" si="61"/>
        <v>-2.335147945856042E-2</v>
      </c>
      <c r="P534" s="30">
        <f t="shared" si="62"/>
        <v>-5.6704960458688003E-2</v>
      </c>
      <c r="Q534" s="30">
        <f t="shared" si="63"/>
        <v>-4.8776437772167003E-2</v>
      </c>
    </row>
    <row r="535" spans="2:17" ht="13.95" customHeight="1" x14ac:dyDescent="0.3">
      <c r="B535" s="105">
        <v>46227</v>
      </c>
      <c r="C535" s="107">
        <f t="shared" ref="C535:C598" si="64">IF(B535&gt;$C$17,1,0)</f>
        <v>1</v>
      </c>
      <c r="D535" s="106">
        <v>9.1873885954603605</v>
      </c>
      <c r="E535" s="106">
        <v>4.2616228110559602</v>
      </c>
      <c r="F535" s="106">
        <v>1.0880369354888919</v>
      </c>
      <c r="G535" s="106">
        <v>5.9871239540672399</v>
      </c>
      <c r="H535" s="106">
        <v>4.9341490991572092</v>
      </c>
      <c r="I535" s="106">
        <v>0.65709812041741633</v>
      </c>
      <c r="J535" s="106">
        <v>8.4154483828637758</v>
      </c>
      <c r="K535" s="30">
        <f t="shared" ref="K535:K544" si="65">D535/D534-1</f>
        <v>-4.0055543136885419E-4</v>
      </c>
      <c r="L535" s="30">
        <f t="shared" ref="L535:L544" si="66">E535/E534-1</f>
        <v>-2.2110327930634166E-2</v>
      </c>
      <c r="M535" s="30">
        <f t="shared" ref="M535:M544" si="67">F535/F534-1</f>
        <v>-5.4567017751684377E-3</v>
      </c>
      <c r="N535" s="30">
        <f t="shared" ref="N535:N544" si="68">G535/G534-1</f>
        <v>2.7006000999880042E-2</v>
      </c>
      <c r="O535" s="30">
        <f t="shared" ref="O535:O544" si="69">H535/H534-1</f>
        <v>1.9065948204708416E-3</v>
      </c>
      <c r="P535" s="30">
        <f t="shared" ref="P535:P544" si="70">I535/I534-1</f>
        <v>-3.2631918664690174E-2</v>
      </c>
      <c r="Q535" s="30">
        <f t="shared" ref="Q535:Q544" si="71">J535/J534-1</f>
        <v>3.2846379734195796E-2</v>
      </c>
    </row>
    <row r="536" spans="2:17" ht="13.95" customHeight="1" x14ac:dyDescent="0.3">
      <c r="B536" s="105">
        <v>46234</v>
      </c>
      <c r="C536" s="107">
        <f t="shared" si="64"/>
        <v>1</v>
      </c>
      <c r="D536" s="106">
        <v>9.3611219925772122</v>
      </c>
      <c r="E536" s="106">
        <v>4.3516025399019442</v>
      </c>
      <c r="F536" s="106">
        <v>1.1291591741696849</v>
      </c>
      <c r="G536" s="106">
        <v>6.1172945126744969</v>
      </c>
      <c r="H536" s="106">
        <v>5.0463711864789991</v>
      </c>
      <c r="I536" s="106">
        <v>0.68146135017999032</v>
      </c>
      <c r="J536" s="106">
        <v>8.7414847142527954</v>
      </c>
      <c r="K536" s="30">
        <f t="shared" si="65"/>
        <v>1.8909986805466739E-2</v>
      </c>
      <c r="L536" s="30">
        <f t="shared" si="66"/>
        <v>2.1113958892032603E-2</v>
      </c>
      <c r="M536" s="30">
        <f t="shared" si="67"/>
        <v>3.7794892194827456E-2</v>
      </c>
      <c r="N536" s="30">
        <f t="shared" si="68"/>
        <v>2.1741751065438963E-2</v>
      </c>
      <c r="O536" s="30">
        <f t="shared" si="69"/>
        <v>2.2743959508835676E-2</v>
      </c>
      <c r="P536" s="30">
        <f t="shared" si="70"/>
        <v>3.707700418789428E-2</v>
      </c>
      <c r="Q536" s="30">
        <f t="shared" si="71"/>
        <v>3.874259772692823E-2</v>
      </c>
    </row>
    <row r="537" spans="2:17" ht="13.95" customHeight="1" x14ac:dyDescent="0.3">
      <c r="B537" s="105">
        <v>46241</v>
      </c>
      <c r="C537" s="107">
        <f t="shared" si="64"/>
        <v>1</v>
      </c>
      <c r="D537" s="106">
        <v>8.9013054822693807</v>
      </c>
      <c r="E537" s="106">
        <v>4.2791150408749203</v>
      </c>
      <c r="F537" s="106">
        <v>1.1351820067679621</v>
      </c>
      <c r="G537" s="106">
        <v>5.8668021014384344</v>
      </c>
      <c r="H537" s="106">
        <v>4.8901818962959496</v>
      </c>
      <c r="I537" s="106">
        <v>0.66678795529329804</v>
      </c>
      <c r="J537" s="106">
        <v>9.097444024779076</v>
      </c>
      <c r="K537" s="30">
        <f t="shared" si="65"/>
        <v>-4.9119807505172752E-2</v>
      </c>
      <c r="L537" s="30">
        <f t="shared" si="66"/>
        <v>-1.6657656199607129E-2</v>
      </c>
      <c r="M537" s="30">
        <f t="shared" si="67"/>
        <v>5.3339092805104737E-3</v>
      </c>
      <c r="N537" s="30">
        <f t="shared" si="68"/>
        <v>-4.0948234667640082E-2</v>
      </c>
      <c r="O537" s="30">
        <f t="shared" si="69"/>
        <v>-3.0950812853706711E-2</v>
      </c>
      <c r="P537" s="30">
        <f t="shared" si="70"/>
        <v>-2.1532248135300192E-2</v>
      </c>
      <c r="Q537" s="30">
        <f t="shared" si="71"/>
        <v>4.0720692440941564E-2</v>
      </c>
    </row>
    <row r="538" spans="2:17" ht="13.95" customHeight="1" x14ac:dyDescent="0.3">
      <c r="B538" s="105">
        <v>46248</v>
      </c>
      <c r="C538" s="107">
        <f t="shared" si="64"/>
        <v>1</v>
      </c>
      <c r="D538" s="106">
        <v>8.5026864575000065</v>
      </c>
      <c r="E538" s="106">
        <v>4.0075753545751978</v>
      </c>
      <c r="F538" s="106">
        <v>1.110011911410185</v>
      </c>
      <c r="G538" s="106">
        <v>5.8741103489458313</v>
      </c>
      <c r="H538" s="106">
        <v>4.7344963618157916</v>
      </c>
      <c r="I538" s="106">
        <v>0.62553950863173391</v>
      </c>
      <c r="J538" s="106">
        <v>9.3428588111142812</v>
      </c>
      <c r="K538" s="30">
        <f t="shared" si="65"/>
        <v>-4.4782085679835215E-2</v>
      </c>
      <c r="L538" s="30">
        <f t="shared" si="66"/>
        <v>-6.3456972693167635E-2</v>
      </c>
      <c r="M538" s="30">
        <f t="shared" si="67"/>
        <v>-2.2172739884628978E-2</v>
      </c>
      <c r="N538" s="30">
        <f t="shared" si="68"/>
        <v>1.2456952494792617E-3</v>
      </c>
      <c r="O538" s="30">
        <f t="shared" si="69"/>
        <v>-3.1836348377568768E-2</v>
      </c>
      <c r="P538" s="30">
        <f t="shared" si="70"/>
        <v>-6.1861415363179906E-2</v>
      </c>
      <c r="Q538" s="30">
        <f t="shared" si="71"/>
        <v>2.697623482670064E-2</v>
      </c>
    </row>
    <row r="539" spans="2:17" ht="13.95" customHeight="1" x14ac:dyDescent="0.3">
      <c r="B539" s="105">
        <v>46255</v>
      </c>
      <c r="C539" s="107">
        <f t="shared" si="64"/>
        <v>1</v>
      </c>
      <c r="D539" s="106">
        <v>8.4990555199728455</v>
      </c>
      <c r="E539" s="106">
        <v>4.1093666527604737</v>
      </c>
      <c r="F539" s="106">
        <v>1.1295110217951769</v>
      </c>
      <c r="G539" s="106">
        <v>6.148058867559647</v>
      </c>
      <c r="H539" s="106">
        <v>4.8515445776476742</v>
      </c>
      <c r="I539" s="106">
        <v>0.64081485036775243</v>
      </c>
      <c r="J539" s="106">
        <v>9.4345526132905491</v>
      </c>
      <c r="K539" s="30">
        <f t="shared" si="65"/>
        <v>-4.2703415506495368E-4</v>
      </c>
      <c r="L539" s="30">
        <f t="shared" si="66"/>
        <v>2.5399721572064049E-2</v>
      </c>
      <c r="M539" s="30">
        <f t="shared" si="67"/>
        <v>1.7566577605658162E-2</v>
      </c>
      <c r="N539" s="30">
        <f t="shared" si="68"/>
        <v>4.6636597261571433E-2</v>
      </c>
      <c r="O539" s="30">
        <f t="shared" si="69"/>
        <v>2.4722421750260182E-2</v>
      </c>
      <c r="P539" s="30">
        <f t="shared" si="70"/>
        <v>2.4419467555983454E-2</v>
      </c>
      <c r="Q539" s="30">
        <f t="shared" si="71"/>
        <v>9.8143195814099915E-3</v>
      </c>
    </row>
    <row r="540" spans="2:17" ht="13.95" customHeight="1" x14ac:dyDescent="0.3">
      <c r="B540" s="105">
        <v>46262</v>
      </c>
      <c r="C540" s="107">
        <f t="shared" si="64"/>
        <v>1</v>
      </c>
      <c r="D540" s="106">
        <v>8.8541975794075505</v>
      </c>
      <c r="E540" s="106">
        <v>4.2259660064963809</v>
      </c>
      <c r="F540" s="106">
        <v>1.1464591696361079</v>
      </c>
      <c r="G540" s="106">
        <v>6.2743110610072907</v>
      </c>
      <c r="H540" s="106">
        <v>4.9845708977382266</v>
      </c>
      <c r="I540" s="106">
        <v>0.66039319492850312</v>
      </c>
      <c r="J540" s="106">
        <v>9.407783361351731</v>
      </c>
      <c r="K540" s="30">
        <f t="shared" si="65"/>
        <v>4.1786061827707721E-2</v>
      </c>
      <c r="L540" s="30">
        <f t="shared" si="66"/>
        <v>2.8374044856177782E-2</v>
      </c>
      <c r="M540" s="30">
        <f t="shared" si="67"/>
        <v>1.5004853882695679E-2</v>
      </c>
      <c r="N540" s="30">
        <f t="shared" si="68"/>
        <v>2.0535293523914699E-2</v>
      </c>
      <c r="O540" s="30">
        <f t="shared" si="69"/>
        <v>2.7419374997282198E-2</v>
      </c>
      <c r="P540" s="30">
        <f t="shared" si="70"/>
        <v>3.0552264120463191E-2</v>
      </c>
      <c r="Q540" s="30">
        <f t="shared" si="71"/>
        <v>-2.8373631518158193E-3</v>
      </c>
    </row>
    <row r="541" spans="2:17" ht="13.95" customHeight="1" x14ac:dyDescent="0.3">
      <c r="B541" s="105">
        <v>46269</v>
      </c>
      <c r="C541" s="107">
        <f t="shared" si="64"/>
        <v>1</v>
      </c>
      <c r="D541" s="106">
        <v>9.5194126288775003</v>
      </c>
      <c r="E541" s="106">
        <v>4.4308569744685142</v>
      </c>
      <c r="F541" s="106">
        <v>1.193081632706033</v>
      </c>
      <c r="G541" s="106">
        <v>6.5685509552833734</v>
      </c>
      <c r="H541" s="106">
        <v>5.2542781317250631</v>
      </c>
      <c r="I541" s="106">
        <v>0.70032383651673258</v>
      </c>
      <c r="J541" s="106">
        <v>9.5696730471172025</v>
      </c>
      <c r="K541" s="30">
        <f t="shared" si="65"/>
        <v>7.5129907990426847E-2</v>
      </c>
      <c r="L541" s="30">
        <f t="shared" si="66"/>
        <v>4.8483818293181713E-2</v>
      </c>
      <c r="M541" s="30">
        <f t="shared" si="67"/>
        <v>4.0666483643480467E-2</v>
      </c>
      <c r="N541" s="30">
        <f t="shared" si="68"/>
        <v>4.6895968563733348E-2</v>
      </c>
      <c r="O541" s="30">
        <f t="shared" si="69"/>
        <v>5.4108415653034037E-2</v>
      </c>
      <c r="P541" s="30">
        <f t="shared" si="70"/>
        <v>6.0464950115896476E-2</v>
      </c>
      <c r="Q541" s="30">
        <f t="shared" si="71"/>
        <v>1.7208058428570316E-2</v>
      </c>
    </row>
    <row r="542" spans="2:17" ht="13.95" customHeight="1" x14ac:dyDescent="0.3">
      <c r="B542" s="105">
        <v>46276</v>
      </c>
      <c r="C542" s="107">
        <f t="shared" si="64"/>
        <v>1</v>
      </c>
      <c r="D542" s="106">
        <v>9.6499435076563138</v>
      </c>
      <c r="E542" s="106">
        <v>4.4420243701117386</v>
      </c>
      <c r="F542" s="106">
        <v>1.188515177578827</v>
      </c>
      <c r="G542" s="106">
        <v>6.7140555701127793</v>
      </c>
      <c r="H542" s="106">
        <v>5.3140373440764694</v>
      </c>
      <c r="I542" s="106">
        <v>0.69144837336460352</v>
      </c>
      <c r="J542" s="106">
        <v>9.6374810696505833</v>
      </c>
      <c r="K542" s="30">
        <f t="shared" si="65"/>
        <v>1.3712072778822915E-2</v>
      </c>
      <c r="L542" s="30">
        <f t="shared" si="66"/>
        <v>2.5203692440476377E-3</v>
      </c>
      <c r="M542" s="30">
        <f t="shared" si="67"/>
        <v>-3.8274456684483926E-3</v>
      </c>
      <c r="N542" s="30">
        <f t="shared" si="68"/>
        <v>2.2151706794992565E-2</v>
      </c>
      <c r="O542" s="30">
        <f t="shared" si="69"/>
        <v>1.1373439101098004E-2</v>
      </c>
      <c r="P542" s="30">
        <f t="shared" si="70"/>
        <v>-1.2673370074441248E-2</v>
      </c>
      <c r="Q542" s="30">
        <f t="shared" si="71"/>
        <v>7.0857198777347641E-3</v>
      </c>
    </row>
    <row r="543" spans="2:17" ht="13.95" customHeight="1" x14ac:dyDescent="0.3">
      <c r="B543" s="105">
        <v>46283</v>
      </c>
      <c r="C543" s="107">
        <f t="shared" si="64"/>
        <v>1</v>
      </c>
      <c r="D543" s="106">
        <v>9.6208835389120004</v>
      </c>
      <c r="E543" s="106">
        <v>4.4318525952694774</v>
      </c>
      <c r="F543" s="106">
        <v>1.190430880842611</v>
      </c>
      <c r="G543" s="106">
        <v>6.5313079602639057</v>
      </c>
      <c r="H543" s="106">
        <v>5.2583483996041052</v>
      </c>
      <c r="I543" s="106">
        <v>0.69139995746961325</v>
      </c>
      <c r="J543" s="106">
        <v>9.6726197626177068</v>
      </c>
      <c r="K543" s="30">
        <f t="shared" si="65"/>
        <v>-3.0114133540012356E-3</v>
      </c>
      <c r="L543" s="30">
        <f t="shared" si="66"/>
        <v>-2.2898962263021572E-3</v>
      </c>
      <c r="M543" s="30">
        <f t="shared" si="67"/>
        <v>1.61184585600882E-3</v>
      </c>
      <c r="N543" s="30">
        <f t="shared" si="68"/>
        <v>-2.7218662094839363E-2</v>
      </c>
      <c r="O543" s="30">
        <f t="shared" si="69"/>
        <v>-1.0479592232154777E-2</v>
      </c>
      <c r="P543" s="30">
        <f t="shared" si="70"/>
        <v>-7.0020983279905913E-5</v>
      </c>
      <c r="Q543" s="30">
        <f t="shared" si="71"/>
        <v>3.6460453424680406E-3</v>
      </c>
    </row>
    <row r="544" spans="2:17" ht="13.95" customHeight="1" x14ac:dyDescent="0.3">
      <c r="B544" s="105">
        <v>46290</v>
      </c>
      <c r="C544" s="107">
        <f t="shared" si="64"/>
        <v>1</v>
      </c>
      <c r="D544" s="106">
        <v>9.5756116035727263</v>
      </c>
      <c r="E544" s="106">
        <v>4.4061861654048871</v>
      </c>
      <c r="F544" s="106">
        <v>1.219640106103465</v>
      </c>
      <c r="G544" s="106">
        <v>6.3449697090499244</v>
      </c>
      <c r="H544" s="106">
        <v>5.2095644688741487</v>
      </c>
      <c r="I544" s="106">
        <v>0.71292612866509619</v>
      </c>
      <c r="J544" s="106">
        <v>9.8330559002247568</v>
      </c>
      <c r="K544" s="30">
        <f t="shared" si="65"/>
        <v>-4.7055902044932374E-3</v>
      </c>
      <c r="L544" s="30">
        <f t="shared" si="66"/>
        <v>-5.7913545888206297E-3</v>
      </c>
      <c r="M544" s="30">
        <f t="shared" si="67"/>
        <v>2.4536683087538202E-2</v>
      </c>
      <c r="N544" s="30">
        <f t="shared" si="68"/>
        <v>-2.8530005375286605E-2</v>
      </c>
      <c r="O544" s="30">
        <f t="shared" si="69"/>
        <v>-9.2774245870869132E-3</v>
      </c>
      <c r="P544" s="30">
        <f t="shared" si="70"/>
        <v>3.1134180676354761E-2</v>
      </c>
      <c r="Q544" s="30">
        <f t="shared" si="71"/>
        <v>1.6586627154216993E-2</v>
      </c>
    </row>
  </sheetData>
  <mergeCells count="2">
    <mergeCell ref="B5:I5"/>
    <mergeCell ref="B20:Q20"/>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AD271"/>
  <sheetViews>
    <sheetView showGridLines="0" zoomScale="85" zoomScaleNormal="85" workbookViewId="0">
      <pane xSplit="2" ySplit="32" topLeftCell="C33" activePane="bottomRight" state="frozen"/>
      <selection pane="topRight" activeCell="C1" sqref="C1"/>
      <selection pane="bottomLeft" activeCell="A33" sqref="A33"/>
      <selection pane="bottomRight"/>
    </sheetView>
  </sheetViews>
  <sheetFormatPr defaultRowHeight="13.95" customHeight="1" x14ac:dyDescent="0.3"/>
  <cols>
    <col min="1" max="1" width="2.6640625" customWidth="1"/>
    <col min="2" max="2" width="46.6640625" customWidth="1"/>
    <col min="3" max="30" width="11.6640625" customWidth="1"/>
  </cols>
  <sheetData>
    <row r="1" spans="2:12" ht="30" customHeight="1" x14ac:dyDescent="0.3">
      <c r="B1" s="15" t="s">
        <v>635</v>
      </c>
    </row>
    <row r="2" spans="2:12" ht="13.95" customHeight="1" x14ac:dyDescent="0.3">
      <c r="B2" s="14" t="s">
        <v>636</v>
      </c>
    </row>
    <row r="3" spans="2:12" ht="13.95" customHeight="1" x14ac:dyDescent="0.3">
      <c r="B3" s="14" t="s">
        <v>2</v>
      </c>
      <c r="C3" s="47" t="s">
        <v>3</v>
      </c>
      <c r="D3" s="48" t="s">
        <v>4</v>
      </c>
      <c r="E3" s="49" t="s">
        <v>5</v>
      </c>
    </row>
    <row r="5" spans="2:12" ht="13.95" customHeight="1" x14ac:dyDescent="0.3">
      <c r="B5" s="138" t="s">
        <v>637</v>
      </c>
      <c r="C5" s="138"/>
      <c r="D5" s="138"/>
      <c r="E5" s="138"/>
      <c r="F5" s="138"/>
      <c r="G5" s="138"/>
      <c r="H5" s="138"/>
      <c r="I5" s="138"/>
      <c r="J5" s="138"/>
      <c r="K5" s="138"/>
      <c r="L5" s="138"/>
    </row>
    <row r="6" spans="2:12" ht="58.05" customHeight="1" x14ac:dyDescent="0.3">
      <c r="B6" s="17" t="s">
        <v>464</v>
      </c>
      <c r="C6" s="18" t="s">
        <v>638</v>
      </c>
      <c r="D6" s="18" t="s">
        <v>639</v>
      </c>
      <c r="E6" s="18" t="s">
        <v>640</v>
      </c>
      <c r="F6" s="18" t="s">
        <v>641</v>
      </c>
      <c r="G6" s="18" t="s">
        <v>642</v>
      </c>
      <c r="H6" s="18" t="s">
        <v>643</v>
      </c>
      <c r="I6" s="18" t="s">
        <v>644</v>
      </c>
      <c r="J6" s="18" t="s">
        <v>645</v>
      </c>
      <c r="K6" s="18" t="s">
        <v>646</v>
      </c>
      <c r="L6" s="18" t="s">
        <v>647</v>
      </c>
    </row>
    <row r="7" spans="2:12" ht="13.95" customHeight="1" x14ac:dyDescent="0.3">
      <c r="B7" s="8" t="s">
        <v>295</v>
      </c>
      <c r="C7" s="67">
        <f>SUM($C$44:$C$271)</f>
        <v>228</v>
      </c>
      <c r="D7" s="40">
        <f>SUMPRODUCT($C$44:$C$271,M$44:M$271)/C7</f>
        <v>0.13109331943377062</v>
      </c>
      <c r="E7" s="40">
        <f>SQRT((SUMPRODUCT($C$44:$C$271,M$44:M$271,M$44:M$271)-C7*D7^2)/(C7-1))</f>
        <v>9.3001739421174082E-2</v>
      </c>
      <c r="F7" s="108">
        <f>(SUMPRODUCT($C$44:$C$271,M$44:M$271,T$44:T$271)-C7*D7*$D$11)/(C7-1)</f>
        <v>7.6044918669463252E-3</v>
      </c>
      <c r="G7" s="31">
        <f>F7/$E$11^2</f>
        <v>0.73275921951142209</v>
      </c>
      <c r="H7" s="85"/>
      <c r="I7" s="76">
        <f>IF(ISNUMBER(H7),H7,G7)</f>
        <v>0.73275921951142209</v>
      </c>
      <c r="J7" s="85">
        <v>0</v>
      </c>
      <c r="K7" s="31">
        <f>F7/(E7*$E$11)</f>
        <v>0.80264716169633632</v>
      </c>
      <c r="L7" s="40">
        <f>SQRT((SUMPRODUCT($D$80:$D$271,U$80:U$271,U$80:U$271)-SUM($D$80:$D$271)*(SUMPRODUCT($D$80:$D$271,U$80:U$271)/SUM($D$80:$D$271))^2)/(SUM($D$80:$D$271)-1))</f>
        <v>2.1496371379445725E-2</v>
      </c>
    </row>
    <row r="8" spans="2:12" ht="13.95" customHeight="1" x14ac:dyDescent="0.3">
      <c r="B8" s="8" t="s">
        <v>325</v>
      </c>
      <c r="C8" s="67">
        <f>SUM($C$44:$C$271)</f>
        <v>228</v>
      </c>
      <c r="D8" s="40">
        <f>SUMPRODUCT($C$44:$C$271,N$44:N$271)/C8</f>
        <v>6.5858105440248227E-2</v>
      </c>
      <c r="E8" s="40">
        <f>SQRT((SUMPRODUCT($C$44:$C$271,N$44:N$271,N$44:N$271)-C8*D8^2)/(C8-1))</f>
        <v>0.10492218720220289</v>
      </c>
      <c r="F8" s="108">
        <f>(SUMPRODUCT($C$44:$C$271,N$44:N$271,T$44:T$271)-C8*D8*$D$11)/(C8-1)</f>
        <v>6.8219815804695843E-3</v>
      </c>
      <c r="G8" s="31">
        <f>F8/$E$11^2</f>
        <v>0.65735751788416941</v>
      </c>
      <c r="H8" s="85"/>
      <c r="I8" s="76">
        <f>IF(ISNUMBER(H8),H8,G8)</f>
        <v>0.65735751788416941</v>
      </c>
      <c r="J8" s="85">
        <v>0</v>
      </c>
      <c r="K8" s="31">
        <f>F8/(E8*$E$11)</f>
        <v>0.63824695718307189</v>
      </c>
      <c r="L8" s="40">
        <f>SQRT((SUMPRODUCT($D$80:$D$271,V$80:V$271,V$80:V$271)-SUM($D$80:$D$271)*(SUMPRODUCT($D$80:$D$271,V$80:V$271)/SUM($D$80:$D$271))^2)/(SUM($D$80:$D$271)-1))</f>
        <v>5.863302945547913E-2</v>
      </c>
    </row>
    <row r="9" spans="2:12" ht="13.95" customHeight="1" x14ac:dyDescent="0.3">
      <c r="B9" s="8" t="s">
        <v>376</v>
      </c>
      <c r="C9" s="67">
        <f>SUM($C$44:$C$271)</f>
        <v>228</v>
      </c>
      <c r="D9" s="40">
        <f>SUMPRODUCT($C$44:$C$271,O$44:O$271)/C9</f>
        <v>2.3327757941131611E-2</v>
      </c>
      <c r="E9" s="40">
        <f>SQRT((SUMPRODUCT($C$44:$C$271,O$44:O$271,O$44:O$271)-C9*D9^2)/(C9-1))</f>
        <v>0.17668786614538923</v>
      </c>
      <c r="F9" s="108">
        <f>(SUMPRODUCT($C$44:$C$271,O$44:O$271,T$44:T$271)-C9*D9*$D$11)/(C9-1)</f>
        <v>1.547071191785759E-2</v>
      </c>
      <c r="G9" s="31">
        <f>F9/$E$11^2</f>
        <v>1.4907382358431811</v>
      </c>
      <c r="H9" s="85"/>
      <c r="I9" s="76">
        <f>IF(ISNUMBER(H9),H9,G9)</f>
        <v>1.4907382358431811</v>
      </c>
      <c r="J9" s="85">
        <v>0</v>
      </c>
      <c r="K9" s="31">
        <f>F9/(E9*$E$11)</f>
        <v>0.85950640853271587</v>
      </c>
      <c r="L9" s="40">
        <f>SQRT((SUMPRODUCT($D$80:$D$271,W$80:W$271,W$80:W$271)-SUM($D$80:$D$271)*(SUMPRODUCT($D$80:$D$271,W$80:W$271)/SUM($D$80:$D$271))^2)/(SUM($D$80:$D$271)-1))</f>
        <v>9.9740475145940227E-2</v>
      </c>
    </row>
    <row r="10" spans="2:12" ht="13.95" customHeight="1" x14ac:dyDescent="0.3">
      <c r="B10" s="8" t="s">
        <v>427</v>
      </c>
      <c r="C10" s="67">
        <f>SUM($C$44:$C$271)</f>
        <v>228</v>
      </c>
      <c r="D10" s="40">
        <f>SUMPRODUCT($C$44:$C$271,P$44:P$271)/C10</f>
        <v>0.1166999733080218</v>
      </c>
      <c r="E10" s="40">
        <f>SQRT((SUMPRODUCT($C$44:$C$271,P$44:P$271,P$44:P$271)-C10*D10^2)/(C10-1))</f>
        <v>0.43754360197728781</v>
      </c>
      <c r="F10" s="108">
        <f>(SUMPRODUCT($C$44:$C$271,P$44:P$271,T$44:T$271)-C10*D10*$D$11)/(C10-1)</f>
        <v>2.0727232733674977E-2</v>
      </c>
      <c r="G10" s="31">
        <f>F10/$E$11^2</f>
        <v>1.9972499341574319</v>
      </c>
      <c r="H10" s="85">
        <v>0</v>
      </c>
      <c r="I10" s="76">
        <f>IF(ISNUMBER(H10),H10,G10)</f>
        <v>0</v>
      </c>
      <c r="J10" s="76">
        <f>(SUMPRODUCT($C$44:$C$271,P$44:P$271,AD$44:AD$271)-C10*D10*SUMPRODUCT($C$44:$C$271,AD$44:AD$271)/C10)/(SUMPRODUCT($C$44:$C$271,AD$44:AD$271,AD$44:AD$271)-C10*(SUMPRODUCT($C$44:$C$271,AD$44:AD$271)/C10)^2)</f>
        <v>1.262030214353713</v>
      </c>
      <c r="K10" s="31">
        <f>F10/(E10*$E$11)</f>
        <v>0.46501346864926935</v>
      </c>
      <c r="L10" s="40">
        <f>SQRT((SUMPRODUCT($D$80:$D$271,X$80:X$271,X$80:X$271)-SUM($D$80:$D$271)*(SUMPRODUCT($D$80:$D$271,X$80:X$271)/SUM($D$80:$D$271))^2)/(SUM($D$80:$D$271)-1))</f>
        <v>0.22639296780480037</v>
      </c>
    </row>
    <row r="11" spans="2:12" ht="13.95" customHeight="1" x14ac:dyDescent="0.3">
      <c r="B11" s="11" t="s">
        <v>648</v>
      </c>
      <c r="C11" s="101">
        <f>SUM($C$44:$C$271)</f>
        <v>228</v>
      </c>
      <c r="D11" s="95">
        <f>SUMPRODUCT($C$44:$C$271,T$44:T$271)/C11</f>
        <v>8.5143315294922903E-2</v>
      </c>
      <c r="E11" s="95">
        <f>SQRT((SUMPRODUCT($C$44:$C$271,T$44:T$271,T$44:T$271)-C11*D11^2)/(C11-1))</f>
        <v>0.10187191125210274</v>
      </c>
      <c r="F11" s="109">
        <f>(SUMPRODUCT($C$44:$C$271,T$44:T$271,T$44:T$271)-C11*D11*$D$11)/(C11-1)</f>
        <v>1.0377886302156298E-2</v>
      </c>
      <c r="G11" s="98">
        <f>F11/$E$11^2</f>
        <v>1.0000000000000002</v>
      </c>
      <c r="I11" s="34">
        <f>G11</f>
        <v>1.0000000000000002</v>
      </c>
      <c r="J11" s="98">
        <v>0</v>
      </c>
      <c r="K11" s="98">
        <f>F11/(E11*$E$11)</f>
        <v>1.0000000000000002</v>
      </c>
      <c r="L11" s="95">
        <f>SQRT((SUMPRODUCT($D$80:$D$271,AB$80:AB$271,AB$80:AB$271)-SUM($D$80:$D$271)*(SUMPRODUCT($D$80:$D$271,AB$80:AB$271)/SUM($D$80:$D$271))^2)/(SUM($D$80:$D$271)-1))</f>
        <v>5.1104046984318315E-2</v>
      </c>
    </row>
    <row r="12" spans="2:12" ht="13.95" customHeight="1" x14ac:dyDescent="0.3">
      <c r="B12" s="14" t="s">
        <v>485</v>
      </c>
    </row>
    <row r="13" spans="2:12" ht="13.95" customHeight="1" x14ac:dyDescent="0.3">
      <c r="B13" s="8" t="s">
        <v>483</v>
      </c>
      <c r="C13" s="67">
        <f>SUM($C$44:$C$271)</f>
        <v>228</v>
      </c>
      <c r="D13" s="40">
        <f>SUMPRODUCT($C$44:$C$271,Q$44:Q$271)/C13</f>
        <v>1.3987525547565402E-2</v>
      </c>
      <c r="E13" s="40">
        <f>SQRT((SUMPRODUCT($C$44:$C$271,Q$44:Q$271,Q$44:Q$271)-C13*D13^2)/(C13-1))</f>
        <v>0.17719262918092737</v>
      </c>
      <c r="F13" s="108">
        <f>(SUMPRODUCT($C$44:$C$271,Q$44:Q$271,T$44:T$271)-C13*D13*$D$11)/(C13-1)</f>
        <v>1.5673325478791786E-2</v>
      </c>
      <c r="G13" s="31">
        <f>F13/$E$11^2</f>
        <v>1.5102618223457713</v>
      </c>
      <c r="H13" s="85"/>
      <c r="I13" s="76">
        <f>IF(ISNUMBER(H13),H13,G13)</f>
        <v>1.5102618223457713</v>
      </c>
      <c r="J13" s="85">
        <v>0</v>
      </c>
      <c r="K13" s="31">
        <f>F13/(E13*$E$11)</f>
        <v>0.86828249597420504</v>
      </c>
      <c r="L13" s="40">
        <f>SQRT((SUMPRODUCT($D$80:$D$271,Y$80:Y$271,Y$80:Y$271)-SUM($D$80:$D$271)*(SUMPRODUCT($D$80:$D$271,Y$80:Y$271)/SUM($D$80:$D$271))^2)/(SUM($D$80:$D$271)-1))</f>
        <v>9.6112497761921503E-2</v>
      </c>
    </row>
    <row r="14" spans="2:12" ht="13.95" customHeight="1" x14ac:dyDescent="0.3">
      <c r="B14" s="8" t="s">
        <v>484</v>
      </c>
      <c r="C14" s="67">
        <f>SUM($C$44:$C$271)</f>
        <v>228</v>
      </c>
      <c r="D14" s="40">
        <f>SUMPRODUCT($C$44:$C$271,R$44:R$271)/C14</f>
        <v>0.10655144077288389</v>
      </c>
      <c r="E14" s="40">
        <f>SQRT((SUMPRODUCT($C$44:$C$271,R$44:R$271,R$44:R$271)-C14*D14^2)/(C14-1))</f>
        <v>0.32902460544030221</v>
      </c>
      <c r="F14" s="108">
        <f>(SUMPRODUCT($C$44:$C$271,R$44:R$271,T$44:T$271)-C14*D14*$D$11)/(C14-1)</f>
        <v>1.318887444850251E-3</v>
      </c>
      <c r="G14" s="31">
        <f>F14/$E$11^2</f>
        <v>0.1270863262951932</v>
      </c>
      <c r="H14" s="85"/>
      <c r="I14" s="76">
        <f>IF(ISNUMBER(H14),H14,G14)</f>
        <v>0.1270863262951932</v>
      </c>
      <c r="J14" s="85">
        <v>0</v>
      </c>
      <c r="K14" s="31">
        <f>F14/(E14*$E$11)</f>
        <v>3.9348202960002313E-2</v>
      </c>
      <c r="L14" s="40">
        <f>SQRT((SUMPRODUCT($D$80:$D$271,Z$80:Z$271,Z$80:Z$271)-SUM($D$80:$D$271)*(SUMPRODUCT($D$80:$D$271,Z$80:Z$271)/SUM($D$80:$D$271))^2)/(SUM($D$80:$D$271)-1))</f>
        <v>0.19263655450370637</v>
      </c>
    </row>
    <row r="15" spans="2:12" ht="13.95" customHeight="1" x14ac:dyDescent="0.3">
      <c r="B15" s="19" t="s">
        <v>649</v>
      </c>
      <c r="I15" s="31">
        <f>SUMPRODUCT(I7:I9,'Box Shares'!$C$7:$C$9)/SUM('Box Shares'!$C$7:$C$9)</f>
        <v>0.84256022615744508</v>
      </c>
    </row>
    <row r="16" spans="2:12" ht="13.95" customHeight="1" x14ac:dyDescent="0.3">
      <c r="B16" s="19" t="s">
        <v>650</v>
      </c>
      <c r="I16" s="94">
        <f>IF(EBNorm=1,1/I15,1)</f>
        <v>1.1868587775150152</v>
      </c>
    </row>
    <row r="17" spans="2:30" ht="13.95" customHeight="1" x14ac:dyDescent="0.3">
      <c r="B17" s="19" t="s">
        <v>651</v>
      </c>
      <c r="C17" s="110">
        <f>EBStart</f>
        <v>39386</v>
      </c>
    </row>
    <row r="18" spans="2:30" ht="13.95" customHeight="1" x14ac:dyDescent="0.3">
      <c r="B18" s="14" t="s">
        <v>652</v>
      </c>
    </row>
    <row r="19" spans="2:30" ht="13.95" customHeight="1" x14ac:dyDescent="0.3">
      <c r="B19" s="138" t="s">
        <v>653</v>
      </c>
      <c r="C19" s="138"/>
      <c r="D19" s="138"/>
      <c r="E19" s="138"/>
      <c r="F19" s="138"/>
      <c r="G19" s="138"/>
      <c r="H19" s="138"/>
      <c r="I19" s="138"/>
      <c r="J19" s="138"/>
      <c r="K19" s="138"/>
      <c r="L19" s="138"/>
    </row>
    <row r="20" spans="2:30" ht="43.95" customHeight="1" x14ac:dyDescent="0.3">
      <c r="B20" s="17" t="s">
        <v>464</v>
      </c>
      <c r="C20" s="18" t="s">
        <v>31</v>
      </c>
      <c r="D20" s="18" t="s">
        <v>32</v>
      </c>
      <c r="E20" s="18" t="s">
        <v>33</v>
      </c>
    </row>
    <row r="21" spans="2:30" ht="13.95" customHeight="1" x14ac:dyDescent="0.3">
      <c r="B21" s="19" t="s">
        <v>295</v>
      </c>
      <c r="C21" s="25">
        <f>$I$7*$I$16*Assumptions!C$61+$J$7*Assumptions!C$62</f>
        <v>-0.17393634229643662</v>
      </c>
      <c r="D21" s="25">
        <f>$I$7*$I$16*Assumptions!D$61+$J$7*Assumptions!D$62</f>
        <v>0</v>
      </c>
      <c r="E21" s="25">
        <f>$I$7*$I$16*Assumptions!E$61+$J$7*Assumptions!E$62</f>
        <v>0.17393634229643662</v>
      </c>
    </row>
    <row r="22" spans="2:30" ht="13.95" customHeight="1" x14ac:dyDescent="0.3">
      <c r="B22" s="19" t="s">
        <v>325</v>
      </c>
      <c r="C22" s="25">
        <f>$I$8*$I$16*Assumptions!C$61+$J$8*Assumptions!C$62</f>
        <v>-0.15603810801326201</v>
      </c>
      <c r="D22" s="25">
        <f>$I$8*$I$16*Assumptions!D$61+$J$8*Assumptions!D$62</f>
        <v>0</v>
      </c>
      <c r="E22" s="25">
        <f>$I$8*$I$16*Assumptions!E$61+$J$8*Assumptions!E$62</f>
        <v>0.15603810801326201</v>
      </c>
    </row>
    <row r="23" spans="2:30" ht="13.95" customHeight="1" x14ac:dyDescent="0.3">
      <c r="B23" s="19" t="s">
        <v>376</v>
      </c>
      <c r="C23" s="25">
        <f>$I$9*$I$16*Assumptions!C$61+$J$9*Assumptions!C$62</f>
        <v>-0.3538591520375457</v>
      </c>
      <c r="D23" s="25">
        <f>$I$9*$I$16*Assumptions!D$61+$J$9*Assumptions!D$62</f>
        <v>0</v>
      </c>
      <c r="E23" s="25">
        <f>$I$9*$I$16*Assumptions!E$61+$J$9*Assumptions!E$62</f>
        <v>0.3538591520375457</v>
      </c>
    </row>
    <row r="24" spans="2:30" ht="13.95" customHeight="1" x14ac:dyDescent="0.3">
      <c r="B24" s="19" t="s">
        <v>427</v>
      </c>
      <c r="C24" s="25">
        <f>$I$10*$I$16*Assumptions!C$61+$J$10*Assumptions!C$62</f>
        <v>-0.25240604287074259</v>
      </c>
      <c r="D24" s="25">
        <f>$I$10*$I$16*Assumptions!D$61+$J$10*Assumptions!D$62</f>
        <v>0</v>
      </c>
      <c r="E24" s="25">
        <f>$I$10*$I$16*Assumptions!E$61+$J$10*Assumptions!E$62</f>
        <v>0.25240604287074259</v>
      </c>
    </row>
    <row r="25" spans="2:30" ht="13.95" customHeight="1" x14ac:dyDescent="0.3">
      <c r="B25" s="11" t="s">
        <v>654</v>
      </c>
      <c r="C25" s="23">
        <f>SUMPRODUCT(C21:C24,'Box Shares'!$C$7:$C$10)/SUM('Box Shares'!$C$7:$C$10)</f>
        <v>-0.21644633323684032</v>
      </c>
      <c r="D25" s="23">
        <f>SUMPRODUCT(D21:D24,'Box Shares'!$C$7:$C$10)/SUM('Box Shares'!$C$7:$C$10)</f>
        <v>0</v>
      </c>
      <c r="E25" s="23">
        <f>SUMPRODUCT(E21:E24,'Box Shares'!$C$7:$C$10)/SUM('Box Shares'!$C$7:$C$10)</f>
        <v>0.21644633323684032</v>
      </c>
    </row>
    <row r="26" spans="2:30" ht="13.95" customHeight="1" x14ac:dyDescent="0.3">
      <c r="B26" s="14" t="s">
        <v>485</v>
      </c>
    </row>
    <row r="27" spans="2:30" ht="13.95" customHeight="1" x14ac:dyDescent="0.3">
      <c r="B27" s="19" t="s">
        <v>483</v>
      </c>
      <c r="C27" s="25">
        <f>$I$13*$I$16*Assumptions!C$61+$J$13*Assumptions!C$62</f>
        <v>-0.3584935000393803</v>
      </c>
      <c r="D27" s="25">
        <f>$I$13*$I$16*Assumptions!D$61+$J$13*Assumptions!D$62</f>
        <v>0</v>
      </c>
      <c r="E27" s="25">
        <f>$I$13*$I$16*Assumptions!E$61+$J$13*Assumptions!E$62</f>
        <v>0.3584935000393803</v>
      </c>
    </row>
    <row r="28" spans="2:30" ht="13.95" customHeight="1" x14ac:dyDescent="0.3">
      <c r="B28" s="19" t="s">
        <v>484</v>
      </c>
      <c r="C28" s="25">
        <f>$I$14*$I$16*Assumptions!C$61+$J$14*Assumptions!C$62</f>
        <v>-3.016670437311747E-2</v>
      </c>
      <c r="D28" s="25">
        <f>$I$14*$I$16*Assumptions!D$61+$J$14*Assumptions!D$62</f>
        <v>0</v>
      </c>
      <c r="E28" s="25">
        <f>$I$14*$I$16*Assumptions!E$61+$J$14*Assumptions!E$62</f>
        <v>3.016670437311747E-2</v>
      </c>
    </row>
    <row r="29" spans="2:30" ht="13.95" customHeight="1" x14ac:dyDescent="0.3">
      <c r="B29" s="14" t="s">
        <v>655</v>
      </c>
    </row>
    <row r="30" spans="2:30" ht="13.95" customHeight="1" x14ac:dyDescent="0.3">
      <c r="B30" s="138" t="s">
        <v>656</v>
      </c>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row>
    <row r="31" spans="2:30" ht="58.05" customHeight="1" x14ac:dyDescent="0.3">
      <c r="B31" s="17" t="s">
        <v>604</v>
      </c>
      <c r="C31" s="18" t="s">
        <v>657</v>
      </c>
      <c r="D31" s="18" t="s">
        <v>658</v>
      </c>
      <c r="E31" s="18" t="s">
        <v>659</v>
      </c>
      <c r="F31" s="18" t="s">
        <v>662</v>
      </c>
      <c r="G31" s="18" t="s">
        <v>665</v>
      </c>
      <c r="H31" s="18" t="s">
        <v>668</v>
      </c>
      <c r="I31" s="18" t="s">
        <v>671</v>
      </c>
      <c r="J31" s="18" t="s">
        <v>674</v>
      </c>
      <c r="K31" s="18" t="s">
        <v>677</v>
      </c>
      <c r="L31" s="18" t="s">
        <v>680</v>
      </c>
      <c r="M31" s="18" t="s">
        <v>660</v>
      </c>
      <c r="N31" s="18" t="s">
        <v>663</v>
      </c>
      <c r="O31" s="18" t="s">
        <v>666</v>
      </c>
      <c r="P31" s="18" t="s">
        <v>669</v>
      </c>
      <c r="Q31" s="18" t="s">
        <v>672</v>
      </c>
      <c r="R31" s="18" t="s">
        <v>675</v>
      </c>
      <c r="S31" s="18" t="s">
        <v>678</v>
      </c>
      <c r="T31" s="18" t="s">
        <v>681</v>
      </c>
      <c r="U31" s="18" t="s">
        <v>661</v>
      </c>
      <c r="V31" s="18" t="s">
        <v>664</v>
      </c>
      <c r="W31" s="18" t="s">
        <v>667</v>
      </c>
      <c r="X31" s="18" t="s">
        <v>670</v>
      </c>
      <c r="Y31" s="18" t="s">
        <v>673</v>
      </c>
      <c r="Z31" s="18" t="s">
        <v>676</v>
      </c>
      <c r="AA31" s="18" t="s">
        <v>679</v>
      </c>
      <c r="AB31" s="18" t="s">
        <v>682</v>
      </c>
      <c r="AC31" s="18" t="s">
        <v>683</v>
      </c>
      <c r="AD31" s="18" t="s">
        <v>684</v>
      </c>
    </row>
    <row r="32" spans="2:30" ht="13.95" customHeight="1" x14ac:dyDescent="0.3">
      <c r="B32" s="77">
        <v>39021</v>
      </c>
      <c r="E32" s="106">
        <v>1</v>
      </c>
      <c r="F32" s="106">
        <v>1</v>
      </c>
      <c r="G32" s="106">
        <v>1</v>
      </c>
      <c r="H32" s="106">
        <v>1</v>
      </c>
      <c r="I32" s="106">
        <v>1</v>
      </c>
      <c r="J32" s="106">
        <v>1</v>
      </c>
      <c r="K32" s="106">
        <v>1</v>
      </c>
      <c r="L32" s="106">
        <v>1</v>
      </c>
      <c r="AC32" s="78">
        <v>48.520000457763672</v>
      </c>
    </row>
    <row r="33" spans="2:30" ht="13.95" customHeight="1" x14ac:dyDescent="0.3">
      <c r="B33" s="77">
        <v>39051</v>
      </c>
      <c r="E33" s="106">
        <v>1.021350729177821</v>
      </c>
      <c r="F33" s="106">
        <v>1.035814385056357</v>
      </c>
      <c r="G33" s="106">
        <v>0.95387591871998356</v>
      </c>
      <c r="H33" s="106">
        <v>1.004465615516505</v>
      </c>
      <c r="I33" s="106">
        <v>0.94564244754951121</v>
      </c>
      <c r="J33" s="106">
        <v>0.96972199094724287</v>
      </c>
      <c r="K33" s="106">
        <v>1.010087395667187</v>
      </c>
      <c r="L33" s="106">
        <v>1.0229905293517261</v>
      </c>
      <c r="AC33" s="78">
        <v>51.169998168945313</v>
      </c>
    </row>
    <row r="34" spans="2:30" ht="13.95" customHeight="1" x14ac:dyDescent="0.3">
      <c r="B34" s="77">
        <v>39082</v>
      </c>
      <c r="E34" s="106">
        <v>1.0353200591904861</v>
      </c>
      <c r="F34" s="106">
        <v>1.0300168505934111</v>
      </c>
      <c r="G34" s="106">
        <v>0.97893507600420382</v>
      </c>
      <c r="H34" s="106">
        <v>1.079711033432917</v>
      </c>
      <c r="I34" s="106">
        <v>0.9804965895247808</v>
      </c>
      <c r="J34" s="106">
        <v>0.97589880785897443</v>
      </c>
      <c r="K34" s="106">
        <v>1.0638685202556639</v>
      </c>
      <c r="L34" s="106">
        <v>1.0281412469929829</v>
      </c>
      <c r="AC34" s="78">
        <v>48.939998626708977</v>
      </c>
    </row>
    <row r="35" spans="2:30" ht="13.95" customHeight="1" x14ac:dyDescent="0.3">
      <c r="B35" s="77">
        <v>39113</v>
      </c>
      <c r="E35" s="106">
        <v>1.0445815943641541</v>
      </c>
      <c r="F35" s="106">
        <v>1.0297167854830229</v>
      </c>
      <c r="G35" s="106">
        <v>0.99291533929017128</v>
      </c>
      <c r="H35" s="106">
        <v>1.05976045163374</v>
      </c>
      <c r="I35" s="106">
        <v>0.99159760083243376</v>
      </c>
      <c r="J35" s="106">
        <v>0.99916370625401318</v>
      </c>
      <c r="K35" s="106">
        <v>1.051795338996349</v>
      </c>
      <c r="L35" s="106">
        <v>1.0337209303376</v>
      </c>
      <c r="AC35" s="78">
        <v>48.950000762939453</v>
      </c>
    </row>
    <row r="36" spans="2:30" ht="13.95" customHeight="1" x14ac:dyDescent="0.3">
      <c r="B36" s="77">
        <v>39141</v>
      </c>
      <c r="E36" s="106">
        <v>1.0539608821837501</v>
      </c>
      <c r="F36" s="106">
        <v>1.0186604431410049</v>
      </c>
      <c r="G36" s="106">
        <v>0.95407146606292148</v>
      </c>
      <c r="H36" s="106">
        <v>1.061428192713799</v>
      </c>
      <c r="I36" s="106">
        <v>0.93691413418681757</v>
      </c>
      <c r="J36" s="106">
        <v>1.0103242818522651</v>
      </c>
      <c r="K36" s="106">
        <v>1.0509531391716751</v>
      </c>
      <c r="L36" s="106">
        <v>1.0272538391265811</v>
      </c>
      <c r="AC36" s="78">
        <v>50.520000457763672</v>
      </c>
    </row>
    <row r="37" spans="2:30" ht="13.95" customHeight="1" x14ac:dyDescent="0.3">
      <c r="B37" s="77">
        <v>39172</v>
      </c>
      <c r="E37" s="106">
        <v>1.0746079316083019</v>
      </c>
      <c r="F37" s="106">
        <v>1.0318365282958111</v>
      </c>
      <c r="G37" s="106">
        <v>0.97959590098280624</v>
      </c>
      <c r="H37" s="106">
        <v>1.063033500655663</v>
      </c>
      <c r="I37" s="106">
        <v>0.97366860990679127</v>
      </c>
      <c r="J37" s="106">
        <v>1.001389318138453</v>
      </c>
      <c r="K37" s="106">
        <v>1.057652346808285</v>
      </c>
      <c r="L37" s="106">
        <v>1.045246214407773</v>
      </c>
      <c r="AC37" s="78">
        <v>50.819999694824219</v>
      </c>
    </row>
    <row r="38" spans="2:30" ht="13.95" customHeight="1" x14ac:dyDescent="0.3">
      <c r="B38" s="77">
        <v>39202</v>
      </c>
      <c r="E38" s="106">
        <v>1.0806669685182799</v>
      </c>
      <c r="F38" s="106">
        <v>1.019360858392683</v>
      </c>
      <c r="G38" s="106">
        <v>0.95101559058639917</v>
      </c>
      <c r="H38" s="106">
        <v>1.104736105801549</v>
      </c>
      <c r="I38" s="106">
        <v>0.94660018088050935</v>
      </c>
      <c r="J38" s="106">
        <v>0.9680666273880979</v>
      </c>
      <c r="K38" s="106">
        <v>1.084361536793444</v>
      </c>
      <c r="L38" s="106">
        <v>1.038174439984543</v>
      </c>
      <c r="AC38" s="78">
        <v>51.400001525878913</v>
      </c>
    </row>
    <row r="39" spans="2:30" ht="13.95" customHeight="1" x14ac:dyDescent="0.3">
      <c r="B39" s="77">
        <v>39233</v>
      </c>
      <c r="E39" s="106">
        <v>1.1109036820215921</v>
      </c>
      <c r="F39" s="106">
        <v>1.042469153297914</v>
      </c>
      <c r="G39" s="106">
        <v>0.98750898022850608</v>
      </c>
      <c r="H39" s="106">
        <v>1.1625919167111129</v>
      </c>
      <c r="I39" s="106">
        <v>0.98823753027232175</v>
      </c>
      <c r="J39" s="106">
        <v>0.97598789102623285</v>
      </c>
      <c r="K39" s="106">
        <v>1.1326839846410499</v>
      </c>
      <c r="L39" s="106">
        <v>1.066800579752651</v>
      </c>
      <c r="AC39" s="78">
        <v>51.549999237060547</v>
      </c>
    </row>
    <row r="40" spans="2:30" ht="13.95" customHeight="1" x14ac:dyDescent="0.3">
      <c r="B40" s="77">
        <v>39263</v>
      </c>
      <c r="E40" s="106">
        <v>1.13861885514678</v>
      </c>
      <c r="F40" s="106">
        <v>1.096816331641824</v>
      </c>
      <c r="G40" s="106">
        <v>1.0024701900765129</v>
      </c>
      <c r="H40" s="106">
        <v>1.3094714115914119</v>
      </c>
      <c r="I40" s="106">
        <v>1.010022573043948</v>
      </c>
      <c r="J40" s="106">
        <v>0.95344249533229219</v>
      </c>
      <c r="K40" s="106">
        <v>1.2417462168950559</v>
      </c>
      <c r="L40" s="106">
        <v>1.105158506246855</v>
      </c>
      <c r="AC40" s="78">
        <v>50.759998321533203</v>
      </c>
    </row>
    <row r="41" spans="2:30" ht="13.95" customHeight="1" x14ac:dyDescent="0.3">
      <c r="B41" s="77">
        <v>39294</v>
      </c>
      <c r="E41" s="106">
        <v>1.159470267325863</v>
      </c>
      <c r="F41" s="106">
        <v>1.165485368245669</v>
      </c>
      <c r="G41" s="106">
        <v>0.91388026892876595</v>
      </c>
      <c r="H41" s="106">
        <v>1.294990348255413</v>
      </c>
      <c r="I41" s="106">
        <v>0.90236702661818624</v>
      </c>
      <c r="J41" s="106">
        <v>0.96920251235599519</v>
      </c>
      <c r="K41" s="106">
        <v>1.24405619869874</v>
      </c>
      <c r="L41" s="106">
        <v>1.1343401155456361</v>
      </c>
      <c r="AC41" s="78">
        <v>51.689998626708977</v>
      </c>
    </row>
    <row r="42" spans="2:30" ht="13.95" customHeight="1" x14ac:dyDescent="0.3">
      <c r="B42" s="77">
        <v>39325</v>
      </c>
      <c r="E42" s="106">
        <v>1.1854265795025221</v>
      </c>
      <c r="F42" s="106">
        <v>1.196744671656147</v>
      </c>
      <c r="G42" s="106">
        <v>0.95495244662921752</v>
      </c>
      <c r="H42" s="106">
        <v>1.2931879571280009</v>
      </c>
      <c r="I42" s="106">
        <v>0.94813163116018084</v>
      </c>
      <c r="J42" s="106">
        <v>0.98527220380194025</v>
      </c>
      <c r="K42" s="106">
        <v>1.255075768978847</v>
      </c>
      <c r="L42" s="106">
        <v>1.165200678927748</v>
      </c>
      <c r="AC42" s="78">
        <v>49.819999694824219</v>
      </c>
    </row>
    <row r="43" spans="2:30" ht="13.95" customHeight="1" x14ac:dyDescent="0.3">
      <c r="B43" s="77">
        <v>39355</v>
      </c>
      <c r="E43" s="106">
        <v>1.1853752326664979</v>
      </c>
      <c r="F43" s="106">
        <v>1.2046515372755151</v>
      </c>
      <c r="G43" s="106">
        <v>0.98283098386736611</v>
      </c>
      <c r="H43" s="106">
        <v>1.2247325790516781</v>
      </c>
      <c r="I43" s="106">
        <v>0.97972406451895488</v>
      </c>
      <c r="J43" s="106">
        <v>0.98151322317825718</v>
      </c>
      <c r="K43" s="106">
        <v>1.220483348239136</v>
      </c>
      <c r="L43" s="106">
        <v>1.174689088418956</v>
      </c>
      <c r="AC43" s="78">
        <v>53.779998779296882</v>
      </c>
    </row>
    <row r="44" spans="2:30" ht="13.95" customHeight="1" x14ac:dyDescent="0.3">
      <c r="B44" s="77">
        <v>39386</v>
      </c>
      <c r="C44" s="107">
        <f t="shared" ref="C44:C107" si="0">IF(B44&gt;=EBStart,1,0)</f>
        <v>1</v>
      </c>
      <c r="E44" s="106">
        <v>1.1881695100170451</v>
      </c>
      <c r="F44" s="106">
        <v>1.2191141122745901</v>
      </c>
      <c r="G44" s="106">
        <v>1.0082653188928781</v>
      </c>
      <c r="H44" s="106">
        <v>1.2949113650943831</v>
      </c>
      <c r="I44" s="106">
        <v>1.006829736507677</v>
      </c>
      <c r="J44" s="106">
        <v>0.99309439236496788</v>
      </c>
      <c r="K44" s="106">
        <v>1.2664158503198411</v>
      </c>
      <c r="L44" s="106">
        <v>1.187924220601174</v>
      </c>
      <c r="M44" s="40">
        <f t="shared" ref="M44:M107" si="1">LN(E44/E32)</f>
        <v>0.1724138959614212</v>
      </c>
      <c r="N44" s="40">
        <f t="shared" ref="N44:N107" si="2">LN(F44/F32)</f>
        <v>0.19812445749980678</v>
      </c>
      <c r="O44" s="40">
        <f t="shared" ref="O44:O107" si="3">LN(G44/G32)</f>
        <v>8.2313482020422799E-3</v>
      </c>
      <c r="P44" s="40">
        <f t="shared" ref="P44:P107" si="4">LN(H44/H32)</f>
        <v>0.25844224886654621</v>
      </c>
      <c r="Q44" s="40">
        <f t="shared" ref="Q44:Q107" si="5">LN(I44/I32)</f>
        <v>6.8065195080085766E-3</v>
      </c>
      <c r="R44" s="40">
        <f t="shared" ref="R44:R107" si="6">LN(J44/J32)</f>
        <v>-6.9295616853145689E-3</v>
      </c>
      <c r="S44" s="40">
        <f t="shared" ref="S44:S107" si="7">LN(K44/K32)</f>
        <v>0.23619074555169806</v>
      </c>
      <c r="T44" s="40">
        <f t="shared" ref="T44:T107" si="8">LN(L44/L32)</f>
        <v>0.17220743153320303</v>
      </c>
      <c r="AC44" s="78">
        <v>55.639999389648438</v>
      </c>
      <c r="AD44" s="40">
        <f t="shared" ref="AD44:AD107" si="9">LN(AC44/AC32)</f>
        <v>0.13692626257520277</v>
      </c>
    </row>
    <row r="45" spans="2:30" ht="13.95" customHeight="1" x14ac:dyDescent="0.3">
      <c r="B45" s="77">
        <v>39416</v>
      </c>
      <c r="C45" s="107">
        <f t="shared" si="0"/>
        <v>1</v>
      </c>
      <c r="E45" s="106">
        <v>1.2031991887540781</v>
      </c>
      <c r="F45" s="106">
        <v>1.2354499575101501</v>
      </c>
      <c r="G45" s="106">
        <v>1.012046255161132</v>
      </c>
      <c r="H45" s="106">
        <v>1.2620146222664239</v>
      </c>
      <c r="I45" s="106">
        <v>1.0236914730821509</v>
      </c>
      <c r="J45" s="106">
        <v>0.89391131737858764</v>
      </c>
      <c r="K45" s="106">
        <v>1.253967149895526</v>
      </c>
      <c r="L45" s="106">
        <v>1.201702501069787</v>
      </c>
      <c r="M45" s="40">
        <f t="shared" si="1"/>
        <v>0.16385800442292103</v>
      </c>
      <c r="N45" s="40">
        <f t="shared" si="2"/>
        <v>0.17624727900803491</v>
      </c>
      <c r="O45" s="40">
        <f t="shared" si="3"/>
        <v>5.9195956729470443E-2</v>
      </c>
      <c r="P45" s="40">
        <f t="shared" si="4"/>
        <v>0.22825367639335875</v>
      </c>
      <c r="Q45" s="40">
        <f t="shared" si="5"/>
        <v>7.9305929197693067E-2</v>
      </c>
      <c r="R45" s="40">
        <f t="shared" si="6"/>
        <v>-8.1402850456822259E-2</v>
      </c>
      <c r="S45" s="40">
        <f t="shared" si="7"/>
        <v>0.21627538813885619</v>
      </c>
      <c r="T45" s="40">
        <f t="shared" si="8"/>
        <v>0.16100907300336029</v>
      </c>
      <c r="AC45" s="78">
        <v>53.869998931884773</v>
      </c>
      <c r="AD45" s="40">
        <f t="shared" si="9"/>
        <v>5.1420329831551564E-2</v>
      </c>
    </row>
    <row r="46" spans="2:30" ht="13.95" customHeight="1" x14ac:dyDescent="0.3">
      <c r="B46" s="77">
        <v>39447</v>
      </c>
      <c r="C46" s="107">
        <f t="shared" si="0"/>
        <v>1</v>
      </c>
      <c r="E46" s="106">
        <v>1.211108914759446</v>
      </c>
      <c r="F46" s="106">
        <v>1.279417432395894</v>
      </c>
      <c r="G46" s="106">
        <v>0.9615102322981286</v>
      </c>
      <c r="H46" s="106">
        <v>1.2947396415413119</v>
      </c>
      <c r="I46" s="106">
        <v>0.96370048434789801</v>
      </c>
      <c r="J46" s="106">
        <v>0.92073400218181456</v>
      </c>
      <c r="K46" s="106">
        <v>1.2796139458315521</v>
      </c>
      <c r="L46" s="106">
        <v>1.2177829471438419</v>
      </c>
      <c r="M46" s="40">
        <f t="shared" si="1"/>
        <v>0.15682578354926641</v>
      </c>
      <c r="N46" s="40">
        <f t="shared" si="2"/>
        <v>0.21682968148014214</v>
      </c>
      <c r="O46" s="40">
        <f t="shared" si="3"/>
        <v>-1.7960116698173E-2</v>
      </c>
      <c r="P46" s="40">
        <f t="shared" si="4"/>
        <v>0.18161618223665357</v>
      </c>
      <c r="Q46" s="40">
        <f t="shared" si="5"/>
        <v>-1.7278621879138725E-2</v>
      </c>
      <c r="R46" s="40">
        <f t="shared" si="6"/>
        <v>-5.8187720159903651E-2</v>
      </c>
      <c r="S46" s="40">
        <f t="shared" si="7"/>
        <v>0.18464661552492662</v>
      </c>
      <c r="T46" s="40">
        <f t="shared" si="8"/>
        <v>0.16927939169892187</v>
      </c>
      <c r="AC46" s="78">
        <v>56.229999542236328</v>
      </c>
      <c r="AD46" s="40">
        <f t="shared" si="9"/>
        <v>0.13885538420937713</v>
      </c>
    </row>
    <row r="47" spans="2:30" ht="13.95" customHeight="1" x14ac:dyDescent="0.3">
      <c r="B47" s="77">
        <v>39478</v>
      </c>
      <c r="C47" s="107">
        <f t="shared" si="0"/>
        <v>1</v>
      </c>
      <c r="E47" s="106">
        <v>1.221728217076665</v>
      </c>
      <c r="F47" s="106">
        <v>1.2764842467039479</v>
      </c>
      <c r="G47" s="106">
        <v>0.99053156884297577</v>
      </c>
      <c r="H47" s="106">
        <v>1.3246484250520281</v>
      </c>
      <c r="I47" s="106">
        <v>0.99323650083536819</v>
      </c>
      <c r="J47" s="106">
        <v>0.94491480534031458</v>
      </c>
      <c r="K47" s="106">
        <v>1.298407630775587</v>
      </c>
      <c r="L47" s="106">
        <v>1.2250383828475631</v>
      </c>
      <c r="M47" s="40">
        <f t="shared" si="1"/>
        <v>0.15665001065702225</v>
      </c>
      <c r="N47" s="40">
        <f t="shared" si="2"/>
        <v>0.21482581773464435</v>
      </c>
      <c r="O47" s="40">
        <f t="shared" si="3"/>
        <v>-2.403665644014358E-3</v>
      </c>
      <c r="P47" s="40">
        <f t="shared" si="4"/>
        <v>0.22310419108620014</v>
      </c>
      <c r="Q47" s="40">
        <f t="shared" si="5"/>
        <v>1.6514230323072857E-3</v>
      </c>
      <c r="R47" s="40">
        <f t="shared" si="6"/>
        <v>-5.5823864996771236E-2</v>
      </c>
      <c r="S47" s="40">
        <f t="shared" si="7"/>
        <v>0.21064006355268414</v>
      </c>
      <c r="T47" s="40">
        <f t="shared" si="8"/>
        <v>0.16980733007464385</v>
      </c>
      <c r="AC47" s="78">
        <v>58.549999237060547</v>
      </c>
      <c r="AD47" s="40">
        <f t="shared" si="9"/>
        <v>0.17908169245054714</v>
      </c>
    </row>
    <row r="48" spans="2:30" ht="13.95" customHeight="1" x14ac:dyDescent="0.3">
      <c r="B48" s="77">
        <v>39507</v>
      </c>
      <c r="C48" s="107">
        <f t="shared" si="0"/>
        <v>1</v>
      </c>
      <c r="E48" s="106">
        <v>1.31722667940204</v>
      </c>
      <c r="F48" s="106">
        <v>1.2747284086361299</v>
      </c>
      <c r="G48" s="106">
        <v>1.0275938541898519</v>
      </c>
      <c r="H48" s="106">
        <v>1.405903195159296</v>
      </c>
      <c r="I48" s="106">
        <v>1.0320564233095799</v>
      </c>
      <c r="J48" s="106">
        <v>0.96686314379536353</v>
      </c>
      <c r="K48" s="106">
        <v>1.3575832007219779</v>
      </c>
      <c r="L48" s="106">
        <v>1.25977330837137</v>
      </c>
      <c r="M48" s="40">
        <f t="shared" si="1"/>
        <v>0.22297319019474957</v>
      </c>
      <c r="N48" s="40">
        <f t="shared" si="2"/>
        <v>0.22424466995002185</v>
      </c>
      <c r="O48" s="40">
        <f t="shared" si="3"/>
        <v>7.4236703818003555E-2</v>
      </c>
      <c r="P48" s="40">
        <f t="shared" si="4"/>
        <v>0.2810645869030014</v>
      </c>
      <c r="Q48" s="40">
        <f t="shared" si="5"/>
        <v>9.6716979332141698E-2</v>
      </c>
      <c r="R48" s="40">
        <f t="shared" si="6"/>
        <v>-4.3969670588227393E-2</v>
      </c>
      <c r="S48" s="40">
        <f t="shared" si="7"/>
        <v>0.25600855660991018</v>
      </c>
      <c r="T48" s="40">
        <f t="shared" si="8"/>
        <v>0.20404272472599855</v>
      </c>
      <c r="AC48" s="78">
        <v>65.669998168945313</v>
      </c>
      <c r="AD48" s="40">
        <f t="shared" si="9"/>
        <v>0.26227286577688569</v>
      </c>
    </row>
    <row r="49" spans="2:30" ht="13.95" customHeight="1" x14ac:dyDescent="0.3">
      <c r="B49" s="77">
        <v>39538</v>
      </c>
      <c r="C49" s="107">
        <f t="shared" si="0"/>
        <v>1</v>
      </c>
      <c r="E49" s="106">
        <v>1.368934336503367</v>
      </c>
      <c r="F49" s="106">
        <v>1.2696523547065579</v>
      </c>
      <c r="G49" s="106">
        <v>1.050628345746466</v>
      </c>
      <c r="H49" s="106">
        <v>1.4358254040781031</v>
      </c>
      <c r="I49" s="106">
        <v>1.060739644689213</v>
      </c>
      <c r="J49" s="106">
        <v>0.94116285611929307</v>
      </c>
      <c r="K49" s="106">
        <v>1.3816899765285739</v>
      </c>
      <c r="L49" s="106">
        <v>1.277349528895563</v>
      </c>
      <c r="M49" s="40">
        <f t="shared" si="1"/>
        <v>0.24207670031371456</v>
      </c>
      <c r="N49" s="40">
        <f t="shared" si="2"/>
        <v>0.20740287484812608</v>
      </c>
      <c r="O49" s="40">
        <f t="shared" si="3"/>
        <v>7.0003547996719179E-2</v>
      </c>
      <c r="P49" s="40">
        <f t="shared" si="4"/>
        <v>0.30061326426876556</v>
      </c>
      <c r="Q49" s="40">
        <f t="shared" si="5"/>
        <v>8.5650712267190413E-2</v>
      </c>
      <c r="R49" s="40">
        <f t="shared" si="6"/>
        <v>-6.2027441223277684E-2</v>
      </c>
      <c r="S49" s="40">
        <f t="shared" si="7"/>
        <v>0.26725568586784476</v>
      </c>
      <c r="T49" s="40">
        <f t="shared" si="8"/>
        <v>0.20053478101998884</v>
      </c>
      <c r="AC49" s="78">
        <v>61.400001525878913</v>
      </c>
      <c r="AD49" s="40">
        <f t="shared" si="9"/>
        <v>0.1891198881175597</v>
      </c>
    </row>
    <row r="50" spans="2:30" ht="13.95" customHeight="1" x14ac:dyDescent="0.3">
      <c r="B50" s="77">
        <v>39568</v>
      </c>
      <c r="C50" s="107">
        <f t="shared" si="0"/>
        <v>1</v>
      </c>
      <c r="E50" s="106">
        <v>1.4097440407072761</v>
      </c>
      <c r="F50" s="106">
        <v>1.3165557216893491</v>
      </c>
      <c r="G50" s="106">
        <v>1.0423845302226731</v>
      </c>
      <c r="H50" s="106">
        <v>1.5110308854026651</v>
      </c>
      <c r="I50" s="106">
        <v>1.054658418786063</v>
      </c>
      <c r="J50" s="106">
        <v>0.91491452947960372</v>
      </c>
      <c r="K50" s="106">
        <v>1.437657828438772</v>
      </c>
      <c r="L50" s="106">
        <v>1.312465597068758</v>
      </c>
      <c r="M50" s="40">
        <f t="shared" si="1"/>
        <v>0.26582974253282565</v>
      </c>
      <c r="N50" s="40">
        <f t="shared" si="2"/>
        <v>0.25584320321107873</v>
      </c>
      <c r="O50" s="40">
        <f t="shared" si="3"/>
        <v>9.1735728864151711E-2</v>
      </c>
      <c r="P50" s="40">
        <f t="shared" si="4"/>
        <v>0.31318563528513149</v>
      </c>
      <c r="Q50" s="40">
        <f t="shared" si="5"/>
        <v>0.10809541126511206</v>
      </c>
      <c r="R50" s="40">
        <f t="shared" si="6"/>
        <v>-5.6470264346594003E-2</v>
      </c>
      <c r="S50" s="40">
        <f t="shared" si="7"/>
        <v>0.28202391292017626</v>
      </c>
      <c r="T50" s="40">
        <f t="shared" si="8"/>
        <v>0.2344436788237422</v>
      </c>
      <c r="AC50" s="78">
        <v>64.129997253417969</v>
      </c>
      <c r="AD50" s="40">
        <f t="shared" si="9"/>
        <v>0.22127402818494238</v>
      </c>
    </row>
    <row r="51" spans="2:30" ht="13.95" customHeight="1" x14ac:dyDescent="0.3">
      <c r="B51" s="77">
        <v>39599</v>
      </c>
      <c r="C51" s="107">
        <f t="shared" si="0"/>
        <v>1</v>
      </c>
      <c r="E51" s="106">
        <v>1.4202570240800561</v>
      </c>
      <c r="F51" s="106">
        <v>1.318750861002437</v>
      </c>
      <c r="G51" s="106">
        <v>1.0727290904932201</v>
      </c>
      <c r="H51" s="106">
        <v>1.517206819835218</v>
      </c>
      <c r="I51" s="106">
        <v>1.0894938525478091</v>
      </c>
      <c r="J51" s="106">
        <v>0.90438773911142578</v>
      </c>
      <c r="K51" s="106">
        <v>1.446639663834721</v>
      </c>
      <c r="L51" s="106">
        <v>1.32385474860784</v>
      </c>
      <c r="M51" s="40">
        <f t="shared" si="1"/>
        <v>0.24566404605817951</v>
      </c>
      <c r="N51" s="40">
        <f t="shared" si="2"/>
        <v>0.2350928860444905</v>
      </c>
      <c r="O51" s="40">
        <f t="shared" si="3"/>
        <v>8.2775641545315581E-2</v>
      </c>
      <c r="P51" s="40">
        <f t="shared" si="4"/>
        <v>0.26621910234424362</v>
      </c>
      <c r="Q51" s="40">
        <f t="shared" si="5"/>
        <v>9.754542780794169E-2</v>
      </c>
      <c r="R51" s="40">
        <f t="shared" si="6"/>
        <v>-7.6191996219989011E-2</v>
      </c>
      <c r="S51" s="40">
        <f t="shared" si="7"/>
        <v>0.24465336969372681</v>
      </c>
      <c r="T51" s="40">
        <f t="shared" si="8"/>
        <v>0.21588368823131909</v>
      </c>
      <c r="AC51" s="78">
        <v>65.5</v>
      </c>
      <c r="AD51" s="40">
        <f t="shared" si="9"/>
        <v>0.23949794697822671</v>
      </c>
    </row>
    <row r="52" spans="2:30" ht="13.95" customHeight="1" x14ac:dyDescent="0.3">
      <c r="B52" s="77">
        <v>39629</v>
      </c>
      <c r="C52" s="107">
        <f t="shared" si="0"/>
        <v>1</v>
      </c>
      <c r="E52" s="106">
        <v>1.424125264422456</v>
      </c>
      <c r="F52" s="106">
        <v>1.3004111724517571</v>
      </c>
      <c r="G52" s="106">
        <v>1.0578854659560051</v>
      </c>
      <c r="H52" s="106">
        <v>1.541664931502823</v>
      </c>
      <c r="I52" s="106">
        <v>1.07715643451828</v>
      </c>
      <c r="J52" s="106">
        <v>0.86891061553634619</v>
      </c>
      <c r="K52" s="106">
        <v>1.454060756491129</v>
      </c>
      <c r="L52" s="106">
        <v>1.3134634852219049</v>
      </c>
      <c r="M52" s="40">
        <f t="shared" si="1"/>
        <v>0.2237417783728177</v>
      </c>
      <c r="N52" s="40">
        <f t="shared" si="2"/>
        <v>0.17026876154145765</v>
      </c>
      <c r="O52" s="40">
        <f t="shared" si="3"/>
        <v>5.380492816406527E-2</v>
      </c>
      <c r="P52" s="40">
        <f t="shared" si="4"/>
        <v>0.16323940360195874</v>
      </c>
      <c r="Q52" s="40">
        <f t="shared" si="5"/>
        <v>6.4351957723670791E-2</v>
      </c>
      <c r="R52" s="40">
        <f t="shared" si="6"/>
        <v>-9.2838853200340188E-2</v>
      </c>
      <c r="S52" s="40">
        <f t="shared" si="7"/>
        <v>0.15784153558641417</v>
      </c>
      <c r="T52" s="40">
        <f t="shared" si="8"/>
        <v>0.17267876090456291</v>
      </c>
      <c r="AC52" s="78">
        <v>71.510002136230469</v>
      </c>
      <c r="AD52" s="40">
        <f t="shared" si="9"/>
        <v>0.34272872015401068</v>
      </c>
    </row>
    <row r="53" spans="2:30" ht="13.95" customHeight="1" x14ac:dyDescent="0.3">
      <c r="B53" s="77">
        <v>39660</v>
      </c>
      <c r="C53" s="107">
        <f t="shared" si="0"/>
        <v>1</v>
      </c>
      <c r="E53" s="106">
        <v>1.4478184165777941</v>
      </c>
      <c r="F53" s="106">
        <v>1.326507902681652</v>
      </c>
      <c r="G53" s="106">
        <v>1.0440039880030469</v>
      </c>
      <c r="H53" s="106">
        <v>1.53257436277606</v>
      </c>
      <c r="I53" s="106">
        <v>1.067170851504297</v>
      </c>
      <c r="J53" s="106">
        <v>0.8240866652374057</v>
      </c>
      <c r="K53" s="106">
        <v>1.4580982750821481</v>
      </c>
      <c r="L53" s="106">
        <v>1.3306476145701971</v>
      </c>
      <c r="M53" s="40">
        <f t="shared" si="1"/>
        <v>0.2220946484678728</v>
      </c>
      <c r="N53" s="40">
        <f t="shared" si="2"/>
        <v>0.12941222676445963</v>
      </c>
      <c r="O53" s="40">
        <f t="shared" si="3"/>
        <v>0.13311902228391881</v>
      </c>
      <c r="P53" s="40">
        <f t="shared" si="4"/>
        <v>0.16844566944617953</v>
      </c>
      <c r="Q53" s="40">
        <f t="shared" si="5"/>
        <v>0.16774502130578603</v>
      </c>
      <c r="R53" s="40">
        <f t="shared" si="6"/>
        <v>-0.16219788049680697</v>
      </c>
      <c r="S53" s="40">
        <f t="shared" si="7"/>
        <v>0.15875586624987414</v>
      </c>
      <c r="T53" s="40">
        <f t="shared" si="8"/>
        <v>0.15961466610869723</v>
      </c>
      <c r="AC53" s="78">
        <v>62.799999237060547</v>
      </c>
      <c r="AD53" s="40">
        <f t="shared" si="9"/>
        <v>0.19469074868531569</v>
      </c>
    </row>
    <row r="54" spans="2:30" ht="13.95" customHeight="1" x14ac:dyDescent="0.3">
      <c r="B54" s="77">
        <v>39691</v>
      </c>
      <c r="C54" s="107">
        <f t="shared" si="0"/>
        <v>1</v>
      </c>
      <c r="E54" s="106">
        <v>1.432747048374533</v>
      </c>
      <c r="F54" s="106">
        <v>1.3368901698401019</v>
      </c>
      <c r="G54" s="106">
        <v>1.0326333079218579</v>
      </c>
      <c r="H54" s="106">
        <v>1.554508041770521</v>
      </c>
      <c r="I54" s="106">
        <v>1.0512396772620829</v>
      </c>
      <c r="J54" s="106">
        <v>0.84966918997569529</v>
      </c>
      <c r="K54" s="106">
        <v>1.467753169600938</v>
      </c>
      <c r="L54" s="106">
        <v>1.3276205694220991</v>
      </c>
      <c r="M54" s="40">
        <f t="shared" si="1"/>
        <v>0.18949092182417121</v>
      </c>
      <c r="N54" s="40">
        <f t="shared" si="2"/>
        <v>0.11074105109353542</v>
      </c>
      <c r="O54" s="40">
        <f t="shared" si="3"/>
        <v>7.8205883154271433E-2</v>
      </c>
      <c r="P54" s="40">
        <f t="shared" si="4"/>
        <v>0.18404866935654621</v>
      </c>
      <c r="Q54" s="40">
        <f t="shared" si="5"/>
        <v>0.10323204769900217</v>
      </c>
      <c r="R54" s="40">
        <f t="shared" si="6"/>
        <v>-0.14807086656516338</v>
      </c>
      <c r="S54" s="40">
        <f t="shared" si="7"/>
        <v>0.15653683100663884</v>
      </c>
      <c r="T54" s="40">
        <f t="shared" si="8"/>
        <v>0.13049496565955274</v>
      </c>
      <c r="AC54" s="78">
        <v>58.169998168945313</v>
      </c>
      <c r="AD54" s="40">
        <f t="shared" si="9"/>
        <v>0.15495322273655657</v>
      </c>
    </row>
    <row r="55" spans="2:30" ht="13.95" customHeight="1" x14ac:dyDescent="0.3">
      <c r="B55" s="77">
        <v>39721</v>
      </c>
      <c r="C55" s="107">
        <f t="shared" si="0"/>
        <v>1</v>
      </c>
      <c r="E55" s="106">
        <v>1.457497214323886</v>
      </c>
      <c r="F55" s="106">
        <v>1.3307227042237659</v>
      </c>
      <c r="G55" s="106">
        <v>1.060647853199312</v>
      </c>
      <c r="H55" s="106">
        <v>1.5920037788768391</v>
      </c>
      <c r="I55" s="106">
        <v>1.076839209703774</v>
      </c>
      <c r="J55" s="106">
        <v>0.90017342160519831</v>
      </c>
      <c r="K55" s="106">
        <v>1.495352685404818</v>
      </c>
      <c r="L55" s="106">
        <v>1.342410446665659</v>
      </c>
      <c r="M55" s="40">
        <f t="shared" si="1"/>
        <v>0.20666135146796563</v>
      </c>
      <c r="N55" s="40">
        <f t="shared" si="2"/>
        <v>9.9531836849413913E-2</v>
      </c>
      <c r="O55" s="40">
        <f t="shared" si="3"/>
        <v>7.6198016407143618E-2</v>
      </c>
      <c r="P55" s="40">
        <f t="shared" si="4"/>
        <v>0.26227094373552456</v>
      </c>
      <c r="Q55" s="40">
        <f t="shared" si="5"/>
        <v>9.4514406199826762E-2</v>
      </c>
      <c r="R55" s="40">
        <f t="shared" si="6"/>
        <v>-8.6508050609463344E-2</v>
      </c>
      <c r="S55" s="40">
        <f t="shared" si="7"/>
        <v>0.20311512162500098</v>
      </c>
      <c r="T55" s="40">
        <f t="shared" si="8"/>
        <v>0.13346333180062234</v>
      </c>
      <c r="AC55" s="78">
        <v>51.540000915527337</v>
      </c>
      <c r="AD55" s="40">
        <f t="shared" si="9"/>
        <v>-4.2543405154979577E-2</v>
      </c>
    </row>
    <row r="56" spans="2:30" ht="13.95" customHeight="1" x14ac:dyDescent="0.3">
      <c r="B56" s="77">
        <v>39752</v>
      </c>
      <c r="C56" s="107">
        <f t="shared" si="0"/>
        <v>1</v>
      </c>
      <c r="E56" s="106">
        <v>1.3835178839365849</v>
      </c>
      <c r="F56" s="106">
        <v>1.309196494054145</v>
      </c>
      <c r="G56" s="106">
        <v>1.0462573516263289</v>
      </c>
      <c r="H56" s="106">
        <v>1.503898954269598</v>
      </c>
      <c r="I56" s="106">
        <v>1.04084258867766</v>
      </c>
      <c r="J56" s="106">
        <v>1.0877434785970199</v>
      </c>
      <c r="K56" s="106">
        <v>1.4276800240798759</v>
      </c>
      <c r="L56" s="106">
        <v>1.3012465039737859</v>
      </c>
      <c r="M56" s="40">
        <f t="shared" si="1"/>
        <v>0.15221555078938312</v>
      </c>
      <c r="N56" s="40">
        <f t="shared" si="2"/>
        <v>7.1289128211573002E-2</v>
      </c>
      <c r="O56" s="40">
        <f t="shared" si="3"/>
        <v>3.6988021238861017E-2</v>
      </c>
      <c r="P56" s="40">
        <f t="shared" si="4"/>
        <v>0.14961878974293982</v>
      </c>
      <c r="Q56" s="40">
        <f t="shared" si="5"/>
        <v>3.3224047046290811E-2</v>
      </c>
      <c r="R56" s="40">
        <f t="shared" si="6"/>
        <v>9.1034908971832737E-2</v>
      </c>
      <c r="S56" s="40">
        <f t="shared" si="7"/>
        <v>0.11986002048444384</v>
      </c>
      <c r="T56" s="40">
        <f t="shared" si="8"/>
        <v>9.1115222742629731E-2</v>
      </c>
      <c r="AC56" s="78">
        <v>40.450000762939453</v>
      </c>
      <c r="AD56" s="40">
        <f t="shared" si="9"/>
        <v>-0.31883569371979065</v>
      </c>
    </row>
    <row r="57" spans="2:30" ht="13.95" customHeight="1" x14ac:dyDescent="0.3">
      <c r="B57" s="77">
        <v>39782</v>
      </c>
      <c r="C57" s="107">
        <f t="shared" si="0"/>
        <v>1</v>
      </c>
      <c r="E57" s="106">
        <v>1.358802650972994</v>
      </c>
      <c r="F57" s="106">
        <v>1.271061750866479</v>
      </c>
      <c r="G57" s="106">
        <v>1.0108000271602779</v>
      </c>
      <c r="H57" s="106">
        <v>1.395943648491444</v>
      </c>
      <c r="I57" s="106">
        <v>1.002217378025049</v>
      </c>
      <c r="J57" s="106">
        <v>1.084725631375276</v>
      </c>
      <c r="K57" s="106">
        <v>1.3531101776877339</v>
      </c>
      <c r="L57" s="106">
        <v>1.268544878998872</v>
      </c>
      <c r="M57" s="40">
        <f t="shared" si="1"/>
        <v>0.12161990829576123</v>
      </c>
      <c r="N57" s="40">
        <f t="shared" si="2"/>
        <v>2.8417333711306132E-2</v>
      </c>
      <c r="O57" s="40">
        <f t="shared" si="3"/>
        <v>-1.2321530997329933E-3</v>
      </c>
      <c r="P57" s="40">
        <f t="shared" si="4"/>
        <v>0.10086128648144495</v>
      </c>
      <c r="Q57" s="40">
        <f t="shared" si="5"/>
        <v>-2.1200262129927681E-2</v>
      </c>
      <c r="R57" s="40">
        <f t="shared" si="6"/>
        <v>0.19347578699795009</v>
      </c>
      <c r="S57" s="40">
        <f t="shared" si="7"/>
        <v>7.6093532402904646E-2</v>
      </c>
      <c r="T57" s="40">
        <f t="shared" si="8"/>
        <v>5.4131176803352464E-2</v>
      </c>
      <c r="AC57" s="78">
        <v>37.029998779296882</v>
      </c>
      <c r="AD57" s="40">
        <f t="shared" si="9"/>
        <v>-0.37484535490452409</v>
      </c>
    </row>
    <row r="58" spans="2:30" ht="13.95" customHeight="1" x14ac:dyDescent="0.3">
      <c r="B58" s="77">
        <v>39813</v>
      </c>
      <c r="C58" s="107">
        <f t="shared" si="0"/>
        <v>1</v>
      </c>
      <c r="E58" s="106">
        <v>1.2921549303301301</v>
      </c>
      <c r="F58" s="106">
        <v>1.2645287318450471</v>
      </c>
      <c r="G58" s="106">
        <v>1.009915241432346</v>
      </c>
      <c r="H58" s="106">
        <v>1.2787733661405729</v>
      </c>
      <c r="I58" s="106">
        <v>0.9908875829509135</v>
      </c>
      <c r="J58" s="106">
        <v>1.1723592101321729</v>
      </c>
      <c r="K58" s="106">
        <v>1.274898879389438</v>
      </c>
      <c r="L58" s="106">
        <v>1.2390114046200911</v>
      </c>
      <c r="M58" s="40">
        <f t="shared" si="1"/>
        <v>6.4774914891507523E-2</v>
      </c>
      <c r="N58" s="40">
        <f t="shared" si="2"/>
        <v>-1.1705334615575727E-2</v>
      </c>
      <c r="O58" s="40">
        <f t="shared" si="3"/>
        <v>4.9116479952019738E-2</v>
      </c>
      <c r="P58" s="40">
        <f t="shared" si="4"/>
        <v>-1.240831517713741E-2</v>
      </c>
      <c r="Q58" s="40">
        <f t="shared" si="5"/>
        <v>2.7820544455304404E-2</v>
      </c>
      <c r="R58" s="40">
        <f t="shared" si="6"/>
        <v>0.24160223605868755</v>
      </c>
      <c r="S58" s="40">
        <f t="shared" si="7"/>
        <v>-3.6915624381761861E-3</v>
      </c>
      <c r="T58" s="40">
        <f t="shared" si="8"/>
        <v>1.7281858210023548E-2</v>
      </c>
      <c r="AC58" s="78">
        <v>35.189998626708977</v>
      </c>
      <c r="AD58" s="40">
        <f t="shared" si="9"/>
        <v>-0.46868850185473815</v>
      </c>
    </row>
    <row r="59" spans="2:30" ht="13.95" customHeight="1" x14ac:dyDescent="0.3">
      <c r="B59" s="77">
        <v>39844</v>
      </c>
      <c r="C59" s="107">
        <f t="shared" si="0"/>
        <v>1</v>
      </c>
      <c r="E59" s="106">
        <v>1.252604593990081</v>
      </c>
      <c r="F59" s="106">
        <v>1.3228172562611931</v>
      </c>
      <c r="G59" s="106">
        <v>0.98145857969643802</v>
      </c>
      <c r="H59" s="106">
        <v>1.110047954419368</v>
      </c>
      <c r="I59" s="106">
        <v>0.96236630748144858</v>
      </c>
      <c r="J59" s="106">
        <v>1.1461328871712591</v>
      </c>
      <c r="K59" s="106">
        <v>1.169438362671908</v>
      </c>
      <c r="L59" s="106">
        <v>1.2304720096373509</v>
      </c>
      <c r="M59" s="40">
        <f t="shared" si="1"/>
        <v>2.4958630937203956E-2</v>
      </c>
      <c r="N59" s="40">
        <f t="shared" si="2"/>
        <v>3.5654130678041136E-2</v>
      </c>
      <c r="O59" s="40">
        <f t="shared" si="3"/>
        <v>-9.2019254505645454E-3</v>
      </c>
      <c r="P59" s="40">
        <f t="shared" si="4"/>
        <v>-0.17674386807536865</v>
      </c>
      <c r="Q59" s="40">
        <f t="shared" si="5"/>
        <v>-3.1573648502840175E-2</v>
      </c>
      <c r="R59" s="40">
        <f t="shared" si="6"/>
        <v>0.1930540775934923</v>
      </c>
      <c r="S59" s="40">
        <f t="shared" si="7"/>
        <v>-0.10461501260854113</v>
      </c>
      <c r="T59" s="40">
        <f t="shared" si="8"/>
        <v>4.4256670020524618E-3</v>
      </c>
      <c r="AC59" s="78">
        <v>33.389999389648438</v>
      </c>
      <c r="AD59" s="40">
        <f t="shared" si="9"/>
        <v>-0.56162464133707235</v>
      </c>
    </row>
    <row r="60" spans="2:30" ht="13.95" customHeight="1" x14ac:dyDescent="0.3">
      <c r="B60" s="77">
        <v>39872</v>
      </c>
      <c r="C60" s="107">
        <f t="shared" si="0"/>
        <v>1</v>
      </c>
      <c r="E60" s="106">
        <v>1.2396682631491549</v>
      </c>
      <c r="F60" s="106">
        <v>1.3640751639325579</v>
      </c>
      <c r="G60" s="106">
        <v>0.94673584925582499</v>
      </c>
      <c r="H60" s="106">
        <v>1.07605464647844</v>
      </c>
      <c r="I60" s="106">
        <v>0.93379054035187248</v>
      </c>
      <c r="J60" s="106">
        <v>1.0384497473431931</v>
      </c>
      <c r="K60" s="106">
        <v>1.147439596585744</v>
      </c>
      <c r="L60" s="106">
        <v>1.226463807122852</v>
      </c>
      <c r="M60" s="40">
        <f t="shared" si="1"/>
        <v>-6.0684711841470985E-2</v>
      </c>
      <c r="N60" s="40">
        <f t="shared" si="2"/>
        <v>6.7743520339894489E-2</v>
      </c>
      <c r="O60" s="40">
        <f t="shared" si="3"/>
        <v>-8.1955164459436639E-2</v>
      </c>
      <c r="P60" s="40">
        <f t="shared" si="4"/>
        <v>-0.26737869264007147</v>
      </c>
      <c r="Q60" s="40">
        <f t="shared" si="5"/>
        <v>-0.1000564660831644</v>
      </c>
      <c r="R60" s="40">
        <f t="shared" si="6"/>
        <v>7.1427293634638261E-2</v>
      </c>
      <c r="S60" s="40">
        <f t="shared" si="7"/>
        <v>-0.16817303818798948</v>
      </c>
      <c r="T60" s="40">
        <f t="shared" si="8"/>
        <v>-2.6796715577218494E-2</v>
      </c>
      <c r="AC60" s="78">
        <v>31.860000610351559</v>
      </c>
      <c r="AD60" s="40">
        <f t="shared" si="9"/>
        <v>-0.72329084868101301</v>
      </c>
    </row>
    <row r="61" spans="2:30" ht="13.95" customHeight="1" x14ac:dyDescent="0.3">
      <c r="B61" s="77">
        <v>39903</v>
      </c>
      <c r="C61" s="107">
        <f t="shared" si="0"/>
        <v>1</v>
      </c>
      <c r="E61" s="106">
        <v>1.2475353406569829</v>
      </c>
      <c r="F61" s="106">
        <v>1.3441479766554001</v>
      </c>
      <c r="G61" s="106">
        <v>0.94297606609072249</v>
      </c>
      <c r="H61" s="106">
        <v>0.91773397679738489</v>
      </c>
      <c r="I61" s="106">
        <v>0.93601167363492521</v>
      </c>
      <c r="J61" s="106">
        <v>0.96006937855546437</v>
      </c>
      <c r="K61" s="106">
        <v>1.0491871434868789</v>
      </c>
      <c r="L61" s="106">
        <v>1.22153725090745</v>
      </c>
      <c r="M61" s="40">
        <f t="shared" si="1"/>
        <v>-9.2862703159526619E-2</v>
      </c>
      <c r="N61" s="40">
        <f t="shared" si="2"/>
        <v>5.7017211172028348E-2</v>
      </c>
      <c r="O61" s="40">
        <f t="shared" si="3"/>
        <v>-0.10810278697978502</v>
      </c>
      <c r="P61" s="40">
        <f t="shared" si="4"/>
        <v>-0.44758759431153861</v>
      </c>
      <c r="Q61" s="40">
        <f t="shared" si="5"/>
        <v>-0.12509377354891393</v>
      </c>
      <c r="R61" s="40">
        <f t="shared" si="6"/>
        <v>1.9889359491361905E-2</v>
      </c>
      <c r="S61" s="40">
        <f t="shared" si="7"/>
        <v>-0.27529165530452887</v>
      </c>
      <c r="T61" s="40">
        <f t="shared" si="8"/>
        <v>-4.4677143271877308E-2</v>
      </c>
      <c r="AC61" s="78">
        <v>33.049999237060547</v>
      </c>
      <c r="AD61" s="40">
        <f t="shared" si="9"/>
        <v>-0.6193883167912505</v>
      </c>
    </row>
    <row r="62" spans="2:30" ht="13.95" customHeight="1" x14ac:dyDescent="0.3">
      <c r="B62" s="77">
        <v>39933</v>
      </c>
      <c r="C62" s="107">
        <f t="shared" si="0"/>
        <v>1</v>
      </c>
      <c r="E62" s="106">
        <v>1.262841615559916</v>
      </c>
      <c r="F62" s="106">
        <v>1.3700957136652729</v>
      </c>
      <c r="G62" s="106">
        <v>0.93432066978144246</v>
      </c>
      <c r="H62" s="106">
        <v>0.90734240892312257</v>
      </c>
      <c r="I62" s="106">
        <v>0.93847153503703573</v>
      </c>
      <c r="J62" s="106">
        <v>0.81404803857563568</v>
      </c>
      <c r="K62" s="106">
        <v>1.047652591179834</v>
      </c>
      <c r="L62" s="106">
        <v>1.2327366377849569</v>
      </c>
      <c r="M62" s="40">
        <f t="shared" si="1"/>
        <v>-0.1100437243504334</v>
      </c>
      <c r="N62" s="40">
        <f t="shared" si="2"/>
        <v>3.9861576702319941E-2</v>
      </c>
      <c r="O62" s="40">
        <f t="shared" si="3"/>
        <v>-0.10944647632682049</v>
      </c>
      <c r="P62" s="40">
        <f t="shared" si="4"/>
        <v>-0.51002750545603071</v>
      </c>
      <c r="Q62" s="40">
        <f t="shared" si="5"/>
        <v>-0.11671969452993596</v>
      </c>
      <c r="R62" s="40">
        <f t="shared" si="6"/>
        <v>-0.11681127079731198</v>
      </c>
      <c r="S62" s="40">
        <f t="shared" si="7"/>
        <v>-0.31646324738324055</v>
      </c>
      <c r="T62" s="40">
        <f t="shared" si="8"/>
        <v>-6.2670896674754048E-2</v>
      </c>
      <c r="AC62" s="78">
        <v>33.310001373291023</v>
      </c>
      <c r="AD62" s="40">
        <f t="shared" si="9"/>
        <v>-0.65505453689924409</v>
      </c>
    </row>
    <row r="63" spans="2:30" ht="13.95" customHeight="1" x14ac:dyDescent="0.3">
      <c r="B63" s="77">
        <v>39964</v>
      </c>
      <c r="C63" s="107">
        <f t="shared" si="0"/>
        <v>1</v>
      </c>
      <c r="E63" s="106">
        <v>1.358785245268554</v>
      </c>
      <c r="F63" s="106">
        <v>1.3887705876312371</v>
      </c>
      <c r="G63" s="106">
        <v>0.91314245777002589</v>
      </c>
      <c r="H63" s="106">
        <v>0.87818416246168574</v>
      </c>
      <c r="I63" s="106">
        <v>0.92534729126162263</v>
      </c>
      <c r="J63" s="106">
        <v>0.72889780630561285</v>
      </c>
      <c r="K63" s="106">
        <v>1.04561402041466</v>
      </c>
      <c r="L63" s="106">
        <v>1.2707591543634029</v>
      </c>
      <c r="M63" s="40">
        <f t="shared" si="1"/>
        <v>-4.4246759510468352E-2</v>
      </c>
      <c r="N63" s="40">
        <f t="shared" si="2"/>
        <v>5.1733915303898557E-2</v>
      </c>
      <c r="O63" s="40">
        <f t="shared" si="3"/>
        <v>-0.16106933115156133</v>
      </c>
      <c r="P63" s="40">
        <f t="shared" si="4"/>
        <v>-0.54676998094416773</v>
      </c>
      <c r="Q63" s="40">
        <f t="shared" si="5"/>
        <v>-0.16329939485480874</v>
      </c>
      <c r="R63" s="40">
        <f t="shared" si="6"/>
        <v>-0.21572464459289542</v>
      </c>
      <c r="S63" s="40">
        <f t="shared" si="7"/>
        <v>-0.32463910151416958</v>
      </c>
      <c r="T63" s="40">
        <f t="shared" si="8"/>
        <v>-4.0933263782261094E-2</v>
      </c>
      <c r="AC63" s="78">
        <v>37.919998168945313</v>
      </c>
      <c r="AD63" s="40">
        <f t="shared" si="9"/>
        <v>-0.54657151354169342</v>
      </c>
    </row>
    <row r="64" spans="2:30" ht="13.95" customHeight="1" x14ac:dyDescent="0.3">
      <c r="B64" s="77">
        <v>39994</v>
      </c>
      <c r="C64" s="107">
        <f t="shared" si="0"/>
        <v>1</v>
      </c>
      <c r="E64" s="106">
        <v>1.390489186259656</v>
      </c>
      <c r="F64" s="106">
        <v>1.4792726476400291</v>
      </c>
      <c r="G64" s="106">
        <v>0.91448501683675043</v>
      </c>
      <c r="H64" s="106">
        <v>0.86655271009539758</v>
      </c>
      <c r="I64" s="106">
        <v>0.9282924827968182</v>
      </c>
      <c r="J64" s="106">
        <v>0.71656074411554405</v>
      </c>
      <c r="K64" s="106">
        <v>1.055970073815419</v>
      </c>
      <c r="L64" s="106">
        <v>1.313176301972002</v>
      </c>
      <c r="M64" s="40">
        <f t="shared" si="1"/>
        <v>-2.3902157919987743E-2</v>
      </c>
      <c r="N64" s="40">
        <f t="shared" si="2"/>
        <v>0.12887001171469031</v>
      </c>
      <c r="O64" s="40">
        <f t="shared" si="3"/>
        <v>-0.14566626761625662</v>
      </c>
      <c r="P64" s="40">
        <f t="shared" si="4"/>
        <v>-0.57609529742145182</v>
      </c>
      <c r="Q64" s="40">
        <f t="shared" si="5"/>
        <v>-0.14873305830122699</v>
      </c>
      <c r="R64" s="40">
        <f t="shared" si="6"/>
        <v>-0.19277723836177624</v>
      </c>
      <c r="S64" s="40">
        <f t="shared" si="7"/>
        <v>-0.31990031830307425</v>
      </c>
      <c r="T64" s="40">
        <f t="shared" si="8"/>
        <v>-2.1866968774888196E-4</v>
      </c>
      <c r="AC64" s="78">
        <v>37.139999389648438</v>
      </c>
      <c r="AD64" s="40">
        <f t="shared" si="9"/>
        <v>-0.65514279044272183</v>
      </c>
    </row>
    <row r="65" spans="2:30" ht="13.95" customHeight="1" x14ac:dyDescent="0.3">
      <c r="B65" s="77">
        <v>40025</v>
      </c>
      <c r="C65" s="107">
        <f t="shared" si="0"/>
        <v>1</v>
      </c>
      <c r="E65" s="106">
        <v>1.4118438151617581</v>
      </c>
      <c r="F65" s="106">
        <v>1.505575710852842</v>
      </c>
      <c r="G65" s="106">
        <v>0.94928966427286843</v>
      </c>
      <c r="H65" s="106">
        <v>1.040442601576266</v>
      </c>
      <c r="I65" s="106">
        <v>0.97152504552048247</v>
      </c>
      <c r="J65" s="106">
        <v>0.67605117100263079</v>
      </c>
      <c r="K65" s="106">
        <v>1.1702093253523</v>
      </c>
      <c r="L65" s="106">
        <v>1.3407263446902</v>
      </c>
      <c r="M65" s="40">
        <f t="shared" si="1"/>
        <v>-2.5161362722668706E-2</v>
      </c>
      <c r="N65" s="40">
        <f t="shared" si="2"/>
        <v>0.12662550506065084</v>
      </c>
      <c r="O65" s="40">
        <f t="shared" si="3"/>
        <v>-9.5104605268409248E-2</v>
      </c>
      <c r="P65" s="40">
        <f t="shared" si="4"/>
        <v>-0.38730271042610337</v>
      </c>
      <c r="Q65" s="40">
        <f t="shared" si="5"/>
        <v>-9.3899312987138162E-2</v>
      </c>
      <c r="R65" s="40">
        <f t="shared" si="6"/>
        <v>-0.19800693071026065</v>
      </c>
      <c r="S65" s="40">
        <f t="shared" si="7"/>
        <v>-0.2199503919847107</v>
      </c>
      <c r="T65" s="40">
        <f t="shared" si="8"/>
        <v>7.5457634131468601E-3</v>
      </c>
      <c r="AC65" s="78">
        <v>38.270000457763672</v>
      </c>
      <c r="AD65" s="40">
        <f t="shared" si="9"/>
        <v>-0.49528874992640137</v>
      </c>
    </row>
    <row r="66" spans="2:30" ht="13.95" customHeight="1" x14ac:dyDescent="0.3">
      <c r="B66" s="77">
        <v>40056</v>
      </c>
      <c r="C66" s="107">
        <f t="shared" si="0"/>
        <v>1</v>
      </c>
      <c r="E66" s="106">
        <v>1.437561539643716</v>
      </c>
      <c r="F66" s="106">
        <v>1.5310788888243001</v>
      </c>
      <c r="G66" s="106">
        <v>0.97500750151528781</v>
      </c>
      <c r="H66" s="106">
        <v>1.025315199670304</v>
      </c>
      <c r="I66" s="106">
        <v>0.99989012807674016</v>
      </c>
      <c r="J66" s="106">
        <v>0.67812929086041407</v>
      </c>
      <c r="K66" s="106">
        <v>1.1720280623937009</v>
      </c>
      <c r="L66" s="106">
        <v>1.36708941731658</v>
      </c>
      <c r="M66" s="40">
        <f t="shared" si="1"/>
        <v>3.3546886243829622E-3</v>
      </c>
      <c r="N66" s="40">
        <f t="shared" si="2"/>
        <v>0.13562649496378948</v>
      </c>
      <c r="O66" s="40">
        <f t="shared" si="3"/>
        <v>-5.7422263459619358E-2</v>
      </c>
      <c r="P66" s="40">
        <f t="shared" si="4"/>
        <v>-0.41615904653155678</v>
      </c>
      <c r="Q66" s="40">
        <f t="shared" si="5"/>
        <v>-5.0079990727330305E-2</v>
      </c>
      <c r="R66" s="40">
        <f t="shared" si="6"/>
        <v>-0.22550912122216624</v>
      </c>
      <c r="S66" s="40">
        <f t="shared" si="7"/>
        <v>-0.22499714056619605</v>
      </c>
      <c r="T66" s="40">
        <f t="shared" si="8"/>
        <v>2.9295672520314668E-2</v>
      </c>
      <c r="AC66" s="78">
        <v>37.840000152587891</v>
      </c>
      <c r="AD66" s="40">
        <f t="shared" si="9"/>
        <v>-0.43000297822889622</v>
      </c>
    </row>
    <row r="67" spans="2:30" ht="13.95" customHeight="1" x14ac:dyDescent="0.3">
      <c r="B67" s="77">
        <v>40086</v>
      </c>
      <c r="C67" s="107">
        <f t="shared" si="0"/>
        <v>1</v>
      </c>
      <c r="E67" s="106">
        <v>1.4261211939399829</v>
      </c>
      <c r="F67" s="106">
        <v>1.599552909315159</v>
      </c>
      <c r="G67" s="106">
        <v>0.98701501953198034</v>
      </c>
      <c r="H67" s="106">
        <v>1.0940958074219951</v>
      </c>
      <c r="I67" s="106">
        <v>1.017781239077822</v>
      </c>
      <c r="J67" s="106">
        <v>0.6481525160381415</v>
      </c>
      <c r="K67" s="106">
        <v>1.222891457329206</v>
      </c>
      <c r="L67" s="106">
        <v>1.390395959487094</v>
      </c>
      <c r="M67" s="40">
        <f t="shared" si="1"/>
        <v>-2.1762420852140897E-2</v>
      </c>
      <c r="N67" s="40">
        <f t="shared" si="2"/>
        <v>0.18400197723238865</v>
      </c>
      <c r="O67" s="40">
        <f t="shared" si="3"/>
        <v>-7.1949925998473094E-2</v>
      </c>
      <c r="P67" s="40">
        <f t="shared" si="4"/>
        <v>-0.37506518558040502</v>
      </c>
      <c r="Q67" s="40">
        <f t="shared" si="5"/>
        <v>-5.6405090232843978E-2</v>
      </c>
      <c r="R67" s="40">
        <f t="shared" si="6"/>
        <v>-0.32846140251944556</v>
      </c>
      <c r="S67" s="40">
        <f t="shared" si="7"/>
        <v>-0.20114398738535702</v>
      </c>
      <c r="T67" s="40">
        <f t="shared" si="8"/>
        <v>3.5121730735594783E-2</v>
      </c>
      <c r="AC67" s="78">
        <v>38.560001373291023</v>
      </c>
      <c r="AD67" s="40">
        <f t="shared" si="9"/>
        <v>-0.29014271763091382</v>
      </c>
    </row>
    <row r="68" spans="2:30" ht="13.95" customHeight="1" x14ac:dyDescent="0.3">
      <c r="B68" s="77">
        <v>40117</v>
      </c>
      <c r="C68" s="107">
        <f t="shared" si="0"/>
        <v>1</v>
      </c>
      <c r="E68" s="106">
        <v>1.462279933539258</v>
      </c>
      <c r="F68" s="106">
        <v>1.437631761334486</v>
      </c>
      <c r="G68" s="106">
        <v>0.9881085145433679</v>
      </c>
      <c r="H68" s="106">
        <v>1.0063957867719631</v>
      </c>
      <c r="I68" s="106">
        <v>1.034497170827321</v>
      </c>
      <c r="J68" s="106">
        <v>0.5401483575494771</v>
      </c>
      <c r="K68" s="106">
        <v>1.1527708411282691</v>
      </c>
      <c r="L68" s="106">
        <v>1.3460639134803221</v>
      </c>
      <c r="M68" s="40">
        <f t="shared" si="1"/>
        <v>5.5367369257233796E-2</v>
      </c>
      <c r="N68" s="40">
        <f t="shared" si="2"/>
        <v>9.3583563836234923E-2</v>
      </c>
      <c r="O68" s="40">
        <f t="shared" si="3"/>
        <v>-5.7182124172550489E-2</v>
      </c>
      <c r="P68" s="40">
        <f t="shared" si="4"/>
        <v>-0.40168561808906411</v>
      </c>
      <c r="Q68" s="40">
        <f t="shared" si="5"/>
        <v>-6.1150831759210073E-3</v>
      </c>
      <c r="R68" s="40">
        <f t="shared" si="6"/>
        <v>-0.70001678824067937</v>
      </c>
      <c r="S68" s="40">
        <f t="shared" si="7"/>
        <v>-0.21388229460821706</v>
      </c>
      <c r="T68" s="40">
        <f t="shared" si="8"/>
        <v>3.3862059831499557E-2</v>
      </c>
      <c r="AC68" s="78">
        <v>39.909999847412109</v>
      </c>
      <c r="AD68" s="40">
        <f t="shared" si="9"/>
        <v>-1.343974712845439E-2</v>
      </c>
    </row>
    <row r="69" spans="2:30" ht="13.95" customHeight="1" x14ac:dyDescent="0.3">
      <c r="B69" s="77">
        <v>40147</v>
      </c>
      <c r="C69" s="107">
        <f t="shared" si="0"/>
        <v>1</v>
      </c>
      <c r="E69" s="106">
        <v>1.5102157657748969</v>
      </c>
      <c r="F69" s="106">
        <v>1.451653911751545</v>
      </c>
      <c r="G69" s="106">
        <v>0.9948503194567152</v>
      </c>
      <c r="H69" s="106">
        <v>1.0293818656723721</v>
      </c>
      <c r="I69" s="106">
        <v>1.055324134978237</v>
      </c>
      <c r="J69" s="106">
        <v>0.445817358514012</v>
      </c>
      <c r="K69" s="106">
        <v>1.1769647571728119</v>
      </c>
      <c r="L69" s="106">
        <v>1.3716129807639099</v>
      </c>
      <c r="M69" s="40">
        <f t="shared" si="1"/>
        <v>0.10564862359182745</v>
      </c>
      <c r="N69" s="40">
        <f t="shared" si="2"/>
        <v>0.13285095970272257</v>
      </c>
      <c r="O69" s="40">
        <f t="shared" si="3"/>
        <v>-1.5905109248480515E-2</v>
      </c>
      <c r="P69" s="40">
        <f t="shared" si="4"/>
        <v>-0.3046121454392603</v>
      </c>
      <c r="Q69" s="40">
        <f t="shared" si="5"/>
        <v>5.1633033416148312E-2</v>
      </c>
      <c r="R69" s="40">
        <f t="shared" si="6"/>
        <v>-0.88917300159830681</v>
      </c>
      <c r="S69" s="40">
        <f t="shared" si="7"/>
        <v>-0.13946689311389507</v>
      </c>
      <c r="T69" s="40">
        <f t="shared" si="8"/>
        <v>7.8116926506550305E-2</v>
      </c>
      <c r="AC69" s="78">
        <v>41.330001831054688</v>
      </c>
      <c r="AD69" s="40">
        <f t="shared" si="9"/>
        <v>0.10986031086664977</v>
      </c>
    </row>
    <row r="70" spans="2:30" ht="13.95" customHeight="1" x14ac:dyDescent="0.3">
      <c r="B70" s="77">
        <v>40178</v>
      </c>
      <c r="C70" s="107">
        <f t="shared" si="0"/>
        <v>1</v>
      </c>
      <c r="E70" s="106">
        <v>1.5470967728919001</v>
      </c>
      <c r="F70" s="106">
        <v>1.455910453638706</v>
      </c>
      <c r="G70" s="106">
        <v>1.0029512397171929</v>
      </c>
      <c r="H70" s="106">
        <v>1.070390618344206</v>
      </c>
      <c r="I70" s="106">
        <v>1.063236658612257</v>
      </c>
      <c r="J70" s="106">
        <v>0.45427131757998201</v>
      </c>
      <c r="K70" s="106">
        <v>1.208791218892614</v>
      </c>
      <c r="L70" s="106">
        <v>1.389499017069179</v>
      </c>
      <c r="M70" s="40">
        <f t="shared" si="1"/>
        <v>0.18006881154545115</v>
      </c>
      <c r="N70" s="40">
        <f t="shared" si="2"/>
        <v>0.14093193748970498</v>
      </c>
      <c r="O70" s="40">
        <f t="shared" si="3"/>
        <v>-6.919514599235916E-3</v>
      </c>
      <c r="P70" s="40">
        <f t="shared" si="4"/>
        <v>-0.17787766503115388</v>
      </c>
      <c r="Q70" s="40">
        <f t="shared" si="5"/>
        <v>7.047189640761406E-2</v>
      </c>
      <c r="R70" s="40">
        <f t="shared" si="6"/>
        <v>-0.94807878110925403</v>
      </c>
      <c r="S70" s="40">
        <f t="shared" si="7"/>
        <v>-5.3245997550185831E-2</v>
      </c>
      <c r="T70" s="40">
        <f t="shared" si="8"/>
        <v>0.11462945549918307</v>
      </c>
      <c r="AC70" s="78">
        <v>42.259998321533203</v>
      </c>
      <c r="AD70" s="40">
        <f t="shared" si="9"/>
        <v>0.1830790601618289</v>
      </c>
    </row>
    <row r="71" spans="2:30" ht="13.95" customHeight="1" x14ac:dyDescent="0.3">
      <c r="B71" s="77">
        <v>40209</v>
      </c>
      <c r="C71" s="107">
        <f t="shared" si="0"/>
        <v>1</v>
      </c>
      <c r="E71" s="106">
        <v>1.587580779511341</v>
      </c>
      <c r="F71" s="106">
        <v>1.45706862959238</v>
      </c>
      <c r="G71" s="106">
        <v>1.014484668828036</v>
      </c>
      <c r="H71" s="106">
        <v>1.1272832798459429</v>
      </c>
      <c r="I71" s="106">
        <v>1.072994513661657</v>
      </c>
      <c r="J71" s="106">
        <v>0.47449297705495402</v>
      </c>
      <c r="K71" s="106">
        <v>1.248934809362976</v>
      </c>
      <c r="L71" s="106">
        <v>1.4085152373456311</v>
      </c>
      <c r="M71" s="40">
        <f t="shared" si="1"/>
        <v>0.23698627655569657</v>
      </c>
      <c r="N71" s="40">
        <f t="shared" si="2"/>
        <v>9.6662882167775604E-2</v>
      </c>
      <c r="O71" s="40">
        <f t="shared" si="3"/>
        <v>3.3096235300853191E-2</v>
      </c>
      <c r="P71" s="40">
        <f t="shared" si="4"/>
        <v>1.5407344351797952E-2</v>
      </c>
      <c r="Q71" s="40">
        <f t="shared" si="5"/>
        <v>0.10881347433807964</v>
      </c>
      <c r="R71" s="40">
        <f t="shared" si="6"/>
        <v>-0.88190203073089712</v>
      </c>
      <c r="S71" s="40">
        <f t="shared" si="7"/>
        <v>6.5767433863127917E-2</v>
      </c>
      <c r="T71" s="40">
        <f t="shared" si="8"/>
        <v>0.13513828296787508</v>
      </c>
      <c r="AC71" s="78">
        <v>38.919998168945313</v>
      </c>
      <c r="AD71" s="40">
        <f t="shared" si="9"/>
        <v>0.15325177459508596</v>
      </c>
    </row>
    <row r="72" spans="2:30" ht="13.95" customHeight="1" x14ac:dyDescent="0.3">
      <c r="B72" s="77">
        <v>40237</v>
      </c>
      <c r="C72" s="107">
        <f t="shared" si="0"/>
        <v>1</v>
      </c>
      <c r="E72" s="106">
        <v>1.625684709768036</v>
      </c>
      <c r="F72" s="106">
        <v>1.526297311929621</v>
      </c>
      <c r="G72" s="106">
        <v>1.0139865887288839</v>
      </c>
      <c r="H72" s="106">
        <v>1.1262756876362749</v>
      </c>
      <c r="I72" s="106">
        <v>1.075415847145432</v>
      </c>
      <c r="J72" s="106">
        <v>0.45449932639859669</v>
      </c>
      <c r="K72" s="106">
        <v>1.264104506331329</v>
      </c>
      <c r="L72" s="106">
        <v>1.4443469950287491</v>
      </c>
      <c r="M72" s="40">
        <f t="shared" si="1"/>
        <v>0.27108527278575473</v>
      </c>
      <c r="N72" s="40">
        <f t="shared" si="2"/>
        <v>0.11236808134419073</v>
      </c>
      <c r="O72" s="40">
        <f t="shared" si="3"/>
        <v>6.8624837941296229E-2</v>
      </c>
      <c r="P72" s="40">
        <f t="shared" si="4"/>
        <v>4.561509065243706E-2</v>
      </c>
      <c r="Q72" s="40">
        <f t="shared" si="5"/>
        <v>0.14121054810107561</v>
      </c>
      <c r="R72" s="40">
        <f t="shared" si="6"/>
        <v>-0.82628782094512288</v>
      </c>
      <c r="S72" s="40">
        <f t="shared" si="7"/>
        <v>9.6830948940425252E-2</v>
      </c>
      <c r="T72" s="40">
        <f t="shared" si="8"/>
        <v>0.16352223766062798</v>
      </c>
      <c r="AC72" s="78">
        <v>40.459999084472663</v>
      </c>
      <c r="AD72" s="40">
        <f t="shared" si="9"/>
        <v>0.23896248547243562</v>
      </c>
    </row>
    <row r="73" spans="2:30" ht="13.95" customHeight="1" x14ac:dyDescent="0.3">
      <c r="B73" s="77">
        <v>40268</v>
      </c>
      <c r="C73" s="107">
        <f t="shared" si="0"/>
        <v>1</v>
      </c>
      <c r="E73" s="106">
        <v>1.674067893851614</v>
      </c>
      <c r="F73" s="106">
        <v>1.6296771155121561</v>
      </c>
      <c r="G73" s="106">
        <v>1.050878327964162</v>
      </c>
      <c r="H73" s="106">
        <v>1.269935076771314</v>
      </c>
      <c r="I73" s="106">
        <v>1.11491873919722</v>
      </c>
      <c r="J73" s="106">
        <v>0.46861137386447582</v>
      </c>
      <c r="K73" s="106">
        <v>1.3727057103843201</v>
      </c>
      <c r="L73" s="106">
        <v>1.5089100228284691</v>
      </c>
      <c r="M73" s="40">
        <f t="shared" si="1"/>
        <v>0.29408665167500908</v>
      </c>
      <c r="N73" s="40">
        <f t="shared" si="2"/>
        <v>0.19262156883533746</v>
      </c>
      <c r="O73" s="40">
        <f t="shared" si="3"/>
        <v>0.10834069459340548</v>
      </c>
      <c r="P73" s="40">
        <f t="shared" si="4"/>
        <v>0.32481349449266378</v>
      </c>
      <c r="Q73" s="40">
        <f t="shared" si="5"/>
        <v>0.17490885336261552</v>
      </c>
      <c r="R73" s="40">
        <f t="shared" si="6"/>
        <v>-0.71723175338879508</v>
      </c>
      <c r="S73" s="40">
        <f t="shared" si="7"/>
        <v>0.26876804793089754</v>
      </c>
      <c r="T73" s="40">
        <f t="shared" si="8"/>
        <v>0.2112774437028089</v>
      </c>
      <c r="AC73" s="78">
        <v>39.860000610351563</v>
      </c>
      <c r="AD73" s="40">
        <f t="shared" si="9"/>
        <v>0.18735178688373688</v>
      </c>
    </row>
    <row r="74" spans="2:30" ht="13.95" customHeight="1" x14ac:dyDescent="0.3">
      <c r="B74" s="77">
        <v>40298</v>
      </c>
      <c r="C74" s="107">
        <f t="shared" si="0"/>
        <v>1</v>
      </c>
      <c r="E74" s="106">
        <v>1.6933613904209119</v>
      </c>
      <c r="F74" s="106">
        <v>1.639534361024956</v>
      </c>
      <c r="G74" s="106">
        <v>1.071452583452984</v>
      </c>
      <c r="H74" s="106">
        <v>1.393822212704479</v>
      </c>
      <c r="I74" s="106">
        <v>1.1372322205665559</v>
      </c>
      <c r="J74" s="106">
        <v>0.47461862686755668</v>
      </c>
      <c r="K74" s="106">
        <v>1.449790374342504</v>
      </c>
      <c r="L74" s="106">
        <v>1.5264886730710581</v>
      </c>
      <c r="M74" s="40">
        <f t="shared" si="1"/>
        <v>0.29335110978367901</v>
      </c>
      <c r="N74" s="40">
        <f t="shared" si="2"/>
        <v>0.17953167392822697</v>
      </c>
      <c r="O74" s="40">
        <f t="shared" si="3"/>
        <v>0.13695085260554762</v>
      </c>
      <c r="P74" s="40">
        <f t="shared" si="4"/>
        <v>0.42928514869196122</v>
      </c>
      <c r="Q74" s="40">
        <f t="shared" si="5"/>
        <v>0.19210018732904385</v>
      </c>
      <c r="R74" s="40">
        <f t="shared" si="6"/>
        <v>-0.53950778897033369</v>
      </c>
      <c r="S74" s="40">
        <f t="shared" si="7"/>
        <v>0.32486694258657633</v>
      </c>
      <c r="T74" s="40">
        <f t="shared" si="8"/>
        <v>0.21373350626121404</v>
      </c>
      <c r="AC74" s="78">
        <v>40.619998931884773</v>
      </c>
      <c r="AD74" s="40">
        <f t="shared" si="9"/>
        <v>0.19840283642375733</v>
      </c>
    </row>
    <row r="75" spans="2:30" ht="13.95" customHeight="1" x14ac:dyDescent="0.3">
      <c r="B75" s="77">
        <v>40329</v>
      </c>
      <c r="C75" s="107">
        <f t="shared" si="0"/>
        <v>1</v>
      </c>
      <c r="E75" s="106">
        <v>1.732714523757944</v>
      </c>
      <c r="F75" s="106">
        <v>1.6493969641530739</v>
      </c>
      <c r="G75" s="106">
        <v>1.0759518810026141</v>
      </c>
      <c r="H75" s="106">
        <v>1.4561581954564931</v>
      </c>
      <c r="I75" s="106">
        <v>1.1424649222522629</v>
      </c>
      <c r="J75" s="106">
        <v>0.47140687858757868</v>
      </c>
      <c r="K75" s="106">
        <v>1.488538437494034</v>
      </c>
      <c r="L75" s="106">
        <v>1.542853352909332</v>
      </c>
      <c r="M75" s="40">
        <f t="shared" si="1"/>
        <v>0.24309816905642925</v>
      </c>
      <c r="N75" s="40">
        <f t="shared" si="2"/>
        <v>0.17199085840012746</v>
      </c>
      <c r="O75" s="40">
        <f t="shared" si="3"/>
        <v>0.16406911843398905</v>
      </c>
      <c r="P75" s="40">
        <f t="shared" si="4"/>
        <v>0.50570054970572342</v>
      </c>
      <c r="Q75" s="40">
        <f t="shared" si="5"/>
        <v>0.21077430261191391</v>
      </c>
      <c r="R75" s="40">
        <f t="shared" si="6"/>
        <v>-0.43581195656455385</v>
      </c>
      <c r="S75" s="40">
        <f t="shared" si="7"/>
        <v>0.35319043190863486</v>
      </c>
      <c r="T75" s="40">
        <f t="shared" si="8"/>
        <v>0.19401904739937695</v>
      </c>
      <c r="AC75" s="78">
        <v>37.75</v>
      </c>
      <c r="AD75" s="40">
        <f t="shared" si="9"/>
        <v>-4.4931534044790437E-3</v>
      </c>
    </row>
    <row r="76" spans="2:30" ht="13.95" customHeight="1" x14ac:dyDescent="0.3">
      <c r="B76" s="77">
        <v>40359</v>
      </c>
      <c r="C76" s="107">
        <f t="shared" si="0"/>
        <v>1</v>
      </c>
      <c r="E76" s="106">
        <v>1.7561286822537781</v>
      </c>
      <c r="F76" s="106">
        <v>1.688597677664744</v>
      </c>
      <c r="G76" s="106">
        <v>1.081767529180709</v>
      </c>
      <c r="H76" s="106">
        <v>1.4560378476507829</v>
      </c>
      <c r="I76" s="106">
        <v>1.150132997416798</v>
      </c>
      <c r="J76" s="106">
        <v>0.4586142324084494</v>
      </c>
      <c r="K76" s="106">
        <v>1.499322310434416</v>
      </c>
      <c r="L76" s="106">
        <v>1.565002399004443</v>
      </c>
      <c r="M76" s="40">
        <f t="shared" si="1"/>
        <v>0.23345615620390842</v>
      </c>
      <c r="N76" s="40">
        <f t="shared" si="2"/>
        <v>0.13234789527463817</v>
      </c>
      <c r="O76" s="40">
        <f t="shared" si="3"/>
        <v>0.16799049973745012</v>
      </c>
      <c r="P76" s="40">
        <f t="shared" si="4"/>
        <v>0.51895128433978555</v>
      </c>
      <c r="Q76" s="40">
        <f t="shared" si="5"/>
        <v>0.21428600604154391</v>
      </c>
      <c r="R76" s="40">
        <f t="shared" si="6"/>
        <v>-0.44625361820836934</v>
      </c>
      <c r="S76" s="40">
        <f t="shared" si="7"/>
        <v>0.35055336728265146</v>
      </c>
      <c r="T76" s="40">
        <f t="shared" si="8"/>
        <v>0.17543849643449735</v>
      </c>
      <c r="AC76" s="78">
        <v>37.639999389648438</v>
      </c>
      <c r="AD76" s="40">
        <f t="shared" si="9"/>
        <v>1.3372759010921647E-2</v>
      </c>
    </row>
    <row r="77" spans="2:30" ht="13.95" customHeight="1" x14ac:dyDescent="0.3">
      <c r="B77" s="77">
        <v>40390</v>
      </c>
      <c r="C77" s="107">
        <f t="shared" si="0"/>
        <v>1</v>
      </c>
      <c r="E77" s="106">
        <v>1.7985272744762679</v>
      </c>
      <c r="F77" s="106">
        <v>1.7056298349674539</v>
      </c>
      <c r="G77" s="106">
        <v>1.081143124922854</v>
      </c>
      <c r="H77" s="106">
        <v>1.476991020612227</v>
      </c>
      <c r="I77" s="106">
        <v>1.1445925340647629</v>
      </c>
      <c r="J77" s="106">
        <v>0.51126658449456064</v>
      </c>
      <c r="K77" s="106">
        <v>1.5183478439760429</v>
      </c>
      <c r="L77" s="106">
        <v>1.5823721999305209</v>
      </c>
      <c r="M77" s="40">
        <f t="shared" si="1"/>
        <v>0.24207162870160664</v>
      </c>
      <c r="N77" s="40">
        <f t="shared" si="2"/>
        <v>0.12475909001315351</v>
      </c>
      <c r="O77" s="40">
        <f t="shared" si="3"/>
        <v>0.13006022626554489</v>
      </c>
      <c r="P77" s="40">
        <f t="shared" si="4"/>
        <v>0.35036072299441756</v>
      </c>
      <c r="Q77" s="40">
        <f t="shared" si="5"/>
        <v>0.16393693846456389</v>
      </c>
      <c r="R77" s="40">
        <f t="shared" si="6"/>
        <v>-0.27937762398752347</v>
      </c>
      <c r="S77" s="40">
        <f t="shared" si="7"/>
        <v>0.26044015558812728</v>
      </c>
      <c r="T77" s="40">
        <f t="shared" si="8"/>
        <v>0.1657135980533328</v>
      </c>
      <c r="AC77" s="78">
        <v>40.340000152587891</v>
      </c>
      <c r="AD77" s="40">
        <f t="shared" si="9"/>
        <v>5.2677224909577117E-2</v>
      </c>
    </row>
    <row r="78" spans="2:30" ht="13.95" customHeight="1" x14ac:dyDescent="0.3">
      <c r="B78" s="77">
        <v>40421</v>
      </c>
      <c r="C78" s="107">
        <f t="shared" si="0"/>
        <v>1</v>
      </c>
      <c r="E78" s="106">
        <v>1.807689789453909</v>
      </c>
      <c r="F78" s="106">
        <v>1.750228203368448</v>
      </c>
      <c r="G78" s="106">
        <v>1.0874913344145809</v>
      </c>
      <c r="H78" s="106">
        <v>1.525972554664363</v>
      </c>
      <c r="I78" s="106">
        <v>1.155786630762949</v>
      </c>
      <c r="J78" s="106">
        <v>0.46473551168172073</v>
      </c>
      <c r="K78" s="106">
        <v>1.552667934920587</v>
      </c>
      <c r="L78" s="106">
        <v>1.6020443636932831</v>
      </c>
      <c r="M78" s="40">
        <f t="shared" si="1"/>
        <v>0.22910136765958444</v>
      </c>
      <c r="N78" s="40">
        <f t="shared" si="2"/>
        <v>0.13377353836574235</v>
      </c>
      <c r="O78" s="40">
        <f t="shared" si="3"/>
        <v>0.10918362974660002</v>
      </c>
      <c r="P78" s="40">
        <f t="shared" si="4"/>
        <v>0.39763187036091519</v>
      </c>
      <c r="Q78" s="40">
        <f t="shared" si="5"/>
        <v>0.14489105570908312</v>
      </c>
      <c r="R78" s="40">
        <f t="shared" si="6"/>
        <v>-0.37786951256344681</v>
      </c>
      <c r="S78" s="40">
        <f t="shared" si="7"/>
        <v>0.28123906472665822</v>
      </c>
      <c r="T78" s="40">
        <f t="shared" si="8"/>
        <v>0.15859657400175842</v>
      </c>
      <c r="AC78" s="78">
        <v>39.360000610351563</v>
      </c>
      <c r="AD78" s="40">
        <f t="shared" si="9"/>
        <v>3.9383339474824863E-2</v>
      </c>
    </row>
    <row r="79" spans="2:30" ht="13.95" customHeight="1" x14ac:dyDescent="0.3">
      <c r="B79" s="77">
        <v>40451</v>
      </c>
      <c r="C79" s="107">
        <f t="shared" si="0"/>
        <v>1</v>
      </c>
      <c r="E79" s="106">
        <v>1.840359278193793</v>
      </c>
      <c r="F79" s="106">
        <v>1.7569325861254019</v>
      </c>
      <c r="G79" s="106">
        <v>1.1133218396755751</v>
      </c>
      <c r="H79" s="106">
        <v>1.5567761539862801</v>
      </c>
      <c r="I79" s="106">
        <v>1.1849799472491931</v>
      </c>
      <c r="J79" s="106">
        <v>0.45215940175730462</v>
      </c>
      <c r="K79" s="106">
        <v>1.5803474855806661</v>
      </c>
      <c r="L79" s="106">
        <v>1.6264614493851191</v>
      </c>
      <c r="M79" s="40">
        <f t="shared" si="1"/>
        <v>0.25500250532961238</v>
      </c>
      <c r="N79" s="40">
        <f t="shared" si="2"/>
        <v>9.3845281210357345E-2</v>
      </c>
      <c r="O79" s="40">
        <f t="shared" si="3"/>
        <v>0.12041821692932582</v>
      </c>
      <c r="P79" s="40">
        <f t="shared" si="4"/>
        <v>0.35268883950057944</v>
      </c>
      <c r="Q79" s="40">
        <f t="shared" si="5"/>
        <v>0.15210085010664201</v>
      </c>
      <c r="R79" s="40">
        <f t="shared" si="6"/>
        <v>-0.36009125649699758</v>
      </c>
      <c r="S79" s="40">
        <f t="shared" si="7"/>
        <v>0.25642664883636057</v>
      </c>
      <c r="T79" s="40">
        <f t="shared" si="8"/>
        <v>0.15681819555623766</v>
      </c>
      <c r="AC79" s="78">
        <v>42.279998779296882</v>
      </c>
      <c r="AD79" s="40">
        <f t="shared" si="9"/>
        <v>9.2098626773417722E-2</v>
      </c>
    </row>
    <row r="80" spans="2:30" ht="13.95" customHeight="1" x14ac:dyDescent="0.3">
      <c r="B80" s="77">
        <v>40482</v>
      </c>
      <c r="C80" s="107">
        <f t="shared" si="0"/>
        <v>1</v>
      </c>
      <c r="D80" s="107">
        <f t="shared" ref="D80:D111" si="10">IF(B80&gt;=EBStart,1,0)</f>
        <v>1</v>
      </c>
      <c r="E80" s="106">
        <v>1.859613584302573</v>
      </c>
      <c r="F80" s="106">
        <v>1.7648034770004319</v>
      </c>
      <c r="G80" s="106">
        <v>1.1457790143769111</v>
      </c>
      <c r="H80" s="106">
        <v>1.516893169402957</v>
      </c>
      <c r="I80" s="106">
        <v>1.2151784209190819</v>
      </c>
      <c r="J80" s="106">
        <v>0.5266762269730435</v>
      </c>
      <c r="K80" s="106">
        <v>1.570498833340676</v>
      </c>
      <c r="L80" s="106">
        <v>1.6507762411747799</v>
      </c>
      <c r="M80" s="40">
        <f t="shared" si="1"/>
        <v>0.24037189975901257</v>
      </c>
      <c r="N80" s="40">
        <f t="shared" si="2"/>
        <v>0.20504219016271294</v>
      </c>
      <c r="O80" s="40">
        <f t="shared" si="3"/>
        <v>0.14804752229784879</v>
      </c>
      <c r="P80" s="40">
        <f t="shared" si="4"/>
        <v>0.41028885508734003</v>
      </c>
      <c r="Q80" s="40">
        <f t="shared" si="5"/>
        <v>0.16097543112602045</v>
      </c>
      <c r="R80" s="40">
        <f t="shared" si="6"/>
        <v>-2.5257848359364947E-2</v>
      </c>
      <c r="S80" s="40">
        <f t="shared" si="7"/>
        <v>0.30922482570983173</v>
      </c>
      <c r="T80" s="40">
        <f t="shared" si="8"/>
        <v>0.20406091237546445</v>
      </c>
      <c r="U80" s="40">
        <f t="shared" ref="U80:U111" si="11">LN(E80/E32)/4</f>
        <v>0.15509217894176267</v>
      </c>
      <c r="V80" s="40">
        <f t="shared" ref="V80:V111" si="12">LN(F80/F32)/4</f>
        <v>0.14200983492758196</v>
      </c>
      <c r="W80" s="40">
        <f t="shared" ref="W80:W111" si="13">LN(G80/G32)/4</f>
        <v>3.4021191891550402E-2</v>
      </c>
      <c r="X80" s="40">
        <f t="shared" ref="X80:X111" si="14">LN(H80/H32)/4</f>
        <v>0.1041660689019405</v>
      </c>
      <c r="Y80" s="40">
        <f t="shared" ref="Y80:Y111" si="15">LN(I80/I32)/4</f>
        <v>4.87227286260997E-2</v>
      </c>
      <c r="Z80" s="40">
        <f t="shared" ref="Z80:Z111" si="16">LN(J80/J32)/4</f>
        <v>-0.16029232232838156</v>
      </c>
      <c r="AA80" s="40">
        <f t="shared" ref="AA80:AA111" si="17">LN(K80/K32)/4</f>
        <v>0.11284832428443914</v>
      </c>
      <c r="AB80" s="40">
        <f t="shared" ref="AB80:AB111" si="18">LN(L80/L32)/4</f>
        <v>0.12531140662069923</v>
      </c>
      <c r="AC80" s="78">
        <v>44.470001220703118</v>
      </c>
      <c r="AD80" s="40">
        <f t="shared" si="9"/>
        <v>0.10818791673529822</v>
      </c>
    </row>
    <row r="81" spans="2:30" ht="13.95" customHeight="1" x14ac:dyDescent="0.3">
      <c r="B81" s="77">
        <v>40512</v>
      </c>
      <c r="C81" s="107">
        <f t="shared" si="0"/>
        <v>1</v>
      </c>
      <c r="D81" s="107">
        <f t="shared" si="10"/>
        <v>1</v>
      </c>
      <c r="E81" s="106">
        <v>1.9350387682161181</v>
      </c>
      <c r="F81" s="106">
        <v>1.791229802074594</v>
      </c>
      <c r="G81" s="106">
        <v>1.159377395934275</v>
      </c>
      <c r="H81" s="106">
        <v>1.5309511424412909</v>
      </c>
      <c r="I81" s="106">
        <v>1.2280126142818459</v>
      </c>
      <c r="J81" s="106">
        <v>0.55456898049816117</v>
      </c>
      <c r="K81" s="106">
        <v>1.5950519382797661</v>
      </c>
      <c r="L81" s="106">
        <v>1.6876730591844</v>
      </c>
      <c r="M81" s="40">
        <f t="shared" si="1"/>
        <v>0.24787482967434446</v>
      </c>
      <c r="N81" s="40">
        <f t="shared" si="2"/>
        <v>0.21019888900980946</v>
      </c>
      <c r="O81" s="40">
        <f t="shared" si="3"/>
        <v>0.15304611923206302</v>
      </c>
      <c r="P81" s="40">
        <f t="shared" si="4"/>
        <v>0.39693071230303822</v>
      </c>
      <c r="Q81" s="40">
        <f t="shared" si="5"/>
        <v>0.15154914520205839</v>
      </c>
      <c r="R81" s="40">
        <f t="shared" si="6"/>
        <v>0.21828184222265642</v>
      </c>
      <c r="S81" s="40">
        <f t="shared" si="7"/>
        <v>0.30396741399039601</v>
      </c>
      <c r="T81" s="40">
        <f t="shared" si="8"/>
        <v>0.20736328657784181</v>
      </c>
      <c r="U81" s="40">
        <f t="shared" si="11"/>
        <v>0.15975034149621353</v>
      </c>
      <c r="V81" s="40">
        <f t="shared" si="12"/>
        <v>0.13692861535796821</v>
      </c>
      <c r="W81" s="40">
        <f t="shared" si="13"/>
        <v>4.8776203403330012E-2</v>
      </c>
      <c r="X81" s="40">
        <f t="shared" si="14"/>
        <v>0.10535838243464543</v>
      </c>
      <c r="Y81" s="40">
        <f t="shared" si="15"/>
        <v>6.5321961421493019E-2</v>
      </c>
      <c r="Z81" s="40">
        <f t="shared" si="16"/>
        <v>-0.13970455570863066</v>
      </c>
      <c r="AA81" s="40">
        <f t="shared" si="17"/>
        <v>0.11421736035456542</v>
      </c>
      <c r="AB81" s="40">
        <f t="shared" si="18"/>
        <v>0.12515511572277621</v>
      </c>
      <c r="AC81" s="78">
        <v>44.270000457763672</v>
      </c>
      <c r="AD81" s="40">
        <f t="shared" si="9"/>
        <v>6.871858425739466E-2</v>
      </c>
    </row>
    <row r="82" spans="2:30" ht="13.95" customHeight="1" x14ac:dyDescent="0.3">
      <c r="B82" s="77">
        <v>40543</v>
      </c>
      <c r="C82" s="107">
        <f t="shared" si="0"/>
        <v>1</v>
      </c>
      <c r="D82" s="107">
        <f t="shared" si="10"/>
        <v>1</v>
      </c>
      <c r="E82" s="106">
        <v>1.9672787433053149</v>
      </c>
      <c r="F82" s="106">
        <v>1.8023775027905851</v>
      </c>
      <c r="G82" s="106">
        <v>1.183058123445085</v>
      </c>
      <c r="H82" s="106">
        <v>1.54997722344891</v>
      </c>
      <c r="I82" s="106">
        <v>1.252269975052563</v>
      </c>
      <c r="J82" s="106">
        <v>0.57763170009431763</v>
      </c>
      <c r="K82" s="106">
        <v>1.6165855595030241</v>
      </c>
      <c r="L82" s="106">
        <v>1.7123402050052989</v>
      </c>
      <c r="M82" s="40">
        <f t="shared" si="1"/>
        <v>0.24027111439964643</v>
      </c>
      <c r="N82" s="40">
        <f t="shared" si="2"/>
        <v>0.21347518198930984</v>
      </c>
      <c r="O82" s="40">
        <f t="shared" si="3"/>
        <v>0.16515582267507678</v>
      </c>
      <c r="P82" s="40">
        <f t="shared" si="4"/>
        <v>0.37021659054679712</v>
      </c>
      <c r="Q82" s="40">
        <f t="shared" si="5"/>
        <v>0.16364017712814105</v>
      </c>
      <c r="R82" s="40">
        <f t="shared" si="6"/>
        <v>0.24024183315232281</v>
      </c>
      <c r="S82" s="40">
        <f t="shared" si="7"/>
        <v>0.29069537801100082</v>
      </c>
      <c r="T82" s="40">
        <f t="shared" si="8"/>
        <v>0.20891771305345985</v>
      </c>
      <c r="U82" s="40">
        <f t="shared" si="11"/>
        <v>0.16048515609646793</v>
      </c>
      <c r="V82" s="40">
        <f t="shared" si="12"/>
        <v>0.13988286658589535</v>
      </c>
      <c r="W82" s="40">
        <f t="shared" si="13"/>
        <v>4.7348167832421933E-2</v>
      </c>
      <c r="X82" s="40">
        <f t="shared" si="14"/>
        <v>9.0386698143789843E-2</v>
      </c>
      <c r="Y82" s="40">
        <f t="shared" si="15"/>
        <v>6.1163499027980198E-2</v>
      </c>
      <c r="Z82" s="40">
        <f t="shared" si="16"/>
        <v>-0.13110560801453683</v>
      </c>
      <c r="AA82" s="40">
        <f t="shared" si="17"/>
        <v>0.10460110838689138</v>
      </c>
      <c r="AB82" s="40">
        <f t="shared" si="18"/>
        <v>0.12752710461539704</v>
      </c>
      <c r="AC82" s="78">
        <v>49.119998931884773</v>
      </c>
      <c r="AD82" s="40">
        <f t="shared" si="9"/>
        <v>0.15042528962358429</v>
      </c>
    </row>
    <row r="83" spans="2:30" ht="13.95" customHeight="1" x14ac:dyDescent="0.3">
      <c r="B83" s="77">
        <v>40574</v>
      </c>
      <c r="C83" s="107">
        <f t="shared" si="0"/>
        <v>1</v>
      </c>
      <c r="D83" s="107">
        <f t="shared" si="10"/>
        <v>1</v>
      </c>
      <c r="E83" s="106">
        <v>1.989849288579657</v>
      </c>
      <c r="F83" s="106">
        <v>1.797978340517971</v>
      </c>
      <c r="G83" s="106">
        <v>1.2176296838477669</v>
      </c>
      <c r="H83" s="106">
        <v>1.5943738834205221</v>
      </c>
      <c r="I83" s="106">
        <v>1.288590709008957</v>
      </c>
      <c r="J83" s="106">
        <v>0.59974873563136266</v>
      </c>
      <c r="K83" s="106">
        <v>1.6505225688901071</v>
      </c>
      <c r="L83" s="106">
        <v>1.735060709897879</v>
      </c>
      <c r="M83" s="40">
        <f t="shared" si="1"/>
        <v>0.225847566264647</v>
      </c>
      <c r="N83" s="40">
        <f t="shared" si="2"/>
        <v>0.21023626008479096</v>
      </c>
      <c r="O83" s="40">
        <f t="shared" si="3"/>
        <v>0.18252531868726779</v>
      </c>
      <c r="P83" s="40">
        <f t="shared" si="4"/>
        <v>0.34667054866697805</v>
      </c>
      <c r="Q83" s="40">
        <f t="shared" si="5"/>
        <v>0.18309579700058684</v>
      </c>
      <c r="R83" s="40">
        <f t="shared" si="6"/>
        <v>0.23426397634484714</v>
      </c>
      <c r="S83" s="40">
        <f t="shared" si="7"/>
        <v>0.27880091067297008</v>
      </c>
      <c r="T83" s="40">
        <f t="shared" si="8"/>
        <v>0.20850627766971097</v>
      </c>
      <c r="U83" s="40">
        <f t="shared" si="11"/>
        <v>0.16111062110364247</v>
      </c>
      <c r="V83" s="40">
        <f t="shared" si="12"/>
        <v>0.13934477266631301</v>
      </c>
      <c r="W83" s="40">
        <f t="shared" si="13"/>
        <v>5.1003990723385503E-2</v>
      </c>
      <c r="X83" s="40">
        <f t="shared" si="14"/>
        <v>0.10210955400740195</v>
      </c>
      <c r="Y83" s="40">
        <f t="shared" si="15"/>
        <v>6.5496761467033343E-2</v>
      </c>
      <c r="Z83" s="40">
        <f t="shared" si="16"/>
        <v>-0.12760196044733224</v>
      </c>
      <c r="AA83" s="40">
        <f t="shared" si="17"/>
        <v>0.11264834887006024</v>
      </c>
      <c r="AB83" s="40">
        <f t="shared" si="18"/>
        <v>0.12946938942857059</v>
      </c>
      <c r="AC83" s="78">
        <v>49.540000915527337</v>
      </c>
      <c r="AD83" s="40">
        <f t="shared" si="9"/>
        <v>0.24127223227060415</v>
      </c>
    </row>
    <row r="84" spans="2:30" ht="13.95" customHeight="1" x14ac:dyDescent="0.3">
      <c r="B84" s="77">
        <v>40602</v>
      </c>
      <c r="C84" s="107">
        <f t="shared" si="0"/>
        <v>1</v>
      </c>
      <c r="D84" s="107">
        <f t="shared" si="10"/>
        <v>1</v>
      </c>
      <c r="E84" s="106">
        <v>2.0024455121638609</v>
      </c>
      <c r="F84" s="106">
        <v>1.8387780079827889</v>
      </c>
      <c r="G84" s="106">
        <v>1.2331470857177771</v>
      </c>
      <c r="H84" s="106">
        <v>1.6232085541543151</v>
      </c>
      <c r="I84" s="106">
        <v>1.3048012641996609</v>
      </c>
      <c r="J84" s="106">
        <v>0.61152917466608558</v>
      </c>
      <c r="K84" s="106">
        <v>1.676785675312394</v>
      </c>
      <c r="L84" s="106">
        <v>1.7587912272262041</v>
      </c>
      <c r="M84" s="40">
        <f t="shared" si="1"/>
        <v>0.20844010279267566</v>
      </c>
      <c r="N84" s="40">
        <f t="shared" si="2"/>
        <v>0.18625648012554788</v>
      </c>
      <c r="O84" s="40">
        <f t="shared" si="3"/>
        <v>0.19567982902260314</v>
      </c>
      <c r="P84" s="40">
        <f t="shared" si="4"/>
        <v>0.36548844165557925</v>
      </c>
      <c r="Q84" s="40">
        <f t="shared" si="5"/>
        <v>0.19334331987573791</v>
      </c>
      <c r="R84" s="40">
        <f t="shared" si="6"/>
        <v>0.29676623244577555</v>
      </c>
      <c r="S84" s="40">
        <f t="shared" si="7"/>
        <v>0.28251470086965669</v>
      </c>
      <c r="T84" s="40">
        <f t="shared" si="8"/>
        <v>0.19696945751129358</v>
      </c>
      <c r="U84" s="40">
        <f t="shared" si="11"/>
        <v>0.16045346348292727</v>
      </c>
      <c r="V84" s="40">
        <f t="shared" si="12"/>
        <v>0.1476531879399138</v>
      </c>
      <c r="W84" s="40">
        <f t="shared" si="13"/>
        <v>6.4146551580616523E-2</v>
      </c>
      <c r="X84" s="40">
        <f t="shared" si="14"/>
        <v>0.10619735664273654</v>
      </c>
      <c r="Y84" s="40">
        <f t="shared" si="15"/>
        <v>8.2803595306447639E-2</v>
      </c>
      <c r="Z84" s="40">
        <f t="shared" si="16"/>
        <v>-0.12551599136323416</v>
      </c>
      <c r="AA84" s="40">
        <f t="shared" si="17"/>
        <v>0.11679529205800064</v>
      </c>
      <c r="AB84" s="40">
        <f t="shared" si="18"/>
        <v>0.13443442608017542</v>
      </c>
      <c r="AC84" s="78">
        <v>50.330001831054688</v>
      </c>
      <c r="AD84" s="40">
        <f t="shared" si="9"/>
        <v>0.21828754805760994</v>
      </c>
    </row>
    <row r="85" spans="2:30" ht="13.95" customHeight="1" x14ac:dyDescent="0.3">
      <c r="B85" s="77">
        <v>40633</v>
      </c>
      <c r="C85" s="107">
        <f t="shared" si="0"/>
        <v>1</v>
      </c>
      <c r="D85" s="107">
        <f t="shared" si="10"/>
        <v>1</v>
      </c>
      <c r="E85" s="106">
        <v>2.023768092211649</v>
      </c>
      <c r="F85" s="106">
        <v>1.81318366829389</v>
      </c>
      <c r="G85" s="106">
        <v>1.224476936572837</v>
      </c>
      <c r="H85" s="106">
        <v>1.660025935440026</v>
      </c>
      <c r="I85" s="106">
        <v>1.2942436789080469</v>
      </c>
      <c r="J85" s="106">
        <v>0.63374653566317485</v>
      </c>
      <c r="K85" s="106">
        <v>1.6932762049921199</v>
      </c>
      <c r="L85" s="106">
        <v>1.7528126062886329</v>
      </c>
      <c r="M85" s="40">
        <f t="shared" si="1"/>
        <v>0.1897046368125001</v>
      </c>
      <c r="N85" s="40">
        <f t="shared" si="2"/>
        <v>0.10670232637245389</v>
      </c>
      <c r="O85" s="40">
        <f t="shared" si="3"/>
        <v>0.15288744493853457</v>
      </c>
      <c r="P85" s="40">
        <f t="shared" si="4"/>
        <v>0.2678674474941678</v>
      </c>
      <c r="Q85" s="40">
        <f t="shared" si="5"/>
        <v>0.14914497019481657</v>
      </c>
      <c r="R85" s="40">
        <f t="shared" si="6"/>
        <v>0.30187529069086694</v>
      </c>
      <c r="S85" s="40">
        <f t="shared" si="7"/>
        <v>0.20988147191170065</v>
      </c>
      <c r="T85" s="40">
        <f t="shared" si="8"/>
        <v>0.14983415037038011</v>
      </c>
      <c r="U85" s="40">
        <f t="shared" si="11"/>
        <v>0.15825132141042428</v>
      </c>
      <c r="V85" s="40">
        <f t="shared" si="12"/>
        <v>0.14093599530698644</v>
      </c>
      <c r="W85" s="40">
        <f t="shared" si="13"/>
        <v>5.5782225137218575E-2</v>
      </c>
      <c r="X85" s="40">
        <f t="shared" si="14"/>
        <v>0.11142665298601467</v>
      </c>
      <c r="Y85" s="40">
        <f t="shared" si="15"/>
        <v>7.1152690568927146E-2</v>
      </c>
      <c r="Z85" s="40">
        <f t="shared" si="16"/>
        <v>-0.11437363610746097</v>
      </c>
      <c r="AA85" s="40">
        <f t="shared" si="17"/>
        <v>0.11765338760147848</v>
      </c>
      <c r="AB85" s="40">
        <f t="shared" si="18"/>
        <v>0.12924230795532515</v>
      </c>
      <c r="AC85" s="78">
        <v>51.349998474121087</v>
      </c>
      <c r="AD85" s="40">
        <f t="shared" si="9"/>
        <v>0.25329157656226969</v>
      </c>
    </row>
    <row r="86" spans="2:30" ht="13.95" customHeight="1" x14ac:dyDescent="0.3">
      <c r="B86" s="77">
        <v>40663</v>
      </c>
      <c r="C86" s="107">
        <f t="shared" si="0"/>
        <v>1</v>
      </c>
      <c r="D86" s="107">
        <f t="shared" si="10"/>
        <v>1</v>
      </c>
      <c r="E86" s="106">
        <v>2.010245536516956</v>
      </c>
      <c r="F86" s="106">
        <v>1.841053647699664</v>
      </c>
      <c r="G86" s="106">
        <v>1.2146151125420439</v>
      </c>
      <c r="H86" s="106">
        <v>1.6526319680384429</v>
      </c>
      <c r="I86" s="106">
        <v>1.286215295535365</v>
      </c>
      <c r="J86" s="106">
        <v>0.58207325912117325</v>
      </c>
      <c r="K86" s="106">
        <v>1.6891553421250509</v>
      </c>
      <c r="L86" s="106">
        <v>1.7522035501811759</v>
      </c>
      <c r="M86" s="40">
        <f t="shared" si="1"/>
        <v>0.17154133015026865</v>
      </c>
      <c r="N86" s="40">
        <f t="shared" si="2"/>
        <v>0.11592576703050124</v>
      </c>
      <c r="O86" s="40">
        <f t="shared" si="3"/>
        <v>0.12541196434779628</v>
      </c>
      <c r="P86" s="40">
        <f t="shared" si="4"/>
        <v>0.17031938249500311</v>
      </c>
      <c r="Q86" s="40">
        <f t="shared" si="5"/>
        <v>0.12310659304424613</v>
      </c>
      <c r="R86" s="40">
        <f t="shared" si="6"/>
        <v>0.20408472384847329</v>
      </c>
      <c r="S86" s="40">
        <f t="shared" si="7"/>
        <v>0.15280962987305435</v>
      </c>
      <c r="T86" s="40">
        <f t="shared" si="8"/>
        <v>0.13790405440646855</v>
      </c>
      <c r="U86" s="40">
        <f t="shared" si="11"/>
        <v>0.15516961452908498</v>
      </c>
      <c r="V86" s="40">
        <f t="shared" si="12"/>
        <v>0.14779055521803172</v>
      </c>
      <c r="W86" s="40">
        <f t="shared" si="13"/>
        <v>6.1163017372668736E-2</v>
      </c>
      <c r="X86" s="40">
        <f t="shared" si="14"/>
        <v>0.10069066525401631</v>
      </c>
      <c r="Y86" s="40">
        <f t="shared" si="15"/>
        <v>7.6645624277116506E-2</v>
      </c>
      <c r="Z86" s="40">
        <f t="shared" si="16"/>
        <v>-0.12717615006644156</v>
      </c>
      <c r="AA86" s="40">
        <f t="shared" si="17"/>
        <v>0.11080930949914157</v>
      </c>
      <c r="AB86" s="40">
        <f t="shared" si="18"/>
        <v>0.13085258570416766</v>
      </c>
      <c r="AC86" s="78">
        <v>53.110000610351563</v>
      </c>
      <c r="AD86" s="40">
        <f t="shared" si="9"/>
        <v>0.26810471606958847</v>
      </c>
    </row>
    <row r="87" spans="2:30" ht="13.95" customHeight="1" x14ac:dyDescent="0.3">
      <c r="B87" s="77">
        <v>40694</v>
      </c>
      <c r="C87" s="107">
        <f t="shared" si="0"/>
        <v>1</v>
      </c>
      <c r="D87" s="107">
        <f t="shared" si="10"/>
        <v>1</v>
      </c>
      <c r="E87" s="106">
        <v>2.0454059429517311</v>
      </c>
      <c r="F87" s="106">
        <v>1.828221723361221</v>
      </c>
      <c r="G87" s="106">
        <v>1.239924212982022</v>
      </c>
      <c r="H87" s="106">
        <v>1.646392602682504</v>
      </c>
      <c r="I87" s="106">
        <v>1.3116978640151089</v>
      </c>
      <c r="J87" s="106">
        <v>0.62385795799589927</v>
      </c>
      <c r="K87" s="106">
        <v>1.6961283649287759</v>
      </c>
      <c r="L87" s="106">
        <v>1.773683358998321</v>
      </c>
      <c r="M87" s="40">
        <f t="shared" si="1"/>
        <v>0.16590700725273794</v>
      </c>
      <c r="N87" s="40">
        <f t="shared" si="2"/>
        <v>0.10293401370486643</v>
      </c>
      <c r="O87" s="40">
        <f t="shared" si="3"/>
        <v>0.1418445187044261</v>
      </c>
      <c r="P87" s="40">
        <f t="shared" si="4"/>
        <v>0.12278499846381945</v>
      </c>
      <c r="Q87" s="40">
        <f t="shared" si="5"/>
        <v>0.13813423673697522</v>
      </c>
      <c r="R87" s="40">
        <f t="shared" si="6"/>
        <v>0.28020112881736331</v>
      </c>
      <c r="S87" s="40">
        <f t="shared" si="7"/>
        <v>0.13055349726155754</v>
      </c>
      <c r="T87" s="40">
        <f t="shared" si="8"/>
        <v>0.13942484947760456</v>
      </c>
      <c r="U87" s="40">
        <f t="shared" si="11"/>
        <v>0.15260561571421957</v>
      </c>
      <c r="V87" s="40">
        <f t="shared" si="12"/>
        <v>0.14043791836334571</v>
      </c>
      <c r="W87" s="40">
        <f t="shared" si="13"/>
        <v>5.6904986883042338E-2</v>
      </c>
      <c r="X87" s="40">
        <f t="shared" si="14"/>
        <v>8.6983667392404734E-2</v>
      </c>
      <c r="Y87" s="40">
        <f t="shared" si="15"/>
        <v>7.0788643075505517E-2</v>
      </c>
      <c r="Z87" s="40">
        <f t="shared" si="16"/>
        <v>-0.1118818671400187</v>
      </c>
      <c r="AA87" s="40">
        <f t="shared" si="17"/>
        <v>0.10093954933743739</v>
      </c>
      <c r="AB87" s="40">
        <f t="shared" si="18"/>
        <v>0.12709858033150984</v>
      </c>
      <c r="AC87" s="78">
        <v>50.330001831054688</v>
      </c>
      <c r="AD87" s="40">
        <f t="shared" si="9"/>
        <v>0.28761588147421352</v>
      </c>
    </row>
    <row r="88" spans="2:30" ht="13.95" customHeight="1" x14ac:dyDescent="0.3">
      <c r="B88" s="77">
        <v>40724</v>
      </c>
      <c r="C88" s="107">
        <f t="shared" si="0"/>
        <v>1</v>
      </c>
      <c r="D88" s="107">
        <f t="shared" si="10"/>
        <v>1</v>
      </c>
      <c r="E88" s="106">
        <v>2.0918577631468129</v>
      </c>
      <c r="F88" s="106">
        <v>1.857296585110954</v>
      </c>
      <c r="G88" s="106">
        <v>1.249917547448699</v>
      </c>
      <c r="H88" s="106">
        <v>1.611316383794283</v>
      </c>
      <c r="I88" s="106">
        <v>1.3224911383260369</v>
      </c>
      <c r="J88" s="106">
        <v>0.62398196287786778</v>
      </c>
      <c r="K88" s="106">
        <v>1.6905203535661619</v>
      </c>
      <c r="L88" s="106">
        <v>1.801071809938666</v>
      </c>
      <c r="M88" s="40">
        <f t="shared" si="1"/>
        <v>0.17494077904991578</v>
      </c>
      <c r="N88" s="40">
        <f t="shared" si="2"/>
        <v>9.5223573628496094E-2</v>
      </c>
      <c r="O88" s="40">
        <f t="shared" si="3"/>
        <v>0.14448128264036908</v>
      </c>
      <c r="P88" s="40">
        <f t="shared" si="4"/>
        <v>0.10133253090290185</v>
      </c>
      <c r="Q88" s="40">
        <f t="shared" si="5"/>
        <v>0.13963959841334705</v>
      </c>
      <c r="R88" s="40">
        <f t="shared" si="6"/>
        <v>0.30791205789385762</v>
      </c>
      <c r="S88" s="40">
        <f t="shared" si="7"/>
        <v>0.12002317008626182</v>
      </c>
      <c r="T88" s="40">
        <f t="shared" si="8"/>
        <v>0.14049458075692772</v>
      </c>
      <c r="U88" s="40">
        <f t="shared" si="11"/>
        <v>0.15205913892666351</v>
      </c>
      <c r="V88" s="40">
        <f t="shared" si="12"/>
        <v>0.13167756053982052</v>
      </c>
      <c r="W88" s="40">
        <f t="shared" si="13"/>
        <v>5.5152610731406919E-2</v>
      </c>
      <c r="X88" s="40">
        <f t="shared" si="14"/>
        <v>5.185698035579854E-2</v>
      </c>
      <c r="Y88" s="40">
        <f t="shared" si="15"/>
        <v>6.7386125969333688E-2</v>
      </c>
      <c r="Z88" s="40">
        <f t="shared" si="16"/>
        <v>-0.10598941296915707</v>
      </c>
      <c r="AA88" s="40">
        <f t="shared" si="17"/>
        <v>7.7129438663063321E-2</v>
      </c>
      <c r="AB88" s="40">
        <f t="shared" si="18"/>
        <v>0.12209829210205976</v>
      </c>
      <c r="AC88" s="78">
        <v>47.229999542236328</v>
      </c>
      <c r="AD88" s="40">
        <f t="shared" si="9"/>
        <v>0.2269619757141281</v>
      </c>
    </row>
    <row r="89" spans="2:30" ht="13.95" customHeight="1" x14ac:dyDescent="0.3">
      <c r="B89" s="77">
        <v>40755</v>
      </c>
      <c r="C89" s="107">
        <f t="shared" si="0"/>
        <v>1</v>
      </c>
      <c r="D89" s="107">
        <f t="shared" si="10"/>
        <v>1</v>
      </c>
      <c r="E89" s="106">
        <v>2.0859167869672861</v>
      </c>
      <c r="F89" s="106">
        <v>1.838447824559045</v>
      </c>
      <c r="G89" s="106">
        <v>1.2439615837603319</v>
      </c>
      <c r="H89" s="106">
        <v>1.608298756374003</v>
      </c>
      <c r="I89" s="106">
        <v>1.314938883164551</v>
      </c>
      <c r="J89" s="106">
        <v>0.64972532477737066</v>
      </c>
      <c r="K89" s="106">
        <v>1.6843526796323041</v>
      </c>
      <c r="L89" s="106">
        <v>1.7912926984953039</v>
      </c>
      <c r="M89" s="40">
        <f t="shared" si="1"/>
        <v>0.14824031542496124</v>
      </c>
      <c r="N89" s="40">
        <f t="shared" si="2"/>
        <v>7.4987194807869917E-2</v>
      </c>
      <c r="O89" s="40">
        <f t="shared" si="3"/>
        <v>0.1402821822419778</v>
      </c>
      <c r="P89" s="40">
        <f t="shared" si="4"/>
        <v>8.5170023210580315E-2</v>
      </c>
      <c r="Q89" s="40">
        <f t="shared" si="5"/>
        <v>0.13874147964325659</v>
      </c>
      <c r="R89" s="40">
        <f t="shared" si="6"/>
        <v>0.23965855037312506</v>
      </c>
      <c r="S89" s="40">
        <f t="shared" si="7"/>
        <v>0.1037585246504607</v>
      </c>
      <c r="T89" s="40">
        <f t="shared" si="8"/>
        <v>0.12401242370067939</v>
      </c>
      <c r="U89" s="40">
        <f t="shared" si="11"/>
        <v>0.14681130746794299</v>
      </c>
      <c r="V89" s="40">
        <f t="shared" si="12"/>
        <v>0.11394600416153343</v>
      </c>
      <c r="W89" s="40">
        <f t="shared" si="13"/>
        <v>7.7089206380758085E-2</v>
      </c>
      <c r="X89" s="40">
        <f t="shared" si="14"/>
        <v>5.4168426306268558E-2</v>
      </c>
      <c r="Y89" s="40">
        <f t="shared" si="15"/>
        <v>9.4131031606617038E-2</v>
      </c>
      <c r="Z89" s="40">
        <f t="shared" si="16"/>
        <v>-9.9980971205366517E-2</v>
      </c>
      <c r="AA89" s="40">
        <f t="shared" si="17"/>
        <v>7.5751038625937864E-2</v>
      </c>
      <c r="AB89" s="40">
        <f t="shared" si="18"/>
        <v>0.11422161281896411</v>
      </c>
      <c r="AC89" s="78">
        <v>49.130001068115227</v>
      </c>
      <c r="AD89" s="40">
        <f t="shared" si="9"/>
        <v>0.19712633161253604</v>
      </c>
    </row>
    <row r="90" spans="2:30" ht="13.95" customHeight="1" x14ac:dyDescent="0.3">
      <c r="B90" s="77">
        <v>40786</v>
      </c>
      <c r="C90" s="107">
        <f t="shared" si="0"/>
        <v>1</v>
      </c>
      <c r="D90" s="107">
        <f t="shared" si="10"/>
        <v>1</v>
      </c>
      <c r="E90" s="106">
        <v>2.0714174955931051</v>
      </c>
      <c r="F90" s="106">
        <v>1.822143084925731</v>
      </c>
      <c r="G90" s="106">
        <v>1.244268823252312</v>
      </c>
      <c r="H90" s="106">
        <v>1.577390442706136</v>
      </c>
      <c r="I90" s="106">
        <v>1.313608059687347</v>
      </c>
      <c r="J90" s="106">
        <v>0.6871466766272939</v>
      </c>
      <c r="K90" s="106">
        <v>1.6641698111418159</v>
      </c>
      <c r="L90" s="106">
        <v>1.7828720548262491</v>
      </c>
      <c r="M90" s="40">
        <f t="shared" si="1"/>
        <v>0.13618348278231174</v>
      </c>
      <c r="N90" s="40">
        <f t="shared" si="2"/>
        <v>4.0267146188036701E-2</v>
      </c>
      <c r="O90" s="40">
        <f t="shared" si="3"/>
        <v>0.13467455123908106</v>
      </c>
      <c r="P90" s="40">
        <f t="shared" si="4"/>
        <v>3.3139915520236284E-2</v>
      </c>
      <c r="Q90" s="40">
        <f t="shared" si="5"/>
        <v>0.12799641751971838</v>
      </c>
      <c r="R90" s="40">
        <f t="shared" si="6"/>
        <v>0.39107932084885122</v>
      </c>
      <c r="S90" s="40">
        <f t="shared" si="7"/>
        <v>6.9351687540552417E-2</v>
      </c>
      <c r="T90" s="40">
        <f t="shared" si="8"/>
        <v>0.1069450369810571</v>
      </c>
      <c r="U90" s="40">
        <f t="shared" si="11"/>
        <v>0.13953261522261262</v>
      </c>
      <c r="V90" s="40">
        <f t="shared" si="12"/>
        <v>0.10510205765277593</v>
      </c>
      <c r="W90" s="40">
        <f t="shared" si="13"/>
        <v>6.6160450170083276E-2</v>
      </c>
      <c r="X90" s="40">
        <f t="shared" si="14"/>
        <v>4.9665352176535241E-2</v>
      </c>
      <c r="Y90" s="40">
        <f t="shared" si="15"/>
        <v>8.1509882550118318E-2</v>
      </c>
      <c r="Z90" s="40">
        <f t="shared" si="16"/>
        <v>-9.0092544875481337E-2</v>
      </c>
      <c r="AA90" s="40">
        <f t="shared" si="17"/>
        <v>7.0532610676913327E-2</v>
      </c>
      <c r="AB90" s="40">
        <f t="shared" si="18"/>
        <v>0.10633306229067069</v>
      </c>
      <c r="AC90" s="78">
        <v>49.470001220703118</v>
      </c>
      <c r="AD90" s="40">
        <f t="shared" si="9"/>
        <v>0.22861636222428897</v>
      </c>
    </row>
    <row r="91" spans="2:30" ht="13.95" customHeight="1" x14ac:dyDescent="0.3">
      <c r="B91" s="77">
        <v>40816</v>
      </c>
      <c r="C91" s="107">
        <f t="shared" si="0"/>
        <v>1</v>
      </c>
      <c r="D91" s="107">
        <f t="shared" si="10"/>
        <v>1</v>
      </c>
      <c r="E91" s="106">
        <v>2.0979844885215</v>
      </c>
      <c r="F91" s="106">
        <v>1.7728802455393851</v>
      </c>
      <c r="G91" s="106">
        <v>1.253510510632829</v>
      </c>
      <c r="H91" s="106">
        <v>1.602940189459396</v>
      </c>
      <c r="I91" s="106">
        <v>1.3217472533514041</v>
      </c>
      <c r="J91" s="106">
        <v>0.73106974545045689</v>
      </c>
      <c r="K91" s="106">
        <v>1.678170688668275</v>
      </c>
      <c r="L91" s="106">
        <v>1.7847485832379459</v>
      </c>
      <c r="M91" s="40">
        <f t="shared" si="1"/>
        <v>0.13101630403895559</v>
      </c>
      <c r="N91" s="40">
        <f t="shared" si="2"/>
        <v>9.0360416741483447E-3</v>
      </c>
      <c r="O91" s="40">
        <f t="shared" si="3"/>
        <v>0.11859982898672403</v>
      </c>
      <c r="P91" s="40">
        <f t="shared" si="4"/>
        <v>2.9222446296841179E-2</v>
      </c>
      <c r="Q91" s="40">
        <f t="shared" si="5"/>
        <v>0.10922868580051537</v>
      </c>
      <c r="R91" s="40">
        <f t="shared" si="6"/>
        <v>0.48047408979352713</v>
      </c>
      <c r="S91" s="40">
        <f t="shared" si="7"/>
        <v>6.0059573925484555E-2</v>
      </c>
      <c r="T91" s="40">
        <f t="shared" si="8"/>
        <v>9.2870790511257545E-2</v>
      </c>
      <c r="U91" s="40">
        <f t="shared" si="11"/>
        <v>0.14272943499609825</v>
      </c>
      <c r="V91" s="40">
        <f t="shared" si="12"/>
        <v>9.660378424157709E-2</v>
      </c>
      <c r="W91" s="40">
        <f t="shared" si="13"/>
        <v>6.0816534081180144E-2</v>
      </c>
      <c r="X91" s="40">
        <f t="shared" si="14"/>
        <v>6.7279260988135012E-2</v>
      </c>
      <c r="Y91" s="40">
        <f t="shared" si="15"/>
        <v>7.4859712968535053E-2</v>
      </c>
      <c r="Z91" s="40">
        <f t="shared" si="16"/>
        <v>-7.3646654958094845E-2</v>
      </c>
      <c r="AA91" s="40">
        <f t="shared" si="17"/>
        <v>7.9614339250372243E-2</v>
      </c>
      <c r="AB91" s="40">
        <f t="shared" si="18"/>
        <v>0.10456851215092804</v>
      </c>
      <c r="AC91" s="78">
        <v>41.740001678466797</v>
      </c>
      <c r="AD91" s="40">
        <f t="shared" si="9"/>
        <v>-1.2854190268672572E-2</v>
      </c>
    </row>
    <row r="92" spans="2:30" ht="13.95" customHeight="1" x14ac:dyDescent="0.3">
      <c r="B92" s="77">
        <v>40847</v>
      </c>
      <c r="C92" s="107">
        <f t="shared" si="0"/>
        <v>1</v>
      </c>
      <c r="D92" s="107">
        <f t="shared" si="10"/>
        <v>1</v>
      </c>
      <c r="E92" s="106">
        <v>2.101105602878639</v>
      </c>
      <c r="F92" s="106">
        <v>1.7602201569750471</v>
      </c>
      <c r="G92" s="106">
        <v>1.203631413352646</v>
      </c>
      <c r="H92" s="106">
        <v>1.569852668409766</v>
      </c>
      <c r="I92" s="106">
        <v>1.265806280933901</v>
      </c>
      <c r="J92" s="106">
        <v>0.77210336611283825</v>
      </c>
      <c r="K92" s="106">
        <v>1.647449468197169</v>
      </c>
      <c r="L92" s="106">
        <v>1.7561479451134829</v>
      </c>
      <c r="M92" s="40">
        <f t="shared" si="1"/>
        <v>0.12209496798289569</v>
      </c>
      <c r="N92" s="40">
        <f t="shared" si="2"/>
        <v>-2.6004492929001905E-3</v>
      </c>
      <c r="O92" s="40">
        <f t="shared" si="3"/>
        <v>4.9258397362351179E-2</v>
      </c>
      <c r="P92" s="40">
        <f t="shared" si="4"/>
        <v>3.4317497571820621E-2</v>
      </c>
      <c r="Q92" s="40">
        <f t="shared" si="5"/>
        <v>4.0818380869456605E-2</v>
      </c>
      <c r="R92" s="40">
        <f t="shared" si="6"/>
        <v>0.38253244532172032</v>
      </c>
      <c r="S92" s="40">
        <f t="shared" si="7"/>
        <v>4.7835017978894383E-2</v>
      </c>
      <c r="T92" s="40">
        <f t="shared" si="8"/>
        <v>6.1877116384772723E-2</v>
      </c>
      <c r="U92" s="40">
        <f t="shared" si="11"/>
        <v>0.14251244694713128</v>
      </c>
      <c r="V92" s="40">
        <f t="shared" si="12"/>
        <v>9.1828608229405237E-2</v>
      </c>
      <c r="W92" s="40">
        <f t="shared" si="13"/>
        <v>4.4277954181627624E-2</v>
      </c>
      <c r="X92" s="40">
        <f t="shared" si="14"/>
        <v>4.813488107825907E-2</v>
      </c>
      <c r="Y92" s="40">
        <f t="shared" si="15"/>
        <v>5.722569396646169E-2</v>
      </c>
      <c r="Z92" s="40">
        <f t="shared" si="16"/>
        <v>-6.2926820576622827E-2</v>
      </c>
      <c r="AA92" s="40">
        <f t="shared" si="17"/>
        <v>6.5759392391238264E-2</v>
      </c>
      <c r="AB92" s="40">
        <f t="shared" si="18"/>
        <v>9.7728827833591644E-2</v>
      </c>
      <c r="AC92" s="78">
        <v>44.740001678466797</v>
      </c>
      <c r="AD92" s="40">
        <f t="shared" si="9"/>
        <v>6.0531616053631767E-3</v>
      </c>
    </row>
    <row r="93" spans="2:30" ht="13.95" customHeight="1" x14ac:dyDescent="0.3">
      <c r="B93" s="77">
        <v>40877</v>
      </c>
      <c r="C93" s="107">
        <f t="shared" si="0"/>
        <v>1</v>
      </c>
      <c r="D93" s="107">
        <f t="shared" si="10"/>
        <v>1</v>
      </c>
      <c r="E93" s="106">
        <v>2.1194933150417219</v>
      </c>
      <c r="F93" s="106">
        <v>1.74986986314034</v>
      </c>
      <c r="G93" s="106">
        <v>1.1964332563419131</v>
      </c>
      <c r="H93" s="106">
        <v>1.5897119603317049</v>
      </c>
      <c r="I93" s="106">
        <v>1.257183352345991</v>
      </c>
      <c r="J93" s="106">
        <v>0.78956613738565329</v>
      </c>
      <c r="K93" s="106">
        <v>1.6575993173511501</v>
      </c>
      <c r="L93" s="106">
        <v>1.755740873271709</v>
      </c>
      <c r="M93" s="40">
        <f t="shared" si="1"/>
        <v>9.1049696244650175E-2</v>
      </c>
      <c r="N93" s="40">
        <f t="shared" si="2"/>
        <v>-2.3361002963197632E-2</v>
      </c>
      <c r="O93" s="40">
        <f t="shared" si="3"/>
        <v>3.1461711011049769E-2</v>
      </c>
      <c r="P93" s="40">
        <f t="shared" si="4"/>
        <v>3.7663638818066593E-2</v>
      </c>
      <c r="Q93" s="40">
        <f t="shared" si="5"/>
        <v>2.3476682114772305E-2</v>
      </c>
      <c r="R93" s="40">
        <f t="shared" si="6"/>
        <v>0.35329240110422738</v>
      </c>
      <c r="S93" s="40">
        <f t="shared" si="7"/>
        <v>3.8464062361833466E-2</v>
      </c>
      <c r="T93" s="40">
        <f t="shared" si="8"/>
        <v>3.9540225752908421E-2</v>
      </c>
      <c r="U93" s="40">
        <f t="shared" si="11"/>
        <v>0.14154826445164581</v>
      </c>
      <c r="V93" s="40">
        <f t="shared" si="12"/>
        <v>8.702654486516008E-2</v>
      </c>
      <c r="W93" s="40">
        <f t="shared" si="13"/>
        <v>4.1842641973724788E-2</v>
      </c>
      <c r="X93" s="40">
        <f t="shared" si="14"/>
        <v>5.7710873040822425E-2</v>
      </c>
      <c r="Y93" s="40">
        <f t="shared" si="15"/>
        <v>5.1364649650762824E-2</v>
      </c>
      <c r="Z93" s="40">
        <f t="shared" si="16"/>
        <v>-3.1030742818368234E-2</v>
      </c>
      <c r="AA93" s="40">
        <f t="shared" si="17"/>
        <v>6.9764528910309764E-2</v>
      </c>
      <c r="AB93" s="40">
        <f t="shared" si="18"/>
        <v>9.4787903910163201E-2</v>
      </c>
      <c r="AC93" s="78">
        <v>43.849998474121087</v>
      </c>
      <c r="AD93" s="40">
        <f t="shared" si="9"/>
        <v>-9.5325730638210083E-3</v>
      </c>
    </row>
    <row r="94" spans="2:30" ht="13.95" customHeight="1" x14ac:dyDescent="0.3">
      <c r="B94" s="77">
        <v>40908</v>
      </c>
      <c r="C94" s="107">
        <f t="shared" si="0"/>
        <v>1</v>
      </c>
      <c r="D94" s="107">
        <f t="shared" si="10"/>
        <v>1</v>
      </c>
      <c r="E94" s="106">
        <v>2.1444481951833061</v>
      </c>
      <c r="F94" s="106">
        <v>1.7895594473350971</v>
      </c>
      <c r="G94" s="106">
        <v>1.209205071915409</v>
      </c>
      <c r="H94" s="106">
        <v>1.540378999315674</v>
      </c>
      <c r="I94" s="106">
        <v>1.2701896807972</v>
      </c>
      <c r="J94" s="106">
        <v>0.80703460559691709</v>
      </c>
      <c r="K94" s="106">
        <v>1.6440115921606151</v>
      </c>
      <c r="L94" s="106">
        <v>1.780332543312702</v>
      </c>
      <c r="M94" s="40">
        <f t="shared" si="1"/>
        <v>8.6231028389836234E-2</v>
      </c>
      <c r="N94" s="40">
        <f t="shared" si="2"/>
        <v>-7.1371574974827537E-3</v>
      </c>
      <c r="O94" s="40">
        <f t="shared" si="3"/>
        <v>2.1860462319512677E-2</v>
      </c>
      <c r="P94" s="40">
        <f t="shared" si="4"/>
        <v>-6.2117466753116258E-3</v>
      </c>
      <c r="Q94" s="40">
        <f t="shared" si="5"/>
        <v>1.4208359818558653E-2</v>
      </c>
      <c r="R94" s="40">
        <f t="shared" si="6"/>
        <v>0.33443008062372664</v>
      </c>
      <c r="S94" s="40">
        <f t="shared" si="7"/>
        <v>1.6823102158533016E-2</v>
      </c>
      <c r="T94" s="40">
        <f t="shared" si="8"/>
        <v>3.8939193086013478E-2</v>
      </c>
      <c r="U94" s="40">
        <f t="shared" si="11"/>
        <v>0.1428364673066104</v>
      </c>
      <c r="V94" s="40">
        <f t="shared" si="12"/>
        <v>8.3891156841489123E-2</v>
      </c>
      <c r="W94" s="40">
        <f t="shared" si="13"/>
        <v>5.7303312586843354E-2</v>
      </c>
      <c r="X94" s="40">
        <f t="shared" si="14"/>
        <v>4.3429715915798542E-2</v>
      </c>
      <c r="Y94" s="40">
        <f t="shared" si="15"/>
        <v>6.9035244452404554E-2</v>
      </c>
      <c r="Z94" s="40">
        <f t="shared" si="16"/>
        <v>-3.2951157818629256E-2</v>
      </c>
      <c r="AA94" s="40">
        <f t="shared" si="17"/>
        <v>6.2645230045292932E-2</v>
      </c>
      <c r="AB94" s="40">
        <f t="shared" si="18"/>
        <v>9.4942054962169953E-2</v>
      </c>
      <c r="AC94" s="78">
        <v>42.240001678466797</v>
      </c>
      <c r="AD94" s="40">
        <f t="shared" si="9"/>
        <v>-0.1508985829594349</v>
      </c>
    </row>
    <row r="95" spans="2:30" ht="13.95" customHeight="1" x14ac:dyDescent="0.3">
      <c r="B95" s="77">
        <v>40939</v>
      </c>
      <c r="C95" s="107">
        <f t="shared" si="0"/>
        <v>1</v>
      </c>
      <c r="D95" s="107">
        <f t="shared" si="10"/>
        <v>1</v>
      </c>
      <c r="E95" s="106">
        <v>2.150927532830595</v>
      </c>
      <c r="F95" s="106">
        <v>1.8221647897552109</v>
      </c>
      <c r="G95" s="106">
        <v>1.1614969348983779</v>
      </c>
      <c r="H95" s="106">
        <v>1.506724313584155</v>
      </c>
      <c r="I95" s="106">
        <v>1.2185450941395259</v>
      </c>
      <c r="J95" s="106">
        <v>0.8308551224145464</v>
      </c>
      <c r="K95" s="106">
        <v>1.6159066773089099</v>
      </c>
      <c r="L95" s="106">
        <v>1.756683374052417</v>
      </c>
      <c r="M95" s="40">
        <f t="shared" si="1"/>
        <v>7.7840258241321111E-2</v>
      </c>
      <c r="N95" s="40">
        <f t="shared" si="2"/>
        <v>1.3362349633599032E-2</v>
      </c>
      <c r="O95" s="40">
        <f t="shared" si="3"/>
        <v>-4.7196452501281135E-2</v>
      </c>
      <c r="P95" s="40">
        <f t="shared" si="4"/>
        <v>-5.654314391693295E-2</v>
      </c>
      <c r="Q95" s="40">
        <f t="shared" si="5"/>
        <v>-5.5891546243486377E-2</v>
      </c>
      <c r="R95" s="40">
        <f t="shared" si="6"/>
        <v>0.3259446448400577</v>
      </c>
      <c r="S95" s="40">
        <f t="shared" si="7"/>
        <v>-2.1195736947887438E-2</v>
      </c>
      <c r="T95" s="40">
        <f t="shared" si="8"/>
        <v>1.2385180603462699E-2</v>
      </c>
      <c r="U95" s="40">
        <f t="shared" si="11"/>
        <v>0.14140818299971716</v>
      </c>
      <c r="V95" s="40">
        <f t="shared" si="12"/>
        <v>8.8978905641051667E-2</v>
      </c>
      <c r="W95" s="40">
        <f t="shared" si="13"/>
        <v>3.9805794009068779E-2</v>
      </c>
      <c r="X95" s="40">
        <f t="shared" si="14"/>
        <v>3.2197720256618635E-2</v>
      </c>
      <c r="Y95" s="40">
        <f t="shared" si="15"/>
        <v>5.1111019148084982E-2</v>
      </c>
      <c r="Z95" s="40">
        <f t="shared" si="16"/>
        <v>-3.2159832988124984E-2</v>
      </c>
      <c r="AA95" s="40">
        <f t="shared" si="17"/>
        <v>5.468939874491735E-2</v>
      </c>
      <c r="AB95" s="40">
        <f t="shared" si="18"/>
        <v>9.0113852060775365E-2</v>
      </c>
      <c r="AC95" s="78">
        <v>43</v>
      </c>
      <c r="AD95" s="40">
        <f t="shared" si="9"/>
        <v>-0.14158032684821889</v>
      </c>
    </row>
    <row r="96" spans="2:30" ht="13.95" customHeight="1" x14ac:dyDescent="0.3">
      <c r="B96" s="77">
        <v>40968</v>
      </c>
      <c r="C96" s="107">
        <f t="shared" si="0"/>
        <v>1</v>
      </c>
      <c r="D96" s="107">
        <f t="shared" si="10"/>
        <v>1</v>
      </c>
      <c r="E96" s="106">
        <v>2.1746927447118658</v>
      </c>
      <c r="F96" s="106">
        <v>1.7535682456572581</v>
      </c>
      <c r="G96" s="106">
        <v>1.134270638107689</v>
      </c>
      <c r="H96" s="106">
        <v>1.446741511833707</v>
      </c>
      <c r="I96" s="106">
        <v>1.1903240506663311</v>
      </c>
      <c r="J96" s="106">
        <v>0.79935690656672043</v>
      </c>
      <c r="K96" s="106">
        <v>1.574231903485263</v>
      </c>
      <c r="L96" s="106">
        <v>1.730951845285456</v>
      </c>
      <c r="M96" s="40">
        <f t="shared" si="1"/>
        <v>8.2518198077917618E-2</v>
      </c>
      <c r="N96" s="40">
        <f t="shared" si="2"/>
        <v>-4.7448515375339034E-2</v>
      </c>
      <c r="O96" s="40">
        <f t="shared" si="3"/>
        <v>-8.3579673223919584E-2</v>
      </c>
      <c r="P96" s="40">
        <f t="shared" si="4"/>
        <v>-0.11509098505149963</v>
      </c>
      <c r="Q96" s="40">
        <f t="shared" si="5"/>
        <v>-9.1825159670350764E-2</v>
      </c>
      <c r="R96" s="40">
        <f t="shared" si="6"/>
        <v>0.26784487361124426</v>
      </c>
      <c r="S96" s="40">
        <f t="shared" si="7"/>
        <v>-6.3111199240140456E-2</v>
      </c>
      <c r="T96" s="40">
        <f t="shared" si="8"/>
        <v>-1.595531358829055E-2</v>
      </c>
      <c r="U96" s="40">
        <f t="shared" si="11"/>
        <v>0.12533971545371927</v>
      </c>
      <c r="V96" s="40">
        <f t="shared" si="12"/>
        <v>7.9729891608573564E-2</v>
      </c>
      <c r="W96" s="40">
        <f t="shared" si="13"/>
        <v>2.4692457320135749E-2</v>
      </c>
      <c r="X96" s="40">
        <f t="shared" si="14"/>
        <v>7.1584636541113227E-3</v>
      </c>
      <c r="Y96" s="40">
        <f t="shared" si="15"/>
        <v>3.5668060555824561E-2</v>
      </c>
      <c r="Z96" s="40">
        <f t="shared" si="16"/>
        <v>-4.7562355313366209E-2</v>
      </c>
      <c r="AA96" s="40">
        <f t="shared" si="17"/>
        <v>3.7015353095487973E-2</v>
      </c>
      <c r="AB96" s="40">
        <f t="shared" si="18"/>
        <v>7.9434916501603142E-2</v>
      </c>
      <c r="AC96" s="78">
        <v>44.220001220703118</v>
      </c>
      <c r="AD96" s="40">
        <f t="shared" si="9"/>
        <v>-0.12942415413472089</v>
      </c>
    </row>
    <row r="97" spans="2:30" ht="13.95" customHeight="1" x14ac:dyDescent="0.3">
      <c r="B97" s="77">
        <v>40999</v>
      </c>
      <c r="C97" s="107">
        <f t="shared" si="0"/>
        <v>1</v>
      </c>
      <c r="D97" s="107">
        <f t="shared" si="10"/>
        <v>1</v>
      </c>
      <c r="E97" s="106">
        <v>2.212652026354808</v>
      </c>
      <c r="F97" s="106">
        <v>1.6989183846251421</v>
      </c>
      <c r="G97" s="106">
        <v>1.1500250178624729</v>
      </c>
      <c r="H97" s="106">
        <v>1.434791009031273</v>
      </c>
      <c r="I97" s="106">
        <v>1.205798089120848</v>
      </c>
      <c r="J97" s="106">
        <v>0.84751166470823525</v>
      </c>
      <c r="K97" s="106">
        <v>1.573492390225852</v>
      </c>
      <c r="L97" s="106">
        <v>1.74061180787606</v>
      </c>
      <c r="M97" s="40">
        <f t="shared" si="1"/>
        <v>8.9230642102366378E-2</v>
      </c>
      <c r="N97" s="40">
        <f t="shared" si="2"/>
        <v>-6.5092428691432558E-2</v>
      </c>
      <c r="O97" s="40">
        <f t="shared" si="3"/>
        <v>-6.2730065455930614E-2</v>
      </c>
      <c r="P97" s="40">
        <f t="shared" si="4"/>
        <v>-0.14581402570589053</v>
      </c>
      <c r="Q97" s="40">
        <f t="shared" si="5"/>
        <v>-7.0784830475105059E-2</v>
      </c>
      <c r="R97" s="40">
        <f t="shared" si="6"/>
        <v>0.29065551434616071</v>
      </c>
      <c r="S97" s="40">
        <f t="shared" si="7"/>
        <v>-7.3367633841706956E-2</v>
      </c>
      <c r="T97" s="40">
        <f t="shared" si="8"/>
        <v>-6.9850362127304852E-3</v>
      </c>
      <c r="U97" s="40">
        <f t="shared" si="11"/>
        <v>0.12003980685758725</v>
      </c>
      <c r="V97" s="40">
        <f t="shared" si="12"/>
        <v>7.281216942209677E-2</v>
      </c>
      <c r="W97" s="40">
        <f t="shared" si="13"/>
        <v>2.2598821774056151E-2</v>
      </c>
      <c r="X97" s="40">
        <f t="shared" si="14"/>
        <v>-1.8016950764937402E-4</v>
      </c>
      <c r="Y97" s="40">
        <f t="shared" si="15"/>
        <v>3.204380488335324E-2</v>
      </c>
      <c r="Z97" s="40">
        <f t="shared" si="16"/>
        <v>-2.6202897215101356E-2</v>
      </c>
      <c r="AA97" s="40">
        <f t="shared" si="17"/>
        <v>3.2497557674090558E-2</v>
      </c>
      <c r="AB97" s="40">
        <f t="shared" si="18"/>
        <v>7.7362353647145277E-2</v>
      </c>
      <c r="AC97" s="78">
        <v>42.319999694824219</v>
      </c>
      <c r="AD97" s="40">
        <f t="shared" si="9"/>
        <v>-0.19340512632040474</v>
      </c>
    </row>
    <row r="98" spans="2:30" ht="13.95" customHeight="1" x14ac:dyDescent="0.3">
      <c r="B98" s="77">
        <v>41029</v>
      </c>
      <c r="C98" s="107">
        <f t="shared" si="0"/>
        <v>1</v>
      </c>
      <c r="D98" s="107">
        <f t="shared" si="10"/>
        <v>1</v>
      </c>
      <c r="E98" s="106">
        <v>2.202159936513596</v>
      </c>
      <c r="F98" s="106">
        <v>1.671732819023064</v>
      </c>
      <c r="G98" s="106">
        <v>1.1334875860789491</v>
      </c>
      <c r="H98" s="106">
        <v>1.4380995740788951</v>
      </c>
      <c r="I98" s="106">
        <v>1.1856414996653071</v>
      </c>
      <c r="J98" s="106">
        <v>0.93106661632236021</v>
      </c>
      <c r="K98" s="106">
        <v>1.5652979704165639</v>
      </c>
      <c r="L98" s="106">
        <v>1.7211914107471571</v>
      </c>
      <c r="M98" s="40">
        <f t="shared" si="1"/>
        <v>9.1181795967222992E-2</v>
      </c>
      <c r="N98" s="40">
        <f t="shared" si="2"/>
        <v>-9.6477337689075432E-2</v>
      </c>
      <c r="O98" s="40">
        <f t="shared" si="3"/>
        <v>-6.9128007750115142E-2</v>
      </c>
      <c r="P98" s="40">
        <f t="shared" si="4"/>
        <v>-0.13904664744418482</v>
      </c>
      <c r="Q98" s="40">
        <f t="shared" si="5"/>
        <v>-8.1420048644263276E-2</v>
      </c>
      <c r="R98" s="40">
        <f t="shared" si="6"/>
        <v>0.46973451364360302</v>
      </c>
      <c r="S98" s="40">
        <f t="shared" si="7"/>
        <v>-7.615240413408346E-2</v>
      </c>
      <c r="T98" s="40">
        <f t="shared" si="8"/>
        <v>-1.7857435676112393E-2</v>
      </c>
      <c r="U98" s="40">
        <f t="shared" si="11"/>
        <v>0.11150762788768429</v>
      </c>
      <c r="V98" s="40">
        <f t="shared" si="12"/>
        <v>5.9710419992993195E-2</v>
      </c>
      <c r="W98" s="40">
        <f t="shared" si="13"/>
        <v>2.0947083219102054E-2</v>
      </c>
      <c r="X98" s="40">
        <f t="shared" si="14"/>
        <v>-1.2367405428312807E-2</v>
      </c>
      <c r="Y98" s="40">
        <f t="shared" si="15"/>
        <v>2.9266759299772637E-2</v>
      </c>
      <c r="Z98" s="40">
        <f t="shared" si="16"/>
        <v>4.3750444311077066E-3</v>
      </c>
      <c r="AA98" s="40">
        <f t="shared" si="17"/>
        <v>2.126523023557669E-2</v>
      </c>
      <c r="AB98" s="40">
        <f t="shared" si="18"/>
        <v>6.7777307079204013E-2</v>
      </c>
      <c r="AC98" s="78">
        <v>42.119998931884773</v>
      </c>
      <c r="AD98" s="40">
        <f t="shared" si="9"/>
        <v>-0.23184258401960983</v>
      </c>
    </row>
    <row r="99" spans="2:30" ht="13.95" customHeight="1" x14ac:dyDescent="0.3">
      <c r="B99" s="77">
        <v>41060</v>
      </c>
      <c r="C99" s="107">
        <f t="shared" si="0"/>
        <v>1</v>
      </c>
      <c r="D99" s="107">
        <f t="shared" si="10"/>
        <v>1</v>
      </c>
      <c r="E99" s="106">
        <v>2.143536455991176</v>
      </c>
      <c r="F99" s="106">
        <v>1.725816572856306</v>
      </c>
      <c r="G99" s="106">
        <v>1.0453889272390851</v>
      </c>
      <c r="H99" s="106">
        <v>1.449165380258133</v>
      </c>
      <c r="I99" s="106">
        <v>1.0906090711268841</v>
      </c>
      <c r="J99" s="106">
        <v>0.96284379101157191</v>
      </c>
      <c r="K99" s="106">
        <v>1.5378511601050699</v>
      </c>
      <c r="L99" s="106">
        <v>1.656730433574368</v>
      </c>
      <c r="M99" s="40">
        <f t="shared" si="1"/>
        <v>4.6860739698736269E-2</v>
      </c>
      <c r="N99" s="40">
        <f t="shared" si="2"/>
        <v>-5.7643444498434324E-2</v>
      </c>
      <c r="O99" s="40">
        <f t="shared" si="3"/>
        <v>-0.17066126383480221</v>
      </c>
      <c r="P99" s="40">
        <f t="shared" si="4"/>
        <v>-0.127598802172532</v>
      </c>
      <c r="Q99" s="40">
        <f t="shared" si="5"/>
        <v>-0.18458605639650458</v>
      </c>
      <c r="R99" s="40">
        <f t="shared" si="6"/>
        <v>0.43396847681232853</v>
      </c>
      <c r="S99" s="40">
        <f t="shared" si="7"/>
        <v>-9.7962129937727419E-2</v>
      </c>
      <c r="T99" s="40">
        <f t="shared" si="8"/>
        <v>-6.8212336310960478E-2</v>
      </c>
      <c r="U99" s="40">
        <f t="shared" si="11"/>
        <v>0.10290478912435877</v>
      </c>
      <c r="V99" s="40">
        <f t="shared" si="12"/>
        <v>6.7253835727614522E-2</v>
      </c>
      <c r="W99" s="40">
        <f t="shared" si="13"/>
        <v>-6.4542394619871357E-3</v>
      </c>
      <c r="X99" s="40">
        <f t="shared" si="14"/>
        <v>-1.1470808736789184E-2</v>
      </c>
      <c r="Y99" s="40">
        <f t="shared" si="15"/>
        <v>2.5577202439396198E-4</v>
      </c>
      <c r="Z99" s="40">
        <f t="shared" si="16"/>
        <v>1.5658251118060629E-2</v>
      </c>
      <c r="AA99" s="40">
        <f t="shared" si="17"/>
        <v>1.5285674429573872E-2</v>
      </c>
      <c r="AB99" s="40">
        <f t="shared" si="18"/>
        <v>5.6074574195939954E-2</v>
      </c>
      <c r="AC99" s="78">
        <v>38.020000457763672</v>
      </c>
      <c r="AD99" s="40">
        <f t="shared" si="9"/>
        <v>-0.28048900806888871</v>
      </c>
    </row>
    <row r="100" spans="2:30" ht="13.95" customHeight="1" x14ac:dyDescent="0.3">
      <c r="B100" s="77">
        <v>41090</v>
      </c>
      <c r="C100" s="107">
        <f t="shared" si="0"/>
        <v>1</v>
      </c>
      <c r="D100" s="107">
        <f t="shared" si="10"/>
        <v>1</v>
      </c>
      <c r="E100" s="106">
        <v>2.1334896664629559</v>
      </c>
      <c r="F100" s="106">
        <v>1.721124167793942</v>
      </c>
      <c r="G100" s="106">
        <v>0.9126298236882352</v>
      </c>
      <c r="H100" s="106">
        <v>1.3966308783830701</v>
      </c>
      <c r="I100" s="106">
        <v>0.94857009679455129</v>
      </c>
      <c r="J100" s="106">
        <v>1.0007135730564289</v>
      </c>
      <c r="K100" s="106">
        <v>1.4670106455581731</v>
      </c>
      <c r="L100" s="106">
        <v>1.5679686673337949</v>
      </c>
      <c r="M100" s="40">
        <f t="shared" si="1"/>
        <v>1.9706427123504174E-2</v>
      </c>
      <c r="N100" s="40">
        <f t="shared" si="2"/>
        <v>-7.6144318320826063E-2</v>
      </c>
      <c r="O100" s="40">
        <f t="shared" si="3"/>
        <v>-0.31450251820779329</v>
      </c>
      <c r="P100" s="40">
        <f t="shared" si="4"/>
        <v>-0.14298865373696476</v>
      </c>
      <c r="Q100" s="40">
        <f t="shared" si="5"/>
        <v>-0.33231677357882289</v>
      </c>
      <c r="R100" s="40">
        <f t="shared" si="6"/>
        <v>0.47234713525915289</v>
      </c>
      <c r="S100" s="40">
        <f t="shared" si="7"/>
        <v>-0.14180962724109017</v>
      </c>
      <c r="T100" s="40">
        <f t="shared" si="8"/>
        <v>-0.13860099849722748</v>
      </c>
      <c r="U100" s="40">
        <f t="shared" si="11"/>
        <v>0.10105030111433512</v>
      </c>
      <c r="V100" s="40">
        <f t="shared" si="12"/>
        <v>7.0074290574249576E-2</v>
      </c>
      <c r="W100" s="40">
        <f t="shared" si="13"/>
        <v>-3.6924250861557713E-2</v>
      </c>
      <c r="X100" s="40">
        <f t="shared" si="14"/>
        <v>-2.4700033978932338E-2</v>
      </c>
      <c r="Y100" s="40">
        <f t="shared" si="15"/>
        <v>-3.1781056856289736E-2</v>
      </c>
      <c r="Z100" s="40">
        <f t="shared" si="16"/>
        <v>3.5307084145716205E-2</v>
      </c>
      <c r="AA100" s="40">
        <f t="shared" si="17"/>
        <v>2.2166479561872509E-3</v>
      </c>
      <c r="AB100" s="40">
        <f t="shared" si="18"/>
        <v>4.4278352251612141E-2</v>
      </c>
      <c r="AC100" s="78">
        <v>40.180000305175781</v>
      </c>
      <c r="AD100" s="40">
        <f t="shared" si="9"/>
        <v>-0.16165990723379869</v>
      </c>
    </row>
    <row r="101" spans="2:30" ht="13.95" customHeight="1" x14ac:dyDescent="0.3">
      <c r="B101" s="77">
        <v>41121</v>
      </c>
      <c r="C101" s="107">
        <f t="shared" si="0"/>
        <v>1</v>
      </c>
      <c r="D101" s="107">
        <f t="shared" si="10"/>
        <v>1</v>
      </c>
      <c r="E101" s="106">
        <v>2.125921323784469</v>
      </c>
      <c r="F101" s="106">
        <v>1.6950021160964699</v>
      </c>
      <c r="G101" s="106">
        <v>0.87596971725655481</v>
      </c>
      <c r="H101" s="106">
        <v>1.3149943811359019</v>
      </c>
      <c r="I101" s="106">
        <v>0.90905078231288561</v>
      </c>
      <c r="J101" s="106">
        <v>1.026031750118078</v>
      </c>
      <c r="K101" s="106">
        <v>1.413334641210088</v>
      </c>
      <c r="L101" s="106">
        <v>1.537141970580282</v>
      </c>
      <c r="M101" s="40">
        <f t="shared" si="1"/>
        <v>1.8996807960544156E-2</v>
      </c>
      <c r="N101" s="40">
        <f t="shared" si="2"/>
        <v>-8.1237652737105717E-2</v>
      </c>
      <c r="O101" s="40">
        <f t="shared" si="3"/>
        <v>-0.35072487060366636</v>
      </c>
      <c r="P101" s="40">
        <f t="shared" si="4"/>
        <v>-0.20134455454403369</v>
      </c>
      <c r="Q101" s="40">
        <f t="shared" si="5"/>
        <v>-0.36914450810302879</v>
      </c>
      <c r="R101" s="40">
        <f t="shared" si="6"/>
        <v>0.45690427447293558</v>
      </c>
      <c r="S101" s="40">
        <f t="shared" si="7"/>
        <v>-0.1754294176433642</v>
      </c>
      <c r="T101" s="40">
        <f t="shared" si="8"/>
        <v>-0.15301270821988081</v>
      </c>
      <c r="U101" s="40">
        <f t="shared" si="11"/>
        <v>9.6036847341110829E-2</v>
      </c>
      <c r="V101" s="40">
        <f t="shared" si="12"/>
        <v>6.1283534286142083E-2</v>
      </c>
      <c r="W101" s="40">
        <f t="shared" si="13"/>
        <v>-4.3871766841138193E-2</v>
      </c>
      <c r="X101" s="40">
        <f t="shared" si="14"/>
        <v>-3.8279129691284733E-2</v>
      </c>
      <c r="Y101" s="40">
        <f t="shared" si="15"/>
        <v>-4.0091350745586653E-2</v>
      </c>
      <c r="Z101" s="40">
        <f t="shared" si="16"/>
        <v>5.4794567537069128E-2</v>
      </c>
      <c r="AA101" s="40">
        <f t="shared" si="17"/>
        <v>-7.7952823473717361E-3</v>
      </c>
      <c r="AB101" s="40">
        <f t="shared" si="18"/>
        <v>3.6064769236819609E-2</v>
      </c>
      <c r="AC101" s="78">
        <v>42.930000305175781</v>
      </c>
      <c r="AD101" s="40">
        <f t="shared" si="9"/>
        <v>-0.13489897857599478</v>
      </c>
    </row>
    <row r="102" spans="2:30" ht="13.95" customHeight="1" x14ac:dyDescent="0.3">
      <c r="B102" s="77">
        <v>41152</v>
      </c>
      <c r="C102" s="107">
        <f t="shared" si="0"/>
        <v>1</v>
      </c>
      <c r="D102" s="107">
        <f t="shared" si="10"/>
        <v>1</v>
      </c>
      <c r="E102" s="106">
        <v>2.1086391705292562</v>
      </c>
      <c r="F102" s="106">
        <v>1.67642871953397</v>
      </c>
      <c r="G102" s="106">
        <v>0.79279440839947679</v>
      </c>
      <c r="H102" s="106">
        <v>1.244766011877557</v>
      </c>
      <c r="I102" s="106">
        <v>0.820968329425527</v>
      </c>
      <c r="J102" s="106">
        <v>1.0215397919989431</v>
      </c>
      <c r="K102" s="106">
        <v>1.3467817533543169</v>
      </c>
      <c r="L102" s="106">
        <v>1.4717369096414681</v>
      </c>
      <c r="M102" s="40">
        <f t="shared" si="1"/>
        <v>1.7809643143855403E-2</v>
      </c>
      <c r="N102" s="40">
        <f t="shared" si="2"/>
        <v>-8.3347558953239961E-2</v>
      </c>
      <c r="O102" s="40">
        <f t="shared" si="3"/>
        <v>-0.45073941580230947</v>
      </c>
      <c r="P102" s="40">
        <f t="shared" si="4"/>
        <v>-0.2368242930866177</v>
      </c>
      <c r="Q102" s="40">
        <f t="shared" si="5"/>
        <v>-0.47004834115131794</v>
      </c>
      <c r="R102" s="40">
        <f t="shared" si="6"/>
        <v>0.39651859544633949</v>
      </c>
      <c r="S102" s="40">
        <f t="shared" si="7"/>
        <v>-0.21160852709226949</v>
      </c>
      <c r="T102" s="40">
        <f t="shared" si="8"/>
        <v>-0.19178230346675945</v>
      </c>
      <c r="U102" s="40">
        <f t="shared" si="11"/>
        <v>9.6612295552533645E-2</v>
      </c>
      <c r="V102" s="40">
        <f t="shared" si="12"/>
        <v>5.6579905141082097E-2</v>
      </c>
      <c r="W102" s="40">
        <f t="shared" si="13"/>
        <v>-6.6075874569061929E-2</v>
      </c>
      <c r="X102" s="40">
        <f t="shared" si="14"/>
        <v>-5.555288843425573E-2</v>
      </c>
      <c r="Y102" s="40">
        <f t="shared" si="15"/>
        <v>-6.1810214662461713E-2</v>
      </c>
      <c r="Z102" s="40">
        <f t="shared" si="16"/>
        <v>4.6054820627394362E-2</v>
      </c>
      <c r="AA102" s="40">
        <f t="shared" si="17"/>
        <v>-2.1503728847813756E-2</v>
      </c>
      <c r="AB102" s="40">
        <f t="shared" si="18"/>
        <v>2.5763745009092679E-2</v>
      </c>
      <c r="AC102" s="78">
        <v>43.529998779296882</v>
      </c>
      <c r="AD102" s="40">
        <f t="shared" si="9"/>
        <v>-0.12791612239383593</v>
      </c>
    </row>
    <row r="103" spans="2:30" ht="13.95" customHeight="1" x14ac:dyDescent="0.3">
      <c r="B103" s="77">
        <v>41182</v>
      </c>
      <c r="C103" s="107">
        <f t="shared" si="0"/>
        <v>1</v>
      </c>
      <c r="D103" s="107">
        <f t="shared" si="10"/>
        <v>1</v>
      </c>
      <c r="E103" s="106">
        <v>2.1293828291092489</v>
      </c>
      <c r="F103" s="106">
        <v>1.592349579503884</v>
      </c>
      <c r="G103" s="106">
        <v>0.77781411743665141</v>
      </c>
      <c r="H103" s="106">
        <v>1.193568976599332</v>
      </c>
      <c r="I103" s="106">
        <v>0.80562358624812724</v>
      </c>
      <c r="J103" s="106">
        <v>0.99535080600080827</v>
      </c>
      <c r="K103" s="106">
        <v>1.3111743992630509</v>
      </c>
      <c r="L103" s="106">
        <v>1.450025010597491</v>
      </c>
      <c r="M103" s="40">
        <f t="shared" si="1"/>
        <v>1.4855069656278573E-2</v>
      </c>
      <c r="N103" s="40">
        <f t="shared" si="2"/>
        <v>-0.1073948329714965</v>
      </c>
      <c r="O103" s="40">
        <f t="shared" si="3"/>
        <v>-0.47721573056305361</v>
      </c>
      <c r="P103" s="40">
        <f t="shared" si="4"/>
        <v>-0.2948916026281535</v>
      </c>
      <c r="Q103" s="40">
        <f t="shared" si="5"/>
        <v>-0.49509319823311854</v>
      </c>
      <c r="R103" s="40">
        <f t="shared" si="6"/>
        <v>0.30858637765446156</v>
      </c>
      <c r="S103" s="40">
        <f t="shared" si="7"/>
        <v>-0.24678110077176296</v>
      </c>
      <c r="T103" s="40">
        <f t="shared" si="8"/>
        <v>-0.20769675061305626</v>
      </c>
      <c r="U103" s="40">
        <f t="shared" si="11"/>
        <v>9.4777864543176479E-2</v>
      </c>
      <c r="V103" s="40">
        <f t="shared" si="12"/>
        <v>4.4872116786349496E-2</v>
      </c>
      <c r="W103" s="40">
        <f t="shared" si="13"/>
        <v>-7.75369026613692E-2</v>
      </c>
      <c r="X103" s="40">
        <f t="shared" si="14"/>
        <v>-7.2011375602784491E-2</v>
      </c>
      <c r="Y103" s="40">
        <f t="shared" si="15"/>
        <v>-7.2542188139701272E-2</v>
      </c>
      <c r="Z103" s="40">
        <f t="shared" si="16"/>
        <v>2.5126952107886413E-2</v>
      </c>
      <c r="AA103" s="40">
        <f t="shared" si="17"/>
        <v>-3.2859716348818721E-2</v>
      </c>
      <c r="AB103" s="40">
        <f t="shared" si="18"/>
        <v>1.9278491547508398E-2</v>
      </c>
      <c r="AC103" s="78">
        <v>44.209999084472663</v>
      </c>
      <c r="AD103" s="40">
        <f t="shared" si="9"/>
        <v>5.7491045268065519E-2</v>
      </c>
    </row>
    <row r="104" spans="2:30" ht="13.95" customHeight="1" x14ac:dyDescent="0.3">
      <c r="B104" s="77">
        <v>41213</v>
      </c>
      <c r="C104" s="107">
        <f t="shared" si="0"/>
        <v>1</v>
      </c>
      <c r="D104" s="107">
        <f t="shared" si="10"/>
        <v>1</v>
      </c>
      <c r="E104" s="106">
        <v>2.1117600028135479</v>
      </c>
      <c r="F104" s="106">
        <v>1.607694841135842</v>
      </c>
      <c r="G104" s="106">
        <v>0.76669457951183895</v>
      </c>
      <c r="H104" s="106">
        <v>1.1416835566350509</v>
      </c>
      <c r="I104" s="106">
        <v>0.79330886091512243</v>
      </c>
      <c r="J104" s="106">
        <v>1.0130914695480251</v>
      </c>
      <c r="K104" s="106">
        <v>1.281436408620461</v>
      </c>
      <c r="L104" s="106">
        <v>1.440537797217015</v>
      </c>
      <c r="M104" s="40">
        <f t="shared" si="1"/>
        <v>5.0580406056553485E-3</v>
      </c>
      <c r="N104" s="40">
        <f t="shared" si="2"/>
        <v>-9.0637513083318896E-2</v>
      </c>
      <c r="O104" s="40">
        <f t="shared" si="3"/>
        <v>-0.45100992326539541</v>
      </c>
      <c r="P104" s="40">
        <f t="shared" si="4"/>
        <v>-0.3184777961100444</v>
      </c>
      <c r="Q104" s="40">
        <f t="shared" si="5"/>
        <v>-0.4672519444203585</v>
      </c>
      <c r="R104" s="40">
        <f t="shared" si="6"/>
        <v>0.27164336088581531</v>
      </c>
      <c r="S104" s="40">
        <f t="shared" si="7"/>
        <v>-0.25124667213966922</v>
      </c>
      <c r="T104" s="40">
        <f t="shared" si="8"/>
        <v>-0.19810622871273617</v>
      </c>
      <c r="U104" s="40">
        <f t="shared" si="11"/>
        <v>0.10572306940119931</v>
      </c>
      <c r="V104" s="40">
        <f t="shared" si="12"/>
        <v>5.1346947905682255E-2</v>
      </c>
      <c r="W104" s="40">
        <f t="shared" si="13"/>
        <v>-7.772153194443647E-2</v>
      </c>
      <c r="X104" s="40">
        <f t="shared" si="14"/>
        <v>-6.8889265384986992E-2</v>
      </c>
      <c r="Y104" s="40">
        <f t="shared" si="15"/>
        <v>-6.7893303900200583E-2</v>
      </c>
      <c r="Z104" s="40">
        <f t="shared" si="16"/>
        <v>-1.7774707598127205E-2</v>
      </c>
      <c r="AA104" s="40">
        <f t="shared" si="17"/>
        <v>-2.7017280764790017E-2</v>
      </c>
      <c r="AB104" s="40">
        <f t="shared" si="18"/>
        <v>2.5423464969750145E-2</v>
      </c>
      <c r="AC104" s="78">
        <v>42.349998474121087</v>
      </c>
      <c r="AD104" s="40">
        <f t="shared" si="9"/>
        <v>-5.4899608510140099E-2</v>
      </c>
    </row>
    <row r="105" spans="2:30" ht="13.95" customHeight="1" x14ac:dyDescent="0.3">
      <c r="B105" s="77">
        <v>41243</v>
      </c>
      <c r="C105" s="107">
        <f t="shared" si="0"/>
        <v>1</v>
      </c>
      <c r="D105" s="107">
        <f t="shared" si="10"/>
        <v>1</v>
      </c>
      <c r="E105" s="106">
        <v>2.1092782741055092</v>
      </c>
      <c r="F105" s="106">
        <v>1.5044283027542</v>
      </c>
      <c r="G105" s="106">
        <v>0.75168753831602497</v>
      </c>
      <c r="H105" s="106">
        <v>1.110234013712716</v>
      </c>
      <c r="I105" s="106">
        <v>0.77644609821031607</v>
      </c>
      <c r="J105" s="106">
        <v>1.0480023382601029</v>
      </c>
      <c r="K105" s="106">
        <v>1.250167486934521</v>
      </c>
      <c r="L105" s="106">
        <v>1.408758700116326</v>
      </c>
      <c r="M105" s="40">
        <f t="shared" si="1"/>
        <v>-4.8312189909957949E-3</v>
      </c>
      <c r="N105" s="40">
        <f t="shared" si="2"/>
        <v>-0.15112846049633763</v>
      </c>
      <c r="O105" s="40">
        <f t="shared" si="3"/>
        <v>-0.46477939333457469</v>
      </c>
      <c r="P105" s="40">
        <f t="shared" si="4"/>
        <v>-0.35898202652836814</v>
      </c>
      <c r="Q105" s="40">
        <f t="shared" si="5"/>
        <v>-0.48190183914842788</v>
      </c>
      <c r="R105" s="40">
        <f t="shared" si="6"/>
        <v>0.28315749462618239</v>
      </c>
      <c r="S105" s="40">
        <f t="shared" si="7"/>
        <v>-0.28209282936724983</v>
      </c>
      <c r="T105" s="40">
        <f t="shared" si="8"/>
        <v>-0.22018195572693253</v>
      </c>
      <c r="U105" s="40">
        <f t="shared" si="11"/>
        <v>0.10993548262995656</v>
      </c>
      <c r="V105" s="40">
        <f t="shared" si="12"/>
        <v>4.2140096313249165E-2</v>
      </c>
      <c r="W105" s="40">
        <f t="shared" si="13"/>
        <v>-7.4044168084985609E-2</v>
      </c>
      <c r="X105" s="40">
        <f t="shared" si="14"/>
        <v>-5.7249955211630885E-2</v>
      </c>
      <c r="Y105" s="40">
        <f t="shared" si="15"/>
        <v>-6.3810744603862241E-2</v>
      </c>
      <c r="Z105" s="40">
        <f t="shared" si="16"/>
        <v>-8.6103159113101926E-3</v>
      </c>
      <c r="AA105" s="40">
        <f t="shared" si="17"/>
        <v>-1.9782061532228876E-2</v>
      </c>
      <c r="AB105" s="40">
        <f t="shared" si="18"/>
        <v>2.6209620777591997E-2</v>
      </c>
      <c r="AC105" s="78">
        <v>42.479999542236328</v>
      </c>
      <c r="AD105" s="40">
        <f t="shared" si="9"/>
        <v>-3.1741317862794334E-2</v>
      </c>
    </row>
    <row r="106" spans="2:30" ht="13.95" customHeight="1" x14ac:dyDescent="0.3">
      <c r="B106" s="77">
        <v>41274</v>
      </c>
      <c r="C106" s="107">
        <f t="shared" si="0"/>
        <v>1</v>
      </c>
      <c r="D106" s="107">
        <f t="shared" si="10"/>
        <v>1</v>
      </c>
      <c r="E106" s="106">
        <v>2.1559125159279802</v>
      </c>
      <c r="F106" s="106">
        <v>1.539464042381238</v>
      </c>
      <c r="G106" s="106">
        <v>0.75704679721428092</v>
      </c>
      <c r="H106" s="106">
        <v>1.155957728266247</v>
      </c>
      <c r="I106" s="106">
        <v>0.78435113864216033</v>
      </c>
      <c r="J106" s="106">
        <v>0.96020681876005065</v>
      </c>
      <c r="K106" s="106">
        <v>1.2840896457831721</v>
      </c>
      <c r="L106" s="106">
        <v>1.432346170379647</v>
      </c>
      <c r="M106" s="40">
        <f t="shared" si="1"/>
        <v>5.3318075733412608E-3</v>
      </c>
      <c r="N106" s="40">
        <f t="shared" si="2"/>
        <v>-0.15053513933003679</v>
      </c>
      <c r="O106" s="40">
        <f t="shared" si="3"/>
        <v>-0.468293386503079</v>
      </c>
      <c r="P106" s="40">
        <f t="shared" si="4"/>
        <v>-0.28709928726093059</v>
      </c>
      <c r="Q106" s="40">
        <f t="shared" si="5"/>
        <v>-0.48206472225591201</v>
      </c>
      <c r="R106" s="40">
        <f t="shared" si="6"/>
        <v>0.17378214833610262</v>
      </c>
      <c r="S106" s="40">
        <f t="shared" si="7"/>
        <v>-0.24708932738294165</v>
      </c>
      <c r="T106" s="40">
        <f t="shared" si="8"/>
        <v>-0.2174863905245088</v>
      </c>
      <c r="U106" s="40">
        <f t="shared" si="11"/>
        <v>0.12797569047706883</v>
      </c>
      <c r="V106" s="40">
        <f t="shared" si="12"/>
        <v>4.9183705662873833E-2</v>
      </c>
      <c r="W106" s="40">
        <f t="shared" si="13"/>
        <v>-7.2049154026931322E-2</v>
      </c>
      <c r="X106" s="40">
        <f t="shared" si="14"/>
        <v>-2.5243027105149755E-2</v>
      </c>
      <c r="Y106" s="40">
        <f t="shared" si="15"/>
        <v>-5.8436072225399531E-2</v>
      </c>
      <c r="Z106" s="40">
        <f t="shared" si="16"/>
        <v>-4.9906179749275456E-2</v>
      </c>
      <c r="AA106" s="40">
        <f t="shared" si="17"/>
        <v>1.7957888091016101E-3</v>
      </c>
      <c r="AB106" s="40">
        <f t="shared" si="18"/>
        <v>3.6249992778536862E-2</v>
      </c>
      <c r="AC106" s="78">
        <v>41.349998474121087</v>
      </c>
      <c r="AD106" s="40">
        <f t="shared" si="9"/>
        <v>-2.1295294566281115E-2</v>
      </c>
    </row>
    <row r="107" spans="2:30" ht="13.95" customHeight="1" x14ac:dyDescent="0.3">
      <c r="B107" s="77">
        <v>41305</v>
      </c>
      <c r="C107" s="107">
        <f t="shared" si="0"/>
        <v>1</v>
      </c>
      <c r="D107" s="107">
        <f t="shared" si="10"/>
        <v>1</v>
      </c>
      <c r="E107" s="106">
        <v>2.141921718219471</v>
      </c>
      <c r="F107" s="106">
        <v>1.4783180499312349</v>
      </c>
      <c r="G107" s="106">
        <v>0.98612428199011104</v>
      </c>
      <c r="H107" s="106">
        <v>1.1140319658058311</v>
      </c>
      <c r="I107" s="106">
        <v>1.028401857733241</v>
      </c>
      <c r="J107" s="106">
        <v>0.97976453969109478</v>
      </c>
      <c r="K107" s="106">
        <v>1.3360292350486771</v>
      </c>
      <c r="L107" s="106">
        <v>1.57565988832045</v>
      </c>
      <c r="M107" s="40">
        <f t="shared" si="1"/>
        <v>-4.1957344859422947E-3</v>
      </c>
      <c r="N107" s="40">
        <f t="shared" si="2"/>
        <v>-0.20912025040521137</v>
      </c>
      <c r="O107" s="40">
        <f t="shared" si="3"/>
        <v>-0.16368251998785002</v>
      </c>
      <c r="P107" s="40">
        <f t="shared" si="4"/>
        <v>-0.30195212995986204</v>
      </c>
      <c r="Q107" s="40">
        <f t="shared" si="5"/>
        <v>-0.16965159847074798</v>
      </c>
      <c r="R107" s="40">
        <f t="shared" si="6"/>
        <v>0.16485683877669963</v>
      </c>
      <c r="S107" s="40">
        <f t="shared" si="7"/>
        <v>-0.19019425184482391</v>
      </c>
      <c r="T107" s="40">
        <f t="shared" si="8"/>
        <v>-0.10875342344295257</v>
      </c>
      <c r="U107" s="40">
        <f t="shared" si="11"/>
        <v>0.13411959164393056</v>
      </c>
      <c r="V107" s="40">
        <f t="shared" si="12"/>
        <v>2.7785310370238514E-2</v>
      </c>
      <c r="W107" s="40">
        <f t="shared" si="13"/>
        <v>1.1856453747474205E-3</v>
      </c>
      <c r="X107" s="40">
        <f t="shared" si="14"/>
        <v>8.956547854953096E-4</v>
      </c>
      <c r="Y107" s="40">
        <f t="shared" si="15"/>
        <v>1.6591531656108049E-2</v>
      </c>
      <c r="Z107" s="40">
        <f t="shared" si="16"/>
        <v>-3.9209142692323132E-2</v>
      </c>
      <c r="AA107" s="40">
        <f t="shared" si="17"/>
        <v>3.3294588935846629E-2</v>
      </c>
      <c r="AB107" s="40">
        <f t="shared" si="18"/>
        <v>6.1819079449524084E-2</v>
      </c>
      <c r="AC107" s="78">
        <v>42.299999237060547</v>
      </c>
      <c r="AD107" s="40">
        <f t="shared" si="9"/>
        <v>-1.6413047677724044E-2</v>
      </c>
    </row>
    <row r="108" spans="2:30" ht="13.95" customHeight="1" x14ac:dyDescent="0.3">
      <c r="B108" s="77">
        <v>41333</v>
      </c>
      <c r="C108" s="107">
        <f t="shared" ref="C108:C171" si="19">IF(B108&gt;=EBStart,1,0)</f>
        <v>1</v>
      </c>
      <c r="D108" s="107">
        <f t="shared" si="10"/>
        <v>1</v>
      </c>
      <c r="E108" s="106">
        <v>2.1739183347670279</v>
      </c>
      <c r="F108" s="106">
        <v>1.527540105930693</v>
      </c>
      <c r="G108" s="106">
        <v>0.81477378155217339</v>
      </c>
      <c r="H108" s="106">
        <v>1.059918037338655</v>
      </c>
      <c r="I108" s="106">
        <v>0.84459192973973496</v>
      </c>
      <c r="J108" s="106">
        <v>0.98656796348598141</v>
      </c>
      <c r="K108" s="106">
        <v>1.2621004234706841</v>
      </c>
      <c r="L108" s="106">
        <v>1.4817655020476961</v>
      </c>
      <c r="M108" s="40">
        <f t="shared" ref="M108:M171" si="20">LN(E108/E96)</f>
        <v>-3.5616427354417268E-4</v>
      </c>
      <c r="N108" s="40">
        <f t="shared" ref="N108:N171" si="21">LN(F108/F96)</f>
        <v>-0.13799404187244663</v>
      </c>
      <c r="O108" s="40">
        <f t="shared" ref="O108:O171" si="22">LN(G108/G96)</f>
        <v>-0.33083460769279338</v>
      </c>
      <c r="P108" s="40">
        <f t="shared" ref="P108:P171" si="23">LN(H108/H96)</f>
        <v>-0.31112221252755079</v>
      </c>
      <c r="Q108" s="40">
        <f t="shared" ref="Q108:Q171" si="24">LN(I108/I96)</f>
        <v>-0.34312727319265252</v>
      </c>
      <c r="R108" s="40">
        <f t="shared" ref="R108:R171" si="25">LN(J108/J96)</f>
        <v>0.21042467903634926</v>
      </c>
      <c r="S108" s="40">
        <f t="shared" ref="S108:S171" si="26">LN(K108/K96)</f>
        <v>-0.22099013718503085</v>
      </c>
      <c r="T108" s="40">
        <f t="shared" ref="T108:T171" si="27">LN(L108/L96)</f>
        <v>-0.1554371731753153</v>
      </c>
      <c r="U108" s="40">
        <f t="shared" si="11"/>
        <v>0.14042185234570101</v>
      </c>
      <c r="V108" s="40">
        <f t="shared" si="12"/>
        <v>2.8295501055488281E-2</v>
      </c>
      <c r="W108" s="40">
        <f t="shared" si="13"/>
        <v>-3.752740348820343E-2</v>
      </c>
      <c r="X108" s="40">
        <f t="shared" si="14"/>
        <v>-3.7774163177585534E-3</v>
      </c>
      <c r="Y108" s="40">
        <f t="shared" si="15"/>
        <v>-2.5099641221547501E-2</v>
      </c>
      <c r="Z108" s="40">
        <f t="shared" si="16"/>
        <v>-1.2813008962938457E-2</v>
      </c>
      <c r="AA108" s="40">
        <f t="shared" si="17"/>
        <v>2.3811078346227608E-2</v>
      </c>
      <c r="AB108" s="40">
        <f t="shared" si="18"/>
        <v>4.7274802102078926E-2</v>
      </c>
      <c r="AC108" s="78">
        <v>40.360000610351563</v>
      </c>
      <c r="AD108" s="40">
        <f t="shared" ref="AD108:AD171" si="28">LN(AC108/AC96)</f>
        <v>-9.1337992426433451E-2</v>
      </c>
    </row>
    <row r="109" spans="2:30" ht="13.95" customHeight="1" x14ac:dyDescent="0.3">
      <c r="B109" s="77">
        <v>41364</v>
      </c>
      <c r="C109" s="107">
        <f t="shared" si="19"/>
        <v>1</v>
      </c>
      <c r="D109" s="107">
        <f t="shared" si="10"/>
        <v>1</v>
      </c>
      <c r="E109" s="106">
        <v>2.205593179614878</v>
      </c>
      <c r="F109" s="106">
        <v>1.606178325485635</v>
      </c>
      <c r="G109" s="106">
        <v>0.72509712098625856</v>
      </c>
      <c r="H109" s="106">
        <v>1.096875797206051</v>
      </c>
      <c r="I109" s="106">
        <v>0.74797536275342236</v>
      </c>
      <c r="J109" s="106">
        <v>0.99934914330492641</v>
      </c>
      <c r="K109" s="106">
        <v>1.262912887843531</v>
      </c>
      <c r="L109" s="106">
        <v>1.4509382269634761</v>
      </c>
      <c r="M109" s="40">
        <f t="shared" si="20"/>
        <v>-3.1953195971708803E-3</v>
      </c>
      <c r="N109" s="40">
        <f t="shared" si="21"/>
        <v>-5.6134157834659394E-2</v>
      </c>
      <c r="O109" s="40">
        <f t="shared" si="22"/>
        <v>-0.46123336991980241</v>
      </c>
      <c r="P109" s="40">
        <f t="shared" si="23"/>
        <v>-0.26855324583019463</v>
      </c>
      <c r="Q109" s="40">
        <f t="shared" si="24"/>
        <v>-0.47752690137773002</v>
      </c>
      <c r="R109" s="40">
        <f t="shared" si="25"/>
        <v>0.16479960756047465</v>
      </c>
      <c r="S109" s="40">
        <f t="shared" si="26"/>
        <v>-0.21987673272452501</v>
      </c>
      <c r="T109" s="40">
        <f t="shared" si="27"/>
        <v>-0.18202626488453522</v>
      </c>
      <c r="U109" s="40">
        <f t="shared" si="11"/>
        <v>0.14245665274817618</v>
      </c>
      <c r="V109" s="40">
        <f t="shared" si="12"/>
        <v>4.4524327170424878E-2</v>
      </c>
      <c r="W109" s="40">
        <f t="shared" si="13"/>
        <v>-6.5683823960948184E-2</v>
      </c>
      <c r="X109" s="40">
        <f t="shared" si="14"/>
        <v>4.4578417612686626E-2</v>
      </c>
      <c r="Y109" s="40">
        <f t="shared" si="15"/>
        <v>-5.6064477073850781E-2</v>
      </c>
      <c r="Z109" s="40">
        <f t="shared" si="16"/>
        <v>1.0024664802176817E-2</v>
      </c>
      <c r="AA109" s="40">
        <f t="shared" si="17"/>
        <v>4.6351288319091508E-2</v>
      </c>
      <c r="AB109" s="40">
        <f t="shared" si="18"/>
        <v>4.3025073243980812E-2</v>
      </c>
      <c r="AC109" s="78">
        <v>40.619998931884773</v>
      </c>
      <c r="AD109" s="40">
        <f t="shared" si="28"/>
        <v>-4.0999250481961146E-2</v>
      </c>
    </row>
    <row r="110" spans="2:30" ht="13.95" customHeight="1" x14ac:dyDescent="0.3">
      <c r="B110" s="77">
        <v>41394</v>
      </c>
      <c r="C110" s="107">
        <f t="shared" si="19"/>
        <v>1</v>
      </c>
      <c r="D110" s="107">
        <f t="shared" si="10"/>
        <v>1</v>
      </c>
      <c r="E110" s="106">
        <v>2.2399962938174349</v>
      </c>
      <c r="F110" s="106">
        <v>1.5676743761492939</v>
      </c>
      <c r="G110" s="106">
        <v>0.69564649835330672</v>
      </c>
      <c r="H110" s="106">
        <v>1.154919122445339</v>
      </c>
      <c r="I110" s="106">
        <v>0.71588855360088788</v>
      </c>
      <c r="J110" s="106">
        <v>1.0181265275593221</v>
      </c>
      <c r="K110" s="106">
        <v>1.2787740486956609</v>
      </c>
      <c r="L110" s="106">
        <v>1.430450618177131</v>
      </c>
      <c r="M110" s="40">
        <f t="shared" si="20"/>
        <v>1.7035543271078393E-2</v>
      </c>
      <c r="N110" s="40">
        <f t="shared" si="21"/>
        <v>-6.4267472568521153E-2</v>
      </c>
      <c r="O110" s="40">
        <f t="shared" si="22"/>
        <v>-0.48821289139606161</v>
      </c>
      <c r="P110" s="40">
        <f t="shared" si="23"/>
        <v>-0.21929218407570616</v>
      </c>
      <c r="Q110" s="40">
        <f t="shared" si="24"/>
        <v>-0.50451475357044739</v>
      </c>
      <c r="R110" s="40">
        <f t="shared" si="25"/>
        <v>8.9388651488262943E-2</v>
      </c>
      <c r="S110" s="40">
        <f t="shared" si="26"/>
        <v>-0.20217435778534557</v>
      </c>
      <c r="T110" s="40">
        <f t="shared" si="27"/>
        <v>-0.18502721946071088</v>
      </c>
      <c r="U110" s="40">
        <f t="shared" si="11"/>
        <v>0.14327744479306223</v>
      </c>
      <c r="V110" s="40">
        <f t="shared" si="12"/>
        <v>3.3678157675282941E-2</v>
      </c>
      <c r="W110" s="40">
        <f t="shared" si="13"/>
        <v>-7.3744520548208237E-2</v>
      </c>
      <c r="X110" s="40">
        <f t="shared" si="14"/>
        <v>6.0316424916768308E-2</v>
      </c>
      <c r="Y110" s="40">
        <f t="shared" si="15"/>
        <v>-6.7682005460355188E-2</v>
      </c>
      <c r="Z110" s="40">
        <f t="shared" si="16"/>
        <v>5.5925025002501433E-2</v>
      </c>
      <c r="AA110" s="40">
        <f t="shared" si="17"/>
        <v>4.9837452635050399E-2</v>
      </c>
      <c r="AB110" s="40">
        <f t="shared" si="18"/>
        <v>3.7188226382714816E-2</v>
      </c>
      <c r="AC110" s="78">
        <v>39.470001220703118</v>
      </c>
      <c r="AD110" s="40">
        <f t="shared" si="28"/>
        <v>-6.4981741304792631E-2</v>
      </c>
    </row>
    <row r="111" spans="2:30" ht="13.95" customHeight="1" x14ac:dyDescent="0.3">
      <c r="B111" s="77">
        <v>41425</v>
      </c>
      <c r="C111" s="107">
        <f t="shared" si="19"/>
        <v>1</v>
      </c>
      <c r="D111" s="107">
        <f t="shared" si="10"/>
        <v>1</v>
      </c>
      <c r="E111" s="106">
        <v>2.2462195623836729</v>
      </c>
      <c r="F111" s="106">
        <v>1.5170759224273349</v>
      </c>
      <c r="G111" s="106">
        <v>0.64392914613624197</v>
      </c>
      <c r="H111" s="106">
        <v>1.1365644158326309</v>
      </c>
      <c r="I111" s="106">
        <v>0.66076042765581378</v>
      </c>
      <c r="J111" s="106">
        <v>1.007435518229195</v>
      </c>
      <c r="K111" s="106">
        <v>1.246579650614595</v>
      </c>
      <c r="L111" s="106">
        <v>1.3850015060967471</v>
      </c>
      <c r="M111" s="40">
        <f t="shared" si="20"/>
        <v>4.6791594005483293E-2</v>
      </c>
      <c r="N111" s="40">
        <f t="shared" si="21"/>
        <v>-0.12891556718748534</v>
      </c>
      <c r="O111" s="40">
        <f t="shared" si="22"/>
        <v>-0.48455557580961256</v>
      </c>
      <c r="P111" s="40">
        <f t="shared" si="23"/>
        <v>-0.24297774905385347</v>
      </c>
      <c r="Q111" s="40">
        <f t="shared" si="24"/>
        <v>-0.50110026510885197</v>
      </c>
      <c r="R111" s="40">
        <f t="shared" si="25"/>
        <v>4.5272102162050493E-2</v>
      </c>
      <c r="S111" s="40">
        <f t="shared" si="26"/>
        <v>-0.20998257008624024</v>
      </c>
      <c r="T111" s="40">
        <f t="shared" si="27"/>
        <v>-0.17914481471764743</v>
      </c>
      <c r="U111" s="40">
        <f t="shared" si="11"/>
        <v>0.12566437750334666</v>
      </c>
      <c r="V111" s="40">
        <f t="shared" si="12"/>
        <v>2.2091465104768518E-2</v>
      </c>
      <c r="W111" s="40">
        <f t="shared" si="13"/>
        <v>-8.732580062649993E-2</v>
      </c>
      <c r="X111" s="40">
        <f t="shared" si="14"/>
        <v>6.4477249235789388E-2</v>
      </c>
      <c r="Y111" s="40">
        <f t="shared" si="15"/>
        <v>-8.4194445539116855E-2</v>
      </c>
      <c r="Z111" s="40">
        <f t="shared" si="16"/>
        <v>8.0907437806797156E-2</v>
      </c>
      <c r="AA111" s="40">
        <f t="shared" si="17"/>
        <v>4.3949807286556196E-2</v>
      </c>
      <c r="AB111" s="40">
        <f t="shared" si="18"/>
        <v>2.1521686462093396E-2</v>
      </c>
      <c r="AC111" s="78">
        <v>38.310001373291023</v>
      </c>
      <c r="AD111" s="40">
        <f t="shared" si="28"/>
        <v>7.5986454590013172E-3</v>
      </c>
    </row>
    <row r="112" spans="2:30" ht="13.95" customHeight="1" x14ac:dyDescent="0.3">
      <c r="B112" s="77">
        <v>41455</v>
      </c>
      <c r="C112" s="107">
        <f t="shared" si="19"/>
        <v>1</v>
      </c>
      <c r="D112" s="107">
        <f t="shared" ref="D112:D143" si="29">IF(B112&gt;=EBStart,1,0)</f>
        <v>1</v>
      </c>
      <c r="E112" s="106">
        <v>2.265702196567756</v>
      </c>
      <c r="F112" s="106">
        <v>1.6386108548573699</v>
      </c>
      <c r="G112" s="106">
        <v>0.64692916045661109</v>
      </c>
      <c r="H112" s="106">
        <v>1.1124148593360581</v>
      </c>
      <c r="I112" s="106">
        <v>0.66284092543742013</v>
      </c>
      <c r="J112" s="106">
        <v>1.05956552201355</v>
      </c>
      <c r="K112" s="106">
        <v>1.2545387314387439</v>
      </c>
      <c r="L112" s="106">
        <v>1.42258863989169</v>
      </c>
      <c r="M112" s="40">
        <f t="shared" si="20"/>
        <v>6.0125751281174741E-2</v>
      </c>
      <c r="N112" s="40">
        <f t="shared" si="21"/>
        <v>-4.9128820083668943E-2</v>
      </c>
      <c r="O112" s="40">
        <f t="shared" si="22"/>
        <v>-0.3440935486133026</v>
      </c>
      <c r="P112" s="40">
        <f t="shared" si="23"/>
        <v>-0.22752961967249719</v>
      </c>
      <c r="Q112" s="40">
        <f t="shared" si="24"/>
        <v>-0.35842065950176777</v>
      </c>
      <c r="R112" s="40">
        <f t="shared" si="25"/>
        <v>5.7145620621099645E-2</v>
      </c>
      <c r="S112" s="40">
        <f t="shared" si="26"/>
        <v>-0.15645879546805996</v>
      </c>
      <c r="T112" s="40">
        <f t="shared" si="27"/>
        <v>-9.7302741330454204E-2</v>
      </c>
      <c r="U112" s="40">
        <f t="shared" ref="U112:U143" si="30">LN(E112/E64)/4</f>
        <v>0.12205727841462577</v>
      </c>
      <c r="V112" s="40">
        <f t="shared" ref="V112:V143" si="31">LN(F112/F64)/4</f>
        <v>2.5574582624659791E-2</v>
      </c>
      <c r="W112" s="40">
        <f t="shared" ref="W112:W143" si="32">LN(G112/G64)/4</f>
        <v>-8.6531071110819202E-2</v>
      </c>
      <c r="X112" s="40">
        <f t="shared" ref="X112:X143" si="33">LN(H112/H64)/4</f>
        <v>6.2441385458306312E-2</v>
      </c>
      <c r="Y112" s="40">
        <f t="shared" ref="Y112:Y143" si="34">LN(I112/I64)/4</f>
        <v>-8.420295715642491E-2</v>
      </c>
      <c r="Z112" s="40">
        <f t="shared" ref="Z112:Z143" si="35">LN(J112/J64)/4</f>
        <v>9.7787798891435213E-2</v>
      </c>
      <c r="AA112" s="40">
        <f t="shared" ref="AA112:AA143" si="36">LN(K112/K64)/4</f>
        <v>4.3077028664940807E-2</v>
      </c>
      <c r="AB112" s="40">
        <f t="shared" ref="AB112:AB143" si="37">LN(L112/L64)/4</f>
        <v>2.0007334340935837E-2</v>
      </c>
      <c r="AC112" s="78">
        <v>36.490001678466797</v>
      </c>
      <c r="AD112" s="40">
        <f t="shared" si="28"/>
        <v>-9.6331070535655247E-2</v>
      </c>
    </row>
    <row r="113" spans="2:30" ht="13.95" customHeight="1" x14ac:dyDescent="0.3">
      <c r="B113" s="77">
        <v>41486</v>
      </c>
      <c r="C113" s="107">
        <f t="shared" si="19"/>
        <v>1</v>
      </c>
      <c r="D113" s="107">
        <f t="shared" si="29"/>
        <v>1</v>
      </c>
      <c r="E113" s="106">
        <v>2.281009067577771</v>
      </c>
      <c r="F113" s="106">
        <v>1.712764759276576</v>
      </c>
      <c r="G113" s="106">
        <v>0.61751220365685533</v>
      </c>
      <c r="H113" s="106">
        <v>1.068254513072727</v>
      </c>
      <c r="I113" s="106">
        <v>0.63153832552617628</v>
      </c>
      <c r="J113" s="106">
        <v>1.064377499337043</v>
      </c>
      <c r="K113" s="106">
        <v>1.234613180934339</v>
      </c>
      <c r="L113" s="106">
        <v>1.4240094948394779</v>
      </c>
      <c r="M113" s="40">
        <f t="shared" si="20"/>
        <v>7.0412646010130184E-2</v>
      </c>
      <c r="N113" s="40">
        <f t="shared" si="21"/>
        <v>1.0424893895278044E-2</v>
      </c>
      <c r="O113" s="40">
        <f t="shared" si="22"/>
        <v>-0.34963268968312583</v>
      </c>
      <c r="P113" s="40">
        <f t="shared" si="23"/>
        <v>-0.20780637245247996</v>
      </c>
      <c r="Q113" s="40">
        <f t="shared" si="24"/>
        <v>-0.36424232912948845</v>
      </c>
      <c r="R113" s="40">
        <f t="shared" si="25"/>
        <v>3.6691428801476578E-2</v>
      </c>
      <c r="S113" s="40">
        <f t="shared" si="26"/>
        <v>-0.135194198759926</v>
      </c>
      <c r="T113" s="40">
        <f t="shared" si="27"/>
        <v>-7.6448348226211799E-2</v>
      </c>
      <c r="U113" s="40">
        <f t="shared" si="30"/>
        <v>0.11993034952431057</v>
      </c>
      <c r="V113" s="40">
        <f t="shared" si="31"/>
        <v>3.2233381494798929E-2</v>
      </c>
      <c r="W113" s="40">
        <f t="shared" si="32"/>
        <v>-0.10750378794481733</v>
      </c>
      <c r="X113" s="40">
        <f t="shared" si="33"/>
        <v>6.5949548021211361E-3</v>
      </c>
      <c r="Y113" s="40">
        <f t="shared" si="34"/>
        <v>-0.10767710478117423</v>
      </c>
      <c r="Z113" s="40">
        <f t="shared" si="35"/>
        <v>0.11346915741500345</v>
      </c>
      <c r="AA113" s="40">
        <f t="shared" si="36"/>
        <v>1.3393765958824456E-2</v>
      </c>
      <c r="AB113" s="40">
        <f t="shared" si="37"/>
        <v>1.506624132697989E-2</v>
      </c>
      <c r="AC113" s="78">
        <v>37.009998321533203</v>
      </c>
      <c r="AD113" s="40">
        <f t="shared" si="28"/>
        <v>-0.14838278829879939</v>
      </c>
    </row>
    <row r="114" spans="2:30" ht="13.95" customHeight="1" x14ac:dyDescent="0.3">
      <c r="B114" s="77">
        <v>41517</v>
      </c>
      <c r="C114" s="107">
        <f t="shared" si="19"/>
        <v>1</v>
      </c>
      <c r="D114" s="107">
        <f t="shared" si="29"/>
        <v>1</v>
      </c>
      <c r="E114" s="106">
        <v>2.3302635230078241</v>
      </c>
      <c r="F114" s="106">
        <v>1.715606211639249</v>
      </c>
      <c r="G114" s="106">
        <v>0.56066200371054964</v>
      </c>
      <c r="H114" s="106">
        <v>1.0929554318940271</v>
      </c>
      <c r="I114" s="106">
        <v>0.5709214093937881</v>
      </c>
      <c r="J114" s="106">
        <v>1.082443765054143</v>
      </c>
      <c r="K114" s="106">
        <v>1.2320319655647649</v>
      </c>
      <c r="L114" s="106">
        <v>1.396738514629126</v>
      </c>
      <c r="M114" s="40">
        <f t="shared" si="20"/>
        <v>9.9938564639921013E-2</v>
      </c>
      <c r="N114" s="40">
        <f t="shared" si="21"/>
        <v>2.3100725740952472E-2</v>
      </c>
      <c r="O114" s="40">
        <f t="shared" si="22"/>
        <v>-0.34644569498964778</v>
      </c>
      <c r="P114" s="40">
        <f t="shared" si="23"/>
        <v>-0.13006213756649779</v>
      </c>
      <c r="Q114" s="40">
        <f t="shared" si="24"/>
        <v>-0.36323296970526264</v>
      </c>
      <c r="R114" s="40">
        <f t="shared" si="25"/>
        <v>5.7910141408928306E-2</v>
      </c>
      <c r="S114" s="40">
        <f t="shared" si="26"/>
        <v>-8.905304921500691E-2</v>
      </c>
      <c r="T114" s="40">
        <f t="shared" si="27"/>
        <v>-5.2303388071425566E-2</v>
      </c>
      <c r="U114" s="40">
        <f t="shared" si="30"/>
        <v>0.12075826455641815</v>
      </c>
      <c r="V114" s="40">
        <f t="shared" si="31"/>
        <v>2.8448462835372869E-2</v>
      </c>
      <c r="W114" s="40">
        <f t="shared" si="32"/>
        <v>-0.13833173245156907</v>
      </c>
      <c r="X114" s="40">
        <f t="shared" si="33"/>
        <v>1.5971338807008992E-2</v>
      </c>
      <c r="Y114" s="40">
        <f t="shared" si="34"/>
        <v>-0.14009845940694479</v>
      </c>
      <c r="Z114" s="40">
        <f t="shared" si="35"/>
        <v>0.11690963628516803</v>
      </c>
      <c r="AA114" s="40">
        <f t="shared" si="36"/>
        <v>1.248229398998354E-2</v>
      </c>
      <c r="AB114" s="40">
        <f t="shared" si="37"/>
        <v>5.3639798611576387E-3</v>
      </c>
      <c r="AC114" s="78">
        <v>38.459999084472663</v>
      </c>
      <c r="AD114" s="40">
        <f t="shared" si="28"/>
        <v>-0.12383161116543459</v>
      </c>
    </row>
    <row r="115" spans="2:30" ht="13.95" customHeight="1" x14ac:dyDescent="0.3">
      <c r="B115" s="77">
        <v>41547</v>
      </c>
      <c r="C115" s="107">
        <f t="shared" si="19"/>
        <v>1</v>
      </c>
      <c r="D115" s="107">
        <f t="shared" si="29"/>
        <v>1</v>
      </c>
      <c r="E115" s="106">
        <v>2.3434992959603851</v>
      </c>
      <c r="F115" s="106">
        <v>1.6029802004863529</v>
      </c>
      <c r="G115" s="106">
        <v>0.56981225840866601</v>
      </c>
      <c r="H115" s="106">
        <v>1.108476692996859</v>
      </c>
      <c r="I115" s="106">
        <v>0.58155133982861951</v>
      </c>
      <c r="J115" s="106">
        <v>1.031349899200519</v>
      </c>
      <c r="K115" s="106">
        <v>1.228849676870265</v>
      </c>
      <c r="L115" s="106">
        <v>1.3778319150677609</v>
      </c>
      <c r="M115" s="40">
        <f t="shared" si="20"/>
        <v>9.5813051814969089E-2</v>
      </c>
      <c r="N115" s="40">
        <f t="shared" si="21"/>
        <v>6.6538735818238003E-3</v>
      </c>
      <c r="O115" s="40">
        <f t="shared" si="22"/>
        <v>-0.31118063666720691</v>
      </c>
      <c r="P115" s="40">
        <f t="shared" si="23"/>
        <v>-7.3961234534659692E-2</v>
      </c>
      <c r="Q115" s="40">
        <f t="shared" si="24"/>
        <v>-0.32591736216608352</v>
      </c>
      <c r="R115" s="40">
        <f t="shared" si="25"/>
        <v>3.5528561043288921E-2</v>
      </c>
      <c r="S115" s="40">
        <f t="shared" si="26"/>
        <v>-6.4844713860140485E-2</v>
      </c>
      <c r="T115" s="40">
        <f t="shared" si="27"/>
        <v>-5.1069617274493849E-2</v>
      </c>
      <c r="U115" s="40">
        <f t="shared" si="30"/>
        <v>0.12417173270995398</v>
      </c>
      <c r="V115" s="40">
        <f t="shared" si="31"/>
        <v>5.3509087370827663E-4</v>
      </c>
      <c r="W115" s="40">
        <f t="shared" si="32"/>
        <v>-0.13734458032855268</v>
      </c>
      <c r="X115" s="40">
        <f t="shared" si="33"/>
        <v>3.2646121586518604E-3</v>
      </c>
      <c r="Y115" s="40">
        <f t="shared" si="34"/>
        <v>-0.13992025612301112</v>
      </c>
      <c r="Z115" s="40">
        <f t="shared" si="35"/>
        <v>0.11612444299856998</v>
      </c>
      <c r="AA115" s="40">
        <f t="shared" si="36"/>
        <v>1.2151020324854332E-3</v>
      </c>
      <c r="AB115" s="40">
        <f t="shared" si="37"/>
        <v>-2.2693454550137496E-3</v>
      </c>
      <c r="AC115" s="78">
        <v>37.259998321533203</v>
      </c>
      <c r="AD115" s="40">
        <f t="shared" si="28"/>
        <v>-0.17103066700352537</v>
      </c>
    </row>
    <row r="116" spans="2:30" ht="13.95" customHeight="1" x14ac:dyDescent="0.3">
      <c r="B116" s="77">
        <v>41578</v>
      </c>
      <c r="C116" s="107">
        <f t="shared" si="19"/>
        <v>1</v>
      </c>
      <c r="D116" s="107">
        <f t="shared" si="29"/>
        <v>1</v>
      </c>
      <c r="E116" s="106">
        <v>2.3580496809811762</v>
      </c>
      <c r="F116" s="106">
        <v>1.5254364994260661</v>
      </c>
      <c r="G116" s="106">
        <v>0.56387713764234526</v>
      </c>
      <c r="H116" s="106">
        <v>1.093355350263681</v>
      </c>
      <c r="I116" s="106">
        <v>0.57593513325292822</v>
      </c>
      <c r="J116" s="106">
        <v>0.99892089050746813</v>
      </c>
      <c r="K116" s="106">
        <v>1.211406236058937</v>
      </c>
      <c r="L116" s="106">
        <v>1.357764837552367</v>
      </c>
      <c r="M116" s="40">
        <f t="shared" si="20"/>
        <v>0.1103131466560221</v>
      </c>
      <c r="N116" s="40">
        <f t="shared" si="21"/>
        <v>-5.2520779098630239E-2</v>
      </c>
      <c r="O116" s="40">
        <f t="shared" si="22"/>
        <v>-0.30725213393771711</v>
      </c>
      <c r="P116" s="40">
        <f t="shared" si="23"/>
        <v>-4.3252706108057315E-2</v>
      </c>
      <c r="Q116" s="40">
        <f t="shared" si="24"/>
        <v>-0.32021759146172002</v>
      </c>
      <c r="R116" s="40">
        <f t="shared" si="25"/>
        <v>-1.4086209044395084E-2</v>
      </c>
      <c r="S116" s="40">
        <f t="shared" si="26"/>
        <v>-5.6199779613951041E-2</v>
      </c>
      <c r="T116" s="40">
        <f t="shared" si="27"/>
        <v>-5.9176668237265466E-2</v>
      </c>
      <c r="U116" s="40">
        <f t="shared" si="30"/>
        <v>0.1194595137508964</v>
      </c>
      <c r="V116" s="40">
        <f t="shared" si="31"/>
        <v>1.4820862171965947E-2</v>
      </c>
      <c r="W116" s="40">
        <f t="shared" si="32"/>
        <v>-0.14023903438572813</v>
      </c>
      <c r="X116" s="40">
        <f t="shared" si="33"/>
        <v>2.0718962610264721E-2</v>
      </c>
      <c r="Y116" s="40">
        <f t="shared" si="34"/>
        <v>-0.14641893097165037</v>
      </c>
      <c r="Z116" s="40">
        <f t="shared" si="35"/>
        <v>0.15370793720094386</v>
      </c>
      <c r="AA116" s="40">
        <f t="shared" si="36"/>
        <v>1.2403347983776482E-2</v>
      </c>
      <c r="AB116" s="40">
        <f t="shared" si="37"/>
        <v>2.1637829525588859E-3</v>
      </c>
      <c r="AC116" s="78">
        <v>36.619998931884773</v>
      </c>
      <c r="AD116" s="40">
        <f t="shared" si="28"/>
        <v>-0.14537387498903742</v>
      </c>
    </row>
    <row r="117" spans="2:30" ht="13.95" customHeight="1" x14ac:dyDescent="0.3">
      <c r="B117" s="77">
        <v>41608</v>
      </c>
      <c r="C117" s="107">
        <f t="shared" si="19"/>
        <v>1</v>
      </c>
      <c r="D117" s="107">
        <f t="shared" si="29"/>
        <v>1</v>
      </c>
      <c r="E117" s="106">
        <v>2.3778343468362939</v>
      </c>
      <c r="F117" s="106">
        <v>1.5411406956180911</v>
      </c>
      <c r="G117" s="106">
        <v>0.56934968581214507</v>
      </c>
      <c r="H117" s="106">
        <v>1.15851171696491</v>
      </c>
      <c r="I117" s="106">
        <v>0.58373724639933811</v>
      </c>
      <c r="J117" s="106">
        <v>0.90227404380519527</v>
      </c>
      <c r="K117" s="106">
        <v>1.2472844730545161</v>
      </c>
      <c r="L117" s="106">
        <v>1.370407580872675</v>
      </c>
      <c r="M117" s="40">
        <f t="shared" si="20"/>
        <v>0.11984429634563155</v>
      </c>
      <c r="N117" s="40">
        <f t="shared" si="21"/>
        <v>2.4109892920381171E-2</v>
      </c>
      <c r="O117" s="40">
        <f t="shared" si="22"/>
        <v>-0.27782592262376543</v>
      </c>
      <c r="P117" s="40">
        <f t="shared" si="23"/>
        <v>4.2565362480528252E-2</v>
      </c>
      <c r="Q117" s="40">
        <f t="shared" si="24"/>
        <v>-0.28527626280263113</v>
      </c>
      <c r="R117" s="40">
        <f t="shared" si="25"/>
        <v>-0.14972280415757905</v>
      </c>
      <c r="S117" s="40">
        <f t="shared" si="26"/>
        <v>-2.3087652590134053E-3</v>
      </c>
      <c r="T117" s="40">
        <f t="shared" si="27"/>
        <v>-2.7600762241986643E-2</v>
      </c>
      <c r="U117" s="40">
        <f t="shared" si="30"/>
        <v>0.11348440081840758</v>
      </c>
      <c r="V117" s="40">
        <f t="shared" si="31"/>
        <v>1.4954829617663859E-2</v>
      </c>
      <c r="W117" s="40">
        <f t="shared" si="32"/>
        <v>-0.13952437142880683</v>
      </c>
      <c r="X117" s="40">
        <f t="shared" si="33"/>
        <v>2.9544421768316228E-2</v>
      </c>
      <c r="Y117" s="40">
        <f t="shared" si="34"/>
        <v>-0.14803806865855709</v>
      </c>
      <c r="Z117" s="40">
        <f t="shared" si="35"/>
        <v>0.17625223344887175</v>
      </c>
      <c r="AA117" s="40">
        <f t="shared" si="36"/>
        <v>1.4507470431491518E-2</v>
      </c>
      <c r="AB117" s="40">
        <f t="shared" si="37"/>
        <v>-2.198014095422373E-4</v>
      </c>
      <c r="AC117" s="78">
        <v>36.310001373291023</v>
      </c>
      <c r="AD117" s="40">
        <f t="shared" si="28"/>
        <v>-0.15694014291016919</v>
      </c>
    </row>
    <row r="118" spans="2:30" ht="13.95" customHeight="1" x14ac:dyDescent="0.3">
      <c r="B118" s="77">
        <v>41639</v>
      </c>
      <c r="C118" s="107">
        <f t="shared" si="19"/>
        <v>1</v>
      </c>
      <c r="D118" s="107">
        <f t="shared" si="29"/>
        <v>1</v>
      </c>
      <c r="E118" s="106">
        <v>2.4070050421151392</v>
      </c>
      <c r="F118" s="106">
        <v>1.53937537537825</v>
      </c>
      <c r="G118" s="106">
        <v>0.61877179372881796</v>
      </c>
      <c r="H118" s="106">
        <v>1.2116259547410559</v>
      </c>
      <c r="I118" s="106">
        <v>0.63537592670603016</v>
      </c>
      <c r="J118" s="106">
        <v>0.9324657455661397</v>
      </c>
      <c r="K118" s="106">
        <v>1.2924925634332221</v>
      </c>
      <c r="L118" s="106">
        <v>1.4111326550421359</v>
      </c>
      <c r="M118" s="40">
        <f t="shared" si="20"/>
        <v>0.11016917837465616</v>
      </c>
      <c r="N118" s="40">
        <f t="shared" si="21"/>
        <v>-5.7597679502971019E-5</v>
      </c>
      <c r="O118" s="40">
        <f t="shared" si="22"/>
        <v>-0.20168853538163531</v>
      </c>
      <c r="P118" s="40">
        <f t="shared" si="23"/>
        <v>4.7034019476419761E-2</v>
      </c>
      <c r="Q118" s="40">
        <f t="shared" si="24"/>
        <v>-0.2106399667185605</v>
      </c>
      <c r="R118" s="40">
        <f t="shared" si="25"/>
        <v>-2.9316280601289088E-2</v>
      </c>
      <c r="S118" s="40">
        <f t="shared" si="26"/>
        <v>6.5225533351174004E-3</v>
      </c>
      <c r="T118" s="40">
        <f t="shared" si="27"/>
        <v>-1.4921095051723735E-2</v>
      </c>
      <c r="U118" s="40">
        <f t="shared" si="30"/>
        <v>0.11050078218437007</v>
      </c>
      <c r="V118" s="40">
        <f t="shared" si="31"/>
        <v>1.393632187057184E-2</v>
      </c>
      <c r="W118" s="40">
        <f t="shared" si="32"/>
        <v>-0.12074140922253118</v>
      </c>
      <c r="X118" s="40">
        <f t="shared" si="33"/>
        <v>3.0984894021743679E-2</v>
      </c>
      <c r="Y118" s="40">
        <f t="shared" si="34"/>
        <v>-0.12871403800694317</v>
      </c>
      <c r="Z118" s="40">
        <f t="shared" si="35"/>
        <v>0.17978444537771573</v>
      </c>
      <c r="AA118" s="40">
        <f t="shared" si="36"/>
        <v>1.6737926530427358E-2</v>
      </c>
      <c r="AB118" s="40">
        <f t="shared" si="37"/>
        <v>3.8623551408101101E-3</v>
      </c>
      <c r="AC118" s="78">
        <v>36.75</v>
      </c>
      <c r="AD118" s="40">
        <f t="shared" si="28"/>
        <v>-0.11793415890930826</v>
      </c>
    </row>
    <row r="119" spans="2:30" ht="13.95" customHeight="1" x14ac:dyDescent="0.3">
      <c r="B119" s="77">
        <v>41670</v>
      </c>
      <c r="C119" s="107">
        <f t="shared" si="19"/>
        <v>1</v>
      </c>
      <c r="D119" s="107">
        <f t="shared" si="29"/>
        <v>1</v>
      </c>
      <c r="E119" s="106">
        <v>2.460572240738808</v>
      </c>
      <c r="F119" s="106">
        <v>1.4921629043776901</v>
      </c>
      <c r="G119" s="106">
        <v>0.57837251905771114</v>
      </c>
      <c r="H119" s="106">
        <v>1.2409018034884141</v>
      </c>
      <c r="I119" s="106">
        <v>0.59133809772647095</v>
      </c>
      <c r="J119" s="106">
        <v>0.99272046746327391</v>
      </c>
      <c r="K119" s="106">
        <v>1.291103214539256</v>
      </c>
      <c r="L119" s="106">
        <v>1.3845339151003151</v>
      </c>
      <c r="M119" s="40">
        <f t="shared" si="20"/>
        <v>0.13869051583765851</v>
      </c>
      <c r="N119" s="40">
        <f t="shared" si="21"/>
        <v>9.3216922862705137E-3</v>
      </c>
      <c r="O119" s="40">
        <f t="shared" si="22"/>
        <v>-0.53356423558928956</v>
      </c>
      <c r="P119" s="40">
        <f t="shared" si="23"/>
        <v>0.10785254045600726</v>
      </c>
      <c r="Q119" s="40">
        <f t="shared" si="24"/>
        <v>-0.55337335061713888</v>
      </c>
      <c r="R119" s="40">
        <f t="shared" si="25"/>
        <v>1.3136844182739233E-2</v>
      </c>
      <c r="S119" s="40">
        <f t="shared" si="26"/>
        <v>-3.42048994332253E-2</v>
      </c>
      <c r="T119" s="40">
        <f t="shared" si="27"/>
        <v>-0.12931060163343541</v>
      </c>
      <c r="U119" s="40">
        <f t="shared" si="30"/>
        <v>0.10954565146442111</v>
      </c>
      <c r="V119" s="40">
        <f t="shared" si="31"/>
        <v>5.9500128998622431E-3</v>
      </c>
      <c r="W119" s="40">
        <f t="shared" si="32"/>
        <v>-0.14047947234778826</v>
      </c>
      <c r="X119" s="40">
        <f t="shared" si="33"/>
        <v>2.4006953811547629E-2</v>
      </c>
      <c r="Y119" s="40">
        <f t="shared" si="34"/>
        <v>-0.14895517458269658</v>
      </c>
      <c r="Z119" s="40">
        <f t="shared" si="35"/>
        <v>0.18455057603608591</v>
      </c>
      <c r="AA119" s="40">
        <f t="shared" si="36"/>
        <v>8.3015056117583391E-3</v>
      </c>
      <c r="AB119" s="40">
        <f t="shared" si="37"/>
        <v>-4.2931417008035683E-3</v>
      </c>
      <c r="AC119" s="78">
        <v>36.799999237060547</v>
      </c>
      <c r="AD119" s="40">
        <f t="shared" si="28"/>
        <v>-0.13928924357300373</v>
      </c>
    </row>
    <row r="120" spans="2:30" ht="13.95" customHeight="1" x14ac:dyDescent="0.3">
      <c r="B120" s="77">
        <v>41698</v>
      </c>
      <c r="C120" s="107">
        <f t="shared" si="19"/>
        <v>1</v>
      </c>
      <c r="D120" s="107">
        <f t="shared" si="29"/>
        <v>1</v>
      </c>
      <c r="E120" s="106">
        <v>2.513433438919908</v>
      </c>
      <c r="F120" s="106">
        <v>1.502415359337653</v>
      </c>
      <c r="G120" s="106">
        <v>0.60179952517951141</v>
      </c>
      <c r="H120" s="106">
        <v>1.2014865233652581</v>
      </c>
      <c r="I120" s="106">
        <v>0.61484119702507922</v>
      </c>
      <c r="J120" s="106">
        <v>1.0438384084334931</v>
      </c>
      <c r="K120" s="106">
        <v>1.2900099932511231</v>
      </c>
      <c r="L120" s="106">
        <v>1.415207226029175</v>
      </c>
      <c r="M120" s="40">
        <f t="shared" si="20"/>
        <v>0.14511849887868422</v>
      </c>
      <c r="N120" s="40">
        <f t="shared" si="21"/>
        <v>-1.6584615026455016E-2</v>
      </c>
      <c r="O120" s="40">
        <f t="shared" si="22"/>
        <v>-0.3029861308687618</v>
      </c>
      <c r="P120" s="40">
        <f t="shared" si="23"/>
        <v>0.12536797775420677</v>
      </c>
      <c r="Q120" s="40">
        <f t="shared" si="24"/>
        <v>-0.31748956908360526</v>
      </c>
      <c r="R120" s="40">
        <f t="shared" si="25"/>
        <v>5.6427758630256751E-2</v>
      </c>
      <c r="S120" s="40">
        <f t="shared" si="26"/>
        <v>2.1872629238850427E-2</v>
      </c>
      <c r="T120" s="40">
        <f t="shared" si="27"/>
        <v>-4.5958313753939911E-2</v>
      </c>
      <c r="U120" s="40">
        <f t="shared" si="30"/>
        <v>0.10893015886893333</v>
      </c>
      <c r="V120" s="40">
        <f t="shared" si="31"/>
        <v>-3.9426730371731802E-3</v>
      </c>
      <c r="W120" s="40">
        <f t="shared" si="32"/>
        <v>-0.13043014569071787</v>
      </c>
      <c r="X120" s="40">
        <f t="shared" si="33"/>
        <v>1.6160805457683839E-2</v>
      </c>
      <c r="Y120" s="40">
        <f t="shared" si="34"/>
        <v>-0.13977467051771769</v>
      </c>
      <c r="Z120" s="40">
        <f t="shared" si="35"/>
        <v>0.20786588593090649</v>
      </c>
      <c r="AA120" s="40">
        <f t="shared" si="36"/>
        <v>5.071498420833963E-3</v>
      </c>
      <c r="AB120" s="40">
        <f t="shared" si="37"/>
        <v>-5.0953357515630569E-3</v>
      </c>
      <c r="AC120" s="78">
        <v>39.330001831054688</v>
      </c>
      <c r="AD120" s="40">
        <f t="shared" si="28"/>
        <v>-2.585157760819266E-2</v>
      </c>
    </row>
    <row r="121" spans="2:30" ht="13.95" customHeight="1" x14ac:dyDescent="0.3">
      <c r="B121" s="77">
        <v>41729</v>
      </c>
      <c r="C121" s="107">
        <f t="shared" si="19"/>
        <v>1</v>
      </c>
      <c r="D121" s="107">
        <f t="shared" si="29"/>
        <v>1</v>
      </c>
      <c r="E121" s="106">
        <v>2.5606855742490819</v>
      </c>
      <c r="F121" s="106">
        <v>1.51574940402014</v>
      </c>
      <c r="G121" s="106">
        <v>0.58314188701058056</v>
      </c>
      <c r="H121" s="106">
        <v>1.173830349510907</v>
      </c>
      <c r="I121" s="106">
        <v>0.59464733469442765</v>
      </c>
      <c r="J121" s="106">
        <v>1.0398931822604089</v>
      </c>
      <c r="K121" s="106">
        <v>1.280949106082627</v>
      </c>
      <c r="L121" s="106">
        <v>1.421250880505361</v>
      </c>
      <c r="M121" s="40">
        <f t="shared" si="20"/>
        <v>0.14927853666091387</v>
      </c>
      <c r="N121" s="40">
        <f t="shared" si="21"/>
        <v>-5.7947673621808686E-2</v>
      </c>
      <c r="O121" s="40">
        <f t="shared" si="22"/>
        <v>-0.21787507517791896</v>
      </c>
      <c r="P121" s="40">
        <f t="shared" si="23"/>
        <v>6.7806250115357958E-2</v>
      </c>
      <c r="Q121" s="40">
        <f t="shared" si="24"/>
        <v>-0.22940152491510948</v>
      </c>
      <c r="R121" s="40">
        <f t="shared" si="25"/>
        <v>3.976906710756322E-2</v>
      </c>
      <c r="S121" s="40">
        <f t="shared" si="26"/>
        <v>1.4180423713773285E-2</v>
      </c>
      <c r="T121" s="40">
        <f t="shared" si="27"/>
        <v>-2.0673014650903026E-2</v>
      </c>
      <c r="U121" s="40">
        <f t="shared" si="30"/>
        <v>0.10625462399465239</v>
      </c>
      <c r="V121" s="40">
        <f t="shared" si="31"/>
        <v>-1.811798344386167E-2</v>
      </c>
      <c r="W121" s="40">
        <f t="shared" si="32"/>
        <v>-0.14723776640377931</v>
      </c>
      <c r="X121" s="40">
        <f t="shared" si="33"/>
        <v>-1.9673393481639861E-2</v>
      </c>
      <c r="Y121" s="40">
        <f t="shared" si="34"/>
        <v>-0.15714207164328201</v>
      </c>
      <c r="Z121" s="40">
        <f t="shared" si="35"/>
        <v>0.19927486992626633</v>
      </c>
      <c r="AA121" s="40">
        <f t="shared" si="36"/>
        <v>-1.7295617735189544E-2</v>
      </c>
      <c r="AB121" s="40">
        <f t="shared" si="37"/>
        <v>-1.4962541344447126E-2</v>
      </c>
      <c r="AC121" s="78">
        <v>39.450000762939453</v>
      </c>
      <c r="AD121" s="40">
        <f t="shared" si="28"/>
        <v>-2.9226463225648616E-2</v>
      </c>
    </row>
    <row r="122" spans="2:30" ht="13.95" customHeight="1" x14ac:dyDescent="0.3">
      <c r="B122" s="77">
        <v>41759</v>
      </c>
      <c r="C122" s="107">
        <f t="shared" si="19"/>
        <v>1</v>
      </c>
      <c r="D122" s="107">
        <f t="shared" si="29"/>
        <v>1</v>
      </c>
      <c r="E122" s="106">
        <v>2.590402968752076</v>
      </c>
      <c r="F122" s="106">
        <v>1.589154942923271</v>
      </c>
      <c r="G122" s="106">
        <v>0.58487565561711208</v>
      </c>
      <c r="H122" s="106">
        <v>1.182346082210987</v>
      </c>
      <c r="I122" s="106">
        <v>0.59689078591425138</v>
      </c>
      <c r="J122" s="106">
        <v>1.0313478873985069</v>
      </c>
      <c r="K122" s="106">
        <v>1.299060809737125</v>
      </c>
      <c r="L122" s="106">
        <v>1.4481930444624851</v>
      </c>
      <c r="M122" s="40">
        <f t="shared" si="20"/>
        <v>0.14533923868011031</v>
      </c>
      <c r="N122" s="40">
        <f t="shared" si="21"/>
        <v>1.3609160417050859E-2</v>
      </c>
      <c r="O122" s="40">
        <f t="shared" si="22"/>
        <v>-0.17344235650408141</v>
      </c>
      <c r="P122" s="40">
        <f t="shared" si="23"/>
        <v>2.3470352211779118E-2</v>
      </c>
      <c r="Q122" s="40">
        <f t="shared" si="24"/>
        <v>-0.18179034496001056</v>
      </c>
      <c r="R122" s="40">
        <f t="shared" si="25"/>
        <v>1.2902374537483654E-2</v>
      </c>
      <c r="S122" s="40">
        <f t="shared" si="26"/>
        <v>1.5739704807459082E-2</v>
      </c>
      <c r="T122" s="40">
        <f t="shared" si="27"/>
        <v>1.2327090837347583E-2</v>
      </c>
      <c r="U122" s="40">
        <f t="shared" si="30"/>
        <v>0.10627447701717004</v>
      </c>
      <c r="V122" s="40">
        <f t="shared" si="31"/>
        <v>-7.8024707025111375E-3</v>
      </c>
      <c r="W122" s="40">
        <f t="shared" si="32"/>
        <v>-0.15134282282561548</v>
      </c>
      <c r="X122" s="40">
        <f t="shared" si="33"/>
        <v>-4.1137274203277244E-2</v>
      </c>
      <c r="Y122" s="40">
        <f t="shared" si="34"/>
        <v>-0.1611546385326188</v>
      </c>
      <c r="Z122" s="40">
        <f t="shared" si="35"/>
        <v>0.19402756587945574</v>
      </c>
      <c r="AA122" s="40">
        <f t="shared" si="36"/>
        <v>-2.7444356809728884E-2</v>
      </c>
      <c r="AB122" s="40">
        <f t="shared" si="37"/>
        <v>-1.3163377473251773E-2</v>
      </c>
      <c r="AC122" s="78">
        <v>40.520000457763672</v>
      </c>
      <c r="AD122" s="40">
        <f t="shared" si="28"/>
        <v>2.6254770075589608E-2</v>
      </c>
    </row>
    <row r="123" spans="2:30" ht="13.95" customHeight="1" x14ac:dyDescent="0.3">
      <c r="B123" s="77">
        <v>41790</v>
      </c>
      <c r="C123" s="107">
        <f t="shared" si="19"/>
        <v>1</v>
      </c>
      <c r="D123" s="107">
        <f t="shared" si="29"/>
        <v>1</v>
      </c>
      <c r="E123" s="106">
        <v>2.6309459286925438</v>
      </c>
      <c r="F123" s="106">
        <v>1.525567023499812</v>
      </c>
      <c r="G123" s="106">
        <v>0.61211629747599772</v>
      </c>
      <c r="H123" s="106">
        <v>1.1518926229579449</v>
      </c>
      <c r="I123" s="106">
        <v>0.62458536517039032</v>
      </c>
      <c r="J123" s="106">
        <v>1.0820742487288131</v>
      </c>
      <c r="K123" s="106">
        <v>1.291804498295382</v>
      </c>
      <c r="L123" s="106">
        <v>1.4602862550008091</v>
      </c>
      <c r="M123" s="40">
        <f t="shared" si="20"/>
        <v>0.15809484161845608</v>
      </c>
      <c r="N123" s="40">
        <f t="shared" si="21"/>
        <v>5.5814127824951477E-3</v>
      </c>
      <c r="O123" s="40">
        <f t="shared" si="22"/>
        <v>-5.0666405509227852E-2</v>
      </c>
      <c r="P123" s="40">
        <f t="shared" si="23"/>
        <v>1.3396306856074524E-2</v>
      </c>
      <c r="Q123" s="40">
        <f t="shared" si="24"/>
        <v>-5.6303321053366925E-2</v>
      </c>
      <c r="R123" s="40">
        <f t="shared" si="25"/>
        <v>7.1471788782715581E-2</v>
      </c>
      <c r="S123" s="40">
        <f t="shared" si="26"/>
        <v>3.5636555451964598E-2</v>
      </c>
      <c r="T123" s="40">
        <f t="shared" si="27"/>
        <v>5.293125449786381E-2</v>
      </c>
      <c r="U123" s="40">
        <f t="shared" si="30"/>
        <v>0.10441354564385337</v>
      </c>
      <c r="V123" s="40">
        <f t="shared" si="31"/>
        <v>-1.9510896299639546E-2</v>
      </c>
      <c r="W123" s="40">
        <f t="shared" si="32"/>
        <v>-0.14100968161230415</v>
      </c>
      <c r="X123" s="40">
        <f t="shared" si="33"/>
        <v>-5.8598811476622867E-2</v>
      </c>
      <c r="Y123" s="40">
        <f t="shared" si="34"/>
        <v>-0.15096385145543711</v>
      </c>
      <c r="Z123" s="40">
        <f t="shared" si="35"/>
        <v>0.20772837414361445</v>
      </c>
      <c r="AA123" s="40">
        <f t="shared" si="36"/>
        <v>-3.543866182761133E-2</v>
      </c>
      <c r="AB123" s="40">
        <f t="shared" si="37"/>
        <v>-1.3750261763284919E-2</v>
      </c>
      <c r="AC123" s="78">
        <v>39.189998626708977</v>
      </c>
      <c r="AD123" s="40">
        <f t="shared" si="28"/>
        <v>2.2710582610305965E-2</v>
      </c>
    </row>
    <row r="124" spans="2:30" ht="13.95" customHeight="1" x14ac:dyDescent="0.3">
      <c r="B124" s="77">
        <v>41820</v>
      </c>
      <c r="C124" s="107">
        <f t="shared" si="19"/>
        <v>1</v>
      </c>
      <c r="D124" s="107">
        <f t="shared" si="29"/>
        <v>1</v>
      </c>
      <c r="E124" s="106">
        <v>2.6997819589901102</v>
      </c>
      <c r="F124" s="106">
        <v>1.486709660170523</v>
      </c>
      <c r="G124" s="106">
        <v>0.62801627865022203</v>
      </c>
      <c r="H124" s="106">
        <v>1.1356729056741659</v>
      </c>
      <c r="I124" s="106">
        <v>0.64199178992241868</v>
      </c>
      <c r="J124" s="106">
        <v>1.0943407388324169</v>
      </c>
      <c r="K124" s="106">
        <v>1.294743820028182</v>
      </c>
      <c r="L124" s="106">
        <v>1.4783424245856469</v>
      </c>
      <c r="M124" s="40">
        <f t="shared" si="20"/>
        <v>0.17528628237148958</v>
      </c>
      <c r="N124" s="40">
        <f t="shared" si="21"/>
        <v>-9.7283446831222711E-2</v>
      </c>
      <c r="O124" s="40">
        <f t="shared" si="22"/>
        <v>-2.967071170882352E-2</v>
      </c>
      <c r="P124" s="40">
        <f t="shared" si="23"/>
        <v>2.0692142495959229E-2</v>
      </c>
      <c r="Q124" s="40">
        <f t="shared" si="24"/>
        <v>-3.1959514605411764E-2</v>
      </c>
      <c r="R124" s="40">
        <f t="shared" si="25"/>
        <v>3.2293177756006389E-2</v>
      </c>
      <c r="S124" s="40">
        <f t="shared" si="26"/>
        <v>3.1544892857688113E-2</v>
      </c>
      <c r="T124" s="40">
        <f t="shared" si="27"/>
        <v>3.8443278907495382E-2</v>
      </c>
      <c r="U124" s="40">
        <f t="shared" si="30"/>
        <v>0.1075148099565211</v>
      </c>
      <c r="V124" s="40">
        <f t="shared" si="31"/>
        <v>-3.1833252901805435E-2</v>
      </c>
      <c r="W124" s="40">
        <f t="shared" si="32"/>
        <v>-0.13594637397238757</v>
      </c>
      <c r="X124" s="40">
        <f t="shared" si="33"/>
        <v>-6.2123400002650243E-2</v>
      </c>
      <c r="Y124" s="40">
        <f t="shared" si="34"/>
        <v>-0.14576433731816385</v>
      </c>
      <c r="Z124" s="40">
        <f t="shared" si="35"/>
        <v>0.21742449788252913</v>
      </c>
      <c r="AA124" s="40">
        <f t="shared" si="36"/>
        <v>-3.6675089941300011E-2</v>
      </c>
      <c r="AB124" s="40">
        <f t="shared" si="37"/>
        <v>-1.4241470040814662E-2</v>
      </c>
      <c r="AC124" s="78">
        <v>39.439998626708977</v>
      </c>
      <c r="AD124" s="40">
        <f t="shared" si="28"/>
        <v>7.7742198468332788E-2</v>
      </c>
    </row>
    <row r="125" spans="2:30" ht="13.95" customHeight="1" x14ac:dyDescent="0.3">
      <c r="B125" s="77">
        <v>41851</v>
      </c>
      <c r="C125" s="107">
        <f t="shared" si="19"/>
        <v>1</v>
      </c>
      <c r="D125" s="107">
        <f t="shared" si="29"/>
        <v>1</v>
      </c>
      <c r="E125" s="106">
        <v>2.7197632788810591</v>
      </c>
      <c r="F125" s="106">
        <v>1.4818718296723641</v>
      </c>
      <c r="G125" s="106">
        <v>0.62419701410693951</v>
      </c>
      <c r="H125" s="106">
        <v>1.120544959441198</v>
      </c>
      <c r="I125" s="106">
        <v>0.63551304813898157</v>
      </c>
      <c r="J125" s="106">
        <v>1.1202858530221449</v>
      </c>
      <c r="K125" s="106">
        <v>1.2902470565330659</v>
      </c>
      <c r="L125" s="106">
        <v>1.4820496790315021</v>
      </c>
      <c r="M125" s="40">
        <f t="shared" si="20"/>
        <v>0.17592692813884411</v>
      </c>
      <c r="N125" s="40">
        <f t="shared" si="21"/>
        <v>-0.14480284472903893</v>
      </c>
      <c r="O125" s="40">
        <f t="shared" si="22"/>
        <v>1.0767214959494896E-2</v>
      </c>
      <c r="P125" s="40">
        <f t="shared" si="23"/>
        <v>4.7789117631730056E-2</v>
      </c>
      <c r="Q125" s="40">
        <f t="shared" si="24"/>
        <v>6.2739928837747781E-3</v>
      </c>
      <c r="R125" s="40">
        <f t="shared" si="25"/>
        <v>5.1193758049599837E-2</v>
      </c>
      <c r="S125" s="40">
        <f t="shared" si="26"/>
        <v>4.4076009529000676E-2</v>
      </c>
      <c r="T125" s="40">
        <f t="shared" si="27"/>
        <v>3.9949567233850215E-2</v>
      </c>
      <c r="U125" s="40">
        <f t="shared" si="30"/>
        <v>0.10339417438361992</v>
      </c>
      <c r="V125" s="40">
        <f t="shared" si="31"/>
        <v>-3.515710219074919E-2</v>
      </c>
      <c r="W125" s="40">
        <f t="shared" si="32"/>
        <v>-0.13732704077132984</v>
      </c>
      <c r="X125" s="40">
        <f t="shared" si="33"/>
        <v>-6.90479465385508E-2</v>
      </c>
      <c r="Y125" s="40">
        <f t="shared" si="34"/>
        <v>-0.14709284117637147</v>
      </c>
      <c r="Z125" s="40">
        <f t="shared" si="35"/>
        <v>0.19611200292428427</v>
      </c>
      <c r="AA125" s="40">
        <f t="shared" si="36"/>
        <v>-4.0697270555957218E-2</v>
      </c>
      <c r="AB125" s="40">
        <f t="shared" si="37"/>
        <v>-1.6374766377890766E-2</v>
      </c>
      <c r="AC125" s="78">
        <v>37.220001220703118</v>
      </c>
      <c r="AD125" s="40">
        <f t="shared" si="28"/>
        <v>5.658182964717969E-3</v>
      </c>
    </row>
    <row r="126" spans="2:30" ht="13.95" customHeight="1" x14ac:dyDescent="0.3">
      <c r="B126" s="77">
        <v>41882</v>
      </c>
      <c r="C126" s="107">
        <f t="shared" si="19"/>
        <v>1</v>
      </c>
      <c r="D126" s="107">
        <f t="shared" si="29"/>
        <v>1</v>
      </c>
      <c r="E126" s="106">
        <v>2.8175205491940778</v>
      </c>
      <c r="F126" s="106">
        <v>1.4808026240663681</v>
      </c>
      <c r="G126" s="106">
        <v>0.62533511178733825</v>
      </c>
      <c r="H126" s="106">
        <v>1.094959396518401</v>
      </c>
      <c r="I126" s="106">
        <v>0.63513599062408432</v>
      </c>
      <c r="J126" s="106">
        <v>1.1428971547116451</v>
      </c>
      <c r="K126" s="106">
        <v>1.296421505186611</v>
      </c>
      <c r="L126" s="106">
        <v>1.513041962240939</v>
      </c>
      <c r="M126" s="40">
        <f t="shared" si="20"/>
        <v>0.18987589913360056</v>
      </c>
      <c r="N126" s="40">
        <f t="shared" si="21"/>
        <v>-0.14718223999888067</v>
      </c>
      <c r="O126" s="40">
        <f t="shared" si="22"/>
        <v>0.10916944987981191</v>
      </c>
      <c r="P126" s="40">
        <f t="shared" si="23"/>
        <v>1.8318493560512262E-3</v>
      </c>
      <c r="Q126" s="40">
        <f t="shared" si="24"/>
        <v>0.10658757103243027</v>
      </c>
      <c r="R126" s="40">
        <f t="shared" si="25"/>
        <v>5.4345171980928211E-2</v>
      </c>
      <c r="S126" s="40">
        <f t="shared" si="26"/>
        <v>5.0942969685953375E-2</v>
      </c>
      <c r="T126" s="40">
        <f t="shared" si="27"/>
        <v>7.9982282485541026E-2</v>
      </c>
      <c r="U126" s="40">
        <f t="shared" si="30"/>
        <v>0.11095189742492217</v>
      </c>
      <c r="V126" s="40">
        <f t="shared" si="31"/>
        <v>-4.1790481755782871E-2</v>
      </c>
      <c r="W126" s="40">
        <f t="shared" si="32"/>
        <v>-0.13833527741826609</v>
      </c>
      <c r="X126" s="40">
        <f t="shared" si="33"/>
        <v>-8.2978666444206997E-2</v>
      </c>
      <c r="Y126" s="40">
        <f t="shared" si="34"/>
        <v>-0.14967433057610799</v>
      </c>
      <c r="Z126" s="40">
        <f t="shared" si="35"/>
        <v>0.22496330742126175</v>
      </c>
      <c r="AA126" s="40">
        <f t="shared" si="36"/>
        <v>-4.5091729770192657E-2</v>
      </c>
      <c r="AB126" s="40">
        <f t="shared" si="37"/>
        <v>-1.4289593017896715E-2</v>
      </c>
      <c r="AC126" s="78">
        <v>36.880001068115227</v>
      </c>
      <c r="AD126" s="40">
        <f t="shared" si="28"/>
        <v>-4.1949288705668171E-2</v>
      </c>
    </row>
    <row r="127" spans="2:30" ht="13.95" customHeight="1" x14ac:dyDescent="0.3">
      <c r="B127" s="77">
        <v>41912</v>
      </c>
      <c r="C127" s="107">
        <f t="shared" si="19"/>
        <v>1</v>
      </c>
      <c r="D127" s="107">
        <f t="shared" si="29"/>
        <v>1</v>
      </c>
      <c r="E127" s="106">
        <v>2.887157306737361</v>
      </c>
      <c r="F127" s="106">
        <v>1.5000301013167441</v>
      </c>
      <c r="G127" s="106">
        <v>0.62090664448067878</v>
      </c>
      <c r="H127" s="106">
        <v>1.06508409651383</v>
      </c>
      <c r="I127" s="106">
        <v>0.62795539372984321</v>
      </c>
      <c r="J127" s="106">
        <v>1.174364501682212</v>
      </c>
      <c r="K127" s="106">
        <v>1.297265297016216</v>
      </c>
      <c r="L127" s="106">
        <v>1.5377378565493851</v>
      </c>
      <c r="M127" s="40">
        <f t="shared" si="20"/>
        <v>0.20862714919699105</v>
      </c>
      <c r="N127" s="40">
        <f t="shared" si="21"/>
        <v>-6.6379346562927335E-2</v>
      </c>
      <c r="O127" s="40">
        <f t="shared" si="22"/>
        <v>8.587380432254399E-2</v>
      </c>
      <c r="P127" s="40">
        <f t="shared" si="23"/>
        <v>-3.9932964233274859E-2</v>
      </c>
      <c r="Q127" s="40">
        <f t="shared" si="24"/>
        <v>7.6769878178122863E-2</v>
      </c>
      <c r="R127" s="40">
        <f t="shared" si="25"/>
        <v>0.1298586257250548</v>
      </c>
      <c r="S127" s="40">
        <f t="shared" si="26"/>
        <v>5.4179921341469456E-2</v>
      </c>
      <c r="T127" s="40">
        <f t="shared" si="27"/>
        <v>0.10980122448278909</v>
      </c>
      <c r="U127" s="40">
        <f t="shared" si="30"/>
        <v>0.11257789367679862</v>
      </c>
      <c r="V127" s="40">
        <f t="shared" si="31"/>
        <v>-3.9521066069612913E-2</v>
      </c>
      <c r="W127" s="40">
        <f t="shared" si="32"/>
        <v>-0.14598068348024817</v>
      </c>
      <c r="X127" s="40">
        <f t="shared" si="33"/>
        <v>-9.4890838774811734E-2</v>
      </c>
      <c r="Y127" s="40">
        <f t="shared" si="34"/>
        <v>-0.15875299910514096</v>
      </c>
      <c r="Z127" s="40">
        <f t="shared" si="35"/>
        <v>0.23861191355408307</v>
      </c>
      <c r="AA127" s="40">
        <f t="shared" si="36"/>
        <v>-4.9346579841237373E-2</v>
      </c>
      <c r="AB127" s="40">
        <f t="shared" si="37"/>
        <v>-1.402358822337586E-2</v>
      </c>
      <c r="AC127" s="78">
        <v>34.369998931884773</v>
      </c>
      <c r="AD127" s="40">
        <f t="shared" si="28"/>
        <v>-8.0736260341244551E-2</v>
      </c>
    </row>
    <row r="128" spans="2:30" ht="13.95" customHeight="1" x14ac:dyDescent="0.3">
      <c r="B128" s="77">
        <v>41943</v>
      </c>
      <c r="C128" s="107">
        <f t="shared" si="19"/>
        <v>1</v>
      </c>
      <c r="D128" s="107">
        <f t="shared" si="29"/>
        <v>1</v>
      </c>
      <c r="E128" s="106">
        <v>2.9528875499830249</v>
      </c>
      <c r="F128" s="106">
        <v>1.4890307528895601</v>
      </c>
      <c r="G128" s="106">
        <v>0.65116787014856559</v>
      </c>
      <c r="H128" s="106">
        <v>0.99817090566752786</v>
      </c>
      <c r="I128" s="106">
        <v>0.6588282313431828</v>
      </c>
      <c r="J128" s="106">
        <v>1.2278913588921969</v>
      </c>
      <c r="K128" s="106">
        <v>1.285286378185033</v>
      </c>
      <c r="L128" s="106">
        <v>1.5673750921684551</v>
      </c>
      <c r="M128" s="40">
        <f t="shared" si="20"/>
        <v>0.22494865110062803</v>
      </c>
      <c r="N128" s="40">
        <f t="shared" si="21"/>
        <v>-2.4155191362358205E-2</v>
      </c>
      <c r="O128" s="40">
        <f t="shared" si="22"/>
        <v>0.14393108731107401</v>
      </c>
      <c r="P128" s="40">
        <f t="shared" si="23"/>
        <v>-9.1082040129591355E-2</v>
      </c>
      <c r="Q128" s="40">
        <f t="shared" si="24"/>
        <v>0.13446781158777676</v>
      </c>
      <c r="R128" s="40">
        <f t="shared" si="25"/>
        <v>0.20637804800414458</v>
      </c>
      <c r="S128" s="40">
        <f t="shared" si="26"/>
        <v>5.91996925548205E-2</v>
      </c>
      <c r="T128" s="40">
        <f t="shared" si="27"/>
        <v>0.14356245841533682</v>
      </c>
      <c r="U128" s="40">
        <f t="shared" si="30"/>
        <v>0.11560370158630028</v>
      </c>
      <c r="V128" s="40">
        <f t="shared" si="31"/>
        <v>-4.2478483209301879E-2</v>
      </c>
      <c r="W128" s="40">
        <f t="shared" si="32"/>
        <v>-0.14126814313242186</v>
      </c>
      <c r="X128" s="40">
        <f t="shared" si="33"/>
        <v>-0.10462376119396814</v>
      </c>
      <c r="Y128" s="40">
        <f t="shared" si="34"/>
        <v>-0.15304583585621129</v>
      </c>
      <c r="Z128" s="40">
        <f t="shared" si="35"/>
        <v>0.21161691129182125</v>
      </c>
      <c r="AA128" s="40">
        <f t="shared" si="36"/>
        <v>-5.0102935304976323E-2</v>
      </c>
      <c r="AB128" s="40">
        <f t="shared" si="37"/>
        <v>-1.2960830537473019E-2</v>
      </c>
      <c r="AC128" s="78">
        <v>34.060001373291023</v>
      </c>
      <c r="AD128" s="40">
        <f t="shared" si="28"/>
        <v>-7.2470794524525303E-2</v>
      </c>
    </row>
    <row r="129" spans="2:30" ht="13.95" customHeight="1" x14ac:dyDescent="0.3">
      <c r="B129" s="77">
        <v>41973</v>
      </c>
      <c r="C129" s="107">
        <f t="shared" si="19"/>
        <v>1</v>
      </c>
      <c r="D129" s="107">
        <f t="shared" si="29"/>
        <v>1</v>
      </c>
      <c r="E129" s="106">
        <v>2.9700023784300931</v>
      </c>
      <c r="F129" s="106">
        <v>1.4844310863827721</v>
      </c>
      <c r="G129" s="106">
        <v>0.64357447130210121</v>
      </c>
      <c r="H129" s="106">
        <v>0.95833981574017091</v>
      </c>
      <c r="I129" s="106">
        <v>0.64715735393480378</v>
      </c>
      <c r="J129" s="106">
        <v>1.2708907337398581</v>
      </c>
      <c r="K129" s="106">
        <v>1.269029870019764</v>
      </c>
      <c r="L129" s="106">
        <v>1.568265065038855</v>
      </c>
      <c r="M129" s="40">
        <f t="shared" si="20"/>
        <v>0.22237261849836498</v>
      </c>
      <c r="N129" s="40">
        <f t="shared" si="21"/>
        <v>-3.749126163697572E-2</v>
      </c>
      <c r="O129" s="40">
        <f t="shared" si="22"/>
        <v>0.12254294143893471</v>
      </c>
      <c r="P129" s="40">
        <f t="shared" si="23"/>
        <v>-0.18968902894035986</v>
      </c>
      <c r="Q129" s="40">
        <f t="shared" si="24"/>
        <v>0.10313850936009221</v>
      </c>
      <c r="R129" s="40">
        <f t="shared" si="25"/>
        <v>0.34255500687539836</v>
      </c>
      <c r="S129" s="40">
        <f t="shared" si="26"/>
        <v>1.7283960062859951E-2</v>
      </c>
      <c r="T129" s="40">
        <f t="shared" si="27"/>
        <v>0.13486175434132275</v>
      </c>
      <c r="U129" s="40">
        <f t="shared" si="30"/>
        <v>0.10710884802441271</v>
      </c>
      <c r="V129" s="40">
        <f t="shared" si="31"/>
        <v>-4.6967708044032448E-2</v>
      </c>
      <c r="W129" s="40">
        <f t="shared" si="32"/>
        <v>-0.1471501658770889</v>
      </c>
      <c r="X129" s="40">
        <f t="shared" si="33"/>
        <v>-0.11711051354253327</v>
      </c>
      <c r="Y129" s="40">
        <f t="shared" si="34"/>
        <v>-0.1601407276190486</v>
      </c>
      <c r="Z129" s="40">
        <f t="shared" si="35"/>
        <v>0.20732052461205724</v>
      </c>
      <c r="AA129" s="40">
        <f t="shared" si="36"/>
        <v>-5.7163393050392482E-2</v>
      </c>
      <c r="AB129" s="40">
        <f t="shared" si="37"/>
        <v>-1.8345184468672018E-2</v>
      </c>
      <c r="AC129" s="78">
        <v>32.619998931884773</v>
      </c>
      <c r="AD129" s="40">
        <f t="shared" si="28"/>
        <v>-0.10716765879884824</v>
      </c>
    </row>
    <row r="130" spans="2:30" ht="13.95" customHeight="1" x14ac:dyDescent="0.3">
      <c r="B130" s="77">
        <v>42004</v>
      </c>
      <c r="C130" s="107">
        <f t="shared" si="19"/>
        <v>1</v>
      </c>
      <c r="D130" s="107">
        <f t="shared" si="29"/>
        <v>1</v>
      </c>
      <c r="E130" s="106">
        <v>3.0115973946457202</v>
      </c>
      <c r="F130" s="106">
        <v>1.4269451611649411</v>
      </c>
      <c r="G130" s="106">
        <v>0.63793061396625661</v>
      </c>
      <c r="H130" s="106">
        <v>0.79345554675358909</v>
      </c>
      <c r="I130" s="106">
        <v>0.63889971883356456</v>
      </c>
      <c r="J130" s="106">
        <v>1.2973310116979619</v>
      </c>
      <c r="K130" s="106">
        <v>1.19599029179419</v>
      </c>
      <c r="L130" s="106">
        <v>1.563265710877904</v>
      </c>
      <c r="M130" s="40">
        <f t="shared" si="20"/>
        <v>0.2240873803168088</v>
      </c>
      <c r="N130" s="40">
        <f t="shared" si="21"/>
        <v>-7.5840825444386473E-2</v>
      </c>
      <c r="O130" s="40">
        <f t="shared" si="22"/>
        <v>3.0492986441092818E-2</v>
      </c>
      <c r="P130" s="40">
        <f t="shared" si="23"/>
        <v>-0.42332098413383312</v>
      </c>
      <c r="Q130" s="40">
        <f t="shared" si="24"/>
        <v>5.530673245011432E-3</v>
      </c>
      <c r="R130" s="40">
        <f t="shared" si="25"/>
        <v>0.33023194822603075</v>
      </c>
      <c r="S130" s="40">
        <f t="shared" si="26"/>
        <v>-7.7598035487335654E-2</v>
      </c>
      <c r="T130" s="40">
        <f t="shared" si="27"/>
        <v>0.10238435418808416</v>
      </c>
      <c r="U130" s="40">
        <f t="shared" si="30"/>
        <v>0.10645484866366065</v>
      </c>
      <c r="V130" s="40">
        <f t="shared" si="31"/>
        <v>-5.8392679987852247E-2</v>
      </c>
      <c r="W130" s="40">
        <f t="shared" si="32"/>
        <v>-0.15440711828102721</v>
      </c>
      <c r="X130" s="40">
        <f t="shared" si="33"/>
        <v>-0.16739949964841386</v>
      </c>
      <c r="Y130" s="40">
        <f t="shared" si="34"/>
        <v>-0.16824141397772557</v>
      </c>
      <c r="Z130" s="40">
        <f t="shared" si="35"/>
        <v>0.20228197414614274</v>
      </c>
      <c r="AA130" s="40">
        <f t="shared" si="36"/>
        <v>-7.5335426844156728E-2</v>
      </c>
      <c r="AB130" s="40">
        <f t="shared" si="37"/>
        <v>-2.2770984575533733E-2</v>
      </c>
      <c r="AC130" s="78">
        <v>29.909999847412109</v>
      </c>
      <c r="AD130" s="40">
        <f t="shared" si="28"/>
        <v>-0.20594535811855683</v>
      </c>
    </row>
    <row r="131" spans="2:30" ht="13.95" customHeight="1" x14ac:dyDescent="0.3">
      <c r="B131" s="77">
        <v>42035</v>
      </c>
      <c r="C131" s="107">
        <f t="shared" si="19"/>
        <v>1</v>
      </c>
      <c r="D131" s="107">
        <f t="shared" si="29"/>
        <v>1</v>
      </c>
      <c r="E131" s="106">
        <v>3.0309071601972808</v>
      </c>
      <c r="F131" s="106">
        <v>1.3950320346225351</v>
      </c>
      <c r="G131" s="106">
        <v>0.66572612342261406</v>
      </c>
      <c r="H131" s="106">
        <v>0.64747952721908109</v>
      </c>
      <c r="I131" s="106">
        <v>0.66989839958644593</v>
      </c>
      <c r="J131" s="106">
        <v>1.3108341129157211</v>
      </c>
      <c r="K131" s="106">
        <v>1.139368399663103</v>
      </c>
      <c r="L131" s="106">
        <v>1.5722325619183231</v>
      </c>
      <c r="M131" s="40">
        <f t="shared" si="20"/>
        <v>0.20846802643721515</v>
      </c>
      <c r="N131" s="40">
        <f t="shared" si="21"/>
        <v>-6.7309302164248463E-2</v>
      </c>
      <c r="O131" s="40">
        <f t="shared" si="22"/>
        <v>0.14066020215833125</v>
      </c>
      <c r="P131" s="40">
        <f t="shared" si="23"/>
        <v>-0.65050648027143421</v>
      </c>
      <c r="Q131" s="40">
        <f t="shared" si="24"/>
        <v>0.12473812727427389</v>
      </c>
      <c r="R131" s="40">
        <f t="shared" si="25"/>
        <v>0.27796981962926692</v>
      </c>
      <c r="S131" s="40">
        <f t="shared" si="26"/>
        <v>-0.12502298447442811</v>
      </c>
      <c r="T131" s="40">
        <f t="shared" si="27"/>
        <v>0.12713306360723101</v>
      </c>
      <c r="U131" s="40">
        <f t="shared" si="30"/>
        <v>0.10520076650756317</v>
      </c>
      <c r="V131" s="40">
        <f t="shared" si="31"/>
        <v>-6.3436377662397611E-2</v>
      </c>
      <c r="W131" s="40">
        <f t="shared" si="32"/>
        <v>-0.15094575148002237</v>
      </c>
      <c r="X131" s="40">
        <f t="shared" si="33"/>
        <v>-0.22528730342305542</v>
      </c>
      <c r="Y131" s="40">
        <f t="shared" si="34"/>
        <v>-0.16354459201427479</v>
      </c>
      <c r="Z131" s="40">
        <f t="shared" si="35"/>
        <v>0.19547703685719087</v>
      </c>
      <c r="AA131" s="40">
        <f t="shared" si="36"/>
        <v>-9.2654468175091209E-2</v>
      </c>
      <c r="AB131" s="40">
        <f t="shared" si="37"/>
        <v>-2.4636445216423546E-2</v>
      </c>
      <c r="AC131" s="78">
        <v>28.569999694824219</v>
      </c>
      <c r="AD131" s="40">
        <f t="shared" si="28"/>
        <v>-0.25314061888183953</v>
      </c>
    </row>
    <row r="132" spans="2:30" ht="13.95" customHeight="1" x14ac:dyDescent="0.3">
      <c r="B132" s="77">
        <v>42063</v>
      </c>
      <c r="C132" s="107">
        <f t="shared" si="19"/>
        <v>1</v>
      </c>
      <c r="D132" s="107">
        <f t="shared" si="29"/>
        <v>1</v>
      </c>
      <c r="E132" s="106">
        <v>3.137892409075695</v>
      </c>
      <c r="F132" s="106">
        <v>1.381907138223365</v>
      </c>
      <c r="G132" s="106">
        <v>0.66222615265532092</v>
      </c>
      <c r="H132" s="106">
        <v>0.61181714867710457</v>
      </c>
      <c r="I132" s="106">
        <v>0.66219875596398536</v>
      </c>
      <c r="J132" s="106">
        <v>1.3757883863498359</v>
      </c>
      <c r="K132" s="106">
        <v>1.138675617560519</v>
      </c>
      <c r="L132" s="106">
        <v>1.6008495534386189</v>
      </c>
      <c r="M132" s="40">
        <f t="shared" si="20"/>
        <v>0.22190164489140846</v>
      </c>
      <c r="N132" s="40">
        <f t="shared" si="21"/>
        <v>-8.3609523293269761E-2</v>
      </c>
      <c r="O132" s="40">
        <f t="shared" si="22"/>
        <v>9.5682742728175244E-2</v>
      </c>
      <c r="P132" s="40">
        <f t="shared" si="23"/>
        <v>-0.67488137740701548</v>
      </c>
      <c r="Q132" s="40">
        <f t="shared" si="24"/>
        <v>7.4201728226878677E-2</v>
      </c>
      <c r="R132" s="40">
        <f t="shared" si="25"/>
        <v>0.27612224240783817</v>
      </c>
      <c r="S132" s="40">
        <f t="shared" si="26"/>
        <v>-0.12478411696729794</v>
      </c>
      <c r="T132" s="40">
        <f t="shared" si="27"/>
        <v>0.12325848936659922</v>
      </c>
      <c r="U132" s="40">
        <f t="shared" si="30"/>
        <v>0.1122955443936165</v>
      </c>
      <c r="V132" s="40">
        <f t="shared" si="31"/>
        <v>-7.1409173891877578E-2</v>
      </c>
      <c r="W132" s="40">
        <f t="shared" si="32"/>
        <v>-0.15542941726432485</v>
      </c>
      <c r="X132" s="40">
        <f t="shared" si="33"/>
        <v>-0.24393164930796482</v>
      </c>
      <c r="Y132" s="40">
        <f t="shared" si="34"/>
        <v>-0.16956006842993246</v>
      </c>
      <c r="Z132" s="40">
        <f t="shared" si="35"/>
        <v>0.20270488842142215</v>
      </c>
      <c r="AA132" s="40">
        <f t="shared" si="36"/>
        <v>-9.6753206038404704E-2</v>
      </c>
      <c r="AB132" s="40">
        <f t="shared" si="37"/>
        <v>-2.3523077787736633E-2</v>
      </c>
      <c r="AC132" s="78">
        <v>29.370000839233398</v>
      </c>
      <c r="AD132" s="40">
        <f t="shared" si="28"/>
        <v>-0.29201385921486062</v>
      </c>
    </row>
    <row r="133" spans="2:30" ht="13.95" customHeight="1" x14ac:dyDescent="0.3">
      <c r="B133" s="77">
        <v>42094</v>
      </c>
      <c r="C133" s="107">
        <f t="shared" si="19"/>
        <v>1</v>
      </c>
      <c r="D133" s="107">
        <f t="shared" si="29"/>
        <v>1</v>
      </c>
      <c r="E133" s="106">
        <v>3.1718024065256381</v>
      </c>
      <c r="F133" s="106">
        <v>1.406188189467777</v>
      </c>
      <c r="G133" s="106">
        <v>0.62516640868466633</v>
      </c>
      <c r="H133" s="106">
        <v>0.57333599625743903</v>
      </c>
      <c r="I133" s="106">
        <v>0.63107994873904927</v>
      </c>
      <c r="J133" s="106">
        <v>1.202062519446965</v>
      </c>
      <c r="K133" s="106">
        <v>1.1224742312174001</v>
      </c>
      <c r="L133" s="106">
        <v>1.602051547972533</v>
      </c>
      <c r="M133" s="40">
        <f t="shared" si="20"/>
        <v>0.21402498372776035</v>
      </c>
      <c r="N133" s="40">
        <f t="shared" si="21"/>
        <v>-7.5027340929895242E-2</v>
      </c>
      <c r="O133" s="40">
        <f t="shared" si="22"/>
        <v>6.9587337506624491E-2</v>
      </c>
      <c r="P133" s="40">
        <f t="shared" si="23"/>
        <v>-0.71655555780319291</v>
      </c>
      <c r="Q133" s="40">
        <f t="shared" si="24"/>
        <v>5.9464041140416389E-2</v>
      </c>
      <c r="R133" s="40">
        <f t="shared" si="25"/>
        <v>0.14492084909812486</v>
      </c>
      <c r="S133" s="40">
        <f t="shared" si="26"/>
        <v>-0.13206590851976416</v>
      </c>
      <c r="T133" s="40">
        <f t="shared" si="27"/>
        <v>0.11974763977849237</v>
      </c>
      <c r="U133" s="40">
        <f t="shared" si="30"/>
        <v>0.11233471072346747</v>
      </c>
      <c r="V133" s="40">
        <f t="shared" si="31"/>
        <v>-6.355040026944897E-2</v>
      </c>
      <c r="W133" s="40">
        <f t="shared" si="32"/>
        <v>-0.16806279326175685</v>
      </c>
      <c r="X133" s="40">
        <f t="shared" si="33"/>
        <v>-0.26577914480598008</v>
      </c>
      <c r="Y133" s="40">
        <f t="shared" si="34"/>
        <v>-0.17956230390688208</v>
      </c>
      <c r="Z133" s="40">
        <f t="shared" si="35"/>
        <v>0.16003625952808082</v>
      </c>
      <c r="AA133" s="40">
        <f t="shared" si="36"/>
        <v>-0.10278246284305576</v>
      </c>
      <c r="AB133" s="40">
        <f t="shared" si="37"/>
        <v>-2.248416899241908E-2</v>
      </c>
      <c r="AC133" s="78">
        <v>27.729999542236332</v>
      </c>
      <c r="AD133" s="40">
        <f t="shared" si="28"/>
        <v>-0.35251922351148529</v>
      </c>
    </row>
    <row r="134" spans="2:30" ht="13.95" customHeight="1" x14ac:dyDescent="0.3">
      <c r="B134" s="77">
        <v>42124</v>
      </c>
      <c r="C134" s="107">
        <f t="shared" si="19"/>
        <v>1</v>
      </c>
      <c r="D134" s="107">
        <f t="shared" si="29"/>
        <v>1</v>
      </c>
      <c r="E134" s="106">
        <v>3.2094421473796331</v>
      </c>
      <c r="F134" s="106">
        <v>1.451284616374015</v>
      </c>
      <c r="G134" s="106">
        <v>0.62088520481257514</v>
      </c>
      <c r="H134" s="106">
        <v>0.43358445172644883</v>
      </c>
      <c r="I134" s="106">
        <v>0.62712681075367771</v>
      </c>
      <c r="J134" s="106">
        <v>1.1875978539565111</v>
      </c>
      <c r="K134" s="106">
        <v>1.0722835767933541</v>
      </c>
      <c r="L134" s="106">
        <v>1.623416813743308</v>
      </c>
      <c r="M134" s="40">
        <f t="shared" si="20"/>
        <v>0.2142836861764669</v>
      </c>
      <c r="N134" s="40">
        <f t="shared" si="21"/>
        <v>-9.0753285962968597E-2</v>
      </c>
      <c r="O134" s="40">
        <f t="shared" si="22"/>
        <v>5.9746939333059121E-2</v>
      </c>
      <c r="P134" s="40">
        <f t="shared" si="23"/>
        <v>-1.0031693579409993</v>
      </c>
      <c r="Q134" s="40">
        <f t="shared" si="24"/>
        <v>4.94146116987196E-2</v>
      </c>
      <c r="R134" s="40">
        <f t="shared" si="25"/>
        <v>0.14106608158775644</v>
      </c>
      <c r="S134" s="40">
        <f t="shared" si="26"/>
        <v>-0.1918509910660611</v>
      </c>
      <c r="T134" s="40">
        <f t="shared" si="27"/>
        <v>0.11421646933161521</v>
      </c>
      <c r="U134" s="40">
        <f t="shared" si="30"/>
        <v>0.11696006602371961</v>
      </c>
      <c r="V134" s="40">
        <f t="shared" si="31"/>
        <v>-5.9472233950878577E-2</v>
      </c>
      <c r="W134" s="40">
        <f t="shared" si="32"/>
        <v>-0.16775907907929977</v>
      </c>
      <c r="X134" s="40">
        <f t="shared" si="33"/>
        <v>-0.33450945931227777</v>
      </c>
      <c r="Y134" s="40">
        <f t="shared" si="34"/>
        <v>-0.17957763386900039</v>
      </c>
      <c r="Z134" s="40">
        <f t="shared" si="35"/>
        <v>0.17827290531427653</v>
      </c>
      <c r="AA134" s="40">
        <f t="shared" si="36"/>
        <v>-0.11360951204450773</v>
      </c>
      <c r="AB134" s="40">
        <f t="shared" si="37"/>
        <v>-1.90852737419651E-2</v>
      </c>
      <c r="AC134" s="78">
        <v>29.5</v>
      </c>
      <c r="AD134" s="40">
        <f t="shared" si="28"/>
        <v>-0.31740542733193627</v>
      </c>
    </row>
    <row r="135" spans="2:30" ht="13.95" customHeight="1" x14ac:dyDescent="0.3">
      <c r="B135" s="77">
        <v>42155</v>
      </c>
      <c r="C135" s="107">
        <f t="shared" si="19"/>
        <v>1</v>
      </c>
      <c r="D135" s="107">
        <f t="shared" si="29"/>
        <v>1</v>
      </c>
      <c r="E135" s="106">
        <v>3.2725583413841002</v>
      </c>
      <c r="F135" s="106">
        <v>1.4459864155150359</v>
      </c>
      <c r="G135" s="106">
        <v>0.61600931443289486</v>
      </c>
      <c r="H135" s="106">
        <v>0.44516971414631279</v>
      </c>
      <c r="I135" s="106">
        <v>0.62549607502163174</v>
      </c>
      <c r="J135" s="106">
        <v>1.1344619442713471</v>
      </c>
      <c r="K135" s="106">
        <v>1.0862531355945291</v>
      </c>
      <c r="L135" s="106">
        <v>1.63964279549543</v>
      </c>
      <c r="M135" s="40">
        <f t="shared" si="20"/>
        <v>0.2182285961862965</v>
      </c>
      <c r="N135" s="40">
        <f t="shared" si="21"/>
        <v>-5.3574430474147915E-2</v>
      </c>
      <c r="O135" s="40">
        <f t="shared" si="22"/>
        <v>6.3397912370836461E-3</v>
      </c>
      <c r="P135" s="40">
        <f t="shared" si="23"/>
        <v>-0.95070603811028309</v>
      </c>
      <c r="Q135" s="40">
        <f t="shared" si="24"/>
        <v>1.4570410904092244E-3</v>
      </c>
      <c r="R135" s="40">
        <f t="shared" si="25"/>
        <v>4.7278680806089074E-2</v>
      </c>
      <c r="S135" s="40">
        <f t="shared" si="26"/>
        <v>-0.17330579258541354</v>
      </c>
      <c r="T135" s="40">
        <f t="shared" si="27"/>
        <v>0.11584592891679502</v>
      </c>
      <c r="U135" s="40">
        <f t="shared" si="30"/>
        <v>0.11749394287724302</v>
      </c>
      <c r="V135" s="40">
        <f t="shared" si="31"/>
        <v>-5.8638007344393089E-2</v>
      </c>
      <c r="W135" s="40">
        <f t="shared" si="32"/>
        <v>-0.17488586347913973</v>
      </c>
      <c r="X135" s="40">
        <f t="shared" si="33"/>
        <v>-0.32697157062014853</v>
      </c>
      <c r="Y135" s="40">
        <f t="shared" si="34"/>
        <v>-0.18513315036707859</v>
      </c>
      <c r="Z135" s="40">
        <f t="shared" si="35"/>
        <v>0.14949776214079588</v>
      </c>
      <c r="AA135" s="40">
        <f t="shared" si="36"/>
        <v>-0.11140348428935412</v>
      </c>
      <c r="AB135" s="40">
        <f t="shared" si="37"/>
        <v>-1.9644991903487299E-2</v>
      </c>
      <c r="AC135" s="78">
        <v>28.569999694824219</v>
      </c>
      <c r="AD135" s="40">
        <f t="shared" si="28"/>
        <v>-0.31606437160867068</v>
      </c>
    </row>
    <row r="136" spans="2:30" ht="13.95" customHeight="1" x14ac:dyDescent="0.3">
      <c r="B136" s="77">
        <v>42185</v>
      </c>
      <c r="C136" s="107">
        <f t="shared" si="19"/>
        <v>1</v>
      </c>
      <c r="D136" s="107">
        <f t="shared" si="29"/>
        <v>1</v>
      </c>
      <c r="E136" s="106">
        <v>3.324234212619551</v>
      </c>
      <c r="F136" s="106">
        <v>1.461426976932263</v>
      </c>
      <c r="G136" s="106">
        <v>0.62069422917384776</v>
      </c>
      <c r="H136" s="106">
        <v>0.48151157530362387</v>
      </c>
      <c r="I136" s="106">
        <v>0.62669255514108824</v>
      </c>
      <c r="J136" s="106">
        <v>1.190779677423299</v>
      </c>
      <c r="K136" s="106">
        <v>1.1139591981634751</v>
      </c>
      <c r="L136" s="106">
        <v>1.6615493123069709</v>
      </c>
      <c r="M136" s="40">
        <f t="shared" si="20"/>
        <v>0.20806832176805834</v>
      </c>
      <c r="N136" s="40">
        <f t="shared" si="21"/>
        <v>-1.7152056488483957E-2</v>
      </c>
      <c r="O136" s="40">
        <f t="shared" si="22"/>
        <v>-1.1727511460587915E-2</v>
      </c>
      <c r="P136" s="40">
        <f t="shared" si="23"/>
        <v>-0.858050351634011</v>
      </c>
      <c r="Q136" s="40">
        <f t="shared" si="24"/>
        <v>-2.4119437627406815E-2</v>
      </c>
      <c r="R136" s="40">
        <f t="shared" si="25"/>
        <v>8.445616673013312E-2</v>
      </c>
      <c r="S136" s="40">
        <f t="shared" si="26"/>
        <v>-0.1503923387998557</v>
      </c>
      <c r="T136" s="40">
        <f t="shared" si="27"/>
        <v>0.11682901102450968</v>
      </c>
      <c r="U136" s="40">
        <f t="shared" si="30"/>
        <v>0.11579669563605674</v>
      </c>
      <c r="V136" s="40">
        <f t="shared" si="31"/>
        <v>-5.9927160431050425E-2</v>
      </c>
      <c r="W136" s="40">
        <f t="shared" si="32"/>
        <v>-0.17499857249762682</v>
      </c>
      <c r="X136" s="40">
        <f t="shared" si="33"/>
        <v>-0.30196912063687842</v>
      </c>
      <c r="Y136" s="40">
        <f t="shared" si="34"/>
        <v>-0.1867040963283523</v>
      </c>
      <c r="Z136" s="40">
        <f t="shared" si="35"/>
        <v>0.16156052509159802</v>
      </c>
      <c r="AA136" s="40">
        <f t="shared" si="36"/>
        <v>-0.10427896716282938</v>
      </c>
      <c r="AB136" s="40">
        <f t="shared" si="37"/>
        <v>-2.0157862473919142E-2</v>
      </c>
      <c r="AC136" s="78">
        <v>29.059999465942379</v>
      </c>
      <c r="AD136" s="40">
        <f t="shared" si="28"/>
        <v>-0.3054178551503024</v>
      </c>
    </row>
    <row r="137" spans="2:30" ht="13.95" customHeight="1" x14ac:dyDescent="0.3">
      <c r="B137" s="77">
        <v>42216</v>
      </c>
      <c r="C137" s="107">
        <f t="shared" si="19"/>
        <v>1</v>
      </c>
      <c r="D137" s="107">
        <f t="shared" si="29"/>
        <v>1</v>
      </c>
      <c r="E137" s="106">
        <v>3.3299603763768859</v>
      </c>
      <c r="F137" s="106">
        <v>1.4657376598969829</v>
      </c>
      <c r="G137" s="106">
        <v>0.62684254466555511</v>
      </c>
      <c r="H137" s="106">
        <v>0.47002465463884452</v>
      </c>
      <c r="I137" s="106">
        <v>0.62414814367755389</v>
      </c>
      <c r="J137" s="106">
        <v>1.3195094871776081</v>
      </c>
      <c r="K137" s="106">
        <v>1.1120519958324711</v>
      </c>
      <c r="L137" s="106">
        <v>1.6669669442755191</v>
      </c>
      <c r="M137" s="40">
        <f t="shared" si="20"/>
        <v>0.20241555823818774</v>
      </c>
      <c r="N137" s="40">
        <f t="shared" si="21"/>
        <v>-1.0947400574079105E-2</v>
      </c>
      <c r="O137" s="40">
        <f t="shared" si="22"/>
        <v>4.2293378870605757E-3</v>
      </c>
      <c r="P137" s="40">
        <f t="shared" si="23"/>
        <v>-0.86878526687483792</v>
      </c>
      <c r="Q137" s="40">
        <f t="shared" si="24"/>
        <v>-1.8044872570233579E-2</v>
      </c>
      <c r="R137" s="40">
        <f t="shared" si="25"/>
        <v>0.16367618825959462</v>
      </c>
      <c r="S137" s="40">
        <f t="shared" si="26"/>
        <v>-0.14862676315151904</v>
      </c>
      <c r="T137" s="40">
        <f t="shared" si="27"/>
        <v>0.11757972617749812</v>
      </c>
      <c r="U137" s="40">
        <f t="shared" si="30"/>
        <v>0.11693798508692652</v>
      </c>
      <c r="V137" s="40">
        <f t="shared" si="31"/>
        <v>-5.664075103623642E-2</v>
      </c>
      <c r="W137" s="40">
        <f t="shared" si="32"/>
        <v>-0.17134025186005913</v>
      </c>
      <c r="X137" s="40">
        <f t="shared" si="33"/>
        <v>-0.30753676905990535</v>
      </c>
      <c r="Y137" s="40">
        <f t="shared" si="34"/>
        <v>-0.18628942922974401</v>
      </c>
      <c r="Z137" s="40">
        <f t="shared" si="35"/>
        <v>0.17711641239590165</v>
      </c>
      <c r="AA137" s="40">
        <f t="shared" si="36"/>
        <v>-0.10379359250645216</v>
      </c>
      <c r="AB137" s="40">
        <f t="shared" si="37"/>
        <v>-1.7982940758686082E-2</v>
      </c>
      <c r="AC137" s="78">
        <v>25.639999389648441</v>
      </c>
      <c r="AD137" s="40">
        <f t="shared" si="28"/>
        <v>-0.37269267576326537</v>
      </c>
    </row>
    <row r="138" spans="2:30" ht="13.95" customHeight="1" x14ac:dyDescent="0.3">
      <c r="B138" s="77">
        <v>42247</v>
      </c>
      <c r="C138" s="107">
        <f t="shared" si="19"/>
        <v>1</v>
      </c>
      <c r="D138" s="107">
        <f t="shared" si="29"/>
        <v>1</v>
      </c>
      <c r="E138" s="106">
        <v>3.4118955673739122</v>
      </c>
      <c r="F138" s="106">
        <v>1.4610630535488931</v>
      </c>
      <c r="G138" s="106">
        <v>0.63033987912877043</v>
      </c>
      <c r="H138" s="106">
        <v>0.46740566159348018</v>
      </c>
      <c r="I138" s="106">
        <v>0.62374287837912246</v>
      </c>
      <c r="J138" s="106">
        <v>1.376908205565319</v>
      </c>
      <c r="K138" s="106">
        <v>1.124968959694709</v>
      </c>
      <c r="L138" s="106">
        <v>1.6926062679023901</v>
      </c>
      <c r="M138" s="40">
        <f t="shared" si="20"/>
        <v>0.19141076138981036</v>
      </c>
      <c r="N138" s="40">
        <f t="shared" si="21"/>
        <v>-1.3419964696118197E-2</v>
      </c>
      <c r="O138" s="40">
        <f t="shared" si="22"/>
        <v>7.9714796897688203E-3</v>
      </c>
      <c r="P138" s="40">
        <f t="shared" si="23"/>
        <v>-0.85127502577519043</v>
      </c>
      <c r="Q138" s="40">
        <f t="shared" si="24"/>
        <v>-1.8100904854877954E-2</v>
      </c>
      <c r="R138" s="40">
        <f t="shared" si="25"/>
        <v>0.18627415251506235</v>
      </c>
      <c r="S138" s="40">
        <f t="shared" si="26"/>
        <v>-0.14185233664273067</v>
      </c>
      <c r="T138" s="40">
        <f t="shared" si="27"/>
        <v>0.11214734248430373</v>
      </c>
      <c r="U138" s="40">
        <f t="shared" si="30"/>
        <v>0.12475871707679682</v>
      </c>
      <c r="V138" s="40">
        <f t="shared" si="31"/>
        <v>-5.5212259476821617E-2</v>
      </c>
      <c r="W138" s="40">
        <f t="shared" si="32"/>
        <v>-0.17001104530559422</v>
      </c>
      <c r="X138" s="40">
        <f t="shared" si="33"/>
        <v>-0.30408240176806367</v>
      </c>
      <c r="Y138" s="40">
        <f t="shared" si="34"/>
        <v>-0.18619866116975706</v>
      </c>
      <c r="Z138" s="40">
        <f t="shared" si="35"/>
        <v>0.17376201533781457</v>
      </c>
      <c r="AA138" s="40">
        <f t="shared" si="36"/>
        <v>-9.7892735816013418E-2</v>
      </c>
      <c r="AB138" s="40">
        <f t="shared" si="37"/>
        <v>-1.2989016642085032E-2</v>
      </c>
      <c r="AC138" s="78">
        <v>25.29999923706055</v>
      </c>
      <c r="AD138" s="40">
        <f t="shared" si="28"/>
        <v>-0.37686506207253773</v>
      </c>
    </row>
    <row r="139" spans="2:30" ht="13.95" customHeight="1" x14ac:dyDescent="0.3">
      <c r="B139" s="77">
        <v>42277</v>
      </c>
      <c r="C139" s="107">
        <f t="shared" si="19"/>
        <v>1</v>
      </c>
      <c r="D139" s="107">
        <f t="shared" si="29"/>
        <v>1</v>
      </c>
      <c r="E139" s="106">
        <v>3.4072735113896599</v>
      </c>
      <c r="F139" s="106">
        <v>1.484816928321999</v>
      </c>
      <c r="G139" s="106">
        <v>0.63426530153011118</v>
      </c>
      <c r="H139" s="106">
        <v>0.44101356746353337</v>
      </c>
      <c r="I139" s="106">
        <v>0.62131183636050669</v>
      </c>
      <c r="J139" s="106">
        <v>1.466276958736654</v>
      </c>
      <c r="K139" s="106">
        <v>1.117113255634824</v>
      </c>
      <c r="L139" s="106">
        <v>1.698910935770146</v>
      </c>
      <c r="M139" s="40">
        <f t="shared" si="20"/>
        <v>0.16564002754690521</v>
      </c>
      <c r="N139" s="40">
        <f t="shared" si="21"/>
        <v>-1.0193691387570225E-2</v>
      </c>
      <c r="O139" s="40">
        <f t="shared" si="22"/>
        <v>2.1286583897087787E-2</v>
      </c>
      <c r="P139" s="40">
        <f t="shared" si="23"/>
        <v>-0.88173339869175704</v>
      </c>
      <c r="Q139" s="40">
        <f t="shared" si="24"/>
        <v>-1.0636027006240934E-2</v>
      </c>
      <c r="R139" s="40">
        <f t="shared" si="25"/>
        <v>0.22199935534463813</v>
      </c>
      <c r="S139" s="40">
        <f t="shared" si="26"/>
        <v>-0.14951052343884394</v>
      </c>
      <c r="T139" s="40">
        <f t="shared" si="27"/>
        <v>9.9675007576135732E-2</v>
      </c>
      <c r="U139" s="40">
        <f t="shared" si="30"/>
        <v>0.12123382455378603</v>
      </c>
      <c r="V139" s="40">
        <f t="shared" si="31"/>
        <v>-4.432849933504257E-2</v>
      </c>
      <c r="W139" s="40">
        <f t="shared" si="32"/>
        <v>-0.17030899475265721</v>
      </c>
      <c r="X139" s="40">
        <f t="shared" si="33"/>
        <v>-0.32262980002196123</v>
      </c>
      <c r="Y139" s="40">
        <f t="shared" si="34"/>
        <v>-0.18871917730683005</v>
      </c>
      <c r="Z139" s="40">
        <f t="shared" si="35"/>
        <v>0.17399322994186087</v>
      </c>
      <c r="AA139" s="40">
        <f t="shared" si="36"/>
        <v>-0.10173910418231949</v>
      </c>
      <c r="AB139" s="40">
        <f t="shared" si="37"/>
        <v>-1.2322533957156316E-2</v>
      </c>
      <c r="AC139" s="78">
        <v>24.45000076293945</v>
      </c>
      <c r="AD139" s="40">
        <f t="shared" si="28"/>
        <v>-0.34055381265983081</v>
      </c>
    </row>
    <row r="140" spans="2:30" ht="13.95" customHeight="1" x14ac:dyDescent="0.3">
      <c r="B140" s="77">
        <v>42308</v>
      </c>
      <c r="C140" s="107">
        <f t="shared" si="19"/>
        <v>1</v>
      </c>
      <c r="D140" s="107">
        <f t="shared" si="29"/>
        <v>1</v>
      </c>
      <c r="E140" s="106">
        <v>3.25494267617302</v>
      </c>
      <c r="F140" s="106">
        <v>1.4527667384018079</v>
      </c>
      <c r="G140" s="106">
        <v>0.642337161069921</v>
      </c>
      <c r="H140" s="106">
        <v>0.52081228647983058</v>
      </c>
      <c r="I140" s="106">
        <v>0.62224396088671896</v>
      </c>
      <c r="J140" s="106">
        <v>1.585066616102794</v>
      </c>
      <c r="K140" s="106">
        <v>1.1234060475736609</v>
      </c>
      <c r="L140" s="106">
        <v>1.6465490389344859</v>
      </c>
      <c r="M140" s="40">
        <f t="shared" si="20"/>
        <v>9.7391142386452453E-2</v>
      </c>
      <c r="N140" s="40">
        <f t="shared" si="21"/>
        <v>-2.4655573092863068E-2</v>
      </c>
      <c r="O140" s="40">
        <f t="shared" si="22"/>
        <v>-1.3654135177662787E-2</v>
      </c>
      <c r="P140" s="40">
        <f t="shared" si="23"/>
        <v>-0.65053482764680925</v>
      </c>
      <c r="Q140" s="40">
        <f t="shared" si="24"/>
        <v>-5.7130614145587372E-2</v>
      </c>
      <c r="R140" s="40">
        <f t="shared" si="25"/>
        <v>0.255328079679224</v>
      </c>
      <c r="S140" s="40">
        <f t="shared" si="26"/>
        <v>-0.13461637153889727</v>
      </c>
      <c r="T140" s="40">
        <f t="shared" si="27"/>
        <v>4.9279301801844103E-2</v>
      </c>
      <c r="U140" s="40">
        <f t="shared" si="30"/>
        <v>0.10942774518718948</v>
      </c>
      <c r="V140" s="40">
        <f t="shared" si="31"/>
        <v>-4.7992264159292607E-2</v>
      </c>
      <c r="W140" s="40">
        <f t="shared" si="32"/>
        <v>-0.15699627626742529</v>
      </c>
      <c r="X140" s="40">
        <f t="shared" si="33"/>
        <v>-0.27583684249862561</v>
      </c>
      <c r="Y140" s="40">
        <f t="shared" si="34"/>
        <v>-0.1775330846099723</v>
      </c>
      <c r="Z140" s="40">
        <f t="shared" si="35"/>
        <v>0.17981581988119721</v>
      </c>
      <c r="AA140" s="40">
        <f t="shared" si="36"/>
        <v>-9.571578268442428E-2</v>
      </c>
      <c r="AB140" s="40">
        <f t="shared" si="37"/>
        <v>-1.6110284183205179E-2</v>
      </c>
      <c r="AC140" s="78">
        <v>24.260000228881839</v>
      </c>
      <c r="AD140" s="40">
        <f t="shared" si="28"/>
        <v>-0.33929480260386141</v>
      </c>
    </row>
    <row r="141" spans="2:30" ht="13.95" customHeight="1" x14ac:dyDescent="0.3">
      <c r="B141" s="77">
        <v>42338</v>
      </c>
      <c r="C141" s="107">
        <f t="shared" si="19"/>
        <v>1</v>
      </c>
      <c r="D141" s="107">
        <f t="shared" si="29"/>
        <v>1</v>
      </c>
      <c r="E141" s="106">
        <v>3.208294827802284</v>
      </c>
      <c r="F141" s="106">
        <v>1.4236730829940061</v>
      </c>
      <c r="G141" s="106">
        <v>0.64165481324281193</v>
      </c>
      <c r="H141" s="106">
        <v>0.53840246212290876</v>
      </c>
      <c r="I141" s="106">
        <v>0.61787405858336464</v>
      </c>
      <c r="J141" s="106">
        <v>1.636655506754078</v>
      </c>
      <c r="K141" s="106">
        <v>1.1191416910687131</v>
      </c>
      <c r="L141" s="106">
        <v>1.624441198613445</v>
      </c>
      <c r="M141" s="40">
        <f t="shared" si="20"/>
        <v>7.7176836077252758E-2</v>
      </c>
      <c r="N141" s="40">
        <f t="shared" si="21"/>
        <v>-4.1791381953650376E-2</v>
      </c>
      <c r="O141" s="40">
        <f t="shared" si="22"/>
        <v>-2.9872638445424117E-3</v>
      </c>
      <c r="P141" s="40">
        <f t="shared" si="23"/>
        <v>-0.57659607743440888</v>
      </c>
      <c r="Q141" s="40">
        <f t="shared" si="24"/>
        <v>-4.6304822404726512E-2</v>
      </c>
      <c r="R141" s="40">
        <f t="shared" si="25"/>
        <v>0.25293681465280837</v>
      </c>
      <c r="S141" s="40">
        <f t="shared" si="26"/>
        <v>-0.1256906824371197</v>
      </c>
      <c r="T141" s="40">
        <f t="shared" si="27"/>
        <v>3.519392464348324E-2</v>
      </c>
      <c r="U141" s="40">
        <f t="shared" si="30"/>
        <v>0.10364063298256337</v>
      </c>
      <c r="V141" s="40">
        <f t="shared" si="31"/>
        <v>-5.1575302791645662E-2</v>
      </c>
      <c r="W141" s="40">
        <f t="shared" si="32"/>
        <v>-0.15576240959098692</v>
      </c>
      <c r="X141" s="40">
        <f t="shared" si="33"/>
        <v>-0.27067544260565218</v>
      </c>
      <c r="Y141" s="40">
        <f t="shared" si="34"/>
        <v>-0.17758610374892331</v>
      </c>
      <c r="Z141" s="40">
        <f t="shared" si="35"/>
        <v>0.18223162799920251</v>
      </c>
      <c r="AA141" s="40">
        <f t="shared" si="36"/>
        <v>-9.8202079250130789E-2</v>
      </c>
      <c r="AB141" s="40">
        <f t="shared" si="37"/>
        <v>-1.9431759746028312E-2</v>
      </c>
      <c r="AC141" s="78">
        <v>22.25</v>
      </c>
      <c r="AD141" s="40">
        <f t="shared" si="28"/>
        <v>-0.38258355583643572</v>
      </c>
    </row>
    <row r="142" spans="2:30" ht="13.95" customHeight="1" x14ac:dyDescent="0.3">
      <c r="B142" s="77">
        <v>42369</v>
      </c>
      <c r="C142" s="107">
        <f t="shared" si="19"/>
        <v>1</v>
      </c>
      <c r="D142" s="107">
        <f t="shared" si="29"/>
        <v>1</v>
      </c>
      <c r="E142" s="106">
        <v>3.2563874886268658</v>
      </c>
      <c r="F142" s="106">
        <v>1.440287856861094</v>
      </c>
      <c r="G142" s="106">
        <v>0.64845502000681754</v>
      </c>
      <c r="H142" s="106">
        <v>0.51678347394183488</v>
      </c>
      <c r="I142" s="106">
        <v>0.62319818259088966</v>
      </c>
      <c r="J142" s="106">
        <v>1.671234216437564</v>
      </c>
      <c r="K142" s="106">
        <v>1.12181671253198</v>
      </c>
      <c r="L142" s="106">
        <v>1.646481793543513</v>
      </c>
      <c r="M142" s="40">
        <f t="shared" si="20"/>
        <v>7.8147814735882046E-2</v>
      </c>
      <c r="N142" s="40">
        <f t="shared" si="21"/>
        <v>9.3070859091038891E-3</v>
      </c>
      <c r="O142" s="40">
        <f t="shared" si="22"/>
        <v>1.6363119408116168E-2</v>
      </c>
      <c r="P142" s="40">
        <f t="shared" si="23"/>
        <v>-0.42877354237221299</v>
      </c>
      <c r="Q142" s="40">
        <f t="shared" si="24"/>
        <v>-2.4882929230359802E-2</v>
      </c>
      <c r="R142" s="40">
        <f t="shared" si="25"/>
        <v>0.25325331911358928</v>
      </c>
      <c r="S142" s="40">
        <f t="shared" si="26"/>
        <v>-6.4025102325028074E-2</v>
      </c>
      <c r="T142" s="40">
        <f t="shared" si="27"/>
        <v>5.1863727548865084E-2</v>
      </c>
      <c r="U142" s="40">
        <f t="shared" si="30"/>
        <v>0.10443404525017205</v>
      </c>
      <c r="V142" s="40">
        <f t="shared" si="31"/>
        <v>-5.4281619136205592E-2</v>
      </c>
      <c r="W142" s="40">
        <f t="shared" si="32"/>
        <v>-0.15578145400887633</v>
      </c>
      <c r="X142" s="40">
        <f t="shared" si="33"/>
        <v>-0.27303994857263925</v>
      </c>
      <c r="Y142" s="40">
        <f t="shared" si="34"/>
        <v>-0.17801423623995521</v>
      </c>
      <c r="Z142" s="40">
        <f t="shared" si="35"/>
        <v>0.18198778376860839</v>
      </c>
      <c r="AA142" s="40">
        <f t="shared" si="36"/>
        <v>-9.5547477965046992E-2</v>
      </c>
      <c r="AB142" s="40">
        <f t="shared" si="37"/>
        <v>-1.9539850959820838E-2</v>
      </c>
      <c r="AC142" s="78">
        <v>21.469999313354489</v>
      </c>
      <c r="AD142" s="40">
        <f t="shared" si="28"/>
        <v>-0.33153628763122589</v>
      </c>
    </row>
    <row r="143" spans="2:30" ht="13.95" customHeight="1" x14ac:dyDescent="0.3">
      <c r="B143" s="77">
        <v>42400</v>
      </c>
      <c r="C143" s="107">
        <f t="shared" si="19"/>
        <v>1</v>
      </c>
      <c r="D143" s="107">
        <f t="shared" si="29"/>
        <v>1</v>
      </c>
      <c r="E143" s="106">
        <v>3.2589783855934149</v>
      </c>
      <c r="F143" s="106">
        <v>1.4544701627831531</v>
      </c>
      <c r="G143" s="106">
        <v>0.6549193745846007</v>
      </c>
      <c r="H143" s="106">
        <v>0.39238924123013502</v>
      </c>
      <c r="I143" s="106">
        <v>0.62750667373912516</v>
      </c>
      <c r="J143" s="106">
        <v>1.7121523716386671</v>
      </c>
      <c r="K143" s="106">
        <v>1.0702768395436451</v>
      </c>
      <c r="L143" s="106">
        <v>1.6534404109991581</v>
      </c>
      <c r="M143" s="40">
        <f t="shared" si="20"/>
        <v>7.2551800096359975E-2</v>
      </c>
      <c r="N143" s="40">
        <f t="shared" si="21"/>
        <v>4.1724306118288798E-2</v>
      </c>
      <c r="O143" s="40">
        <f t="shared" si="22"/>
        <v>-1.6366224050051219E-2</v>
      </c>
      <c r="P143" s="40">
        <f t="shared" si="23"/>
        <v>-0.50083286542810623</v>
      </c>
      <c r="Q143" s="40">
        <f t="shared" si="24"/>
        <v>-6.5371752087629631E-2</v>
      </c>
      <c r="R143" s="40">
        <f t="shared" si="25"/>
        <v>0.2670876138797395</v>
      </c>
      <c r="S143" s="40">
        <f t="shared" si="26"/>
        <v>-6.2556729934027208E-2</v>
      </c>
      <c r="T143" s="40">
        <f t="shared" si="27"/>
        <v>5.0361591472260603E-2</v>
      </c>
      <c r="U143" s="40">
        <f t="shared" si="30"/>
        <v>0.1038786519713229</v>
      </c>
      <c r="V143" s="40">
        <f t="shared" si="31"/>
        <v>-5.6345888541225145E-2</v>
      </c>
      <c r="W143" s="40">
        <f t="shared" si="32"/>
        <v>-0.14323819436721491</v>
      </c>
      <c r="X143" s="40">
        <f t="shared" si="33"/>
        <v>-0.33635973380084877</v>
      </c>
      <c r="Y143" s="40">
        <f t="shared" si="34"/>
        <v>-0.16591464347531062</v>
      </c>
      <c r="Z143" s="40">
        <f t="shared" si="35"/>
        <v>0.18076277911711136</v>
      </c>
      <c r="AA143" s="40">
        <f t="shared" si="36"/>
        <v>-0.10299471642162614</v>
      </c>
      <c r="AB143" s="40">
        <f t="shared" si="37"/>
        <v>-1.5142342499224059E-2</v>
      </c>
      <c r="AC143" s="78">
        <v>21.010000228881839</v>
      </c>
      <c r="AD143" s="40">
        <f t="shared" si="28"/>
        <v>-0.3073586798101387</v>
      </c>
    </row>
    <row r="144" spans="2:30" ht="13.95" customHeight="1" x14ac:dyDescent="0.3">
      <c r="B144" s="77">
        <v>42429</v>
      </c>
      <c r="C144" s="107">
        <f t="shared" si="19"/>
        <v>1</v>
      </c>
      <c r="D144" s="107">
        <f t="shared" ref="D144:D175" si="38">IF(B144&gt;=EBStart,1,0)</f>
        <v>1</v>
      </c>
      <c r="E144" s="106">
        <v>3.2528950270732331</v>
      </c>
      <c r="F144" s="106">
        <v>1.447739754755428</v>
      </c>
      <c r="G144" s="106">
        <v>0.65090950158657812</v>
      </c>
      <c r="H144" s="106">
        <v>0.36868086335488492</v>
      </c>
      <c r="I144" s="106">
        <v>0.62344363656912571</v>
      </c>
      <c r="J144" s="106">
        <v>1.704548702678758</v>
      </c>
      <c r="K144" s="106">
        <v>1.0575338647131001</v>
      </c>
      <c r="L144" s="106">
        <v>1.648244341453873</v>
      </c>
      <c r="M144" s="40">
        <f t="shared" si="20"/>
        <v>3.5994010136798614E-2</v>
      </c>
      <c r="N144" s="40">
        <f t="shared" si="21"/>
        <v>4.6539021104127422E-2</v>
      </c>
      <c r="O144" s="40">
        <f t="shared" si="22"/>
        <v>-1.7236499838106979E-2</v>
      </c>
      <c r="P144" s="40">
        <f t="shared" si="23"/>
        <v>-0.50650206032964706</v>
      </c>
      <c r="Q144" s="40">
        <f t="shared" si="24"/>
        <v>-6.0307383882228234E-2</v>
      </c>
      <c r="R144" s="40">
        <f t="shared" si="25"/>
        <v>0.21427344649330385</v>
      </c>
      <c r="S144" s="40">
        <f t="shared" si="26"/>
        <v>-7.3926193287653513E-2</v>
      </c>
      <c r="T144" s="40">
        <f t="shared" si="27"/>
        <v>2.9176226712652867E-2</v>
      </c>
      <c r="U144" s="40">
        <f t="shared" ref="U144:U175" si="39">LN(E144/E96)/4</f>
        <v>0.10066449740833673</v>
      </c>
      <c r="V144" s="40">
        <f t="shared" ref="V144:V175" si="40">LN(F144/F96)/4</f>
        <v>-4.7912289772011001E-2</v>
      </c>
      <c r="W144" s="40">
        <f t="shared" ref="W144:W175" si="41">LN(G144/G96)/4</f>
        <v>-0.13884362391787175</v>
      </c>
      <c r="X144" s="40">
        <f t="shared" ref="X144:X175" si="42">LN(H144/H96)/4</f>
        <v>-0.34178441812750165</v>
      </c>
      <c r="Y144" s="40">
        <f t="shared" ref="Y144:Y175" si="43">LN(I144/I96)/4</f>
        <v>-0.16168062448290182</v>
      </c>
      <c r="Z144" s="40">
        <f t="shared" ref="Z144:Z175" si="44">LN(J144/J96)/4</f>
        <v>0.189312031641937</v>
      </c>
      <c r="AA144" s="40">
        <f t="shared" ref="AA144:AA175" si="45">LN(K144/K96)/4</f>
        <v>-9.9456954550282972E-2</v>
      </c>
      <c r="AB144" s="40">
        <f t="shared" ref="AB144:AB175" si="46">LN(L144/L96)/4</f>
        <v>-1.2240192712500757E-2</v>
      </c>
      <c r="AC144" s="78">
        <v>20.659999847412109</v>
      </c>
      <c r="AD144" s="40">
        <f t="shared" si="28"/>
        <v>-0.35177431747921467</v>
      </c>
    </row>
    <row r="145" spans="2:30" ht="13.95" customHeight="1" x14ac:dyDescent="0.3">
      <c r="B145" s="77">
        <v>42460</v>
      </c>
      <c r="C145" s="107">
        <f t="shared" si="19"/>
        <v>1</v>
      </c>
      <c r="D145" s="107">
        <f t="shared" si="38"/>
        <v>1</v>
      </c>
      <c r="E145" s="106">
        <v>3.2477584966359312</v>
      </c>
      <c r="F145" s="106">
        <v>1.4286490706915209</v>
      </c>
      <c r="G145" s="106">
        <v>0.64816248512664498</v>
      </c>
      <c r="H145" s="106">
        <v>0.3718605207300088</v>
      </c>
      <c r="I145" s="106">
        <v>0.63121769712854414</v>
      </c>
      <c r="J145" s="106">
        <v>1.5592930941622449</v>
      </c>
      <c r="K145" s="106">
        <v>1.0548852495668479</v>
      </c>
      <c r="L145" s="106">
        <v>1.640860582395796</v>
      </c>
      <c r="M145" s="40">
        <f t="shared" si="20"/>
        <v>2.3665056243382183E-2</v>
      </c>
      <c r="N145" s="40">
        <f t="shared" si="21"/>
        <v>1.5846660097583832E-2</v>
      </c>
      <c r="O145" s="40">
        <f t="shared" si="22"/>
        <v>3.6123545379726028E-2</v>
      </c>
      <c r="P145" s="40">
        <f t="shared" si="23"/>
        <v>-0.43295308607387373</v>
      </c>
      <c r="Q145" s="40">
        <f t="shared" si="24"/>
        <v>2.1825025261286481E-4</v>
      </c>
      <c r="R145" s="40">
        <f t="shared" si="25"/>
        <v>0.26019372618108999</v>
      </c>
      <c r="S145" s="40">
        <f t="shared" si="26"/>
        <v>-6.2103390942307941E-2</v>
      </c>
      <c r="T145" s="40">
        <f t="shared" si="27"/>
        <v>2.3935824178947442E-2</v>
      </c>
      <c r="U145" s="40">
        <f t="shared" si="39"/>
        <v>9.5943314258721421E-2</v>
      </c>
      <c r="V145" s="40">
        <f t="shared" si="40"/>
        <v>-4.3315628072194877E-2</v>
      </c>
      <c r="W145" s="40">
        <f t="shared" si="41"/>
        <v>-0.14334939055284271</v>
      </c>
      <c r="X145" s="40">
        <f t="shared" si="42"/>
        <v>-0.33756390989797586</v>
      </c>
      <c r="Y145" s="40">
        <f t="shared" si="43"/>
        <v>-0.16181153372495255</v>
      </c>
      <c r="Z145" s="40">
        <f t="shared" si="44"/>
        <v>0.15242081248681319</v>
      </c>
      <c r="AA145" s="40">
        <f t="shared" si="45"/>
        <v>-9.9966402118205969E-2</v>
      </c>
      <c r="AB145" s="40">
        <f t="shared" si="46"/>
        <v>-1.4753953894499617E-2</v>
      </c>
      <c r="AC145" s="78">
        <v>21.5</v>
      </c>
      <c r="AD145" s="40">
        <f t="shared" si="28"/>
        <v>-0.25446190798618379</v>
      </c>
    </row>
    <row r="146" spans="2:30" ht="13.95" customHeight="1" x14ac:dyDescent="0.3">
      <c r="B146" s="77">
        <v>42490</v>
      </c>
      <c r="C146" s="107">
        <f t="shared" si="19"/>
        <v>1</v>
      </c>
      <c r="D146" s="107">
        <f t="shared" si="38"/>
        <v>1</v>
      </c>
      <c r="E146" s="106">
        <v>3.2636295671879241</v>
      </c>
      <c r="F146" s="106">
        <v>1.4669534727907321</v>
      </c>
      <c r="G146" s="106">
        <v>0.65396042800539089</v>
      </c>
      <c r="H146" s="106">
        <v>0.36835150092253599</v>
      </c>
      <c r="I146" s="106">
        <v>0.64507528644889989</v>
      </c>
      <c r="J146" s="106">
        <v>1.4676582557518509</v>
      </c>
      <c r="K146" s="106">
        <v>1.0624713054972079</v>
      </c>
      <c r="L146" s="106">
        <v>1.657668059797452</v>
      </c>
      <c r="M146" s="40">
        <f t="shared" si="20"/>
        <v>1.6742804040087458E-2</v>
      </c>
      <c r="N146" s="40">
        <f t="shared" si="21"/>
        <v>1.0738676224690817E-2</v>
      </c>
      <c r="O146" s="40">
        <f t="shared" si="22"/>
        <v>5.1900632518177801E-2</v>
      </c>
      <c r="P146" s="40">
        <f t="shared" si="23"/>
        <v>-0.16304894307908252</v>
      </c>
      <c r="Q146" s="40">
        <f t="shared" si="24"/>
        <v>2.8218262971730353E-2</v>
      </c>
      <c r="R146" s="40">
        <f t="shared" si="25"/>
        <v>0.2117354504183174</v>
      </c>
      <c r="S146" s="40">
        <f t="shared" si="26"/>
        <v>-9.1929433964907728E-3</v>
      </c>
      <c r="T146" s="40">
        <f t="shared" si="27"/>
        <v>2.0878759072821204E-2</v>
      </c>
      <c r="U146" s="40">
        <f t="shared" si="39"/>
        <v>9.8350318041935766E-2</v>
      </c>
      <c r="V146" s="40">
        <f t="shared" si="40"/>
        <v>-3.2668230472437054E-2</v>
      </c>
      <c r="W146" s="40">
        <f t="shared" si="41"/>
        <v>-0.13750191901222655</v>
      </c>
      <c r="X146" s="40">
        <f t="shared" si="42"/>
        <v>-0.34051003322100226</v>
      </c>
      <c r="Y146" s="40">
        <f t="shared" si="43"/>
        <v>-0.15216805596500196</v>
      </c>
      <c r="Z146" s="40">
        <f t="shared" si="44"/>
        <v>0.11377313950795515</v>
      </c>
      <c r="AA146" s="40">
        <f t="shared" si="45"/>
        <v>-9.6869646860109571E-2</v>
      </c>
      <c r="AB146" s="40">
        <f t="shared" si="46"/>
        <v>-9.4012250547317062E-3</v>
      </c>
      <c r="AC146" s="78">
        <v>23.629999160766602</v>
      </c>
      <c r="AD146" s="40">
        <f t="shared" si="28"/>
        <v>-0.22187320766254859</v>
      </c>
    </row>
    <row r="147" spans="2:30" ht="13.95" customHeight="1" x14ac:dyDescent="0.3">
      <c r="B147" s="77">
        <v>42521</v>
      </c>
      <c r="C147" s="107">
        <f t="shared" si="19"/>
        <v>1</v>
      </c>
      <c r="D147" s="107">
        <f t="shared" si="38"/>
        <v>1</v>
      </c>
      <c r="E147" s="106">
        <v>3.2681857253703779</v>
      </c>
      <c r="F147" s="106">
        <v>1.4755972329054281</v>
      </c>
      <c r="G147" s="106">
        <v>0.65235877013379917</v>
      </c>
      <c r="H147" s="106">
        <v>0.5208384960902388</v>
      </c>
      <c r="I147" s="106">
        <v>0.65373188999382648</v>
      </c>
      <c r="J147" s="106">
        <v>1.3641888905802551</v>
      </c>
      <c r="K147" s="106">
        <v>1.1289398305513321</v>
      </c>
      <c r="L147" s="106">
        <v>1.6606816012416781</v>
      </c>
      <c r="M147" s="40">
        <f t="shared" si="20"/>
        <v>-1.3370395234844519E-3</v>
      </c>
      <c r="N147" s="40">
        <f t="shared" si="21"/>
        <v>2.0271082338922653E-2</v>
      </c>
      <c r="O147" s="40">
        <f t="shared" si="22"/>
        <v>5.7332587278202604E-2</v>
      </c>
      <c r="P147" s="40">
        <f t="shared" si="23"/>
        <v>0.15698441582316952</v>
      </c>
      <c r="Q147" s="40">
        <f t="shared" si="24"/>
        <v>4.4152258323302704E-2</v>
      </c>
      <c r="R147" s="40">
        <f t="shared" si="25"/>
        <v>0.18440155204182473</v>
      </c>
      <c r="S147" s="40">
        <f t="shared" si="26"/>
        <v>3.8544705067806627E-2</v>
      </c>
      <c r="T147" s="40">
        <f t="shared" si="27"/>
        <v>1.2749710763837116E-2</v>
      </c>
      <c r="U147" s="40">
        <f t="shared" si="39"/>
        <v>0.10544449807168782</v>
      </c>
      <c r="V147" s="40">
        <f t="shared" si="40"/>
        <v>-3.9159375635053881E-2</v>
      </c>
      <c r="W147" s="40">
        <f t="shared" si="41"/>
        <v>-0.11788740070088853</v>
      </c>
      <c r="X147" s="40">
        <f t="shared" si="42"/>
        <v>-0.25582576612122315</v>
      </c>
      <c r="Y147" s="40">
        <f t="shared" si="43"/>
        <v>-0.12794857168712681</v>
      </c>
      <c r="Z147" s="40">
        <f t="shared" si="44"/>
        <v>8.7106030948169919E-2</v>
      </c>
      <c r="AA147" s="40">
        <f t="shared" si="45"/>
        <v>-7.7276775537970618E-2</v>
      </c>
      <c r="AB147" s="40">
        <f t="shared" si="46"/>
        <v>5.9551986521211048E-4</v>
      </c>
      <c r="AC147" s="78">
        <v>23.489999771118161</v>
      </c>
      <c r="AD147" s="40">
        <f t="shared" si="28"/>
        <v>-0.19578241663397292</v>
      </c>
    </row>
    <row r="148" spans="2:30" ht="13.95" customHeight="1" x14ac:dyDescent="0.3">
      <c r="B148" s="77">
        <v>42551</v>
      </c>
      <c r="C148" s="107">
        <f t="shared" si="19"/>
        <v>1</v>
      </c>
      <c r="D148" s="107">
        <f t="shared" si="38"/>
        <v>1</v>
      </c>
      <c r="E148" s="106">
        <v>3.281788704299816</v>
      </c>
      <c r="F148" s="106">
        <v>1.4452822265028249</v>
      </c>
      <c r="G148" s="106">
        <v>0.65828536195244669</v>
      </c>
      <c r="H148" s="106">
        <v>0.54821798558890134</v>
      </c>
      <c r="I148" s="106">
        <v>0.66082142981119352</v>
      </c>
      <c r="J148" s="106">
        <v>1.365522530396966</v>
      </c>
      <c r="K148" s="106">
        <v>1.1398223099614699</v>
      </c>
      <c r="L148" s="106">
        <v>1.6594561733816919</v>
      </c>
      <c r="M148" s="40">
        <f t="shared" si="20"/>
        <v>-1.2850725156999776E-2</v>
      </c>
      <c r="N148" s="40">
        <f t="shared" si="21"/>
        <v>-1.1108724902331349E-2</v>
      </c>
      <c r="O148" s="40">
        <f t="shared" si="22"/>
        <v>5.879994200257483E-2</v>
      </c>
      <c r="P148" s="40">
        <f t="shared" si="23"/>
        <v>0.12974272073449686</v>
      </c>
      <c r="Q148" s="40">
        <f t="shared" si="24"/>
        <v>5.3027574084662403E-2</v>
      </c>
      <c r="R148" s="40">
        <f t="shared" si="25"/>
        <v>0.13692887784550134</v>
      </c>
      <c r="S148" s="40">
        <f t="shared" si="26"/>
        <v>2.2951867392644168E-2</v>
      </c>
      <c r="T148" s="40">
        <f t="shared" si="27"/>
        <v>-1.2605454651978358E-3</v>
      </c>
      <c r="U148" s="40">
        <f t="shared" si="39"/>
        <v>0.10765740756593076</v>
      </c>
      <c r="V148" s="40">
        <f t="shared" si="40"/>
        <v>-4.3668262076426774E-2</v>
      </c>
      <c r="W148" s="40">
        <f t="shared" si="41"/>
        <v>-8.167295744503475E-2</v>
      </c>
      <c r="X148" s="40">
        <f t="shared" si="42"/>
        <v>-0.233786277019013</v>
      </c>
      <c r="Y148" s="40">
        <f t="shared" si="43"/>
        <v>-9.0368009412480979E-2</v>
      </c>
      <c r="Z148" s="40">
        <f t="shared" si="44"/>
        <v>7.7705960738185115E-2</v>
      </c>
      <c r="AA148" s="40">
        <f t="shared" si="45"/>
        <v>-6.3088593504395787E-2</v>
      </c>
      <c r="AB148" s="40">
        <f t="shared" si="46"/>
        <v>1.4177250784088234E-2</v>
      </c>
      <c r="AC148" s="78">
        <v>24.729999542236332</v>
      </c>
      <c r="AD148" s="40">
        <f t="shared" si="28"/>
        <v>-0.16134557674151467</v>
      </c>
    </row>
    <row r="149" spans="2:30" ht="13.95" customHeight="1" x14ac:dyDescent="0.3">
      <c r="B149" s="77">
        <v>42582</v>
      </c>
      <c r="C149" s="107">
        <f t="shared" si="19"/>
        <v>1</v>
      </c>
      <c r="D149" s="107">
        <f t="shared" si="38"/>
        <v>1</v>
      </c>
      <c r="E149" s="106">
        <v>3.2468331714145191</v>
      </c>
      <c r="F149" s="106">
        <v>1.447727627569924</v>
      </c>
      <c r="G149" s="106">
        <v>0.66676726291655775</v>
      </c>
      <c r="H149" s="106">
        <v>0.53530186405503244</v>
      </c>
      <c r="I149" s="106">
        <v>0.67234482820920505</v>
      </c>
      <c r="J149" s="106">
        <v>1.353837005002307</v>
      </c>
      <c r="K149" s="106">
        <v>1.130553449459573</v>
      </c>
      <c r="L149" s="106">
        <v>1.652688480878548</v>
      </c>
      <c r="M149" s="40">
        <f t="shared" si="20"/>
        <v>-2.5280292434392698E-2</v>
      </c>
      <c r="N149" s="40">
        <f t="shared" si="21"/>
        <v>-1.2363464095219198E-2</v>
      </c>
      <c r="O149" s="40">
        <f t="shared" si="22"/>
        <v>6.1745669704942774E-2</v>
      </c>
      <c r="P149" s="40">
        <f t="shared" si="23"/>
        <v>0.1300456696489225</v>
      </c>
      <c r="Q149" s="40">
        <f t="shared" si="24"/>
        <v>7.4383596197483123E-2</v>
      </c>
      <c r="R149" s="40">
        <f t="shared" si="25"/>
        <v>2.5682719976351E-2</v>
      </c>
      <c r="S149" s="40">
        <f t="shared" si="26"/>
        <v>1.6500337527442469E-2</v>
      </c>
      <c r="T149" s="40">
        <f t="shared" si="27"/>
        <v>-8.6024298433714334E-3</v>
      </c>
      <c r="U149" s="40">
        <f t="shared" si="39"/>
        <v>0.10586870998819232</v>
      </c>
      <c r="V149" s="40">
        <f t="shared" si="40"/>
        <v>-3.942220387576479E-2</v>
      </c>
      <c r="W149" s="40">
        <f t="shared" si="41"/>
        <v>-6.8222616782906836E-2</v>
      </c>
      <c r="X149" s="40">
        <f t="shared" si="42"/>
        <v>-0.22468921301166631</v>
      </c>
      <c r="Y149" s="40">
        <f t="shared" si="43"/>
        <v>-7.5407403154616012E-2</v>
      </c>
      <c r="Z149" s="40">
        <f t="shared" si="44"/>
        <v>6.9311023771755478E-2</v>
      </c>
      <c r="AA149" s="40">
        <f t="shared" si="45"/>
        <v>-5.5811153713750492E-2</v>
      </c>
      <c r="AB149" s="40">
        <f t="shared" si="46"/>
        <v>1.8119628835441284E-2</v>
      </c>
      <c r="AC149" s="78">
        <v>23.159999847412109</v>
      </c>
      <c r="AD149" s="40">
        <f t="shared" si="28"/>
        <v>-0.1017269621314351</v>
      </c>
    </row>
    <row r="150" spans="2:30" ht="13.95" customHeight="1" x14ac:dyDescent="0.3">
      <c r="B150" s="77">
        <v>42613</v>
      </c>
      <c r="C150" s="107">
        <f t="shared" si="19"/>
        <v>1</v>
      </c>
      <c r="D150" s="107">
        <f t="shared" si="38"/>
        <v>1</v>
      </c>
      <c r="E150" s="106">
        <v>3.2959576760758171</v>
      </c>
      <c r="F150" s="106">
        <v>1.4261131948304711</v>
      </c>
      <c r="G150" s="106">
        <v>0.66504161631015246</v>
      </c>
      <c r="H150" s="106">
        <v>0.58520977607108127</v>
      </c>
      <c r="I150" s="106">
        <v>0.68039819270452806</v>
      </c>
      <c r="J150" s="106">
        <v>1.252764826405333</v>
      </c>
      <c r="K150" s="106">
        <v>1.1563019002995341</v>
      </c>
      <c r="L150" s="106">
        <v>1.661608591126791</v>
      </c>
      <c r="M150" s="40">
        <f t="shared" si="20"/>
        <v>-3.4571250740690777E-2</v>
      </c>
      <c r="N150" s="40">
        <f t="shared" si="21"/>
        <v>-2.4211591533666345E-2</v>
      </c>
      <c r="O150" s="40">
        <f t="shared" si="22"/>
        <v>5.3590455021885218E-2</v>
      </c>
      <c r="P150" s="40">
        <f t="shared" si="23"/>
        <v>0.22477283954497437</v>
      </c>
      <c r="Q150" s="40">
        <f t="shared" si="24"/>
        <v>8.6939974720917065E-2</v>
      </c>
      <c r="R150" s="40">
        <f t="shared" si="25"/>
        <v>-9.4487585024687862E-2</v>
      </c>
      <c r="S150" s="40">
        <f t="shared" si="26"/>
        <v>2.7471451689407695E-2</v>
      </c>
      <c r="T150" s="40">
        <f t="shared" si="27"/>
        <v>-1.8483347407413597E-2</v>
      </c>
      <c r="U150" s="40">
        <f t="shared" si="39"/>
        <v>0.1116634936056603</v>
      </c>
      <c r="V150" s="40">
        <f t="shared" si="40"/>
        <v>-4.04282676219282E-2</v>
      </c>
      <c r="W150" s="40">
        <f t="shared" si="41"/>
        <v>-4.3928577599545528E-2</v>
      </c>
      <c r="X150" s="40">
        <f t="shared" si="42"/>
        <v>-0.18868311861016565</v>
      </c>
      <c r="Y150" s="40">
        <f t="shared" si="43"/>
        <v>-4.6951582201698337E-2</v>
      </c>
      <c r="Z150" s="40">
        <f t="shared" si="44"/>
        <v>5.1010470220057731E-2</v>
      </c>
      <c r="AA150" s="40">
        <f t="shared" si="45"/>
        <v>-3.8122741120594134E-2</v>
      </c>
      <c r="AB150" s="40">
        <f t="shared" si="46"/>
        <v>3.0335722372751433E-2</v>
      </c>
      <c r="AC150" s="78">
        <v>22.739999771118161</v>
      </c>
      <c r="AD150" s="40">
        <f t="shared" si="28"/>
        <v>-0.10667888732053915</v>
      </c>
    </row>
    <row r="151" spans="2:30" ht="13.95" customHeight="1" x14ac:dyDescent="0.3">
      <c r="B151" s="77">
        <v>42643</v>
      </c>
      <c r="C151" s="107">
        <f t="shared" si="19"/>
        <v>1</v>
      </c>
      <c r="D151" s="107">
        <f t="shared" si="38"/>
        <v>1</v>
      </c>
      <c r="E151" s="106">
        <v>3.3158868098761358</v>
      </c>
      <c r="F151" s="106">
        <v>1.4529552292879859</v>
      </c>
      <c r="G151" s="106">
        <v>0.67939629636549759</v>
      </c>
      <c r="H151" s="106">
        <v>0.57115653621732854</v>
      </c>
      <c r="I151" s="106">
        <v>0.69798280458677742</v>
      </c>
      <c r="J151" s="106">
        <v>1.2519815131800709</v>
      </c>
      <c r="K151" s="106">
        <v>1.1604795730952679</v>
      </c>
      <c r="L151" s="106">
        <v>1.6805974988676311</v>
      </c>
      <c r="M151" s="40">
        <f t="shared" si="20"/>
        <v>-2.7187312548492541E-2</v>
      </c>
      <c r="N151" s="40">
        <f t="shared" si="21"/>
        <v>-2.1691912553212223E-2</v>
      </c>
      <c r="O151" s="40">
        <f t="shared" si="22"/>
        <v>6.8737280799550299E-2</v>
      </c>
      <c r="P151" s="40">
        <f t="shared" si="23"/>
        <v>0.25858767587669163</v>
      </c>
      <c r="Q151" s="40">
        <f t="shared" si="24"/>
        <v>0.11636135934975696</v>
      </c>
      <c r="R151" s="40">
        <f t="shared" si="25"/>
        <v>-0.15799900025840402</v>
      </c>
      <c r="S151" s="40">
        <f t="shared" si="26"/>
        <v>3.8085437126542075E-2</v>
      </c>
      <c r="T151" s="40">
        <f t="shared" si="27"/>
        <v>-1.083803548296227E-2</v>
      </c>
      <c r="U151" s="40">
        <f t="shared" si="39"/>
        <v>0.11072322900259321</v>
      </c>
      <c r="V151" s="40">
        <f t="shared" si="40"/>
        <v>-2.2902769230471479E-2</v>
      </c>
      <c r="W151" s="40">
        <f t="shared" si="41"/>
        <v>-3.3820741912006243E-2</v>
      </c>
      <c r="X151" s="40">
        <f t="shared" si="42"/>
        <v>-0.18425998039574998</v>
      </c>
      <c r="Y151" s="40">
        <f t="shared" si="43"/>
        <v>-3.5855537911111179E-2</v>
      </c>
      <c r="Z151" s="40">
        <f t="shared" si="44"/>
        <v>5.7346885463644443E-2</v>
      </c>
      <c r="AA151" s="40">
        <f t="shared" si="45"/>
        <v>-3.0522469707743225E-2</v>
      </c>
      <c r="AB151" s="40">
        <f t="shared" si="46"/>
        <v>3.6892144825367165E-2</v>
      </c>
      <c r="AC151" s="78">
        <v>23.469999313354489</v>
      </c>
      <c r="AD151" s="40">
        <f t="shared" si="28"/>
        <v>-4.0907266518322709E-2</v>
      </c>
    </row>
    <row r="152" spans="2:30" ht="13.95" customHeight="1" x14ac:dyDescent="0.3">
      <c r="B152" s="77">
        <v>42674</v>
      </c>
      <c r="C152" s="107">
        <f t="shared" si="19"/>
        <v>1</v>
      </c>
      <c r="D152" s="107">
        <f t="shared" si="38"/>
        <v>1</v>
      </c>
      <c r="E152" s="106">
        <v>3.4133858882089818</v>
      </c>
      <c r="F152" s="106">
        <v>1.454664871755037</v>
      </c>
      <c r="G152" s="106">
        <v>0.68327721632565475</v>
      </c>
      <c r="H152" s="106">
        <v>0.58046350305788474</v>
      </c>
      <c r="I152" s="106">
        <v>0.70079074974674449</v>
      </c>
      <c r="J152" s="106">
        <v>1.270283113183706</v>
      </c>
      <c r="K152" s="106">
        <v>1.1820545881040061</v>
      </c>
      <c r="L152" s="106">
        <v>1.712896854939518</v>
      </c>
      <c r="M152" s="40">
        <f t="shared" si="20"/>
        <v>4.7530063262241191E-2</v>
      </c>
      <c r="N152" s="40">
        <f t="shared" si="21"/>
        <v>1.3057116227757676E-3</v>
      </c>
      <c r="O152" s="40">
        <f t="shared" si="22"/>
        <v>6.1787318800861191E-2</v>
      </c>
      <c r="P152" s="40">
        <f t="shared" si="23"/>
        <v>0.10843724543158481</v>
      </c>
      <c r="Q152" s="40">
        <f t="shared" si="24"/>
        <v>0.11887710405666944</v>
      </c>
      <c r="R152" s="40">
        <f t="shared" si="25"/>
        <v>-0.22138663613959603</v>
      </c>
      <c r="S152" s="40">
        <f t="shared" si="26"/>
        <v>5.0888916367666799E-2</v>
      </c>
      <c r="T152" s="40">
        <f t="shared" si="27"/>
        <v>3.9504398282570186E-2</v>
      </c>
      <c r="U152" s="40">
        <f t="shared" si="39"/>
        <v>0.12004575085133599</v>
      </c>
      <c r="V152" s="40">
        <f t="shared" si="40"/>
        <v>-2.500645798276898E-2</v>
      </c>
      <c r="W152" s="40">
        <f t="shared" si="41"/>
        <v>-2.8796965750861159E-2</v>
      </c>
      <c r="X152" s="40">
        <f t="shared" si="42"/>
        <v>-0.16910808211321829</v>
      </c>
      <c r="Y152" s="40">
        <f t="shared" si="43"/>
        <v>-3.1000822490715278E-2</v>
      </c>
      <c r="Z152" s="40">
        <f t="shared" si="44"/>
        <v>5.6558320624844345E-2</v>
      </c>
      <c r="AA152" s="40">
        <f t="shared" si="45"/>
        <v>-2.0181885557590255E-2</v>
      </c>
      <c r="AB152" s="40">
        <f t="shared" si="46"/>
        <v>4.32923725656214E-2</v>
      </c>
      <c r="AC152" s="78">
        <v>23.399999618530281</v>
      </c>
      <c r="AD152" s="40">
        <f t="shared" si="28"/>
        <v>-3.6092906888908996E-2</v>
      </c>
    </row>
    <row r="153" spans="2:30" ht="13.95" customHeight="1" x14ac:dyDescent="0.3">
      <c r="B153" s="77">
        <v>42704</v>
      </c>
      <c r="C153" s="107">
        <f t="shared" si="19"/>
        <v>1</v>
      </c>
      <c r="D153" s="107">
        <f t="shared" si="38"/>
        <v>1</v>
      </c>
      <c r="E153" s="106">
        <v>3.5538598089288058</v>
      </c>
      <c r="F153" s="106">
        <v>1.478065455929737</v>
      </c>
      <c r="G153" s="106">
        <v>0.68699297918935043</v>
      </c>
      <c r="H153" s="106">
        <v>0.5754560017083491</v>
      </c>
      <c r="I153" s="106">
        <v>0.7017638940768226</v>
      </c>
      <c r="J153" s="106">
        <v>1.302686038263444</v>
      </c>
      <c r="K153" s="106">
        <v>1.207574131002523</v>
      </c>
      <c r="L153" s="106">
        <v>1.7639538311590051</v>
      </c>
      <c r="M153" s="40">
        <f t="shared" si="20"/>
        <v>0.1022946932482954</v>
      </c>
      <c r="N153" s="40">
        <f t="shared" si="21"/>
        <v>3.7493898288091534E-2</v>
      </c>
      <c r="O153" s="40">
        <f t="shared" si="22"/>
        <v>6.827358763472928E-2</v>
      </c>
      <c r="P153" s="40">
        <f t="shared" si="23"/>
        <v>6.655642159480607E-2</v>
      </c>
      <c r="Q153" s="40">
        <f t="shared" si="24"/>
        <v>0.12731236623931289</v>
      </c>
      <c r="R153" s="40">
        <f t="shared" si="25"/>
        <v>-0.22822651830511048</v>
      </c>
      <c r="S153" s="40">
        <f t="shared" si="26"/>
        <v>7.6051452542009845E-2</v>
      </c>
      <c r="T153" s="40">
        <f t="shared" si="27"/>
        <v>8.239390556389152E-2</v>
      </c>
      <c r="U153" s="40">
        <f t="shared" si="39"/>
        <v>0.13042211104238619</v>
      </c>
      <c r="V153" s="40">
        <f t="shared" si="40"/>
        <v>-4.4197130955383711E-3</v>
      </c>
      <c r="W153" s="40">
        <f t="shared" si="41"/>
        <v>-2.2499164348660956E-2</v>
      </c>
      <c r="X153" s="40">
        <f t="shared" si="42"/>
        <v>-0.1642908305748586</v>
      </c>
      <c r="Y153" s="40">
        <f t="shared" si="43"/>
        <v>-2.528255240198812E-2</v>
      </c>
      <c r="Z153" s="40">
        <f t="shared" si="44"/>
        <v>5.4385624766379315E-2</v>
      </c>
      <c r="AA153" s="40">
        <f t="shared" si="45"/>
        <v>-8.6660087728158766E-3</v>
      </c>
      <c r="AB153" s="40">
        <f t="shared" si="46"/>
        <v>5.6212205576677728E-2</v>
      </c>
      <c r="AC153" s="78">
        <v>23.649999618530281</v>
      </c>
      <c r="AD153" s="40">
        <f t="shared" si="28"/>
        <v>6.1021090195894689E-2</v>
      </c>
    </row>
    <row r="154" spans="2:30" ht="13.95" customHeight="1" x14ac:dyDescent="0.3">
      <c r="B154" s="77">
        <v>42735</v>
      </c>
      <c r="C154" s="107">
        <f t="shared" si="19"/>
        <v>1</v>
      </c>
      <c r="D154" s="107">
        <f t="shared" si="38"/>
        <v>1</v>
      </c>
      <c r="E154" s="106">
        <v>3.6381186958869129</v>
      </c>
      <c r="F154" s="106">
        <v>1.501732193944374</v>
      </c>
      <c r="G154" s="106">
        <v>0.68462304287562714</v>
      </c>
      <c r="H154" s="106">
        <v>0.70946476043136952</v>
      </c>
      <c r="I154" s="106">
        <v>0.69553378609872396</v>
      </c>
      <c r="J154" s="106">
        <v>1.332091991273098</v>
      </c>
      <c r="K154" s="106">
        <v>1.2840251005815331</v>
      </c>
      <c r="L154" s="106">
        <v>1.7952856224966449</v>
      </c>
      <c r="M154" s="40">
        <f t="shared" si="20"/>
        <v>0.11084825762759434</v>
      </c>
      <c r="N154" s="40">
        <f t="shared" si="21"/>
        <v>4.177624359867671E-2</v>
      </c>
      <c r="O154" s="40">
        <f t="shared" si="22"/>
        <v>5.4275743119144411E-2</v>
      </c>
      <c r="P154" s="40">
        <f t="shared" si="23"/>
        <v>0.31688685290338459</v>
      </c>
      <c r="Q154" s="40">
        <f t="shared" si="24"/>
        <v>0.10981501002810246</v>
      </c>
      <c r="R154" s="40">
        <f t="shared" si="25"/>
        <v>-0.22681177297258201</v>
      </c>
      <c r="S154" s="40">
        <f t="shared" si="26"/>
        <v>0.13505031787467814</v>
      </c>
      <c r="T154" s="40">
        <f t="shared" si="27"/>
        <v>8.6523365348433925E-2</v>
      </c>
      <c r="U154" s="40">
        <f t="shared" si="39"/>
        <v>0.13081315776373537</v>
      </c>
      <c r="V154" s="40">
        <f t="shared" si="40"/>
        <v>-6.2037734040271929E-3</v>
      </c>
      <c r="W154" s="40">
        <f t="shared" si="41"/>
        <v>-2.5139171603320482E-2</v>
      </c>
      <c r="X154" s="40">
        <f t="shared" si="42"/>
        <v>-0.12204341353156042</v>
      </c>
      <c r="Y154" s="40">
        <f t="shared" si="43"/>
        <v>-3.0044303168951608E-2</v>
      </c>
      <c r="Z154" s="40">
        <f t="shared" si="44"/>
        <v>8.1839303441437208E-2</v>
      </c>
      <c r="AA154" s="40">
        <f t="shared" si="45"/>
        <v>-1.2566650642077067E-5</v>
      </c>
      <c r="AB154" s="40">
        <f t="shared" si="46"/>
        <v>5.6462588008414839E-2</v>
      </c>
      <c r="AC154" s="78">
        <v>24.229999542236332</v>
      </c>
      <c r="AD154" s="40">
        <f t="shared" si="28"/>
        <v>0.12093493602693749</v>
      </c>
    </row>
    <row r="155" spans="2:30" ht="13.95" customHeight="1" x14ac:dyDescent="0.3">
      <c r="B155" s="77">
        <v>42766</v>
      </c>
      <c r="C155" s="107">
        <f t="shared" si="19"/>
        <v>1</v>
      </c>
      <c r="D155" s="107">
        <f t="shared" si="38"/>
        <v>1</v>
      </c>
      <c r="E155" s="106">
        <v>3.6775957795477048</v>
      </c>
      <c r="F155" s="106">
        <v>1.5027759936838161</v>
      </c>
      <c r="G155" s="106">
        <v>0.69170483047098752</v>
      </c>
      <c r="H155" s="106">
        <v>0.81494112115711625</v>
      </c>
      <c r="I155" s="106">
        <v>0.70531168320278381</v>
      </c>
      <c r="J155" s="106">
        <v>1.321785048662226</v>
      </c>
      <c r="K155" s="106">
        <v>1.337775882693965</v>
      </c>
      <c r="L155" s="106">
        <v>1.8105134614290901</v>
      </c>
      <c r="M155" s="40">
        <f t="shared" si="20"/>
        <v>0.12084545028580555</v>
      </c>
      <c r="N155" s="40">
        <f t="shared" si="21"/>
        <v>3.2672375183086716E-2</v>
      </c>
      <c r="O155" s="40">
        <f t="shared" si="22"/>
        <v>5.4647183237547567E-2</v>
      </c>
      <c r="P155" s="40">
        <f t="shared" si="23"/>
        <v>0.73086155720089085</v>
      </c>
      <c r="Q155" s="40">
        <f t="shared" si="24"/>
        <v>0.11688550255667915</v>
      </c>
      <c r="R155" s="40">
        <f t="shared" si="25"/>
        <v>-0.25876814324072173</v>
      </c>
      <c r="S155" s="40">
        <f t="shared" si="26"/>
        <v>0.22309110239774285</v>
      </c>
      <c r="T155" s="40">
        <f t="shared" si="27"/>
        <v>9.0752270706820945E-2</v>
      </c>
      <c r="U155" s="40">
        <f t="shared" si="39"/>
        <v>0.13513894816425986</v>
      </c>
      <c r="V155" s="40">
        <f t="shared" si="40"/>
        <v>4.1022678558493997E-3</v>
      </c>
      <c r="W155" s="40">
        <f t="shared" si="41"/>
        <v>-8.8655768560865475E-2</v>
      </c>
      <c r="X155" s="40">
        <f t="shared" si="42"/>
        <v>-7.8156312010660561E-2</v>
      </c>
      <c r="Y155" s="40">
        <f t="shared" si="43"/>
        <v>-9.4280368218453869E-2</v>
      </c>
      <c r="Z155" s="40">
        <f t="shared" si="44"/>
        <v>7.4856533612756002E-2</v>
      </c>
      <c r="AA155" s="40">
        <f t="shared" si="45"/>
        <v>3.2662213901557102E-4</v>
      </c>
      <c r="AB155" s="40">
        <f t="shared" si="46"/>
        <v>3.4734081038219303E-2</v>
      </c>
      <c r="AC155" s="78">
        <v>24.239999771118161</v>
      </c>
      <c r="AD155" s="40">
        <f t="shared" si="28"/>
        <v>0.14300562600793704</v>
      </c>
    </row>
    <row r="156" spans="2:30" ht="13.95" customHeight="1" x14ac:dyDescent="0.3">
      <c r="B156" s="77">
        <v>42794</v>
      </c>
      <c r="C156" s="107">
        <f t="shared" si="19"/>
        <v>1</v>
      </c>
      <c r="D156" s="107">
        <f t="shared" si="38"/>
        <v>1</v>
      </c>
      <c r="E156" s="106">
        <v>3.7663631922042669</v>
      </c>
      <c r="F156" s="106">
        <v>1.5005854511032379</v>
      </c>
      <c r="G156" s="106">
        <v>0.69872100117327196</v>
      </c>
      <c r="H156" s="106">
        <v>0.91929704183331629</v>
      </c>
      <c r="I156" s="106">
        <v>0.7151176629873649</v>
      </c>
      <c r="J156" s="106">
        <v>1.3107033346126371</v>
      </c>
      <c r="K156" s="106">
        <v>1.3994619768705019</v>
      </c>
      <c r="L156" s="106">
        <v>1.840062123081099</v>
      </c>
      <c r="M156" s="40">
        <f t="shared" si="20"/>
        <v>0.1465644879672707</v>
      </c>
      <c r="N156" s="40">
        <f t="shared" si="21"/>
        <v>3.585178226436149E-2</v>
      </c>
      <c r="O156" s="40">
        <f t="shared" si="22"/>
        <v>7.08809045186342E-2</v>
      </c>
      <c r="P156" s="40">
        <f t="shared" si="23"/>
        <v>0.91367789214896145</v>
      </c>
      <c r="Q156" s="40">
        <f t="shared" si="24"/>
        <v>0.13718873018535599</v>
      </c>
      <c r="R156" s="40">
        <f t="shared" si="25"/>
        <v>-0.26273649540128291</v>
      </c>
      <c r="S156" s="40">
        <f t="shared" si="26"/>
        <v>0.28014820572790805</v>
      </c>
      <c r="T156" s="40">
        <f t="shared" si="27"/>
        <v>0.1100886476526716</v>
      </c>
      <c r="U156" s="40">
        <f t="shared" si="39"/>
        <v>0.13739466046854046</v>
      </c>
      <c r="V156" s="40">
        <f t="shared" si="40"/>
        <v>-4.4508337378089584E-3</v>
      </c>
      <c r="W156" s="40">
        <f t="shared" si="41"/>
        <v>-3.8414745865014824E-2</v>
      </c>
      <c r="X156" s="40">
        <f t="shared" si="42"/>
        <v>-3.5584391958373623E-2</v>
      </c>
      <c r="Y156" s="40">
        <f t="shared" si="43"/>
        <v>-4.1601623638399692E-2</v>
      </c>
      <c r="Z156" s="40">
        <f t="shared" si="44"/>
        <v>7.1021738032528994E-2</v>
      </c>
      <c r="AA156" s="40">
        <f t="shared" si="45"/>
        <v>2.5827631177951768E-2</v>
      </c>
      <c r="AB156" s="40">
        <f t="shared" si="46"/>
        <v>5.4141262494495933E-2</v>
      </c>
      <c r="AC156" s="78">
        <v>24.260000228881839</v>
      </c>
      <c r="AD156" s="40">
        <f t="shared" si="28"/>
        <v>0.16062945664461492</v>
      </c>
    </row>
    <row r="157" spans="2:30" ht="13.95" customHeight="1" x14ac:dyDescent="0.3">
      <c r="B157" s="77">
        <v>42825</v>
      </c>
      <c r="C157" s="107">
        <f t="shared" si="19"/>
        <v>1</v>
      </c>
      <c r="D157" s="107">
        <f t="shared" si="38"/>
        <v>1</v>
      </c>
      <c r="E157" s="106">
        <v>3.8251720793556352</v>
      </c>
      <c r="F157" s="106">
        <v>1.531592501791126</v>
      </c>
      <c r="G157" s="106">
        <v>0.71192516031154662</v>
      </c>
      <c r="H157" s="106">
        <v>1.0391127193448899</v>
      </c>
      <c r="I157" s="106">
        <v>0.7335476809409377</v>
      </c>
      <c r="J157" s="106">
        <v>1.289275992886701</v>
      </c>
      <c r="K157" s="106">
        <v>1.469709568701393</v>
      </c>
      <c r="L157" s="106">
        <v>1.871814123072167</v>
      </c>
      <c r="M157" s="40">
        <f t="shared" si="20"/>
        <v>0.1636383892824107</v>
      </c>
      <c r="N157" s="40">
        <f t="shared" si="21"/>
        <v>6.9578752992643003E-2</v>
      </c>
      <c r="O157" s="40">
        <f t="shared" si="22"/>
        <v>9.3831380393029878E-2</v>
      </c>
      <c r="P157" s="40">
        <f t="shared" si="23"/>
        <v>1.0276036338261454</v>
      </c>
      <c r="Q157" s="40">
        <f t="shared" si="24"/>
        <v>0.1502417937469234</v>
      </c>
      <c r="R157" s="40">
        <f t="shared" si="25"/>
        <v>-0.19015175880061153</v>
      </c>
      <c r="S157" s="40">
        <f t="shared" si="26"/>
        <v>0.33163281612942752</v>
      </c>
      <c r="T157" s="40">
        <f t="shared" si="27"/>
        <v>0.13168723032612667</v>
      </c>
      <c r="U157" s="40">
        <f t="shared" si="39"/>
        <v>0.13765174147861683</v>
      </c>
      <c r="V157" s="40">
        <f t="shared" si="40"/>
        <v>-1.1887400365369307E-2</v>
      </c>
      <c r="W157" s="40">
        <f t="shared" si="41"/>
        <v>-4.5832029746346314E-3</v>
      </c>
      <c r="X157" s="40">
        <f t="shared" si="42"/>
        <v>-1.3524689983890852E-2</v>
      </c>
      <c r="Y157" s="40">
        <f t="shared" si="43"/>
        <v>-4.8693599437891833E-3</v>
      </c>
      <c r="Z157" s="40">
        <f t="shared" si="44"/>
        <v>6.3682970896541652E-2</v>
      </c>
      <c r="AA157" s="40">
        <f t="shared" si="45"/>
        <v>3.7910985095282172E-2</v>
      </c>
      <c r="AB157" s="40">
        <f t="shared" si="46"/>
        <v>6.367441990816583E-2</v>
      </c>
      <c r="AC157" s="78">
        <v>23.520000457763668</v>
      </c>
      <c r="AD157" s="40">
        <f t="shared" si="28"/>
        <v>8.979820735954995E-2</v>
      </c>
    </row>
    <row r="158" spans="2:30" ht="13.95" customHeight="1" x14ac:dyDescent="0.3">
      <c r="B158" s="77">
        <v>42855</v>
      </c>
      <c r="C158" s="107">
        <f t="shared" si="19"/>
        <v>1</v>
      </c>
      <c r="D158" s="107">
        <f t="shared" si="38"/>
        <v>1</v>
      </c>
      <c r="E158" s="106">
        <v>3.84054218281437</v>
      </c>
      <c r="F158" s="106">
        <v>1.5177712385890509</v>
      </c>
      <c r="G158" s="106">
        <v>0.71526640237873096</v>
      </c>
      <c r="H158" s="106">
        <v>1.0208117389415761</v>
      </c>
      <c r="I158" s="106">
        <v>0.74190915139503733</v>
      </c>
      <c r="J158" s="106">
        <v>1.2465936972965621</v>
      </c>
      <c r="K158" s="106">
        <v>1.4630529070180001</v>
      </c>
      <c r="L158" s="106">
        <v>1.874173788055403</v>
      </c>
      <c r="M158" s="40">
        <f t="shared" si="20"/>
        <v>0.16277360985756537</v>
      </c>
      <c r="N158" s="40">
        <f t="shared" si="21"/>
        <v>3.4055185631657672E-2</v>
      </c>
      <c r="O158" s="40">
        <f t="shared" si="22"/>
        <v>8.9608222049277778E-2</v>
      </c>
      <c r="P158" s="40">
        <f t="shared" si="23"/>
        <v>1.0193157644322886</v>
      </c>
      <c r="Q158" s="40">
        <f t="shared" si="24"/>
        <v>0.13985976503756423</v>
      </c>
      <c r="R158" s="40">
        <f t="shared" si="25"/>
        <v>-0.16325331781681421</v>
      </c>
      <c r="S158" s="40">
        <f t="shared" si="26"/>
        <v>0.31992766989847737</v>
      </c>
      <c r="T158" s="40">
        <f t="shared" si="27"/>
        <v>0.12275608445792087</v>
      </c>
      <c r="U158" s="40">
        <f t="shared" si="39"/>
        <v>0.13478483468855754</v>
      </c>
      <c r="V158" s="40">
        <f t="shared" si="40"/>
        <v>-8.087565922392374E-3</v>
      </c>
      <c r="W158" s="40">
        <f t="shared" si="41"/>
        <v>6.953359349108337E-3</v>
      </c>
      <c r="X158" s="40">
        <f t="shared" si="42"/>
        <v>-3.0858046094003555E-2</v>
      </c>
      <c r="Y158" s="40">
        <f t="shared" si="43"/>
        <v>8.9255736870008998E-3</v>
      </c>
      <c r="Z158" s="40">
        <f t="shared" si="44"/>
        <v>5.0612647181685899E-2</v>
      </c>
      <c r="AA158" s="40">
        <f t="shared" si="45"/>
        <v>3.365586006084615E-2</v>
      </c>
      <c r="AB158" s="40">
        <f t="shared" si="46"/>
        <v>6.7544600924926243E-2</v>
      </c>
      <c r="AC158" s="78">
        <v>23.079999923706051</v>
      </c>
      <c r="AD158" s="40">
        <f t="shared" si="28"/>
        <v>-2.3550617348957092E-2</v>
      </c>
    </row>
    <row r="159" spans="2:30" ht="13.95" customHeight="1" x14ac:dyDescent="0.3">
      <c r="B159" s="77">
        <v>42886</v>
      </c>
      <c r="C159" s="107">
        <f t="shared" si="19"/>
        <v>1</v>
      </c>
      <c r="D159" s="107">
        <f t="shared" si="38"/>
        <v>1</v>
      </c>
      <c r="E159" s="106">
        <v>3.8323613053595129</v>
      </c>
      <c r="F159" s="106">
        <v>1.457488997728936</v>
      </c>
      <c r="G159" s="106">
        <v>0.71612252917677122</v>
      </c>
      <c r="H159" s="106">
        <v>1.1503907410455281</v>
      </c>
      <c r="I159" s="106">
        <v>0.74617201130011146</v>
      </c>
      <c r="J159" s="106">
        <v>1.2137579374992571</v>
      </c>
      <c r="K159" s="106">
        <v>1.508079603039046</v>
      </c>
      <c r="L159" s="106">
        <v>1.85517088283275</v>
      </c>
      <c r="M159" s="40">
        <f t="shared" si="20"/>
        <v>0.15924613513964808</v>
      </c>
      <c r="N159" s="40">
        <f t="shared" si="21"/>
        <v>-1.2347721019096312E-2</v>
      </c>
      <c r="O159" s="40">
        <f t="shared" si="22"/>
        <v>9.3256610924684333E-2</v>
      </c>
      <c r="P159" s="40">
        <f t="shared" si="23"/>
        <v>0.79241693308252426</v>
      </c>
      <c r="Q159" s="40">
        <f t="shared" si="24"/>
        <v>0.13225883850984024</v>
      </c>
      <c r="R159" s="40">
        <f t="shared" si="25"/>
        <v>-0.11683875241225976</v>
      </c>
      <c r="S159" s="40">
        <f t="shared" si="26"/>
        <v>0.28955806606936524</v>
      </c>
      <c r="T159" s="40">
        <f t="shared" si="27"/>
        <v>0.11074869069039116</v>
      </c>
      <c r="U159" s="40">
        <f t="shared" si="39"/>
        <v>0.13355813335522901</v>
      </c>
      <c r="V159" s="40">
        <f t="shared" si="40"/>
        <v>-1.0017414092956598E-2</v>
      </c>
      <c r="W159" s="40">
        <f t="shared" si="41"/>
        <v>2.6565645982685713E-2</v>
      </c>
      <c r="X159" s="40">
        <f t="shared" si="42"/>
        <v>3.0229044128712973E-3</v>
      </c>
      <c r="Y159" s="40">
        <f t="shared" si="43"/>
        <v>3.0391204217546236E-2</v>
      </c>
      <c r="Z159" s="40">
        <f t="shared" si="44"/>
        <v>4.6578317304592345E-2</v>
      </c>
      <c r="AA159" s="40">
        <f t="shared" si="45"/>
        <v>4.7608383500930732E-2</v>
      </c>
      <c r="AB159" s="40">
        <f t="shared" si="46"/>
        <v>7.3068896217221735E-2</v>
      </c>
      <c r="AC159" s="78">
        <v>22.680000305175781</v>
      </c>
      <c r="AD159" s="40">
        <f t="shared" si="28"/>
        <v>-3.5091296611748826E-2</v>
      </c>
    </row>
    <row r="160" spans="2:30" ht="13.95" customHeight="1" x14ac:dyDescent="0.3">
      <c r="B160" s="77">
        <v>42916</v>
      </c>
      <c r="C160" s="107">
        <f t="shared" si="19"/>
        <v>1</v>
      </c>
      <c r="D160" s="107">
        <f t="shared" si="38"/>
        <v>1</v>
      </c>
      <c r="E160" s="106">
        <v>3.848221980519539</v>
      </c>
      <c r="F160" s="106">
        <v>1.600837460306501</v>
      </c>
      <c r="G160" s="106">
        <v>0.72698751051332988</v>
      </c>
      <c r="H160" s="106">
        <v>1.1047921616578229</v>
      </c>
      <c r="I160" s="106">
        <v>0.75919268427775621</v>
      </c>
      <c r="J160" s="106">
        <v>1.2156026274012981</v>
      </c>
      <c r="K160" s="106">
        <v>1.515562308386428</v>
      </c>
      <c r="L160" s="106">
        <v>1.9046282943923201</v>
      </c>
      <c r="M160" s="40">
        <f t="shared" si="20"/>
        <v>0.15922260795399981</v>
      </c>
      <c r="N160" s="40">
        <f t="shared" si="21"/>
        <v>0.10222229005255258</v>
      </c>
      <c r="O160" s="40">
        <f t="shared" si="22"/>
        <v>9.9270779807688975E-2</v>
      </c>
      <c r="P160" s="40">
        <f t="shared" si="23"/>
        <v>0.70073951548913527</v>
      </c>
      <c r="Q160" s="40">
        <f t="shared" si="24"/>
        <v>0.13877195937310446</v>
      </c>
      <c r="R160" s="40">
        <f t="shared" si="25"/>
        <v>-0.11629721807595524</v>
      </c>
      <c r="S160" s="40">
        <f t="shared" si="26"/>
        <v>0.28491414894656142</v>
      </c>
      <c r="T160" s="40">
        <f t="shared" si="27"/>
        <v>0.13779692618899256</v>
      </c>
      <c r="U160" s="40">
        <f t="shared" si="39"/>
        <v>0.13243162173413703</v>
      </c>
      <c r="V160" s="40">
        <f t="shared" si="40"/>
        <v>-5.830484542371399E-3</v>
      </c>
      <c r="W160" s="40">
        <f t="shared" si="41"/>
        <v>2.9168124660213096E-2</v>
      </c>
      <c r="X160" s="40">
        <f t="shared" si="42"/>
        <v>-1.7189932286049031E-3</v>
      </c>
      <c r="Y160" s="40">
        <f t="shared" si="43"/>
        <v>3.3930145306237045E-2</v>
      </c>
      <c r="Z160" s="40">
        <f t="shared" si="44"/>
        <v>3.4345251063921396E-2</v>
      </c>
      <c r="AA160" s="40">
        <f t="shared" si="45"/>
        <v>4.7254642599259572E-2</v>
      </c>
      <c r="AB160" s="40">
        <f t="shared" si="46"/>
        <v>7.2952167663949949E-2</v>
      </c>
      <c r="AC160" s="78">
        <v>22.670000076293949</v>
      </c>
      <c r="AD160" s="40">
        <f t="shared" si="28"/>
        <v>-8.6974595138012728E-2</v>
      </c>
    </row>
    <row r="161" spans="2:30" ht="13.95" customHeight="1" x14ac:dyDescent="0.3">
      <c r="B161" s="77">
        <v>42947</v>
      </c>
      <c r="C161" s="107">
        <f t="shared" si="19"/>
        <v>1</v>
      </c>
      <c r="D161" s="107">
        <f t="shared" si="38"/>
        <v>1</v>
      </c>
      <c r="E161" s="106">
        <v>3.880096578039463</v>
      </c>
      <c r="F161" s="106">
        <v>1.5869920183293931</v>
      </c>
      <c r="G161" s="106">
        <v>0.7362586596459938</v>
      </c>
      <c r="H161" s="106">
        <v>1.0644962222215391</v>
      </c>
      <c r="I161" s="106">
        <v>0.7694834573548881</v>
      </c>
      <c r="J161" s="106">
        <v>1.2251495956456131</v>
      </c>
      <c r="K161" s="106">
        <v>1.5033477556857451</v>
      </c>
      <c r="L161" s="106">
        <v>1.9141619215481329</v>
      </c>
      <c r="M161" s="40">
        <f t="shared" si="20"/>
        <v>0.17817993207143823</v>
      </c>
      <c r="N161" s="40">
        <f t="shared" si="21"/>
        <v>9.1845238360483861E-2</v>
      </c>
      <c r="O161" s="40">
        <f t="shared" si="22"/>
        <v>9.9140442859403363E-2</v>
      </c>
      <c r="P161" s="40">
        <f t="shared" si="23"/>
        <v>0.68742611579565949</v>
      </c>
      <c r="Q161" s="40">
        <f t="shared" si="24"/>
        <v>0.1349481090041271</v>
      </c>
      <c r="R161" s="40">
        <f t="shared" si="25"/>
        <v>-9.9879831455822521E-2</v>
      </c>
      <c r="S161" s="40">
        <f t="shared" si="26"/>
        <v>0.28498716727817197</v>
      </c>
      <c r="T161" s="40">
        <f t="shared" si="27"/>
        <v>0.14687654370262238</v>
      </c>
      <c r="U161" s="40">
        <f t="shared" si="39"/>
        <v>0.13281053150351935</v>
      </c>
      <c r="V161" s="40">
        <f t="shared" si="40"/>
        <v>-1.9067117759463327E-2</v>
      </c>
      <c r="W161" s="40">
        <f t="shared" si="41"/>
        <v>4.3970666352725465E-2</v>
      </c>
      <c r="X161" s="40">
        <f t="shared" si="42"/>
        <v>-8.8109094963146771E-4</v>
      </c>
      <c r="Y161" s="40">
        <f t="shared" si="43"/>
        <v>4.9390206378787903E-2</v>
      </c>
      <c r="Z161" s="40">
        <f t="shared" si="44"/>
        <v>3.5168208707430745E-2</v>
      </c>
      <c r="AA161" s="40">
        <f t="shared" si="45"/>
        <v>4.923418779577398E-2</v>
      </c>
      <c r="AB161" s="40">
        <f t="shared" si="46"/>
        <v>7.3950851817649835E-2</v>
      </c>
      <c r="AC161" s="78">
        <v>23.270000457763668</v>
      </c>
      <c r="AD161" s="40">
        <f t="shared" si="28"/>
        <v>4.7383508696672043E-3</v>
      </c>
    </row>
    <row r="162" spans="2:30" ht="13.95" customHeight="1" x14ac:dyDescent="0.3">
      <c r="B162" s="77">
        <v>42978</v>
      </c>
      <c r="C162" s="107">
        <f t="shared" si="19"/>
        <v>1</v>
      </c>
      <c r="D162" s="107">
        <f t="shared" si="38"/>
        <v>1</v>
      </c>
      <c r="E162" s="106">
        <v>3.931043680235569</v>
      </c>
      <c r="F162" s="106">
        <v>1.5845126440343611</v>
      </c>
      <c r="G162" s="106">
        <v>0.74364468143142082</v>
      </c>
      <c r="H162" s="106">
        <v>0.99753552311951921</v>
      </c>
      <c r="I162" s="106">
        <v>0.78426578650408996</v>
      </c>
      <c r="J162" s="106">
        <v>1.167553495969422</v>
      </c>
      <c r="K162" s="106">
        <v>1.489836114304105</v>
      </c>
      <c r="L162" s="106">
        <v>1.9318772379831139</v>
      </c>
      <c r="M162" s="40">
        <f t="shared" si="20"/>
        <v>0.17620818714596825</v>
      </c>
      <c r="N162" s="40">
        <f t="shared" si="21"/>
        <v>0.10532418183729803</v>
      </c>
      <c r="O162" s="40">
        <f t="shared" si="22"/>
        <v>0.11171372241957109</v>
      </c>
      <c r="P162" s="40">
        <f t="shared" si="23"/>
        <v>0.53331738575205301</v>
      </c>
      <c r="Q162" s="40">
        <f t="shared" si="24"/>
        <v>0.1420697720032186</v>
      </c>
      <c r="R162" s="40">
        <f t="shared" si="25"/>
        <v>-7.0442439404750798E-2</v>
      </c>
      <c r="S162" s="40">
        <f t="shared" si="26"/>
        <v>0.25343922792538964</v>
      </c>
      <c r="T162" s="40">
        <f t="shared" si="27"/>
        <v>0.15070602839440561</v>
      </c>
      <c r="U162" s="40">
        <f t="shared" si="39"/>
        <v>0.13073089923217213</v>
      </c>
      <c r="V162" s="40">
        <f t="shared" si="40"/>
        <v>-1.9872403597841773E-2</v>
      </c>
      <c r="W162" s="40">
        <f t="shared" si="41"/>
        <v>7.0611276752759203E-2</v>
      </c>
      <c r="X162" s="40">
        <f t="shared" si="42"/>
        <v>-2.2838237780527928E-2</v>
      </c>
      <c r="Y162" s="40">
        <f t="shared" si="43"/>
        <v>7.9374103225421988E-2</v>
      </c>
      <c r="Z162" s="40">
        <f t="shared" si="44"/>
        <v>1.8922325016637938E-2</v>
      </c>
      <c r="AA162" s="40">
        <f t="shared" si="45"/>
        <v>4.7500328164505001E-2</v>
      </c>
      <c r="AB162" s="40">
        <f t="shared" si="46"/>
        <v>8.1088076489209196E-2</v>
      </c>
      <c r="AC162" s="78">
        <v>23.309999465942379</v>
      </c>
      <c r="AD162" s="40">
        <f t="shared" si="28"/>
        <v>2.4756951879345204E-2</v>
      </c>
    </row>
    <row r="163" spans="2:30" ht="13.95" customHeight="1" x14ac:dyDescent="0.3">
      <c r="B163" s="77">
        <v>43008</v>
      </c>
      <c r="C163" s="107">
        <f t="shared" si="19"/>
        <v>1</v>
      </c>
      <c r="D163" s="107">
        <f t="shared" si="38"/>
        <v>1</v>
      </c>
      <c r="E163" s="106">
        <v>3.9129040308349419</v>
      </c>
      <c r="F163" s="106">
        <v>1.609137491724234</v>
      </c>
      <c r="G163" s="106">
        <v>0.74194642885587736</v>
      </c>
      <c r="H163" s="106">
        <v>1.052770646858465</v>
      </c>
      <c r="I163" s="106">
        <v>0.78397803497120422</v>
      </c>
      <c r="J163" s="106">
        <v>1.1500882149624749</v>
      </c>
      <c r="K163" s="106">
        <v>1.5143583657566011</v>
      </c>
      <c r="L163" s="106">
        <v>1.9325792976610161</v>
      </c>
      <c r="M163" s="40">
        <f t="shared" si="20"/>
        <v>0.16555471504801247</v>
      </c>
      <c r="N163" s="40">
        <f t="shared" si="21"/>
        <v>0.10209874451098055</v>
      </c>
      <c r="O163" s="40">
        <f t="shared" si="22"/>
        <v>8.8072437873214546E-2</v>
      </c>
      <c r="P163" s="40">
        <f t="shared" si="23"/>
        <v>0.6115173630851457</v>
      </c>
      <c r="Q163" s="40">
        <f t="shared" si="24"/>
        <v>0.11618653614315022</v>
      </c>
      <c r="R163" s="40">
        <f t="shared" si="25"/>
        <v>-8.4888858642055198E-2</v>
      </c>
      <c r="S163" s="40">
        <f t="shared" si="26"/>
        <v>0.26615848353446642</v>
      </c>
      <c r="T163" s="40">
        <f t="shared" si="27"/>
        <v>0.13970615008296799</v>
      </c>
      <c r="U163" s="40">
        <f t="shared" si="39"/>
        <v>0.12815864481085407</v>
      </c>
      <c r="V163" s="40">
        <f t="shared" si="40"/>
        <v>9.5844850181770337E-4</v>
      </c>
      <c r="W163" s="40">
        <f t="shared" si="41"/>
        <v>6.599252672309916E-2</v>
      </c>
      <c r="X163" s="40">
        <f t="shared" si="42"/>
        <v>-1.2890330990798608E-2</v>
      </c>
      <c r="Y163" s="40">
        <f t="shared" si="43"/>
        <v>7.4670436666197271E-2</v>
      </c>
      <c r="Z163" s="40">
        <f t="shared" si="44"/>
        <v>2.7242530542308446E-2</v>
      </c>
      <c r="AA163" s="40">
        <f t="shared" si="45"/>
        <v>5.2228329640908462E-2</v>
      </c>
      <c r="AB163" s="40">
        <f t="shared" si="46"/>
        <v>8.4586086664732663E-2</v>
      </c>
      <c r="AC163" s="78">
        <v>23.260000228881839</v>
      </c>
      <c r="AD163" s="40">
        <f t="shared" si="28"/>
        <v>-8.9878236759591001E-3</v>
      </c>
    </row>
    <row r="164" spans="2:30" ht="13.95" customHeight="1" x14ac:dyDescent="0.3">
      <c r="B164" s="77">
        <v>43039</v>
      </c>
      <c r="C164" s="107">
        <f t="shared" si="19"/>
        <v>1</v>
      </c>
      <c r="D164" s="107">
        <f t="shared" si="38"/>
        <v>1</v>
      </c>
      <c r="E164" s="106">
        <v>3.9745746254547951</v>
      </c>
      <c r="F164" s="106">
        <v>1.631726482033736</v>
      </c>
      <c r="G164" s="106">
        <v>0.75002991945219588</v>
      </c>
      <c r="H164" s="106">
        <v>1.0873975740964239</v>
      </c>
      <c r="I164" s="106">
        <v>0.80481942846219523</v>
      </c>
      <c r="J164" s="106">
        <v>1.0409925342990041</v>
      </c>
      <c r="K164" s="106">
        <v>1.544636085827116</v>
      </c>
      <c r="L164" s="106">
        <v>1.9607291909030431</v>
      </c>
      <c r="M164" s="40">
        <f t="shared" si="20"/>
        <v>0.15221300215490485</v>
      </c>
      <c r="N164" s="40">
        <f t="shared" si="21"/>
        <v>0.11486310029991657</v>
      </c>
      <c r="O164" s="40">
        <f t="shared" si="22"/>
        <v>9.3212440695745524E-2</v>
      </c>
      <c r="P164" s="40">
        <f t="shared" si="23"/>
        <v>0.62771564618945563</v>
      </c>
      <c r="Q164" s="40">
        <f t="shared" si="24"/>
        <v>0.13840859981466302</v>
      </c>
      <c r="R164" s="40">
        <f t="shared" si="25"/>
        <v>-0.1990651814490918</v>
      </c>
      <c r="S164" s="40">
        <f t="shared" si="26"/>
        <v>0.26753423870447229</v>
      </c>
      <c r="T164" s="40">
        <f t="shared" si="27"/>
        <v>0.13513043581183093</v>
      </c>
      <c r="U164" s="40">
        <f t="shared" si="39"/>
        <v>0.1305207147260567</v>
      </c>
      <c r="V164" s="40">
        <f t="shared" si="40"/>
        <v>1.6839511866867735E-2</v>
      </c>
      <c r="W164" s="40">
        <f t="shared" si="41"/>
        <v>7.1319177907504486E-2</v>
      </c>
      <c r="X164" s="40">
        <f t="shared" si="42"/>
        <v>-1.3659940388400693E-3</v>
      </c>
      <c r="Y164" s="40">
        <f t="shared" si="43"/>
        <v>8.365572532838049E-2</v>
      </c>
      <c r="Z164" s="40">
        <f t="shared" si="44"/>
        <v>1.0313577523670193E-2</v>
      </c>
      <c r="AA164" s="40">
        <f t="shared" si="45"/>
        <v>6.0751619022015577E-2</v>
      </c>
      <c r="AB164" s="40">
        <f t="shared" si="46"/>
        <v>9.1869148577895493E-2</v>
      </c>
      <c r="AC164" s="78">
        <v>23.860000610351559</v>
      </c>
      <c r="AD164" s="40">
        <f t="shared" si="28"/>
        <v>1.946743618877354E-2</v>
      </c>
    </row>
    <row r="165" spans="2:30" ht="13.95" customHeight="1" x14ac:dyDescent="0.3">
      <c r="B165" s="77">
        <v>43069</v>
      </c>
      <c r="C165" s="107">
        <f t="shared" si="19"/>
        <v>1</v>
      </c>
      <c r="D165" s="107">
        <f t="shared" si="38"/>
        <v>1</v>
      </c>
      <c r="E165" s="106">
        <v>4.0075183491059212</v>
      </c>
      <c r="F165" s="106">
        <v>1.679055515599051</v>
      </c>
      <c r="G165" s="106">
        <v>0.7601399187206721</v>
      </c>
      <c r="H165" s="106">
        <v>1.136464023957128</v>
      </c>
      <c r="I165" s="106">
        <v>0.82281298946589965</v>
      </c>
      <c r="J165" s="106">
        <v>0.98280432738296553</v>
      </c>
      <c r="K165" s="106">
        <v>1.58072906770401</v>
      </c>
      <c r="L165" s="106">
        <v>1.988499228392812</v>
      </c>
      <c r="M165" s="40">
        <f t="shared" si="20"/>
        <v>0.12013790122447354</v>
      </c>
      <c r="N165" s="40">
        <f t="shared" si="21"/>
        <v>0.12749733385757941</v>
      </c>
      <c r="O165" s="40">
        <f t="shared" si="22"/>
        <v>0.10117844726569061</v>
      </c>
      <c r="P165" s="40">
        <f t="shared" si="23"/>
        <v>0.68051421472097695</v>
      </c>
      <c r="Q165" s="40">
        <f t="shared" si="24"/>
        <v>0.15913193033054845</v>
      </c>
      <c r="R165" s="40">
        <f t="shared" si="25"/>
        <v>-0.28177355135433518</v>
      </c>
      <c r="S165" s="40">
        <f t="shared" si="26"/>
        <v>0.26927267907130364</v>
      </c>
      <c r="T165" s="40">
        <f t="shared" si="27"/>
        <v>0.11982241320100884</v>
      </c>
      <c r="U165" s="40">
        <f t="shared" si="39"/>
        <v>0.13049551226209671</v>
      </c>
      <c r="V165" s="40">
        <f t="shared" si="40"/>
        <v>2.1427147138761215E-2</v>
      </c>
      <c r="W165" s="40">
        <f t="shared" si="41"/>
        <v>7.2251928123703027E-2</v>
      </c>
      <c r="X165" s="40">
        <f t="shared" si="42"/>
        <v>-4.8036175147464152E-3</v>
      </c>
      <c r="Y165" s="40">
        <f t="shared" si="43"/>
        <v>8.5819495881306773E-2</v>
      </c>
      <c r="Z165" s="40">
        <f t="shared" si="44"/>
        <v>2.1372937967190309E-2</v>
      </c>
      <c r="AA165" s="40">
        <f t="shared" si="45"/>
        <v>5.9229352309763381E-2</v>
      </c>
      <c r="AB165" s="40">
        <f t="shared" si="46"/>
        <v>9.306799943742658E-2</v>
      </c>
      <c r="AC165" s="78">
        <v>23.690000534057621</v>
      </c>
      <c r="AD165" s="40">
        <f t="shared" si="28"/>
        <v>1.6899419061386488E-3</v>
      </c>
    </row>
    <row r="166" spans="2:30" ht="13.95" customHeight="1" x14ac:dyDescent="0.3">
      <c r="B166" s="77">
        <v>43100</v>
      </c>
      <c r="C166" s="107">
        <f t="shared" si="19"/>
        <v>1</v>
      </c>
      <c r="D166" s="107">
        <f t="shared" si="38"/>
        <v>1</v>
      </c>
      <c r="E166" s="106">
        <v>4.072526494167322</v>
      </c>
      <c r="F166" s="106">
        <v>1.7229394858999441</v>
      </c>
      <c r="G166" s="106">
        <v>0.77652389723665549</v>
      </c>
      <c r="H166" s="106">
        <v>1.2015602599277651</v>
      </c>
      <c r="I166" s="106">
        <v>0.84400073595310976</v>
      </c>
      <c r="J166" s="106">
        <v>0.96886176438791971</v>
      </c>
      <c r="K166" s="106">
        <v>1.629902865700563</v>
      </c>
      <c r="L166" s="106">
        <v>2.0271811435705338</v>
      </c>
      <c r="M166" s="40">
        <f t="shared" si="20"/>
        <v>0.11279686084965308</v>
      </c>
      <c r="N166" s="40">
        <f t="shared" si="21"/>
        <v>0.13741259776378881</v>
      </c>
      <c r="O166" s="40">
        <f t="shared" si="22"/>
        <v>0.12595903327466387</v>
      </c>
      <c r="P166" s="40">
        <f t="shared" si="23"/>
        <v>0.5268653806391842</v>
      </c>
      <c r="Q166" s="40">
        <f t="shared" si="24"/>
        <v>0.19347377825093218</v>
      </c>
      <c r="R166" s="40">
        <f t="shared" si="25"/>
        <v>-0.31838396752922776</v>
      </c>
      <c r="S166" s="40">
        <f t="shared" si="26"/>
        <v>0.23852066763206756</v>
      </c>
      <c r="T166" s="40">
        <f t="shared" si="27"/>
        <v>0.12148209838015989</v>
      </c>
      <c r="U166" s="40">
        <f t="shared" si="39"/>
        <v>0.13147007838248453</v>
      </c>
      <c r="V166" s="40">
        <f t="shared" si="40"/>
        <v>2.8163775456795728E-2</v>
      </c>
      <c r="W166" s="40">
        <f t="shared" si="41"/>
        <v>5.6772720560754324E-2</v>
      </c>
      <c r="X166" s="40">
        <f t="shared" si="42"/>
        <v>-2.0855732408693213E-3</v>
      </c>
      <c r="Y166" s="40">
        <f t="shared" si="43"/>
        <v>7.0984133073421538E-2</v>
      </c>
      <c r="Z166" s="40">
        <f t="shared" si="44"/>
        <v>9.5723817094525415E-3</v>
      </c>
      <c r="AA166" s="40">
        <f t="shared" si="45"/>
        <v>5.7986961923595516E-2</v>
      </c>
      <c r="AB166" s="40">
        <f t="shared" si="46"/>
        <v>9.0563386366385765E-2</v>
      </c>
      <c r="AC166" s="78">
        <v>24.409999847412109</v>
      </c>
      <c r="AD166" s="40">
        <f t="shared" si="28"/>
        <v>7.4013622178280133E-3</v>
      </c>
    </row>
    <row r="167" spans="2:30" ht="13.95" customHeight="1" x14ac:dyDescent="0.3">
      <c r="B167" s="77">
        <v>43131</v>
      </c>
      <c r="C167" s="107">
        <f t="shared" si="19"/>
        <v>1</v>
      </c>
      <c r="D167" s="107">
        <f t="shared" si="38"/>
        <v>1</v>
      </c>
      <c r="E167" s="106">
        <v>4.2312642257798236</v>
      </c>
      <c r="F167" s="106">
        <v>1.748211690228088</v>
      </c>
      <c r="G167" s="106">
        <v>0.78613053669660238</v>
      </c>
      <c r="H167" s="106">
        <v>1.3240415624916539</v>
      </c>
      <c r="I167" s="106">
        <v>0.85467164703140452</v>
      </c>
      <c r="J167" s="106">
        <v>0.97847645064014299</v>
      </c>
      <c r="K167" s="106">
        <v>1.7148446335781711</v>
      </c>
      <c r="L167" s="106">
        <v>2.0853960044098852</v>
      </c>
      <c r="M167" s="40">
        <f t="shared" si="20"/>
        <v>0.1402416018490473</v>
      </c>
      <c r="N167" s="40">
        <f t="shared" si="21"/>
        <v>0.15127931395213379</v>
      </c>
      <c r="O167" s="40">
        <f t="shared" si="22"/>
        <v>0.12796353680297423</v>
      </c>
      <c r="P167" s="40">
        <f t="shared" si="23"/>
        <v>0.48532826096211551</v>
      </c>
      <c r="Q167" s="40">
        <f t="shared" si="24"/>
        <v>0.19207754766840726</v>
      </c>
      <c r="R167" s="40">
        <f t="shared" si="25"/>
        <v>-0.30074169187535066</v>
      </c>
      <c r="S167" s="40">
        <f t="shared" si="26"/>
        <v>0.24831403789578818</v>
      </c>
      <c r="T167" s="40">
        <f t="shared" si="27"/>
        <v>0.14134828199328353</v>
      </c>
      <c r="U167" s="40">
        <f t="shared" si="39"/>
        <v>0.13552671966710703</v>
      </c>
      <c r="V167" s="40">
        <f t="shared" si="40"/>
        <v>3.9591673272315248E-2</v>
      </c>
      <c r="W167" s="40">
        <f t="shared" si="41"/>
        <v>7.6726174537200459E-2</v>
      </c>
      <c r="X167" s="40">
        <f t="shared" si="42"/>
        <v>1.6212618115866495E-2</v>
      </c>
      <c r="Y167" s="40">
        <f t="shared" si="43"/>
        <v>9.2082356352932632E-2</v>
      </c>
      <c r="Z167" s="40">
        <f t="shared" si="44"/>
        <v>-3.6131004017664419E-3</v>
      </c>
      <c r="AA167" s="40">
        <f t="shared" si="45"/>
        <v>7.0956356471268925E-2</v>
      </c>
      <c r="AB167" s="40">
        <f t="shared" si="46"/>
        <v>0.10239880194489905</v>
      </c>
      <c r="AC167" s="78">
        <v>25.020000457763668</v>
      </c>
      <c r="AD167" s="40">
        <f t="shared" si="28"/>
        <v>3.167137157588127E-2</v>
      </c>
    </row>
    <row r="168" spans="2:30" ht="13.95" customHeight="1" x14ac:dyDescent="0.3">
      <c r="B168" s="77">
        <v>43159</v>
      </c>
      <c r="C168" s="107">
        <f t="shared" si="19"/>
        <v>1</v>
      </c>
      <c r="D168" s="107">
        <f t="shared" si="38"/>
        <v>1</v>
      </c>
      <c r="E168" s="106">
        <v>4.4825868574346011</v>
      </c>
      <c r="F168" s="106">
        <v>1.7366381061226051</v>
      </c>
      <c r="G168" s="106">
        <v>0.7866694566021567</v>
      </c>
      <c r="H168" s="106">
        <v>1.4318759519115061</v>
      </c>
      <c r="I168" s="106">
        <v>0.85305348014306892</v>
      </c>
      <c r="J168" s="106">
        <v>1.0024675272130661</v>
      </c>
      <c r="K168" s="106">
        <v>1.7995614269452009</v>
      </c>
      <c r="L168" s="106">
        <v>2.1549497054630731</v>
      </c>
      <c r="M168" s="40">
        <f t="shared" si="20"/>
        <v>0.17409043795355159</v>
      </c>
      <c r="N168" s="40">
        <f t="shared" si="21"/>
        <v>0.14609578865501402</v>
      </c>
      <c r="O168" s="40">
        <f t="shared" si="22"/>
        <v>0.11855663326956606</v>
      </c>
      <c r="P168" s="40">
        <f t="shared" si="23"/>
        <v>0.44313142499064095</v>
      </c>
      <c r="Q168" s="40">
        <f t="shared" si="24"/>
        <v>0.17637514928623299</v>
      </c>
      <c r="R168" s="40">
        <f t="shared" si="25"/>
        <v>-0.26809940191994291</v>
      </c>
      <c r="S168" s="40">
        <f t="shared" si="26"/>
        <v>0.25145512299428252</v>
      </c>
      <c r="T168" s="40">
        <f t="shared" si="27"/>
        <v>0.15796805115611873</v>
      </c>
      <c r="U168" s="40">
        <f t="shared" si="39"/>
        <v>0.14463764523725733</v>
      </c>
      <c r="V168" s="40">
        <f t="shared" si="40"/>
        <v>3.621926718255828E-2</v>
      </c>
      <c r="W168" s="40">
        <f t="shared" si="41"/>
        <v>6.6970945169567087E-2</v>
      </c>
      <c r="X168" s="40">
        <f t="shared" si="42"/>
        <v>4.3856469850734936E-2</v>
      </c>
      <c r="Y168" s="40">
        <f t="shared" si="43"/>
        <v>8.1864555954059864E-2</v>
      </c>
      <c r="Z168" s="40">
        <f t="shared" si="44"/>
        <v>-1.0110052105020939E-2</v>
      </c>
      <c r="AA168" s="40">
        <f t="shared" si="45"/>
        <v>8.3223254616809794E-2</v>
      </c>
      <c r="AB168" s="40">
        <f t="shared" si="46"/>
        <v>0.10512285372201062</v>
      </c>
      <c r="AC168" s="78">
        <v>24.489999771118161</v>
      </c>
      <c r="AD168" s="40">
        <f t="shared" si="28"/>
        <v>9.4359486677059474E-3</v>
      </c>
    </row>
    <row r="169" spans="2:30" ht="13.95" customHeight="1" x14ac:dyDescent="0.3">
      <c r="B169" s="77">
        <v>43190</v>
      </c>
      <c r="C169" s="107">
        <f t="shared" si="19"/>
        <v>1</v>
      </c>
      <c r="D169" s="107">
        <f t="shared" si="38"/>
        <v>1</v>
      </c>
      <c r="E169" s="106">
        <v>4.592977101953001</v>
      </c>
      <c r="F169" s="106">
        <v>1.7645373656742911</v>
      </c>
      <c r="G169" s="106">
        <v>0.79830806876797422</v>
      </c>
      <c r="H169" s="106">
        <v>1.576466905704055</v>
      </c>
      <c r="I169" s="106">
        <v>0.86882833704845308</v>
      </c>
      <c r="J169" s="106">
        <v>0.98384241481538115</v>
      </c>
      <c r="K169" s="106">
        <v>1.886078540755711</v>
      </c>
      <c r="L169" s="106">
        <v>2.2002331942359521</v>
      </c>
      <c r="M169" s="40">
        <f t="shared" si="20"/>
        <v>0.18292496557501289</v>
      </c>
      <c r="N169" s="40">
        <f t="shared" si="21"/>
        <v>0.14158049532308434</v>
      </c>
      <c r="O169" s="40">
        <f t="shared" si="22"/>
        <v>0.11452178007360198</v>
      </c>
      <c r="P169" s="40">
        <f t="shared" si="23"/>
        <v>0.41681901299006618</v>
      </c>
      <c r="Q169" s="40">
        <f t="shared" si="24"/>
        <v>0.16925296479439828</v>
      </c>
      <c r="R169" s="40">
        <f t="shared" si="25"/>
        <v>-0.27037035729214076</v>
      </c>
      <c r="S169" s="40">
        <f t="shared" si="26"/>
        <v>0.24943501847653266</v>
      </c>
      <c r="T169" s="40">
        <f t="shared" si="27"/>
        <v>0.16165527223210188</v>
      </c>
      <c r="U169" s="40">
        <f t="shared" si="39"/>
        <v>0.14606334870714152</v>
      </c>
      <c r="V169" s="40">
        <f t="shared" si="40"/>
        <v>3.7994641870853968E-2</v>
      </c>
      <c r="W169" s="40">
        <f t="shared" si="41"/>
        <v>7.8516010838245595E-2</v>
      </c>
      <c r="X169" s="40">
        <f t="shared" si="42"/>
        <v>7.3728500734786234E-2</v>
      </c>
      <c r="Y169" s="40">
        <f t="shared" si="43"/>
        <v>9.4794262483587757E-2</v>
      </c>
      <c r="Z169" s="40">
        <f t="shared" si="44"/>
        <v>-1.3851885203384325E-2</v>
      </c>
      <c r="AA169" s="40">
        <f t="shared" si="45"/>
        <v>9.6724633785972042E-2</v>
      </c>
      <c r="AB169" s="40">
        <f t="shared" si="46"/>
        <v>0.10925649162891705</v>
      </c>
      <c r="AC169" s="78">
        <v>24.35000038146973</v>
      </c>
      <c r="AD169" s="40">
        <f t="shared" si="28"/>
        <v>3.4680722701539685E-2</v>
      </c>
    </row>
    <row r="170" spans="2:30" ht="13.95" customHeight="1" x14ac:dyDescent="0.3">
      <c r="B170" s="77">
        <v>43220</v>
      </c>
      <c r="C170" s="107">
        <f t="shared" si="19"/>
        <v>1</v>
      </c>
      <c r="D170" s="107">
        <f t="shared" si="38"/>
        <v>1</v>
      </c>
      <c r="E170" s="106">
        <v>4.6460437089602786</v>
      </c>
      <c r="F170" s="106">
        <v>1.779642620814688</v>
      </c>
      <c r="G170" s="106">
        <v>0.81082203593419422</v>
      </c>
      <c r="H170" s="106">
        <v>1.5787169999196311</v>
      </c>
      <c r="I170" s="106">
        <v>0.88162889469125949</v>
      </c>
      <c r="J170" s="106">
        <v>1.007900637496207</v>
      </c>
      <c r="K170" s="106">
        <v>1.9009111417225859</v>
      </c>
      <c r="L170" s="106">
        <v>2.2255402749688131</v>
      </c>
      <c r="M170" s="40">
        <f t="shared" si="20"/>
        <v>0.19040249209913651</v>
      </c>
      <c r="N170" s="40">
        <f t="shared" si="21"/>
        <v>0.15916960092235055</v>
      </c>
      <c r="O170" s="40">
        <f t="shared" si="22"/>
        <v>0.12539352818427721</v>
      </c>
      <c r="P170" s="40">
        <f t="shared" si="23"/>
        <v>0.43601435851125819</v>
      </c>
      <c r="Q170" s="40">
        <f t="shared" si="24"/>
        <v>0.1725444149482504</v>
      </c>
      <c r="R170" s="40">
        <f t="shared" si="25"/>
        <v>-0.21254519858703694</v>
      </c>
      <c r="S170" s="40">
        <f t="shared" si="26"/>
        <v>0.26180803474154829</v>
      </c>
      <c r="T170" s="40">
        <f t="shared" si="27"/>
        <v>0.17183179041406901</v>
      </c>
      <c r="U170" s="40">
        <f t="shared" si="39"/>
        <v>0.14605064804331408</v>
      </c>
      <c r="V170" s="40">
        <f t="shared" si="40"/>
        <v>2.8302544203932575E-2</v>
      </c>
      <c r="W170" s="40">
        <f t="shared" si="41"/>
        <v>8.1662330521197965E-2</v>
      </c>
      <c r="X170" s="40">
        <f t="shared" si="42"/>
        <v>7.2277955480866241E-2</v>
      </c>
      <c r="Y170" s="40">
        <f t="shared" si="43"/>
        <v>9.7509263664066162E-2</v>
      </c>
      <c r="Z170" s="40">
        <f t="shared" si="44"/>
        <v>-5.7492460994442995E-3</v>
      </c>
      <c r="AA170" s="40">
        <f t="shared" si="45"/>
        <v>9.5172942544368436E-2</v>
      </c>
      <c r="AB170" s="40">
        <f t="shared" si="46"/>
        <v>0.10742077581910663</v>
      </c>
      <c r="AC170" s="78">
        <v>24.989999771118161</v>
      </c>
      <c r="AD170" s="40">
        <f t="shared" si="28"/>
        <v>7.9509297353655348E-2</v>
      </c>
    </row>
    <row r="171" spans="2:30" ht="13.95" customHeight="1" x14ac:dyDescent="0.3">
      <c r="B171" s="77">
        <v>43251</v>
      </c>
      <c r="C171" s="107">
        <f t="shared" si="19"/>
        <v>1</v>
      </c>
      <c r="D171" s="107">
        <f t="shared" si="38"/>
        <v>1</v>
      </c>
      <c r="E171" s="106">
        <v>4.7489172100836052</v>
      </c>
      <c r="F171" s="106">
        <v>1.7473066003780831</v>
      </c>
      <c r="G171" s="106">
        <v>0.82265096678399008</v>
      </c>
      <c r="H171" s="106">
        <v>1.665480710166283</v>
      </c>
      <c r="I171" s="106">
        <v>0.89361569811912422</v>
      </c>
      <c r="J171" s="106">
        <v>1.031613315148975</v>
      </c>
      <c r="K171" s="106">
        <v>1.9524718751310099</v>
      </c>
      <c r="L171" s="106">
        <v>2.2506737637268208</v>
      </c>
      <c r="M171" s="40">
        <f t="shared" si="20"/>
        <v>0.21443549425757216</v>
      </c>
      <c r="N171" s="40">
        <f t="shared" si="21"/>
        <v>0.1813604263424248</v>
      </c>
      <c r="O171" s="40">
        <f t="shared" si="22"/>
        <v>0.13868072958419986</v>
      </c>
      <c r="P171" s="40">
        <f t="shared" si="23"/>
        <v>0.37001213708992564</v>
      </c>
      <c r="Q171" s="40">
        <f t="shared" si="24"/>
        <v>0.18031966310314426</v>
      </c>
      <c r="R171" s="40">
        <f t="shared" si="25"/>
        <v>-0.16259737803053326</v>
      </c>
      <c r="S171" s="40">
        <f t="shared" si="26"/>
        <v>0.25825914273183881</v>
      </c>
      <c r="T171" s="40">
        <f t="shared" si="27"/>
        <v>0.19325280999314465</v>
      </c>
      <c r="U171" s="40">
        <f t="shared" si="39"/>
        <v>0.14764329651500804</v>
      </c>
      <c r="V171" s="40">
        <f t="shared" si="40"/>
        <v>3.3927339297025794E-2</v>
      </c>
      <c r="W171" s="40">
        <f t="shared" si="41"/>
        <v>7.3902429756042665E-2</v>
      </c>
      <c r="X171" s="40">
        <f t="shared" si="42"/>
        <v>9.2176861971334081E-2</v>
      </c>
      <c r="Y171" s="40">
        <f t="shared" si="43"/>
        <v>8.9546950256674016E-2</v>
      </c>
      <c r="Z171" s="40">
        <f t="shared" si="44"/>
        <v>-1.1938974398719871E-2</v>
      </c>
      <c r="AA171" s="40">
        <f t="shared" si="45"/>
        <v>0.1032640303208993</v>
      </c>
      <c r="AB171" s="40">
        <f t="shared" si="46"/>
        <v>0.10814928509104196</v>
      </c>
      <c r="AC171" s="78">
        <v>25.430000305175781</v>
      </c>
      <c r="AD171" s="40">
        <f t="shared" si="28"/>
        <v>0.11444609911937527</v>
      </c>
    </row>
    <row r="172" spans="2:30" ht="13.95" customHeight="1" x14ac:dyDescent="0.3">
      <c r="B172" s="77">
        <v>43281</v>
      </c>
      <c r="C172" s="107">
        <f t="shared" ref="C172:C235" si="47">IF(B172&gt;=EBStart,1,0)</f>
        <v>1</v>
      </c>
      <c r="D172" s="107">
        <f t="shared" si="38"/>
        <v>1</v>
      </c>
      <c r="E172" s="106">
        <v>4.7098401587804846</v>
      </c>
      <c r="F172" s="106">
        <v>1.7020802085393421</v>
      </c>
      <c r="G172" s="106">
        <v>0.81669228531339433</v>
      </c>
      <c r="H172" s="106">
        <v>1.7374606678214799</v>
      </c>
      <c r="I172" s="106">
        <v>0.88362535891842553</v>
      </c>
      <c r="J172" s="106">
        <v>1.063043630262638</v>
      </c>
      <c r="K172" s="106">
        <v>1.967004356142025</v>
      </c>
      <c r="L172" s="106">
        <v>2.2234538777912078</v>
      </c>
      <c r="M172" s="40">
        <f t="shared" ref="M172:M235" si="48">LN(E172/E160)</f>
        <v>0.20204275250299777</v>
      </c>
      <c r="N172" s="40">
        <f t="shared" ref="N172:N235" si="49">LN(F172/F160)</f>
        <v>6.1324250087446915E-2</v>
      </c>
      <c r="O172" s="40">
        <f t="shared" ref="O172:O235" si="50">LN(G172/G160)</f>
        <v>0.11635308625067385</v>
      </c>
      <c r="P172" s="40">
        <f t="shared" ref="P172:P235" si="51">LN(H172/H160)</f>
        <v>0.45276743269421976</v>
      </c>
      <c r="Q172" s="40">
        <f t="shared" ref="Q172:Q235" si="52">LN(I172/I160)</f>
        <v>0.15177755952394911</v>
      </c>
      <c r="R172" s="40">
        <f t="shared" ref="R172:R235" si="53">LN(J172/J160)</f>
        <v>-0.13410380048194007</v>
      </c>
      <c r="S172" s="40">
        <f t="shared" ref="S172:S235" si="54">LN(K172/K160)</f>
        <v>0.26072522326721753</v>
      </c>
      <c r="T172" s="40">
        <f t="shared" ref="T172:T235" si="55">LN(L172/L160)</f>
        <v>0.15477491920060596</v>
      </c>
      <c r="U172" s="40">
        <f t="shared" si="39"/>
        <v>0.13912073926701404</v>
      </c>
      <c r="V172" s="40">
        <f t="shared" si="40"/>
        <v>3.3821439687296034E-2</v>
      </c>
      <c r="W172" s="40">
        <f t="shared" si="41"/>
        <v>6.56740741500874E-2</v>
      </c>
      <c r="X172" s="40">
        <f t="shared" si="42"/>
        <v>0.10629982932096024</v>
      </c>
      <c r="Y172" s="40">
        <f t="shared" si="43"/>
        <v>7.9864413838577272E-2</v>
      </c>
      <c r="Z172" s="40">
        <f t="shared" si="44"/>
        <v>-7.2539934955652211E-3</v>
      </c>
      <c r="AA172" s="40">
        <f t="shared" si="45"/>
        <v>0.10454972520164189</v>
      </c>
      <c r="AB172" s="40">
        <f t="shared" si="46"/>
        <v>0.10203507773722757</v>
      </c>
      <c r="AC172" s="78">
        <v>24.35000038146973</v>
      </c>
      <c r="AD172" s="40">
        <f t="shared" ref="AD172:AD235" si="56">LN(AC172/AC160)</f>
        <v>7.1489397309854458E-2</v>
      </c>
    </row>
    <row r="173" spans="2:30" ht="13.95" customHeight="1" x14ac:dyDescent="0.3">
      <c r="B173" s="77">
        <v>43312</v>
      </c>
      <c r="C173" s="107">
        <f t="shared" si="47"/>
        <v>1</v>
      </c>
      <c r="D173" s="107">
        <f t="shared" si="38"/>
        <v>1</v>
      </c>
      <c r="E173" s="106">
        <v>4.790978356250732</v>
      </c>
      <c r="F173" s="106">
        <v>1.6957299203058851</v>
      </c>
      <c r="G173" s="106">
        <v>0.82190452190313557</v>
      </c>
      <c r="H173" s="106">
        <v>1.836077426215476</v>
      </c>
      <c r="I173" s="106">
        <v>0.88587630560268038</v>
      </c>
      <c r="J173" s="106">
        <v>1.1064317192695929</v>
      </c>
      <c r="K173" s="106">
        <v>2.02204210447348</v>
      </c>
      <c r="L173" s="106">
        <v>2.2471440986993101</v>
      </c>
      <c r="M173" s="40">
        <f t="shared" si="48"/>
        <v>0.21087459573319381</v>
      </c>
      <c r="N173" s="40">
        <f t="shared" si="49"/>
        <v>6.62728674626471E-2</v>
      </c>
      <c r="O173" s="40">
        <f t="shared" si="50"/>
        <v>0.11004273818253786</v>
      </c>
      <c r="P173" s="40">
        <f t="shared" si="51"/>
        <v>0.54512980598130956</v>
      </c>
      <c r="Q173" s="40">
        <f t="shared" si="52"/>
        <v>0.14085787579597794</v>
      </c>
      <c r="R173" s="40">
        <f t="shared" si="53"/>
        <v>-0.10192278557893239</v>
      </c>
      <c r="S173" s="40">
        <f t="shared" si="54"/>
        <v>0.29641348518022648</v>
      </c>
      <c r="T173" s="40">
        <f t="shared" si="55"/>
        <v>0.1603802325566748</v>
      </c>
      <c r="U173" s="40">
        <f t="shared" si="39"/>
        <v>0.14154744840210678</v>
      </c>
      <c r="V173" s="40">
        <f t="shared" si="40"/>
        <v>3.3701810288458145E-2</v>
      </c>
      <c r="W173" s="40">
        <f t="shared" si="41"/>
        <v>6.8789547158486217E-2</v>
      </c>
      <c r="X173" s="40">
        <f t="shared" si="42"/>
        <v>0.12345408113776343</v>
      </c>
      <c r="Y173" s="40">
        <f t="shared" si="43"/>
        <v>8.3036177106838666E-2</v>
      </c>
      <c r="Z173" s="40">
        <f t="shared" si="44"/>
        <v>-3.1109271997023188E-3</v>
      </c>
      <c r="AA173" s="40">
        <f t="shared" si="45"/>
        <v>0.11231855670858043</v>
      </c>
      <c r="AB173" s="40">
        <f t="shared" si="46"/>
        <v>0.10405851814835598</v>
      </c>
      <c r="AC173" s="78">
        <v>23.739999771118161</v>
      </c>
      <c r="AD173" s="40">
        <f t="shared" si="56"/>
        <v>1.9996382554294329E-2</v>
      </c>
    </row>
    <row r="174" spans="2:30" ht="13.95" customHeight="1" x14ac:dyDescent="0.3">
      <c r="B174" s="77">
        <v>43343</v>
      </c>
      <c r="C174" s="107">
        <f t="shared" si="47"/>
        <v>1</v>
      </c>
      <c r="D174" s="107">
        <f t="shared" si="38"/>
        <v>1</v>
      </c>
      <c r="E174" s="106">
        <v>4.911200317276089</v>
      </c>
      <c r="F174" s="106">
        <v>1.71835028379498</v>
      </c>
      <c r="G174" s="106">
        <v>0.81274370797764228</v>
      </c>
      <c r="H174" s="106">
        <v>1.921515914961047</v>
      </c>
      <c r="I174" s="106">
        <v>0.88371186573498062</v>
      </c>
      <c r="J174" s="106">
        <v>1.0104902836237639</v>
      </c>
      <c r="K174" s="106">
        <v>2.0791107974886991</v>
      </c>
      <c r="L174" s="106">
        <v>2.2842235280633409</v>
      </c>
      <c r="M174" s="40">
        <f t="shared" si="48"/>
        <v>0.22261341761937403</v>
      </c>
      <c r="N174" s="40">
        <f t="shared" si="49"/>
        <v>8.1087813287284691E-2</v>
      </c>
      <c r="O174" s="40">
        <f t="shared" si="50"/>
        <v>8.8852475473731651E-2</v>
      </c>
      <c r="P174" s="40">
        <f t="shared" si="51"/>
        <v>0.65558193226223638</v>
      </c>
      <c r="Q174" s="40">
        <f t="shared" si="52"/>
        <v>0.11938308947130381</v>
      </c>
      <c r="R174" s="40">
        <f t="shared" si="53"/>
        <v>-0.14447488806906178</v>
      </c>
      <c r="S174" s="40">
        <f t="shared" si="54"/>
        <v>0.33327417759312733</v>
      </c>
      <c r="T174" s="40">
        <f t="shared" si="55"/>
        <v>0.16753396157813871</v>
      </c>
      <c r="U174" s="40">
        <f t="shared" si="39"/>
        <v>0.13891527885361551</v>
      </c>
      <c r="V174" s="40">
        <f t="shared" si="40"/>
        <v>3.7195109723699563E-2</v>
      </c>
      <c r="W174" s="40">
        <f t="shared" si="41"/>
        <v>6.5532033151239205E-2</v>
      </c>
      <c r="X174" s="40">
        <f t="shared" si="42"/>
        <v>0.14059928294601837</v>
      </c>
      <c r="Y174" s="40">
        <f t="shared" si="43"/>
        <v>8.2572982835140335E-2</v>
      </c>
      <c r="Z174" s="40">
        <f t="shared" si="44"/>
        <v>-3.0782689995859508E-2</v>
      </c>
      <c r="AA174" s="40">
        <f t="shared" si="45"/>
        <v>0.11808313014129847</v>
      </c>
      <c r="AB174" s="40">
        <f t="shared" si="46"/>
        <v>0.10297599626235862</v>
      </c>
      <c r="AC174" s="78">
        <v>23.270000457763668</v>
      </c>
      <c r="AD174" s="40">
        <f t="shared" si="56"/>
        <v>-1.7174331505325194E-3</v>
      </c>
    </row>
    <row r="175" spans="2:30" ht="13.95" customHeight="1" x14ac:dyDescent="0.3">
      <c r="B175" s="77">
        <v>43373</v>
      </c>
      <c r="C175" s="107">
        <f t="shared" si="47"/>
        <v>1</v>
      </c>
      <c r="D175" s="107">
        <f t="shared" si="38"/>
        <v>1</v>
      </c>
      <c r="E175" s="106">
        <v>4.9627729237635174</v>
      </c>
      <c r="F175" s="106">
        <v>1.74304443736059</v>
      </c>
      <c r="G175" s="106">
        <v>0.8189764908787921</v>
      </c>
      <c r="H175" s="106">
        <v>1.995693146476532</v>
      </c>
      <c r="I175" s="106">
        <v>0.88728772094371977</v>
      </c>
      <c r="J175" s="106">
        <v>1.0530027764794809</v>
      </c>
      <c r="K175" s="106">
        <v>2.1245227852655519</v>
      </c>
      <c r="L175" s="106">
        <v>2.309043600270019</v>
      </c>
      <c r="M175" s="40">
        <f t="shared" si="48"/>
        <v>0.23768482453124529</v>
      </c>
      <c r="N175" s="40">
        <f t="shared" si="49"/>
        <v>7.9934944947895908E-2</v>
      </c>
      <c r="O175" s="40">
        <f t="shared" si="50"/>
        <v>9.8778336521868806E-2</v>
      </c>
      <c r="P175" s="40">
        <f t="shared" si="51"/>
        <v>0.63956603166402148</v>
      </c>
      <c r="Q175" s="40">
        <f t="shared" si="52"/>
        <v>0.12378830173101699</v>
      </c>
      <c r="R175" s="40">
        <f t="shared" si="53"/>
        <v>-8.8192778215208545E-2</v>
      </c>
      <c r="S175" s="40">
        <f t="shared" si="54"/>
        <v>0.33855537721838852</v>
      </c>
      <c r="T175" s="40">
        <f t="shared" si="55"/>
        <v>0.17797787858811032</v>
      </c>
      <c r="U175" s="40">
        <f t="shared" si="39"/>
        <v>0.13542306364441764</v>
      </c>
      <c r="V175" s="40">
        <f t="shared" si="40"/>
        <v>3.7537021379523534E-2</v>
      </c>
      <c r="W175" s="40">
        <f t="shared" si="41"/>
        <v>6.9218659772930402E-2</v>
      </c>
      <c r="X175" s="40">
        <f t="shared" si="42"/>
        <v>0.1569844179835255</v>
      </c>
      <c r="Y175" s="40">
        <f t="shared" si="43"/>
        <v>8.6425042554420808E-2</v>
      </c>
      <c r="Z175" s="40">
        <f t="shared" si="44"/>
        <v>-2.7270320442757408E-2</v>
      </c>
      <c r="AA175" s="40">
        <f t="shared" si="45"/>
        <v>0.12332219361013823</v>
      </c>
      <c r="AB175" s="40">
        <f t="shared" si="46"/>
        <v>0.10163025019106292</v>
      </c>
      <c r="AC175" s="78">
        <v>23.760000228881839</v>
      </c>
      <c r="AD175" s="40">
        <f t="shared" si="56"/>
        <v>2.1268347196851937E-2</v>
      </c>
    </row>
    <row r="176" spans="2:30" ht="13.95" customHeight="1" x14ac:dyDescent="0.3">
      <c r="B176" s="77">
        <v>43404</v>
      </c>
      <c r="C176" s="107">
        <f t="shared" si="47"/>
        <v>1</v>
      </c>
      <c r="D176" s="107">
        <f t="shared" ref="D176:D207" si="57">IF(B176&gt;=EBStart,1,0)</f>
        <v>1</v>
      </c>
      <c r="E176" s="106">
        <v>4.9631168040493394</v>
      </c>
      <c r="F176" s="106">
        <v>1.6623584225955219</v>
      </c>
      <c r="G176" s="106">
        <v>0.80713305278259984</v>
      </c>
      <c r="H176" s="106">
        <v>2.1396425789513001</v>
      </c>
      <c r="I176" s="106">
        <v>0.87715263313088132</v>
      </c>
      <c r="J176" s="106">
        <v>1.0086547148368961</v>
      </c>
      <c r="K176" s="106">
        <v>2.1708673235760911</v>
      </c>
      <c r="L176" s="106">
        <v>2.2810777713114989</v>
      </c>
      <c r="M176" s="40">
        <f t="shared" si="48"/>
        <v>0.22211620138114607</v>
      </c>
      <c r="N176" s="40">
        <f t="shared" si="49"/>
        <v>1.8598684877620647E-2</v>
      </c>
      <c r="O176" s="40">
        <f t="shared" si="50"/>
        <v>7.3375429678793624E-2</v>
      </c>
      <c r="P176" s="40">
        <f t="shared" si="51"/>
        <v>0.6768515010967473</v>
      </c>
      <c r="Q176" s="40">
        <f t="shared" si="52"/>
        <v>8.6063077499550611E-2</v>
      </c>
      <c r="R176" s="40">
        <f t="shared" si="53"/>
        <v>-3.1557140453689972E-2</v>
      </c>
      <c r="S176" s="40">
        <f t="shared" si="54"/>
        <v>0.34033843653110313</v>
      </c>
      <c r="T176" s="40">
        <f t="shared" si="55"/>
        <v>0.1513315977621463</v>
      </c>
      <c r="U176" s="40">
        <f t="shared" ref="U176:U207" si="58">LN(E176/E128)/4</f>
        <v>0.12981260229618619</v>
      </c>
      <c r="V176" s="40">
        <f t="shared" ref="V176:V207" si="59">LN(F176/F128)/4</f>
        <v>2.7527980926862448E-2</v>
      </c>
      <c r="W176" s="40">
        <f t="shared" ref="W176:W207" si="60">LN(G176/G128)/4</f>
        <v>5.3680263499434416E-2</v>
      </c>
      <c r="X176" s="40">
        <f t="shared" ref="X176:X207" si="61">LN(H176/H128)/4</f>
        <v>0.19061739126774463</v>
      </c>
      <c r="Y176" s="40">
        <f t="shared" ref="Y176:Y207" si="62">LN(I176/I128)/4</f>
        <v>7.1554541806323951E-2</v>
      </c>
      <c r="Z176" s="40">
        <f t="shared" ref="Z176:Z207" si="63">LN(J176/J128)/4</f>
        <v>-4.9170219590788433E-2</v>
      </c>
      <c r="AA176" s="40">
        <f t="shared" ref="AA176:AA207" si="64">LN(K176/K128)/4</f>
        <v>0.13103630501608621</v>
      </c>
      <c r="AB176" s="40">
        <f t="shared" ref="AB176:AB207" si="65">LN(L176/L128)/4</f>
        <v>9.3811433414597856E-2</v>
      </c>
      <c r="AC176" s="78">
        <v>23.159999847412109</v>
      </c>
      <c r="AD176" s="40">
        <f t="shared" si="56"/>
        <v>-2.9776796133933612E-2</v>
      </c>
    </row>
    <row r="177" spans="2:30" ht="13.95" customHeight="1" x14ac:dyDescent="0.3">
      <c r="B177" s="77">
        <v>43434</v>
      </c>
      <c r="C177" s="107">
        <f t="shared" si="47"/>
        <v>1</v>
      </c>
      <c r="D177" s="107">
        <f t="shared" si="57"/>
        <v>1</v>
      </c>
      <c r="E177" s="106">
        <v>5.0807934308038423</v>
      </c>
      <c r="F177" s="106">
        <v>1.676242184297813</v>
      </c>
      <c r="G177" s="106">
        <v>0.80610676729853004</v>
      </c>
      <c r="H177" s="106">
        <v>2.1240647744766181</v>
      </c>
      <c r="I177" s="106">
        <v>0.87227979676389178</v>
      </c>
      <c r="J177" s="106">
        <v>1.047145774309451</v>
      </c>
      <c r="K177" s="106">
        <v>2.1849926645395299</v>
      </c>
      <c r="L177" s="106">
        <v>2.319008325859595</v>
      </c>
      <c r="M177" s="40">
        <f t="shared" si="48"/>
        <v>0.23729525237803306</v>
      </c>
      <c r="N177" s="40">
        <f t="shared" si="49"/>
        <v>-1.6769492379879432E-3</v>
      </c>
      <c r="O177" s="40">
        <f t="shared" si="50"/>
        <v>5.8713679449537724E-2</v>
      </c>
      <c r="P177" s="40">
        <f t="shared" si="51"/>
        <v>0.62540989068228914</v>
      </c>
      <c r="Q177" s="40">
        <f t="shared" si="52"/>
        <v>5.838129573064426E-2</v>
      </c>
      <c r="R177" s="40">
        <f t="shared" si="53"/>
        <v>6.3413387902003154E-2</v>
      </c>
      <c r="S177" s="40">
        <f t="shared" si="54"/>
        <v>0.32372629548570253</v>
      </c>
      <c r="T177" s="40">
        <f t="shared" si="55"/>
        <v>0.15375945091632923</v>
      </c>
      <c r="U177" s="40">
        <f t="shared" si="58"/>
        <v>0.13422617073201373</v>
      </c>
      <c r="V177" s="40">
        <f t="shared" si="59"/>
        <v>3.0380725238508134E-2</v>
      </c>
      <c r="W177" s="40">
        <f t="shared" si="60"/>
        <v>5.6294612626353796E-2</v>
      </c>
      <c r="X177" s="40">
        <f t="shared" si="61"/>
        <v>0.19897111239091583</v>
      </c>
      <c r="Y177" s="40">
        <f t="shared" si="62"/>
        <v>7.463019247394477E-2</v>
      </c>
      <c r="Z177" s="40">
        <f t="shared" si="63"/>
        <v>-4.84124667761585E-2</v>
      </c>
      <c r="AA177" s="40">
        <f t="shared" si="64"/>
        <v>0.13583993616547407</v>
      </c>
      <c r="AB177" s="40">
        <f t="shared" si="65"/>
        <v>9.7792423581178206E-2</v>
      </c>
      <c r="AC177" s="78">
        <v>22.95000076293945</v>
      </c>
      <c r="AD177" s="40">
        <f t="shared" si="56"/>
        <v>-3.173507096418008E-2</v>
      </c>
    </row>
    <row r="178" spans="2:30" ht="13.95" customHeight="1" x14ac:dyDescent="0.3">
      <c r="B178" s="77">
        <v>43465</v>
      </c>
      <c r="C178" s="107">
        <f t="shared" si="47"/>
        <v>1</v>
      </c>
      <c r="D178" s="107">
        <f t="shared" si="57"/>
        <v>1</v>
      </c>
      <c r="E178" s="106">
        <v>5.2185818233382211</v>
      </c>
      <c r="F178" s="106">
        <v>1.5980349625182579</v>
      </c>
      <c r="G178" s="106">
        <v>0.81630749320382812</v>
      </c>
      <c r="H178" s="106">
        <v>2.1142717166878429</v>
      </c>
      <c r="I178" s="106">
        <v>0.87848977271105821</v>
      </c>
      <c r="J178" s="106">
        <v>1.1130089689127369</v>
      </c>
      <c r="K178" s="106">
        <v>2.1933459021339661</v>
      </c>
      <c r="L178" s="106">
        <v>2.341823866048883</v>
      </c>
      <c r="M178" s="40">
        <f t="shared" si="48"/>
        <v>0.24796211652941502</v>
      </c>
      <c r="N178" s="40">
        <f t="shared" si="49"/>
        <v>-7.5257109543587192E-2</v>
      </c>
      <c r="O178" s="40">
        <f t="shared" si="50"/>
        <v>4.9963696194582172E-2</v>
      </c>
      <c r="P178" s="40">
        <f t="shared" si="51"/>
        <v>0.56508948235656142</v>
      </c>
      <c r="Q178" s="40">
        <f t="shared" si="52"/>
        <v>4.0050899218285071E-2</v>
      </c>
      <c r="R178" s="40">
        <f t="shared" si="53"/>
        <v>0.13870046586165033</v>
      </c>
      <c r="S178" s="40">
        <f t="shared" si="54"/>
        <v>0.29690776566063792</v>
      </c>
      <c r="T178" s="40">
        <f t="shared" si="55"/>
        <v>0.14428382687724423</v>
      </c>
      <c r="U178" s="40">
        <f t="shared" si="58"/>
        <v>0.1374387624356361</v>
      </c>
      <c r="V178" s="40">
        <f t="shared" si="59"/>
        <v>2.8309704431995562E-2</v>
      </c>
      <c r="W178" s="40">
        <f t="shared" si="60"/>
        <v>6.1640397999126691E-2</v>
      </c>
      <c r="X178" s="40">
        <f t="shared" si="61"/>
        <v>0.24501704338172936</v>
      </c>
      <c r="Y178" s="40">
        <f t="shared" si="62"/>
        <v>7.9614189566739949E-2</v>
      </c>
      <c r="Z178" s="40">
        <f t="shared" si="63"/>
        <v>-3.831048888164254E-2</v>
      </c>
      <c r="AA178" s="40">
        <f t="shared" si="64"/>
        <v>0.15161341221058891</v>
      </c>
      <c r="AB178" s="40">
        <f t="shared" si="65"/>
        <v>0.10103825453867571</v>
      </c>
      <c r="AC178" s="78">
        <v>21.219999313354489</v>
      </c>
      <c r="AD178" s="40">
        <f t="shared" si="56"/>
        <v>-0.14004877732640436</v>
      </c>
    </row>
    <row r="179" spans="2:30" ht="13.95" customHeight="1" x14ac:dyDescent="0.3">
      <c r="B179" s="77">
        <v>43496</v>
      </c>
      <c r="C179" s="107">
        <f t="shared" si="47"/>
        <v>1</v>
      </c>
      <c r="D179" s="107">
        <f t="shared" si="57"/>
        <v>1</v>
      </c>
      <c r="E179" s="106">
        <v>5.2978716910341266</v>
      </c>
      <c r="F179" s="106">
        <v>1.785310835797252</v>
      </c>
      <c r="G179" s="106">
        <v>0.75978970343159469</v>
      </c>
      <c r="H179" s="106">
        <v>2.0838240454129182</v>
      </c>
      <c r="I179" s="106">
        <v>0.86960134572657033</v>
      </c>
      <c r="J179" s="106">
        <v>0.4786731272128773</v>
      </c>
      <c r="K179" s="106">
        <v>2.2077415257552842</v>
      </c>
      <c r="L179" s="106">
        <v>2.3904977281758288</v>
      </c>
      <c r="M179" s="40">
        <f t="shared" si="48"/>
        <v>0.22480435243096214</v>
      </c>
      <c r="N179" s="40">
        <f t="shared" si="49"/>
        <v>2.0999163622640152E-2</v>
      </c>
      <c r="O179" s="40">
        <f t="shared" si="50"/>
        <v>-3.4081166882906556E-2</v>
      </c>
      <c r="P179" s="40">
        <f t="shared" si="51"/>
        <v>0.45351584051066623</v>
      </c>
      <c r="Q179" s="40">
        <f t="shared" si="52"/>
        <v>1.7317526714150877E-2</v>
      </c>
      <c r="R179" s="40">
        <f t="shared" si="53"/>
        <v>-0.71497876193873833</v>
      </c>
      <c r="S179" s="40">
        <f t="shared" si="54"/>
        <v>0.25264757510330488</v>
      </c>
      <c r="T179" s="40">
        <f t="shared" si="55"/>
        <v>0.13654283133942219</v>
      </c>
      <c r="U179" s="40">
        <f t="shared" si="58"/>
        <v>0.13961080116554375</v>
      </c>
      <c r="V179" s="40">
        <f t="shared" si="59"/>
        <v>6.1668789719037422E-2</v>
      </c>
      <c r="W179" s="40">
        <f t="shared" si="60"/>
        <v>3.3040832276891037E-2</v>
      </c>
      <c r="X179" s="40">
        <f t="shared" si="61"/>
        <v>0.29221819831139156</v>
      </c>
      <c r="Y179" s="40">
        <f t="shared" si="62"/>
        <v>6.5227206212901886E-2</v>
      </c>
      <c r="Z179" s="40">
        <f t="shared" si="63"/>
        <v>-0.25185024579376775</v>
      </c>
      <c r="AA179" s="40">
        <f t="shared" si="64"/>
        <v>0.16537399636570216</v>
      </c>
      <c r="AB179" s="40">
        <f t="shared" si="65"/>
        <v>0.10475124387794682</v>
      </c>
      <c r="AC179" s="78">
        <v>22.430000305175781</v>
      </c>
      <c r="AD179" s="40">
        <f t="shared" si="56"/>
        <v>-0.10927616119686111</v>
      </c>
    </row>
    <row r="180" spans="2:30" ht="13.95" customHeight="1" x14ac:dyDescent="0.3">
      <c r="B180" s="77">
        <v>43524</v>
      </c>
      <c r="C180" s="107">
        <f t="shared" si="47"/>
        <v>1</v>
      </c>
      <c r="D180" s="107">
        <f t="shared" si="57"/>
        <v>1</v>
      </c>
      <c r="E180" s="106">
        <v>5.2790951947174287</v>
      </c>
      <c r="F180" s="106">
        <v>1.768644955734177</v>
      </c>
      <c r="G180" s="106">
        <v>0.77751230365542123</v>
      </c>
      <c r="H180" s="106">
        <v>2.224059991328124</v>
      </c>
      <c r="I180" s="106">
        <v>0.8831994035330949</v>
      </c>
      <c r="J180" s="106">
        <v>0.56140117154423508</v>
      </c>
      <c r="K180" s="106">
        <v>2.267401851245836</v>
      </c>
      <c r="L180" s="106">
        <v>2.3886526042504048</v>
      </c>
      <c r="M180" s="40">
        <f t="shared" si="48"/>
        <v>0.16355441508014193</v>
      </c>
      <c r="N180" s="40">
        <f t="shared" si="49"/>
        <v>1.8262570310453061E-2</v>
      </c>
      <c r="O180" s="40">
        <f t="shared" si="50"/>
        <v>-1.1708687308043796E-2</v>
      </c>
      <c r="P180" s="40">
        <f t="shared" si="51"/>
        <v>0.44034891151646705</v>
      </c>
      <c r="Q180" s="40">
        <f t="shared" si="52"/>
        <v>3.4728758115284732E-2</v>
      </c>
      <c r="R180" s="40">
        <f t="shared" si="53"/>
        <v>-0.57978401609686692</v>
      </c>
      <c r="S180" s="40">
        <f t="shared" si="54"/>
        <v>0.23109163354587137</v>
      </c>
      <c r="T180" s="40">
        <f t="shared" si="55"/>
        <v>0.10296205830568174</v>
      </c>
      <c r="U180" s="40">
        <f t="shared" si="58"/>
        <v>0.13005083778444071</v>
      </c>
      <c r="V180" s="40">
        <f t="shared" si="59"/>
        <v>6.1687290583488971E-2</v>
      </c>
      <c r="W180" s="40">
        <f t="shared" si="60"/>
        <v>4.0123087660512376E-2</v>
      </c>
      <c r="X180" s="40">
        <f t="shared" si="61"/>
        <v>0.3226640420816056</v>
      </c>
      <c r="Y180" s="40">
        <f t="shared" si="62"/>
        <v>7.1996313426161362E-2</v>
      </c>
      <c r="Z180" s="40">
        <f t="shared" si="63"/>
        <v>-0.2240866167311972</v>
      </c>
      <c r="AA180" s="40">
        <f t="shared" si="64"/>
        <v>0.17219219224510213</v>
      </c>
      <c r="AB180" s="40">
        <f t="shared" si="65"/>
        <v>0.1000487459567812</v>
      </c>
      <c r="AC180" s="78">
        <v>22.70000076293945</v>
      </c>
      <c r="AD180" s="40">
        <f t="shared" si="56"/>
        <v>-7.5899903521121928E-2</v>
      </c>
    </row>
    <row r="181" spans="2:30" ht="13.95" customHeight="1" x14ac:dyDescent="0.3">
      <c r="B181" s="77">
        <v>43555</v>
      </c>
      <c r="C181" s="107">
        <f t="shared" si="47"/>
        <v>1</v>
      </c>
      <c r="D181" s="107">
        <f t="shared" si="57"/>
        <v>1</v>
      </c>
      <c r="E181" s="106">
        <v>5.412023886783925</v>
      </c>
      <c r="F181" s="106">
        <v>1.8664596765245891</v>
      </c>
      <c r="G181" s="106">
        <v>0.78528090881079637</v>
      </c>
      <c r="H181" s="106">
        <v>2.33308043345796</v>
      </c>
      <c r="I181" s="106">
        <v>0.89268056428464992</v>
      </c>
      <c r="J181" s="106">
        <v>0.55992445280652881</v>
      </c>
      <c r="K181" s="106">
        <v>2.3528028872245441</v>
      </c>
      <c r="L181" s="106">
        <v>2.458323338314365</v>
      </c>
      <c r="M181" s="40">
        <f t="shared" si="48"/>
        <v>0.16409470406073767</v>
      </c>
      <c r="N181" s="40">
        <f t="shared" si="49"/>
        <v>5.6154875086754423E-2</v>
      </c>
      <c r="O181" s="40">
        <f t="shared" si="50"/>
        <v>-1.6453074649163318E-2</v>
      </c>
      <c r="P181" s="40">
        <f t="shared" si="51"/>
        <v>0.39200326132830743</v>
      </c>
      <c r="Q181" s="40">
        <f t="shared" si="52"/>
        <v>2.7083241159428943E-2</v>
      </c>
      <c r="R181" s="40">
        <f t="shared" si="53"/>
        <v>-0.56366386775594668</v>
      </c>
      <c r="S181" s="40">
        <f t="shared" si="54"/>
        <v>0.22110750796573542</v>
      </c>
      <c r="T181" s="40">
        <f t="shared" si="55"/>
        <v>0.11091619565215764</v>
      </c>
      <c r="U181" s="40">
        <f t="shared" si="58"/>
        <v>0.13358077879038588</v>
      </c>
      <c r="V181" s="40">
        <f t="shared" si="59"/>
        <v>7.0790195875016379E-2</v>
      </c>
      <c r="W181" s="40">
        <f t="shared" si="60"/>
        <v>5.7005907799298643E-2</v>
      </c>
      <c r="X181" s="40">
        <f t="shared" si="61"/>
        <v>0.35086820551766135</v>
      </c>
      <c r="Y181" s="40">
        <f t="shared" si="62"/>
        <v>8.6699062488340917E-2</v>
      </c>
      <c r="Z181" s="40">
        <f t="shared" si="63"/>
        <v>-0.1909980644169022</v>
      </c>
      <c r="AA181" s="40">
        <f t="shared" si="64"/>
        <v>0.18501798790734694</v>
      </c>
      <c r="AB181" s="40">
        <f t="shared" si="65"/>
        <v>0.10704863059733341</v>
      </c>
      <c r="AC181" s="78">
        <v>22.659999847412109</v>
      </c>
      <c r="AD181" s="40">
        <f t="shared" si="56"/>
        <v>-7.1930616328645669E-2</v>
      </c>
    </row>
    <row r="182" spans="2:30" ht="13.95" customHeight="1" x14ac:dyDescent="0.3">
      <c r="B182" s="77">
        <v>43585</v>
      </c>
      <c r="C182" s="107">
        <f t="shared" si="47"/>
        <v>1</v>
      </c>
      <c r="D182" s="107">
        <f t="shared" si="57"/>
        <v>1</v>
      </c>
      <c r="E182" s="106">
        <v>5.5873166328977542</v>
      </c>
      <c r="F182" s="106">
        <v>1.9136795571703851</v>
      </c>
      <c r="G182" s="106">
        <v>0.78233606831858737</v>
      </c>
      <c r="H182" s="106">
        <v>2.3320281136634229</v>
      </c>
      <c r="I182" s="106">
        <v>0.88686517402130016</v>
      </c>
      <c r="J182" s="106">
        <v>0.58447751796449221</v>
      </c>
      <c r="K182" s="106">
        <v>2.3861938090994639</v>
      </c>
      <c r="L182" s="106">
        <v>2.520692801940323</v>
      </c>
      <c r="M182" s="40">
        <f t="shared" si="48"/>
        <v>0.18448309984954889</v>
      </c>
      <c r="N182" s="40">
        <f t="shared" si="49"/>
        <v>7.2615289195423496E-2</v>
      </c>
      <c r="O182" s="40">
        <f t="shared" si="50"/>
        <v>-3.5764189112841988E-2</v>
      </c>
      <c r="P182" s="40">
        <f t="shared" si="51"/>
        <v>0.3901258322170218</v>
      </c>
      <c r="Q182" s="40">
        <f t="shared" si="52"/>
        <v>5.9217553787357475E-3</v>
      </c>
      <c r="R182" s="40">
        <f t="shared" si="53"/>
        <v>-0.54490655339260696</v>
      </c>
      <c r="S182" s="40">
        <f t="shared" si="54"/>
        <v>0.22736622849524935</v>
      </c>
      <c r="T182" s="40">
        <f t="shared" si="55"/>
        <v>0.12453407879140733</v>
      </c>
      <c r="U182" s="40">
        <f t="shared" si="58"/>
        <v>0.13860050146158456</v>
      </c>
      <c r="V182" s="40">
        <f t="shared" si="59"/>
        <v>6.9144687993530574E-2</v>
      </c>
      <c r="W182" s="40">
        <f t="shared" si="60"/>
        <v>5.7784548409722726E-2</v>
      </c>
      <c r="X182" s="40">
        <f t="shared" si="61"/>
        <v>0.4206017530203715</v>
      </c>
      <c r="Y182" s="40">
        <f t="shared" si="62"/>
        <v>8.6636049584070216E-2</v>
      </c>
      <c r="Z182" s="40">
        <f t="shared" si="63"/>
        <v>-0.17724240484453513</v>
      </c>
      <c r="AA182" s="40">
        <f t="shared" si="64"/>
        <v>0.19997724743469605</v>
      </c>
      <c r="AB182" s="40">
        <f t="shared" si="65"/>
        <v>0.11000017818405464</v>
      </c>
      <c r="AC182" s="78">
        <v>22.54999923706055</v>
      </c>
      <c r="AD182" s="40">
        <f t="shared" si="56"/>
        <v>-0.10274070357247203</v>
      </c>
    </row>
    <row r="183" spans="2:30" ht="13.95" customHeight="1" x14ac:dyDescent="0.3">
      <c r="B183" s="77">
        <v>43616</v>
      </c>
      <c r="C183" s="107">
        <f t="shared" si="47"/>
        <v>1</v>
      </c>
      <c r="D183" s="107">
        <f t="shared" si="57"/>
        <v>1</v>
      </c>
      <c r="E183" s="106">
        <v>5.7217991109985542</v>
      </c>
      <c r="F183" s="106">
        <v>1.9606808549634469</v>
      </c>
      <c r="G183" s="106">
        <v>0.77702021971326451</v>
      </c>
      <c r="H183" s="106">
        <v>2.320539667497501</v>
      </c>
      <c r="I183" s="106">
        <v>0.87287903281939694</v>
      </c>
      <c r="J183" s="106">
        <v>0.66619843703487336</v>
      </c>
      <c r="K183" s="106">
        <v>2.4080048830268201</v>
      </c>
      <c r="L183" s="106">
        <v>2.5701408923903051</v>
      </c>
      <c r="M183" s="40">
        <f t="shared" si="48"/>
        <v>0.18636664954358967</v>
      </c>
      <c r="N183" s="40">
        <f t="shared" si="49"/>
        <v>0.11521627107461574</v>
      </c>
      <c r="O183" s="40">
        <f t="shared" si="50"/>
        <v>-5.706563921285502E-2</v>
      </c>
      <c r="P183" s="40">
        <f t="shared" si="51"/>
        <v>0.33168597735123162</v>
      </c>
      <c r="Q183" s="40">
        <f t="shared" si="52"/>
        <v>-2.3478833565771427E-2</v>
      </c>
      <c r="R183" s="40">
        <f t="shared" si="53"/>
        <v>-0.43729160153597713</v>
      </c>
      <c r="S183" s="40">
        <f t="shared" si="54"/>
        <v>0.2097023571939956</v>
      </c>
      <c r="T183" s="40">
        <f t="shared" si="55"/>
        <v>0.13273109741099703</v>
      </c>
      <c r="U183" s="40">
        <f t="shared" si="58"/>
        <v>0.13967780985433134</v>
      </c>
      <c r="V183" s="40">
        <f t="shared" si="59"/>
        <v>7.6125014684216688E-2</v>
      </c>
      <c r="W183" s="40">
        <f t="shared" si="60"/>
        <v>5.8051072143557959E-2</v>
      </c>
      <c r="X183" s="40">
        <f t="shared" si="61"/>
        <v>0.4127748658367128</v>
      </c>
      <c r="Y183" s="40">
        <f t="shared" si="62"/>
        <v>8.3312981592628885E-2</v>
      </c>
      <c r="Z183" s="40">
        <f t="shared" si="63"/>
        <v>-0.13308154498423641</v>
      </c>
      <c r="AA183" s="40">
        <f t="shared" si="64"/>
        <v>0.19901606776575159</v>
      </c>
      <c r="AB183" s="40">
        <f t="shared" si="65"/>
        <v>0.11237057721459247</v>
      </c>
      <c r="AC183" s="78">
        <v>21.569999694824219</v>
      </c>
      <c r="AD183" s="40">
        <f t="shared" si="56"/>
        <v>-0.16462614518174246</v>
      </c>
    </row>
    <row r="184" spans="2:30" ht="13.95" customHeight="1" x14ac:dyDescent="0.3">
      <c r="B184" s="77">
        <v>43646</v>
      </c>
      <c r="C184" s="107">
        <f t="shared" si="47"/>
        <v>1</v>
      </c>
      <c r="D184" s="107">
        <f t="shared" si="57"/>
        <v>1</v>
      </c>
      <c r="E184" s="106">
        <v>5.7192230987252248</v>
      </c>
      <c r="F184" s="106">
        <v>1.971180754689509</v>
      </c>
      <c r="G184" s="106">
        <v>0.78286374517743862</v>
      </c>
      <c r="H184" s="106">
        <v>2.2241393312213962</v>
      </c>
      <c r="I184" s="106">
        <v>0.87055839208328856</v>
      </c>
      <c r="J184" s="106">
        <v>0.76675747294576446</v>
      </c>
      <c r="K184" s="106">
        <v>2.3687504766824139</v>
      </c>
      <c r="L184" s="106">
        <v>2.5749258279877152</v>
      </c>
      <c r="M184" s="40">
        <f t="shared" si="48"/>
        <v>0.19417900337807709</v>
      </c>
      <c r="N184" s="40">
        <f t="shared" si="49"/>
        <v>0.14678157597131278</v>
      </c>
      <c r="O184" s="40">
        <f t="shared" si="50"/>
        <v>-4.2303719678144315E-2</v>
      </c>
      <c r="P184" s="40">
        <f t="shared" si="51"/>
        <v>0.24694536238092082</v>
      </c>
      <c r="Q184" s="40">
        <f t="shared" si="52"/>
        <v>-1.4898334935013238E-2</v>
      </c>
      <c r="R184" s="40">
        <f t="shared" si="53"/>
        <v>-0.32672087275315431</v>
      </c>
      <c r="S184" s="40">
        <f t="shared" si="54"/>
        <v>0.18585083706995545</v>
      </c>
      <c r="T184" s="40">
        <f t="shared" si="55"/>
        <v>0.14675894134909157</v>
      </c>
      <c r="U184" s="40">
        <f t="shared" si="58"/>
        <v>0.13564840966951877</v>
      </c>
      <c r="V184" s="40">
        <f t="shared" si="59"/>
        <v>7.4804847802245264E-2</v>
      </c>
      <c r="W184" s="40">
        <f t="shared" si="60"/>
        <v>5.8030022095698311E-2</v>
      </c>
      <c r="X184" s="40">
        <f t="shared" si="61"/>
        <v>0.38254875782469322</v>
      </c>
      <c r="Y184" s="40">
        <f t="shared" si="62"/>
        <v>8.2169689511675678E-2</v>
      </c>
      <c r="Z184" s="40">
        <f t="shared" si="63"/>
        <v>-0.11004825336638707</v>
      </c>
      <c r="AA184" s="40">
        <f t="shared" si="64"/>
        <v>0.18861051916909466</v>
      </c>
      <c r="AB184" s="40">
        <f t="shared" si="65"/>
        <v>0.10951756031837306</v>
      </c>
      <c r="AC184" s="78">
        <v>22.239999771118161</v>
      </c>
      <c r="AD184" s="40">
        <f t="shared" si="56"/>
        <v>-9.0639406103774731E-2</v>
      </c>
    </row>
    <row r="185" spans="2:30" ht="13.95" customHeight="1" x14ac:dyDescent="0.3">
      <c r="B185" s="77">
        <v>43677</v>
      </c>
      <c r="C185" s="107">
        <f t="shared" si="47"/>
        <v>1</v>
      </c>
      <c r="D185" s="107">
        <f t="shared" si="57"/>
        <v>1</v>
      </c>
      <c r="E185" s="106">
        <v>5.6995387394903814</v>
      </c>
      <c r="F185" s="106">
        <v>1.9066686920064511</v>
      </c>
      <c r="G185" s="106">
        <v>0.78865603136174112</v>
      </c>
      <c r="H185" s="106">
        <v>2.2192842567769899</v>
      </c>
      <c r="I185" s="106">
        <v>0.87110412368056611</v>
      </c>
      <c r="J185" s="106">
        <v>0.83569242523864495</v>
      </c>
      <c r="K185" s="106">
        <v>2.3553976333130362</v>
      </c>
      <c r="L185" s="106">
        <v>2.5542748235762991</v>
      </c>
      <c r="M185" s="40">
        <f t="shared" si="48"/>
        <v>0.17365060836376764</v>
      </c>
      <c r="N185" s="40">
        <f t="shared" si="49"/>
        <v>0.11724429937797677</v>
      </c>
      <c r="O185" s="40">
        <f t="shared" si="50"/>
        <v>-4.1293964299123527E-2</v>
      </c>
      <c r="P185" s="40">
        <f t="shared" si="51"/>
        <v>0.18955327459226384</v>
      </c>
      <c r="Q185" s="40">
        <f t="shared" si="52"/>
        <v>-1.6815816238453941E-2</v>
      </c>
      <c r="R185" s="40">
        <f t="shared" si="53"/>
        <v>-0.28063481584400113</v>
      </c>
      <c r="S185" s="40">
        <f t="shared" si="54"/>
        <v>0.15260161606963324</v>
      </c>
      <c r="T185" s="40">
        <f t="shared" si="55"/>
        <v>0.12810823646122968</v>
      </c>
      <c r="U185" s="40">
        <f t="shared" si="58"/>
        <v>0.13435621093350178</v>
      </c>
      <c r="V185" s="40">
        <f t="shared" si="59"/>
        <v>6.5749735276472099E-2</v>
      </c>
      <c r="W185" s="40">
        <f t="shared" si="60"/>
        <v>5.7408721611940161E-2</v>
      </c>
      <c r="X185" s="40">
        <f t="shared" si="61"/>
        <v>0.38803871650453886</v>
      </c>
      <c r="Y185" s="40">
        <f t="shared" si="62"/>
        <v>8.3343441189783582E-2</v>
      </c>
      <c r="Z185" s="40">
        <f t="shared" si="63"/>
        <v>-0.11418867822560126</v>
      </c>
      <c r="AA185" s="40">
        <f t="shared" si="64"/>
        <v>0.18762565151386848</v>
      </c>
      <c r="AB185" s="40">
        <f t="shared" si="65"/>
        <v>0.10669064571928887</v>
      </c>
      <c r="AC185" s="78">
        <v>21.979999542236332</v>
      </c>
      <c r="AD185" s="40">
        <f t="shared" si="56"/>
        <v>-7.7028451391229838E-2</v>
      </c>
    </row>
    <row r="186" spans="2:30" ht="13.95" customHeight="1" x14ac:dyDescent="0.3">
      <c r="B186" s="77">
        <v>43708</v>
      </c>
      <c r="C186" s="107">
        <f t="shared" si="47"/>
        <v>1</v>
      </c>
      <c r="D186" s="107">
        <f t="shared" si="57"/>
        <v>1</v>
      </c>
      <c r="E186" s="106">
        <v>5.8505055653088656</v>
      </c>
      <c r="F186" s="106">
        <v>2.048548001196064</v>
      </c>
      <c r="G186" s="106">
        <v>0.79351821716896609</v>
      </c>
      <c r="H186" s="106">
        <v>2.1303546030458951</v>
      </c>
      <c r="I186" s="106">
        <v>0.88306469297202106</v>
      </c>
      <c r="J186" s="106">
        <v>0.77002995402383956</v>
      </c>
      <c r="K186" s="106">
        <v>2.3632070005103789</v>
      </c>
      <c r="L186" s="106">
        <v>2.639290409384591</v>
      </c>
      <c r="M186" s="40">
        <f t="shared" si="48"/>
        <v>0.17500970319626155</v>
      </c>
      <c r="N186" s="40">
        <f t="shared" si="49"/>
        <v>0.17576655686315412</v>
      </c>
      <c r="O186" s="40">
        <f t="shared" si="50"/>
        <v>-2.3939319810726209E-2</v>
      </c>
      <c r="P186" s="40">
        <f t="shared" si="51"/>
        <v>0.1031740326083488</v>
      </c>
      <c r="Q186" s="40">
        <f t="shared" si="52"/>
        <v>-7.3260287353862723E-4</v>
      </c>
      <c r="R186" s="40">
        <f t="shared" si="53"/>
        <v>-0.27176150596230814</v>
      </c>
      <c r="S186" s="40">
        <f t="shared" si="54"/>
        <v>0.12807929399069021</v>
      </c>
      <c r="T186" s="40">
        <f t="shared" si="55"/>
        <v>0.14448394277220974</v>
      </c>
      <c r="U186" s="40">
        <f t="shared" si="58"/>
        <v>0.13481501430522833</v>
      </c>
      <c r="V186" s="40">
        <f t="shared" si="59"/>
        <v>8.4491740113517663E-2</v>
      </c>
      <c r="W186" s="40">
        <f t="shared" si="60"/>
        <v>5.7554333276115456E-2</v>
      </c>
      <c r="X186" s="40">
        <f t="shared" si="61"/>
        <v>0.37921154754190317</v>
      </c>
      <c r="Y186" s="40">
        <f t="shared" si="62"/>
        <v>8.6915058330475164E-2</v>
      </c>
      <c r="Z186" s="40">
        <f t="shared" si="63"/>
        <v>-0.14529160461520213</v>
      </c>
      <c r="AA186" s="40">
        <f t="shared" si="64"/>
        <v>0.18556603779965369</v>
      </c>
      <c r="AB186" s="40">
        <f t="shared" si="65"/>
        <v>0.11106014633433511</v>
      </c>
      <c r="AC186" s="78">
        <v>21.479999542236332</v>
      </c>
      <c r="AD186" s="40">
        <f t="shared" si="56"/>
        <v>-8.0042748656532159E-2</v>
      </c>
    </row>
    <row r="187" spans="2:30" ht="13.95" customHeight="1" x14ac:dyDescent="0.3">
      <c r="B187" s="77">
        <v>43738</v>
      </c>
      <c r="C187" s="107">
        <f t="shared" si="47"/>
        <v>1</v>
      </c>
      <c r="D187" s="107">
        <f t="shared" si="57"/>
        <v>1</v>
      </c>
      <c r="E187" s="106">
        <v>5.8838140459742032</v>
      </c>
      <c r="F187" s="106">
        <v>2.060426026936153</v>
      </c>
      <c r="G187" s="106">
        <v>0.80222473969712138</v>
      </c>
      <c r="H187" s="106">
        <v>2.0851044413108011</v>
      </c>
      <c r="I187" s="106">
        <v>0.88687608755604952</v>
      </c>
      <c r="J187" s="106">
        <v>0.84213892819702785</v>
      </c>
      <c r="K187" s="106">
        <v>2.35282814777766</v>
      </c>
      <c r="L187" s="106">
        <v>2.656243325656376</v>
      </c>
      <c r="M187" s="40">
        <f t="shared" si="48"/>
        <v>0.170240557171384</v>
      </c>
      <c r="N187" s="40">
        <f t="shared" si="49"/>
        <v>0.16727950964231975</v>
      </c>
      <c r="O187" s="40">
        <f t="shared" si="50"/>
        <v>-2.0666586103048886E-2</v>
      </c>
      <c r="P187" s="40">
        <f t="shared" si="51"/>
        <v>4.3827513911234711E-2</v>
      </c>
      <c r="Q187" s="40">
        <f t="shared" si="52"/>
        <v>-4.6403087819110386E-4</v>
      </c>
      <c r="R187" s="40">
        <f t="shared" si="53"/>
        <v>-0.22345615037276975</v>
      </c>
      <c r="S187" s="40">
        <f t="shared" si="54"/>
        <v>0.10207086619274949</v>
      </c>
      <c r="T187" s="40">
        <f t="shared" si="55"/>
        <v>0.14007942804916493</v>
      </c>
      <c r="U187" s="40">
        <f t="shared" si="58"/>
        <v>0.13657319605053736</v>
      </c>
      <c r="V187" s="40">
        <f t="shared" si="59"/>
        <v>8.1905321636996015E-2</v>
      </c>
      <c r="W187" s="40">
        <f t="shared" si="60"/>
        <v>5.8730367272896204E-2</v>
      </c>
      <c r="X187" s="40">
        <f t="shared" si="61"/>
        <v>0.38837464613427342</v>
      </c>
      <c r="Y187" s="40">
        <f t="shared" si="62"/>
        <v>8.8968041586433261E-2</v>
      </c>
      <c r="Z187" s="40">
        <f t="shared" si="63"/>
        <v>-0.13863419687210937</v>
      </c>
      <c r="AA187" s="40">
        <f t="shared" si="64"/>
        <v>0.18621754101803659</v>
      </c>
      <c r="AB187" s="40">
        <f t="shared" si="65"/>
        <v>0.11173135530932024</v>
      </c>
      <c r="AC187" s="78">
        <v>21.79999923706055</v>
      </c>
      <c r="AD187" s="40">
        <f t="shared" si="56"/>
        <v>-8.6093569329697958E-2</v>
      </c>
    </row>
    <row r="188" spans="2:30" ht="13.95" customHeight="1" x14ac:dyDescent="0.3">
      <c r="B188" s="77">
        <v>43769</v>
      </c>
      <c r="C188" s="107">
        <f t="shared" si="47"/>
        <v>1</v>
      </c>
      <c r="D188" s="107">
        <f t="shared" si="57"/>
        <v>1</v>
      </c>
      <c r="E188" s="106">
        <v>6.0337244527546634</v>
      </c>
      <c r="F188" s="106">
        <v>2.1084344528028658</v>
      </c>
      <c r="G188" s="106">
        <v>0.8130216089583685</v>
      </c>
      <c r="H188" s="106">
        <v>1.9648577747177789</v>
      </c>
      <c r="I188" s="106">
        <v>0.89277973198014182</v>
      </c>
      <c r="J188" s="106">
        <v>0.91882778426402023</v>
      </c>
      <c r="K188" s="106">
        <v>2.3345520550815371</v>
      </c>
      <c r="L188" s="106">
        <v>2.7184021245070769</v>
      </c>
      <c r="M188" s="40">
        <f t="shared" si="48"/>
        <v>0.19533054262895688</v>
      </c>
      <c r="N188" s="40">
        <f t="shared" si="49"/>
        <v>0.23770837601850445</v>
      </c>
      <c r="O188" s="40">
        <f t="shared" si="50"/>
        <v>7.2691604627848731E-3</v>
      </c>
      <c r="P188" s="40">
        <f t="shared" si="51"/>
        <v>-8.5218932479633733E-2</v>
      </c>
      <c r="Q188" s="40">
        <f t="shared" si="52"/>
        <v>1.765887244722807E-2</v>
      </c>
      <c r="R188" s="40">
        <f t="shared" si="53"/>
        <v>-9.3274046384905662E-2</v>
      </c>
      <c r="S188" s="40">
        <f t="shared" si="54"/>
        <v>7.2693257369631031E-2</v>
      </c>
      <c r="T188" s="40">
        <f t="shared" si="55"/>
        <v>0.17539621547242981</v>
      </c>
      <c r="U188" s="40">
        <f t="shared" si="58"/>
        <v>0.1542974523568123</v>
      </c>
      <c r="V188" s="40">
        <f t="shared" si="59"/>
        <v>9.3118968204704319E-2</v>
      </c>
      <c r="W188" s="40">
        <f t="shared" si="60"/>
        <v>5.8911087409546314E-2</v>
      </c>
      <c r="X188" s="40">
        <f t="shared" si="61"/>
        <v>0.33194636505953851</v>
      </c>
      <c r="Y188" s="40">
        <f t="shared" si="62"/>
        <v>9.0251913454527807E-2</v>
      </c>
      <c r="Z188" s="40">
        <f t="shared" si="63"/>
        <v>-0.13632075110682088</v>
      </c>
      <c r="AA188" s="40">
        <f t="shared" si="64"/>
        <v>0.18286371224321826</v>
      </c>
      <c r="AB188" s="40">
        <f t="shared" si="65"/>
        <v>0.12534066183224429</v>
      </c>
      <c r="AC188" s="78">
        <v>22.260000228881839</v>
      </c>
      <c r="AD188" s="40">
        <f t="shared" si="56"/>
        <v>-3.9635289986769164E-2</v>
      </c>
    </row>
    <row r="189" spans="2:30" ht="13.95" customHeight="1" x14ac:dyDescent="0.3">
      <c r="B189" s="77">
        <v>43799</v>
      </c>
      <c r="C189" s="107">
        <f t="shared" si="47"/>
        <v>1</v>
      </c>
      <c r="D189" s="107">
        <f t="shared" si="57"/>
        <v>1</v>
      </c>
      <c r="E189" s="106">
        <v>6.0073058544235778</v>
      </c>
      <c r="F189" s="106">
        <v>2.0624520058669238</v>
      </c>
      <c r="G189" s="106">
        <v>0.81656260594382923</v>
      </c>
      <c r="H189" s="106">
        <v>2.0766538904408161</v>
      </c>
      <c r="I189" s="106">
        <v>0.90370601367517234</v>
      </c>
      <c r="J189" s="106">
        <v>0.84680005319860785</v>
      </c>
      <c r="K189" s="106">
        <v>2.372952487175227</v>
      </c>
      <c r="L189" s="106">
        <v>2.6997251899541901</v>
      </c>
      <c r="M189" s="40">
        <f t="shared" si="48"/>
        <v>0.16750893434614836</v>
      </c>
      <c r="N189" s="40">
        <f t="shared" si="49"/>
        <v>0.20734107608166338</v>
      </c>
      <c r="O189" s="40">
        <f t="shared" si="50"/>
        <v>1.2887386093848072E-2</v>
      </c>
      <c r="P189" s="40">
        <f t="shared" si="51"/>
        <v>-2.2573707535966801E-2</v>
      </c>
      <c r="Q189" s="40">
        <f t="shared" si="52"/>
        <v>3.5393861099266247E-2</v>
      </c>
      <c r="R189" s="40">
        <f t="shared" si="53"/>
        <v>-0.21235882957208796</v>
      </c>
      <c r="S189" s="40">
        <f t="shared" si="54"/>
        <v>8.252248364065122E-2</v>
      </c>
      <c r="T189" s="40">
        <f t="shared" si="55"/>
        <v>0.15201033778467896</v>
      </c>
      <c r="U189" s="40">
        <f t="shared" si="58"/>
        <v>0.15680919529923762</v>
      </c>
      <c r="V189" s="40">
        <f t="shared" si="59"/>
        <v>9.2663839747336593E-2</v>
      </c>
      <c r="W189" s="40">
        <f t="shared" si="60"/>
        <v>6.0263275110951427E-2</v>
      </c>
      <c r="X189" s="40">
        <f t="shared" si="61"/>
        <v>0.33747670486552633</v>
      </c>
      <c r="Y189" s="40">
        <f t="shared" si="62"/>
        <v>9.5054863349942967E-2</v>
      </c>
      <c r="Z189" s="40">
        <f t="shared" si="63"/>
        <v>-0.16473637783238262</v>
      </c>
      <c r="AA189" s="40">
        <f t="shared" si="64"/>
        <v>0.18789322768491679</v>
      </c>
      <c r="AB189" s="40">
        <f t="shared" si="65"/>
        <v>0.12699652686647714</v>
      </c>
      <c r="AC189" s="78">
        <v>21.659999847412109</v>
      </c>
      <c r="AD189" s="40">
        <f t="shared" si="56"/>
        <v>-5.7850735221943686E-2</v>
      </c>
    </row>
    <row r="190" spans="2:30" ht="13.95" customHeight="1" x14ac:dyDescent="0.3">
      <c r="B190" s="77">
        <v>43830</v>
      </c>
      <c r="C190" s="107">
        <f t="shared" si="47"/>
        <v>1</v>
      </c>
      <c r="D190" s="107">
        <f t="shared" si="57"/>
        <v>1</v>
      </c>
      <c r="E190" s="106">
        <v>6.0679424512572933</v>
      </c>
      <c r="F190" s="106">
        <v>2.1076914954258861</v>
      </c>
      <c r="G190" s="106">
        <v>0.82824071812591826</v>
      </c>
      <c r="H190" s="106">
        <v>2.1681348191083738</v>
      </c>
      <c r="I190" s="106">
        <v>0.9035246702754145</v>
      </c>
      <c r="J190" s="106">
        <v>1.001021832384378</v>
      </c>
      <c r="K190" s="106">
        <v>2.431939838436767</v>
      </c>
      <c r="L190" s="106">
        <v>2.7351979337799119</v>
      </c>
      <c r="M190" s="40">
        <f t="shared" si="48"/>
        <v>0.15079389383956035</v>
      </c>
      <c r="N190" s="40">
        <f t="shared" si="49"/>
        <v>0.27681854452322746</v>
      </c>
      <c r="O190" s="40">
        <f t="shared" si="50"/>
        <v>1.451272061979496E-2</v>
      </c>
      <c r="P190" s="40">
        <f t="shared" si="51"/>
        <v>2.5156856372170629E-2</v>
      </c>
      <c r="Q190" s="40">
        <f t="shared" si="52"/>
        <v>2.8099149093403806E-2</v>
      </c>
      <c r="R190" s="40">
        <f t="shared" si="53"/>
        <v>-0.10604581991421434</v>
      </c>
      <c r="S190" s="40">
        <f t="shared" si="54"/>
        <v>0.10326103920414922</v>
      </c>
      <c r="T190" s="40">
        <f t="shared" si="55"/>
        <v>0.15527374821712273</v>
      </c>
      <c r="U190" s="40">
        <f t="shared" si="58"/>
        <v>0.1556002822115557</v>
      </c>
      <c r="V190" s="40">
        <f t="shared" si="59"/>
        <v>9.5187569085526433E-2</v>
      </c>
      <c r="W190" s="40">
        <f t="shared" si="60"/>
        <v>6.1177798302046386E-2</v>
      </c>
      <c r="X190" s="40">
        <f t="shared" si="61"/>
        <v>0.35849964306782528</v>
      </c>
      <c r="Y190" s="40">
        <f t="shared" si="62"/>
        <v>9.2859709147680852E-2</v>
      </c>
      <c r="Z190" s="40">
        <f t="shared" si="63"/>
        <v>-0.12813527363859342</v>
      </c>
      <c r="AA190" s="40">
        <f t="shared" si="64"/>
        <v>0.19343494759288329</v>
      </c>
      <c r="AB190" s="40">
        <f t="shared" si="65"/>
        <v>0.12689075970574015</v>
      </c>
      <c r="AC190" s="78">
        <v>22.840000152587891</v>
      </c>
      <c r="AD190" s="40">
        <f t="shared" si="56"/>
        <v>7.3569290641116142E-2</v>
      </c>
    </row>
    <row r="191" spans="2:30" ht="13.95" customHeight="1" x14ac:dyDescent="0.3">
      <c r="B191" s="77">
        <v>43861</v>
      </c>
      <c r="C191" s="107">
        <f t="shared" si="47"/>
        <v>1</v>
      </c>
      <c r="D191" s="107">
        <f t="shared" si="57"/>
        <v>1</v>
      </c>
      <c r="E191" s="106">
        <v>6.0452268567829934</v>
      </c>
      <c r="F191" s="106">
        <v>2.0458243175002941</v>
      </c>
      <c r="G191" s="106">
        <v>0.82081796876853297</v>
      </c>
      <c r="H191" s="106">
        <v>2.1590421058292941</v>
      </c>
      <c r="I191" s="106">
        <v>0.90460759819323178</v>
      </c>
      <c r="J191" s="106">
        <v>0.8927714216555761</v>
      </c>
      <c r="K191" s="106">
        <v>2.413287021842645</v>
      </c>
      <c r="L191" s="106">
        <v>2.7082866001631269</v>
      </c>
      <c r="M191" s="40">
        <f t="shared" si="48"/>
        <v>0.13196383918764806</v>
      </c>
      <c r="N191" s="40">
        <f t="shared" si="49"/>
        <v>0.13620825974538439</v>
      </c>
      <c r="O191" s="40">
        <f t="shared" si="50"/>
        <v>7.7259676972266975E-2</v>
      </c>
      <c r="P191" s="40">
        <f t="shared" si="51"/>
        <v>3.5459964668121104E-2</v>
      </c>
      <c r="Q191" s="40">
        <f t="shared" si="52"/>
        <v>3.9466373185125046E-2</v>
      </c>
      <c r="R191" s="40">
        <f t="shared" si="53"/>
        <v>0.62331262350852834</v>
      </c>
      <c r="S191" s="40">
        <f t="shared" si="54"/>
        <v>8.9019668749524786E-2</v>
      </c>
      <c r="T191" s="40">
        <f t="shared" si="55"/>
        <v>0.12481458534609073</v>
      </c>
      <c r="U191" s="40">
        <f t="shared" si="58"/>
        <v>0.15446381093836578</v>
      </c>
      <c r="V191" s="40">
        <f t="shared" si="59"/>
        <v>8.528977812581133E-2</v>
      </c>
      <c r="W191" s="40">
        <f t="shared" si="60"/>
        <v>5.6447307532470556E-2</v>
      </c>
      <c r="X191" s="40">
        <f t="shared" si="61"/>
        <v>0.42629140583544844</v>
      </c>
      <c r="Y191" s="40">
        <f t="shared" si="62"/>
        <v>9.1436737531090578E-2</v>
      </c>
      <c r="Z191" s="40">
        <f t="shared" si="63"/>
        <v>-0.16279399338657061</v>
      </c>
      <c r="AA191" s="40">
        <f t="shared" si="64"/>
        <v>0.20326809603659016</v>
      </c>
      <c r="AB191" s="40">
        <f t="shared" si="65"/>
        <v>0.12336449234640434</v>
      </c>
      <c r="AC191" s="78">
        <v>20.879999160766602</v>
      </c>
      <c r="AD191" s="40">
        <f t="shared" si="56"/>
        <v>-7.1607639316546998E-2</v>
      </c>
    </row>
    <row r="192" spans="2:30" ht="13.95" customHeight="1" x14ac:dyDescent="0.3">
      <c r="B192" s="77">
        <v>43890</v>
      </c>
      <c r="C192" s="107">
        <f t="shared" si="47"/>
        <v>1</v>
      </c>
      <c r="D192" s="107">
        <f t="shared" si="57"/>
        <v>1</v>
      </c>
      <c r="E192" s="106">
        <v>6.1413018175394001</v>
      </c>
      <c r="F192" s="106">
        <v>2.124117869925191</v>
      </c>
      <c r="G192" s="106">
        <v>0.82961513268094589</v>
      </c>
      <c r="H192" s="106">
        <v>2.0803515555615699</v>
      </c>
      <c r="I192" s="106">
        <v>0.88749573403586657</v>
      </c>
      <c r="J192" s="106">
        <v>1.2024287324874721</v>
      </c>
      <c r="K192" s="106">
        <v>2.409563268537454</v>
      </c>
      <c r="L192" s="106">
        <v>2.7623845312411399</v>
      </c>
      <c r="M192" s="40">
        <f t="shared" si="48"/>
        <v>0.15128202368930968</v>
      </c>
      <c r="N192" s="40">
        <f t="shared" si="49"/>
        <v>0.18314290449339735</v>
      </c>
      <c r="O192" s="40">
        <f t="shared" si="50"/>
        <v>6.4862429120105813E-2</v>
      </c>
      <c r="P192" s="40">
        <f t="shared" si="51"/>
        <v>-6.6797454014216676E-2</v>
      </c>
      <c r="Q192" s="40">
        <f t="shared" si="52"/>
        <v>4.8527144427575565E-3</v>
      </c>
      <c r="R192" s="40">
        <f t="shared" si="53"/>
        <v>0.76166298334910976</v>
      </c>
      <c r="S192" s="40">
        <f t="shared" si="54"/>
        <v>6.0810897643409342E-2</v>
      </c>
      <c r="T192" s="40">
        <f t="shared" si="55"/>
        <v>0.14536482426771394</v>
      </c>
      <c r="U192" s="40">
        <f t="shared" si="58"/>
        <v>0.1588728411725685</v>
      </c>
      <c r="V192" s="40">
        <f t="shared" si="59"/>
        <v>9.583826143080644E-2</v>
      </c>
      <c r="W192" s="40">
        <f t="shared" si="60"/>
        <v>6.0647819900065583E-2</v>
      </c>
      <c r="X192" s="40">
        <f t="shared" si="61"/>
        <v>0.43259019366046314</v>
      </c>
      <c r="Y192" s="40">
        <f t="shared" si="62"/>
        <v>8.8286338007407816E-2</v>
      </c>
      <c r="Z192" s="40">
        <f t="shared" si="63"/>
        <v>-8.7239232517245718E-2</v>
      </c>
      <c r="AA192" s="40">
        <f t="shared" si="64"/>
        <v>0.20587646497786785</v>
      </c>
      <c r="AB192" s="40">
        <f t="shared" si="65"/>
        <v>0.12909589534554647</v>
      </c>
      <c r="AC192" s="78">
        <v>19.690000534057621</v>
      </c>
      <c r="AD192" s="40">
        <f t="shared" si="56"/>
        <v>-0.14225403832269798</v>
      </c>
    </row>
    <row r="193" spans="2:30" ht="13.95" customHeight="1" x14ac:dyDescent="0.3">
      <c r="B193" s="77">
        <v>43921</v>
      </c>
      <c r="C193" s="107">
        <f t="shared" si="47"/>
        <v>1</v>
      </c>
      <c r="D193" s="107">
        <f t="shared" si="57"/>
        <v>1</v>
      </c>
      <c r="E193" s="106">
        <v>6.0372020532518382</v>
      </c>
      <c r="F193" s="106">
        <v>2.019435233373581</v>
      </c>
      <c r="G193" s="106">
        <v>0.69081729546248061</v>
      </c>
      <c r="H193" s="106">
        <v>1.489711323992317</v>
      </c>
      <c r="I193" s="106">
        <v>0.77332289495464979</v>
      </c>
      <c r="J193" s="106">
        <v>0.61212737507302051</v>
      </c>
      <c r="K193" s="106">
        <v>2.0880662651617108</v>
      </c>
      <c r="L193" s="106">
        <v>2.637973998675069</v>
      </c>
      <c r="M193" s="40">
        <f t="shared" si="48"/>
        <v>0.10931754443394823</v>
      </c>
      <c r="N193" s="40">
        <f t="shared" si="49"/>
        <v>7.877446953403848E-2</v>
      </c>
      <c r="O193" s="40">
        <f t="shared" si="50"/>
        <v>-0.12816611657126734</v>
      </c>
      <c r="P193" s="40">
        <f t="shared" si="51"/>
        <v>-0.44860710995230835</v>
      </c>
      <c r="Q193" s="40">
        <f t="shared" si="52"/>
        <v>-0.14353212811759358</v>
      </c>
      <c r="R193" s="40">
        <f t="shared" si="53"/>
        <v>8.9138521134754845E-2</v>
      </c>
      <c r="S193" s="40">
        <f t="shared" si="54"/>
        <v>-0.11936892969558624</v>
      </c>
      <c r="T193" s="40">
        <f t="shared" si="55"/>
        <v>7.0531650013740191E-2</v>
      </c>
      <c r="U193" s="40">
        <f t="shared" si="58"/>
        <v>0.15499390083802733</v>
      </c>
      <c r="V193" s="40">
        <f t="shared" si="59"/>
        <v>8.652214823413007E-2</v>
      </c>
      <c r="W193" s="40">
        <f t="shared" si="60"/>
        <v>1.5933492311550324E-2</v>
      </c>
      <c r="X193" s="40">
        <f t="shared" si="61"/>
        <v>0.34695469954805269</v>
      </c>
      <c r="Y193" s="40">
        <f t="shared" si="62"/>
        <v>5.0761467895789301E-2</v>
      </c>
      <c r="Z193" s="40">
        <f t="shared" si="63"/>
        <v>-0.233761865678486</v>
      </c>
      <c r="AA193" s="40">
        <f t="shared" si="64"/>
        <v>0.17070160321902736</v>
      </c>
      <c r="AB193" s="40">
        <f t="shared" si="65"/>
        <v>0.11869758705603164</v>
      </c>
      <c r="AC193" s="78">
        <v>16.530000686645511</v>
      </c>
      <c r="AD193" s="40">
        <f t="shared" si="56"/>
        <v>-0.31542429549377571</v>
      </c>
    </row>
    <row r="194" spans="2:30" ht="13.95" customHeight="1" x14ac:dyDescent="0.3">
      <c r="B194" s="77">
        <v>43951</v>
      </c>
      <c r="C194" s="107">
        <f t="shared" si="47"/>
        <v>1</v>
      </c>
      <c r="D194" s="107">
        <f t="shared" si="57"/>
        <v>1</v>
      </c>
      <c r="E194" s="106">
        <v>5.7769750140251563</v>
      </c>
      <c r="F194" s="106">
        <v>1.9621942774581029</v>
      </c>
      <c r="G194" s="106">
        <v>0.60121573995850874</v>
      </c>
      <c r="H194" s="106">
        <v>1.309150170635994</v>
      </c>
      <c r="I194" s="106">
        <v>0.6680875849661283</v>
      </c>
      <c r="J194" s="106">
        <v>0.58870026759445837</v>
      </c>
      <c r="K194" s="106">
        <v>1.937372859830178</v>
      </c>
      <c r="L194" s="106">
        <v>2.504824451165601</v>
      </c>
      <c r="M194" s="40">
        <f t="shared" si="48"/>
        <v>3.3381049689200019E-2</v>
      </c>
      <c r="N194" s="40">
        <f t="shared" si="49"/>
        <v>2.5035517833922143E-2</v>
      </c>
      <c r="O194" s="40">
        <f t="shared" si="50"/>
        <v>-0.26333056467175175</v>
      </c>
      <c r="P194" s="40">
        <f t="shared" si="51"/>
        <v>-0.57736012202259634</v>
      </c>
      <c r="Q194" s="40">
        <f t="shared" si="52"/>
        <v>-0.28327368836474026</v>
      </c>
      <c r="R194" s="40">
        <f t="shared" si="53"/>
        <v>7.1988541181092934E-3</v>
      </c>
      <c r="S194" s="40">
        <f t="shared" si="54"/>
        <v>-0.20836668863674282</v>
      </c>
      <c r="T194" s="40">
        <f t="shared" si="55"/>
        <v>-6.3151324381130556E-3</v>
      </c>
      <c r="U194" s="40">
        <f t="shared" si="58"/>
        <v>0.14276006287386267</v>
      </c>
      <c r="V194" s="40">
        <f t="shared" si="59"/>
        <v>7.2718898395838394E-2</v>
      </c>
      <c r="W194" s="40">
        <f t="shared" si="60"/>
        <v>-2.1023250887759682E-2</v>
      </c>
      <c r="X194" s="40">
        <f t="shared" si="61"/>
        <v>0.31702395828449303</v>
      </c>
      <c r="Y194" s="40">
        <f t="shared" si="62"/>
        <v>8.7630617499525245E-3</v>
      </c>
      <c r="Z194" s="40">
        <f t="shared" si="63"/>
        <v>-0.22837655391958714</v>
      </c>
      <c r="AA194" s="40">
        <f t="shared" si="64"/>
        <v>0.150183811124633</v>
      </c>
      <c r="AB194" s="40">
        <f t="shared" si="65"/>
        <v>0.10320170530632107</v>
      </c>
      <c r="AC194" s="78">
        <v>16.229999542236332</v>
      </c>
      <c r="AD194" s="40">
        <f t="shared" si="56"/>
        <v>-0.3288736787937378</v>
      </c>
    </row>
    <row r="195" spans="2:30" ht="13.95" customHeight="1" x14ac:dyDescent="0.3">
      <c r="B195" s="77">
        <v>43982</v>
      </c>
      <c r="C195" s="107">
        <f t="shared" si="47"/>
        <v>1</v>
      </c>
      <c r="D195" s="107">
        <f t="shared" si="57"/>
        <v>1</v>
      </c>
      <c r="E195" s="106">
        <v>5.484941947473283</v>
      </c>
      <c r="F195" s="106">
        <v>1.9496831950290341</v>
      </c>
      <c r="G195" s="106">
        <v>0.60823824674856175</v>
      </c>
      <c r="H195" s="106">
        <v>1.2254793002813951</v>
      </c>
      <c r="I195" s="106">
        <v>0.6774728346239407</v>
      </c>
      <c r="J195" s="106">
        <v>0.57617688693444935</v>
      </c>
      <c r="K195" s="106">
        <v>1.855859461913159</v>
      </c>
      <c r="L195" s="106">
        <v>2.4219331348238691</v>
      </c>
      <c r="M195" s="40">
        <f t="shared" si="48"/>
        <v>-4.2276776031174419E-2</v>
      </c>
      <c r="N195" s="40">
        <f t="shared" si="49"/>
        <v>-5.6248926137952328E-3</v>
      </c>
      <c r="O195" s="40">
        <f t="shared" si="50"/>
        <v>-0.24489971440943295</v>
      </c>
      <c r="P195" s="40">
        <f t="shared" si="51"/>
        <v>-0.63846774091999792</v>
      </c>
      <c r="Q195" s="40">
        <f t="shared" si="52"/>
        <v>-0.25342752585841943</v>
      </c>
      <c r="R195" s="40">
        <f t="shared" si="53"/>
        <v>-0.14517287074280744</v>
      </c>
      <c r="S195" s="40">
        <f t="shared" si="54"/>
        <v>-0.26045064473450569</v>
      </c>
      <c r="T195" s="40">
        <f t="shared" si="55"/>
        <v>-5.9394682018424454E-2</v>
      </c>
      <c r="U195" s="40">
        <f t="shared" si="58"/>
        <v>0.1294428757274089</v>
      </c>
      <c r="V195" s="40">
        <f t="shared" si="59"/>
        <v>6.9651020946037229E-2</v>
      </c>
      <c r="W195" s="40">
        <f t="shared" si="60"/>
        <v>-1.7507003278350943E-2</v>
      </c>
      <c r="X195" s="40">
        <f t="shared" si="61"/>
        <v>0.2139118266509209</v>
      </c>
      <c r="Y195" s="40">
        <f t="shared" si="62"/>
        <v>8.9180355471983417E-3</v>
      </c>
      <c r="Z195" s="40">
        <f t="shared" si="63"/>
        <v>-0.21547515068039438</v>
      </c>
      <c r="AA195" s="40">
        <f t="shared" si="64"/>
        <v>0.12426723031517355</v>
      </c>
      <c r="AB195" s="40">
        <f t="shared" si="65"/>
        <v>9.4334479019027098E-2</v>
      </c>
      <c r="AC195" s="78">
        <v>17.10000038146973</v>
      </c>
      <c r="AD195" s="40">
        <f t="shared" si="56"/>
        <v>-0.23222496043612101</v>
      </c>
    </row>
    <row r="196" spans="2:30" ht="13.95" customHeight="1" x14ac:dyDescent="0.3">
      <c r="B196" s="77">
        <v>44012</v>
      </c>
      <c r="C196" s="107">
        <f t="shared" si="47"/>
        <v>1</v>
      </c>
      <c r="D196" s="107">
        <f t="shared" si="57"/>
        <v>1</v>
      </c>
      <c r="E196" s="106">
        <v>5.0043272421824527</v>
      </c>
      <c r="F196" s="106">
        <v>1.98601952841943</v>
      </c>
      <c r="G196" s="106">
        <v>0.57218645432825399</v>
      </c>
      <c r="H196" s="106">
        <v>1.3380030442695039</v>
      </c>
      <c r="I196" s="106">
        <v>0.63303425671743563</v>
      </c>
      <c r="J196" s="106">
        <v>0.59455895508362111</v>
      </c>
      <c r="K196" s="106">
        <v>1.82739974841269</v>
      </c>
      <c r="L196" s="106">
        <v>2.2813515611974848</v>
      </c>
      <c r="M196" s="40">
        <f t="shared" si="48"/>
        <v>-0.13352998767986579</v>
      </c>
      <c r="N196" s="40">
        <f t="shared" si="49"/>
        <v>7.4996675522238246E-3</v>
      </c>
      <c r="O196" s="40">
        <f t="shared" si="50"/>
        <v>-0.31349375710325006</v>
      </c>
      <c r="P196" s="40">
        <f t="shared" si="51"/>
        <v>-0.50819178641421703</v>
      </c>
      <c r="Q196" s="40">
        <f t="shared" si="52"/>
        <v>-0.31861029702777827</v>
      </c>
      <c r="R196" s="40">
        <f t="shared" si="53"/>
        <v>-0.25435067048579468</v>
      </c>
      <c r="S196" s="40">
        <f t="shared" si="54"/>
        <v>-0.25946853717917212</v>
      </c>
      <c r="T196" s="40">
        <f t="shared" si="55"/>
        <v>-0.12105267170121271</v>
      </c>
      <c r="U196" s="40">
        <f t="shared" si="58"/>
        <v>0.10547859403880228</v>
      </c>
      <c r="V196" s="40">
        <f t="shared" si="59"/>
        <v>7.9456945915884036E-2</v>
      </c>
      <c r="W196" s="40">
        <f t="shared" si="60"/>
        <v>-3.5043402680757937E-2</v>
      </c>
      <c r="X196" s="40">
        <f t="shared" si="61"/>
        <v>0.22306513103751469</v>
      </c>
      <c r="Y196" s="40">
        <f t="shared" si="62"/>
        <v>-1.0739778266434481E-2</v>
      </c>
      <c r="Z196" s="40">
        <f t="shared" si="63"/>
        <v>-0.20786814044921109</v>
      </c>
      <c r="AA196" s="40">
        <f t="shared" si="64"/>
        <v>0.11800541802614059</v>
      </c>
      <c r="AB196" s="40">
        <f t="shared" si="65"/>
        <v>7.9569528759369346E-2</v>
      </c>
      <c r="AC196" s="78">
        <v>17.590000152587891</v>
      </c>
      <c r="AD196" s="40">
        <f t="shared" si="56"/>
        <v>-0.23456189166676991</v>
      </c>
    </row>
    <row r="197" spans="2:30" ht="13.95" customHeight="1" x14ac:dyDescent="0.3">
      <c r="B197" s="77">
        <v>44043</v>
      </c>
      <c r="C197" s="107">
        <f t="shared" si="47"/>
        <v>1</v>
      </c>
      <c r="D197" s="107">
        <f t="shared" si="57"/>
        <v>1</v>
      </c>
      <c r="E197" s="106">
        <v>4.8812180474322044</v>
      </c>
      <c r="F197" s="106">
        <v>2.0534825315480081</v>
      </c>
      <c r="G197" s="106">
        <v>0.56098387365682623</v>
      </c>
      <c r="H197" s="106">
        <v>1.3446133560464919</v>
      </c>
      <c r="I197" s="106">
        <v>0.61489462320522659</v>
      </c>
      <c r="J197" s="106">
        <v>0.65388181052425298</v>
      </c>
      <c r="K197" s="106">
        <v>1.8198256282250129</v>
      </c>
      <c r="L197" s="106">
        <v>2.262324591901113</v>
      </c>
      <c r="M197" s="40">
        <f t="shared" si="48"/>
        <v>-0.15499046006581019</v>
      </c>
      <c r="N197" s="40">
        <f t="shared" si="49"/>
        <v>7.4179568741609594E-2</v>
      </c>
      <c r="O197" s="40">
        <f t="shared" si="50"/>
        <v>-0.34063811120844273</v>
      </c>
      <c r="P197" s="40">
        <f t="shared" si="51"/>
        <v>-0.50107823293907305</v>
      </c>
      <c r="Q197" s="40">
        <f t="shared" si="52"/>
        <v>-0.34831060594735225</v>
      </c>
      <c r="R197" s="40">
        <f t="shared" si="53"/>
        <v>-0.24533401572143093</v>
      </c>
      <c r="S197" s="40">
        <f t="shared" si="54"/>
        <v>-0.25796887180166911</v>
      </c>
      <c r="T197" s="40">
        <f t="shared" si="55"/>
        <v>-0.12137549183544898</v>
      </c>
      <c r="U197" s="40">
        <f t="shared" si="58"/>
        <v>0.1019286690256474</v>
      </c>
      <c r="V197" s="40">
        <f t="shared" si="59"/>
        <v>8.7385493485679283E-2</v>
      </c>
      <c r="W197" s="40">
        <f t="shared" si="60"/>
        <v>-4.3187223616406228E-2</v>
      </c>
      <c r="X197" s="40">
        <f t="shared" si="61"/>
        <v>0.23025774085754</v>
      </c>
      <c r="Y197" s="40">
        <f t="shared" si="62"/>
        <v>-2.2330109346425257E-2</v>
      </c>
      <c r="Z197" s="40">
        <f t="shared" si="63"/>
        <v>-0.18194286215004676</v>
      </c>
      <c r="AA197" s="40">
        <f t="shared" si="64"/>
        <v>0.11900834918159059</v>
      </c>
      <c r="AB197" s="40">
        <f t="shared" si="65"/>
        <v>7.849738022126948E-2</v>
      </c>
      <c r="AC197" s="78">
        <v>18.889999389648441</v>
      </c>
      <c r="AD197" s="40">
        <f t="shared" si="56"/>
        <v>-0.1515002789465138</v>
      </c>
    </row>
    <row r="198" spans="2:30" ht="13.95" customHeight="1" x14ac:dyDescent="0.3">
      <c r="B198" s="77">
        <v>44074</v>
      </c>
      <c r="C198" s="107">
        <f t="shared" si="47"/>
        <v>1</v>
      </c>
      <c r="D198" s="107">
        <f t="shared" si="57"/>
        <v>1</v>
      </c>
      <c r="E198" s="106">
        <v>4.9250536378455418</v>
      </c>
      <c r="F198" s="106">
        <v>2.084364705580557</v>
      </c>
      <c r="G198" s="106">
        <v>0.56478752618181605</v>
      </c>
      <c r="H198" s="106">
        <v>1.580940777727381</v>
      </c>
      <c r="I198" s="106">
        <v>0.61882290513859295</v>
      </c>
      <c r="J198" s="106">
        <v>0.66137808637264339</v>
      </c>
      <c r="K198" s="106">
        <v>1.9343405664116891</v>
      </c>
      <c r="L198" s="106">
        <v>2.2858326718076949</v>
      </c>
      <c r="M198" s="40">
        <f t="shared" si="48"/>
        <v>-0.17219291343211682</v>
      </c>
      <c r="N198" s="40">
        <f t="shared" si="49"/>
        <v>1.7332861164269641E-2</v>
      </c>
      <c r="O198" s="40">
        <f t="shared" si="50"/>
        <v>-0.34002689713484124</v>
      </c>
      <c r="P198" s="40">
        <f t="shared" si="51"/>
        <v>-0.29826834738548386</v>
      </c>
      <c r="Q198" s="40">
        <f t="shared" si="52"/>
        <v>-0.35557932946566956</v>
      </c>
      <c r="R198" s="40">
        <f t="shared" si="53"/>
        <v>-0.15210374760724357</v>
      </c>
      <c r="S198" s="40">
        <f t="shared" si="54"/>
        <v>-0.20025311924520009</v>
      </c>
      <c r="T198" s="40">
        <f t="shared" si="55"/>
        <v>-0.14377973094614982</v>
      </c>
      <c r="U198" s="40">
        <f t="shared" si="58"/>
        <v>0.10040959863237175</v>
      </c>
      <c r="V198" s="40">
        <f t="shared" si="59"/>
        <v>9.4877853288001648E-2</v>
      </c>
      <c r="W198" s="40">
        <f t="shared" si="60"/>
        <v>-4.0850004763066126E-2</v>
      </c>
      <c r="X198" s="40">
        <f t="shared" si="61"/>
        <v>0.24845125080928859</v>
      </c>
      <c r="Y198" s="40">
        <f t="shared" si="62"/>
        <v>-2.371476771617146E-2</v>
      </c>
      <c r="Z198" s="40">
        <f t="shared" si="63"/>
        <v>-0.15969564526084101</v>
      </c>
      <c r="AA198" s="40">
        <f t="shared" si="64"/>
        <v>0.12863489506600179</v>
      </c>
      <c r="AB198" s="40">
        <f t="shared" si="65"/>
        <v>7.9736050449651055E-2</v>
      </c>
      <c r="AC198" s="78">
        <v>20.379999160766602</v>
      </c>
      <c r="AD198" s="40">
        <f t="shared" si="56"/>
        <v>-5.2568261714191974E-2</v>
      </c>
    </row>
    <row r="199" spans="2:30" ht="13.95" customHeight="1" x14ac:dyDescent="0.3">
      <c r="B199" s="77">
        <v>44104</v>
      </c>
      <c r="C199" s="107">
        <f t="shared" si="47"/>
        <v>1</v>
      </c>
      <c r="D199" s="107">
        <f t="shared" si="57"/>
        <v>1</v>
      </c>
      <c r="E199" s="106">
        <v>5.0877795698762256</v>
      </c>
      <c r="F199" s="106">
        <v>2.129960778145561</v>
      </c>
      <c r="G199" s="106">
        <v>0.59612433929513187</v>
      </c>
      <c r="H199" s="106">
        <v>2.0414905748690768</v>
      </c>
      <c r="I199" s="106">
        <v>0.65268270151526853</v>
      </c>
      <c r="J199" s="106">
        <v>0.7041142375035867</v>
      </c>
      <c r="K199" s="106">
        <v>2.1736165570318118</v>
      </c>
      <c r="L199" s="106">
        <v>2.3602422560176399</v>
      </c>
      <c r="M199" s="40">
        <f t="shared" si="48"/>
        <v>-0.14536369733562995</v>
      </c>
      <c r="N199" s="40">
        <f t="shared" si="49"/>
        <v>3.3190794923901201E-2</v>
      </c>
      <c r="O199" s="40">
        <f t="shared" si="50"/>
        <v>-0.29693952438732263</v>
      </c>
      <c r="P199" s="40">
        <f t="shared" si="51"/>
        <v>-2.1138730752693683E-2</v>
      </c>
      <c r="Q199" s="40">
        <f t="shared" si="52"/>
        <v>-0.30661417186663414</v>
      </c>
      <c r="R199" s="40">
        <f t="shared" si="53"/>
        <v>-0.17900438631532606</v>
      </c>
      <c r="S199" s="40">
        <f t="shared" si="54"/>
        <v>-7.922567527688433E-2</v>
      </c>
      <c r="T199" s="40">
        <f t="shared" si="55"/>
        <v>-0.11814857636915055</v>
      </c>
      <c r="U199" s="40">
        <f t="shared" si="58"/>
        <v>0.10702909985375304</v>
      </c>
      <c r="V199" s="40">
        <f t="shared" si="59"/>
        <v>9.5625998506274373E-2</v>
      </c>
      <c r="W199" s="40">
        <f t="shared" si="60"/>
        <v>-3.2688834023822021E-2</v>
      </c>
      <c r="X199" s="40">
        <f t="shared" si="61"/>
        <v>0.31844304447692712</v>
      </c>
      <c r="Y199" s="40">
        <f t="shared" si="62"/>
        <v>-1.6775841217664521E-2</v>
      </c>
      <c r="Z199" s="40">
        <f t="shared" si="63"/>
        <v>-0.14388554338633991</v>
      </c>
      <c r="AA199" s="40">
        <f t="shared" si="64"/>
        <v>0.15688976291717999</v>
      </c>
      <c r="AB199" s="40">
        <f t="shared" si="65"/>
        <v>8.490372008777318E-2</v>
      </c>
      <c r="AC199" s="78">
        <v>19.479999542236332</v>
      </c>
      <c r="AD199" s="40">
        <f t="shared" si="56"/>
        <v>-0.11252166008259316</v>
      </c>
    </row>
    <row r="200" spans="2:30" ht="13.95" customHeight="1" x14ac:dyDescent="0.3">
      <c r="B200" s="77">
        <v>44135</v>
      </c>
      <c r="C200" s="107">
        <f t="shared" si="47"/>
        <v>1</v>
      </c>
      <c r="D200" s="107">
        <f t="shared" si="57"/>
        <v>1</v>
      </c>
      <c r="E200" s="106">
        <v>5.2460290385385031</v>
      </c>
      <c r="F200" s="106">
        <v>2.1353032087711679</v>
      </c>
      <c r="G200" s="106">
        <v>0.60812058731824004</v>
      </c>
      <c r="H200" s="106">
        <v>2.462093343320817</v>
      </c>
      <c r="I200" s="106">
        <v>0.66039699901339488</v>
      </c>
      <c r="J200" s="106">
        <v>0.79265092221872047</v>
      </c>
      <c r="K200" s="106">
        <v>2.3831839382662041</v>
      </c>
      <c r="L200" s="106">
        <v>2.411646792765155</v>
      </c>
      <c r="M200" s="40">
        <f t="shared" si="48"/>
        <v>-0.13989305712897759</v>
      </c>
      <c r="N200" s="40">
        <f t="shared" si="49"/>
        <v>1.2662948157686855E-2</v>
      </c>
      <c r="O200" s="40">
        <f t="shared" si="50"/>
        <v>-0.29038449177367454</v>
      </c>
      <c r="P200" s="40">
        <f t="shared" si="51"/>
        <v>0.22559207723560373</v>
      </c>
      <c r="Q200" s="40">
        <f t="shared" si="52"/>
        <v>-0.30149872189391053</v>
      </c>
      <c r="R200" s="40">
        <f t="shared" si="53"/>
        <v>-0.14771578433656218</v>
      </c>
      <c r="S200" s="40">
        <f t="shared" si="54"/>
        <v>2.0617349476353502E-2</v>
      </c>
      <c r="T200" s="40">
        <f t="shared" si="55"/>
        <v>-0.11973442281552053</v>
      </c>
      <c r="U200" s="40">
        <f t="shared" si="58"/>
        <v>0.10744167225900757</v>
      </c>
      <c r="V200" s="40">
        <f t="shared" si="59"/>
        <v>9.5958277338432069E-2</v>
      </c>
      <c r="W200" s="40">
        <f t="shared" si="60"/>
        <v>-2.9131865234087652E-2</v>
      </c>
      <c r="X200" s="40">
        <f t="shared" si="61"/>
        <v>0.36123507301054325</v>
      </c>
      <c r="Y200" s="40">
        <f t="shared" si="62"/>
        <v>-1.4842043033117192E-2</v>
      </c>
      <c r="Z200" s="40">
        <f t="shared" si="63"/>
        <v>-0.11790303815606241</v>
      </c>
      <c r="AA200" s="40">
        <f t="shared" si="64"/>
        <v>0.17529582052038997</v>
      </c>
      <c r="AB200" s="40">
        <f t="shared" si="65"/>
        <v>8.5530956557721624E-2</v>
      </c>
      <c r="AC200" s="78">
        <v>19.85000038146973</v>
      </c>
      <c r="AD200" s="40">
        <f t="shared" si="56"/>
        <v>-0.11458732977878386</v>
      </c>
    </row>
    <row r="201" spans="2:30" ht="13.95" customHeight="1" x14ac:dyDescent="0.3">
      <c r="B201" s="77">
        <v>44165</v>
      </c>
      <c r="C201" s="107">
        <f t="shared" si="47"/>
        <v>1</v>
      </c>
      <c r="D201" s="107">
        <f t="shared" si="57"/>
        <v>1</v>
      </c>
      <c r="E201" s="106">
        <v>5.4606201309941289</v>
      </c>
      <c r="F201" s="106">
        <v>2.2116482892729739</v>
      </c>
      <c r="G201" s="106">
        <v>0.64325978286764429</v>
      </c>
      <c r="H201" s="106">
        <v>2.8281022949664911</v>
      </c>
      <c r="I201" s="106">
        <v>0.70048696351611606</v>
      </c>
      <c r="J201" s="106">
        <v>0.81202548948146858</v>
      </c>
      <c r="K201" s="106">
        <v>2.5966827468817448</v>
      </c>
      <c r="L201" s="106">
        <v>2.512149399345633</v>
      </c>
      <c r="M201" s="40">
        <f t="shared" si="48"/>
        <v>-9.5414010494129661E-2</v>
      </c>
      <c r="N201" s="40">
        <f t="shared" si="49"/>
        <v>6.9842500711971955E-2</v>
      </c>
      <c r="O201" s="40">
        <f t="shared" si="50"/>
        <v>-0.23855492591237451</v>
      </c>
      <c r="P201" s="40">
        <f t="shared" si="51"/>
        <v>0.30884802773814946</v>
      </c>
      <c r="Q201" s="40">
        <f t="shared" si="52"/>
        <v>-0.25472834604114408</v>
      </c>
      <c r="R201" s="40">
        <f t="shared" si="53"/>
        <v>-4.1932871427794616E-2</v>
      </c>
      <c r="S201" s="40">
        <f t="shared" si="54"/>
        <v>9.0099808840335832E-2</v>
      </c>
      <c r="T201" s="40">
        <f t="shared" si="55"/>
        <v>-7.201126523252202E-2</v>
      </c>
      <c r="U201" s="40">
        <f t="shared" si="58"/>
        <v>0.10738201936363134</v>
      </c>
      <c r="V201" s="40">
        <f t="shared" si="59"/>
        <v>0.10075099035330674</v>
      </c>
      <c r="W201" s="40">
        <f t="shared" si="60"/>
        <v>-1.6443853275824514E-2</v>
      </c>
      <c r="X201" s="40">
        <f t="shared" si="61"/>
        <v>0.39804960640136222</v>
      </c>
      <c r="Y201" s="40">
        <f t="shared" si="62"/>
        <v>-4.5531472017126085E-4</v>
      </c>
      <c r="Z201" s="40">
        <f t="shared" si="63"/>
        <v>-0.11816296611305366</v>
      </c>
      <c r="AA201" s="40">
        <f t="shared" si="64"/>
        <v>0.19140531675949832</v>
      </c>
      <c r="AB201" s="40">
        <f t="shared" si="65"/>
        <v>8.8395234167373715E-2</v>
      </c>
      <c r="AC201" s="78">
        <v>20.690000534057621</v>
      </c>
      <c r="AD201" s="40">
        <f t="shared" si="56"/>
        <v>-4.5816716958352814E-2</v>
      </c>
    </row>
    <row r="202" spans="2:30" ht="13.95" customHeight="1" x14ac:dyDescent="0.3">
      <c r="B202" s="77">
        <v>44196</v>
      </c>
      <c r="C202" s="107">
        <f t="shared" si="47"/>
        <v>1</v>
      </c>
      <c r="D202" s="107">
        <f t="shared" si="57"/>
        <v>1</v>
      </c>
      <c r="E202" s="106">
        <v>5.6060086016073232</v>
      </c>
      <c r="F202" s="106">
        <v>2.2963664178137519</v>
      </c>
      <c r="G202" s="106">
        <v>0.66108129298120888</v>
      </c>
      <c r="H202" s="106">
        <v>3.294318045813946</v>
      </c>
      <c r="I202" s="106">
        <v>0.71910670565472667</v>
      </c>
      <c r="J202" s="106">
        <v>0.84530230416431418</v>
      </c>
      <c r="K202" s="106">
        <v>2.8383801262188202</v>
      </c>
      <c r="L202" s="106">
        <v>2.5874879406065352</v>
      </c>
      <c r="M202" s="40">
        <f t="shared" si="48"/>
        <v>-7.9180590370439188E-2</v>
      </c>
      <c r="N202" s="40">
        <f t="shared" si="49"/>
        <v>8.5734784813849302E-2</v>
      </c>
      <c r="O202" s="40">
        <f t="shared" si="50"/>
        <v>-0.22542701737534734</v>
      </c>
      <c r="P202" s="40">
        <f t="shared" si="51"/>
        <v>0.41833191258538427</v>
      </c>
      <c r="Q202" s="40">
        <f t="shared" si="52"/>
        <v>-0.22829365975897845</v>
      </c>
      <c r="R202" s="40">
        <f t="shared" si="53"/>
        <v>-0.16908226986609609</v>
      </c>
      <c r="S202" s="40">
        <f t="shared" si="54"/>
        <v>0.15454428504062367</v>
      </c>
      <c r="T202" s="40">
        <f t="shared" si="55"/>
        <v>-5.551630597891484E-2</v>
      </c>
      <c r="U202" s="40">
        <f t="shared" si="58"/>
        <v>0.10809307021204728</v>
      </c>
      <c r="V202" s="40">
        <f t="shared" si="59"/>
        <v>0.10617720438931955</v>
      </c>
      <c r="W202" s="40">
        <f t="shared" si="60"/>
        <v>-8.7478918215765453E-3</v>
      </c>
      <c r="X202" s="40">
        <f t="shared" si="61"/>
        <v>0.38386090798832512</v>
      </c>
      <c r="Y202" s="40">
        <f t="shared" si="62"/>
        <v>8.3325417009106392E-3</v>
      </c>
      <c r="Z202" s="40">
        <f t="shared" si="63"/>
        <v>-0.11370289786197194</v>
      </c>
      <c r="AA202" s="40">
        <f t="shared" si="64"/>
        <v>0.19830843938436962</v>
      </c>
      <c r="AB202" s="40">
        <f t="shared" si="65"/>
        <v>9.1380841873902982E-2</v>
      </c>
      <c r="AC202" s="78">
        <v>21.899999618530281</v>
      </c>
      <c r="AD202" s="40">
        <f t="shared" si="56"/>
        <v>-4.2026772064793889E-2</v>
      </c>
    </row>
    <row r="203" spans="2:30" ht="13.95" customHeight="1" x14ac:dyDescent="0.3">
      <c r="B203" s="77">
        <v>44227</v>
      </c>
      <c r="C203" s="107">
        <f t="shared" si="47"/>
        <v>1</v>
      </c>
      <c r="D203" s="107">
        <f t="shared" si="57"/>
        <v>1</v>
      </c>
      <c r="E203" s="106">
        <v>5.6683503713779357</v>
      </c>
      <c r="F203" s="106">
        <v>2.392114625072173</v>
      </c>
      <c r="G203" s="106">
        <v>0.66155720297955156</v>
      </c>
      <c r="H203" s="106">
        <v>3.5787866944574289</v>
      </c>
      <c r="I203" s="106">
        <v>0.71719559980596992</v>
      </c>
      <c r="J203" s="106">
        <v>0.87931319627911808</v>
      </c>
      <c r="K203" s="106">
        <v>2.986260017384109</v>
      </c>
      <c r="L203" s="106">
        <v>2.634811949423022</v>
      </c>
      <c r="M203" s="40">
        <f t="shared" si="48"/>
        <v>-6.4370875750184423E-2</v>
      </c>
      <c r="N203" s="40">
        <f t="shared" si="49"/>
        <v>0.1563769576026055</v>
      </c>
      <c r="O203" s="40">
        <f t="shared" si="50"/>
        <v>-0.21570491148727039</v>
      </c>
      <c r="P203" s="40">
        <f t="shared" si="51"/>
        <v>0.505359176995265</v>
      </c>
      <c r="Q203" s="40">
        <f t="shared" si="52"/>
        <v>-0.23215265004228861</v>
      </c>
      <c r="R203" s="40">
        <f t="shared" si="53"/>
        <v>-1.518943733832257E-2</v>
      </c>
      <c r="S203" s="40">
        <f t="shared" si="54"/>
        <v>0.21303204645391688</v>
      </c>
      <c r="T203" s="40">
        <f t="shared" si="55"/>
        <v>-2.7504371070688798E-2</v>
      </c>
      <c r="U203" s="40">
        <f t="shared" si="58"/>
        <v>0.10815972942936827</v>
      </c>
      <c r="V203" s="40">
        <f t="shared" si="59"/>
        <v>0.11621592373069098</v>
      </c>
      <c r="W203" s="40">
        <f t="shared" si="60"/>
        <v>-1.1140716148733961E-2</v>
      </c>
      <c r="X203" s="40">
        <f t="shared" si="61"/>
        <v>0.36991581078404201</v>
      </c>
      <c r="Y203" s="40">
        <f t="shared" si="62"/>
        <v>4.1771993813486822E-3</v>
      </c>
      <c r="Z203" s="40">
        <f t="shared" si="63"/>
        <v>-0.10189931691097082</v>
      </c>
      <c r="AA203" s="40">
        <f t="shared" si="64"/>
        <v>0.20075333205063364</v>
      </c>
      <c r="AB203" s="40">
        <f t="shared" si="65"/>
        <v>9.380033190202694E-2</v>
      </c>
      <c r="AC203" s="78">
        <v>22.530000686645511</v>
      </c>
      <c r="AD203" s="40">
        <f t="shared" si="56"/>
        <v>7.6056062099828167E-2</v>
      </c>
    </row>
    <row r="204" spans="2:30" ht="13.95" customHeight="1" x14ac:dyDescent="0.3">
      <c r="B204" s="77">
        <v>44255</v>
      </c>
      <c r="C204" s="107">
        <f t="shared" si="47"/>
        <v>1</v>
      </c>
      <c r="D204" s="107">
        <f t="shared" si="57"/>
        <v>1</v>
      </c>
      <c r="E204" s="106">
        <v>5.833536364036723</v>
      </c>
      <c r="F204" s="106">
        <v>2.4280129998366551</v>
      </c>
      <c r="G204" s="106">
        <v>0.67043602900392496</v>
      </c>
      <c r="H204" s="106">
        <v>3.9245936920385969</v>
      </c>
      <c r="I204" s="106">
        <v>0.72762525958584301</v>
      </c>
      <c r="J204" s="106">
        <v>0.88066265625593543</v>
      </c>
      <c r="K204" s="106">
        <v>3.161889166914376</v>
      </c>
      <c r="L204" s="106">
        <v>2.694891235094997</v>
      </c>
      <c r="M204" s="40">
        <f t="shared" si="48"/>
        <v>-5.1413345166924425E-2</v>
      </c>
      <c r="N204" s="40">
        <f t="shared" si="49"/>
        <v>0.13371663116162996</v>
      </c>
      <c r="O204" s="40">
        <f t="shared" si="50"/>
        <v>-0.21303360741406943</v>
      </c>
      <c r="P204" s="40">
        <f t="shared" si="51"/>
        <v>0.63472593139571409</v>
      </c>
      <c r="Q204" s="40">
        <f t="shared" si="52"/>
        <v>-0.19861755226830269</v>
      </c>
      <c r="R204" s="40">
        <f t="shared" si="53"/>
        <v>-0.31142409153218042</v>
      </c>
      <c r="S204" s="40">
        <f t="shared" si="54"/>
        <v>0.27172417188983627</v>
      </c>
      <c r="T204" s="40">
        <f t="shared" si="55"/>
        <v>-2.4736421813240813E-2</v>
      </c>
      <c r="U204" s="40">
        <f t="shared" si="58"/>
        <v>0.10937838288901973</v>
      </c>
      <c r="V204" s="40">
        <f t="shared" si="59"/>
        <v>0.12030447365512355</v>
      </c>
      <c r="W204" s="40">
        <f t="shared" si="60"/>
        <v>-1.0330808083110337E-2</v>
      </c>
      <c r="X204" s="40">
        <f t="shared" si="61"/>
        <v>0.3628522034721513</v>
      </c>
      <c r="Y204" s="40">
        <f t="shared" si="62"/>
        <v>4.3347673939931591E-3</v>
      </c>
      <c r="Z204" s="40">
        <f t="shared" si="63"/>
        <v>-9.9411131549970139E-2</v>
      </c>
      <c r="AA204" s="40">
        <f t="shared" si="64"/>
        <v>0.20377045651834988</v>
      </c>
      <c r="AB204" s="40">
        <f t="shared" si="65"/>
        <v>9.5389627979068387E-2</v>
      </c>
      <c r="AC204" s="78">
        <v>24.260000228881839</v>
      </c>
      <c r="AD204" s="40">
        <f t="shared" si="56"/>
        <v>0.20871799317611403</v>
      </c>
    </row>
    <row r="205" spans="2:30" ht="13.95" customHeight="1" x14ac:dyDescent="0.3">
      <c r="B205" s="77">
        <v>44286</v>
      </c>
      <c r="C205" s="107">
        <f t="shared" si="47"/>
        <v>1</v>
      </c>
      <c r="D205" s="107">
        <f t="shared" si="57"/>
        <v>1</v>
      </c>
      <c r="E205" s="106">
        <v>5.9149489610379016</v>
      </c>
      <c r="F205" s="106">
        <v>2.4744265410640529</v>
      </c>
      <c r="G205" s="106">
        <v>0.65889880764911379</v>
      </c>
      <c r="H205" s="106">
        <v>4.5932016788127923</v>
      </c>
      <c r="I205" s="106">
        <v>0.71107695893138778</v>
      </c>
      <c r="J205" s="106">
        <v>0.91808092224888471</v>
      </c>
      <c r="K205" s="106">
        <v>3.452989862187398</v>
      </c>
      <c r="L205" s="106">
        <v>2.726329302440794</v>
      </c>
      <c r="M205" s="40">
        <f t="shared" si="48"/>
        <v>-2.0457799744058123E-2</v>
      </c>
      <c r="N205" s="40">
        <f t="shared" si="49"/>
        <v>0.20319078371130903</v>
      </c>
      <c r="O205" s="40">
        <f t="shared" si="50"/>
        <v>-4.7305414508645602E-2</v>
      </c>
      <c r="P205" s="40">
        <f t="shared" si="51"/>
        <v>1.1259949555195659</v>
      </c>
      <c r="Q205" s="40">
        <f t="shared" si="52"/>
        <v>-8.3916013642179765E-2</v>
      </c>
      <c r="R205" s="40">
        <f t="shared" si="53"/>
        <v>0.40534514727263854</v>
      </c>
      <c r="S205" s="40">
        <f t="shared" si="54"/>
        <v>0.50300207675476438</v>
      </c>
      <c r="T205" s="40">
        <f t="shared" si="55"/>
        <v>3.2944928787619954E-2</v>
      </c>
      <c r="U205" s="40">
        <f t="shared" si="58"/>
        <v>0.10896985358141015</v>
      </c>
      <c r="V205" s="40">
        <f t="shared" si="59"/>
        <v>0.11992515591379659</v>
      </c>
      <c r="W205" s="40">
        <f t="shared" si="60"/>
        <v>-1.9350706413868553E-2</v>
      </c>
      <c r="X205" s="40">
        <f t="shared" si="61"/>
        <v>0.37155252997140786</v>
      </c>
      <c r="Y205" s="40">
        <f t="shared" si="62"/>
        <v>-7.7779839514865393E-3</v>
      </c>
      <c r="Z205" s="40">
        <f t="shared" si="63"/>
        <v>-8.4887639160173486E-2</v>
      </c>
      <c r="AA205" s="40">
        <f t="shared" si="64"/>
        <v>0.21354391837536157</v>
      </c>
      <c r="AB205" s="40">
        <f t="shared" si="65"/>
        <v>9.4012011671404994E-2</v>
      </c>
      <c r="AC205" s="78">
        <v>23.659999847412109</v>
      </c>
      <c r="AD205" s="40">
        <f t="shared" si="56"/>
        <v>0.35860889872876306</v>
      </c>
    </row>
    <row r="206" spans="2:30" ht="13.95" customHeight="1" x14ac:dyDescent="0.3">
      <c r="B206" s="77">
        <v>44316</v>
      </c>
      <c r="C206" s="107">
        <f t="shared" si="47"/>
        <v>1</v>
      </c>
      <c r="D206" s="107">
        <f t="shared" si="57"/>
        <v>1</v>
      </c>
      <c r="E206" s="106">
        <v>5.9730711051575227</v>
      </c>
      <c r="F206" s="106">
        <v>2.558978757331043</v>
      </c>
      <c r="G206" s="106">
        <v>0.68980288288650471</v>
      </c>
      <c r="H206" s="106">
        <v>5.3994085261295783</v>
      </c>
      <c r="I206" s="106">
        <v>0.74137506393290165</v>
      </c>
      <c r="J206" s="106">
        <v>1.000990639971868</v>
      </c>
      <c r="K206" s="106">
        <v>3.811447749241065</v>
      </c>
      <c r="L206" s="106">
        <v>2.7865084238339621</v>
      </c>
      <c r="M206" s="40">
        <f t="shared" si="48"/>
        <v>3.3381026396924418E-2</v>
      </c>
      <c r="N206" s="40">
        <f t="shared" si="49"/>
        <v>0.26554487963082757</v>
      </c>
      <c r="O206" s="40">
        <f t="shared" si="50"/>
        <v>0.13745204136330236</v>
      </c>
      <c r="P206" s="40">
        <f t="shared" si="51"/>
        <v>1.416911213378121</v>
      </c>
      <c r="Q206" s="40">
        <f t="shared" si="52"/>
        <v>0.10408737623391334</v>
      </c>
      <c r="R206" s="40">
        <f t="shared" si="53"/>
        <v>0.53082825800845224</v>
      </c>
      <c r="S206" s="40">
        <f t="shared" si="54"/>
        <v>0.6766762442799813</v>
      </c>
      <c r="T206" s="40">
        <f t="shared" si="55"/>
        <v>0.10657069840447096</v>
      </c>
      <c r="U206" s="40">
        <f t="shared" si="58"/>
        <v>0.11041191700870247</v>
      </c>
      <c r="V206" s="40">
        <f t="shared" si="59"/>
        <v>0.13059132189563089</v>
      </c>
      <c r="W206" s="40">
        <f t="shared" si="60"/>
        <v>-9.0622960592535318E-3</v>
      </c>
      <c r="X206" s="40">
        <f t="shared" si="61"/>
        <v>0.41642282052095114</v>
      </c>
      <c r="Y206" s="40">
        <f t="shared" si="62"/>
        <v>-1.8003545096016019E-4</v>
      </c>
      <c r="Z206" s="40">
        <f t="shared" si="63"/>
        <v>-5.4856159963270527E-2</v>
      </c>
      <c r="AA206" s="40">
        <f t="shared" si="64"/>
        <v>0.23937095472000902</v>
      </c>
      <c r="AB206" s="40">
        <f t="shared" si="65"/>
        <v>9.9155358792958545E-2</v>
      </c>
      <c r="AC206" s="78">
        <v>25.969999313354489</v>
      </c>
      <c r="AD206" s="40">
        <f t="shared" si="56"/>
        <v>0.47008064591299231</v>
      </c>
    </row>
    <row r="207" spans="2:30" ht="13.95" customHeight="1" x14ac:dyDescent="0.3">
      <c r="B207" s="77">
        <v>44347</v>
      </c>
      <c r="C207" s="107">
        <f t="shared" si="47"/>
        <v>1</v>
      </c>
      <c r="D207" s="107">
        <f t="shared" si="57"/>
        <v>1</v>
      </c>
      <c r="E207" s="106">
        <v>6.0551022603580584</v>
      </c>
      <c r="F207" s="106">
        <v>2.662705863769943</v>
      </c>
      <c r="G207" s="106">
        <v>0.68290148874896273</v>
      </c>
      <c r="H207" s="106">
        <v>5.3761208304978796</v>
      </c>
      <c r="I207" s="106">
        <v>0.73199369650979085</v>
      </c>
      <c r="J207" s="106">
        <v>1.0168193734399149</v>
      </c>
      <c r="K207" s="106">
        <v>3.834585466823667</v>
      </c>
      <c r="L207" s="106">
        <v>2.8401823426993591</v>
      </c>
      <c r="M207" s="40">
        <f t="shared" si="48"/>
        <v>9.8894755642235627E-2</v>
      </c>
      <c r="N207" s="40">
        <f t="shared" si="49"/>
        <v>0.31167595248306662</v>
      </c>
      <c r="O207" s="40">
        <f t="shared" si="50"/>
        <v>0.11578395758752845</v>
      </c>
      <c r="P207" s="40">
        <f t="shared" si="51"/>
        <v>1.4786350458712092</v>
      </c>
      <c r="Q207" s="40">
        <f t="shared" si="52"/>
        <v>7.740244714486999E-2</v>
      </c>
      <c r="R207" s="40">
        <f t="shared" si="53"/>
        <v>0.56802006411340489</v>
      </c>
      <c r="S207" s="40">
        <f t="shared" si="54"/>
        <v>0.72571342633886116</v>
      </c>
      <c r="T207" s="40">
        <f t="shared" si="55"/>
        <v>0.15930221796009197</v>
      </c>
      <c r="U207" s="40">
        <f t="shared" si="58"/>
        <v>0.1143550308530558</v>
      </c>
      <c r="V207" s="40">
        <f t="shared" si="59"/>
        <v>0.15065693932157798</v>
      </c>
      <c r="W207" s="40">
        <f t="shared" si="60"/>
        <v>-1.1875166612639931E-2</v>
      </c>
      <c r="X207" s="40">
        <f t="shared" si="61"/>
        <v>0.38546635484809222</v>
      </c>
      <c r="Y207" s="40">
        <f t="shared" si="62"/>
        <v>-4.7960622940441608E-3</v>
      </c>
      <c r="Z207" s="40">
        <f t="shared" si="63"/>
        <v>-4.426044654897824E-2</v>
      </c>
      <c r="AA207" s="40">
        <f t="shared" si="64"/>
        <v>0.2333060703825475</v>
      </c>
      <c r="AB207" s="40">
        <f t="shared" si="65"/>
        <v>0.10647286083645233</v>
      </c>
      <c r="AC207" s="78">
        <v>26.770000457763668</v>
      </c>
      <c r="AD207" s="40">
        <f t="shared" si="56"/>
        <v>0.44820338881535127</v>
      </c>
    </row>
    <row r="208" spans="2:30" ht="13.95" customHeight="1" x14ac:dyDescent="0.3">
      <c r="B208" s="77">
        <v>44377</v>
      </c>
      <c r="C208" s="107">
        <f t="shared" si="47"/>
        <v>1</v>
      </c>
      <c r="D208" s="107">
        <f t="shared" ref="D208:D239" si="66">IF(B208&gt;=EBStart,1,0)</f>
        <v>1</v>
      </c>
      <c r="E208" s="106">
        <v>6.1631383215232987</v>
      </c>
      <c r="F208" s="106">
        <v>2.6622987132943932</v>
      </c>
      <c r="G208" s="106">
        <v>0.68248391359203919</v>
      </c>
      <c r="H208" s="106">
        <v>5.8023978999086712</v>
      </c>
      <c r="I208" s="106">
        <v>0.7297145147495786</v>
      </c>
      <c r="J208" s="106">
        <v>1.0406047477777209</v>
      </c>
      <c r="K208" s="106">
        <v>4.0197332274514874</v>
      </c>
      <c r="L208" s="106">
        <v>2.8678505936153509</v>
      </c>
      <c r="M208" s="40">
        <f t="shared" si="48"/>
        <v>0.20828312900451074</v>
      </c>
      <c r="N208" s="40">
        <f t="shared" si="49"/>
        <v>0.29305752892142878</v>
      </c>
      <c r="O208" s="40">
        <f t="shared" si="50"/>
        <v>0.1762740495840773</v>
      </c>
      <c r="P208" s="40">
        <f t="shared" si="51"/>
        <v>1.4670930261898141</v>
      </c>
      <c r="Q208" s="40">
        <f t="shared" si="52"/>
        <v>0.14212884325001801</v>
      </c>
      <c r="R208" s="40">
        <f t="shared" si="53"/>
        <v>0.55973743266218856</v>
      </c>
      <c r="S208" s="40">
        <f t="shared" si="54"/>
        <v>0.78832148519107803</v>
      </c>
      <c r="T208" s="40">
        <f t="shared" si="55"/>
        <v>0.22879476976938348</v>
      </c>
      <c r="U208" s="40">
        <f t="shared" ref="U208:U239" si="67">LN(E208/E160)/4</f>
        <v>0.11774372430142996</v>
      </c>
      <c r="V208" s="40">
        <f t="shared" ref="V208:V239" si="68">LN(F208/F160)/4</f>
        <v>0.12716575563310306</v>
      </c>
      <c r="W208" s="40">
        <f t="shared" ref="W208:W239" si="69">LN(G208/G160)/4</f>
        <v>-1.5792585236660849E-2</v>
      </c>
      <c r="X208" s="40">
        <f t="shared" ref="X208:X239" si="70">LN(H208/H160)/4</f>
        <v>0.41465350871268436</v>
      </c>
      <c r="Y208" s="40">
        <f t="shared" ref="Y208:Y239" si="71">LN(I208/I160)/4</f>
        <v>-9.9005572972060661E-3</v>
      </c>
      <c r="Z208" s="40">
        <f t="shared" ref="Z208:Z239" si="72">LN(J208/J160)/4</f>
        <v>-3.8859477764675132E-2</v>
      </c>
      <c r="AA208" s="40">
        <f t="shared" ref="AA208:AA239" si="73">LN(K208/K160)/4</f>
        <v>0.24385725208726972</v>
      </c>
      <c r="AB208" s="40">
        <f t="shared" ref="AB208:AB239" si="74">LN(L208/L160)/4</f>
        <v>0.10231898965446712</v>
      </c>
      <c r="AC208" s="78">
        <v>27.20000076293945</v>
      </c>
      <c r="AD208" s="40">
        <f t="shared" si="56"/>
        <v>0.43588643392703363</v>
      </c>
    </row>
    <row r="209" spans="2:30" ht="13.95" customHeight="1" x14ac:dyDescent="0.3">
      <c r="B209" s="77">
        <v>44408</v>
      </c>
      <c r="C209" s="107">
        <f t="shared" si="47"/>
        <v>1</v>
      </c>
      <c r="D209" s="107">
        <f t="shared" si="66"/>
        <v>1</v>
      </c>
      <c r="E209" s="106">
        <v>6.3091095305902698</v>
      </c>
      <c r="F209" s="106">
        <v>2.7309764098439202</v>
      </c>
      <c r="G209" s="106">
        <v>0.68106919907132368</v>
      </c>
      <c r="H209" s="106">
        <v>6.055943184567866</v>
      </c>
      <c r="I209" s="106">
        <v>0.72450312974522424</v>
      </c>
      <c r="J209" s="106">
        <v>1.0879487443761551</v>
      </c>
      <c r="K209" s="106">
        <v>4.15634810149258</v>
      </c>
      <c r="L209" s="106">
        <v>2.9286397035858189</v>
      </c>
      <c r="M209" s="40">
        <f t="shared" si="48"/>
        <v>0.25659975764067755</v>
      </c>
      <c r="N209" s="40">
        <f t="shared" si="49"/>
        <v>0.28512205682973274</v>
      </c>
      <c r="O209" s="40">
        <f t="shared" si="50"/>
        <v>0.19397175549535989</v>
      </c>
      <c r="P209" s="40">
        <f t="shared" si="51"/>
        <v>1.5049336303111245</v>
      </c>
      <c r="Q209" s="40">
        <f t="shared" si="52"/>
        <v>0.16403517287694422</v>
      </c>
      <c r="R209" s="40">
        <f t="shared" si="53"/>
        <v>0.50912269908485686</v>
      </c>
      <c r="S209" s="40">
        <f t="shared" si="54"/>
        <v>0.82589614067892292</v>
      </c>
      <c r="T209" s="40">
        <f t="shared" si="55"/>
        <v>0.25814518509188139</v>
      </c>
      <c r="U209" s="40">
        <f t="shared" si="67"/>
        <v>0.12153362541795724</v>
      </c>
      <c r="V209" s="40">
        <f t="shared" si="68"/>
        <v>0.13570469810299149</v>
      </c>
      <c r="W209" s="40">
        <f t="shared" si="69"/>
        <v>-1.9479395457417104E-2</v>
      </c>
      <c r="X209" s="40">
        <f t="shared" si="70"/>
        <v>0.43463461948640619</v>
      </c>
      <c r="Y209" s="40">
        <f t="shared" si="71"/>
        <v>-1.5058343378220991E-2</v>
      </c>
      <c r="Z209" s="40">
        <f t="shared" si="72"/>
        <v>-2.9692229514876916E-2</v>
      </c>
      <c r="AA209" s="40">
        <f t="shared" si="73"/>
        <v>0.2542355925317783</v>
      </c>
      <c r="AB209" s="40">
        <f t="shared" si="74"/>
        <v>0.10631454056858423</v>
      </c>
      <c r="AC209" s="78">
        <v>27.840000152587891</v>
      </c>
      <c r="AD209" s="40">
        <f t="shared" si="56"/>
        <v>0.38784119174451703</v>
      </c>
    </row>
    <row r="210" spans="2:30" ht="13.95" customHeight="1" x14ac:dyDescent="0.3">
      <c r="B210" s="77">
        <v>44439</v>
      </c>
      <c r="C210" s="107">
        <f t="shared" si="47"/>
        <v>1</v>
      </c>
      <c r="D210" s="107">
        <f t="shared" si="66"/>
        <v>1</v>
      </c>
      <c r="E210" s="106">
        <v>6.4738620978446484</v>
      </c>
      <c r="F210" s="106">
        <v>2.722243376065506</v>
      </c>
      <c r="G210" s="106">
        <v>0.67737231166252854</v>
      </c>
      <c r="H210" s="106">
        <v>6.3349870126886536</v>
      </c>
      <c r="I210" s="106">
        <v>0.71638246101165992</v>
      </c>
      <c r="J210" s="106">
        <v>1.13727379315074</v>
      </c>
      <c r="K210" s="106">
        <v>4.2892179407158961</v>
      </c>
      <c r="L210" s="106">
        <v>2.966449362271832</v>
      </c>
      <c r="M210" s="40">
        <f t="shared" si="48"/>
        <v>0.27343768885944586</v>
      </c>
      <c r="N210" s="40">
        <f t="shared" si="49"/>
        <v>0.26699219972609445</v>
      </c>
      <c r="O210" s="40">
        <f t="shared" si="50"/>
        <v>0.18177146455736334</v>
      </c>
      <c r="P210" s="40">
        <f t="shared" si="51"/>
        <v>1.3880676648996113</v>
      </c>
      <c r="Q210" s="40">
        <f t="shared" si="52"/>
        <v>0.14639505434173422</v>
      </c>
      <c r="R210" s="40">
        <f t="shared" si="53"/>
        <v>0.54206360007150922</v>
      </c>
      <c r="S210" s="40">
        <f t="shared" si="54"/>
        <v>0.79633794227349786</v>
      </c>
      <c r="T210" s="40">
        <f t="shared" si="55"/>
        <v>0.26063537095567729</v>
      </c>
      <c r="U210" s="40">
        <f t="shared" si="67"/>
        <v>0.12471697406074118</v>
      </c>
      <c r="V210" s="40">
        <f t="shared" si="68"/>
        <v>0.1352948577602007</v>
      </c>
      <c r="W210" s="40">
        <f t="shared" si="69"/>
        <v>-2.3335569228618101E-2</v>
      </c>
      <c r="X210" s="40">
        <f t="shared" si="70"/>
        <v>0.46213882059617822</v>
      </c>
      <c r="Y210" s="40">
        <f t="shared" si="71"/>
        <v>-2.2633447131542552E-2</v>
      </c>
      <c r="Z210" s="40">
        <f t="shared" si="72"/>
        <v>-6.5691353917760372E-3</v>
      </c>
      <c r="AA210" s="40">
        <f t="shared" si="73"/>
        <v>0.26435957365302887</v>
      </c>
      <c r="AB210" s="40">
        <f t="shared" si="74"/>
        <v>0.10721838608996902</v>
      </c>
      <c r="AC210" s="78">
        <v>27.60000038146973</v>
      </c>
      <c r="AD210" s="40">
        <f t="shared" si="56"/>
        <v>0.30326179992915719</v>
      </c>
    </row>
    <row r="211" spans="2:30" ht="13.95" customHeight="1" x14ac:dyDescent="0.3">
      <c r="B211" s="77">
        <v>44469</v>
      </c>
      <c r="C211" s="107">
        <f t="shared" si="47"/>
        <v>1</v>
      </c>
      <c r="D211" s="107">
        <f t="shared" si="66"/>
        <v>1</v>
      </c>
      <c r="E211" s="106">
        <v>6.5090317010273324</v>
      </c>
      <c r="F211" s="106">
        <v>2.7870830329621441</v>
      </c>
      <c r="G211" s="106">
        <v>0.68325064101127275</v>
      </c>
      <c r="H211" s="106">
        <v>6.3864234722222104</v>
      </c>
      <c r="I211" s="106">
        <v>0.71546482289231017</v>
      </c>
      <c r="J211" s="106">
        <v>1.2400500616707659</v>
      </c>
      <c r="K211" s="106">
        <v>4.3304489858496211</v>
      </c>
      <c r="L211" s="106">
        <v>3.0010483469218081</v>
      </c>
      <c r="M211" s="40">
        <f t="shared" si="48"/>
        <v>0.24634920334726018</v>
      </c>
      <c r="N211" s="40">
        <f t="shared" si="49"/>
        <v>0.26889197547415017</v>
      </c>
      <c r="O211" s="40">
        <f t="shared" si="50"/>
        <v>0.13641249470241504</v>
      </c>
      <c r="P211" s="40">
        <f t="shared" si="51"/>
        <v>1.1404941896882252</v>
      </c>
      <c r="Q211" s="40">
        <f t="shared" si="52"/>
        <v>9.184133109079895E-2</v>
      </c>
      <c r="R211" s="40">
        <f t="shared" si="53"/>
        <v>0.56596641792422231</v>
      </c>
      <c r="S211" s="40">
        <f t="shared" si="54"/>
        <v>0.68927883208837815</v>
      </c>
      <c r="T211" s="40">
        <f t="shared" si="55"/>
        <v>0.24019741197476116</v>
      </c>
      <c r="U211" s="40">
        <f t="shared" si="67"/>
        <v>0.12722772192856494</v>
      </c>
      <c r="V211" s="40">
        <f t="shared" si="68"/>
        <v>0.13732430624706682</v>
      </c>
      <c r="W211" s="40">
        <f t="shared" si="69"/>
        <v>-2.0603819816521901E-2</v>
      </c>
      <c r="X211" s="40">
        <f t="shared" si="70"/>
        <v>0.45068725112769698</v>
      </c>
      <c r="Y211" s="40">
        <f t="shared" si="71"/>
        <v>-2.2862142480752315E-2</v>
      </c>
      <c r="Z211" s="40">
        <f t="shared" si="72"/>
        <v>1.8828275755229523E-2</v>
      </c>
      <c r="AA211" s="40">
        <f t="shared" si="73"/>
        <v>0.26266985005565791</v>
      </c>
      <c r="AB211" s="40">
        <f t="shared" si="74"/>
        <v>0.11002653556072149</v>
      </c>
      <c r="AC211" s="78">
        <v>29.25</v>
      </c>
      <c r="AD211" s="40">
        <f t="shared" si="56"/>
        <v>0.40649129896263836</v>
      </c>
    </row>
    <row r="212" spans="2:30" ht="13.95" customHeight="1" x14ac:dyDescent="0.3">
      <c r="B212" s="77">
        <v>44500</v>
      </c>
      <c r="C212" s="107">
        <f t="shared" si="47"/>
        <v>1</v>
      </c>
      <c r="D212" s="107">
        <f t="shared" si="66"/>
        <v>1</v>
      </c>
      <c r="E212" s="106">
        <v>6.5312523991584834</v>
      </c>
      <c r="F212" s="106">
        <v>2.8518262362520299</v>
      </c>
      <c r="G212" s="106">
        <v>0.68735478219879564</v>
      </c>
      <c r="H212" s="106">
        <v>6.2079520735855596</v>
      </c>
      <c r="I212" s="106">
        <v>0.71229392701655259</v>
      </c>
      <c r="J212" s="106">
        <v>1.346459427743055</v>
      </c>
      <c r="K212" s="106">
        <v>4.2771615486849637</v>
      </c>
      <c r="L212" s="106">
        <v>3.031254006351134</v>
      </c>
      <c r="M212" s="40">
        <f t="shared" si="48"/>
        <v>0.2191272997033113</v>
      </c>
      <c r="N212" s="40">
        <f t="shared" si="49"/>
        <v>0.28935091895881021</v>
      </c>
      <c r="O212" s="40">
        <f t="shared" si="50"/>
        <v>0.12247738463123552</v>
      </c>
      <c r="P212" s="40">
        <f t="shared" si="51"/>
        <v>0.92481912208686079</v>
      </c>
      <c r="Q212" s="40">
        <f t="shared" si="52"/>
        <v>7.5649477228889025E-2</v>
      </c>
      <c r="R212" s="40">
        <f t="shared" si="53"/>
        <v>0.52985085440367563</v>
      </c>
      <c r="S212" s="40">
        <f t="shared" si="54"/>
        <v>0.58485221719846447</v>
      </c>
      <c r="T212" s="40">
        <f t="shared" si="55"/>
        <v>0.22866656673742553</v>
      </c>
      <c r="U212" s="40">
        <f t="shared" si="67"/>
        <v>0.12417024664610918</v>
      </c>
      <c r="V212" s="40">
        <f t="shared" si="68"/>
        <v>0.1395802320031555</v>
      </c>
      <c r="W212" s="40">
        <f t="shared" si="69"/>
        <v>-2.1815629250215129E-2</v>
      </c>
      <c r="X212" s="40">
        <f t="shared" si="70"/>
        <v>0.43551094198489448</v>
      </c>
      <c r="Y212" s="40">
        <f t="shared" si="71"/>
        <v>-3.0531823679560654E-2</v>
      </c>
      <c r="Z212" s="40">
        <f t="shared" si="72"/>
        <v>6.4325970807129443E-2</v>
      </c>
      <c r="AA212" s="40">
        <f t="shared" si="73"/>
        <v>0.25462531514388798</v>
      </c>
      <c r="AB212" s="40">
        <f t="shared" si="74"/>
        <v>0.10891498928912031</v>
      </c>
      <c r="AC212" s="78">
        <v>30.229999542236332</v>
      </c>
      <c r="AD212" s="40">
        <f t="shared" si="56"/>
        <v>0.4206307672978537</v>
      </c>
    </row>
    <row r="213" spans="2:30" ht="13.95" customHeight="1" x14ac:dyDescent="0.3">
      <c r="B213" s="77">
        <v>44530</v>
      </c>
      <c r="C213" s="107">
        <f t="shared" si="47"/>
        <v>1</v>
      </c>
      <c r="D213" s="107">
        <f t="shared" si="66"/>
        <v>1</v>
      </c>
      <c r="E213" s="106">
        <v>6.6480890590786261</v>
      </c>
      <c r="F213" s="106">
        <v>2.8154444437975781</v>
      </c>
      <c r="G213" s="106">
        <v>0.65918107926437131</v>
      </c>
      <c r="H213" s="106">
        <v>6.1752676140457297</v>
      </c>
      <c r="I213" s="106">
        <v>0.65549829015686845</v>
      </c>
      <c r="J213" s="106">
        <v>1.6554757400113109</v>
      </c>
      <c r="K213" s="106">
        <v>4.2655753512941157</v>
      </c>
      <c r="L213" s="106">
        <v>3.0340142364131779</v>
      </c>
      <c r="M213" s="40">
        <f t="shared" si="48"/>
        <v>0.19676709342247656</v>
      </c>
      <c r="N213" s="40">
        <f t="shared" si="49"/>
        <v>0.24138206346396951</v>
      </c>
      <c r="O213" s="40">
        <f t="shared" si="50"/>
        <v>2.4449616064847565E-2</v>
      </c>
      <c r="P213" s="40">
        <f t="shared" si="51"/>
        <v>0.78094630030717871</v>
      </c>
      <c r="Q213" s="40">
        <f t="shared" si="52"/>
        <v>-6.6380060604511237E-2</v>
      </c>
      <c r="R213" s="40">
        <f t="shared" si="53"/>
        <v>0.71231197204771202</v>
      </c>
      <c r="S213" s="40">
        <f t="shared" si="54"/>
        <v>0.49634230866773554</v>
      </c>
      <c r="T213" s="40">
        <f t="shared" si="55"/>
        <v>0.18874785210785958</v>
      </c>
      <c r="U213" s="40">
        <f t="shared" si="67"/>
        <v>0.12653931741313207</v>
      </c>
      <c r="V213" s="40">
        <f t="shared" si="68"/>
        <v>0.12922217275490425</v>
      </c>
      <c r="W213" s="40">
        <f t="shared" si="69"/>
        <v>-3.5626061076035304E-2</v>
      </c>
      <c r="X213" s="40">
        <f t="shared" si="70"/>
        <v>0.42315762779791261</v>
      </c>
      <c r="Y213" s="40">
        <f t="shared" si="71"/>
        <v>-5.6833312453936177E-2</v>
      </c>
      <c r="Z213" s="40">
        <f t="shared" si="72"/>
        <v>0.13035841473745816</v>
      </c>
      <c r="AA213" s="40">
        <f t="shared" si="73"/>
        <v>0.24817272415860628</v>
      </c>
      <c r="AB213" s="40">
        <f t="shared" si="74"/>
        <v>0.10562659389408638</v>
      </c>
      <c r="AC213" s="78">
        <v>27.610000610351559</v>
      </c>
      <c r="AD213" s="40">
        <f t="shared" si="56"/>
        <v>0.28852753047843416</v>
      </c>
    </row>
    <row r="214" spans="2:30" ht="13.95" customHeight="1" x14ac:dyDescent="0.3">
      <c r="B214" s="77">
        <v>44561</v>
      </c>
      <c r="C214" s="107">
        <f t="shared" si="47"/>
        <v>1</v>
      </c>
      <c r="D214" s="107">
        <f t="shared" si="66"/>
        <v>1</v>
      </c>
      <c r="E214" s="106">
        <v>6.7059720871277566</v>
      </c>
      <c r="F214" s="106">
        <v>2.8845826153962122</v>
      </c>
      <c r="G214" s="106">
        <v>0.66544115851648156</v>
      </c>
      <c r="H214" s="106">
        <v>6.3205764132279896</v>
      </c>
      <c r="I214" s="106">
        <v>0.66308247627880923</v>
      </c>
      <c r="J214" s="106">
        <v>1.652950815773403</v>
      </c>
      <c r="K214" s="106">
        <v>4.3491209881579502</v>
      </c>
      <c r="L214" s="106">
        <v>3.0766094921137501</v>
      </c>
      <c r="M214" s="40">
        <f t="shared" si="48"/>
        <v>0.17915949856376451</v>
      </c>
      <c r="N214" s="40">
        <f t="shared" si="49"/>
        <v>0.22805216008993937</v>
      </c>
      <c r="O214" s="40">
        <f t="shared" si="50"/>
        <v>6.5733998385590197E-3</v>
      </c>
      <c r="P214" s="40">
        <f t="shared" si="51"/>
        <v>0.65161122845964337</v>
      </c>
      <c r="Q214" s="40">
        <f t="shared" si="52"/>
        <v>-8.1110374071075977E-2</v>
      </c>
      <c r="R214" s="40">
        <f t="shared" si="53"/>
        <v>0.6706230230702207</v>
      </c>
      <c r="S214" s="40">
        <f t="shared" si="54"/>
        <v>0.4267402416398452</v>
      </c>
      <c r="T214" s="40">
        <f t="shared" si="55"/>
        <v>0.17314067845020426</v>
      </c>
      <c r="U214" s="40">
        <f t="shared" si="67"/>
        <v>0.12468372964057517</v>
      </c>
      <c r="V214" s="40">
        <f t="shared" si="68"/>
        <v>0.12883709497085724</v>
      </c>
      <c r="W214" s="40">
        <f t="shared" si="69"/>
        <v>-3.8594300180602774E-2</v>
      </c>
      <c r="X214" s="40">
        <f t="shared" si="70"/>
        <v>0.41504736994343994</v>
      </c>
      <c r="Y214" s="40">
        <f t="shared" si="71"/>
        <v>-6.0313496379591387E-2</v>
      </c>
      <c r="Z214" s="40">
        <f t="shared" si="72"/>
        <v>0.13354884978789019</v>
      </c>
      <c r="AA214" s="40">
        <f t="shared" si="73"/>
        <v>0.24536333288631404</v>
      </c>
      <c r="AB214" s="40">
        <f t="shared" si="74"/>
        <v>0.1042954868914141</v>
      </c>
      <c r="AC214" s="78">
        <v>28.70000076293945</v>
      </c>
      <c r="AD214" s="40">
        <f t="shared" si="56"/>
        <v>0.27041052994508491</v>
      </c>
    </row>
    <row r="215" spans="2:30" ht="13.95" customHeight="1" x14ac:dyDescent="0.3">
      <c r="B215" s="77">
        <v>44592</v>
      </c>
      <c r="C215" s="107">
        <f t="shared" si="47"/>
        <v>1</v>
      </c>
      <c r="D215" s="107">
        <f t="shared" si="66"/>
        <v>1</v>
      </c>
      <c r="E215" s="106">
        <v>6.8936524783591091</v>
      </c>
      <c r="F215" s="106">
        <v>2.793814557427146</v>
      </c>
      <c r="G215" s="106">
        <v>0.67249078638856052</v>
      </c>
      <c r="H215" s="106">
        <v>6.3440110887505359</v>
      </c>
      <c r="I215" s="106">
        <v>0.67565254775856354</v>
      </c>
      <c r="J215" s="106">
        <v>1.593695823146118</v>
      </c>
      <c r="K215" s="106">
        <v>4.369920796944057</v>
      </c>
      <c r="L215" s="106">
        <v>3.0957162065980768</v>
      </c>
      <c r="M215" s="40">
        <f t="shared" si="48"/>
        <v>0.19570292191849908</v>
      </c>
      <c r="N215" s="40">
        <f t="shared" si="49"/>
        <v>0.15523013179573639</v>
      </c>
      <c r="O215" s="40">
        <f t="shared" si="50"/>
        <v>1.6391956380542697E-2</v>
      </c>
      <c r="P215" s="40">
        <f t="shared" si="51"/>
        <v>0.5724874014363428</v>
      </c>
      <c r="Q215" s="40">
        <f t="shared" si="52"/>
        <v>-5.9669645169342748E-2</v>
      </c>
      <c r="R215" s="40">
        <f t="shared" si="53"/>
        <v>0.59466987102684965</v>
      </c>
      <c r="S215" s="40">
        <f t="shared" si="54"/>
        <v>0.38072311051906077</v>
      </c>
      <c r="T215" s="40">
        <f t="shared" si="55"/>
        <v>0.1612074739867814</v>
      </c>
      <c r="U215" s="40">
        <f t="shared" si="67"/>
        <v>0.12202505944673123</v>
      </c>
      <c r="V215" s="40">
        <f t="shared" si="68"/>
        <v>0.11720362819159165</v>
      </c>
      <c r="W215" s="40">
        <f t="shared" si="69"/>
        <v>-3.9033611254341849E-2</v>
      </c>
      <c r="X215" s="40">
        <f t="shared" si="70"/>
        <v>0.39170559590259885</v>
      </c>
      <c r="Y215" s="40">
        <f t="shared" si="71"/>
        <v>-5.875959882808883E-2</v>
      </c>
      <c r="Z215" s="40">
        <f t="shared" si="72"/>
        <v>0.12195357381457922</v>
      </c>
      <c r="AA215" s="40">
        <f t="shared" si="73"/>
        <v>0.23385560020645185</v>
      </c>
      <c r="AB215" s="40">
        <f t="shared" si="74"/>
        <v>9.8765129900401413E-2</v>
      </c>
      <c r="AC215" s="78">
        <v>31.620000839233398</v>
      </c>
      <c r="AD215" s="40">
        <f t="shared" si="56"/>
        <v>0.33894207340145138</v>
      </c>
    </row>
    <row r="216" spans="2:30" ht="13.95" customHeight="1" x14ac:dyDescent="0.3">
      <c r="B216" s="77">
        <v>44620</v>
      </c>
      <c r="C216" s="107">
        <f t="shared" si="47"/>
        <v>1</v>
      </c>
      <c r="D216" s="107">
        <f t="shared" si="66"/>
        <v>1</v>
      </c>
      <c r="E216" s="106">
        <v>7.0129250504460749</v>
      </c>
      <c r="F216" s="106">
        <v>2.8650378624240371</v>
      </c>
      <c r="G216" s="106">
        <v>0.66445712184297956</v>
      </c>
      <c r="H216" s="106">
        <v>6.4355995142349824</v>
      </c>
      <c r="I216" s="106">
        <v>0.67048474347809595</v>
      </c>
      <c r="J216" s="106">
        <v>1.5343157244070429</v>
      </c>
      <c r="K216" s="106">
        <v>4.4368440397568181</v>
      </c>
      <c r="L216" s="106">
        <v>3.1467580540606281</v>
      </c>
      <c r="M216" s="40">
        <f t="shared" si="48"/>
        <v>0.18413148534714002</v>
      </c>
      <c r="N216" s="40">
        <f t="shared" si="49"/>
        <v>0.1655083382685196</v>
      </c>
      <c r="O216" s="40">
        <f t="shared" si="50"/>
        <v>-8.9579411481801405E-3</v>
      </c>
      <c r="P216" s="40">
        <f t="shared" si="51"/>
        <v>0.49458217338974964</v>
      </c>
      <c r="Q216" s="40">
        <f t="shared" si="52"/>
        <v>-8.1785213834364365E-2</v>
      </c>
      <c r="R216" s="40">
        <f t="shared" si="53"/>
        <v>0.55516513591690397</v>
      </c>
      <c r="S216" s="40">
        <f t="shared" si="54"/>
        <v>0.33877363525192072</v>
      </c>
      <c r="T216" s="40">
        <f t="shared" si="55"/>
        <v>0.155014888160283</v>
      </c>
      <c r="U216" s="40">
        <f t="shared" si="67"/>
        <v>0.11188864473741683</v>
      </c>
      <c r="V216" s="40">
        <f t="shared" si="68"/>
        <v>0.12515761105849993</v>
      </c>
      <c r="W216" s="40">
        <f t="shared" si="69"/>
        <v>-4.2209451687546896E-2</v>
      </c>
      <c r="X216" s="40">
        <f t="shared" si="70"/>
        <v>0.37571489057192853</v>
      </c>
      <c r="Y216" s="40">
        <f t="shared" si="71"/>
        <v>-6.0205323386156175E-2</v>
      </c>
      <c r="Z216" s="40">
        <f t="shared" si="72"/>
        <v>0.10640500290924161</v>
      </c>
      <c r="AA216" s="40">
        <f t="shared" si="73"/>
        <v>0.22560008458275946</v>
      </c>
      <c r="AB216" s="40">
        <f t="shared" si="74"/>
        <v>9.4651337230109461E-2</v>
      </c>
      <c r="AC216" s="78">
        <v>33.939998626708977</v>
      </c>
      <c r="AD216" s="40">
        <f t="shared" si="56"/>
        <v>0.33576530639332314</v>
      </c>
    </row>
    <row r="217" spans="2:30" ht="13.95" customHeight="1" x14ac:dyDescent="0.3">
      <c r="B217" s="77">
        <v>44651</v>
      </c>
      <c r="C217" s="107">
        <f t="shared" si="47"/>
        <v>1</v>
      </c>
      <c r="D217" s="107">
        <f t="shared" si="66"/>
        <v>1</v>
      </c>
      <c r="E217" s="106">
        <v>7.1530854925925018</v>
      </c>
      <c r="F217" s="106">
        <v>2.9370280291293982</v>
      </c>
      <c r="G217" s="106">
        <v>0.66160050750705324</v>
      </c>
      <c r="H217" s="106">
        <v>7.1409506746443299</v>
      </c>
      <c r="I217" s="106">
        <v>0.65599235545617618</v>
      </c>
      <c r="J217" s="106">
        <v>1.6899869146385971</v>
      </c>
      <c r="K217" s="106">
        <v>4.7495348167394429</v>
      </c>
      <c r="L217" s="106">
        <v>3.206453633479156</v>
      </c>
      <c r="M217" s="40">
        <f t="shared" si="48"/>
        <v>0.1900609323869053</v>
      </c>
      <c r="N217" s="40">
        <f t="shared" si="49"/>
        <v>0.1713895270329005</v>
      </c>
      <c r="O217" s="40">
        <f t="shared" si="50"/>
        <v>4.0919424897834138E-3</v>
      </c>
      <c r="P217" s="40">
        <f t="shared" si="51"/>
        <v>0.44126860077797653</v>
      </c>
      <c r="Q217" s="40">
        <f t="shared" si="52"/>
        <v>-8.0631528747333439E-2</v>
      </c>
      <c r="R217" s="40">
        <f t="shared" si="53"/>
        <v>0.61019052773637672</v>
      </c>
      <c r="S217" s="40">
        <f t="shared" si="54"/>
        <v>0.31880619747262395</v>
      </c>
      <c r="T217" s="40">
        <f t="shared" si="55"/>
        <v>0.16220941275623782</v>
      </c>
      <c r="U217" s="40">
        <f t="shared" si="67"/>
        <v>0.11075384528438328</v>
      </c>
      <c r="V217" s="40">
        <f t="shared" si="68"/>
        <v>0.12737741384125059</v>
      </c>
      <c r="W217" s="40">
        <f t="shared" si="69"/>
        <v>-4.695816580982317E-2</v>
      </c>
      <c r="X217" s="40">
        <f t="shared" si="70"/>
        <v>0.37766492691838544</v>
      </c>
      <c r="Y217" s="40">
        <f t="shared" si="71"/>
        <v>-7.0249107336919456E-2</v>
      </c>
      <c r="Z217" s="40">
        <f t="shared" si="72"/>
        <v>0.13525258209695587</v>
      </c>
      <c r="AA217" s="40">
        <f t="shared" si="73"/>
        <v>0.23088671312438441</v>
      </c>
      <c r="AB217" s="40">
        <f t="shared" si="74"/>
        <v>9.4150546802438964E-2</v>
      </c>
      <c r="AC217" s="78">
        <v>36.909999847412109</v>
      </c>
      <c r="AD217" s="40">
        <f t="shared" si="56"/>
        <v>0.44469666080680598</v>
      </c>
    </row>
    <row r="218" spans="2:30" ht="13.95" customHeight="1" x14ac:dyDescent="0.3">
      <c r="B218" s="77">
        <v>44681</v>
      </c>
      <c r="C218" s="107">
        <f t="shared" si="47"/>
        <v>1</v>
      </c>
      <c r="D218" s="107">
        <f t="shared" si="66"/>
        <v>1</v>
      </c>
      <c r="E218" s="106">
        <v>7.2279333092019256</v>
      </c>
      <c r="F218" s="106">
        <v>2.8491873118340378</v>
      </c>
      <c r="G218" s="106">
        <v>0.66695338476699395</v>
      </c>
      <c r="H218" s="106">
        <v>7.8754605060893388</v>
      </c>
      <c r="I218" s="106">
        <v>0.67192356252567509</v>
      </c>
      <c r="J218" s="106">
        <v>1.554511921766494</v>
      </c>
      <c r="K218" s="106">
        <v>5.0297842908067976</v>
      </c>
      <c r="L218" s="106">
        <v>3.196298327723317</v>
      </c>
      <c r="M218" s="40">
        <f t="shared" si="48"/>
        <v>0.19069192784946451</v>
      </c>
      <c r="N218" s="40">
        <f t="shared" si="49"/>
        <v>0.1074255438910624</v>
      </c>
      <c r="O218" s="40">
        <f t="shared" si="50"/>
        <v>-3.3685724233990452E-2</v>
      </c>
      <c r="P218" s="40">
        <f t="shared" si="51"/>
        <v>0.3774622445927982</v>
      </c>
      <c r="Q218" s="40">
        <f t="shared" si="52"/>
        <v>-9.8362068582464671E-2</v>
      </c>
      <c r="R218" s="40">
        <f t="shared" si="53"/>
        <v>0.4401714700721962</v>
      </c>
      <c r="S218" s="40">
        <f t="shared" si="54"/>
        <v>0.27736799502122778</v>
      </c>
      <c r="T218" s="40">
        <f t="shared" si="55"/>
        <v>0.13720401653077757</v>
      </c>
      <c r="U218" s="40">
        <f t="shared" si="67"/>
        <v>0.11048427594628447</v>
      </c>
      <c r="V218" s="40">
        <f t="shared" si="68"/>
        <v>0.1176553076378089</v>
      </c>
      <c r="W218" s="40">
        <f t="shared" si="69"/>
        <v>-4.8832109163820463E-2</v>
      </c>
      <c r="X218" s="40">
        <f t="shared" si="70"/>
        <v>0.4017847920413361</v>
      </c>
      <c r="Y218" s="40">
        <f t="shared" si="71"/>
        <v>-6.7906656333638946E-2</v>
      </c>
      <c r="Z218" s="40">
        <f t="shared" si="72"/>
        <v>0.10832300720153773</v>
      </c>
      <c r="AA218" s="40">
        <f t="shared" si="73"/>
        <v>0.24326094478992888</v>
      </c>
      <c r="AB218" s="40">
        <f t="shared" si="74"/>
        <v>9.0498415322135706E-2</v>
      </c>
      <c r="AC218" s="78">
        <v>38.599998474121087</v>
      </c>
      <c r="AD218" s="40">
        <f t="shared" si="56"/>
        <v>0.39631023770553619</v>
      </c>
    </row>
    <row r="219" spans="2:30" ht="13.95" customHeight="1" x14ac:dyDescent="0.3">
      <c r="B219" s="77">
        <v>44712</v>
      </c>
      <c r="C219" s="107">
        <f t="shared" si="47"/>
        <v>1</v>
      </c>
      <c r="D219" s="107">
        <f t="shared" si="66"/>
        <v>1</v>
      </c>
      <c r="E219" s="106">
        <v>7.5079672324839244</v>
      </c>
      <c r="F219" s="106">
        <v>2.8199252987243328</v>
      </c>
      <c r="G219" s="106">
        <v>0.69218165129786013</v>
      </c>
      <c r="H219" s="106">
        <v>8.1223173883827045</v>
      </c>
      <c r="I219" s="106">
        <v>0.69559072892189366</v>
      </c>
      <c r="J219" s="106">
        <v>1.637691842600677</v>
      </c>
      <c r="K219" s="106">
        <v>5.1701622008053949</v>
      </c>
      <c r="L219" s="106">
        <v>3.2690428391660591</v>
      </c>
      <c r="M219" s="40">
        <f t="shared" si="48"/>
        <v>0.21506348892443639</v>
      </c>
      <c r="N219" s="40">
        <f t="shared" si="49"/>
        <v>5.7367547012766702E-2</v>
      </c>
      <c r="O219" s="40">
        <f t="shared" si="50"/>
        <v>1.3497807041450987E-2</v>
      </c>
      <c r="P219" s="40">
        <f t="shared" si="51"/>
        <v>0.41264842723548428</v>
      </c>
      <c r="Q219" s="40">
        <f t="shared" si="52"/>
        <v>-5.101044838189539E-2</v>
      </c>
      <c r="R219" s="40">
        <f t="shared" si="53"/>
        <v>0.47660834339640501</v>
      </c>
      <c r="S219" s="40">
        <f t="shared" si="54"/>
        <v>0.2988427246075947</v>
      </c>
      <c r="T219" s="40">
        <f t="shared" si="55"/>
        <v>0.14062897703827457</v>
      </c>
      <c r="U219" s="40">
        <f t="shared" si="67"/>
        <v>0.11451202951977184</v>
      </c>
      <c r="V219" s="40">
        <f t="shared" si="68"/>
        <v>0.11965871948916347</v>
      </c>
      <c r="W219" s="40">
        <f t="shared" si="69"/>
        <v>-4.3170897248327164E-2</v>
      </c>
      <c r="X219" s="40">
        <f t="shared" si="70"/>
        <v>0.39612542738448181</v>
      </c>
      <c r="Y219" s="40">
        <f t="shared" si="71"/>
        <v>-6.262859016530406E-2</v>
      </c>
      <c r="Z219" s="40">
        <f t="shared" si="72"/>
        <v>0.11554098380775632</v>
      </c>
      <c r="AA219" s="40">
        <f t="shared" si="73"/>
        <v>0.24345196585148646</v>
      </c>
      <c r="AB219" s="40">
        <f t="shared" si="74"/>
        <v>9.3316902597734813E-2</v>
      </c>
      <c r="AC219" s="78">
        <v>39.459999084472663</v>
      </c>
      <c r="AD219" s="40">
        <f t="shared" si="56"/>
        <v>0.3880056027609301</v>
      </c>
    </row>
    <row r="220" spans="2:30" ht="13.95" customHeight="1" x14ac:dyDescent="0.3">
      <c r="B220" s="77">
        <v>44742</v>
      </c>
      <c r="C220" s="107">
        <f t="shared" si="47"/>
        <v>1</v>
      </c>
      <c r="D220" s="107">
        <f t="shared" si="66"/>
        <v>1</v>
      </c>
      <c r="E220" s="106">
        <v>7.5804875358645836</v>
      </c>
      <c r="F220" s="106">
        <v>2.7573724374829758</v>
      </c>
      <c r="G220" s="106">
        <v>0.70736283463875649</v>
      </c>
      <c r="H220" s="106">
        <v>8.4271605437806105</v>
      </c>
      <c r="I220" s="106">
        <v>0.70693783358434059</v>
      </c>
      <c r="J220" s="106">
        <v>1.7280944725830381</v>
      </c>
      <c r="K220" s="106">
        <v>5.2872741871893192</v>
      </c>
      <c r="L220" s="106">
        <v>3.272381583638297</v>
      </c>
      <c r="M220" s="40">
        <f t="shared" si="48"/>
        <v>0.20699140071102737</v>
      </c>
      <c r="N220" s="40">
        <f t="shared" si="49"/>
        <v>3.5088283332786865E-2</v>
      </c>
      <c r="O220" s="40">
        <f t="shared" si="50"/>
        <v>3.5804780466595694E-2</v>
      </c>
      <c r="P220" s="40">
        <f t="shared" si="51"/>
        <v>0.37318862459578628</v>
      </c>
      <c r="Q220" s="40">
        <f t="shared" si="52"/>
        <v>-3.171064980293592E-2</v>
      </c>
      <c r="R220" s="40">
        <f t="shared" si="53"/>
        <v>0.50721730811881771</v>
      </c>
      <c r="S220" s="40">
        <f t="shared" si="54"/>
        <v>0.27408729744743709</v>
      </c>
      <c r="T220" s="40">
        <f t="shared" si="55"/>
        <v>0.13195520575311712</v>
      </c>
      <c r="U220" s="40">
        <f t="shared" si="67"/>
        <v>0.11898088635343736</v>
      </c>
      <c r="V220" s="40">
        <f t="shared" si="68"/>
        <v>0.12060676394443802</v>
      </c>
      <c r="W220" s="40">
        <f t="shared" si="69"/>
        <v>-3.5929661682680379E-2</v>
      </c>
      <c r="X220" s="40">
        <f t="shared" si="70"/>
        <v>0.394758806688076</v>
      </c>
      <c r="Y220" s="40">
        <f t="shared" si="71"/>
        <v>-5.5772609628927335E-2</v>
      </c>
      <c r="Z220" s="40">
        <f t="shared" si="72"/>
        <v>0.12147079938551433</v>
      </c>
      <c r="AA220" s="40">
        <f t="shared" si="73"/>
        <v>0.24719777063232462</v>
      </c>
      <c r="AB220" s="40">
        <f t="shared" si="74"/>
        <v>9.661406129259488E-2</v>
      </c>
      <c r="AC220" s="78">
        <v>34.799999237060547</v>
      </c>
      <c r="AD220" s="40">
        <f t="shared" si="56"/>
        <v>0.24640036350568525</v>
      </c>
    </row>
    <row r="221" spans="2:30" ht="13.95" customHeight="1" x14ac:dyDescent="0.3">
      <c r="B221" s="77">
        <v>44773</v>
      </c>
      <c r="C221" s="107">
        <f t="shared" si="47"/>
        <v>1</v>
      </c>
      <c r="D221" s="107">
        <f t="shared" si="66"/>
        <v>1</v>
      </c>
      <c r="E221" s="106">
        <v>7.6403796808222513</v>
      </c>
      <c r="F221" s="106">
        <v>2.672870461979592</v>
      </c>
      <c r="G221" s="106">
        <v>0.72810734596220605</v>
      </c>
      <c r="H221" s="106">
        <v>8.2697840607373312</v>
      </c>
      <c r="I221" s="106">
        <v>0.72053743828854466</v>
      </c>
      <c r="J221" s="106">
        <v>1.8711806697555149</v>
      </c>
      <c r="K221" s="106">
        <v>5.2227315337350841</v>
      </c>
      <c r="L221" s="106">
        <v>3.2636114071312621</v>
      </c>
      <c r="M221" s="40">
        <f t="shared" si="48"/>
        <v>0.1914527521417915</v>
      </c>
      <c r="N221" s="40">
        <f t="shared" si="49"/>
        <v>-2.1506230214250577E-2</v>
      </c>
      <c r="O221" s="40">
        <f t="shared" si="50"/>
        <v>6.6784575676180097E-2</v>
      </c>
      <c r="P221" s="40">
        <f t="shared" si="51"/>
        <v>0.31156826312362629</v>
      </c>
      <c r="Q221" s="40">
        <f t="shared" si="52"/>
        <v>-5.488705992391367E-3</v>
      </c>
      <c r="R221" s="40">
        <f t="shared" si="53"/>
        <v>0.54227556845881497</v>
      </c>
      <c r="S221" s="40">
        <f t="shared" si="54"/>
        <v>0.22838371884471628</v>
      </c>
      <c r="T221" s="40">
        <f t="shared" si="55"/>
        <v>0.10829632558977867</v>
      </c>
      <c r="U221" s="40">
        <f t="shared" si="67"/>
        <v>0.11667816452010665</v>
      </c>
      <c r="V221" s="40">
        <f t="shared" si="68"/>
        <v>0.1137599236837671</v>
      </c>
      <c r="W221" s="40">
        <f t="shared" si="69"/>
        <v>-3.0293936084006552E-2</v>
      </c>
      <c r="X221" s="40">
        <f t="shared" si="70"/>
        <v>0.3762442337719854</v>
      </c>
      <c r="Y221" s="40">
        <f t="shared" si="71"/>
        <v>-5.1644988825313334E-2</v>
      </c>
      <c r="Z221" s="40">
        <f t="shared" si="72"/>
        <v>0.13135735899455994</v>
      </c>
      <c r="AA221" s="40">
        <f t="shared" si="73"/>
        <v>0.23722815094790076</v>
      </c>
      <c r="AB221" s="40">
        <f t="shared" si="74"/>
        <v>9.329356382686016E-2</v>
      </c>
      <c r="AC221" s="78">
        <v>36.220001220703118</v>
      </c>
      <c r="AD221" s="40">
        <f t="shared" si="56"/>
        <v>0.26313764521062138</v>
      </c>
    </row>
    <row r="222" spans="2:30" ht="13.95" customHeight="1" x14ac:dyDescent="0.3">
      <c r="B222" s="77">
        <v>44804</v>
      </c>
      <c r="C222" s="107">
        <f t="shared" si="47"/>
        <v>1</v>
      </c>
      <c r="D222" s="107">
        <f t="shared" si="66"/>
        <v>1</v>
      </c>
      <c r="E222" s="106">
        <v>7.9538405162357293</v>
      </c>
      <c r="F222" s="106">
        <v>2.544160582993122</v>
      </c>
      <c r="G222" s="106">
        <v>0.74751165721579549</v>
      </c>
      <c r="H222" s="106">
        <v>9.6223801704645062</v>
      </c>
      <c r="I222" s="106">
        <v>0.73562769851109189</v>
      </c>
      <c r="J222" s="106">
        <v>1.97728583461247</v>
      </c>
      <c r="K222" s="106">
        <v>5.7495544804204686</v>
      </c>
      <c r="L222" s="106">
        <v>3.298107116581003</v>
      </c>
      <c r="M222" s="40">
        <f t="shared" si="48"/>
        <v>0.20588204146476458</v>
      </c>
      <c r="N222" s="40">
        <f t="shared" si="49"/>
        <v>-6.7655545252368457E-2</v>
      </c>
      <c r="O222" s="40">
        <f t="shared" si="50"/>
        <v>9.8528834960389403E-2</v>
      </c>
      <c r="P222" s="40">
        <f t="shared" si="51"/>
        <v>0.41800388935940391</v>
      </c>
      <c r="Q222" s="40">
        <f t="shared" si="52"/>
        <v>2.6509958561898063E-2</v>
      </c>
      <c r="R222" s="40">
        <f t="shared" si="53"/>
        <v>0.55309112481087808</v>
      </c>
      <c r="S222" s="40">
        <f t="shared" si="54"/>
        <v>0.29301795202122821</v>
      </c>
      <c r="T222" s="40">
        <f t="shared" si="55"/>
        <v>0.10598296614961193</v>
      </c>
      <c r="U222" s="40">
        <f t="shared" si="67"/>
        <v>0.12053413002208881</v>
      </c>
      <c r="V222" s="40">
        <f t="shared" si="68"/>
        <v>9.8109018125287453E-2</v>
      </c>
      <c r="W222" s="40">
        <f t="shared" si="69"/>
        <v>-2.0916479356953708E-2</v>
      </c>
      <c r="X222" s="40">
        <f t="shared" si="70"/>
        <v>0.40274430987047005</v>
      </c>
      <c r="Y222" s="40">
        <f t="shared" si="71"/>
        <v>-4.5851729858893985E-2</v>
      </c>
      <c r="Z222" s="40">
        <f t="shared" si="72"/>
        <v>0.16782236782820895</v>
      </c>
      <c r="AA222" s="40">
        <f t="shared" si="73"/>
        <v>0.25429551726005412</v>
      </c>
      <c r="AB222" s="40">
        <f t="shared" si="74"/>
        <v>9.183063723283727E-2</v>
      </c>
      <c r="AC222" s="78">
        <v>36.159999847412109</v>
      </c>
      <c r="AD222" s="40">
        <f t="shared" si="56"/>
        <v>0.27013774475970659</v>
      </c>
    </row>
    <row r="223" spans="2:30" ht="13.95" customHeight="1" x14ac:dyDescent="0.3">
      <c r="B223" s="77">
        <v>44834</v>
      </c>
      <c r="C223" s="107">
        <f t="shared" si="47"/>
        <v>1</v>
      </c>
      <c r="D223" s="107">
        <f t="shared" si="66"/>
        <v>1</v>
      </c>
      <c r="E223" s="106">
        <v>8.0815871424316068</v>
      </c>
      <c r="F223" s="106">
        <v>2.5178132882923419</v>
      </c>
      <c r="G223" s="106">
        <v>0.77964528877226935</v>
      </c>
      <c r="H223" s="106">
        <v>9.0996235530555296</v>
      </c>
      <c r="I223" s="106">
        <v>0.764672036246134</v>
      </c>
      <c r="J223" s="106">
        <v>2.0964010136869011</v>
      </c>
      <c r="K223" s="106">
        <v>5.5875138508871256</v>
      </c>
      <c r="L223" s="106">
        <v>3.3343668564025721</v>
      </c>
      <c r="M223" s="40">
        <f t="shared" si="48"/>
        <v>0.21639757684623787</v>
      </c>
      <c r="N223" s="40">
        <f t="shared" si="49"/>
        <v>-0.10160475893424872</v>
      </c>
      <c r="O223" s="40">
        <f t="shared" si="50"/>
        <v>0.13197729527816918</v>
      </c>
      <c r="P223" s="40">
        <f t="shared" si="51"/>
        <v>0.35405864018351169</v>
      </c>
      <c r="Q223" s="40">
        <f t="shared" si="52"/>
        <v>6.6514597697861194E-2</v>
      </c>
      <c r="R223" s="40">
        <f t="shared" si="53"/>
        <v>0.52507032036558654</v>
      </c>
      <c r="S223" s="40">
        <f t="shared" si="54"/>
        <v>0.25486321032169146</v>
      </c>
      <c r="T223" s="40">
        <f t="shared" si="55"/>
        <v>0.10532113659002042</v>
      </c>
      <c r="U223" s="40">
        <f t="shared" si="67"/>
        <v>0.12190591000731305</v>
      </c>
      <c r="V223" s="40">
        <f t="shared" si="68"/>
        <v>9.1939380276530605E-2</v>
      </c>
      <c r="W223" s="40">
        <f t="shared" si="69"/>
        <v>-1.2304080127446826E-2</v>
      </c>
      <c r="X223" s="40">
        <f t="shared" si="70"/>
        <v>0.37931040325756948</v>
      </c>
      <c r="Y223" s="40">
        <f t="shared" si="71"/>
        <v>-3.7180568489041256E-2</v>
      </c>
      <c r="Z223" s="40">
        <f t="shared" si="72"/>
        <v>0.17214405040042829</v>
      </c>
      <c r="AA223" s="40">
        <f t="shared" si="73"/>
        <v>0.24174680833148368</v>
      </c>
      <c r="AB223" s="40">
        <f t="shared" si="74"/>
        <v>9.1862350061199027E-2</v>
      </c>
      <c r="AC223" s="78">
        <v>32.909999847412109</v>
      </c>
      <c r="AD223" s="40">
        <f t="shared" si="56"/>
        <v>0.11789698464086246</v>
      </c>
    </row>
    <row r="224" spans="2:30" ht="13.95" customHeight="1" x14ac:dyDescent="0.3">
      <c r="B224" s="77">
        <v>44865</v>
      </c>
      <c r="C224" s="107">
        <f t="shared" si="47"/>
        <v>1</v>
      </c>
      <c r="D224" s="107">
        <f t="shared" si="66"/>
        <v>1</v>
      </c>
      <c r="E224" s="106">
        <v>8.1389776187408334</v>
      </c>
      <c r="F224" s="106">
        <v>2.5686861172530082</v>
      </c>
      <c r="G224" s="106">
        <v>0.79028220406929095</v>
      </c>
      <c r="H224" s="106">
        <v>8.8898961530550125</v>
      </c>
      <c r="I224" s="106">
        <v>0.76578036435336738</v>
      </c>
      <c r="J224" s="106">
        <v>2.2562266182481459</v>
      </c>
      <c r="K224" s="106">
        <v>5.5381513773925866</v>
      </c>
      <c r="L224" s="106">
        <v>3.374371608767945</v>
      </c>
      <c r="M224" s="40">
        <f t="shared" si="48"/>
        <v>0.22006585596257522</v>
      </c>
      <c r="N224" s="40">
        <f t="shared" si="49"/>
        <v>-0.10456504395831653</v>
      </c>
      <c r="O224" s="40">
        <f t="shared" si="50"/>
        <v>0.13953952067721156</v>
      </c>
      <c r="P224" s="40">
        <f t="shared" si="51"/>
        <v>0.35908430539074149</v>
      </c>
      <c r="Q224" s="40">
        <f t="shared" si="52"/>
        <v>7.2404752947136553E-2</v>
      </c>
      <c r="R224" s="40">
        <f t="shared" si="53"/>
        <v>0.51621527876922901</v>
      </c>
      <c r="S224" s="40">
        <f t="shared" si="54"/>
        <v>0.25837115865562565</v>
      </c>
      <c r="T224" s="40">
        <f t="shared" si="55"/>
        <v>0.1072327196086701</v>
      </c>
      <c r="U224" s="40">
        <f t="shared" si="67"/>
        <v>0.12365766029146648</v>
      </c>
      <c r="V224" s="40">
        <f t="shared" si="68"/>
        <v>0.10878929979417119</v>
      </c>
      <c r="W224" s="40">
        <f t="shared" si="69"/>
        <v>-5.2746065006106608E-3</v>
      </c>
      <c r="X224" s="40">
        <f t="shared" si="70"/>
        <v>0.35606914305839305</v>
      </c>
      <c r="Y224" s="40">
        <f t="shared" si="71"/>
        <v>-3.3946404817664234E-2</v>
      </c>
      <c r="Z224" s="40">
        <f t="shared" si="72"/>
        <v>0.20126907561285917</v>
      </c>
      <c r="AA224" s="40">
        <f t="shared" si="73"/>
        <v>0.23413349567501862</v>
      </c>
      <c r="AB224" s="40">
        <f t="shared" si="74"/>
        <v>9.7890269750751283E-2</v>
      </c>
      <c r="AC224" s="78">
        <v>33.520000457763672</v>
      </c>
      <c r="AD224" s="40">
        <f t="shared" si="56"/>
        <v>0.1033074956216448</v>
      </c>
    </row>
    <row r="225" spans="2:30" ht="13.95" customHeight="1" x14ac:dyDescent="0.3">
      <c r="B225" s="77">
        <v>44895</v>
      </c>
      <c r="C225" s="107">
        <f t="shared" si="47"/>
        <v>1</v>
      </c>
      <c r="D225" s="107">
        <f t="shared" si="66"/>
        <v>1</v>
      </c>
      <c r="E225" s="106">
        <v>8.1303717129999615</v>
      </c>
      <c r="F225" s="106">
        <v>2.6318353674834891</v>
      </c>
      <c r="G225" s="106">
        <v>0.78352385193051766</v>
      </c>
      <c r="H225" s="106">
        <v>9.0854050298891504</v>
      </c>
      <c r="I225" s="106">
        <v>0.76584998048232678</v>
      </c>
      <c r="J225" s="106">
        <v>2.1434371338506391</v>
      </c>
      <c r="K225" s="106">
        <v>5.6236851301090152</v>
      </c>
      <c r="L225" s="106">
        <v>3.3952496586659739</v>
      </c>
      <c r="M225" s="40">
        <f t="shared" si="48"/>
        <v>0.20127718983569481</v>
      </c>
      <c r="N225" s="40">
        <f t="shared" si="49"/>
        <v>-6.7438672090691223E-2</v>
      </c>
      <c r="O225" s="40">
        <f t="shared" si="50"/>
        <v>0.1728032285174308</v>
      </c>
      <c r="P225" s="40">
        <f t="shared" si="51"/>
        <v>0.38611706323869016</v>
      </c>
      <c r="Q225" s="40">
        <f t="shared" si="52"/>
        <v>0.15559060788156948</v>
      </c>
      <c r="R225" s="40">
        <f t="shared" si="53"/>
        <v>0.25832225416645532</v>
      </c>
      <c r="S225" s="40">
        <f t="shared" si="54"/>
        <v>0.2764100936178277</v>
      </c>
      <c r="T225" s="40">
        <f t="shared" si="55"/>
        <v>0.11249072226214016</v>
      </c>
      <c r="U225" s="40">
        <f t="shared" si="67"/>
        <v>0.11753480177754755</v>
      </c>
      <c r="V225" s="40">
        <f t="shared" si="68"/>
        <v>0.11278174204172843</v>
      </c>
      <c r="W225" s="40">
        <f t="shared" si="69"/>
        <v>-7.1036738090620383E-3</v>
      </c>
      <c r="X225" s="40">
        <f t="shared" si="70"/>
        <v>0.3633344209370129</v>
      </c>
      <c r="Y225" s="40">
        <f t="shared" si="71"/>
        <v>-3.2530984416204868E-2</v>
      </c>
      <c r="Z225" s="40">
        <f t="shared" si="72"/>
        <v>0.17908563130357116</v>
      </c>
      <c r="AA225" s="40">
        <f t="shared" si="73"/>
        <v>0.23634367369163753</v>
      </c>
      <c r="AB225" s="40">
        <f t="shared" si="74"/>
        <v>9.530941173053914E-2</v>
      </c>
      <c r="AC225" s="78">
        <v>34.860000610351563</v>
      </c>
      <c r="AD225" s="40">
        <f t="shared" si="56"/>
        <v>0.23316200955228511</v>
      </c>
    </row>
    <row r="226" spans="2:30" ht="13.95" customHeight="1" x14ac:dyDescent="0.3">
      <c r="B226" s="77">
        <v>44926</v>
      </c>
      <c r="C226" s="107">
        <f t="shared" si="47"/>
        <v>1</v>
      </c>
      <c r="D226" s="107">
        <f t="shared" si="66"/>
        <v>1</v>
      </c>
      <c r="E226" s="106">
        <v>8.2715442583933285</v>
      </c>
      <c r="F226" s="106">
        <v>2.6379234757963448</v>
      </c>
      <c r="G226" s="106">
        <v>0.78623088787429396</v>
      </c>
      <c r="H226" s="106">
        <v>8.5613582233490657</v>
      </c>
      <c r="I226" s="106">
        <v>0.76015033628395834</v>
      </c>
      <c r="J226" s="106">
        <v>2.2672610757610641</v>
      </c>
      <c r="K226" s="106">
        <v>5.4620781438911914</v>
      </c>
      <c r="L226" s="106">
        <v>3.4322230324651568</v>
      </c>
      <c r="M226" s="40">
        <f t="shared" si="48"/>
        <v>0.20982273609754495</v>
      </c>
      <c r="N226" s="40">
        <f t="shared" si="49"/>
        <v>-8.9388169996804615E-2</v>
      </c>
      <c r="O226" s="40">
        <f t="shared" si="50"/>
        <v>0.16680028279797549</v>
      </c>
      <c r="P226" s="40">
        <f t="shared" si="51"/>
        <v>0.3034484398941813</v>
      </c>
      <c r="Q226" s="40">
        <f t="shared" si="52"/>
        <v>0.1366168435587565</v>
      </c>
      <c r="R226" s="40">
        <f t="shared" si="53"/>
        <v>0.31601046456842108</v>
      </c>
      <c r="S226" s="40">
        <f t="shared" si="54"/>
        <v>0.22785557678302845</v>
      </c>
      <c r="T226" s="40">
        <f t="shared" si="55"/>
        <v>0.1093799892680533</v>
      </c>
      <c r="U226" s="40">
        <f t="shared" si="67"/>
        <v>0.11514888453260765</v>
      </c>
      <c r="V226" s="40">
        <f t="shared" si="68"/>
        <v>0.12530432985755288</v>
      </c>
      <c r="W226" s="40">
        <f t="shared" si="69"/>
        <v>-9.3851535297544524E-3</v>
      </c>
      <c r="X226" s="40">
        <f t="shared" si="70"/>
        <v>0.34963710932784486</v>
      </c>
      <c r="Y226" s="40">
        <f t="shared" si="71"/>
        <v>-3.6172010294473499E-2</v>
      </c>
      <c r="Z226" s="40">
        <f t="shared" si="72"/>
        <v>0.17787634946458286</v>
      </c>
      <c r="AA226" s="40">
        <f t="shared" si="73"/>
        <v>0.22810028566691165</v>
      </c>
      <c r="AB226" s="40">
        <f t="shared" si="74"/>
        <v>9.5569527489116374E-2</v>
      </c>
      <c r="AC226" s="78">
        <v>33.709999084472663</v>
      </c>
      <c r="AD226" s="40">
        <f t="shared" si="56"/>
        <v>0.16089735273821348</v>
      </c>
    </row>
    <row r="227" spans="2:30" ht="13.95" customHeight="1" x14ac:dyDescent="0.3">
      <c r="B227" s="77">
        <v>44957</v>
      </c>
      <c r="C227" s="107">
        <f t="shared" si="47"/>
        <v>1</v>
      </c>
      <c r="D227" s="107">
        <f t="shared" si="66"/>
        <v>1</v>
      </c>
      <c r="E227" s="106">
        <v>8.3412517266026516</v>
      </c>
      <c r="F227" s="106">
        <v>2.646120417591272</v>
      </c>
      <c r="G227" s="106">
        <v>0.79333005141472168</v>
      </c>
      <c r="H227" s="106">
        <v>8.4609410611313436</v>
      </c>
      <c r="I227" s="106">
        <v>0.75904386846764149</v>
      </c>
      <c r="J227" s="106">
        <v>2.3952379145868781</v>
      </c>
      <c r="K227" s="106">
        <v>5.4435989977435542</v>
      </c>
      <c r="L227" s="106">
        <v>3.4552549316784158</v>
      </c>
      <c r="M227" s="40">
        <f t="shared" si="48"/>
        <v>0.19061223469661362</v>
      </c>
      <c r="N227" s="40">
        <f t="shared" si="49"/>
        <v>-5.4313312965659839E-2</v>
      </c>
      <c r="O227" s="40">
        <f t="shared" si="50"/>
        <v>0.16525093027196971</v>
      </c>
      <c r="P227" s="40">
        <f t="shared" si="51"/>
        <v>0.28794917172963852</v>
      </c>
      <c r="Q227" s="40">
        <f t="shared" si="52"/>
        <v>0.1163806121400329</v>
      </c>
      <c r="R227" s="40">
        <f t="shared" si="53"/>
        <v>0.40742682793455193</v>
      </c>
      <c r="S227" s="40">
        <f t="shared" si="54"/>
        <v>0.21969553791337537</v>
      </c>
      <c r="T227" s="40">
        <f t="shared" si="55"/>
        <v>0.10987695381048115</v>
      </c>
      <c r="U227" s="40">
        <f t="shared" si="67"/>
        <v>0.1134770300131441</v>
      </c>
      <c r="V227" s="40">
        <f t="shared" si="68"/>
        <v>9.8375509044516626E-2</v>
      </c>
      <c r="W227" s="40">
        <f t="shared" si="69"/>
        <v>1.0799413034377222E-2</v>
      </c>
      <c r="X227" s="40">
        <f t="shared" si="70"/>
        <v>0.3503139287073419</v>
      </c>
      <c r="Y227" s="40">
        <f t="shared" si="71"/>
        <v>-3.3993827471618311E-2</v>
      </c>
      <c r="Z227" s="40">
        <f t="shared" si="72"/>
        <v>0.4025549712829018</v>
      </c>
      <c r="AA227" s="40">
        <f t="shared" si="73"/>
        <v>0.22561759090896949</v>
      </c>
      <c r="AB227" s="40">
        <f t="shared" si="74"/>
        <v>9.2098660518166175E-2</v>
      </c>
      <c r="AC227" s="78">
        <v>33.509998321533203</v>
      </c>
      <c r="AD227" s="40">
        <f t="shared" si="56"/>
        <v>5.8053993338136718E-2</v>
      </c>
    </row>
    <row r="228" spans="2:30" ht="13.95" customHeight="1" x14ac:dyDescent="0.3">
      <c r="B228" s="77">
        <v>44985</v>
      </c>
      <c r="C228" s="107">
        <f t="shared" si="47"/>
        <v>1</v>
      </c>
      <c r="D228" s="107">
        <f t="shared" si="66"/>
        <v>1</v>
      </c>
      <c r="E228" s="106">
        <v>8.3966183067376221</v>
      </c>
      <c r="F228" s="106">
        <v>2.6105697760292692</v>
      </c>
      <c r="G228" s="106">
        <v>0.80159128572497373</v>
      </c>
      <c r="H228" s="106">
        <v>8.3768189789880303</v>
      </c>
      <c r="I228" s="106">
        <v>0.76358979867783461</v>
      </c>
      <c r="J228" s="106">
        <v>2.4676551003437361</v>
      </c>
      <c r="K228" s="106">
        <v>5.4150711110371139</v>
      </c>
      <c r="L228" s="106">
        <v>3.4564792387481629</v>
      </c>
      <c r="M228" s="40">
        <f t="shared" si="48"/>
        <v>0.18007415999368168</v>
      </c>
      <c r="N228" s="40">
        <f t="shared" si="49"/>
        <v>-9.3013063083559194E-2</v>
      </c>
      <c r="O228" s="40">
        <f t="shared" si="50"/>
        <v>0.18762851004669498</v>
      </c>
      <c r="P228" s="40">
        <f t="shared" si="51"/>
        <v>0.26362324433560658</v>
      </c>
      <c r="Q228" s="40">
        <f t="shared" si="52"/>
        <v>0.13002978373672086</v>
      </c>
      <c r="R228" s="40">
        <f t="shared" si="53"/>
        <v>0.47518384812871362</v>
      </c>
      <c r="S228" s="40">
        <f t="shared" si="54"/>
        <v>0.19924269075073195</v>
      </c>
      <c r="T228" s="40">
        <f t="shared" si="55"/>
        <v>9.3877776275880537E-2</v>
      </c>
      <c r="U228" s="40">
        <f t="shared" si="67"/>
        <v>0.11601858096580175</v>
      </c>
      <c r="V228" s="40">
        <f t="shared" si="68"/>
        <v>9.7338702709996866E-2</v>
      </c>
      <c r="W228" s="40">
        <f t="shared" si="69"/>
        <v>7.6248476511378005E-3</v>
      </c>
      <c r="X228" s="40">
        <f t="shared" si="70"/>
        <v>0.33153347377671338</v>
      </c>
      <c r="Y228" s="40">
        <f t="shared" si="71"/>
        <v>-3.6380066980797113E-2</v>
      </c>
      <c r="Z228" s="40">
        <f t="shared" si="72"/>
        <v>0.37014696896563676</v>
      </c>
      <c r="AA228" s="40">
        <f t="shared" si="73"/>
        <v>0.21763784888397458</v>
      </c>
      <c r="AB228" s="40">
        <f t="shared" si="74"/>
        <v>9.2380266722659199E-2</v>
      </c>
      <c r="AC228" s="78">
        <v>31.60000038146973</v>
      </c>
      <c r="AD228" s="40">
        <f t="shared" si="56"/>
        <v>-7.1437086679069658E-2</v>
      </c>
    </row>
    <row r="229" spans="2:30" ht="13.95" customHeight="1" x14ac:dyDescent="0.3">
      <c r="B229" s="77">
        <v>45016</v>
      </c>
      <c r="C229" s="107">
        <f t="shared" si="47"/>
        <v>1</v>
      </c>
      <c r="D229" s="107">
        <f t="shared" si="66"/>
        <v>1</v>
      </c>
      <c r="E229" s="106">
        <v>8.4789946594560579</v>
      </c>
      <c r="F229" s="106">
        <v>2.6491622450966918</v>
      </c>
      <c r="G229" s="106">
        <v>0.81957570907223365</v>
      </c>
      <c r="H229" s="106">
        <v>8.4107538908295112</v>
      </c>
      <c r="I229" s="106">
        <v>0.76889434655531685</v>
      </c>
      <c r="J229" s="106">
        <v>2.690929212259749</v>
      </c>
      <c r="K229" s="106">
        <v>5.4588597878454532</v>
      </c>
      <c r="L229" s="106">
        <v>3.5009251053003272</v>
      </c>
      <c r="M229" s="40">
        <f t="shared" si="48"/>
        <v>0.17004808742032176</v>
      </c>
      <c r="N229" s="40">
        <f t="shared" si="49"/>
        <v>-0.10315473953515641</v>
      </c>
      <c r="O229" s="40">
        <f t="shared" si="50"/>
        <v>0.21412486758591096</v>
      </c>
      <c r="P229" s="40">
        <f t="shared" si="51"/>
        <v>0.16366519696120269</v>
      </c>
      <c r="Q229" s="40">
        <f t="shared" si="52"/>
        <v>0.1588044337632161</v>
      </c>
      <c r="R229" s="40">
        <f t="shared" si="53"/>
        <v>0.46516577994504016</v>
      </c>
      <c r="S229" s="40">
        <f t="shared" si="54"/>
        <v>0.13919325795108686</v>
      </c>
      <c r="T229" s="40">
        <f t="shared" si="55"/>
        <v>8.7861710033515464E-2</v>
      </c>
      <c r="U229" s="40">
        <f t="shared" si="67"/>
        <v>0.1122421911242793</v>
      </c>
      <c r="V229" s="40">
        <f t="shared" si="68"/>
        <v>8.7550010185772881E-2</v>
      </c>
      <c r="W229" s="40">
        <f t="shared" si="69"/>
        <v>1.0686319748945376E-2</v>
      </c>
      <c r="X229" s="40">
        <f t="shared" si="70"/>
        <v>0.32058041082660926</v>
      </c>
      <c r="Y229" s="40">
        <f t="shared" si="71"/>
        <v>-3.7318809185972683E-2</v>
      </c>
      <c r="Z229" s="40">
        <f t="shared" si="72"/>
        <v>0.39245999402220261</v>
      </c>
      <c r="AA229" s="40">
        <f t="shared" si="73"/>
        <v>0.21040815062072224</v>
      </c>
      <c r="AB229" s="40">
        <f t="shared" si="74"/>
        <v>8.838692539777844E-2</v>
      </c>
      <c r="AC229" s="78">
        <v>31.590000152587891</v>
      </c>
      <c r="AD229" s="40">
        <f t="shared" si="56"/>
        <v>-0.1556418932636012</v>
      </c>
    </row>
    <row r="230" spans="2:30" ht="13.95" customHeight="1" x14ac:dyDescent="0.3">
      <c r="B230" s="77">
        <v>45046</v>
      </c>
      <c r="C230" s="107">
        <f t="shared" si="47"/>
        <v>1</v>
      </c>
      <c r="D230" s="107">
        <f t="shared" si="66"/>
        <v>1</v>
      </c>
      <c r="E230" s="106">
        <v>8.5543043182080716</v>
      </c>
      <c r="F230" s="106">
        <v>2.65456829777805</v>
      </c>
      <c r="G230" s="106">
        <v>0.8153169189867594</v>
      </c>
      <c r="H230" s="106">
        <v>8.4722124758142492</v>
      </c>
      <c r="I230" s="106">
        <v>0.76349215433894391</v>
      </c>
      <c r="J230" s="106">
        <v>2.6964867322092259</v>
      </c>
      <c r="K230" s="106">
        <v>5.4930287622381506</v>
      </c>
      <c r="L230" s="106">
        <v>3.5185372877151191</v>
      </c>
      <c r="M230" s="40">
        <f t="shared" si="48"/>
        <v>0.16848143934267609</v>
      </c>
      <c r="N230" s="40">
        <f t="shared" si="49"/>
        <v>-7.075175810786978E-2</v>
      </c>
      <c r="O230" s="40">
        <f t="shared" si="50"/>
        <v>0.20085673973999138</v>
      </c>
      <c r="P230" s="40">
        <f t="shared" si="51"/>
        <v>7.3040027789233325E-2</v>
      </c>
      <c r="Q230" s="40">
        <f t="shared" si="52"/>
        <v>0.12775826087895012</v>
      </c>
      <c r="R230" s="40">
        <f t="shared" si="53"/>
        <v>0.55078809572408549</v>
      </c>
      <c r="S230" s="40">
        <f t="shared" si="54"/>
        <v>8.8102691848198217E-2</v>
      </c>
      <c r="T230" s="40">
        <f t="shared" si="55"/>
        <v>9.6051992343835255E-2</v>
      </c>
      <c r="U230" s="40">
        <f t="shared" si="67"/>
        <v>0.10648386081956623</v>
      </c>
      <c r="V230" s="40">
        <f t="shared" si="68"/>
        <v>8.1813545811985577E-2</v>
      </c>
      <c r="W230" s="40">
        <f t="shared" si="69"/>
        <v>1.0323123049387865E-2</v>
      </c>
      <c r="X230" s="40">
        <f t="shared" si="70"/>
        <v>0.32251334093438905</v>
      </c>
      <c r="Y230" s="40">
        <f t="shared" si="71"/>
        <v>-3.7447529958585385E-2</v>
      </c>
      <c r="Z230" s="40">
        <f t="shared" si="72"/>
        <v>0.38224666948071084</v>
      </c>
      <c r="AA230" s="40">
        <f t="shared" si="73"/>
        <v>0.20844506062816612</v>
      </c>
      <c r="AB230" s="40">
        <f t="shared" si="74"/>
        <v>8.3377893710242706E-2</v>
      </c>
      <c r="AC230" s="78">
        <v>31.29000091552734</v>
      </c>
      <c r="AD230" s="40">
        <f t="shared" si="56"/>
        <v>-0.20995365000002938</v>
      </c>
    </row>
    <row r="231" spans="2:30" ht="13.95" customHeight="1" x14ac:dyDescent="0.3">
      <c r="B231" s="77">
        <v>45077</v>
      </c>
      <c r="C231" s="107">
        <f t="shared" si="47"/>
        <v>1</v>
      </c>
      <c r="D231" s="107">
        <f t="shared" si="66"/>
        <v>1</v>
      </c>
      <c r="E231" s="106">
        <v>8.6118045237751257</v>
      </c>
      <c r="F231" s="106">
        <v>2.6956704686863908</v>
      </c>
      <c r="G231" s="106">
        <v>0.86045187792656597</v>
      </c>
      <c r="H231" s="106">
        <v>8.3206540790421748</v>
      </c>
      <c r="I231" s="106">
        <v>0.80080106511008264</v>
      </c>
      <c r="J231" s="106">
        <v>2.9179019921037468</v>
      </c>
      <c r="K231" s="106">
        <v>5.4788881161409284</v>
      </c>
      <c r="L231" s="106">
        <v>3.5715578321873962</v>
      </c>
      <c r="M231" s="40">
        <f t="shared" si="48"/>
        <v>0.13716912675481971</v>
      </c>
      <c r="N231" s="40">
        <f t="shared" si="49"/>
        <v>-4.506343892142483E-2</v>
      </c>
      <c r="O231" s="40">
        <f t="shared" si="50"/>
        <v>0.21760926765647684</v>
      </c>
      <c r="P231" s="40">
        <f t="shared" si="51"/>
        <v>2.4125360897773979E-2</v>
      </c>
      <c r="Q231" s="40">
        <f t="shared" si="52"/>
        <v>0.14085110384075603</v>
      </c>
      <c r="R231" s="40">
        <f t="shared" si="53"/>
        <v>0.57757702473171812</v>
      </c>
      <c r="S231" s="40">
        <f t="shared" si="54"/>
        <v>5.7998120367279873E-2</v>
      </c>
      <c r="T231" s="40">
        <f t="shared" si="55"/>
        <v>8.8504635844251237E-2</v>
      </c>
      <c r="U231" s="40">
        <f t="shared" si="67"/>
        <v>0.10221264882257933</v>
      </c>
      <c r="V231" s="40">
        <f t="shared" si="68"/>
        <v>7.958879199015334E-2</v>
      </c>
      <c r="W231" s="40">
        <f t="shared" si="69"/>
        <v>2.549782946900581E-2</v>
      </c>
      <c r="X231" s="40">
        <f t="shared" si="70"/>
        <v>0.31923527327111745</v>
      </c>
      <c r="Y231" s="40">
        <f t="shared" si="71"/>
        <v>-2.1546105813672223E-2</v>
      </c>
      <c r="Z231" s="40">
        <f t="shared" si="72"/>
        <v>0.36925814037468019</v>
      </c>
      <c r="AA231" s="40">
        <f t="shared" si="73"/>
        <v>0.20552590664480752</v>
      </c>
      <c r="AB231" s="40">
        <f t="shared" si="74"/>
        <v>8.2260287206048374E-2</v>
      </c>
      <c r="AC231" s="78">
        <v>29.260000228881839</v>
      </c>
      <c r="AD231" s="40">
        <f t="shared" si="56"/>
        <v>-0.29906607397874252</v>
      </c>
    </row>
    <row r="232" spans="2:30" ht="13.95" customHeight="1" x14ac:dyDescent="0.3">
      <c r="B232" s="77">
        <v>45107</v>
      </c>
      <c r="C232" s="107">
        <f t="shared" si="47"/>
        <v>1</v>
      </c>
      <c r="D232" s="107">
        <f t="shared" si="66"/>
        <v>1</v>
      </c>
      <c r="E232" s="106">
        <v>8.8664239774002986</v>
      </c>
      <c r="F232" s="106">
        <v>2.540342638290384</v>
      </c>
      <c r="G232" s="106">
        <v>0.8701122940220789</v>
      </c>
      <c r="H232" s="106">
        <v>8.4530644609684451</v>
      </c>
      <c r="I232" s="106">
        <v>0.82274488972918791</v>
      </c>
      <c r="J232" s="106">
        <v>2.7628445786595188</v>
      </c>
      <c r="K232" s="106">
        <v>5.5202018077008894</v>
      </c>
      <c r="L232" s="106">
        <v>3.5651784140496341</v>
      </c>
      <c r="M232" s="40">
        <f t="shared" si="48"/>
        <v>0.15669403947349606</v>
      </c>
      <c r="N232" s="40">
        <f t="shared" si="49"/>
        <v>-8.197924197246842E-2</v>
      </c>
      <c r="O232" s="40">
        <f t="shared" si="50"/>
        <v>0.2070785394885232</v>
      </c>
      <c r="P232" s="40">
        <f t="shared" si="51"/>
        <v>3.0691459994612838E-3</v>
      </c>
      <c r="Q232" s="40">
        <f t="shared" si="52"/>
        <v>0.15170344443289918</v>
      </c>
      <c r="R232" s="40">
        <f t="shared" si="53"/>
        <v>0.46924145290044794</v>
      </c>
      <c r="S232" s="40">
        <f t="shared" si="54"/>
        <v>4.3111582440949293E-2</v>
      </c>
      <c r="T232" s="40">
        <f t="shared" si="55"/>
        <v>8.5696065773566685E-2</v>
      </c>
      <c r="U232" s="40">
        <f t="shared" si="67"/>
        <v>0.10960964537729209</v>
      </c>
      <c r="V232" s="40">
        <f t="shared" si="68"/>
        <v>6.3416559458492713E-2</v>
      </c>
      <c r="W232" s="40">
        <f t="shared" si="69"/>
        <v>2.6415903108986519E-2</v>
      </c>
      <c r="X232" s="40">
        <f t="shared" si="70"/>
        <v>0.3337897525927111</v>
      </c>
      <c r="Y232" s="40">
        <f t="shared" si="71"/>
        <v>-1.412216478694925E-2</v>
      </c>
      <c r="Z232" s="40">
        <f t="shared" si="72"/>
        <v>0.3204613807989149</v>
      </c>
      <c r="AA232" s="40">
        <f t="shared" si="73"/>
        <v>0.21151295697507308</v>
      </c>
      <c r="AB232" s="40">
        <f t="shared" si="74"/>
        <v>8.1348342398713663E-2</v>
      </c>
      <c r="AC232" s="78">
        <v>30.569999694824219</v>
      </c>
      <c r="AD232" s="40">
        <f t="shared" si="56"/>
        <v>-0.12959823893698963</v>
      </c>
    </row>
    <row r="233" spans="2:30" ht="13.95" customHeight="1" x14ac:dyDescent="0.3">
      <c r="B233" s="77">
        <v>45138</v>
      </c>
      <c r="C233" s="107">
        <f t="shared" si="47"/>
        <v>1</v>
      </c>
      <c r="D233" s="107">
        <f t="shared" si="66"/>
        <v>1</v>
      </c>
      <c r="E233" s="106">
        <v>8.9750828041713024</v>
      </c>
      <c r="F233" s="106">
        <v>2.6090645701696902</v>
      </c>
      <c r="G233" s="106">
        <v>0.89063346587082992</v>
      </c>
      <c r="H233" s="106">
        <v>8.1133791241459825</v>
      </c>
      <c r="I233" s="106">
        <v>0.83736522317437556</v>
      </c>
      <c r="J233" s="106">
        <v>2.897256298343716</v>
      </c>
      <c r="K233" s="106">
        <v>5.4506955765455398</v>
      </c>
      <c r="L233" s="106">
        <v>3.6302861692332851</v>
      </c>
      <c r="M233" s="40">
        <f t="shared" si="48"/>
        <v>0.16100486203698758</v>
      </c>
      <c r="N233" s="40">
        <f t="shared" si="49"/>
        <v>-2.4161219461933739E-2</v>
      </c>
      <c r="O233" s="40">
        <f t="shared" si="50"/>
        <v>0.20148447837970215</v>
      </c>
      <c r="P233" s="40">
        <f t="shared" si="51"/>
        <v>-1.9093954766662442E-2</v>
      </c>
      <c r="Q233" s="40">
        <f t="shared" si="52"/>
        <v>0.15026294756780928</v>
      </c>
      <c r="R233" s="40">
        <f t="shared" si="53"/>
        <v>0.43719457929965128</v>
      </c>
      <c r="S233" s="40">
        <f t="shared" si="54"/>
        <v>4.2722681900428168E-2</v>
      </c>
      <c r="T233" s="40">
        <f t="shared" si="55"/>
        <v>0.106477103842389</v>
      </c>
      <c r="U233" s="40">
        <f t="shared" si="67"/>
        <v>0.11351672793841164</v>
      </c>
      <c r="V233" s="40">
        <f t="shared" si="68"/>
        <v>7.8408543973789491E-2</v>
      </c>
      <c r="W233" s="40">
        <f t="shared" si="69"/>
        <v>3.0400674585699849E-2</v>
      </c>
      <c r="X233" s="40">
        <f t="shared" si="70"/>
        <v>0.32408242643225382</v>
      </c>
      <c r="Y233" s="40">
        <f t="shared" si="71"/>
        <v>-9.8752978737475135E-3</v>
      </c>
      <c r="Z233" s="40">
        <f t="shared" si="72"/>
        <v>0.31081470778047304</v>
      </c>
      <c r="AA233" s="40">
        <f t="shared" si="73"/>
        <v>0.20975841740559953</v>
      </c>
      <c r="AB233" s="40">
        <f t="shared" si="74"/>
        <v>8.7885780672149985E-2</v>
      </c>
      <c r="AC233" s="78">
        <v>32.790000915527337</v>
      </c>
      <c r="AD233" s="40">
        <f t="shared" si="56"/>
        <v>-9.9487867380239486E-2</v>
      </c>
    </row>
    <row r="234" spans="2:30" ht="13.95" customHeight="1" x14ac:dyDescent="0.3">
      <c r="B234" s="77">
        <v>45169</v>
      </c>
      <c r="C234" s="107">
        <f t="shared" si="47"/>
        <v>1</v>
      </c>
      <c r="D234" s="107">
        <f t="shared" si="66"/>
        <v>1</v>
      </c>
      <c r="E234" s="106">
        <v>9.0186352091025448</v>
      </c>
      <c r="F234" s="106">
        <v>2.6960319948254661</v>
      </c>
      <c r="G234" s="106">
        <v>0.90519502367160898</v>
      </c>
      <c r="H234" s="106">
        <v>8.1446338389542507</v>
      </c>
      <c r="I234" s="106">
        <v>0.83904639555265803</v>
      </c>
      <c r="J234" s="106">
        <v>3.1234394686767901</v>
      </c>
      <c r="K234" s="106">
        <v>5.5020975447987528</v>
      </c>
      <c r="L234" s="106">
        <v>3.6858179708428138</v>
      </c>
      <c r="M234" s="40">
        <f t="shared" si="48"/>
        <v>0.12563811960954216</v>
      </c>
      <c r="N234" s="40">
        <f t="shared" si="49"/>
        <v>5.7980294765031748E-2</v>
      </c>
      <c r="O234" s="40">
        <f t="shared" si="50"/>
        <v>0.19140051617302095</v>
      </c>
      <c r="P234" s="40">
        <f t="shared" si="51"/>
        <v>-0.16673236731392965</v>
      </c>
      <c r="Q234" s="40">
        <f t="shared" si="52"/>
        <v>0.13154185723863004</v>
      </c>
      <c r="R234" s="40">
        <f t="shared" si="53"/>
        <v>0.45720967472444168</v>
      </c>
      <c r="S234" s="40">
        <f t="shared" si="54"/>
        <v>-4.3992978825111342E-2</v>
      </c>
      <c r="T234" s="40">
        <f t="shared" si="55"/>
        <v>0.11114377123622589</v>
      </c>
      <c r="U234" s="40">
        <f t="shared" si="67"/>
        <v>0.10819123412540894</v>
      </c>
      <c r="V234" s="40">
        <f t="shared" si="68"/>
        <v>6.8662452600756874E-2</v>
      </c>
      <c r="W234" s="40">
        <f t="shared" si="69"/>
        <v>3.2918479638983061E-2</v>
      </c>
      <c r="X234" s="40">
        <f t="shared" si="70"/>
        <v>0.33526770988990046</v>
      </c>
      <c r="Y234" s="40">
        <f t="shared" si="71"/>
        <v>-1.278311483085182E-2</v>
      </c>
      <c r="Z234" s="40">
        <f t="shared" si="72"/>
        <v>0.35006516299989637</v>
      </c>
      <c r="AA234" s="40">
        <f t="shared" si="73"/>
        <v>0.21127744905610371</v>
      </c>
      <c r="AB234" s="40">
        <f t="shared" si="74"/>
        <v>8.3495594348841309E-2</v>
      </c>
      <c r="AC234" s="78">
        <v>32.470001220703118</v>
      </c>
      <c r="AD234" s="40">
        <f t="shared" si="56"/>
        <v>-0.10763690759462516</v>
      </c>
    </row>
    <row r="235" spans="2:30" ht="13.95" customHeight="1" x14ac:dyDescent="0.3">
      <c r="B235" s="77">
        <v>45199</v>
      </c>
      <c r="C235" s="107">
        <f t="shared" si="47"/>
        <v>1</v>
      </c>
      <c r="D235" s="107">
        <f t="shared" si="66"/>
        <v>1</v>
      </c>
      <c r="E235" s="106">
        <v>9.1374428567874197</v>
      </c>
      <c r="F235" s="106">
        <v>2.8592325551796831</v>
      </c>
      <c r="G235" s="106">
        <v>0.89994064523572248</v>
      </c>
      <c r="H235" s="106">
        <v>8.1463075127267768</v>
      </c>
      <c r="I235" s="106">
        <v>0.82552001106846196</v>
      </c>
      <c r="J235" s="106">
        <v>3.2340241559854488</v>
      </c>
      <c r="K235" s="106">
        <v>5.5741270209276141</v>
      </c>
      <c r="L235" s="106">
        <v>3.782416083928422</v>
      </c>
      <c r="M235" s="40">
        <f t="shared" si="48"/>
        <v>0.12279228959097557</v>
      </c>
      <c r="N235" s="40">
        <f t="shared" si="49"/>
        <v>0.12716246939756509</v>
      </c>
      <c r="O235" s="40">
        <f t="shared" si="50"/>
        <v>0.14348975314584916</v>
      </c>
      <c r="P235" s="40">
        <f t="shared" si="51"/>
        <v>-0.11066828620673728</v>
      </c>
      <c r="Q235" s="40">
        <f t="shared" si="52"/>
        <v>7.656647310090034E-2</v>
      </c>
      <c r="R235" s="40">
        <f t="shared" si="53"/>
        <v>0.4335051590275491</v>
      </c>
      <c r="S235" s="40">
        <f t="shared" si="54"/>
        <v>-2.3987219320326823E-3</v>
      </c>
      <c r="T235" s="40">
        <f t="shared" si="55"/>
        <v>0.12608016789919332</v>
      </c>
      <c r="U235" s="40">
        <f t="shared" si="67"/>
        <v>0.1100438431122109</v>
      </c>
      <c r="V235" s="40">
        <f t="shared" si="68"/>
        <v>8.1910120215341914E-2</v>
      </c>
      <c r="W235" s="40">
        <f t="shared" si="69"/>
        <v>2.8735004684777677E-2</v>
      </c>
      <c r="X235" s="40">
        <f t="shared" si="70"/>
        <v>0.34068645322807645</v>
      </c>
      <c r="Y235" s="40">
        <f t="shared" si="71"/>
        <v>-1.7922942494268405E-2</v>
      </c>
      <c r="Z235" s="40">
        <f t="shared" si="72"/>
        <v>0.336384377750508</v>
      </c>
      <c r="AA235" s="40">
        <f t="shared" si="73"/>
        <v>0.21562941130028815</v>
      </c>
      <c r="AB235" s="40">
        <f t="shared" si="74"/>
        <v>8.836253502370614E-2</v>
      </c>
      <c r="AC235" s="78">
        <v>32.139999389648438</v>
      </c>
      <c r="AD235" s="40">
        <f t="shared" si="56"/>
        <v>-2.3675216999765041E-2</v>
      </c>
    </row>
    <row r="236" spans="2:30" ht="13.95" customHeight="1" x14ac:dyDescent="0.3">
      <c r="B236" s="77">
        <v>45230</v>
      </c>
      <c r="C236" s="107">
        <f t="shared" ref="C236:C299" si="75">IF(B236&gt;=EBStart,1,0)</f>
        <v>1</v>
      </c>
      <c r="D236" s="107">
        <f t="shared" si="66"/>
        <v>1</v>
      </c>
      <c r="E236" s="106">
        <v>9.2961185906024024</v>
      </c>
      <c r="F236" s="106">
        <v>2.8945614760243492</v>
      </c>
      <c r="G236" s="106">
        <v>0.90123132770605663</v>
      </c>
      <c r="H236" s="106">
        <v>8.9166845513330291</v>
      </c>
      <c r="I236" s="106">
        <v>0.84961159619171145</v>
      </c>
      <c r="J236" s="106">
        <v>2.9158905180248418</v>
      </c>
      <c r="K236" s="106">
        <v>5.8764749315768228</v>
      </c>
      <c r="L236" s="106">
        <v>3.834331104005281</v>
      </c>
      <c r="M236" s="40">
        <f t="shared" ref="M236:M299" si="76">LN(E236/E224)</f>
        <v>0.13293238472995134</v>
      </c>
      <c r="N236" s="40">
        <f t="shared" ref="N236:N299" si="77">LN(F236/F224)</f>
        <v>0.11943909346390177</v>
      </c>
      <c r="O236" s="40">
        <f t="shared" ref="O236:O299" si="78">LN(G236/G224)</f>
        <v>0.13137186815261959</v>
      </c>
      <c r="P236" s="40">
        <f t="shared" ref="P236:P299" si="79">LN(H236/H224)</f>
        <v>3.0088222924295367E-3</v>
      </c>
      <c r="Q236" s="40">
        <f t="shared" ref="Q236:Q299" si="80">LN(I236/I224)</f>
        <v>0.10388390137974148</v>
      </c>
      <c r="R236" s="40">
        <f t="shared" ref="R236:R299" si="81">LN(J236/J224)</f>
        <v>0.25648148824055844</v>
      </c>
      <c r="S236" s="40">
        <f t="shared" ref="S236:S299" si="82">LN(K236/K224)</f>
        <v>5.9296322022914898E-2</v>
      </c>
      <c r="T236" s="40">
        <f t="shared" ref="T236:T299" si="83">LN(L236/L224)</f>
        <v>0.12778588383912634</v>
      </c>
      <c r="U236" s="40">
        <f t="shared" si="67"/>
        <v>0.10805812081671505</v>
      </c>
      <c r="V236" s="40">
        <f t="shared" si="68"/>
        <v>7.9221979155520567E-2</v>
      </c>
      <c r="W236" s="40">
        <f t="shared" si="69"/>
        <v>2.5751070421848033E-2</v>
      </c>
      <c r="X236" s="40">
        <f t="shared" si="70"/>
        <v>0.37812608175140888</v>
      </c>
      <c r="Y236" s="40">
        <f t="shared" si="71"/>
        <v>-1.2390147584535858E-2</v>
      </c>
      <c r="Z236" s="40">
        <f t="shared" si="72"/>
        <v>0.28870795926922521</v>
      </c>
      <c r="AA236" s="40">
        <f t="shared" si="73"/>
        <v>0.23078426183833967</v>
      </c>
      <c r="AB236" s="40">
        <f t="shared" si="74"/>
        <v>8.5987686842425387E-2</v>
      </c>
      <c r="AC236" s="78">
        <v>32.299999237060547</v>
      </c>
      <c r="AD236" s="40">
        <f t="shared" ref="AD236:AD299" si="84">LN(AC236/AC224)</f>
        <v>-3.7075082662122297E-2</v>
      </c>
    </row>
    <row r="237" spans="2:30" ht="13.95" customHeight="1" x14ac:dyDescent="0.3">
      <c r="B237" s="77">
        <v>45260</v>
      </c>
      <c r="C237" s="107">
        <f t="shared" si="75"/>
        <v>1</v>
      </c>
      <c r="D237" s="107">
        <f t="shared" si="66"/>
        <v>1</v>
      </c>
      <c r="E237" s="106">
        <v>9.3027289474432848</v>
      </c>
      <c r="F237" s="106">
        <v>2.9126769352918518</v>
      </c>
      <c r="G237" s="106">
        <v>0.94421887351298317</v>
      </c>
      <c r="H237" s="106">
        <v>9.040361305907922</v>
      </c>
      <c r="I237" s="106">
        <v>0.87521219752664647</v>
      </c>
      <c r="J237" s="106">
        <v>3.2652622791907708</v>
      </c>
      <c r="K237" s="106">
        <v>5.9422260430393532</v>
      </c>
      <c r="L237" s="106">
        <v>3.8660661002403551</v>
      </c>
      <c r="M237" s="40">
        <f t="shared" si="76"/>
        <v>0.13470114865372904</v>
      </c>
      <c r="N237" s="40">
        <f t="shared" si="77"/>
        <v>0.10139110620289443</v>
      </c>
      <c r="O237" s="40">
        <f t="shared" si="78"/>
        <v>0.18655649267712263</v>
      </c>
      <c r="P237" s="40">
        <f t="shared" si="79"/>
        <v>-4.9701420475568373E-3</v>
      </c>
      <c r="Q237" s="40">
        <f t="shared" si="80"/>
        <v>0.13348006578990737</v>
      </c>
      <c r="R237" s="40">
        <f t="shared" si="81"/>
        <v>0.42092941214717922</v>
      </c>
      <c r="S237" s="40">
        <f t="shared" si="82"/>
        <v>5.5096651773650168E-2</v>
      </c>
      <c r="T237" s="40">
        <f t="shared" si="83"/>
        <v>0.12986018300839808</v>
      </c>
      <c r="U237" s="40">
        <f t="shared" si="67"/>
        <v>0.1093328553544427</v>
      </c>
      <c r="V237" s="40">
        <f t="shared" si="68"/>
        <v>8.6294249572036186E-2</v>
      </c>
      <c r="W237" s="40">
        <f t="shared" si="69"/>
        <v>3.631360283675656E-2</v>
      </c>
      <c r="X237" s="40">
        <f t="shared" si="70"/>
        <v>0.36773531230911538</v>
      </c>
      <c r="Y237" s="40">
        <f t="shared" si="71"/>
        <v>-8.0094332435445663E-3</v>
      </c>
      <c r="Z237" s="40">
        <f t="shared" si="72"/>
        <v>0.33740769173338797</v>
      </c>
      <c r="AA237" s="40">
        <f t="shared" si="73"/>
        <v>0.22948721572488728</v>
      </c>
      <c r="AB237" s="40">
        <f t="shared" si="74"/>
        <v>8.9771873036468941E-2</v>
      </c>
      <c r="AC237" s="78">
        <v>31.340000152587891</v>
      </c>
      <c r="AD237" s="40">
        <f t="shared" si="84"/>
        <v>-0.10644481580386023</v>
      </c>
    </row>
    <row r="238" spans="2:30" ht="13.95" customHeight="1" x14ac:dyDescent="0.3">
      <c r="B238" s="77">
        <v>45291</v>
      </c>
      <c r="C238" s="107">
        <f t="shared" si="75"/>
        <v>1</v>
      </c>
      <c r="D238" s="107">
        <f t="shared" si="66"/>
        <v>1</v>
      </c>
      <c r="E238" s="106">
        <v>9.546101188246249</v>
      </c>
      <c r="F238" s="106">
        <v>3.067911209393527</v>
      </c>
      <c r="G238" s="106">
        <v>0.9631319928428631</v>
      </c>
      <c r="H238" s="106">
        <v>9.0480303277973597</v>
      </c>
      <c r="I238" s="106">
        <v>0.89367420527752028</v>
      </c>
      <c r="J238" s="106">
        <v>3.3175801470236461</v>
      </c>
      <c r="K238" s="106">
        <v>6.0441718364398538</v>
      </c>
      <c r="L238" s="106">
        <v>3.9994572183181152</v>
      </c>
      <c r="M238" s="40">
        <f t="shared" si="76"/>
        <v>0.14331159683514069</v>
      </c>
      <c r="N238" s="40">
        <f t="shared" si="77"/>
        <v>0.15100489675305265</v>
      </c>
      <c r="O238" s="40">
        <f t="shared" si="78"/>
        <v>0.20293996685546484</v>
      </c>
      <c r="P238" s="40">
        <f t="shared" si="79"/>
        <v>5.5288242168037939E-2</v>
      </c>
      <c r="Q238" s="40">
        <f t="shared" si="80"/>
        <v>0.16182506050982712</v>
      </c>
      <c r="R238" s="40">
        <f t="shared" si="81"/>
        <v>0.38066311735250535</v>
      </c>
      <c r="S238" s="40">
        <f t="shared" si="82"/>
        <v>0.10126514514306134</v>
      </c>
      <c r="T238" s="40">
        <f t="shared" si="83"/>
        <v>0.15295049082823411</v>
      </c>
      <c r="U238" s="40">
        <f t="shared" si="67"/>
        <v>0.11327831028150272</v>
      </c>
      <c r="V238" s="40">
        <f t="shared" si="68"/>
        <v>9.3850917915009213E-2</v>
      </c>
      <c r="W238" s="40">
        <f t="shared" si="69"/>
        <v>3.7721658029163004E-2</v>
      </c>
      <c r="X238" s="40">
        <f t="shared" si="70"/>
        <v>0.35716995577681171</v>
      </c>
      <c r="Y238" s="40">
        <f t="shared" si="71"/>
        <v>-2.740532440367698E-3</v>
      </c>
      <c r="Z238" s="40">
        <f t="shared" si="72"/>
        <v>0.29955358378126279</v>
      </c>
      <c r="AA238" s="40">
        <f t="shared" si="73"/>
        <v>0.22760131215163965</v>
      </c>
      <c r="AB238" s="40">
        <f t="shared" si="74"/>
        <v>9.4988713141894235E-2</v>
      </c>
      <c r="AC238" s="78">
        <v>30.389999389648441</v>
      </c>
      <c r="AD238" s="40">
        <f t="shared" si="84"/>
        <v>-0.10368091524230368</v>
      </c>
    </row>
    <row r="239" spans="2:30" ht="13.95" customHeight="1" x14ac:dyDescent="0.3">
      <c r="B239" s="77">
        <v>45322</v>
      </c>
      <c r="C239" s="107">
        <f t="shared" si="75"/>
        <v>1</v>
      </c>
      <c r="D239" s="107">
        <f t="shared" si="66"/>
        <v>1</v>
      </c>
      <c r="E239" s="106">
        <v>9.6004188216554329</v>
      </c>
      <c r="F239" s="106">
        <v>3.033861901648256</v>
      </c>
      <c r="G239" s="106">
        <v>0.99047273845011452</v>
      </c>
      <c r="H239" s="106">
        <v>8.9371164668749987</v>
      </c>
      <c r="I239" s="106">
        <v>0.90202802651641822</v>
      </c>
      <c r="J239" s="106">
        <v>3.64945268191439</v>
      </c>
      <c r="K239" s="106">
        <v>6.0152005775555688</v>
      </c>
      <c r="L239" s="106">
        <v>4.0102111071509521</v>
      </c>
      <c r="M239" s="40">
        <f t="shared" si="76"/>
        <v>0.14059343254659357</v>
      </c>
      <c r="N239" s="40">
        <f t="shared" si="77"/>
        <v>0.13674178901398631</v>
      </c>
      <c r="O239" s="40">
        <f t="shared" si="78"/>
        <v>0.2219430016246243</v>
      </c>
      <c r="P239" s="40">
        <f t="shared" si="79"/>
        <v>5.4752590329987923E-2</v>
      </c>
      <c r="Q239" s="40">
        <f t="shared" si="80"/>
        <v>0.17258601766289239</v>
      </c>
      <c r="R239" s="40">
        <f t="shared" si="81"/>
        <v>0.42109464222902737</v>
      </c>
      <c r="S239" s="40">
        <f t="shared" si="82"/>
        <v>9.9849272510163206E-2</v>
      </c>
      <c r="T239" s="40">
        <f t="shared" si="83"/>
        <v>0.14894764430656351</v>
      </c>
      <c r="U239" s="40">
        <f t="shared" si="67"/>
        <v>0.11563442835288051</v>
      </c>
      <c r="V239" s="40">
        <f t="shared" si="68"/>
        <v>9.8508891361667086E-2</v>
      </c>
      <c r="W239" s="40">
        <f t="shared" si="69"/>
        <v>4.6970244197466621E-2</v>
      </c>
      <c r="X239" s="40">
        <f t="shared" si="70"/>
        <v>0.35513708512280862</v>
      </c>
      <c r="Y239" s="40">
        <f t="shared" si="71"/>
        <v>-7.1391635217647937E-4</v>
      </c>
      <c r="Z239" s="40">
        <f t="shared" si="72"/>
        <v>0.35200047596302658</v>
      </c>
      <c r="AA239" s="40">
        <f t="shared" si="73"/>
        <v>0.22832499184912908</v>
      </c>
      <c r="AB239" s="40">
        <f t="shared" si="74"/>
        <v>9.8131925258284375E-2</v>
      </c>
      <c r="AC239" s="78">
        <v>30.510000228881839</v>
      </c>
      <c r="AD239" s="40">
        <f t="shared" si="84"/>
        <v>-9.3789345430241894E-2</v>
      </c>
    </row>
    <row r="240" spans="2:30" ht="13.95" customHeight="1" x14ac:dyDescent="0.3">
      <c r="B240" s="77">
        <v>45351</v>
      </c>
      <c r="C240" s="107">
        <f t="shared" si="75"/>
        <v>1</v>
      </c>
      <c r="D240" s="107">
        <f t="shared" ref="D240:D271" si="85">IF(B240&gt;=EBStart,1,0)</f>
        <v>1</v>
      </c>
      <c r="E240" s="106">
        <v>9.6723815925727621</v>
      </c>
      <c r="F240" s="106">
        <v>3.0384148191193399</v>
      </c>
      <c r="G240" s="106">
        <v>0.98712094956017815</v>
      </c>
      <c r="H240" s="106">
        <v>9.1878961518771156</v>
      </c>
      <c r="I240" s="106">
        <v>0.89458910476372677</v>
      </c>
      <c r="J240" s="106">
        <v>3.6984423738419991</v>
      </c>
      <c r="K240" s="106">
        <v>6.1113353810838609</v>
      </c>
      <c r="L240" s="106">
        <v>4.0264548026830038</v>
      </c>
      <c r="M240" s="40">
        <f t="shared" si="76"/>
        <v>0.14144552360068158</v>
      </c>
      <c r="N240" s="40">
        <f t="shared" si="77"/>
        <v>0.15176743583969599</v>
      </c>
      <c r="O240" s="40">
        <f t="shared" si="78"/>
        <v>0.20819371536998127</v>
      </c>
      <c r="P240" s="40">
        <f t="shared" si="79"/>
        <v>9.2418736531609827E-2</v>
      </c>
      <c r="Q240" s="40">
        <f t="shared" si="80"/>
        <v>0.15833377978123231</v>
      </c>
      <c r="R240" s="40">
        <f t="shared" si="81"/>
        <v>0.40464340333827448</v>
      </c>
      <c r="S240" s="40">
        <f t="shared" si="82"/>
        <v>0.12095929334680251</v>
      </c>
      <c r="T240" s="40">
        <f t="shared" si="83"/>
        <v>0.15263577727913369</v>
      </c>
      <c r="U240" s="40">
        <f t="shared" ref="U240:U271" si="86">LN(E240/E192)/4</f>
        <v>0.11355945594364471</v>
      </c>
      <c r="V240" s="40">
        <f t="shared" ref="V240:V271" si="87">LN(F240/F192)/4</f>
        <v>8.9494835546571519E-2</v>
      </c>
      <c r="W240" s="40">
        <f t="shared" ref="W240:W271" si="88">LN(G240/G192)/4</f>
        <v>4.345766921360663E-2</v>
      </c>
      <c r="X240" s="40">
        <f t="shared" ref="X240:X271" si="89">LN(H240/H192)/4</f>
        <v>0.37133752141317</v>
      </c>
      <c r="Y240" s="40">
        <f t="shared" ref="Y240:Y271" si="90">LN(I240/I192)/4</f>
        <v>1.9901993538215864E-3</v>
      </c>
      <c r="Z240" s="40">
        <f t="shared" ref="Z240:Z271" si="91">LN(J240/J192)/4</f>
        <v>0.28089207396292792</v>
      </c>
      <c r="AA240" s="40">
        <f t="shared" ref="AA240:AA271" si="92">LN(K240/K192)/4</f>
        <v>0.23267494780982284</v>
      </c>
      <c r="AB240" s="40">
        <f t="shared" ref="AB240:AB271" si="93">LN(L240/L192)/4</f>
        <v>9.4198004975514102E-2</v>
      </c>
      <c r="AC240" s="78">
        <v>29.940000534057621</v>
      </c>
      <c r="AD240" s="40">
        <f t="shared" si="84"/>
        <v>-5.3961735835615289E-2</v>
      </c>
    </row>
    <row r="241" spans="2:30" ht="13.95" customHeight="1" x14ac:dyDescent="0.3">
      <c r="B241" s="77">
        <v>45382</v>
      </c>
      <c r="C241" s="107">
        <f t="shared" si="75"/>
        <v>1</v>
      </c>
      <c r="D241" s="107">
        <f t="shared" si="85"/>
        <v>1</v>
      </c>
      <c r="E241" s="106">
        <v>9.7672638411299779</v>
      </c>
      <c r="F241" s="106">
        <v>3.1140451708099879</v>
      </c>
      <c r="G241" s="106">
        <v>0.99003259229809903</v>
      </c>
      <c r="H241" s="106">
        <v>9.5963970875498301</v>
      </c>
      <c r="I241" s="106">
        <v>0.91106649801279616</v>
      </c>
      <c r="J241" s="106">
        <v>3.5151696122449549</v>
      </c>
      <c r="K241" s="106">
        <v>6.2913092641589499</v>
      </c>
      <c r="L241" s="106">
        <v>4.0835298984971704</v>
      </c>
      <c r="M241" s="40">
        <f t="shared" si="76"/>
        <v>0.14144448116241926</v>
      </c>
      <c r="N241" s="40">
        <f t="shared" si="77"/>
        <v>0.16167912293443729</v>
      </c>
      <c r="O241" s="40">
        <f t="shared" si="78"/>
        <v>0.18895108571440017</v>
      </c>
      <c r="P241" s="40">
        <f t="shared" si="79"/>
        <v>0.13187661249100902</v>
      </c>
      <c r="Q241" s="40">
        <f t="shared" si="80"/>
        <v>0.16966231975017845</v>
      </c>
      <c r="R241" s="40">
        <f t="shared" si="81"/>
        <v>0.26720121190504836</v>
      </c>
      <c r="S241" s="40">
        <f t="shared" si="82"/>
        <v>0.14192926127303906</v>
      </c>
      <c r="T241" s="40">
        <f t="shared" si="83"/>
        <v>0.15393453620128625</v>
      </c>
      <c r="U241" s="40">
        <f t="shared" si="86"/>
        <v>0.12027392530639706</v>
      </c>
      <c r="V241" s="40">
        <f t="shared" si="87"/>
        <v>0.10827617353587259</v>
      </c>
      <c r="W241" s="40">
        <f t="shared" si="88"/>
        <v>8.9965620320362261E-2</v>
      </c>
      <c r="X241" s="40">
        <f t="shared" si="89"/>
        <v>0.46570134143743858</v>
      </c>
      <c r="Y241" s="40">
        <f t="shared" si="90"/>
        <v>4.0979802780970347E-2</v>
      </c>
      <c r="Z241" s="40">
        <f t="shared" si="91"/>
        <v>0.43697566671477595</v>
      </c>
      <c r="AA241" s="40">
        <f t="shared" si="92"/>
        <v>0.27573269836287856</v>
      </c>
      <c r="AB241" s="40">
        <f t="shared" si="93"/>
        <v>0.1092376469446649</v>
      </c>
      <c r="AC241" s="78">
        <v>31.10000038146973</v>
      </c>
      <c r="AD241" s="40">
        <f t="shared" si="84"/>
        <v>-1.563278819315695E-2</v>
      </c>
    </row>
    <row r="242" spans="2:30" ht="13.95" customHeight="1" x14ac:dyDescent="0.3">
      <c r="B242" s="77">
        <v>45412</v>
      </c>
      <c r="C242" s="107">
        <f t="shared" si="75"/>
        <v>1</v>
      </c>
      <c r="D242" s="107">
        <f t="shared" si="85"/>
        <v>1</v>
      </c>
      <c r="E242" s="106">
        <v>9.9096983752163954</v>
      </c>
      <c r="F242" s="106">
        <v>3.0955056663503111</v>
      </c>
      <c r="G242" s="106">
        <v>0.97181613947978029</v>
      </c>
      <c r="H242" s="106">
        <v>9.6960374368619533</v>
      </c>
      <c r="I242" s="106">
        <v>0.92194692082070162</v>
      </c>
      <c r="J242" s="106">
        <v>3.0635888421047501</v>
      </c>
      <c r="K242" s="106">
        <v>6.3344013087926996</v>
      </c>
      <c r="L242" s="106">
        <v>4.0965664806562057</v>
      </c>
      <c r="M242" s="40">
        <f t="shared" si="76"/>
        <v>0.14707932617171304</v>
      </c>
      <c r="N242" s="40">
        <f t="shared" si="77"/>
        <v>0.15366923272142102</v>
      </c>
      <c r="O242" s="40">
        <f t="shared" si="78"/>
        <v>0.17558973434642203</v>
      </c>
      <c r="P242" s="40">
        <f t="shared" si="79"/>
        <v>0.13492560262705525</v>
      </c>
      <c r="Q242" s="40">
        <f t="shared" si="80"/>
        <v>0.1885848035996664</v>
      </c>
      <c r="R242" s="40">
        <f t="shared" si="81"/>
        <v>0.12763733755228676</v>
      </c>
      <c r="S242" s="40">
        <f t="shared" si="82"/>
        <v>0.14251551347756145</v>
      </c>
      <c r="T242" s="40">
        <f t="shared" si="83"/>
        <v>0.15210381913074136</v>
      </c>
      <c r="U242" s="40">
        <f t="shared" si="86"/>
        <v>0.1349084299401945</v>
      </c>
      <c r="V242" s="40">
        <f t="shared" si="87"/>
        <v>0.11397197453386028</v>
      </c>
      <c r="W242" s="40">
        <f t="shared" si="88"/>
        <v>0.12005319780393134</v>
      </c>
      <c r="X242" s="40">
        <f t="shared" si="89"/>
        <v>0.50058477209680197</v>
      </c>
      <c r="Y242" s="40">
        <f t="shared" si="90"/>
        <v>8.0517093032516307E-2</v>
      </c>
      <c r="Z242" s="40">
        <f t="shared" si="91"/>
        <v>0.41235629033925514</v>
      </c>
      <c r="AA242" s="40">
        <f t="shared" si="92"/>
        <v>0.29616561115674223</v>
      </c>
      <c r="AB242" s="40">
        <f t="shared" si="93"/>
        <v>0.12298263160245629</v>
      </c>
      <c r="AC242" s="78">
        <v>32.009998321533203</v>
      </c>
      <c r="AD242" s="40">
        <f t="shared" si="84"/>
        <v>2.2749714605855939E-2</v>
      </c>
    </row>
    <row r="243" spans="2:30" ht="13.95" customHeight="1" x14ac:dyDescent="0.3">
      <c r="B243" s="77">
        <v>45443</v>
      </c>
      <c r="C243" s="107">
        <f t="shared" si="75"/>
        <v>1</v>
      </c>
      <c r="D243" s="107">
        <f t="shared" si="85"/>
        <v>1</v>
      </c>
      <c r="E243" s="106">
        <v>9.9471769404464077</v>
      </c>
      <c r="F243" s="106">
        <v>3.0354596567527592</v>
      </c>
      <c r="G243" s="106">
        <v>1.04146048976409</v>
      </c>
      <c r="H243" s="106">
        <v>9.8972147770594745</v>
      </c>
      <c r="I243" s="106">
        <v>0.92533414142260806</v>
      </c>
      <c r="J243" s="106">
        <v>4.1510949156622194</v>
      </c>
      <c r="K243" s="106">
        <v>6.4139513202101996</v>
      </c>
      <c r="L243" s="106">
        <v>4.1133640639500406</v>
      </c>
      <c r="M243" s="40">
        <f t="shared" si="76"/>
        <v>0.14415490521209967</v>
      </c>
      <c r="N243" s="40">
        <f t="shared" si="77"/>
        <v>0.11871590915794386</v>
      </c>
      <c r="O243" s="40">
        <f t="shared" si="78"/>
        <v>0.19092163338314758</v>
      </c>
      <c r="P243" s="40">
        <f t="shared" si="79"/>
        <v>0.17351251489509684</v>
      </c>
      <c r="Q243" s="40">
        <f t="shared" si="80"/>
        <v>0.14454234819585784</v>
      </c>
      <c r="R243" s="40">
        <f t="shared" si="81"/>
        <v>0.35250727236011975</v>
      </c>
      <c r="S243" s="40">
        <f t="shared" si="82"/>
        <v>0.15757332976848143</v>
      </c>
      <c r="T243" s="40">
        <f t="shared" si="83"/>
        <v>0.14123933258732635</v>
      </c>
      <c r="U243" s="40">
        <f t="shared" si="86"/>
        <v>0.14882056913339783</v>
      </c>
      <c r="V243" s="40">
        <f t="shared" si="87"/>
        <v>0.11067399243308811</v>
      </c>
      <c r="W243" s="40">
        <f t="shared" si="88"/>
        <v>0.13445316641715094</v>
      </c>
      <c r="X243" s="40">
        <f t="shared" si="89"/>
        <v>0.52223033722489109</v>
      </c>
      <c r="Y243" s="40">
        <f t="shared" si="90"/>
        <v>7.7946362699897104E-2</v>
      </c>
      <c r="Z243" s="40">
        <f t="shared" si="91"/>
        <v>0.49367817615041198</v>
      </c>
      <c r="AA243" s="40">
        <f t="shared" si="92"/>
        <v>0.31003190027055427</v>
      </c>
      <c r="AB243" s="40">
        <f t="shared" si="93"/>
        <v>0.13241879085748606</v>
      </c>
      <c r="AC243" s="78">
        <v>32.700000762939453</v>
      </c>
      <c r="AD243" s="40">
        <f t="shared" si="84"/>
        <v>0.11115369782036515</v>
      </c>
    </row>
    <row r="244" spans="2:30" ht="13.95" customHeight="1" x14ac:dyDescent="0.3">
      <c r="B244" s="77">
        <v>45473</v>
      </c>
      <c r="C244" s="107">
        <f t="shared" si="75"/>
        <v>1</v>
      </c>
      <c r="D244" s="107">
        <f t="shared" si="85"/>
        <v>1</v>
      </c>
      <c r="E244" s="106">
        <v>10.18947297720681</v>
      </c>
      <c r="F244" s="106">
        <v>3.0113974632940401</v>
      </c>
      <c r="G244" s="106">
        <v>1.055929121599358</v>
      </c>
      <c r="H244" s="106">
        <v>10.5236416931485</v>
      </c>
      <c r="I244" s="106">
        <v>0.93329344721719576</v>
      </c>
      <c r="J244" s="106">
        <v>4.2783419665185649</v>
      </c>
      <c r="K244" s="106">
        <v>6.6588246086091143</v>
      </c>
      <c r="L244" s="106">
        <v>4.1635186995947091</v>
      </c>
      <c r="M244" s="40">
        <f t="shared" si="76"/>
        <v>0.13908357051527764</v>
      </c>
      <c r="N244" s="40">
        <f t="shared" si="77"/>
        <v>0.17010527564140898</v>
      </c>
      <c r="O244" s="40">
        <f t="shared" si="78"/>
        <v>0.19355406540805456</v>
      </c>
      <c r="P244" s="40">
        <f t="shared" si="79"/>
        <v>0.21909528222999072</v>
      </c>
      <c r="Q244" s="40">
        <f t="shared" si="80"/>
        <v>0.12607349486072872</v>
      </c>
      <c r="R244" s="40">
        <f t="shared" si="81"/>
        <v>0.43730475011651698</v>
      </c>
      <c r="S244" s="40">
        <f t="shared" si="82"/>
        <v>0.18752856479629684</v>
      </c>
      <c r="T244" s="40">
        <f t="shared" si="83"/>
        <v>0.15514645936905458</v>
      </c>
      <c r="U244" s="40">
        <f t="shared" si="86"/>
        <v>0.17776303492607801</v>
      </c>
      <c r="V244" s="40">
        <f t="shared" si="87"/>
        <v>0.10406796148078903</v>
      </c>
      <c r="W244" s="40">
        <f t="shared" si="88"/>
        <v>0.15317785873681267</v>
      </c>
      <c r="X244" s="40">
        <f t="shared" si="89"/>
        <v>0.51561151975376307</v>
      </c>
      <c r="Y244" s="40">
        <f t="shared" si="90"/>
        <v>9.704878318517747E-2</v>
      </c>
      <c r="Z244" s="40">
        <f t="shared" si="91"/>
        <v>0.49337523594949284</v>
      </c>
      <c r="AA244" s="40">
        <f t="shared" si="92"/>
        <v>0.32326223246894031</v>
      </c>
      <c r="AB244" s="40">
        <f t="shared" si="93"/>
        <v>0.15039812516628051</v>
      </c>
      <c r="AC244" s="78">
        <v>32.060001373291023</v>
      </c>
      <c r="AD244" s="40">
        <f t="shared" si="84"/>
        <v>4.7590064096543525E-2</v>
      </c>
    </row>
    <row r="245" spans="2:30" ht="13.95" customHeight="1" x14ac:dyDescent="0.3">
      <c r="B245" s="77">
        <v>45504</v>
      </c>
      <c r="C245" s="107">
        <f t="shared" si="75"/>
        <v>1</v>
      </c>
      <c r="D245" s="107">
        <f t="shared" si="85"/>
        <v>1</v>
      </c>
      <c r="E245" s="106">
        <v>10.31639153745094</v>
      </c>
      <c r="F245" s="106">
        <v>2.9677394936241641</v>
      </c>
      <c r="G245" s="106">
        <v>1.065960433704022</v>
      </c>
      <c r="H245" s="106">
        <v>11.55890046469141</v>
      </c>
      <c r="I245" s="106">
        <v>0.93407019324392804</v>
      </c>
      <c r="J245" s="106">
        <v>4.4316650938957158</v>
      </c>
      <c r="K245" s="106">
        <v>7.0097481025325186</v>
      </c>
      <c r="L245" s="106">
        <v>4.1767258568051577</v>
      </c>
      <c r="M245" s="40">
        <f t="shared" si="76"/>
        <v>0.13928188126203761</v>
      </c>
      <c r="N245" s="40">
        <f t="shared" si="77"/>
        <v>0.12880879490366584</v>
      </c>
      <c r="O245" s="40">
        <f t="shared" si="78"/>
        <v>0.17969851848558185</v>
      </c>
      <c r="P245" s="40">
        <f t="shared" si="79"/>
        <v>0.35394130043761363</v>
      </c>
      <c r="Q245" s="40">
        <f t="shared" si="80"/>
        <v>0.10929126557505082</v>
      </c>
      <c r="R245" s="40">
        <f t="shared" si="81"/>
        <v>0.42501119599890497</v>
      </c>
      <c r="S245" s="40">
        <f t="shared" si="82"/>
        <v>0.25155853712741849</v>
      </c>
      <c r="T245" s="40">
        <f t="shared" si="83"/>
        <v>0.14021617209178627</v>
      </c>
      <c r="U245" s="40">
        <f t="shared" si="86"/>
        <v>0.1870848132703736</v>
      </c>
      <c r="V245" s="40">
        <f t="shared" si="87"/>
        <v>9.206585051430359E-2</v>
      </c>
      <c r="W245" s="40">
        <f t="shared" si="88"/>
        <v>0.16048483200920599</v>
      </c>
      <c r="X245" s="40">
        <f t="shared" si="89"/>
        <v>0.53783730977642541</v>
      </c>
      <c r="Y245" s="40">
        <f t="shared" si="90"/>
        <v>0.10452517000685324</v>
      </c>
      <c r="Z245" s="40">
        <f t="shared" si="91"/>
        <v>0.47840101071055702</v>
      </c>
      <c r="AA245" s="40">
        <f t="shared" si="92"/>
        <v>0.33714026963787141</v>
      </c>
      <c r="AB245" s="40">
        <f t="shared" si="93"/>
        <v>0.1532836966539588</v>
      </c>
      <c r="AC245" s="78">
        <v>30.729999542236332</v>
      </c>
      <c r="AD245" s="40">
        <f t="shared" si="84"/>
        <v>-6.4884257531406586E-2</v>
      </c>
    </row>
    <row r="246" spans="2:30" ht="13.95" customHeight="1" x14ac:dyDescent="0.3">
      <c r="B246" s="77">
        <v>45535</v>
      </c>
      <c r="C246" s="107">
        <f t="shared" si="75"/>
        <v>1</v>
      </c>
      <c r="D246" s="107">
        <f t="shared" si="85"/>
        <v>1</v>
      </c>
      <c r="E246" s="106">
        <v>10.54214928544836</v>
      </c>
      <c r="F246" s="106">
        <v>3.0905586380535048</v>
      </c>
      <c r="G246" s="106">
        <v>1.0077141244700001</v>
      </c>
      <c r="H246" s="106">
        <v>10.84509364313182</v>
      </c>
      <c r="I246" s="106">
        <v>0.91939462559507501</v>
      </c>
      <c r="J246" s="106">
        <v>3.702383199551404</v>
      </c>
      <c r="K246" s="106">
        <v>6.8341516181605773</v>
      </c>
      <c r="L246" s="106">
        <v>4.2532737520982042</v>
      </c>
      <c r="M246" s="40">
        <f t="shared" si="76"/>
        <v>0.15608842391882263</v>
      </c>
      <c r="N246" s="40">
        <f t="shared" si="77"/>
        <v>0.13657080308686254</v>
      </c>
      <c r="O246" s="40">
        <f t="shared" si="78"/>
        <v>0.10728938547696613</v>
      </c>
      <c r="P246" s="40">
        <f t="shared" si="79"/>
        <v>0.28635349319620407</v>
      </c>
      <c r="Q246" s="40">
        <f t="shared" si="80"/>
        <v>9.1449434227457119E-2</v>
      </c>
      <c r="R246" s="40">
        <f t="shared" si="81"/>
        <v>0.17004193185032448</v>
      </c>
      <c r="S246" s="40">
        <f t="shared" si="82"/>
        <v>0.21680294798973959</v>
      </c>
      <c r="T246" s="40">
        <f t="shared" si="83"/>
        <v>0.1431965069224469</v>
      </c>
      <c r="U246" s="40">
        <f t="shared" si="86"/>
        <v>0.19026156846314388</v>
      </c>
      <c r="V246" s="40">
        <f t="shared" si="87"/>
        <v>9.8471938081405072E-2</v>
      </c>
      <c r="W246" s="40">
        <f t="shared" si="88"/>
        <v>0.14474755029193492</v>
      </c>
      <c r="X246" s="40">
        <f t="shared" si="89"/>
        <v>0.48142317003532248</v>
      </c>
      <c r="Y246" s="40">
        <f t="shared" si="90"/>
        <v>9.8974076092429808E-2</v>
      </c>
      <c r="Z246" s="40">
        <f t="shared" si="91"/>
        <v>0.4306015828642884</v>
      </c>
      <c r="AA246" s="40">
        <f t="shared" si="92"/>
        <v>0.31554146586483861</v>
      </c>
      <c r="AB246" s="40">
        <f t="shared" si="93"/>
        <v>0.15523965381599053</v>
      </c>
      <c r="AC246" s="78">
        <v>30.610000610351559</v>
      </c>
      <c r="AD246" s="40">
        <f t="shared" si="84"/>
        <v>-5.8989850812618601E-2</v>
      </c>
    </row>
    <row r="247" spans="2:30" ht="13.95" customHeight="1" x14ac:dyDescent="0.3">
      <c r="B247" s="77">
        <v>45565</v>
      </c>
      <c r="C247" s="107">
        <f t="shared" si="75"/>
        <v>1</v>
      </c>
      <c r="D247" s="107">
        <f t="shared" si="85"/>
        <v>1</v>
      </c>
      <c r="E247" s="106">
        <v>10.700509588449689</v>
      </c>
      <c r="F247" s="106">
        <v>3.1839972166675712</v>
      </c>
      <c r="G247" s="106">
        <v>1.0380785178406911</v>
      </c>
      <c r="H247" s="106">
        <v>10.418312745857101</v>
      </c>
      <c r="I247" s="106">
        <v>0.93570468984901178</v>
      </c>
      <c r="J247" s="106">
        <v>3.995909580435983</v>
      </c>
      <c r="K247" s="106">
        <v>6.7687325742781308</v>
      </c>
      <c r="L247" s="106">
        <v>4.3474119086988106</v>
      </c>
      <c r="M247" s="40">
        <f t="shared" si="76"/>
        <v>0.15791079406939068</v>
      </c>
      <c r="N247" s="40">
        <f t="shared" si="77"/>
        <v>0.10758414234646789</v>
      </c>
      <c r="O247" s="40">
        <f t="shared" si="78"/>
        <v>0.14279789284537439</v>
      </c>
      <c r="P247" s="40">
        <f t="shared" si="79"/>
        <v>0.24600033996786769</v>
      </c>
      <c r="Q247" s="40">
        <f t="shared" si="80"/>
        <v>0.1252864201828813</v>
      </c>
      <c r="R247" s="40">
        <f t="shared" si="81"/>
        <v>0.21154400250150301</v>
      </c>
      <c r="S247" s="40">
        <f t="shared" si="82"/>
        <v>0.19417814041608389</v>
      </c>
      <c r="T247" s="40">
        <f t="shared" si="83"/>
        <v>0.13921772343386343</v>
      </c>
      <c r="U247" s="40">
        <f t="shared" si="86"/>
        <v>0.18586246596346606</v>
      </c>
      <c r="V247" s="40">
        <f t="shared" si="87"/>
        <v>0.10050845707098359</v>
      </c>
      <c r="W247" s="40">
        <f t="shared" si="88"/>
        <v>0.13866935899295196</v>
      </c>
      <c r="X247" s="40">
        <f t="shared" si="89"/>
        <v>0.40747122090821686</v>
      </c>
      <c r="Y247" s="40">
        <f t="shared" si="90"/>
        <v>9.0052205518110467E-2</v>
      </c>
      <c r="Z247" s="40">
        <f t="shared" si="91"/>
        <v>0.43402147495471527</v>
      </c>
      <c r="AA247" s="40">
        <f t="shared" si="92"/>
        <v>0.28398036522353021</v>
      </c>
      <c r="AB247" s="40">
        <f t="shared" si="93"/>
        <v>0.15270410997445963</v>
      </c>
      <c r="AC247" s="78">
        <v>32.240001678466797</v>
      </c>
      <c r="AD247" s="40">
        <f t="shared" si="84"/>
        <v>3.1066283810884409E-3</v>
      </c>
    </row>
    <row r="248" spans="2:30" ht="13.95" customHeight="1" x14ac:dyDescent="0.3">
      <c r="B248" s="77">
        <v>45596</v>
      </c>
      <c r="C248" s="107">
        <f t="shared" si="75"/>
        <v>1</v>
      </c>
      <c r="D248" s="107">
        <f t="shared" si="85"/>
        <v>1</v>
      </c>
      <c r="E248" s="106">
        <v>10.888941610368979</v>
      </c>
      <c r="F248" s="106">
        <v>3.1018394679706991</v>
      </c>
      <c r="G248" s="106">
        <v>1.101123544857411</v>
      </c>
      <c r="H248" s="106">
        <v>9.8819371736212691</v>
      </c>
      <c r="I248" s="106">
        <v>0.9867965572662718</v>
      </c>
      <c r="J248" s="106">
        <v>4.3299991818233883</v>
      </c>
      <c r="K248" s="106">
        <v>6.6216118334886289</v>
      </c>
      <c r="L248" s="106">
        <v>4.3829119632439753</v>
      </c>
      <c r="M248" s="40">
        <f t="shared" si="76"/>
        <v>0.15815078589839721</v>
      </c>
      <c r="N248" s="40">
        <f t="shared" si="77"/>
        <v>6.9161689056303988E-2</v>
      </c>
      <c r="O248" s="40">
        <f t="shared" si="78"/>
        <v>0.2003243717571612</v>
      </c>
      <c r="P248" s="40">
        <f t="shared" si="79"/>
        <v>0.10278437231623831</v>
      </c>
      <c r="Q248" s="40">
        <f t="shared" si="80"/>
        <v>0.14968459646734517</v>
      </c>
      <c r="R248" s="40">
        <f t="shared" si="81"/>
        <v>0.39539208487644278</v>
      </c>
      <c r="S248" s="40">
        <f t="shared" si="82"/>
        <v>0.11938173898638467</v>
      </c>
      <c r="T248" s="40">
        <f t="shared" si="83"/>
        <v>0.13371833444303749</v>
      </c>
      <c r="U248" s="40">
        <f t="shared" si="86"/>
        <v>0.18256908157355878</v>
      </c>
      <c r="V248" s="40">
        <f t="shared" si="87"/>
        <v>9.3346664380174832E-2</v>
      </c>
      <c r="W248" s="40">
        <f t="shared" si="88"/>
        <v>0.14842828630455696</v>
      </c>
      <c r="X248" s="40">
        <f t="shared" si="89"/>
        <v>0.34742415552156752</v>
      </c>
      <c r="Y248" s="40">
        <f t="shared" si="90"/>
        <v>0.10040568200577804</v>
      </c>
      <c r="Z248" s="40">
        <f t="shared" si="91"/>
        <v>0.42448492657247644</v>
      </c>
      <c r="AA248" s="40">
        <f t="shared" si="92"/>
        <v>0.25547535921584741</v>
      </c>
      <c r="AB248" s="40">
        <f t="shared" si="93"/>
        <v>0.14935087615706483</v>
      </c>
      <c r="AC248" s="78">
        <v>31.75</v>
      </c>
      <c r="AD248" s="40">
        <f t="shared" si="84"/>
        <v>-1.7174481269493412E-2</v>
      </c>
    </row>
    <row r="249" spans="2:30" ht="13.95" customHeight="1" x14ac:dyDescent="0.3">
      <c r="B249" s="77">
        <v>45626</v>
      </c>
      <c r="C249" s="107">
        <f t="shared" si="75"/>
        <v>1</v>
      </c>
      <c r="D249" s="107">
        <f t="shared" si="85"/>
        <v>1</v>
      </c>
      <c r="E249" s="106">
        <v>11.14287390789644</v>
      </c>
      <c r="F249" s="106">
        <v>3.2264214955713868</v>
      </c>
      <c r="G249" s="106">
        <v>1.1233365522159651</v>
      </c>
      <c r="H249" s="106">
        <v>10.289252352925599</v>
      </c>
      <c r="I249" s="106">
        <v>1.0101971916095269</v>
      </c>
      <c r="J249" s="106">
        <v>4.3621505742485471</v>
      </c>
      <c r="K249" s="106">
        <v>6.8513700838992309</v>
      </c>
      <c r="L249" s="106">
        <v>4.5079553767516716</v>
      </c>
      <c r="M249" s="40">
        <f t="shared" si="76"/>
        <v>0.18049238986348046</v>
      </c>
      <c r="N249" s="40">
        <f t="shared" si="77"/>
        <v>0.10230105959468354</v>
      </c>
      <c r="O249" s="40">
        <f t="shared" si="78"/>
        <v>0.17370060334270881</v>
      </c>
      <c r="P249" s="40">
        <f t="shared" si="79"/>
        <v>0.12940074849717054</v>
      </c>
      <c r="Q249" s="40">
        <f t="shared" si="80"/>
        <v>0.14343446158047451</v>
      </c>
      <c r="R249" s="40">
        <f t="shared" si="81"/>
        <v>0.28962509669187486</v>
      </c>
      <c r="S249" s="40">
        <f t="shared" si="82"/>
        <v>0.14236482663044203</v>
      </c>
      <c r="T249" s="40">
        <f t="shared" si="83"/>
        <v>0.15360621897116125</v>
      </c>
      <c r="U249" s="40">
        <f t="shared" si="86"/>
        <v>0.17830945544384524</v>
      </c>
      <c r="V249" s="40">
        <f t="shared" si="87"/>
        <v>9.4408889292714071E-2</v>
      </c>
      <c r="W249" s="40">
        <f t="shared" si="88"/>
        <v>0.13937748515052739</v>
      </c>
      <c r="X249" s="40">
        <f t="shared" si="89"/>
        <v>0.3228734924988706</v>
      </c>
      <c r="Y249" s="40">
        <f t="shared" si="90"/>
        <v>9.1531268661860052E-2</v>
      </c>
      <c r="Z249" s="40">
        <f t="shared" si="91"/>
        <v>0.42029718376330533</v>
      </c>
      <c r="AA249" s="40">
        <f t="shared" si="92"/>
        <v>0.24255347017241383</v>
      </c>
      <c r="AB249" s="40">
        <f t="shared" si="93"/>
        <v>0.14617624408738977</v>
      </c>
      <c r="AC249" s="78">
        <v>31.729999542236332</v>
      </c>
      <c r="AD249" s="40">
        <f t="shared" si="84"/>
        <v>1.2367349371597759E-2</v>
      </c>
    </row>
    <row r="250" spans="2:30" ht="13.95" customHeight="1" x14ac:dyDescent="0.3">
      <c r="B250" s="77">
        <v>45657</v>
      </c>
      <c r="C250" s="107">
        <f t="shared" si="75"/>
        <v>1</v>
      </c>
      <c r="D250" s="107">
        <f t="shared" si="85"/>
        <v>1</v>
      </c>
      <c r="E250" s="106">
        <v>11.22711439107748</v>
      </c>
      <c r="F250" s="106">
        <v>3.186565716080608</v>
      </c>
      <c r="G250" s="106">
        <v>1.1737996537172579</v>
      </c>
      <c r="H250" s="106">
        <v>10.635916972605919</v>
      </c>
      <c r="I250" s="106">
        <v>1.005835927789317</v>
      </c>
      <c r="J250" s="106">
        <v>5.3413906587092894</v>
      </c>
      <c r="K250" s="106">
        <v>6.9846230441240813</v>
      </c>
      <c r="L250" s="106">
        <v>4.5340451221249838</v>
      </c>
      <c r="M250" s="40">
        <f t="shared" si="76"/>
        <v>0.16219896175598283</v>
      </c>
      <c r="N250" s="40">
        <f t="shared" si="77"/>
        <v>3.7946816628634361E-2</v>
      </c>
      <c r="O250" s="40">
        <f t="shared" si="78"/>
        <v>0.19781086648953852</v>
      </c>
      <c r="P250" s="40">
        <f t="shared" si="79"/>
        <v>0.16168957640233003</v>
      </c>
      <c r="Q250" s="40">
        <f t="shared" si="80"/>
        <v>0.11823295858152631</v>
      </c>
      <c r="R250" s="40">
        <f t="shared" si="81"/>
        <v>0.4762503962531015</v>
      </c>
      <c r="S250" s="40">
        <f t="shared" si="82"/>
        <v>0.1446165498511835</v>
      </c>
      <c r="T250" s="40">
        <f t="shared" si="83"/>
        <v>0.12545584749025551</v>
      </c>
      <c r="U250" s="40">
        <f t="shared" si="86"/>
        <v>0.17362319831310821</v>
      </c>
      <c r="V250" s="40">
        <f t="shared" si="87"/>
        <v>8.1903925868705499E-2</v>
      </c>
      <c r="W250" s="40">
        <f t="shared" si="88"/>
        <v>0.1435311289953845</v>
      </c>
      <c r="X250" s="40">
        <f t="shared" si="89"/>
        <v>0.29300937173104818</v>
      </c>
      <c r="Y250" s="40">
        <f t="shared" si="90"/>
        <v>8.3891122144758468E-2</v>
      </c>
      <c r="Z250" s="40">
        <f t="shared" si="91"/>
        <v>0.46088675031106213</v>
      </c>
      <c r="AA250" s="40">
        <f t="shared" si="92"/>
        <v>0.22511937835427961</v>
      </c>
      <c r="AB250" s="40">
        <f t="shared" si="93"/>
        <v>0.14023175150918679</v>
      </c>
      <c r="AC250" s="78">
        <v>32.090000152587891</v>
      </c>
      <c r="AD250" s="40">
        <f t="shared" si="84"/>
        <v>5.4430873032022639E-2</v>
      </c>
    </row>
    <row r="251" spans="2:30" ht="13.95" customHeight="1" x14ac:dyDescent="0.3">
      <c r="B251" s="77">
        <v>45688</v>
      </c>
      <c r="C251" s="107">
        <f t="shared" si="75"/>
        <v>1</v>
      </c>
      <c r="D251" s="107">
        <f t="shared" si="85"/>
        <v>1</v>
      </c>
      <c r="E251" s="106">
        <v>11.29382939551874</v>
      </c>
      <c r="F251" s="106">
        <v>3.0744574502758559</v>
      </c>
      <c r="G251" s="106">
        <v>1.1180258694034779</v>
      </c>
      <c r="H251" s="106">
        <v>10.52641927545317</v>
      </c>
      <c r="I251" s="106">
        <v>0.98855921703214988</v>
      </c>
      <c r="J251" s="106">
        <v>4.6192432188451473</v>
      </c>
      <c r="K251" s="106">
        <v>6.892956029661133</v>
      </c>
      <c r="L251" s="106">
        <v>4.462626561501942</v>
      </c>
      <c r="M251" s="40">
        <f t="shared" si="76"/>
        <v>0.16244978059616477</v>
      </c>
      <c r="N251" s="40">
        <f t="shared" si="77"/>
        <v>1.3292083791633E-2</v>
      </c>
      <c r="O251" s="40">
        <f t="shared" si="78"/>
        <v>0.12113744970738535</v>
      </c>
      <c r="P251" s="40">
        <f t="shared" si="79"/>
        <v>0.1636752241991791</v>
      </c>
      <c r="Q251" s="40">
        <f t="shared" si="80"/>
        <v>9.1602955661086977E-2</v>
      </c>
      <c r="R251" s="40">
        <f t="shared" si="81"/>
        <v>0.23565368004098725</v>
      </c>
      <c r="S251" s="40">
        <f t="shared" si="82"/>
        <v>0.13621032980116002</v>
      </c>
      <c r="T251" s="40">
        <f t="shared" si="83"/>
        <v>0.10689362271690152</v>
      </c>
      <c r="U251" s="40">
        <f t="shared" si="86"/>
        <v>0.17233959243946778</v>
      </c>
      <c r="V251" s="40">
        <f t="shared" si="87"/>
        <v>6.2737672908923944E-2</v>
      </c>
      <c r="W251" s="40">
        <f t="shared" si="88"/>
        <v>0.13118083449613052</v>
      </c>
      <c r="X251" s="40">
        <f t="shared" si="89"/>
        <v>0.26971609692378712</v>
      </c>
      <c r="Y251" s="40">
        <f t="shared" si="90"/>
        <v>8.0224985073667418E-2</v>
      </c>
      <c r="Z251" s="40">
        <f t="shared" si="91"/>
        <v>0.41471125530785408</v>
      </c>
      <c r="AA251" s="40">
        <f t="shared" si="92"/>
        <v>0.20911956268593984</v>
      </c>
      <c r="AB251" s="40">
        <f t="shared" si="93"/>
        <v>0.13173142370518195</v>
      </c>
      <c r="AC251" s="78">
        <v>33.590000152587891</v>
      </c>
      <c r="AD251" s="40">
        <f t="shared" si="84"/>
        <v>9.6173901936418393E-2</v>
      </c>
    </row>
    <row r="252" spans="2:30" ht="13.95" customHeight="1" x14ac:dyDescent="0.3">
      <c r="B252" s="77">
        <v>45716</v>
      </c>
      <c r="C252" s="107">
        <f t="shared" si="75"/>
        <v>1</v>
      </c>
      <c r="D252" s="107">
        <f t="shared" si="85"/>
        <v>1</v>
      </c>
      <c r="E252" s="106">
        <v>11.520537795131069</v>
      </c>
      <c r="F252" s="106">
        <v>3.0523109502542911</v>
      </c>
      <c r="G252" s="106">
        <v>1.1503782466523711</v>
      </c>
      <c r="H252" s="106">
        <v>10.43965369207131</v>
      </c>
      <c r="I252" s="106">
        <v>0.98861439025776887</v>
      </c>
      <c r="J252" s="106">
        <v>5.2191837590312637</v>
      </c>
      <c r="K252" s="106">
        <v>6.9089454336974541</v>
      </c>
      <c r="L252" s="106">
        <v>4.5153566281300392</v>
      </c>
      <c r="M252" s="40">
        <f t="shared" si="76"/>
        <v>0.17485677192261603</v>
      </c>
      <c r="N252" s="40">
        <f t="shared" si="77"/>
        <v>4.5630539848955636E-3</v>
      </c>
      <c r="O252" s="40">
        <f t="shared" si="78"/>
        <v>0.15305350287080138</v>
      </c>
      <c r="P252" s="40">
        <f t="shared" si="79"/>
        <v>0.12772442846574206</v>
      </c>
      <c r="Q252" s="40">
        <f t="shared" si="80"/>
        <v>9.9939844932195002E-2</v>
      </c>
      <c r="R252" s="40">
        <f t="shared" si="81"/>
        <v>0.34442927069562268</v>
      </c>
      <c r="S252" s="40">
        <f t="shared" si="82"/>
        <v>0.12267170567155104</v>
      </c>
      <c r="T252" s="40">
        <f t="shared" si="83"/>
        <v>0.1145978839272262</v>
      </c>
      <c r="U252" s="40">
        <f t="shared" si="86"/>
        <v>0.17012698521602984</v>
      </c>
      <c r="V252" s="40">
        <f t="shared" si="87"/>
        <v>5.7206441252387955E-2</v>
      </c>
      <c r="W252" s="40">
        <f t="shared" si="88"/>
        <v>0.13497944678482435</v>
      </c>
      <c r="X252" s="40">
        <f t="shared" si="89"/>
        <v>0.24458714568067705</v>
      </c>
      <c r="Y252" s="40">
        <f t="shared" si="90"/>
        <v>7.6629548653945986E-2</v>
      </c>
      <c r="Z252" s="40">
        <f t="shared" si="91"/>
        <v>0.44485541451987876</v>
      </c>
      <c r="AA252" s="40">
        <f t="shared" si="92"/>
        <v>0.19541183125525158</v>
      </c>
      <c r="AB252" s="40">
        <f t="shared" si="93"/>
        <v>0.12903158141063084</v>
      </c>
      <c r="AC252" s="78">
        <v>33.909999847412109</v>
      </c>
      <c r="AD252" s="40">
        <f t="shared" si="84"/>
        <v>0.12451455480867893</v>
      </c>
    </row>
    <row r="253" spans="2:30" ht="13.95" customHeight="1" x14ac:dyDescent="0.3">
      <c r="B253" s="77">
        <v>45747</v>
      </c>
      <c r="C253" s="107">
        <f t="shared" si="75"/>
        <v>1</v>
      </c>
      <c r="D253" s="107">
        <f t="shared" si="85"/>
        <v>1</v>
      </c>
      <c r="E253" s="106">
        <v>11.720478054462721</v>
      </c>
      <c r="F253" s="106">
        <v>3.2054680145793419</v>
      </c>
      <c r="G253" s="106">
        <v>1.171110913080915</v>
      </c>
      <c r="H253" s="106">
        <v>10.540718029555579</v>
      </c>
      <c r="I253" s="106">
        <v>0.99499847636591832</v>
      </c>
      <c r="J253" s="106">
        <v>5.500119632721006</v>
      </c>
      <c r="K253" s="106">
        <v>7.0451149862590086</v>
      </c>
      <c r="L253" s="106">
        <v>4.6447828435325418</v>
      </c>
      <c r="M253" s="40">
        <f t="shared" si="76"/>
        <v>0.1823012033182311</v>
      </c>
      <c r="N253" s="40">
        <f t="shared" si="77"/>
        <v>2.8935527075700417E-2</v>
      </c>
      <c r="O253" s="40">
        <f t="shared" si="78"/>
        <v>0.1679702115631608</v>
      </c>
      <c r="P253" s="40">
        <f t="shared" si="79"/>
        <v>9.3857940389500003E-2</v>
      </c>
      <c r="Q253" s="40">
        <f t="shared" si="80"/>
        <v>8.8125316745326365E-2</v>
      </c>
      <c r="R253" s="40">
        <f t="shared" si="81"/>
        <v>0.44768206546798955</v>
      </c>
      <c r="S253" s="40">
        <f t="shared" si="82"/>
        <v>0.1131652677438857</v>
      </c>
      <c r="T253" s="40">
        <f t="shared" si="83"/>
        <v>0.12878283501644994</v>
      </c>
      <c r="U253" s="40">
        <f t="shared" si="86"/>
        <v>0.17096367607196936</v>
      </c>
      <c r="V253" s="40">
        <f t="shared" si="87"/>
        <v>6.4712359376970424E-2</v>
      </c>
      <c r="W253" s="40">
        <f t="shared" si="88"/>
        <v>0.14378452683831389</v>
      </c>
      <c r="X253" s="40">
        <f t="shared" si="89"/>
        <v>0.20766708765492206</v>
      </c>
      <c r="Y253" s="40">
        <f t="shared" si="90"/>
        <v>8.3990135377846872E-2</v>
      </c>
      <c r="Z253" s="40">
        <f t="shared" si="91"/>
        <v>0.4475598962636137</v>
      </c>
      <c r="AA253" s="40">
        <f t="shared" si="92"/>
        <v>0.17827349611015894</v>
      </c>
      <c r="AB253" s="40">
        <f t="shared" si="93"/>
        <v>0.13319712350187235</v>
      </c>
      <c r="AC253" s="78">
        <v>35.310001373291023</v>
      </c>
      <c r="AD253" s="40">
        <f t="shared" si="84"/>
        <v>0.12695841738160896</v>
      </c>
    </row>
    <row r="254" spans="2:30" ht="13.95" customHeight="1" x14ac:dyDescent="0.3">
      <c r="B254" s="77">
        <v>45777</v>
      </c>
      <c r="C254" s="107">
        <f t="shared" si="75"/>
        <v>1</v>
      </c>
      <c r="D254" s="107">
        <f t="shared" si="85"/>
        <v>1</v>
      </c>
      <c r="E254" s="106">
        <v>11.9066464074137</v>
      </c>
      <c r="F254" s="106">
        <v>3.3364531954780152</v>
      </c>
      <c r="G254" s="106">
        <v>1.174447876781334</v>
      </c>
      <c r="H254" s="106">
        <v>9.1305745587593918</v>
      </c>
      <c r="I254" s="106">
        <v>1.0277789692429109</v>
      </c>
      <c r="J254" s="106">
        <v>5.0288958316481551</v>
      </c>
      <c r="K254" s="106">
        <v>6.6927229664696846</v>
      </c>
      <c r="L254" s="106">
        <v>4.7511388170989237</v>
      </c>
      <c r="M254" s="40">
        <f t="shared" si="76"/>
        <v>0.18358285436104738</v>
      </c>
      <c r="N254" s="40">
        <f t="shared" si="77"/>
        <v>7.4957050745555004E-2</v>
      </c>
      <c r="O254" s="40">
        <f t="shared" si="78"/>
        <v>0.18938679438917025</v>
      </c>
      <c r="P254" s="40">
        <f t="shared" si="79"/>
        <v>-6.0088666894354867E-2</v>
      </c>
      <c r="Q254" s="40">
        <f t="shared" si="80"/>
        <v>0.10866776014233558</v>
      </c>
      <c r="R254" s="40">
        <f t="shared" si="81"/>
        <v>0.49561339048293596</v>
      </c>
      <c r="S254" s="40">
        <f t="shared" si="82"/>
        <v>5.5025507742471884E-2</v>
      </c>
      <c r="T254" s="40">
        <f t="shared" si="83"/>
        <v>0.14823516116310417</v>
      </c>
      <c r="U254" s="40">
        <f t="shared" si="86"/>
        <v>0.17245888693122521</v>
      </c>
      <c r="V254" s="40">
        <f t="shared" si="87"/>
        <v>6.6325017312542131E-2</v>
      </c>
      <c r="W254" s="40">
        <f t="shared" si="88"/>
        <v>0.13303688606039829</v>
      </c>
      <c r="X254" s="40">
        <f t="shared" si="89"/>
        <v>0.13133480202868297</v>
      </c>
      <c r="Y254" s="40">
        <f t="shared" si="90"/>
        <v>8.1662189009621841E-2</v>
      </c>
      <c r="Z254" s="40">
        <f t="shared" si="91"/>
        <v>0.4035525734578761</v>
      </c>
      <c r="AA254" s="40">
        <f t="shared" si="92"/>
        <v>0.14075292702236489</v>
      </c>
      <c r="AB254" s="40">
        <f t="shared" si="93"/>
        <v>0.13339874729211459</v>
      </c>
      <c r="AC254" s="78">
        <v>33.279998779296882</v>
      </c>
      <c r="AD254" s="40">
        <f t="shared" si="84"/>
        <v>3.8908277727156861E-2</v>
      </c>
    </row>
    <row r="255" spans="2:30" ht="13.95" customHeight="1" x14ac:dyDescent="0.3">
      <c r="B255" s="77">
        <v>45808</v>
      </c>
      <c r="C255" s="107">
        <f t="shared" si="75"/>
        <v>1</v>
      </c>
      <c r="D255" s="107">
        <f t="shared" si="85"/>
        <v>1</v>
      </c>
      <c r="E255" s="106">
        <v>11.909626776210169</v>
      </c>
      <c r="F255" s="106">
        <v>3.207283295329681</v>
      </c>
      <c r="G255" s="106">
        <v>1.2186035053220019</v>
      </c>
      <c r="H255" s="106">
        <v>8.8740008353015778</v>
      </c>
      <c r="I255" s="106">
        <v>1.057221148520769</v>
      </c>
      <c r="J255" s="106">
        <v>5.3650549929457627</v>
      </c>
      <c r="K255" s="106">
        <v>6.5798503483485717</v>
      </c>
      <c r="L255" s="106">
        <v>4.7103270747177479</v>
      </c>
      <c r="M255" s="40">
        <f t="shared" si="76"/>
        <v>0.1800582595313151</v>
      </c>
      <c r="N255" s="40">
        <f t="shared" si="77"/>
        <v>5.5061388342273372E-2</v>
      </c>
      <c r="O255" s="40">
        <f t="shared" si="78"/>
        <v>0.15708149024070667</v>
      </c>
      <c r="P255" s="40">
        <f t="shared" si="79"/>
        <v>-0.1091276348218808</v>
      </c>
      <c r="Q255" s="40">
        <f t="shared" si="80"/>
        <v>0.13324428055269336</v>
      </c>
      <c r="R255" s="40">
        <f t="shared" si="81"/>
        <v>0.25653449180262883</v>
      </c>
      <c r="S255" s="40">
        <f t="shared" si="82"/>
        <v>2.5536490039231256E-2</v>
      </c>
      <c r="T255" s="40">
        <f t="shared" si="83"/>
        <v>0.13551614747479926</v>
      </c>
      <c r="U255" s="40">
        <f t="shared" si="86"/>
        <v>0.16911144510566772</v>
      </c>
      <c r="V255" s="40">
        <f t="shared" si="87"/>
        <v>4.6520351397889799E-2</v>
      </c>
      <c r="W255" s="40">
        <f t="shared" si="88"/>
        <v>0.14477754958044553</v>
      </c>
      <c r="X255" s="40">
        <f t="shared" si="89"/>
        <v>0.12528966705161856</v>
      </c>
      <c r="Y255" s="40">
        <f t="shared" si="90"/>
        <v>9.1906821051852924E-2</v>
      </c>
      <c r="Z255" s="40">
        <f t="shared" si="91"/>
        <v>0.41580678307271796</v>
      </c>
      <c r="AA255" s="40">
        <f t="shared" si="92"/>
        <v>0.13498766619564678</v>
      </c>
      <c r="AB255" s="40">
        <f t="shared" si="93"/>
        <v>0.12647227323616286</v>
      </c>
      <c r="AC255" s="78">
        <v>33.080001831054688</v>
      </c>
      <c r="AD255" s="40">
        <f t="shared" si="84"/>
        <v>1.1553824273118083E-2</v>
      </c>
    </row>
    <row r="256" spans="2:30" ht="13.95" customHeight="1" x14ac:dyDescent="0.3">
      <c r="B256" s="77">
        <v>45838</v>
      </c>
      <c r="C256" s="107">
        <f t="shared" si="75"/>
        <v>1</v>
      </c>
      <c r="D256" s="107">
        <f t="shared" si="85"/>
        <v>1</v>
      </c>
      <c r="E256" s="106">
        <v>11.737627443580481</v>
      </c>
      <c r="F256" s="106">
        <v>3.2344861997063008</v>
      </c>
      <c r="G256" s="106">
        <v>1.249916789764064</v>
      </c>
      <c r="H256" s="106">
        <v>9.1409596578066985</v>
      </c>
      <c r="I256" s="106">
        <v>1.0833962557386569</v>
      </c>
      <c r="J256" s="106">
        <v>5.5178169616162336</v>
      </c>
      <c r="K256" s="106">
        <v>6.6625629335924748</v>
      </c>
      <c r="L256" s="106">
        <v>4.7043315493118483</v>
      </c>
      <c r="M256" s="40">
        <f t="shared" si="76"/>
        <v>0.14144457599813068</v>
      </c>
      <c r="N256" s="40">
        <f t="shared" si="77"/>
        <v>7.1465845361426458E-2</v>
      </c>
      <c r="O256" s="40">
        <f t="shared" si="78"/>
        <v>0.16865591757583626</v>
      </c>
      <c r="P256" s="40">
        <f t="shared" si="79"/>
        <v>-0.14085894061919854</v>
      </c>
      <c r="Q256" s="40">
        <f t="shared" si="80"/>
        <v>0.1491363957316843</v>
      </c>
      <c r="R256" s="40">
        <f t="shared" si="81"/>
        <v>0.25441676056080254</v>
      </c>
      <c r="S256" s="40">
        <f t="shared" si="82"/>
        <v>5.6125160680897798E-4</v>
      </c>
      <c r="T256" s="40">
        <f t="shared" si="83"/>
        <v>0.12212313253451168</v>
      </c>
      <c r="U256" s="40">
        <f t="shared" si="86"/>
        <v>0.16105339667448296</v>
      </c>
      <c r="V256" s="40">
        <f t="shared" si="87"/>
        <v>4.8670040590788451E-2</v>
      </c>
      <c r="W256" s="40">
        <f t="shared" si="88"/>
        <v>0.15127332573475241</v>
      </c>
      <c r="X256" s="40">
        <f t="shared" si="89"/>
        <v>0.11362352805150996</v>
      </c>
      <c r="Y256" s="40">
        <f t="shared" si="90"/>
        <v>9.8800671305594015E-2</v>
      </c>
      <c r="Z256" s="40">
        <f t="shared" si="91"/>
        <v>0.41704506792414631</v>
      </c>
      <c r="AA256" s="40">
        <f t="shared" si="92"/>
        <v>0.12632217407287305</v>
      </c>
      <c r="AB256" s="40">
        <f t="shared" si="93"/>
        <v>0.12373021585756251</v>
      </c>
      <c r="AC256" s="78">
        <v>33.979999542236328</v>
      </c>
      <c r="AD256" s="40">
        <f t="shared" si="84"/>
        <v>5.816291275578931E-2</v>
      </c>
    </row>
    <row r="257" spans="2:30" ht="13.95" customHeight="1" x14ac:dyDescent="0.3">
      <c r="B257" s="77">
        <v>45869</v>
      </c>
      <c r="C257" s="107">
        <f t="shared" si="75"/>
        <v>1</v>
      </c>
      <c r="D257" s="107">
        <f t="shared" si="85"/>
        <v>1</v>
      </c>
      <c r="E257" s="106">
        <v>11.813927473320391</v>
      </c>
      <c r="F257" s="106">
        <v>3.2585799743850008</v>
      </c>
      <c r="G257" s="106">
        <v>1.257944056760943</v>
      </c>
      <c r="H257" s="106">
        <v>8.72348022071378</v>
      </c>
      <c r="I257" s="106">
        <v>1.093098059432851</v>
      </c>
      <c r="J257" s="106">
        <v>5.512323280969988</v>
      </c>
      <c r="K257" s="106">
        <v>6.5513165357093959</v>
      </c>
      <c r="L257" s="106">
        <v>4.7362822620589684</v>
      </c>
      <c r="M257" s="40">
        <f t="shared" si="76"/>
        <v>0.1355450881357019</v>
      </c>
      <c r="N257" s="40">
        <f t="shared" si="77"/>
        <v>9.3490960038987991E-2</v>
      </c>
      <c r="O257" s="40">
        <f t="shared" si="78"/>
        <v>0.16560247885161747</v>
      </c>
      <c r="P257" s="40">
        <f t="shared" si="79"/>
        <v>-0.28143747703079713</v>
      </c>
      <c r="Q257" s="40">
        <f t="shared" si="80"/>
        <v>0.157219611239304</v>
      </c>
      <c r="R257" s="40">
        <f t="shared" si="81"/>
        <v>0.2182108012521477</v>
      </c>
      <c r="S257" s="40">
        <f t="shared" si="82"/>
        <v>-6.7635739114636953E-2</v>
      </c>
      <c r="T257" s="40">
        <f t="shared" si="83"/>
        <v>0.12572484329725833</v>
      </c>
      <c r="U257" s="40">
        <f t="shared" si="86"/>
        <v>0.15682114589412965</v>
      </c>
      <c r="V257" s="40">
        <f t="shared" si="87"/>
        <v>4.4158076316617376E-2</v>
      </c>
      <c r="W257" s="40">
        <f t="shared" si="88"/>
        <v>0.15339251284827035</v>
      </c>
      <c r="X257" s="40">
        <f t="shared" si="89"/>
        <v>9.1244532940945061E-2</v>
      </c>
      <c r="Y257" s="40">
        <f t="shared" si="90"/>
        <v>0.10282127959744317</v>
      </c>
      <c r="Z257" s="40">
        <f t="shared" si="91"/>
        <v>0.40567303625237977</v>
      </c>
      <c r="AA257" s="40">
        <f t="shared" si="92"/>
        <v>0.11375729968948146</v>
      </c>
      <c r="AB257" s="40">
        <f t="shared" si="93"/>
        <v>0.12017861120530302</v>
      </c>
      <c r="AC257" s="78">
        <v>33.759998321533203</v>
      </c>
      <c r="AD257" s="40">
        <f t="shared" si="84"/>
        <v>9.4037258764055581E-2</v>
      </c>
    </row>
    <row r="258" spans="2:30" ht="13.95" customHeight="1" x14ac:dyDescent="0.3">
      <c r="B258" s="77">
        <v>45900</v>
      </c>
      <c r="C258" s="107">
        <f t="shared" si="75"/>
        <v>1</v>
      </c>
      <c r="D258" s="107">
        <f t="shared" si="85"/>
        <v>1</v>
      </c>
      <c r="E258" s="106">
        <v>11.865057725106359</v>
      </c>
      <c r="F258" s="106">
        <v>3.2509947122312748</v>
      </c>
      <c r="G258" s="106">
        <v>1.2858267754639401</v>
      </c>
      <c r="H258" s="106">
        <v>9.6239251080691215</v>
      </c>
      <c r="I258" s="106">
        <v>1.11064600708682</v>
      </c>
      <c r="J258" s="106">
        <v>5.7338965982099168</v>
      </c>
      <c r="K258" s="106">
        <v>6.8639357367265781</v>
      </c>
      <c r="L258" s="106">
        <v>4.759590392907425</v>
      </c>
      <c r="M258" s="40">
        <f t="shared" si="76"/>
        <v>0.11821631568402896</v>
      </c>
      <c r="N258" s="40">
        <f t="shared" si="77"/>
        <v>5.0609151231778136E-2</v>
      </c>
      <c r="O258" s="40">
        <f t="shared" si="78"/>
        <v>0.24371739373259996</v>
      </c>
      <c r="P258" s="40">
        <f t="shared" si="79"/>
        <v>-0.11946058207029848</v>
      </c>
      <c r="Q258" s="40">
        <f t="shared" si="80"/>
        <v>0.18898167558509585</v>
      </c>
      <c r="R258" s="40">
        <f t="shared" si="81"/>
        <v>0.43741861391097997</v>
      </c>
      <c r="S258" s="40">
        <f t="shared" si="82"/>
        <v>4.3486604708022018E-3</v>
      </c>
      <c r="T258" s="40">
        <f t="shared" si="83"/>
        <v>0.11247263160740782</v>
      </c>
      <c r="U258" s="40">
        <f t="shared" si="86"/>
        <v>0.15145622516928961</v>
      </c>
      <c r="V258" s="40">
        <f t="shared" si="87"/>
        <v>4.4376175957825989E-2</v>
      </c>
      <c r="W258" s="40">
        <f t="shared" si="88"/>
        <v>0.16023403258574412</v>
      </c>
      <c r="X258" s="40">
        <f t="shared" si="89"/>
        <v>0.10454110829284495</v>
      </c>
      <c r="Y258" s="40">
        <f t="shared" si="90"/>
        <v>0.10962073140327024</v>
      </c>
      <c r="Z258" s="40">
        <f t="shared" si="91"/>
        <v>0.40444033632415605</v>
      </c>
      <c r="AA258" s="40">
        <f t="shared" si="92"/>
        <v>0.11754414541416473</v>
      </c>
      <c r="AB258" s="40">
        <f t="shared" si="93"/>
        <v>0.11819896897892312</v>
      </c>
      <c r="AC258" s="78">
        <v>34.529998779296882</v>
      </c>
      <c r="AD258" s="40">
        <f t="shared" si="84"/>
        <v>0.12050170315300801</v>
      </c>
    </row>
    <row r="259" spans="2:30" ht="13.95" customHeight="1" x14ac:dyDescent="0.3">
      <c r="B259" s="77">
        <v>45930</v>
      </c>
      <c r="C259" s="107">
        <f t="shared" si="75"/>
        <v>1</v>
      </c>
      <c r="D259" s="107">
        <f t="shared" si="85"/>
        <v>1</v>
      </c>
      <c r="E259" s="106">
        <v>11.91508136326819</v>
      </c>
      <c r="F259" s="106">
        <v>3.4037728946766892</v>
      </c>
      <c r="G259" s="106">
        <v>1.3190570878382011</v>
      </c>
      <c r="H259" s="106">
        <v>8.8777548740002388</v>
      </c>
      <c r="I259" s="106">
        <v>1.141209779366289</v>
      </c>
      <c r="J259" s="106">
        <v>5.8537654749848738</v>
      </c>
      <c r="K259" s="106">
        <v>6.6986184922347611</v>
      </c>
      <c r="L259" s="106">
        <v>4.8580673378874346</v>
      </c>
      <c r="M259" s="40">
        <f t="shared" si="76"/>
        <v>0.10751357374670836</v>
      </c>
      <c r="N259" s="40">
        <f t="shared" si="77"/>
        <v>6.6747097473365394E-2</v>
      </c>
      <c r="O259" s="40">
        <f t="shared" si="78"/>
        <v>0.23954572867491747</v>
      </c>
      <c r="P259" s="40">
        <f t="shared" si="79"/>
        <v>-0.16001640309933457</v>
      </c>
      <c r="Q259" s="40">
        <f t="shared" si="80"/>
        <v>0.19854426427551239</v>
      </c>
      <c r="R259" s="40">
        <f t="shared" si="81"/>
        <v>0.38181389210228495</v>
      </c>
      <c r="S259" s="40">
        <f t="shared" si="82"/>
        <v>-1.0412547379711081E-2</v>
      </c>
      <c r="T259" s="40">
        <f t="shared" si="83"/>
        <v>0.11105998719847039</v>
      </c>
      <c r="U259" s="40">
        <f t="shared" si="86"/>
        <v>0.15115355856332807</v>
      </c>
      <c r="V259" s="40">
        <f t="shared" si="87"/>
        <v>4.9972237570787371E-2</v>
      </c>
      <c r="W259" s="40">
        <f t="shared" si="88"/>
        <v>0.16445266748607756</v>
      </c>
      <c r="X259" s="40">
        <f t="shared" si="89"/>
        <v>8.2343572711326876E-2</v>
      </c>
      <c r="Y259" s="40">
        <f t="shared" si="90"/>
        <v>0.11672793881428882</v>
      </c>
      <c r="Z259" s="40">
        <f t="shared" si="91"/>
        <v>0.38798334349923091</v>
      </c>
      <c r="AA259" s="40">
        <f t="shared" si="92"/>
        <v>0.10905752035650793</v>
      </c>
      <c r="AB259" s="40">
        <f t="shared" si="93"/>
        <v>0.1204197537803869</v>
      </c>
      <c r="AC259" s="78">
        <v>35.439998626708977</v>
      </c>
      <c r="AD259" s="40">
        <f t="shared" si="84"/>
        <v>9.4633117287081431E-2</v>
      </c>
    </row>
    <row r="260" spans="2:30" ht="13.95" customHeight="1" x14ac:dyDescent="0.3">
      <c r="B260" s="77">
        <v>45961</v>
      </c>
      <c r="C260" s="107">
        <f t="shared" si="75"/>
        <v>1</v>
      </c>
      <c r="D260" s="107">
        <f t="shared" si="85"/>
        <v>1</v>
      </c>
      <c r="E260" s="106">
        <v>12.07817637318532</v>
      </c>
      <c r="F260" s="106">
        <v>3.4167613056882922</v>
      </c>
      <c r="G260" s="106">
        <v>1.3558669285292859</v>
      </c>
      <c r="H260" s="106">
        <v>8.6620598699544438</v>
      </c>
      <c r="I260" s="106">
        <v>1.1595354370648789</v>
      </c>
      <c r="J260" s="106">
        <v>6.2219725659890281</v>
      </c>
      <c r="K260" s="106">
        <v>6.6775208069407901</v>
      </c>
      <c r="L260" s="106">
        <v>4.9207505198244306</v>
      </c>
      <c r="M260" s="40">
        <f t="shared" si="76"/>
        <v>0.10365247553481617</v>
      </c>
      <c r="N260" s="40">
        <f t="shared" si="77"/>
        <v>9.6697803481071987E-2</v>
      </c>
      <c r="O260" s="40">
        <f t="shared" si="78"/>
        <v>0.20810998645814335</v>
      </c>
      <c r="P260" s="40">
        <f t="shared" si="79"/>
        <v>-0.13175600818315789</v>
      </c>
      <c r="Q260" s="40">
        <f t="shared" si="80"/>
        <v>0.1613108227324456</v>
      </c>
      <c r="R260" s="40">
        <f t="shared" si="81"/>
        <v>0.36251963621173283</v>
      </c>
      <c r="S260" s="40">
        <f t="shared" si="82"/>
        <v>8.4079622832088537E-3</v>
      </c>
      <c r="T260" s="40">
        <f t="shared" si="83"/>
        <v>0.11574772827375748</v>
      </c>
      <c r="U260" s="40">
        <f t="shared" si="86"/>
        <v>0.15370037553143498</v>
      </c>
      <c r="V260" s="40">
        <f t="shared" si="87"/>
        <v>4.5183385510740297E-2</v>
      </c>
      <c r="W260" s="40">
        <f t="shared" si="88"/>
        <v>0.16983643676128393</v>
      </c>
      <c r="X260" s="40">
        <f t="shared" si="89"/>
        <v>8.328037295406289E-2</v>
      </c>
      <c r="Y260" s="40">
        <f t="shared" si="90"/>
        <v>0.1218210183816672</v>
      </c>
      <c r="Z260" s="40">
        <f t="shared" si="91"/>
        <v>0.38265212202449073</v>
      </c>
      <c r="AA260" s="40">
        <f t="shared" si="92"/>
        <v>0.1113642954870335</v>
      </c>
      <c r="AB260" s="40">
        <f t="shared" si="93"/>
        <v>0.12112116654114784</v>
      </c>
      <c r="AC260" s="78">
        <v>36.549999237060547</v>
      </c>
      <c r="AD260" s="40">
        <f t="shared" si="84"/>
        <v>0.14078843998323026</v>
      </c>
    </row>
    <row r="261" spans="2:30" ht="13.95" customHeight="1" x14ac:dyDescent="0.3">
      <c r="B261" s="77">
        <v>45991</v>
      </c>
      <c r="C261" s="107">
        <f t="shared" si="75"/>
        <v>1</v>
      </c>
      <c r="D261" s="107">
        <f t="shared" si="85"/>
        <v>1</v>
      </c>
      <c r="E261" s="106">
        <v>12.172418155388121</v>
      </c>
      <c r="F261" s="106">
        <v>3.4198200679772559</v>
      </c>
      <c r="G261" s="106">
        <v>1.4159822602232739</v>
      </c>
      <c r="H261" s="106">
        <v>8.4853808583746968</v>
      </c>
      <c r="I261" s="106">
        <v>1.188135703729817</v>
      </c>
      <c r="J261" s="106">
        <v>6.8434005808627516</v>
      </c>
      <c r="K261" s="106">
        <v>6.6648636686010478</v>
      </c>
      <c r="L261" s="106">
        <v>4.9786648685617321</v>
      </c>
      <c r="M261" s="40">
        <f t="shared" si="76"/>
        <v>8.8372403133464617E-2</v>
      </c>
      <c r="N261" s="40">
        <f t="shared" si="77"/>
        <v>5.8214311031837204E-2</v>
      </c>
      <c r="O261" s="40">
        <f t="shared" si="78"/>
        <v>0.23152014593593445</v>
      </c>
      <c r="P261" s="40">
        <f t="shared" si="79"/>
        <v>-0.19275510581309055</v>
      </c>
      <c r="Q261" s="40">
        <f t="shared" si="80"/>
        <v>0.16223989213182513</v>
      </c>
      <c r="R261" s="40">
        <f t="shared" si="81"/>
        <v>0.45031958230864322</v>
      </c>
      <c r="S261" s="40">
        <f t="shared" si="82"/>
        <v>-2.7599145924493397E-2</v>
      </c>
      <c r="T261" s="40">
        <f t="shared" si="83"/>
        <v>9.9318058960517874E-2</v>
      </c>
      <c r="U261" s="40">
        <f t="shared" si="86"/>
        <v>0.15121078287159223</v>
      </c>
      <c r="V261" s="40">
        <f t="shared" si="87"/>
        <v>4.8616951184681005E-2</v>
      </c>
      <c r="W261" s="40">
        <f t="shared" si="88"/>
        <v>0.19114511761829914</v>
      </c>
      <c r="X261" s="40">
        <f t="shared" si="89"/>
        <v>7.944814096880333E-2</v>
      </c>
      <c r="Y261" s="40">
        <f t="shared" si="90"/>
        <v>0.14868625684594414</v>
      </c>
      <c r="Z261" s="40">
        <f t="shared" si="91"/>
        <v>0.35479908632853813</v>
      </c>
      <c r="AA261" s="40">
        <f t="shared" si="92"/>
        <v>0.11156810652435661</v>
      </c>
      <c r="AB261" s="40">
        <f t="shared" si="93"/>
        <v>0.12381879580055438</v>
      </c>
      <c r="AC261" s="78">
        <v>37.819999694824219</v>
      </c>
      <c r="AD261" s="40">
        <f t="shared" si="84"/>
        <v>0.1755754639928844</v>
      </c>
    </row>
    <row r="262" spans="2:30" ht="13.95" customHeight="1" x14ac:dyDescent="0.3">
      <c r="B262" s="77">
        <v>46022</v>
      </c>
      <c r="C262" s="107">
        <f t="shared" si="75"/>
        <v>1</v>
      </c>
      <c r="D262" s="107">
        <f t="shared" si="85"/>
        <v>1</v>
      </c>
      <c r="E262" s="106">
        <v>12.684881450160979</v>
      </c>
      <c r="F262" s="106">
        <v>3.618645327907561</v>
      </c>
      <c r="G262" s="106">
        <v>1.5283820232133689</v>
      </c>
      <c r="H262" s="106">
        <v>8.7132319666354388</v>
      </c>
      <c r="I262" s="106">
        <v>1.2234295518191709</v>
      </c>
      <c r="J262" s="106">
        <v>8.2745183832377691</v>
      </c>
      <c r="K262" s="106">
        <v>6.9456709235619858</v>
      </c>
      <c r="L262" s="106">
        <v>5.2438457265257146</v>
      </c>
      <c r="M262" s="40">
        <f t="shared" si="76"/>
        <v>0.12207906698518037</v>
      </c>
      <c r="N262" s="40">
        <f t="shared" si="77"/>
        <v>0.12715597815107552</v>
      </c>
      <c r="O262" s="40">
        <f t="shared" si="78"/>
        <v>0.26396362055568423</v>
      </c>
      <c r="P262" s="40">
        <f t="shared" si="79"/>
        <v>-0.19939388114425513</v>
      </c>
      <c r="Q262" s="40">
        <f t="shared" si="80"/>
        <v>0.19583905829108372</v>
      </c>
      <c r="R262" s="40">
        <f t="shared" si="81"/>
        <v>0.4376946761007473</v>
      </c>
      <c r="S262" s="40">
        <f t="shared" si="82"/>
        <v>-5.5924479659802276E-3</v>
      </c>
      <c r="T262" s="40">
        <f t="shared" si="83"/>
        <v>0.1454406424410469</v>
      </c>
      <c r="U262" s="40">
        <f t="shared" si="86"/>
        <v>0.15935309041846218</v>
      </c>
      <c r="V262" s="40">
        <f t="shared" si="87"/>
        <v>5.6679880383989488E-2</v>
      </c>
      <c r="W262" s="40">
        <f t="shared" si="88"/>
        <v>0.20787868417466579</v>
      </c>
      <c r="X262" s="40">
        <f t="shared" si="89"/>
        <v>8.025809433007354E-2</v>
      </c>
      <c r="Y262" s="40">
        <f t="shared" si="90"/>
        <v>0.15312848023529838</v>
      </c>
      <c r="Z262" s="40">
        <f t="shared" si="91"/>
        <v>0.40265466356869378</v>
      </c>
      <c r="AA262" s="40">
        <f t="shared" si="92"/>
        <v>0.11703620595282324</v>
      </c>
      <c r="AB262" s="40">
        <f t="shared" si="93"/>
        <v>0.13330674250689742</v>
      </c>
      <c r="AC262" s="78">
        <v>37.610000610351563</v>
      </c>
      <c r="AD262" s="40">
        <f t="shared" si="84"/>
        <v>0.15872552883391941</v>
      </c>
    </row>
    <row r="263" spans="2:30" ht="13.95" customHeight="1" x14ac:dyDescent="0.3">
      <c r="B263" s="77">
        <v>46053</v>
      </c>
      <c r="C263" s="107">
        <f t="shared" si="75"/>
        <v>1</v>
      </c>
      <c r="D263" s="107">
        <f t="shared" si="85"/>
        <v>1</v>
      </c>
      <c r="E263" s="106">
        <v>12.908349261563901</v>
      </c>
      <c r="F263" s="106">
        <v>3.6803721713423361</v>
      </c>
      <c r="G263" s="106">
        <v>1.455906691267131</v>
      </c>
      <c r="H263" s="106">
        <v>8.8973699009018592</v>
      </c>
      <c r="I263" s="106">
        <v>1.2310173157615181</v>
      </c>
      <c r="J263" s="106">
        <v>6.9274062731899706</v>
      </c>
      <c r="K263" s="106">
        <v>7.0313308750178551</v>
      </c>
      <c r="L263" s="106">
        <v>5.2757722448432638</v>
      </c>
      <c r="M263" s="40">
        <f t="shared" si="76"/>
        <v>0.13361782620940338</v>
      </c>
      <c r="N263" s="40">
        <f t="shared" si="77"/>
        <v>0.17988543382750921</v>
      </c>
      <c r="O263" s="40">
        <f t="shared" si="78"/>
        <v>0.26406434858621397</v>
      </c>
      <c r="P263" s="40">
        <f t="shared" si="79"/>
        <v>-0.16813250218950768</v>
      </c>
      <c r="Q263" s="40">
        <f t="shared" si="80"/>
        <v>0.21934764573733892</v>
      </c>
      <c r="R263" s="40">
        <f t="shared" si="81"/>
        <v>0.40525458175912604</v>
      </c>
      <c r="S263" s="40">
        <f t="shared" si="82"/>
        <v>1.9875976664448906E-2</v>
      </c>
      <c r="T263" s="40">
        <f t="shared" si="83"/>
        <v>0.16738755794932975</v>
      </c>
      <c r="U263" s="40">
        <f t="shared" si="86"/>
        <v>0.15681831851219388</v>
      </c>
      <c r="V263" s="40">
        <f t="shared" si="87"/>
        <v>6.8901498416867116E-2</v>
      </c>
      <c r="W263" s="40">
        <f t="shared" si="88"/>
        <v>0.19309893254754837</v>
      </c>
      <c r="X263" s="40">
        <f t="shared" si="89"/>
        <v>8.4561121017324492E-2</v>
      </c>
      <c r="Y263" s="40">
        <f t="shared" si="90"/>
        <v>0.14997930780033786</v>
      </c>
      <c r="Z263" s="40">
        <f t="shared" si="91"/>
        <v>0.36735743299092316</v>
      </c>
      <c r="AA263" s="40">
        <f t="shared" si="92"/>
        <v>0.11890777922228683</v>
      </c>
      <c r="AB263" s="40">
        <f t="shared" si="93"/>
        <v>0.13327644469581906</v>
      </c>
      <c r="AC263" s="78">
        <v>42.459999084472663</v>
      </c>
      <c r="AD263" s="40">
        <f t="shared" si="84"/>
        <v>0.23433402654613672</v>
      </c>
    </row>
    <row r="264" spans="2:30" ht="13.95" customHeight="1" x14ac:dyDescent="0.3">
      <c r="B264" s="77">
        <v>46081</v>
      </c>
      <c r="C264" s="107">
        <f t="shared" si="75"/>
        <v>1</v>
      </c>
      <c r="D264" s="107">
        <f t="shared" si="85"/>
        <v>1</v>
      </c>
      <c r="E264" s="106">
        <v>13.09000598084998</v>
      </c>
      <c r="F264" s="106">
        <v>3.749835655169969</v>
      </c>
      <c r="G264" s="106">
        <v>1.47302326469349</v>
      </c>
      <c r="H264" s="106">
        <v>8.9142720501625412</v>
      </c>
      <c r="I264" s="106">
        <v>1.2567861892218819</v>
      </c>
      <c r="J264" s="106">
        <v>6.8412896095423061</v>
      </c>
      <c r="K264" s="106">
        <v>7.1005462642316202</v>
      </c>
      <c r="L264" s="106">
        <v>5.3557598450973831</v>
      </c>
      <c r="M264" s="40">
        <f t="shared" si="76"/>
        <v>0.12771769904069102</v>
      </c>
      <c r="N264" s="40">
        <f t="shared" si="77"/>
        <v>0.20581302140777202</v>
      </c>
      <c r="O264" s="40">
        <f t="shared" si="78"/>
        <v>0.24722613301645918</v>
      </c>
      <c r="P264" s="40">
        <f t="shared" si="79"/>
        <v>-0.15795781716221341</v>
      </c>
      <c r="Q264" s="40">
        <f t="shared" si="80"/>
        <v>0.24000874107249662</v>
      </c>
      <c r="R264" s="40">
        <f t="shared" si="81"/>
        <v>0.27063523160378555</v>
      </c>
      <c r="S264" s="40">
        <f t="shared" si="82"/>
        <v>2.7354708094582993E-2</v>
      </c>
      <c r="T264" s="40">
        <f t="shared" si="83"/>
        <v>0.1706884171891288</v>
      </c>
      <c r="U264" s="40">
        <f t="shared" si="86"/>
        <v>0.15602353863941756</v>
      </c>
      <c r="V264" s="40">
        <f t="shared" si="87"/>
        <v>6.7282612037201067E-2</v>
      </c>
      <c r="W264" s="40">
        <f t="shared" si="88"/>
        <v>0.19902546532598422</v>
      </c>
      <c r="X264" s="40">
        <f t="shared" si="89"/>
        <v>8.1452148042686245E-2</v>
      </c>
      <c r="Y264" s="40">
        <f t="shared" si="90"/>
        <v>0.15707803738066123</v>
      </c>
      <c r="Z264" s="40">
        <f t="shared" si="91"/>
        <v>0.3737229384415991</v>
      </c>
      <c r="AA264" s="40">
        <f t="shared" si="92"/>
        <v>0.11755709946591709</v>
      </c>
      <c r="AB264" s="40">
        <f t="shared" si="93"/>
        <v>0.13294996366784229</v>
      </c>
      <c r="AC264" s="78">
        <v>42.689998626708977</v>
      </c>
      <c r="AD264" s="40">
        <f t="shared" si="84"/>
        <v>0.23025471696319724</v>
      </c>
    </row>
    <row r="265" spans="2:30" ht="13.95" customHeight="1" x14ac:dyDescent="0.3">
      <c r="B265" s="77">
        <v>46112</v>
      </c>
      <c r="C265" s="107">
        <f t="shared" si="75"/>
        <v>1</v>
      </c>
      <c r="D265" s="107">
        <f t="shared" si="85"/>
        <v>1</v>
      </c>
      <c r="E265" s="106">
        <v>13.26715323634733</v>
      </c>
      <c r="F265" s="106">
        <v>3.751356421795796</v>
      </c>
      <c r="G265" s="106">
        <v>1.6029171122598871</v>
      </c>
      <c r="H265" s="106">
        <v>11.19516002007037</v>
      </c>
      <c r="I265" s="106">
        <v>1.2763912065242089</v>
      </c>
      <c r="J265" s="106">
        <v>8.7957788696822554</v>
      </c>
      <c r="K265" s="106">
        <v>7.9167253917344169</v>
      </c>
      <c r="L265" s="106">
        <v>5.4717740132981483</v>
      </c>
      <c r="M265" s="40">
        <f t="shared" si="76"/>
        <v>0.12395372610939588</v>
      </c>
      <c r="N265" s="40">
        <f t="shared" si="77"/>
        <v>0.15725938095738221</v>
      </c>
      <c r="O265" s="40">
        <f t="shared" si="78"/>
        <v>0.31387236772424176</v>
      </c>
      <c r="P265" s="40">
        <f t="shared" si="79"/>
        <v>6.0235878796919225E-2</v>
      </c>
      <c r="Q265" s="40">
        <f t="shared" si="80"/>
        <v>0.24905079923441212</v>
      </c>
      <c r="R265" s="40">
        <f t="shared" si="81"/>
        <v>0.46950208909840369</v>
      </c>
      <c r="S265" s="40">
        <f t="shared" si="82"/>
        <v>0.11664319278755382</v>
      </c>
      <c r="T265" s="40">
        <f t="shared" si="83"/>
        <v>0.16385826014012894</v>
      </c>
      <c r="U265" s="40">
        <f t="shared" si="86"/>
        <v>0.15443687450259194</v>
      </c>
      <c r="V265" s="40">
        <f t="shared" si="87"/>
        <v>6.1179822858090857E-2</v>
      </c>
      <c r="W265" s="40">
        <f t="shared" si="88"/>
        <v>0.22122963314692842</v>
      </c>
      <c r="X265" s="40">
        <f t="shared" si="89"/>
        <v>0.11240890715965773</v>
      </c>
      <c r="Y265" s="40">
        <f t="shared" si="90"/>
        <v>0.16641071737328325</v>
      </c>
      <c r="Z265" s="40">
        <f t="shared" si="91"/>
        <v>0.41238778660412045</v>
      </c>
      <c r="AA265" s="40">
        <f t="shared" si="92"/>
        <v>0.12773274493889136</v>
      </c>
      <c r="AB265" s="40">
        <f t="shared" si="93"/>
        <v>0.13360933534784514</v>
      </c>
      <c r="AC265" s="78">
        <v>48.139999389648438</v>
      </c>
      <c r="AD265" s="40">
        <f t="shared" si="84"/>
        <v>0.30994717084354273</v>
      </c>
    </row>
    <row r="266" spans="2:30" ht="13.95" customHeight="1" x14ac:dyDescent="0.3">
      <c r="B266" s="77">
        <v>46142</v>
      </c>
      <c r="C266" s="107">
        <f t="shared" si="75"/>
        <v>1</v>
      </c>
      <c r="D266" s="107">
        <f t="shared" si="85"/>
        <v>1</v>
      </c>
      <c r="E266" s="106">
        <v>13.47935185551475</v>
      </c>
      <c r="F266" s="106">
        <v>3.902925875376996</v>
      </c>
      <c r="G266" s="106">
        <v>1.4971946595921151</v>
      </c>
      <c r="H266" s="106">
        <v>12.628862192881581</v>
      </c>
      <c r="I266" s="106">
        <v>1.274245183883941</v>
      </c>
      <c r="J266" s="106">
        <v>7.0045631358369924</v>
      </c>
      <c r="K266" s="106">
        <v>8.412942226862155</v>
      </c>
      <c r="L266" s="106">
        <v>5.521510705711008</v>
      </c>
      <c r="M266" s="40">
        <f t="shared" si="76"/>
        <v>0.12406225655934751</v>
      </c>
      <c r="N266" s="40">
        <f t="shared" si="77"/>
        <v>0.15681817108038254</v>
      </c>
      <c r="O266" s="40">
        <f t="shared" si="78"/>
        <v>0.24279498505034167</v>
      </c>
      <c r="P266" s="40">
        <f t="shared" si="79"/>
        <v>0.32435622115878576</v>
      </c>
      <c r="Q266" s="40">
        <f t="shared" si="80"/>
        <v>0.21495385721085153</v>
      </c>
      <c r="R266" s="40">
        <f t="shared" si="81"/>
        <v>0.33136136978081421</v>
      </c>
      <c r="S266" s="40">
        <f t="shared" si="82"/>
        <v>0.22875044968942854</v>
      </c>
      <c r="T266" s="40">
        <f t="shared" si="83"/>
        <v>0.15026716113761637</v>
      </c>
      <c r="U266" s="40">
        <f t="shared" si="86"/>
        <v>0.15580146910869597</v>
      </c>
      <c r="V266" s="40">
        <f t="shared" si="87"/>
        <v>7.8673174109872138E-2</v>
      </c>
      <c r="W266" s="40">
        <f t="shared" si="88"/>
        <v>0.20215706338148137</v>
      </c>
      <c r="X266" s="40">
        <f t="shared" si="89"/>
        <v>0.11805829617017989</v>
      </c>
      <c r="Y266" s="40">
        <f t="shared" si="90"/>
        <v>0.15999117045795089</v>
      </c>
      <c r="Z266" s="40">
        <f t="shared" si="91"/>
        <v>0.37635004838503061</v>
      </c>
      <c r="AA266" s="40">
        <f t="shared" si="92"/>
        <v>0.12859854068941509</v>
      </c>
      <c r="AB266" s="40">
        <f t="shared" si="93"/>
        <v>0.13666453344382426</v>
      </c>
      <c r="AC266" s="78">
        <v>50.430000305175781</v>
      </c>
      <c r="AD266" s="40">
        <f t="shared" si="84"/>
        <v>0.41562966286688086</v>
      </c>
    </row>
    <row r="267" spans="2:30" ht="13.95" customHeight="1" x14ac:dyDescent="0.3">
      <c r="B267" s="77">
        <v>46173</v>
      </c>
      <c r="C267" s="107">
        <f t="shared" si="75"/>
        <v>1</v>
      </c>
      <c r="D267" s="107">
        <f t="shared" si="85"/>
        <v>1</v>
      </c>
      <c r="E267" s="106">
        <v>13.35568663845385</v>
      </c>
      <c r="F267" s="106">
        <v>3.8443752637315529</v>
      </c>
      <c r="G267" s="106">
        <v>1.5459915671128091</v>
      </c>
      <c r="H267" s="106">
        <v>11.584710679355959</v>
      </c>
      <c r="I267" s="106">
        <v>1.2953809338513</v>
      </c>
      <c r="J267" s="106">
        <v>7.5397389216658413</v>
      </c>
      <c r="K267" s="106">
        <v>8.0718190249164383</v>
      </c>
      <c r="L267" s="106">
        <v>5.4985370338099804</v>
      </c>
      <c r="M267" s="40">
        <f t="shared" si="76"/>
        <v>0.11459521370986277</v>
      </c>
      <c r="N267" s="40">
        <f t="shared" si="77"/>
        <v>0.18118685621853858</v>
      </c>
      <c r="O267" s="40">
        <f t="shared" si="78"/>
        <v>0.23795996015766396</v>
      </c>
      <c r="P267" s="40">
        <f t="shared" si="79"/>
        <v>0.26656043675823832</v>
      </c>
      <c r="Q267" s="40">
        <f t="shared" si="80"/>
        <v>0.20316090148573648</v>
      </c>
      <c r="R267" s="40">
        <f t="shared" si="81"/>
        <v>0.34028092930041121</v>
      </c>
      <c r="S267" s="40">
        <f t="shared" si="82"/>
        <v>0.20436686102894958</v>
      </c>
      <c r="T267" s="40">
        <f t="shared" si="83"/>
        <v>0.15472471477052224</v>
      </c>
      <c r="U267" s="40">
        <f t="shared" si="86"/>
        <v>0.1439943763020243</v>
      </c>
      <c r="V267" s="40">
        <f t="shared" si="87"/>
        <v>7.7475178699332736E-2</v>
      </c>
      <c r="W267" s="40">
        <f t="shared" si="88"/>
        <v>0.20089308785949878</v>
      </c>
      <c r="X267" s="40">
        <f t="shared" si="89"/>
        <v>8.8767669432307031E-2</v>
      </c>
      <c r="Y267" s="40">
        <f t="shared" si="90"/>
        <v>0.15544965851876091</v>
      </c>
      <c r="Z267" s="40">
        <f t="shared" si="91"/>
        <v>0.3817249295487195</v>
      </c>
      <c r="AA267" s="40">
        <f t="shared" si="92"/>
        <v>0.1113687003009855</v>
      </c>
      <c r="AB267" s="40">
        <f t="shared" si="93"/>
        <v>0.12999620766922479</v>
      </c>
      <c r="AC267" s="78">
        <v>48.389999389648438</v>
      </c>
      <c r="AD267" s="40">
        <f t="shared" si="84"/>
        <v>0.3803642426842444</v>
      </c>
    </row>
    <row r="268" spans="2:30" ht="13.95" customHeight="1" x14ac:dyDescent="0.3">
      <c r="B268" s="77">
        <v>46203</v>
      </c>
      <c r="C268" s="107">
        <f t="shared" si="75"/>
        <v>1</v>
      </c>
      <c r="D268" s="107">
        <f t="shared" si="85"/>
        <v>1</v>
      </c>
      <c r="E268" s="106">
        <v>13.58022384231198</v>
      </c>
      <c r="F268" s="106">
        <v>3.8796675986335729</v>
      </c>
      <c r="G268" s="106">
        <v>1.582387598119751</v>
      </c>
      <c r="H268" s="106">
        <v>11.44636958699107</v>
      </c>
      <c r="I268" s="106">
        <v>1.3041247773443421</v>
      </c>
      <c r="J268" s="106">
        <v>8.044165099906337</v>
      </c>
      <c r="K268" s="106">
        <v>8.0989335396348672</v>
      </c>
      <c r="L268" s="106">
        <v>5.5845479778815541</v>
      </c>
      <c r="M268" s="40">
        <f t="shared" si="76"/>
        <v>0.14581490293981117</v>
      </c>
      <c r="N268" s="40">
        <f t="shared" si="77"/>
        <v>0.18187938960977298</v>
      </c>
      <c r="O268" s="40">
        <f t="shared" si="78"/>
        <v>0.23585786355949137</v>
      </c>
      <c r="P268" s="40">
        <f t="shared" si="79"/>
        <v>0.22490723774756577</v>
      </c>
      <c r="Q268" s="40">
        <f t="shared" si="80"/>
        <v>0.18543135886701581</v>
      </c>
      <c r="R268" s="40">
        <f t="shared" si="81"/>
        <v>0.37696469220386003</v>
      </c>
      <c r="S268" s="40">
        <f t="shared" si="82"/>
        <v>0.19522815584681219</v>
      </c>
      <c r="T268" s="40">
        <f t="shared" si="83"/>
        <v>0.17151980368577086</v>
      </c>
      <c r="U268" s="40">
        <f t="shared" si="86"/>
        <v>0.14575927223167892</v>
      </c>
      <c r="V268" s="40">
        <f t="shared" si="87"/>
        <v>8.5367817160034984E-2</v>
      </c>
      <c r="W268" s="40">
        <f t="shared" si="88"/>
        <v>0.20128659650797634</v>
      </c>
      <c r="X268" s="40">
        <f t="shared" si="89"/>
        <v>7.6553181339454823E-2</v>
      </c>
      <c r="Y268" s="40">
        <f t="shared" si="90"/>
        <v>0.15308617347308193</v>
      </c>
      <c r="Z268" s="40">
        <f t="shared" si="91"/>
        <v>0.38448191394540687</v>
      </c>
      <c r="AA268" s="40">
        <f t="shared" si="92"/>
        <v>0.10660738867271678</v>
      </c>
      <c r="AB268" s="40">
        <f t="shared" si="93"/>
        <v>0.13362136534072594</v>
      </c>
      <c r="AC268" s="78">
        <v>43.709999084472663</v>
      </c>
      <c r="AD268" s="40">
        <f t="shared" si="84"/>
        <v>0.25180478515750959</v>
      </c>
    </row>
    <row r="269" spans="2:30" ht="13.95" customHeight="1" x14ac:dyDescent="0.3">
      <c r="B269" s="77">
        <v>46234</v>
      </c>
      <c r="C269" s="107">
        <f t="shared" si="75"/>
        <v>1</v>
      </c>
      <c r="D269" s="107">
        <f t="shared" si="85"/>
        <v>1</v>
      </c>
      <c r="E269" s="106">
        <v>13.787367204580489</v>
      </c>
      <c r="F269" s="106">
        <v>3.8409447160096448</v>
      </c>
      <c r="G269" s="106">
        <v>1.5638760655132951</v>
      </c>
      <c r="H269" s="106">
        <v>11.4978364240557</v>
      </c>
      <c r="I269" s="106">
        <v>1.306495650883031</v>
      </c>
      <c r="J269" s="106">
        <v>7.6858017857098311</v>
      </c>
      <c r="K269" s="106">
        <v>8.1274656261352138</v>
      </c>
      <c r="L269" s="106">
        <v>5.6000458594010398</v>
      </c>
      <c r="M269" s="40">
        <f t="shared" si="76"/>
        <v>0.15447362313146076</v>
      </c>
      <c r="N269" s="40">
        <f t="shared" si="77"/>
        <v>0.16442684633391669</v>
      </c>
      <c r="O269" s="40">
        <f t="shared" si="78"/>
        <v>0.2176887096780567</v>
      </c>
      <c r="P269" s="40">
        <f t="shared" si="79"/>
        <v>0.27614061445203347</v>
      </c>
      <c r="Q269" s="40">
        <f t="shared" si="80"/>
        <v>0.17833255611432339</v>
      </c>
      <c r="R269" s="40">
        <f t="shared" si="81"/>
        <v>0.33238852042022959</v>
      </c>
      <c r="S269" s="40">
        <f t="shared" si="82"/>
        <v>0.21558311659076554</v>
      </c>
      <c r="T269" s="40">
        <f t="shared" si="83"/>
        <v>0.16752229182827394</v>
      </c>
      <c r="U269" s="40">
        <f t="shared" si="86"/>
        <v>0.14757636364154694</v>
      </c>
      <c r="V269" s="40">
        <f t="shared" si="87"/>
        <v>9.0641345453659178E-2</v>
      </c>
      <c r="W269" s="40">
        <f t="shared" si="88"/>
        <v>0.19111854634873948</v>
      </c>
      <c r="X269" s="40">
        <f t="shared" si="89"/>
        <v>8.2387620773046857E-2</v>
      </c>
      <c r="Y269" s="40">
        <f t="shared" si="90"/>
        <v>0.14877659512412189</v>
      </c>
      <c r="Z269" s="40">
        <f t="shared" si="91"/>
        <v>0.3532012742427334</v>
      </c>
      <c r="AA269" s="40">
        <f t="shared" si="92"/>
        <v>0.11055714912599376</v>
      </c>
      <c r="AB269" s="40">
        <f t="shared" si="93"/>
        <v>0.13498510276492684</v>
      </c>
      <c r="AC269" s="78">
        <v>47.380001068115227</v>
      </c>
      <c r="AD269" s="40">
        <f t="shared" si="84"/>
        <v>0.33892360126409105</v>
      </c>
    </row>
    <row r="270" spans="2:30" ht="13.95" customHeight="1" x14ac:dyDescent="0.3">
      <c r="B270" s="77">
        <v>46265</v>
      </c>
      <c r="C270" s="107">
        <f t="shared" si="75"/>
        <v>1</v>
      </c>
      <c r="D270" s="107">
        <f t="shared" si="85"/>
        <v>1</v>
      </c>
      <c r="E270" s="106">
        <v>13.71940410626604</v>
      </c>
      <c r="F270" s="106">
        <v>3.9270097394534909</v>
      </c>
      <c r="G270" s="106">
        <v>1.539251523765546</v>
      </c>
      <c r="H270" s="106">
        <v>11.89845569623898</v>
      </c>
      <c r="I270" s="106">
        <v>1.3054214308896179</v>
      </c>
      <c r="J270" s="106">
        <v>7.2725106249209404</v>
      </c>
      <c r="K270" s="106">
        <v>8.2586223583792489</v>
      </c>
      <c r="L270" s="106">
        <v>5.6097540334463014</v>
      </c>
      <c r="M270" s="40">
        <f t="shared" si="76"/>
        <v>0.1452134338321677</v>
      </c>
      <c r="N270" s="40">
        <f t="shared" si="77"/>
        <v>0.1889172409033161</v>
      </c>
      <c r="O270" s="40">
        <f t="shared" si="78"/>
        <v>0.17989435826774219</v>
      </c>
      <c r="P270" s="40">
        <f t="shared" si="79"/>
        <v>0.21215642141711782</v>
      </c>
      <c r="Q270" s="40">
        <f t="shared" si="80"/>
        <v>0.16158408978859831</v>
      </c>
      <c r="R270" s="40">
        <f t="shared" si="81"/>
        <v>0.23770623815893011</v>
      </c>
      <c r="S270" s="40">
        <f t="shared" si="82"/>
        <v>0.18497678914609816</v>
      </c>
      <c r="T270" s="40">
        <f t="shared" si="83"/>
        <v>0.16434526163749733</v>
      </c>
      <c r="U270" s="40">
        <f t="shared" si="86"/>
        <v>0.13628907326114037</v>
      </c>
      <c r="V270" s="40">
        <f t="shared" si="87"/>
        <v>0.10851937249674713</v>
      </c>
      <c r="W270" s="40">
        <f t="shared" si="88"/>
        <v>0.18057541341258229</v>
      </c>
      <c r="X270" s="40">
        <f t="shared" si="89"/>
        <v>5.3079241307273435E-2</v>
      </c>
      <c r="Y270" s="40">
        <f t="shared" si="90"/>
        <v>0.1433892642099453</v>
      </c>
      <c r="Z270" s="40">
        <f t="shared" si="91"/>
        <v>0.32559411466116905</v>
      </c>
      <c r="AA270" s="40">
        <f t="shared" si="92"/>
        <v>9.0533854695382221E-2</v>
      </c>
      <c r="AB270" s="40">
        <f t="shared" si="93"/>
        <v>0.1327895428508945</v>
      </c>
      <c r="AC270" s="78">
        <v>51.349998474121087</v>
      </c>
      <c r="AD270" s="40">
        <f t="shared" si="84"/>
        <v>0.39683643060935858</v>
      </c>
    </row>
    <row r="271" spans="2:30" ht="13.95" customHeight="1" x14ac:dyDescent="0.3">
      <c r="B271" s="77">
        <v>46295</v>
      </c>
      <c r="C271" s="107">
        <f t="shared" si="75"/>
        <v>1</v>
      </c>
      <c r="D271" s="107">
        <f t="shared" si="85"/>
        <v>1</v>
      </c>
      <c r="E271" s="106">
        <v>13.78603955549478</v>
      </c>
      <c r="F271" s="106">
        <v>3.9068387069321209</v>
      </c>
      <c r="G271" s="106">
        <v>1.6060507979368419</v>
      </c>
      <c r="H271" s="106">
        <v>12.339480921595451</v>
      </c>
      <c r="I271" s="106">
        <v>1.319168054714706</v>
      </c>
      <c r="J271" s="106">
        <v>8.2295892627426781</v>
      </c>
      <c r="K271" s="106">
        <v>8.4294061956443542</v>
      </c>
      <c r="L271" s="106">
        <v>5.6549564420734484</v>
      </c>
      <c r="M271" s="40">
        <f t="shared" si="76"/>
        <v>0.14585151454109324</v>
      </c>
      <c r="N271" s="40">
        <f t="shared" si="77"/>
        <v>0.1378440408288161</v>
      </c>
      <c r="O271" s="40">
        <f t="shared" si="78"/>
        <v>0.1968610911724091</v>
      </c>
      <c r="P271" s="40">
        <f t="shared" si="79"/>
        <v>0.32925525735913297</v>
      </c>
      <c r="Q271" s="40">
        <f t="shared" si="80"/>
        <v>0.14491236662860746</v>
      </c>
      <c r="R271" s="40">
        <f t="shared" si="81"/>
        <v>0.34065098100783614</v>
      </c>
      <c r="S271" s="40">
        <f t="shared" si="82"/>
        <v>0.22982502016051964</v>
      </c>
      <c r="T271" s="40">
        <f t="shared" si="83"/>
        <v>0.15189171526678336</v>
      </c>
      <c r="U271" s="40">
        <f t="shared" si="86"/>
        <v>0.13351704298704198</v>
      </c>
      <c r="V271" s="40">
        <f t="shared" si="87"/>
        <v>0.10983443751155357</v>
      </c>
      <c r="W271" s="40">
        <f t="shared" si="88"/>
        <v>0.18067361645963756</v>
      </c>
      <c r="X271" s="40">
        <f t="shared" si="89"/>
        <v>7.6142727005232211E-2</v>
      </c>
      <c r="Y271" s="40">
        <f t="shared" si="90"/>
        <v>0.13632738104697542</v>
      </c>
      <c r="Z271" s="40">
        <f t="shared" si="91"/>
        <v>0.34187850865979336</v>
      </c>
      <c r="AA271" s="40">
        <f t="shared" si="92"/>
        <v>0.10279797281621494</v>
      </c>
      <c r="AB271" s="40">
        <f t="shared" si="93"/>
        <v>0.13206239844957762</v>
      </c>
      <c r="AC271" s="78">
        <v>51.520000457763672</v>
      </c>
      <c r="AD271" s="40">
        <f t="shared" si="84"/>
        <v>0.37412900369412977</v>
      </c>
    </row>
  </sheetData>
  <mergeCells count="3">
    <mergeCell ref="B5:L5"/>
    <mergeCell ref="B19:L19"/>
    <mergeCell ref="B30:AD30"/>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N196"/>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3.95" customHeight="1" x14ac:dyDescent="0.3"/>
  <cols>
    <col min="1" max="1" width="2.6640625" customWidth="1"/>
    <col min="2" max="2" width="64.6640625" customWidth="1"/>
    <col min="3" max="14" width="10.6640625" customWidth="1"/>
  </cols>
  <sheetData>
    <row r="1" spans="2:14" ht="30" customHeight="1" x14ac:dyDescent="0.3">
      <c r="B1" s="15" t="s">
        <v>685</v>
      </c>
    </row>
    <row r="2" spans="2:14" ht="13.95" customHeight="1" x14ac:dyDescent="0.3">
      <c r="B2" s="14" t="s">
        <v>686</v>
      </c>
    </row>
    <row r="3" spans="2:14" ht="13.95" customHeight="1" x14ac:dyDescent="0.3">
      <c r="B3" s="14" t="s">
        <v>2</v>
      </c>
      <c r="C3" s="47" t="s">
        <v>3</v>
      </c>
      <c r="D3" s="48" t="s">
        <v>4</v>
      </c>
      <c r="E3" s="49" t="s">
        <v>5</v>
      </c>
    </row>
    <row r="5" spans="2:14" ht="13.95" customHeight="1" x14ac:dyDescent="0.3">
      <c r="B5" s="138" t="s">
        <v>687</v>
      </c>
      <c r="C5" s="138"/>
      <c r="D5" s="138"/>
      <c r="E5" s="138"/>
      <c r="F5" s="138"/>
      <c r="G5" s="138"/>
      <c r="H5" s="138"/>
      <c r="I5" s="138"/>
      <c r="J5" s="138"/>
      <c r="K5" s="138"/>
      <c r="L5" s="138"/>
      <c r="M5" s="138"/>
      <c r="N5" s="138"/>
    </row>
    <row r="6" spans="2:14" ht="43.95" customHeight="1" x14ac:dyDescent="0.3">
      <c r="B6" s="17" t="s">
        <v>464</v>
      </c>
      <c r="C6" s="18" t="s">
        <v>688</v>
      </c>
      <c r="D6" s="18" t="s">
        <v>32</v>
      </c>
      <c r="E6" s="18" t="s">
        <v>33</v>
      </c>
      <c r="F6" s="18" t="s">
        <v>689</v>
      </c>
      <c r="G6" s="18" t="s">
        <v>32</v>
      </c>
      <c r="H6" s="18" t="s">
        <v>33</v>
      </c>
      <c r="I6" s="18" t="s">
        <v>690</v>
      </c>
    </row>
    <row r="7" spans="2:14" ht="13.95" customHeight="1" x14ac:dyDescent="0.3">
      <c r="B7" s="19" t="s">
        <v>520</v>
      </c>
      <c r="C7" s="20">
        <f>$C$26</f>
        <v>52357.748055214484</v>
      </c>
      <c r="D7" s="20">
        <f>$C$36</f>
        <v>75698.542650994728</v>
      </c>
      <c r="E7" s="20">
        <f>$C$46</f>
        <v>103417.47749783007</v>
      </c>
      <c r="F7" s="20">
        <f>'DCF by Box'!C54*((1+gLT)+FadeYears/2*('DCF by Box'!C45-gLT))/('DCF by Box'!C43-gLT)</f>
        <v>52357.748055214484</v>
      </c>
      <c r="G7" s="20">
        <f>'DCF by Box'!D54*((1+gLT)+FadeYears/2*('DCF by Box'!D45-gLT))/('DCF by Box'!D43-gLT)</f>
        <v>75698.542650994801</v>
      </c>
      <c r="H7" s="20">
        <f>'DCF by Box'!E54*((1+gLT)+FadeYears/2*('DCF by Box'!E45-gLT))/('DCF by Box'!E43-gLT)</f>
        <v>103417.4774978302</v>
      </c>
      <c r="I7" s="25">
        <f>D7/G7-1</f>
        <v>-9.9920072216264089E-16</v>
      </c>
    </row>
    <row r="8" spans="2:14" ht="13.95" customHeight="1" x14ac:dyDescent="0.3">
      <c r="B8" s="19" t="s">
        <v>325</v>
      </c>
      <c r="C8" s="20">
        <f>$C$56</f>
        <v>43624.034772674248</v>
      </c>
      <c r="D8" s="20">
        <f>$C$66</f>
        <v>63474.085047104032</v>
      </c>
      <c r="E8" s="20">
        <f>$C$76</f>
        <v>87888.226681985543</v>
      </c>
      <c r="F8" s="20">
        <f>'DCF by Box'!C98*((1+gLT)+FadeYears/2*('DCF by Box'!C97-gLT))/('DCF by Box'!C95-gLT)</f>
        <v>43624.034772674255</v>
      </c>
      <c r="G8" s="20">
        <f>'DCF by Box'!D98*((1+gLT)+FadeYears/2*('DCF by Box'!D97-gLT))/('DCF by Box'!D95-gLT)</f>
        <v>63474.085047104025</v>
      </c>
      <c r="H8" s="20">
        <f>'DCF by Box'!E98*((1+gLT)+FadeYears/2*('DCF by Box'!E97-gLT))/('DCF by Box'!E95-gLT)</f>
        <v>87888.226681985601</v>
      </c>
      <c r="I8" s="25">
        <f>D8/G8-1</f>
        <v>0</v>
      </c>
    </row>
    <row r="9" spans="2:14" ht="13.95" customHeight="1" x14ac:dyDescent="0.3">
      <c r="B9" s="19" t="s">
        <v>376</v>
      </c>
      <c r="C9" s="20">
        <f>$C$86</f>
        <v>14646.162176478414</v>
      </c>
      <c r="D9" s="20">
        <f>$C$96</f>
        <v>27067.683014095455</v>
      </c>
      <c r="E9" s="20">
        <f>$C$106</f>
        <v>42640.313713309624</v>
      </c>
      <c r="F9" s="20">
        <f>'DCF by Box'!C145*((1+gLT)+FadeYears/2*('DCF by Box'!C144-gLT))/('DCF by Box'!C142-gLT)</f>
        <v>14646.162176478416</v>
      </c>
      <c r="G9" s="20">
        <f>'DCF by Box'!D145*((1+gLT)+FadeYears/2*('DCF by Box'!D144-gLT))/('DCF by Box'!D142-gLT)</f>
        <v>27067.683014095473</v>
      </c>
      <c r="H9" s="20">
        <f>'DCF by Box'!E145*((1+gLT)+FadeYears/2*('DCF by Box'!E144-gLT))/('DCF by Box'!E142-gLT)</f>
        <v>42640.313713309668</v>
      </c>
      <c r="I9" s="25">
        <f>D9/G9-1</f>
        <v>0</v>
      </c>
    </row>
    <row r="10" spans="2:14" ht="13.95" customHeight="1" x14ac:dyDescent="0.3">
      <c r="B10" s="19" t="s">
        <v>427</v>
      </c>
      <c r="C10" s="20">
        <f>$C$116</f>
        <v>77826.258089733441</v>
      </c>
      <c r="D10" s="20">
        <f>$C$126</f>
        <v>128949.38317304771</v>
      </c>
      <c r="E10" s="20">
        <f>$C$136</f>
        <v>195241.98191589612</v>
      </c>
      <c r="F10" s="20">
        <f>'DCF by Box'!C192*((1+gLT)+FadeYears/2*('DCF by Box'!C191-gLT))/('DCF by Box'!C189-gLT)</f>
        <v>77826.258089733485</v>
      </c>
      <c r="G10" s="20">
        <f>'DCF by Box'!D192*((1+gLT)+FadeYears/2*('DCF by Box'!D191-gLT))/('DCF by Box'!D189-gLT)</f>
        <v>128949.38317304775</v>
      </c>
      <c r="H10" s="20">
        <f>'DCF by Box'!E192*((1+gLT)+FadeYears/2*('DCF by Box'!E191-gLT))/('DCF by Box'!E189-gLT)</f>
        <v>195241.98191589621</v>
      </c>
      <c r="I10" s="25">
        <f>D10/G10-1</f>
        <v>0</v>
      </c>
    </row>
    <row r="11" spans="2:14" ht="13.95" customHeight="1" x14ac:dyDescent="0.3">
      <c r="B11" s="14" t="s">
        <v>485</v>
      </c>
    </row>
    <row r="12" spans="2:14" ht="13.95" customHeight="1" x14ac:dyDescent="0.3">
      <c r="B12" s="19" t="s">
        <v>483</v>
      </c>
      <c r="C12" s="20">
        <f>$C$146</f>
        <v>10557.787023958987</v>
      </c>
      <c r="D12" s="20">
        <f>$C$156</f>
        <v>19329.417648650735</v>
      </c>
      <c r="E12" s="20">
        <f>$C$166</f>
        <v>30056.536026487243</v>
      </c>
      <c r="F12" s="20">
        <f>'DCF by Box'!C239*((1+gLT)+FadeYears/2*('DCF by Box'!C238-gLT))/('DCF by Box'!C236-gLT)</f>
        <v>10557.78702395899</v>
      </c>
      <c r="G12" s="20">
        <f>'DCF by Box'!D239*((1+gLT)+FadeYears/2*('DCF by Box'!D238-gLT))/('DCF by Box'!D236-gLT)</f>
        <v>19329.417648650724</v>
      </c>
      <c r="H12" s="20">
        <f>'DCF by Box'!E239*((1+gLT)+FadeYears/2*('DCF by Box'!E238-gLT))/('DCF by Box'!E236-gLT)</f>
        <v>30056.536026487243</v>
      </c>
      <c r="I12" s="25">
        <f>D12/G12-1</f>
        <v>0</v>
      </c>
    </row>
    <row r="13" spans="2:14" ht="13.95" customHeight="1" x14ac:dyDescent="0.3">
      <c r="B13" s="19" t="s">
        <v>484</v>
      </c>
      <c r="C13" s="20">
        <f>$C$176</f>
        <v>5798.1781292550477</v>
      </c>
      <c r="D13" s="20">
        <f>$C$186</f>
        <v>7612.3663798610887</v>
      </c>
      <c r="E13" s="20">
        <f>$C$196</f>
        <v>9776.7849805622318</v>
      </c>
      <c r="F13" s="20">
        <f>'DCF by Box'!C286*((1+gLT)+FadeYears/2*('DCF by Box'!C285-gLT))/('DCF by Box'!C283-gLT)</f>
        <v>5798.1781292550477</v>
      </c>
      <c r="G13" s="20">
        <f>'DCF by Box'!D286*((1+gLT)+FadeYears/2*('DCF by Box'!D285-gLT))/('DCF by Box'!D283-gLT)</f>
        <v>7612.3663798610896</v>
      </c>
      <c r="H13" s="20">
        <f>'DCF by Box'!E286*((1+gLT)+FadeYears/2*('DCF by Box'!E285-gLT))/('DCF by Box'!E283-gLT)</f>
        <v>9776.7849805622373</v>
      </c>
      <c r="I13" s="25">
        <f>D13/G13-1</f>
        <v>0</v>
      </c>
    </row>
    <row r="14" spans="2:14" ht="13.95" customHeight="1" x14ac:dyDescent="0.3">
      <c r="B14" s="19" t="s">
        <v>691</v>
      </c>
      <c r="C14" s="5" t="str">
        <f>CHOOSE(FadeMode+1,"0: H-model formula (this sheet is not used)","1: year by year","2: year by year, growth paid by reinvestment")</f>
        <v>0: H-model formula (this sheet is not used)</v>
      </c>
    </row>
    <row r="15" spans="2:14" ht="13.95" customHeight="1" x14ac:dyDescent="0.3">
      <c r="B15" s="14" t="s">
        <v>692</v>
      </c>
    </row>
    <row r="18" spans="2:14" ht="13.95" customHeight="1" x14ac:dyDescent="0.3">
      <c r="B18" s="17" t="s">
        <v>693</v>
      </c>
      <c r="C18" s="18" t="s">
        <v>126</v>
      </c>
      <c r="D18" s="18" t="s">
        <v>694</v>
      </c>
      <c r="E18" s="18" t="s">
        <v>695</v>
      </c>
      <c r="F18" s="18" t="s">
        <v>696</v>
      </c>
      <c r="G18" s="18" t="s">
        <v>697</v>
      </c>
      <c r="H18" s="18" t="s">
        <v>698</v>
      </c>
      <c r="I18" s="18" t="s">
        <v>699</v>
      </c>
      <c r="J18" s="18" t="s">
        <v>700</v>
      </c>
      <c r="K18" s="18" t="s">
        <v>701</v>
      </c>
      <c r="L18" s="18" t="s">
        <v>702</v>
      </c>
      <c r="M18" s="18" t="s">
        <v>703</v>
      </c>
      <c r="N18" s="18" t="s">
        <v>704</v>
      </c>
    </row>
    <row r="19" spans="2:14" ht="13.95" customHeight="1" x14ac:dyDescent="0.3">
      <c r="B19" s="19" t="s">
        <v>705</v>
      </c>
      <c r="D19" s="107">
        <v>1</v>
      </c>
      <c r="E19" s="107">
        <v>2</v>
      </c>
      <c r="F19" s="107">
        <v>3</v>
      </c>
      <c r="G19" s="107">
        <v>4</v>
      </c>
      <c r="H19" s="107">
        <v>5</v>
      </c>
      <c r="I19" s="107">
        <v>6</v>
      </c>
      <c r="J19" s="107">
        <v>7</v>
      </c>
      <c r="K19" s="107">
        <v>8</v>
      </c>
      <c r="L19" s="107">
        <v>9</v>
      </c>
      <c r="M19" s="107">
        <v>10</v>
      </c>
      <c r="N19" s="107">
        <v>11</v>
      </c>
    </row>
    <row r="20" spans="2:14" ht="13.95" customHeight="1" x14ac:dyDescent="0.3">
      <c r="B20" s="19" t="s">
        <v>706</v>
      </c>
      <c r="D20" s="40">
        <f>IF(D19&lt;=FadeYears,'DCF by Box'!$C$45-('DCF by Box'!$C$45-gLT)*(D19-0.5)/FadeYears,gLT)</f>
        <v>4.7E-2</v>
      </c>
      <c r="E20" s="40">
        <f>IF(E19&lt;=FadeYears,'DCF by Box'!$C$45-('DCF by Box'!$C$45-gLT)*(E19-0.5)/FadeYears,gLT)</f>
        <v>4.7E-2</v>
      </c>
      <c r="F20" s="40">
        <f>IF(F19&lt;=FadeYears,'DCF by Box'!$C$45-('DCF by Box'!$C$45-gLT)*(F19-0.5)/FadeYears,gLT)</f>
        <v>4.7E-2</v>
      </c>
      <c r="G20" s="40">
        <f>IF(G19&lt;=FadeYears,'DCF by Box'!$C$45-('DCF by Box'!$C$45-gLT)*(G19-0.5)/FadeYears,gLT)</f>
        <v>4.7E-2</v>
      </c>
      <c r="H20" s="40">
        <f>IF(H19&lt;=FadeYears,'DCF by Box'!$C$45-('DCF by Box'!$C$45-gLT)*(H19-0.5)/FadeYears,gLT)</f>
        <v>4.7E-2</v>
      </c>
      <c r="I20" s="40">
        <f>IF(I19&lt;=FadeYears,'DCF by Box'!$C$45-('DCF by Box'!$C$45-gLT)*(I19-0.5)/FadeYears,gLT)</f>
        <v>4.7E-2</v>
      </c>
      <c r="J20" s="40">
        <f>IF(J19&lt;=FadeYears,'DCF by Box'!$C$45-('DCF by Box'!$C$45-gLT)*(J19-0.5)/FadeYears,gLT)</f>
        <v>4.7E-2</v>
      </c>
      <c r="K20" s="40">
        <f>IF(K19&lt;=FadeYears,'DCF by Box'!$C$45-('DCF by Box'!$C$45-gLT)*(K19-0.5)/FadeYears,gLT)</f>
        <v>4.7E-2</v>
      </c>
      <c r="L20" s="40">
        <f>IF(L19&lt;=FadeYears,'DCF by Box'!$C$45-('DCF by Box'!$C$45-gLT)*(L19-0.5)/FadeYears,gLT)</f>
        <v>4.7E-2</v>
      </c>
      <c r="M20" s="40">
        <f>IF(M19&lt;=FadeYears,'DCF by Box'!$C$45-('DCF by Box'!$C$45-gLT)*(M19-0.5)/FadeYears,gLT)</f>
        <v>4.7E-2</v>
      </c>
      <c r="N20" s="40">
        <f>IF(N19&lt;=FadeYears,'DCF by Box'!$C$45-('DCF by Box'!$C$45-gLT)*(N19-0.5)/FadeYears,gLT)</f>
        <v>4.7E-2</v>
      </c>
    </row>
    <row r="21" spans="2:14" ht="13.95" customHeight="1" x14ac:dyDescent="0.3">
      <c r="B21" s="19" t="s">
        <v>707</v>
      </c>
      <c r="C21" s="20">
        <f>'DCF by Box'!$H$27*(1+'DCF by Box'!$C$44)</f>
        <v>7004.8375709849297</v>
      </c>
      <c r="D21" s="20">
        <f t="shared" ref="D21:N21" si="0">C21*(1+D20)</f>
        <v>7334.0649368212207</v>
      </c>
      <c r="E21" s="20">
        <f t="shared" si="0"/>
        <v>7678.7659888518174</v>
      </c>
      <c r="F21" s="20">
        <f t="shared" si="0"/>
        <v>8039.6679903278518</v>
      </c>
      <c r="G21" s="20">
        <f t="shared" si="0"/>
        <v>8417.5323858732609</v>
      </c>
      <c r="H21" s="20">
        <f t="shared" si="0"/>
        <v>8813.156408009303</v>
      </c>
      <c r="I21" s="20">
        <f t="shared" si="0"/>
        <v>9227.3747591857391</v>
      </c>
      <c r="J21" s="20">
        <f t="shared" si="0"/>
        <v>9661.0613728674689</v>
      </c>
      <c r="K21" s="20">
        <f t="shared" si="0"/>
        <v>10115.131257392239</v>
      </c>
      <c r="L21" s="20">
        <f t="shared" si="0"/>
        <v>10590.542426489674</v>
      </c>
      <c r="M21" s="20">
        <f t="shared" si="0"/>
        <v>11088.297920534687</v>
      </c>
      <c r="N21" s="20">
        <f t="shared" si="0"/>
        <v>11609.447922799816</v>
      </c>
    </row>
    <row r="22" spans="2:14" ht="13.95" customHeight="1" x14ac:dyDescent="0.3">
      <c r="B22" s="111" t="s">
        <v>708</v>
      </c>
    </row>
    <row r="23" spans="2:14" ht="13.95" customHeight="1" x14ac:dyDescent="0.3">
      <c r="B23" s="5" t="s">
        <v>709</v>
      </c>
      <c r="C23" s="16">
        <f>'DCF by Box'!$C$54</f>
        <v>5347.9823844848215</v>
      </c>
      <c r="D23" s="16">
        <f t="shared" ref="D23:N23" si="1">IF(FadeMode=2,D21*(1-D20/FinROE),C23*(1+D20))</f>
        <v>5599.337556555608</v>
      </c>
      <c r="E23" s="16">
        <f t="shared" si="1"/>
        <v>5862.5064217137215</v>
      </c>
      <c r="F23" s="16">
        <f t="shared" si="1"/>
        <v>6138.0442235342662</v>
      </c>
      <c r="G23" s="16">
        <f t="shared" si="1"/>
        <v>6426.5323020403766</v>
      </c>
      <c r="H23" s="16">
        <f t="shared" si="1"/>
        <v>6728.5793202362738</v>
      </c>
      <c r="I23" s="16">
        <f t="shared" si="1"/>
        <v>7044.8225482873786</v>
      </c>
      <c r="J23" s="16">
        <f t="shared" si="1"/>
        <v>7375.9292080568848</v>
      </c>
      <c r="K23" s="16">
        <f t="shared" si="1"/>
        <v>7722.5978808355576</v>
      </c>
      <c r="L23" s="16">
        <f t="shared" si="1"/>
        <v>8085.5599812348282</v>
      </c>
      <c r="M23" s="16">
        <f t="shared" si="1"/>
        <v>8465.5813003528638</v>
      </c>
      <c r="N23" s="16">
        <f t="shared" si="1"/>
        <v>8863.4636214694474</v>
      </c>
    </row>
    <row r="24" spans="2:14" ht="13.95" customHeight="1" x14ac:dyDescent="0.3">
      <c r="B24" s="19" t="s">
        <v>710</v>
      </c>
      <c r="D24" s="108">
        <f>1/(1+'DCF by Box'!$C$43)^D19</f>
        <v>0.86659331513035864</v>
      </c>
      <c r="E24" s="108">
        <f>1/(1+'DCF by Box'!$C$43)^E19</f>
        <v>0.75098397382862503</v>
      </c>
      <c r="F24" s="108">
        <f>1/(1+'DCF by Box'!$C$43)^F19</f>
        <v>0.65079769148991862</v>
      </c>
      <c r="G24" s="108">
        <f>1/(1+'DCF by Box'!$C$43)^G19</f>
        <v>0.5639769289474329</v>
      </c>
      <c r="H24" s="108">
        <f>1/(1+'DCF by Box'!$C$43)^H19</f>
        <v>0.48873863651359456</v>
      </c>
      <c r="I24" s="108">
        <f>1/(1+'DCF by Box'!$C$43)^I19</f>
        <v>0.42353763524860732</v>
      </c>
      <c r="J24" s="108">
        <f>1/(1+'DCF by Box'!$C$43)^J19</f>
        <v>0.36703488341256324</v>
      </c>
      <c r="K24" s="108">
        <f>1/(1+'DCF by Box'!$C$43)^K19</f>
        <v>0.31806997638497786</v>
      </c>
      <c r="L24" s="108">
        <f>1/(1+'DCF by Box'!$C$43)^L19</f>
        <v>0.27563731527889285</v>
      </c>
      <c r="M24" s="108">
        <f>1/(1+'DCF by Box'!$C$43)^M19</f>
        <v>0.23886545482116761</v>
      </c>
    </row>
    <row r="25" spans="2:14" ht="13.95" customHeight="1" x14ac:dyDescent="0.3">
      <c r="B25" s="19" t="s">
        <v>711</v>
      </c>
      <c r="D25" s="20">
        <f t="shared" ref="D25:M25" si="2">D23*D24</f>
        <v>4852.3484956694465</v>
      </c>
      <c r="E25" s="20">
        <f t="shared" si="2"/>
        <v>4402.6483691744033</v>
      </c>
      <c r="F25" s="20">
        <f t="shared" si="2"/>
        <v>3994.6250109391303</v>
      </c>
      <c r="G25" s="20">
        <f t="shared" si="2"/>
        <v>3624.4159514862081</v>
      </c>
      <c r="H25" s="20">
        <f t="shared" si="2"/>
        <v>3288.5166826458453</v>
      </c>
      <c r="I25" s="20">
        <f t="shared" si="2"/>
        <v>2983.7474828477043</v>
      </c>
      <c r="J25" s="20">
        <f t="shared" si="2"/>
        <v>2707.2233169384785</v>
      </c>
      <c r="K25" s="20">
        <f t="shared" si="2"/>
        <v>2456.326525588046</v>
      </c>
      <c r="L25" s="20">
        <f t="shared" si="2"/>
        <v>2228.6820457540234</v>
      </c>
      <c r="M25" s="20">
        <f t="shared" si="2"/>
        <v>2022.1349276343583</v>
      </c>
    </row>
    <row r="26" spans="2:14" ht="13.95" customHeight="1" x14ac:dyDescent="0.3">
      <c r="B26" s="5" t="s">
        <v>712</v>
      </c>
      <c r="C26" s="61">
        <f>SUM(D25:M25)+N23/('DCF by Box'!$C$43-gLT)*M24</f>
        <v>52357.748055214484</v>
      </c>
    </row>
    <row r="28" spans="2:14" ht="13.95" customHeight="1" x14ac:dyDescent="0.3">
      <c r="B28" s="17" t="s">
        <v>713</v>
      </c>
      <c r="C28" s="18" t="s">
        <v>126</v>
      </c>
      <c r="D28" s="18" t="s">
        <v>694</v>
      </c>
      <c r="E28" s="18" t="s">
        <v>695</v>
      </c>
      <c r="F28" s="18" t="s">
        <v>696</v>
      </c>
      <c r="G28" s="18" t="s">
        <v>697</v>
      </c>
      <c r="H28" s="18" t="s">
        <v>698</v>
      </c>
      <c r="I28" s="18" t="s">
        <v>699</v>
      </c>
      <c r="J28" s="18" t="s">
        <v>700</v>
      </c>
      <c r="K28" s="18" t="s">
        <v>701</v>
      </c>
      <c r="L28" s="18" t="s">
        <v>702</v>
      </c>
      <c r="M28" s="18" t="s">
        <v>703</v>
      </c>
      <c r="N28" s="18" t="s">
        <v>704</v>
      </c>
    </row>
    <row r="29" spans="2:14" ht="13.95" customHeight="1" x14ac:dyDescent="0.3">
      <c r="B29" s="19" t="s">
        <v>705</v>
      </c>
      <c r="D29" s="107">
        <v>1</v>
      </c>
      <c r="E29" s="107">
        <v>2</v>
      </c>
      <c r="F29" s="107">
        <v>3</v>
      </c>
      <c r="G29" s="107">
        <v>4</v>
      </c>
      <c r="H29" s="107">
        <v>5</v>
      </c>
      <c r="I29" s="107">
        <v>6</v>
      </c>
      <c r="J29" s="107">
        <v>7</v>
      </c>
      <c r="K29" s="107">
        <v>8</v>
      </c>
      <c r="L29" s="107">
        <v>9</v>
      </c>
      <c r="M29" s="107">
        <v>10</v>
      </c>
      <c r="N29" s="107">
        <v>11</v>
      </c>
    </row>
    <row r="30" spans="2:14" ht="13.95" customHeight="1" x14ac:dyDescent="0.3">
      <c r="B30" s="19" t="s">
        <v>706</v>
      </c>
      <c r="D30" s="40">
        <f>IF(D29&lt;=FadeYears,'DCF by Box'!$D$45-('DCF by Box'!$D$45-gLT)*(D29-0.5)/FadeYears,gLT)</f>
        <v>4.7E-2</v>
      </c>
      <c r="E30" s="40">
        <f>IF(E29&lt;=FadeYears,'DCF by Box'!$D$45-('DCF by Box'!$D$45-gLT)*(E29-0.5)/FadeYears,gLT)</f>
        <v>4.7E-2</v>
      </c>
      <c r="F30" s="40">
        <f>IF(F29&lt;=FadeYears,'DCF by Box'!$D$45-('DCF by Box'!$D$45-gLT)*(F29-0.5)/FadeYears,gLT)</f>
        <v>4.7E-2</v>
      </c>
      <c r="G30" s="40">
        <f>IF(G29&lt;=FadeYears,'DCF by Box'!$D$45-('DCF by Box'!$D$45-gLT)*(G29-0.5)/FadeYears,gLT)</f>
        <v>4.7E-2</v>
      </c>
      <c r="H30" s="40">
        <f>IF(H29&lt;=FadeYears,'DCF by Box'!$D$45-('DCF by Box'!$D$45-gLT)*(H29-0.5)/FadeYears,gLT)</f>
        <v>4.7E-2</v>
      </c>
      <c r="I30" s="40">
        <f>IF(I29&lt;=FadeYears,'DCF by Box'!$D$45-('DCF by Box'!$D$45-gLT)*(I29-0.5)/FadeYears,gLT)</f>
        <v>4.7E-2</v>
      </c>
      <c r="J30" s="40">
        <f>IF(J29&lt;=FadeYears,'DCF by Box'!$D$45-('DCF by Box'!$D$45-gLT)*(J29-0.5)/FadeYears,gLT)</f>
        <v>4.7E-2</v>
      </c>
      <c r="K30" s="40">
        <f>IF(K29&lt;=FadeYears,'DCF by Box'!$D$45-('DCF by Box'!$D$45-gLT)*(K29-0.5)/FadeYears,gLT)</f>
        <v>4.7E-2</v>
      </c>
      <c r="L30" s="40">
        <f>IF(L29&lt;=FadeYears,'DCF by Box'!$D$45-('DCF by Box'!$D$45-gLT)*(L29-0.5)/FadeYears,gLT)</f>
        <v>4.7E-2</v>
      </c>
      <c r="M30" s="40">
        <f>IF(M29&lt;=FadeYears,'DCF by Box'!$D$45-('DCF by Box'!$D$45-gLT)*(M29-0.5)/FadeYears,gLT)</f>
        <v>4.7E-2</v>
      </c>
      <c r="N30" s="40">
        <f>IF(N29&lt;=FadeYears,'DCF by Box'!$D$45-('DCF by Box'!$D$45-gLT)*(N29-0.5)/FadeYears,gLT)</f>
        <v>4.7E-2</v>
      </c>
    </row>
    <row r="31" spans="2:14" ht="13.95" customHeight="1" x14ac:dyDescent="0.3">
      <c r="B31" s="19" t="s">
        <v>707</v>
      </c>
      <c r="C31" s="20">
        <f>'DCF by Box'!$H$27*(1+'DCF by Box'!$D$44)</f>
        <v>8479.7793797855793</v>
      </c>
      <c r="D31" s="20">
        <f t="shared" ref="D31:N31" si="3">C31*(1+D30)</f>
        <v>8878.3290106355016</v>
      </c>
      <c r="E31" s="20">
        <f t="shared" si="3"/>
        <v>9295.6104741353702</v>
      </c>
      <c r="F31" s="20">
        <f t="shared" si="3"/>
        <v>9732.5041664197324</v>
      </c>
      <c r="G31" s="20">
        <f t="shared" si="3"/>
        <v>10189.931862241459</v>
      </c>
      <c r="H31" s="20">
        <f t="shared" si="3"/>
        <v>10668.858659766807</v>
      </c>
      <c r="I31" s="20">
        <f t="shared" si="3"/>
        <v>11170.295016775846</v>
      </c>
      <c r="J31" s="20">
        <f t="shared" si="3"/>
        <v>11695.29888256431</v>
      </c>
      <c r="K31" s="20">
        <f t="shared" si="3"/>
        <v>12244.977930044832</v>
      </c>
      <c r="L31" s="20">
        <f t="shared" si="3"/>
        <v>12820.491892756938</v>
      </c>
      <c r="M31" s="20">
        <f t="shared" si="3"/>
        <v>13423.055011716513</v>
      </c>
      <c r="N31" s="20">
        <f t="shared" si="3"/>
        <v>14053.938597267188</v>
      </c>
    </row>
    <row r="32" spans="2:14" ht="13.95" customHeight="1" x14ac:dyDescent="0.3">
      <c r="B32" s="111" t="s">
        <v>708</v>
      </c>
    </row>
    <row r="33" spans="2:14" ht="13.95" customHeight="1" x14ac:dyDescent="0.3">
      <c r="B33" s="5" t="s">
        <v>709</v>
      </c>
      <c r="C33" s="16">
        <f>'DCF by Box'!$D$54</f>
        <v>6474.0560059887894</v>
      </c>
      <c r="D33" s="16">
        <f t="shared" ref="D33:N33" si="4">IF(FadeMode=2,D31*(1-D30/FinROE),C33*(1+D30))</f>
        <v>6778.3366382702616</v>
      </c>
      <c r="E33" s="16">
        <f t="shared" si="4"/>
        <v>7096.9184602689638</v>
      </c>
      <c r="F33" s="16">
        <f t="shared" si="4"/>
        <v>7430.4736279016042</v>
      </c>
      <c r="G33" s="16">
        <f t="shared" si="4"/>
        <v>7779.7058884129792</v>
      </c>
      <c r="H33" s="16">
        <f t="shared" si="4"/>
        <v>8145.3520651683884</v>
      </c>
      <c r="I33" s="16">
        <f t="shared" si="4"/>
        <v>8528.1836122313016</v>
      </c>
      <c r="J33" s="16">
        <f t="shared" si="4"/>
        <v>8929.0082420061717</v>
      </c>
      <c r="K33" s="16">
        <f t="shared" si="4"/>
        <v>9348.671629380462</v>
      </c>
      <c r="L33" s="16">
        <f t="shared" si="4"/>
        <v>9788.059195961343</v>
      </c>
      <c r="M33" s="16">
        <f t="shared" si="4"/>
        <v>10248.097978171525</v>
      </c>
      <c r="N33" s="16">
        <f t="shared" si="4"/>
        <v>10729.758583145585</v>
      </c>
    </row>
    <row r="34" spans="2:14" ht="13.95" customHeight="1" x14ac:dyDescent="0.3">
      <c r="B34" s="19" t="s">
        <v>710</v>
      </c>
      <c r="D34" s="108">
        <f>1/(1+'DCF by Box'!$D$43)^D29</f>
        <v>0.87986048831346264</v>
      </c>
      <c r="E34" s="108">
        <f>1/(1+'DCF by Box'!$D$43)^E29</f>
        <v>0.77415447889520494</v>
      </c>
      <c r="F34" s="108">
        <f>1/(1+'DCF by Box'!$D$43)^F29</f>
        <v>0.68114793783078931</v>
      </c>
      <c r="G34" s="108">
        <f>1/(1+'DCF by Box'!$D$43)^G29</f>
        <v>0.59931515719350636</v>
      </c>
      <c r="H34" s="108">
        <f>1/(1+'DCF by Box'!$D$43)^H29</f>
        <v>0.52731372686193811</v>
      </c>
      <c r="I34" s="108">
        <f>1/(1+'DCF by Box'!$D$43)^I29</f>
        <v>0.46396251321113674</v>
      </c>
      <c r="J34" s="108">
        <f>1/(1+'DCF by Box'!$D$43)^J29</f>
        <v>0.40822228343309208</v>
      </c>
      <c r="K34" s="108">
        <f>1/(1+'DCF by Box'!$D$43)^K29</f>
        <v>0.35917865764187717</v>
      </c>
      <c r="L34" s="108">
        <f>1/(1+'DCF by Box'!$D$43)^L29</f>
        <v>0.31602710910455606</v>
      </c>
      <c r="M34" s="108">
        <f>1/(1+'DCF by Box'!$D$43)^M29</f>
        <v>0.27805976653702663</v>
      </c>
    </row>
    <row r="35" spans="2:14" ht="13.95" customHeight="1" x14ac:dyDescent="0.3">
      <c r="B35" s="19" t="s">
        <v>711</v>
      </c>
      <c r="D35" s="20">
        <f t="shared" ref="D35:M35" si="5">D33*D34</f>
        <v>5963.9905845015073</v>
      </c>
      <c r="E35" s="20">
        <f t="shared" si="5"/>
        <v>5494.1112123712801</v>
      </c>
      <c r="F35" s="20">
        <f t="shared" si="5"/>
        <v>5061.2517887512413</v>
      </c>
      <c r="G35" s="20">
        <f t="shared" si="5"/>
        <v>4662.4956574334719</v>
      </c>
      <c r="H35" s="20">
        <f t="shared" si="5"/>
        <v>4295.1559540865273</v>
      </c>
      <c r="I35" s="20">
        <f t="shared" si="5"/>
        <v>3956.757501856865</v>
      </c>
      <c r="J35" s="20">
        <f t="shared" si="5"/>
        <v>3645.0201333446585</v>
      </c>
      <c r="K35" s="20">
        <f t="shared" si="5"/>
        <v>3357.8433265755752</v>
      </c>
      <c r="L35" s="20">
        <f t="shared" si="5"/>
        <v>3093.2920514439288</v>
      </c>
      <c r="M35" s="20">
        <f t="shared" si="5"/>
        <v>2849.5837312589488</v>
      </c>
    </row>
    <row r="36" spans="2:14" ht="13.95" customHeight="1" x14ac:dyDescent="0.3">
      <c r="B36" s="5" t="s">
        <v>712</v>
      </c>
      <c r="C36" s="61">
        <f>SUM(D35:M35)+N33/('DCF by Box'!$D$43-gLT)*M34</f>
        <v>75698.542650994728</v>
      </c>
    </row>
    <row r="38" spans="2:14" ht="13.95" customHeight="1" x14ac:dyDescent="0.3">
      <c r="B38" s="17" t="s">
        <v>714</v>
      </c>
      <c r="C38" s="18" t="s">
        <v>126</v>
      </c>
      <c r="D38" s="18" t="s">
        <v>694</v>
      </c>
      <c r="E38" s="18" t="s">
        <v>695</v>
      </c>
      <c r="F38" s="18" t="s">
        <v>696</v>
      </c>
      <c r="G38" s="18" t="s">
        <v>697</v>
      </c>
      <c r="H38" s="18" t="s">
        <v>698</v>
      </c>
      <c r="I38" s="18" t="s">
        <v>699</v>
      </c>
      <c r="J38" s="18" t="s">
        <v>700</v>
      </c>
      <c r="K38" s="18" t="s">
        <v>701</v>
      </c>
      <c r="L38" s="18" t="s">
        <v>702</v>
      </c>
      <c r="M38" s="18" t="s">
        <v>703</v>
      </c>
      <c r="N38" s="18" t="s">
        <v>704</v>
      </c>
    </row>
    <row r="39" spans="2:14" ht="13.95" customHeight="1" x14ac:dyDescent="0.3">
      <c r="B39" s="19" t="s">
        <v>705</v>
      </c>
      <c r="D39" s="107">
        <v>1</v>
      </c>
      <c r="E39" s="107">
        <v>2</v>
      </c>
      <c r="F39" s="107">
        <v>3</v>
      </c>
      <c r="G39" s="107">
        <v>4</v>
      </c>
      <c r="H39" s="107">
        <v>5</v>
      </c>
      <c r="I39" s="107">
        <v>6</v>
      </c>
      <c r="J39" s="107">
        <v>7</v>
      </c>
      <c r="K39" s="107">
        <v>8</v>
      </c>
      <c r="L39" s="107">
        <v>9</v>
      </c>
      <c r="M39" s="107">
        <v>10</v>
      </c>
      <c r="N39" s="107">
        <v>11</v>
      </c>
    </row>
    <row r="40" spans="2:14" ht="13.95" customHeight="1" x14ac:dyDescent="0.3">
      <c r="B40" s="19" t="s">
        <v>706</v>
      </c>
      <c r="D40" s="40">
        <f>IF(D39&lt;=FadeYears,'DCF by Box'!$E$45-('DCF by Box'!$E$45-gLT)*(D39-0.5)/FadeYears,gLT)</f>
        <v>4.7E-2</v>
      </c>
      <c r="E40" s="40">
        <f>IF(E39&lt;=FadeYears,'DCF by Box'!$E$45-('DCF by Box'!$E$45-gLT)*(E39-0.5)/FadeYears,gLT)</f>
        <v>4.7E-2</v>
      </c>
      <c r="F40" s="40">
        <f>IF(F39&lt;=FadeYears,'DCF by Box'!$E$45-('DCF by Box'!$E$45-gLT)*(F39-0.5)/FadeYears,gLT)</f>
        <v>4.7E-2</v>
      </c>
      <c r="G40" s="40">
        <f>IF(G39&lt;=FadeYears,'DCF by Box'!$E$45-('DCF by Box'!$E$45-gLT)*(G39-0.5)/FadeYears,gLT)</f>
        <v>4.7E-2</v>
      </c>
      <c r="H40" s="40">
        <f>IF(H39&lt;=FadeYears,'DCF by Box'!$E$45-('DCF by Box'!$E$45-gLT)*(H39-0.5)/FadeYears,gLT)</f>
        <v>4.7E-2</v>
      </c>
      <c r="I40" s="40">
        <f>IF(I39&lt;=FadeYears,'DCF by Box'!$E$45-('DCF by Box'!$E$45-gLT)*(I39-0.5)/FadeYears,gLT)</f>
        <v>4.7E-2</v>
      </c>
      <c r="J40" s="40">
        <f>IF(J39&lt;=FadeYears,'DCF by Box'!$E$45-('DCF by Box'!$E$45-gLT)*(J39-0.5)/FadeYears,gLT)</f>
        <v>4.7E-2</v>
      </c>
      <c r="K40" s="40">
        <f>IF(K39&lt;=FadeYears,'DCF by Box'!$E$45-('DCF by Box'!$E$45-gLT)*(K39-0.5)/FadeYears,gLT)</f>
        <v>4.7E-2</v>
      </c>
      <c r="L40" s="40">
        <f>IF(L39&lt;=FadeYears,'DCF by Box'!$E$45-('DCF by Box'!$E$45-gLT)*(L39-0.5)/FadeYears,gLT)</f>
        <v>4.7E-2</v>
      </c>
      <c r="M40" s="40">
        <f>IF(M39&lt;=FadeYears,'DCF by Box'!$E$45-('DCF by Box'!$E$45-gLT)*(M39-0.5)/FadeYears,gLT)</f>
        <v>4.7E-2</v>
      </c>
      <c r="N40" s="40">
        <f>IF(N39&lt;=FadeYears,'DCF by Box'!$E$45-('DCF by Box'!$E$45-gLT)*(N39-0.5)/FadeYears,gLT)</f>
        <v>4.7E-2</v>
      </c>
    </row>
    <row r="41" spans="2:14" ht="13.95" customHeight="1" x14ac:dyDescent="0.3">
      <c r="B41" s="19" t="s">
        <v>707</v>
      </c>
      <c r="C41" s="20">
        <f>'DCF by Box'!$H$27*(1+'DCF by Box'!$E$44)</f>
        <v>9954.7211885862289</v>
      </c>
      <c r="D41" s="20">
        <f t="shared" ref="D41:N41" si="6">C41*(1+D40)</f>
        <v>10422.593084449782</v>
      </c>
      <c r="E41" s="20">
        <f t="shared" si="6"/>
        <v>10912.454959418921</v>
      </c>
      <c r="F41" s="20">
        <f t="shared" si="6"/>
        <v>11425.34034251161</v>
      </c>
      <c r="G41" s="20">
        <f t="shared" si="6"/>
        <v>11962.331338609656</v>
      </c>
      <c r="H41" s="20">
        <f t="shared" si="6"/>
        <v>12524.56091152431</v>
      </c>
      <c r="I41" s="20">
        <f t="shared" si="6"/>
        <v>13113.215274365952</v>
      </c>
      <c r="J41" s="20">
        <f t="shared" si="6"/>
        <v>13729.53639226115</v>
      </c>
      <c r="K41" s="20">
        <f t="shared" si="6"/>
        <v>14374.824602697423</v>
      </c>
      <c r="L41" s="20">
        <f t="shared" si="6"/>
        <v>15050.4413590242</v>
      </c>
      <c r="M41" s="20">
        <f t="shared" si="6"/>
        <v>15757.812102898337</v>
      </c>
      <c r="N41" s="20">
        <f t="shared" si="6"/>
        <v>16498.429271734556</v>
      </c>
    </row>
    <row r="42" spans="2:14" ht="13.95" customHeight="1" x14ac:dyDescent="0.3">
      <c r="B42" s="111" t="s">
        <v>708</v>
      </c>
    </row>
    <row r="43" spans="2:14" ht="13.95" customHeight="1" x14ac:dyDescent="0.3">
      <c r="B43" s="5" t="s">
        <v>709</v>
      </c>
      <c r="C43" s="16">
        <f>'DCF by Box'!$E$54</f>
        <v>7600.1296274927572</v>
      </c>
      <c r="D43" s="16">
        <f t="shared" ref="D43:N43" si="7">IF(FadeMode=2,D41*(1-D40/FinROE),C43*(1+D40))</f>
        <v>7957.3357199849161</v>
      </c>
      <c r="E43" s="16">
        <f t="shared" si="7"/>
        <v>8331.3304988242071</v>
      </c>
      <c r="F43" s="16">
        <f t="shared" si="7"/>
        <v>8722.903032268945</v>
      </c>
      <c r="G43" s="16">
        <f t="shared" si="7"/>
        <v>9132.8794747855845</v>
      </c>
      <c r="H43" s="16">
        <f t="shared" si="7"/>
        <v>9562.1248101005058</v>
      </c>
      <c r="I43" s="16">
        <f t="shared" si="7"/>
        <v>10011.544676175228</v>
      </c>
      <c r="J43" s="16">
        <f t="shared" si="7"/>
        <v>10482.087275955464</v>
      </c>
      <c r="K43" s="16">
        <f t="shared" si="7"/>
        <v>10974.74537792537</v>
      </c>
      <c r="L43" s="16">
        <f t="shared" si="7"/>
        <v>11490.558410687861</v>
      </c>
      <c r="M43" s="16">
        <f t="shared" si="7"/>
        <v>12030.61465599019</v>
      </c>
      <c r="N43" s="16">
        <f t="shared" si="7"/>
        <v>12596.053544821729</v>
      </c>
    </row>
    <row r="44" spans="2:14" ht="13.95" customHeight="1" x14ac:dyDescent="0.3">
      <c r="B44" s="19" t="s">
        <v>710</v>
      </c>
      <c r="D44" s="108">
        <f>1/(1+'DCF by Box'!$E$43)^D39</f>
        <v>0.88972418608961013</v>
      </c>
      <c r="E44" s="108">
        <f>1/(1+'DCF by Box'!$E$43)^E39</f>
        <v>0.79160912731281918</v>
      </c>
      <c r="F44" s="108">
        <f>1/(1+'DCF by Box'!$E$43)^F39</f>
        <v>0.7043137864995046</v>
      </c>
      <c r="G44" s="108">
        <f>1/(1+'DCF by Box'!$E$43)^G39</f>
        <v>0.62664501044496312</v>
      </c>
      <c r="H44" s="108">
        <f>1/(1+'DCF by Box'!$E$43)^H39</f>
        <v>0.55754122188526001</v>
      </c>
      <c r="I44" s="108">
        <f>1/(1+'DCF by Box'!$E$43)^I39</f>
        <v>0.49605790985326964</v>
      </c>
      <c r="J44" s="108">
        <f>1/(1+'DCF by Box'!$E$43)^J39</f>
        <v>0.44135472009751359</v>
      </c>
      <c r="K44" s="108">
        <f>1/(1+'DCF by Box'!$E$43)^K39</f>
        <v>0.39268396911556791</v>
      </c>
      <c r="L44" s="108">
        <f>1/(1+'DCF by Box'!$E$43)^L39</f>
        <v>0.34938042481178627</v>
      </c>
      <c r="M44" s="108">
        <f>1/(1+'DCF by Box'!$E$43)^M39</f>
        <v>0.31085221410130875</v>
      </c>
    </row>
    <row r="45" spans="2:14" ht="13.95" customHeight="1" x14ac:dyDescent="0.3">
      <c r="B45" s="19" t="s">
        <v>711</v>
      </c>
      <c r="D45" s="20">
        <f t="shared" ref="D45:M45" si="8">D43*D44</f>
        <v>7079.834046905361</v>
      </c>
      <c r="E45" s="20">
        <f t="shared" si="8"/>
        <v>6595.1572655289056</v>
      </c>
      <c r="F45" s="20">
        <f t="shared" si="8"/>
        <v>6143.6608639253509</v>
      </c>
      <c r="G45" s="20">
        <f t="shared" si="8"/>
        <v>5723.0733538696022</v>
      </c>
      <c r="H45" s="20">
        <f t="shared" si="8"/>
        <v>5331.2787504427961</v>
      </c>
      <c r="I45" s="20">
        <f t="shared" si="8"/>
        <v>4966.3059264661133</v>
      </c>
      <c r="J45" s="20">
        <f t="shared" si="8"/>
        <v>4626.3186957170328</v>
      </c>
      <c r="K45" s="20">
        <f t="shared" si="8"/>
        <v>4309.6065750364678</v>
      </c>
      <c r="L45" s="20">
        <f t="shared" si="8"/>
        <v>4014.5761788507689</v>
      </c>
      <c r="M45" s="20">
        <f t="shared" si="8"/>
        <v>3739.7432028142057</v>
      </c>
    </row>
    <row r="46" spans="2:14" ht="13.95" customHeight="1" x14ac:dyDescent="0.3">
      <c r="B46" s="5" t="s">
        <v>712</v>
      </c>
      <c r="C46" s="61">
        <f>SUM(D45:M45)+N43/('DCF by Box'!$E$43-gLT)*M44</f>
        <v>103417.47749783007</v>
      </c>
    </row>
    <row r="48" spans="2:14" ht="13.95" customHeight="1" x14ac:dyDescent="0.3">
      <c r="B48" s="17" t="s">
        <v>715</v>
      </c>
      <c r="C48" s="18" t="s">
        <v>126</v>
      </c>
      <c r="D48" s="18" t="s">
        <v>694</v>
      </c>
      <c r="E48" s="18" t="s">
        <v>695</v>
      </c>
      <c r="F48" s="18" t="s">
        <v>696</v>
      </c>
      <c r="G48" s="18" t="s">
        <v>697</v>
      </c>
      <c r="H48" s="18" t="s">
        <v>698</v>
      </c>
      <c r="I48" s="18" t="s">
        <v>699</v>
      </c>
      <c r="J48" s="18" t="s">
        <v>700</v>
      </c>
      <c r="K48" s="18" t="s">
        <v>701</v>
      </c>
      <c r="L48" s="18" t="s">
        <v>702</v>
      </c>
      <c r="M48" s="18" t="s">
        <v>703</v>
      </c>
      <c r="N48" s="18" t="s">
        <v>704</v>
      </c>
    </row>
    <row r="49" spans="2:14" ht="13.95" customHeight="1" x14ac:dyDescent="0.3">
      <c r="B49" s="19" t="s">
        <v>705</v>
      </c>
      <c r="D49" s="107">
        <v>1</v>
      </c>
      <c r="E49" s="107">
        <v>2</v>
      </c>
      <c r="F49" s="107">
        <v>3</v>
      </c>
      <c r="G49" s="107">
        <v>4</v>
      </c>
      <c r="H49" s="107">
        <v>5</v>
      </c>
      <c r="I49" s="107">
        <v>6</v>
      </c>
      <c r="J49" s="107">
        <v>7</v>
      </c>
      <c r="K49" s="107">
        <v>8</v>
      </c>
      <c r="L49" s="107">
        <v>9</v>
      </c>
      <c r="M49" s="107">
        <v>10</v>
      </c>
      <c r="N49" s="107">
        <v>11</v>
      </c>
    </row>
    <row r="50" spans="2:14" ht="13.95" customHeight="1" x14ac:dyDescent="0.3">
      <c r="B50" s="19" t="s">
        <v>706</v>
      </c>
      <c r="D50" s="40">
        <f>IF(D49&lt;=FadeYears,'DCF by Box'!$C$97-('DCF by Box'!$C$97-gLT)*(D49-0.5)/FadeYears,gLT)</f>
        <v>4.7E-2</v>
      </c>
      <c r="E50" s="40">
        <f>IF(E49&lt;=FadeYears,'DCF by Box'!$C$97-('DCF by Box'!$C$97-gLT)*(E49-0.5)/FadeYears,gLT)</f>
        <v>4.7E-2</v>
      </c>
      <c r="F50" s="40">
        <f>IF(F49&lt;=FadeYears,'DCF by Box'!$C$97-('DCF by Box'!$C$97-gLT)*(F49-0.5)/FadeYears,gLT)</f>
        <v>4.7E-2</v>
      </c>
      <c r="G50" s="40">
        <f>IF(G49&lt;=FadeYears,'DCF by Box'!$C$97-('DCF by Box'!$C$97-gLT)*(G49-0.5)/FadeYears,gLT)</f>
        <v>4.7E-2</v>
      </c>
      <c r="H50" s="40">
        <f>IF(H49&lt;=FadeYears,'DCF by Box'!$C$97-('DCF by Box'!$C$97-gLT)*(H49-0.5)/FadeYears,gLT)</f>
        <v>4.7E-2</v>
      </c>
      <c r="I50" s="40">
        <f>IF(I49&lt;=FadeYears,'DCF by Box'!$C$97-('DCF by Box'!$C$97-gLT)*(I49-0.5)/FadeYears,gLT)</f>
        <v>4.7E-2</v>
      </c>
      <c r="J50" s="40">
        <f>IF(J49&lt;=FadeYears,'DCF by Box'!$C$97-('DCF by Box'!$C$97-gLT)*(J49-0.5)/FadeYears,gLT)</f>
        <v>4.7E-2</v>
      </c>
      <c r="K50" s="40">
        <f>IF(K49&lt;=FadeYears,'DCF by Box'!$C$97-('DCF by Box'!$C$97-gLT)*(K49-0.5)/FadeYears,gLT)</f>
        <v>4.7E-2</v>
      </c>
      <c r="L50" s="40">
        <f>IF(L49&lt;=FadeYears,'DCF by Box'!$C$97-('DCF by Box'!$C$97-gLT)*(L49-0.5)/FadeYears,gLT)</f>
        <v>4.7E-2</v>
      </c>
      <c r="M50" s="40">
        <f>IF(M49&lt;=FadeYears,'DCF by Box'!$C$97-('DCF by Box'!$C$97-gLT)*(M49-0.5)/FadeYears,gLT)</f>
        <v>4.7E-2</v>
      </c>
      <c r="N50" s="40">
        <f>IF(N49&lt;=FadeYears,'DCF by Box'!$C$97-('DCF by Box'!$C$97-gLT)*(N49-0.5)/FadeYears,gLT)</f>
        <v>4.7E-2</v>
      </c>
    </row>
    <row r="51" spans="2:14" ht="13.95" customHeight="1" x14ac:dyDescent="0.3">
      <c r="B51" s="19" t="s">
        <v>716</v>
      </c>
      <c r="C51" s="20">
        <f>'DCF by Box'!$H$84*(1+'DCF by Box'!$C$96)</f>
        <v>6977.0327586118838</v>
      </c>
      <c r="D51" s="20">
        <f t="shared" ref="D51:N51" si="9">C51*(1+D50)</f>
        <v>7304.9532982666415</v>
      </c>
      <c r="E51" s="20">
        <f t="shared" si="9"/>
        <v>7648.2861032851733</v>
      </c>
      <c r="F51" s="20">
        <f t="shared" si="9"/>
        <v>8007.7555501395764</v>
      </c>
      <c r="G51" s="20">
        <f t="shared" si="9"/>
        <v>8384.1200609961361</v>
      </c>
      <c r="H51" s="20">
        <f t="shared" si="9"/>
        <v>8778.1737038629544</v>
      </c>
      <c r="I51" s="20">
        <f t="shared" si="9"/>
        <v>9190.7478679445121</v>
      </c>
      <c r="J51" s="20">
        <f t="shared" si="9"/>
        <v>9622.713017737904</v>
      </c>
      <c r="K51" s="20">
        <f t="shared" si="9"/>
        <v>10074.980529571585</v>
      </c>
      <c r="L51" s="20">
        <f t="shared" si="9"/>
        <v>10548.504614461448</v>
      </c>
      <c r="M51" s="20">
        <f t="shared" si="9"/>
        <v>11044.284331341136</v>
      </c>
      <c r="N51" s="20">
        <f t="shared" si="9"/>
        <v>11563.365694914168</v>
      </c>
    </row>
    <row r="52" spans="2:14" ht="13.95" customHeight="1" x14ac:dyDescent="0.3">
      <c r="B52" s="19" t="s">
        <v>717</v>
      </c>
      <c r="C52" s="20">
        <f>'DCF by Box'!$H$73*(1+'DCF by Box'!$C$96)</f>
        <v>45591.039635780944</v>
      </c>
      <c r="D52" s="20">
        <f t="shared" ref="D52:N52" si="10">C52*(1+D50)</f>
        <v>47733.818498662644</v>
      </c>
      <c r="E52" s="20">
        <f t="shared" si="10"/>
        <v>49977.307968099783</v>
      </c>
      <c r="F52" s="20">
        <f t="shared" si="10"/>
        <v>52326.241442600469</v>
      </c>
      <c r="G52" s="20">
        <f t="shared" si="10"/>
        <v>54785.574790402687</v>
      </c>
      <c r="H52" s="20">
        <f t="shared" si="10"/>
        <v>57360.496805551607</v>
      </c>
      <c r="I52" s="20">
        <f t="shared" si="10"/>
        <v>60056.440155412529</v>
      </c>
      <c r="J52" s="20">
        <f t="shared" si="10"/>
        <v>62879.092842716913</v>
      </c>
      <c r="K52" s="20">
        <f t="shared" si="10"/>
        <v>65834.41020632461</v>
      </c>
      <c r="L52" s="20">
        <f t="shared" si="10"/>
        <v>68928.627486021869</v>
      </c>
      <c r="M52" s="20">
        <f t="shared" si="10"/>
        <v>72168.272977864894</v>
      </c>
      <c r="N52" s="20">
        <f t="shared" si="10"/>
        <v>75560.181807824541</v>
      </c>
    </row>
    <row r="53" spans="2:14" ht="13.95" customHeight="1" x14ac:dyDescent="0.3">
      <c r="B53" s="5" t="s">
        <v>718</v>
      </c>
      <c r="C53" s="16">
        <f>'DCF by Box'!$C$98</f>
        <v>3904.9318442546373</v>
      </c>
      <c r="D53" s="16">
        <f>IF(FadeMode=2,D51*(1-D50/'Box Shares'!$E$45)-NWCpct*(D52-C52),C53*(1+D50))</f>
        <v>4088.4636409346049</v>
      </c>
      <c r="E53" s="16">
        <f>IF(FadeMode=2,E51*(1-E50/'Box Shares'!$E$45)-NWCpct*(E52-D52),D53*(1+E50))</f>
        <v>4280.6214320585314</v>
      </c>
      <c r="F53" s="16">
        <f>IF(FadeMode=2,F51*(1-F50/'Box Shares'!$E$45)-NWCpct*(F52-E52),E53*(1+F50))</f>
        <v>4481.8106393652824</v>
      </c>
      <c r="G53" s="16">
        <f>IF(FadeMode=2,G51*(1-G50/'Box Shares'!$E$45)-NWCpct*(G52-F52),F53*(1+G50))</f>
        <v>4692.4557394154508</v>
      </c>
      <c r="H53" s="16">
        <f>IF(FadeMode=2,H51*(1-H50/'Box Shares'!$E$45)-NWCpct*(H52-G52),G53*(1+H50))</f>
        <v>4913.0011591679768</v>
      </c>
      <c r="I53" s="16">
        <f>IF(FadeMode=2,I51*(1-I50/'Box Shares'!$E$45)-NWCpct*(I52-H52),H53*(1+I50))</f>
        <v>5143.9122136488713</v>
      </c>
      <c r="J53" s="16">
        <f>IF(FadeMode=2,J51*(1-J50/'Box Shares'!$E$45)-NWCpct*(J52-I52),I53*(1+J50))</f>
        <v>5385.6760876903681</v>
      </c>
      <c r="K53" s="16">
        <f>IF(FadeMode=2,K51*(1-K50/'Box Shares'!$E$45)-NWCpct*(K52-J52),J53*(1+K50))</f>
        <v>5638.8028638118149</v>
      </c>
      <c r="L53" s="16">
        <f>IF(FadeMode=2,L51*(1-L50/'Box Shares'!$E$45)-NWCpct*(L52-K52),K53*(1+L50))</f>
        <v>5903.8265984109694</v>
      </c>
      <c r="M53" s="16">
        <f>IF(FadeMode=2,M51*(1-M50/'Box Shares'!$E$45)-NWCpct*(M52-L52),L53*(1+M50))</f>
        <v>6181.3064485362847</v>
      </c>
      <c r="N53" s="16">
        <f>IF(FadeMode=2,N51*(1-N50/'Box Shares'!$E$45)-NWCpct*(N52-M52),M53*(1+N50))</f>
        <v>6471.8278516174896</v>
      </c>
    </row>
    <row r="54" spans="2:14" ht="13.95" customHeight="1" x14ac:dyDescent="0.3">
      <c r="B54" s="19" t="s">
        <v>710</v>
      </c>
      <c r="D54" s="108">
        <f>1/(1+'DCF by Box'!$C$95)^D49</f>
        <v>0.8766389790118384</v>
      </c>
      <c r="E54" s="108">
        <f>1/(1+'DCF by Box'!$C$95)^E49</f>
        <v>0.76849589952291852</v>
      </c>
      <c r="F54" s="108">
        <f>1/(1+'DCF by Box'!$C$95)^F49</f>
        <v>0.67369346073255565</v>
      </c>
      <c r="G54" s="108">
        <f>1/(1+'DCF by Box'!$C$95)^G49</f>
        <v>0.59058594758353966</v>
      </c>
      <c r="H54" s="108">
        <f>1/(1+'DCF by Box'!$C$95)^H49</f>
        <v>0.51773066210837337</v>
      </c>
      <c r="I54" s="108">
        <f>1/(1+'DCF by Box'!$C$95)^I49</f>
        <v>0.45386287903380751</v>
      </c>
      <c r="J54" s="108">
        <f>1/(1+'DCF by Box'!$C$95)^J49</f>
        <v>0.39787389088757058</v>
      </c>
      <c r="K54" s="108">
        <f>1/(1+'DCF by Box'!$C$95)^K49</f>
        <v>0.34879176148314744</v>
      </c>
      <c r="L54" s="108">
        <f>1/(1+'DCF by Box'!$C$95)^L49</f>
        <v>0.30576445367432709</v>
      </c>
      <c r="M54" s="108">
        <f>1/(1+'DCF by Box'!$C$95)^M49</f>
        <v>0.26804503848717465</v>
      </c>
    </row>
    <row r="55" spans="2:14" ht="13.95" customHeight="1" x14ac:dyDescent="0.3">
      <c r="B55" s="19" t="s">
        <v>711</v>
      </c>
      <c r="D55" s="20">
        <f t="shared" ref="D55:M55" si="11">D53*D54</f>
        <v>3584.1065919159355</v>
      </c>
      <c r="E55" s="20">
        <f t="shared" si="11"/>
        <v>3289.6400179469047</v>
      </c>
      <c r="F55" s="20">
        <f t="shared" si="11"/>
        <v>3019.3665199819852</v>
      </c>
      <c r="G55" s="20">
        <f t="shared" si="11"/>
        <v>2771.2984193564935</v>
      </c>
      <c r="H55" s="20">
        <f t="shared" si="11"/>
        <v>2543.6113430752425</v>
      </c>
      <c r="I55" s="20">
        <f t="shared" si="11"/>
        <v>2334.6308067838427</v>
      </c>
      <c r="J55" s="20">
        <f t="shared" si="11"/>
        <v>2142.8199000695154</v>
      </c>
      <c r="K55" s="20">
        <f t="shared" si="11"/>
        <v>1966.7679835251392</v>
      </c>
      <c r="L55" s="20">
        <f t="shared" si="11"/>
        <v>1805.1803144510909</v>
      </c>
      <c r="M55" s="20">
        <f t="shared" si="11"/>
        <v>1656.8685248989293</v>
      </c>
    </row>
    <row r="56" spans="2:14" ht="13.95" customHeight="1" x14ac:dyDescent="0.3">
      <c r="B56" s="5" t="s">
        <v>712</v>
      </c>
      <c r="C56" s="61">
        <f>SUM(D55:M55)+N53/('DCF by Box'!$C$95-gLT)*M54</f>
        <v>43624.034772674248</v>
      </c>
    </row>
    <row r="58" spans="2:14" ht="13.95" customHeight="1" x14ac:dyDescent="0.3">
      <c r="B58" s="17" t="s">
        <v>719</v>
      </c>
      <c r="C58" s="18" t="s">
        <v>126</v>
      </c>
      <c r="D58" s="18" t="s">
        <v>694</v>
      </c>
      <c r="E58" s="18" t="s">
        <v>695</v>
      </c>
      <c r="F58" s="18" t="s">
        <v>696</v>
      </c>
      <c r="G58" s="18" t="s">
        <v>697</v>
      </c>
      <c r="H58" s="18" t="s">
        <v>698</v>
      </c>
      <c r="I58" s="18" t="s">
        <v>699</v>
      </c>
      <c r="J58" s="18" t="s">
        <v>700</v>
      </c>
      <c r="K58" s="18" t="s">
        <v>701</v>
      </c>
      <c r="L58" s="18" t="s">
        <v>702</v>
      </c>
      <c r="M58" s="18" t="s">
        <v>703</v>
      </c>
      <c r="N58" s="18" t="s">
        <v>704</v>
      </c>
    </row>
    <row r="59" spans="2:14" ht="13.95" customHeight="1" x14ac:dyDescent="0.3">
      <c r="B59" s="19" t="s">
        <v>705</v>
      </c>
      <c r="D59" s="107">
        <v>1</v>
      </c>
      <c r="E59" s="107">
        <v>2</v>
      </c>
      <c r="F59" s="107">
        <v>3</v>
      </c>
      <c r="G59" s="107">
        <v>4</v>
      </c>
      <c r="H59" s="107">
        <v>5</v>
      </c>
      <c r="I59" s="107">
        <v>6</v>
      </c>
      <c r="J59" s="107">
        <v>7</v>
      </c>
      <c r="K59" s="107">
        <v>8</v>
      </c>
      <c r="L59" s="107">
        <v>9</v>
      </c>
      <c r="M59" s="107">
        <v>10</v>
      </c>
      <c r="N59" s="107">
        <v>11</v>
      </c>
    </row>
    <row r="60" spans="2:14" ht="13.95" customHeight="1" x14ac:dyDescent="0.3">
      <c r="B60" s="19" t="s">
        <v>706</v>
      </c>
      <c r="D60" s="40">
        <f>IF(D59&lt;=FadeYears,'DCF by Box'!$D$97-('DCF by Box'!$D$97-gLT)*(D59-0.5)/FadeYears,gLT)</f>
        <v>4.7E-2</v>
      </c>
      <c r="E60" s="40">
        <f>IF(E59&lt;=FadeYears,'DCF by Box'!$D$97-('DCF by Box'!$D$97-gLT)*(E59-0.5)/FadeYears,gLT)</f>
        <v>4.7E-2</v>
      </c>
      <c r="F60" s="40">
        <f>IF(F59&lt;=FadeYears,'DCF by Box'!$D$97-('DCF by Box'!$D$97-gLT)*(F59-0.5)/FadeYears,gLT)</f>
        <v>4.7E-2</v>
      </c>
      <c r="G60" s="40">
        <f>IF(G59&lt;=FadeYears,'DCF by Box'!$D$97-('DCF by Box'!$D$97-gLT)*(G59-0.5)/FadeYears,gLT)</f>
        <v>4.7E-2</v>
      </c>
      <c r="H60" s="40">
        <f>IF(H59&lt;=FadeYears,'DCF by Box'!$D$97-('DCF by Box'!$D$97-gLT)*(H59-0.5)/FadeYears,gLT)</f>
        <v>4.7E-2</v>
      </c>
      <c r="I60" s="40">
        <f>IF(I59&lt;=FadeYears,'DCF by Box'!$D$97-('DCF by Box'!$D$97-gLT)*(I59-0.5)/FadeYears,gLT)</f>
        <v>4.7E-2</v>
      </c>
      <c r="J60" s="40">
        <f>IF(J59&lt;=FadeYears,'DCF by Box'!$D$97-('DCF by Box'!$D$97-gLT)*(J59-0.5)/FadeYears,gLT)</f>
        <v>4.7E-2</v>
      </c>
      <c r="K60" s="40">
        <f>IF(K59&lt;=FadeYears,'DCF by Box'!$D$97-('DCF by Box'!$D$97-gLT)*(K59-0.5)/FadeYears,gLT)</f>
        <v>4.7E-2</v>
      </c>
      <c r="L60" s="40">
        <f>IF(L59&lt;=FadeYears,'DCF by Box'!$D$97-('DCF by Box'!$D$97-gLT)*(L59-0.5)/FadeYears,gLT)</f>
        <v>4.7E-2</v>
      </c>
      <c r="M60" s="40">
        <f>IF(M59&lt;=FadeYears,'DCF by Box'!$D$97-('DCF by Box'!$D$97-gLT)*(M59-0.5)/FadeYears,gLT)</f>
        <v>4.7E-2</v>
      </c>
      <c r="N60" s="40">
        <f>IF(N59&lt;=FadeYears,'DCF by Box'!$D$97-('DCF by Box'!$D$97-gLT)*(N59-0.5)/FadeYears,gLT)</f>
        <v>4.7E-2</v>
      </c>
    </row>
    <row r="61" spans="2:14" ht="13.95" customHeight="1" x14ac:dyDescent="0.3">
      <c r="B61" s="19" t="s">
        <v>716</v>
      </c>
      <c r="C61" s="20">
        <f>'DCF by Box'!$H$84*(1+'DCF by Box'!$D$96)</f>
        <v>8266.9997601284122</v>
      </c>
      <c r="D61" s="20">
        <f t="shared" ref="D61:N61" si="12">C61*(1+D60)</f>
        <v>8655.5487488544477</v>
      </c>
      <c r="E61" s="20">
        <f t="shared" si="12"/>
        <v>9062.3595400506056</v>
      </c>
      <c r="F61" s="20">
        <f t="shared" si="12"/>
        <v>9488.2904384329831</v>
      </c>
      <c r="G61" s="20">
        <f t="shared" si="12"/>
        <v>9934.2400890393328</v>
      </c>
      <c r="H61" s="20">
        <f t="shared" si="12"/>
        <v>10401.149373224182</v>
      </c>
      <c r="I61" s="20">
        <f t="shared" si="12"/>
        <v>10890.003393765717</v>
      </c>
      <c r="J61" s="20">
        <f t="shared" si="12"/>
        <v>11401.833553272705</v>
      </c>
      <c r="K61" s="20">
        <f t="shared" si="12"/>
        <v>11937.719730276522</v>
      </c>
      <c r="L61" s="20">
        <f t="shared" si="12"/>
        <v>12498.792557599518</v>
      </c>
      <c r="M61" s="20">
        <f t="shared" si="12"/>
        <v>13086.235807806694</v>
      </c>
      <c r="N61" s="20">
        <f t="shared" si="12"/>
        <v>13701.288890773607</v>
      </c>
    </row>
    <row r="62" spans="2:14" ht="13.95" customHeight="1" x14ac:dyDescent="0.3">
      <c r="B62" s="19" t="s">
        <v>717</v>
      </c>
      <c r="C62" s="20">
        <f>'DCF by Box'!$H$73*(1+'DCF by Box'!$D$96)</f>
        <v>54020.258578804838</v>
      </c>
      <c r="D62" s="20">
        <f t="shared" ref="D62:N62" si="13">C62*(1+D60)</f>
        <v>56559.210732008665</v>
      </c>
      <c r="E62" s="20">
        <f t="shared" si="13"/>
        <v>59217.49363641307</v>
      </c>
      <c r="F62" s="20">
        <f t="shared" si="13"/>
        <v>62000.715837324482</v>
      </c>
      <c r="G62" s="20">
        <f t="shared" si="13"/>
        <v>64914.749481678729</v>
      </c>
      <c r="H62" s="20">
        <f t="shared" si="13"/>
        <v>67965.742707317622</v>
      </c>
      <c r="I62" s="20">
        <f t="shared" si="13"/>
        <v>71160.132614561546</v>
      </c>
      <c r="J62" s="20">
        <f t="shared" si="13"/>
        <v>74504.658847445928</v>
      </c>
      <c r="K62" s="20">
        <f t="shared" si="13"/>
        <v>78006.377813275874</v>
      </c>
      <c r="L62" s="20">
        <f t="shared" si="13"/>
        <v>81672.677570499829</v>
      </c>
      <c r="M62" s="20">
        <f t="shared" si="13"/>
        <v>85511.293416313318</v>
      </c>
      <c r="N62" s="20">
        <f t="shared" si="13"/>
        <v>89530.324206880032</v>
      </c>
    </row>
    <row r="63" spans="2:14" ht="13.95" customHeight="1" x14ac:dyDescent="0.3">
      <c r="B63" s="5" t="s">
        <v>718</v>
      </c>
      <c r="C63" s="16">
        <f>'DCF by Box'!$D$98</f>
        <v>4626.9054104589823</v>
      </c>
      <c r="D63" s="16">
        <f>IF(FadeMode=2,D61*(1-D60/'Box Shares'!$E$45)-NWCpct*(D62-C62),C63*(1+D60))</f>
        <v>4844.3699647505537</v>
      </c>
      <c r="E63" s="16">
        <f>IF(FadeMode=2,E61*(1-E60/'Box Shares'!$E$45)-NWCpct*(E62-D62),D63*(1+E60))</f>
        <v>5072.0553530938296</v>
      </c>
      <c r="F63" s="16">
        <f>IF(FadeMode=2,F61*(1-F60/'Box Shares'!$E$45)-NWCpct*(F62-E62),E63*(1+F60))</f>
        <v>5310.4419546892395</v>
      </c>
      <c r="G63" s="16">
        <f>IF(FadeMode=2,G61*(1-G60/'Box Shares'!$E$45)-NWCpct*(G62-F62),F63*(1+G60))</f>
        <v>5560.0327265596334</v>
      </c>
      <c r="H63" s="16">
        <f>IF(FadeMode=2,H61*(1-H60/'Box Shares'!$E$45)-NWCpct*(H62-G62),G63*(1+H60))</f>
        <v>5821.3542647079357</v>
      </c>
      <c r="I63" s="16">
        <f>IF(FadeMode=2,I61*(1-I60/'Box Shares'!$E$45)-NWCpct*(I62-H62),H63*(1+I60))</f>
        <v>6094.957915149208</v>
      </c>
      <c r="J63" s="16">
        <f>IF(FadeMode=2,J61*(1-J60/'Box Shares'!$E$45)-NWCpct*(J62-I62),I63*(1+J60))</f>
        <v>6381.4209371612205</v>
      </c>
      <c r="K63" s="16">
        <f>IF(FadeMode=2,K61*(1-K60/'Box Shares'!$E$45)-NWCpct*(K62-J62),J63*(1+K60))</f>
        <v>6681.3477212077978</v>
      </c>
      <c r="L63" s="16">
        <f>IF(FadeMode=2,L61*(1-L60/'Box Shares'!$E$45)-NWCpct*(L62-K62),K63*(1+L60))</f>
        <v>6995.3710641045636</v>
      </c>
      <c r="M63" s="16">
        <f>IF(FadeMode=2,M61*(1-M60/'Box Shares'!$E$45)-NWCpct*(M62-L62),L63*(1+M60))</f>
        <v>7324.1535041174775</v>
      </c>
      <c r="N63" s="16">
        <f>IF(FadeMode=2,N61*(1-N60/'Box Shares'!$E$45)-NWCpct*(N62-M62),M63*(1+N60))</f>
        <v>7668.3887188109984</v>
      </c>
    </row>
    <row r="64" spans="2:14" ht="13.95" customHeight="1" x14ac:dyDescent="0.3">
      <c r="B64" s="19" t="s">
        <v>710</v>
      </c>
      <c r="D64" s="108">
        <f>1/(1+'DCF by Box'!$D$95)^D59</f>
        <v>0.89021793450882014</v>
      </c>
      <c r="E64" s="108">
        <f>1/(1+'DCF by Box'!$D$95)^E59</f>
        <v>0.79248797092114998</v>
      </c>
      <c r="F64" s="108">
        <f>1/(1+'DCF by Box'!$D$95)^F59</f>
        <v>0.70548700459651204</v>
      </c>
      <c r="G64" s="108">
        <f>1/(1+'DCF by Box'!$D$95)^G59</f>
        <v>0.62803718405472142</v>
      </c>
      <c r="H64" s="108">
        <f>1/(1+'DCF by Box'!$D$95)^H59</f>
        <v>0.5590899647839298</v>
      </c>
      <c r="I64" s="108">
        <f>1/(1+'DCF by Box'!$D$95)^I59</f>
        <v>0.49771191365455891</v>
      </c>
      <c r="J64" s="108">
        <f>1/(1+'DCF by Box'!$D$95)^J59</f>
        <v>0.44307207175399366</v>
      </c>
      <c r="K64" s="108">
        <f>1/(1+'DCF by Box'!$D$95)^K59</f>
        <v>0.39443070455538404</v>
      </c>
      <c r="L64" s="108">
        <f>1/(1+'DCF by Box'!$D$95)^L59</f>
        <v>0.35112928711615266</v>
      </c>
      <c r="M64" s="108">
        <f>1/(1+'DCF by Box'!$D$95)^M59</f>
        <v>0.31258158872209585</v>
      </c>
    </row>
    <row r="65" spans="2:14" ht="13.95" customHeight="1" x14ac:dyDescent="0.3">
      <c r="B65" s="19" t="s">
        <v>711</v>
      </c>
      <c r="D65" s="20">
        <f t="shared" ref="D65:M65" si="14">D63*D64</f>
        <v>4312.5450240168038</v>
      </c>
      <c r="E65" s="20">
        <f t="shared" si="14"/>
        <v>4019.5428551730861</v>
      </c>
      <c r="F65" s="20">
        <f t="shared" si="14"/>
        <v>3746.4477876973579</v>
      </c>
      <c r="G65" s="20">
        <f t="shared" si="14"/>
        <v>3491.9072968406072</v>
      </c>
      <c r="H65" s="20">
        <f t="shared" si="14"/>
        <v>3254.6607508503394</v>
      </c>
      <c r="I65" s="20">
        <f t="shared" si="14"/>
        <v>3033.5331675929128</v>
      </c>
      <c r="J65" s="20">
        <f t="shared" si="14"/>
        <v>2827.4293953623337</v>
      </c>
      <c r="K65" s="20">
        <f t="shared" si="14"/>
        <v>2635.3286890555014</v>
      </c>
      <c r="L65" s="20">
        <f t="shared" si="14"/>
        <v>2456.2796548519977</v>
      </c>
      <c r="M65" s="20">
        <f t="shared" si="14"/>
        <v>2289.3955383615466</v>
      </c>
    </row>
    <row r="66" spans="2:14" ht="13.95" customHeight="1" x14ac:dyDescent="0.3">
      <c r="B66" s="5" t="s">
        <v>712</v>
      </c>
      <c r="C66" s="61">
        <f>SUM(D65:M65)+N63/('DCF by Box'!$D$95-gLT)*M64</f>
        <v>63474.085047104032</v>
      </c>
    </row>
    <row r="68" spans="2:14" ht="13.95" customHeight="1" x14ac:dyDescent="0.3">
      <c r="B68" s="17" t="s">
        <v>720</v>
      </c>
      <c r="C68" s="18" t="s">
        <v>126</v>
      </c>
      <c r="D68" s="18" t="s">
        <v>694</v>
      </c>
      <c r="E68" s="18" t="s">
        <v>695</v>
      </c>
      <c r="F68" s="18" t="s">
        <v>696</v>
      </c>
      <c r="G68" s="18" t="s">
        <v>697</v>
      </c>
      <c r="H68" s="18" t="s">
        <v>698</v>
      </c>
      <c r="I68" s="18" t="s">
        <v>699</v>
      </c>
      <c r="J68" s="18" t="s">
        <v>700</v>
      </c>
      <c r="K68" s="18" t="s">
        <v>701</v>
      </c>
      <c r="L68" s="18" t="s">
        <v>702</v>
      </c>
      <c r="M68" s="18" t="s">
        <v>703</v>
      </c>
      <c r="N68" s="18" t="s">
        <v>704</v>
      </c>
    </row>
    <row r="69" spans="2:14" ht="13.95" customHeight="1" x14ac:dyDescent="0.3">
      <c r="B69" s="19" t="s">
        <v>705</v>
      </c>
      <c r="D69" s="107">
        <v>1</v>
      </c>
      <c r="E69" s="107">
        <v>2</v>
      </c>
      <c r="F69" s="107">
        <v>3</v>
      </c>
      <c r="G69" s="107">
        <v>4</v>
      </c>
      <c r="H69" s="107">
        <v>5</v>
      </c>
      <c r="I69" s="107">
        <v>6</v>
      </c>
      <c r="J69" s="107">
        <v>7</v>
      </c>
      <c r="K69" s="107">
        <v>8</v>
      </c>
      <c r="L69" s="107">
        <v>9</v>
      </c>
      <c r="M69" s="107">
        <v>10</v>
      </c>
      <c r="N69" s="107">
        <v>11</v>
      </c>
    </row>
    <row r="70" spans="2:14" ht="13.95" customHeight="1" x14ac:dyDescent="0.3">
      <c r="B70" s="19" t="s">
        <v>706</v>
      </c>
      <c r="D70" s="40">
        <f>IF(D69&lt;=FadeYears,'DCF by Box'!$E$97-('DCF by Box'!$E$97-gLT)*(D69-0.5)/FadeYears,gLT)</f>
        <v>4.7E-2</v>
      </c>
      <c r="E70" s="40">
        <f>IF(E69&lt;=FadeYears,'DCF by Box'!$E$97-('DCF by Box'!$E$97-gLT)*(E69-0.5)/FadeYears,gLT)</f>
        <v>4.7E-2</v>
      </c>
      <c r="F70" s="40">
        <f>IF(F69&lt;=FadeYears,'DCF by Box'!$E$97-('DCF by Box'!$E$97-gLT)*(F69-0.5)/FadeYears,gLT)</f>
        <v>4.7E-2</v>
      </c>
      <c r="G70" s="40">
        <f>IF(G69&lt;=FadeYears,'DCF by Box'!$E$97-('DCF by Box'!$E$97-gLT)*(G69-0.5)/FadeYears,gLT)</f>
        <v>4.7E-2</v>
      </c>
      <c r="H70" s="40">
        <f>IF(H69&lt;=FadeYears,'DCF by Box'!$E$97-('DCF by Box'!$E$97-gLT)*(H69-0.5)/FadeYears,gLT)</f>
        <v>4.7E-2</v>
      </c>
      <c r="I70" s="40">
        <f>IF(I69&lt;=FadeYears,'DCF by Box'!$E$97-('DCF by Box'!$E$97-gLT)*(I69-0.5)/FadeYears,gLT)</f>
        <v>4.7E-2</v>
      </c>
      <c r="J70" s="40">
        <f>IF(J69&lt;=FadeYears,'DCF by Box'!$E$97-('DCF by Box'!$E$97-gLT)*(J69-0.5)/FadeYears,gLT)</f>
        <v>4.7E-2</v>
      </c>
      <c r="K70" s="40">
        <f>IF(K69&lt;=FadeYears,'DCF by Box'!$E$97-('DCF by Box'!$E$97-gLT)*(K69-0.5)/FadeYears,gLT)</f>
        <v>4.7E-2</v>
      </c>
      <c r="L70" s="40">
        <f>IF(L69&lt;=FadeYears,'DCF by Box'!$E$97-('DCF by Box'!$E$97-gLT)*(L69-0.5)/FadeYears,gLT)</f>
        <v>4.7E-2</v>
      </c>
      <c r="M70" s="40">
        <f>IF(M69&lt;=FadeYears,'DCF by Box'!$E$97-('DCF by Box'!$E$97-gLT)*(M69-0.5)/FadeYears,gLT)</f>
        <v>4.7E-2</v>
      </c>
      <c r="N70" s="40">
        <f>IF(N69&lt;=FadeYears,'DCF by Box'!$E$97-('DCF by Box'!$E$97-gLT)*(N69-0.5)/FadeYears,gLT)</f>
        <v>4.7E-2</v>
      </c>
    </row>
    <row r="71" spans="2:14" ht="13.95" customHeight="1" x14ac:dyDescent="0.3">
      <c r="B71" s="19" t="s">
        <v>716</v>
      </c>
      <c r="C71" s="20">
        <f>'DCF by Box'!$H$84*(1+'DCF by Box'!$E$96)</f>
        <v>9556.9667616449406</v>
      </c>
      <c r="D71" s="20">
        <f t="shared" ref="D71:N71" si="15">C71*(1+D70)</f>
        <v>10006.144199442253</v>
      </c>
      <c r="E71" s="20">
        <f t="shared" si="15"/>
        <v>10476.432976816039</v>
      </c>
      <c r="F71" s="20">
        <f t="shared" si="15"/>
        <v>10968.825326726392</v>
      </c>
      <c r="G71" s="20">
        <f t="shared" si="15"/>
        <v>11484.360117082531</v>
      </c>
      <c r="H71" s="20">
        <f t="shared" si="15"/>
        <v>12024.125042585409</v>
      </c>
      <c r="I71" s="20">
        <f t="shared" si="15"/>
        <v>12589.258919586922</v>
      </c>
      <c r="J71" s="20">
        <f t="shared" si="15"/>
        <v>13180.954088807506</v>
      </c>
      <c r="K71" s="20">
        <f t="shared" si="15"/>
        <v>13800.458930981458</v>
      </c>
      <c r="L71" s="20">
        <f t="shared" si="15"/>
        <v>14449.080500737586</v>
      </c>
      <c r="M71" s="20">
        <f t="shared" si="15"/>
        <v>15128.187284272251</v>
      </c>
      <c r="N71" s="20">
        <f t="shared" si="15"/>
        <v>15839.212086633046</v>
      </c>
    </row>
    <row r="72" spans="2:14" ht="13.95" customHeight="1" x14ac:dyDescent="0.3">
      <c r="B72" s="19" t="s">
        <v>717</v>
      </c>
      <c r="C72" s="20">
        <f>'DCF by Box'!$H$73*(1+'DCF by Box'!$E$96)</f>
        <v>62449.477521828732</v>
      </c>
      <c r="D72" s="20">
        <f t="shared" ref="D72:N72" si="16">C72*(1+D70)</f>
        <v>65384.602965354679</v>
      </c>
      <c r="E72" s="20">
        <f t="shared" si="16"/>
        <v>68457.679304726349</v>
      </c>
      <c r="F72" s="20">
        <f t="shared" si="16"/>
        <v>71675.190232048481</v>
      </c>
      <c r="G72" s="20">
        <f t="shared" si="16"/>
        <v>75043.92417295475</v>
      </c>
      <c r="H72" s="20">
        <f t="shared" si="16"/>
        <v>78570.988609083623</v>
      </c>
      <c r="I72" s="20">
        <f t="shared" si="16"/>
        <v>82263.825073710541</v>
      </c>
      <c r="J72" s="20">
        <f t="shared" si="16"/>
        <v>86130.224852174928</v>
      </c>
      <c r="K72" s="20">
        <f t="shared" si="16"/>
        <v>90178.345420227139</v>
      </c>
      <c r="L72" s="20">
        <f t="shared" si="16"/>
        <v>94416.727654977803</v>
      </c>
      <c r="M72" s="20">
        <f t="shared" si="16"/>
        <v>98854.313854761756</v>
      </c>
      <c r="N72" s="20">
        <f t="shared" si="16"/>
        <v>103500.46660593555</v>
      </c>
    </row>
    <row r="73" spans="2:14" ht="13.95" customHeight="1" x14ac:dyDescent="0.3">
      <c r="B73" s="5" t="s">
        <v>718</v>
      </c>
      <c r="C73" s="16">
        <f>'DCF by Box'!$E$98</f>
        <v>5348.8789766633272</v>
      </c>
      <c r="D73" s="16">
        <f>IF(FadeMode=2,D71*(1-D70/'Box Shares'!$E$45)-NWCpct*(D72-C72),C73*(1+D70))</f>
        <v>5600.2762885665034</v>
      </c>
      <c r="E73" s="16">
        <f>IF(FadeMode=2,E71*(1-E70/'Box Shares'!$E$45)-NWCpct*(E72-D72),D73*(1+E70))</f>
        <v>5863.4892741291287</v>
      </c>
      <c r="F73" s="16">
        <f>IF(FadeMode=2,F71*(1-F70/'Box Shares'!$E$45)-NWCpct*(F72-E72),E73*(1+F70))</f>
        <v>6139.0732700131975</v>
      </c>
      <c r="G73" s="16">
        <f>IF(FadeMode=2,G71*(1-G70/'Box Shares'!$E$45)-NWCpct*(G72-F72),F73*(1+G70))</f>
        <v>6427.6097137038178</v>
      </c>
      <c r="H73" s="16">
        <f>IF(FadeMode=2,H71*(1-H70/'Box Shares'!$E$45)-NWCpct*(H72-G72),G73*(1+H70))</f>
        <v>6729.7073702478965</v>
      </c>
      <c r="I73" s="16">
        <f>IF(FadeMode=2,I71*(1-I70/'Box Shares'!$E$45)-NWCpct*(I72-H72),H73*(1+I70))</f>
        <v>7046.0036166495474</v>
      </c>
      <c r="J73" s="16">
        <f>IF(FadeMode=2,J71*(1-J70/'Box Shares'!$E$45)-NWCpct*(J72-I72),I73*(1+J70))</f>
        <v>7377.1657866320757</v>
      </c>
      <c r="K73" s="16">
        <f>IF(FadeMode=2,K71*(1-K70/'Box Shares'!$E$45)-NWCpct*(K72-J72),J73*(1+K70))</f>
        <v>7723.8925786037826</v>
      </c>
      <c r="L73" s="16">
        <f>IF(FadeMode=2,L71*(1-L70/'Box Shares'!$E$45)-NWCpct*(L72-K72),K73*(1+L70))</f>
        <v>8086.9155297981597</v>
      </c>
      <c r="M73" s="16">
        <f>IF(FadeMode=2,M71*(1-M70/'Box Shares'!$E$45)-NWCpct*(M72-L72),L73*(1+M70))</f>
        <v>8467.0005596986721</v>
      </c>
      <c r="N73" s="16">
        <f>IF(FadeMode=2,N71*(1-N70/'Box Shares'!$E$45)-NWCpct*(N72-M72),M73*(1+N70))</f>
        <v>8864.9495860045099</v>
      </c>
    </row>
    <row r="74" spans="2:14" ht="13.95" customHeight="1" x14ac:dyDescent="0.3">
      <c r="B74" s="19" t="s">
        <v>710</v>
      </c>
      <c r="D74" s="108">
        <f>1/(1+'DCF by Box'!$E$95)^D69</f>
        <v>0.90031655662135857</v>
      </c>
      <c r="E74" s="108">
        <f>1/(1+'DCF by Box'!$E$95)^E69</f>
        <v>0.81056990212653979</v>
      </c>
      <c r="F74" s="108">
        <f>1/(1+'DCF by Box'!$E$95)^F69</f>
        <v>0.72976950318347789</v>
      </c>
      <c r="G74" s="108">
        <f>1/(1+'DCF by Box'!$E$95)^G69</f>
        <v>0.65702356623342828</v>
      </c>
      <c r="H74" s="108">
        <f>1/(1+'DCF by Box'!$E$95)^H69</f>
        <v>0.59152919477036525</v>
      </c>
      <c r="I74" s="108">
        <f>1/(1+'DCF by Box'!$E$95)^I69</f>
        <v>0.53256352777666005</v>
      </c>
      <c r="J74" s="108">
        <f>1/(1+'DCF by Box'!$E$95)^J69</f>
        <v>0.47947576151000587</v>
      </c>
      <c r="K74" s="108">
        <f>1/(1+'DCF by Box'!$E$95)^K69</f>
        <v>0.43167996658609215</v>
      </c>
      <c r="L74" s="108">
        <f>1/(1+'DCF by Box'!$E$95)^L69</f>
        <v>0.38864862107921361</v>
      </c>
      <c r="M74" s="108">
        <f>1/(1+'DCF by Box'!$E$95)^M69</f>
        <v>0.34990678826567662</v>
      </c>
    </row>
    <row r="75" spans="2:14" ht="13.95" customHeight="1" x14ac:dyDescent="0.3">
      <c r="B75" s="19" t="s">
        <v>711</v>
      </c>
      <c r="D75" s="20">
        <f t="shared" ref="D75:M75" si="17">D73*D74</f>
        <v>5042.0214642504361</v>
      </c>
      <c r="E75" s="20">
        <f t="shared" si="17"/>
        <v>4752.7679270508634</v>
      </c>
      <c r="F75" s="20">
        <f t="shared" si="17"/>
        <v>4480.1084502644999</v>
      </c>
      <c r="G75" s="20">
        <f t="shared" si="17"/>
        <v>4223.0910564543074</v>
      </c>
      <c r="H75" s="20">
        <f t="shared" si="17"/>
        <v>3980.8183817629306</v>
      </c>
      <c r="I75" s="20">
        <f t="shared" si="17"/>
        <v>3752.4445428099884</v>
      </c>
      <c r="J75" s="20">
        <f t="shared" si="17"/>
        <v>3537.1721833309762</v>
      </c>
      <c r="K75" s="20">
        <f t="shared" si="17"/>
        <v>3334.2496902462458</v>
      </c>
      <c r="L75" s="20">
        <f t="shared" si="17"/>
        <v>3142.9685694401328</v>
      </c>
      <c r="M75" s="20">
        <f t="shared" si="17"/>
        <v>2962.6609720878487</v>
      </c>
    </row>
    <row r="76" spans="2:14" ht="13.95" customHeight="1" x14ac:dyDescent="0.3">
      <c r="B76" s="5" t="s">
        <v>712</v>
      </c>
      <c r="C76" s="61">
        <f>SUM(D75:M75)+N73/('DCF by Box'!$E$95-gLT)*M74</f>
        <v>87888.226681985543</v>
      </c>
    </row>
    <row r="78" spans="2:14" ht="13.95" customHeight="1" x14ac:dyDescent="0.3">
      <c r="B78" s="17" t="s">
        <v>721</v>
      </c>
      <c r="C78" s="18" t="s">
        <v>126</v>
      </c>
      <c r="D78" s="18" t="s">
        <v>694</v>
      </c>
      <c r="E78" s="18" t="s">
        <v>695</v>
      </c>
      <c r="F78" s="18" t="s">
        <v>696</v>
      </c>
      <c r="G78" s="18" t="s">
        <v>697</v>
      </c>
      <c r="H78" s="18" t="s">
        <v>698</v>
      </c>
      <c r="I78" s="18" t="s">
        <v>699</v>
      </c>
      <c r="J78" s="18" t="s">
        <v>700</v>
      </c>
      <c r="K78" s="18" t="s">
        <v>701</v>
      </c>
      <c r="L78" s="18" t="s">
        <v>702</v>
      </c>
      <c r="M78" s="18" t="s">
        <v>703</v>
      </c>
      <c r="N78" s="18" t="s">
        <v>704</v>
      </c>
    </row>
    <row r="79" spans="2:14" ht="13.95" customHeight="1" x14ac:dyDescent="0.3">
      <c r="B79" s="19" t="s">
        <v>705</v>
      </c>
      <c r="D79" s="107">
        <v>1</v>
      </c>
      <c r="E79" s="107">
        <v>2</v>
      </c>
      <c r="F79" s="107">
        <v>3</v>
      </c>
      <c r="G79" s="107">
        <v>4</v>
      </c>
      <c r="H79" s="107">
        <v>5</v>
      </c>
      <c r="I79" s="107">
        <v>6</v>
      </c>
      <c r="J79" s="107">
        <v>7</v>
      </c>
      <c r="K79" s="107">
        <v>8</v>
      </c>
      <c r="L79" s="107">
        <v>9</v>
      </c>
      <c r="M79" s="107">
        <v>10</v>
      </c>
      <c r="N79" s="107">
        <v>11</v>
      </c>
    </row>
    <row r="80" spans="2:14" ht="13.95" customHeight="1" x14ac:dyDescent="0.3">
      <c r="B80" s="19" t="s">
        <v>706</v>
      </c>
      <c r="D80" s="40">
        <f>IF(D79&lt;=FadeYears,'DCF by Box'!$C$144-('DCF by Box'!$C$144-gLT)*(D79-0.5)/FadeYears,gLT)</f>
        <v>4.7E-2</v>
      </c>
      <c r="E80" s="40">
        <f>IF(E79&lt;=FadeYears,'DCF by Box'!$C$144-('DCF by Box'!$C$144-gLT)*(E79-0.5)/FadeYears,gLT)</f>
        <v>4.7E-2</v>
      </c>
      <c r="F80" s="40">
        <f>IF(F79&lt;=FadeYears,'DCF by Box'!$C$144-('DCF by Box'!$C$144-gLT)*(F79-0.5)/FadeYears,gLT)</f>
        <v>4.7E-2</v>
      </c>
      <c r="G80" s="40">
        <f>IF(G79&lt;=FadeYears,'DCF by Box'!$C$144-('DCF by Box'!$C$144-gLT)*(G79-0.5)/FadeYears,gLT)</f>
        <v>4.7E-2</v>
      </c>
      <c r="H80" s="40">
        <f>IF(H79&lt;=FadeYears,'DCF by Box'!$C$144-('DCF by Box'!$C$144-gLT)*(H79-0.5)/FadeYears,gLT)</f>
        <v>4.7E-2</v>
      </c>
      <c r="I80" s="40">
        <f>IF(I79&lt;=FadeYears,'DCF by Box'!$C$144-('DCF by Box'!$C$144-gLT)*(I79-0.5)/FadeYears,gLT)</f>
        <v>4.7E-2</v>
      </c>
      <c r="J80" s="40">
        <f>IF(J79&lt;=FadeYears,'DCF by Box'!$C$144-('DCF by Box'!$C$144-gLT)*(J79-0.5)/FadeYears,gLT)</f>
        <v>4.7E-2</v>
      </c>
      <c r="K80" s="40">
        <f>IF(K79&lt;=FadeYears,'DCF by Box'!$C$144-('DCF by Box'!$C$144-gLT)*(K79-0.5)/FadeYears,gLT)</f>
        <v>4.7E-2</v>
      </c>
      <c r="L80" s="40">
        <f>IF(L79&lt;=FadeYears,'DCF by Box'!$C$144-('DCF by Box'!$C$144-gLT)*(L79-0.5)/FadeYears,gLT)</f>
        <v>4.7E-2</v>
      </c>
      <c r="M80" s="40">
        <f>IF(M79&lt;=FadeYears,'DCF by Box'!$C$144-('DCF by Box'!$C$144-gLT)*(M79-0.5)/FadeYears,gLT)</f>
        <v>4.7E-2</v>
      </c>
      <c r="N80" s="40">
        <f>IF(N79&lt;=FadeYears,'DCF by Box'!$C$144-('DCF by Box'!$C$144-gLT)*(N79-0.5)/FadeYears,gLT)</f>
        <v>4.7E-2</v>
      </c>
    </row>
    <row r="81" spans="2:14" ht="13.95" customHeight="1" x14ac:dyDescent="0.3">
      <c r="B81" s="19" t="s">
        <v>716</v>
      </c>
      <c r="C81" s="20">
        <f>'DCF by Box'!$H$131*(1+'DCF by Box'!$C$143)</f>
        <v>2319.0393785271513</v>
      </c>
      <c r="D81" s="20">
        <f t="shared" ref="D81:N81" si="18">C81*(1+D80)</f>
        <v>2428.0342293179274</v>
      </c>
      <c r="E81" s="20">
        <f t="shared" si="18"/>
        <v>2542.1518380958696</v>
      </c>
      <c r="F81" s="20">
        <f t="shared" si="18"/>
        <v>2661.6329744863751</v>
      </c>
      <c r="G81" s="20">
        <f t="shared" si="18"/>
        <v>2786.7297242872346</v>
      </c>
      <c r="H81" s="20">
        <f t="shared" si="18"/>
        <v>2917.7060213287346</v>
      </c>
      <c r="I81" s="20">
        <f t="shared" si="18"/>
        <v>3054.8382043311849</v>
      </c>
      <c r="J81" s="20">
        <f t="shared" si="18"/>
        <v>3198.4155999347504</v>
      </c>
      <c r="K81" s="20">
        <f t="shared" si="18"/>
        <v>3348.7411331316835</v>
      </c>
      <c r="L81" s="20">
        <f t="shared" si="18"/>
        <v>3506.1319663888726</v>
      </c>
      <c r="M81" s="20">
        <f t="shared" si="18"/>
        <v>3670.9201688091493</v>
      </c>
      <c r="N81" s="20">
        <f t="shared" si="18"/>
        <v>3843.4534167431793</v>
      </c>
    </row>
    <row r="82" spans="2:14" ht="13.95" customHeight="1" x14ac:dyDescent="0.3">
      <c r="B82" s="19" t="s">
        <v>717</v>
      </c>
      <c r="C82" s="20">
        <f>'DCF by Box'!$H$120*(1+'DCF by Box'!$C$143)</f>
        <v>15032.369138494305</v>
      </c>
      <c r="D82" s="20">
        <f t="shared" ref="D82:N82" si="19">C82*(1+D80)</f>
        <v>15738.890488003537</v>
      </c>
      <c r="E82" s="20">
        <f t="shared" si="19"/>
        <v>16478.618340939702</v>
      </c>
      <c r="F82" s="20">
        <f t="shared" si="19"/>
        <v>17253.113402963867</v>
      </c>
      <c r="G82" s="20">
        <f t="shared" si="19"/>
        <v>18064.009732903167</v>
      </c>
      <c r="H82" s="20">
        <f t="shared" si="19"/>
        <v>18913.018190349616</v>
      </c>
      <c r="I82" s="20">
        <f t="shared" si="19"/>
        <v>19801.930045296045</v>
      </c>
      <c r="J82" s="20">
        <f t="shared" si="19"/>
        <v>20732.620757424957</v>
      </c>
      <c r="K82" s="20">
        <f t="shared" si="19"/>
        <v>21707.05393302393</v>
      </c>
      <c r="L82" s="20">
        <f t="shared" si="19"/>
        <v>22727.285467876052</v>
      </c>
      <c r="M82" s="20">
        <f t="shared" si="19"/>
        <v>23795.467884866226</v>
      </c>
      <c r="N82" s="20">
        <f t="shared" si="19"/>
        <v>24913.854875454937</v>
      </c>
    </row>
    <row r="83" spans="2:14" ht="13.95" customHeight="1" x14ac:dyDescent="0.3">
      <c r="B83" s="5" t="s">
        <v>718</v>
      </c>
      <c r="C83" s="16">
        <f>'DCF by Box'!$C$145</f>
        <v>1497.1688280986775</v>
      </c>
      <c r="D83" s="16">
        <f>IF(FadeMode=2,D81*(1-D80/'Box Shares'!$E$46)-NWCpct*(D82-C82),C83*(1+D80))</f>
        <v>1567.5357630193153</v>
      </c>
      <c r="E83" s="16">
        <f>IF(FadeMode=2,E81*(1-E80/'Box Shares'!$E$46)-NWCpct*(E82-D82),D83*(1+E80))</f>
        <v>1641.2099438812229</v>
      </c>
      <c r="F83" s="16">
        <f>IF(FadeMode=2,F81*(1-F80/'Box Shares'!$E$46)-NWCpct*(F82-E82),E83*(1+F80))</f>
        <v>1718.3468112436403</v>
      </c>
      <c r="G83" s="16">
        <f>IF(FadeMode=2,G81*(1-G80/'Box Shares'!$E$46)-NWCpct*(G82-F82),F83*(1+G80))</f>
        <v>1799.1091113720913</v>
      </c>
      <c r="H83" s="16">
        <f>IF(FadeMode=2,H81*(1-H80/'Box Shares'!$E$46)-NWCpct*(H82-G82),G83*(1+H80))</f>
        <v>1883.6672396065794</v>
      </c>
      <c r="I83" s="16">
        <f>IF(FadeMode=2,I81*(1-I80/'Box Shares'!$E$46)-NWCpct*(I82-H82),H83*(1+I80))</f>
        <v>1972.1995998680886</v>
      </c>
      <c r="J83" s="16">
        <f>IF(FadeMode=2,J81*(1-J80/'Box Shares'!$E$46)-NWCpct*(J82-I82),I83*(1+J80))</f>
        <v>2064.8929810618888</v>
      </c>
      <c r="K83" s="16">
        <f>IF(FadeMode=2,K81*(1-K80/'Box Shares'!$E$46)-NWCpct*(K82-J82),J83*(1+K80))</f>
        <v>2161.9429511717976</v>
      </c>
      <c r="L83" s="16">
        <f>IF(FadeMode=2,L81*(1-L80/'Box Shares'!$E$46)-NWCpct*(L82-K82),K83*(1+L80))</f>
        <v>2263.5542698768718</v>
      </c>
      <c r="M83" s="16">
        <f>IF(FadeMode=2,M81*(1-M80/'Box Shares'!$E$46)-NWCpct*(M82-L82),L83*(1+M80))</f>
        <v>2369.9413205610845</v>
      </c>
      <c r="N83" s="16">
        <f>IF(FadeMode=2,N81*(1-N80/'Box Shares'!$E$46)-NWCpct*(N82-M82),M83*(1+N80))</f>
        <v>2481.3285626274551</v>
      </c>
    </row>
    <row r="84" spans="2:14" ht="13.95" customHeight="1" x14ac:dyDescent="0.3">
      <c r="B84" s="19" t="s">
        <v>710</v>
      </c>
      <c r="D84" s="108">
        <f>1/(1+'DCF by Box'!$C$142)^D79</f>
        <v>0.86653080298806984</v>
      </c>
      <c r="E84" s="108">
        <f>1/(1+'DCF by Box'!$C$142)^E79</f>
        <v>0.75087563252714906</v>
      </c>
      <c r="F84" s="108">
        <f>1/(1+'DCF by Box'!$C$142)^F79</f>
        <v>0.65065686479792528</v>
      </c>
      <c r="G84" s="108">
        <f>1/(1+'DCF by Box'!$C$142)^G79</f>
        <v>0.56381421552304611</v>
      </c>
      <c r="H84" s="108">
        <f>1/(1+'DCF by Box'!$C$142)^H79</f>
        <v>0.48856238491327386</v>
      </c>
      <c r="I84" s="108">
        <f>1/(1+'DCF by Box'!$C$142)^I79</f>
        <v>0.42335435570866553</v>
      </c>
      <c r="J84" s="108">
        <f>1/(1+'DCF by Box'!$C$142)^J79</f>
        <v>0.36684958980072691</v>
      </c>
      <c r="K84" s="108">
        <f>1/(1+'DCF by Box'!$C$142)^K79</f>
        <v>0.31788646962586792</v>
      </c>
      <c r="L84" s="108">
        <f>1/(1+'DCF by Box'!$C$142)^L79</f>
        <v>0.27545841778394603</v>
      </c>
      <c r="M84" s="108">
        <f>1/(1+'DCF by Box'!$C$142)^M79</f>
        <v>0.23869320395214594</v>
      </c>
    </row>
    <row r="85" spans="2:14" ht="13.95" customHeight="1" x14ac:dyDescent="0.3">
      <c r="B85" s="19" t="s">
        <v>711</v>
      </c>
      <c r="D85" s="20">
        <f t="shared" ref="D85:M85" si="20">D83*D84</f>
        <v>1358.3180234416441</v>
      </c>
      <c r="E85" s="20">
        <f t="shared" si="20"/>
        <v>1232.34455472166</v>
      </c>
      <c r="F85" s="20">
        <f t="shared" si="20"/>
        <v>1118.0541488392994</v>
      </c>
      <c r="G85" s="20">
        <f t="shared" si="20"/>
        <v>1014.3632922686203</v>
      </c>
      <c r="H85" s="20">
        <f t="shared" si="20"/>
        <v>920.28895896519373</v>
      </c>
      <c r="I85" s="20">
        <f t="shared" si="20"/>
        <v>834.93929093104259</v>
      </c>
      <c r="J85" s="20">
        <f t="shared" si="20"/>
        <v>757.50514308495406</v>
      </c>
      <c r="K85" s="20">
        <f t="shared" si="20"/>
        <v>687.25241228053289</v>
      </c>
      <c r="L85" s="20">
        <f t="shared" si="20"/>
        <v>623.5150777483783</v>
      </c>
      <c r="M85" s="20">
        <f t="shared" si="20"/>
        <v>565.688886983305</v>
      </c>
    </row>
    <row r="86" spans="2:14" ht="13.95" customHeight="1" x14ac:dyDescent="0.3">
      <c r="B86" s="5" t="s">
        <v>712</v>
      </c>
      <c r="C86" s="61">
        <f>SUM(D85:M85)+N83/('DCF by Box'!$C$142-gLT)*M84</f>
        <v>14646.162176478414</v>
      </c>
    </row>
    <row r="88" spans="2:14" ht="13.95" customHeight="1" x14ac:dyDescent="0.3">
      <c r="B88" s="17" t="s">
        <v>722</v>
      </c>
      <c r="C88" s="18" t="s">
        <v>126</v>
      </c>
      <c r="D88" s="18" t="s">
        <v>694</v>
      </c>
      <c r="E88" s="18" t="s">
        <v>695</v>
      </c>
      <c r="F88" s="18" t="s">
        <v>696</v>
      </c>
      <c r="G88" s="18" t="s">
        <v>697</v>
      </c>
      <c r="H88" s="18" t="s">
        <v>698</v>
      </c>
      <c r="I88" s="18" t="s">
        <v>699</v>
      </c>
      <c r="J88" s="18" t="s">
        <v>700</v>
      </c>
      <c r="K88" s="18" t="s">
        <v>701</v>
      </c>
      <c r="L88" s="18" t="s">
        <v>702</v>
      </c>
      <c r="M88" s="18" t="s">
        <v>703</v>
      </c>
      <c r="N88" s="18" t="s">
        <v>704</v>
      </c>
    </row>
    <row r="89" spans="2:14" ht="13.95" customHeight="1" x14ac:dyDescent="0.3">
      <c r="B89" s="19" t="s">
        <v>705</v>
      </c>
      <c r="D89" s="107">
        <v>1</v>
      </c>
      <c r="E89" s="107">
        <v>2</v>
      </c>
      <c r="F89" s="107">
        <v>3</v>
      </c>
      <c r="G89" s="107">
        <v>4</v>
      </c>
      <c r="H89" s="107">
        <v>5</v>
      </c>
      <c r="I89" s="107">
        <v>6</v>
      </c>
      <c r="J89" s="107">
        <v>7</v>
      </c>
      <c r="K89" s="107">
        <v>8</v>
      </c>
      <c r="L89" s="107">
        <v>9</v>
      </c>
      <c r="M89" s="107">
        <v>10</v>
      </c>
      <c r="N89" s="107">
        <v>11</v>
      </c>
    </row>
    <row r="90" spans="2:14" ht="13.95" customHeight="1" x14ac:dyDescent="0.3">
      <c r="B90" s="19" t="s">
        <v>706</v>
      </c>
      <c r="D90" s="40">
        <f>IF(D89&lt;=FadeYears,'DCF by Box'!$D$144-('DCF by Box'!$D$144-gLT)*(D89-0.5)/FadeYears,gLT)</f>
        <v>4.7E-2</v>
      </c>
      <c r="E90" s="40">
        <f>IF(E89&lt;=FadeYears,'DCF by Box'!$D$144-('DCF by Box'!$D$144-gLT)*(E89-0.5)/FadeYears,gLT)</f>
        <v>4.7E-2</v>
      </c>
      <c r="F90" s="40">
        <f>IF(F89&lt;=FadeYears,'DCF by Box'!$D$144-('DCF by Box'!$D$144-gLT)*(F89-0.5)/FadeYears,gLT)</f>
        <v>4.7E-2</v>
      </c>
      <c r="G90" s="40">
        <f>IF(G89&lt;=FadeYears,'DCF by Box'!$D$144-('DCF by Box'!$D$144-gLT)*(G89-0.5)/FadeYears,gLT)</f>
        <v>4.7E-2</v>
      </c>
      <c r="H90" s="40">
        <f>IF(H89&lt;=FadeYears,'DCF by Box'!$D$144-('DCF by Box'!$D$144-gLT)*(H89-0.5)/FadeYears,gLT)</f>
        <v>4.7E-2</v>
      </c>
      <c r="I90" s="40">
        <f>IF(I89&lt;=FadeYears,'DCF by Box'!$D$144-('DCF by Box'!$D$144-gLT)*(I89-0.5)/FadeYears,gLT)</f>
        <v>4.7E-2</v>
      </c>
      <c r="J90" s="40">
        <f>IF(J89&lt;=FadeYears,'DCF by Box'!$D$144-('DCF by Box'!$D$144-gLT)*(J89-0.5)/FadeYears,gLT)</f>
        <v>4.7E-2</v>
      </c>
      <c r="K90" s="40">
        <f>IF(K89&lt;=FadeYears,'DCF by Box'!$D$144-('DCF by Box'!$D$144-gLT)*(K89-0.5)/FadeYears,gLT)</f>
        <v>4.7E-2</v>
      </c>
      <c r="L90" s="40">
        <f>IF(L89&lt;=FadeYears,'DCF by Box'!$D$144-('DCF by Box'!$D$144-gLT)*(L89-0.5)/FadeYears,gLT)</f>
        <v>4.7E-2</v>
      </c>
      <c r="M90" s="40">
        <f>IF(M89&lt;=FadeYears,'DCF by Box'!$D$144-('DCF by Box'!$D$144-gLT)*(M89-0.5)/FadeYears,gLT)</f>
        <v>4.7E-2</v>
      </c>
      <c r="N90" s="40">
        <f>IF(N89&lt;=FadeYears,'DCF by Box'!$D$144-('DCF by Box'!$D$144-gLT)*(N89-0.5)/FadeYears,gLT)</f>
        <v>4.7E-2</v>
      </c>
    </row>
    <row r="91" spans="2:14" ht="13.95" customHeight="1" x14ac:dyDescent="0.3">
      <c r="B91" s="19" t="s">
        <v>716</v>
      </c>
      <c r="C91" s="20">
        <f>'DCF by Box'!$H$131*(1+'DCF by Box'!$D$143)</f>
        <v>3589.0617128448516</v>
      </c>
      <c r="D91" s="20">
        <f t="shared" ref="D91:N91" si="21">C91*(1+D90)</f>
        <v>3757.7476133485593</v>
      </c>
      <c r="E91" s="20">
        <f t="shared" si="21"/>
        <v>3934.3617511759412</v>
      </c>
      <c r="F91" s="20">
        <f t="shared" si="21"/>
        <v>4119.2767534812101</v>
      </c>
      <c r="G91" s="20">
        <f t="shared" si="21"/>
        <v>4312.8827608948268</v>
      </c>
      <c r="H91" s="20">
        <f t="shared" si="21"/>
        <v>4515.5882506568832</v>
      </c>
      <c r="I91" s="20">
        <f t="shared" si="21"/>
        <v>4727.8208984377561</v>
      </c>
      <c r="J91" s="20">
        <f t="shared" si="21"/>
        <v>4950.0284806643303</v>
      </c>
      <c r="K91" s="20">
        <f t="shared" si="21"/>
        <v>5182.6798192555534</v>
      </c>
      <c r="L91" s="20">
        <f t="shared" si="21"/>
        <v>5426.265770760564</v>
      </c>
      <c r="M91" s="20">
        <f t="shared" si="21"/>
        <v>5681.30026198631</v>
      </c>
      <c r="N91" s="20">
        <f t="shared" si="21"/>
        <v>5948.3213742996659</v>
      </c>
    </row>
    <row r="92" spans="2:14" ht="13.95" customHeight="1" x14ac:dyDescent="0.3">
      <c r="B92" s="19" t="s">
        <v>717</v>
      </c>
      <c r="C92" s="20">
        <f>'DCF by Box'!$H$120*(1+'DCF by Box'!$D$143)</f>
        <v>23264.848811056439</v>
      </c>
      <c r="D92" s="20">
        <f t="shared" ref="D92:N92" si="22">C92*(1+D90)</f>
        <v>24358.29670517609</v>
      </c>
      <c r="E92" s="20">
        <f t="shared" si="22"/>
        <v>25503.136650319364</v>
      </c>
      <c r="F92" s="20">
        <f t="shared" si="22"/>
        <v>26701.784072884373</v>
      </c>
      <c r="G92" s="20">
        <f t="shared" si="22"/>
        <v>27956.767924309937</v>
      </c>
      <c r="H92" s="20">
        <f t="shared" si="22"/>
        <v>29270.736016752504</v>
      </c>
      <c r="I92" s="20">
        <f t="shared" si="22"/>
        <v>30646.46060953987</v>
      </c>
      <c r="J92" s="20">
        <f t="shared" si="22"/>
        <v>32086.844258188241</v>
      </c>
      <c r="K92" s="20">
        <f t="shared" si="22"/>
        <v>33594.925938323089</v>
      </c>
      <c r="L92" s="20">
        <f t="shared" si="22"/>
        <v>35173.887457424273</v>
      </c>
      <c r="M92" s="20">
        <f t="shared" si="22"/>
        <v>36827.060167923213</v>
      </c>
      <c r="N92" s="20">
        <f t="shared" si="22"/>
        <v>38557.931995815605</v>
      </c>
    </row>
    <row r="93" spans="2:14" ht="13.95" customHeight="1" x14ac:dyDescent="0.3">
      <c r="B93" s="5" t="s">
        <v>718</v>
      </c>
      <c r="C93" s="16">
        <f>'DCF by Box'!$D$145</f>
        <v>2317.0936070979906</v>
      </c>
      <c r="D93" s="16">
        <f>IF(FadeMode=2,D91*(1-D90/'Box Shares'!$E$46)-NWCpct*(D92-C92),C93*(1+D90))</f>
        <v>2425.9970066315959</v>
      </c>
      <c r="E93" s="16">
        <f>IF(FadeMode=2,E91*(1-E90/'Box Shares'!$E$46)-NWCpct*(E92-D92),D93*(1+E90))</f>
        <v>2540.0188659432806</v>
      </c>
      <c r="F93" s="16">
        <f>IF(FadeMode=2,F91*(1-F90/'Box Shares'!$E$46)-NWCpct*(F92-E92),E93*(1+F90))</f>
        <v>2659.3997526426147</v>
      </c>
      <c r="G93" s="16">
        <f>IF(FadeMode=2,G91*(1-G90/'Box Shares'!$E$46)-NWCpct*(G92-F92),F93*(1+G90))</f>
        <v>2784.3915410168174</v>
      </c>
      <c r="H93" s="16">
        <f>IF(FadeMode=2,H91*(1-H90/'Box Shares'!$E$46)-NWCpct*(H92-G92),G93*(1+H90))</f>
        <v>2915.2579434446075</v>
      </c>
      <c r="I93" s="16">
        <f>IF(FadeMode=2,I91*(1-I90/'Box Shares'!$E$46)-NWCpct*(I92-H92),H93*(1+I90))</f>
        <v>3052.2750667865039</v>
      </c>
      <c r="J93" s="16">
        <f>IF(FadeMode=2,J91*(1-J90/'Box Shares'!$E$46)-NWCpct*(J92-I92),I93*(1+J90))</f>
        <v>3195.7319949254693</v>
      </c>
      <c r="K93" s="16">
        <f>IF(FadeMode=2,K91*(1-K90/'Box Shares'!$E$46)-NWCpct*(K92-J92),J93*(1+K90))</f>
        <v>3345.9313986869661</v>
      </c>
      <c r="L93" s="16">
        <f>IF(FadeMode=2,L91*(1-L90/'Box Shares'!$E$46)-NWCpct*(L92-K92),K93*(1+L90))</f>
        <v>3503.1901744252532</v>
      </c>
      <c r="M93" s="16">
        <f>IF(FadeMode=2,M91*(1-M90/'Box Shares'!$E$46)-NWCpct*(M92-L92),L93*(1+M90))</f>
        <v>3667.8401126232397</v>
      </c>
      <c r="N93" s="16">
        <f>IF(FadeMode=2,N91*(1-N90/'Box Shares'!$E$46)-NWCpct*(N92-M92),M93*(1+N90))</f>
        <v>3840.2285979165317</v>
      </c>
    </row>
    <row r="94" spans="2:14" ht="13.95" customHeight="1" x14ac:dyDescent="0.3">
      <c r="B94" s="19" t="s">
        <v>710</v>
      </c>
      <c r="D94" s="108">
        <f>1/(1+'DCF by Box'!$D$142)^D89</f>
        <v>0.8797960475222073</v>
      </c>
      <c r="E94" s="108">
        <f>1/(1+'DCF by Box'!$D$142)^E89</f>
        <v>0.77404108523569803</v>
      </c>
      <c r="F94" s="108">
        <f>1/(1+'DCF by Box'!$D$142)^F89</f>
        <v>0.6809982874101671</v>
      </c>
      <c r="G94" s="108">
        <f>1/(1+'DCF by Box'!$D$142)^G89</f>
        <v>0.59913960163285718</v>
      </c>
      <c r="H94" s="108">
        <f>1/(1+'DCF by Box'!$D$142)^H89</f>
        <v>0.52712065343061754</v>
      </c>
      <c r="I94" s="108">
        <f>1/(1+'DCF by Box'!$D$142)^I89</f>
        <v>0.46375866745558053</v>
      </c>
      <c r="J94" s="108">
        <f>1/(1+'DCF by Box'!$D$142)^J89</f>
        <v>0.40801304263158544</v>
      </c>
      <c r="K94" s="108">
        <f>1/(1+'DCF by Box'!$D$142)^K89</f>
        <v>0.35896826224477879</v>
      </c>
      <c r="L94" s="108">
        <f>1/(1+'DCF by Box'!$D$142)^L89</f>
        <v>0.31581885830887158</v>
      </c>
      <c r="M94" s="108">
        <f>1/(1+'DCF by Box'!$D$142)^M89</f>
        <v>0.27785618327312123</v>
      </c>
    </row>
    <row r="95" spans="2:14" ht="13.95" customHeight="1" x14ac:dyDescent="0.3">
      <c r="B95" s="19" t="s">
        <v>711</v>
      </c>
      <c r="D95" s="20">
        <f t="shared" ref="D95:M95" si="23">D93*D94</f>
        <v>2134.3825777351844</v>
      </c>
      <c r="E95" s="20">
        <f t="shared" si="23"/>
        <v>1966.078959513884</v>
      </c>
      <c r="F95" s="20">
        <f t="shared" si="23"/>
        <v>1811.0466770886426</v>
      </c>
      <c r="G95" s="20">
        <f t="shared" si="23"/>
        <v>1668.2392386747133</v>
      </c>
      <c r="H95" s="20">
        <f t="shared" si="23"/>
        <v>1536.6926720673198</v>
      </c>
      <c r="I95" s="20">
        <f t="shared" si="23"/>
        <v>1415.5190176808021</v>
      </c>
      <c r="J95" s="20">
        <f t="shared" si="23"/>
        <v>1303.9003346846471</v>
      </c>
      <c r="K95" s="20">
        <f t="shared" si="23"/>
        <v>1201.0831797769024</v>
      </c>
      <c r="L95" s="20">
        <f t="shared" si="23"/>
        <v>1106.3735213258401</v>
      </c>
      <c r="M95" s="20">
        <f t="shared" si="23"/>
        <v>1019.1320545495485</v>
      </c>
    </row>
    <row r="96" spans="2:14" ht="13.95" customHeight="1" x14ac:dyDescent="0.3">
      <c r="B96" s="5" t="s">
        <v>712</v>
      </c>
      <c r="C96" s="61">
        <f>SUM(D95:M95)+N93/('DCF by Box'!$D$142-gLT)*M94</f>
        <v>27067.683014095455</v>
      </c>
    </row>
    <row r="98" spans="2:14" ht="13.95" customHeight="1" x14ac:dyDescent="0.3">
      <c r="B98" s="17" t="s">
        <v>723</v>
      </c>
      <c r="C98" s="18" t="s">
        <v>126</v>
      </c>
      <c r="D98" s="18" t="s">
        <v>694</v>
      </c>
      <c r="E98" s="18" t="s">
        <v>695</v>
      </c>
      <c r="F98" s="18" t="s">
        <v>696</v>
      </c>
      <c r="G98" s="18" t="s">
        <v>697</v>
      </c>
      <c r="H98" s="18" t="s">
        <v>698</v>
      </c>
      <c r="I98" s="18" t="s">
        <v>699</v>
      </c>
      <c r="J98" s="18" t="s">
        <v>700</v>
      </c>
      <c r="K98" s="18" t="s">
        <v>701</v>
      </c>
      <c r="L98" s="18" t="s">
        <v>702</v>
      </c>
      <c r="M98" s="18" t="s">
        <v>703</v>
      </c>
      <c r="N98" s="18" t="s">
        <v>704</v>
      </c>
    </row>
    <row r="99" spans="2:14" ht="13.95" customHeight="1" x14ac:dyDescent="0.3">
      <c r="B99" s="19" t="s">
        <v>705</v>
      </c>
      <c r="D99" s="107">
        <v>1</v>
      </c>
      <c r="E99" s="107">
        <v>2</v>
      </c>
      <c r="F99" s="107">
        <v>3</v>
      </c>
      <c r="G99" s="107">
        <v>4</v>
      </c>
      <c r="H99" s="107">
        <v>5</v>
      </c>
      <c r="I99" s="107">
        <v>6</v>
      </c>
      <c r="J99" s="107">
        <v>7</v>
      </c>
      <c r="K99" s="107">
        <v>8</v>
      </c>
      <c r="L99" s="107">
        <v>9</v>
      </c>
      <c r="M99" s="107">
        <v>10</v>
      </c>
      <c r="N99" s="107">
        <v>11</v>
      </c>
    </row>
    <row r="100" spans="2:14" ht="13.95" customHeight="1" x14ac:dyDescent="0.3">
      <c r="B100" s="19" t="s">
        <v>706</v>
      </c>
      <c r="D100" s="40">
        <f>IF(D99&lt;=FadeYears,'DCF by Box'!$E$144-('DCF by Box'!$E$144-gLT)*(D99-0.5)/FadeYears,gLT)</f>
        <v>4.7E-2</v>
      </c>
      <c r="E100" s="40">
        <f>IF(E99&lt;=FadeYears,'DCF by Box'!$E$144-('DCF by Box'!$E$144-gLT)*(E99-0.5)/FadeYears,gLT)</f>
        <v>4.7E-2</v>
      </c>
      <c r="F100" s="40">
        <f>IF(F99&lt;=FadeYears,'DCF by Box'!$E$144-('DCF by Box'!$E$144-gLT)*(F99-0.5)/FadeYears,gLT)</f>
        <v>4.7E-2</v>
      </c>
      <c r="G100" s="40">
        <f>IF(G99&lt;=FadeYears,'DCF by Box'!$E$144-('DCF by Box'!$E$144-gLT)*(G99-0.5)/FadeYears,gLT)</f>
        <v>4.7E-2</v>
      </c>
      <c r="H100" s="40">
        <f>IF(H99&lt;=FadeYears,'DCF by Box'!$E$144-('DCF by Box'!$E$144-gLT)*(H99-0.5)/FadeYears,gLT)</f>
        <v>4.7E-2</v>
      </c>
      <c r="I100" s="40">
        <f>IF(I99&lt;=FadeYears,'DCF by Box'!$E$144-('DCF by Box'!$E$144-gLT)*(I99-0.5)/FadeYears,gLT)</f>
        <v>4.7E-2</v>
      </c>
      <c r="J100" s="40">
        <f>IF(J99&lt;=FadeYears,'DCF by Box'!$E$144-('DCF by Box'!$E$144-gLT)*(J99-0.5)/FadeYears,gLT)</f>
        <v>4.7E-2</v>
      </c>
      <c r="K100" s="40">
        <f>IF(K99&lt;=FadeYears,'DCF by Box'!$E$144-('DCF by Box'!$E$144-gLT)*(K99-0.5)/FadeYears,gLT)</f>
        <v>4.7E-2</v>
      </c>
      <c r="L100" s="40">
        <f>IF(L99&lt;=FadeYears,'DCF by Box'!$E$144-('DCF by Box'!$E$144-gLT)*(L99-0.5)/FadeYears,gLT)</f>
        <v>4.7E-2</v>
      </c>
      <c r="M100" s="40">
        <f>IF(M99&lt;=FadeYears,'DCF by Box'!$E$144-('DCF by Box'!$E$144-gLT)*(M99-0.5)/FadeYears,gLT)</f>
        <v>4.7E-2</v>
      </c>
      <c r="N100" s="40">
        <f>IF(N99&lt;=FadeYears,'DCF by Box'!$E$144-('DCF by Box'!$E$144-gLT)*(N99-0.5)/FadeYears,gLT)</f>
        <v>4.7E-2</v>
      </c>
    </row>
    <row r="101" spans="2:14" ht="13.95" customHeight="1" x14ac:dyDescent="0.3">
      <c r="B101" s="19" t="s">
        <v>716</v>
      </c>
      <c r="C101" s="20">
        <f>'DCF by Box'!$H$131*(1+'DCF by Box'!$E$143)</f>
        <v>4859.0840471625515</v>
      </c>
      <c r="D101" s="20">
        <f t="shared" ref="D101:N101" si="24">C101*(1+D100)</f>
        <v>5087.4609973791912</v>
      </c>
      <c r="E101" s="20">
        <f t="shared" si="24"/>
        <v>5326.5716642560128</v>
      </c>
      <c r="F101" s="20">
        <f t="shared" si="24"/>
        <v>5576.9205324760451</v>
      </c>
      <c r="G101" s="20">
        <f t="shared" si="24"/>
        <v>5839.035797502419</v>
      </c>
      <c r="H101" s="20">
        <f t="shared" si="24"/>
        <v>6113.4704799850324</v>
      </c>
      <c r="I101" s="20">
        <f t="shared" si="24"/>
        <v>6400.8035925443282</v>
      </c>
      <c r="J101" s="20">
        <f t="shared" si="24"/>
        <v>6701.6413613939112</v>
      </c>
      <c r="K101" s="20">
        <f t="shared" si="24"/>
        <v>7016.6185053794243</v>
      </c>
      <c r="L101" s="20">
        <f t="shared" si="24"/>
        <v>7346.3995751322564</v>
      </c>
      <c r="M101" s="20">
        <f t="shared" si="24"/>
        <v>7691.6803551634721</v>
      </c>
      <c r="N101" s="20">
        <f t="shared" si="24"/>
        <v>8053.1893318561551</v>
      </c>
    </row>
    <row r="102" spans="2:14" ht="13.95" customHeight="1" x14ac:dyDescent="0.3">
      <c r="B102" s="19" t="s">
        <v>717</v>
      </c>
      <c r="C102" s="20">
        <f>'DCF by Box'!$H$120*(1+'DCF by Box'!$E$143)</f>
        <v>31497.32848361857</v>
      </c>
      <c r="D102" s="20">
        <f t="shared" ref="D102:N102" si="25">C102*(1+D100)</f>
        <v>32977.702922348639</v>
      </c>
      <c r="E102" s="20">
        <f t="shared" si="25"/>
        <v>34527.654959699023</v>
      </c>
      <c r="F102" s="20">
        <f t="shared" si="25"/>
        <v>36150.454742804875</v>
      </c>
      <c r="G102" s="20">
        <f t="shared" si="25"/>
        <v>37849.526115716704</v>
      </c>
      <c r="H102" s="20">
        <f t="shared" si="25"/>
        <v>39628.453843155388</v>
      </c>
      <c r="I102" s="20">
        <f t="shared" si="25"/>
        <v>41490.991173783688</v>
      </c>
      <c r="J102" s="20">
        <f t="shared" si="25"/>
        <v>43441.067758951518</v>
      </c>
      <c r="K102" s="20">
        <f t="shared" si="25"/>
        <v>45482.797943622238</v>
      </c>
      <c r="L102" s="20">
        <f t="shared" si="25"/>
        <v>47620.489446972482</v>
      </c>
      <c r="M102" s="20">
        <f t="shared" si="25"/>
        <v>49858.652450980182</v>
      </c>
      <c r="N102" s="20">
        <f t="shared" si="25"/>
        <v>52202.009116176247</v>
      </c>
    </row>
    <row r="103" spans="2:14" ht="13.95" customHeight="1" x14ac:dyDescent="0.3">
      <c r="B103" s="5" t="s">
        <v>718</v>
      </c>
      <c r="C103" s="16">
        <f>'DCF by Box'!$E$145</f>
        <v>3137.0183860973034</v>
      </c>
      <c r="D103" s="16">
        <f>IF(FadeMode=2,D101*(1-D100/'Box Shares'!$E$46)-NWCpct*(D102-C102),C103*(1+D100))</f>
        <v>3284.4582502438766</v>
      </c>
      <c r="E103" s="16">
        <f>IF(FadeMode=2,E101*(1-E100/'Box Shares'!$E$46)-NWCpct*(E102-D102),D103*(1+E100))</f>
        <v>3438.8277880053388</v>
      </c>
      <c r="F103" s="16">
        <f>IF(FadeMode=2,F101*(1-F100/'Box Shares'!$E$46)-NWCpct*(F102-E102),E103*(1+F100))</f>
        <v>3600.4526940415894</v>
      </c>
      <c r="G103" s="16">
        <f>IF(FadeMode=2,G101*(1-G100/'Box Shares'!$E$46)-NWCpct*(G102-F102),F103*(1+G100))</f>
        <v>3769.673970661544</v>
      </c>
      <c r="H103" s="16">
        <f>IF(FadeMode=2,H101*(1-H100/'Box Shares'!$E$46)-NWCpct*(H102-G102),G103*(1+H100))</f>
        <v>3946.8486472826362</v>
      </c>
      <c r="I103" s="16">
        <f>IF(FadeMode=2,I101*(1-I100/'Box Shares'!$E$46)-NWCpct*(I102-H102),H103*(1+I100))</f>
        <v>4132.3505337049201</v>
      </c>
      <c r="J103" s="16">
        <f>IF(FadeMode=2,J101*(1-J100/'Box Shares'!$E$46)-NWCpct*(J102-I102),I103*(1+J100))</f>
        <v>4326.5710087890511</v>
      </c>
      <c r="K103" s="16">
        <f>IF(FadeMode=2,K101*(1-K100/'Box Shares'!$E$46)-NWCpct*(K102-J102),J103*(1+K100))</f>
        <v>4529.9198462021359</v>
      </c>
      <c r="L103" s="16">
        <f>IF(FadeMode=2,L101*(1-L100/'Box Shares'!$E$46)-NWCpct*(L102-K102),K103*(1+L100))</f>
        <v>4742.826078973636</v>
      </c>
      <c r="M103" s="16">
        <f>IF(FadeMode=2,M101*(1-M100/'Box Shares'!$E$46)-NWCpct*(M102-L102),L103*(1+M100))</f>
        <v>4965.7389046853968</v>
      </c>
      <c r="N103" s="16">
        <f>IF(FadeMode=2,N101*(1-N100/'Box Shares'!$E$46)-NWCpct*(N102-M102),M103*(1+N100))</f>
        <v>5199.1286332056097</v>
      </c>
    </row>
    <row r="104" spans="2:14" ht="13.95" customHeight="1" x14ac:dyDescent="0.3">
      <c r="B104" s="19" t="s">
        <v>710</v>
      </c>
      <c r="D104" s="108">
        <f>1/(1+'DCF by Box'!$E$142)^D99</f>
        <v>0.88965829242363514</v>
      </c>
      <c r="E104" s="108">
        <f>1/(1+'DCF by Box'!$E$142)^E99</f>
        <v>0.79149187727813819</v>
      </c>
      <c r="F104" s="108">
        <f>1/(1+'DCF by Box'!$E$142)^F99</f>
        <v>0.70415731200644582</v>
      </c>
      <c r="G104" s="108">
        <f>1/(1+'DCF by Box'!$E$142)^G99</f>
        <v>0.6264593917972715</v>
      </c>
      <c r="H104" s="108">
        <f>1/(1+'DCF by Box'!$E$142)^H99</f>
        <v>0.55733479277910958</v>
      </c>
      <c r="I104" s="108">
        <f>1/(1+'DCF by Box'!$E$142)^I99</f>
        <v>0.4958375200521431</v>
      </c>
      <c r="J104" s="108">
        <f>1/(1+'DCF by Box'!$E$142)^J99</f>
        <v>0.44112596140915955</v>
      </c>
      <c r="K104" s="108">
        <f>1/(1+'DCF by Box'!$E$142)^K99</f>
        <v>0.39245136957100724</v>
      </c>
      <c r="L104" s="108">
        <f>1/(1+'DCF by Box'!$E$142)^L99</f>
        <v>0.34914761531185923</v>
      </c>
      <c r="M104" s="108">
        <f>1/(1+'DCF by Box'!$E$142)^M99</f>
        <v>0.31062207124213292</v>
      </c>
    </row>
    <row r="105" spans="2:14" ht="13.95" customHeight="1" x14ac:dyDescent="0.3">
      <c r="B105" s="19" t="s">
        <v>711</v>
      </c>
      <c r="D105" s="20">
        <f t="shared" ref="D105:M105" si="26">D103*D104</f>
        <v>2922.0455184486877</v>
      </c>
      <c r="E105" s="20">
        <f t="shared" si="26"/>
        <v>2721.8042615645732</v>
      </c>
      <c r="F105" s="20">
        <f t="shared" si="26"/>
        <v>2535.2850910426919</v>
      </c>
      <c r="G105" s="20">
        <f t="shared" si="26"/>
        <v>2361.5476629346363</v>
      </c>
      <c r="H105" s="20">
        <f t="shared" si="26"/>
        <v>2199.7160729637772</v>
      </c>
      <c r="I105" s="20">
        <f t="shared" si="26"/>
        <v>2048.9744406183977</v>
      </c>
      <c r="J105" s="20">
        <f t="shared" si="26"/>
        <v>1908.5627958570674</v>
      </c>
      <c r="K105" s="20">
        <f t="shared" si="26"/>
        <v>1777.7732476889146</v>
      </c>
      <c r="L105" s="20">
        <f t="shared" si="26"/>
        <v>1655.9464153125407</v>
      </c>
      <c r="M105" s="20">
        <f t="shared" si="26"/>
        <v>1542.4681038210185</v>
      </c>
    </row>
    <row r="106" spans="2:14" ht="13.95" customHeight="1" x14ac:dyDescent="0.3">
      <c r="B106" s="5" t="s">
        <v>712</v>
      </c>
      <c r="C106" s="61">
        <f>SUM(D105:M105)+N103/('DCF by Box'!$E$142-gLT)*M104</f>
        <v>42640.313713309624</v>
      </c>
    </row>
    <row r="108" spans="2:14" ht="13.95" customHeight="1" x14ac:dyDescent="0.3">
      <c r="B108" s="17" t="s">
        <v>724</v>
      </c>
      <c r="C108" s="18" t="s">
        <v>126</v>
      </c>
      <c r="D108" s="18" t="s">
        <v>694</v>
      </c>
      <c r="E108" s="18" t="s">
        <v>695</v>
      </c>
      <c r="F108" s="18" t="s">
        <v>696</v>
      </c>
      <c r="G108" s="18" t="s">
        <v>697</v>
      </c>
      <c r="H108" s="18" t="s">
        <v>698</v>
      </c>
      <c r="I108" s="18" t="s">
        <v>699</v>
      </c>
      <c r="J108" s="18" t="s">
        <v>700</v>
      </c>
      <c r="K108" s="18" t="s">
        <v>701</v>
      </c>
      <c r="L108" s="18" t="s">
        <v>702</v>
      </c>
      <c r="M108" s="18" t="s">
        <v>703</v>
      </c>
      <c r="N108" s="18" t="s">
        <v>704</v>
      </c>
    </row>
    <row r="109" spans="2:14" ht="13.95" customHeight="1" x14ac:dyDescent="0.3">
      <c r="B109" s="19" t="s">
        <v>705</v>
      </c>
      <c r="D109" s="107">
        <v>1</v>
      </c>
      <c r="E109" s="107">
        <v>2</v>
      </c>
      <c r="F109" s="107">
        <v>3</v>
      </c>
      <c r="G109" s="107">
        <v>4</v>
      </c>
      <c r="H109" s="107">
        <v>5</v>
      </c>
      <c r="I109" s="107">
        <v>6</v>
      </c>
      <c r="J109" s="107">
        <v>7</v>
      </c>
      <c r="K109" s="107">
        <v>8</v>
      </c>
      <c r="L109" s="107">
        <v>9</v>
      </c>
      <c r="M109" s="107">
        <v>10</v>
      </c>
      <c r="N109" s="107">
        <v>11</v>
      </c>
    </row>
    <row r="110" spans="2:14" ht="13.95" customHeight="1" x14ac:dyDescent="0.3">
      <c r="B110" s="19" t="s">
        <v>706</v>
      </c>
      <c r="D110" s="40">
        <f>IF(D109&lt;=FadeYears,'DCF by Box'!$C$191-('DCF by Box'!$C$191-gLT)*(D109-0.5)/FadeYears,gLT)</f>
        <v>4.7E-2</v>
      </c>
      <c r="E110" s="40">
        <f>IF(E109&lt;=FadeYears,'DCF by Box'!$C$191-('DCF by Box'!$C$191-gLT)*(E109-0.5)/FadeYears,gLT)</f>
        <v>4.7E-2</v>
      </c>
      <c r="F110" s="40">
        <f>IF(F109&lt;=FadeYears,'DCF by Box'!$C$191-('DCF by Box'!$C$191-gLT)*(F109-0.5)/FadeYears,gLT)</f>
        <v>4.7E-2</v>
      </c>
      <c r="G110" s="40">
        <f>IF(G109&lt;=FadeYears,'DCF by Box'!$C$191-('DCF by Box'!$C$191-gLT)*(G109-0.5)/FadeYears,gLT)</f>
        <v>4.7E-2</v>
      </c>
      <c r="H110" s="40">
        <f>IF(H109&lt;=FadeYears,'DCF by Box'!$C$191-('DCF by Box'!$C$191-gLT)*(H109-0.5)/FadeYears,gLT)</f>
        <v>4.7E-2</v>
      </c>
      <c r="I110" s="40">
        <f>IF(I109&lt;=FadeYears,'DCF by Box'!$C$191-('DCF by Box'!$C$191-gLT)*(I109-0.5)/FadeYears,gLT)</f>
        <v>4.7E-2</v>
      </c>
      <c r="J110" s="40">
        <f>IF(J109&lt;=FadeYears,'DCF by Box'!$C$191-('DCF by Box'!$C$191-gLT)*(J109-0.5)/FadeYears,gLT)</f>
        <v>4.7E-2</v>
      </c>
      <c r="K110" s="40">
        <f>IF(K109&lt;=FadeYears,'DCF by Box'!$C$191-('DCF by Box'!$C$191-gLT)*(K109-0.5)/FadeYears,gLT)</f>
        <v>4.7E-2</v>
      </c>
      <c r="L110" s="40">
        <f>IF(L109&lt;=FadeYears,'DCF by Box'!$C$191-('DCF by Box'!$C$191-gLT)*(L109-0.5)/FadeYears,gLT)</f>
        <v>4.7E-2</v>
      </c>
      <c r="M110" s="40">
        <f>IF(M109&lt;=FadeYears,'DCF by Box'!$C$191-('DCF by Box'!$C$191-gLT)*(M109-0.5)/FadeYears,gLT)</f>
        <v>4.7E-2</v>
      </c>
      <c r="N110" s="40">
        <f>IF(N109&lt;=FadeYears,'DCF by Box'!$C$191-('DCF by Box'!$C$191-gLT)*(N109-0.5)/FadeYears,gLT)</f>
        <v>4.7E-2</v>
      </c>
    </row>
    <row r="111" spans="2:14" ht="13.95" customHeight="1" x14ac:dyDescent="0.3">
      <c r="B111" s="19" t="s">
        <v>716</v>
      </c>
      <c r="C111" s="20">
        <f>'DCF by Box'!$H$178*(1+'DCF by Box'!$C$190)</f>
        <v>10631.200434573</v>
      </c>
      <c r="D111" s="20">
        <f t="shared" ref="D111:N111" si="27">C111*(1+D110)</f>
        <v>11130.86685499793</v>
      </c>
      <c r="E111" s="20">
        <f t="shared" si="27"/>
        <v>11654.017597182832</v>
      </c>
      <c r="F111" s="20">
        <f t="shared" si="27"/>
        <v>12201.756424250425</v>
      </c>
      <c r="G111" s="20">
        <f t="shared" si="27"/>
        <v>12775.238976190194</v>
      </c>
      <c r="H111" s="20">
        <f t="shared" si="27"/>
        <v>13375.675208071132</v>
      </c>
      <c r="I111" s="20">
        <f t="shared" si="27"/>
        <v>14004.331942850475</v>
      </c>
      <c r="J111" s="20">
        <f t="shared" si="27"/>
        <v>14662.535544164446</v>
      </c>
      <c r="K111" s="20">
        <f t="shared" si="27"/>
        <v>15351.674714740175</v>
      </c>
      <c r="L111" s="20">
        <f t="shared" si="27"/>
        <v>16073.203426332962</v>
      </c>
      <c r="M111" s="20">
        <f t="shared" si="27"/>
        <v>16828.643987370611</v>
      </c>
      <c r="N111" s="20">
        <f t="shared" si="27"/>
        <v>17619.590254777027</v>
      </c>
    </row>
    <row r="112" spans="2:14" ht="13.95" customHeight="1" x14ac:dyDescent="0.3">
      <c r="B112" s="19" t="s">
        <v>717</v>
      </c>
      <c r="C112" s="20">
        <f>'DCF by Box'!$H$167*(1+'DCF by Box'!$C$190)</f>
        <v>71791.925139473737</v>
      </c>
      <c r="D112" s="20">
        <f t="shared" ref="D112:N112" si="28">C112*(1+D110)</f>
        <v>75166.145621028991</v>
      </c>
      <c r="E112" s="20">
        <f t="shared" si="28"/>
        <v>78698.95446521735</v>
      </c>
      <c r="F112" s="20">
        <f t="shared" si="28"/>
        <v>82397.805325082561</v>
      </c>
      <c r="G112" s="20">
        <f t="shared" si="28"/>
        <v>86270.502175361442</v>
      </c>
      <c r="H112" s="20">
        <f t="shared" si="28"/>
        <v>90325.215777603429</v>
      </c>
      <c r="I112" s="20">
        <f t="shared" si="28"/>
        <v>94570.500919150785</v>
      </c>
      <c r="J112" s="20">
        <f t="shared" si="28"/>
        <v>99015.314462350871</v>
      </c>
      <c r="K112" s="20">
        <f t="shared" si="28"/>
        <v>103669.03424208135</v>
      </c>
      <c r="L112" s="20">
        <f t="shared" si="28"/>
        <v>108541.47885145916</v>
      </c>
      <c r="M112" s="20">
        <f t="shared" si="28"/>
        <v>113642.92835747774</v>
      </c>
      <c r="N112" s="20">
        <f t="shared" si="28"/>
        <v>118984.14599027918</v>
      </c>
    </row>
    <row r="113" spans="2:14" ht="13.95" customHeight="1" x14ac:dyDescent="0.3">
      <c r="B113" s="5" t="s">
        <v>718</v>
      </c>
      <c r="C113" s="16">
        <f>'DCF by Box'!$C$192</f>
        <v>6712.3215282666624</v>
      </c>
      <c r="D113" s="16">
        <f>IF(FadeMode=2,D111*(1-D110/'Box Shares'!$E$47)-NWCpct*(D112-C112),C113*(1+D110))</f>
        <v>7027.8006400951954</v>
      </c>
      <c r="E113" s="16">
        <f>IF(FadeMode=2,E111*(1-E110/'Box Shares'!$E$47)-NWCpct*(E112-D112),D113*(1+E110))</f>
        <v>7358.1072701796693</v>
      </c>
      <c r="F113" s="16">
        <f>IF(FadeMode=2,F111*(1-F110/'Box Shares'!$E$47)-NWCpct*(F112-E112),E113*(1+F110))</f>
        <v>7703.9383118781134</v>
      </c>
      <c r="G113" s="16">
        <f>IF(FadeMode=2,G111*(1-G110/'Box Shares'!$E$47)-NWCpct*(G112-F112),F113*(1+G110))</f>
        <v>8066.0234125363841</v>
      </c>
      <c r="H113" s="16">
        <f>IF(FadeMode=2,H111*(1-H110/'Box Shares'!$E$47)-NWCpct*(H112-G112),G113*(1+H110))</f>
        <v>8445.1265129255935</v>
      </c>
      <c r="I113" s="16">
        <f>IF(FadeMode=2,I111*(1-I110/'Box Shares'!$E$47)-NWCpct*(I112-H112),H113*(1+I110))</f>
        <v>8842.0474590330959</v>
      </c>
      <c r="J113" s="16">
        <f>IF(FadeMode=2,J111*(1-J110/'Box Shares'!$E$47)-NWCpct*(J112-I112),I113*(1+J110))</f>
        <v>9257.6236896076516</v>
      </c>
      <c r="K113" s="16">
        <f>IF(FadeMode=2,K111*(1-K110/'Box Shares'!$E$47)-NWCpct*(K112-J112),J113*(1+K110))</f>
        <v>9692.7320030192113</v>
      </c>
      <c r="L113" s="16">
        <f>IF(FadeMode=2,L111*(1-L110/'Box Shares'!$E$47)-NWCpct*(L112-K112),K113*(1+L110))</f>
        <v>10148.290407161114</v>
      </c>
      <c r="M113" s="16">
        <f>IF(FadeMode=2,M111*(1-M110/'Box Shares'!$E$47)-NWCpct*(M112-L112),L113*(1+M110))</f>
        <v>10625.260056297686</v>
      </c>
      <c r="N113" s="16">
        <f>IF(FadeMode=2,N111*(1-N110/'Box Shares'!$E$47)-NWCpct*(N112-M112),M113*(1+N110))</f>
        <v>11124.647278943676</v>
      </c>
    </row>
    <row r="114" spans="2:14" ht="13.95" customHeight="1" x14ac:dyDescent="0.3">
      <c r="B114" s="19" t="s">
        <v>710</v>
      </c>
      <c r="D114" s="108">
        <f>1/(1+'DCF by Box'!$C$189)^D109</f>
        <v>0.87927458757199262</v>
      </c>
      <c r="E114" s="108">
        <f>1/(1+'DCF by Box'!$C$189)^E109</f>
        <v>0.77312380034989769</v>
      </c>
      <c r="F114" s="108">
        <f>1/(1+'DCF by Box'!$C$189)^F109</f>
        <v>0.67978811069474787</v>
      </c>
      <c r="G114" s="108">
        <f>1/(1+'DCF by Box'!$C$189)^G109</f>
        <v>0.5977204106674685</v>
      </c>
      <c r="H114" s="108">
        <f>1/(1+'DCF by Box'!$C$189)^H109</f>
        <v>0.5255603675730004</v>
      </c>
      <c r="I114" s="108">
        <f>1/(1+'DCF by Box'!$C$189)^I109</f>
        <v>0.46211187544193483</v>
      </c>
      <c r="J114" s="108">
        <f>1/(1+'DCF by Box'!$C$189)^J109</f>
        <v>0.40632322869132725</v>
      </c>
      <c r="K114" s="108">
        <f>1/(1+'DCF by Box'!$C$189)^K109</f>
        <v>0.35726968932848724</v>
      </c>
      <c r="L114" s="108">
        <f>1/(1+'DCF by Box'!$C$189)^L109</f>
        <v>0.31413815873627954</v>
      </c>
      <c r="M114" s="108">
        <f>1/(1+'DCF by Box'!$C$189)^M109</f>
        <v>0.27621369996346734</v>
      </c>
    </row>
    <row r="115" spans="2:14" ht="13.95" customHeight="1" x14ac:dyDescent="0.3">
      <c r="B115" s="19" t="s">
        <v>711</v>
      </c>
      <c r="D115" s="20">
        <f t="shared" ref="D115:M115" si="29">D113*D114</f>
        <v>6179.3665093578884</v>
      </c>
      <c r="E115" s="20">
        <f t="shared" si="29"/>
        <v>5688.7278561035173</v>
      </c>
      <c r="F115" s="20">
        <f t="shared" si="29"/>
        <v>5237.0456699405077</v>
      </c>
      <c r="G115" s="20">
        <f t="shared" si="29"/>
        <v>4821.2268265946632</v>
      </c>
      <c r="H115" s="20">
        <f t="shared" si="29"/>
        <v>4438.4237943336657</v>
      </c>
      <c r="I115" s="20">
        <f t="shared" si="29"/>
        <v>4086.0151340403786</v>
      </c>
      <c r="J115" s="20">
        <f t="shared" si="29"/>
        <v>3761.5875475706985</v>
      </c>
      <c r="K115" s="20">
        <f t="shared" si="29"/>
        <v>3462.9193514629596</v>
      </c>
      <c r="L115" s="20">
        <f t="shared" si="29"/>
        <v>3187.9652628266408</v>
      </c>
      <c r="M115" s="20">
        <f t="shared" si="29"/>
        <v>2934.842393224023</v>
      </c>
    </row>
    <row r="116" spans="2:14" ht="13.95" customHeight="1" x14ac:dyDescent="0.3">
      <c r="B116" s="5" t="s">
        <v>712</v>
      </c>
      <c r="C116" s="61">
        <f>SUM(D115:M115)+N113/('DCF by Box'!$C$189-gLT)*M114</f>
        <v>77826.258089733441</v>
      </c>
    </row>
    <row r="118" spans="2:14" ht="13.95" customHeight="1" x14ac:dyDescent="0.3">
      <c r="B118" s="17" t="s">
        <v>725</v>
      </c>
      <c r="C118" s="18" t="s">
        <v>126</v>
      </c>
      <c r="D118" s="18" t="s">
        <v>694</v>
      </c>
      <c r="E118" s="18" t="s">
        <v>695</v>
      </c>
      <c r="F118" s="18" t="s">
        <v>696</v>
      </c>
      <c r="G118" s="18" t="s">
        <v>697</v>
      </c>
      <c r="H118" s="18" t="s">
        <v>698</v>
      </c>
      <c r="I118" s="18" t="s">
        <v>699</v>
      </c>
      <c r="J118" s="18" t="s">
        <v>700</v>
      </c>
      <c r="K118" s="18" t="s">
        <v>701</v>
      </c>
      <c r="L118" s="18" t="s">
        <v>702</v>
      </c>
      <c r="M118" s="18" t="s">
        <v>703</v>
      </c>
      <c r="N118" s="18" t="s">
        <v>704</v>
      </c>
    </row>
    <row r="119" spans="2:14" ht="13.95" customHeight="1" x14ac:dyDescent="0.3">
      <c r="B119" s="19" t="s">
        <v>705</v>
      </c>
      <c r="D119" s="107">
        <v>1</v>
      </c>
      <c r="E119" s="107">
        <v>2</v>
      </c>
      <c r="F119" s="107">
        <v>3</v>
      </c>
      <c r="G119" s="107">
        <v>4</v>
      </c>
      <c r="H119" s="107">
        <v>5</v>
      </c>
      <c r="I119" s="107">
        <v>6</v>
      </c>
      <c r="J119" s="107">
        <v>7</v>
      </c>
      <c r="K119" s="107">
        <v>8</v>
      </c>
      <c r="L119" s="107">
        <v>9</v>
      </c>
      <c r="M119" s="107">
        <v>10</v>
      </c>
      <c r="N119" s="107">
        <v>11</v>
      </c>
    </row>
    <row r="120" spans="2:14" ht="13.95" customHeight="1" x14ac:dyDescent="0.3">
      <c r="B120" s="19" t="s">
        <v>706</v>
      </c>
      <c r="D120" s="40">
        <f>IF(D119&lt;=FadeYears,'DCF by Box'!$D$191-('DCF by Box'!$D$191-gLT)*(D119-0.5)/FadeYears,gLT)</f>
        <v>4.7E-2</v>
      </c>
      <c r="E120" s="40">
        <f>IF(E119&lt;=FadeYears,'DCF by Box'!$D$191-('DCF by Box'!$D$191-gLT)*(E119-0.5)/FadeYears,gLT)</f>
        <v>4.7E-2</v>
      </c>
      <c r="F120" s="40">
        <f>IF(F119&lt;=FadeYears,'DCF by Box'!$D$191-('DCF by Box'!$D$191-gLT)*(F119-0.5)/FadeYears,gLT)</f>
        <v>4.7E-2</v>
      </c>
      <c r="G120" s="40">
        <f>IF(G119&lt;=FadeYears,'DCF by Box'!$D$191-('DCF by Box'!$D$191-gLT)*(G119-0.5)/FadeYears,gLT)</f>
        <v>4.7E-2</v>
      </c>
      <c r="H120" s="40">
        <f>IF(H119&lt;=FadeYears,'DCF by Box'!$D$191-('DCF by Box'!$D$191-gLT)*(H119-0.5)/FadeYears,gLT)</f>
        <v>4.7E-2</v>
      </c>
      <c r="I120" s="40">
        <f>IF(I119&lt;=FadeYears,'DCF by Box'!$D$191-('DCF by Box'!$D$191-gLT)*(I119-0.5)/FadeYears,gLT)</f>
        <v>4.7E-2</v>
      </c>
      <c r="J120" s="40">
        <f>IF(J119&lt;=FadeYears,'DCF by Box'!$D$191-('DCF by Box'!$D$191-gLT)*(J119-0.5)/FadeYears,gLT)</f>
        <v>4.7E-2</v>
      </c>
      <c r="K120" s="40">
        <f>IF(K119&lt;=FadeYears,'DCF by Box'!$D$191-('DCF by Box'!$D$191-gLT)*(K119-0.5)/FadeYears,gLT)</f>
        <v>4.7E-2</v>
      </c>
      <c r="L120" s="40">
        <f>IF(L119&lt;=FadeYears,'DCF by Box'!$D$191-('DCF by Box'!$D$191-gLT)*(L119-0.5)/FadeYears,gLT)</f>
        <v>4.7E-2</v>
      </c>
      <c r="M120" s="40">
        <f>IF(M119&lt;=FadeYears,'DCF by Box'!$D$191-('DCF by Box'!$D$191-gLT)*(M119-0.5)/FadeYears,gLT)</f>
        <v>4.7E-2</v>
      </c>
      <c r="N120" s="40">
        <f>IF(N119&lt;=FadeYears,'DCF by Box'!$D$191-('DCF by Box'!$D$191-gLT)*(N119-0.5)/FadeYears,gLT)</f>
        <v>4.7E-2</v>
      </c>
    </row>
    <row r="121" spans="2:14" ht="13.95" customHeight="1" x14ac:dyDescent="0.3">
      <c r="B121" s="19" t="s">
        <v>716</v>
      </c>
      <c r="C121" s="20">
        <f>'DCF by Box'!$H$178*(1+'DCF by Box'!$D$190)</f>
        <v>14220.554263702923</v>
      </c>
      <c r="D121" s="20">
        <f t="shared" ref="D121:N121" si="30">C121*(1+D120)</f>
        <v>14888.92031409696</v>
      </c>
      <c r="E121" s="20">
        <f t="shared" si="30"/>
        <v>15588.699568859516</v>
      </c>
      <c r="F121" s="20">
        <f t="shared" si="30"/>
        <v>16321.368448595913</v>
      </c>
      <c r="G121" s="20">
        <f t="shared" si="30"/>
        <v>17088.472765679919</v>
      </c>
      <c r="H121" s="20">
        <f t="shared" si="30"/>
        <v>17891.630985666874</v>
      </c>
      <c r="I121" s="20">
        <f t="shared" si="30"/>
        <v>18732.537641993214</v>
      </c>
      <c r="J121" s="20">
        <f t="shared" si="30"/>
        <v>19612.966911166895</v>
      </c>
      <c r="K121" s="20">
        <f t="shared" si="30"/>
        <v>20534.776355991737</v>
      </c>
      <c r="L121" s="20">
        <f t="shared" si="30"/>
        <v>21499.910844723348</v>
      </c>
      <c r="M121" s="20">
        <f t="shared" si="30"/>
        <v>22510.406654425344</v>
      </c>
      <c r="N121" s="20">
        <f t="shared" si="30"/>
        <v>23568.395767183334</v>
      </c>
    </row>
    <row r="122" spans="2:14" ht="13.95" customHeight="1" x14ac:dyDescent="0.3">
      <c r="B122" s="19" t="s">
        <v>717</v>
      </c>
      <c r="C122" s="20">
        <f>'DCF by Box'!$H$167*(1+'DCF by Box'!$D$190)</f>
        <v>96030.638630564892</v>
      </c>
      <c r="D122" s="20">
        <f t="shared" ref="D122:N122" si="31">C122*(1+D120)</f>
        <v>100544.07864620144</v>
      </c>
      <c r="E122" s="20">
        <f t="shared" si="31"/>
        <v>105269.6503425729</v>
      </c>
      <c r="F122" s="20">
        <f t="shared" si="31"/>
        <v>110217.32390867382</v>
      </c>
      <c r="G122" s="20">
        <f t="shared" si="31"/>
        <v>115397.53813238148</v>
      </c>
      <c r="H122" s="20">
        <f t="shared" si="31"/>
        <v>120821.2224246034</v>
      </c>
      <c r="I122" s="20">
        <f t="shared" si="31"/>
        <v>126499.81987855975</v>
      </c>
      <c r="J122" s="20">
        <f t="shared" si="31"/>
        <v>132445.31141285205</v>
      </c>
      <c r="K122" s="20">
        <f t="shared" si="31"/>
        <v>138670.24104925609</v>
      </c>
      <c r="L122" s="20">
        <f t="shared" si="31"/>
        <v>145187.74237857113</v>
      </c>
      <c r="M122" s="20">
        <f t="shared" si="31"/>
        <v>152011.56627036395</v>
      </c>
      <c r="N122" s="20">
        <f t="shared" si="31"/>
        <v>159156.10988507106</v>
      </c>
    </row>
    <row r="123" spans="2:14" ht="13.95" customHeight="1" x14ac:dyDescent="0.3">
      <c r="B123" s="5" t="s">
        <v>718</v>
      </c>
      <c r="C123" s="16">
        <f>'DCF by Box'!$D$192</f>
        <v>8978.5657899668076</v>
      </c>
      <c r="D123" s="16">
        <f>IF(FadeMode=2,D121*(1-D120/'Box Shares'!$E$47)-NWCpct*(D122-C122),C123*(1+D120))</f>
        <v>9400.558382095247</v>
      </c>
      <c r="E123" s="16">
        <f>IF(FadeMode=2,E121*(1-E120/'Box Shares'!$E$47)-NWCpct*(E122-D122),D123*(1+E120))</f>
        <v>9842.384626053723</v>
      </c>
      <c r="F123" s="16">
        <f>IF(FadeMode=2,F121*(1-F120/'Box Shares'!$E$47)-NWCpct*(F122-E122),E123*(1+F120))</f>
        <v>10304.976703478247</v>
      </c>
      <c r="G123" s="16">
        <f>IF(FadeMode=2,G121*(1-G120/'Box Shares'!$E$47)-NWCpct*(G122-F122),F123*(1+G120))</f>
        <v>10789.310608541724</v>
      </c>
      <c r="H123" s="16">
        <f>IF(FadeMode=2,H121*(1-H120/'Box Shares'!$E$47)-NWCpct*(H122-G122),G123*(1+H120))</f>
        <v>11296.408207143184</v>
      </c>
      <c r="I123" s="16">
        <f>IF(FadeMode=2,I121*(1-I120/'Box Shares'!$E$47)-NWCpct*(I122-H122),H123*(1+I120))</f>
        <v>11827.339392878914</v>
      </c>
      <c r="J123" s="16">
        <f>IF(FadeMode=2,J121*(1-J120/'Box Shares'!$E$47)-NWCpct*(J122-I122),I123*(1+J120))</f>
        <v>12383.224344344222</v>
      </c>
      <c r="K123" s="16">
        <f>IF(FadeMode=2,K121*(1-K120/'Box Shares'!$E$47)-NWCpct*(K122-J122),J123*(1+K120))</f>
        <v>12965.235888528399</v>
      </c>
      <c r="L123" s="16">
        <f>IF(FadeMode=2,L121*(1-L120/'Box Shares'!$E$47)-NWCpct*(L122-K122),K123*(1+L120))</f>
        <v>13574.601975289233</v>
      </c>
      <c r="M123" s="16">
        <f>IF(FadeMode=2,M121*(1-M120/'Box Shares'!$E$47)-NWCpct*(M122-L122),L123*(1+M120))</f>
        <v>14212.608268127826</v>
      </c>
      <c r="N123" s="16">
        <f>IF(FadeMode=2,N121*(1-N120/'Box Shares'!$E$47)-NWCpct*(N122-M122),M123*(1+N120))</f>
        <v>14880.600856729832</v>
      </c>
    </row>
    <row r="124" spans="2:14" ht="13.95" customHeight="1" x14ac:dyDescent="0.3">
      <c r="B124" s="19" t="s">
        <v>710</v>
      </c>
      <c r="D124" s="108">
        <f>1/(1+'DCF by Box'!$D$189)^D119</f>
        <v>0.89293595207520349</v>
      </c>
      <c r="E124" s="108">
        <f>1/(1+'DCF by Box'!$D$189)^E119</f>
        <v>0.79733461450845022</v>
      </c>
      <c r="F124" s="108">
        <f>1/(1+'DCF by Box'!$D$189)^F119</f>
        <v>0.71196874312861835</v>
      </c>
      <c r="G124" s="108">
        <f>1/(1+'DCF by Box'!$D$189)^G119</f>
        <v>0.63574248749333895</v>
      </c>
      <c r="H124" s="108">
        <f>1/(1+'DCF by Box'!$D$189)^H119</f>
        <v>0.56767732334452281</v>
      </c>
      <c r="I124" s="108">
        <f>1/(1+'DCF by Box'!$D$189)^I119</f>
        <v>0.50689949119214461</v>
      </c>
      <c r="J124" s="108">
        <f>1/(1+'DCF by Box'!$D$189)^J119</f>
        <v>0.45262877977409388</v>
      </c>
      <c r="K124" s="108">
        <f>1/(1+'DCF by Box'!$D$189)^K119</f>
        <v>0.4041685104042182</v>
      </c>
      <c r="L124" s="108">
        <f>1/(1+'DCF by Box'!$D$189)^L119</f>
        <v>0.36089659363660737</v>
      </c>
      <c r="M124" s="108">
        <f>1/(1+'DCF by Box'!$D$189)^M119</f>
        <v>0.32225754343960183</v>
      </c>
    </row>
    <row r="125" spans="2:14" ht="13.95" customHeight="1" x14ac:dyDescent="0.3">
      <c r="B125" s="19" t="s">
        <v>711</v>
      </c>
      <c r="D125" s="20">
        <f t="shared" ref="D125:M125" si="32">D123*D124</f>
        <v>8394.0965489547543</v>
      </c>
      <c r="E125" s="20">
        <f t="shared" si="32"/>
        <v>7847.6739516584421</v>
      </c>
      <c r="F125" s="20">
        <f t="shared" si="32"/>
        <v>7336.8213115451008</v>
      </c>
      <c r="G125" s="20">
        <f t="shared" si="32"/>
        <v>6859.2231646125865</v>
      </c>
      <c r="H125" s="20">
        <f t="shared" si="32"/>
        <v>6412.7147744381427</v>
      </c>
      <c r="I125" s="20">
        <f t="shared" si="32"/>
        <v>5995.2723204071299</v>
      </c>
      <c r="J125" s="20">
        <f t="shared" si="32"/>
        <v>5605.0037246493794</v>
      </c>
      <c r="K125" s="20">
        <f t="shared" si="32"/>
        <v>5240.1400761058339</v>
      </c>
      <c r="L125" s="20">
        <f t="shared" si="32"/>
        <v>4899.0276128546466</v>
      </c>
      <c r="M125" s="20">
        <f t="shared" si="32"/>
        <v>4580.1202263562473</v>
      </c>
    </row>
    <row r="126" spans="2:14" ht="13.95" customHeight="1" x14ac:dyDescent="0.3">
      <c r="B126" s="5" t="s">
        <v>712</v>
      </c>
      <c r="C126" s="61">
        <f>SUM(D125:M125)+N123/('DCF by Box'!$D$189-gLT)*M124</f>
        <v>128949.38317304771</v>
      </c>
    </row>
    <row r="128" spans="2:14" ht="13.95" customHeight="1" x14ac:dyDescent="0.3">
      <c r="B128" s="17" t="s">
        <v>726</v>
      </c>
      <c r="C128" s="18" t="s">
        <v>126</v>
      </c>
      <c r="D128" s="18" t="s">
        <v>694</v>
      </c>
      <c r="E128" s="18" t="s">
        <v>695</v>
      </c>
      <c r="F128" s="18" t="s">
        <v>696</v>
      </c>
      <c r="G128" s="18" t="s">
        <v>697</v>
      </c>
      <c r="H128" s="18" t="s">
        <v>698</v>
      </c>
      <c r="I128" s="18" t="s">
        <v>699</v>
      </c>
      <c r="J128" s="18" t="s">
        <v>700</v>
      </c>
      <c r="K128" s="18" t="s">
        <v>701</v>
      </c>
      <c r="L128" s="18" t="s">
        <v>702</v>
      </c>
      <c r="M128" s="18" t="s">
        <v>703</v>
      </c>
      <c r="N128" s="18" t="s">
        <v>704</v>
      </c>
    </row>
    <row r="129" spans="2:14" ht="13.95" customHeight="1" x14ac:dyDescent="0.3">
      <c r="B129" s="19" t="s">
        <v>705</v>
      </c>
      <c r="D129" s="107">
        <v>1</v>
      </c>
      <c r="E129" s="107">
        <v>2</v>
      </c>
      <c r="F129" s="107">
        <v>3</v>
      </c>
      <c r="G129" s="107">
        <v>4</v>
      </c>
      <c r="H129" s="107">
        <v>5</v>
      </c>
      <c r="I129" s="107">
        <v>6</v>
      </c>
      <c r="J129" s="107">
        <v>7</v>
      </c>
      <c r="K129" s="107">
        <v>8</v>
      </c>
      <c r="L129" s="107">
        <v>9</v>
      </c>
      <c r="M129" s="107">
        <v>10</v>
      </c>
      <c r="N129" s="107">
        <v>11</v>
      </c>
    </row>
    <row r="130" spans="2:14" ht="13.95" customHeight="1" x14ac:dyDescent="0.3">
      <c r="B130" s="19" t="s">
        <v>706</v>
      </c>
      <c r="D130" s="40">
        <f>IF(D129&lt;=FadeYears,'DCF by Box'!$E$191-('DCF by Box'!$E$191-gLT)*(D129-0.5)/FadeYears,gLT)</f>
        <v>4.7E-2</v>
      </c>
      <c r="E130" s="40">
        <f>IF(E129&lt;=FadeYears,'DCF by Box'!$E$191-('DCF by Box'!$E$191-gLT)*(E129-0.5)/FadeYears,gLT)</f>
        <v>4.7E-2</v>
      </c>
      <c r="F130" s="40">
        <f>IF(F129&lt;=FadeYears,'DCF by Box'!$E$191-('DCF by Box'!$E$191-gLT)*(F129-0.5)/FadeYears,gLT)</f>
        <v>4.7E-2</v>
      </c>
      <c r="G130" s="40">
        <f>IF(G129&lt;=FadeYears,'DCF by Box'!$E$191-('DCF by Box'!$E$191-gLT)*(G129-0.5)/FadeYears,gLT)</f>
        <v>4.7E-2</v>
      </c>
      <c r="H130" s="40">
        <f>IF(H129&lt;=FadeYears,'DCF by Box'!$E$191-('DCF by Box'!$E$191-gLT)*(H129-0.5)/FadeYears,gLT)</f>
        <v>4.7E-2</v>
      </c>
      <c r="I130" s="40">
        <f>IF(I129&lt;=FadeYears,'DCF by Box'!$E$191-('DCF by Box'!$E$191-gLT)*(I129-0.5)/FadeYears,gLT)</f>
        <v>4.7E-2</v>
      </c>
      <c r="J130" s="40">
        <f>IF(J129&lt;=FadeYears,'DCF by Box'!$E$191-('DCF by Box'!$E$191-gLT)*(J129-0.5)/FadeYears,gLT)</f>
        <v>4.7E-2</v>
      </c>
      <c r="K130" s="40">
        <f>IF(K129&lt;=FadeYears,'DCF by Box'!$E$191-('DCF by Box'!$E$191-gLT)*(K129-0.5)/FadeYears,gLT)</f>
        <v>4.7E-2</v>
      </c>
      <c r="L130" s="40">
        <f>IF(L129&lt;=FadeYears,'DCF by Box'!$E$191-('DCF by Box'!$E$191-gLT)*(L129-0.5)/FadeYears,gLT)</f>
        <v>4.7E-2</v>
      </c>
      <c r="M130" s="40">
        <f>IF(M129&lt;=FadeYears,'DCF by Box'!$E$191-('DCF by Box'!$E$191-gLT)*(M129-0.5)/FadeYears,gLT)</f>
        <v>4.7E-2</v>
      </c>
      <c r="N130" s="40">
        <f>IF(N129&lt;=FadeYears,'DCF by Box'!$E$191-('DCF by Box'!$E$191-gLT)*(N129-0.5)/FadeYears,gLT)</f>
        <v>4.7E-2</v>
      </c>
    </row>
    <row r="131" spans="2:14" ht="13.95" customHeight="1" x14ac:dyDescent="0.3">
      <c r="B131" s="19" t="s">
        <v>716</v>
      </c>
      <c r="C131" s="20">
        <f>'DCF by Box'!$H$178*(1+'DCF by Box'!$E$190)</f>
        <v>17809.908092832844</v>
      </c>
      <c r="D131" s="20">
        <f t="shared" ref="D131:N131" si="33">C131*(1+D130)</f>
        <v>18646.973773195987</v>
      </c>
      <c r="E131" s="20">
        <f t="shared" si="33"/>
        <v>19523.381540536197</v>
      </c>
      <c r="F131" s="20">
        <f t="shared" si="33"/>
        <v>20440.980472941395</v>
      </c>
      <c r="G131" s="20">
        <f t="shared" si="33"/>
        <v>21401.70655516964</v>
      </c>
      <c r="H131" s="20">
        <f t="shared" si="33"/>
        <v>22407.58676326261</v>
      </c>
      <c r="I131" s="20">
        <f t="shared" si="33"/>
        <v>23460.743341135953</v>
      </c>
      <c r="J131" s="20">
        <f t="shared" si="33"/>
        <v>24563.398278169341</v>
      </c>
      <c r="K131" s="20">
        <f t="shared" si="33"/>
        <v>25717.8779972433</v>
      </c>
      <c r="L131" s="20">
        <f t="shared" si="33"/>
        <v>26926.618263113734</v>
      </c>
      <c r="M131" s="20">
        <f t="shared" si="33"/>
        <v>28192.16932148008</v>
      </c>
      <c r="N131" s="20">
        <f t="shared" si="33"/>
        <v>29517.201279589641</v>
      </c>
    </row>
    <row r="132" spans="2:14" ht="13.95" customHeight="1" x14ac:dyDescent="0.3">
      <c r="B132" s="19" t="s">
        <v>717</v>
      </c>
      <c r="C132" s="20">
        <f>'DCF by Box'!$H$167*(1+'DCF by Box'!$E$190)</f>
        <v>120269.35212165605</v>
      </c>
      <c r="D132" s="20">
        <f t="shared" ref="D132:N132" si="34">C132*(1+D130)</f>
        <v>125922.01167137387</v>
      </c>
      <c r="E132" s="20">
        <f t="shared" si="34"/>
        <v>131840.34621992844</v>
      </c>
      <c r="F132" s="20">
        <f t="shared" si="34"/>
        <v>138036.84249226507</v>
      </c>
      <c r="G132" s="20">
        <f t="shared" si="34"/>
        <v>144524.57408940152</v>
      </c>
      <c r="H132" s="20">
        <f t="shared" si="34"/>
        <v>151317.22907160339</v>
      </c>
      <c r="I132" s="20">
        <f t="shared" si="34"/>
        <v>158429.13883796873</v>
      </c>
      <c r="J132" s="20">
        <f t="shared" si="34"/>
        <v>165875.30836335325</v>
      </c>
      <c r="K132" s="20">
        <f t="shared" si="34"/>
        <v>173671.44785643084</v>
      </c>
      <c r="L132" s="20">
        <f t="shared" si="34"/>
        <v>181834.00590568307</v>
      </c>
      <c r="M132" s="20">
        <f t="shared" si="34"/>
        <v>190380.20418325017</v>
      </c>
      <c r="N132" s="20">
        <f t="shared" si="34"/>
        <v>199328.07377986293</v>
      </c>
    </row>
    <row r="133" spans="2:14" ht="13.95" customHeight="1" x14ac:dyDescent="0.3">
      <c r="B133" s="5" t="s">
        <v>718</v>
      </c>
      <c r="C133" s="16">
        <f>'DCF by Box'!$E$192</f>
        <v>11244.810051666953</v>
      </c>
      <c r="D133" s="16">
        <f>IF(FadeMode=2,D131*(1-D130/'Box Shares'!$E$47)-NWCpct*(D132-C132),C133*(1+D130))</f>
        <v>11773.3161240953</v>
      </c>
      <c r="E133" s="16">
        <f>IF(FadeMode=2,E131*(1-E130/'Box Shares'!$E$47)-NWCpct*(E132-D132),D133*(1+E130))</f>
        <v>12326.661981927778</v>
      </c>
      <c r="F133" s="16">
        <f>IF(FadeMode=2,F131*(1-F130/'Box Shares'!$E$47)-NWCpct*(F132-E132),E133*(1+F130))</f>
        <v>12906.015095078383</v>
      </c>
      <c r="G133" s="16">
        <f>IF(FadeMode=2,G131*(1-G130/'Box Shares'!$E$47)-NWCpct*(G132-F132),F133*(1+G130))</f>
        <v>13512.597804547066</v>
      </c>
      <c r="H133" s="16">
        <f>IF(FadeMode=2,H131*(1-H130/'Box Shares'!$E$47)-NWCpct*(H132-G132),G133*(1+H130))</f>
        <v>14147.689901360776</v>
      </c>
      <c r="I133" s="16">
        <f>IF(FadeMode=2,I131*(1-I130/'Box Shares'!$E$47)-NWCpct*(I132-H132),H133*(1+I130))</f>
        <v>14812.631326724731</v>
      </c>
      <c r="J133" s="16">
        <f>IF(FadeMode=2,J131*(1-J130/'Box Shares'!$E$47)-NWCpct*(J132-I132),I133*(1+J130))</f>
        <v>15508.824999080793</v>
      </c>
      <c r="K133" s="16">
        <f>IF(FadeMode=2,K131*(1-K130/'Box Shares'!$E$47)-NWCpct*(K132-J132),J133*(1+K130))</f>
        <v>16237.739774037589</v>
      </c>
      <c r="L133" s="16">
        <f>IF(FadeMode=2,L131*(1-L130/'Box Shares'!$E$47)-NWCpct*(L132-K132),K133*(1+L130))</f>
        <v>17000.913543417355</v>
      </c>
      <c r="M133" s="16">
        <f>IF(FadeMode=2,M131*(1-M130/'Box Shares'!$E$47)-NWCpct*(M132-L132),L133*(1+M130))</f>
        <v>17799.956479957971</v>
      </c>
      <c r="N133" s="16">
        <f>IF(FadeMode=2,N131*(1-N130/'Box Shares'!$E$47)-NWCpct*(N132-M132),M133*(1+N130))</f>
        <v>18636.554434515994</v>
      </c>
    </row>
    <row r="134" spans="2:14" ht="13.95" customHeight="1" x14ac:dyDescent="0.3">
      <c r="B134" s="19" t="s">
        <v>710</v>
      </c>
      <c r="D134" s="108">
        <f>1/(1+'DCF by Box'!$E$189)^D129</f>
        <v>0.90309668657065401</v>
      </c>
      <c r="E134" s="108">
        <f>1/(1+'DCF by Box'!$E$189)^E129</f>
        <v>0.81558362529489414</v>
      </c>
      <c r="F134" s="108">
        <f>1/(1+'DCF by Box'!$E$189)^F129</f>
        <v>0.73655086962510075</v>
      </c>
      <c r="G134" s="108">
        <f>1/(1+'DCF by Box'!$E$189)^G129</f>
        <v>0.66517664984916225</v>
      </c>
      <c r="H134" s="108">
        <f>1/(1+'DCF by Box'!$E$189)^H129</f>
        <v>0.60071882846294655</v>
      </c>
      <c r="I134" s="108">
        <f>1/(1+'DCF by Box'!$E$189)^I129</f>
        <v>0.5425071835454921</v>
      </c>
      <c r="J134" s="108">
        <f>1/(1+'DCF by Box'!$E$189)^J129</f>
        <v>0.48993643990071156</v>
      </c>
      <c r="K134" s="108">
        <f>1/(1+'DCF by Box'!$E$189)^K129</f>
        <v>0.44245997550455496</v>
      </c>
      <c r="L134" s="108">
        <f>1/(1+'DCF by Box'!$E$189)^L129</f>
        <v>0.39958413781829627</v>
      </c>
      <c r="M134" s="108">
        <f>1/(1+'DCF by Box'!$E$189)^M129</f>
        <v>0.36086311086989498</v>
      </c>
    </row>
    <row r="135" spans="2:14" ht="13.95" customHeight="1" x14ac:dyDescent="0.3">
      <c r="B135" s="19" t="s">
        <v>711</v>
      </c>
      <c r="D135" s="20">
        <f t="shared" ref="D135:M135" si="35">D133*D134</f>
        <v>10632.44278161932</v>
      </c>
      <c r="E135" s="20">
        <f t="shared" si="35"/>
        <v>10053.423667005403</v>
      </c>
      <c r="F135" s="20">
        <f t="shared" si="35"/>
        <v>9505.9366416746598</v>
      </c>
      <c r="G135" s="20">
        <f t="shared" si="35"/>
        <v>8988.2645383877625</v>
      </c>
      <c r="H135" s="20">
        <f t="shared" si="35"/>
        <v>8498.7837030025057</v>
      </c>
      <c r="I135" s="20">
        <f t="shared" si="35"/>
        <v>8035.9589019591604</v>
      </c>
      <c r="J135" s="20">
        <f t="shared" si="35"/>
        <v>7598.3385070927998</v>
      </c>
      <c r="K135" s="20">
        <f t="shared" si="35"/>
        <v>7184.5499426700098</v>
      </c>
      <c r="L135" s="20">
        <f t="shared" si="35"/>
        <v>6793.2953803698201</v>
      </c>
      <c r="M135" s="20">
        <f t="shared" si="35"/>
        <v>6423.3476687063785</v>
      </c>
    </row>
    <row r="136" spans="2:14" ht="13.95" customHeight="1" x14ac:dyDescent="0.3">
      <c r="B136" s="5" t="s">
        <v>712</v>
      </c>
      <c r="C136" s="61">
        <f>SUM(D135:M135)+N133/('DCF by Box'!$E$189-gLT)*M134</f>
        <v>195241.98191589612</v>
      </c>
    </row>
    <row r="138" spans="2:14" ht="13.95" customHeight="1" x14ac:dyDescent="0.3">
      <c r="B138" s="17" t="s">
        <v>727</v>
      </c>
      <c r="C138" s="18" t="s">
        <v>126</v>
      </c>
      <c r="D138" s="18" t="s">
        <v>694</v>
      </c>
      <c r="E138" s="18" t="s">
        <v>695</v>
      </c>
      <c r="F138" s="18" t="s">
        <v>696</v>
      </c>
      <c r="G138" s="18" t="s">
        <v>697</v>
      </c>
      <c r="H138" s="18" t="s">
        <v>698</v>
      </c>
      <c r="I138" s="18" t="s">
        <v>699</v>
      </c>
      <c r="J138" s="18" t="s">
        <v>700</v>
      </c>
      <c r="K138" s="18" t="s">
        <v>701</v>
      </c>
      <c r="L138" s="18" t="s">
        <v>702</v>
      </c>
      <c r="M138" s="18" t="s">
        <v>703</v>
      </c>
      <c r="N138" s="18" t="s">
        <v>704</v>
      </c>
    </row>
    <row r="139" spans="2:14" ht="13.95" customHeight="1" x14ac:dyDescent="0.3">
      <c r="B139" s="19" t="s">
        <v>705</v>
      </c>
      <c r="D139" s="107">
        <v>1</v>
      </c>
      <c r="E139" s="107">
        <v>2</v>
      </c>
      <c r="F139" s="107">
        <v>3</v>
      </c>
      <c r="G139" s="107">
        <v>4</v>
      </c>
      <c r="H139" s="107">
        <v>5</v>
      </c>
      <c r="I139" s="107">
        <v>6</v>
      </c>
      <c r="J139" s="107">
        <v>7</v>
      </c>
      <c r="K139" s="107">
        <v>8</v>
      </c>
      <c r="L139" s="107">
        <v>9</v>
      </c>
      <c r="M139" s="107">
        <v>10</v>
      </c>
      <c r="N139" s="107">
        <v>11</v>
      </c>
    </row>
    <row r="140" spans="2:14" ht="13.95" customHeight="1" x14ac:dyDescent="0.3">
      <c r="B140" s="19" t="s">
        <v>706</v>
      </c>
      <c r="D140" s="40">
        <f>IF(D139&lt;=FadeYears,'DCF by Box'!$C$238-('DCF by Box'!$C$238-gLT)*(D139-0.5)/FadeYears,gLT)</f>
        <v>4.7E-2</v>
      </c>
      <c r="E140" s="40">
        <f>IF(E139&lt;=FadeYears,'DCF by Box'!$C$238-('DCF by Box'!$C$238-gLT)*(E139-0.5)/FadeYears,gLT)</f>
        <v>4.7E-2</v>
      </c>
      <c r="F140" s="40">
        <f>IF(F139&lt;=FadeYears,'DCF by Box'!$C$238-('DCF by Box'!$C$238-gLT)*(F139-0.5)/FadeYears,gLT)</f>
        <v>4.7E-2</v>
      </c>
      <c r="G140" s="40">
        <f>IF(G139&lt;=FadeYears,'DCF by Box'!$C$238-('DCF by Box'!$C$238-gLT)*(G139-0.5)/FadeYears,gLT)</f>
        <v>4.7E-2</v>
      </c>
      <c r="H140" s="40">
        <f>IF(H139&lt;=FadeYears,'DCF by Box'!$C$238-('DCF by Box'!$C$238-gLT)*(H139-0.5)/FadeYears,gLT)</f>
        <v>4.7E-2</v>
      </c>
      <c r="I140" s="40">
        <f>IF(I139&lt;=FadeYears,'DCF by Box'!$C$238-('DCF by Box'!$C$238-gLT)*(I139-0.5)/FadeYears,gLT)</f>
        <v>4.7E-2</v>
      </c>
      <c r="J140" s="40">
        <f>IF(J139&lt;=FadeYears,'DCF by Box'!$C$238-('DCF by Box'!$C$238-gLT)*(J139-0.5)/FadeYears,gLT)</f>
        <v>4.7E-2</v>
      </c>
      <c r="K140" s="40">
        <f>IF(K139&lt;=FadeYears,'DCF by Box'!$C$238-('DCF by Box'!$C$238-gLT)*(K139-0.5)/FadeYears,gLT)</f>
        <v>4.7E-2</v>
      </c>
      <c r="L140" s="40">
        <f>IF(L139&lt;=FadeYears,'DCF by Box'!$C$238-('DCF by Box'!$C$238-gLT)*(L139-0.5)/FadeYears,gLT)</f>
        <v>4.7E-2</v>
      </c>
      <c r="M140" s="40">
        <f>IF(M139&lt;=FadeYears,'DCF by Box'!$C$238-('DCF by Box'!$C$238-gLT)*(M139-0.5)/FadeYears,gLT)</f>
        <v>4.7E-2</v>
      </c>
      <c r="N140" s="40">
        <f>IF(N139&lt;=FadeYears,'DCF by Box'!$C$238-('DCF by Box'!$C$238-gLT)*(N139-0.5)/FadeYears,gLT)</f>
        <v>4.7E-2</v>
      </c>
    </row>
    <row r="141" spans="2:14" ht="13.95" customHeight="1" x14ac:dyDescent="0.3">
      <c r="B141" s="19" t="s">
        <v>716</v>
      </c>
      <c r="C141" s="20">
        <f>'DCF by Box'!$H$225*(1+'DCF by Box'!$C$237)</f>
        <v>1876.5637649418072</v>
      </c>
      <c r="D141" s="20">
        <f t="shared" ref="D141:N141" si="36">C141*(1+D140)</f>
        <v>1964.762261894072</v>
      </c>
      <c r="E141" s="20">
        <f t="shared" si="36"/>
        <v>2057.1060882030933</v>
      </c>
      <c r="F141" s="20">
        <f t="shared" si="36"/>
        <v>2153.7900743486384</v>
      </c>
      <c r="G141" s="20">
        <f t="shared" si="36"/>
        <v>2255.0182078430244</v>
      </c>
      <c r="H141" s="20">
        <f t="shared" si="36"/>
        <v>2361.0040636116464</v>
      </c>
      <c r="I141" s="20">
        <f t="shared" si="36"/>
        <v>2471.9712546013934</v>
      </c>
      <c r="J141" s="20">
        <f t="shared" si="36"/>
        <v>2588.1539035676587</v>
      </c>
      <c r="K141" s="20">
        <f t="shared" si="36"/>
        <v>2709.7971370353384</v>
      </c>
      <c r="L141" s="20">
        <f t="shared" si="36"/>
        <v>2837.1576024759993</v>
      </c>
      <c r="M141" s="20">
        <f t="shared" si="36"/>
        <v>2970.5040097923711</v>
      </c>
      <c r="N141" s="20">
        <f t="shared" si="36"/>
        <v>3110.1176982526122</v>
      </c>
    </row>
    <row r="142" spans="2:14" ht="13.95" customHeight="1" x14ac:dyDescent="0.3">
      <c r="B142" s="19" t="s">
        <v>717</v>
      </c>
      <c r="C142" s="20">
        <f>'DCF by Box'!$H$214*(1+'DCF by Box'!$C$237)</f>
        <v>11032.962872678479</v>
      </c>
      <c r="D142" s="20">
        <f t="shared" ref="D142:N142" si="37">C142*(1+D140)</f>
        <v>11551.512127694366</v>
      </c>
      <c r="E142" s="20">
        <f t="shared" si="37"/>
        <v>12094.433197696</v>
      </c>
      <c r="F142" s="20">
        <f t="shared" si="37"/>
        <v>12662.871557987712</v>
      </c>
      <c r="G142" s="20">
        <f t="shared" si="37"/>
        <v>13258.026521213133</v>
      </c>
      <c r="H142" s="20">
        <f t="shared" si="37"/>
        <v>13881.15376771015</v>
      </c>
      <c r="I142" s="20">
        <f t="shared" si="37"/>
        <v>14533.567994792525</v>
      </c>
      <c r="J142" s="20">
        <f t="shared" si="37"/>
        <v>15216.645690547773</v>
      </c>
      <c r="K142" s="20">
        <f t="shared" si="37"/>
        <v>15931.828038003518</v>
      </c>
      <c r="L142" s="20">
        <f t="shared" si="37"/>
        <v>16680.623955789681</v>
      </c>
      <c r="M142" s="20">
        <f t="shared" si="37"/>
        <v>17464.613281711794</v>
      </c>
      <c r="N142" s="20">
        <f t="shared" si="37"/>
        <v>18285.450105952248</v>
      </c>
    </row>
    <row r="143" spans="2:14" ht="13.95" customHeight="1" x14ac:dyDescent="0.3">
      <c r="B143" s="5" t="s">
        <v>718</v>
      </c>
      <c r="C143" s="16">
        <f>'DCF by Box'!$C$239</f>
        <v>1181.0490584460106</v>
      </c>
      <c r="D143" s="16">
        <f>IF(FadeMode=2,D141*(1-D140/'Box Shares'!$E$49)-NWCpct*(D142-C142),C143*(1+D140))</f>
        <v>1236.5583641929729</v>
      </c>
      <c r="E143" s="16">
        <f>IF(FadeMode=2,E141*(1-E140/'Box Shares'!$E$49)-NWCpct*(E142-D142),D143*(1+E140))</f>
        <v>1294.6766073100425</v>
      </c>
      <c r="F143" s="16">
        <f>IF(FadeMode=2,F141*(1-F140/'Box Shares'!$E$49)-NWCpct*(F142-E142),E143*(1+F140))</f>
        <v>1355.5264078536145</v>
      </c>
      <c r="G143" s="16">
        <f>IF(FadeMode=2,G141*(1-G140/'Box Shares'!$E$49)-NWCpct*(G142-F142),F143*(1+G140))</f>
        <v>1419.2361490227343</v>
      </c>
      <c r="H143" s="16">
        <f>IF(FadeMode=2,H141*(1-H140/'Box Shares'!$E$49)-NWCpct*(H142-G142),G143*(1+H140))</f>
        <v>1485.9402480268027</v>
      </c>
      <c r="I143" s="16">
        <f>IF(FadeMode=2,I141*(1-I140/'Box Shares'!$E$49)-NWCpct*(I142-H142),H143*(1+I140))</f>
        <v>1555.7794396840623</v>
      </c>
      <c r="J143" s="16">
        <f>IF(FadeMode=2,J141*(1-J140/'Box Shares'!$E$49)-NWCpct*(J142-I142),I143*(1+J140))</f>
        <v>1628.901073349213</v>
      </c>
      <c r="K143" s="16">
        <f>IF(FadeMode=2,K141*(1-K140/'Box Shares'!$E$49)-NWCpct*(K142-J142),J143*(1+K140))</f>
        <v>1705.459423796626</v>
      </c>
      <c r="L143" s="16">
        <f>IF(FadeMode=2,L141*(1-L140/'Box Shares'!$E$49)-NWCpct*(L142-K142),K143*(1+L140))</f>
        <v>1785.6160167150672</v>
      </c>
      <c r="M143" s="16">
        <f>IF(FadeMode=2,M141*(1-M140/'Box Shares'!$E$49)-NWCpct*(M142-L142),L143*(1+M140))</f>
        <v>1869.5399695006752</v>
      </c>
      <c r="N143" s="16">
        <f>IF(FadeMode=2,N141*(1-N140/'Box Shares'!$E$49)-NWCpct*(N142-M142),M143*(1+N140))</f>
        <v>1957.4083480672068</v>
      </c>
    </row>
    <row r="144" spans="2:14" ht="13.95" customHeight="1" x14ac:dyDescent="0.3">
      <c r="B144" s="19" t="s">
        <v>710</v>
      </c>
      <c r="D144" s="108">
        <f>1/(1+'DCF by Box'!$C$236)^D139</f>
        <v>0.85901584956229105</v>
      </c>
      <c r="E144" s="108">
        <f>1/(1+'DCF by Box'!$C$236)^E139</f>
        <v>0.73790822979922477</v>
      </c>
      <c r="F144" s="108">
        <f>1/(1+'DCF by Box'!$C$236)^F139</f>
        <v>0.63387486491998735</v>
      </c>
      <c r="G144" s="108">
        <f>1/(1+'DCF by Box'!$C$236)^G139</f>
        <v>0.54450855560542555</v>
      </c>
      <c r="H144" s="108">
        <f>1/(1+'DCF by Box'!$C$236)^H139</f>
        <v>0.46774147948733064</v>
      </c>
      <c r="I144" s="108">
        <f>1/(1+'DCF by Box'!$C$236)^I139</f>
        <v>0.40179734437733228</v>
      </c>
      <c r="J144" s="108">
        <f>1/(1+'DCF by Box'!$C$236)^J139</f>
        <v>0.34515028713216656</v>
      </c>
      <c r="K144" s="108">
        <f>1/(1+'DCF by Box'!$C$236)^K139</f>
        <v>0.29648956712750679</v>
      </c>
      <c r="L144" s="108">
        <f>1/(1+'DCF by Box'!$C$236)^L139</f>
        <v>0.25468923739239113</v>
      </c>
      <c r="M144" s="108">
        <f>1/(1+'DCF by Box'!$C$236)^M139</f>
        <v>0.21878209163299694</v>
      </c>
    </row>
    <row r="145" spans="2:14" ht="13.95" customHeight="1" x14ac:dyDescent="0.3">
      <c r="B145" s="19" t="s">
        <v>711</v>
      </c>
      <c r="D145" s="20">
        <f t="shared" ref="D145:M145" si="38">D143*D144</f>
        <v>1062.2232337505836</v>
      </c>
      <c r="E145" s="20">
        <f t="shared" si="38"/>
        <v>955.3525234626195</v>
      </c>
      <c r="F145" s="20">
        <f t="shared" si="38"/>
        <v>859.23411867368554</v>
      </c>
      <c r="G145" s="20">
        <f t="shared" si="38"/>
        <v>772.78622556737548</v>
      </c>
      <c r="H145" s="20">
        <f t="shared" si="38"/>
        <v>695.03589004182777</v>
      </c>
      <c r="I145" s="20">
        <f t="shared" si="38"/>
        <v>625.10804730191023</v>
      </c>
      <c r="J145" s="20">
        <f t="shared" si="38"/>
        <v>562.21567317637516</v>
      </c>
      <c r="K145" s="20">
        <f t="shared" si="38"/>
        <v>505.65092631498879</v>
      </c>
      <c r="L145" s="20">
        <f t="shared" si="38"/>
        <v>454.77718157279958</v>
      </c>
      <c r="M145" s="20">
        <f t="shared" si="38"/>
        <v>409.02186491884703</v>
      </c>
    </row>
    <row r="146" spans="2:14" ht="13.95" customHeight="1" x14ac:dyDescent="0.3">
      <c r="B146" s="5" t="s">
        <v>712</v>
      </c>
      <c r="C146" s="61">
        <f>SUM(D145:M145)+N143/('DCF by Box'!$C$236-gLT)*M144</f>
        <v>10557.787023958987</v>
      </c>
    </row>
    <row r="148" spans="2:14" ht="13.95" customHeight="1" x14ac:dyDescent="0.3">
      <c r="B148" s="17" t="s">
        <v>728</v>
      </c>
      <c r="C148" s="18" t="s">
        <v>126</v>
      </c>
      <c r="D148" s="18" t="s">
        <v>694</v>
      </c>
      <c r="E148" s="18" t="s">
        <v>695</v>
      </c>
      <c r="F148" s="18" t="s">
        <v>696</v>
      </c>
      <c r="G148" s="18" t="s">
        <v>697</v>
      </c>
      <c r="H148" s="18" t="s">
        <v>698</v>
      </c>
      <c r="I148" s="18" t="s">
        <v>699</v>
      </c>
      <c r="J148" s="18" t="s">
        <v>700</v>
      </c>
      <c r="K148" s="18" t="s">
        <v>701</v>
      </c>
      <c r="L148" s="18" t="s">
        <v>702</v>
      </c>
      <c r="M148" s="18" t="s">
        <v>703</v>
      </c>
      <c r="N148" s="18" t="s">
        <v>704</v>
      </c>
    </row>
    <row r="149" spans="2:14" ht="13.95" customHeight="1" x14ac:dyDescent="0.3">
      <c r="B149" s="19" t="s">
        <v>705</v>
      </c>
      <c r="D149" s="107">
        <v>1</v>
      </c>
      <c r="E149" s="107">
        <v>2</v>
      </c>
      <c r="F149" s="107">
        <v>3</v>
      </c>
      <c r="G149" s="107">
        <v>4</v>
      </c>
      <c r="H149" s="107">
        <v>5</v>
      </c>
      <c r="I149" s="107">
        <v>6</v>
      </c>
      <c r="J149" s="107">
        <v>7</v>
      </c>
      <c r="K149" s="107">
        <v>8</v>
      </c>
      <c r="L149" s="107">
        <v>9</v>
      </c>
      <c r="M149" s="107">
        <v>10</v>
      </c>
      <c r="N149" s="107">
        <v>11</v>
      </c>
    </row>
    <row r="150" spans="2:14" ht="13.95" customHeight="1" x14ac:dyDescent="0.3">
      <c r="B150" s="19" t="s">
        <v>706</v>
      </c>
      <c r="D150" s="40">
        <f>IF(D149&lt;=FadeYears,'DCF by Box'!$D$238-('DCF by Box'!$D$238-gLT)*(D149-0.5)/FadeYears,gLT)</f>
        <v>4.7E-2</v>
      </c>
      <c r="E150" s="40">
        <f>IF(E149&lt;=FadeYears,'DCF by Box'!$D$238-('DCF by Box'!$D$238-gLT)*(E149-0.5)/FadeYears,gLT)</f>
        <v>4.7E-2</v>
      </c>
      <c r="F150" s="40">
        <f>IF(F149&lt;=FadeYears,'DCF by Box'!$D$238-('DCF by Box'!$D$238-gLT)*(F149-0.5)/FadeYears,gLT)</f>
        <v>4.7E-2</v>
      </c>
      <c r="G150" s="40">
        <f>IF(G149&lt;=FadeYears,'DCF by Box'!$D$238-('DCF by Box'!$D$238-gLT)*(G149-0.5)/FadeYears,gLT)</f>
        <v>4.7E-2</v>
      </c>
      <c r="H150" s="40">
        <f>IF(H149&lt;=FadeYears,'DCF by Box'!$D$238-('DCF by Box'!$D$238-gLT)*(H149-0.5)/FadeYears,gLT)</f>
        <v>4.7E-2</v>
      </c>
      <c r="I150" s="40">
        <f>IF(I149&lt;=FadeYears,'DCF by Box'!$D$238-('DCF by Box'!$D$238-gLT)*(I149-0.5)/FadeYears,gLT)</f>
        <v>4.7E-2</v>
      </c>
      <c r="J150" s="40">
        <f>IF(J149&lt;=FadeYears,'DCF by Box'!$D$238-('DCF by Box'!$D$238-gLT)*(J149-0.5)/FadeYears,gLT)</f>
        <v>4.7E-2</v>
      </c>
      <c r="K150" s="40">
        <f>IF(K149&lt;=FadeYears,'DCF by Box'!$D$238-('DCF by Box'!$D$238-gLT)*(K149-0.5)/FadeYears,gLT)</f>
        <v>4.7E-2</v>
      </c>
      <c r="L150" s="40">
        <f>IF(L149&lt;=FadeYears,'DCF by Box'!$D$238-('DCF by Box'!$D$238-gLT)*(L149-0.5)/FadeYears,gLT)</f>
        <v>4.7E-2</v>
      </c>
      <c r="M150" s="40">
        <f>IF(M149&lt;=FadeYears,'DCF by Box'!$D$238-('DCF by Box'!$D$238-gLT)*(M149-0.5)/FadeYears,gLT)</f>
        <v>4.7E-2</v>
      </c>
      <c r="N150" s="40">
        <f>IF(N149&lt;=FadeYears,'DCF by Box'!$D$238-('DCF by Box'!$D$238-gLT)*(N149-0.5)/FadeYears,gLT)</f>
        <v>4.7E-2</v>
      </c>
    </row>
    <row r="151" spans="2:14" ht="13.95" customHeight="1" x14ac:dyDescent="0.3">
      <c r="B151" s="19" t="s">
        <v>716</v>
      </c>
      <c r="C151" s="20">
        <f>'DCF by Box'!$H$225*(1+'DCF by Box'!$D$237)</f>
        <v>2925.2451301070282</v>
      </c>
      <c r="D151" s="20">
        <f t="shared" ref="D151:N151" si="39">C151*(1+D150)</f>
        <v>3062.7316512220582</v>
      </c>
      <c r="E151" s="20">
        <f t="shared" si="39"/>
        <v>3206.6800388294946</v>
      </c>
      <c r="F151" s="20">
        <f t="shared" si="39"/>
        <v>3357.3940006544808</v>
      </c>
      <c r="G151" s="20">
        <f t="shared" si="39"/>
        <v>3515.1915186852411</v>
      </c>
      <c r="H151" s="20">
        <f t="shared" si="39"/>
        <v>3680.4055200634471</v>
      </c>
      <c r="I151" s="20">
        <f t="shared" si="39"/>
        <v>3853.384579506429</v>
      </c>
      <c r="J151" s="20">
        <f t="shared" si="39"/>
        <v>4034.4936547432308</v>
      </c>
      <c r="K151" s="20">
        <f t="shared" si="39"/>
        <v>4224.114856516162</v>
      </c>
      <c r="L151" s="20">
        <f t="shared" si="39"/>
        <v>4422.6482547724218</v>
      </c>
      <c r="M151" s="20">
        <f t="shared" si="39"/>
        <v>4630.5127227467256</v>
      </c>
      <c r="N151" s="20">
        <f t="shared" si="39"/>
        <v>4848.1468207158214</v>
      </c>
    </row>
    <row r="152" spans="2:14" ht="13.95" customHeight="1" x14ac:dyDescent="0.3">
      <c r="B152" s="19" t="s">
        <v>717</v>
      </c>
      <c r="C152" s="20">
        <f>'DCF by Box'!$H$214*(1+'DCF by Box'!$D$237)</f>
        <v>17198.520784054039</v>
      </c>
      <c r="D152" s="20">
        <f t="shared" ref="D152:N152" si="40">C152*(1+D150)</f>
        <v>18006.851260904579</v>
      </c>
      <c r="E152" s="20">
        <f t="shared" si="40"/>
        <v>18853.173270167092</v>
      </c>
      <c r="F152" s="20">
        <f t="shared" si="40"/>
        <v>19739.272413864943</v>
      </c>
      <c r="G152" s="20">
        <f t="shared" si="40"/>
        <v>20667.018217316592</v>
      </c>
      <c r="H152" s="20">
        <f t="shared" si="40"/>
        <v>21638.36807353047</v>
      </c>
      <c r="I152" s="20">
        <f t="shared" si="40"/>
        <v>22655.371372986399</v>
      </c>
      <c r="J152" s="20">
        <f t="shared" si="40"/>
        <v>23720.173827516759</v>
      </c>
      <c r="K152" s="20">
        <f t="shared" si="40"/>
        <v>24835.021997410044</v>
      </c>
      <c r="L152" s="20">
        <f t="shared" si="40"/>
        <v>26002.268031288313</v>
      </c>
      <c r="M152" s="20">
        <f t="shared" si="40"/>
        <v>27224.374628758862</v>
      </c>
      <c r="N152" s="20">
        <f t="shared" si="40"/>
        <v>28503.920236310525</v>
      </c>
    </row>
    <row r="153" spans="2:14" ht="13.95" customHeight="1" x14ac:dyDescent="0.3">
      <c r="B153" s="5" t="s">
        <v>718</v>
      </c>
      <c r="C153" s="16">
        <f>'DCF by Box'!$D$239</f>
        <v>1841.055481929664</v>
      </c>
      <c r="D153" s="16">
        <f>IF(FadeMode=2,D151*(1-D150/'Box Shares'!$E$49)-NWCpct*(D152-C152),C153*(1+D150))</f>
        <v>1927.585089580358</v>
      </c>
      <c r="E153" s="16">
        <f>IF(FadeMode=2,E151*(1-E150/'Box Shares'!$E$49)-NWCpct*(E152-D152),D153*(1+E150))</f>
        <v>2018.1815887906348</v>
      </c>
      <c r="F153" s="16">
        <f>IF(FadeMode=2,F151*(1-F150/'Box Shares'!$E$49)-NWCpct*(F152-E152),E153*(1+F150))</f>
        <v>2113.0361234637944</v>
      </c>
      <c r="G153" s="16">
        <f>IF(FadeMode=2,G151*(1-G150/'Box Shares'!$E$49)-NWCpct*(G152-F152),F153*(1+G150))</f>
        <v>2212.3488212665925</v>
      </c>
      <c r="H153" s="16">
        <f>IF(FadeMode=2,H151*(1-H150/'Box Shares'!$E$49)-NWCpct*(H152-G152),G153*(1+H150))</f>
        <v>2316.329215866122</v>
      </c>
      <c r="I153" s="16">
        <f>IF(FadeMode=2,I151*(1-I150/'Box Shares'!$E$49)-NWCpct*(I152-H152),H153*(1+I150))</f>
        <v>2425.1966890118297</v>
      </c>
      <c r="J153" s="16">
        <f>IF(FadeMode=2,J151*(1-J150/'Box Shares'!$E$49)-NWCpct*(J152-I152),I153*(1+J150))</f>
        <v>2539.1809333953856</v>
      </c>
      <c r="K153" s="16">
        <f>IF(FadeMode=2,K151*(1-K150/'Box Shares'!$E$49)-NWCpct*(K152-J152),J153*(1+K150))</f>
        <v>2658.5224372649686</v>
      </c>
      <c r="L153" s="16">
        <f>IF(FadeMode=2,L151*(1-L150/'Box Shares'!$E$49)-NWCpct*(L152-K152),K153*(1+L150))</f>
        <v>2783.4729918164221</v>
      </c>
      <c r="M153" s="16">
        <f>IF(FadeMode=2,M151*(1-M150/'Box Shares'!$E$49)-NWCpct*(M152-L152),L153*(1+M150))</f>
        <v>2914.2962224317939</v>
      </c>
      <c r="N153" s="16">
        <f>IF(FadeMode=2,N151*(1-N150/'Box Shares'!$E$49)-NWCpct*(N152-M152),M153*(1+N150))</f>
        <v>3051.2681448860881</v>
      </c>
    </row>
    <row r="154" spans="2:14" ht="13.95" customHeight="1" x14ac:dyDescent="0.3">
      <c r="B154" s="19" t="s">
        <v>710</v>
      </c>
      <c r="D154" s="108">
        <f>1/(1+'DCF by Box'!$D$236)^D149</f>
        <v>0.87205027672448554</v>
      </c>
      <c r="E154" s="108">
        <f>1/(1+'DCF by Box'!$D$236)^E149</f>
        <v>0.76047168513525187</v>
      </c>
      <c r="F154" s="108">
        <f>1/(1+'DCF by Box'!$D$236)^F149</f>
        <v>0.66316954346333223</v>
      </c>
      <c r="G154" s="108">
        <f>1/(1+'DCF by Box'!$D$236)^G149</f>
        <v>0.57831718389244957</v>
      </c>
      <c r="H154" s="108">
        <f>1/(1+'DCF by Box'!$D$236)^H149</f>
        <v>0.5043216602479359</v>
      </c>
      <c r="I154" s="108">
        <f>1/(1+'DCF by Box'!$D$236)^I149</f>
        <v>0.43979384337736449</v>
      </c>
      <c r="J154" s="108">
        <f>1/(1+'DCF by Box'!$D$236)^J149</f>
        <v>0.38352234281895581</v>
      </c>
      <c r="K154" s="108">
        <f>1/(1+'DCF by Box'!$D$236)^K149</f>
        <v>0.33445076518529337</v>
      </c>
      <c r="L154" s="108">
        <f>1/(1+'DCF by Box'!$D$236)^L149</f>
        <v>0.29165788233055101</v>
      </c>
      <c r="M154" s="108">
        <f>1/(1+'DCF by Box'!$D$236)^M149</f>
        <v>0.25434033699523451</v>
      </c>
    </row>
    <row r="155" spans="2:14" ht="13.95" customHeight="1" x14ac:dyDescent="0.3">
      <c r="B155" s="19" t="s">
        <v>711</v>
      </c>
      <c r="D155" s="20">
        <f t="shared" ref="D155:M155" si="41">D153*D154</f>
        <v>1680.9511107785436</v>
      </c>
      <c r="E155" s="20">
        <f t="shared" si="41"/>
        <v>1534.769953736554</v>
      </c>
      <c r="F155" s="20">
        <f t="shared" si="41"/>
        <v>1401.3012013190139</v>
      </c>
      <c r="G155" s="20">
        <f t="shared" si="41"/>
        <v>1279.4393401026759</v>
      </c>
      <c r="H155" s="20">
        <f t="shared" si="41"/>
        <v>1168.1749958264022</v>
      </c>
      <c r="I155" s="20">
        <f t="shared" si="41"/>
        <v>1066.5865728065717</v>
      </c>
      <c r="J155" s="20">
        <f t="shared" si="41"/>
        <v>973.8326204170213</v>
      </c>
      <c r="K155" s="20">
        <f t="shared" si="41"/>
        <v>889.14486340553981</v>
      </c>
      <c r="L155" s="20">
        <f t="shared" si="41"/>
        <v>811.82183831746079</v>
      </c>
      <c r="M155" s="20">
        <f t="shared" si="41"/>
        <v>741.22308331724139</v>
      </c>
    </row>
    <row r="156" spans="2:14" ht="13.95" customHeight="1" x14ac:dyDescent="0.3">
      <c r="B156" s="5" t="s">
        <v>712</v>
      </c>
      <c r="C156" s="61">
        <f>SUM(D155:M155)+N153/('DCF by Box'!$D$236-gLT)*M154</f>
        <v>19329.417648650735</v>
      </c>
    </row>
    <row r="158" spans="2:14" ht="13.95" customHeight="1" x14ac:dyDescent="0.3">
      <c r="B158" s="17" t="s">
        <v>729</v>
      </c>
      <c r="C158" s="18" t="s">
        <v>126</v>
      </c>
      <c r="D158" s="18" t="s">
        <v>694</v>
      </c>
      <c r="E158" s="18" t="s">
        <v>695</v>
      </c>
      <c r="F158" s="18" t="s">
        <v>696</v>
      </c>
      <c r="G158" s="18" t="s">
        <v>697</v>
      </c>
      <c r="H158" s="18" t="s">
        <v>698</v>
      </c>
      <c r="I158" s="18" t="s">
        <v>699</v>
      </c>
      <c r="J158" s="18" t="s">
        <v>700</v>
      </c>
      <c r="K158" s="18" t="s">
        <v>701</v>
      </c>
      <c r="L158" s="18" t="s">
        <v>702</v>
      </c>
      <c r="M158" s="18" t="s">
        <v>703</v>
      </c>
      <c r="N158" s="18" t="s">
        <v>704</v>
      </c>
    </row>
    <row r="159" spans="2:14" ht="13.95" customHeight="1" x14ac:dyDescent="0.3">
      <c r="B159" s="19" t="s">
        <v>705</v>
      </c>
      <c r="D159" s="107">
        <v>1</v>
      </c>
      <c r="E159" s="107">
        <v>2</v>
      </c>
      <c r="F159" s="107">
        <v>3</v>
      </c>
      <c r="G159" s="107">
        <v>4</v>
      </c>
      <c r="H159" s="107">
        <v>5</v>
      </c>
      <c r="I159" s="107">
        <v>6</v>
      </c>
      <c r="J159" s="107">
        <v>7</v>
      </c>
      <c r="K159" s="107">
        <v>8</v>
      </c>
      <c r="L159" s="107">
        <v>9</v>
      </c>
      <c r="M159" s="107">
        <v>10</v>
      </c>
      <c r="N159" s="107">
        <v>11</v>
      </c>
    </row>
    <row r="160" spans="2:14" ht="13.95" customHeight="1" x14ac:dyDescent="0.3">
      <c r="B160" s="19" t="s">
        <v>706</v>
      </c>
      <c r="D160" s="40">
        <f>IF(D159&lt;=FadeYears,'DCF by Box'!$E$238-('DCF by Box'!$E$238-gLT)*(D159-0.5)/FadeYears,gLT)</f>
        <v>4.7E-2</v>
      </c>
      <c r="E160" s="40">
        <f>IF(E159&lt;=FadeYears,'DCF by Box'!$E$238-('DCF by Box'!$E$238-gLT)*(E159-0.5)/FadeYears,gLT)</f>
        <v>4.7E-2</v>
      </c>
      <c r="F160" s="40">
        <f>IF(F159&lt;=FadeYears,'DCF by Box'!$E$238-('DCF by Box'!$E$238-gLT)*(F159-0.5)/FadeYears,gLT)</f>
        <v>4.7E-2</v>
      </c>
      <c r="G160" s="40">
        <f>IF(G159&lt;=FadeYears,'DCF by Box'!$E$238-('DCF by Box'!$E$238-gLT)*(G159-0.5)/FadeYears,gLT)</f>
        <v>4.7E-2</v>
      </c>
      <c r="H160" s="40">
        <f>IF(H159&lt;=FadeYears,'DCF by Box'!$E$238-('DCF by Box'!$E$238-gLT)*(H159-0.5)/FadeYears,gLT)</f>
        <v>4.7E-2</v>
      </c>
      <c r="I160" s="40">
        <f>IF(I159&lt;=FadeYears,'DCF by Box'!$E$238-('DCF by Box'!$E$238-gLT)*(I159-0.5)/FadeYears,gLT)</f>
        <v>4.7E-2</v>
      </c>
      <c r="J160" s="40">
        <f>IF(J159&lt;=FadeYears,'DCF by Box'!$E$238-('DCF by Box'!$E$238-gLT)*(J159-0.5)/FadeYears,gLT)</f>
        <v>4.7E-2</v>
      </c>
      <c r="K160" s="40">
        <f>IF(K159&lt;=FadeYears,'DCF by Box'!$E$238-('DCF by Box'!$E$238-gLT)*(K159-0.5)/FadeYears,gLT)</f>
        <v>4.7E-2</v>
      </c>
      <c r="L160" s="40">
        <f>IF(L159&lt;=FadeYears,'DCF by Box'!$E$238-('DCF by Box'!$E$238-gLT)*(L159-0.5)/FadeYears,gLT)</f>
        <v>4.7E-2</v>
      </c>
      <c r="M160" s="40">
        <f>IF(M159&lt;=FadeYears,'DCF by Box'!$E$238-('DCF by Box'!$E$238-gLT)*(M159-0.5)/FadeYears,gLT)</f>
        <v>4.7E-2</v>
      </c>
      <c r="N160" s="40">
        <f>IF(N159&lt;=FadeYears,'DCF by Box'!$E$238-('DCF by Box'!$E$238-gLT)*(N159-0.5)/FadeYears,gLT)</f>
        <v>4.7E-2</v>
      </c>
    </row>
    <row r="161" spans="2:14" ht="13.95" customHeight="1" x14ac:dyDescent="0.3">
      <c r="B161" s="19" t="s">
        <v>716</v>
      </c>
      <c r="C161" s="20">
        <f>'DCF by Box'!$H$225*(1+'DCF by Box'!$E$237)</f>
        <v>3973.9264952722492</v>
      </c>
      <c r="D161" s="20">
        <f t="shared" ref="D161:N161" si="42">C161*(1+D160)</f>
        <v>4160.701040550045</v>
      </c>
      <c r="E161" s="20">
        <f t="shared" si="42"/>
        <v>4356.2539894558968</v>
      </c>
      <c r="F161" s="20">
        <f t="shared" si="42"/>
        <v>4560.9979269603236</v>
      </c>
      <c r="G161" s="20">
        <f t="shared" si="42"/>
        <v>4775.3648295274588</v>
      </c>
      <c r="H161" s="20">
        <f t="shared" si="42"/>
        <v>4999.8069765152486</v>
      </c>
      <c r="I161" s="20">
        <f t="shared" si="42"/>
        <v>5234.7979044114645</v>
      </c>
      <c r="J161" s="20">
        <f t="shared" si="42"/>
        <v>5480.8334059188028</v>
      </c>
      <c r="K161" s="20">
        <f t="shared" si="42"/>
        <v>5738.4325759969861</v>
      </c>
      <c r="L161" s="20">
        <f t="shared" si="42"/>
        <v>6008.1389070688438</v>
      </c>
      <c r="M161" s="20">
        <f t="shared" si="42"/>
        <v>6290.5214357010791</v>
      </c>
      <c r="N161" s="20">
        <f t="shared" si="42"/>
        <v>6586.1759431790297</v>
      </c>
    </row>
    <row r="162" spans="2:14" ht="13.95" customHeight="1" x14ac:dyDescent="0.3">
      <c r="B162" s="19" t="s">
        <v>717</v>
      </c>
      <c r="C162" s="20">
        <f>'DCF by Box'!$H$214*(1+'DCF by Box'!$E$237)</f>
        <v>23364.078695429598</v>
      </c>
      <c r="D162" s="20">
        <f t="shared" ref="D162:N162" si="43">C162*(1+D160)</f>
        <v>24462.190394114787</v>
      </c>
      <c r="E162" s="20">
        <f t="shared" si="43"/>
        <v>25611.913342638181</v>
      </c>
      <c r="F162" s="20">
        <f t="shared" si="43"/>
        <v>26815.673269742176</v>
      </c>
      <c r="G162" s="20">
        <f t="shared" si="43"/>
        <v>28076.009913420057</v>
      </c>
      <c r="H162" s="20">
        <f t="shared" si="43"/>
        <v>29395.582379350799</v>
      </c>
      <c r="I162" s="20">
        <f t="shared" si="43"/>
        <v>30777.174751180286</v>
      </c>
      <c r="J162" s="20">
        <f t="shared" si="43"/>
        <v>32223.701964485757</v>
      </c>
      <c r="K162" s="20">
        <f t="shared" si="43"/>
        <v>33738.215956816588</v>
      </c>
      <c r="L162" s="20">
        <f t="shared" si="43"/>
        <v>35323.912106786964</v>
      </c>
      <c r="M162" s="20">
        <f t="shared" si="43"/>
        <v>36984.135975805948</v>
      </c>
      <c r="N162" s="20">
        <f t="shared" si="43"/>
        <v>38722.390366668827</v>
      </c>
    </row>
    <row r="163" spans="2:14" ht="13.95" customHeight="1" x14ac:dyDescent="0.3">
      <c r="B163" s="5" t="s">
        <v>718</v>
      </c>
      <c r="C163" s="16">
        <f>'DCF by Box'!$E$239</f>
        <v>2501.0619054133172</v>
      </c>
      <c r="D163" s="16">
        <f>IF(FadeMode=2,D161*(1-D160/'Box Shares'!$E$49)-NWCpct*(D162-C162),C163*(1+D160))</f>
        <v>2618.6118149677427</v>
      </c>
      <c r="E163" s="16">
        <f>IF(FadeMode=2,E161*(1-E160/'Box Shares'!$E$49)-NWCpct*(E162-D162),D163*(1+E160))</f>
        <v>2741.6865702712266</v>
      </c>
      <c r="F163" s="16">
        <f>IF(FadeMode=2,F161*(1-F160/'Box Shares'!$E$49)-NWCpct*(F162-E162),E163*(1+F160))</f>
        <v>2870.5458390739741</v>
      </c>
      <c r="G163" s="16">
        <f>IF(FadeMode=2,G161*(1-G160/'Box Shares'!$E$49)-NWCpct*(G162-F162),F163*(1+G160))</f>
        <v>3005.4614935104505</v>
      </c>
      <c r="H163" s="16">
        <f>IF(FadeMode=2,H161*(1-H160/'Box Shares'!$E$49)-NWCpct*(H162-G162),G163*(1+H160))</f>
        <v>3146.7181837054413</v>
      </c>
      <c r="I163" s="16">
        <f>IF(FadeMode=2,I161*(1-I160/'Box Shares'!$E$49)-NWCpct*(I162-H162),H163*(1+I160))</f>
        <v>3294.6139383395966</v>
      </c>
      <c r="J163" s="16">
        <f>IF(FadeMode=2,J161*(1-J160/'Box Shares'!$E$49)-NWCpct*(J162-I162),I163*(1+J160))</f>
        <v>3449.4607934415576</v>
      </c>
      <c r="K163" s="16">
        <f>IF(FadeMode=2,K161*(1-K160/'Box Shares'!$E$49)-NWCpct*(K162-J162),J163*(1+K160))</f>
        <v>3611.5854507333106</v>
      </c>
      <c r="L163" s="16">
        <f>IF(FadeMode=2,L161*(1-L160/'Box Shares'!$E$49)-NWCpct*(L162-K162),K163*(1+L160))</f>
        <v>3781.3299669177759</v>
      </c>
      <c r="M163" s="16">
        <f>IF(FadeMode=2,M161*(1-M160/'Box Shares'!$E$49)-NWCpct*(M162-L162),L163*(1+M160))</f>
        <v>3959.0524753629111</v>
      </c>
      <c r="N163" s="16">
        <f>IF(FadeMode=2,N161*(1-N160/'Box Shares'!$E$49)-NWCpct*(N162-M162),M163*(1+N160))</f>
        <v>4145.1279417049673</v>
      </c>
    </row>
    <row r="164" spans="2:14" ht="13.95" customHeight="1" x14ac:dyDescent="0.3">
      <c r="B164" s="19" t="s">
        <v>710</v>
      </c>
      <c r="D164" s="108">
        <f>1/(1+'DCF by Box'!$E$236)^D159</f>
        <v>0.88173867445824139</v>
      </c>
      <c r="E164" s="108">
        <f>1/(1+'DCF by Box'!$E$236)^E159</f>
        <v>0.77746309003537661</v>
      </c>
      <c r="F164" s="108">
        <f>1/(1+'DCF by Box'!$E$236)^F159</f>
        <v>0.68551927444800131</v>
      </c>
      <c r="G164" s="108">
        <f>1/(1+'DCF by Box'!$E$236)^G159</f>
        <v>0.60444885636735601</v>
      </c>
      <c r="H164" s="108">
        <f>1/(1+'DCF by Box'!$E$236)^H159</f>
        <v>0.53296593339115239</v>
      </c>
      <c r="I164" s="108">
        <f>1/(1+'DCF by Box'!$E$236)^I159</f>
        <v>0.46993667563971414</v>
      </c>
      <c r="J164" s="108">
        <f>1/(1+'DCF by Box'!$E$236)^J159</f>
        <v>0.41436134145787401</v>
      </c>
      <c r="K164" s="108">
        <f>1/(1+'DCF by Box'!$E$236)^K159</f>
        <v>0.36535841996380464</v>
      </c>
      <c r="L164" s="108">
        <f>1/(1+'DCF by Box'!$E$236)^L159</f>
        <v>0.32215064892104256</v>
      </c>
      <c r="M164" s="108">
        <f>1/(1+'DCF by Box'!$E$236)^M159</f>
        <v>0.28405268615550239</v>
      </c>
    </row>
    <row r="165" spans="2:14" ht="13.95" customHeight="1" x14ac:dyDescent="0.3">
      <c r="B165" s="19" t="s">
        <v>711</v>
      </c>
      <c r="D165" s="20">
        <f t="shared" ref="D165:M165" si="44">D163*D164</f>
        <v>2308.9313106503473</v>
      </c>
      <c r="E165" s="20">
        <f t="shared" si="44"/>
        <v>2131.5601128315616</v>
      </c>
      <c r="F165" s="20">
        <f t="shared" si="44"/>
        <v>1967.8145008717199</v>
      </c>
      <c r="G165" s="20">
        <f t="shared" si="44"/>
        <v>1816.6477626085175</v>
      </c>
      <c r="H165" s="20">
        <f t="shared" si="44"/>
        <v>1677.0935938974824</v>
      </c>
      <c r="I165" s="20">
        <f t="shared" si="44"/>
        <v>1548.2599216995761</v>
      </c>
      <c r="J165" s="20">
        <f t="shared" si="44"/>
        <v>1429.3232016767863</v>
      </c>
      <c r="K165" s="20">
        <f t="shared" si="44"/>
        <v>1319.5231538441876</v>
      </c>
      <c r="L165" s="20">
        <f t="shared" si="44"/>
        <v>1218.1579026271459</v>
      </c>
      <c r="M165" s="20">
        <f t="shared" si="44"/>
        <v>1124.5794902574257</v>
      </c>
    </row>
    <row r="166" spans="2:14" ht="13.95" customHeight="1" x14ac:dyDescent="0.3">
      <c r="B166" s="5" t="s">
        <v>712</v>
      </c>
      <c r="C166" s="61">
        <f>SUM(D165:M165)+N163/('DCF by Box'!$E$236-gLT)*M164</f>
        <v>30056.536026487243</v>
      </c>
    </row>
    <row r="168" spans="2:14" ht="13.95" customHeight="1" x14ac:dyDescent="0.3">
      <c r="B168" s="17" t="s">
        <v>730</v>
      </c>
      <c r="C168" s="18" t="s">
        <v>126</v>
      </c>
      <c r="D168" s="18" t="s">
        <v>694</v>
      </c>
      <c r="E168" s="18" t="s">
        <v>695</v>
      </c>
      <c r="F168" s="18" t="s">
        <v>696</v>
      </c>
      <c r="G168" s="18" t="s">
        <v>697</v>
      </c>
      <c r="H168" s="18" t="s">
        <v>698</v>
      </c>
      <c r="I168" s="18" t="s">
        <v>699</v>
      </c>
      <c r="J168" s="18" t="s">
        <v>700</v>
      </c>
      <c r="K168" s="18" t="s">
        <v>701</v>
      </c>
      <c r="L168" s="18" t="s">
        <v>702</v>
      </c>
      <c r="M168" s="18" t="s">
        <v>703</v>
      </c>
      <c r="N168" s="18" t="s">
        <v>704</v>
      </c>
    </row>
    <row r="169" spans="2:14" ht="13.95" customHeight="1" x14ac:dyDescent="0.3">
      <c r="B169" s="19" t="s">
        <v>705</v>
      </c>
      <c r="D169" s="107">
        <v>1</v>
      </c>
      <c r="E169" s="107">
        <v>2</v>
      </c>
      <c r="F169" s="107">
        <v>3</v>
      </c>
      <c r="G169" s="107">
        <v>4</v>
      </c>
      <c r="H169" s="107">
        <v>5</v>
      </c>
      <c r="I169" s="107">
        <v>6</v>
      </c>
      <c r="J169" s="107">
        <v>7</v>
      </c>
      <c r="K169" s="107">
        <v>8</v>
      </c>
      <c r="L169" s="107">
        <v>9</v>
      </c>
      <c r="M169" s="107">
        <v>10</v>
      </c>
      <c r="N169" s="107">
        <v>11</v>
      </c>
    </row>
    <row r="170" spans="2:14" ht="13.95" customHeight="1" x14ac:dyDescent="0.3">
      <c r="B170" s="19" t="s">
        <v>706</v>
      </c>
      <c r="D170" s="40">
        <f>IF(D169&lt;=FadeYears,'DCF by Box'!$C$285-('DCF by Box'!$C$285-gLT)*(D169-0.5)/FadeYears,gLT)</f>
        <v>4.7E-2</v>
      </c>
      <c r="E170" s="40">
        <f>IF(E169&lt;=FadeYears,'DCF by Box'!$C$285-('DCF by Box'!$C$285-gLT)*(E169-0.5)/FadeYears,gLT)</f>
        <v>4.7E-2</v>
      </c>
      <c r="F170" s="40">
        <f>IF(F169&lt;=FadeYears,'DCF by Box'!$C$285-('DCF by Box'!$C$285-gLT)*(F169-0.5)/FadeYears,gLT)</f>
        <v>4.7E-2</v>
      </c>
      <c r="G170" s="40">
        <f>IF(G169&lt;=FadeYears,'DCF by Box'!$C$285-('DCF by Box'!$C$285-gLT)*(G169-0.5)/FadeYears,gLT)</f>
        <v>4.7E-2</v>
      </c>
      <c r="H170" s="40">
        <f>IF(H169&lt;=FadeYears,'DCF by Box'!$C$285-('DCF by Box'!$C$285-gLT)*(H169-0.5)/FadeYears,gLT)</f>
        <v>4.7E-2</v>
      </c>
      <c r="I170" s="40">
        <f>IF(I169&lt;=FadeYears,'DCF by Box'!$C$285-('DCF by Box'!$C$285-gLT)*(I169-0.5)/FadeYears,gLT)</f>
        <v>4.7E-2</v>
      </c>
      <c r="J170" s="40">
        <f>IF(J169&lt;=FadeYears,'DCF by Box'!$C$285-('DCF by Box'!$C$285-gLT)*(J169-0.5)/FadeYears,gLT)</f>
        <v>4.7E-2</v>
      </c>
      <c r="K170" s="40">
        <f>IF(K169&lt;=FadeYears,'DCF by Box'!$C$285-('DCF by Box'!$C$285-gLT)*(K169-0.5)/FadeYears,gLT)</f>
        <v>4.7E-2</v>
      </c>
      <c r="L170" s="40">
        <f>IF(L169&lt;=FadeYears,'DCF by Box'!$C$285-('DCF by Box'!$C$285-gLT)*(L169-0.5)/FadeYears,gLT)</f>
        <v>4.7E-2</v>
      </c>
      <c r="M170" s="40">
        <f>IF(M169&lt;=FadeYears,'DCF by Box'!$C$285-('DCF by Box'!$C$285-gLT)*(M169-0.5)/FadeYears,gLT)</f>
        <v>4.7E-2</v>
      </c>
      <c r="N170" s="40">
        <f>IF(N169&lt;=FadeYears,'DCF by Box'!$C$285-('DCF by Box'!$C$285-gLT)*(N169-0.5)/FadeYears,gLT)</f>
        <v>4.7E-2</v>
      </c>
    </row>
    <row r="171" spans="2:14" ht="13.95" customHeight="1" x14ac:dyDescent="0.3">
      <c r="B171" s="19" t="s">
        <v>716</v>
      </c>
      <c r="C171" s="20">
        <f>'DCF by Box'!$H$272*(1+'DCF by Box'!$C$284)</f>
        <v>643.79142412839849</v>
      </c>
      <c r="D171" s="20">
        <f t="shared" ref="D171:N171" si="45">C171*(1+D170)</f>
        <v>674.04962106243318</v>
      </c>
      <c r="E171" s="20">
        <f t="shared" si="45"/>
        <v>705.72995325236752</v>
      </c>
      <c r="F171" s="20">
        <f t="shared" si="45"/>
        <v>738.89926105522875</v>
      </c>
      <c r="G171" s="20">
        <f t="shared" si="45"/>
        <v>773.62752632482443</v>
      </c>
      <c r="H171" s="20">
        <f t="shared" si="45"/>
        <v>809.9880200620911</v>
      </c>
      <c r="I171" s="20">
        <f t="shared" si="45"/>
        <v>848.05745700500927</v>
      </c>
      <c r="J171" s="20">
        <f t="shared" si="45"/>
        <v>887.91615748424465</v>
      </c>
      <c r="K171" s="20">
        <f t="shared" si="45"/>
        <v>929.64821688600409</v>
      </c>
      <c r="L171" s="20">
        <f t="shared" si="45"/>
        <v>973.34168307964626</v>
      </c>
      <c r="M171" s="20">
        <f t="shared" si="45"/>
        <v>1019.0887421843896</v>
      </c>
      <c r="N171" s="20">
        <f t="shared" si="45"/>
        <v>1066.9859130670559</v>
      </c>
    </row>
    <row r="172" spans="2:14" ht="13.95" customHeight="1" x14ac:dyDescent="0.3">
      <c r="B172" s="19" t="s">
        <v>717</v>
      </c>
      <c r="C172" s="20">
        <f>'DCF by Box'!$H$261*(1+'DCF by Box'!$C$284)</f>
        <v>5883.3269027814576</v>
      </c>
      <c r="D172" s="20">
        <f t="shared" ref="D172:N172" si="46">C172*(1+D170)</f>
        <v>6159.8432672121853</v>
      </c>
      <c r="E172" s="20">
        <f t="shared" si="46"/>
        <v>6449.3559007711574</v>
      </c>
      <c r="F172" s="20">
        <f t="shared" si="46"/>
        <v>6752.4756281074015</v>
      </c>
      <c r="G172" s="20">
        <f t="shared" si="46"/>
        <v>7069.8419826284489</v>
      </c>
      <c r="H172" s="20">
        <f t="shared" si="46"/>
        <v>7402.1245558119854</v>
      </c>
      <c r="I172" s="20">
        <f t="shared" si="46"/>
        <v>7750.0244099351485</v>
      </c>
      <c r="J172" s="20">
        <f t="shared" si="46"/>
        <v>8114.2755572020997</v>
      </c>
      <c r="K172" s="20">
        <f t="shared" si="46"/>
        <v>8495.6465083905987</v>
      </c>
      <c r="L172" s="20">
        <f t="shared" si="46"/>
        <v>8894.941894284957</v>
      </c>
      <c r="M172" s="20">
        <f t="shared" si="46"/>
        <v>9313.0041633163491</v>
      </c>
      <c r="N172" s="20">
        <f t="shared" si="46"/>
        <v>9750.7153589922164</v>
      </c>
    </row>
    <row r="173" spans="2:14" ht="13.95" customHeight="1" x14ac:dyDescent="0.3">
      <c r="B173" s="5" t="s">
        <v>718</v>
      </c>
      <c r="C173" s="16">
        <f>'DCF by Box'!$C$286</f>
        <v>448.95770145445329</v>
      </c>
      <c r="D173" s="16">
        <f>IF(FadeMode=2,D171*(1-D170/'Box Shares'!$E$50)-NWCpct*(D172-C172),C173*(1+D170))</f>
        <v>470.05871342281256</v>
      </c>
      <c r="E173" s="16">
        <f>IF(FadeMode=2,E171*(1-E170/'Box Shares'!$E$50)-NWCpct*(E172-D172),D173*(1+E170))</f>
        <v>492.15147295368473</v>
      </c>
      <c r="F173" s="16">
        <f>IF(FadeMode=2,F171*(1-F170/'Box Shares'!$E$50)-NWCpct*(F172-E172),E173*(1+F170))</f>
        <v>515.28259218250787</v>
      </c>
      <c r="G173" s="16">
        <f>IF(FadeMode=2,G171*(1-G170/'Box Shares'!$E$50)-NWCpct*(G172-F172),F173*(1+G170))</f>
        <v>539.50087401508574</v>
      </c>
      <c r="H173" s="16">
        <f>IF(FadeMode=2,H171*(1-H170/'Box Shares'!$E$50)-NWCpct*(H172-G172),G173*(1+H170))</f>
        <v>564.85741509379477</v>
      </c>
      <c r="I173" s="16">
        <f>IF(FadeMode=2,I171*(1-I170/'Box Shares'!$E$50)-NWCpct*(I172-H172),H173*(1+I170))</f>
        <v>591.40571360320314</v>
      </c>
      <c r="J173" s="16">
        <f>IF(FadeMode=2,J171*(1-J170/'Box Shares'!$E$50)-NWCpct*(J172-I172),I173*(1+J170))</f>
        <v>619.20178214255361</v>
      </c>
      <c r="K173" s="16">
        <f>IF(FadeMode=2,K171*(1-K170/'Box Shares'!$E$50)-NWCpct*(K172-J172),J173*(1+K170))</f>
        <v>648.30426590325362</v>
      </c>
      <c r="L173" s="16">
        <f>IF(FadeMode=2,L171*(1-L170/'Box Shares'!$E$50)-NWCpct*(L172-K172),K173*(1+L170))</f>
        <v>678.77456640070648</v>
      </c>
      <c r="M173" s="16">
        <f>IF(FadeMode=2,M171*(1-M170/'Box Shares'!$E$50)-NWCpct*(M172-L172),L173*(1+M170))</f>
        <v>710.67697102153966</v>
      </c>
      <c r="N173" s="16">
        <f>IF(FadeMode=2,N171*(1-N170/'Box Shares'!$E$50)-NWCpct*(N172-M172),M173*(1+N170))</f>
        <v>744.07878865955195</v>
      </c>
    </row>
    <row r="174" spans="2:14" ht="13.95" customHeight="1" x14ac:dyDescent="0.3">
      <c r="B174" s="19" t="s">
        <v>710</v>
      </c>
      <c r="D174" s="108">
        <f>1/(1+'DCF by Box'!$C$283)^D169</f>
        <v>0.88646975536649286</v>
      </c>
      <c r="E174" s="108">
        <f>1/(1+'DCF by Box'!$C$283)^E169</f>
        <v>0.78582862717952973</v>
      </c>
      <c r="F174" s="108">
        <f>1/(1+'DCF by Box'!$C$283)^F169</f>
        <v>0.69661331089582468</v>
      </c>
      <c r="G174" s="108">
        <f>1/(1+'DCF by Box'!$C$283)^G169</f>
        <v>0.6175266312948644</v>
      </c>
      <c r="H174" s="108">
        <f>1/(1+'DCF by Box'!$C$283)^H169</f>
        <v>0.54741868177625286</v>
      </c>
      <c r="I174" s="108">
        <f>1/(1+'DCF by Box'!$C$283)^I169</f>
        <v>0.48527010491724293</v>
      </c>
      <c r="J174" s="108">
        <f>1/(1+'DCF by Box'!$C$283)^J169</f>
        <v>0.43017727119266064</v>
      </c>
      <c r="K174" s="108">
        <f>1/(1+'DCF by Box'!$C$283)^K169</f>
        <v>0.38133914035838334</v>
      </c>
      <c r="L174" s="108">
        <f>1/(1+'DCF by Box'!$C$283)^L169</f>
        <v>0.33804561446516479</v>
      </c>
      <c r="M174" s="108">
        <f>1/(1+'DCF by Box'!$C$283)^M169</f>
        <v>0.29966721315765038</v>
      </c>
    </row>
    <row r="175" spans="2:14" ht="13.95" customHeight="1" x14ac:dyDescent="0.3">
      <c r="B175" s="19" t="s">
        <v>711</v>
      </c>
      <c r="D175" s="20">
        <f t="shared" ref="D175:M175" si="47">D173*D174</f>
        <v>416.69283269580905</v>
      </c>
      <c r="E175" s="20">
        <f t="shared" si="47"/>
        <v>386.74671635557752</v>
      </c>
      <c r="F175" s="20">
        <f t="shared" si="47"/>
        <v>358.95271258723977</v>
      </c>
      <c r="G175" s="20">
        <f t="shared" si="47"/>
        <v>333.15615731117094</v>
      </c>
      <c r="H175" s="20">
        <f t="shared" si="47"/>
        <v>309.21350156218682</v>
      </c>
      <c r="I175" s="20">
        <f t="shared" si="47"/>
        <v>286.99151268888329</v>
      </c>
      <c r="J175" s="20">
        <f t="shared" si="47"/>
        <v>266.36653295971604</v>
      </c>
      <c r="K175" s="20">
        <f t="shared" si="47"/>
        <v>247.22379145021952</v>
      </c>
      <c r="L175" s="20">
        <f t="shared" si="47"/>
        <v>229.45676538225263</v>
      </c>
      <c r="M175" s="20">
        <f t="shared" si="47"/>
        <v>212.96658736134503</v>
      </c>
    </row>
    <row r="176" spans="2:14" ht="13.95" customHeight="1" x14ac:dyDescent="0.3">
      <c r="B176" s="5" t="s">
        <v>712</v>
      </c>
      <c r="C176" s="61">
        <f>SUM(D175:M175)+N173/('DCF by Box'!$C$283-gLT)*M174</f>
        <v>5798.1781292550477</v>
      </c>
    </row>
    <row r="178" spans="2:14" ht="13.95" customHeight="1" x14ac:dyDescent="0.3">
      <c r="B178" s="17" t="s">
        <v>731</v>
      </c>
      <c r="C178" s="18" t="s">
        <v>126</v>
      </c>
      <c r="D178" s="18" t="s">
        <v>694</v>
      </c>
      <c r="E178" s="18" t="s">
        <v>695</v>
      </c>
      <c r="F178" s="18" t="s">
        <v>696</v>
      </c>
      <c r="G178" s="18" t="s">
        <v>697</v>
      </c>
      <c r="H178" s="18" t="s">
        <v>698</v>
      </c>
      <c r="I178" s="18" t="s">
        <v>699</v>
      </c>
      <c r="J178" s="18" t="s">
        <v>700</v>
      </c>
      <c r="K178" s="18" t="s">
        <v>701</v>
      </c>
      <c r="L178" s="18" t="s">
        <v>702</v>
      </c>
      <c r="M178" s="18" t="s">
        <v>703</v>
      </c>
      <c r="N178" s="18" t="s">
        <v>704</v>
      </c>
    </row>
    <row r="179" spans="2:14" ht="13.95" customHeight="1" x14ac:dyDescent="0.3">
      <c r="B179" s="19" t="s">
        <v>705</v>
      </c>
      <c r="D179" s="107">
        <v>1</v>
      </c>
      <c r="E179" s="107">
        <v>2</v>
      </c>
      <c r="F179" s="107">
        <v>3</v>
      </c>
      <c r="G179" s="107">
        <v>4</v>
      </c>
      <c r="H179" s="107">
        <v>5</v>
      </c>
      <c r="I179" s="107">
        <v>6</v>
      </c>
      <c r="J179" s="107">
        <v>7</v>
      </c>
      <c r="K179" s="107">
        <v>8</v>
      </c>
      <c r="L179" s="107">
        <v>9</v>
      </c>
      <c r="M179" s="107">
        <v>10</v>
      </c>
      <c r="N179" s="107">
        <v>11</v>
      </c>
    </row>
    <row r="180" spans="2:14" ht="13.95" customHeight="1" x14ac:dyDescent="0.3">
      <c r="B180" s="19" t="s">
        <v>706</v>
      </c>
      <c r="D180" s="40">
        <f>IF(D179&lt;=FadeYears,'DCF by Box'!$D$285-('DCF by Box'!$D$285-gLT)*(D179-0.5)/FadeYears,gLT)</f>
        <v>4.7E-2</v>
      </c>
      <c r="E180" s="40">
        <f>IF(E179&lt;=FadeYears,'DCF by Box'!$D$285-('DCF by Box'!$D$285-gLT)*(E179-0.5)/FadeYears,gLT)</f>
        <v>4.7E-2</v>
      </c>
      <c r="F180" s="40">
        <f>IF(F179&lt;=FadeYears,'DCF by Box'!$D$285-('DCF by Box'!$D$285-gLT)*(F179-0.5)/FadeYears,gLT)</f>
        <v>4.7E-2</v>
      </c>
      <c r="G180" s="40">
        <f>IF(G179&lt;=FadeYears,'DCF by Box'!$D$285-('DCF by Box'!$D$285-gLT)*(G179-0.5)/FadeYears,gLT)</f>
        <v>4.7E-2</v>
      </c>
      <c r="H180" s="40">
        <f>IF(H179&lt;=FadeYears,'DCF by Box'!$D$285-('DCF by Box'!$D$285-gLT)*(H179-0.5)/FadeYears,gLT)</f>
        <v>4.7E-2</v>
      </c>
      <c r="I180" s="40">
        <f>IF(I179&lt;=FadeYears,'DCF by Box'!$D$285-('DCF by Box'!$D$285-gLT)*(I179-0.5)/FadeYears,gLT)</f>
        <v>4.7E-2</v>
      </c>
      <c r="J180" s="40">
        <f>IF(J179&lt;=FadeYears,'DCF by Box'!$D$285-('DCF by Box'!$D$285-gLT)*(J179-0.5)/FadeYears,gLT)</f>
        <v>4.7E-2</v>
      </c>
      <c r="K180" s="40">
        <f>IF(K179&lt;=FadeYears,'DCF by Box'!$D$285-('DCF by Box'!$D$285-gLT)*(K179-0.5)/FadeYears,gLT)</f>
        <v>4.7E-2</v>
      </c>
      <c r="L180" s="40">
        <f>IF(L179&lt;=FadeYears,'DCF by Box'!$D$285-('DCF by Box'!$D$285-gLT)*(L179-0.5)/FadeYears,gLT)</f>
        <v>4.7E-2</v>
      </c>
      <c r="M180" s="40">
        <f>IF(M179&lt;=FadeYears,'DCF by Box'!$D$285-('DCF by Box'!$D$285-gLT)*(M179-0.5)/FadeYears,gLT)</f>
        <v>4.7E-2</v>
      </c>
      <c r="N180" s="40">
        <f>IF(N179&lt;=FadeYears,'DCF by Box'!$D$285-('DCF by Box'!$D$285-gLT)*(N179-0.5)/FadeYears,gLT)</f>
        <v>4.7E-2</v>
      </c>
    </row>
    <row r="181" spans="2:14" ht="13.95" customHeight="1" x14ac:dyDescent="0.3">
      <c r="B181" s="19" t="s">
        <v>716</v>
      </c>
      <c r="C181" s="20">
        <f>'DCF by Box'!$H$272*(1+'DCF by Box'!$D$284)</f>
        <v>663.81658273782352</v>
      </c>
      <c r="D181" s="20">
        <f t="shared" ref="D181:N181" si="48">C181*(1+D180)</f>
        <v>695.01596212650122</v>
      </c>
      <c r="E181" s="20">
        <f t="shared" si="48"/>
        <v>727.68171234644672</v>
      </c>
      <c r="F181" s="20">
        <f t="shared" si="48"/>
        <v>761.88275282672964</v>
      </c>
      <c r="G181" s="20">
        <f t="shared" si="48"/>
        <v>797.69124220958588</v>
      </c>
      <c r="H181" s="20">
        <f t="shared" si="48"/>
        <v>835.18273059343642</v>
      </c>
      <c r="I181" s="20">
        <f t="shared" si="48"/>
        <v>874.43631893132783</v>
      </c>
      <c r="J181" s="20">
        <f t="shared" si="48"/>
        <v>915.53482592110015</v>
      </c>
      <c r="K181" s="20">
        <f t="shared" si="48"/>
        <v>958.56496273939183</v>
      </c>
      <c r="L181" s="20">
        <f t="shared" si="48"/>
        <v>1003.6175159881432</v>
      </c>
      <c r="M181" s="20">
        <f t="shared" si="48"/>
        <v>1050.7875392395858</v>
      </c>
      <c r="N181" s="20">
        <f t="shared" si="48"/>
        <v>1100.1745535838463</v>
      </c>
    </row>
    <row r="182" spans="2:14" ht="13.95" customHeight="1" x14ac:dyDescent="0.3">
      <c r="B182" s="19" t="s">
        <v>717</v>
      </c>
      <c r="C182" s="20">
        <f>'DCF by Box'!$H$261*(1+'DCF by Box'!$D$284)</f>
        <v>6066.3280270023961</v>
      </c>
      <c r="D182" s="20">
        <f t="shared" ref="D182:N182" si="49">C182*(1+D180)</f>
        <v>6351.4454442715087</v>
      </c>
      <c r="E182" s="20">
        <f t="shared" si="49"/>
        <v>6649.9633801522696</v>
      </c>
      <c r="F182" s="20">
        <f t="shared" si="49"/>
        <v>6962.5116590194257</v>
      </c>
      <c r="G182" s="20">
        <f t="shared" si="49"/>
        <v>7289.7497069933379</v>
      </c>
      <c r="H182" s="20">
        <f t="shared" si="49"/>
        <v>7632.3679432220242</v>
      </c>
      <c r="I182" s="20">
        <f t="shared" si="49"/>
        <v>7991.0892365534592</v>
      </c>
      <c r="J182" s="20">
        <f t="shared" si="49"/>
        <v>8366.670430671471</v>
      </c>
      <c r="K182" s="20">
        <f t="shared" si="49"/>
        <v>8759.9039409130291</v>
      </c>
      <c r="L182" s="20">
        <f t="shared" si="49"/>
        <v>9171.6194261359415</v>
      </c>
      <c r="M182" s="20">
        <f t="shared" si="49"/>
        <v>9602.6855391643294</v>
      </c>
      <c r="N182" s="20">
        <f t="shared" si="49"/>
        <v>10054.011759505052</v>
      </c>
    </row>
    <row r="183" spans="2:14" ht="13.95" customHeight="1" x14ac:dyDescent="0.3">
      <c r="B183" s="5" t="s">
        <v>718</v>
      </c>
      <c r="C183" s="16">
        <f>'DCF by Box'!$D$286</f>
        <v>462.92254914207217</v>
      </c>
      <c r="D183" s="16">
        <f>IF(FadeMode=2,D181*(1-D180/'Box Shares'!$E$50)-NWCpct*(D182-C182),C183*(1+D180))</f>
        <v>484.67990895174955</v>
      </c>
      <c r="E183" s="16">
        <f>IF(FadeMode=2,E181*(1-E180/'Box Shares'!$E$50)-NWCpct*(E182-D182),D183*(1+E180))</f>
        <v>507.45986467248173</v>
      </c>
      <c r="F183" s="16">
        <f>IF(FadeMode=2,F181*(1-F180/'Box Shares'!$E$50)-NWCpct*(F182-E182),E183*(1+F180))</f>
        <v>531.31047831208832</v>
      </c>
      <c r="G183" s="16">
        <f>IF(FadeMode=2,G181*(1-G180/'Box Shares'!$E$50)-NWCpct*(G182-F182),F183*(1+G180))</f>
        <v>556.28207079275649</v>
      </c>
      <c r="H183" s="16">
        <f>IF(FadeMode=2,H181*(1-H180/'Box Shares'!$E$50)-NWCpct*(H182-G182),G183*(1+H180))</f>
        <v>582.427328120016</v>
      </c>
      <c r="I183" s="16">
        <f>IF(FadeMode=2,I181*(1-I180/'Box Shares'!$E$50)-NWCpct*(I182-H182),H183*(1+I180))</f>
        <v>609.80141254165676</v>
      </c>
      <c r="J183" s="16">
        <f>IF(FadeMode=2,J181*(1-J180/'Box Shares'!$E$50)-NWCpct*(J182-I182),I183*(1+J180))</f>
        <v>638.46207893111455</v>
      </c>
      <c r="K183" s="16">
        <f>IF(FadeMode=2,K181*(1-K180/'Box Shares'!$E$50)-NWCpct*(K182-J182),J183*(1+K180))</f>
        <v>668.46979664087689</v>
      </c>
      <c r="L183" s="16">
        <f>IF(FadeMode=2,L181*(1-L180/'Box Shares'!$E$50)-NWCpct*(L182-K182),K183*(1+L180))</f>
        <v>699.8878770829981</v>
      </c>
      <c r="M183" s="16">
        <f>IF(FadeMode=2,M181*(1-M180/'Box Shares'!$E$50)-NWCpct*(M182-L182),L183*(1+M180))</f>
        <v>732.78260730589898</v>
      </c>
      <c r="N183" s="16">
        <f>IF(FadeMode=2,N181*(1-N180/'Box Shares'!$E$50)-NWCpct*(N182-M182),M183*(1+N180))</f>
        <v>767.22338984927615</v>
      </c>
    </row>
    <row r="184" spans="2:14" ht="13.95" customHeight="1" x14ac:dyDescent="0.3">
      <c r="B184" s="19" t="s">
        <v>710</v>
      </c>
      <c r="D184" s="108">
        <f>1/(1+'DCF by Box'!$D$283)^D179</f>
        <v>0.90035738423501999</v>
      </c>
      <c r="E184" s="108">
        <f>1/(1+'DCF by Box'!$D$283)^E179</f>
        <v>0.81064341934652739</v>
      </c>
      <c r="F184" s="108">
        <f>1/(1+'DCF by Box'!$D$283)^F179</f>
        <v>0.72986878859017179</v>
      </c>
      <c r="G184" s="108">
        <f>1/(1+'DCF by Box'!$D$283)^G179</f>
        <v>0.65714275332982985</v>
      </c>
      <c r="H184" s="108">
        <f>1/(1+'DCF by Box'!$D$283)^H179</f>
        <v>0.59166333045704456</v>
      </c>
      <c r="I184" s="108">
        <f>1/(1+'DCF by Box'!$D$283)^I179</f>
        <v>0.53270844855808486</v>
      </c>
      <c r="J184" s="108">
        <f>1/(1+'DCF by Box'!$D$283)^J179</f>
        <v>0.47962798530365303</v>
      </c>
      <c r="K184" s="108">
        <f>1/(1+'DCF by Box'!$D$283)^K179</f>
        <v>0.43183659825390963</v>
      </c>
      <c r="L184" s="108">
        <f>1/(1+'DCF by Box'!$D$283)^L179</f>
        <v>0.38880727002083931</v>
      </c>
      <c r="M184" s="108">
        <f>1/(1+'DCF by Box'!$D$283)^M179</f>
        <v>0.35006549660752195</v>
      </c>
    </row>
    <row r="185" spans="2:14" ht="13.95" customHeight="1" x14ac:dyDescent="0.3">
      <c r="B185" s="19" t="s">
        <v>711</v>
      </c>
      <c r="D185" s="20">
        <f t="shared" ref="D185:M185" si="50">D183*D184</f>
        <v>436.38513501506486</v>
      </c>
      <c r="E185" s="20">
        <f t="shared" si="50"/>
        <v>411.36899987922664</v>
      </c>
      <c r="F185" s="20">
        <f t="shared" si="50"/>
        <v>387.78693517090863</v>
      </c>
      <c r="G185" s="20">
        <f t="shared" si="50"/>
        <v>365.55673162877133</v>
      </c>
      <c r="H185" s="20">
        <f t="shared" si="50"/>
        <v>344.60089270468654</v>
      </c>
      <c r="I185" s="20">
        <f t="shared" si="50"/>
        <v>324.84636440359463</v>
      </c>
      <c r="J185" s="20">
        <f t="shared" si="50"/>
        <v>306.22428061051238</v>
      </c>
      <c r="K185" s="20">
        <f t="shared" si="50"/>
        <v>288.669723016879</v>
      </c>
      <c r="L185" s="20">
        <f t="shared" si="50"/>
        <v>272.12149480932123</v>
      </c>
      <c r="M185" s="20">
        <f t="shared" si="50"/>
        <v>256.52190733189428</v>
      </c>
    </row>
    <row r="186" spans="2:14" ht="13.95" customHeight="1" x14ac:dyDescent="0.3">
      <c r="B186" s="5" t="s">
        <v>712</v>
      </c>
      <c r="C186" s="61">
        <f>SUM(D185:M185)+N183/('DCF by Box'!$D$283-gLT)*M184</f>
        <v>7612.3663798610887</v>
      </c>
    </row>
    <row r="188" spans="2:14" ht="13.95" customHeight="1" x14ac:dyDescent="0.3">
      <c r="B188" s="17" t="s">
        <v>732</v>
      </c>
      <c r="C188" s="18" t="s">
        <v>126</v>
      </c>
      <c r="D188" s="18" t="s">
        <v>694</v>
      </c>
      <c r="E188" s="18" t="s">
        <v>695</v>
      </c>
      <c r="F188" s="18" t="s">
        <v>696</v>
      </c>
      <c r="G188" s="18" t="s">
        <v>697</v>
      </c>
      <c r="H188" s="18" t="s">
        <v>698</v>
      </c>
      <c r="I188" s="18" t="s">
        <v>699</v>
      </c>
      <c r="J188" s="18" t="s">
        <v>700</v>
      </c>
      <c r="K188" s="18" t="s">
        <v>701</v>
      </c>
      <c r="L188" s="18" t="s">
        <v>702</v>
      </c>
      <c r="M188" s="18" t="s">
        <v>703</v>
      </c>
      <c r="N188" s="18" t="s">
        <v>704</v>
      </c>
    </row>
    <row r="189" spans="2:14" ht="13.95" customHeight="1" x14ac:dyDescent="0.3">
      <c r="B189" s="19" t="s">
        <v>705</v>
      </c>
      <c r="D189" s="107">
        <v>1</v>
      </c>
      <c r="E189" s="107">
        <v>2</v>
      </c>
      <c r="F189" s="107">
        <v>3</v>
      </c>
      <c r="G189" s="107">
        <v>4</v>
      </c>
      <c r="H189" s="107">
        <v>5</v>
      </c>
      <c r="I189" s="107">
        <v>6</v>
      </c>
      <c r="J189" s="107">
        <v>7</v>
      </c>
      <c r="K189" s="107">
        <v>8</v>
      </c>
      <c r="L189" s="107">
        <v>9</v>
      </c>
      <c r="M189" s="107">
        <v>10</v>
      </c>
      <c r="N189" s="107">
        <v>11</v>
      </c>
    </row>
    <row r="190" spans="2:14" ht="13.95" customHeight="1" x14ac:dyDescent="0.3">
      <c r="B190" s="19" t="s">
        <v>706</v>
      </c>
      <c r="D190" s="40">
        <f>IF(D189&lt;=FadeYears,'DCF by Box'!$E$285-('DCF by Box'!$E$285-gLT)*(D189-0.5)/FadeYears,gLT)</f>
        <v>4.7E-2</v>
      </c>
      <c r="E190" s="40">
        <f>IF(E189&lt;=FadeYears,'DCF by Box'!$E$285-('DCF by Box'!$E$285-gLT)*(E189-0.5)/FadeYears,gLT)</f>
        <v>4.7E-2</v>
      </c>
      <c r="F190" s="40">
        <f>IF(F189&lt;=FadeYears,'DCF by Box'!$E$285-('DCF by Box'!$E$285-gLT)*(F189-0.5)/FadeYears,gLT)</f>
        <v>4.7E-2</v>
      </c>
      <c r="G190" s="40">
        <f>IF(G189&lt;=FadeYears,'DCF by Box'!$E$285-('DCF by Box'!$E$285-gLT)*(G189-0.5)/FadeYears,gLT)</f>
        <v>4.7E-2</v>
      </c>
      <c r="H190" s="40">
        <f>IF(H189&lt;=FadeYears,'DCF by Box'!$E$285-('DCF by Box'!$E$285-gLT)*(H189-0.5)/FadeYears,gLT)</f>
        <v>4.7E-2</v>
      </c>
      <c r="I190" s="40">
        <f>IF(I189&lt;=FadeYears,'DCF by Box'!$E$285-('DCF by Box'!$E$285-gLT)*(I189-0.5)/FadeYears,gLT)</f>
        <v>4.7E-2</v>
      </c>
      <c r="J190" s="40">
        <f>IF(J189&lt;=FadeYears,'DCF by Box'!$E$285-('DCF by Box'!$E$285-gLT)*(J189-0.5)/FadeYears,gLT)</f>
        <v>4.7E-2</v>
      </c>
      <c r="K190" s="40">
        <f>IF(K189&lt;=FadeYears,'DCF by Box'!$E$285-('DCF by Box'!$E$285-gLT)*(K189-0.5)/FadeYears,gLT)</f>
        <v>4.7E-2</v>
      </c>
      <c r="L190" s="40">
        <f>IF(L189&lt;=FadeYears,'DCF by Box'!$E$285-('DCF by Box'!$E$285-gLT)*(L189-0.5)/FadeYears,gLT)</f>
        <v>4.7E-2</v>
      </c>
      <c r="M190" s="40">
        <f>IF(M189&lt;=FadeYears,'DCF by Box'!$E$285-('DCF by Box'!$E$285-gLT)*(M189-0.5)/FadeYears,gLT)</f>
        <v>4.7E-2</v>
      </c>
      <c r="N190" s="40">
        <f>IF(N189&lt;=FadeYears,'DCF by Box'!$E$285-('DCF by Box'!$E$285-gLT)*(N189-0.5)/FadeYears,gLT)</f>
        <v>4.7E-2</v>
      </c>
    </row>
    <row r="191" spans="2:14" ht="13.95" customHeight="1" x14ac:dyDescent="0.3">
      <c r="B191" s="19" t="s">
        <v>716</v>
      </c>
      <c r="C191" s="20">
        <f>'DCF by Box'!$H$272*(1+'DCF by Box'!$E$284)</f>
        <v>683.84174134724856</v>
      </c>
      <c r="D191" s="20">
        <f t="shared" ref="D191:N191" si="51">C191*(1+D190)</f>
        <v>715.98230319056916</v>
      </c>
      <c r="E191" s="20">
        <f t="shared" si="51"/>
        <v>749.63347144052591</v>
      </c>
      <c r="F191" s="20">
        <f t="shared" si="51"/>
        <v>784.86624459823054</v>
      </c>
      <c r="G191" s="20">
        <f t="shared" si="51"/>
        <v>821.75495809434733</v>
      </c>
      <c r="H191" s="20">
        <f t="shared" si="51"/>
        <v>860.37744112478163</v>
      </c>
      <c r="I191" s="20">
        <f t="shared" si="51"/>
        <v>900.81518085764628</v>
      </c>
      <c r="J191" s="20">
        <f t="shared" si="51"/>
        <v>943.15349435795565</v>
      </c>
      <c r="K191" s="20">
        <f t="shared" si="51"/>
        <v>987.48170859277946</v>
      </c>
      <c r="L191" s="20">
        <f t="shared" si="51"/>
        <v>1033.89334889664</v>
      </c>
      <c r="M191" s="20">
        <f t="shared" si="51"/>
        <v>1082.4863362947819</v>
      </c>
      <c r="N191" s="20">
        <f t="shared" si="51"/>
        <v>1133.3631941006365</v>
      </c>
    </row>
    <row r="192" spans="2:14" ht="13.95" customHeight="1" x14ac:dyDescent="0.3">
      <c r="B192" s="19" t="s">
        <v>717</v>
      </c>
      <c r="C192" s="20">
        <f>'DCF by Box'!$H$261*(1+'DCF by Box'!$E$284)</f>
        <v>6249.3291512233345</v>
      </c>
      <c r="D192" s="20">
        <f t="shared" ref="D192:N192" si="52">C192*(1+D190)</f>
        <v>6543.0476213308311</v>
      </c>
      <c r="E192" s="20">
        <f t="shared" si="52"/>
        <v>6850.5708595333799</v>
      </c>
      <c r="F192" s="20">
        <f t="shared" si="52"/>
        <v>7172.5476899314481</v>
      </c>
      <c r="G192" s="20">
        <f t="shared" si="52"/>
        <v>7509.6574313582259</v>
      </c>
      <c r="H192" s="20">
        <f t="shared" si="52"/>
        <v>7862.6113306320622</v>
      </c>
      <c r="I192" s="20">
        <f t="shared" si="52"/>
        <v>8232.1540631717689</v>
      </c>
      <c r="J192" s="20">
        <f t="shared" si="52"/>
        <v>8619.0653041408423</v>
      </c>
      <c r="K192" s="20">
        <f t="shared" si="52"/>
        <v>9024.1613734354614</v>
      </c>
      <c r="L192" s="20">
        <f t="shared" si="52"/>
        <v>9448.2969579869277</v>
      </c>
      <c r="M192" s="20">
        <f t="shared" si="52"/>
        <v>9892.3669150123133</v>
      </c>
      <c r="N192" s="20">
        <f t="shared" si="52"/>
        <v>10357.308160017892</v>
      </c>
    </row>
    <row r="193" spans="2:14" ht="13.95" customHeight="1" x14ac:dyDescent="0.3">
      <c r="B193" s="5" t="s">
        <v>718</v>
      </c>
      <c r="C193" s="16">
        <f>'DCF by Box'!$E$286</f>
        <v>476.88739682969106</v>
      </c>
      <c r="D193" s="16">
        <f>IF(FadeMode=2,D191*(1-D190/'Box Shares'!$E$50)-NWCpct*(D192-C192),C193*(1+D190))</f>
        <v>499.30110448068649</v>
      </c>
      <c r="E193" s="16">
        <f>IF(FadeMode=2,E191*(1-E190/'Box Shares'!$E$50)-NWCpct*(E192-D192),D193*(1+E190))</f>
        <v>522.76825639127867</v>
      </c>
      <c r="F193" s="16">
        <f>IF(FadeMode=2,F191*(1-F190/'Box Shares'!$E$50)-NWCpct*(F192-E192),E193*(1+F190))</f>
        <v>547.33836444166877</v>
      </c>
      <c r="G193" s="16">
        <f>IF(FadeMode=2,G191*(1-G190/'Box Shares'!$E$50)-NWCpct*(G192-F192),F193*(1+G190))</f>
        <v>573.06326757042712</v>
      </c>
      <c r="H193" s="16">
        <f>IF(FadeMode=2,H191*(1-H190/'Box Shares'!$E$50)-NWCpct*(H192-G192),G193*(1+H190))</f>
        <v>599.99724114623712</v>
      </c>
      <c r="I193" s="16">
        <f>IF(FadeMode=2,I191*(1-I190/'Box Shares'!$E$50)-NWCpct*(I192-H192),H193*(1+I190))</f>
        <v>628.19711148011027</v>
      </c>
      <c r="J193" s="16">
        <f>IF(FadeMode=2,J191*(1-J190/'Box Shares'!$E$50)-NWCpct*(J192-I192),I193*(1+J190))</f>
        <v>657.72237571967537</v>
      </c>
      <c r="K193" s="16">
        <f>IF(FadeMode=2,K191*(1-K190/'Box Shares'!$E$50)-NWCpct*(K192-J192),J193*(1+K190))</f>
        <v>688.63532737850005</v>
      </c>
      <c r="L193" s="16">
        <f>IF(FadeMode=2,L191*(1-L190/'Box Shares'!$E$50)-NWCpct*(L192-K192),K193*(1+L190))</f>
        <v>721.0011877652895</v>
      </c>
      <c r="M193" s="16">
        <f>IF(FadeMode=2,M191*(1-M190/'Box Shares'!$E$50)-NWCpct*(M192-L192),L193*(1+M190))</f>
        <v>754.88824359025807</v>
      </c>
      <c r="N193" s="16">
        <f>IF(FadeMode=2,N191*(1-N190/'Box Shares'!$E$50)-NWCpct*(N192-M192),M193*(1+N190))</f>
        <v>790.36799103900012</v>
      </c>
    </row>
    <row r="194" spans="2:14" ht="13.95" customHeight="1" x14ac:dyDescent="0.3">
      <c r="B194" s="19" t="s">
        <v>710</v>
      </c>
      <c r="D194" s="108">
        <f>1/(1+'DCF by Box'!$E$283)^D189</f>
        <v>0.91068869490409277</v>
      </c>
      <c r="E194" s="108">
        <f>1/(1+'DCF by Box'!$E$283)^E189</f>
        <v>0.82935389902611967</v>
      </c>
      <c r="F194" s="108">
        <f>1/(1+'DCF by Box'!$E$283)^F189</f>
        <v>0.75528321991771763</v>
      </c>
      <c r="G194" s="108">
        <f>1/(1+'DCF by Box'!$E$283)^G189</f>
        <v>0.68782788982982712</v>
      </c>
      <c r="H194" s="108">
        <f>1/(1+'DCF by Box'!$E$283)^H189</f>
        <v>0.62639708330776134</v>
      </c>
      <c r="I194" s="108">
        <f>1/(1+'DCF by Box'!$E$283)^I189</f>
        <v>0.57045274228927545</v>
      </c>
      <c r="J194" s="108">
        <f>1/(1+'DCF by Box'!$E$283)^J189</f>
        <v>0.519504863379881</v>
      </c>
      <c r="K194" s="108">
        <f>1/(1+'DCF by Box'!$E$283)^K189</f>
        <v>0.47310720602775286</v>
      </c>
      <c r="L194" s="108">
        <f>1/(1+'DCF by Box'!$E$283)^L189</f>
        <v>0.43085338400713602</v>
      </c>
      <c r="M194" s="108">
        <f>1/(1+'DCF by Box'!$E$283)^M189</f>
        <v>0.39237330597647052</v>
      </c>
    </row>
    <row r="195" spans="2:14" ht="13.95" customHeight="1" x14ac:dyDescent="0.3">
      <c r="B195" s="19" t="s">
        <v>711</v>
      </c>
      <c r="D195" s="20">
        <f t="shared" ref="D195:M195" si="53">D193*D194</f>
        <v>454.70787120368846</v>
      </c>
      <c r="E195" s="20">
        <f t="shared" si="53"/>
        <v>433.55989172519315</v>
      </c>
      <c r="F195" s="20">
        <f t="shared" si="53"/>
        <v>413.39548228000081</v>
      </c>
      <c r="G195" s="20">
        <f t="shared" si="53"/>
        <v>394.16889807195247</v>
      </c>
      <c r="H195" s="20">
        <f t="shared" si="53"/>
        <v>375.83652184670643</v>
      </c>
      <c r="I195" s="20">
        <f t="shared" si="53"/>
        <v>358.35676494203057</v>
      </c>
      <c r="J195" s="20">
        <f t="shared" si="53"/>
        <v>341.68997294014071</v>
      </c>
      <c r="K195" s="20">
        <f t="shared" si="53"/>
        <v>325.79833570804908</v>
      </c>
      <c r="L195" s="20">
        <f t="shared" si="53"/>
        <v>310.64580162183944</v>
      </c>
      <c r="M195" s="20">
        <f t="shared" si="53"/>
        <v>296.19799578028073</v>
      </c>
    </row>
    <row r="196" spans="2:14" ht="13.95" customHeight="1" x14ac:dyDescent="0.3">
      <c r="B196" s="5" t="s">
        <v>712</v>
      </c>
      <c r="C196" s="61">
        <f>SUM(D195:M195)+N193/('DCF by Box'!$E$283-gLT)*M194</f>
        <v>9776.7849805622318</v>
      </c>
    </row>
  </sheetData>
  <mergeCells count="1">
    <mergeCell ref="B5:N5"/>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R51"/>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13.95" customHeight="1" x14ac:dyDescent="0.3"/>
  <cols>
    <col min="1" max="1" width="2.6640625" customWidth="1"/>
    <col min="2" max="2" width="58.6640625" customWidth="1"/>
    <col min="3" max="18" width="11.33203125" customWidth="1"/>
  </cols>
  <sheetData>
    <row r="1" spans="2:18" ht="30" customHeight="1" x14ac:dyDescent="0.3">
      <c r="B1" s="15" t="s">
        <v>461</v>
      </c>
    </row>
    <row r="2" spans="2:18" ht="13.95" customHeight="1" x14ac:dyDescent="0.3">
      <c r="B2" s="14" t="s">
        <v>462</v>
      </c>
    </row>
    <row r="3" spans="2:18" ht="13.95" customHeight="1" x14ac:dyDescent="0.3">
      <c r="B3" s="14" t="s">
        <v>2</v>
      </c>
      <c r="C3" s="47" t="s">
        <v>3</v>
      </c>
      <c r="D3" s="48" t="s">
        <v>4</v>
      </c>
      <c r="E3" s="49" t="s">
        <v>5</v>
      </c>
    </row>
    <row r="5" spans="2:18" ht="13.95" customHeight="1" x14ac:dyDescent="0.3">
      <c r="B5" s="138" t="s">
        <v>463</v>
      </c>
      <c r="C5" s="138"/>
      <c r="D5" s="138"/>
      <c r="E5" s="138"/>
      <c r="F5" s="138"/>
      <c r="G5" s="138"/>
      <c r="H5" s="138"/>
      <c r="I5" s="138"/>
      <c r="J5" s="138"/>
      <c r="K5" s="138"/>
      <c r="L5" s="138"/>
      <c r="M5" s="138"/>
      <c r="N5" s="138"/>
      <c r="O5" s="138"/>
      <c r="P5" s="138"/>
      <c r="Q5" s="138"/>
      <c r="R5" s="138"/>
    </row>
    <row r="6" spans="2:18" ht="30" customHeight="1" x14ac:dyDescent="0.3">
      <c r="B6" s="17" t="s">
        <v>464</v>
      </c>
      <c r="C6" s="18" t="s">
        <v>255</v>
      </c>
      <c r="D6" s="18" t="s">
        <v>465</v>
      </c>
      <c r="E6" s="18" t="s">
        <v>466</v>
      </c>
      <c r="F6" s="18" t="s">
        <v>467</v>
      </c>
      <c r="G6" s="18" t="s">
        <v>468</v>
      </c>
      <c r="H6" s="18" t="s">
        <v>469</v>
      </c>
      <c r="I6" s="18" t="s">
        <v>470</v>
      </c>
      <c r="J6" s="18" t="s">
        <v>471</v>
      </c>
      <c r="K6" s="18" t="s">
        <v>472</v>
      </c>
      <c r="L6" s="18" t="s">
        <v>473</v>
      </c>
      <c r="M6" s="18" t="s">
        <v>474</v>
      </c>
      <c r="N6" s="18" t="s">
        <v>475</v>
      </c>
      <c r="O6" s="18" t="s">
        <v>476</v>
      </c>
      <c r="P6" s="18" t="s">
        <v>477</v>
      </c>
      <c r="Q6" s="18" t="s">
        <v>478</v>
      </c>
      <c r="R6" s="18" t="s">
        <v>479</v>
      </c>
    </row>
    <row r="7" spans="2:18" ht="13.95" customHeight="1" x14ac:dyDescent="0.3">
      <c r="B7" s="8" t="s">
        <v>295</v>
      </c>
      <c r="C7" s="20">
        <f>SUMIFS(Members!$J$6:$J$81,Members!$C$6:$C$81,"Financials")</f>
        <v>60927.303521809401</v>
      </c>
      <c r="D7" s="20">
        <f>SUMIFS(Members!$AA$6:$AA$81,Members!$C$6:$C$81,"Financials")</f>
        <v>23202.292112263502</v>
      </c>
      <c r="E7" s="20">
        <f>SUMIFS(Members!$AB$6:$AB$81,Members!$C$6:$C$81,"Financials")</f>
        <v>24843.531843209908</v>
      </c>
      <c r="F7" s="20">
        <f>SUMIFS(Members!$AC$6:$AC$81,Members!$C$6:$C$81,"Financials")</f>
        <v>26614.282858462779</v>
      </c>
      <c r="G7" s="20">
        <f>SUMIFS(Members!$AD$6:$AD$81,Members!$C$6:$C$81,"Financials")</f>
        <v>5850.9177851873501</v>
      </c>
      <c r="H7" s="20">
        <f>SUMIFS(Members!$AE$6:$AE$81,Members!$C$6:$C$81,"Financials")</f>
        <v>6776.2881263904173</v>
      </c>
      <c r="I7" s="20">
        <f>SUMIFS(Members!$AF$6:$AF$81,Members!$C$6:$C$81,"Financials")</f>
        <v>7553.6721453099708</v>
      </c>
      <c r="J7" s="20">
        <f>SUMIFS(Members!$AG$6:$AG$81,Members!$C$6:$C$81,"Financials")</f>
        <v>1489.4528763735759</v>
      </c>
      <c r="K7" s="20">
        <f>SUMIFS(Members!$AH$6:$AH$81,Members!$C$6:$C$81,"Financials")</f>
        <v>4304.3334484721518</v>
      </c>
      <c r="L7" s="20">
        <f>SUMIFS(Members!$AI$6:$AI$81,Members!$C$6:$C$81,"Financials")</f>
        <v>4975.2096887344478</v>
      </c>
      <c r="M7" s="20">
        <f>SUMIFS(Members!$AJ$6:$AJ$81,Members!$C$6:$C$81,"Financials")</f>
        <v>5708.1180707928834</v>
      </c>
      <c r="N7" s="20">
        <f>SUMIFS(Members!$AK$6:$AK$81,Members!$C$6:$C$81,"Financials")</f>
        <v>6447.8434518249696</v>
      </c>
      <c r="O7" s="20">
        <f>SUMIFS(Members!$AL$6:$AL$81,Members!$C$6:$C$81,"Financials")</f>
        <v>7167.1074217837486</v>
      </c>
      <c r="P7" s="20">
        <f>SUMIFS(Members!$AM$6:$AM$81,Members!$C$6:$C$81,"Financials")</f>
        <v>-38.325055839502042</v>
      </c>
      <c r="Q7" s="20">
        <f>SUMIFS(Members!$AN$6:$AN$81,Members!$C$6:$C$81,"Financials")</f>
        <v>-40.957338968722084</v>
      </c>
      <c r="R7" s="20">
        <f>SUMIFS(Members!$AO$6:$AO$81,Members!$C$6:$C$81,"Financials")</f>
        <v>-42.548671870159879</v>
      </c>
    </row>
    <row r="8" spans="2:18" ht="13.95" customHeight="1" x14ac:dyDescent="0.3">
      <c r="B8" s="8" t="s">
        <v>325</v>
      </c>
      <c r="C8" s="20">
        <f>SUMIFS(Members!$J$6:$J$81,Members!$C$6:$C$81,"Defensives")</f>
        <v>55822.367361651384</v>
      </c>
      <c r="D8" s="20">
        <f>SUMIFS(Members!$AA$6:$AA$81,Members!$C$6:$C$81,"Defensives")</f>
        <v>40617.342777633901</v>
      </c>
      <c r="E8" s="20">
        <f>SUMIFS(Members!$AB$6:$AB$81,Members!$C$6:$C$81,"Defensives")</f>
        <v>43046.203108659291</v>
      </c>
      <c r="F8" s="20">
        <f>SUMIFS(Members!$AC$6:$AC$81,Members!$C$6:$C$81,"Defensives")</f>
        <v>45622.953200295924</v>
      </c>
      <c r="G8" s="20">
        <f>SUMIFS(Members!$AD$6:$AD$81,Members!$C$6:$C$81,"Defensives")</f>
        <v>6963.6385289895934</v>
      </c>
      <c r="H8" s="20">
        <f>SUMIFS(Members!$AE$6:$AE$81,Members!$C$6:$C$81,"Defensives")</f>
        <v>8214.8510771452075</v>
      </c>
      <c r="I8" s="20">
        <f>SUMIFS(Members!$AF$6:$AF$81,Members!$C$6:$C$81,"Defensives")</f>
        <v>9038.7162913502198</v>
      </c>
      <c r="J8" s="20">
        <f>SUMIFS(Members!$AG$6:$AG$81,Members!$C$6:$C$81,"Defensives")</f>
        <v>9723.9969661141658</v>
      </c>
      <c r="K8" s="20">
        <f>SUMIFS(Members!$AH$6:$AH$81,Members!$C$6:$C$81,"Defensives")</f>
        <v>11076.936271764416</v>
      </c>
      <c r="L8" s="20">
        <f>SUMIFS(Members!$AI$6:$AI$81,Members!$C$6:$C$81,"Defensives")</f>
        <v>12045.12926904714</v>
      </c>
      <c r="M8" s="20">
        <f>SUMIFS(Members!$AJ$6:$AJ$81,Members!$C$6:$C$81,"Defensives")</f>
        <v>2976.1707298282354</v>
      </c>
      <c r="N8" s="20">
        <f>SUMIFS(Members!$AK$6:$AK$81,Members!$C$6:$C$81,"Defensives")</f>
        <v>3846.4715295273368</v>
      </c>
      <c r="O8" s="20">
        <f>SUMIFS(Members!$AL$6:$AL$81,Members!$C$6:$C$81,"Defensives")</f>
        <v>4531.2546570420473</v>
      </c>
      <c r="P8" s="20">
        <f>SUMIFS(Members!$AM$6:$AM$81,Members!$C$6:$C$81,"Defensives")</f>
        <v>-5321.2516603388094</v>
      </c>
      <c r="Q8" s="20">
        <f>SUMIFS(Members!$AN$6:$AN$81,Members!$C$6:$C$81,"Defensives")</f>
        <v>-5151.0639036565362</v>
      </c>
      <c r="R8" s="20">
        <f>SUMIFS(Members!$AO$6:$AO$81,Members!$C$6:$C$81,"Defensives")</f>
        <v>-5194.9342760781492</v>
      </c>
    </row>
    <row r="9" spans="2:18" ht="13.95" customHeight="1" x14ac:dyDescent="0.3">
      <c r="B9" s="8" t="s">
        <v>376</v>
      </c>
      <c r="C9" s="20">
        <f>SUMIFS(Members!$J$6:$J$81,Members!$C$6:$C$81,"Cyclicals")</f>
        <v>26271.074646272005</v>
      </c>
      <c r="D9" s="20">
        <f>SUMIFS(Members!$AA$6:$AA$81,Members!$C$6:$C$81,"Cyclicals")</f>
        <v>16936.602449212252</v>
      </c>
      <c r="E9" s="20">
        <f>SUMIFS(Members!$AB$6:$AB$81,Members!$C$6:$C$81,"Cyclicals")</f>
        <v>18538.663708024458</v>
      </c>
      <c r="F9" s="20">
        <f>SUMIFS(Members!$AC$6:$AC$81,Members!$C$6:$C$81,"Cyclicals")</f>
        <v>20107.220437921791</v>
      </c>
      <c r="G9" s="20">
        <f>SUMIFS(Members!$AD$6:$AD$81,Members!$C$6:$C$81,"Cyclicals")</f>
        <v>3109.1240651045423</v>
      </c>
      <c r="H9" s="20">
        <f>SUMIFS(Members!$AE$6:$AE$81,Members!$C$6:$C$81,"Cyclicals")</f>
        <v>3528.4140335683428</v>
      </c>
      <c r="I9" s="20">
        <f>SUMIFS(Members!$AF$6:$AF$81,Members!$C$6:$C$81,"Cyclicals")</f>
        <v>3924.0971955765713</v>
      </c>
      <c r="J9" s="20">
        <f>SUMIFS(Members!$AG$6:$AG$81,Members!$C$6:$C$81,"Cyclicals")</f>
        <v>4335.4894405988107</v>
      </c>
      <c r="K9" s="20">
        <f>SUMIFS(Members!$AH$6:$AH$81,Members!$C$6:$C$81,"Cyclicals")</f>
        <v>4818.2194611800624</v>
      </c>
      <c r="L9" s="20">
        <f>SUMIFS(Members!$AI$6:$AI$81,Members!$C$6:$C$81,"Cyclicals")</f>
        <v>5281.4012165967924</v>
      </c>
      <c r="M9" s="20">
        <f>SUMIFS(Members!$AJ$6:$AJ$81,Members!$C$6:$C$81,"Cyclicals")</f>
        <v>1607.0454959194587</v>
      </c>
      <c r="N9" s="20">
        <f>SUMIFS(Members!$AK$6:$AK$81,Members!$C$6:$C$81,"Cyclicals")</f>
        <v>1944.9106632706325</v>
      </c>
      <c r="O9" s="20">
        <f>SUMIFS(Members!$AL$6:$AL$81,Members!$C$6:$C$81,"Cyclicals")</f>
        <v>2304.3006419052717</v>
      </c>
      <c r="P9" s="20">
        <f>SUMIFS(Members!$AM$6:$AM$81,Members!$C$6:$C$81,"Cyclicals")</f>
        <v>-2939.1740794275843</v>
      </c>
      <c r="Q9" s="20">
        <f>SUMIFS(Members!$AN$6:$AN$81,Members!$C$6:$C$81,"Cyclicals")</f>
        <v>-3016.8976203840884</v>
      </c>
      <c r="R9" s="20">
        <f>SUMIFS(Members!$AO$6:$AO$81,Members!$C$6:$C$81,"Cyclicals")</f>
        <v>-3046.1844193282441</v>
      </c>
    </row>
    <row r="10" spans="2:18" ht="13.95" customHeight="1" x14ac:dyDescent="0.3">
      <c r="B10" s="8" t="s">
        <v>427</v>
      </c>
      <c r="C10" s="20">
        <f>SUMIFS(Members!$J$6:$J$81,Members!$C$6:$C$81,"Commodities")</f>
        <v>65411.174470267266</v>
      </c>
      <c r="D10" s="20">
        <f>SUMIFS(Members!$AA$6:$AA$81,Members!$C$6:$C$81,"Commodities")</f>
        <v>77175.120922916118</v>
      </c>
      <c r="E10" s="20">
        <f>SUMIFS(Members!$AB$6:$AB$81,Members!$C$6:$C$81,"Commodities")</f>
        <v>76522.298928192511</v>
      </c>
      <c r="F10" s="20">
        <f>SUMIFS(Members!$AC$6:$AC$81,Members!$C$6:$C$81,"Commodities")</f>
        <v>76672.759348819978</v>
      </c>
      <c r="G10" s="20">
        <f>SUMIFS(Members!$AD$6:$AD$81,Members!$C$6:$C$81,"Commodities")</f>
        <v>16297.836522930565</v>
      </c>
      <c r="H10" s="20">
        <f>SUMIFS(Members!$AE$6:$AE$81,Members!$C$6:$C$81,"Commodities")</f>
        <v>15588.904395132024</v>
      </c>
      <c r="I10" s="20">
        <f>SUMIFS(Members!$AF$6:$AF$81,Members!$C$6:$C$81,"Commodities")</f>
        <v>15548.029421179623</v>
      </c>
      <c r="J10" s="20">
        <f>SUMIFS(Members!$AG$6:$AG$81,Members!$C$6:$C$81,"Commodities")</f>
        <v>23879.774082669228</v>
      </c>
      <c r="K10" s="20">
        <f>SUMIFS(Members!$AH$6:$AH$81,Members!$C$6:$C$81,"Commodities")</f>
        <v>23390.500270293647</v>
      </c>
      <c r="L10" s="20">
        <f>SUMIFS(Members!$AI$6:$AI$81,Members!$C$6:$C$81,"Commodities")</f>
        <v>23022.676105146351</v>
      </c>
      <c r="M10" s="20">
        <f>SUMIFS(Members!$AJ$6:$AJ$81,Members!$C$6:$C$81,"Commodities")</f>
        <v>10671.972549948501</v>
      </c>
      <c r="N10" s="20">
        <f>SUMIFS(Members!$AK$6:$AK$81,Members!$C$6:$C$81,"Commodities")</f>
        <v>9633.4894190418345</v>
      </c>
      <c r="O10" s="20">
        <f>SUMIFS(Members!$AL$6:$AL$81,Members!$C$6:$C$81,"Commodities")</f>
        <v>9381.2463979418426</v>
      </c>
      <c r="P10" s="20">
        <f>SUMIFS(Members!$AM$6:$AM$81,Members!$C$6:$C$81,"Commodities")</f>
        <v>-7883.0991632300729</v>
      </c>
      <c r="Q10" s="20">
        <f>SUMIFS(Members!$AN$6:$AN$81,Members!$C$6:$C$81,"Commodities")</f>
        <v>-7856.0221967833295</v>
      </c>
      <c r="R10" s="20">
        <f>SUMIFS(Members!$AO$6:$AO$81,Members!$C$6:$C$81,"Commodities")</f>
        <v>-8084.3149336263177</v>
      </c>
    </row>
    <row r="11" spans="2:18" ht="13.95" customHeight="1" x14ac:dyDescent="0.3">
      <c r="B11" s="11" t="s">
        <v>480</v>
      </c>
      <c r="C11" s="22">
        <f t="shared" ref="C11:R11" si="0">SUM(C7:C10)</f>
        <v>208431.92000000004</v>
      </c>
      <c r="D11" s="22">
        <f t="shared" si="0"/>
        <v>157931.35826202575</v>
      </c>
      <c r="E11" s="22">
        <f t="shared" si="0"/>
        <v>162950.69758808619</v>
      </c>
      <c r="F11" s="22">
        <f t="shared" si="0"/>
        <v>169017.21584550047</v>
      </c>
      <c r="G11" s="22">
        <f t="shared" si="0"/>
        <v>32221.516902212054</v>
      </c>
      <c r="H11" s="22">
        <f t="shared" si="0"/>
        <v>34108.457632235994</v>
      </c>
      <c r="I11" s="22">
        <f t="shared" si="0"/>
        <v>36064.515053416384</v>
      </c>
      <c r="J11" s="22">
        <f t="shared" si="0"/>
        <v>39428.713365755779</v>
      </c>
      <c r="K11" s="22">
        <f t="shared" si="0"/>
        <v>43589.98945171028</v>
      </c>
      <c r="L11" s="22">
        <f t="shared" si="0"/>
        <v>45324.416279524725</v>
      </c>
      <c r="M11" s="22">
        <f t="shared" si="0"/>
        <v>20963.306846489078</v>
      </c>
      <c r="N11" s="22">
        <f t="shared" si="0"/>
        <v>21872.715063664775</v>
      </c>
      <c r="O11" s="22">
        <f t="shared" si="0"/>
        <v>23383.909118672909</v>
      </c>
      <c r="P11" s="22">
        <f t="shared" si="0"/>
        <v>-16181.84995883597</v>
      </c>
      <c r="Q11" s="22">
        <f t="shared" si="0"/>
        <v>-16064.941059792676</v>
      </c>
      <c r="R11" s="22">
        <f t="shared" si="0"/>
        <v>-16367.982300902871</v>
      </c>
    </row>
    <row r="12" spans="2:18" ht="13.95" customHeight="1" x14ac:dyDescent="0.3">
      <c r="B12" s="5" t="s">
        <v>481</v>
      </c>
      <c r="C12" s="20">
        <f>Assumptions!$D$7</f>
        <v>208431.92</v>
      </c>
      <c r="D12" s="41">
        <v>160409.72528696421</v>
      </c>
      <c r="E12" s="41">
        <v>165250.9379697011</v>
      </c>
      <c r="F12" s="41">
        <v>171865.56743318599</v>
      </c>
      <c r="G12" s="41">
        <v>33247.221440465793</v>
      </c>
      <c r="H12" s="41">
        <v>35095.030312105133</v>
      </c>
      <c r="I12" s="41">
        <v>37020.13347390596</v>
      </c>
      <c r="J12" s="41">
        <v>50718.55301075591</v>
      </c>
      <c r="K12" s="41">
        <v>52448.439720156202</v>
      </c>
      <c r="L12" s="41">
        <v>54198.89347905945</v>
      </c>
      <c r="M12" s="112" t="s">
        <v>482</v>
      </c>
      <c r="N12" s="112" t="s">
        <v>482</v>
      </c>
      <c r="O12" s="112" t="s">
        <v>482</v>
      </c>
      <c r="P12" s="41">
        <v>-21468.224949255218</v>
      </c>
      <c r="Q12" s="41">
        <v>-21347.898543469651</v>
      </c>
      <c r="R12" s="41">
        <v>-21866.047787552321</v>
      </c>
    </row>
    <row r="13" spans="2:18" ht="13.95" customHeight="1" x14ac:dyDescent="0.3">
      <c r="B13" s="14" t="s">
        <v>485</v>
      </c>
    </row>
    <row r="14" spans="2:18" ht="13.95" customHeight="1" x14ac:dyDescent="0.3">
      <c r="B14" s="8" t="s">
        <v>483</v>
      </c>
      <c r="C14" s="20">
        <f>SUMIFS(Members!$J$6:$J$81,Members!$D$6:$D$81,"Cyclicals ex-WEG &amp; Embraer")</f>
        <v>16066.51953698895</v>
      </c>
      <c r="D14" s="20">
        <f>SUMIFS(Members!$AA$6:$AA$81,Members!$D$6:$D$81,"Cyclicals ex-WEG &amp; Embraer")</f>
        <v>12657.226971408994</v>
      </c>
      <c r="E14" s="20">
        <f>SUMIFS(Members!$AB$6:$AB$81,Members!$D$6:$D$81,"Cyclicals ex-WEG &amp; Embraer")</f>
        <v>13704.692245389615</v>
      </c>
      <c r="F14" s="20">
        <f>SUMIFS(Members!$AC$6:$AC$81,Members!$D$6:$D$81,"Cyclicals ex-WEG &amp; Embraer")</f>
        <v>14680.717672312303</v>
      </c>
      <c r="G14" s="20">
        <f>SUMIFS(Members!$AD$6:$AD$81,Members!$D$6:$D$81,"Cyclicals ex-WEG &amp; Embraer")</f>
        <v>2576.2818802040456</v>
      </c>
      <c r="H14" s="20">
        <f>SUMIFS(Members!$AE$6:$AE$81,Members!$D$6:$D$81,"Cyclicals ex-WEG &amp; Embraer")</f>
        <v>2902.4362370882859</v>
      </c>
      <c r="I14" s="20">
        <f>SUMIFS(Members!$AF$6:$AF$81,Members!$D$6:$D$81,"Cyclicals ex-WEG &amp; Embraer")</f>
        <v>3198.3139688975375</v>
      </c>
      <c r="J14" s="20">
        <f>SUMIFS(Members!$AG$6:$AG$81,Members!$D$6:$D$81,"Cyclicals ex-WEG &amp; Embraer")</f>
        <v>3683.3442736667057</v>
      </c>
      <c r="K14" s="20">
        <f>SUMIFS(Members!$AH$6:$AH$81,Members!$D$6:$D$81,"Cyclicals ex-WEG &amp; Embraer")</f>
        <v>4066.1866780309333</v>
      </c>
      <c r="L14" s="20">
        <f>SUMIFS(Members!$AI$6:$AI$81,Members!$D$6:$D$81,"Cyclicals ex-WEG &amp; Embraer")</f>
        <v>4413.0871491048774</v>
      </c>
      <c r="M14" s="20">
        <f>SUMIFS(Members!$AJ$6:$AJ$81,Members!$D$6:$D$81,"Cyclicals ex-WEG &amp; Embraer")</f>
        <v>1231.4675927815181</v>
      </c>
      <c r="N14" s="20">
        <f>SUMIFS(Members!$AK$6:$AK$81,Members!$D$6:$D$81,"Cyclicals ex-WEG &amp; Embraer")</f>
        <v>1493.1316494796217</v>
      </c>
      <c r="O14" s="20">
        <f>SUMIFS(Members!$AL$6:$AL$81,Members!$D$6:$D$81,"Cyclicals ex-WEG &amp; Embraer")</f>
        <v>1766.5305307486244</v>
      </c>
      <c r="P14" s="20">
        <f>SUMIFS(Members!$AM$6:$AM$81,Members!$D$6:$D$81,"Cyclicals ex-WEG &amp; Embraer")</f>
        <v>-2719.5338065795681</v>
      </c>
      <c r="Q14" s="20">
        <f>SUMIFS(Members!$AN$6:$AN$81,Members!$D$6:$D$81,"Cyclicals ex-WEG &amp; Embraer")</f>
        <v>-2794.0286697270644</v>
      </c>
      <c r="R14" s="20">
        <f>SUMIFS(Members!$AO$6:$AO$81,Members!$D$6:$D$81,"Cyclicals ex-WEG &amp; Embraer")</f>
        <v>-2813.5172573470791</v>
      </c>
    </row>
    <row r="15" spans="2:18" ht="13.95" customHeight="1" x14ac:dyDescent="0.3">
      <c r="B15" s="8" t="s">
        <v>484</v>
      </c>
      <c r="C15" s="20">
        <f>SUMIFS(Members!$J$6:$J$81,Members!$D$6:$D$81,"WEG &amp; Embraer")</f>
        <v>10204.555109283054</v>
      </c>
      <c r="D15" s="20">
        <f>SUMIFS(Members!$AA$6:$AA$81,Members!$D$6:$D$81,"WEG &amp; Embraer")</f>
        <v>4279.3754778032589</v>
      </c>
      <c r="E15" s="20">
        <f>SUMIFS(Members!$AB$6:$AB$81,Members!$D$6:$D$81,"WEG &amp; Embraer")</f>
        <v>4833.9714626348414</v>
      </c>
      <c r="F15" s="20">
        <f>SUMIFS(Members!$AC$6:$AC$81,Members!$D$6:$D$81,"WEG &amp; Embraer")</f>
        <v>5426.5027656094881</v>
      </c>
      <c r="G15" s="20">
        <f>SUMIFS(Members!$AD$6:$AD$81,Members!$D$6:$D$81,"WEG &amp; Embraer")</f>
        <v>532.84218490049693</v>
      </c>
      <c r="H15" s="20">
        <f>SUMIFS(Members!$AE$6:$AE$81,Members!$D$6:$D$81,"WEG &amp; Embraer")</f>
        <v>625.97779648005701</v>
      </c>
      <c r="I15" s="20">
        <f>SUMIFS(Members!$AF$6:$AF$81,Members!$D$6:$D$81,"WEG &amp; Embraer")</f>
        <v>725.78322667903365</v>
      </c>
      <c r="J15" s="20">
        <f>SUMIFS(Members!$AG$6:$AG$81,Members!$D$6:$D$81,"WEG &amp; Embraer")</f>
        <v>652.14516693210498</v>
      </c>
      <c r="K15" s="20">
        <f>SUMIFS(Members!$AH$6:$AH$81,Members!$D$6:$D$81,"WEG &amp; Embraer")</f>
        <v>752.03278314912859</v>
      </c>
      <c r="L15" s="20">
        <f>SUMIFS(Members!$AI$6:$AI$81,Members!$D$6:$D$81,"WEG &amp; Embraer")</f>
        <v>868.31406749191524</v>
      </c>
      <c r="M15" s="20">
        <f>SUMIFS(Members!$AJ$6:$AJ$81,Members!$D$6:$D$81,"WEG &amp; Embraer")</f>
        <v>375.57790313794072</v>
      </c>
      <c r="N15" s="20">
        <f>SUMIFS(Members!$AK$6:$AK$81,Members!$D$6:$D$81,"WEG &amp; Embraer")</f>
        <v>451.7790137910107</v>
      </c>
      <c r="O15" s="20">
        <f>SUMIFS(Members!$AL$6:$AL$81,Members!$D$6:$D$81,"WEG &amp; Embraer")</f>
        <v>537.77011115664732</v>
      </c>
      <c r="P15" s="20">
        <f>SUMIFS(Members!$AM$6:$AM$81,Members!$D$6:$D$81,"WEG &amp; Embraer")</f>
        <v>-219.64027284801608</v>
      </c>
      <c r="Q15" s="20">
        <f>SUMIFS(Members!$AN$6:$AN$81,Members!$D$6:$D$81,"WEG &amp; Embraer")</f>
        <v>-222.86895065702402</v>
      </c>
      <c r="R15" s="20">
        <f>SUMIFS(Members!$AO$6:$AO$81,Members!$D$6:$D$81,"WEG &amp; Embraer")</f>
        <v>-232.66716198116472</v>
      </c>
    </row>
    <row r="17" spans="2:18" ht="13.95" customHeight="1" x14ac:dyDescent="0.3">
      <c r="B17" s="138" t="s">
        <v>486</v>
      </c>
      <c r="C17" s="138"/>
      <c r="D17" s="138"/>
      <c r="E17" s="138"/>
      <c r="F17" s="138"/>
      <c r="G17" s="138"/>
      <c r="H17" s="138"/>
      <c r="I17" s="138"/>
      <c r="J17" s="138"/>
      <c r="K17" s="138"/>
      <c r="L17" s="138"/>
      <c r="M17" s="138"/>
      <c r="N17" s="138"/>
      <c r="O17" s="138"/>
      <c r="P17" s="138"/>
      <c r="Q17" s="138"/>
      <c r="R17" s="138"/>
    </row>
    <row r="18" spans="2:18" ht="30" customHeight="1" x14ac:dyDescent="0.3">
      <c r="B18" s="17" t="s">
        <v>464</v>
      </c>
      <c r="C18" s="18" t="s">
        <v>255</v>
      </c>
      <c r="D18" s="18" t="s">
        <v>465</v>
      </c>
      <c r="E18" s="18" t="s">
        <v>466</v>
      </c>
      <c r="F18" s="18" t="s">
        <v>467</v>
      </c>
      <c r="G18" s="18" t="s">
        <v>468</v>
      </c>
      <c r="H18" s="18" t="s">
        <v>469</v>
      </c>
      <c r="I18" s="18" t="s">
        <v>470</v>
      </c>
      <c r="J18" s="18" t="s">
        <v>471</v>
      </c>
      <c r="K18" s="18" t="s">
        <v>472</v>
      </c>
      <c r="L18" s="18" t="s">
        <v>473</v>
      </c>
      <c r="M18" s="18" t="s">
        <v>474</v>
      </c>
      <c r="N18" s="18" t="s">
        <v>475</v>
      </c>
      <c r="O18" s="18" t="s">
        <v>476</v>
      </c>
      <c r="P18" s="18" t="s">
        <v>477</v>
      </c>
      <c r="Q18" s="18" t="s">
        <v>478</v>
      </c>
      <c r="R18" s="18" t="s">
        <v>479</v>
      </c>
    </row>
    <row r="19" spans="2:18" ht="13.95" customHeight="1" x14ac:dyDescent="0.3">
      <c r="B19" s="8" t="s">
        <v>295</v>
      </c>
      <c r="C19" s="40">
        <f>C7/$C$11</f>
        <v>0.29231272984391926</v>
      </c>
      <c r="D19" s="45">
        <f t="shared" ref="D19:L19" si="1">1-SUM(D20:D22)</f>
        <v>0.16009415321459253</v>
      </c>
      <c r="E19" s="45">
        <f t="shared" si="1"/>
        <v>0.16425790109464722</v>
      </c>
      <c r="F19" s="45">
        <f t="shared" si="1"/>
        <v>0.17142837210601902</v>
      </c>
      <c r="G19" s="45">
        <f t="shared" si="1"/>
        <v>0.20683299311958225</v>
      </c>
      <c r="H19" s="45">
        <f t="shared" si="1"/>
        <v>0.22119544383416478</v>
      </c>
      <c r="I19" s="45">
        <f t="shared" si="1"/>
        <v>0.22985575056873886</v>
      </c>
      <c r="J19" s="45">
        <f t="shared" si="1"/>
        <v>0.25196484841875511</v>
      </c>
      <c r="K19" s="45">
        <f t="shared" si="1"/>
        <v>0.25096616385824633</v>
      </c>
      <c r="L19" s="45">
        <f t="shared" si="1"/>
        <v>0.25553449524980065</v>
      </c>
      <c r="M19" s="45">
        <f t="shared" ref="M19:O22" si="2">M7/M$11</f>
        <v>0.27229091825027957</v>
      </c>
      <c r="N19" s="45">
        <f t="shared" si="2"/>
        <v>0.2947893497929851</v>
      </c>
      <c r="O19" s="45">
        <f t="shared" si="2"/>
        <v>0.30649740321050728</v>
      </c>
      <c r="P19" s="45">
        <f>1-SUM(P20:P22)</f>
        <v>0.24802702872942817</v>
      </c>
      <c r="Q19" s="45">
        <f>1-SUM(Q20:Q22)</f>
        <v>0.2493882389315687</v>
      </c>
      <c r="R19" s="45">
        <f>1-SUM(R20:R22)</f>
        <v>0.25338891656834828</v>
      </c>
    </row>
    <row r="20" spans="2:18" ht="13.95" customHeight="1" x14ac:dyDescent="0.3">
      <c r="B20" s="8" t="s">
        <v>325</v>
      </c>
      <c r="C20" s="40">
        <f>C8/$C$11</f>
        <v>0.26782062633041703</v>
      </c>
      <c r="D20" s="113">
        <f t="shared" ref="D20:L20" si="3">D8/D$12</f>
        <v>0.25320997654582167</v>
      </c>
      <c r="E20" s="113">
        <f t="shared" si="3"/>
        <v>0.26048991695618606</v>
      </c>
      <c r="F20" s="113">
        <f t="shared" si="3"/>
        <v>0.2654572051963357</v>
      </c>
      <c r="G20" s="113">
        <f t="shared" si="3"/>
        <v>0.20945024056999914</v>
      </c>
      <c r="H20" s="113">
        <f t="shared" si="3"/>
        <v>0.23407448302763553</v>
      </c>
      <c r="I20" s="113">
        <f t="shared" si="3"/>
        <v>0.24415677209055056</v>
      </c>
      <c r="J20" s="113">
        <f t="shared" si="3"/>
        <v>0.19172465279228279</v>
      </c>
      <c r="K20" s="113">
        <f t="shared" si="3"/>
        <v>0.21119667869752651</v>
      </c>
      <c r="L20" s="113">
        <f t="shared" si="3"/>
        <v>0.22223939449429822</v>
      </c>
      <c r="M20" s="113">
        <f t="shared" si="2"/>
        <v>0.14197047973500815</v>
      </c>
      <c r="N20" s="113">
        <f t="shared" si="2"/>
        <v>0.17585706750768873</v>
      </c>
      <c r="O20" s="113">
        <f t="shared" si="2"/>
        <v>0.19377661083294556</v>
      </c>
      <c r="P20" s="113">
        <f t="shared" ref="P20:R22" si="4">P8/P$12</f>
        <v>0.2478664012938534</v>
      </c>
      <c r="Q20" s="113">
        <f t="shared" si="4"/>
        <v>0.24129138018750107</v>
      </c>
      <c r="R20" s="113">
        <f t="shared" si="4"/>
        <v>0.23757993792712134</v>
      </c>
    </row>
    <row r="21" spans="2:18" ht="13.95" customHeight="1" x14ac:dyDescent="0.3">
      <c r="B21" s="8" t="s">
        <v>376</v>
      </c>
      <c r="C21" s="40">
        <f>C9/$C$11</f>
        <v>0.12604151344128098</v>
      </c>
      <c r="D21" s="113">
        <f t="shared" ref="D21:L21" si="5">D9/D$12</f>
        <v>0.10558338915495054</v>
      </c>
      <c r="E21" s="113">
        <f t="shared" si="5"/>
        <v>0.11218492273504395</v>
      </c>
      <c r="F21" s="113">
        <f t="shared" si="5"/>
        <v>0.11699388503598093</v>
      </c>
      <c r="G21" s="113">
        <f t="shared" si="5"/>
        <v>9.3515305351814196E-2</v>
      </c>
      <c r="H21" s="113">
        <f t="shared" si="5"/>
        <v>0.10053885129004453</v>
      </c>
      <c r="I21" s="113">
        <f t="shared" si="5"/>
        <v>0.10599900182268422</v>
      </c>
      <c r="J21" s="113">
        <f t="shared" si="5"/>
        <v>8.5481331450433559E-2</v>
      </c>
      <c r="K21" s="113">
        <f t="shared" si="5"/>
        <v>9.1865830268510279E-2</v>
      </c>
      <c r="L21" s="113">
        <f t="shared" si="5"/>
        <v>9.744481626063714E-2</v>
      </c>
      <c r="M21" s="113">
        <f t="shared" si="2"/>
        <v>7.6659923345471892E-2</v>
      </c>
      <c r="N21" s="113">
        <f t="shared" si="2"/>
        <v>8.891948976656959E-2</v>
      </c>
      <c r="O21" s="113">
        <f t="shared" si="2"/>
        <v>9.8542148372668933E-2</v>
      </c>
      <c r="P21" s="113">
        <f t="shared" si="4"/>
        <v>0.1369081089086292</v>
      </c>
      <c r="Q21" s="113">
        <f t="shared" si="4"/>
        <v>0.14132059013869358</v>
      </c>
      <c r="R21" s="113">
        <f t="shared" si="4"/>
        <v>0.13931115713843562</v>
      </c>
    </row>
    <row r="22" spans="2:18" ht="13.95" customHeight="1" x14ac:dyDescent="0.3">
      <c r="B22" s="8" t="s">
        <v>427</v>
      </c>
      <c r="C22" s="40">
        <f>C10/$C$11</f>
        <v>0.31382513038438281</v>
      </c>
      <c r="D22" s="113">
        <f t="shared" ref="D22:L22" si="6">D10/D$12</f>
        <v>0.48111248108463534</v>
      </c>
      <c r="E22" s="113">
        <f t="shared" si="6"/>
        <v>0.46306725921412284</v>
      </c>
      <c r="F22" s="113">
        <f t="shared" si="6"/>
        <v>0.44612053766166443</v>
      </c>
      <c r="G22" s="113">
        <f t="shared" si="6"/>
        <v>0.49020146095860434</v>
      </c>
      <c r="H22" s="113">
        <f t="shared" si="6"/>
        <v>0.44419122184815524</v>
      </c>
      <c r="I22" s="113">
        <f t="shared" si="6"/>
        <v>0.41998847551802637</v>
      </c>
      <c r="J22" s="113">
        <f t="shared" si="6"/>
        <v>0.47082916733852859</v>
      </c>
      <c r="K22" s="113">
        <f t="shared" si="6"/>
        <v>0.44597132717571691</v>
      </c>
      <c r="L22" s="113">
        <f t="shared" si="6"/>
        <v>0.42478129399526404</v>
      </c>
      <c r="M22" s="113">
        <f t="shared" si="2"/>
        <v>0.50907867866924039</v>
      </c>
      <c r="N22" s="113">
        <f t="shared" si="2"/>
        <v>0.44043409293275648</v>
      </c>
      <c r="O22" s="113">
        <f t="shared" si="2"/>
        <v>0.40118383758387827</v>
      </c>
      <c r="P22" s="113">
        <f t="shared" si="4"/>
        <v>0.36719846106808918</v>
      </c>
      <c r="Q22" s="113">
        <f t="shared" si="4"/>
        <v>0.3679997907422366</v>
      </c>
      <c r="R22" s="113">
        <f t="shared" si="4"/>
        <v>0.36971998836609482</v>
      </c>
    </row>
    <row r="23" spans="2:18" ht="13.95" customHeight="1" x14ac:dyDescent="0.3">
      <c r="B23" s="11" t="s">
        <v>458</v>
      </c>
      <c r="D23" s="28">
        <f t="shared" ref="D23:R23" si="7">SUM(D19:D22)</f>
        <v>1</v>
      </c>
      <c r="E23" s="28">
        <f t="shared" si="7"/>
        <v>1</v>
      </c>
      <c r="F23" s="28">
        <f t="shared" si="7"/>
        <v>1</v>
      </c>
      <c r="G23" s="28">
        <f t="shared" si="7"/>
        <v>1</v>
      </c>
      <c r="H23" s="28">
        <f t="shared" si="7"/>
        <v>1</v>
      </c>
      <c r="I23" s="28">
        <f t="shared" si="7"/>
        <v>1</v>
      </c>
      <c r="J23" s="28">
        <f t="shared" si="7"/>
        <v>1</v>
      </c>
      <c r="K23" s="28">
        <f t="shared" si="7"/>
        <v>1</v>
      </c>
      <c r="L23" s="28">
        <f t="shared" si="7"/>
        <v>1</v>
      </c>
      <c r="M23" s="28">
        <f t="shared" si="7"/>
        <v>1</v>
      </c>
      <c r="N23" s="28">
        <f t="shared" si="7"/>
        <v>0.99999999999999989</v>
      </c>
      <c r="O23" s="28">
        <f t="shared" si="7"/>
        <v>1</v>
      </c>
      <c r="P23" s="28">
        <f t="shared" si="7"/>
        <v>1</v>
      </c>
      <c r="Q23" s="28">
        <f t="shared" si="7"/>
        <v>1</v>
      </c>
      <c r="R23" s="28">
        <f t="shared" si="7"/>
        <v>1</v>
      </c>
    </row>
    <row r="24" spans="2:18" ht="13.95" customHeight="1" x14ac:dyDescent="0.3">
      <c r="B24" s="14" t="s">
        <v>485</v>
      </c>
    </row>
    <row r="25" spans="2:18" ht="13.95" customHeight="1" x14ac:dyDescent="0.3">
      <c r="B25" s="8" t="s">
        <v>483</v>
      </c>
      <c r="C25" s="40">
        <f>C14/$C$11</f>
        <v>7.7082816955238651E-2</v>
      </c>
      <c r="D25" s="113">
        <f t="shared" ref="D25:L25" si="8">D14/D$12</f>
        <v>7.8905608427206703E-2</v>
      </c>
      <c r="E25" s="113">
        <f t="shared" si="8"/>
        <v>8.2932613961334251E-2</v>
      </c>
      <c r="F25" s="113">
        <f t="shared" si="8"/>
        <v>8.5419772509228997E-2</v>
      </c>
      <c r="G25" s="113">
        <f t="shared" si="8"/>
        <v>7.7488637202879351E-2</v>
      </c>
      <c r="H25" s="113">
        <f t="shared" si="8"/>
        <v>8.2702200604373458E-2</v>
      </c>
      <c r="I25" s="113">
        <f t="shared" si="8"/>
        <v>8.6393907011488857E-2</v>
      </c>
      <c r="J25" s="113">
        <f t="shared" si="8"/>
        <v>7.2623212907623316E-2</v>
      </c>
      <c r="K25" s="113">
        <f t="shared" si="8"/>
        <v>7.7527314439218231E-2</v>
      </c>
      <c r="L25" s="113">
        <f t="shared" si="8"/>
        <v>8.1423934435302436E-2</v>
      </c>
      <c r="M25" s="113">
        <f t="shared" ref="M25:O26" si="9">M14/M$11</f>
        <v>5.8743956847999081E-2</v>
      </c>
      <c r="N25" s="113">
        <f t="shared" si="9"/>
        <v>6.826457735738671E-2</v>
      </c>
      <c r="O25" s="113">
        <f t="shared" si="9"/>
        <v>7.5544705625715289E-2</v>
      </c>
      <c r="P25" s="113">
        <f t="shared" ref="P25:R26" si="10">P14/P$12</f>
        <v>0.12667716185235495</v>
      </c>
      <c r="Q25" s="113">
        <f t="shared" si="10"/>
        <v>0.13088073582688828</v>
      </c>
      <c r="R25" s="113">
        <f t="shared" si="10"/>
        <v>0.12867058943083118</v>
      </c>
    </row>
    <row r="26" spans="2:18" ht="13.95" customHeight="1" x14ac:dyDescent="0.3">
      <c r="B26" s="8" t="s">
        <v>484</v>
      </c>
      <c r="C26" s="40">
        <f>C15/$C$11</f>
        <v>4.8958696486042307E-2</v>
      </c>
      <c r="D26" s="113">
        <f t="shared" ref="D26:L26" si="11">D15/D$12</f>
        <v>2.6677780727743849E-2</v>
      </c>
      <c r="E26" s="113">
        <f t="shared" si="11"/>
        <v>2.9252308773709677E-2</v>
      </c>
      <c r="F26" s="113">
        <f t="shared" si="11"/>
        <v>3.1574112526751942E-2</v>
      </c>
      <c r="G26" s="113">
        <f t="shared" si="11"/>
        <v>1.6026668148934848E-2</v>
      </c>
      <c r="H26" s="113">
        <f t="shared" si="11"/>
        <v>1.7836650685671071E-2</v>
      </c>
      <c r="I26" s="113">
        <f t="shared" si="11"/>
        <v>1.9605094811195368E-2</v>
      </c>
      <c r="J26" s="113">
        <f t="shared" si="11"/>
        <v>1.2858118542810246E-2</v>
      </c>
      <c r="K26" s="113">
        <f t="shared" si="11"/>
        <v>1.433851582929203E-2</v>
      </c>
      <c r="L26" s="113">
        <f t="shared" si="11"/>
        <v>1.6020881825334704E-2</v>
      </c>
      <c r="M26" s="113">
        <f t="shared" si="9"/>
        <v>1.7915966497472811E-2</v>
      </c>
      <c r="N26" s="113">
        <f t="shared" si="9"/>
        <v>2.0654912409182873E-2</v>
      </c>
      <c r="O26" s="113">
        <f t="shared" si="9"/>
        <v>2.2997442746953638E-2</v>
      </c>
      <c r="P26" s="113">
        <f t="shared" si="10"/>
        <v>1.023094705627425E-2</v>
      </c>
      <c r="Q26" s="113">
        <f t="shared" si="10"/>
        <v>1.0439854311805314E-2</v>
      </c>
      <c r="R26" s="113">
        <f t="shared" si="10"/>
        <v>1.0640567707604439E-2</v>
      </c>
    </row>
    <row r="27" spans="2:18" ht="13.95" customHeight="1" x14ac:dyDescent="0.3">
      <c r="B27" s="14" t="s">
        <v>487</v>
      </c>
    </row>
    <row r="29" spans="2:18" ht="13.95" customHeight="1" x14ac:dyDescent="0.3">
      <c r="B29" s="138" t="s">
        <v>488</v>
      </c>
      <c r="C29" s="138"/>
      <c r="D29" s="138"/>
      <c r="E29" s="138"/>
      <c r="F29" s="138"/>
      <c r="G29" s="138"/>
      <c r="H29" s="138"/>
      <c r="I29" s="138"/>
      <c r="J29" s="138"/>
      <c r="K29" s="138"/>
      <c r="L29" s="138"/>
      <c r="M29" s="138"/>
      <c r="N29" s="138"/>
      <c r="O29" s="138"/>
      <c r="P29" s="138"/>
      <c r="Q29" s="138"/>
      <c r="R29" s="138"/>
    </row>
    <row r="30" spans="2:18" ht="30" customHeight="1" x14ac:dyDescent="0.3">
      <c r="B30" s="17" t="s">
        <v>464</v>
      </c>
      <c r="C30" s="18" t="s">
        <v>255</v>
      </c>
      <c r="D30" s="18" t="s">
        <v>465</v>
      </c>
      <c r="E30" s="18" t="s">
        <v>466</v>
      </c>
      <c r="F30" s="18" t="s">
        <v>467</v>
      </c>
      <c r="G30" s="18" t="s">
        <v>468</v>
      </c>
      <c r="H30" s="18" t="s">
        <v>469</v>
      </c>
      <c r="I30" s="18" t="s">
        <v>470</v>
      </c>
      <c r="J30" s="18" t="s">
        <v>471</v>
      </c>
      <c r="K30" s="18" t="s">
        <v>472</v>
      </c>
      <c r="L30" s="18" t="s">
        <v>473</v>
      </c>
      <c r="M30" s="18" t="s">
        <v>474</v>
      </c>
      <c r="N30" s="18" t="s">
        <v>475</v>
      </c>
      <c r="O30" s="18" t="s">
        <v>476</v>
      </c>
      <c r="P30" s="18" t="s">
        <v>477</v>
      </c>
      <c r="Q30" s="18" t="s">
        <v>478</v>
      </c>
      <c r="R30" s="18" t="s">
        <v>479</v>
      </c>
    </row>
    <row r="31" spans="2:18" ht="13.95" customHeight="1" x14ac:dyDescent="0.3">
      <c r="B31" s="8" t="s">
        <v>489</v>
      </c>
      <c r="D31" s="35">
        <f t="shared" ref="D31:L31" si="12">D7</f>
        <v>23202.292112263502</v>
      </c>
      <c r="E31" s="35">
        <f t="shared" si="12"/>
        <v>24843.531843209908</v>
      </c>
      <c r="F31" s="35">
        <f t="shared" si="12"/>
        <v>26614.282858462779</v>
      </c>
      <c r="G31" s="35">
        <f t="shared" si="12"/>
        <v>5850.9177851873501</v>
      </c>
      <c r="H31" s="35">
        <f t="shared" si="12"/>
        <v>6776.2881263904173</v>
      </c>
      <c r="I31" s="35">
        <f t="shared" si="12"/>
        <v>7553.6721453099708</v>
      </c>
      <c r="J31" s="35">
        <f t="shared" si="12"/>
        <v>1489.4528763735759</v>
      </c>
      <c r="K31" s="35">
        <f t="shared" si="12"/>
        <v>4304.3334484721518</v>
      </c>
      <c r="L31" s="35">
        <f t="shared" si="12"/>
        <v>4975.2096887344478</v>
      </c>
      <c r="M31" s="112" t="s">
        <v>482</v>
      </c>
      <c r="N31" s="112" t="s">
        <v>482</v>
      </c>
      <c r="O31" s="112" t="s">
        <v>482</v>
      </c>
      <c r="P31" s="35">
        <f>P7</f>
        <v>-38.325055839502042</v>
      </c>
      <c r="Q31" s="35">
        <f>Q7</f>
        <v>-40.957338968722084</v>
      </c>
      <c r="R31" s="35">
        <f>R7</f>
        <v>-42.548671870159879</v>
      </c>
    </row>
    <row r="32" spans="2:18" ht="13.95" customHeight="1" x14ac:dyDescent="0.3">
      <c r="B32" s="8" t="s">
        <v>490</v>
      </c>
      <c r="D32" s="35">
        <f t="shared" ref="D32:L32" si="13">D19*D12</f>
        <v>25680.659137201947</v>
      </c>
      <c r="E32" s="35">
        <f t="shared" si="13"/>
        <v>27143.772224824846</v>
      </c>
      <c r="F32" s="35">
        <f t="shared" si="13"/>
        <v>29462.634446148313</v>
      </c>
      <c r="G32" s="35">
        <f t="shared" si="13"/>
        <v>6876.6223234410891</v>
      </c>
      <c r="H32" s="35">
        <f t="shared" si="13"/>
        <v>7762.8608062595613</v>
      </c>
      <c r="I32" s="35">
        <f t="shared" si="13"/>
        <v>8509.2905657995489</v>
      </c>
      <c r="J32" s="35">
        <f t="shared" si="13"/>
        <v>12779.292521373709</v>
      </c>
      <c r="K32" s="35">
        <f t="shared" si="13"/>
        <v>13162.783716918077</v>
      </c>
      <c r="L32" s="35">
        <f t="shared" si="13"/>
        <v>13849.686888269169</v>
      </c>
      <c r="M32" s="112" t="s">
        <v>482</v>
      </c>
      <c r="N32" s="112" t="s">
        <v>482</v>
      </c>
      <c r="O32" s="112" t="s">
        <v>482</v>
      </c>
      <c r="P32" s="35">
        <f>P19*P12</f>
        <v>-5324.7000462587503</v>
      </c>
      <c r="Q32" s="35">
        <f>Q19*Q12</f>
        <v>-5323.9148226456964</v>
      </c>
      <c r="R32" s="35">
        <f>R19*R12</f>
        <v>-5540.6141585196119</v>
      </c>
    </row>
    <row r="33" spans="2:18" ht="13.95" customHeight="1" x14ac:dyDescent="0.3">
      <c r="B33" s="5" t="s">
        <v>491</v>
      </c>
      <c r="D33" s="16">
        <f t="shared" ref="D33:L33" si="14">D32-D31</f>
        <v>2478.367024938445</v>
      </c>
      <c r="E33" s="16">
        <f t="shared" si="14"/>
        <v>2300.2403816149381</v>
      </c>
      <c r="F33" s="16">
        <f t="shared" si="14"/>
        <v>2848.3515876855345</v>
      </c>
      <c r="G33" s="16">
        <f t="shared" si="14"/>
        <v>1025.704538253739</v>
      </c>
      <c r="H33" s="16">
        <f t="shared" si="14"/>
        <v>986.57267986914394</v>
      </c>
      <c r="I33" s="16">
        <f t="shared" si="14"/>
        <v>955.61842048957806</v>
      </c>
      <c r="J33" s="16">
        <f t="shared" si="14"/>
        <v>11289.839645000133</v>
      </c>
      <c r="K33" s="16">
        <f t="shared" si="14"/>
        <v>8858.4502684459258</v>
      </c>
      <c r="L33" s="16">
        <f t="shared" si="14"/>
        <v>8874.4771995347219</v>
      </c>
      <c r="M33" s="112" t="s">
        <v>482</v>
      </c>
      <c r="N33" s="112" t="s">
        <v>482</v>
      </c>
      <c r="O33" s="112" t="s">
        <v>482</v>
      </c>
      <c r="P33" s="16">
        <f>P32-P31</f>
        <v>-5286.3749904192482</v>
      </c>
      <c r="Q33" s="16">
        <f>Q32-Q31</f>
        <v>-5282.9574836769743</v>
      </c>
      <c r="R33" s="16">
        <f>R32-R31</f>
        <v>-5498.0654866494524</v>
      </c>
    </row>
    <row r="35" spans="2:18" ht="13.95" customHeight="1" x14ac:dyDescent="0.3">
      <c r="B35" s="138" t="s">
        <v>492</v>
      </c>
      <c r="C35" s="138"/>
      <c r="D35" s="138"/>
      <c r="E35" s="138"/>
      <c r="F35" s="138"/>
      <c r="G35" s="138"/>
      <c r="H35" s="138"/>
      <c r="I35" s="138"/>
      <c r="J35" s="138"/>
      <c r="K35" s="138"/>
      <c r="L35" s="138"/>
      <c r="M35" s="138"/>
      <c r="N35" s="138"/>
      <c r="O35" s="138"/>
      <c r="P35" s="138"/>
      <c r="Q35" s="138"/>
      <c r="R35" s="138"/>
    </row>
    <row r="36" spans="2:18" ht="13.95" customHeight="1" x14ac:dyDescent="0.3">
      <c r="B36" s="8" t="s">
        <v>493</v>
      </c>
      <c r="C36" s="35">
        <f>SUMIFS(Members!$AQ$6:$AQ$81,Members!$C$6:$C$81,"Financials")</f>
        <v>6265.5495133615841</v>
      </c>
    </row>
    <row r="37" spans="2:18" ht="13.95" customHeight="1" x14ac:dyDescent="0.3">
      <c r="B37" s="8" t="s">
        <v>494</v>
      </c>
      <c r="C37" s="35">
        <f>SUMIFS(Members!$AR$6:$AR$81,Members!$C$6:$C$81,"Financials")</f>
        <v>31531.729390467419</v>
      </c>
    </row>
    <row r="38" spans="2:18" ht="13.95" customHeight="1" x14ac:dyDescent="0.3">
      <c r="B38" s="8" t="s">
        <v>495</v>
      </c>
      <c r="C38" s="113">
        <f>C36/C37</f>
        <v>0.19870618055144693</v>
      </c>
    </row>
    <row r="39" spans="2:18" ht="13.95" customHeight="1" x14ac:dyDescent="0.3">
      <c r="B39" s="5" t="s">
        <v>496</v>
      </c>
      <c r="C39" s="45">
        <f>IF(ISNUMBER(FinROEovr),FinROEovr,C38)</f>
        <v>0.19870618055144693</v>
      </c>
    </row>
    <row r="42" spans="2:18" ht="13.95" customHeight="1" x14ac:dyDescent="0.3">
      <c r="B42" s="138" t="s">
        <v>497</v>
      </c>
      <c r="C42" s="138"/>
      <c r="D42" s="138"/>
      <c r="E42" s="138"/>
      <c r="F42" s="138"/>
      <c r="G42" s="138"/>
      <c r="H42" s="138"/>
      <c r="I42" s="138"/>
      <c r="J42" s="138"/>
      <c r="K42" s="138"/>
      <c r="L42" s="138"/>
      <c r="M42" s="138"/>
      <c r="N42" s="138"/>
      <c r="O42" s="138"/>
      <c r="P42" s="138"/>
      <c r="Q42" s="138"/>
      <c r="R42" s="138"/>
    </row>
    <row r="43" spans="2:18" ht="43.95" customHeight="1" x14ac:dyDescent="0.3">
      <c r="B43" s="17" t="s">
        <v>464</v>
      </c>
      <c r="C43" s="18" t="s">
        <v>287</v>
      </c>
      <c r="D43" s="18" t="s">
        <v>288</v>
      </c>
      <c r="E43" s="18" t="s">
        <v>244</v>
      </c>
      <c r="F43" s="18" t="s">
        <v>498</v>
      </c>
      <c r="G43" s="18" t="s">
        <v>499</v>
      </c>
      <c r="H43" s="18" t="s">
        <v>500</v>
      </c>
      <c r="I43" s="18" t="s">
        <v>501</v>
      </c>
    </row>
    <row r="44" spans="2:18" ht="13.95" customHeight="1" x14ac:dyDescent="0.3">
      <c r="B44" s="19" t="s">
        <v>295</v>
      </c>
      <c r="C44" s="20">
        <f>SUMIFS(Members!$AQ$6:$AQ$81,Members!$C$6:$C$81,"Financials")</f>
        <v>6265.5495133615841</v>
      </c>
      <c r="D44" s="20">
        <f>SUMIFS(Members!$AR$6:$AR$81,Members!$C$6:$C$81,"Financials")</f>
        <v>31531.729390467419</v>
      </c>
      <c r="E44" s="40">
        <f>C44/D44</f>
        <v>0.19870618055144693</v>
      </c>
      <c r="F44" s="20">
        <f>M7</f>
        <v>5708.1180707928834</v>
      </c>
      <c r="G44" s="20">
        <f>O7</f>
        <v>7167.1074217837486</v>
      </c>
      <c r="H44" s="40">
        <f>(G44/F44)^(1/2)-1</f>
        <v>0.12053514628175122</v>
      </c>
      <c r="I44" s="45">
        <f>MAX(MIN(H44,GrowthCap),-GrowthCap)</f>
        <v>0.12053514628175122</v>
      </c>
    </row>
    <row r="45" spans="2:18" ht="13.95" customHeight="1" x14ac:dyDescent="0.3">
      <c r="B45" s="19" t="s">
        <v>325</v>
      </c>
      <c r="C45" s="20">
        <f>SUMIFS(Members!$AQ$6:$AQ$81,Members!$C$6:$C$81,"Defensives")</f>
        <v>4531.2546570420473</v>
      </c>
      <c r="D45" s="20">
        <f>SUMIFS(Members!$AR$6:$AR$81,Members!$C$6:$C$81,"Defensives")</f>
        <v>31699.056837698892</v>
      </c>
      <c r="E45" s="40">
        <f>C45/D45</f>
        <v>0.14294604032676264</v>
      </c>
      <c r="F45" s="20">
        <f>M8</f>
        <v>2976.1707298282354</v>
      </c>
      <c r="G45" s="20">
        <f>O8</f>
        <v>4531.2546570420473</v>
      </c>
      <c r="H45" s="40">
        <f>(G45/F45)^(1/2)-1</f>
        <v>0.23390099533657849</v>
      </c>
      <c r="I45" s="45">
        <f>MAX(MIN(H45,GrowthCap),-GrowthCap)</f>
        <v>0.15</v>
      </c>
    </row>
    <row r="46" spans="2:18" ht="13.95" customHeight="1" x14ac:dyDescent="0.3">
      <c r="B46" s="19" t="s">
        <v>376</v>
      </c>
      <c r="C46" s="20">
        <f>SUMIFS(Members!$AQ$6:$AQ$81,Members!$C$6:$C$81,"Cyclicals")</f>
        <v>2304.3006419052717</v>
      </c>
      <c r="D46" s="20">
        <f>SUMIFS(Members!$AR$6:$AR$81,Members!$C$6:$C$81,"Cyclicals")</f>
        <v>12868.467205814261</v>
      </c>
      <c r="E46" s="40">
        <f>C46/D46</f>
        <v>0.17906566532369428</v>
      </c>
      <c r="F46" s="20">
        <f>M9</f>
        <v>1607.0454959194587</v>
      </c>
      <c r="G46" s="20">
        <f>O9</f>
        <v>2304.3006419052717</v>
      </c>
      <c r="H46" s="40">
        <f>(G46/F46)^(1/2)-1</f>
        <v>0.19744475054648447</v>
      </c>
      <c r="I46" s="45">
        <f>MAX(MIN(H46,GrowthCap),-GrowthCap)</f>
        <v>0.15</v>
      </c>
    </row>
    <row r="47" spans="2:18" ht="13.95" customHeight="1" x14ac:dyDescent="0.3">
      <c r="B47" s="19" t="s">
        <v>427</v>
      </c>
      <c r="C47" s="20">
        <f>SUMIFS(Members!$AQ$6:$AQ$81,Members!$C$6:$C$81,"Commodities")</f>
        <v>9381.2463979418426</v>
      </c>
      <c r="D47" s="20">
        <f>SUMIFS(Members!$AR$6:$AR$81,Members!$C$6:$C$81,"Commodities")</f>
        <v>54488.173540718068</v>
      </c>
      <c r="E47" s="40">
        <f>C47/D47</f>
        <v>0.17217032226142431</v>
      </c>
      <c r="F47" s="20">
        <f>M10</f>
        <v>10671.972549948501</v>
      </c>
      <c r="G47" s="20">
        <f>O10</f>
        <v>9381.2463979418426</v>
      </c>
      <c r="H47" s="40">
        <f>(G47/F47)^(1/2)-1</f>
        <v>-6.2420891491832942E-2</v>
      </c>
      <c r="I47" s="45">
        <f>MAX(MIN(H47,GrowthCap),-GrowthCap)</f>
        <v>-6.2420891491832942E-2</v>
      </c>
    </row>
    <row r="48" spans="2:18" ht="13.95" customHeight="1" x14ac:dyDescent="0.3">
      <c r="B48" s="14" t="s">
        <v>485</v>
      </c>
    </row>
    <row r="49" spans="2:9" ht="13.95" customHeight="1" x14ac:dyDescent="0.3">
      <c r="B49" s="19" t="s">
        <v>483</v>
      </c>
      <c r="C49" s="20">
        <f>SUMIFS(Members!$AQ$6:$AQ$81,Members!$D$6:$D$81,"Cyclicals ex-WEG &amp; Embraer")</f>
        <v>1766.5305307486244</v>
      </c>
      <c r="D49" s="20">
        <f>SUMIFS(Members!$AR$6:$AR$81,Members!$D$6:$D$81,"Cyclicals ex-WEG &amp; Embraer")</f>
        <v>10377.002134279601</v>
      </c>
      <c r="E49" s="40">
        <f>C49/D49</f>
        <v>0.17023515152926791</v>
      </c>
      <c r="F49" s="20">
        <f>M14</f>
        <v>1231.4675927815181</v>
      </c>
      <c r="G49" s="20">
        <f>O14</f>
        <v>1766.5305307486244</v>
      </c>
      <c r="H49" s="40">
        <f>(G49/F49)^(1/2)-1</f>
        <v>0.19770284209727418</v>
      </c>
      <c r="I49" s="45">
        <f>MAX(MIN(H49,GrowthCap),-GrowthCap)</f>
        <v>0.15</v>
      </c>
    </row>
    <row r="50" spans="2:9" ht="13.95" customHeight="1" x14ac:dyDescent="0.3">
      <c r="B50" s="19" t="s">
        <v>484</v>
      </c>
      <c r="C50" s="20">
        <f>SUMIFS(Members!$AQ$6:$AQ$81,Members!$D$6:$D$81,"WEG &amp; Embraer")</f>
        <v>537.77011115664732</v>
      </c>
      <c r="D50" s="20">
        <f>SUMIFS(Members!$AR$6:$AR$81,Members!$D$6:$D$81,"WEG &amp; Embraer")</f>
        <v>2491.4650715346597</v>
      </c>
      <c r="E50" s="40">
        <f>C50/D50</f>
        <v>0.21584493288737891</v>
      </c>
      <c r="F50" s="20">
        <f>M15</f>
        <v>375.57790313794072</v>
      </c>
      <c r="G50" s="20">
        <f>O15</f>
        <v>537.77011115664732</v>
      </c>
      <c r="H50" s="40">
        <f>(G50/F50)^(1/2)-1</f>
        <v>0.19659811382736625</v>
      </c>
      <c r="I50" s="45">
        <f>MAX(MIN(H50,GrowthCap),-GrowthCap)</f>
        <v>0.15</v>
      </c>
    </row>
    <row r="51" spans="2:9" ht="13.95" customHeight="1" x14ac:dyDescent="0.3">
      <c r="B51" s="14" t="s">
        <v>502</v>
      </c>
    </row>
  </sheetData>
  <mergeCells count="5">
    <mergeCell ref="B5:R5"/>
    <mergeCell ref="B17:R17"/>
    <mergeCell ref="B29:R29"/>
    <mergeCell ref="B35:R35"/>
    <mergeCell ref="B42:R42"/>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W86"/>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3.95" customHeight="1" x14ac:dyDescent="0.3"/>
  <cols>
    <col min="1" max="1" width="8.6640625" customWidth="1"/>
    <col min="2" max="2" width="18.6640625" customWidth="1"/>
    <col min="3" max="3" width="12.6640625" customWidth="1"/>
    <col min="4" max="4" width="24.6640625" customWidth="1"/>
    <col min="5" max="7" width="9.6640625" customWidth="1"/>
    <col min="8" max="8" width="10.6640625" customWidth="1"/>
    <col min="9" max="9" width="9.6640625" customWidth="1"/>
    <col min="10" max="10" width="10.6640625" customWidth="1"/>
    <col min="11" max="11" width="12.6640625" customWidth="1"/>
    <col min="12" max="41" width="10.6640625" customWidth="1"/>
    <col min="42" max="42" width="8.6640625" customWidth="1"/>
    <col min="43" max="44" width="10.6640625" customWidth="1"/>
    <col min="45" max="45" width="30.6640625" customWidth="1"/>
    <col min="46" max="49" width="10.6640625" customWidth="1"/>
  </cols>
  <sheetData>
    <row r="1" spans="1:49" ht="30" customHeight="1" x14ac:dyDescent="0.3">
      <c r="B1" s="15" t="s">
        <v>238</v>
      </c>
    </row>
    <row r="2" spans="1:49" ht="13.95" customHeight="1" x14ac:dyDescent="0.3">
      <c r="B2" s="14" t="s">
        <v>239</v>
      </c>
    </row>
    <row r="3" spans="1:49" ht="13.95" customHeight="1" x14ac:dyDescent="0.3">
      <c r="B3" s="14" t="s">
        <v>2</v>
      </c>
      <c r="C3" s="47" t="s">
        <v>3</v>
      </c>
      <c r="D3" s="48" t="s">
        <v>4</v>
      </c>
      <c r="E3" s="49" t="s">
        <v>5</v>
      </c>
    </row>
    <row r="4" spans="1:49" ht="13.95" customHeight="1" x14ac:dyDescent="0.3">
      <c r="A4" s="140" t="s">
        <v>240</v>
      </c>
      <c r="B4" s="140"/>
      <c r="C4" s="140"/>
      <c r="D4" s="140"/>
      <c r="E4" s="140" t="s">
        <v>241</v>
      </c>
      <c r="F4" s="140"/>
      <c r="G4" s="140"/>
      <c r="H4" s="140"/>
      <c r="I4" s="140"/>
      <c r="J4" s="140"/>
      <c r="K4" s="140"/>
      <c r="L4" s="140" t="s">
        <v>242</v>
      </c>
      <c r="M4" s="140"/>
      <c r="N4" s="140"/>
      <c r="O4" s="140"/>
      <c r="P4" s="140"/>
      <c r="Q4" s="140"/>
      <c r="R4" s="140"/>
      <c r="S4" s="140"/>
      <c r="T4" s="140"/>
      <c r="U4" s="140"/>
      <c r="V4" s="140"/>
      <c r="W4" s="140"/>
      <c r="X4" s="140"/>
      <c r="Y4" s="140"/>
      <c r="Z4" s="140"/>
      <c r="AA4" s="140" t="s">
        <v>243</v>
      </c>
      <c r="AB4" s="140"/>
      <c r="AC4" s="140"/>
      <c r="AD4" s="140"/>
      <c r="AE4" s="140"/>
      <c r="AF4" s="140"/>
      <c r="AG4" s="140"/>
      <c r="AH4" s="140"/>
      <c r="AI4" s="140"/>
      <c r="AJ4" s="140"/>
      <c r="AK4" s="140"/>
      <c r="AL4" s="140"/>
      <c r="AM4" s="140"/>
      <c r="AN4" s="140"/>
      <c r="AO4" s="140"/>
      <c r="AP4" s="140" t="s">
        <v>244</v>
      </c>
      <c r="AQ4" s="140"/>
      <c r="AR4" s="140"/>
      <c r="AS4" s="114"/>
      <c r="AT4" s="140" t="s">
        <v>245</v>
      </c>
      <c r="AU4" s="140"/>
      <c r="AV4" s="140"/>
      <c r="AW4" s="140"/>
    </row>
    <row r="5" spans="1:49" ht="54" customHeight="1" x14ac:dyDescent="0.3">
      <c r="A5" s="18" t="s">
        <v>246</v>
      </c>
      <c r="B5" s="18" t="s">
        <v>247</v>
      </c>
      <c r="C5" s="18" t="s">
        <v>248</v>
      </c>
      <c r="D5" s="18" t="s">
        <v>249</v>
      </c>
      <c r="E5" s="18" t="s">
        <v>250</v>
      </c>
      <c r="F5" s="18" t="s">
        <v>251</v>
      </c>
      <c r="G5" s="18" t="s">
        <v>252</v>
      </c>
      <c r="H5" s="18" t="s">
        <v>253</v>
      </c>
      <c r="I5" s="18" t="s">
        <v>254</v>
      </c>
      <c r="J5" s="18" t="s">
        <v>255</v>
      </c>
      <c r="K5" s="18" t="s">
        <v>256</v>
      </c>
      <c r="L5" s="18" t="s">
        <v>257</v>
      </c>
      <c r="M5" s="18" t="s">
        <v>259</v>
      </c>
      <c r="N5" s="18" t="s">
        <v>261</v>
      </c>
      <c r="O5" s="18" t="s">
        <v>263</v>
      </c>
      <c r="P5" s="18" t="s">
        <v>265</v>
      </c>
      <c r="Q5" s="18" t="s">
        <v>267</v>
      </c>
      <c r="R5" s="18" t="s">
        <v>269</v>
      </c>
      <c r="S5" s="18" t="s">
        <v>271</v>
      </c>
      <c r="T5" s="18" t="s">
        <v>273</v>
      </c>
      <c r="U5" s="18" t="s">
        <v>275</v>
      </c>
      <c r="V5" s="18" t="s">
        <v>277</v>
      </c>
      <c r="W5" s="18" t="s">
        <v>279</v>
      </c>
      <c r="X5" s="18" t="s">
        <v>281</v>
      </c>
      <c r="Y5" s="18" t="s">
        <v>283</v>
      </c>
      <c r="Z5" s="18" t="s">
        <v>285</v>
      </c>
      <c r="AA5" s="18" t="s">
        <v>258</v>
      </c>
      <c r="AB5" s="18" t="s">
        <v>260</v>
      </c>
      <c r="AC5" s="18" t="s">
        <v>262</v>
      </c>
      <c r="AD5" s="18" t="s">
        <v>264</v>
      </c>
      <c r="AE5" s="18" t="s">
        <v>266</v>
      </c>
      <c r="AF5" s="18" t="s">
        <v>268</v>
      </c>
      <c r="AG5" s="18" t="s">
        <v>270</v>
      </c>
      <c r="AH5" s="18" t="s">
        <v>272</v>
      </c>
      <c r="AI5" s="18" t="s">
        <v>274</v>
      </c>
      <c r="AJ5" s="18" t="s">
        <v>276</v>
      </c>
      <c r="AK5" s="18" t="s">
        <v>278</v>
      </c>
      <c r="AL5" s="18" t="s">
        <v>280</v>
      </c>
      <c r="AM5" s="18" t="s">
        <v>282</v>
      </c>
      <c r="AN5" s="18" t="s">
        <v>284</v>
      </c>
      <c r="AO5" s="18" t="s">
        <v>286</v>
      </c>
      <c r="AP5" s="18" t="s">
        <v>244</v>
      </c>
      <c r="AQ5" s="18" t="s">
        <v>287</v>
      </c>
      <c r="AR5" s="18" t="s">
        <v>288</v>
      </c>
      <c r="AS5" s="18" t="s">
        <v>289</v>
      </c>
      <c r="AT5" s="18" t="s">
        <v>290</v>
      </c>
      <c r="AU5" s="18" t="s">
        <v>11</v>
      </c>
      <c r="AV5" s="18" t="s">
        <v>291</v>
      </c>
      <c r="AW5" s="18" t="s">
        <v>292</v>
      </c>
    </row>
    <row r="6" spans="1:49" ht="13.95" customHeight="1" x14ac:dyDescent="0.3">
      <c r="A6" s="115" t="s">
        <v>293</v>
      </c>
      <c r="B6" s="116" t="s">
        <v>294</v>
      </c>
      <c r="C6" s="116" t="s">
        <v>295</v>
      </c>
      <c r="D6" s="116" t="s">
        <v>295</v>
      </c>
      <c r="E6" s="52">
        <v>9.0500000000000011E-2</v>
      </c>
      <c r="F6" s="50">
        <v>44.28</v>
      </c>
      <c r="G6" s="50">
        <v>49.82</v>
      </c>
      <c r="H6" s="99">
        <f t="shared" ref="H6:H37" si="0">E6*G6/F6</f>
        <v>0.10182271906052395</v>
      </c>
      <c r="I6" s="30">
        <f t="shared" ref="I6:I37" si="1">H6/SUM($H$6:$H$81)</f>
        <v>9.1585132884777751E-2</v>
      </c>
      <c r="J6" s="20">
        <f>I6*Assumptions!$D$7</f>
        <v>19089.265090629367</v>
      </c>
      <c r="K6" s="41">
        <v>564225.22764619999</v>
      </c>
      <c r="L6" s="41">
        <v>192256.7</v>
      </c>
      <c r="M6" s="41">
        <v>206472.4</v>
      </c>
      <c r="N6" s="41">
        <v>221026.11111111109</v>
      </c>
      <c r="O6" s="41">
        <v>55944</v>
      </c>
      <c r="P6" s="41">
        <v>69756</v>
      </c>
      <c r="Q6" s="41">
        <v>75870</v>
      </c>
      <c r="S6" s="41">
        <v>78354</v>
      </c>
      <c r="T6" s="41">
        <v>87509</v>
      </c>
      <c r="U6" s="41">
        <v>50677.332999999999</v>
      </c>
      <c r="V6" s="41">
        <v>55448.917000000001</v>
      </c>
      <c r="W6" s="41">
        <v>60687.635999999999</v>
      </c>
      <c r="AA6" s="117">
        <f t="shared" ref="AA6:AA37" si="2">IF(ISNUMBER(L6),$J6*L6/$K6,0)</f>
        <v>6504.5640143742703</v>
      </c>
      <c r="AB6" s="117">
        <f t="shared" ref="AB6:AB37" si="3">IF(ISNUMBER(M6),$J6*M6/$K6,0)</f>
        <v>6985.5195839806365</v>
      </c>
      <c r="AC6" s="117">
        <f t="shared" ref="AC6:AC37" si="4">IF(ISNUMBER(N6),$J6*N6/$K6,0)</f>
        <v>7477.9109834425653</v>
      </c>
      <c r="AD6" s="117">
        <f t="shared" ref="AD6:AD37" si="5">IF(ISNUMBER(O6),$J6*O6/$K6,0)</f>
        <v>1892.7367900320467</v>
      </c>
      <c r="AE6" s="117">
        <f t="shared" ref="AE6:AE37" si="6">IF(ISNUMBER(P6),$J6*P6/$K6,0)</f>
        <v>2360.034097051971</v>
      </c>
      <c r="AF6" s="117">
        <f t="shared" ref="AF6:AF37" si="7">IF(ISNUMBER(Q6),$J6*Q6/$K6,0)</f>
        <v>2566.8872490299477</v>
      </c>
      <c r="AG6" s="117">
        <f t="shared" ref="AG6:AG37" si="8">IF(ISNUMBER(R6),$J6*R6/$K6,0)</f>
        <v>0</v>
      </c>
      <c r="AH6" s="117">
        <f t="shared" ref="AH6:AH37" si="9">IF(ISNUMBER(S6),$J6*S6/$K6,0)</f>
        <v>2650.9276856529918</v>
      </c>
      <c r="AI6" s="117">
        <f t="shared" ref="AI6:AI37" si="10">IF(ISNUMBER(T6),$J6*T6/$K6,0)</f>
        <v>2960.6660903566849</v>
      </c>
      <c r="AJ6" s="117">
        <f t="shared" ref="AJ6:AJ37" si="11">IF(ISNUMBER(U6),$J6*U6/$K6,0)</f>
        <v>1714.5512045939709</v>
      </c>
      <c r="AK6" s="117">
        <f t="shared" ref="AK6:AK37" si="12">IF(ISNUMBER(V6),$J6*V6/$K6,0)</f>
        <v>1875.9867934601275</v>
      </c>
      <c r="AL6" s="117">
        <f t="shared" ref="AL6:AL37" si="13">IF(ISNUMBER(W6),$J6*W6/$K6,0)</f>
        <v>2053.2268224880822</v>
      </c>
      <c r="AM6" s="117">
        <f t="shared" ref="AM6:AM37" si="14">IF(ISNUMBER(X6),$J6*X6/$K6,0)</f>
        <v>0</v>
      </c>
      <c r="AN6" s="117">
        <f t="shared" ref="AN6:AN37" si="15">IF(ISNUMBER(Y6),$J6*Y6/$K6,0)</f>
        <v>0</v>
      </c>
      <c r="AO6" s="117">
        <f t="shared" ref="AO6:AO37" si="16">IF(ISNUMBER(Z6),$J6*Z6/$K6,0)</f>
        <v>0</v>
      </c>
      <c r="AP6" s="82">
        <v>0.24343000000000001</v>
      </c>
      <c r="AQ6" s="117">
        <f t="shared" ref="AQ6:AQ37" si="17">IF(AND(ISNUMBER(AP6),N(AP6)&gt;0),AL6,0)</f>
        <v>2053.2268224880822</v>
      </c>
      <c r="AR6" s="117">
        <f t="shared" ref="AR6:AR37" si="18">IF(AQ6&lt;&gt;0,AQ6/AP6,0)</f>
        <v>8434.5677298939409</v>
      </c>
      <c r="AS6" s="111" t="s">
        <v>296</v>
      </c>
      <c r="AT6" s="50">
        <v>50</v>
      </c>
      <c r="AU6" s="116" t="s">
        <v>297</v>
      </c>
      <c r="AV6" s="117">
        <f t="shared" ref="AV6:AV37" si="19">IF(ISNUMBER(AT6),J6,0)</f>
        <v>19089.265090629367</v>
      </c>
      <c r="AW6" s="117">
        <f t="shared" ref="AW6:AW37" si="20">IF(ISNUMBER(AT6),J6*AT6/G6,0)</f>
        <v>19158.234735677808</v>
      </c>
    </row>
    <row r="7" spans="1:49" ht="13.95" customHeight="1" x14ac:dyDescent="0.3">
      <c r="A7" s="115" t="s">
        <v>298</v>
      </c>
      <c r="B7" s="116" t="s">
        <v>299</v>
      </c>
      <c r="C7" s="116" t="s">
        <v>295</v>
      </c>
      <c r="D7" s="116" t="s">
        <v>295</v>
      </c>
      <c r="E7" s="52">
        <v>3.6159999999999998E-2</v>
      </c>
      <c r="F7" s="50">
        <v>18.510000000000002</v>
      </c>
      <c r="G7" s="50">
        <v>21.85</v>
      </c>
      <c r="H7" s="99">
        <f t="shared" si="0"/>
        <v>4.2684819016747699E-2</v>
      </c>
      <c r="I7" s="30">
        <f t="shared" si="1"/>
        <v>3.8393148973833842E-2</v>
      </c>
      <c r="J7" s="20">
        <f>I7*Assumptions!$D$7</f>
        <v>8002.3577554622179</v>
      </c>
      <c r="K7" s="41">
        <v>226447.75534606999</v>
      </c>
      <c r="L7" s="41">
        <v>150490.36363636359</v>
      </c>
      <c r="M7" s="41">
        <v>162160.18181818179</v>
      </c>
      <c r="N7" s="41">
        <v>174205.3</v>
      </c>
      <c r="O7" s="41">
        <v>35753.199999999997</v>
      </c>
      <c r="P7" s="41">
        <v>41429.199999999997</v>
      </c>
      <c r="Q7" s="41">
        <v>47109.599999999999</v>
      </c>
      <c r="U7" s="41">
        <v>27739.922999999999</v>
      </c>
      <c r="V7" s="41">
        <v>30648.077000000001</v>
      </c>
      <c r="W7" s="41">
        <v>33619.082999999999</v>
      </c>
      <c r="AA7" s="117">
        <f t="shared" si="2"/>
        <v>5318.126146701431</v>
      </c>
      <c r="AB7" s="117">
        <f t="shared" si="3"/>
        <v>5730.5217559641023</v>
      </c>
      <c r="AC7" s="117">
        <f t="shared" si="4"/>
        <v>6156.1799602171068</v>
      </c>
      <c r="AD7" s="117">
        <f t="shared" si="5"/>
        <v>1263.4697873924285</v>
      </c>
      <c r="AE7" s="117">
        <f t="shared" si="6"/>
        <v>1464.0519594284822</v>
      </c>
      <c r="AF7" s="117">
        <f t="shared" si="7"/>
        <v>1664.7896215203775</v>
      </c>
      <c r="AG7" s="117">
        <f t="shared" si="8"/>
        <v>0</v>
      </c>
      <c r="AH7" s="117">
        <f t="shared" si="9"/>
        <v>0</v>
      </c>
      <c r="AI7" s="117">
        <f t="shared" si="10"/>
        <v>0</v>
      </c>
      <c r="AJ7" s="117">
        <f t="shared" si="11"/>
        <v>980.2914037091042</v>
      </c>
      <c r="AK7" s="117">
        <f t="shared" si="12"/>
        <v>1083.061637312934</v>
      </c>
      <c r="AL7" s="117">
        <f t="shared" si="13"/>
        <v>1188.052975687167</v>
      </c>
      <c r="AM7" s="117">
        <f t="shared" si="14"/>
        <v>0</v>
      </c>
      <c r="AN7" s="117">
        <f t="shared" si="15"/>
        <v>0</v>
      </c>
      <c r="AO7" s="117">
        <f t="shared" si="16"/>
        <v>0</v>
      </c>
      <c r="AP7" s="82">
        <v>0.1615</v>
      </c>
      <c r="AQ7" s="117">
        <f t="shared" si="17"/>
        <v>1188.052975687167</v>
      </c>
      <c r="AR7" s="117">
        <f t="shared" si="18"/>
        <v>7356.365174533541</v>
      </c>
      <c r="AS7" s="111" t="s">
        <v>300</v>
      </c>
      <c r="AT7" s="50">
        <v>21</v>
      </c>
      <c r="AU7" s="116" t="s">
        <v>297</v>
      </c>
      <c r="AV7" s="117">
        <f t="shared" si="19"/>
        <v>8002.3577554622179</v>
      </c>
      <c r="AW7" s="117">
        <f t="shared" si="20"/>
        <v>7691.0532203527027</v>
      </c>
    </row>
    <row r="8" spans="1:49" ht="13.95" customHeight="1" x14ac:dyDescent="0.3">
      <c r="A8" s="115" t="s">
        <v>301</v>
      </c>
      <c r="B8" s="116" t="s">
        <v>302</v>
      </c>
      <c r="C8" s="116" t="s">
        <v>295</v>
      </c>
      <c r="D8" s="116" t="s">
        <v>295</v>
      </c>
      <c r="E8" s="52">
        <v>3.5020000000000003E-2</v>
      </c>
      <c r="F8" s="50">
        <v>18.34</v>
      </c>
      <c r="G8" s="50">
        <v>23.29</v>
      </c>
      <c r="H8" s="99">
        <f t="shared" si="0"/>
        <v>4.4471962922573612E-2</v>
      </c>
      <c r="I8" s="30">
        <f t="shared" si="1"/>
        <v>4.0000607639340477E-2</v>
      </c>
      <c r="J8" s="20">
        <f>I8*Assumptions!$D$7</f>
        <v>8337.4034514344039</v>
      </c>
      <c r="K8" s="41">
        <v>112688.345</v>
      </c>
      <c r="L8" s="41">
        <v>11412.69230769231</v>
      </c>
      <c r="M8" s="41">
        <v>12420.30769230769</v>
      </c>
      <c r="N8" s="41">
        <v>13564.58333333333</v>
      </c>
      <c r="O8" s="41">
        <v>7483.454545454545</v>
      </c>
      <c r="P8" s="41">
        <v>8323.0909090909081</v>
      </c>
      <c r="Q8" s="41">
        <v>9206.818181818182</v>
      </c>
      <c r="R8" s="41">
        <v>7884.7777777777774</v>
      </c>
      <c r="S8" s="41">
        <v>8662.1111111111113</v>
      </c>
      <c r="T8" s="41">
        <v>9591.25</v>
      </c>
      <c r="U8" s="41">
        <v>5982</v>
      </c>
      <c r="V8" s="41">
        <v>6425.4000000000005</v>
      </c>
      <c r="W8" s="41">
        <v>6561.2219999999998</v>
      </c>
      <c r="X8" s="41">
        <v>-314.5</v>
      </c>
      <c r="Y8" s="41">
        <v>-319.5</v>
      </c>
      <c r="Z8" s="41">
        <v>-336</v>
      </c>
      <c r="AA8" s="117">
        <f t="shared" si="2"/>
        <v>844.38386450979249</v>
      </c>
      <c r="AB8" s="117">
        <f t="shared" si="3"/>
        <v>918.93368583701715</v>
      </c>
      <c r="AC8" s="117">
        <f t="shared" si="4"/>
        <v>1003.5945057193172</v>
      </c>
      <c r="AD8" s="117">
        <f t="shared" si="5"/>
        <v>553.67376063536301</v>
      </c>
      <c r="AE8" s="117">
        <f t="shared" si="6"/>
        <v>615.79542118625352</v>
      </c>
      <c r="AF8" s="117">
        <f t="shared" si="7"/>
        <v>681.1792087799314</v>
      </c>
      <c r="AG8" s="117">
        <f t="shared" si="8"/>
        <v>583.36621642848445</v>
      </c>
      <c r="AH8" s="117">
        <f t="shared" si="9"/>
        <v>640.87830089692125</v>
      </c>
      <c r="AI8" s="117">
        <f t="shared" si="10"/>
        <v>709.62192987722221</v>
      </c>
      <c r="AJ8" s="117">
        <f t="shared" si="11"/>
        <v>442.58656426696655</v>
      </c>
      <c r="AK8" s="117">
        <f t="shared" si="12"/>
        <v>475.39212805766755</v>
      </c>
      <c r="AL8" s="117">
        <f t="shared" si="13"/>
        <v>485.44110704995569</v>
      </c>
      <c r="AM8" s="117">
        <f t="shared" si="14"/>
        <v>-23.268718566024905</v>
      </c>
      <c r="AN8" s="117">
        <f t="shared" si="15"/>
        <v>-23.638650498712106</v>
      </c>
      <c r="AO8" s="117">
        <f t="shared" si="16"/>
        <v>-24.85942587657987</v>
      </c>
      <c r="AP8" s="82">
        <v>0.37808999999999998</v>
      </c>
      <c r="AQ8" s="117">
        <f t="shared" si="17"/>
        <v>485.44110704995569</v>
      </c>
      <c r="AR8" s="117">
        <f t="shared" si="18"/>
        <v>1283.9300353089363</v>
      </c>
      <c r="AT8" s="50">
        <v>16</v>
      </c>
      <c r="AU8" s="116" t="s">
        <v>297</v>
      </c>
      <c r="AV8" s="117">
        <f t="shared" si="19"/>
        <v>8337.4034514344039</v>
      </c>
      <c r="AW8" s="117">
        <f t="shared" si="20"/>
        <v>5727.7138352490538</v>
      </c>
    </row>
    <row r="9" spans="1:49" ht="13.95" customHeight="1" x14ac:dyDescent="0.3">
      <c r="A9" s="115" t="s">
        <v>303</v>
      </c>
      <c r="B9" s="116" t="s">
        <v>304</v>
      </c>
      <c r="C9" s="116" t="s">
        <v>295</v>
      </c>
      <c r="D9" s="116" t="s">
        <v>295</v>
      </c>
      <c r="E9" s="52">
        <v>3.3439999999999998E-2</v>
      </c>
      <c r="F9" s="50">
        <v>14.6</v>
      </c>
      <c r="G9" s="50">
        <v>16.350000000000001</v>
      </c>
      <c r="H9" s="99">
        <f t="shared" si="0"/>
        <v>3.7448219178082193E-2</v>
      </c>
      <c r="I9" s="30">
        <f t="shared" si="1"/>
        <v>3.3683053854457655E-2</v>
      </c>
      <c r="J9" s="20">
        <f>I9*Assumptions!$D$7</f>
        <v>7020.6235863480097</v>
      </c>
      <c r="K9" s="41">
        <v>179573.1348910488</v>
      </c>
      <c r="L9" s="41">
        <v>19414</v>
      </c>
      <c r="M9" s="41">
        <v>20412</v>
      </c>
      <c r="N9" s="41">
        <v>23060</v>
      </c>
      <c r="O9" s="41">
        <v>19414</v>
      </c>
      <c r="P9" s="41">
        <v>20412</v>
      </c>
      <c r="Q9" s="41">
        <v>23060</v>
      </c>
      <c r="U9" s="41">
        <v>19414</v>
      </c>
      <c r="V9" s="41">
        <v>20412</v>
      </c>
      <c r="W9" s="41">
        <v>23060</v>
      </c>
      <c r="AA9" s="117">
        <f t="shared" si="2"/>
        <v>759.01323651812208</v>
      </c>
      <c r="AB9" s="117">
        <f t="shared" si="3"/>
        <v>798.0312240552131</v>
      </c>
      <c r="AC9" s="117">
        <f t="shared" si="4"/>
        <v>901.55790842216413</v>
      </c>
      <c r="AD9" s="117">
        <f t="shared" si="5"/>
        <v>759.01323651812208</v>
      </c>
      <c r="AE9" s="117">
        <f t="shared" si="6"/>
        <v>798.0312240552131</v>
      </c>
      <c r="AF9" s="117">
        <f t="shared" si="7"/>
        <v>901.55790842216413</v>
      </c>
      <c r="AG9" s="117">
        <f t="shared" si="8"/>
        <v>0</v>
      </c>
      <c r="AH9" s="117">
        <f t="shared" si="9"/>
        <v>0</v>
      </c>
      <c r="AI9" s="117">
        <f t="shared" si="10"/>
        <v>0</v>
      </c>
      <c r="AJ9" s="117">
        <f t="shared" si="11"/>
        <v>759.01323651812208</v>
      </c>
      <c r="AK9" s="117">
        <f t="shared" si="12"/>
        <v>798.0312240552131</v>
      </c>
      <c r="AL9" s="117">
        <f t="shared" si="13"/>
        <v>901.55790842216413</v>
      </c>
      <c r="AM9" s="117">
        <f t="shared" si="14"/>
        <v>0</v>
      </c>
      <c r="AN9" s="117">
        <f t="shared" si="15"/>
        <v>0</v>
      </c>
      <c r="AO9" s="117">
        <f t="shared" si="16"/>
        <v>0</v>
      </c>
      <c r="AQ9" s="117">
        <f t="shared" si="17"/>
        <v>0</v>
      </c>
      <c r="AR9" s="117">
        <f t="shared" si="18"/>
        <v>0</v>
      </c>
      <c r="AS9" s="111" t="s">
        <v>300</v>
      </c>
      <c r="AT9" s="50">
        <v>17</v>
      </c>
      <c r="AU9" s="116" t="s">
        <v>305</v>
      </c>
      <c r="AV9" s="117">
        <f t="shared" si="19"/>
        <v>7020.6235863480097</v>
      </c>
      <c r="AW9" s="117">
        <f t="shared" si="20"/>
        <v>7299.7309460499173</v>
      </c>
    </row>
    <row r="10" spans="1:49" ht="13.95" customHeight="1" x14ac:dyDescent="0.3">
      <c r="A10" s="115" t="s">
        <v>306</v>
      </c>
      <c r="B10" s="116" t="s">
        <v>307</v>
      </c>
      <c r="C10" s="116" t="s">
        <v>295</v>
      </c>
      <c r="D10" s="116" t="s">
        <v>295</v>
      </c>
      <c r="E10" s="52">
        <v>2.9329999999999998E-2</v>
      </c>
      <c r="F10" s="50">
        <v>64.099999999999994</v>
      </c>
      <c r="G10" s="50">
        <v>80.73</v>
      </c>
      <c r="H10" s="99">
        <f t="shared" si="0"/>
        <v>3.6939327613104526E-2</v>
      </c>
      <c r="I10" s="30">
        <f t="shared" si="1"/>
        <v>3.3225327896710261E-2</v>
      </c>
      <c r="J10" s="20">
        <f>I10*Assumptions!$D$7</f>
        <v>6925.2188861408813</v>
      </c>
      <c r="K10" s="41">
        <v>305584.14447699999</v>
      </c>
      <c r="L10" s="41">
        <v>42383</v>
      </c>
      <c r="M10" s="41">
        <v>48877.2</v>
      </c>
      <c r="N10" s="41">
        <v>55529.888888888883</v>
      </c>
      <c r="O10" s="41">
        <v>25071.666666666672</v>
      </c>
      <c r="P10" s="41">
        <v>28280.333333333328</v>
      </c>
      <c r="Q10" s="41">
        <v>32011</v>
      </c>
      <c r="R10" s="41">
        <v>25522</v>
      </c>
      <c r="S10" s="41">
        <v>30252.5</v>
      </c>
      <c r="T10" s="41">
        <v>34882</v>
      </c>
      <c r="U10" s="41">
        <v>20474.182000000001</v>
      </c>
      <c r="V10" s="41">
        <v>23359.364000000001</v>
      </c>
      <c r="W10" s="41">
        <v>26673.599999999999</v>
      </c>
      <c r="AA10" s="117">
        <f t="shared" si="2"/>
        <v>960.49339390185651</v>
      </c>
      <c r="AB10" s="117">
        <f t="shared" si="3"/>
        <v>1107.6664632616807</v>
      </c>
      <c r="AC10" s="117">
        <f t="shared" si="4"/>
        <v>1258.4312446471904</v>
      </c>
      <c r="AD10" s="117">
        <f t="shared" si="5"/>
        <v>568.17993552704422</v>
      </c>
      <c r="AE10" s="117">
        <f t="shared" si="6"/>
        <v>640.8954850767791</v>
      </c>
      <c r="AF10" s="117">
        <f t="shared" si="7"/>
        <v>725.44071991582302</v>
      </c>
      <c r="AG10" s="117">
        <f t="shared" si="8"/>
        <v>578.38549416424462</v>
      </c>
      <c r="AH10" s="117">
        <f t="shared" si="9"/>
        <v>685.58918431955999</v>
      </c>
      <c r="AI10" s="117">
        <f t="shared" si="10"/>
        <v>790.50398900702066</v>
      </c>
      <c r="AJ10" s="117">
        <f t="shared" si="11"/>
        <v>463.99066976250617</v>
      </c>
      <c r="AK10" s="117">
        <f t="shared" si="12"/>
        <v>529.37533463296245</v>
      </c>
      <c r="AL10" s="117">
        <f t="shared" si="13"/>
        <v>604.48332094425973</v>
      </c>
      <c r="AM10" s="117">
        <f t="shared" si="14"/>
        <v>0</v>
      </c>
      <c r="AN10" s="117">
        <f t="shared" si="15"/>
        <v>0</v>
      </c>
      <c r="AO10" s="117">
        <f t="shared" si="16"/>
        <v>0</v>
      </c>
      <c r="AP10" s="82">
        <v>0.24859999999999999</v>
      </c>
      <c r="AQ10" s="117">
        <f t="shared" si="17"/>
        <v>604.48332094425973</v>
      </c>
      <c r="AR10" s="117">
        <f t="shared" si="18"/>
        <v>2431.549963573048</v>
      </c>
      <c r="AS10" s="111" t="s">
        <v>308</v>
      </c>
      <c r="AT10" s="50">
        <v>63</v>
      </c>
      <c r="AU10" s="116" t="s">
        <v>297</v>
      </c>
      <c r="AV10" s="117">
        <f t="shared" si="19"/>
        <v>6925.2188861408813</v>
      </c>
      <c r="AW10" s="117">
        <f t="shared" si="20"/>
        <v>5404.295674803363</v>
      </c>
    </row>
    <row r="11" spans="1:49" ht="13.95" customHeight="1" x14ac:dyDescent="0.3">
      <c r="A11" s="115" t="s">
        <v>309</v>
      </c>
      <c r="B11" s="116" t="s">
        <v>310</v>
      </c>
      <c r="C11" s="116" t="s">
        <v>295</v>
      </c>
      <c r="D11" s="116" t="s">
        <v>295</v>
      </c>
      <c r="E11" s="52">
        <v>2.512E-2</v>
      </c>
      <c r="F11" s="50">
        <v>23.07</v>
      </c>
      <c r="G11" s="50">
        <v>26.44</v>
      </c>
      <c r="H11" s="99">
        <f t="shared" si="0"/>
        <v>2.8789458170784567E-2</v>
      </c>
      <c r="I11" s="30">
        <f t="shared" si="1"/>
        <v>2.5894872741365267E-2</v>
      </c>
      <c r="J11" s="20">
        <f>I11*Assumptions!$D$7</f>
        <v>5397.3180436384264</v>
      </c>
      <c r="K11" s="41">
        <v>138571.5670872</v>
      </c>
      <c r="L11" s="41">
        <v>149736.625</v>
      </c>
      <c r="M11" s="41">
        <v>156547.5</v>
      </c>
      <c r="N11" s="41">
        <v>163578.875</v>
      </c>
      <c r="U11" s="41">
        <v>17093.5</v>
      </c>
      <c r="V11" s="41">
        <v>24478.75</v>
      </c>
      <c r="W11" s="41">
        <v>29169</v>
      </c>
      <c r="AA11" s="117">
        <f t="shared" si="2"/>
        <v>5832.1934643161921</v>
      </c>
      <c r="AB11" s="117">
        <f t="shared" si="3"/>
        <v>6097.4748586395563</v>
      </c>
      <c r="AC11" s="117">
        <f t="shared" si="4"/>
        <v>6371.344657161836</v>
      </c>
      <c r="AD11" s="117">
        <f t="shared" si="5"/>
        <v>0</v>
      </c>
      <c r="AE11" s="117">
        <f t="shared" si="6"/>
        <v>0</v>
      </c>
      <c r="AF11" s="117">
        <f t="shared" si="7"/>
        <v>0</v>
      </c>
      <c r="AG11" s="117">
        <f t="shared" si="8"/>
        <v>0</v>
      </c>
      <c r="AH11" s="117">
        <f t="shared" si="9"/>
        <v>0</v>
      </c>
      <c r="AI11" s="117">
        <f t="shared" si="10"/>
        <v>0</v>
      </c>
      <c r="AJ11" s="117">
        <f t="shared" si="11"/>
        <v>665.78633639090526</v>
      </c>
      <c r="AK11" s="117">
        <f t="shared" si="12"/>
        <v>953.43945253627828</v>
      </c>
      <c r="AL11" s="117">
        <f t="shared" si="13"/>
        <v>1136.1231840282164</v>
      </c>
      <c r="AM11" s="117">
        <f t="shared" si="14"/>
        <v>0</v>
      </c>
      <c r="AN11" s="117">
        <f t="shared" si="15"/>
        <v>0</v>
      </c>
      <c r="AO11" s="117">
        <f t="shared" si="16"/>
        <v>0</v>
      </c>
      <c r="AP11" s="82">
        <v>0.13250999999999999</v>
      </c>
      <c r="AQ11" s="117">
        <f t="shared" si="17"/>
        <v>1136.1231840282164</v>
      </c>
      <c r="AR11" s="117">
        <f t="shared" si="18"/>
        <v>8573.8675120988337</v>
      </c>
      <c r="AS11" s="111" t="s">
        <v>311</v>
      </c>
      <c r="AT11" s="50">
        <v>21</v>
      </c>
      <c r="AU11" s="116" t="s">
        <v>297</v>
      </c>
      <c r="AV11" s="117">
        <f t="shared" si="19"/>
        <v>5397.3180436384264</v>
      </c>
      <c r="AW11" s="117">
        <f t="shared" si="20"/>
        <v>4286.8259801969343</v>
      </c>
    </row>
    <row r="12" spans="1:49" ht="13.95" customHeight="1" x14ac:dyDescent="0.3">
      <c r="A12" s="115" t="s">
        <v>312</v>
      </c>
      <c r="B12" s="116" t="s">
        <v>313</v>
      </c>
      <c r="C12" s="116" t="s">
        <v>295</v>
      </c>
      <c r="D12" s="116" t="s">
        <v>295</v>
      </c>
      <c r="E12" s="52">
        <v>9.2500000000000013E-3</v>
      </c>
      <c r="F12" s="50">
        <v>39.18</v>
      </c>
      <c r="G12" s="50">
        <v>41.2</v>
      </c>
      <c r="H12" s="99">
        <f t="shared" si="0"/>
        <v>9.7269014803471193E-3</v>
      </c>
      <c r="I12" s="30">
        <f t="shared" si="1"/>
        <v>8.7489272812014841E-3</v>
      </c>
      <c r="J12" s="20">
        <f>I12*Assumptions!$D$7</f>
        <v>1823.5557111612054</v>
      </c>
      <c r="K12" s="41">
        <v>78199.592000000004</v>
      </c>
      <c r="L12" s="41">
        <v>9682.5714285714275</v>
      </c>
      <c r="M12" s="41">
        <v>9166.875</v>
      </c>
      <c r="N12" s="41">
        <v>9647.1428571428569</v>
      </c>
      <c r="O12" s="41">
        <v>9490</v>
      </c>
      <c r="P12" s="41">
        <v>9306.25</v>
      </c>
      <c r="Q12" s="41">
        <v>9782.5</v>
      </c>
      <c r="R12" s="41">
        <v>10880.5</v>
      </c>
      <c r="S12" s="41">
        <v>10610.5</v>
      </c>
      <c r="T12" s="41">
        <v>10965</v>
      </c>
      <c r="U12" s="41">
        <v>8662.5</v>
      </c>
      <c r="V12" s="41">
        <v>8582.6</v>
      </c>
      <c r="W12" s="41">
        <v>8977.125</v>
      </c>
      <c r="AA12" s="117">
        <f t="shared" si="2"/>
        <v>225.79028835978755</v>
      </c>
      <c r="AB12" s="117">
        <f t="shared" si="3"/>
        <v>213.76463523941243</v>
      </c>
      <c r="AC12" s="117">
        <f t="shared" si="4"/>
        <v>224.9641207019454</v>
      </c>
      <c r="AD12" s="117">
        <f t="shared" si="5"/>
        <v>221.29966738087123</v>
      </c>
      <c r="AE12" s="117">
        <f t="shared" si="6"/>
        <v>217.01475548611515</v>
      </c>
      <c r="AF12" s="117">
        <f t="shared" si="7"/>
        <v>228.12054753987067</v>
      </c>
      <c r="AG12" s="117">
        <f t="shared" si="8"/>
        <v>253.72508229057632</v>
      </c>
      <c r="AH12" s="117">
        <f t="shared" si="9"/>
        <v>247.42888522073068</v>
      </c>
      <c r="AI12" s="117">
        <f t="shared" si="10"/>
        <v>255.69555878095392</v>
      </c>
      <c r="AJ12" s="117">
        <f t="shared" si="11"/>
        <v>202.00298932421467</v>
      </c>
      <c r="AK12" s="117">
        <f t="shared" si="12"/>
        <v>200.13978137650847</v>
      </c>
      <c r="AL12" s="117">
        <f t="shared" si="13"/>
        <v>209.33980785421534</v>
      </c>
      <c r="AM12" s="117">
        <f t="shared" si="14"/>
        <v>0</v>
      </c>
      <c r="AN12" s="117">
        <f t="shared" si="15"/>
        <v>0</v>
      </c>
      <c r="AO12" s="117">
        <f t="shared" si="16"/>
        <v>0</v>
      </c>
      <c r="AP12" s="82">
        <v>0.81662999999999997</v>
      </c>
      <c r="AQ12" s="117">
        <f t="shared" si="17"/>
        <v>209.33980785421534</v>
      </c>
      <c r="AR12" s="117">
        <f t="shared" si="18"/>
        <v>256.3459680078069</v>
      </c>
      <c r="AS12" s="111" t="s">
        <v>308</v>
      </c>
      <c r="AT12" s="50">
        <v>37.384616851806641</v>
      </c>
      <c r="AU12" s="116" t="s">
        <v>305</v>
      </c>
      <c r="AV12" s="117">
        <f t="shared" si="19"/>
        <v>1823.5557111612054</v>
      </c>
      <c r="AW12" s="117">
        <f t="shared" si="20"/>
        <v>1654.6828050894524</v>
      </c>
    </row>
    <row r="13" spans="1:49" ht="13.95" customHeight="1" x14ac:dyDescent="0.3">
      <c r="A13" s="115" t="s">
        <v>314</v>
      </c>
      <c r="B13" s="116" t="s">
        <v>299</v>
      </c>
      <c r="C13" s="116" t="s">
        <v>295</v>
      </c>
      <c r="D13" s="116" t="s">
        <v>295</v>
      </c>
      <c r="E13" s="52">
        <v>9.1000000000000004E-3</v>
      </c>
      <c r="F13" s="50">
        <v>16.22</v>
      </c>
      <c r="G13" s="50">
        <v>19.37</v>
      </c>
      <c r="H13" s="99">
        <f t="shared" si="0"/>
        <v>1.0867262638717633E-2</v>
      </c>
      <c r="I13" s="30">
        <f t="shared" si="1"/>
        <v>9.7746328328664599E-3</v>
      </c>
      <c r="J13" s="20">
        <f>I13*Assumptions!$D$7</f>
        <v>2037.3454886493955</v>
      </c>
      <c r="K13" s="41">
        <v>226447.75534606999</v>
      </c>
      <c r="L13" s="41">
        <v>150490.36363636359</v>
      </c>
      <c r="M13" s="41">
        <v>162160.18181818179</v>
      </c>
      <c r="N13" s="41">
        <v>174205.3</v>
      </c>
      <c r="O13" s="41">
        <v>35753.199999999997</v>
      </c>
      <c r="P13" s="41">
        <v>41429.199999999997</v>
      </c>
      <c r="Q13" s="41">
        <v>47109.599999999999</v>
      </c>
      <c r="U13" s="41">
        <v>27739.922999999999</v>
      </c>
      <c r="V13" s="41">
        <v>30648.077000000001</v>
      </c>
      <c r="W13" s="41">
        <v>33619.082999999999</v>
      </c>
      <c r="AA13" s="117">
        <f t="shared" si="2"/>
        <v>1353.9585012498269</v>
      </c>
      <c r="AB13" s="117">
        <f t="shared" si="3"/>
        <v>1458.9515995022298</v>
      </c>
      <c r="AC13" s="117">
        <f t="shared" si="4"/>
        <v>1567.3212636239723</v>
      </c>
      <c r="AD13" s="117">
        <f t="shared" si="5"/>
        <v>321.67075630075897</v>
      </c>
      <c r="AE13" s="117">
        <f t="shared" si="6"/>
        <v>372.73760382106781</v>
      </c>
      <c r="AF13" s="117">
        <f t="shared" si="7"/>
        <v>423.8440380448809</v>
      </c>
      <c r="AG13" s="117">
        <f t="shared" si="8"/>
        <v>0</v>
      </c>
      <c r="AH13" s="117">
        <f t="shared" si="9"/>
        <v>0</v>
      </c>
      <c r="AI13" s="117">
        <f t="shared" si="10"/>
        <v>0</v>
      </c>
      <c r="AJ13" s="117">
        <f t="shared" si="11"/>
        <v>249.57547886999816</v>
      </c>
      <c r="AK13" s="117">
        <f t="shared" si="12"/>
        <v>275.74007662961344</v>
      </c>
      <c r="AL13" s="117">
        <f t="shared" si="13"/>
        <v>302.47015245482891</v>
      </c>
      <c r="AM13" s="117">
        <f t="shared" si="14"/>
        <v>0</v>
      </c>
      <c r="AN13" s="117">
        <f t="shared" si="15"/>
        <v>0</v>
      </c>
      <c r="AO13" s="117">
        <f t="shared" si="16"/>
        <v>0</v>
      </c>
      <c r="AP13" s="82">
        <v>0.1615</v>
      </c>
      <c r="AQ13" s="117">
        <f t="shared" si="17"/>
        <v>302.47015245482891</v>
      </c>
      <c r="AR13" s="117">
        <f t="shared" si="18"/>
        <v>1872.880200958693</v>
      </c>
      <c r="AS13" s="111" t="s">
        <v>300</v>
      </c>
      <c r="AT13" s="50">
        <v>21</v>
      </c>
      <c r="AU13" s="116" t="s">
        <v>297</v>
      </c>
      <c r="AV13" s="117">
        <f t="shared" si="19"/>
        <v>2037.3454886493955</v>
      </c>
      <c r="AW13" s="117">
        <f t="shared" si="20"/>
        <v>2208.7896366358959</v>
      </c>
    </row>
    <row r="14" spans="1:49" ht="13.95" customHeight="1" x14ac:dyDescent="0.3">
      <c r="A14" s="115" t="s">
        <v>315</v>
      </c>
      <c r="B14" s="116" t="s">
        <v>316</v>
      </c>
      <c r="C14" s="116" t="s">
        <v>295</v>
      </c>
      <c r="D14" s="116" t="s">
        <v>295</v>
      </c>
      <c r="E14" s="52">
        <v>4.5700000000000003E-3</v>
      </c>
      <c r="F14" s="50">
        <v>19.88</v>
      </c>
      <c r="G14" s="50">
        <v>20.77</v>
      </c>
      <c r="H14" s="99">
        <f t="shared" si="0"/>
        <v>4.7745925553319924E-3</v>
      </c>
      <c r="I14" s="30">
        <f t="shared" si="1"/>
        <v>4.29453954564726E-3</v>
      </c>
      <c r="J14" s="20">
        <f>I14*Assumptions!$D$7</f>
        <v>895.11912301518612</v>
      </c>
      <c r="K14" s="41">
        <v>63090</v>
      </c>
      <c r="L14" s="41">
        <v>6236.666666666667</v>
      </c>
      <c r="M14" s="41">
        <v>6932.5</v>
      </c>
      <c r="N14" s="41">
        <v>7628.2</v>
      </c>
      <c r="O14" s="41">
        <v>5141</v>
      </c>
      <c r="P14" s="41">
        <v>5629.4</v>
      </c>
      <c r="Q14" s="41">
        <v>6133</v>
      </c>
      <c r="R14" s="41">
        <v>5214</v>
      </c>
      <c r="S14" s="41">
        <v>5604</v>
      </c>
      <c r="T14" s="41">
        <v>6111</v>
      </c>
      <c r="U14" s="41">
        <v>4676.4440000000004</v>
      </c>
      <c r="V14" s="41">
        <v>5099.8890000000001</v>
      </c>
      <c r="W14" s="41">
        <v>5562.143</v>
      </c>
      <c r="AA14" s="117">
        <f t="shared" si="2"/>
        <v>88.485649028446844</v>
      </c>
      <c r="AB14" s="117">
        <f t="shared" si="3"/>
        <v>98.358112542443777</v>
      </c>
      <c r="AC14" s="117">
        <f t="shared" si="4"/>
        <v>108.22868432690511</v>
      </c>
      <c r="AD14" s="117">
        <f t="shared" si="5"/>
        <v>72.940361569520874</v>
      </c>
      <c r="AE14" s="117">
        <f t="shared" si="6"/>
        <v>79.869766858482933</v>
      </c>
      <c r="AF14" s="117">
        <f t="shared" si="7"/>
        <v>87.014829314505263</v>
      </c>
      <c r="AG14" s="117">
        <f t="shared" si="8"/>
        <v>73.976083490270724</v>
      </c>
      <c r="AH14" s="117">
        <f t="shared" si="9"/>
        <v>79.509392381948061</v>
      </c>
      <c r="AI14" s="117">
        <f t="shared" si="10"/>
        <v>86.702693941128587</v>
      </c>
      <c r="AJ14" s="117">
        <f t="shared" si="11"/>
        <v>66.349254273413052</v>
      </c>
      <c r="AK14" s="117">
        <f t="shared" si="12"/>
        <v>72.357079872480497</v>
      </c>
      <c r="AL14" s="117">
        <f t="shared" si="13"/>
        <v>78.915526458155909</v>
      </c>
      <c r="AM14" s="117">
        <f t="shared" si="14"/>
        <v>0</v>
      </c>
      <c r="AN14" s="117">
        <f t="shared" si="15"/>
        <v>0</v>
      </c>
      <c r="AO14" s="117">
        <f t="shared" si="16"/>
        <v>0</v>
      </c>
      <c r="AP14" s="82">
        <v>0.42340000000000011</v>
      </c>
      <c r="AQ14" s="117">
        <f t="shared" si="17"/>
        <v>78.915526458155909</v>
      </c>
      <c r="AR14" s="117">
        <f t="shared" si="18"/>
        <v>186.38527741652311</v>
      </c>
      <c r="AS14" s="111" t="s">
        <v>308</v>
      </c>
      <c r="AT14" s="50">
        <v>20</v>
      </c>
      <c r="AU14" s="116" t="s">
        <v>297</v>
      </c>
      <c r="AV14" s="117">
        <f t="shared" si="19"/>
        <v>895.11912301518612</v>
      </c>
      <c r="AW14" s="117">
        <f t="shared" si="20"/>
        <v>861.93463939834965</v>
      </c>
    </row>
    <row r="15" spans="1:49" ht="13.95" customHeight="1" x14ac:dyDescent="0.3">
      <c r="A15" s="115" t="s">
        <v>317</v>
      </c>
      <c r="B15" s="116" t="s">
        <v>318</v>
      </c>
      <c r="C15" s="116" t="s">
        <v>295</v>
      </c>
      <c r="D15" s="116" t="s">
        <v>295</v>
      </c>
      <c r="E15" s="52">
        <v>3.9199999999999999E-3</v>
      </c>
      <c r="F15" s="50">
        <v>28.75</v>
      </c>
      <c r="G15" s="50">
        <v>28.76</v>
      </c>
      <c r="H15" s="99">
        <f t="shared" si="0"/>
        <v>3.9213634782608699E-3</v>
      </c>
      <c r="I15" s="30">
        <f t="shared" si="1"/>
        <v>3.5270968852497667E-3</v>
      </c>
      <c r="J15" s="20">
        <f>I15*Assumptions!$D$7</f>
        <v>735.15957581862858</v>
      </c>
      <c r="K15" s="41">
        <v>109308.4474447</v>
      </c>
      <c r="L15" s="41">
        <v>83362.111111111109</v>
      </c>
      <c r="M15" s="41">
        <v>91025.333333333328</v>
      </c>
      <c r="N15" s="41">
        <v>97332.555555555562</v>
      </c>
      <c r="O15" s="41">
        <v>15347</v>
      </c>
      <c r="P15" s="41">
        <v>17953.5</v>
      </c>
      <c r="Q15" s="41">
        <v>22791.5</v>
      </c>
      <c r="T15" s="41">
        <v>25577</v>
      </c>
      <c r="U15" s="41">
        <v>13604.778</v>
      </c>
      <c r="V15" s="41">
        <v>15814.1</v>
      </c>
      <c r="W15" s="41">
        <v>18082.900000000001</v>
      </c>
      <c r="AA15" s="117">
        <f t="shared" si="2"/>
        <v>560.65615857177113</v>
      </c>
      <c r="AB15" s="117">
        <f t="shared" si="3"/>
        <v>612.19555310157546</v>
      </c>
      <c r="AC15" s="117">
        <f t="shared" si="4"/>
        <v>654.61510000647979</v>
      </c>
      <c r="AD15" s="117">
        <f t="shared" si="5"/>
        <v>103.21703650393896</v>
      </c>
      <c r="AE15" s="117">
        <f t="shared" si="6"/>
        <v>120.74718608675754</v>
      </c>
      <c r="AF15" s="117">
        <f t="shared" si="7"/>
        <v>153.28540349772103</v>
      </c>
      <c r="AG15" s="117">
        <f t="shared" si="8"/>
        <v>0</v>
      </c>
      <c r="AH15" s="117">
        <f t="shared" si="9"/>
        <v>0</v>
      </c>
      <c r="AI15" s="117">
        <f t="shared" si="10"/>
        <v>172.01942677143722</v>
      </c>
      <c r="AJ15" s="117">
        <f t="shared" si="11"/>
        <v>91.499632987162684</v>
      </c>
      <c r="AK15" s="117">
        <f t="shared" si="12"/>
        <v>106.35854153756051</v>
      </c>
      <c r="AL15" s="117">
        <f t="shared" si="13"/>
        <v>121.61747243090362</v>
      </c>
      <c r="AM15" s="117">
        <f t="shared" si="14"/>
        <v>0</v>
      </c>
      <c r="AN15" s="117">
        <f t="shared" si="15"/>
        <v>0</v>
      </c>
      <c r="AO15" s="117">
        <f t="shared" si="16"/>
        <v>0</v>
      </c>
      <c r="AP15" s="82">
        <v>0.15956999999999999</v>
      </c>
      <c r="AQ15" s="117">
        <f t="shared" si="17"/>
        <v>121.61747243090362</v>
      </c>
      <c r="AR15" s="117">
        <f t="shared" si="18"/>
        <v>762.15750097702346</v>
      </c>
      <c r="AS15" s="111" t="s">
        <v>319</v>
      </c>
      <c r="AT15" s="50">
        <v>44</v>
      </c>
      <c r="AU15" s="116" t="s">
        <v>297</v>
      </c>
      <c r="AV15" s="117">
        <f t="shared" si="19"/>
        <v>735.15957581862858</v>
      </c>
      <c r="AW15" s="117">
        <f t="shared" si="20"/>
        <v>1124.7225777475542</v>
      </c>
    </row>
    <row r="16" spans="1:49" ht="13.95" customHeight="1" x14ac:dyDescent="0.3">
      <c r="A16" s="115" t="s">
        <v>320</v>
      </c>
      <c r="B16" s="116" t="s">
        <v>321</v>
      </c>
      <c r="C16" s="116" t="s">
        <v>295</v>
      </c>
      <c r="D16" s="116" t="s">
        <v>295</v>
      </c>
      <c r="E16" s="52">
        <v>3.2399999999999998E-3</v>
      </c>
      <c r="F16" s="50">
        <v>47.29</v>
      </c>
      <c r="G16" s="50">
        <v>51.69</v>
      </c>
      <c r="H16" s="99">
        <f t="shared" si="0"/>
        <v>3.5414590822584052E-3</v>
      </c>
      <c r="I16" s="30">
        <f t="shared" si="1"/>
        <v>3.185389308469034E-3</v>
      </c>
      <c r="J16" s="20">
        <f>I16*Assumptions!$D$7</f>
        <v>663.936809511673</v>
      </c>
      <c r="K16" s="41">
        <v>34042.756059000007</v>
      </c>
      <c r="L16" s="41">
        <v>38692.833333333343</v>
      </c>
      <c r="M16" s="41">
        <v>42153.166666666657</v>
      </c>
      <c r="N16" s="41">
        <v>45640.833333333343</v>
      </c>
      <c r="O16" s="41">
        <v>4856.5</v>
      </c>
      <c r="P16" s="41">
        <v>5492</v>
      </c>
      <c r="Q16" s="41">
        <v>6232.5</v>
      </c>
      <c r="U16" s="41">
        <v>3715.9</v>
      </c>
      <c r="V16" s="41">
        <v>3997.4</v>
      </c>
      <c r="W16" s="41">
        <v>4403.375</v>
      </c>
      <c r="X16" s="41">
        <v>-772</v>
      </c>
      <c r="Y16" s="41">
        <v>-888</v>
      </c>
      <c r="Z16" s="41">
        <v>-907</v>
      </c>
      <c r="AA16" s="117">
        <f t="shared" si="2"/>
        <v>754.62739473200202</v>
      </c>
      <c r="AB16" s="117">
        <f t="shared" si="3"/>
        <v>822.11437108604582</v>
      </c>
      <c r="AC16" s="117">
        <f t="shared" si="4"/>
        <v>890.13443019329623</v>
      </c>
      <c r="AD16" s="117">
        <f t="shared" si="5"/>
        <v>94.716453327256119</v>
      </c>
      <c r="AE16" s="117">
        <f t="shared" si="6"/>
        <v>107.11062733929593</v>
      </c>
      <c r="AF16" s="117">
        <f t="shared" si="7"/>
        <v>121.55261924474907</v>
      </c>
      <c r="AG16" s="117">
        <f t="shared" si="8"/>
        <v>0</v>
      </c>
      <c r="AH16" s="117">
        <f t="shared" si="9"/>
        <v>0</v>
      </c>
      <c r="AI16" s="117">
        <f t="shared" si="10"/>
        <v>0</v>
      </c>
      <c r="AJ16" s="117">
        <f t="shared" si="11"/>
        <v>72.471300096520352</v>
      </c>
      <c r="AK16" s="117">
        <f t="shared" si="12"/>
        <v>77.96140235362374</v>
      </c>
      <c r="AL16" s="117">
        <f t="shared" si="13"/>
        <v>85.879143965799742</v>
      </c>
      <c r="AM16" s="117">
        <f t="shared" si="14"/>
        <v>-15.056337273477141</v>
      </c>
      <c r="AN16" s="117">
        <f t="shared" si="15"/>
        <v>-17.318688470009974</v>
      </c>
      <c r="AO16" s="117">
        <f t="shared" si="16"/>
        <v>-17.689245993580009</v>
      </c>
      <c r="AP16" s="82">
        <v>0.22982</v>
      </c>
      <c r="AQ16" s="117">
        <f t="shared" si="17"/>
        <v>85.879143965799742</v>
      </c>
      <c r="AR16" s="117">
        <f t="shared" si="18"/>
        <v>373.68002769906769</v>
      </c>
      <c r="AS16" s="111" t="s">
        <v>322</v>
      </c>
      <c r="AT16" s="50">
        <v>56.5</v>
      </c>
      <c r="AU16" s="116" t="s">
        <v>305</v>
      </c>
      <c r="AV16" s="117">
        <f t="shared" si="19"/>
        <v>663.936809511673</v>
      </c>
      <c r="AW16" s="117">
        <f t="shared" si="20"/>
        <v>725.7192829833532</v>
      </c>
    </row>
    <row r="17" spans="1:49" ht="13.95" customHeight="1" x14ac:dyDescent="0.3">
      <c r="A17" s="115" t="s">
        <v>323</v>
      </c>
      <c r="B17" s="116" t="s">
        <v>324</v>
      </c>
      <c r="C17" s="116" t="s">
        <v>325</v>
      </c>
      <c r="D17" s="116" t="s">
        <v>325</v>
      </c>
      <c r="E17" s="52">
        <v>4.8300000000000003E-2</v>
      </c>
      <c r="F17" s="50">
        <v>55.35</v>
      </c>
      <c r="G17" s="50">
        <v>61.49</v>
      </c>
      <c r="H17" s="99">
        <f t="shared" si="0"/>
        <v>5.3657940379403801E-2</v>
      </c>
      <c r="I17" s="30">
        <f t="shared" si="1"/>
        <v>4.8262997151452144E-2</v>
      </c>
      <c r="J17" s="20">
        <f>I17*Assumptions!$D$7</f>
        <v>10059.549161231702</v>
      </c>
      <c r="K17" s="41">
        <v>169405.09948465999</v>
      </c>
      <c r="L17" s="41">
        <v>44513.545454545463</v>
      </c>
      <c r="M17" s="41">
        <v>51510.727272727272</v>
      </c>
      <c r="N17" s="41">
        <v>50594.3</v>
      </c>
      <c r="O17" s="41">
        <v>21767.200000000001</v>
      </c>
      <c r="P17" s="41">
        <v>29362</v>
      </c>
      <c r="Q17" s="41">
        <v>28773.8</v>
      </c>
      <c r="R17" s="41">
        <v>28674.444444444442</v>
      </c>
      <c r="S17" s="41">
        <v>35952.666666666657</v>
      </c>
      <c r="T17" s="41">
        <v>35675</v>
      </c>
      <c r="U17" s="41">
        <v>9732.9089999999997</v>
      </c>
      <c r="V17" s="41">
        <v>15666.636</v>
      </c>
      <c r="W17" s="41">
        <v>15374.8</v>
      </c>
      <c r="X17" s="41">
        <v>-10141.25</v>
      </c>
      <c r="Y17" s="41">
        <v>-11373.5</v>
      </c>
      <c r="Z17" s="41">
        <v>-10673</v>
      </c>
      <c r="AA17" s="117">
        <f t="shared" si="2"/>
        <v>2643.2864193752921</v>
      </c>
      <c r="AB17" s="117">
        <f t="shared" si="3"/>
        <v>3058.7904077688077</v>
      </c>
      <c r="AC17" s="117">
        <f t="shared" si="4"/>
        <v>3004.3714721479928</v>
      </c>
      <c r="AD17" s="117">
        <f t="shared" si="5"/>
        <v>1292.5715882725876</v>
      </c>
      <c r="AE17" s="117">
        <f t="shared" si="6"/>
        <v>1743.5631121531351</v>
      </c>
      <c r="AF17" s="117">
        <f t="shared" si="7"/>
        <v>1708.6348435553393</v>
      </c>
      <c r="AG17" s="117">
        <f t="shared" si="8"/>
        <v>1702.7349497587945</v>
      </c>
      <c r="AH17" s="117">
        <f t="shared" si="9"/>
        <v>2134.9275724929362</v>
      </c>
      <c r="AI17" s="117">
        <f t="shared" si="10"/>
        <v>2118.4392761413765</v>
      </c>
      <c r="AJ17" s="117">
        <f t="shared" si="11"/>
        <v>577.95589899677327</v>
      </c>
      <c r="AK17" s="117">
        <f t="shared" si="12"/>
        <v>930.31021800730002</v>
      </c>
      <c r="AL17" s="117">
        <f t="shared" si="13"/>
        <v>912.98052369498043</v>
      </c>
      <c r="AM17" s="117">
        <f t="shared" si="14"/>
        <v>-602.2038488905041</v>
      </c>
      <c r="AN17" s="117">
        <f t="shared" si="15"/>
        <v>-675.37684953591997</v>
      </c>
      <c r="AO17" s="117">
        <f t="shared" si="16"/>
        <v>-633.78002506676694</v>
      </c>
      <c r="AP17" s="82">
        <v>0.12197</v>
      </c>
      <c r="AQ17" s="117">
        <f t="shared" si="17"/>
        <v>912.98052369498043</v>
      </c>
      <c r="AR17" s="117">
        <f t="shared" si="18"/>
        <v>7485.2875600145981</v>
      </c>
      <c r="AT17" s="50">
        <v>74.5</v>
      </c>
      <c r="AU17" s="116" t="s">
        <v>297</v>
      </c>
      <c r="AV17" s="117">
        <f t="shared" si="19"/>
        <v>10059.549161231702</v>
      </c>
      <c r="AW17" s="117">
        <f t="shared" si="20"/>
        <v>12187.939705834473</v>
      </c>
    </row>
    <row r="18" spans="1:49" ht="13.95" customHeight="1" x14ac:dyDescent="0.3">
      <c r="A18" s="115" t="s">
        <v>326</v>
      </c>
      <c r="B18" s="116" t="s">
        <v>327</v>
      </c>
      <c r="C18" s="116" t="s">
        <v>325</v>
      </c>
      <c r="D18" s="116" t="s">
        <v>325</v>
      </c>
      <c r="E18" s="52">
        <v>3.7019999999999997E-2</v>
      </c>
      <c r="F18" s="50">
        <v>27.43</v>
      </c>
      <c r="G18" s="50">
        <v>31.5</v>
      </c>
      <c r="H18" s="99">
        <f t="shared" si="0"/>
        <v>4.2512942034269044E-2</v>
      </c>
      <c r="I18" s="30">
        <f t="shared" si="1"/>
        <v>3.8238553060216708E-2</v>
      </c>
      <c r="J18" s="20">
        <f>I18*Assumptions!$D$7</f>
        <v>7970.1350323628449</v>
      </c>
      <c r="K18" s="41">
        <v>113143.16047074999</v>
      </c>
      <c r="L18" s="41">
        <v>31193.916666666672</v>
      </c>
      <c r="M18" s="41">
        <v>35866</v>
      </c>
      <c r="N18" s="41">
        <v>40763.222222222219</v>
      </c>
      <c r="O18" s="41">
        <v>12232.7</v>
      </c>
      <c r="P18" s="41">
        <v>16728.099999999999</v>
      </c>
      <c r="Q18" s="41">
        <v>19678.111111111109</v>
      </c>
      <c r="R18" s="41">
        <v>15095.75</v>
      </c>
      <c r="S18" s="41">
        <v>20130.36363636364</v>
      </c>
      <c r="T18" s="41">
        <v>23678.111111111109</v>
      </c>
      <c r="U18" s="41">
        <v>5579.1819999999998</v>
      </c>
      <c r="V18" s="41">
        <v>7501.7</v>
      </c>
      <c r="W18" s="41">
        <v>9525.2219999999998</v>
      </c>
      <c r="X18" s="41">
        <v>-18050</v>
      </c>
      <c r="Y18" s="41">
        <v>-16230</v>
      </c>
      <c r="Z18" s="41">
        <v>-17124</v>
      </c>
      <c r="AA18" s="117">
        <f t="shared" si="2"/>
        <v>2197.3906950025575</v>
      </c>
      <c r="AB18" s="117">
        <f t="shared" si="3"/>
        <v>2526.5059052741071</v>
      </c>
      <c r="AC18" s="117">
        <f t="shared" si="4"/>
        <v>2871.4805571417264</v>
      </c>
      <c r="AD18" s="117">
        <f t="shared" si="5"/>
        <v>861.70715405806538</v>
      </c>
      <c r="AE18" s="117">
        <f t="shared" si="6"/>
        <v>1178.3762737415877</v>
      </c>
      <c r="AF18" s="117">
        <f t="shared" si="7"/>
        <v>1386.1836816723983</v>
      </c>
      <c r="AG18" s="117">
        <f t="shared" si="8"/>
        <v>1063.3887670646743</v>
      </c>
      <c r="AH18" s="117">
        <f t="shared" si="9"/>
        <v>1418.04167185044</v>
      </c>
      <c r="AI18" s="117">
        <f t="shared" si="10"/>
        <v>1667.9553769017641</v>
      </c>
      <c r="AJ18" s="117">
        <f t="shared" si="11"/>
        <v>393.01389253329069</v>
      </c>
      <c r="AK18" s="117">
        <f t="shared" si="12"/>
        <v>528.44168152553311</v>
      </c>
      <c r="AL18" s="117">
        <f t="shared" si="13"/>
        <v>670.98448759401219</v>
      </c>
      <c r="AM18" s="117">
        <f t="shared" si="14"/>
        <v>-1271.4947747225126</v>
      </c>
      <c r="AN18" s="117">
        <f t="shared" si="15"/>
        <v>-1143.2886533931512</v>
      </c>
      <c r="AO18" s="117">
        <f t="shared" si="16"/>
        <v>-1206.2646272769143</v>
      </c>
      <c r="AP18" s="82">
        <v>0.18357000000000001</v>
      </c>
      <c r="AQ18" s="117">
        <f t="shared" si="17"/>
        <v>670.98448759401219</v>
      </c>
      <c r="AR18" s="117">
        <f t="shared" si="18"/>
        <v>3655.196860020767</v>
      </c>
      <c r="AT18" s="50">
        <v>36.844323000000003</v>
      </c>
      <c r="AU18" s="116" t="s">
        <v>297</v>
      </c>
      <c r="AV18" s="117">
        <f t="shared" si="19"/>
        <v>7970.1350323628449</v>
      </c>
      <c r="AW18" s="117">
        <f t="shared" si="20"/>
        <v>9322.356491618797</v>
      </c>
    </row>
    <row r="19" spans="1:49" ht="13.95" customHeight="1" x14ac:dyDescent="0.3">
      <c r="A19" s="115" t="s">
        <v>328</v>
      </c>
      <c r="B19" s="116" t="s">
        <v>329</v>
      </c>
      <c r="C19" s="116" t="s">
        <v>325</v>
      </c>
      <c r="D19" s="116" t="s">
        <v>325</v>
      </c>
      <c r="E19" s="52">
        <v>2.3789999999999999E-2</v>
      </c>
      <c r="F19" s="50">
        <v>15.36</v>
      </c>
      <c r="G19" s="50">
        <v>16.52</v>
      </c>
      <c r="H19" s="99">
        <f t="shared" si="0"/>
        <v>2.5586640625E-2</v>
      </c>
      <c r="I19" s="30">
        <f t="shared" si="1"/>
        <v>2.3014076851775832E-2</v>
      </c>
      <c r="J19" s="20">
        <f>I19*Assumptions!$D$7</f>
        <v>4796.8682252431927</v>
      </c>
      <c r="K19" s="41">
        <v>247290.09827732999</v>
      </c>
      <c r="L19" s="41">
        <v>90144.76470588235</v>
      </c>
      <c r="M19" s="41">
        <v>94600.4375</v>
      </c>
      <c r="N19" s="41">
        <v>100036.93333333331</v>
      </c>
      <c r="O19" s="41">
        <v>23899.71428571429</v>
      </c>
      <c r="P19" s="41">
        <v>24745.4</v>
      </c>
      <c r="Q19" s="41">
        <v>26343.933333333331</v>
      </c>
      <c r="R19" s="41">
        <v>30427.4375</v>
      </c>
      <c r="S19" s="41">
        <v>31638</v>
      </c>
      <c r="T19" s="41">
        <v>33437.428571428572</v>
      </c>
      <c r="U19" s="41">
        <v>16365.5</v>
      </c>
      <c r="V19" s="41">
        <v>17242.167000000001</v>
      </c>
      <c r="W19" s="41">
        <v>18564.5</v>
      </c>
      <c r="X19" s="41">
        <v>-4425.1000000000004</v>
      </c>
      <c r="Y19" s="41">
        <v>-5124.1000000000004</v>
      </c>
      <c r="Z19" s="41">
        <v>-5499.4</v>
      </c>
      <c r="AA19" s="117">
        <f t="shared" si="2"/>
        <v>1748.6044144182863</v>
      </c>
      <c r="AB19" s="117">
        <f t="shared" si="3"/>
        <v>1835.0343822862835</v>
      </c>
      <c r="AC19" s="117">
        <f t="shared" si="4"/>
        <v>1940.4900972593007</v>
      </c>
      <c r="AD19" s="117">
        <f t="shared" si="5"/>
        <v>463.60036591907289</v>
      </c>
      <c r="AE19" s="117">
        <f t="shared" si="6"/>
        <v>480.00475477110768</v>
      </c>
      <c r="AF19" s="117">
        <f t="shared" si="7"/>
        <v>511.01268354413645</v>
      </c>
      <c r="AG19" s="117">
        <f t="shared" si="8"/>
        <v>590.22342235327392</v>
      </c>
      <c r="AH19" s="117">
        <f t="shared" si="9"/>
        <v>613.70559503779714</v>
      </c>
      <c r="AI19" s="117">
        <f t="shared" si="10"/>
        <v>648.61043675208327</v>
      </c>
      <c r="AJ19" s="117">
        <f t="shared" si="11"/>
        <v>317.45366064830483</v>
      </c>
      <c r="AK19" s="117">
        <f t="shared" si="12"/>
        <v>334.4590163245486</v>
      </c>
      <c r="AL19" s="117">
        <f t="shared" si="13"/>
        <v>360.10928374357366</v>
      </c>
      <c r="AM19" s="117">
        <f t="shared" si="14"/>
        <v>-85.836924856241112</v>
      </c>
      <c r="AN19" s="117">
        <f t="shared" si="15"/>
        <v>-99.395942838775412</v>
      </c>
      <c r="AO19" s="117">
        <f t="shared" si="16"/>
        <v>-106.67591343798158</v>
      </c>
      <c r="AP19" s="82">
        <v>0.20658000000000001</v>
      </c>
      <c r="AQ19" s="117">
        <f t="shared" si="17"/>
        <v>360.10928374357366</v>
      </c>
      <c r="AR19" s="117">
        <f t="shared" si="18"/>
        <v>1743.1952935597524</v>
      </c>
      <c r="AT19" s="50">
        <v>13</v>
      </c>
      <c r="AU19" s="116" t="s">
        <v>297</v>
      </c>
      <c r="AV19" s="117">
        <f t="shared" si="19"/>
        <v>4796.8682252431927</v>
      </c>
      <c r="AW19" s="117">
        <f t="shared" si="20"/>
        <v>3774.7752377821735</v>
      </c>
    </row>
    <row r="20" spans="1:49" ht="13.95" customHeight="1" x14ac:dyDescent="0.3">
      <c r="A20" s="115" t="s">
        <v>330</v>
      </c>
      <c r="B20" s="116" t="s">
        <v>331</v>
      </c>
      <c r="C20" s="116" t="s">
        <v>325</v>
      </c>
      <c r="D20" s="116" t="s">
        <v>325</v>
      </c>
      <c r="E20" s="52">
        <v>2.0459999999999999E-2</v>
      </c>
      <c r="F20" s="50">
        <v>27.87</v>
      </c>
      <c r="G20" s="50">
        <v>30.29</v>
      </c>
      <c r="H20" s="99">
        <f t="shared" si="0"/>
        <v>2.2236576964477932E-2</v>
      </c>
      <c r="I20" s="30">
        <f t="shared" si="1"/>
        <v>2.0000839449040537E-2</v>
      </c>
      <c r="J20" s="20">
        <f>I20*Assumptions!$D$7</f>
        <v>4168.8133679752618</v>
      </c>
      <c r="K20" s="41">
        <v>59109.494455999993</v>
      </c>
      <c r="L20" s="41">
        <v>14114.625</v>
      </c>
      <c r="M20" s="41">
        <v>14654.777777777779</v>
      </c>
      <c r="N20" s="41">
        <v>16601.111111111109</v>
      </c>
      <c r="O20" s="41">
        <v>3244.6</v>
      </c>
      <c r="P20" s="41">
        <v>4234.6000000000004</v>
      </c>
      <c r="Q20" s="41">
        <v>5458.7777777777774</v>
      </c>
      <c r="R20" s="41">
        <v>5643</v>
      </c>
      <c r="S20" s="41">
        <v>6975</v>
      </c>
      <c r="T20" s="41">
        <v>8367.5555555555547</v>
      </c>
      <c r="U20" s="41">
        <v>763.88900000000001</v>
      </c>
      <c r="V20" s="41">
        <v>1493</v>
      </c>
      <c r="W20" s="41">
        <v>2556.556</v>
      </c>
      <c r="X20" s="41">
        <v>-5965.666666666667</v>
      </c>
      <c r="Y20" s="41">
        <v>-3718</v>
      </c>
      <c r="Z20" s="41">
        <v>-5316.25</v>
      </c>
      <c r="AA20" s="117">
        <f t="shared" si="2"/>
        <v>995.46169233029309</v>
      </c>
      <c r="AB20" s="117">
        <f t="shared" si="3"/>
        <v>1033.5570294918243</v>
      </c>
      <c r="AC20" s="117">
        <f t="shared" si="4"/>
        <v>1170.8260163645791</v>
      </c>
      <c r="AD20" s="117">
        <f t="shared" si="5"/>
        <v>228.83179729782893</v>
      </c>
      <c r="AE20" s="117">
        <f t="shared" si="6"/>
        <v>298.65349467958652</v>
      </c>
      <c r="AF20" s="117">
        <f t="shared" si="7"/>
        <v>384.99104047905365</v>
      </c>
      <c r="AG20" s="117">
        <f t="shared" si="8"/>
        <v>397.98367507601824</v>
      </c>
      <c r="AH20" s="117">
        <f t="shared" si="9"/>
        <v>491.92559518965572</v>
      </c>
      <c r="AI20" s="117">
        <f t="shared" si="10"/>
        <v>590.13831497479237</v>
      </c>
      <c r="AJ20" s="117">
        <f t="shared" si="11"/>
        <v>53.874774334599415</v>
      </c>
      <c r="AK20" s="117">
        <f t="shared" si="12"/>
        <v>105.29676180905463</v>
      </c>
      <c r="AL20" s="117">
        <f t="shared" si="13"/>
        <v>180.30614077930974</v>
      </c>
      <c r="AM20" s="117">
        <f t="shared" si="14"/>
        <v>-420.74037644488737</v>
      </c>
      <c r="AN20" s="117">
        <f t="shared" si="15"/>
        <v>-262.21926350037847</v>
      </c>
      <c r="AO20" s="117">
        <f t="shared" si="16"/>
        <v>-374.93898859168564</v>
      </c>
      <c r="AP20" s="82">
        <v>8.0070000000000002E-2</v>
      </c>
      <c r="AQ20" s="117">
        <f t="shared" si="17"/>
        <v>180.30614077930974</v>
      </c>
      <c r="AR20" s="117">
        <f t="shared" si="18"/>
        <v>2251.8563854041431</v>
      </c>
      <c r="AT20" s="50">
        <v>30.345897000000001</v>
      </c>
      <c r="AU20" s="116" t="s">
        <v>297</v>
      </c>
      <c r="AV20" s="117">
        <f t="shared" si="19"/>
        <v>4168.8133679752618</v>
      </c>
      <c r="AW20" s="117">
        <f t="shared" si="20"/>
        <v>4176.5064733179406</v>
      </c>
    </row>
    <row r="21" spans="1:49" ht="13.95" customHeight="1" x14ac:dyDescent="0.3">
      <c r="A21" s="115" t="s">
        <v>332</v>
      </c>
      <c r="B21" s="116" t="s">
        <v>333</v>
      </c>
      <c r="C21" s="116" t="s">
        <v>325</v>
      </c>
      <c r="D21" s="116" t="s">
        <v>325</v>
      </c>
      <c r="E21" s="52">
        <v>1.9400000000000001E-2</v>
      </c>
      <c r="F21" s="50">
        <v>40.65</v>
      </c>
      <c r="G21" s="50">
        <v>47.91</v>
      </c>
      <c r="H21" s="99">
        <f t="shared" si="0"/>
        <v>2.2864797047970481E-2</v>
      </c>
      <c r="I21" s="30">
        <f t="shared" si="1"/>
        <v>2.0565896249314666E-2</v>
      </c>
      <c r="J21" s="20">
        <f>I21*Assumptions!$D$7</f>
        <v>4286.589241765455</v>
      </c>
      <c r="K21" s="41">
        <v>61712.488803</v>
      </c>
      <c r="L21" s="41">
        <v>43275.63636363636</v>
      </c>
      <c r="M21" s="41">
        <v>44801.2</v>
      </c>
      <c r="N21" s="41">
        <v>47535.111111111117</v>
      </c>
      <c r="O21" s="41">
        <v>8571</v>
      </c>
      <c r="P21" s="41">
        <v>9456.181818181818</v>
      </c>
      <c r="Q21" s="41">
        <v>10666.888888888891</v>
      </c>
      <c r="R21" s="41">
        <v>11958.66666666667</v>
      </c>
      <c r="S21" s="41">
        <v>12902.18181818182</v>
      </c>
      <c r="T21" s="41">
        <v>14327.777777777779</v>
      </c>
      <c r="U21" s="41">
        <v>2174.0830000000001</v>
      </c>
      <c r="V21" s="41">
        <v>3031.636</v>
      </c>
      <c r="W21" s="41">
        <v>4594.2219999999998</v>
      </c>
      <c r="X21" s="41">
        <v>-11704</v>
      </c>
      <c r="Y21" s="41">
        <v>-9861.6666666666661</v>
      </c>
      <c r="Z21" s="41">
        <v>-9002.75</v>
      </c>
      <c r="AA21" s="117">
        <f t="shared" si="2"/>
        <v>3005.953590027626</v>
      </c>
      <c r="AB21" s="117">
        <f t="shared" si="3"/>
        <v>3111.9202233316305</v>
      </c>
      <c r="AC21" s="117">
        <f t="shared" si="4"/>
        <v>3301.8194509295013</v>
      </c>
      <c r="AD21" s="117">
        <f t="shared" si="5"/>
        <v>595.34718342757344</v>
      </c>
      <c r="AE21" s="117">
        <f t="shared" si="6"/>
        <v>656.83248295806516</v>
      </c>
      <c r="AF21" s="117">
        <f t="shared" si="7"/>
        <v>740.92897630788468</v>
      </c>
      <c r="AG21" s="117">
        <f t="shared" si="8"/>
        <v>830.65669321540202</v>
      </c>
      <c r="AH21" s="117">
        <f t="shared" si="9"/>
        <v>896.19386367109962</v>
      </c>
      <c r="AI21" s="117">
        <f t="shared" si="10"/>
        <v>995.21667772444039</v>
      </c>
      <c r="AJ21" s="117">
        <f t="shared" si="11"/>
        <v>151.01320622888454</v>
      </c>
      <c r="AK21" s="117">
        <f t="shared" si="12"/>
        <v>210.57939024356961</v>
      </c>
      <c r="AL21" s="117">
        <f t="shared" si="13"/>
        <v>319.11762078415506</v>
      </c>
      <c r="AM21" s="117">
        <f t="shared" si="14"/>
        <v>-812.96738243335892</v>
      </c>
      <c r="AN21" s="117">
        <f t="shared" si="15"/>
        <v>-684.9977218412771</v>
      </c>
      <c r="AO21" s="117">
        <f t="shared" si="16"/>
        <v>-625.33681666113489</v>
      </c>
      <c r="AP21" s="82">
        <v>0.15329999999999999</v>
      </c>
      <c r="AQ21" s="117">
        <f t="shared" si="17"/>
        <v>319.11762078415506</v>
      </c>
      <c r="AR21" s="117">
        <f t="shared" si="18"/>
        <v>2081.6544082462824</v>
      </c>
      <c r="AT21" s="50">
        <v>61.727871</v>
      </c>
      <c r="AU21" s="116" t="s">
        <v>297</v>
      </c>
      <c r="AV21" s="117">
        <f t="shared" si="19"/>
        <v>4286.589241765455</v>
      </c>
      <c r="AW21" s="117">
        <f t="shared" si="20"/>
        <v>5522.8976778477527</v>
      </c>
    </row>
    <row r="22" spans="1:49" ht="13.95" customHeight="1" x14ac:dyDescent="0.3">
      <c r="A22" s="115" t="s">
        <v>334</v>
      </c>
      <c r="B22" s="116" t="s">
        <v>335</v>
      </c>
      <c r="C22" s="116" t="s">
        <v>325</v>
      </c>
      <c r="D22" s="116" t="s">
        <v>325</v>
      </c>
      <c r="E22" s="52">
        <v>1.8200000000000001E-2</v>
      </c>
      <c r="F22" s="50">
        <v>16</v>
      </c>
      <c r="G22" s="50">
        <v>17.39</v>
      </c>
      <c r="H22" s="99">
        <f t="shared" si="0"/>
        <v>1.9781125E-2</v>
      </c>
      <c r="I22" s="30">
        <f t="shared" si="1"/>
        <v>1.7792266583045589E-2</v>
      </c>
      <c r="J22" s="20">
        <f>I22*Assumptions!$D$7</f>
        <v>3708.4762850560319</v>
      </c>
      <c r="K22" s="41">
        <v>52079.872901400013</v>
      </c>
      <c r="L22" s="41">
        <v>25592.777777777781</v>
      </c>
      <c r="M22" s="41">
        <v>26138.555555555558</v>
      </c>
      <c r="N22" s="41">
        <v>28340.428571428569</v>
      </c>
      <c r="O22" s="41">
        <v>5774.166666666667</v>
      </c>
      <c r="P22" s="41">
        <v>6455.833333333333</v>
      </c>
      <c r="Q22" s="41">
        <v>7047.666666666667</v>
      </c>
      <c r="R22" s="41">
        <v>7300.125</v>
      </c>
      <c r="S22" s="41">
        <v>8171.75</v>
      </c>
      <c r="T22" s="41">
        <v>8811.75</v>
      </c>
      <c r="U22" s="41">
        <v>2881.5</v>
      </c>
      <c r="V22" s="41">
        <v>3125.375</v>
      </c>
      <c r="W22" s="41">
        <v>3391.4290000000001</v>
      </c>
      <c r="X22" s="41">
        <v>-3424.8</v>
      </c>
      <c r="Y22" s="41">
        <v>-4747.2</v>
      </c>
      <c r="Z22" s="41">
        <v>-4984.6000000000004</v>
      </c>
      <c r="AA22" s="117">
        <f t="shared" si="2"/>
        <v>1822.3971021835296</v>
      </c>
      <c r="AB22" s="117">
        <f t="shared" si="3"/>
        <v>1861.2605600424113</v>
      </c>
      <c r="AC22" s="117">
        <f t="shared" si="4"/>
        <v>2018.0503793557059</v>
      </c>
      <c r="AD22" s="117">
        <f t="shared" si="5"/>
        <v>411.16383271201761</v>
      </c>
      <c r="AE22" s="117">
        <f t="shared" si="6"/>
        <v>459.70359532688695</v>
      </c>
      <c r="AF22" s="117">
        <f t="shared" si="7"/>
        <v>501.84655303969907</v>
      </c>
      <c r="AG22" s="117">
        <f t="shared" si="8"/>
        <v>519.82347368049943</v>
      </c>
      <c r="AH22" s="117">
        <f t="shared" si="9"/>
        <v>581.88968970375458</v>
      </c>
      <c r="AI22" s="117">
        <f t="shared" si="10"/>
        <v>627.46247416368089</v>
      </c>
      <c r="AJ22" s="117">
        <f t="shared" si="11"/>
        <v>205.1843412832464</v>
      </c>
      <c r="AK22" s="117">
        <f t="shared" si="12"/>
        <v>222.55006442412846</v>
      </c>
      <c r="AL22" s="117">
        <f t="shared" si="13"/>
        <v>241.49509816897415</v>
      </c>
      <c r="AM22" s="117">
        <f t="shared" si="14"/>
        <v>-243.87136284118074</v>
      </c>
      <c r="AN22" s="117">
        <f t="shared" si="15"/>
        <v>-338.03612873150348</v>
      </c>
      <c r="AO22" s="117">
        <f t="shared" si="16"/>
        <v>-354.94078346710739</v>
      </c>
      <c r="AP22" s="82">
        <v>0.13286999999999999</v>
      </c>
      <c r="AQ22" s="117">
        <f t="shared" si="17"/>
        <v>241.49509816897415</v>
      </c>
      <c r="AR22" s="117">
        <f t="shared" si="18"/>
        <v>1817.5291500637779</v>
      </c>
      <c r="AT22" s="50">
        <v>19.868808999999999</v>
      </c>
      <c r="AU22" s="116" t="s">
        <v>297</v>
      </c>
      <c r="AV22" s="117">
        <f t="shared" si="19"/>
        <v>3708.4762850560319</v>
      </c>
      <c r="AW22" s="117">
        <f t="shared" si="20"/>
        <v>4237.0906836577251</v>
      </c>
    </row>
    <row r="23" spans="1:49" ht="13.95" customHeight="1" x14ac:dyDescent="0.3">
      <c r="A23" s="115" t="s">
        <v>336</v>
      </c>
      <c r="B23" s="116" t="s">
        <v>337</v>
      </c>
      <c r="C23" s="116" t="s">
        <v>325</v>
      </c>
      <c r="D23" s="116" t="s">
        <v>325</v>
      </c>
      <c r="E23" s="52">
        <v>1.511E-2</v>
      </c>
      <c r="F23" s="50">
        <v>38.29</v>
      </c>
      <c r="G23" s="50">
        <v>43.87</v>
      </c>
      <c r="H23" s="99">
        <f t="shared" si="0"/>
        <v>1.731197962914599E-2</v>
      </c>
      <c r="I23" s="30">
        <f t="shared" si="1"/>
        <v>1.5571377090131131E-2</v>
      </c>
      <c r="J23" s="20">
        <f>I23*Assumptions!$D$7</f>
        <v>3245.5720239400448</v>
      </c>
      <c r="K23" s="41">
        <v>101621.6980701</v>
      </c>
      <c r="L23" s="41">
        <v>62171.083333333343</v>
      </c>
      <c r="M23" s="41">
        <v>69044.538461538468</v>
      </c>
      <c r="N23" s="41">
        <v>75743.272727272721</v>
      </c>
      <c r="O23" s="41">
        <v>9701.9</v>
      </c>
      <c r="P23" s="41">
        <v>10997.3</v>
      </c>
      <c r="Q23" s="41">
        <v>12588.7</v>
      </c>
      <c r="R23" s="41">
        <v>12344.92307692308</v>
      </c>
      <c r="S23" s="41">
        <v>13828.461538461541</v>
      </c>
      <c r="T23" s="41">
        <v>15456.18181818182</v>
      </c>
      <c r="U23" s="41">
        <v>4997.8330000000014</v>
      </c>
      <c r="V23" s="41">
        <v>6056.6670000000004</v>
      </c>
      <c r="W23" s="41">
        <v>7141.5450000000001</v>
      </c>
      <c r="X23" s="41">
        <v>-2663</v>
      </c>
      <c r="Y23" s="41">
        <v>-2544</v>
      </c>
      <c r="Z23" s="41">
        <v>-2175.666666666667</v>
      </c>
      <c r="AA23" s="117">
        <f t="shared" si="2"/>
        <v>1985.6067414413883</v>
      </c>
      <c r="AB23" s="117">
        <f t="shared" si="3"/>
        <v>2205.1296789199691</v>
      </c>
      <c r="AC23" s="117">
        <f t="shared" si="4"/>
        <v>2419.0724189210096</v>
      </c>
      <c r="AD23" s="117">
        <f t="shared" si="5"/>
        <v>309.85720389500801</v>
      </c>
      <c r="AE23" s="117">
        <f t="shared" si="6"/>
        <v>351.22941159923027</v>
      </c>
      <c r="AF23" s="117">
        <f t="shared" si="7"/>
        <v>402.05520389543159</v>
      </c>
      <c r="AG23" s="117">
        <f t="shared" si="8"/>
        <v>394.26950874718813</v>
      </c>
      <c r="AH23" s="117">
        <f t="shared" si="9"/>
        <v>441.6504423337031</v>
      </c>
      <c r="AI23" s="117">
        <f t="shared" si="10"/>
        <v>493.63622394321527</v>
      </c>
      <c r="AJ23" s="117">
        <f t="shared" si="11"/>
        <v>159.61971973677322</v>
      </c>
      <c r="AK23" s="117">
        <f t="shared" si="12"/>
        <v>193.43653320928547</v>
      </c>
      <c r="AL23" s="117">
        <f t="shared" si="13"/>
        <v>228.08513437474878</v>
      </c>
      <c r="AM23" s="117">
        <f t="shared" si="14"/>
        <v>-85.050323542028522</v>
      </c>
      <c r="AN23" s="117">
        <f t="shared" si="15"/>
        <v>-81.249727033766632</v>
      </c>
      <c r="AO23" s="117">
        <f t="shared" si="16"/>
        <v>-69.48597593676557</v>
      </c>
      <c r="AP23" s="82">
        <v>0.25745000000000001</v>
      </c>
      <c r="AQ23" s="117">
        <f t="shared" si="17"/>
        <v>228.08513437474878</v>
      </c>
      <c r="AR23" s="117">
        <f t="shared" si="18"/>
        <v>885.93953922994274</v>
      </c>
      <c r="AT23" s="50">
        <v>45</v>
      </c>
      <c r="AU23" s="116" t="s">
        <v>297</v>
      </c>
      <c r="AV23" s="117">
        <f t="shared" si="19"/>
        <v>3245.5720239400448</v>
      </c>
      <c r="AW23" s="117">
        <f t="shared" si="20"/>
        <v>3329.1712121564174</v>
      </c>
    </row>
    <row r="24" spans="1:49" ht="13.95" customHeight="1" x14ac:dyDescent="0.3">
      <c r="A24" s="115" t="s">
        <v>338</v>
      </c>
      <c r="B24" s="116" t="s">
        <v>339</v>
      </c>
      <c r="C24" s="116" t="s">
        <v>325</v>
      </c>
      <c r="D24" s="116" t="s">
        <v>325</v>
      </c>
      <c r="E24" s="52">
        <v>9.2399999999999999E-3</v>
      </c>
      <c r="F24" s="50">
        <v>18.37</v>
      </c>
      <c r="G24" s="50">
        <v>21.05</v>
      </c>
      <c r="H24" s="99">
        <f t="shared" si="0"/>
        <v>1.0588023952095809E-2</v>
      </c>
      <c r="I24" s="30">
        <f t="shared" si="1"/>
        <v>9.5234697087936363E-3</v>
      </c>
      <c r="J24" s="20">
        <f>I24*Assumptions!$D$7</f>
        <v>1984.9950764656987</v>
      </c>
      <c r="K24" s="41">
        <v>36957.427284960002</v>
      </c>
      <c r="L24" s="41">
        <v>46876.307692307702</v>
      </c>
      <c r="M24" s="41">
        <v>53062</v>
      </c>
      <c r="N24" s="41">
        <v>59054.916666666657</v>
      </c>
      <c r="O24" s="41">
        <v>2695.666666666667</v>
      </c>
      <c r="P24" s="41">
        <v>3325.333333333333</v>
      </c>
      <c r="Q24" s="41">
        <v>3869.7777777777778</v>
      </c>
      <c r="R24" s="41">
        <v>3923.666666666667</v>
      </c>
      <c r="S24" s="41">
        <v>4569.2222222222226</v>
      </c>
      <c r="T24" s="41">
        <v>5097.875</v>
      </c>
      <c r="U24" s="41">
        <v>1595</v>
      </c>
      <c r="V24" s="41">
        <v>2026.4169999999999</v>
      </c>
      <c r="W24" s="41">
        <v>2484.636</v>
      </c>
      <c r="X24" s="41">
        <v>-1487.5555555555561</v>
      </c>
      <c r="Y24" s="41">
        <v>-1644.666666666667</v>
      </c>
      <c r="Z24" s="41">
        <v>-1767.333333333333</v>
      </c>
      <c r="AA24" s="117">
        <f t="shared" si="2"/>
        <v>2517.7412717250691</v>
      </c>
      <c r="AB24" s="117">
        <f t="shared" si="3"/>
        <v>2849.976756642001</v>
      </c>
      <c r="AC24" s="117">
        <f t="shared" si="4"/>
        <v>3171.8582010747859</v>
      </c>
      <c r="AD24" s="117">
        <f t="shared" si="5"/>
        <v>144.78510692500512</v>
      </c>
      <c r="AE24" s="117">
        <f t="shared" si="6"/>
        <v>178.60470219906651</v>
      </c>
      <c r="AF24" s="117">
        <f t="shared" si="7"/>
        <v>207.84698503705857</v>
      </c>
      <c r="AG24" s="117">
        <f t="shared" si="8"/>
        <v>210.7413742567374</v>
      </c>
      <c r="AH24" s="117">
        <f t="shared" si="9"/>
        <v>245.41436676464227</v>
      </c>
      <c r="AI24" s="117">
        <f t="shared" si="10"/>
        <v>273.80847420501192</v>
      </c>
      <c r="AJ24" s="117">
        <f t="shared" si="11"/>
        <v>85.667953089668529</v>
      </c>
      <c r="AK24" s="117">
        <f t="shared" si="12"/>
        <v>108.83949623580367</v>
      </c>
      <c r="AL24" s="117">
        <f t="shared" si="13"/>
        <v>133.45058325573774</v>
      </c>
      <c r="AM24" s="117">
        <f t="shared" si="14"/>
        <v>-79.897078088783189</v>
      </c>
      <c r="AN24" s="117">
        <f t="shared" si="15"/>
        <v>-88.335565422032317</v>
      </c>
      <c r="AO24" s="117">
        <f t="shared" si="16"/>
        <v>-94.924030779816619</v>
      </c>
      <c r="AP24" s="82">
        <v>0.25263999999999998</v>
      </c>
      <c r="AQ24" s="117">
        <f t="shared" si="17"/>
        <v>133.45058325573774</v>
      </c>
      <c r="AR24" s="117">
        <f t="shared" si="18"/>
        <v>528.22428457780939</v>
      </c>
      <c r="AT24" s="50">
        <v>26</v>
      </c>
      <c r="AU24" s="116" t="s">
        <v>297</v>
      </c>
      <c r="AV24" s="117">
        <f t="shared" si="19"/>
        <v>1984.9950764656987</v>
      </c>
      <c r="AW24" s="117">
        <f t="shared" si="20"/>
        <v>2451.7753913590577</v>
      </c>
    </row>
    <row r="25" spans="1:49" ht="13.95" customHeight="1" x14ac:dyDescent="0.3">
      <c r="A25" s="115" t="s">
        <v>340</v>
      </c>
      <c r="B25" s="116" t="s">
        <v>341</v>
      </c>
      <c r="C25" s="116" t="s">
        <v>325</v>
      </c>
      <c r="D25" s="116" t="s">
        <v>325</v>
      </c>
      <c r="E25" s="52">
        <v>8.1799999999999998E-3</v>
      </c>
      <c r="F25" s="50">
        <v>56.31</v>
      </c>
      <c r="G25" s="50">
        <v>61.56</v>
      </c>
      <c r="H25" s="99">
        <f t="shared" si="0"/>
        <v>8.9426531699520508E-3</v>
      </c>
      <c r="I25" s="30">
        <f t="shared" si="1"/>
        <v>8.0435298376358554E-3</v>
      </c>
      <c r="J25" s="20">
        <f>I25*Assumptions!$D$7</f>
        <v>1676.5283676357296</v>
      </c>
      <c r="K25" s="41">
        <v>23902.707917340002</v>
      </c>
      <c r="L25" s="41">
        <v>8582.8333333333321</v>
      </c>
      <c r="M25" s="41">
        <v>9979.4</v>
      </c>
      <c r="N25" s="41">
        <v>10840.2</v>
      </c>
      <c r="O25" s="41">
        <v>2148.25</v>
      </c>
      <c r="P25" s="41">
        <v>2613.25</v>
      </c>
      <c r="Q25" s="41">
        <v>3629.1428571428569</v>
      </c>
      <c r="R25" s="41">
        <v>3224.125</v>
      </c>
      <c r="S25" s="41">
        <v>3866</v>
      </c>
      <c r="T25" s="41">
        <v>5225.5714285714284</v>
      </c>
      <c r="U25" s="41">
        <v>1108.25</v>
      </c>
      <c r="V25" s="41">
        <v>1148.5709999999999</v>
      </c>
      <c r="W25" s="41">
        <v>1718</v>
      </c>
      <c r="X25" s="41">
        <v>-3633</v>
      </c>
      <c r="Y25" s="41">
        <v>-4410</v>
      </c>
      <c r="Z25" s="41">
        <v>-5241.75</v>
      </c>
      <c r="AA25" s="117">
        <f t="shared" si="2"/>
        <v>601.99721336109474</v>
      </c>
      <c r="AB25" s="117">
        <f t="shared" si="3"/>
        <v>699.9519573197324</v>
      </c>
      <c r="AC25" s="117">
        <f t="shared" si="4"/>
        <v>760.32819685926654</v>
      </c>
      <c r="AD25" s="117">
        <f t="shared" si="5"/>
        <v>150.67757503578525</v>
      </c>
      <c r="AE25" s="117">
        <f t="shared" si="6"/>
        <v>183.29252785395826</v>
      </c>
      <c r="AF25" s="117">
        <f t="shared" si="7"/>
        <v>254.54693130349207</v>
      </c>
      <c r="AG25" s="117">
        <f t="shared" si="8"/>
        <v>226.13910699976776</v>
      </c>
      <c r="AH25" s="117">
        <f t="shared" si="9"/>
        <v>271.16001633345547</v>
      </c>
      <c r="AI25" s="117">
        <f t="shared" si="10"/>
        <v>366.51992600182797</v>
      </c>
      <c r="AJ25" s="117">
        <f t="shared" si="11"/>
        <v>77.732304216645645</v>
      </c>
      <c r="AK25" s="117">
        <f t="shared" si="12"/>
        <v>80.560406394240374</v>
      </c>
      <c r="AL25" s="117">
        <f t="shared" si="13"/>
        <v>120.49997621854024</v>
      </c>
      <c r="AM25" s="117">
        <f t="shared" si="14"/>
        <v>-254.81747008262903</v>
      </c>
      <c r="AN25" s="117">
        <f t="shared" si="15"/>
        <v>-309.31600414654389</v>
      </c>
      <c r="AO25" s="117">
        <f t="shared" si="16"/>
        <v>-367.6546858809856</v>
      </c>
      <c r="AP25" s="82">
        <v>0.17802000000000001</v>
      </c>
      <c r="AQ25" s="117">
        <f t="shared" si="17"/>
        <v>120.49997621854024</v>
      </c>
      <c r="AR25" s="117">
        <f t="shared" si="18"/>
        <v>676.89010346332009</v>
      </c>
      <c r="AT25" s="50">
        <v>88.322034000000002</v>
      </c>
      <c r="AU25" s="116" t="s">
        <v>297</v>
      </c>
      <c r="AV25" s="117">
        <f t="shared" si="19"/>
        <v>1676.5283676357296</v>
      </c>
      <c r="AW25" s="117">
        <f t="shared" si="20"/>
        <v>2405.367048217794</v>
      </c>
    </row>
    <row r="26" spans="1:49" ht="13.95" customHeight="1" x14ac:dyDescent="0.3">
      <c r="A26" s="115" t="s">
        <v>342</v>
      </c>
      <c r="B26" s="116" t="s">
        <v>343</v>
      </c>
      <c r="C26" s="116" t="s">
        <v>325</v>
      </c>
      <c r="D26" s="116" t="s">
        <v>325</v>
      </c>
      <c r="E26" s="52">
        <v>8.0700000000000008E-3</v>
      </c>
      <c r="F26" s="50">
        <v>29.81</v>
      </c>
      <c r="G26" s="50">
        <v>31.69</v>
      </c>
      <c r="H26" s="99">
        <f t="shared" si="0"/>
        <v>8.5789433076148957E-3</v>
      </c>
      <c r="I26" s="30">
        <f t="shared" si="1"/>
        <v>7.7163885436201986E-3</v>
      </c>
      <c r="J26" s="20">
        <f>I26*Assumptions!$D$7</f>
        <v>1608.3416796127619</v>
      </c>
      <c r="K26" s="41">
        <v>101875.93050176</v>
      </c>
      <c r="L26" s="41">
        <v>63659.866666666661</v>
      </c>
      <c r="M26" s="41">
        <v>67188.2</v>
      </c>
      <c r="N26" s="41">
        <v>70950.166666666672</v>
      </c>
      <c r="O26" s="41">
        <v>12017.83333333333</v>
      </c>
      <c r="P26" s="41">
        <v>14286.75</v>
      </c>
      <c r="Q26" s="41">
        <v>15152.18181818182</v>
      </c>
      <c r="R26" s="41">
        <v>27121.8</v>
      </c>
      <c r="S26" s="41">
        <v>29157.4</v>
      </c>
      <c r="T26" s="41">
        <v>30271.166666666672</v>
      </c>
      <c r="U26" s="41">
        <v>7265.0910000000003</v>
      </c>
      <c r="V26" s="41">
        <v>9591.357</v>
      </c>
      <c r="W26" s="41">
        <v>10439.166999999999</v>
      </c>
      <c r="X26" s="41">
        <v>-9612.8888888888887</v>
      </c>
      <c r="Y26" s="41">
        <v>-10092.555555555549</v>
      </c>
      <c r="Z26" s="41">
        <v>-10413.111111111109</v>
      </c>
      <c r="AA26" s="117">
        <f t="shared" si="2"/>
        <v>1005.0147897969119</v>
      </c>
      <c r="AB26" s="117">
        <f t="shared" si="3"/>
        <v>1060.717501238345</v>
      </c>
      <c r="AC26" s="117">
        <f t="shared" si="4"/>
        <v>1120.1086425757915</v>
      </c>
      <c r="AD26" s="117">
        <f t="shared" si="5"/>
        <v>189.72864496492272</v>
      </c>
      <c r="AE26" s="117">
        <f t="shared" si="6"/>
        <v>225.54861956142486</v>
      </c>
      <c r="AF26" s="117">
        <f t="shared" si="7"/>
        <v>239.21141564279</v>
      </c>
      <c r="AG26" s="117">
        <f t="shared" si="8"/>
        <v>428.17887553299755</v>
      </c>
      <c r="AH26" s="117">
        <f t="shared" si="9"/>
        <v>460.31541953210422</v>
      </c>
      <c r="AI26" s="117">
        <f t="shared" si="10"/>
        <v>477.89874213382944</v>
      </c>
      <c r="AJ26" s="117">
        <f t="shared" si="11"/>
        <v>114.69587177196577</v>
      </c>
      <c r="AK26" s="117">
        <f t="shared" si="12"/>
        <v>151.42123513540935</v>
      </c>
      <c r="AL26" s="117">
        <f t="shared" si="13"/>
        <v>164.80583101273427</v>
      </c>
      <c r="AM26" s="117">
        <f t="shared" si="14"/>
        <v>-151.76116463760115</v>
      </c>
      <c r="AN26" s="117">
        <f t="shared" si="15"/>
        <v>-159.33378643866124</v>
      </c>
      <c r="AO26" s="117">
        <f t="shared" si="16"/>
        <v>-164.39447995176272</v>
      </c>
      <c r="AP26" s="82">
        <v>0.15648000000000001</v>
      </c>
      <c r="AQ26" s="117">
        <f t="shared" si="17"/>
        <v>164.80583101273427</v>
      </c>
      <c r="AR26" s="117">
        <f t="shared" si="18"/>
        <v>1053.206997780766</v>
      </c>
      <c r="AT26" s="50">
        <v>36.5</v>
      </c>
      <c r="AU26" s="116" t="s">
        <v>297</v>
      </c>
      <c r="AV26" s="117">
        <f t="shared" si="19"/>
        <v>1608.3416796127619</v>
      </c>
      <c r="AW26" s="117">
        <f t="shared" si="20"/>
        <v>1852.4604388092712</v>
      </c>
    </row>
    <row r="27" spans="1:49" ht="13.95" customHeight="1" x14ac:dyDescent="0.3">
      <c r="A27" s="115" t="s">
        <v>344</v>
      </c>
      <c r="B27" s="116" t="s">
        <v>345</v>
      </c>
      <c r="C27" s="116" t="s">
        <v>325</v>
      </c>
      <c r="D27" s="116" t="s">
        <v>325</v>
      </c>
      <c r="E27" s="52">
        <v>7.79E-3</v>
      </c>
      <c r="F27" s="50">
        <v>11.16</v>
      </c>
      <c r="G27" s="50">
        <v>12.08</v>
      </c>
      <c r="H27" s="99">
        <f t="shared" si="0"/>
        <v>8.4321863799283157E-3</v>
      </c>
      <c r="I27" s="30">
        <f t="shared" si="1"/>
        <v>7.5843870330737371E-3</v>
      </c>
      <c r="J27" s="20">
        <f>I27*Assumptions!$D$7</f>
        <v>1580.8283513266626</v>
      </c>
      <c r="K27" s="41">
        <v>39737.660620559996</v>
      </c>
      <c r="L27" s="41">
        <v>39365.28571428571</v>
      </c>
      <c r="M27" s="41">
        <v>35664</v>
      </c>
      <c r="N27" s="41">
        <v>37164.142857142862</v>
      </c>
      <c r="O27" s="41">
        <v>5924.2857142857138</v>
      </c>
      <c r="P27" s="41">
        <v>6179.1428571428578</v>
      </c>
      <c r="Q27" s="41">
        <v>7732.2857142857138</v>
      </c>
      <c r="R27" s="41">
        <v>7518.125</v>
      </c>
      <c r="S27" s="41">
        <v>7949.375</v>
      </c>
      <c r="T27" s="41">
        <v>9589.1428571428569</v>
      </c>
      <c r="U27" s="41">
        <v>3611.375</v>
      </c>
      <c r="V27" s="41">
        <v>3740.625</v>
      </c>
      <c r="W27" s="41">
        <v>4638.857</v>
      </c>
      <c r="X27" s="41">
        <v>-5508</v>
      </c>
      <c r="Y27" s="41">
        <v>-5924.75</v>
      </c>
      <c r="Z27" s="41">
        <v>-5536.5</v>
      </c>
      <c r="AA27" s="117">
        <f t="shared" si="2"/>
        <v>1566.0146758367564</v>
      </c>
      <c r="AB27" s="117">
        <f t="shared" si="3"/>
        <v>1418.7715492377063</v>
      </c>
      <c r="AC27" s="117">
        <f t="shared" si="4"/>
        <v>1478.4496561664428</v>
      </c>
      <c r="AD27" s="117">
        <f t="shared" si="5"/>
        <v>235.677658731044</v>
      </c>
      <c r="AE27" s="117">
        <f t="shared" si="6"/>
        <v>245.81628769598697</v>
      </c>
      <c r="AF27" s="117">
        <f t="shared" si="7"/>
        <v>307.60282026709643</v>
      </c>
      <c r="AG27" s="117">
        <f t="shared" si="8"/>
        <v>299.08316099183298</v>
      </c>
      <c r="AH27" s="117">
        <f t="shared" si="9"/>
        <v>316.238982846049</v>
      </c>
      <c r="AI27" s="117">
        <f t="shared" si="10"/>
        <v>381.47159789396187</v>
      </c>
      <c r="AJ27" s="117">
        <f t="shared" si="11"/>
        <v>143.6663330985958</v>
      </c>
      <c r="AK27" s="117">
        <f t="shared" si="12"/>
        <v>148.80810695287391</v>
      </c>
      <c r="AL27" s="117">
        <f t="shared" si="13"/>
        <v>184.54122736042447</v>
      </c>
      <c r="AM27" s="117">
        <f t="shared" si="14"/>
        <v>-219.11714034323927</v>
      </c>
      <c r="AN27" s="117">
        <f t="shared" si="15"/>
        <v>-235.69612876699475</v>
      </c>
      <c r="AO27" s="117">
        <f t="shared" si="16"/>
        <v>-220.25091639621354</v>
      </c>
      <c r="AP27" s="82">
        <v>0.14308000000000001</v>
      </c>
      <c r="AQ27" s="117">
        <f t="shared" si="17"/>
        <v>184.54122736042447</v>
      </c>
      <c r="AR27" s="117">
        <f t="shared" si="18"/>
        <v>1289.7765401203833</v>
      </c>
      <c r="AT27" s="50">
        <v>14.590001000000001</v>
      </c>
      <c r="AU27" s="116" t="s">
        <v>297</v>
      </c>
      <c r="AV27" s="117">
        <f t="shared" si="19"/>
        <v>1580.8283513266626</v>
      </c>
      <c r="AW27" s="117">
        <f t="shared" si="20"/>
        <v>1909.2953002222155</v>
      </c>
    </row>
    <row r="28" spans="1:49" ht="13.95" customHeight="1" x14ac:dyDescent="0.3">
      <c r="A28" s="115" t="s">
        <v>346</v>
      </c>
      <c r="B28" s="116" t="s">
        <v>347</v>
      </c>
      <c r="C28" s="116" t="s">
        <v>325</v>
      </c>
      <c r="D28" s="116" t="s">
        <v>325</v>
      </c>
      <c r="E28" s="52">
        <v>7.26E-3</v>
      </c>
      <c r="F28" s="50">
        <v>52.97</v>
      </c>
      <c r="G28" s="50">
        <v>63.21</v>
      </c>
      <c r="H28" s="99">
        <f t="shared" si="0"/>
        <v>8.6634812157825192E-3</v>
      </c>
      <c r="I28" s="30">
        <f t="shared" si="1"/>
        <v>7.7924267365182959E-3</v>
      </c>
      <c r="J28" s="20">
        <f>I28*Assumptions!$D$7</f>
        <v>1624.1904661518427</v>
      </c>
      <c r="K28" s="41">
        <v>32974.913162999997</v>
      </c>
      <c r="L28" s="41">
        <v>31721.28571428571</v>
      </c>
      <c r="M28" s="41">
        <v>32853.833333333328</v>
      </c>
      <c r="N28" s="41">
        <v>35095</v>
      </c>
      <c r="O28" s="41">
        <v>6636.8571428571422</v>
      </c>
      <c r="P28" s="41">
        <v>7111.875</v>
      </c>
      <c r="Q28" s="41">
        <v>7853.166666666667</v>
      </c>
      <c r="R28" s="41">
        <v>9002.875</v>
      </c>
      <c r="S28" s="41">
        <v>9485.8571428571431</v>
      </c>
      <c r="T28" s="41">
        <v>10440</v>
      </c>
      <c r="U28" s="41">
        <v>1552.125</v>
      </c>
      <c r="V28" s="41">
        <v>1897.7139999999999</v>
      </c>
      <c r="W28" s="41">
        <v>2613.5</v>
      </c>
      <c r="X28" s="41">
        <v>-6128.5</v>
      </c>
      <c r="Y28" s="41">
        <v>-6467.5</v>
      </c>
      <c r="Z28" s="41">
        <v>-6184</v>
      </c>
      <c r="AA28" s="117">
        <f t="shared" si="2"/>
        <v>1562.4426234738921</v>
      </c>
      <c r="AB28" s="117">
        <f t="shared" si="3"/>
        <v>1618.226638316549</v>
      </c>
      <c r="AC28" s="117">
        <f t="shared" si="4"/>
        <v>1728.6160581480383</v>
      </c>
      <c r="AD28" s="117">
        <f t="shared" si="5"/>
        <v>326.90063635211186</v>
      </c>
      <c r="AE28" s="117">
        <f t="shared" si="6"/>
        <v>350.29780106971305</v>
      </c>
      <c r="AF28" s="117">
        <f t="shared" si="7"/>
        <v>386.81037205621612</v>
      </c>
      <c r="AG28" s="117">
        <f t="shared" si="8"/>
        <v>443.4396436671754</v>
      </c>
      <c r="AH28" s="117">
        <f t="shared" si="9"/>
        <v>467.2290919629898</v>
      </c>
      <c r="AI28" s="117">
        <f t="shared" si="10"/>
        <v>514.2257201044456</v>
      </c>
      <c r="AJ28" s="117">
        <f t="shared" si="11"/>
        <v>76.450440212367113</v>
      </c>
      <c r="AK28" s="117">
        <f t="shared" si="12"/>
        <v>93.472542931253628</v>
      </c>
      <c r="AL28" s="117">
        <f t="shared" si="13"/>
        <v>128.72882370622307</v>
      </c>
      <c r="AM28" s="117">
        <f t="shared" si="14"/>
        <v>-301.86133387548801</v>
      </c>
      <c r="AN28" s="117">
        <f t="shared" si="15"/>
        <v>-318.55889317773011</v>
      </c>
      <c r="AO28" s="117">
        <f t="shared" si="16"/>
        <v>-304.59500508868695</v>
      </c>
      <c r="AP28" s="82">
        <v>0.12330000000000001</v>
      </c>
      <c r="AQ28" s="117">
        <f t="shared" si="17"/>
        <v>128.72882370622307</v>
      </c>
      <c r="AR28" s="117">
        <f t="shared" si="18"/>
        <v>1044.0293893448747</v>
      </c>
      <c r="AT28" s="50">
        <v>88.270776999999995</v>
      </c>
      <c r="AU28" s="116" t="s">
        <v>297</v>
      </c>
      <c r="AV28" s="117">
        <f t="shared" si="19"/>
        <v>1624.1904661518427</v>
      </c>
      <c r="AW28" s="117">
        <f t="shared" si="20"/>
        <v>2268.1309040217584</v>
      </c>
    </row>
    <row r="29" spans="1:49" ht="13.95" customHeight="1" x14ac:dyDescent="0.3">
      <c r="A29" s="115" t="s">
        <v>348</v>
      </c>
      <c r="B29" s="116" t="s">
        <v>349</v>
      </c>
      <c r="C29" s="116" t="s">
        <v>325</v>
      </c>
      <c r="D29" s="116" t="s">
        <v>325</v>
      </c>
      <c r="E29" s="52">
        <v>5.5900000000000004E-3</v>
      </c>
      <c r="F29" s="50">
        <v>10.93</v>
      </c>
      <c r="G29" s="50">
        <v>12.92</v>
      </c>
      <c r="H29" s="99">
        <f t="shared" si="0"/>
        <v>6.607758462946021E-3</v>
      </c>
      <c r="I29" s="30">
        <f t="shared" si="1"/>
        <v>5.9433930117276526E-3</v>
      </c>
      <c r="J29" s="20">
        <f>I29*Assumptions!$D$7</f>
        <v>1238.7928167489772</v>
      </c>
      <c r="K29" s="41">
        <v>16225.007868180001</v>
      </c>
      <c r="L29" s="41">
        <v>78892.399999999994</v>
      </c>
      <c r="M29" s="41">
        <v>83026</v>
      </c>
      <c r="N29" s="41">
        <v>87555.625</v>
      </c>
      <c r="O29" s="41">
        <v>5502.666666666667</v>
      </c>
      <c r="P29" s="41">
        <v>5037.333333333333</v>
      </c>
      <c r="Q29" s="41">
        <v>5054.666666666667</v>
      </c>
      <c r="R29" s="41">
        <v>6595.2857142857138</v>
      </c>
      <c r="S29" s="41">
        <v>6182.25</v>
      </c>
      <c r="T29" s="41">
        <v>6074</v>
      </c>
      <c r="U29" s="41">
        <v>1356.875</v>
      </c>
      <c r="V29" s="41">
        <v>1390.75</v>
      </c>
      <c r="W29" s="41">
        <v>1566</v>
      </c>
      <c r="X29" s="41">
        <v>-722.66666666666663</v>
      </c>
      <c r="Y29" s="41">
        <v>-1452.5</v>
      </c>
      <c r="Z29" s="41">
        <v>-1779</v>
      </c>
      <c r="AA29" s="117">
        <f t="shared" si="2"/>
        <v>6023.5002170787711</v>
      </c>
      <c r="AB29" s="117">
        <f t="shared" si="3"/>
        <v>6339.1040077774551</v>
      </c>
      <c r="AC29" s="117">
        <f t="shared" si="4"/>
        <v>6684.9446359087506</v>
      </c>
      <c r="AD29" s="117">
        <f t="shared" si="5"/>
        <v>420.13316696131426</v>
      </c>
      <c r="AE29" s="117">
        <f t="shared" si="6"/>
        <v>384.60458075595955</v>
      </c>
      <c r="AF29" s="117">
        <f t="shared" si="7"/>
        <v>385.92799514183241</v>
      </c>
      <c r="AG29" s="117">
        <f t="shared" si="8"/>
        <v>503.55553807079667</v>
      </c>
      <c r="AH29" s="117">
        <f t="shared" si="9"/>
        <v>472.01991848435637</v>
      </c>
      <c r="AI29" s="117">
        <f t="shared" si="10"/>
        <v>463.75494114181413</v>
      </c>
      <c r="AJ29" s="117">
        <f t="shared" si="11"/>
        <v>103.59853239410586</v>
      </c>
      <c r="AK29" s="117">
        <f t="shared" si="12"/>
        <v>106.18491675880442</v>
      </c>
      <c r="AL29" s="117">
        <f t="shared" si="13"/>
        <v>119.56539970827805</v>
      </c>
      <c r="AM29" s="117">
        <f t="shared" si="14"/>
        <v>-55.176199780235592</v>
      </c>
      <c r="AN29" s="117">
        <f t="shared" si="15"/>
        <v>-110.8995805084763</v>
      </c>
      <c r="AO29" s="117">
        <f t="shared" si="16"/>
        <v>-135.82812648852277</v>
      </c>
      <c r="AP29" s="82">
        <v>0.17027</v>
      </c>
      <c r="AQ29" s="117">
        <f t="shared" si="17"/>
        <v>119.56539970827805</v>
      </c>
      <c r="AR29" s="117">
        <f t="shared" si="18"/>
        <v>702.21060497021233</v>
      </c>
      <c r="AT29" s="50">
        <v>10.5</v>
      </c>
      <c r="AU29" s="116" t="s">
        <v>297</v>
      </c>
      <c r="AV29" s="117">
        <f t="shared" si="19"/>
        <v>1238.7928167489772</v>
      </c>
      <c r="AW29" s="117">
        <f t="shared" si="20"/>
        <v>1006.7588681009489</v>
      </c>
    </row>
    <row r="30" spans="1:49" ht="13.95" customHeight="1" x14ac:dyDescent="0.3">
      <c r="A30" s="115" t="s">
        <v>350</v>
      </c>
      <c r="B30" s="116" t="s">
        <v>351</v>
      </c>
      <c r="C30" s="116" t="s">
        <v>325</v>
      </c>
      <c r="D30" s="116" t="s">
        <v>325</v>
      </c>
      <c r="E30" s="52">
        <v>5.45E-3</v>
      </c>
      <c r="F30" s="50">
        <v>18.329999999999998</v>
      </c>
      <c r="G30" s="50">
        <v>19.37</v>
      </c>
      <c r="H30" s="99">
        <f t="shared" si="0"/>
        <v>5.7592198581560292E-3</v>
      </c>
      <c r="I30" s="30">
        <f t="shared" si="1"/>
        <v>5.1801692283266025E-3</v>
      </c>
      <c r="J30" s="20">
        <f>I30*Assumptions!$D$7</f>
        <v>1079.7126181850322</v>
      </c>
      <c r="K30" s="41">
        <v>45742.998366299988</v>
      </c>
      <c r="L30" s="41">
        <v>28065.066666666669</v>
      </c>
      <c r="M30" s="41">
        <v>29338.400000000001</v>
      </c>
      <c r="N30" s="41">
        <v>30645.461538461539</v>
      </c>
      <c r="O30" s="41">
        <v>7180.333333333333</v>
      </c>
      <c r="P30" s="41">
        <v>7951.5</v>
      </c>
      <c r="Q30" s="41">
        <v>8705.75</v>
      </c>
      <c r="R30" s="41">
        <v>14401.785714285719</v>
      </c>
      <c r="S30" s="41">
        <v>15274.642857142861</v>
      </c>
      <c r="T30" s="41">
        <v>16185.18181818182</v>
      </c>
      <c r="U30" s="41">
        <v>4410.4290000000001</v>
      </c>
      <c r="V30" s="41">
        <v>5093.5</v>
      </c>
      <c r="W30" s="41">
        <v>5621.8459999999995</v>
      </c>
      <c r="X30" s="41">
        <v>-4633</v>
      </c>
      <c r="Y30" s="41">
        <v>-4776.1111111111104</v>
      </c>
      <c r="Z30" s="41">
        <v>-4922.5555555555557</v>
      </c>
      <c r="AA30" s="117">
        <f t="shared" si="2"/>
        <v>662.44469519795484</v>
      </c>
      <c r="AB30" s="117">
        <f t="shared" si="3"/>
        <v>692.50031280627672</v>
      </c>
      <c r="AC30" s="117">
        <f t="shared" si="4"/>
        <v>723.3520471967571</v>
      </c>
      <c r="AD30" s="117">
        <f t="shared" si="5"/>
        <v>169.48378505258191</v>
      </c>
      <c r="AE30" s="117">
        <f t="shared" si="6"/>
        <v>187.68631681615594</v>
      </c>
      <c r="AF30" s="117">
        <f t="shared" si="7"/>
        <v>205.48954947145188</v>
      </c>
      <c r="AG30" s="117">
        <f t="shared" si="8"/>
        <v>339.93813950698842</v>
      </c>
      <c r="AH30" s="117">
        <f t="shared" si="9"/>
        <v>360.54096189893085</v>
      </c>
      <c r="AI30" s="117">
        <f t="shared" si="10"/>
        <v>382.03322171343268</v>
      </c>
      <c r="AJ30" s="117">
        <f t="shared" si="11"/>
        <v>104.10327291569665</v>
      </c>
      <c r="AK30" s="117">
        <f t="shared" si="12"/>
        <v>120.22640441465009</v>
      </c>
      <c r="AL30" s="117">
        <f t="shared" si="13"/>
        <v>132.69742431586985</v>
      </c>
      <c r="AM30" s="117">
        <f t="shared" si="14"/>
        <v>-109.35681391048865</v>
      </c>
      <c r="AN30" s="117">
        <f t="shared" si="15"/>
        <v>-112.73479257362288</v>
      </c>
      <c r="AO30" s="117">
        <f t="shared" si="16"/>
        <v>-116.1914508640041</v>
      </c>
      <c r="AP30" s="82">
        <v>0.22244</v>
      </c>
      <c r="AQ30" s="117">
        <f t="shared" si="17"/>
        <v>132.69742431586985</v>
      </c>
      <c r="AR30" s="117">
        <f t="shared" si="18"/>
        <v>596.55378671043809</v>
      </c>
      <c r="AT30" s="50">
        <v>21.965</v>
      </c>
      <c r="AU30" s="116" t="s">
        <v>297</v>
      </c>
      <c r="AV30" s="117">
        <f t="shared" si="19"/>
        <v>1079.7126181850322</v>
      </c>
      <c r="AW30" s="117">
        <f t="shared" si="20"/>
        <v>1224.3617789589175</v>
      </c>
    </row>
    <row r="31" spans="1:49" ht="13.95" customHeight="1" x14ac:dyDescent="0.3">
      <c r="A31" s="115" t="s">
        <v>352</v>
      </c>
      <c r="B31" s="116" t="s">
        <v>353</v>
      </c>
      <c r="C31" s="116" t="s">
        <v>325</v>
      </c>
      <c r="D31" s="116" t="s">
        <v>325</v>
      </c>
      <c r="E31" s="52">
        <v>5.0000000000000001E-3</v>
      </c>
      <c r="F31" s="50">
        <v>29.46</v>
      </c>
      <c r="G31" s="50">
        <v>31.9</v>
      </c>
      <c r="H31" s="99">
        <f t="shared" si="0"/>
        <v>5.414120841819416E-3</v>
      </c>
      <c r="I31" s="30">
        <f t="shared" si="1"/>
        <v>4.8697675855379433E-3</v>
      </c>
      <c r="J31" s="20">
        <f>I31*Assumptions!$D$7</f>
        <v>1015.0150078074378</v>
      </c>
      <c r="K31" s="41">
        <v>44318.577760800013</v>
      </c>
      <c r="L31" s="41">
        <v>12848.3</v>
      </c>
      <c r="M31" s="41">
        <v>12479.3</v>
      </c>
      <c r="N31" s="41">
        <v>13340.888888888891</v>
      </c>
      <c r="O31" s="41">
        <v>6624.666666666667</v>
      </c>
      <c r="P31" s="41">
        <v>6740.8888888888896</v>
      </c>
      <c r="Q31" s="41">
        <v>7610.666666666667</v>
      </c>
      <c r="R31" s="41">
        <v>7916</v>
      </c>
      <c r="S31" s="41">
        <v>8439.4545454545441</v>
      </c>
      <c r="T31" s="41">
        <v>9455.2222222222208</v>
      </c>
      <c r="U31" s="41">
        <v>3752.4549999999999</v>
      </c>
      <c r="V31" s="41">
        <v>3514.1819999999998</v>
      </c>
      <c r="W31" s="41">
        <v>4398.4440000000004</v>
      </c>
      <c r="X31" s="41">
        <v>-2049.5</v>
      </c>
      <c r="Y31" s="41">
        <v>-2873</v>
      </c>
      <c r="Z31" s="41">
        <v>-1263.75</v>
      </c>
      <c r="AA31" s="117">
        <f t="shared" si="2"/>
        <v>294.26073632595944</v>
      </c>
      <c r="AB31" s="117">
        <f t="shared" si="3"/>
        <v>285.80964071764714</v>
      </c>
      <c r="AC31" s="117">
        <f t="shared" si="4"/>
        <v>305.5423509481609</v>
      </c>
      <c r="AD31" s="117">
        <f t="shared" si="5"/>
        <v>151.72274084877944</v>
      </c>
      <c r="AE31" s="117">
        <f t="shared" si="6"/>
        <v>154.38454331981066</v>
      </c>
      <c r="AF31" s="117">
        <f t="shared" si="7"/>
        <v>174.30480120052994</v>
      </c>
      <c r="AG31" s="117">
        <f t="shared" si="8"/>
        <v>181.29775836151825</v>
      </c>
      <c r="AH31" s="117">
        <f t="shared" si="9"/>
        <v>193.28627979848847</v>
      </c>
      <c r="AI31" s="117">
        <f t="shared" si="10"/>
        <v>216.55010026514674</v>
      </c>
      <c r="AJ31" s="117">
        <f t="shared" si="11"/>
        <v>85.941344094551667</v>
      </c>
      <c r="AK31" s="117">
        <f t="shared" si="12"/>
        <v>80.484249504092588</v>
      </c>
      <c r="AL31" s="117">
        <f t="shared" si="13"/>
        <v>100.73623515395022</v>
      </c>
      <c r="AM31" s="117">
        <f t="shared" si="14"/>
        <v>-46.939079808227845</v>
      </c>
      <c r="AN31" s="117">
        <f t="shared" si="15"/>
        <v>-65.79945171458337</v>
      </c>
      <c r="AO31" s="117">
        <f t="shared" si="16"/>
        <v>-28.943284756110245</v>
      </c>
      <c r="AP31" s="82">
        <v>0.23894000000000001</v>
      </c>
      <c r="AQ31" s="117">
        <f t="shared" si="17"/>
        <v>100.73623515395022</v>
      </c>
      <c r="AR31" s="117">
        <f t="shared" si="18"/>
        <v>421.59636374801295</v>
      </c>
      <c r="AT31" s="50">
        <v>31.48433</v>
      </c>
      <c r="AU31" s="116" t="s">
        <v>297</v>
      </c>
      <c r="AV31" s="117">
        <f t="shared" si="19"/>
        <v>1015.0150078074378</v>
      </c>
      <c r="AW31" s="117">
        <f t="shared" si="20"/>
        <v>1001.7889486132273</v>
      </c>
    </row>
    <row r="32" spans="1:49" ht="13.95" customHeight="1" x14ac:dyDescent="0.3">
      <c r="A32" s="115" t="s">
        <v>354</v>
      </c>
      <c r="B32" s="116" t="s">
        <v>355</v>
      </c>
      <c r="C32" s="116" t="s">
        <v>325</v>
      </c>
      <c r="D32" s="116" t="s">
        <v>325</v>
      </c>
      <c r="E32" s="52">
        <v>4.8599999999999997E-3</v>
      </c>
      <c r="F32" s="50">
        <v>27.59</v>
      </c>
      <c r="G32" s="50">
        <v>29.42</v>
      </c>
      <c r="H32" s="99">
        <f t="shared" si="0"/>
        <v>5.1823559260601665E-3</v>
      </c>
      <c r="I32" s="30">
        <f t="shared" si="1"/>
        <v>4.6613050655454919E-3</v>
      </c>
      <c r="J32" s="20">
        <f>I32*Assumptions!$D$7</f>
        <v>971.56476451737274</v>
      </c>
      <c r="K32" s="41">
        <v>22026.884417599998</v>
      </c>
      <c r="L32" s="41">
        <v>5221.2307692307704</v>
      </c>
      <c r="M32" s="41">
        <v>5994.166666666667</v>
      </c>
      <c r="N32" s="41">
        <v>6166.916666666667</v>
      </c>
      <c r="O32" s="41">
        <v>3602.181818181818</v>
      </c>
      <c r="P32" s="41">
        <v>4261.090909090909</v>
      </c>
      <c r="Q32" s="41">
        <v>4071.7</v>
      </c>
      <c r="R32" s="41">
        <v>4260.6923076923076</v>
      </c>
      <c r="S32" s="41">
        <v>4987.333333333333</v>
      </c>
      <c r="T32" s="41">
        <v>5099</v>
      </c>
      <c r="U32" s="41">
        <v>1563.077</v>
      </c>
      <c r="V32" s="41">
        <v>1828.5830000000001</v>
      </c>
      <c r="W32" s="41">
        <v>1850.0830000000001</v>
      </c>
      <c r="X32" s="41">
        <v>-3967.625</v>
      </c>
      <c r="Y32" s="41">
        <v>-3541.25</v>
      </c>
      <c r="Z32" s="41">
        <v>-1512.428571428572</v>
      </c>
      <c r="AA32" s="117">
        <f t="shared" si="2"/>
        <v>230.29874523449612</v>
      </c>
      <c r="AB32" s="117">
        <f t="shared" si="3"/>
        <v>264.39150519737575</v>
      </c>
      <c r="AC32" s="117">
        <f t="shared" si="4"/>
        <v>272.0111853068455</v>
      </c>
      <c r="AD32" s="117">
        <f t="shared" si="5"/>
        <v>158.88551751486898</v>
      </c>
      <c r="AE32" s="117">
        <f t="shared" si="6"/>
        <v>187.94876784163486</v>
      </c>
      <c r="AF32" s="117">
        <f t="shared" si="7"/>
        <v>179.59508828786124</v>
      </c>
      <c r="AG32" s="117">
        <f t="shared" si="8"/>
        <v>187.93118627782283</v>
      </c>
      <c r="AH32" s="117">
        <f t="shared" si="9"/>
        <v>219.98196584252111</v>
      </c>
      <c r="AI32" s="117">
        <f t="shared" si="10"/>
        <v>224.90737411395841</v>
      </c>
      <c r="AJ32" s="117">
        <f t="shared" si="11"/>
        <v>68.944409415164486</v>
      </c>
      <c r="AK32" s="117">
        <f t="shared" si="12"/>
        <v>80.65538358098145</v>
      </c>
      <c r="AL32" s="117">
        <f t="shared" si="13"/>
        <v>81.603708457123858</v>
      </c>
      <c r="AM32" s="117">
        <f t="shared" si="14"/>
        <v>-175.00453426532539</v>
      </c>
      <c r="AN32" s="117">
        <f t="shared" si="15"/>
        <v>-156.19792872740837</v>
      </c>
      <c r="AO32" s="117">
        <f t="shared" si="16"/>
        <v>-66.710401752289769</v>
      </c>
      <c r="AP32" s="82">
        <v>0.15032999999999999</v>
      </c>
      <c r="AQ32" s="117">
        <f t="shared" si="17"/>
        <v>81.603708457123858</v>
      </c>
      <c r="AR32" s="117">
        <f t="shared" si="18"/>
        <v>542.8304959563884</v>
      </c>
      <c r="AT32" s="50">
        <v>32.284300999999999</v>
      </c>
      <c r="AU32" s="116" t="s">
        <v>297</v>
      </c>
      <c r="AV32" s="117">
        <f t="shared" si="19"/>
        <v>971.56476451737274</v>
      </c>
      <c r="AW32" s="117">
        <f t="shared" si="20"/>
        <v>1066.1553126673346</v>
      </c>
    </row>
    <row r="33" spans="1:49" ht="13.95" customHeight="1" x14ac:dyDescent="0.3">
      <c r="A33" s="115" t="s">
        <v>356</v>
      </c>
      <c r="B33" s="116" t="s">
        <v>357</v>
      </c>
      <c r="C33" s="116" t="s">
        <v>325</v>
      </c>
      <c r="D33" s="116" t="s">
        <v>325</v>
      </c>
      <c r="E33" s="52">
        <v>4.7299999999999998E-3</v>
      </c>
      <c r="F33" s="50">
        <v>16.78</v>
      </c>
      <c r="G33" s="50">
        <v>17.8</v>
      </c>
      <c r="H33" s="99">
        <f t="shared" si="0"/>
        <v>5.0175208581644815E-3</v>
      </c>
      <c r="I33" s="30">
        <f t="shared" si="1"/>
        <v>4.5130430495967308E-3</v>
      </c>
      <c r="J33" s="20">
        <f>I33*Assumptions!$D$7</f>
        <v>940.6622278701019</v>
      </c>
      <c r="K33" s="41">
        <v>25579.54473179</v>
      </c>
      <c r="L33" s="41">
        <v>165140.33333333331</v>
      </c>
      <c r="M33" s="41">
        <v>170893.91666666669</v>
      </c>
      <c r="N33" s="41">
        <v>176039.1</v>
      </c>
      <c r="O33" s="41">
        <v>6036.5555555555557</v>
      </c>
      <c r="P33" s="41">
        <v>6010.1</v>
      </c>
      <c r="Q33" s="41">
        <v>7152</v>
      </c>
      <c r="R33" s="41">
        <v>12890</v>
      </c>
      <c r="S33" s="41">
        <v>12856.36363636364</v>
      </c>
      <c r="T33" s="41">
        <v>14184.2</v>
      </c>
      <c r="U33" s="41">
        <v>394.7</v>
      </c>
      <c r="V33" s="41">
        <v>445.04</v>
      </c>
      <c r="W33" s="41">
        <v>1627.222</v>
      </c>
      <c r="X33" s="41">
        <v>-5478.8</v>
      </c>
      <c r="Y33" s="41">
        <v>-4844.3999999999996</v>
      </c>
      <c r="Z33" s="41">
        <v>-5258</v>
      </c>
      <c r="AA33" s="117">
        <f t="shared" si="2"/>
        <v>6072.8709401730675</v>
      </c>
      <c r="AB33" s="117">
        <f t="shared" si="3"/>
        <v>6284.4532248977621</v>
      </c>
      <c r="AC33" s="117">
        <f t="shared" si="4"/>
        <v>6473.6622068355236</v>
      </c>
      <c r="AD33" s="117">
        <f t="shared" si="5"/>
        <v>221.98830577674516</v>
      </c>
      <c r="AE33" s="117">
        <f t="shared" si="6"/>
        <v>221.01542912513293</v>
      </c>
      <c r="AF33" s="117">
        <f t="shared" si="7"/>
        <v>263.0076619528711</v>
      </c>
      <c r="AG33" s="117">
        <f t="shared" si="8"/>
        <v>474.01688514716278</v>
      </c>
      <c r="AH33" s="117">
        <f t="shared" si="9"/>
        <v>472.77994144517794</v>
      </c>
      <c r="AI33" s="117">
        <f t="shared" si="10"/>
        <v>521.60979847202384</v>
      </c>
      <c r="AJ33" s="117">
        <f t="shared" si="11"/>
        <v>14.514698570022121</v>
      </c>
      <c r="AK33" s="117">
        <f t="shared" si="12"/>
        <v>16.365901828230669</v>
      </c>
      <c r="AL33" s="117">
        <f t="shared" si="13"/>
        <v>59.839465002555201</v>
      </c>
      <c r="AM33" s="117">
        <f t="shared" si="14"/>
        <v>-201.47740188861721</v>
      </c>
      <c r="AN33" s="117">
        <f t="shared" si="15"/>
        <v>-178.14797505096317</v>
      </c>
      <c r="AO33" s="117">
        <f t="shared" si="16"/>
        <v>-193.3577022578574</v>
      </c>
      <c r="AP33" s="82">
        <v>0.18737000000000001</v>
      </c>
      <c r="AQ33" s="117">
        <f t="shared" si="17"/>
        <v>59.839465002555201</v>
      </c>
      <c r="AR33" s="117">
        <f t="shared" si="18"/>
        <v>319.36523991330097</v>
      </c>
      <c r="AT33" s="50">
        <v>20.45</v>
      </c>
      <c r="AU33" s="116" t="s">
        <v>297</v>
      </c>
      <c r="AV33" s="117">
        <f t="shared" si="19"/>
        <v>940.6622278701019</v>
      </c>
      <c r="AW33" s="117">
        <f t="shared" si="20"/>
        <v>1080.7046381990776</v>
      </c>
    </row>
    <row r="34" spans="1:49" ht="13.95" customHeight="1" x14ac:dyDescent="0.3">
      <c r="A34" s="115" t="s">
        <v>358</v>
      </c>
      <c r="B34" s="116" t="s">
        <v>359</v>
      </c>
      <c r="C34" s="116" t="s">
        <v>325</v>
      </c>
      <c r="D34" s="116" t="s">
        <v>325</v>
      </c>
      <c r="E34" s="52">
        <v>3.8800000000000002E-3</v>
      </c>
      <c r="F34" s="50">
        <v>22.79</v>
      </c>
      <c r="G34" s="50">
        <v>24.37</v>
      </c>
      <c r="H34" s="99">
        <f t="shared" si="0"/>
        <v>4.148995173321633E-3</v>
      </c>
      <c r="I34" s="30">
        <f t="shared" si="1"/>
        <v>3.7318417519482802E-3</v>
      </c>
      <c r="J34" s="20">
        <f>I34*Assumptions!$D$7</f>
        <v>777.83494149474382</v>
      </c>
      <c r="K34" s="41">
        <v>14095.640829759999</v>
      </c>
      <c r="L34" s="41">
        <v>9265.636363636364</v>
      </c>
      <c r="M34" s="41">
        <v>9982.545454545454</v>
      </c>
      <c r="N34" s="41">
        <v>10616.7</v>
      </c>
      <c r="O34" s="41">
        <v>1479.3</v>
      </c>
      <c r="P34" s="41">
        <v>1653.6</v>
      </c>
      <c r="Q34" s="41">
        <v>1784.9</v>
      </c>
      <c r="R34" s="41">
        <v>2376.454545454545</v>
      </c>
      <c r="S34" s="41">
        <v>2555.636363636364</v>
      </c>
      <c r="T34" s="41">
        <v>2716.3</v>
      </c>
      <c r="U34" s="41">
        <v>796</v>
      </c>
      <c r="V34" s="41">
        <v>915.18200000000002</v>
      </c>
      <c r="W34" s="41">
        <v>1042.8</v>
      </c>
      <c r="X34" s="41">
        <v>-495.5</v>
      </c>
      <c r="Y34" s="41">
        <v>-518.5</v>
      </c>
      <c r="Z34" s="41">
        <v>-548.25</v>
      </c>
      <c r="AA34" s="117">
        <f t="shared" si="2"/>
        <v>511.3024520037643</v>
      </c>
      <c r="AB34" s="117">
        <f t="shared" si="3"/>
        <v>550.86340191155341</v>
      </c>
      <c r="AC34" s="117">
        <f t="shared" si="4"/>
        <v>585.8577359556524</v>
      </c>
      <c r="AD34" s="117">
        <f t="shared" si="5"/>
        <v>81.631707479649663</v>
      </c>
      <c r="AE34" s="117">
        <f t="shared" si="6"/>
        <v>91.250044945818075</v>
      </c>
      <c r="AF34" s="117">
        <f t="shared" si="7"/>
        <v>98.495528074377532</v>
      </c>
      <c r="AG34" s="117">
        <f t="shared" si="8"/>
        <v>131.13908084447323</v>
      </c>
      <c r="AH34" s="117">
        <f t="shared" si="9"/>
        <v>141.02681001873808</v>
      </c>
      <c r="AI34" s="117">
        <f t="shared" si="10"/>
        <v>149.89265668016793</v>
      </c>
      <c r="AJ34" s="117">
        <f t="shared" si="11"/>
        <v>43.925396575272856</v>
      </c>
      <c r="AK34" s="117">
        <f t="shared" si="12"/>
        <v>50.502176241898695</v>
      </c>
      <c r="AL34" s="117">
        <f t="shared" si="13"/>
        <v>57.544476819968004</v>
      </c>
      <c r="AM34" s="117">
        <f t="shared" si="14"/>
        <v>-27.34300754151721</v>
      </c>
      <c r="AN34" s="117">
        <f t="shared" si="15"/>
        <v>-28.612208698842934</v>
      </c>
      <c r="AO34" s="117">
        <f t="shared" si="16"/>
        <v>-30.253892804514251</v>
      </c>
      <c r="AP34" s="82">
        <v>0.18076999999999999</v>
      </c>
      <c r="AQ34" s="117">
        <f t="shared" si="17"/>
        <v>57.544476819968004</v>
      </c>
      <c r="AR34" s="117">
        <f t="shared" si="18"/>
        <v>318.32979377091334</v>
      </c>
      <c r="AT34" s="50">
        <v>20</v>
      </c>
      <c r="AU34" s="116" t="s">
        <v>297</v>
      </c>
      <c r="AV34" s="117">
        <f t="shared" si="19"/>
        <v>777.83494149474382</v>
      </c>
      <c r="AW34" s="117">
        <f t="shared" si="20"/>
        <v>638.35448624927676</v>
      </c>
    </row>
    <row r="35" spans="1:49" ht="13.95" customHeight="1" x14ac:dyDescent="0.3">
      <c r="A35" s="115" t="s">
        <v>360</v>
      </c>
      <c r="B35" s="116" t="s">
        <v>361</v>
      </c>
      <c r="C35" s="116" t="s">
        <v>325</v>
      </c>
      <c r="D35" s="116" t="s">
        <v>325</v>
      </c>
      <c r="E35" s="52">
        <v>3.5000000000000001E-3</v>
      </c>
      <c r="F35" s="50">
        <v>41.81</v>
      </c>
      <c r="G35" s="50">
        <v>44.15</v>
      </c>
      <c r="H35" s="99">
        <f t="shared" si="0"/>
        <v>3.6958861516383635E-3</v>
      </c>
      <c r="I35" s="30">
        <f t="shared" si="1"/>
        <v>3.3242897798045467E-3</v>
      </c>
      <c r="J35" s="20">
        <f>I35*Assumptions!$D$7</f>
        <v>692.88810144103888</v>
      </c>
      <c r="K35" s="41">
        <v>15195.319963080001</v>
      </c>
      <c r="L35" s="41">
        <v>3229.875</v>
      </c>
      <c r="M35" s="41">
        <v>3605.875</v>
      </c>
      <c r="N35" s="41">
        <v>3660.25</v>
      </c>
      <c r="O35" s="41">
        <v>1990.272727272727</v>
      </c>
      <c r="P35" s="41">
        <v>2328.8000000000002</v>
      </c>
      <c r="Q35" s="41">
        <v>2501.3000000000002</v>
      </c>
      <c r="R35" s="41">
        <v>2507.125</v>
      </c>
      <c r="S35" s="41">
        <v>2873.375</v>
      </c>
      <c r="T35" s="41">
        <v>3031.5714285714289</v>
      </c>
      <c r="U35" s="41">
        <v>1269.8</v>
      </c>
      <c r="V35" s="41">
        <v>1437.8</v>
      </c>
      <c r="W35" s="41">
        <v>1669.1</v>
      </c>
      <c r="X35" s="41">
        <v>-1766</v>
      </c>
      <c r="Y35" s="41">
        <v>-225</v>
      </c>
      <c r="Z35" s="41">
        <v>-72.05</v>
      </c>
      <c r="AA35" s="117">
        <f t="shared" si="2"/>
        <v>147.27837005600361</v>
      </c>
      <c r="AB35" s="117">
        <f t="shared" si="3"/>
        <v>164.42351255874982</v>
      </c>
      <c r="AC35" s="117">
        <f t="shared" si="4"/>
        <v>166.90294639807647</v>
      </c>
      <c r="AD35" s="117">
        <f t="shared" si="5"/>
        <v>90.754014703245232</v>
      </c>
      <c r="AE35" s="117">
        <f t="shared" si="6"/>
        <v>106.19044643722164</v>
      </c>
      <c r="AF35" s="117">
        <f t="shared" si="7"/>
        <v>114.05623654818898</v>
      </c>
      <c r="AG35" s="117">
        <f t="shared" si="8"/>
        <v>114.32184946063177</v>
      </c>
      <c r="AH35" s="117">
        <f t="shared" si="9"/>
        <v>131.02240382667111</v>
      </c>
      <c r="AI35" s="117">
        <f t="shared" si="10"/>
        <v>138.23596848433777</v>
      </c>
      <c r="AJ35" s="117">
        <f t="shared" si="11"/>
        <v>57.901334973369984</v>
      </c>
      <c r="AK35" s="117">
        <f t="shared" si="12"/>
        <v>65.561930559703384</v>
      </c>
      <c r="AL35" s="117">
        <f t="shared" si="13"/>
        <v>76.108929125887414</v>
      </c>
      <c r="AM35" s="117">
        <f t="shared" si="14"/>
        <v>-80.527451223004732</v>
      </c>
      <c r="AN35" s="117">
        <f t="shared" si="15"/>
        <v>-10.259726231696524</v>
      </c>
      <c r="AO35" s="117">
        <f t="shared" si="16"/>
        <v>-3.2853923333054866</v>
      </c>
      <c r="AP35" s="82">
        <v>1.2756000000000001</v>
      </c>
      <c r="AQ35" s="117">
        <f t="shared" si="17"/>
        <v>76.108929125887414</v>
      </c>
      <c r="AR35" s="117">
        <f t="shared" si="18"/>
        <v>59.665200004615407</v>
      </c>
      <c r="AT35" s="50">
        <v>40.546067000000001</v>
      </c>
      <c r="AU35" s="116" t="s">
        <v>297</v>
      </c>
      <c r="AV35" s="117">
        <f t="shared" si="19"/>
        <v>692.88810144103888</v>
      </c>
      <c r="AW35" s="117">
        <f t="shared" si="20"/>
        <v>636.32814007998104</v>
      </c>
    </row>
    <row r="36" spans="1:49" ht="13.95" customHeight="1" x14ac:dyDescent="0.3">
      <c r="A36" s="115" t="s">
        <v>362</v>
      </c>
      <c r="B36" s="116" t="s">
        <v>363</v>
      </c>
      <c r="C36" s="116" t="s">
        <v>325</v>
      </c>
      <c r="D36" s="116" t="s">
        <v>325</v>
      </c>
      <c r="E36" s="52">
        <v>3.2699999999999999E-3</v>
      </c>
      <c r="F36" s="50">
        <v>45.51</v>
      </c>
      <c r="G36" s="50">
        <v>50.37</v>
      </c>
      <c r="H36" s="99">
        <f t="shared" si="0"/>
        <v>3.619202373104812E-3</v>
      </c>
      <c r="I36" s="30">
        <f t="shared" si="1"/>
        <v>3.2553160368923423E-3</v>
      </c>
      <c r="J36" s="20">
        <f>I36*Assumptions!$D$7</f>
        <v>678.51177177626175</v>
      </c>
      <c r="K36" s="41">
        <v>57716.42489960001</v>
      </c>
      <c r="L36" s="41">
        <v>41567.142857142862</v>
      </c>
      <c r="M36" s="41">
        <v>41153.28571428571</v>
      </c>
      <c r="N36" s="41">
        <v>43083.142857142862</v>
      </c>
      <c r="O36" s="41">
        <v>10724.5</v>
      </c>
      <c r="P36" s="41">
        <v>10289.66666666667</v>
      </c>
      <c r="Q36" s="41">
        <v>11209.16666666667</v>
      </c>
      <c r="R36" s="41">
        <v>13135.857142857139</v>
      </c>
      <c r="S36" s="41">
        <v>13277.142857142861</v>
      </c>
      <c r="T36" s="41">
        <v>14313.428571428571</v>
      </c>
      <c r="U36" s="41">
        <v>5381.75</v>
      </c>
      <c r="V36" s="41">
        <v>5009.25</v>
      </c>
      <c r="W36" s="41">
        <v>4945.143</v>
      </c>
      <c r="X36" s="41">
        <v>-771</v>
      </c>
      <c r="Y36" s="41">
        <v>-655</v>
      </c>
      <c r="Z36" s="41">
        <v>-630</v>
      </c>
      <c r="AA36" s="117">
        <f t="shared" si="2"/>
        <v>488.66151700730944</v>
      </c>
      <c r="AB36" s="117">
        <f t="shared" si="3"/>
        <v>483.79623050089913</v>
      </c>
      <c r="AC36" s="117">
        <f t="shared" si="4"/>
        <v>506.48354683334497</v>
      </c>
      <c r="AD36" s="117">
        <f t="shared" si="5"/>
        <v>126.07675387158203</v>
      </c>
      <c r="AE36" s="117">
        <f t="shared" si="6"/>
        <v>120.9648721855523</v>
      </c>
      <c r="AF36" s="117">
        <f t="shared" si="7"/>
        <v>131.77447404903495</v>
      </c>
      <c r="AG36" s="117">
        <f t="shared" si="8"/>
        <v>154.42456318637346</v>
      </c>
      <c r="AH36" s="117">
        <f t="shared" si="9"/>
        <v>156.08551187634237</v>
      </c>
      <c r="AI36" s="117">
        <f t="shared" si="10"/>
        <v>168.26804149922793</v>
      </c>
      <c r="AJ36" s="117">
        <f t="shared" si="11"/>
        <v>63.267618084608756</v>
      </c>
      <c r="AK36" s="117">
        <f t="shared" si="12"/>
        <v>58.888524344372449</v>
      </c>
      <c r="AL36" s="117">
        <f t="shared" si="13"/>
        <v>58.134885250666862</v>
      </c>
      <c r="AM36" s="117">
        <f t="shared" si="14"/>
        <v>-9.0638423455629393</v>
      </c>
      <c r="AN36" s="117">
        <f t="shared" si="15"/>
        <v>-7.7001514090061285</v>
      </c>
      <c r="AO36" s="117">
        <f t="shared" si="16"/>
        <v>-7.4062525002654365</v>
      </c>
      <c r="AP36" s="82">
        <v>0.2228</v>
      </c>
      <c r="AQ36" s="117">
        <f t="shared" si="17"/>
        <v>58.134885250666862</v>
      </c>
      <c r="AR36" s="117">
        <f t="shared" si="18"/>
        <v>260.92856934769685</v>
      </c>
      <c r="AT36" s="50">
        <v>51.249943000000002</v>
      </c>
      <c r="AU36" s="116" t="s">
        <v>297</v>
      </c>
      <c r="AV36" s="117">
        <f t="shared" si="19"/>
        <v>678.51177177626175</v>
      </c>
      <c r="AW36" s="117">
        <f t="shared" si="20"/>
        <v>690.36509089462822</v>
      </c>
    </row>
    <row r="37" spans="1:49" ht="13.95" customHeight="1" x14ac:dyDescent="0.3">
      <c r="A37" s="115" t="s">
        <v>364</v>
      </c>
      <c r="B37" s="116" t="s">
        <v>365</v>
      </c>
      <c r="C37" s="116" t="s">
        <v>325</v>
      </c>
      <c r="D37" s="116" t="s">
        <v>325</v>
      </c>
      <c r="E37" s="52">
        <v>2.7799999999999999E-3</v>
      </c>
      <c r="F37" s="50">
        <v>24.48</v>
      </c>
      <c r="G37" s="50">
        <v>27.16</v>
      </c>
      <c r="H37" s="99">
        <f t="shared" si="0"/>
        <v>3.0843464052287581E-3</v>
      </c>
      <c r="I37" s="30">
        <f t="shared" si="1"/>
        <v>2.7742362214630573E-3</v>
      </c>
      <c r="J37" s="20">
        <f>I37*Assumptions!$D$7</f>
        <v>578.23938217309023</v>
      </c>
      <c r="K37" s="41">
        <v>19233.527491879999</v>
      </c>
      <c r="L37" s="41">
        <v>9244</v>
      </c>
      <c r="M37" s="41">
        <v>10407.428571428571</v>
      </c>
      <c r="N37" s="41">
        <v>11155.75</v>
      </c>
      <c r="O37" s="41">
        <v>2618.3846153846148</v>
      </c>
      <c r="P37" s="41">
        <v>2965.6923076923081</v>
      </c>
      <c r="Q37" s="41">
        <v>3262.3846153846148</v>
      </c>
      <c r="R37" s="41">
        <v>2991.8</v>
      </c>
      <c r="S37" s="41">
        <v>3375.9333333333329</v>
      </c>
      <c r="T37" s="41">
        <v>3648.8461538461538</v>
      </c>
      <c r="U37" s="41">
        <v>1889.769</v>
      </c>
      <c r="V37" s="41">
        <v>2226.5</v>
      </c>
      <c r="W37" s="41">
        <v>2589.364</v>
      </c>
      <c r="X37" s="41">
        <v>-478.66666666666669</v>
      </c>
      <c r="Y37" s="41">
        <v>-368.33333333333331</v>
      </c>
      <c r="Z37" s="41">
        <v>-377.66666666666669</v>
      </c>
      <c r="AA37" s="117">
        <f t="shared" si="2"/>
        <v>277.91287121224639</v>
      </c>
      <c r="AB37" s="117">
        <f t="shared" si="3"/>
        <v>312.89034576180029</v>
      </c>
      <c r="AC37" s="117">
        <f t="shared" si="4"/>
        <v>335.38798280246834</v>
      </c>
      <c r="AD37" s="117">
        <f t="shared" si="5"/>
        <v>78.71947061872693</v>
      </c>
      <c r="AE37" s="117">
        <f t="shared" si="6"/>
        <v>89.160976240030536</v>
      </c>
      <c r="AF37" s="117">
        <f t="shared" si="7"/>
        <v>98.08077406536114</v>
      </c>
      <c r="AG37" s="117">
        <f t="shared" si="8"/>
        <v>89.945881446646339</v>
      </c>
      <c r="AH37" s="117">
        <f t="shared" si="9"/>
        <v>101.49451814017699</v>
      </c>
      <c r="AI37" s="117">
        <f t="shared" si="10"/>
        <v>109.69940623400549</v>
      </c>
      <c r="AJ37" s="117">
        <f t="shared" si="11"/>
        <v>56.814271821494543</v>
      </c>
      <c r="AK37" s="117">
        <f t="shared" si="12"/>
        <v>66.937798329085524</v>
      </c>
      <c r="AL37" s="117">
        <f t="shared" si="13"/>
        <v>77.84699089719031</v>
      </c>
      <c r="AM37" s="117">
        <f t="shared" si="14"/>
        <v>-14.390699663233296</v>
      </c>
      <c r="AN37" s="117">
        <f t="shared" si="15"/>
        <v>-11.073623348100829</v>
      </c>
      <c r="AO37" s="117">
        <f t="shared" si="16"/>
        <v>-11.35422194877669</v>
      </c>
      <c r="AP37" s="82">
        <v>0.14591999999999999</v>
      </c>
      <c r="AQ37" s="117">
        <f t="shared" si="17"/>
        <v>77.84699089719031</v>
      </c>
      <c r="AR37" s="117">
        <f t="shared" si="18"/>
        <v>533.49089156517482</v>
      </c>
      <c r="AT37" s="50">
        <v>28</v>
      </c>
      <c r="AU37" s="116" t="s">
        <v>297</v>
      </c>
      <c r="AV37" s="117">
        <f t="shared" si="19"/>
        <v>578.23938217309023</v>
      </c>
      <c r="AW37" s="117">
        <f t="shared" si="20"/>
        <v>596.12307440524762</v>
      </c>
    </row>
    <row r="38" spans="1:49" ht="13.95" customHeight="1" x14ac:dyDescent="0.3">
      <c r="A38" s="115" t="s">
        <v>366</v>
      </c>
      <c r="B38" s="116" t="s">
        <v>367</v>
      </c>
      <c r="C38" s="116" t="s">
        <v>325</v>
      </c>
      <c r="D38" s="116" t="s">
        <v>325</v>
      </c>
      <c r="E38" s="52">
        <v>2.16E-3</v>
      </c>
      <c r="F38" s="50">
        <v>6.75</v>
      </c>
      <c r="G38" s="50">
        <v>7.84</v>
      </c>
      <c r="H38" s="99">
        <f t="shared" ref="H38:H69" si="21">E38*G38/F38</f>
        <v>2.5087999999999998E-3</v>
      </c>
      <c r="I38" s="30">
        <f t="shared" ref="I38:I69" si="22">H38/SUM($H$6:$H$81)</f>
        <v>2.2565571171278059E-3</v>
      </c>
      <c r="J38" s="20">
        <f>I38*Assumptions!$D$7</f>
        <v>470.33853251261348</v>
      </c>
      <c r="K38" s="41">
        <v>10102.998778949999</v>
      </c>
      <c r="L38" s="41">
        <v>21872.875</v>
      </c>
      <c r="M38" s="41">
        <v>22959.875</v>
      </c>
      <c r="N38" s="41">
        <v>24545.5</v>
      </c>
      <c r="O38" s="41">
        <v>1851.666666666667</v>
      </c>
      <c r="P38" s="41">
        <v>2318.5</v>
      </c>
      <c r="Q38" s="41">
        <v>2548</v>
      </c>
      <c r="R38" s="41">
        <v>2766.1428571428569</v>
      </c>
      <c r="S38" s="41">
        <v>3225.7142857142858</v>
      </c>
      <c r="T38" s="41">
        <v>3460</v>
      </c>
      <c r="U38" s="41">
        <v>413.5</v>
      </c>
      <c r="V38" s="41">
        <v>1281.4000000000001</v>
      </c>
      <c r="W38" s="41">
        <v>1452.75</v>
      </c>
      <c r="X38" s="41">
        <v>-306</v>
      </c>
      <c r="Y38" s="41">
        <v>-422</v>
      </c>
      <c r="Z38" s="41">
        <v>-470.5</v>
      </c>
      <c r="AA38" s="117">
        <f t="shared" ref="AA38:AA69" si="23">IF(ISNUMBER(L38),$J38*L38/$K38,0)</f>
        <v>1018.2774594377435</v>
      </c>
      <c r="AB38" s="117">
        <f t="shared" ref="AB38:AB69" si="24">IF(ISNUMBER(M38),$J38*M38/$K38,0)</f>
        <v>1068.8820369525342</v>
      </c>
      <c r="AC38" s="117">
        <f t="shared" ref="AC38:AC69" si="25">IF(ISNUMBER(N38),$J38*N38/$K38,0)</f>
        <v>1142.6997768070789</v>
      </c>
      <c r="AD38" s="117">
        <f t="shared" ref="AD38:AD69" si="26">IF(ISNUMBER(O38),$J38*O38/$K38,0)</f>
        <v>86.203136490236815</v>
      </c>
      <c r="AE38" s="117">
        <f t="shared" ref="AE38:AE69" si="27">IF(ISNUMBER(P38),$J38*P38/$K38,0)</f>
        <v>107.93625848025961</v>
      </c>
      <c r="AF38" s="117">
        <f t="shared" ref="AF38:AF69" si="28">IF(ISNUMBER(Q38),$J38*Q38/$K38,0)</f>
        <v>118.62048160780742</v>
      </c>
      <c r="AG38" s="117">
        <f t="shared" ref="AG38:AG69" si="29">IF(ISNUMBER(R38),$J38*R38/$K38,0)</f>
        <v>128.775980341555</v>
      </c>
      <c r="AH38" s="117">
        <f t="shared" ref="AH38:AH69" si="30">IF(ISNUMBER(S38),$J38*S38/$K38,0)</f>
        <v>150.17102908187326</v>
      </c>
      <c r="AI38" s="117">
        <f t="shared" ref="AI38:AI69" si="31">IF(ISNUMBER(T38),$J38*T38/$K38,0)</f>
        <v>161.07804802316076</v>
      </c>
      <c r="AJ38" s="117">
        <f t="shared" ref="AJ38:AJ69" si="32">IF(ISNUMBER(U38),$J38*U38/$K38,0)</f>
        <v>19.250223369241905</v>
      </c>
      <c r="AK38" s="117">
        <f t="shared" ref="AK38:AK69" si="33">IF(ISNUMBER(V38),$J38*V38/$K38,0)</f>
        <v>59.654742987537063</v>
      </c>
      <c r="AL38" s="117">
        <f t="shared" ref="AL38:AL69" si="34">IF(ISNUMBER(W38),$J38*W38/$K38,0)</f>
        <v>67.631830712614686</v>
      </c>
      <c r="AM38" s="117">
        <f t="shared" ref="AM38:AM69" si="35">IF(ISNUMBER(X38),$J38*X38/$K38,0)</f>
        <v>-14.245630836730404</v>
      </c>
      <c r="AN38" s="117">
        <f t="shared" ref="AN38:AN69" si="36">IF(ISNUMBER(Y38),$J38*Y38/$K38,0)</f>
        <v>-19.645935336928858</v>
      </c>
      <c r="AO38" s="117">
        <f t="shared" ref="AO38:AO69" si="37">IF(ISNUMBER(Z38),$J38*Z38/$K38,0)</f>
        <v>-21.903821270201487</v>
      </c>
      <c r="AP38" s="82">
        <v>0.10363</v>
      </c>
      <c r="AQ38" s="117">
        <f t="shared" ref="AQ38:AQ69" si="38">IF(AND(ISNUMBER(AP38),N(AP38)&gt;0),AL38,0)</f>
        <v>67.631830712614686</v>
      </c>
      <c r="AR38" s="117">
        <f t="shared" ref="AR38:AR69" si="39">IF(AQ38&lt;&gt;0,AQ38/AP38,0)</f>
        <v>652.62791385327307</v>
      </c>
      <c r="AT38" s="50">
        <v>13.5</v>
      </c>
      <c r="AU38" s="116" t="s">
        <v>297</v>
      </c>
      <c r="AV38" s="117">
        <f t="shared" ref="AV38:AV69" si="40">IF(ISNUMBER(AT38),J38,0)</f>
        <v>470.33853251261348</v>
      </c>
      <c r="AW38" s="117">
        <f t="shared" ref="AW38:AW69" si="41">IF(ISNUMBER(AT38),J38*AT38/G38,0)</f>
        <v>809.89415675003602</v>
      </c>
    </row>
    <row r="39" spans="1:49" ht="13.95" customHeight="1" x14ac:dyDescent="0.3">
      <c r="A39" s="115" t="s">
        <v>368</v>
      </c>
      <c r="B39" s="116" t="s">
        <v>369</v>
      </c>
      <c r="C39" s="116" t="s">
        <v>325</v>
      </c>
      <c r="D39" s="116" t="s">
        <v>325</v>
      </c>
      <c r="E39" s="52">
        <v>1.5900000000000001E-3</v>
      </c>
      <c r="F39" s="50">
        <v>13.02</v>
      </c>
      <c r="G39" s="50">
        <v>15.66</v>
      </c>
      <c r="H39" s="99">
        <f t="shared" si="21"/>
        <v>1.9123963133640554E-3</v>
      </c>
      <c r="I39" s="30">
        <f t="shared" si="22"/>
        <v>1.7201177900552603E-3</v>
      </c>
      <c r="J39" s="20">
        <f>I39*Assumptions!$D$7</f>
        <v>358.52745360737481</v>
      </c>
      <c r="K39" s="41">
        <v>16574.964429719999</v>
      </c>
      <c r="L39" s="41">
        <v>12132.888888888891</v>
      </c>
      <c r="M39" s="41">
        <v>11190.5</v>
      </c>
      <c r="N39" s="41">
        <v>11629</v>
      </c>
      <c r="O39" s="41">
        <v>1179.75</v>
      </c>
      <c r="P39" s="41">
        <v>1992.375</v>
      </c>
      <c r="Q39" s="41">
        <v>2306.375</v>
      </c>
      <c r="R39" s="41">
        <v>3106.2</v>
      </c>
      <c r="S39" s="41">
        <v>3853.5555555555552</v>
      </c>
      <c r="T39" s="41">
        <v>3994.75</v>
      </c>
      <c r="U39" s="41">
        <v>-969.33299999999997</v>
      </c>
      <c r="V39" s="41">
        <v>-227.667</v>
      </c>
      <c r="W39" s="41">
        <v>280.214</v>
      </c>
      <c r="X39" s="41">
        <v>-533.33333333333326</v>
      </c>
      <c r="Y39" s="41">
        <v>-232</v>
      </c>
      <c r="Z39" s="41">
        <v>-232.75</v>
      </c>
      <c r="AA39" s="117">
        <f t="shared" si="23"/>
        <v>262.44241890708111</v>
      </c>
      <c r="AB39" s="117">
        <f t="shared" si="24"/>
        <v>242.05792335815616</v>
      </c>
      <c r="AC39" s="117">
        <f t="shared" si="25"/>
        <v>251.54296865484096</v>
      </c>
      <c r="AD39" s="117">
        <f t="shared" si="26"/>
        <v>25.518773520556248</v>
      </c>
      <c r="AE39" s="117">
        <f t="shared" si="27"/>
        <v>43.096390246254082</v>
      </c>
      <c r="AF39" s="117">
        <f t="shared" si="28"/>
        <v>49.888418121189169</v>
      </c>
      <c r="AG39" s="117">
        <f t="shared" si="29"/>
        <v>67.189162373004294</v>
      </c>
      <c r="AH39" s="117">
        <f t="shared" si="30"/>
        <v>83.354957805555017</v>
      </c>
      <c r="AI39" s="117">
        <f t="shared" si="31"/>
        <v>86.40908711272904</v>
      </c>
      <c r="AJ39" s="117">
        <f t="shared" si="32"/>
        <v>-20.967314509854926</v>
      </c>
      <c r="AK39" s="117">
        <f t="shared" si="33"/>
        <v>-4.9245879305823097</v>
      </c>
      <c r="AL39" s="117">
        <f t="shared" si="34"/>
        <v>6.0612143278568755</v>
      </c>
      <c r="AM39" s="117">
        <f t="shared" si="35"/>
        <v>-11.536353078445996</v>
      </c>
      <c r="AN39" s="117">
        <f t="shared" si="36"/>
        <v>-5.0183135891240092</v>
      </c>
      <c r="AO39" s="117">
        <f t="shared" si="37"/>
        <v>-5.0345365856405735</v>
      </c>
      <c r="AP39" s="82">
        <v>2.46E-2</v>
      </c>
      <c r="AQ39" s="117">
        <f t="shared" si="38"/>
        <v>6.0612143278568755</v>
      </c>
      <c r="AR39" s="117">
        <f t="shared" si="39"/>
        <v>246.39082633564536</v>
      </c>
      <c r="AT39" s="50">
        <v>13.76131</v>
      </c>
      <c r="AU39" s="116" t="s">
        <v>297</v>
      </c>
      <c r="AV39" s="117">
        <f t="shared" si="40"/>
        <v>358.52745360737481</v>
      </c>
      <c r="AW39" s="117">
        <f t="shared" si="41"/>
        <v>315.05794588772051</v>
      </c>
    </row>
    <row r="40" spans="1:49" ht="13.95" customHeight="1" x14ac:dyDescent="0.3">
      <c r="A40" s="115" t="s">
        <v>370</v>
      </c>
      <c r="B40" s="116" t="s">
        <v>371</v>
      </c>
      <c r="C40" s="116" t="s">
        <v>325</v>
      </c>
      <c r="D40" s="116" t="s">
        <v>325</v>
      </c>
      <c r="E40" s="52">
        <v>7.0999999999999991E-4</v>
      </c>
      <c r="F40" s="50">
        <v>6.67</v>
      </c>
      <c r="G40" s="50">
        <v>8.81</v>
      </c>
      <c r="H40" s="99">
        <f t="shared" si="21"/>
        <v>9.3779610194902547E-4</v>
      </c>
      <c r="I40" s="30">
        <f t="shared" si="22"/>
        <v>8.4350704251745338E-4</v>
      </c>
      <c r="J40" s="20">
        <f>I40*Assumptions!$D$7</f>
        <v>175.81379240543444</v>
      </c>
      <c r="K40" s="41">
        <v>4282.4204822399997</v>
      </c>
      <c r="L40" s="41">
        <v>32502</v>
      </c>
      <c r="M40" s="41">
        <v>33710.9</v>
      </c>
      <c r="N40" s="41">
        <v>34711</v>
      </c>
      <c r="O40" s="41">
        <v>784.85714285714278</v>
      </c>
      <c r="P40" s="41">
        <v>1440</v>
      </c>
      <c r="Q40" s="41">
        <v>1846.2</v>
      </c>
      <c r="R40" s="41">
        <v>2549.333333333333</v>
      </c>
      <c r="S40" s="41">
        <v>2813.666666666667</v>
      </c>
      <c r="T40" s="41">
        <v>3003</v>
      </c>
      <c r="U40" s="41">
        <v>155.87100000000001</v>
      </c>
      <c r="V40" s="41">
        <v>529.75</v>
      </c>
      <c r="W40" s="41">
        <v>587.5</v>
      </c>
      <c r="X40" s="41">
        <v>-410</v>
      </c>
      <c r="Y40" s="41">
        <v>-441</v>
      </c>
      <c r="Z40" s="41">
        <v>-453</v>
      </c>
      <c r="AA40" s="117">
        <f t="shared" si="23"/>
        <v>1334.3621684184686</v>
      </c>
      <c r="AB40" s="117">
        <f t="shared" si="24"/>
        <v>1383.9932811315659</v>
      </c>
      <c r="AC40" s="117">
        <f t="shared" si="25"/>
        <v>1425.0521576510203</v>
      </c>
      <c r="AD40" s="117">
        <f t="shared" si="26"/>
        <v>32.222130300953197</v>
      </c>
      <c r="AE40" s="117">
        <f t="shared" si="27"/>
        <v>59.118870300984398</v>
      </c>
      <c r="AF40" s="117">
        <f t="shared" si="28"/>
        <v>75.795318298387087</v>
      </c>
      <c r="AG40" s="117">
        <f t="shared" si="29"/>
        <v>104.66229631063162</v>
      </c>
      <c r="AH40" s="117">
        <f t="shared" si="30"/>
        <v>115.51444078949291</v>
      </c>
      <c r="AI40" s="117">
        <f t="shared" si="31"/>
        <v>123.28747744017788</v>
      </c>
      <c r="AJ40" s="117">
        <f t="shared" si="32"/>
        <v>6.3992482171421798</v>
      </c>
      <c r="AK40" s="117">
        <f t="shared" si="33"/>
        <v>21.748764959685058</v>
      </c>
      <c r="AL40" s="117">
        <f t="shared" si="34"/>
        <v>24.11967798738079</v>
      </c>
      <c r="AM40" s="117">
        <f t="shared" si="35"/>
        <v>-16.832456127363614</v>
      </c>
      <c r="AN40" s="117">
        <f t="shared" si="36"/>
        <v>-18.105154029676473</v>
      </c>
      <c r="AO40" s="117">
        <f t="shared" si="37"/>
        <v>-18.597811282184676</v>
      </c>
      <c r="AP40" s="82">
        <v>9.7800000000000005E-3</v>
      </c>
      <c r="AQ40" s="117">
        <f t="shared" si="38"/>
        <v>24.11967798738079</v>
      </c>
      <c r="AR40" s="117">
        <f t="shared" si="39"/>
        <v>2466.2247430859702</v>
      </c>
      <c r="AT40" s="50">
        <v>11.30714321136475</v>
      </c>
      <c r="AU40" s="116" t="s">
        <v>305</v>
      </c>
      <c r="AV40" s="117">
        <f t="shared" si="40"/>
        <v>175.81379240543444</v>
      </c>
      <c r="AW40" s="117">
        <f t="shared" si="41"/>
        <v>225.64718833841081</v>
      </c>
    </row>
    <row r="41" spans="1:49" ht="13.95" customHeight="1" x14ac:dyDescent="0.3">
      <c r="A41" s="115" t="s">
        <v>372</v>
      </c>
      <c r="B41" s="116" t="s">
        <v>373</v>
      </c>
      <c r="C41" s="116" t="s">
        <v>325</v>
      </c>
      <c r="D41" s="116" t="s">
        <v>325</v>
      </c>
      <c r="E41" s="52">
        <v>6.7000000000000002E-4</v>
      </c>
      <c r="F41" s="50">
        <v>3.94</v>
      </c>
      <c r="G41" s="50">
        <v>4.1900000000000004</v>
      </c>
      <c r="H41" s="99">
        <f t="shared" si="21"/>
        <v>7.1251269035533008E-4</v>
      </c>
      <c r="I41" s="30">
        <f t="shared" si="22"/>
        <v>6.4087435525558064E-4</v>
      </c>
      <c r="J41" s="20">
        <f>I41*Assumptions!$D$7</f>
        <v>133.57867234468276</v>
      </c>
      <c r="K41" s="41">
        <v>4602.4940647999993</v>
      </c>
      <c r="L41" s="41">
        <v>56569.375</v>
      </c>
      <c r="M41" s="41">
        <v>58339.555555555547</v>
      </c>
      <c r="N41" s="41">
        <v>60780.625</v>
      </c>
      <c r="O41" s="41">
        <v>3771.1428571428569</v>
      </c>
      <c r="P41" s="41">
        <v>3775.2857142857142</v>
      </c>
      <c r="Q41" s="41">
        <v>3859.2857142857142</v>
      </c>
      <c r="R41" s="41">
        <v>4828.4285714285716</v>
      </c>
      <c r="S41" s="41">
        <v>4857</v>
      </c>
      <c r="T41" s="41">
        <v>4962.25</v>
      </c>
      <c r="U41" s="41">
        <v>556.42899999999997</v>
      </c>
      <c r="V41" s="41">
        <v>551.625</v>
      </c>
      <c r="W41" s="41">
        <v>835.875</v>
      </c>
      <c r="X41" s="41">
        <v>-1024.666666666667</v>
      </c>
      <c r="Y41" s="41">
        <v>-1070.333333333333</v>
      </c>
      <c r="Z41" s="41">
        <v>-1131</v>
      </c>
      <c r="AA41" s="117">
        <f t="shared" si="23"/>
        <v>1641.8189576083362</v>
      </c>
      <c r="AB41" s="117">
        <f t="shared" si="24"/>
        <v>1693.1950952181426</v>
      </c>
      <c r="AC41" s="117">
        <f t="shared" si="25"/>
        <v>1764.042512053265</v>
      </c>
      <c r="AD41" s="117">
        <f t="shared" si="26"/>
        <v>109.45027825933037</v>
      </c>
      <c r="AE41" s="117">
        <f t="shared" si="27"/>
        <v>109.57051684064413</v>
      </c>
      <c r="AF41" s="117">
        <f t="shared" si="28"/>
        <v>112.00845773073</v>
      </c>
      <c r="AG41" s="117">
        <f t="shared" si="29"/>
        <v>140.13599344219668</v>
      </c>
      <c r="AH41" s="117">
        <f t="shared" si="30"/>
        <v>140.96522503746397</v>
      </c>
      <c r="AI41" s="117">
        <f t="shared" si="31"/>
        <v>144.01990692652987</v>
      </c>
      <c r="AJ41" s="117">
        <f t="shared" si="32"/>
        <v>16.149297756304517</v>
      </c>
      <c r="AK41" s="117">
        <f t="shared" si="33"/>
        <v>16.009870755876275</v>
      </c>
      <c r="AL41" s="117">
        <f t="shared" si="34"/>
        <v>24.259688589291784</v>
      </c>
      <c r="AM41" s="117">
        <f t="shared" si="35"/>
        <v>-29.739009111602797</v>
      </c>
      <c r="AN41" s="117">
        <f t="shared" si="36"/>
        <v>-31.064397611371675</v>
      </c>
      <c r="AO41" s="117">
        <f t="shared" si="37"/>
        <v>-32.825132698655906</v>
      </c>
      <c r="AP41" s="82">
        <v>0.36725999999999998</v>
      </c>
      <c r="AQ41" s="117">
        <f t="shared" si="38"/>
        <v>24.259688589291784</v>
      </c>
      <c r="AR41" s="117">
        <f t="shared" si="39"/>
        <v>66.055896610825528</v>
      </c>
      <c r="AT41" s="50">
        <v>7.2</v>
      </c>
      <c r="AU41" s="116" t="s">
        <v>297</v>
      </c>
      <c r="AV41" s="117">
        <f t="shared" si="40"/>
        <v>133.57867234468276</v>
      </c>
      <c r="AW41" s="117">
        <f t="shared" si="41"/>
        <v>229.53853004336892</v>
      </c>
    </row>
    <row r="42" spans="1:49" ht="13.95" customHeight="1" x14ac:dyDescent="0.3">
      <c r="A42" s="115" t="s">
        <v>374</v>
      </c>
      <c r="B42" s="116" t="s">
        <v>375</v>
      </c>
      <c r="C42" s="116" t="s">
        <v>376</v>
      </c>
      <c r="D42" s="116" t="s">
        <v>377</v>
      </c>
      <c r="E42" s="52">
        <v>1.515E-2</v>
      </c>
      <c r="F42" s="50">
        <v>40.5</v>
      </c>
      <c r="G42" s="50">
        <v>50.32</v>
      </c>
      <c r="H42" s="99">
        <f t="shared" si="21"/>
        <v>1.8823407407407407E-2</v>
      </c>
      <c r="I42" s="30">
        <f t="shared" si="22"/>
        <v>1.6930841021118241E-2</v>
      </c>
      <c r="J42" s="20">
        <f>I42*Assumptions!$D$7</f>
        <v>3528.9277012464358</v>
      </c>
      <c r="K42" s="41">
        <v>56927.496925200001</v>
      </c>
      <c r="L42" s="41">
        <v>50013.25</v>
      </c>
      <c r="M42" s="41">
        <v>53487.75</v>
      </c>
      <c r="N42" s="41">
        <v>57020.166666666657</v>
      </c>
      <c r="O42" s="41">
        <v>10127</v>
      </c>
      <c r="P42" s="41">
        <v>10959.09090909091</v>
      </c>
      <c r="Q42" s="41">
        <v>12195.63636363636</v>
      </c>
      <c r="R42" s="41">
        <v>15815.75</v>
      </c>
      <c r="S42" s="41">
        <v>17033.5</v>
      </c>
      <c r="T42" s="41">
        <v>18414.666666666672</v>
      </c>
      <c r="U42" s="41">
        <v>4288.8330000000014</v>
      </c>
      <c r="V42" s="41">
        <v>4771.2730000000001</v>
      </c>
      <c r="W42" s="41">
        <v>5818.4549999999999</v>
      </c>
      <c r="X42" s="41">
        <v>-23848</v>
      </c>
      <c r="Y42" s="41">
        <v>-26666.799999999999</v>
      </c>
      <c r="Z42" s="41">
        <v>-26482.5</v>
      </c>
      <c r="AA42" s="117">
        <f t="shared" si="23"/>
        <v>3100.314485744329</v>
      </c>
      <c r="AB42" s="117">
        <f t="shared" si="24"/>
        <v>3315.6982626578201</v>
      </c>
      <c r="AC42" s="117">
        <f t="shared" si="25"/>
        <v>3534.6722857687223</v>
      </c>
      <c r="AD42" s="117">
        <f t="shared" si="26"/>
        <v>627.77133653847375</v>
      </c>
      <c r="AE42" s="117">
        <f t="shared" si="27"/>
        <v>679.35253749843355</v>
      </c>
      <c r="AF42" s="117">
        <f t="shared" si="28"/>
        <v>756.00582007872117</v>
      </c>
      <c r="AG42" s="117">
        <f t="shared" si="29"/>
        <v>980.41616627415476</v>
      </c>
      <c r="AH42" s="117">
        <f t="shared" si="30"/>
        <v>1055.904321213399</v>
      </c>
      <c r="AI42" s="117">
        <f t="shared" si="31"/>
        <v>1141.5226528333974</v>
      </c>
      <c r="AJ42" s="117">
        <f t="shared" si="32"/>
        <v>265.86416753237017</v>
      </c>
      <c r="AK42" s="117">
        <f t="shared" si="33"/>
        <v>295.77055674927749</v>
      </c>
      <c r="AL42" s="117">
        <f t="shared" si="34"/>
        <v>360.68522483844816</v>
      </c>
      <c r="AM42" s="117">
        <f t="shared" si="35"/>
        <v>-1478.3342385474</v>
      </c>
      <c r="AN42" s="117">
        <f t="shared" si="36"/>
        <v>-1653.071262684326</v>
      </c>
      <c r="AO42" s="117">
        <f t="shared" si="37"/>
        <v>-1641.6465310437572</v>
      </c>
      <c r="AP42" s="82">
        <v>0.18642</v>
      </c>
      <c r="AQ42" s="117">
        <f t="shared" si="38"/>
        <v>360.68522483844816</v>
      </c>
      <c r="AR42" s="117">
        <f t="shared" si="39"/>
        <v>1934.7989745652192</v>
      </c>
      <c r="AT42" s="50">
        <v>65</v>
      </c>
      <c r="AU42" s="116" t="s">
        <v>297</v>
      </c>
      <c r="AV42" s="117">
        <f t="shared" si="40"/>
        <v>3528.9277012464358</v>
      </c>
      <c r="AW42" s="117">
        <f t="shared" si="41"/>
        <v>4558.4320465226219</v>
      </c>
    </row>
    <row r="43" spans="1:49" ht="13.95" customHeight="1" x14ac:dyDescent="0.3">
      <c r="A43" s="115" t="s">
        <v>378</v>
      </c>
      <c r="B43" s="116" t="s">
        <v>379</v>
      </c>
      <c r="C43" s="116" t="s">
        <v>376</v>
      </c>
      <c r="D43" s="116" t="s">
        <v>377</v>
      </c>
      <c r="E43" s="52">
        <v>8.7799999999999996E-3</v>
      </c>
      <c r="F43" s="50">
        <v>16.29</v>
      </c>
      <c r="G43" s="50">
        <v>18.78</v>
      </c>
      <c r="H43" s="99">
        <f t="shared" si="21"/>
        <v>1.0122062615101289E-2</v>
      </c>
      <c r="I43" s="30">
        <f t="shared" si="22"/>
        <v>9.1043576347736386E-3</v>
      </c>
      <c r="J43" s="20">
        <f>I43*Assumptions!$D$7</f>
        <v>1897.6387421825284</v>
      </c>
      <c r="K43" s="41">
        <v>34406.917700669997</v>
      </c>
      <c r="L43" s="41">
        <v>14779.91666666667</v>
      </c>
      <c r="M43" s="41">
        <v>15642.18181818182</v>
      </c>
      <c r="N43" s="41">
        <v>16416.5</v>
      </c>
      <c r="O43" s="41">
        <v>5803.1</v>
      </c>
      <c r="P43" s="41">
        <v>6618</v>
      </c>
      <c r="Q43" s="41">
        <v>6974.8</v>
      </c>
      <c r="R43" s="41">
        <v>8140.181818181818</v>
      </c>
      <c r="S43" s="41">
        <v>8991.9</v>
      </c>
      <c r="T43" s="41">
        <v>9504.7777777777792</v>
      </c>
      <c r="U43" s="41">
        <v>1917.7270000000001</v>
      </c>
      <c r="V43" s="41">
        <v>2669.7</v>
      </c>
      <c r="W43" s="41">
        <v>3229.4</v>
      </c>
      <c r="X43" s="41">
        <v>-5817.666666666667</v>
      </c>
      <c r="Y43" s="41">
        <v>-4786.5</v>
      </c>
      <c r="Z43" s="41">
        <v>-4930.833333333333</v>
      </c>
      <c r="AA43" s="117">
        <f t="shared" si="23"/>
        <v>815.15417094015879</v>
      </c>
      <c r="AB43" s="117">
        <f t="shared" si="24"/>
        <v>862.71053073338646</v>
      </c>
      <c r="AC43" s="117">
        <f t="shared" si="25"/>
        <v>905.41636661725306</v>
      </c>
      <c r="AD43" s="117">
        <f t="shared" si="26"/>
        <v>320.05736406155887</v>
      </c>
      <c r="AE43" s="117">
        <f t="shared" si="27"/>
        <v>365.00140189888106</v>
      </c>
      <c r="AF43" s="117">
        <f t="shared" si="28"/>
        <v>384.67993018499777</v>
      </c>
      <c r="AG43" s="117">
        <f t="shared" si="29"/>
        <v>448.9540307265255</v>
      </c>
      <c r="AH43" s="117">
        <f t="shared" si="30"/>
        <v>495.92869533613595</v>
      </c>
      <c r="AI43" s="117">
        <f t="shared" si="31"/>
        <v>524.21535412907531</v>
      </c>
      <c r="AJ43" s="117">
        <f t="shared" si="32"/>
        <v>105.7680633815859</v>
      </c>
      <c r="AK43" s="117">
        <f t="shared" si="33"/>
        <v>147.24149934261752</v>
      </c>
      <c r="AL43" s="117">
        <f t="shared" si="34"/>
        <v>178.11053600668578</v>
      </c>
      <c r="AM43" s="117">
        <f t="shared" si="35"/>
        <v>-320.86075689237288</v>
      </c>
      <c r="AN43" s="117">
        <f t="shared" si="36"/>
        <v>-263.98900123738196</v>
      </c>
      <c r="AO43" s="117">
        <f t="shared" si="37"/>
        <v>-271.94939244430327</v>
      </c>
      <c r="AP43" s="82">
        <v>0.16495000000000001</v>
      </c>
      <c r="AQ43" s="117">
        <f t="shared" si="38"/>
        <v>178.11053600668578</v>
      </c>
      <c r="AR43" s="117">
        <f t="shared" si="39"/>
        <v>1079.7850015561428</v>
      </c>
      <c r="AT43" s="50">
        <v>22</v>
      </c>
      <c r="AU43" s="116" t="s">
        <v>297</v>
      </c>
      <c r="AV43" s="117">
        <f t="shared" si="40"/>
        <v>1897.6387421825284</v>
      </c>
      <c r="AW43" s="117">
        <f t="shared" si="41"/>
        <v>2223.0059812574882</v>
      </c>
    </row>
    <row r="44" spans="1:49" ht="13.95" customHeight="1" x14ac:dyDescent="0.3">
      <c r="A44" s="115" t="s">
        <v>380</v>
      </c>
      <c r="B44" s="116" t="s">
        <v>381</v>
      </c>
      <c r="C44" s="116" t="s">
        <v>376</v>
      </c>
      <c r="D44" s="116" t="s">
        <v>377</v>
      </c>
      <c r="E44" s="52">
        <v>6.6E-3</v>
      </c>
      <c r="F44" s="50">
        <v>33.43</v>
      </c>
      <c r="G44" s="50">
        <v>37.24</v>
      </c>
      <c r="H44" s="99">
        <f t="shared" si="21"/>
        <v>7.3521986239904278E-3</v>
      </c>
      <c r="I44" s="30">
        <f t="shared" si="22"/>
        <v>6.6129847462941893E-3</v>
      </c>
      <c r="J44" s="20">
        <f>I44*Assumptions!$D$7</f>
        <v>1378.3571076008109</v>
      </c>
      <c r="K44" s="41">
        <v>23568.47016492</v>
      </c>
      <c r="L44" s="41">
        <v>7675.8461538461543</v>
      </c>
      <c r="M44" s="41">
        <v>8856.5</v>
      </c>
      <c r="N44" s="41">
        <v>9997.75</v>
      </c>
      <c r="O44" s="41">
        <v>1487.2</v>
      </c>
      <c r="P44" s="41">
        <v>1881.818181818182</v>
      </c>
      <c r="Q44" s="41">
        <v>2259.5</v>
      </c>
      <c r="R44" s="41">
        <v>2001.909090909091</v>
      </c>
      <c r="S44" s="41">
        <v>2357.083333333333</v>
      </c>
      <c r="T44" s="41">
        <v>2763.7142857142858</v>
      </c>
      <c r="U44" s="41">
        <v>1078</v>
      </c>
      <c r="V44" s="41">
        <v>1223.182</v>
      </c>
      <c r="W44" s="41">
        <v>1570.5</v>
      </c>
      <c r="X44" s="41">
        <v>-393.33333333333331</v>
      </c>
      <c r="Y44" s="41">
        <v>-432.33333333333331</v>
      </c>
      <c r="Z44" s="41">
        <v>-473.66666666666669</v>
      </c>
      <c r="AA44" s="117">
        <f t="shared" si="23"/>
        <v>448.90724892071535</v>
      </c>
      <c r="AB44" s="117">
        <f t="shared" si="24"/>
        <v>517.95554136714657</v>
      </c>
      <c r="AC44" s="117">
        <f t="shared" si="25"/>
        <v>584.69937488888274</v>
      </c>
      <c r="AD44" s="117">
        <f t="shared" si="26"/>
        <v>86.976060647120249</v>
      </c>
      <c r="AE44" s="117">
        <f t="shared" si="27"/>
        <v>110.05455373095195</v>
      </c>
      <c r="AF44" s="117">
        <f t="shared" si="28"/>
        <v>132.14255583120507</v>
      </c>
      <c r="AG44" s="117">
        <f t="shared" si="29"/>
        <v>117.07784191832333</v>
      </c>
      <c r="AH44" s="117">
        <f t="shared" si="30"/>
        <v>137.84953130064301</v>
      </c>
      <c r="AI44" s="117">
        <f t="shared" si="31"/>
        <v>161.63056840075197</v>
      </c>
      <c r="AJ44" s="117">
        <f t="shared" si="32"/>
        <v>63.044777688001354</v>
      </c>
      <c r="AK44" s="117">
        <f t="shared" si="33"/>
        <v>71.535470558408974</v>
      </c>
      <c r="AL44" s="117">
        <f t="shared" si="34"/>
        <v>91.847702559374895</v>
      </c>
      <c r="AM44" s="117">
        <f t="shared" si="35"/>
        <v>-23.003351166308473</v>
      </c>
      <c r="AN44" s="117">
        <f t="shared" si="36"/>
        <v>-25.284191917544145</v>
      </c>
      <c r="AO44" s="117">
        <f t="shared" si="37"/>
        <v>-27.701493226546052</v>
      </c>
      <c r="AP44" s="82">
        <v>0.22056999999999999</v>
      </c>
      <c r="AQ44" s="117">
        <f t="shared" si="38"/>
        <v>91.847702559374895</v>
      </c>
      <c r="AR44" s="117">
        <f t="shared" si="39"/>
        <v>416.41067488495668</v>
      </c>
      <c r="AT44" s="50">
        <v>47</v>
      </c>
      <c r="AU44" s="116" t="s">
        <v>297</v>
      </c>
      <c r="AV44" s="117">
        <f t="shared" si="40"/>
        <v>1378.3571076008109</v>
      </c>
      <c r="AW44" s="117">
        <f t="shared" si="41"/>
        <v>1739.6021497647182</v>
      </c>
    </row>
    <row r="45" spans="1:49" ht="13.95" customHeight="1" x14ac:dyDescent="0.3">
      <c r="A45" s="115" t="s">
        <v>382</v>
      </c>
      <c r="B45" s="116" t="s">
        <v>383</v>
      </c>
      <c r="C45" s="116" t="s">
        <v>376</v>
      </c>
      <c r="D45" s="116" t="s">
        <v>377</v>
      </c>
      <c r="E45" s="52">
        <v>6.43E-3</v>
      </c>
      <c r="F45" s="50">
        <v>16.75</v>
      </c>
      <c r="G45" s="50">
        <v>19.55</v>
      </c>
      <c r="H45" s="99">
        <f t="shared" si="21"/>
        <v>7.5048656716417911E-3</v>
      </c>
      <c r="I45" s="30">
        <f t="shared" si="22"/>
        <v>6.7503021541898264E-3</v>
      </c>
      <c r="J45" s="20">
        <f>I45*Assumptions!$D$7</f>
        <v>1406.9784385779217</v>
      </c>
      <c r="K45" s="41">
        <v>39895</v>
      </c>
      <c r="L45" s="41">
        <v>18179.28571428571</v>
      </c>
      <c r="M45" s="41">
        <v>19255</v>
      </c>
      <c r="N45" s="41">
        <v>21238.666666666672</v>
      </c>
      <c r="O45" s="41">
        <v>7972.1111111111104</v>
      </c>
      <c r="P45" s="41">
        <v>8459.8888888888887</v>
      </c>
      <c r="Q45" s="41">
        <v>9510.75</v>
      </c>
      <c r="R45" s="41">
        <v>10278.111111111109</v>
      </c>
      <c r="S45" s="41">
        <v>11125.222222222221</v>
      </c>
      <c r="T45" s="41">
        <v>12640.571428571429</v>
      </c>
      <c r="U45" s="41">
        <v>2759.5</v>
      </c>
      <c r="V45" s="41">
        <v>2858.556</v>
      </c>
      <c r="W45" s="41">
        <v>3504.4290000000001</v>
      </c>
      <c r="X45" s="41">
        <v>-9351</v>
      </c>
      <c r="Y45" s="41">
        <v>-7625</v>
      </c>
      <c r="Z45" s="41">
        <v>-8095</v>
      </c>
      <c r="AA45" s="117">
        <f t="shared" si="23"/>
        <v>641.12954076319397</v>
      </c>
      <c r="AB45" s="117">
        <f t="shared" si="24"/>
        <v>679.06679621049966</v>
      </c>
      <c r="AC45" s="117">
        <f t="shared" si="25"/>
        <v>749.02484181335069</v>
      </c>
      <c r="AD45" s="117">
        <f t="shared" si="26"/>
        <v>281.15273701668906</v>
      </c>
      <c r="AE45" s="117">
        <f t="shared" si="27"/>
        <v>298.35521392233608</v>
      </c>
      <c r="AF45" s="117">
        <f t="shared" si="28"/>
        <v>335.41597154292441</v>
      </c>
      <c r="AG45" s="117">
        <f t="shared" si="29"/>
        <v>362.4785241920415</v>
      </c>
      <c r="AH45" s="117">
        <f t="shared" si="30"/>
        <v>392.35362303683706</v>
      </c>
      <c r="AI45" s="117">
        <f t="shared" si="31"/>
        <v>445.79549946870833</v>
      </c>
      <c r="AJ45" s="117">
        <f t="shared" si="32"/>
        <v>97.319388426012651</v>
      </c>
      <c r="AK45" s="117">
        <f t="shared" si="33"/>
        <v>100.8128000367853</v>
      </c>
      <c r="AL45" s="117">
        <f t="shared" si="34"/>
        <v>123.59082698401272</v>
      </c>
      <c r="AM45" s="117">
        <f t="shared" si="35"/>
        <v>-329.7820623923335</v>
      </c>
      <c r="AN45" s="117">
        <f t="shared" si="36"/>
        <v>-268.91115664009658</v>
      </c>
      <c r="AO45" s="117">
        <f t="shared" si="37"/>
        <v>-285.48666400020744</v>
      </c>
      <c r="AP45" s="82">
        <v>0.17485000000000001</v>
      </c>
      <c r="AQ45" s="117">
        <f t="shared" si="38"/>
        <v>123.59082698401272</v>
      </c>
      <c r="AR45" s="117">
        <f t="shared" si="39"/>
        <v>706.8391591879481</v>
      </c>
      <c r="AT45" s="50">
        <v>18</v>
      </c>
      <c r="AU45" s="116" t="s">
        <v>297</v>
      </c>
      <c r="AV45" s="117">
        <f t="shared" si="40"/>
        <v>1406.9784385779217</v>
      </c>
      <c r="AW45" s="117">
        <f t="shared" si="41"/>
        <v>1295.4277183837642</v>
      </c>
    </row>
    <row r="46" spans="1:49" ht="13.95" customHeight="1" x14ac:dyDescent="0.3">
      <c r="A46" s="115" t="s">
        <v>384</v>
      </c>
      <c r="B46" s="116" t="s">
        <v>385</v>
      </c>
      <c r="C46" s="116" t="s">
        <v>376</v>
      </c>
      <c r="D46" s="116" t="s">
        <v>377</v>
      </c>
      <c r="E46" s="52">
        <v>5.4100000000000007E-3</v>
      </c>
      <c r="F46" s="50">
        <v>29.49</v>
      </c>
      <c r="G46" s="50">
        <v>33.19</v>
      </c>
      <c r="H46" s="99">
        <f t="shared" si="21"/>
        <v>6.0887724652424558E-3</v>
      </c>
      <c r="I46" s="30">
        <f t="shared" si="22"/>
        <v>5.4765875482360813E-3</v>
      </c>
      <c r="J46" s="20">
        <f>I46*Assumptions!$D$7</f>
        <v>1141.495657726939</v>
      </c>
      <c r="K46" s="41">
        <v>17374.420033620001</v>
      </c>
      <c r="L46" s="41">
        <v>2994.875</v>
      </c>
      <c r="M46" s="41">
        <v>3153</v>
      </c>
      <c r="N46" s="41">
        <v>3296</v>
      </c>
      <c r="O46" s="41">
        <v>1619.25</v>
      </c>
      <c r="P46" s="41">
        <v>1754.75</v>
      </c>
      <c r="Q46" s="41">
        <v>1841.8571428571429</v>
      </c>
      <c r="R46" s="41">
        <v>2219.4</v>
      </c>
      <c r="S46" s="41">
        <v>2344.6</v>
      </c>
      <c r="T46" s="41">
        <v>2453.25</v>
      </c>
      <c r="U46" s="41">
        <v>916.22199999999998</v>
      </c>
      <c r="V46" s="41">
        <v>960</v>
      </c>
      <c r="W46" s="41">
        <v>1078.7139999999999</v>
      </c>
      <c r="X46" s="41">
        <v>-331</v>
      </c>
      <c r="Y46" s="41">
        <v>-436</v>
      </c>
      <c r="Z46" s="41">
        <v>-257</v>
      </c>
      <c r="AA46" s="117">
        <f t="shared" si="23"/>
        <v>196.76264308793077</v>
      </c>
      <c r="AB46" s="117">
        <f t="shared" si="24"/>
        <v>207.15142156392028</v>
      </c>
      <c r="AC46" s="117">
        <f t="shared" si="25"/>
        <v>216.54649079438036</v>
      </c>
      <c r="AD46" s="117">
        <f t="shared" si="26"/>
        <v>106.38437658337389</v>
      </c>
      <c r="AE46" s="117">
        <f t="shared" si="27"/>
        <v>115.28669742762104</v>
      </c>
      <c r="AF46" s="117">
        <f t="shared" si="28"/>
        <v>121.00961797035133</v>
      </c>
      <c r="AG46" s="117">
        <f t="shared" si="29"/>
        <v>145.81410244813344</v>
      </c>
      <c r="AH46" s="117">
        <f t="shared" si="30"/>
        <v>154.0397155086481</v>
      </c>
      <c r="AI46" s="117">
        <f t="shared" si="31"/>
        <v>161.17799713025292</v>
      </c>
      <c r="AJ46" s="117">
        <f t="shared" si="32"/>
        <v>60.195588255039056</v>
      </c>
      <c r="AK46" s="117">
        <f t="shared" si="33"/>
        <v>63.07179343525641</v>
      </c>
      <c r="AL46" s="117">
        <f t="shared" si="34"/>
        <v>70.871277691374146</v>
      </c>
      <c r="AM46" s="117">
        <f t="shared" si="35"/>
        <v>-21.746628778197785</v>
      </c>
      <c r="AN46" s="117">
        <f t="shared" si="36"/>
        <v>-28.645106185178953</v>
      </c>
      <c r="AO46" s="117">
        <f t="shared" si="37"/>
        <v>-16.884844700896771</v>
      </c>
      <c r="AP46" s="82">
        <v>9.3900000000000011E-2</v>
      </c>
      <c r="AQ46" s="117">
        <f t="shared" si="38"/>
        <v>70.871277691374146</v>
      </c>
      <c r="AR46" s="117">
        <f t="shared" si="39"/>
        <v>754.75269106894712</v>
      </c>
      <c r="AT46" s="50">
        <v>38</v>
      </c>
      <c r="AU46" s="116" t="s">
        <v>297</v>
      </c>
      <c r="AV46" s="117">
        <f t="shared" si="40"/>
        <v>1141.495657726939</v>
      </c>
      <c r="AW46" s="117">
        <f t="shared" si="41"/>
        <v>1306.9248265629312</v>
      </c>
    </row>
    <row r="47" spans="1:49" ht="13.95" customHeight="1" x14ac:dyDescent="0.3">
      <c r="A47" s="115" t="s">
        <v>386</v>
      </c>
      <c r="B47" s="116" t="s">
        <v>387</v>
      </c>
      <c r="C47" s="116" t="s">
        <v>376</v>
      </c>
      <c r="D47" s="116" t="s">
        <v>377</v>
      </c>
      <c r="E47" s="52">
        <v>4.3400000000000001E-3</v>
      </c>
      <c r="F47" s="50">
        <v>11.6</v>
      </c>
      <c r="G47" s="50">
        <v>13.56</v>
      </c>
      <c r="H47" s="99">
        <f t="shared" si="21"/>
        <v>5.0733103448275868E-3</v>
      </c>
      <c r="I47" s="30">
        <f t="shared" si="22"/>
        <v>4.5632232804603051E-3</v>
      </c>
      <c r="J47" s="20">
        <f>I47*Assumptions!$D$7</f>
        <v>951.12138973503988</v>
      </c>
      <c r="K47" s="41">
        <v>13521.92962585</v>
      </c>
      <c r="L47" s="41">
        <v>16650.076923076918</v>
      </c>
      <c r="M47" s="41">
        <v>17782.571428571431</v>
      </c>
      <c r="N47" s="41">
        <v>19255.384615384621</v>
      </c>
      <c r="O47" s="41">
        <v>1955.4666666666669</v>
      </c>
      <c r="P47" s="41">
        <v>2136.333333333333</v>
      </c>
      <c r="Q47" s="41">
        <v>2373.0666666666671</v>
      </c>
      <c r="R47" s="41">
        <v>3261.3</v>
      </c>
      <c r="S47" s="41">
        <v>3505.9</v>
      </c>
      <c r="T47" s="41">
        <v>3808.4</v>
      </c>
      <c r="U47" s="41">
        <v>1553.2</v>
      </c>
      <c r="V47" s="41">
        <v>1645</v>
      </c>
      <c r="W47" s="41">
        <v>1797.143</v>
      </c>
      <c r="X47" s="41">
        <v>-968.44444444444446</v>
      </c>
      <c r="Y47" s="41">
        <v>-1016.333333333333</v>
      </c>
      <c r="Z47" s="41">
        <v>-1078</v>
      </c>
      <c r="AA47" s="117">
        <f t="shared" si="23"/>
        <v>1171.1526934734181</v>
      </c>
      <c r="AB47" s="117">
        <f t="shared" si="24"/>
        <v>1250.8114239754657</v>
      </c>
      <c r="AC47" s="117">
        <f t="shared" si="25"/>
        <v>1354.4078901472674</v>
      </c>
      <c r="AD47" s="117">
        <f t="shared" si="26"/>
        <v>137.54591430685932</v>
      </c>
      <c r="AE47" s="117">
        <f t="shared" si="27"/>
        <v>150.26792663177778</v>
      </c>
      <c r="AF47" s="117">
        <f t="shared" si="28"/>
        <v>166.9195542638403</v>
      </c>
      <c r="AG47" s="117">
        <f t="shared" si="29"/>
        <v>229.39715515254341</v>
      </c>
      <c r="AH47" s="117">
        <f t="shared" si="30"/>
        <v>246.60211763692453</v>
      </c>
      <c r="AI47" s="117">
        <f t="shared" si="31"/>
        <v>267.87971841993874</v>
      </c>
      <c r="AJ47" s="117">
        <f t="shared" si="32"/>
        <v>109.25080838405863</v>
      </c>
      <c r="AK47" s="117">
        <f t="shared" si="33"/>
        <v>115.7079447539122</v>
      </c>
      <c r="AL47" s="117">
        <f t="shared" si="34"/>
        <v>126.40955802971432</v>
      </c>
      <c r="AM47" s="117">
        <f t="shared" si="35"/>
        <v>-68.119584361708803</v>
      </c>
      <c r="AN47" s="117">
        <f t="shared" si="36"/>
        <v>-71.488049352518388</v>
      </c>
      <c r="AO47" s="117">
        <f t="shared" si="37"/>
        <v>-75.825631881287151</v>
      </c>
      <c r="AP47" s="82">
        <v>0.15145</v>
      </c>
      <c r="AQ47" s="117">
        <f t="shared" si="38"/>
        <v>126.40955802971432</v>
      </c>
      <c r="AR47" s="117">
        <f t="shared" si="39"/>
        <v>834.66198765080435</v>
      </c>
      <c r="AT47" s="50">
        <v>22</v>
      </c>
      <c r="AU47" s="116" t="s">
        <v>297</v>
      </c>
      <c r="AV47" s="117">
        <f t="shared" si="40"/>
        <v>951.12138973503988</v>
      </c>
      <c r="AW47" s="117">
        <f t="shared" si="41"/>
        <v>1543.1172989801532</v>
      </c>
    </row>
    <row r="48" spans="1:49" ht="13.95" customHeight="1" x14ac:dyDescent="0.3">
      <c r="A48" s="115" t="s">
        <v>388</v>
      </c>
      <c r="B48" s="116" t="s">
        <v>389</v>
      </c>
      <c r="C48" s="116" t="s">
        <v>376</v>
      </c>
      <c r="D48" s="116" t="s">
        <v>377</v>
      </c>
      <c r="E48" s="52">
        <v>3.8800000000000002E-3</v>
      </c>
      <c r="F48" s="50">
        <v>31.72</v>
      </c>
      <c r="G48" s="50">
        <v>36.270000000000003</v>
      </c>
      <c r="H48" s="99">
        <f t="shared" si="21"/>
        <v>4.4365573770491808E-3</v>
      </c>
      <c r="I48" s="30">
        <f t="shared" si="22"/>
        <v>3.9904915197409912E-3</v>
      </c>
      <c r="J48" s="20">
        <f>I48*Assumptions!$D$7</f>
        <v>831.74580920333278</v>
      </c>
      <c r="K48" s="41">
        <v>18807.449641650001</v>
      </c>
      <c r="L48" s="41">
        <v>2912.363636363636</v>
      </c>
      <c r="M48" s="41">
        <v>2769.545454545455</v>
      </c>
      <c r="N48" s="41">
        <v>2903.272727272727</v>
      </c>
      <c r="O48" s="41">
        <v>2057.090909090909</v>
      </c>
      <c r="P48" s="41">
        <v>1940.272727272727</v>
      </c>
      <c r="Q48" s="41">
        <v>2066.727272727273</v>
      </c>
      <c r="R48" s="41">
        <v>2158.166666666667</v>
      </c>
      <c r="S48" s="41">
        <v>2094.166666666667</v>
      </c>
      <c r="T48" s="41">
        <v>2243.909090909091</v>
      </c>
      <c r="U48" s="41">
        <v>1249.9090000000001</v>
      </c>
      <c r="V48" s="41">
        <v>1304.182</v>
      </c>
      <c r="W48" s="41">
        <v>1490</v>
      </c>
      <c r="X48" s="41">
        <v>-358.25</v>
      </c>
      <c r="Y48" s="41">
        <v>-317.50125000000003</v>
      </c>
      <c r="Z48" s="41">
        <v>-320.6875</v>
      </c>
      <c r="AA48" s="117">
        <f t="shared" si="23"/>
        <v>128.79716790825435</v>
      </c>
      <c r="AB48" s="117">
        <f t="shared" si="24"/>
        <v>122.48113748048976</v>
      </c>
      <c r="AC48" s="117">
        <f t="shared" si="25"/>
        <v>128.39512905225408</v>
      </c>
      <c r="AD48" s="117">
        <f t="shared" si="26"/>
        <v>90.97335233574664</v>
      </c>
      <c r="AE48" s="117">
        <f t="shared" si="27"/>
        <v>85.807153036142864</v>
      </c>
      <c r="AF48" s="117">
        <f t="shared" si="28"/>
        <v>91.399513523106975</v>
      </c>
      <c r="AG48" s="117">
        <f t="shared" si="29"/>
        <v>95.443354349709949</v>
      </c>
      <c r="AH48" s="117">
        <f t="shared" si="30"/>
        <v>92.61300080346787</v>
      </c>
      <c r="AI48" s="117">
        <f t="shared" si="31"/>
        <v>99.235250826552715</v>
      </c>
      <c r="AJ48" s="117">
        <f t="shared" si="32"/>
        <v>55.27631829109194</v>
      </c>
      <c r="AK48" s="117">
        <f t="shared" si="33"/>
        <v>57.676502322579374</v>
      </c>
      <c r="AL48" s="117">
        <f t="shared" si="34"/>
        <v>65.894168498448281</v>
      </c>
      <c r="AM48" s="117">
        <f t="shared" si="35"/>
        <v>-15.843346217831607</v>
      </c>
      <c r="AN48" s="117">
        <f t="shared" si="36"/>
        <v>-14.041262326152989</v>
      </c>
      <c r="AO48" s="117">
        <f t="shared" si="37"/>
        <v>-14.182171919695392</v>
      </c>
      <c r="AP48" s="82">
        <v>0.18486</v>
      </c>
      <c r="AQ48" s="117">
        <f t="shared" si="38"/>
        <v>65.894168498448281</v>
      </c>
      <c r="AR48" s="117">
        <f t="shared" si="39"/>
        <v>356.4544438951005</v>
      </c>
      <c r="AT48" s="50">
        <v>37</v>
      </c>
      <c r="AU48" s="116" t="s">
        <v>297</v>
      </c>
      <c r="AV48" s="117">
        <f t="shared" si="40"/>
        <v>831.74580920333278</v>
      </c>
      <c r="AW48" s="117">
        <f t="shared" si="41"/>
        <v>848.48621286251193</v>
      </c>
    </row>
    <row r="49" spans="1:49" ht="13.95" customHeight="1" x14ac:dyDescent="0.3">
      <c r="A49" s="115" t="s">
        <v>390</v>
      </c>
      <c r="B49" s="116" t="s">
        <v>391</v>
      </c>
      <c r="C49" s="116" t="s">
        <v>376</v>
      </c>
      <c r="D49" s="116" t="s">
        <v>377</v>
      </c>
      <c r="E49" s="52">
        <v>3.7399999999999998E-3</v>
      </c>
      <c r="F49" s="50">
        <v>17.559999999999999</v>
      </c>
      <c r="G49" s="50">
        <v>20.83</v>
      </c>
      <c r="H49" s="99">
        <f t="shared" si="21"/>
        <v>4.4364578587699315E-3</v>
      </c>
      <c r="I49" s="30">
        <f t="shared" si="22"/>
        <v>3.9904020073520709E-3</v>
      </c>
      <c r="J49" s="20">
        <f>I49*Assumptions!$D$7</f>
        <v>831.72715196424633</v>
      </c>
      <c r="K49" s="41">
        <v>13764.340714960001</v>
      </c>
      <c r="L49" s="41">
        <v>8963.363636363636</v>
      </c>
      <c r="M49" s="41">
        <v>10786.36363636364</v>
      </c>
      <c r="N49" s="41">
        <v>12481.2</v>
      </c>
      <c r="O49" s="41">
        <v>1845.636363636364</v>
      </c>
      <c r="P49" s="41">
        <v>2303</v>
      </c>
      <c r="Q49" s="41">
        <v>2748</v>
      </c>
      <c r="R49" s="41">
        <v>2917.8</v>
      </c>
      <c r="S49" s="41">
        <v>3546.7</v>
      </c>
      <c r="T49" s="41">
        <v>4144.4444444444443</v>
      </c>
      <c r="U49" s="41">
        <v>945.63599999999997</v>
      </c>
      <c r="V49" s="41">
        <v>1245.4549999999999</v>
      </c>
      <c r="W49" s="41">
        <v>1540</v>
      </c>
      <c r="X49" s="41">
        <v>-2710.5</v>
      </c>
      <c r="Y49" s="41">
        <v>-2494.5</v>
      </c>
      <c r="Z49" s="41">
        <v>-2363.75</v>
      </c>
      <c r="AA49" s="117">
        <f t="shared" si="23"/>
        <v>541.62222976578516</v>
      </c>
      <c r="AB49" s="117">
        <f t="shared" si="24"/>
        <v>651.77923833088676</v>
      </c>
      <c r="AC49" s="117">
        <f t="shared" si="25"/>
        <v>754.19180214083497</v>
      </c>
      <c r="AD49" s="117">
        <f t="shared" si="26"/>
        <v>111.52483857221794</v>
      </c>
      <c r="AE49" s="117">
        <f t="shared" si="27"/>
        <v>139.16159666781581</v>
      </c>
      <c r="AF49" s="117">
        <f t="shared" si="28"/>
        <v>166.05126688804077</v>
      </c>
      <c r="AG49" s="117">
        <f t="shared" si="29"/>
        <v>176.31163992937604</v>
      </c>
      <c r="AH49" s="117">
        <f t="shared" si="30"/>
        <v>214.31369296645349</v>
      </c>
      <c r="AI49" s="117">
        <f t="shared" si="31"/>
        <v>250.433133386864</v>
      </c>
      <c r="AJ49" s="117">
        <f t="shared" si="32"/>
        <v>57.141213906455356</v>
      </c>
      <c r="AK49" s="117">
        <f t="shared" si="33"/>
        <v>75.258144323888217</v>
      </c>
      <c r="AL49" s="117">
        <f t="shared" si="34"/>
        <v>93.056386829542504</v>
      </c>
      <c r="AM49" s="117">
        <f t="shared" si="35"/>
        <v>-163.7852834425162</v>
      </c>
      <c r="AN49" s="117">
        <f t="shared" si="36"/>
        <v>-150.73321879629464</v>
      </c>
      <c r="AO49" s="117">
        <f t="shared" si="37"/>
        <v>-142.83248984956563</v>
      </c>
      <c r="AP49" s="82">
        <v>0.20321</v>
      </c>
      <c r="AQ49" s="117">
        <f t="shared" si="38"/>
        <v>93.056386829542504</v>
      </c>
      <c r="AR49" s="117">
        <f t="shared" si="39"/>
        <v>457.93212356450226</v>
      </c>
      <c r="AT49" s="50">
        <v>32</v>
      </c>
      <c r="AU49" s="116" t="s">
        <v>297</v>
      </c>
      <c r="AV49" s="117">
        <f t="shared" si="40"/>
        <v>831.72715196424633</v>
      </c>
      <c r="AW49" s="117">
        <f t="shared" si="41"/>
        <v>1277.7373433920252</v>
      </c>
    </row>
    <row r="50" spans="1:49" ht="13.95" customHeight="1" x14ac:dyDescent="0.3">
      <c r="A50" s="115" t="s">
        <v>392</v>
      </c>
      <c r="B50" s="116" t="s">
        <v>393</v>
      </c>
      <c r="C50" s="116" t="s">
        <v>376</v>
      </c>
      <c r="D50" s="116" t="s">
        <v>377</v>
      </c>
      <c r="E50" s="52">
        <v>2.66E-3</v>
      </c>
      <c r="F50" s="50">
        <v>27.18</v>
      </c>
      <c r="G50" s="50">
        <v>33.5</v>
      </c>
      <c r="H50" s="99">
        <f t="shared" si="21"/>
        <v>3.2785136129506987E-3</v>
      </c>
      <c r="I50" s="30">
        <f t="shared" si="22"/>
        <v>2.9488812288362152E-3</v>
      </c>
      <c r="J50" s="20">
        <f>I50*Assumptions!$D$7</f>
        <v>614.64097637829173</v>
      </c>
      <c r="K50" s="41">
        <v>14967.384</v>
      </c>
      <c r="L50" s="41">
        <v>10125</v>
      </c>
      <c r="M50" s="41">
        <v>11799.8</v>
      </c>
      <c r="N50" s="41">
        <v>12516.777777777779</v>
      </c>
      <c r="O50" s="41">
        <v>2099.333333333333</v>
      </c>
      <c r="P50" s="41">
        <v>2576.1111111111109</v>
      </c>
      <c r="Q50" s="41">
        <v>2830.5555555555552</v>
      </c>
      <c r="R50" s="41">
        <v>2474.125</v>
      </c>
      <c r="S50" s="41">
        <v>2797.333333333333</v>
      </c>
      <c r="T50" s="41">
        <v>3031.625</v>
      </c>
      <c r="U50" s="41">
        <v>1949.1110000000001</v>
      </c>
      <c r="V50" s="41">
        <v>2310.5</v>
      </c>
      <c r="W50" s="41">
        <v>2554.1109999999999</v>
      </c>
      <c r="X50" s="41">
        <v>-162</v>
      </c>
      <c r="Y50" s="41">
        <v>-229</v>
      </c>
      <c r="Z50" s="41">
        <v>-235</v>
      </c>
      <c r="AA50" s="117">
        <f t="shared" si="23"/>
        <v>415.78674575531727</v>
      </c>
      <c r="AB50" s="117">
        <f t="shared" si="24"/>
        <v>484.56300667294738</v>
      </c>
      <c r="AC50" s="117">
        <f t="shared" si="25"/>
        <v>514.00595551256242</v>
      </c>
      <c r="AD50" s="117">
        <f t="shared" si="26"/>
        <v>86.20987406640289</v>
      </c>
      <c r="AE50" s="117">
        <f t="shared" si="27"/>
        <v>105.78892400918552</v>
      </c>
      <c r="AF50" s="117">
        <f t="shared" si="28"/>
        <v>116.2377761110201</v>
      </c>
      <c r="AG50" s="117">
        <f t="shared" si="29"/>
        <v>101.60082788561721</v>
      </c>
      <c r="AH50" s="117">
        <f t="shared" si="30"/>
        <v>114.87349367501638</v>
      </c>
      <c r="AI50" s="117">
        <f t="shared" si="31"/>
        <v>124.49476475066309</v>
      </c>
      <c r="AJ50" s="117">
        <f t="shared" si="32"/>
        <v>80.040940227742453</v>
      </c>
      <c r="AK50" s="117">
        <f t="shared" si="33"/>
        <v>94.881508747423268</v>
      </c>
      <c r="AL50" s="117">
        <f t="shared" si="34"/>
        <v>104.88548157904781</v>
      </c>
      <c r="AM50" s="117">
        <f t="shared" si="35"/>
        <v>-6.6525879320850771</v>
      </c>
      <c r="AN50" s="117">
        <f t="shared" si="36"/>
        <v>-9.403966891651125</v>
      </c>
      <c r="AO50" s="117">
        <f t="shared" si="37"/>
        <v>-9.6503590372839056</v>
      </c>
      <c r="AP50" s="82">
        <v>0.18665999999999999</v>
      </c>
      <c r="AQ50" s="117">
        <f t="shared" si="38"/>
        <v>104.88548157904781</v>
      </c>
      <c r="AR50" s="117">
        <f t="shared" si="39"/>
        <v>561.90657655120435</v>
      </c>
      <c r="AT50" s="50">
        <v>37</v>
      </c>
      <c r="AU50" s="116" t="s">
        <v>297</v>
      </c>
      <c r="AV50" s="117">
        <f t="shared" si="40"/>
        <v>614.64097637829173</v>
      </c>
      <c r="AW50" s="117">
        <f t="shared" si="41"/>
        <v>678.85719779094904</v>
      </c>
    </row>
    <row r="51" spans="1:49" ht="13.95" customHeight="1" x14ac:dyDescent="0.3">
      <c r="A51" s="115" t="s">
        <v>394</v>
      </c>
      <c r="B51" s="116" t="s">
        <v>395</v>
      </c>
      <c r="C51" s="116" t="s">
        <v>376</v>
      </c>
      <c r="D51" s="116" t="s">
        <v>377</v>
      </c>
      <c r="E51" s="52">
        <v>2.2799999999999999E-3</v>
      </c>
      <c r="F51" s="50">
        <v>27.02</v>
      </c>
      <c r="G51" s="50">
        <v>30.9</v>
      </c>
      <c r="H51" s="99">
        <f t="shared" si="21"/>
        <v>2.60740192450037E-3</v>
      </c>
      <c r="I51" s="30">
        <f t="shared" si="22"/>
        <v>2.345245284575912E-3</v>
      </c>
      <c r="J51" s="20">
        <f>I51*Assumptions!$D$7</f>
        <v>488.82397753510378</v>
      </c>
      <c r="K51" s="41">
        <v>9053.5089273499998</v>
      </c>
      <c r="L51" s="41">
        <v>1645.5</v>
      </c>
      <c r="M51" s="41">
        <v>1822.75</v>
      </c>
      <c r="N51" s="41">
        <v>2047.5</v>
      </c>
      <c r="O51" s="41">
        <v>1048.333333333333</v>
      </c>
      <c r="P51" s="41">
        <v>1132.333333333333</v>
      </c>
      <c r="Q51" s="41">
        <v>1345</v>
      </c>
      <c r="R51" s="41">
        <v>1242.5</v>
      </c>
      <c r="S51" s="41">
        <v>1361.5</v>
      </c>
      <c r="T51" s="41">
        <v>1524</v>
      </c>
      <c r="U51" s="41">
        <v>576.85699999999997</v>
      </c>
      <c r="V51" s="41">
        <v>672.14300000000003</v>
      </c>
      <c r="W51" s="41">
        <v>778.6</v>
      </c>
      <c r="X51" s="41">
        <v>-512.5</v>
      </c>
      <c r="Y51" s="41">
        <v>-343</v>
      </c>
      <c r="Z51" s="41">
        <v>-255</v>
      </c>
      <c r="AA51" s="117">
        <f t="shared" si="23"/>
        <v>88.845094370437963</v>
      </c>
      <c r="AB51" s="117">
        <f t="shared" si="24"/>
        <v>98.415311919608499</v>
      </c>
      <c r="AC51" s="117">
        <f t="shared" si="25"/>
        <v>110.55018579366255</v>
      </c>
      <c r="AD51" s="117">
        <f t="shared" si="26"/>
        <v>56.602415029885002</v>
      </c>
      <c r="AE51" s="117">
        <f t="shared" si="27"/>
        <v>61.137807267573713</v>
      </c>
      <c r="AF51" s="117">
        <f t="shared" si="28"/>
        <v>72.620268567753897</v>
      </c>
      <c r="AG51" s="117">
        <f t="shared" si="29"/>
        <v>67.086010182478987</v>
      </c>
      <c r="AH51" s="117">
        <f t="shared" si="30"/>
        <v>73.511149185871332</v>
      </c>
      <c r="AI51" s="117">
        <f t="shared" si="31"/>
        <v>82.284973455209638</v>
      </c>
      <c r="AJ51" s="117">
        <f t="shared" si="32"/>
        <v>31.146104286385736</v>
      </c>
      <c r="AK51" s="117">
        <f t="shared" si="33"/>
        <v>36.290858866866778</v>
      </c>
      <c r="AL51" s="117">
        <f t="shared" si="34"/>
        <v>42.038766622195688</v>
      </c>
      <c r="AM51" s="117">
        <f t="shared" si="35"/>
        <v>-27.671291926374632</v>
      </c>
      <c r="AN51" s="117">
        <f t="shared" si="36"/>
        <v>-18.519518303895605</v>
      </c>
      <c r="AO51" s="117">
        <f t="shared" si="37"/>
        <v>-13.768155007269327</v>
      </c>
      <c r="AP51" s="82">
        <v>0.1411</v>
      </c>
      <c r="AQ51" s="117">
        <f t="shared" si="38"/>
        <v>42.038766622195688</v>
      </c>
      <c r="AR51" s="117">
        <f t="shared" si="39"/>
        <v>297.93597889578803</v>
      </c>
      <c r="AT51" s="50">
        <v>35</v>
      </c>
      <c r="AU51" s="116" t="s">
        <v>297</v>
      </c>
      <c r="AV51" s="117">
        <f t="shared" si="40"/>
        <v>488.82397753510378</v>
      </c>
      <c r="AW51" s="117">
        <f t="shared" si="41"/>
        <v>553.68411694914664</v>
      </c>
    </row>
    <row r="52" spans="1:49" ht="13.95" customHeight="1" x14ac:dyDescent="0.3">
      <c r="A52" s="115" t="s">
        <v>396</v>
      </c>
      <c r="B52" s="116" t="s">
        <v>397</v>
      </c>
      <c r="C52" s="116" t="s">
        <v>376</v>
      </c>
      <c r="D52" s="116" t="s">
        <v>377</v>
      </c>
      <c r="E52" s="52">
        <v>1.7099999999999999E-3</v>
      </c>
      <c r="F52" s="50">
        <v>2.3199999999999998</v>
      </c>
      <c r="G52" s="50">
        <v>2.7</v>
      </c>
      <c r="H52" s="99">
        <f t="shared" si="21"/>
        <v>1.9900862068965523E-3</v>
      </c>
      <c r="I52" s="30">
        <f t="shared" si="22"/>
        <v>1.7899964899036568E-3</v>
      </c>
      <c r="J52" s="20">
        <f>I52*Assumptions!$D$7</f>
        <v>373.09240518387981</v>
      </c>
      <c r="K52" s="41">
        <v>6048.3018148299998</v>
      </c>
      <c r="L52" s="41">
        <v>7984.727272727273</v>
      </c>
      <c r="M52" s="41">
        <v>8404</v>
      </c>
      <c r="N52" s="41">
        <v>8772.2222222222208</v>
      </c>
      <c r="O52" s="41">
        <v>1460.6</v>
      </c>
      <c r="P52" s="41">
        <v>1530.4</v>
      </c>
      <c r="Q52" s="41">
        <v>1659</v>
      </c>
      <c r="R52" s="41">
        <v>2465.181818181818</v>
      </c>
      <c r="S52" s="41">
        <v>2553.545454545455</v>
      </c>
      <c r="T52" s="41">
        <v>2652.333333333333</v>
      </c>
      <c r="U52" s="41">
        <v>724.90899999999999</v>
      </c>
      <c r="V52" s="41">
        <v>877.18200000000002</v>
      </c>
      <c r="W52" s="41">
        <v>978.77800000000002</v>
      </c>
      <c r="X52" s="41">
        <v>-580</v>
      </c>
      <c r="Y52" s="41">
        <v>-597.16666666666663</v>
      </c>
      <c r="Z52" s="41">
        <v>-580.4</v>
      </c>
      <c r="AA52" s="117">
        <f t="shared" si="23"/>
        <v>492.54174049561243</v>
      </c>
      <c r="AB52" s="117">
        <f t="shared" si="24"/>
        <v>518.40478024383356</v>
      </c>
      <c r="AC52" s="117">
        <f t="shared" si="25"/>
        <v>541.1187450453574</v>
      </c>
      <c r="AD52" s="117">
        <f t="shared" si="26"/>
        <v>90.097813187070841</v>
      </c>
      <c r="AE52" s="117">
        <f t="shared" si="27"/>
        <v>94.403459743593871</v>
      </c>
      <c r="AF52" s="117">
        <f t="shared" si="28"/>
        <v>102.33621256836268</v>
      </c>
      <c r="AG52" s="117">
        <f t="shared" si="29"/>
        <v>152.06592559681573</v>
      </c>
      <c r="AH52" s="117">
        <f t="shared" si="30"/>
        <v>157.51667898694393</v>
      </c>
      <c r="AI52" s="117">
        <f t="shared" si="31"/>
        <v>163.61045678249181</v>
      </c>
      <c r="AJ52" s="117">
        <f t="shared" si="32"/>
        <v>44.716360166798808</v>
      </c>
      <c r="AK52" s="117">
        <f t="shared" si="33"/>
        <v>54.109393377421043</v>
      </c>
      <c r="AL52" s="117">
        <f t="shared" si="34"/>
        <v>60.376391479949895</v>
      </c>
      <c r="AM52" s="117">
        <f t="shared" si="35"/>
        <v>-35.777578836437826</v>
      </c>
      <c r="AN52" s="117">
        <f t="shared" si="36"/>
        <v>-36.836512922688712</v>
      </c>
      <c r="AO52" s="117">
        <f t="shared" si="37"/>
        <v>-35.802253028738811</v>
      </c>
      <c r="AP52" s="82">
        <v>0.10335999999999999</v>
      </c>
      <c r="AQ52" s="117">
        <f t="shared" si="38"/>
        <v>60.376391479949895</v>
      </c>
      <c r="AR52" s="117">
        <f t="shared" si="39"/>
        <v>584.13691447319945</v>
      </c>
      <c r="AT52" s="50">
        <v>3.5</v>
      </c>
      <c r="AU52" s="116" t="s">
        <v>297</v>
      </c>
      <c r="AV52" s="117">
        <f t="shared" si="40"/>
        <v>373.09240518387981</v>
      </c>
      <c r="AW52" s="117">
        <f t="shared" si="41"/>
        <v>483.63830301614047</v>
      </c>
    </row>
    <row r="53" spans="1:49" ht="13.95" customHeight="1" x14ac:dyDescent="0.3">
      <c r="A53" s="115" t="s">
        <v>398</v>
      </c>
      <c r="B53" s="116" t="s">
        <v>399</v>
      </c>
      <c r="C53" s="116" t="s">
        <v>376</v>
      </c>
      <c r="D53" s="116" t="s">
        <v>377</v>
      </c>
      <c r="E53" s="52">
        <v>1.7099999999999999E-3</v>
      </c>
      <c r="F53" s="50">
        <v>27.74</v>
      </c>
      <c r="G53" s="50">
        <v>30.43</v>
      </c>
      <c r="H53" s="99">
        <f t="shared" si="21"/>
        <v>1.8758219178082194E-3</v>
      </c>
      <c r="I53" s="30">
        <f t="shared" si="22"/>
        <v>1.6872207027640576E-3</v>
      </c>
      <c r="J53" s="20">
        <f>I53*Assumptions!$D$7</f>
        <v>351.67065054086186</v>
      </c>
      <c r="K53" s="41">
        <v>9940.6958583800006</v>
      </c>
      <c r="L53" s="41">
        <v>6833.818181818182</v>
      </c>
      <c r="M53" s="41">
        <v>7942.090909090909</v>
      </c>
      <c r="N53" s="41">
        <v>8683.7999999999993</v>
      </c>
      <c r="O53" s="41">
        <v>1626.1</v>
      </c>
      <c r="P53" s="41">
        <v>1893.3</v>
      </c>
      <c r="Q53" s="41">
        <v>2037.2</v>
      </c>
      <c r="R53" s="41">
        <v>1644.2</v>
      </c>
      <c r="S53" s="41">
        <v>1920.1</v>
      </c>
      <c r="T53" s="41">
        <v>2066.5555555555561</v>
      </c>
      <c r="U53" s="41">
        <v>1230.182</v>
      </c>
      <c r="V53" s="41">
        <v>1453.9090000000001</v>
      </c>
      <c r="W53" s="41">
        <v>1584.5</v>
      </c>
      <c r="X53" s="41">
        <v>-54.666666666666657</v>
      </c>
      <c r="Y53" s="41">
        <v>-89.466666666666669</v>
      </c>
      <c r="Z53" s="41">
        <v>-94.4</v>
      </c>
      <c r="AA53" s="117">
        <f t="shared" si="23"/>
        <v>241.75905992054157</v>
      </c>
      <c r="AB53" s="117">
        <f t="shared" si="24"/>
        <v>280.96627403605424</v>
      </c>
      <c r="AC53" s="117">
        <f t="shared" si="25"/>
        <v>307.20561605275878</v>
      </c>
      <c r="AD53" s="117">
        <f t="shared" si="26"/>
        <v>57.526319383609838</v>
      </c>
      <c r="AE53" s="117">
        <f t="shared" si="27"/>
        <v>66.979017581322495</v>
      </c>
      <c r="AF53" s="117">
        <f t="shared" si="28"/>
        <v>72.069748384656521</v>
      </c>
      <c r="AG53" s="117">
        <f t="shared" si="29"/>
        <v>58.166640631284238</v>
      </c>
      <c r="AH53" s="117">
        <f t="shared" si="30"/>
        <v>67.927117550254749</v>
      </c>
      <c r="AI53" s="117">
        <f t="shared" si="31"/>
        <v>73.108255896231583</v>
      </c>
      <c r="AJ53" s="117">
        <f t="shared" si="32"/>
        <v>43.51998193959038</v>
      </c>
      <c r="AK53" s="117">
        <f t="shared" si="33"/>
        <v>51.434741706355574</v>
      </c>
      <c r="AL53" s="117">
        <f t="shared" si="34"/>
        <v>56.054641819894094</v>
      </c>
      <c r="AM53" s="117">
        <f t="shared" si="35"/>
        <v>-1.9339352600110717</v>
      </c>
      <c r="AN53" s="117">
        <f t="shared" si="36"/>
        <v>-3.1650501450425108</v>
      </c>
      <c r="AO53" s="117">
        <f t="shared" si="37"/>
        <v>-3.3395760099703393</v>
      </c>
      <c r="AP53" s="82">
        <v>0.71633999999999998</v>
      </c>
      <c r="AQ53" s="117">
        <f t="shared" si="38"/>
        <v>56.054641819894094</v>
      </c>
      <c r="AR53" s="117">
        <f t="shared" si="39"/>
        <v>78.251447385171986</v>
      </c>
      <c r="AT53" s="50">
        <v>45</v>
      </c>
      <c r="AU53" s="116" t="s">
        <v>297</v>
      </c>
      <c r="AV53" s="117">
        <f t="shared" si="40"/>
        <v>351.67065054086186</v>
      </c>
      <c r="AW53" s="117">
        <f t="shared" si="41"/>
        <v>520.05189859805398</v>
      </c>
    </row>
    <row r="54" spans="1:49" ht="13.95" customHeight="1" x14ac:dyDescent="0.3">
      <c r="A54" s="115" t="s">
        <v>400</v>
      </c>
      <c r="B54" s="116" t="s">
        <v>401</v>
      </c>
      <c r="C54" s="116" t="s">
        <v>376</v>
      </c>
      <c r="D54" s="116" t="s">
        <v>377</v>
      </c>
      <c r="E54" s="52">
        <v>1.2700000000000001E-3</v>
      </c>
      <c r="F54" s="50">
        <v>10.11</v>
      </c>
      <c r="G54" s="50">
        <v>11.39</v>
      </c>
      <c r="H54" s="99">
        <f t="shared" si="21"/>
        <v>1.4307912957467856E-3</v>
      </c>
      <c r="I54" s="30">
        <f t="shared" si="22"/>
        <v>1.2869349017625657E-3</v>
      </c>
      <c r="J54" s="20">
        <f>I54*Assumptions!$D$7</f>
        <v>268.23831248938296</v>
      </c>
      <c r="K54" s="41">
        <v>6063.8249999999998</v>
      </c>
      <c r="L54" s="41">
        <v>5291.181818181818</v>
      </c>
      <c r="M54" s="41">
        <v>6236.363636363636</v>
      </c>
      <c r="N54" s="41">
        <v>6622.8</v>
      </c>
      <c r="O54" s="41">
        <v>1275.3</v>
      </c>
      <c r="P54" s="41">
        <v>1497.1</v>
      </c>
      <c r="Q54" s="41">
        <v>1584.9</v>
      </c>
      <c r="R54" s="41">
        <v>1398.9</v>
      </c>
      <c r="S54" s="41">
        <v>1624.6</v>
      </c>
      <c r="T54" s="41">
        <v>1709.333333333333</v>
      </c>
      <c r="U54" s="41">
        <v>919.81799999999998</v>
      </c>
      <c r="V54" s="41">
        <v>1113.364</v>
      </c>
      <c r="W54" s="41">
        <v>1200</v>
      </c>
      <c r="X54" s="41">
        <v>-115.8</v>
      </c>
      <c r="Y54" s="41">
        <v>-122.5</v>
      </c>
      <c r="Z54" s="41">
        <v>-128.75</v>
      </c>
      <c r="AA54" s="117">
        <f t="shared" si="23"/>
        <v>234.05980251468273</v>
      </c>
      <c r="AB54" s="117">
        <f t="shared" si="24"/>
        <v>275.87070172512131</v>
      </c>
      <c r="AC54" s="117">
        <f t="shared" si="25"/>
        <v>292.96503377895726</v>
      </c>
      <c r="AD54" s="117">
        <f t="shared" si="26"/>
        <v>56.413949927267048</v>
      </c>
      <c r="AE54" s="117">
        <f t="shared" si="27"/>
        <v>66.22545631311182</v>
      </c>
      <c r="AF54" s="117">
        <f t="shared" si="28"/>
        <v>70.109361906787072</v>
      </c>
      <c r="AG54" s="117">
        <f t="shared" si="29"/>
        <v>61.881498120641318</v>
      </c>
      <c r="AH54" s="117">
        <f t="shared" si="30"/>
        <v>71.8655242310343</v>
      </c>
      <c r="AI54" s="117">
        <f t="shared" si="31"/>
        <v>75.613773289167355</v>
      </c>
      <c r="AJ54" s="117">
        <f t="shared" si="32"/>
        <v>40.688909742177465</v>
      </c>
      <c r="AK54" s="117">
        <f t="shared" si="33"/>
        <v>49.250577077410611</v>
      </c>
      <c r="AL54" s="117">
        <f t="shared" si="34"/>
        <v>53.082992168682232</v>
      </c>
      <c r="AM54" s="117">
        <f t="shared" si="35"/>
        <v>-5.1225087442778356</v>
      </c>
      <c r="AN54" s="117">
        <f t="shared" si="36"/>
        <v>-5.4188887838863113</v>
      </c>
      <c r="AO54" s="117">
        <f t="shared" si="37"/>
        <v>-5.6953627014315318</v>
      </c>
      <c r="AP54" s="82">
        <v>0.36248000000000002</v>
      </c>
      <c r="AQ54" s="117">
        <f t="shared" si="38"/>
        <v>53.082992168682232</v>
      </c>
      <c r="AR54" s="117">
        <f t="shared" si="39"/>
        <v>146.44392012988916</v>
      </c>
      <c r="AT54" s="50">
        <v>20</v>
      </c>
      <c r="AU54" s="116" t="s">
        <v>297</v>
      </c>
      <c r="AV54" s="117">
        <f t="shared" si="40"/>
        <v>268.23831248938296</v>
      </c>
      <c r="AW54" s="117">
        <f t="shared" si="41"/>
        <v>471.00669445018951</v>
      </c>
    </row>
    <row r="55" spans="1:49" ht="13.95" customHeight="1" x14ac:dyDescent="0.3">
      <c r="A55" s="115" t="s">
        <v>402</v>
      </c>
      <c r="B55" s="116" t="s">
        <v>403</v>
      </c>
      <c r="C55" s="116" t="s">
        <v>376</v>
      </c>
      <c r="D55" s="116" t="s">
        <v>377</v>
      </c>
      <c r="E55" s="52">
        <v>1.23E-3</v>
      </c>
      <c r="F55" s="50">
        <v>27.01</v>
      </c>
      <c r="G55" s="50">
        <v>29.41</v>
      </c>
      <c r="H55" s="99">
        <f t="shared" si="21"/>
        <v>1.3392928544983338E-3</v>
      </c>
      <c r="I55" s="30">
        <f t="shared" si="22"/>
        <v>1.2046360103382613E-3</v>
      </c>
      <c r="J55" s="20">
        <f>I55*Assumptions!$D$7</f>
        <v>251.08459653594366</v>
      </c>
      <c r="K55" s="41">
        <v>3709.2148795200001</v>
      </c>
      <c r="L55" s="41">
        <v>5199.75</v>
      </c>
      <c r="M55" s="41">
        <v>6120.75</v>
      </c>
      <c r="N55" s="41">
        <v>6827</v>
      </c>
      <c r="O55" s="41">
        <v>835.42857142857144</v>
      </c>
      <c r="P55" s="41">
        <v>1018.285714285714</v>
      </c>
      <c r="Q55" s="41">
        <v>1164.1428571428571</v>
      </c>
      <c r="R55" s="41">
        <v>910.14285714285722</v>
      </c>
      <c r="S55" s="41">
        <v>1107.571428571428</v>
      </c>
      <c r="T55" s="41">
        <v>1252.166666666667</v>
      </c>
      <c r="U55" s="41">
        <v>665.125</v>
      </c>
      <c r="V55" s="41">
        <v>839</v>
      </c>
      <c r="W55" s="41">
        <v>978.85699999999997</v>
      </c>
      <c r="X55" s="41">
        <v>-96.4</v>
      </c>
      <c r="Y55" s="41">
        <v>-93.066666666666677</v>
      </c>
      <c r="Z55" s="41">
        <v>-104.26666666666669</v>
      </c>
      <c r="AA55" s="117">
        <f t="shared" si="23"/>
        <v>351.98206985698397</v>
      </c>
      <c r="AB55" s="117">
        <f t="shared" si="24"/>
        <v>414.32650686612521</v>
      </c>
      <c r="AC55" s="117">
        <f t="shared" si="25"/>
        <v>462.13406239023595</v>
      </c>
      <c r="AD55" s="117">
        <f t="shared" si="26"/>
        <v>56.551926109734453</v>
      </c>
      <c r="AE55" s="117">
        <f t="shared" si="27"/>
        <v>68.929912672740613</v>
      </c>
      <c r="AF55" s="117">
        <f t="shared" si="28"/>
        <v>78.803291017138534</v>
      </c>
      <c r="AG55" s="117">
        <f t="shared" si="29"/>
        <v>61.609494056962767</v>
      </c>
      <c r="AH55" s="117">
        <f t="shared" si="30"/>
        <v>74.973851424208448</v>
      </c>
      <c r="AI55" s="117">
        <f t="shared" si="31"/>
        <v>84.761808767585663</v>
      </c>
      <c r="AJ55" s="117">
        <f t="shared" si="32"/>
        <v>45.023717335184664</v>
      </c>
      <c r="AK55" s="117">
        <f t="shared" si="33"/>
        <v>56.793683659793167</v>
      </c>
      <c r="AL55" s="117">
        <f t="shared" si="34"/>
        <v>66.260899649790417</v>
      </c>
      <c r="AM55" s="117">
        <f t="shared" si="35"/>
        <v>-6.5255197911848182</v>
      </c>
      <c r="AN55" s="117">
        <f t="shared" si="36"/>
        <v>-6.2998794111300187</v>
      </c>
      <c r="AO55" s="117">
        <f t="shared" si="37"/>
        <v>-7.0580310881141477</v>
      </c>
      <c r="AP55" s="82">
        <v>0.38013999999999998</v>
      </c>
      <c r="AQ55" s="117">
        <f t="shared" si="38"/>
        <v>66.260899649790417</v>
      </c>
      <c r="AR55" s="117">
        <f t="shared" si="39"/>
        <v>174.30657034195409</v>
      </c>
      <c r="AT55" s="50">
        <v>44</v>
      </c>
      <c r="AU55" s="116" t="s">
        <v>297</v>
      </c>
      <c r="AV55" s="117">
        <f t="shared" si="40"/>
        <v>251.08459653594366</v>
      </c>
      <c r="AW55" s="117">
        <f t="shared" si="41"/>
        <v>375.64509512347917</v>
      </c>
    </row>
    <row r="56" spans="1:49" ht="13.95" customHeight="1" x14ac:dyDescent="0.3">
      <c r="A56" s="115" t="s">
        <v>404</v>
      </c>
      <c r="B56" s="116" t="s">
        <v>405</v>
      </c>
      <c r="C56" s="116" t="s">
        <v>376</v>
      </c>
      <c r="D56" s="116" t="s">
        <v>377</v>
      </c>
      <c r="E56" s="52">
        <v>1.17E-3</v>
      </c>
      <c r="F56" s="50">
        <v>4.18</v>
      </c>
      <c r="G56" s="50">
        <v>4.7</v>
      </c>
      <c r="H56" s="99">
        <f t="shared" si="21"/>
        <v>1.3155502392344499E-3</v>
      </c>
      <c r="I56" s="30">
        <f t="shared" si="22"/>
        <v>1.1832805545614181E-3</v>
      </c>
      <c r="J56" s="20">
        <f>I56*Assumptions!$D$7</f>
        <v>246.63343788590115</v>
      </c>
      <c r="K56" s="41">
        <v>5792.7156500099991</v>
      </c>
      <c r="L56" s="41">
        <v>8959.125</v>
      </c>
      <c r="M56" s="41">
        <v>9651.75</v>
      </c>
      <c r="N56" s="41">
        <v>10269.875</v>
      </c>
      <c r="O56" s="41">
        <v>1239.125</v>
      </c>
      <c r="P56" s="41">
        <v>1366.625</v>
      </c>
      <c r="Q56" s="41">
        <v>1460</v>
      </c>
      <c r="R56" s="41">
        <v>1432.875</v>
      </c>
      <c r="S56" s="41">
        <v>1585.625</v>
      </c>
      <c r="T56" s="41">
        <v>1695.625</v>
      </c>
      <c r="U56" s="41">
        <v>1081.5</v>
      </c>
      <c r="V56" s="41">
        <v>1122.5</v>
      </c>
      <c r="W56" s="41">
        <v>1198.625</v>
      </c>
      <c r="X56" s="41">
        <v>-307.85714285714289</v>
      </c>
      <c r="Y56" s="41">
        <v>-327.57142857142861</v>
      </c>
      <c r="Z56" s="41">
        <v>-352.42857142857139</v>
      </c>
      <c r="AA56" s="117">
        <f t="shared" si="23"/>
        <v>381.44799998869439</v>
      </c>
      <c r="AB56" s="117">
        <f t="shared" si="24"/>
        <v>410.93753395458612</v>
      </c>
      <c r="AC56" s="117">
        <f t="shared" si="25"/>
        <v>437.25512021362499</v>
      </c>
      <c r="AD56" s="117">
        <f t="shared" si="26"/>
        <v>52.757579896026783</v>
      </c>
      <c r="AE56" s="117">
        <f t="shared" si="27"/>
        <v>58.1860810050702</v>
      </c>
      <c r="AF56" s="117">
        <f t="shared" si="28"/>
        <v>62.161659758457866</v>
      </c>
      <c r="AG56" s="117">
        <f t="shared" si="29"/>
        <v>61.006772757808442</v>
      </c>
      <c r="AH56" s="117">
        <f t="shared" si="30"/>
        <v>67.510329968838874</v>
      </c>
      <c r="AI56" s="117">
        <f t="shared" si="31"/>
        <v>72.19374269036652</v>
      </c>
      <c r="AJ56" s="117">
        <f t="shared" si="32"/>
        <v>46.046462348474101</v>
      </c>
      <c r="AK56" s="117">
        <f t="shared" si="33"/>
        <v>47.792097999225319</v>
      </c>
      <c r="AL56" s="117">
        <f t="shared" si="34"/>
        <v>51.033232484918877</v>
      </c>
      <c r="AM56" s="117">
        <f t="shared" si="35"/>
        <v>-13.107473266093614</v>
      </c>
      <c r="AN56" s="117">
        <f t="shared" si="36"/>
        <v>-13.94683814345831</v>
      </c>
      <c r="AO56" s="117">
        <f t="shared" si="37"/>
        <v>-15.005167771439877</v>
      </c>
      <c r="AP56" s="82">
        <v>0.23971999999999999</v>
      </c>
      <c r="AQ56" s="117">
        <f t="shared" si="38"/>
        <v>51.033232484918877</v>
      </c>
      <c r="AR56" s="117">
        <f t="shared" si="39"/>
        <v>212.88683666326915</v>
      </c>
      <c r="AT56" s="50">
        <v>5</v>
      </c>
      <c r="AU56" s="116" t="s">
        <v>297</v>
      </c>
      <c r="AV56" s="117">
        <f t="shared" si="40"/>
        <v>246.63343788590115</v>
      </c>
      <c r="AW56" s="117">
        <f t="shared" si="41"/>
        <v>262.37599775095867</v>
      </c>
    </row>
    <row r="57" spans="1:49" ht="13.95" customHeight="1" x14ac:dyDescent="0.3">
      <c r="A57" s="115" t="s">
        <v>406</v>
      </c>
      <c r="B57" s="116" t="s">
        <v>407</v>
      </c>
      <c r="C57" s="116" t="s">
        <v>376</v>
      </c>
      <c r="D57" s="116" t="s">
        <v>377</v>
      </c>
      <c r="E57" s="52">
        <v>1.1199999999999999E-3</v>
      </c>
      <c r="F57" s="50">
        <v>23.6</v>
      </c>
      <c r="G57" s="50">
        <v>27.72</v>
      </c>
      <c r="H57" s="99">
        <f t="shared" si="21"/>
        <v>1.3155254237288132E-3</v>
      </c>
      <c r="I57" s="30">
        <f t="shared" si="22"/>
        <v>1.1832582340871437E-3</v>
      </c>
      <c r="J57" s="20">
        <f>I57*Assumptions!$D$7</f>
        <v>246.62878558659284</v>
      </c>
      <c r="K57" s="41">
        <v>6632.4333535199994</v>
      </c>
      <c r="L57" s="41">
        <v>3356.4285714285711</v>
      </c>
      <c r="M57" s="41">
        <v>3771.1428571428569</v>
      </c>
      <c r="N57" s="41">
        <v>4169.2307692307704</v>
      </c>
      <c r="O57" s="41">
        <v>788.07692307692309</v>
      </c>
      <c r="P57" s="41">
        <v>895.07692307692309</v>
      </c>
      <c r="Q57" s="41">
        <v>1003.846153846154</v>
      </c>
      <c r="R57" s="41">
        <v>904.07692307692309</v>
      </c>
      <c r="S57" s="41">
        <v>1020.384615384615</v>
      </c>
      <c r="T57" s="41">
        <v>1169.5</v>
      </c>
      <c r="U57" s="41">
        <v>623.14300000000003</v>
      </c>
      <c r="V57" s="41">
        <v>735.14300000000003</v>
      </c>
      <c r="W57" s="41">
        <v>843.923</v>
      </c>
      <c r="X57" s="41">
        <v>-128.30000000000001</v>
      </c>
      <c r="Y57" s="41">
        <v>-142</v>
      </c>
      <c r="Z57" s="41">
        <v>-141.9</v>
      </c>
      <c r="AA57" s="117">
        <f t="shared" si="23"/>
        <v>124.80968271475223</v>
      </c>
      <c r="AB57" s="117">
        <f t="shared" si="24"/>
        <v>140.23094293696656</v>
      </c>
      <c r="AC57" s="117">
        <f t="shared" si="25"/>
        <v>155.03394706558518</v>
      </c>
      <c r="AD57" s="117">
        <f t="shared" si="26"/>
        <v>29.304848481308483</v>
      </c>
      <c r="AE57" s="117">
        <f t="shared" si="27"/>
        <v>33.283671735334842</v>
      </c>
      <c r="AF57" s="117">
        <f t="shared" si="28"/>
        <v>37.328284302691635</v>
      </c>
      <c r="AG57" s="117">
        <f t="shared" si="29"/>
        <v>33.618339111841742</v>
      </c>
      <c r="AH57" s="117">
        <f t="shared" si="30"/>
        <v>37.943271362084616</v>
      </c>
      <c r="AI57" s="117">
        <f t="shared" si="31"/>
        <v>43.488166313867595</v>
      </c>
      <c r="AJ57" s="117">
        <f t="shared" si="32"/>
        <v>23.171736999848136</v>
      </c>
      <c r="AK57" s="117">
        <f t="shared" si="33"/>
        <v>27.336486574156108</v>
      </c>
      <c r="AL57" s="117">
        <f t="shared" si="34"/>
        <v>31.381499598202723</v>
      </c>
      <c r="AM57" s="117">
        <f t="shared" si="35"/>
        <v>-4.7708693784260054</v>
      </c>
      <c r="AN57" s="117">
        <f t="shared" si="36"/>
        <v>-5.2803074959976044</v>
      </c>
      <c r="AO57" s="117">
        <f t="shared" si="37"/>
        <v>-5.2765889695919732</v>
      </c>
      <c r="AP57" s="82">
        <v>0.20180999999999999</v>
      </c>
      <c r="AQ57" s="117">
        <f t="shared" si="38"/>
        <v>31.381499598202723</v>
      </c>
      <c r="AR57" s="117">
        <f t="shared" si="39"/>
        <v>155.50022099104467</v>
      </c>
      <c r="AT57" s="50">
        <v>35</v>
      </c>
      <c r="AU57" s="116" t="s">
        <v>297</v>
      </c>
      <c r="AV57" s="117">
        <f t="shared" si="40"/>
        <v>246.62878558659284</v>
      </c>
      <c r="AW57" s="117">
        <f t="shared" si="41"/>
        <v>311.3999818012536</v>
      </c>
    </row>
    <row r="58" spans="1:49" ht="13.95" customHeight="1" x14ac:dyDescent="0.3">
      <c r="A58" s="115" t="s">
        <v>408</v>
      </c>
      <c r="B58" s="116" t="s">
        <v>409</v>
      </c>
      <c r="C58" s="116" t="s">
        <v>376</v>
      </c>
      <c r="D58" s="116" t="s">
        <v>377</v>
      </c>
      <c r="E58" s="52">
        <v>1.1100000000000001E-3</v>
      </c>
      <c r="F58" s="50">
        <v>7.46</v>
      </c>
      <c r="G58" s="50">
        <v>9.41</v>
      </c>
      <c r="H58" s="99">
        <f t="shared" si="21"/>
        <v>1.4001474530831099E-3</v>
      </c>
      <c r="I58" s="30">
        <f t="shared" si="22"/>
        <v>1.2593720903551747E-3</v>
      </c>
      <c r="J58" s="20">
        <f>I58*Assumptions!$D$7</f>
        <v>262.49334278714252</v>
      </c>
      <c r="K58" s="41">
        <v>7911.148704000002</v>
      </c>
      <c r="L58" s="41">
        <v>39297.833333333343</v>
      </c>
      <c r="M58" s="41">
        <v>41804.846153846163</v>
      </c>
      <c r="N58" s="41">
        <v>43576.545454545463</v>
      </c>
      <c r="O58" s="41">
        <v>1760.5</v>
      </c>
      <c r="P58" s="41">
        <v>1983.75</v>
      </c>
      <c r="Q58" s="41">
        <v>2157.333333333333</v>
      </c>
      <c r="R58" s="41">
        <v>2989.7777777777778</v>
      </c>
      <c r="S58" s="41">
        <v>3277.333333333333</v>
      </c>
      <c r="T58" s="41">
        <v>3455</v>
      </c>
      <c r="U58" s="41">
        <v>151.82499999999999</v>
      </c>
      <c r="V58" s="41">
        <v>437.5</v>
      </c>
      <c r="W58" s="41">
        <v>651.27300000000002</v>
      </c>
      <c r="X58" s="41">
        <v>-914.85714285714278</v>
      </c>
      <c r="Y58" s="41">
        <v>-975</v>
      </c>
      <c r="Z58" s="41">
        <v>-1019.428571428571</v>
      </c>
      <c r="AA58" s="117">
        <f t="shared" si="23"/>
        <v>1303.9092073623929</v>
      </c>
      <c r="AB58" s="117">
        <f t="shared" si="24"/>
        <v>1387.0923455246045</v>
      </c>
      <c r="AC58" s="117">
        <f t="shared" si="25"/>
        <v>1445.8776482985318</v>
      </c>
      <c r="AD58" s="117">
        <f t="shared" si="26"/>
        <v>58.413707954081239</v>
      </c>
      <c r="AE58" s="117">
        <f t="shared" si="27"/>
        <v>65.821183274017983</v>
      </c>
      <c r="AF58" s="117">
        <f t="shared" si="28"/>
        <v>71.580709623935192</v>
      </c>
      <c r="AG58" s="117">
        <f t="shared" si="29"/>
        <v>99.201366633747867</v>
      </c>
      <c r="AH58" s="117">
        <f t="shared" si="30"/>
        <v>108.74251190088549</v>
      </c>
      <c r="AI58" s="117">
        <f t="shared" si="31"/>
        <v>114.63752398827077</v>
      </c>
      <c r="AJ58" s="117">
        <f t="shared" si="32"/>
        <v>5.037580920266052</v>
      </c>
      <c r="AK58" s="117">
        <f t="shared" si="33"/>
        <v>14.516329014433706</v>
      </c>
      <c r="AL58" s="117">
        <f t="shared" si="34"/>
        <v>21.609355762782364</v>
      </c>
      <c r="AM58" s="117">
        <f t="shared" si="35"/>
        <v>-30.35512522724358</v>
      </c>
      <c r="AN58" s="117">
        <f t="shared" si="36"/>
        <v>-32.350676089309403</v>
      </c>
      <c r="AO58" s="117">
        <f t="shared" si="37"/>
        <v>-33.824824113305759</v>
      </c>
      <c r="AP58" s="82">
        <v>4.9050000000000003E-2</v>
      </c>
      <c r="AQ58" s="117">
        <f t="shared" si="38"/>
        <v>21.609355762782364</v>
      </c>
      <c r="AR58" s="117">
        <f t="shared" si="39"/>
        <v>440.55771177945695</v>
      </c>
      <c r="AT58" s="50">
        <v>7.5</v>
      </c>
      <c r="AU58" s="116" t="s">
        <v>297</v>
      </c>
      <c r="AV58" s="117">
        <f t="shared" si="40"/>
        <v>262.49334278714252</v>
      </c>
      <c r="AW58" s="117">
        <f t="shared" si="41"/>
        <v>209.2136100853952</v>
      </c>
    </row>
    <row r="59" spans="1:49" ht="13.95" customHeight="1" x14ac:dyDescent="0.3">
      <c r="A59" s="115" t="s">
        <v>410</v>
      </c>
      <c r="B59" s="116" t="s">
        <v>411</v>
      </c>
      <c r="C59" s="116" t="s">
        <v>376</v>
      </c>
      <c r="D59" s="116" t="s">
        <v>377</v>
      </c>
      <c r="E59" s="52">
        <v>1.0499999999999999E-3</v>
      </c>
      <c r="F59" s="50">
        <v>11.14</v>
      </c>
      <c r="G59" s="50">
        <v>12.43</v>
      </c>
      <c r="H59" s="99">
        <f t="shared" si="21"/>
        <v>1.1715888689407539E-3</v>
      </c>
      <c r="I59" s="30">
        <f t="shared" si="22"/>
        <v>1.053793527007324E-3</v>
      </c>
      <c r="J59" s="20">
        <f>I59*Assumptions!$D$7</f>
        <v>219.64420811770842</v>
      </c>
      <c r="K59" s="41">
        <v>3626.1954987300001</v>
      </c>
      <c r="L59" s="41">
        <v>5699.0769230769238</v>
      </c>
      <c r="M59" s="41">
        <v>5999.2307692307704</v>
      </c>
      <c r="N59" s="41">
        <v>6283.5</v>
      </c>
      <c r="O59" s="41">
        <v>1008.4</v>
      </c>
      <c r="P59" s="41">
        <v>1148.818181818182</v>
      </c>
      <c r="Q59" s="41">
        <v>1231.818181818182</v>
      </c>
      <c r="R59" s="41">
        <v>1850.461538461539</v>
      </c>
      <c r="S59" s="41">
        <v>1932.153846153846</v>
      </c>
      <c r="T59" s="41">
        <v>2008.166666666667</v>
      </c>
      <c r="U59" s="41">
        <v>354.22199999999998</v>
      </c>
      <c r="V59" s="41">
        <v>515.27300000000002</v>
      </c>
      <c r="W59" s="41">
        <v>637.36400000000003</v>
      </c>
      <c r="X59" s="41">
        <v>-427.4</v>
      </c>
      <c r="Y59" s="41">
        <v>-429.8</v>
      </c>
      <c r="Z59" s="41">
        <v>-441.8</v>
      </c>
      <c r="AA59" s="117">
        <f t="shared" si="23"/>
        <v>345.20180674471175</v>
      </c>
      <c r="AB59" s="117">
        <f t="shared" si="24"/>
        <v>363.38258433241646</v>
      </c>
      <c r="AC59" s="117">
        <f t="shared" si="25"/>
        <v>380.60120646859343</v>
      </c>
      <c r="AD59" s="117">
        <f t="shared" si="26"/>
        <v>61.080330485068764</v>
      </c>
      <c r="AE59" s="117">
        <f t="shared" si="27"/>
        <v>69.585674546519613</v>
      </c>
      <c r="AF59" s="117">
        <f t="shared" si="28"/>
        <v>74.613111506318006</v>
      </c>
      <c r="AG59" s="117">
        <f t="shared" si="29"/>
        <v>112.08528591743315</v>
      </c>
      <c r="AH59" s="117">
        <f t="shared" si="30"/>
        <v>117.0335139538612</v>
      </c>
      <c r="AI59" s="117">
        <f t="shared" si="31"/>
        <v>121.63772676427901</v>
      </c>
      <c r="AJ59" s="117">
        <f t="shared" si="32"/>
        <v>21.455768370767579</v>
      </c>
      <c r="AK59" s="117">
        <f t="shared" si="33"/>
        <v>31.210873790195201</v>
      </c>
      <c r="AL59" s="117">
        <f t="shared" si="34"/>
        <v>38.60611241499938</v>
      </c>
      <c r="AM59" s="117">
        <f t="shared" si="35"/>
        <v>-25.88827176647996</v>
      </c>
      <c r="AN59" s="117">
        <f t="shared" si="36"/>
        <v>-26.03364343760666</v>
      </c>
      <c r="AO59" s="117">
        <f t="shared" si="37"/>
        <v>-26.760501793240163</v>
      </c>
      <c r="AP59" s="82">
        <v>0.16766</v>
      </c>
      <c r="AQ59" s="117">
        <f t="shared" si="38"/>
        <v>38.60611241499938</v>
      </c>
      <c r="AR59" s="117">
        <f t="shared" si="39"/>
        <v>230.26429926636871</v>
      </c>
      <c r="AT59" s="50">
        <v>11</v>
      </c>
      <c r="AU59" s="116" t="s">
        <v>297</v>
      </c>
      <c r="AV59" s="117">
        <f t="shared" si="40"/>
        <v>219.64420811770842</v>
      </c>
      <c r="AW59" s="117">
        <f t="shared" si="41"/>
        <v>194.37540541390126</v>
      </c>
    </row>
    <row r="60" spans="1:49" ht="13.95" customHeight="1" x14ac:dyDescent="0.3">
      <c r="A60" s="115" t="s">
        <v>412</v>
      </c>
      <c r="B60" s="116" t="s">
        <v>413</v>
      </c>
      <c r="C60" s="116" t="s">
        <v>376</v>
      </c>
      <c r="D60" s="116" t="s">
        <v>377</v>
      </c>
      <c r="E60" s="52">
        <v>8.699999999999999E-4</v>
      </c>
      <c r="F60" s="50">
        <v>17.38</v>
      </c>
      <c r="G60" s="50">
        <v>22.2</v>
      </c>
      <c r="H60" s="99">
        <f t="shared" si="21"/>
        <v>1.1112773302646719E-3</v>
      </c>
      <c r="I60" s="30">
        <f t="shared" si="22"/>
        <v>9.9954590589585975E-4</v>
      </c>
      <c r="J60" s="20">
        <f>I60*Assumptions!$D$7</f>
        <v>208.33727229401339</v>
      </c>
      <c r="K60" s="41">
        <v>4846.3159111099994</v>
      </c>
      <c r="L60" s="41">
        <v>11464</v>
      </c>
      <c r="M60" s="41">
        <v>12169.777777777779</v>
      </c>
      <c r="N60" s="41">
        <v>12871.625</v>
      </c>
      <c r="O60" s="41">
        <v>1049.333333333333</v>
      </c>
      <c r="P60" s="41">
        <v>1218.375</v>
      </c>
      <c r="Q60" s="41">
        <v>1417.375</v>
      </c>
      <c r="R60" s="41">
        <v>1614.428571428572</v>
      </c>
      <c r="S60" s="41">
        <v>1817.285714285714</v>
      </c>
      <c r="T60" s="41">
        <v>1959.5</v>
      </c>
      <c r="U60" s="41">
        <v>399.1</v>
      </c>
      <c r="V60" s="41">
        <v>575.9</v>
      </c>
      <c r="W60" s="41">
        <v>710.55600000000004</v>
      </c>
      <c r="X60" s="41">
        <v>-375.5</v>
      </c>
      <c r="Y60" s="41">
        <v>-375</v>
      </c>
      <c r="Z60" s="41">
        <v>-407</v>
      </c>
      <c r="AA60" s="117">
        <f t="shared" si="23"/>
        <v>492.82352479401936</v>
      </c>
      <c r="AB60" s="117">
        <f t="shared" si="24"/>
        <v>523.16405970031167</v>
      </c>
      <c r="AC60" s="117">
        <f t="shared" si="25"/>
        <v>553.33562476681959</v>
      </c>
      <c r="AD60" s="117">
        <f t="shared" si="26"/>
        <v>45.109573623272055</v>
      </c>
      <c r="AE60" s="117">
        <f t="shared" si="27"/>
        <v>52.376470867141776</v>
      </c>
      <c r="AF60" s="117">
        <f t="shared" si="28"/>
        <v>60.931240706116824</v>
      </c>
      <c r="AG60" s="117">
        <f t="shared" si="29"/>
        <v>69.402335929832702</v>
      </c>
      <c r="AH60" s="117">
        <f t="shared" si="30"/>
        <v>78.122919685284614</v>
      </c>
      <c r="AI60" s="117">
        <f t="shared" si="31"/>
        <v>84.236540198349701</v>
      </c>
      <c r="AJ60" s="117">
        <f t="shared" si="32"/>
        <v>17.156827350426827</v>
      </c>
      <c r="AK60" s="117">
        <f t="shared" si="33"/>
        <v>24.757245981234799</v>
      </c>
      <c r="AL60" s="117">
        <f t="shared" si="34"/>
        <v>30.545944913079136</v>
      </c>
      <c r="AM60" s="117">
        <f t="shared" si="35"/>
        <v>-16.142291831834811</v>
      </c>
      <c r="AN60" s="117">
        <f t="shared" si="36"/>
        <v>-16.12079743525447</v>
      </c>
      <c r="AO60" s="117">
        <f t="shared" si="37"/>
        <v>-17.496438816396186</v>
      </c>
      <c r="AP60" s="82">
        <v>9.1159999999999991E-2</v>
      </c>
      <c r="AQ60" s="117">
        <f t="shared" si="38"/>
        <v>30.545944913079136</v>
      </c>
      <c r="AR60" s="117">
        <f t="shared" si="39"/>
        <v>335.08057166607216</v>
      </c>
      <c r="AT60" s="50">
        <v>40</v>
      </c>
      <c r="AU60" s="116" t="s">
        <v>297</v>
      </c>
      <c r="AV60" s="117">
        <f t="shared" si="40"/>
        <v>208.33727229401339</v>
      </c>
      <c r="AW60" s="117">
        <f t="shared" si="41"/>
        <v>375.38247260182595</v>
      </c>
    </row>
    <row r="61" spans="1:49" ht="13.95" customHeight="1" x14ac:dyDescent="0.3">
      <c r="A61" s="115" t="s">
        <v>414</v>
      </c>
      <c r="B61" s="116" t="s">
        <v>415</v>
      </c>
      <c r="C61" s="116" t="s">
        <v>376</v>
      </c>
      <c r="D61" s="116" t="s">
        <v>377</v>
      </c>
      <c r="E61" s="52">
        <v>8.699999999999999E-4</v>
      </c>
      <c r="F61" s="50">
        <v>4.3</v>
      </c>
      <c r="G61" s="50">
        <v>5.77</v>
      </c>
      <c r="H61" s="99">
        <f t="shared" si="21"/>
        <v>1.1674186046511626E-3</v>
      </c>
      <c r="I61" s="30">
        <f t="shared" si="22"/>
        <v>1.0500425546049877E-3</v>
      </c>
      <c r="J61" s="20">
        <f>I61*Assumptions!$D$7</f>
        <v>218.86238573802245</v>
      </c>
      <c r="K61" s="41">
        <v>7404.2708018999992</v>
      </c>
      <c r="L61" s="41">
        <v>6636.1</v>
      </c>
      <c r="M61" s="41">
        <v>7336.2</v>
      </c>
      <c r="N61" s="41">
        <v>7785.1111111111104</v>
      </c>
      <c r="O61" s="41">
        <v>2732.7777777777778</v>
      </c>
      <c r="P61" s="41">
        <v>2898.1111111111109</v>
      </c>
      <c r="Q61" s="41">
        <v>3023.2222222222222</v>
      </c>
      <c r="R61" s="41">
        <v>3936.9</v>
      </c>
      <c r="S61" s="41">
        <v>4261.8</v>
      </c>
      <c r="T61" s="41">
        <v>4599.5555555555557</v>
      </c>
      <c r="U61" s="41">
        <v>473.2</v>
      </c>
      <c r="V61" s="41">
        <v>731.9</v>
      </c>
      <c r="W61" s="41">
        <v>1081.3330000000001</v>
      </c>
      <c r="X61" s="41">
        <v>-2967.833333333333</v>
      </c>
      <c r="Y61" s="41">
        <v>-3416.5</v>
      </c>
      <c r="Z61" s="41">
        <v>-3910.833333333333</v>
      </c>
      <c r="AA61" s="117">
        <f t="shared" si="23"/>
        <v>196.15607219868221</v>
      </c>
      <c r="AB61" s="117">
        <f t="shared" si="24"/>
        <v>216.85028508671846</v>
      </c>
      <c r="AC61" s="117">
        <f t="shared" si="25"/>
        <v>230.11962104035109</v>
      </c>
      <c r="AD61" s="117">
        <f t="shared" si="26"/>
        <v>80.778010439977095</v>
      </c>
      <c r="AE61" s="117">
        <f t="shared" si="27"/>
        <v>85.665088282411986</v>
      </c>
      <c r="AF61" s="117">
        <f t="shared" si="28"/>
        <v>89.363239929308278</v>
      </c>
      <c r="AG61" s="117">
        <f t="shared" si="29"/>
        <v>116.37058522912433</v>
      </c>
      <c r="AH61" s="117">
        <f t="shared" si="30"/>
        <v>125.97428436828015</v>
      </c>
      <c r="AI61" s="117">
        <f t="shared" si="31"/>
        <v>135.9579800842973</v>
      </c>
      <c r="AJ61" s="117">
        <f t="shared" si="32"/>
        <v>13.987289728065644</v>
      </c>
      <c r="AK61" s="117">
        <f t="shared" si="33"/>
        <v>21.634187134343286</v>
      </c>
      <c r="AL61" s="117">
        <f t="shared" si="34"/>
        <v>31.96305571326798</v>
      </c>
      <c r="AM61" s="117">
        <f t="shared" si="35"/>
        <v>-87.726003165562446</v>
      </c>
      <c r="AN61" s="117">
        <f t="shared" si="36"/>
        <v>-100.9881136008797</v>
      </c>
      <c r="AO61" s="117">
        <f t="shared" si="37"/>
        <v>-115.60008223057915</v>
      </c>
      <c r="AP61" s="82">
        <v>0.26423000000000002</v>
      </c>
      <c r="AQ61" s="117">
        <f t="shared" si="38"/>
        <v>31.96305571326798</v>
      </c>
      <c r="AR61" s="117">
        <f t="shared" si="39"/>
        <v>120.96679299575362</v>
      </c>
      <c r="AT61" s="50">
        <v>5.6</v>
      </c>
      <c r="AU61" s="116" t="s">
        <v>297</v>
      </c>
      <c r="AV61" s="117">
        <f t="shared" si="40"/>
        <v>218.86238573802245</v>
      </c>
      <c r="AW61" s="117">
        <f t="shared" si="41"/>
        <v>212.41410054296807</v>
      </c>
    </row>
    <row r="62" spans="1:49" ht="13.95" customHeight="1" x14ac:dyDescent="0.3">
      <c r="A62" s="115" t="s">
        <v>416</v>
      </c>
      <c r="B62" s="116" t="s">
        <v>417</v>
      </c>
      <c r="C62" s="116" t="s">
        <v>376</v>
      </c>
      <c r="D62" s="116" t="s">
        <v>377</v>
      </c>
      <c r="E62" s="52">
        <v>7.7999999999999999E-4</v>
      </c>
      <c r="F62" s="50">
        <v>10.029999999999999</v>
      </c>
      <c r="G62" s="50">
        <v>12.38</v>
      </c>
      <c r="H62" s="99">
        <f t="shared" si="21"/>
        <v>9.6275174476570307E-4</v>
      </c>
      <c r="I62" s="30">
        <f t="shared" si="22"/>
        <v>8.65953564125582E-4</v>
      </c>
      <c r="J62" s="20">
        <f>I62*Assumptions!$D$7</f>
        <v>180.49236400153819</v>
      </c>
      <c r="K62" s="41">
        <v>3868.4756034000002</v>
      </c>
      <c r="L62" s="41">
        <v>8396.75</v>
      </c>
      <c r="M62" s="41">
        <v>9055.75</v>
      </c>
      <c r="N62" s="41">
        <v>9749.5</v>
      </c>
      <c r="O62" s="41">
        <v>955.1</v>
      </c>
      <c r="P62" s="41">
        <v>1021.7</v>
      </c>
      <c r="Q62" s="41">
        <v>1110.5999999999999</v>
      </c>
      <c r="R62" s="41">
        <v>1651.2222222222219</v>
      </c>
      <c r="S62" s="41">
        <v>1699.545454545455</v>
      </c>
      <c r="T62" s="41">
        <v>1842.090909090909</v>
      </c>
      <c r="U62" s="41">
        <v>517.63599999999997</v>
      </c>
      <c r="V62" s="41">
        <v>547.6</v>
      </c>
      <c r="W62" s="41">
        <v>586.1</v>
      </c>
      <c r="X62" s="41">
        <v>-632.14285714285722</v>
      </c>
      <c r="Y62" s="41">
        <v>-701.25</v>
      </c>
      <c r="Z62" s="41">
        <v>-751.125</v>
      </c>
      <c r="AA62" s="117">
        <f t="shared" si="23"/>
        <v>391.76911341974102</v>
      </c>
      <c r="AB62" s="117">
        <f t="shared" si="24"/>
        <v>422.51622935669394</v>
      </c>
      <c r="AC62" s="117">
        <f t="shared" si="25"/>
        <v>454.88468410822821</v>
      </c>
      <c r="AD62" s="117">
        <f t="shared" si="26"/>
        <v>44.562322354148293</v>
      </c>
      <c r="AE62" s="117">
        <f t="shared" si="27"/>
        <v>47.669694010295586</v>
      </c>
      <c r="AF62" s="117">
        <f t="shared" si="28"/>
        <v>51.81752194169939</v>
      </c>
      <c r="AG62" s="117">
        <f t="shared" si="29"/>
        <v>77.041458428436542</v>
      </c>
      <c r="AH62" s="117">
        <f t="shared" si="30"/>
        <v>79.296086693521133</v>
      </c>
      <c r="AI62" s="117">
        <f t="shared" si="31"/>
        <v>85.946863047382635</v>
      </c>
      <c r="AJ62" s="117">
        <f t="shared" si="32"/>
        <v>24.151462982003878</v>
      </c>
      <c r="AK62" s="117">
        <f t="shared" si="33"/>
        <v>25.549500283877716</v>
      </c>
      <c r="AL62" s="117">
        <f t="shared" si="34"/>
        <v>27.345803718737635</v>
      </c>
      <c r="AM62" s="117">
        <f t="shared" si="35"/>
        <v>-29.494035989815011</v>
      </c>
      <c r="AN62" s="117">
        <f t="shared" si="36"/>
        <v>-32.71838399209139</v>
      </c>
      <c r="AO62" s="117">
        <f t="shared" si="37"/>
        <v>-35.045413441796285</v>
      </c>
      <c r="AP62" s="82">
        <v>0.12422999999999999</v>
      </c>
      <c r="AQ62" s="117">
        <f t="shared" si="38"/>
        <v>27.345803718737635</v>
      </c>
      <c r="AR62" s="117">
        <f t="shared" si="39"/>
        <v>220.12238363308086</v>
      </c>
      <c r="AT62" s="50">
        <v>17</v>
      </c>
      <c r="AU62" s="116" t="s">
        <v>297</v>
      </c>
      <c r="AV62" s="117">
        <f t="shared" si="40"/>
        <v>180.49236400153819</v>
      </c>
      <c r="AW62" s="117">
        <f t="shared" si="41"/>
        <v>247.84896510712028</v>
      </c>
    </row>
    <row r="63" spans="1:49" ht="13.95" customHeight="1" x14ac:dyDescent="0.3">
      <c r="A63" s="115" t="s">
        <v>418</v>
      </c>
      <c r="B63" s="116" t="s">
        <v>419</v>
      </c>
      <c r="C63" s="116" t="s">
        <v>376</v>
      </c>
      <c r="D63" s="116" t="s">
        <v>377</v>
      </c>
      <c r="E63" s="52">
        <v>7.7999999999999999E-4</v>
      </c>
      <c r="F63" s="50">
        <v>5.47</v>
      </c>
      <c r="G63" s="50">
        <v>6.28</v>
      </c>
      <c r="H63" s="99">
        <f t="shared" si="21"/>
        <v>8.9550274223034734E-4</v>
      </c>
      <c r="I63" s="30">
        <f t="shared" si="22"/>
        <v>8.0546599425516474E-4</v>
      </c>
      <c r="J63" s="20">
        <f>I63*Assumptions!$D$7</f>
        <v>167.88482367731297</v>
      </c>
      <c r="K63" s="41">
        <v>3574.0071458500001</v>
      </c>
      <c r="L63" s="41">
        <v>11757.5</v>
      </c>
      <c r="M63" s="41">
        <v>11928.285714285719</v>
      </c>
      <c r="N63" s="41">
        <v>12097.714285714281</v>
      </c>
      <c r="O63" s="41">
        <v>819.33333333333337</v>
      </c>
      <c r="P63" s="41">
        <v>1769</v>
      </c>
      <c r="Q63" s="41">
        <v>1803.5</v>
      </c>
      <c r="R63" s="41">
        <v>1198.8571428571429</v>
      </c>
      <c r="S63" s="41">
        <v>2156.333333333333</v>
      </c>
      <c r="T63" s="41">
        <v>2112.333333333333</v>
      </c>
      <c r="U63" s="41">
        <v>-394.6</v>
      </c>
      <c r="V63" s="41">
        <v>649.28600000000006</v>
      </c>
      <c r="W63" s="41">
        <v>870.28600000000006</v>
      </c>
      <c r="X63" s="41">
        <v>-146.69999999999999</v>
      </c>
      <c r="Y63" s="41">
        <v>-229.55</v>
      </c>
      <c r="Z63" s="41">
        <v>-270.05</v>
      </c>
      <c r="AA63" s="117">
        <f t="shared" si="23"/>
        <v>552.29487066863612</v>
      </c>
      <c r="AB63" s="117">
        <f t="shared" si="24"/>
        <v>560.31733071400993</v>
      </c>
      <c r="AC63" s="117">
        <f t="shared" si="25"/>
        <v>568.27604055408722</v>
      </c>
      <c r="AD63" s="117">
        <f t="shared" si="26"/>
        <v>38.4872292041536</v>
      </c>
      <c r="AE63" s="117">
        <f t="shared" si="27"/>
        <v>83.096714966006147</v>
      </c>
      <c r="AF63" s="117">
        <f t="shared" si="28"/>
        <v>84.717312290102939</v>
      </c>
      <c r="AG63" s="117">
        <f t="shared" si="29"/>
        <v>56.314918193872536</v>
      </c>
      <c r="AH63" s="117">
        <f t="shared" si="30"/>
        <v>101.29124724233913</v>
      </c>
      <c r="AI63" s="117">
        <f t="shared" si="31"/>
        <v>99.224398481172216</v>
      </c>
      <c r="AJ63" s="117">
        <f t="shared" si="32"/>
        <v>-18.535875480828732</v>
      </c>
      <c r="AK63" s="117">
        <f t="shared" si="33"/>
        <v>30.49945374415957</v>
      </c>
      <c r="AL63" s="117">
        <f t="shared" si="34"/>
        <v>40.880671385475203</v>
      </c>
      <c r="AM63" s="117">
        <f t="shared" si="35"/>
        <v>-6.8910616650724146</v>
      </c>
      <c r="AN63" s="117">
        <f t="shared" si="36"/>
        <v>-10.782843934678752</v>
      </c>
      <c r="AO63" s="117">
        <f t="shared" si="37"/>
        <v>-12.685284271661933</v>
      </c>
      <c r="AP63" s="82">
        <v>0.14757999999999999</v>
      </c>
      <c r="AQ63" s="117">
        <f t="shared" si="38"/>
        <v>40.880671385475203</v>
      </c>
      <c r="AR63" s="117">
        <f t="shared" si="39"/>
        <v>277.00685313372549</v>
      </c>
      <c r="AT63" s="50">
        <v>10</v>
      </c>
      <c r="AU63" s="116" t="s">
        <v>297</v>
      </c>
      <c r="AV63" s="117">
        <f t="shared" si="40"/>
        <v>167.88482367731297</v>
      </c>
      <c r="AW63" s="117">
        <f t="shared" si="41"/>
        <v>267.33252177916074</v>
      </c>
    </row>
    <row r="64" spans="1:49" ht="13.95" customHeight="1" x14ac:dyDescent="0.3">
      <c r="A64" s="115" t="s">
        <v>420</v>
      </c>
      <c r="B64" s="116" t="s">
        <v>421</v>
      </c>
      <c r="C64" s="116" t="s">
        <v>376</v>
      </c>
      <c r="D64" s="116" t="s">
        <v>422</v>
      </c>
      <c r="E64" s="52">
        <v>2.767E-2</v>
      </c>
      <c r="F64" s="50">
        <v>49.46</v>
      </c>
      <c r="G64" s="50">
        <v>51.36</v>
      </c>
      <c r="H64" s="99">
        <f t="shared" si="21"/>
        <v>2.8732939749292356E-2</v>
      </c>
      <c r="I64" s="30">
        <f t="shared" si="22"/>
        <v>2.5844036865142739E-2</v>
      </c>
      <c r="J64" s="20">
        <f>I64*Assumptions!$D$7</f>
        <v>5386.722224352483</v>
      </c>
      <c r="K64" s="41">
        <v>215196.49375746</v>
      </c>
      <c r="L64" s="41">
        <v>41713.1875</v>
      </c>
      <c r="M64" s="41">
        <v>48520.5</v>
      </c>
      <c r="N64" s="41">
        <v>56448.21428571429</v>
      </c>
      <c r="O64" s="41">
        <v>8084.6</v>
      </c>
      <c r="P64" s="41">
        <v>9588.0666666666657</v>
      </c>
      <c r="Q64" s="41">
        <v>11394.533333333329</v>
      </c>
      <c r="R64" s="41">
        <v>9170.4666666666653</v>
      </c>
      <c r="S64" s="41">
        <v>10852.26666666667</v>
      </c>
      <c r="T64" s="41">
        <v>12863.5</v>
      </c>
      <c r="U64" s="41">
        <v>6440.25</v>
      </c>
      <c r="V64" s="41">
        <v>7619.5</v>
      </c>
      <c r="W64" s="41">
        <v>8928.143</v>
      </c>
      <c r="X64" s="41">
        <v>-3553</v>
      </c>
      <c r="Y64" s="41">
        <v>-3328</v>
      </c>
      <c r="Z64" s="41">
        <v>-3328.1111111111109</v>
      </c>
      <c r="AA64" s="117">
        <f t="shared" si="23"/>
        <v>1044.1496988704669</v>
      </c>
      <c r="AB64" s="117">
        <f t="shared" si="24"/>
        <v>1214.5479283750371</v>
      </c>
      <c r="AC64" s="117">
        <f t="shared" si="25"/>
        <v>1412.9916575712218</v>
      </c>
      <c r="AD64" s="117">
        <f t="shared" si="26"/>
        <v>202.37083669254903</v>
      </c>
      <c r="AE64" s="117">
        <f t="shared" si="27"/>
        <v>240.00508047365022</v>
      </c>
      <c r="AF64" s="117">
        <f t="shared" si="28"/>
        <v>285.22391267196957</v>
      </c>
      <c r="AG64" s="117">
        <f t="shared" si="29"/>
        <v>229.55186554615742</v>
      </c>
      <c r="AH64" s="117">
        <f t="shared" si="30"/>
        <v>271.65008600845982</v>
      </c>
      <c r="AI64" s="117">
        <f t="shared" si="31"/>
        <v>321.9945647025956</v>
      </c>
      <c r="AJ64" s="117">
        <f t="shared" si="32"/>
        <v>161.21005133329899</v>
      </c>
      <c r="AK64" s="117">
        <f t="shared" si="33"/>
        <v>190.72861863034379</v>
      </c>
      <c r="AL64" s="117">
        <f t="shared" si="34"/>
        <v>223.48610556128003</v>
      </c>
      <c r="AM64" s="117">
        <f t="shared" si="35"/>
        <v>-88.937434476489472</v>
      </c>
      <c r="AN64" s="117">
        <f t="shared" si="36"/>
        <v>-83.305314364693757</v>
      </c>
      <c r="AO64" s="117">
        <f t="shared" si="37"/>
        <v>-83.308095658576121</v>
      </c>
      <c r="AP64" s="82">
        <v>0.31405</v>
      </c>
      <c r="AQ64" s="117">
        <f t="shared" si="38"/>
        <v>223.48610556128003</v>
      </c>
      <c r="AR64" s="117">
        <f t="shared" si="39"/>
        <v>711.62587346371606</v>
      </c>
      <c r="AT64" s="50">
        <v>52</v>
      </c>
      <c r="AU64" s="116" t="s">
        <v>297</v>
      </c>
      <c r="AV64" s="117">
        <f t="shared" si="40"/>
        <v>5386.722224352483</v>
      </c>
      <c r="AW64" s="117">
        <f t="shared" si="41"/>
        <v>5453.8464888303952</v>
      </c>
    </row>
    <row r="65" spans="1:49" ht="13.95" customHeight="1" x14ac:dyDescent="0.3">
      <c r="A65" s="115" t="s">
        <v>423</v>
      </c>
      <c r="B65" s="116" t="s">
        <v>424</v>
      </c>
      <c r="C65" s="116" t="s">
        <v>376</v>
      </c>
      <c r="D65" s="116" t="s">
        <v>422</v>
      </c>
      <c r="E65" s="52">
        <v>2.6530000000000001E-2</v>
      </c>
      <c r="F65" s="50">
        <v>97.31</v>
      </c>
      <c r="G65" s="50">
        <v>94.26</v>
      </c>
      <c r="H65" s="99">
        <f t="shared" si="21"/>
        <v>2.5698466755729114E-2</v>
      </c>
      <c r="I65" s="30">
        <f t="shared" si="22"/>
        <v>2.3114659620899574E-2</v>
      </c>
      <c r="J65" s="20">
        <f>I65*Assumptions!$D$7</f>
        <v>4817.8328849305708</v>
      </c>
      <c r="K65" s="41">
        <v>66153.147030959997</v>
      </c>
      <c r="L65" s="41">
        <v>44422.538461538461</v>
      </c>
      <c r="M65" s="41">
        <v>49697.916666666657</v>
      </c>
      <c r="N65" s="41">
        <v>55109.090909090912</v>
      </c>
      <c r="O65" s="41">
        <v>4537.666666666667</v>
      </c>
      <c r="P65" s="41">
        <v>5299.75</v>
      </c>
      <c r="Q65" s="41">
        <v>6049.272727272727</v>
      </c>
      <c r="R65" s="41">
        <v>5802.583333333333</v>
      </c>
      <c r="S65" s="41">
        <v>6596.083333333333</v>
      </c>
      <c r="T65" s="41">
        <v>7501.454545454545</v>
      </c>
      <c r="U65" s="41">
        <v>2943.462</v>
      </c>
      <c r="V65" s="41">
        <v>3584.4549999999999</v>
      </c>
      <c r="W65" s="41">
        <v>4315.3999999999996</v>
      </c>
      <c r="X65" s="41">
        <v>-1794.666666666667</v>
      </c>
      <c r="Y65" s="41">
        <v>-1916.333333333333</v>
      </c>
      <c r="Z65" s="41">
        <v>-2050.833333333333</v>
      </c>
      <c r="AA65" s="117">
        <f t="shared" si="23"/>
        <v>3235.2257789327919</v>
      </c>
      <c r="AB65" s="117">
        <f t="shared" si="24"/>
        <v>3619.4235342598045</v>
      </c>
      <c r="AC65" s="117">
        <f t="shared" si="25"/>
        <v>4013.5111080382658</v>
      </c>
      <c r="AD65" s="117">
        <f t="shared" si="26"/>
        <v>330.47134820794793</v>
      </c>
      <c r="AE65" s="117">
        <f t="shared" si="27"/>
        <v>385.97271600640676</v>
      </c>
      <c r="AF65" s="117">
        <f t="shared" si="28"/>
        <v>440.55931400706407</v>
      </c>
      <c r="AG65" s="117">
        <f t="shared" si="29"/>
        <v>422.59330138594754</v>
      </c>
      <c r="AH65" s="117">
        <f t="shared" si="30"/>
        <v>480.38269714066877</v>
      </c>
      <c r="AI65" s="117">
        <f t="shared" si="31"/>
        <v>546.31950278931959</v>
      </c>
      <c r="AJ65" s="117">
        <f t="shared" si="32"/>
        <v>214.36785180464173</v>
      </c>
      <c r="AK65" s="117">
        <f t="shared" si="33"/>
        <v>261.05039516066694</v>
      </c>
      <c r="AL65" s="117">
        <f t="shared" si="34"/>
        <v>314.28400559536726</v>
      </c>
      <c r="AM65" s="117">
        <f t="shared" si="35"/>
        <v>-130.70283837152661</v>
      </c>
      <c r="AN65" s="117">
        <f t="shared" si="36"/>
        <v>-139.56363629233024</v>
      </c>
      <c r="AO65" s="117">
        <f t="shared" si="37"/>
        <v>-149.3590663225886</v>
      </c>
      <c r="AP65" s="82">
        <v>0.17657999999999999</v>
      </c>
      <c r="AQ65" s="117">
        <f t="shared" si="38"/>
        <v>314.28400559536726</v>
      </c>
      <c r="AR65" s="117">
        <f t="shared" si="39"/>
        <v>1779.8391980709439</v>
      </c>
      <c r="AT65" s="50">
        <v>116</v>
      </c>
      <c r="AU65" s="116" t="s">
        <v>297</v>
      </c>
      <c r="AV65" s="117">
        <f t="shared" si="40"/>
        <v>4817.8328849305708</v>
      </c>
      <c r="AW65" s="117">
        <f t="shared" si="41"/>
        <v>5929.0114009330173</v>
      </c>
    </row>
    <row r="66" spans="1:49" ht="13.95" customHeight="1" x14ac:dyDescent="0.3">
      <c r="A66" s="115" t="s">
        <v>425</v>
      </c>
      <c r="B66" s="116" t="s">
        <v>426</v>
      </c>
      <c r="C66" s="116" t="s">
        <v>427</v>
      </c>
      <c r="D66" s="116" t="s">
        <v>427</v>
      </c>
      <c r="E66" s="52">
        <v>9.8729999999999998E-2</v>
      </c>
      <c r="F66" s="50">
        <v>69.91</v>
      </c>
      <c r="G66" s="50">
        <v>71.239999999999995</v>
      </c>
      <c r="H66" s="99">
        <f t="shared" si="21"/>
        <v>0.10060828493777714</v>
      </c>
      <c r="I66" s="30">
        <f t="shared" si="22"/>
        <v>9.0492801904640957E-2</v>
      </c>
      <c r="J66" s="20">
        <f>I66*Assumptions!$D$7</f>
        <v>18861.588447163973</v>
      </c>
      <c r="K66" s="41">
        <v>292583.69298124989</v>
      </c>
      <c r="L66" s="41">
        <v>210241.45454545459</v>
      </c>
      <c r="M66" s="41">
        <v>211218.5</v>
      </c>
      <c r="N66" s="41">
        <v>216317.90476190479</v>
      </c>
      <c r="O66" s="41">
        <v>53667.86363636364</v>
      </c>
      <c r="P66" s="41">
        <v>58140.090909090912</v>
      </c>
      <c r="Q66" s="41">
        <v>61076.904761904763</v>
      </c>
      <c r="R66" s="41">
        <v>80791.272727272721</v>
      </c>
      <c r="S66" s="41">
        <v>82896.954545454544</v>
      </c>
      <c r="T66" s="41">
        <v>85768.380952380947</v>
      </c>
      <c r="U66" s="41">
        <v>37349.381000000001</v>
      </c>
      <c r="V66" s="41">
        <v>38936.048000000003</v>
      </c>
      <c r="W66" s="41">
        <v>39670.894999999997</v>
      </c>
      <c r="X66" s="41">
        <v>-28356.611111111109</v>
      </c>
      <c r="Y66" s="41">
        <v>-29763</v>
      </c>
      <c r="Z66" s="41">
        <v>-29912.555555555558</v>
      </c>
      <c r="AA66" s="117">
        <f t="shared" si="23"/>
        <v>13553.345197620505</v>
      </c>
      <c r="AB66" s="117">
        <f t="shared" si="24"/>
        <v>13616.331036202389</v>
      </c>
      <c r="AC66" s="117">
        <f t="shared" si="25"/>
        <v>13945.067313212605</v>
      </c>
      <c r="AD66" s="117">
        <f t="shared" si="26"/>
        <v>3459.7319708192977</v>
      </c>
      <c r="AE66" s="117">
        <f t="shared" si="27"/>
        <v>3748.0368636889425</v>
      </c>
      <c r="AF66" s="117">
        <f t="shared" si="28"/>
        <v>3937.3603822804412</v>
      </c>
      <c r="AG66" s="117">
        <f t="shared" si="29"/>
        <v>5208.2592873761296</v>
      </c>
      <c r="AH66" s="117">
        <f t="shared" si="30"/>
        <v>5344.0033661063371</v>
      </c>
      <c r="AI66" s="117">
        <f t="shared" si="31"/>
        <v>5529.1116426200088</v>
      </c>
      <c r="AJ66" s="117">
        <f t="shared" si="32"/>
        <v>2407.7509105180079</v>
      </c>
      <c r="AK66" s="117">
        <f t="shared" si="33"/>
        <v>2510.0363784870451</v>
      </c>
      <c r="AL66" s="117">
        <f t="shared" si="34"/>
        <v>2557.4087441319111</v>
      </c>
      <c r="AM66" s="117">
        <f t="shared" si="35"/>
        <v>-1828.0264463280616</v>
      </c>
      <c r="AN66" s="117">
        <f t="shared" si="36"/>
        <v>-1918.6901745372288</v>
      </c>
      <c r="AO66" s="117">
        <f t="shared" si="37"/>
        <v>-1928.3313657811191</v>
      </c>
      <c r="AP66" s="82">
        <v>0.16600999999999999</v>
      </c>
      <c r="AQ66" s="117">
        <f t="shared" si="38"/>
        <v>2557.4087441319111</v>
      </c>
      <c r="AR66" s="117">
        <f t="shared" si="39"/>
        <v>15405.148750869896</v>
      </c>
      <c r="AT66" s="50">
        <v>83</v>
      </c>
      <c r="AU66" s="116" t="s">
        <v>297</v>
      </c>
      <c r="AV66" s="117">
        <f t="shared" si="40"/>
        <v>18861.588447163973</v>
      </c>
      <c r="AW66" s="117">
        <f t="shared" si="41"/>
        <v>21975.180251468413</v>
      </c>
    </row>
    <row r="67" spans="1:49" ht="13.95" customHeight="1" x14ac:dyDescent="0.3">
      <c r="A67" s="115" t="s">
        <v>428</v>
      </c>
      <c r="B67" s="116" t="s">
        <v>429</v>
      </c>
      <c r="C67" s="116" t="s">
        <v>427</v>
      </c>
      <c r="D67" s="116" t="s">
        <v>427</v>
      </c>
      <c r="E67" s="52">
        <v>8.2979999999999998E-2</v>
      </c>
      <c r="F67" s="50">
        <v>49.12</v>
      </c>
      <c r="G67" s="50">
        <v>55.31</v>
      </c>
      <c r="H67" s="99">
        <f t="shared" si="21"/>
        <v>9.3436966612377853E-2</v>
      </c>
      <c r="I67" s="30">
        <f t="shared" si="22"/>
        <v>8.4042511165495229E-2</v>
      </c>
      <c r="J67" s="20">
        <f>I67*Assumptions!$D$7</f>
        <v>17517.14196384561</v>
      </c>
      <c r="K67" s="41">
        <v>742814.41441016982</v>
      </c>
      <c r="L67" s="41">
        <v>603798.14285714284</v>
      </c>
      <c r="M67" s="41">
        <v>576794.64285714284</v>
      </c>
      <c r="N67" s="41">
        <v>560041.4615384615</v>
      </c>
      <c r="O67" s="41">
        <v>226311.33333333331</v>
      </c>
      <c r="P67" s="41">
        <v>197993.5</v>
      </c>
      <c r="Q67" s="41">
        <v>181539.63636363641</v>
      </c>
      <c r="R67" s="41">
        <v>324852.5</v>
      </c>
      <c r="S67" s="41">
        <v>306271.1428571429</v>
      </c>
      <c r="T67" s="41">
        <v>292163</v>
      </c>
      <c r="U67" s="41">
        <v>159783.85699999999</v>
      </c>
      <c r="V67" s="41">
        <v>134066.28599999999</v>
      </c>
      <c r="W67" s="41">
        <v>123997.15399999999</v>
      </c>
      <c r="X67" s="41">
        <v>-96257.714285714275</v>
      </c>
      <c r="Y67" s="41">
        <v>-102580.7142857143</v>
      </c>
      <c r="Z67" s="41">
        <v>-103080.7142857143</v>
      </c>
      <c r="AA67" s="117">
        <f t="shared" si="23"/>
        <v>14238.842947512541</v>
      </c>
      <c r="AB67" s="117">
        <f t="shared" si="24"/>
        <v>13602.043049928014</v>
      </c>
      <c r="AC67" s="117">
        <f t="shared" si="25"/>
        <v>13206.967443138108</v>
      </c>
      <c r="AD67" s="117">
        <f t="shared" si="26"/>
        <v>5336.9020271032987</v>
      </c>
      <c r="AE67" s="117">
        <f t="shared" si="27"/>
        <v>4669.1073572833748</v>
      </c>
      <c r="AF67" s="117">
        <f t="shared" si="28"/>
        <v>4281.090297327959</v>
      </c>
      <c r="AG67" s="117">
        <f t="shared" si="29"/>
        <v>7660.7120828809911</v>
      </c>
      <c r="AH67" s="117">
        <f t="shared" si="30"/>
        <v>7222.524206288962</v>
      </c>
      <c r="AI67" s="117">
        <f t="shared" si="31"/>
        <v>6889.8242256739877</v>
      </c>
      <c r="AJ67" s="117">
        <f t="shared" si="32"/>
        <v>3768.0428008687891</v>
      </c>
      <c r="AK67" s="117">
        <f t="shared" si="33"/>
        <v>3161.5678409960783</v>
      </c>
      <c r="AL67" s="117">
        <f t="shared" si="34"/>
        <v>2924.1163170689929</v>
      </c>
      <c r="AM67" s="117">
        <f t="shared" si="35"/>
        <v>-2269.9613975545135</v>
      </c>
      <c r="AN67" s="117">
        <f t="shared" si="36"/>
        <v>-2419.0711704516184</v>
      </c>
      <c r="AO67" s="117">
        <f t="shared" si="37"/>
        <v>-2430.862232676599</v>
      </c>
      <c r="AP67" s="82">
        <v>0.18461</v>
      </c>
      <c r="AQ67" s="117">
        <f t="shared" si="38"/>
        <v>2924.1163170689929</v>
      </c>
      <c r="AR67" s="117">
        <f t="shared" si="39"/>
        <v>15839.425367363594</v>
      </c>
      <c r="AT67" s="50">
        <v>63</v>
      </c>
      <c r="AU67" s="116" t="s">
        <v>297</v>
      </c>
      <c r="AV67" s="117">
        <f t="shared" si="40"/>
        <v>17517.14196384561</v>
      </c>
      <c r="AW67" s="117">
        <f t="shared" si="41"/>
        <v>19952.629609876574</v>
      </c>
    </row>
    <row r="68" spans="1:49" ht="13.95" customHeight="1" x14ac:dyDescent="0.3">
      <c r="A68" s="115" t="s">
        <v>430</v>
      </c>
      <c r="B68" s="116" t="s">
        <v>429</v>
      </c>
      <c r="C68" s="116" t="s">
        <v>427</v>
      </c>
      <c r="D68" s="116" t="s">
        <v>427</v>
      </c>
      <c r="E68" s="52">
        <v>5.0389999999999997E-2</v>
      </c>
      <c r="F68" s="50">
        <v>53.87</v>
      </c>
      <c r="G68" s="50">
        <v>60.52</v>
      </c>
      <c r="H68" s="99">
        <f t="shared" si="21"/>
        <v>5.6610410246890668E-2</v>
      </c>
      <c r="I68" s="30">
        <f t="shared" si="22"/>
        <v>5.0918616129681925E-2</v>
      </c>
      <c r="J68" s="20">
        <f>I68*Assumptions!$D$7</f>
        <v>10613.064923652573</v>
      </c>
      <c r="K68" s="41">
        <v>742814.41441016982</v>
      </c>
      <c r="L68" s="41">
        <v>603798.14285714284</v>
      </c>
      <c r="M68" s="41">
        <v>576794.64285714284</v>
      </c>
      <c r="N68" s="41">
        <v>560041.4615384615</v>
      </c>
      <c r="O68" s="41">
        <v>226311.33333333331</v>
      </c>
      <c r="P68" s="41">
        <v>197993.5</v>
      </c>
      <c r="Q68" s="41">
        <v>181539.63636363641</v>
      </c>
      <c r="R68" s="41">
        <v>324852.5</v>
      </c>
      <c r="S68" s="41">
        <v>306271.1428571429</v>
      </c>
      <c r="T68" s="41">
        <v>292163</v>
      </c>
      <c r="U68" s="41">
        <v>159783.85699999999</v>
      </c>
      <c r="V68" s="41">
        <v>134066.28599999999</v>
      </c>
      <c r="W68" s="41">
        <v>123997.15399999999</v>
      </c>
      <c r="X68" s="41">
        <v>-96257.714285714275</v>
      </c>
      <c r="Y68" s="41">
        <v>-102580.7142857143</v>
      </c>
      <c r="Z68" s="41">
        <v>-103080.7142857143</v>
      </c>
      <c r="AA68" s="117">
        <f t="shared" si="23"/>
        <v>8626.8504846019787</v>
      </c>
      <c r="AB68" s="117">
        <f t="shared" si="24"/>
        <v>8241.0341984527422</v>
      </c>
      <c r="AC68" s="117">
        <f t="shared" si="25"/>
        <v>8001.6707752832108</v>
      </c>
      <c r="AD68" s="117">
        <f t="shared" si="26"/>
        <v>3233.4548536355942</v>
      </c>
      <c r="AE68" s="117">
        <f t="shared" si="27"/>
        <v>2828.8598460084445</v>
      </c>
      <c r="AF68" s="117">
        <f t="shared" si="28"/>
        <v>2593.7729661229559</v>
      </c>
      <c r="AG68" s="117">
        <f t="shared" si="29"/>
        <v>4641.3755659931167</v>
      </c>
      <c r="AH68" s="117">
        <f t="shared" si="30"/>
        <v>4375.8918248310547</v>
      </c>
      <c r="AI68" s="117">
        <f t="shared" si="31"/>
        <v>4174.3197589282736</v>
      </c>
      <c r="AJ68" s="117">
        <f t="shared" si="32"/>
        <v>2282.9342231318465</v>
      </c>
      <c r="AK68" s="117">
        <f t="shared" si="33"/>
        <v>1915.4908275720368</v>
      </c>
      <c r="AL68" s="117">
        <f t="shared" si="34"/>
        <v>1771.6266946638418</v>
      </c>
      <c r="AM68" s="117">
        <f t="shared" si="35"/>
        <v>-1375.2955668312875</v>
      </c>
      <c r="AN68" s="117">
        <f t="shared" si="36"/>
        <v>-1465.6363144129577</v>
      </c>
      <c r="AO68" s="117">
        <f t="shared" si="37"/>
        <v>-1472.7801344020193</v>
      </c>
      <c r="AP68" s="82">
        <v>0.18461</v>
      </c>
      <c r="AQ68" s="117">
        <f t="shared" si="38"/>
        <v>1771.6266946638418</v>
      </c>
      <c r="AR68" s="117">
        <f t="shared" si="39"/>
        <v>9596.5911633380747</v>
      </c>
      <c r="AT68" s="50">
        <v>63</v>
      </c>
      <c r="AU68" s="116" t="s">
        <v>297</v>
      </c>
      <c r="AV68" s="117">
        <f t="shared" si="40"/>
        <v>10613.064923652573</v>
      </c>
      <c r="AW68" s="117">
        <f t="shared" si="41"/>
        <v>11047.969104264906</v>
      </c>
    </row>
    <row r="69" spans="1:49" ht="13.95" customHeight="1" x14ac:dyDescent="0.3">
      <c r="A69" s="115" t="s">
        <v>431</v>
      </c>
      <c r="B69" s="116" t="s">
        <v>432</v>
      </c>
      <c r="C69" s="116" t="s">
        <v>427</v>
      </c>
      <c r="D69" s="116" t="s">
        <v>427</v>
      </c>
      <c r="E69" s="52">
        <v>1.7579999999999998E-2</v>
      </c>
      <c r="F69" s="50">
        <v>60.9</v>
      </c>
      <c r="G69" s="50">
        <v>64.05</v>
      </c>
      <c r="H69" s="99">
        <f t="shared" si="21"/>
        <v>1.8489310344827582E-2</v>
      </c>
      <c r="I69" s="30">
        <f t="shared" si="22"/>
        <v>1.6630335159998982E-2</v>
      </c>
      <c r="J69" s="20">
        <f>I69*Assumptions!$D$7</f>
        <v>3466.2926876420952</v>
      </c>
      <c r="K69" s="41">
        <v>54626.928416429997</v>
      </c>
      <c r="L69" s="41">
        <v>26514.1</v>
      </c>
      <c r="M69" s="41">
        <v>27631.8</v>
      </c>
      <c r="N69" s="41">
        <v>27316.444444444442</v>
      </c>
      <c r="O69" s="41">
        <v>10905</v>
      </c>
      <c r="P69" s="41">
        <v>13060.1</v>
      </c>
      <c r="Q69" s="41">
        <v>13365.222222222221</v>
      </c>
      <c r="R69" s="41">
        <v>17826.166666666672</v>
      </c>
      <c r="S69" s="41">
        <v>20450.599999999999</v>
      </c>
      <c r="T69" s="41">
        <v>20080.666666666672</v>
      </c>
      <c r="U69" s="41">
        <v>7814.3</v>
      </c>
      <c r="V69" s="41">
        <v>7794.3639999999996</v>
      </c>
      <c r="W69" s="41">
        <v>7817.4549999999999</v>
      </c>
      <c r="X69" s="41">
        <v>-5500</v>
      </c>
      <c r="Y69" s="41">
        <v>-3260</v>
      </c>
      <c r="Z69" s="41">
        <v>-5061</v>
      </c>
      <c r="AA69" s="117">
        <f t="shared" si="23"/>
        <v>1682.4235521499513</v>
      </c>
      <c r="AB69" s="117">
        <f t="shared" si="24"/>
        <v>1753.3459973484685</v>
      </c>
      <c r="AC69" s="117">
        <f t="shared" si="25"/>
        <v>1733.3354514891707</v>
      </c>
      <c r="AD69" s="117">
        <f t="shared" si="26"/>
        <v>691.96498603366592</v>
      </c>
      <c r="AE69" s="117">
        <f t="shared" si="27"/>
        <v>828.71452673986971</v>
      </c>
      <c r="AF69" s="117">
        <f t="shared" si="28"/>
        <v>848.0757274953545</v>
      </c>
      <c r="AG69" s="117">
        <f t="shared" si="29"/>
        <v>1131.1401346660984</v>
      </c>
      <c r="AH69" s="117">
        <f t="shared" si="30"/>
        <v>1297.6707146611725</v>
      </c>
      <c r="AI69" s="117">
        <f t="shared" si="31"/>
        <v>1274.1969949148743</v>
      </c>
      <c r="AJ69" s="117">
        <f t="shared" si="32"/>
        <v>495.84795876780146</v>
      </c>
      <c r="AK69" s="117">
        <f t="shared" si="33"/>
        <v>494.58294143982653</v>
      </c>
      <c r="AL69" s="117">
        <f t="shared" si="34"/>
        <v>496.04815588205514</v>
      </c>
      <c r="AM69" s="117">
        <f t="shared" si="35"/>
        <v>-348.99655416645231</v>
      </c>
      <c r="AN69" s="117">
        <f t="shared" si="36"/>
        <v>-206.85977574229716</v>
      </c>
      <c r="AO69" s="117">
        <f t="shared" si="37"/>
        <v>-321.14028375207545</v>
      </c>
      <c r="AP69" s="82">
        <v>0.27792</v>
      </c>
      <c r="AQ69" s="117">
        <f t="shared" si="38"/>
        <v>496.04815588205514</v>
      </c>
      <c r="AR69" s="117">
        <f t="shared" si="39"/>
        <v>1784.8595131046889</v>
      </c>
      <c r="AT69" s="50">
        <v>78</v>
      </c>
      <c r="AU69" s="116" t="s">
        <v>297</v>
      </c>
      <c r="AV69" s="117">
        <f t="shared" si="40"/>
        <v>3466.2926876420952</v>
      </c>
      <c r="AW69" s="117">
        <f t="shared" si="41"/>
        <v>4221.2463643416622</v>
      </c>
    </row>
    <row r="70" spans="1:49" ht="13.95" customHeight="1" x14ac:dyDescent="0.3">
      <c r="A70" s="115" t="s">
        <v>433</v>
      </c>
      <c r="B70" s="116" t="s">
        <v>434</v>
      </c>
      <c r="C70" s="116" t="s">
        <v>427</v>
      </c>
      <c r="D70" s="116" t="s">
        <v>427</v>
      </c>
      <c r="E70" s="52">
        <v>1.6990000000000002E-2</v>
      </c>
      <c r="F70" s="50">
        <v>37.159999999999997</v>
      </c>
      <c r="G70" s="50">
        <v>38.5</v>
      </c>
      <c r="H70" s="99">
        <f t="shared" ref="H70:H101" si="42">E70*G70/F70</f>
        <v>1.7602664155005388E-2</v>
      </c>
      <c r="I70" s="30">
        <f t="shared" ref="I70:I101" si="43">H70/SUM($H$6:$H$81)</f>
        <v>1.5832835251669293E-2</v>
      </c>
      <c r="J70" s="20">
        <f>I70*Assumptions!$D$7</f>
        <v>3300.0682505491141</v>
      </c>
      <c r="K70" s="41">
        <v>45006.060626600003</v>
      </c>
      <c r="L70" s="41">
        <v>221191.64285714281</v>
      </c>
      <c r="M70" s="41">
        <v>215452.57142857139</v>
      </c>
      <c r="N70" s="41">
        <v>216420.46153846159</v>
      </c>
      <c r="O70" s="41">
        <v>11578.777777777779</v>
      </c>
      <c r="P70" s="41">
        <v>7133.1111111111104</v>
      </c>
      <c r="Q70" s="41">
        <v>7570.7777777777774</v>
      </c>
      <c r="R70" s="41">
        <v>13223</v>
      </c>
      <c r="S70" s="41">
        <v>8845.3333333333339</v>
      </c>
      <c r="T70" s="41">
        <v>9329.75</v>
      </c>
      <c r="U70" s="41">
        <v>6856.0709999999999</v>
      </c>
      <c r="V70" s="41">
        <v>4105.0709999999999</v>
      </c>
      <c r="W70" s="41">
        <v>4567.308</v>
      </c>
      <c r="X70" s="41">
        <v>-1588.666666666667</v>
      </c>
      <c r="Y70" s="41">
        <v>-1503</v>
      </c>
      <c r="Z70" s="41">
        <v>-1594</v>
      </c>
      <c r="AA70" s="117">
        <f t="shared" ref="AA70:AA81" si="44">IF(ISNUMBER(L70),$J70*L70/$K70,0)</f>
        <v>16218.871585668923</v>
      </c>
      <c r="AB70" s="117">
        <f t="shared" ref="AB70:AB81" si="45">IF(ISNUMBER(M70),$J70*M70/$K70,0)</f>
        <v>15798.054319163524</v>
      </c>
      <c r="AC70" s="117">
        <f t="shared" ref="AC70:AC81" si="46">IF(ISNUMBER(N70),$J70*N70/$K70,0)</f>
        <v>15869.024836849345</v>
      </c>
      <c r="AD70" s="117">
        <f t="shared" ref="AD70:AD81" si="47">IF(ISNUMBER(O70),$J70*O70/$K70,0)</f>
        <v>849.0135860063325</v>
      </c>
      <c r="AE70" s="117">
        <f t="shared" ref="AE70:AE81" si="48">IF(ISNUMBER(P70),$J70*P70/$K70,0)</f>
        <v>523.03519076504449</v>
      </c>
      <c r="AF70" s="117">
        <f t="shared" ref="AF70:AF81" si="49">IF(ISNUMBER(Q70),$J70*Q70/$K70,0)</f>
        <v>555.12708796470042</v>
      </c>
      <c r="AG70" s="117">
        <f t="shared" ref="AG70:AG81" si="50">IF(ISNUMBER(R70),$J70*R70/$K70,0)</f>
        <v>969.576138623877</v>
      </c>
      <c r="AH70" s="117">
        <f t="shared" ref="AH70:AH81" si="51">IF(ISNUMBER(S70),$J70*S70/$K70,0)</f>
        <v>648.58384165275652</v>
      </c>
      <c r="AI70" s="117">
        <f t="shared" ref="AI70:AI81" si="52">IF(ISNUMBER(T70),$J70*T70/$K70,0)</f>
        <v>684.10368141315257</v>
      </c>
      <c r="AJ70" s="117">
        <f t="shared" ref="AJ70:AJ81" si="53">IF(ISNUMBER(U70),$J70*U70/$K70,0)</f>
        <v>502.72123166536664</v>
      </c>
      <c r="AK70" s="117">
        <f t="shared" ref="AK70:AK81" si="54">IF(ISNUMBER(V70),$J70*V70/$K70,0)</f>
        <v>301.00422664727046</v>
      </c>
      <c r="AL70" s="117">
        <f t="shared" ref="AL70:AL81" si="55">IF(ISNUMBER(W70),$J70*W70/$K70,0)</f>
        <v>334.89774291355536</v>
      </c>
      <c r="AM70" s="117">
        <f t="shared" ref="AM70:AM81" si="56">IF(ISNUMBER(X70),$J70*X70/$K70,0)</f>
        <v>-116.48894291969545</v>
      </c>
      <c r="AN70" s="117">
        <f t="shared" ref="AN70:AN81" si="57">IF(ISNUMBER(Y70),$J70*Y70/$K70,0)</f>
        <v>-110.20743676561196</v>
      </c>
      <c r="AO70" s="117">
        <f t="shared" ref="AO70:AO81" si="58">IF(ISNUMBER(Z70),$J70*Z70/$K70,0)</f>
        <v>-116.88000945068895</v>
      </c>
      <c r="AP70" s="82">
        <v>0.17702999999999999</v>
      </c>
      <c r="AQ70" s="117">
        <f t="shared" ref="AQ70:AQ101" si="59">IF(AND(ISNUMBER(AP70),N(AP70)&gt;0),AL70,0)</f>
        <v>334.89774291355536</v>
      </c>
      <c r="AR70" s="117">
        <f t="shared" ref="AR70:AR101" si="60">IF(AQ70&lt;&gt;0,AQ70/AP70,0)</f>
        <v>1891.7570067985955</v>
      </c>
      <c r="AT70" s="50">
        <v>39</v>
      </c>
      <c r="AU70" s="116" t="s">
        <v>297</v>
      </c>
      <c r="AV70" s="117">
        <f t="shared" ref="AV70:AV81" si="61">IF(ISNUMBER(AT70),J70,0)</f>
        <v>3300.0682505491141</v>
      </c>
      <c r="AW70" s="117">
        <f t="shared" ref="AW70:AW81" si="62">IF(ISNUMBER(AT70),J70*AT70/G70,0)</f>
        <v>3342.9262797770243</v>
      </c>
    </row>
    <row r="71" spans="1:49" ht="13.95" customHeight="1" x14ac:dyDescent="0.3">
      <c r="A71" s="115" t="s">
        <v>435</v>
      </c>
      <c r="B71" s="116" t="s">
        <v>436</v>
      </c>
      <c r="C71" s="116" t="s">
        <v>427</v>
      </c>
      <c r="D71" s="116" t="s">
        <v>427</v>
      </c>
      <c r="E71" s="52">
        <v>1.54E-2</v>
      </c>
      <c r="F71" s="50">
        <v>37.65</v>
      </c>
      <c r="G71" s="50">
        <v>38.93</v>
      </c>
      <c r="H71" s="99">
        <f t="shared" si="42"/>
        <v>1.5923559096945553E-2</v>
      </c>
      <c r="I71" s="30">
        <f t="shared" si="43"/>
        <v>1.4322552858026827E-2</v>
      </c>
      <c r="J71" s="20">
        <f>I71*Assumptions!$D$7</f>
        <v>2985.2771915000194</v>
      </c>
      <c r="K71" s="41">
        <v>43216.865581289989</v>
      </c>
      <c r="L71" s="41">
        <v>163149.23076923081</v>
      </c>
      <c r="M71" s="41">
        <v>160150.46153846159</v>
      </c>
      <c r="N71" s="41">
        <v>161947.27272727271</v>
      </c>
      <c r="O71" s="41">
        <v>8992.7999999999993</v>
      </c>
      <c r="P71" s="41">
        <v>6362.1</v>
      </c>
      <c r="Q71" s="41">
        <v>6883.333333333333</v>
      </c>
      <c r="R71" s="41">
        <v>11213.72727272727</v>
      </c>
      <c r="S71" s="41">
        <v>8694.545454545454</v>
      </c>
      <c r="T71" s="41">
        <v>9270.4</v>
      </c>
      <c r="U71" s="41">
        <v>5020.2730000000001</v>
      </c>
      <c r="V71" s="41">
        <v>3493.364</v>
      </c>
      <c r="W71" s="41">
        <v>3939.2</v>
      </c>
      <c r="X71" s="41">
        <v>-2424.5714285714289</v>
      </c>
      <c r="Y71" s="41">
        <v>-2483.2857142857142</v>
      </c>
      <c r="Z71" s="41">
        <v>-2376.7142857142858</v>
      </c>
      <c r="AA71" s="117">
        <f t="shared" si="44"/>
        <v>11269.805685237296</v>
      </c>
      <c r="AB71" s="117">
        <f t="shared" si="45"/>
        <v>11062.660690643723</v>
      </c>
      <c r="AC71" s="117">
        <f t="shared" si="46"/>
        <v>11186.778425404018</v>
      </c>
      <c r="AD71" s="117">
        <f t="shared" si="47"/>
        <v>621.19268407433719</v>
      </c>
      <c r="AE71" s="117">
        <f t="shared" si="48"/>
        <v>439.47268652136614</v>
      </c>
      <c r="AF71" s="117">
        <f t="shared" si="49"/>
        <v>475.47774983449966</v>
      </c>
      <c r="AG71" s="117">
        <f t="shared" si="50"/>
        <v>774.60694589260868</v>
      </c>
      <c r="AH71" s="117">
        <f t="shared" si="51"/>
        <v>600.59025305971659</v>
      </c>
      <c r="AI71" s="117">
        <f t="shared" si="52"/>
        <v>640.36836785458775</v>
      </c>
      <c r="AJ71" s="117">
        <f t="shared" si="53"/>
        <v>346.78374473533557</v>
      </c>
      <c r="AK71" s="117">
        <f t="shared" si="54"/>
        <v>241.30995458685427</v>
      </c>
      <c r="AL71" s="117">
        <f t="shared" si="55"/>
        <v>272.10682113531152</v>
      </c>
      <c r="AM71" s="117">
        <f t="shared" si="56"/>
        <v>-167.48132210704523</v>
      </c>
      <c r="AN71" s="117">
        <f t="shared" si="57"/>
        <v>-171.53710948543289</v>
      </c>
      <c r="AO71" s="117">
        <f t="shared" si="58"/>
        <v>-164.17551001030586</v>
      </c>
      <c r="AP71" s="82">
        <v>0.19763</v>
      </c>
      <c r="AQ71" s="117">
        <f t="shared" si="59"/>
        <v>272.10682113531152</v>
      </c>
      <c r="AR71" s="117">
        <f t="shared" si="60"/>
        <v>1376.8497755164274</v>
      </c>
      <c r="AT71" s="50">
        <v>34</v>
      </c>
      <c r="AU71" s="116" t="s">
        <v>297</v>
      </c>
      <c r="AV71" s="117">
        <f t="shared" si="61"/>
        <v>2985.2771915000194</v>
      </c>
      <c r="AW71" s="117">
        <f t="shared" si="62"/>
        <v>2607.2289882096238</v>
      </c>
    </row>
    <row r="72" spans="1:49" ht="13.95" customHeight="1" x14ac:dyDescent="0.3">
      <c r="A72" s="115" t="s">
        <v>437</v>
      </c>
      <c r="B72" s="116" t="s">
        <v>438</v>
      </c>
      <c r="C72" s="116" t="s">
        <v>427</v>
      </c>
      <c r="D72" s="116" t="s">
        <v>427</v>
      </c>
      <c r="E72" s="52">
        <v>1.1560000000000001E-2</v>
      </c>
      <c r="F72" s="50">
        <v>24.27</v>
      </c>
      <c r="G72" s="50">
        <v>25.85</v>
      </c>
      <c r="H72" s="99">
        <f t="shared" si="42"/>
        <v>1.2312566955088589E-2</v>
      </c>
      <c r="I72" s="30">
        <f t="shared" si="43"/>
        <v>1.1074621569123802E-2</v>
      </c>
      <c r="J72" s="20">
        <f>I72*Assumptions!$D$7</f>
        <v>2308.3046369258868</v>
      </c>
      <c r="K72" s="41">
        <v>47327.830392279997</v>
      </c>
      <c r="L72" s="41">
        <v>71120.538461538468</v>
      </c>
      <c r="M72" s="41">
        <v>73508.307692307688</v>
      </c>
      <c r="N72" s="41">
        <v>75563.399999999994</v>
      </c>
      <c r="O72" s="41">
        <v>8593.75</v>
      </c>
      <c r="P72" s="41">
        <v>8796.4166666666661</v>
      </c>
      <c r="Q72" s="41">
        <v>8362.181818181818</v>
      </c>
      <c r="R72" s="41">
        <v>12889</v>
      </c>
      <c r="S72" s="41">
        <v>13312.30769230769</v>
      </c>
      <c r="T72" s="41">
        <v>13170</v>
      </c>
      <c r="U72" s="41">
        <v>5373.0770000000002</v>
      </c>
      <c r="V72" s="41">
        <v>5819.5379999999996</v>
      </c>
      <c r="W72" s="41">
        <v>5690.7</v>
      </c>
      <c r="X72" s="41">
        <v>-4696.2</v>
      </c>
      <c r="Y72" s="41">
        <v>-4223.2857142857138</v>
      </c>
      <c r="Z72" s="41">
        <v>-4169.1666666666661</v>
      </c>
      <c r="AA72" s="117">
        <f t="shared" si="44"/>
        <v>3468.7385276425807</v>
      </c>
      <c r="AB72" s="117">
        <f t="shared" si="45"/>
        <v>3585.1964075329001</v>
      </c>
      <c r="AC72" s="117">
        <f t="shared" si="46"/>
        <v>3685.4287457541491</v>
      </c>
      <c r="AD72" s="117">
        <f t="shared" si="47"/>
        <v>419.1401297959689</v>
      </c>
      <c r="AE72" s="117">
        <f t="shared" si="48"/>
        <v>429.02472417816324</v>
      </c>
      <c r="AF72" s="117">
        <f t="shared" si="49"/>
        <v>407.84593136293449</v>
      </c>
      <c r="AG72" s="117">
        <f t="shared" si="50"/>
        <v>628.63093910577379</v>
      </c>
      <c r="AH72" s="117">
        <f t="shared" si="51"/>
        <v>649.27678534257109</v>
      </c>
      <c r="AI72" s="117">
        <f t="shared" si="52"/>
        <v>642.3360592771387</v>
      </c>
      <c r="AJ72" s="117">
        <f t="shared" si="53"/>
        <v>262.05930951956191</v>
      </c>
      <c r="AK72" s="117">
        <f t="shared" si="54"/>
        <v>283.83440438371758</v>
      </c>
      <c r="AL72" s="117">
        <f t="shared" si="55"/>
        <v>277.5506311714816</v>
      </c>
      <c r="AM72" s="117">
        <f t="shared" si="56"/>
        <v>-229.04621120556558</v>
      </c>
      <c r="AN72" s="117">
        <f t="shared" si="57"/>
        <v>-205.98091897613676</v>
      </c>
      <c r="AO72" s="117">
        <f t="shared" si="58"/>
        <v>-203.34138854489524</v>
      </c>
      <c r="AP72" s="82">
        <v>9.8830000000000015E-2</v>
      </c>
      <c r="AQ72" s="117">
        <f t="shared" si="59"/>
        <v>277.5506311714816</v>
      </c>
      <c r="AR72" s="117">
        <f t="shared" si="60"/>
        <v>2808.3641725334569</v>
      </c>
      <c r="AT72" s="50">
        <v>30</v>
      </c>
      <c r="AU72" s="116" t="s">
        <v>297</v>
      </c>
      <c r="AV72" s="117">
        <f t="shared" si="61"/>
        <v>2308.3046369258868</v>
      </c>
      <c r="AW72" s="117">
        <f t="shared" si="62"/>
        <v>2678.8835244787851</v>
      </c>
    </row>
    <row r="73" spans="1:49" ht="13.95" customHeight="1" x14ac:dyDescent="0.3">
      <c r="A73" s="115" t="s">
        <v>439</v>
      </c>
      <c r="B73" s="116" t="s">
        <v>440</v>
      </c>
      <c r="C73" s="116" t="s">
        <v>427</v>
      </c>
      <c r="D73" s="116" t="s">
        <v>427</v>
      </c>
      <c r="E73" s="52">
        <v>1.03E-2</v>
      </c>
      <c r="F73" s="50">
        <v>44.2</v>
      </c>
      <c r="G73" s="50">
        <v>41.99</v>
      </c>
      <c r="H73" s="99">
        <f t="shared" si="42"/>
        <v>9.7850000000000003E-3</v>
      </c>
      <c r="I73" s="30">
        <f t="shared" si="43"/>
        <v>8.8011843873946043E-3</v>
      </c>
      <c r="J73" s="20">
        <f>I73*Assumptions!$D$7</f>
        <v>1834.4477601386814</v>
      </c>
      <c r="K73" s="41">
        <v>53320.481000699998</v>
      </c>
      <c r="L73" s="41">
        <v>54433.533333333333</v>
      </c>
      <c r="M73" s="41">
        <v>62460.066666666673</v>
      </c>
      <c r="N73" s="41">
        <v>63804.153846153837</v>
      </c>
      <c r="O73" s="41">
        <v>11374.9375</v>
      </c>
      <c r="P73" s="41">
        <v>13838.625</v>
      </c>
      <c r="Q73" s="41">
        <v>14174.066666666669</v>
      </c>
      <c r="R73" s="41">
        <v>22602.875</v>
      </c>
      <c r="S73" s="41">
        <v>25683.625</v>
      </c>
      <c r="T73" s="41">
        <v>26069.571428571431</v>
      </c>
      <c r="U73" s="41">
        <v>9407.2139999999999</v>
      </c>
      <c r="V73" s="41">
        <v>6888.4000000000005</v>
      </c>
      <c r="W73" s="41">
        <v>7008</v>
      </c>
      <c r="X73" s="41">
        <v>-14489.72727272727</v>
      </c>
      <c r="Y73" s="41">
        <v>-10735.90909090909</v>
      </c>
      <c r="Z73" s="41">
        <v>-10806.4</v>
      </c>
      <c r="AA73" s="117">
        <f t="shared" si="44"/>
        <v>1872.7414199143602</v>
      </c>
      <c r="AB73" s="117">
        <f t="shared" si="45"/>
        <v>2148.8877677843002</v>
      </c>
      <c r="AC73" s="117">
        <f t="shared" si="46"/>
        <v>2195.1299934650656</v>
      </c>
      <c r="AD73" s="117">
        <f t="shared" si="47"/>
        <v>391.34546851365712</v>
      </c>
      <c r="AE73" s="117">
        <f t="shared" si="48"/>
        <v>476.10663216477519</v>
      </c>
      <c r="AF73" s="117">
        <f t="shared" si="49"/>
        <v>487.64722974613949</v>
      </c>
      <c r="AG73" s="117">
        <f t="shared" si="50"/>
        <v>777.63352164621801</v>
      </c>
      <c r="AH73" s="117">
        <f t="shared" si="51"/>
        <v>883.62421848507529</v>
      </c>
      <c r="AI73" s="117">
        <f t="shared" si="52"/>
        <v>896.90239130232897</v>
      </c>
      <c r="AJ73" s="117">
        <f t="shared" si="53"/>
        <v>323.64754269974969</v>
      </c>
      <c r="AK73" s="117">
        <f t="shared" si="54"/>
        <v>236.98979667444112</v>
      </c>
      <c r="AL73" s="117">
        <f t="shared" si="55"/>
        <v>241.10453735184996</v>
      </c>
      <c r="AM73" s="117">
        <f t="shared" si="56"/>
        <v>-498.50727603387435</v>
      </c>
      <c r="AN73" s="117">
        <f t="shared" si="57"/>
        <v>-369.36021609805312</v>
      </c>
      <c r="AO73" s="117">
        <f t="shared" si="58"/>
        <v>-371.78539846447364</v>
      </c>
      <c r="AP73" s="82">
        <v>0.10178</v>
      </c>
      <c r="AQ73" s="117">
        <f t="shared" si="59"/>
        <v>241.10453735184996</v>
      </c>
      <c r="AR73" s="117">
        <f t="shared" si="60"/>
        <v>2368.8793215941241</v>
      </c>
      <c r="AT73" s="50">
        <v>60</v>
      </c>
      <c r="AU73" s="116" t="s">
        <v>297</v>
      </c>
      <c r="AV73" s="117">
        <f t="shared" si="61"/>
        <v>1834.4477601386814</v>
      </c>
      <c r="AW73" s="117">
        <f t="shared" si="62"/>
        <v>2621.2637677618686</v>
      </c>
    </row>
    <row r="74" spans="1:49" ht="13.95" customHeight="1" x14ac:dyDescent="0.3">
      <c r="A74" s="115" t="s">
        <v>441</v>
      </c>
      <c r="B74" s="116" t="s">
        <v>442</v>
      </c>
      <c r="C74" s="116" t="s">
        <v>427</v>
      </c>
      <c r="D74" s="116" t="s">
        <v>427</v>
      </c>
      <c r="E74" s="52">
        <v>5.45E-3</v>
      </c>
      <c r="F74" s="50">
        <v>18.11</v>
      </c>
      <c r="G74" s="50">
        <v>18.47</v>
      </c>
      <c r="H74" s="99">
        <f t="shared" si="42"/>
        <v>5.5583379348426278E-3</v>
      </c>
      <c r="I74" s="30">
        <f t="shared" si="43"/>
        <v>4.9994846246295454E-3</v>
      </c>
      <c r="J74" s="20">
        <f>I74*Assumptions!$D$7</f>
        <v>1042.0521793220155</v>
      </c>
      <c r="K74" s="41">
        <v>23199.922219775799</v>
      </c>
      <c r="L74" s="41">
        <v>21123.928571428569</v>
      </c>
      <c r="M74" s="41">
        <v>22132.78571428571</v>
      </c>
      <c r="N74" s="41">
        <v>22840.75</v>
      </c>
      <c r="O74" s="41">
        <v>3463.636363636364</v>
      </c>
      <c r="P74" s="41">
        <v>4265.6363636363631</v>
      </c>
      <c r="Q74" s="41">
        <v>4616.454545454545</v>
      </c>
      <c r="R74" s="41">
        <v>7594.3571428571422</v>
      </c>
      <c r="S74" s="41">
        <v>8069.0714285714284</v>
      </c>
      <c r="T74" s="41">
        <v>8357</v>
      </c>
      <c r="U74" s="41">
        <v>1009.727</v>
      </c>
      <c r="V74" s="41">
        <v>1680.5830000000001</v>
      </c>
      <c r="W74" s="41">
        <v>1980.5450000000001</v>
      </c>
      <c r="X74" s="41">
        <v>-3249.5</v>
      </c>
      <c r="Y74" s="41">
        <v>-2873</v>
      </c>
      <c r="Z74" s="41">
        <v>-2698.4285714285711</v>
      </c>
      <c r="AA74" s="117">
        <f t="shared" si="44"/>
        <v>948.80644836543127</v>
      </c>
      <c r="AB74" s="117">
        <f t="shared" si="45"/>
        <v>994.12047029964049</v>
      </c>
      <c r="AC74" s="117">
        <f t="shared" si="46"/>
        <v>1025.9195306508807</v>
      </c>
      <c r="AD74" s="117">
        <f t="shared" si="47"/>
        <v>155.57335869124884</v>
      </c>
      <c r="AE74" s="117">
        <f t="shared" si="48"/>
        <v>191.59614531524343</v>
      </c>
      <c r="AF74" s="117">
        <f t="shared" si="49"/>
        <v>207.35356240683214</v>
      </c>
      <c r="AG74" s="117">
        <f t="shared" si="50"/>
        <v>341.10960960542724</v>
      </c>
      <c r="AH74" s="117">
        <f t="shared" si="51"/>
        <v>362.43196798653423</v>
      </c>
      <c r="AI74" s="117">
        <f t="shared" si="52"/>
        <v>375.36462321287217</v>
      </c>
      <c r="AJ74" s="117">
        <f t="shared" si="53"/>
        <v>45.353092605344472</v>
      </c>
      <c r="AK74" s="117">
        <f t="shared" si="54"/>
        <v>75.485390041038457</v>
      </c>
      <c r="AL74" s="117">
        <f t="shared" si="55"/>
        <v>88.958541065111632</v>
      </c>
      <c r="AM74" s="117">
        <f t="shared" si="56"/>
        <v>-145.95516849709563</v>
      </c>
      <c r="AN74" s="117">
        <f t="shared" si="57"/>
        <v>-129.04422190864923</v>
      </c>
      <c r="AO74" s="117">
        <f t="shared" si="58"/>
        <v>-121.20313796591294</v>
      </c>
      <c r="AP74" s="82">
        <v>0.30386999999999997</v>
      </c>
      <c r="AQ74" s="117">
        <f t="shared" si="59"/>
        <v>88.958541065111632</v>
      </c>
      <c r="AR74" s="117">
        <f t="shared" si="60"/>
        <v>292.75196980653448</v>
      </c>
      <c r="AT74" s="50">
        <v>24</v>
      </c>
      <c r="AU74" s="116" t="s">
        <v>297</v>
      </c>
      <c r="AV74" s="117">
        <f t="shared" si="61"/>
        <v>1042.0521793220155</v>
      </c>
      <c r="AW74" s="117">
        <f t="shared" si="62"/>
        <v>1354.0472281390564</v>
      </c>
    </row>
    <row r="75" spans="1:49" ht="13.95" customHeight="1" x14ac:dyDescent="0.3">
      <c r="A75" s="115" t="s">
        <v>443</v>
      </c>
      <c r="B75" s="116" t="s">
        <v>444</v>
      </c>
      <c r="C75" s="116" t="s">
        <v>427</v>
      </c>
      <c r="D75" s="116" t="s">
        <v>427</v>
      </c>
      <c r="E75" s="52">
        <v>3.47E-3</v>
      </c>
      <c r="F75" s="50">
        <v>10.94</v>
      </c>
      <c r="G75" s="50">
        <v>11.77</v>
      </c>
      <c r="H75" s="99">
        <f t="shared" si="42"/>
        <v>3.7332632541133459E-3</v>
      </c>
      <c r="I75" s="30">
        <f t="shared" si="43"/>
        <v>3.3579088672597191E-3</v>
      </c>
      <c r="J75" s="20">
        <f>I75*Assumptions!$D$7</f>
        <v>699.8953923879684</v>
      </c>
      <c r="K75" s="41">
        <v>14527.91584475166</v>
      </c>
      <c r="L75" s="41">
        <v>1924</v>
      </c>
      <c r="M75" s="41">
        <v>1671</v>
      </c>
      <c r="O75" s="41">
        <v>1701</v>
      </c>
      <c r="P75" s="41">
        <v>1945</v>
      </c>
      <c r="Q75" s="41">
        <v>1725</v>
      </c>
      <c r="R75" s="41">
        <v>1925</v>
      </c>
      <c r="S75" s="41">
        <v>1672</v>
      </c>
      <c r="U75" s="41">
        <v>1932</v>
      </c>
      <c r="V75" s="41">
        <v>1686</v>
      </c>
      <c r="AA75" s="117">
        <f t="shared" si="44"/>
        <v>92.690427818035715</v>
      </c>
      <c r="AB75" s="117">
        <f t="shared" si="45"/>
        <v>80.501925615352235</v>
      </c>
      <c r="AC75" s="117">
        <f t="shared" si="46"/>
        <v>0</v>
      </c>
      <c r="AD75" s="117">
        <f t="shared" si="47"/>
        <v>81.947202556381896</v>
      </c>
      <c r="AE75" s="117">
        <f t="shared" si="48"/>
        <v>93.702121676756491</v>
      </c>
      <c r="AF75" s="117">
        <f t="shared" si="49"/>
        <v>83.103424109205619</v>
      </c>
      <c r="AG75" s="117">
        <f t="shared" si="50"/>
        <v>92.738603716070031</v>
      </c>
      <c r="AH75" s="117">
        <f t="shared" si="51"/>
        <v>80.550101513386551</v>
      </c>
      <c r="AI75" s="117">
        <f t="shared" si="52"/>
        <v>0</v>
      </c>
      <c r="AJ75" s="117">
        <f t="shared" si="53"/>
        <v>93.075835002310299</v>
      </c>
      <c r="AK75" s="117">
        <f t="shared" si="54"/>
        <v>81.224564085867058</v>
      </c>
      <c r="AL75" s="117">
        <f t="shared" si="55"/>
        <v>0</v>
      </c>
      <c r="AM75" s="117">
        <f t="shared" si="56"/>
        <v>0</v>
      </c>
      <c r="AN75" s="117">
        <f t="shared" si="57"/>
        <v>0</v>
      </c>
      <c r="AO75" s="117">
        <f t="shared" si="58"/>
        <v>0</v>
      </c>
      <c r="AQ75" s="117">
        <f t="shared" si="59"/>
        <v>0</v>
      </c>
      <c r="AR75" s="117">
        <f t="shared" si="60"/>
        <v>0</v>
      </c>
      <c r="AS75" s="111" t="s">
        <v>445</v>
      </c>
      <c r="AT75" s="50">
        <v>9.9749999999999996</v>
      </c>
      <c r="AU75" s="116" t="s">
        <v>297</v>
      </c>
      <c r="AV75" s="117">
        <f t="shared" si="61"/>
        <v>699.8953923879684</v>
      </c>
      <c r="AW75" s="117">
        <f t="shared" si="62"/>
        <v>593.15688522259859</v>
      </c>
    </row>
    <row r="76" spans="1:49" ht="13.95" customHeight="1" x14ac:dyDescent="0.3">
      <c r="A76" s="115" t="s">
        <v>446</v>
      </c>
      <c r="B76" s="116" t="s">
        <v>447</v>
      </c>
      <c r="C76" s="116" t="s">
        <v>427</v>
      </c>
      <c r="D76" s="116" t="s">
        <v>427</v>
      </c>
      <c r="E76" s="52">
        <v>3.46E-3</v>
      </c>
      <c r="F76" s="50">
        <v>3.96</v>
      </c>
      <c r="G76" s="50">
        <v>5.12</v>
      </c>
      <c r="H76" s="99">
        <f t="shared" si="42"/>
        <v>4.4735353535353536E-3</v>
      </c>
      <c r="I76" s="30">
        <f t="shared" si="43"/>
        <v>4.023751610627813E-3</v>
      </c>
      <c r="J76" s="20">
        <f>I76*Assumptions!$D$7</f>
        <v>838.67827380624749</v>
      </c>
      <c r="K76" s="41">
        <v>20031.183206599999</v>
      </c>
      <c r="L76" s="41">
        <v>39894.199999999997</v>
      </c>
      <c r="M76" s="41">
        <v>46724</v>
      </c>
      <c r="N76" s="41">
        <v>52061.25</v>
      </c>
      <c r="O76" s="41">
        <v>12235.4</v>
      </c>
      <c r="P76" s="41">
        <v>13142.6</v>
      </c>
      <c r="Q76" s="41">
        <v>14606</v>
      </c>
      <c r="R76" s="41">
        <v>17435.857142857141</v>
      </c>
      <c r="S76" s="41">
        <v>17310.555555555558</v>
      </c>
      <c r="T76" s="41">
        <v>20075.666666666672</v>
      </c>
      <c r="U76" s="41">
        <v>-856.55000000000007</v>
      </c>
      <c r="V76" s="41">
        <v>2196.857</v>
      </c>
      <c r="W76" s="41">
        <v>3607.1669999999999</v>
      </c>
      <c r="X76" s="41">
        <v>-11294.66666666667</v>
      </c>
      <c r="Y76" s="41">
        <v>-10044</v>
      </c>
      <c r="Z76" s="41">
        <v>-11243.33333333333</v>
      </c>
      <c r="AA76" s="117">
        <f t="shared" si="44"/>
        <v>1670.3156496445561</v>
      </c>
      <c r="AB76" s="117">
        <f t="shared" si="45"/>
        <v>1956.2700446178201</v>
      </c>
      <c r="AC76" s="117">
        <f t="shared" si="46"/>
        <v>2179.7334102465434</v>
      </c>
      <c r="AD76" s="117">
        <f t="shared" si="47"/>
        <v>512.27948172067624</v>
      </c>
      <c r="AE76" s="117">
        <f t="shared" si="48"/>
        <v>550.26270628358373</v>
      </c>
      <c r="AF76" s="117">
        <f t="shared" si="49"/>
        <v>611.53326495351166</v>
      </c>
      <c r="AG76" s="117">
        <f t="shared" si="50"/>
        <v>730.01551731031327</v>
      </c>
      <c r="AH76" s="117">
        <f t="shared" si="51"/>
        <v>724.76931103984953</v>
      </c>
      <c r="AI76" s="117">
        <f t="shared" si="52"/>
        <v>840.54073550493308</v>
      </c>
      <c r="AJ76" s="117">
        <f t="shared" si="53"/>
        <v>-35.862578262079317</v>
      </c>
      <c r="AK76" s="117">
        <f t="shared" si="54"/>
        <v>91.979401194439049</v>
      </c>
      <c r="AL76" s="117">
        <f t="shared" si="55"/>
        <v>151.02715409712198</v>
      </c>
      <c r="AM76" s="117">
        <f t="shared" si="56"/>
        <v>-472.89226230509826</v>
      </c>
      <c r="AN76" s="117">
        <f t="shared" si="57"/>
        <v>-420.52855766076078</v>
      </c>
      <c r="AO76" s="117">
        <f t="shared" si="58"/>
        <v>-470.74300577118868</v>
      </c>
      <c r="AP76" s="82">
        <v>0.21346999999999999</v>
      </c>
      <c r="AQ76" s="117">
        <f t="shared" si="59"/>
        <v>151.02715409712198</v>
      </c>
      <c r="AR76" s="117">
        <f t="shared" si="60"/>
        <v>707.48655125835944</v>
      </c>
      <c r="AT76" s="50">
        <v>4.5999999999999996</v>
      </c>
      <c r="AU76" s="116" t="s">
        <v>297</v>
      </c>
      <c r="AV76" s="117">
        <f t="shared" si="61"/>
        <v>838.67827380624749</v>
      </c>
      <c r="AW76" s="117">
        <f t="shared" si="62"/>
        <v>753.50001162280046</v>
      </c>
    </row>
    <row r="77" spans="1:49" ht="13.95" customHeight="1" x14ac:dyDescent="0.3">
      <c r="A77" s="115" t="s">
        <v>448</v>
      </c>
      <c r="B77" s="116" t="s">
        <v>449</v>
      </c>
      <c r="C77" s="116" t="s">
        <v>427</v>
      </c>
      <c r="D77" s="116" t="s">
        <v>427</v>
      </c>
      <c r="E77" s="52">
        <v>3.0200000000000001E-3</v>
      </c>
      <c r="F77" s="50">
        <v>5.01</v>
      </c>
      <c r="G77" s="50">
        <v>5.04</v>
      </c>
      <c r="H77" s="99">
        <f t="shared" si="42"/>
        <v>3.0380838323353296E-3</v>
      </c>
      <c r="I77" s="30">
        <f t="shared" si="43"/>
        <v>2.7326250375825922E-3</v>
      </c>
      <c r="J77" s="20">
        <f>I77*Assumptions!$D$7</f>
        <v>569.56628322341192</v>
      </c>
      <c r="K77" s="41">
        <v>26997.261353860002</v>
      </c>
      <c r="L77" s="41">
        <v>14636.2</v>
      </c>
      <c r="M77" s="41">
        <v>14279.4</v>
      </c>
      <c r="N77" s="41">
        <v>16155.25</v>
      </c>
      <c r="O77" s="41">
        <v>3309</v>
      </c>
      <c r="P77" s="41">
        <v>3156.2</v>
      </c>
      <c r="Q77" s="41">
        <v>4810.7777777777774</v>
      </c>
      <c r="R77" s="41">
        <v>4729.818181818182</v>
      </c>
      <c r="S77" s="41">
        <v>4618.272727272727</v>
      </c>
      <c r="T77" s="41">
        <v>5805.1111111111104</v>
      </c>
      <c r="U77" s="41">
        <v>1535.0909999999999</v>
      </c>
      <c r="V77" s="41">
        <v>1364.7</v>
      </c>
      <c r="W77" s="41">
        <v>1844</v>
      </c>
      <c r="X77" s="41">
        <v>-2891.2857142857142</v>
      </c>
      <c r="Y77" s="41">
        <v>-3586.1428571428569</v>
      </c>
      <c r="Z77" s="41">
        <v>-4009.5</v>
      </c>
      <c r="AA77" s="117">
        <f t="shared" si="44"/>
        <v>308.78265484964089</v>
      </c>
      <c r="AB77" s="117">
        <f t="shared" si="45"/>
        <v>301.25517837006612</v>
      </c>
      <c r="AC77" s="117">
        <f t="shared" si="46"/>
        <v>340.83033743455684</v>
      </c>
      <c r="AD77" s="117">
        <f t="shared" si="47"/>
        <v>69.810593248074071</v>
      </c>
      <c r="AE77" s="117">
        <f t="shared" si="48"/>
        <v>66.586943006821201</v>
      </c>
      <c r="AF77" s="117">
        <f t="shared" si="49"/>
        <v>101.4938805232149</v>
      </c>
      <c r="AG77" s="117">
        <f t="shared" si="50"/>
        <v>99.785860751965657</v>
      </c>
      <c r="AH77" s="117">
        <f t="shared" si="51"/>
        <v>97.432565389032959</v>
      </c>
      <c r="AI77" s="117">
        <f t="shared" si="52"/>
        <v>122.47151723712693</v>
      </c>
      <c r="AJ77" s="117">
        <f t="shared" si="53"/>
        <v>32.386102568685182</v>
      </c>
      <c r="AK77" s="117">
        <f t="shared" si="54"/>
        <v>28.791331703126829</v>
      </c>
      <c r="AL77" s="117">
        <f t="shared" si="55"/>
        <v>38.903213644438978</v>
      </c>
      <c r="AM77" s="117">
        <f t="shared" si="56"/>
        <v>-60.997996664843541</v>
      </c>
      <c r="AN77" s="117">
        <f t="shared" si="57"/>
        <v>-75.657528053637407</v>
      </c>
      <c r="AO77" s="117">
        <f t="shared" si="58"/>
        <v>-84.589173051723478</v>
      </c>
      <c r="AP77" s="82">
        <v>0.33770000000000011</v>
      </c>
      <c r="AQ77" s="117">
        <f t="shared" si="59"/>
        <v>38.903213644438978</v>
      </c>
      <c r="AR77" s="117">
        <f t="shared" si="60"/>
        <v>115.20051419733184</v>
      </c>
      <c r="AT77" s="50">
        <v>6.5</v>
      </c>
      <c r="AU77" s="116" t="s">
        <v>297</v>
      </c>
      <c r="AV77" s="117">
        <f t="shared" si="61"/>
        <v>569.56628322341192</v>
      </c>
      <c r="AW77" s="117">
        <f t="shared" si="62"/>
        <v>734.55969066511454</v>
      </c>
    </row>
    <row r="78" spans="1:49" ht="13.95" customHeight="1" x14ac:dyDescent="0.3">
      <c r="A78" s="115" t="s">
        <v>450</v>
      </c>
      <c r="B78" s="116" t="s">
        <v>451</v>
      </c>
      <c r="C78" s="116" t="s">
        <v>427</v>
      </c>
      <c r="D78" s="116" t="s">
        <v>427</v>
      </c>
      <c r="E78" s="52">
        <v>1.9400000000000001E-3</v>
      </c>
      <c r="F78" s="50">
        <v>20.23</v>
      </c>
      <c r="G78" s="50">
        <v>21.15</v>
      </c>
      <c r="H78" s="99">
        <f t="shared" si="42"/>
        <v>2.0282254078101826E-3</v>
      </c>
      <c r="I78" s="30">
        <f t="shared" si="43"/>
        <v>1.8243010519505398E-3</v>
      </c>
      <c r="J78" s="20">
        <f>I78*Assumptions!$D$7</f>
        <v>380.24257091607075</v>
      </c>
      <c r="K78" s="41">
        <v>7940.74808734</v>
      </c>
      <c r="L78" s="41">
        <v>1719.5</v>
      </c>
      <c r="M78" s="41">
        <v>5737</v>
      </c>
      <c r="N78" s="41">
        <v>1656</v>
      </c>
      <c r="O78" s="41">
        <v>1082</v>
      </c>
      <c r="P78" s="41">
        <v>5669.5</v>
      </c>
      <c r="Q78" s="41">
        <v>9389</v>
      </c>
      <c r="R78" s="41">
        <v>1082</v>
      </c>
      <c r="S78" s="41">
        <v>5669.5</v>
      </c>
      <c r="T78" s="41">
        <v>1548</v>
      </c>
      <c r="U78" s="41">
        <v>1660</v>
      </c>
      <c r="V78" s="41">
        <v>1663.5</v>
      </c>
      <c r="W78" s="41">
        <v>1533</v>
      </c>
      <c r="AA78" s="117">
        <f t="shared" si="44"/>
        <v>82.338224748948477</v>
      </c>
      <c r="AB78" s="117">
        <f t="shared" si="45"/>
        <v>274.71613572824509</v>
      </c>
      <c r="AC78" s="117">
        <f t="shared" si="46"/>
        <v>79.297528458423187</v>
      </c>
      <c r="AD78" s="117">
        <f t="shared" si="47"/>
        <v>51.811549391312731</v>
      </c>
      <c r="AE78" s="117">
        <f t="shared" si="48"/>
        <v>271.48389951390715</v>
      </c>
      <c r="AF78" s="117">
        <f t="shared" si="49"/>
        <v>449.59208616916385</v>
      </c>
      <c r="AG78" s="117">
        <f t="shared" si="50"/>
        <v>51.811549391312731</v>
      </c>
      <c r="AH78" s="117">
        <f t="shared" si="51"/>
        <v>271.48389951390715</v>
      </c>
      <c r="AI78" s="117">
        <f t="shared" si="52"/>
        <v>74.125950515482543</v>
      </c>
      <c r="AJ78" s="117">
        <f t="shared" si="53"/>
        <v>79.4890683822358</v>
      </c>
      <c r="AK78" s="117">
        <f t="shared" si="54"/>
        <v>79.656665815571841</v>
      </c>
      <c r="AL78" s="117">
        <f t="shared" si="55"/>
        <v>73.407675801185235</v>
      </c>
      <c r="AM78" s="117">
        <f t="shared" si="56"/>
        <v>0</v>
      </c>
      <c r="AN78" s="117">
        <f t="shared" si="57"/>
        <v>0</v>
      </c>
      <c r="AO78" s="117">
        <f t="shared" si="58"/>
        <v>0</v>
      </c>
      <c r="AP78" s="82">
        <v>0.158</v>
      </c>
      <c r="AQ78" s="117">
        <f t="shared" si="59"/>
        <v>73.407675801185235</v>
      </c>
      <c r="AR78" s="117">
        <f t="shared" si="60"/>
        <v>464.60554304547617</v>
      </c>
      <c r="AS78" s="111" t="s">
        <v>308</v>
      </c>
      <c r="AT78" s="50">
        <v>24</v>
      </c>
      <c r="AU78" s="116" t="s">
        <v>297</v>
      </c>
      <c r="AV78" s="117">
        <f t="shared" si="61"/>
        <v>380.24257091607075</v>
      </c>
      <c r="AW78" s="117">
        <f t="shared" si="62"/>
        <v>431.48093153596687</v>
      </c>
    </row>
    <row r="79" spans="1:49" ht="13.95" customHeight="1" x14ac:dyDescent="0.3">
      <c r="A79" s="115" t="s">
        <v>452</v>
      </c>
      <c r="B79" s="116" t="s">
        <v>453</v>
      </c>
      <c r="C79" s="116" t="s">
        <v>427</v>
      </c>
      <c r="D79" s="116" t="s">
        <v>427</v>
      </c>
      <c r="E79" s="52">
        <v>1.9300000000000001E-3</v>
      </c>
      <c r="F79" s="50">
        <v>18.12</v>
      </c>
      <c r="G79" s="50">
        <v>19.100000000000001</v>
      </c>
      <c r="H79" s="99">
        <f t="shared" si="42"/>
        <v>2.0343818984547464E-3</v>
      </c>
      <c r="I79" s="30">
        <f t="shared" si="43"/>
        <v>1.8298385490728777E-3</v>
      </c>
      <c r="J79" s="20">
        <f>I79*Assumptions!$D$7</f>
        <v>381.39676207327415</v>
      </c>
      <c r="K79" s="41">
        <v>9240.0440605200001</v>
      </c>
      <c r="L79" s="41">
        <v>13491.1</v>
      </c>
      <c r="M79" s="41">
        <v>13712.18181818182</v>
      </c>
      <c r="N79" s="41">
        <v>13075.33333333333</v>
      </c>
      <c r="O79" s="41">
        <v>4110.3</v>
      </c>
      <c r="P79" s="41">
        <v>4262.2727272727279</v>
      </c>
      <c r="Q79" s="41">
        <v>3471.8</v>
      </c>
      <c r="R79" s="41">
        <v>6799.4</v>
      </c>
      <c r="S79" s="41">
        <v>7196.727272727273</v>
      </c>
      <c r="T79" s="41">
        <v>6561.8888888888896</v>
      </c>
      <c r="U79" s="41">
        <v>911</v>
      </c>
      <c r="V79" s="41">
        <v>1804.5450000000001</v>
      </c>
      <c r="W79" s="41">
        <v>1734.778</v>
      </c>
      <c r="X79" s="41">
        <v>-3101.166666666667</v>
      </c>
      <c r="Y79" s="41">
        <v>-2098</v>
      </c>
      <c r="Z79" s="41">
        <v>-2040.666666666667</v>
      </c>
      <c r="AA79" s="117">
        <f t="shared" si="44"/>
        <v>556.86551093319986</v>
      </c>
      <c r="AB79" s="117">
        <f t="shared" si="45"/>
        <v>565.99099659707167</v>
      </c>
      <c r="AC79" s="117">
        <f t="shared" si="46"/>
        <v>539.70411436343693</v>
      </c>
      <c r="AD79" s="117">
        <f t="shared" si="47"/>
        <v>169.6588350533857</v>
      </c>
      <c r="AE79" s="117">
        <f t="shared" si="48"/>
        <v>175.93173870250544</v>
      </c>
      <c r="AF79" s="117">
        <f t="shared" si="49"/>
        <v>143.30378403969161</v>
      </c>
      <c r="AG79" s="117">
        <f t="shared" si="50"/>
        <v>280.65549547770001</v>
      </c>
      <c r="AH79" s="117">
        <f t="shared" si="51"/>
        <v>297.05577823707239</v>
      </c>
      <c r="AI79" s="117">
        <f t="shared" si="52"/>
        <v>270.85186595592643</v>
      </c>
      <c r="AJ79" s="117">
        <f t="shared" si="53"/>
        <v>37.602899723532182</v>
      </c>
      <c r="AK79" s="117">
        <f t="shared" si="54"/>
        <v>74.48531798199933</v>
      </c>
      <c r="AL79" s="117">
        <f t="shared" si="55"/>
        <v>71.60557977671759</v>
      </c>
      <c r="AM79" s="117">
        <f t="shared" si="56"/>
        <v>-128.00533391067756</v>
      </c>
      <c r="AN79" s="117">
        <f t="shared" si="57"/>
        <v>-86.598115938496747</v>
      </c>
      <c r="AO79" s="117">
        <f t="shared" si="58"/>
        <v>-84.231596087619508</v>
      </c>
      <c r="AP79" s="82">
        <v>0.10748000000000001</v>
      </c>
      <c r="AQ79" s="117">
        <f t="shared" si="59"/>
        <v>71.60557977671759</v>
      </c>
      <c r="AR79" s="117">
        <f t="shared" si="60"/>
        <v>666.22236487455882</v>
      </c>
      <c r="AT79" s="50">
        <v>25</v>
      </c>
      <c r="AU79" s="116" t="s">
        <v>297</v>
      </c>
      <c r="AV79" s="117">
        <f t="shared" si="61"/>
        <v>381.39676207327415</v>
      </c>
      <c r="AW79" s="117">
        <f t="shared" si="62"/>
        <v>499.21042156187713</v>
      </c>
    </row>
    <row r="80" spans="1:49" ht="13.95" customHeight="1" x14ac:dyDescent="0.3">
      <c r="A80" s="115" t="s">
        <v>454</v>
      </c>
      <c r="B80" s="116" t="s">
        <v>455</v>
      </c>
      <c r="C80" s="116" t="s">
        <v>427</v>
      </c>
      <c r="D80" s="116" t="s">
        <v>427</v>
      </c>
      <c r="E80" s="52">
        <v>1.6100000000000001E-3</v>
      </c>
      <c r="F80" s="50">
        <v>5.77</v>
      </c>
      <c r="G80" s="50">
        <v>6.42</v>
      </c>
      <c r="H80" s="99">
        <f t="shared" si="42"/>
        <v>1.7913691507798963E-3</v>
      </c>
      <c r="I80" s="30">
        <f t="shared" si="43"/>
        <v>1.6112590906391777E-3</v>
      </c>
      <c r="J80" s="20">
        <f>I80*Assumptions!$D$7</f>
        <v>335.83782587937787</v>
      </c>
      <c r="K80" s="41">
        <v>8420.6965634499993</v>
      </c>
      <c r="L80" s="41">
        <v>45041.333333333343</v>
      </c>
      <c r="M80" s="41">
        <v>43164.800000000003</v>
      </c>
      <c r="N80" s="41">
        <v>45946.5</v>
      </c>
      <c r="O80" s="41">
        <v>5127.1111111111104</v>
      </c>
      <c r="P80" s="41">
        <v>5876.8888888888896</v>
      </c>
      <c r="Q80" s="41">
        <v>7499.25</v>
      </c>
      <c r="R80" s="41">
        <v>10237.6</v>
      </c>
      <c r="S80" s="41">
        <v>11015.2</v>
      </c>
      <c r="T80" s="41">
        <v>12622.625</v>
      </c>
      <c r="U80" s="41">
        <v>-504.44400000000002</v>
      </c>
      <c r="V80" s="41">
        <v>310.10000000000002</v>
      </c>
      <c r="W80" s="41">
        <v>803.46299999999997</v>
      </c>
      <c r="X80" s="41">
        <v>-5019</v>
      </c>
      <c r="Y80" s="41">
        <v>-5630</v>
      </c>
      <c r="Z80" s="41">
        <v>-6095.75</v>
      </c>
      <c r="AA80" s="117">
        <f t="shared" si="44"/>
        <v>1796.3577415949055</v>
      </c>
      <c r="AB80" s="117">
        <f t="shared" si="45"/>
        <v>1721.5170357093282</v>
      </c>
      <c r="AC80" s="117">
        <f t="shared" si="46"/>
        <v>1832.4579861650848</v>
      </c>
      <c r="AD80" s="117">
        <f t="shared" si="47"/>
        <v>204.48164063663819</v>
      </c>
      <c r="AE80" s="117">
        <f t="shared" si="48"/>
        <v>234.38459900643787</v>
      </c>
      <c r="AF80" s="117">
        <f t="shared" si="49"/>
        <v>299.08829949503252</v>
      </c>
      <c r="AG80" s="117">
        <f t="shared" si="50"/>
        <v>408.30034668938163</v>
      </c>
      <c r="AH80" s="117">
        <f t="shared" si="51"/>
        <v>439.3129228386415</v>
      </c>
      <c r="AI80" s="117">
        <f t="shared" si="52"/>
        <v>503.42093494862621</v>
      </c>
      <c r="AJ80" s="117">
        <f t="shared" si="53"/>
        <v>-20.118451598556149</v>
      </c>
      <c r="AK80" s="117">
        <f t="shared" si="54"/>
        <v>12.367540977219001</v>
      </c>
      <c r="AL80" s="117">
        <f t="shared" si="55"/>
        <v>32.044055389162558</v>
      </c>
      <c r="AM80" s="117">
        <f t="shared" si="56"/>
        <v>-200.16990701277706</v>
      </c>
      <c r="AN80" s="117">
        <f t="shared" si="57"/>
        <v>-224.53807062800053</v>
      </c>
      <c r="AO80" s="117">
        <f t="shared" si="58"/>
        <v>-243.11331155073435</v>
      </c>
      <c r="AP80" s="82">
        <v>7.7780000000000002E-2</v>
      </c>
      <c r="AQ80" s="117">
        <f t="shared" si="59"/>
        <v>32.044055389162558</v>
      </c>
      <c r="AR80" s="117">
        <f t="shared" si="60"/>
        <v>411.98322691132114</v>
      </c>
      <c r="AT80" s="50">
        <v>7</v>
      </c>
      <c r="AU80" s="116" t="s">
        <v>297</v>
      </c>
      <c r="AV80" s="117">
        <f t="shared" si="61"/>
        <v>335.83782587937787</v>
      </c>
      <c r="AW80" s="117">
        <f t="shared" si="62"/>
        <v>366.1783148217516</v>
      </c>
    </row>
    <row r="81" spans="1:49" ht="13.95" customHeight="1" x14ac:dyDescent="0.3">
      <c r="A81" s="115" t="s">
        <v>456</v>
      </c>
      <c r="B81" s="116" t="s">
        <v>457</v>
      </c>
      <c r="C81" s="116" t="s">
        <v>427</v>
      </c>
      <c r="D81" s="116" t="s">
        <v>427</v>
      </c>
      <c r="E81" s="52">
        <v>1.39E-3</v>
      </c>
      <c r="F81" s="50">
        <v>7.01</v>
      </c>
      <c r="G81" s="50">
        <v>7.46</v>
      </c>
      <c r="H81" s="99">
        <f t="shared" si="42"/>
        <v>1.4792296718972894E-3</v>
      </c>
      <c r="I81" s="30">
        <f t="shared" si="43"/>
        <v>1.3305031265889897E-3</v>
      </c>
      <c r="J81" s="20">
        <f>I81*Assumptions!$D$7</f>
        <v>277.31932124094618</v>
      </c>
      <c r="K81" s="41">
        <v>8789.3845187400002</v>
      </c>
      <c r="L81" s="41">
        <v>24954.18181818182</v>
      </c>
      <c r="M81" s="41">
        <v>26001</v>
      </c>
      <c r="N81" s="41">
        <v>26984.777777777781</v>
      </c>
      <c r="O81" s="41">
        <v>1569.75</v>
      </c>
      <c r="P81" s="41">
        <v>1984</v>
      </c>
      <c r="Q81" s="41">
        <v>2097</v>
      </c>
      <c r="R81" s="41">
        <v>2644</v>
      </c>
      <c r="S81" s="41">
        <v>3020.4</v>
      </c>
      <c r="T81" s="41">
        <v>3319.5555555555552</v>
      </c>
      <c r="U81" s="41">
        <v>1592.9090000000001</v>
      </c>
      <c r="V81" s="41">
        <v>1416.182</v>
      </c>
      <c r="W81" s="41">
        <v>1598.6669999999999</v>
      </c>
      <c r="X81" s="41">
        <v>-1308.166666666667</v>
      </c>
      <c r="Y81" s="41">
        <v>-1658</v>
      </c>
      <c r="Z81" s="41">
        <v>-2254.666666666667</v>
      </c>
      <c r="AA81" s="117">
        <f t="shared" si="44"/>
        <v>787.34486461327299</v>
      </c>
      <c r="AB81" s="117">
        <f t="shared" si="45"/>
        <v>820.37367419892018</v>
      </c>
      <c r="AC81" s="117">
        <f t="shared" si="46"/>
        <v>851.41345690538549</v>
      </c>
      <c r="AD81" s="117">
        <f t="shared" si="47"/>
        <v>49.528155650696313</v>
      </c>
      <c r="AE81" s="117">
        <f t="shared" si="48"/>
        <v>62.598414276783878</v>
      </c>
      <c r="AF81" s="117">
        <f t="shared" si="49"/>
        <v>66.16374734799183</v>
      </c>
      <c r="AG81" s="117">
        <f t="shared" si="50"/>
        <v>83.422483542246255</v>
      </c>
      <c r="AH81" s="117">
        <f t="shared" si="51"/>
        <v>95.298513347579643</v>
      </c>
      <c r="AI81" s="117">
        <f t="shared" si="52"/>
        <v>104.73735578702929</v>
      </c>
      <c r="AJ81" s="117">
        <f t="shared" si="53"/>
        <v>50.258859620573354</v>
      </c>
      <c r="AK81" s="117">
        <f t="shared" si="54"/>
        <v>44.68283645530461</v>
      </c>
      <c r="AL81" s="117">
        <f t="shared" si="55"/>
        <v>50.440533849104462</v>
      </c>
      <c r="AM81" s="117">
        <f t="shared" si="56"/>
        <v>-41.27477769308441</v>
      </c>
      <c r="AN81" s="117">
        <f t="shared" si="57"/>
        <v>-52.312586124449432</v>
      </c>
      <c r="AO81" s="117">
        <f t="shared" si="58"/>
        <v>-71.138386116963417</v>
      </c>
      <c r="AP81" s="82">
        <v>6.6540000000000002E-2</v>
      </c>
      <c r="AQ81" s="117">
        <f t="shared" si="59"/>
        <v>50.440533849104462</v>
      </c>
      <c r="AR81" s="117">
        <f t="shared" si="60"/>
        <v>758.0482995056276</v>
      </c>
      <c r="AT81" s="50">
        <v>8.5</v>
      </c>
      <c r="AU81" s="116" t="s">
        <v>297</v>
      </c>
      <c r="AV81" s="117">
        <f t="shared" si="61"/>
        <v>277.31932124094618</v>
      </c>
      <c r="AW81" s="117">
        <f t="shared" si="62"/>
        <v>315.98045985898693</v>
      </c>
    </row>
    <row r="83" spans="1:49" ht="13.95" customHeight="1" x14ac:dyDescent="0.3">
      <c r="A83" s="5" t="s">
        <v>458</v>
      </c>
      <c r="E83" s="33">
        <f>SUM(E6:E81)</f>
        <v>1</v>
      </c>
      <c r="I83" s="33">
        <f>SUM(I6:I81)</f>
        <v>1.0000000000000002</v>
      </c>
      <c r="J83" s="22">
        <f>SUM(J6:J81)</f>
        <v>208431.92000000007</v>
      </c>
      <c r="AA83" s="22">
        <f t="shared" ref="AA83:AO83" si="63">SUM(AA6:AA81)</f>
        <v>157931.35826202569</v>
      </c>
      <c r="AB83" s="22">
        <f t="shared" si="63"/>
        <v>162950.69758808613</v>
      </c>
      <c r="AC83" s="22">
        <f t="shared" si="63"/>
        <v>169017.21584550047</v>
      </c>
      <c r="AD83" s="22">
        <f t="shared" si="63"/>
        <v>32221.516902212046</v>
      </c>
      <c r="AE83" s="22">
        <f t="shared" si="63"/>
        <v>34108.457632235986</v>
      </c>
      <c r="AF83" s="22">
        <f t="shared" si="63"/>
        <v>36064.515053416384</v>
      </c>
      <c r="AG83" s="22">
        <f t="shared" si="63"/>
        <v>39428.713365755772</v>
      </c>
      <c r="AH83" s="22">
        <f t="shared" si="63"/>
        <v>43589.989451710273</v>
      </c>
      <c r="AI83" s="22">
        <f t="shared" si="63"/>
        <v>45324.416279524739</v>
      </c>
      <c r="AJ83" s="22">
        <f t="shared" si="63"/>
        <v>20963.306846489082</v>
      </c>
      <c r="AK83" s="22">
        <f t="shared" si="63"/>
        <v>21872.715063664771</v>
      </c>
      <c r="AL83" s="22">
        <f t="shared" si="63"/>
        <v>23383.90911867292</v>
      </c>
      <c r="AM83" s="22">
        <f t="shared" si="63"/>
        <v>-16181.849958835968</v>
      </c>
      <c r="AN83" s="22">
        <f t="shared" si="63"/>
        <v>-16064.941059792678</v>
      </c>
      <c r="AO83" s="22">
        <f t="shared" si="63"/>
        <v>-16367.982300902873</v>
      </c>
      <c r="AQ83" s="22">
        <f>SUM(AQ6:AQ81)</f>
        <v>22482.351210250756</v>
      </c>
      <c r="AR83" s="22">
        <f>SUM(AR6:AR81)</f>
        <v>130587.42697469864</v>
      </c>
      <c r="AV83" s="22">
        <f>SUM(AV6:AV81)</f>
        <v>208431.92000000007</v>
      </c>
      <c r="AW83" s="22">
        <f>SUM(AW6:AW81)</f>
        <v>223936.80772032513</v>
      </c>
    </row>
    <row r="85" spans="1:49" ht="13.95" customHeight="1" x14ac:dyDescent="0.3">
      <c r="A85" s="14" t="s">
        <v>459</v>
      </c>
    </row>
    <row r="86" spans="1:49" ht="13.95" customHeight="1" x14ac:dyDescent="0.3">
      <c r="A86" s="14" t="s">
        <v>460</v>
      </c>
    </row>
  </sheetData>
  <autoFilter ref="A5:AW81" xr:uid="{00000000-0009-0000-0000-00000D000000}"/>
  <mergeCells count="6">
    <mergeCell ref="AT4:AW4"/>
    <mergeCell ref="A4:D4"/>
    <mergeCell ref="E4:K4"/>
    <mergeCell ref="L4:Z4"/>
    <mergeCell ref="AA4:AO4"/>
    <mergeCell ref="AP4:AR4"/>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G94"/>
  <sheetViews>
    <sheetView showGridLines="0" zoomScale="85" zoomScaleNormal="85" workbookViewId="0">
      <pane ySplit="7" topLeftCell="A8" activePane="bottomLeft" state="frozen"/>
      <selection pane="bottomLeft"/>
    </sheetView>
  </sheetViews>
  <sheetFormatPr defaultRowHeight="13.95" customHeight="1" x14ac:dyDescent="0.3"/>
  <cols>
    <col min="1" max="1" width="2.6640625" customWidth="1"/>
    <col min="2" max="2" width="78.6640625" customWidth="1"/>
    <col min="3" max="6" width="15.6640625" customWidth="1"/>
    <col min="7" max="7" width="80.6640625" customWidth="1"/>
  </cols>
  <sheetData>
    <row r="1" spans="2:7" ht="30" customHeight="1" x14ac:dyDescent="0.3">
      <c r="B1" s="15" t="s">
        <v>848</v>
      </c>
    </row>
    <row r="2" spans="2:7" ht="13.95" customHeight="1" x14ac:dyDescent="0.3">
      <c r="B2" s="14" t="s">
        <v>849</v>
      </c>
    </row>
    <row r="5" spans="2:7" ht="13.95" customHeight="1" x14ac:dyDescent="0.3">
      <c r="B5" s="5" t="s">
        <v>850</v>
      </c>
      <c r="C5" s="118" t="str">
        <f>IF(COUNTIF(F8:F68,"CHECK")=0,"All checks OK","Some checks need attention")</f>
        <v>All checks OK</v>
      </c>
    </row>
    <row r="7" spans="2:7" ht="13.95" customHeight="1" x14ac:dyDescent="0.3">
      <c r="B7" s="17" t="s">
        <v>851</v>
      </c>
      <c r="C7" s="18" t="s">
        <v>20</v>
      </c>
      <c r="D7" s="18" t="s">
        <v>852</v>
      </c>
      <c r="E7" s="18" t="s">
        <v>231</v>
      </c>
      <c r="F7" s="18" t="s">
        <v>853</v>
      </c>
      <c r="G7" s="18" t="s">
        <v>854</v>
      </c>
    </row>
    <row r="8" spans="2:7" ht="13.95" customHeight="1" x14ac:dyDescent="0.3">
      <c r="B8" s="119" t="s">
        <v>855</v>
      </c>
      <c r="C8" s="119"/>
      <c r="D8" s="119"/>
      <c r="E8" s="119"/>
      <c r="F8" s="119"/>
      <c r="G8" s="119"/>
    </row>
    <row r="9" spans="2:7" ht="13.95" customHeight="1" x14ac:dyDescent="0.3">
      <c r="B9" s="19" t="s">
        <v>856</v>
      </c>
      <c r="C9" s="89">
        <f>DCF!M35</f>
        <v>3970.3599999999988</v>
      </c>
      <c r="D9" s="89">
        <f>3970.35999999999</f>
        <v>3970.3599999999901</v>
      </c>
      <c r="E9" s="89">
        <f t="shared" ref="E9:E20" si="0">IFERROR(C9-D9,"")</f>
        <v>8.6401996668428183E-12</v>
      </c>
      <c r="F9" s="120" t="str">
        <f t="shared" ref="F9:F19" si="1">IF(ABS(C9-D9)&lt;=0.01,"OK","CHECK")</f>
        <v>OK</v>
      </c>
      <c r="G9" s="14" t="s">
        <v>857</v>
      </c>
    </row>
    <row r="10" spans="2:7" ht="13.95" customHeight="1" x14ac:dyDescent="0.3">
      <c r="B10" s="19" t="s">
        <v>858</v>
      </c>
      <c r="C10" s="89">
        <f>DCF!N35</f>
        <v>15868.960000000003</v>
      </c>
      <c r="D10" s="89">
        <f>15868.96</f>
        <v>15868.96</v>
      </c>
      <c r="E10" s="89">
        <f t="shared" si="0"/>
        <v>3.637978807091713E-12</v>
      </c>
      <c r="F10" s="120" t="str">
        <f t="shared" si="1"/>
        <v>OK</v>
      </c>
      <c r="G10" s="14" t="s">
        <v>857</v>
      </c>
    </row>
    <row r="11" spans="2:7" ht="13.95" customHeight="1" x14ac:dyDescent="0.3">
      <c r="B11" s="19" t="s">
        <v>859</v>
      </c>
      <c r="C11" s="89">
        <f>DCF!O35</f>
        <v>16461.32</v>
      </c>
      <c r="D11" s="89">
        <f>16461.32</f>
        <v>16461.32</v>
      </c>
      <c r="E11" s="89">
        <f t="shared" si="0"/>
        <v>0</v>
      </c>
      <c r="F11" s="120" t="str">
        <f t="shared" si="1"/>
        <v>OK</v>
      </c>
      <c r="G11" s="14" t="s">
        <v>857</v>
      </c>
    </row>
    <row r="12" spans="2:7" ht="13.95" customHeight="1" x14ac:dyDescent="0.3">
      <c r="B12" s="19" t="s">
        <v>860</v>
      </c>
      <c r="C12" s="89">
        <f>DCF!P35</f>
        <v>16980.784319999995</v>
      </c>
      <c r="D12" s="89">
        <f>16980.7843199999</f>
        <v>16980.784319999901</v>
      </c>
      <c r="E12" s="89">
        <f t="shared" si="0"/>
        <v>9.4587448984384537E-11</v>
      </c>
      <c r="F12" s="120" t="str">
        <f t="shared" si="1"/>
        <v>OK</v>
      </c>
      <c r="G12" s="14" t="s">
        <v>857</v>
      </c>
    </row>
    <row r="13" spans="2:7" ht="13.95" customHeight="1" x14ac:dyDescent="0.3">
      <c r="B13" s="19" t="s">
        <v>861</v>
      </c>
      <c r="C13" s="89">
        <f>DCF!Q35</f>
        <v>18141.420645503993</v>
      </c>
      <c r="D13" s="89">
        <f>18141.4206455039</f>
        <v>18141.420645503898</v>
      </c>
      <c r="E13" s="89">
        <f t="shared" si="0"/>
        <v>9.4587448984384537E-11</v>
      </c>
      <c r="F13" s="120" t="str">
        <f t="shared" si="1"/>
        <v>OK</v>
      </c>
      <c r="G13" s="14" t="s">
        <v>857</v>
      </c>
    </row>
    <row r="14" spans="2:7" ht="13.95" customHeight="1" x14ac:dyDescent="0.3">
      <c r="B14" s="19" t="s">
        <v>862</v>
      </c>
      <c r="C14" s="89">
        <f>DCF!R35</f>
        <v>23154.288195284214</v>
      </c>
      <c r="D14" s="89">
        <f>23154.2881952842</f>
        <v>23154.2881952842</v>
      </c>
      <c r="E14" s="89">
        <f t="shared" si="0"/>
        <v>1.4551915228366852E-11</v>
      </c>
      <c r="F14" s="120" t="str">
        <f t="shared" si="1"/>
        <v>OK</v>
      </c>
      <c r="G14" s="14" t="s">
        <v>857</v>
      </c>
    </row>
    <row r="15" spans="2:7" ht="13.95" customHeight="1" x14ac:dyDescent="0.3">
      <c r="B15" s="19" t="s">
        <v>863</v>
      </c>
      <c r="C15" s="89">
        <f>DCF!R35*(1+Checks!$C$92)/(Checks!$C$90+Checks!$C$91-Checks!$C$92)</f>
        <v>278010.77684016712</v>
      </c>
      <c r="D15" s="89">
        <f>278010.776840167</f>
        <v>278010.776840167</v>
      </c>
      <c r="E15" s="89">
        <f t="shared" si="0"/>
        <v>1.1641532182693481E-10</v>
      </c>
      <c r="F15" s="120" t="str">
        <f t="shared" si="1"/>
        <v>OK</v>
      </c>
      <c r="G15" s="14"/>
    </row>
    <row r="16" spans="2:7" ht="13.95" customHeight="1" x14ac:dyDescent="0.3">
      <c r="B16" s="19" t="s">
        <v>864</v>
      </c>
      <c r="C16" s="89">
        <f>NPV((Checks!$C$90+Checks!$C$91),DCF!$M$35:$R$35)+DCF!$R$35*(1+Checks!$C$92)/((Checks!$C$90+Checks!$C$91)-Checks!$C$92)/(1+(Checks!$C$90+Checks!$C$91))^7-0</f>
        <v>173064.08782560608</v>
      </c>
      <c r="D16" s="89">
        <f>173064.087825606</f>
        <v>173064.087825606</v>
      </c>
      <c r="E16" s="89">
        <f t="shared" si="0"/>
        <v>8.7311491370201111E-11</v>
      </c>
      <c r="F16" s="120" t="str">
        <f t="shared" si="1"/>
        <v>OK</v>
      </c>
      <c r="G16" s="14"/>
    </row>
    <row r="17" spans="2:7" ht="13.95" customHeight="1" x14ac:dyDescent="0.3">
      <c r="B17" s="19" t="s">
        <v>865</v>
      </c>
      <c r="C17" s="89">
        <f>NPV((Checks!$C$90+Checks!$C$91),DCF!$O$35:$R$35)+DCF!$R$35*(1+Checks!$C$92)/((Checks!$C$90+Checks!$C$91)-Checks!$C$92)/(1+(Checks!$C$90+Checks!$C$91))^5-0</f>
        <v>202259.16860466625</v>
      </c>
      <c r="D17" s="89">
        <f>202259.168604666</f>
        <v>202259.16860466599</v>
      </c>
      <c r="E17" s="89">
        <f t="shared" si="0"/>
        <v>2.6193447411060333E-10</v>
      </c>
      <c r="F17" s="120" t="str">
        <f t="shared" si="1"/>
        <v>OK</v>
      </c>
      <c r="G17" s="14"/>
    </row>
    <row r="18" spans="2:7" ht="13.95" customHeight="1" x14ac:dyDescent="0.3">
      <c r="B18" s="19" t="s">
        <v>866</v>
      </c>
      <c r="C18" s="89">
        <f>NPV((Checks!$C$90+Checks!$C$91),DCF!$P$35:$R$35)+DCF!$R$35*(1+Checks!$C$92)/((Checks!$C$90+Checks!$C$91)-Checks!$C$92)/(1+(Checks!$C$90+Checks!$C$91))^4-0</f>
        <v>212941.02903141244</v>
      </c>
      <c r="D18" s="89">
        <f>212941.029031412</f>
        <v>212941.02903141201</v>
      </c>
      <c r="E18" s="89">
        <f t="shared" si="0"/>
        <v>4.3655745685100555E-10</v>
      </c>
      <c r="F18" s="120" t="str">
        <f t="shared" si="1"/>
        <v>OK</v>
      </c>
      <c r="G18" s="14"/>
    </row>
    <row r="19" spans="2:7" ht="13.95" customHeight="1" x14ac:dyDescent="0.3">
      <c r="B19" s="19" t="s">
        <v>867</v>
      </c>
      <c r="C19" s="89">
        <f>MAX(MAX(Sensitivity!E7:E14),-MIN(Sensitivity!E7:E14))</f>
        <v>0</v>
      </c>
      <c r="D19" s="89">
        <f>0</f>
        <v>0</v>
      </c>
      <c r="E19" s="89">
        <f t="shared" si="0"/>
        <v>0</v>
      </c>
      <c r="F19" s="120" t="str">
        <f t="shared" si="1"/>
        <v>OK</v>
      </c>
      <c r="G19" s="14"/>
    </row>
    <row r="20" spans="2:7" ht="13.95" customHeight="1" x14ac:dyDescent="0.3">
      <c r="B20" s="19" t="s">
        <v>868</v>
      </c>
      <c r="C20" s="30">
        <f>IRR(Checks!C94:G94)</f>
        <v>0.1737916070343033</v>
      </c>
      <c r="D20" s="30">
        <f>0.173791607034303</f>
        <v>0.17379160703430299</v>
      </c>
      <c r="E20" s="30">
        <f t="shared" si="0"/>
        <v>3.0531133177191805E-16</v>
      </c>
      <c r="F20" s="120" t="str">
        <f>IF(ABS(C20-D20)&lt;=0.000001,"OK","CHECK")</f>
        <v>OK</v>
      </c>
      <c r="G20" s="14" t="s">
        <v>869</v>
      </c>
    </row>
    <row r="21" spans="2:7" ht="13.95" customHeight="1" x14ac:dyDescent="0.3">
      <c r="B21" s="119" t="s">
        <v>870</v>
      </c>
      <c r="C21" s="119"/>
      <c r="D21" s="119"/>
      <c r="E21" s="119"/>
      <c r="F21" s="119"/>
      <c r="G21" s="119"/>
    </row>
    <row r="22" spans="2:7" ht="13.95" customHeight="1" x14ac:dyDescent="0.3">
      <c r="B22" s="19" t="s">
        <v>871</v>
      </c>
      <c r="C22" s="121">
        <f>Members!I83</f>
        <v>1.0000000000000002</v>
      </c>
      <c r="D22" s="121">
        <f>1</f>
        <v>1</v>
      </c>
      <c r="E22" s="121">
        <f t="shared" ref="E22:E49" si="2">IFERROR(C22-D22,"")</f>
        <v>2.2204460492503131E-16</v>
      </c>
      <c r="F22" s="120" t="str">
        <f>IF(ABS(C22-D22)&lt;=0.000000001,"OK","CHECK")</f>
        <v>OK</v>
      </c>
      <c r="G22" s="14"/>
    </row>
    <row r="23" spans="2:7" ht="13.95" customHeight="1" x14ac:dyDescent="0.3">
      <c r="B23" s="19" t="s">
        <v>872</v>
      </c>
      <c r="C23" s="89">
        <f>Members!J83</f>
        <v>208431.92000000007</v>
      </c>
      <c r="D23" s="89">
        <f>Assumptions!$D$7</f>
        <v>208431.92</v>
      </c>
      <c r="E23" s="89">
        <f t="shared" si="2"/>
        <v>5.8207660913467407E-11</v>
      </c>
      <c r="F23" s="120" t="str">
        <f>IF(ABS(C23-D23)&lt;=0.01,"OK","CHECK")</f>
        <v>OK</v>
      </c>
      <c r="G23" s="14"/>
    </row>
    <row r="24" spans="2:7" ht="13.95" customHeight="1" x14ac:dyDescent="0.3">
      <c r="B24" s="19" t="s">
        <v>873</v>
      </c>
      <c r="C24" s="100">
        <f>SUMPRODUCT(ABS('Box Shares'!D23:R23-1))</f>
        <v>1.1102230246251565E-16</v>
      </c>
      <c r="D24" s="100">
        <f>0</f>
        <v>0</v>
      </c>
      <c r="E24" s="100">
        <f t="shared" si="2"/>
        <v>1.1102230246251565E-16</v>
      </c>
      <c r="F24" s="120" t="str">
        <f>IF(ABS(C24-D24)&lt;=0.000000001,"OK","CHECK")</f>
        <v>OK</v>
      </c>
      <c r="G24" s="14"/>
    </row>
    <row r="25" spans="2:7" ht="13.95" customHeight="1" x14ac:dyDescent="0.3">
      <c r="B25" s="19" t="s">
        <v>874</v>
      </c>
      <c r="C25" s="89">
        <f>'Box Shares'!C14+'Box Shares'!C15</f>
        <v>26271.074646272005</v>
      </c>
      <c r="D25" s="89">
        <f>'Box Shares'!C9</f>
        <v>26271.074646272005</v>
      </c>
      <c r="E25" s="89">
        <f t="shared" si="2"/>
        <v>0</v>
      </c>
      <c r="F25" s="120" t="str">
        <f t="shared" ref="F25:F31" si="3">IF(ABS(C25-D25)&lt;=0.01,"OK","CHECK")</f>
        <v>OK</v>
      </c>
      <c r="G25" s="14"/>
    </row>
    <row r="26" spans="2:7" ht="13.95" customHeight="1" x14ac:dyDescent="0.3">
      <c r="B26" s="19" t="s">
        <v>875</v>
      </c>
      <c r="C26" s="89">
        <f>SUMPRODUCT(ABS('DCF by Box'!E35:H35+'DCF by Box'!E89:H89+'DCF by Box'!E136:H136+'DCF by Box'!E183:H183-DCF!P37:S37))</f>
        <v>2.9103830456733704E-11</v>
      </c>
      <c r="D26" s="89">
        <f>0</f>
        <v>0</v>
      </c>
      <c r="E26" s="89">
        <f t="shared" si="2"/>
        <v>2.9103830456733704E-11</v>
      </c>
      <c r="F26" s="120" t="str">
        <f t="shared" si="3"/>
        <v>OK</v>
      </c>
      <c r="G26" s="14"/>
    </row>
    <row r="27" spans="2:7" ht="13.95" customHeight="1" x14ac:dyDescent="0.3">
      <c r="B27" s="19" t="s">
        <v>876</v>
      </c>
      <c r="C27" s="89">
        <f>'DCF by Box'!C12</f>
        <v>191722.24091712025</v>
      </c>
      <c r="D27" s="89">
        <f>'DCF by Box'!C8</f>
        <v>191722.24091712022</v>
      </c>
      <c r="E27" s="89">
        <f t="shared" si="2"/>
        <v>2.9103830456733704E-11</v>
      </c>
      <c r="F27" s="120" t="str">
        <f t="shared" si="3"/>
        <v>OK</v>
      </c>
      <c r="G27" s="14"/>
    </row>
    <row r="28" spans="2:7" ht="13.95" customHeight="1" x14ac:dyDescent="0.3">
      <c r="B28" s="19" t="s">
        <v>877</v>
      </c>
      <c r="C28" s="89">
        <f>'DCF by Box'!D12</f>
        <v>235695.43773555561</v>
      </c>
      <c r="D28" s="89">
        <f>'DCF by Box'!D8</f>
        <v>235695.43773555552</v>
      </c>
      <c r="E28" s="89">
        <f t="shared" si="2"/>
        <v>8.7311491370201111E-11</v>
      </c>
      <c r="F28" s="120" t="str">
        <f t="shared" si="3"/>
        <v>OK</v>
      </c>
      <c r="G28" s="14"/>
    </row>
    <row r="29" spans="2:7" ht="13.95" customHeight="1" x14ac:dyDescent="0.3">
      <c r="B29" s="19" t="s">
        <v>878</v>
      </c>
      <c r="C29" s="89">
        <f>'DCF by Box'!E12</f>
        <v>281862.98380960274</v>
      </c>
      <c r="D29" s="89">
        <f>'DCF by Box'!E8</f>
        <v>281862.98380960268</v>
      </c>
      <c r="E29" s="89">
        <f t="shared" si="2"/>
        <v>5.8207660913467407E-11</v>
      </c>
      <c r="F29" s="120" t="str">
        <f t="shared" si="3"/>
        <v>OK</v>
      </c>
      <c r="G29" s="14"/>
    </row>
    <row r="30" spans="2:7" ht="13.95" customHeight="1" x14ac:dyDescent="0.3">
      <c r="B30" s="19" t="s">
        <v>879</v>
      </c>
      <c r="C30" s="89">
        <f>'DCF by Box'!D255+'DCF by Box'!D302</f>
        <v>12539.859391789698</v>
      </c>
      <c r="D30" s="89">
        <f>'DCF by Box'!D161</f>
        <v>12539.859391789703</v>
      </c>
      <c r="E30" s="89">
        <f t="shared" si="2"/>
        <v>-5.4569682106375694E-12</v>
      </c>
      <c r="F30" s="120" t="str">
        <f t="shared" si="3"/>
        <v>OK</v>
      </c>
      <c r="G30" s="14" t="s">
        <v>880</v>
      </c>
    </row>
    <row r="31" spans="2:7" ht="13.95" customHeight="1" x14ac:dyDescent="0.3">
      <c r="B31" s="19" t="s">
        <v>881</v>
      </c>
      <c r="C31" s="89">
        <f>'DCF by Box'!D11</f>
        <v>223818.5163752322</v>
      </c>
      <c r="D31" s="89">
        <f>IF(ScaleBox=1,'DCF by Box'!D8,'DCF by Box'!D7)</f>
        <v>223818.5163752322</v>
      </c>
      <c r="E31" s="89">
        <f t="shared" si="2"/>
        <v>0</v>
      </c>
      <c r="F31" s="120" t="str">
        <f t="shared" si="3"/>
        <v>OK</v>
      </c>
      <c r="G31" s="14"/>
    </row>
    <row r="32" spans="2:7" ht="13.95" customHeight="1" x14ac:dyDescent="0.3">
      <c r="B32" s="19" t="s">
        <v>882</v>
      </c>
      <c r="C32" s="29">
        <f>'DCF by Box'!D9</f>
        <v>1.0530649633134537</v>
      </c>
      <c r="D32" s="29">
        <f>1</f>
        <v>1</v>
      </c>
      <c r="E32" s="29">
        <f t="shared" si="2"/>
        <v>5.3064963313453672E-2</v>
      </c>
      <c r="F32" s="122" t="str">
        <f>"Info"</f>
        <v>Info</v>
      </c>
      <c r="G32" s="14" t="s">
        <v>883</v>
      </c>
    </row>
    <row r="33" spans="2:7" ht="13.95" customHeight="1" x14ac:dyDescent="0.3">
      <c r="B33" s="19" t="s">
        <v>884</v>
      </c>
      <c r="C33" s="21">
        <f>'DCF by Box'!D58/'DCF by Box'!D53-1</f>
        <v>0.21617070717507714</v>
      </c>
      <c r="D33" s="21">
        <f>0</f>
        <v>0</v>
      </c>
      <c r="E33" s="21">
        <f t="shared" si="2"/>
        <v>0.21617070717507714</v>
      </c>
      <c r="F33" s="122" t="str">
        <f>"Info"</f>
        <v>Info</v>
      </c>
      <c r="G33" s="14" t="s">
        <v>885</v>
      </c>
    </row>
    <row r="34" spans="2:7" ht="13.95" customHeight="1" x14ac:dyDescent="0.3">
      <c r="B34" s="19" t="s">
        <v>886</v>
      </c>
      <c r="C34" s="21">
        <f>'DCF by Box'!C15</f>
        <v>-0.25924308115710915</v>
      </c>
      <c r="D34" s="21">
        <f>0</f>
        <v>0</v>
      </c>
      <c r="E34" s="21">
        <f t="shared" si="2"/>
        <v>-0.25924308115710915</v>
      </c>
      <c r="F34" s="122" t="str">
        <f>"Info"</f>
        <v>Info</v>
      </c>
      <c r="G34" s="14" t="s">
        <v>887</v>
      </c>
    </row>
    <row r="35" spans="2:7" ht="13.95" customHeight="1" x14ac:dyDescent="0.3">
      <c r="B35" s="19" t="s">
        <v>888</v>
      </c>
      <c r="C35" s="21">
        <f>'DCF by Box'!E15</f>
        <v>0.160620363686093</v>
      </c>
      <c r="D35" s="21">
        <f>0</f>
        <v>0</v>
      </c>
      <c r="E35" s="21">
        <f t="shared" si="2"/>
        <v>0.160620363686093</v>
      </c>
      <c r="F35" s="122" t="str">
        <f>"Info"</f>
        <v>Info</v>
      </c>
      <c r="G35" s="14" t="s">
        <v>885</v>
      </c>
    </row>
    <row r="36" spans="2:7" ht="13.95" customHeight="1" x14ac:dyDescent="0.3">
      <c r="B36" s="19" t="s">
        <v>889</v>
      </c>
      <c r="C36" s="40">
        <f>ABS(Assumptions!D61)+ABS(Assumptions!D62)</f>
        <v>0</v>
      </c>
      <c r="D36" s="40">
        <f>0</f>
        <v>0</v>
      </c>
      <c r="E36" s="40">
        <f t="shared" si="2"/>
        <v>0</v>
      </c>
      <c r="F36" s="122" t="str">
        <f>"Info"</f>
        <v>Info</v>
      </c>
      <c r="G36" s="14" t="s">
        <v>885</v>
      </c>
    </row>
    <row r="37" spans="2:7" ht="13.95" customHeight="1" x14ac:dyDescent="0.3">
      <c r="B37" s="19" t="s">
        <v>890</v>
      </c>
      <c r="C37" s="67">
        <f>MAX(FadeYears-10,0)</f>
        <v>0</v>
      </c>
      <c r="D37" s="67">
        <f>0</f>
        <v>0</v>
      </c>
      <c r="E37" s="67">
        <f t="shared" si="2"/>
        <v>0</v>
      </c>
      <c r="F37" s="120" t="str">
        <f>IF(ABS(C37-D37)&lt;=0,"OK","CHECK")</f>
        <v>OK</v>
      </c>
      <c r="G37" s="14"/>
    </row>
    <row r="38" spans="2:7" ht="13.95" customHeight="1" x14ac:dyDescent="0.3">
      <c r="B38" s="19" t="s">
        <v>891</v>
      </c>
      <c r="C38" s="67">
        <f>FadeMode</f>
        <v>0</v>
      </c>
      <c r="D38" s="67">
        <f>0</f>
        <v>0</v>
      </c>
      <c r="E38" s="67">
        <f t="shared" si="2"/>
        <v>0</v>
      </c>
      <c r="F38" s="122" t="str">
        <f>"Info"</f>
        <v>Info</v>
      </c>
      <c r="G38" s="14" t="s">
        <v>885</v>
      </c>
    </row>
    <row r="39" spans="2:7" ht="13.95" customHeight="1" x14ac:dyDescent="0.3">
      <c r="B39" s="19" t="s">
        <v>892</v>
      </c>
      <c r="C39" s="21">
        <f>'Box Fade'!I10</f>
        <v>0</v>
      </c>
      <c r="D39" s="21">
        <f>0</f>
        <v>0</v>
      </c>
      <c r="E39" s="21">
        <f t="shared" si="2"/>
        <v>0</v>
      </c>
      <c r="F39" s="122" t="str">
        <f>"Info"</f>
        <v>Info</v>
      </c>
      <c r="G39" s="14" t="s">
        <v>893</v>
      </c>
    </row>
    <row r="40" spans="2:7" ht="13.95" customHeight="1" x14ac:dyDescent="0.3">
      <c r="B40" s="19" t="s">
        <v>894</v>
      </c>
      <c r="C40" s="67">
        <f>'Box Earnings'!C7</f>
        <v>228</v>
      </c>
      <c r="D40" s="67">
        <f>228</f>
        <v>228</v>
      </c>
      <c r="E40" s="67">
        <f t="shared" si="2"/>
        <v>0</v>
      </c>
      <c r="F40" s="122" t="str">
        <f>"Info"</f>
        <v>Info</v>
      </c>
      <c r="G40" s="14" t="s">
        <v>895</v>
      </c>
    </row>
    <row r="41" spans="2:7" ht="13.95" customHeight="1" x14ac:dyDescent="0.3">
      <c r="B41" s="19" t="s">
        <v>896</v>
      </c>
      <c r="C41" s="31">
        <f>'Box Earnings'!G11</f>
        <v>1.0000000000000002</v>
      </c>
      <c r="D41" s="31">
        <f>1</f>
        <v>1</v>
      </c>
      <c r="E41" s="31">
        <f t="shared" si="2"/>
        <v>2.2204460492503131E-16</v>
      </c>
      <c r="F41" s="120" t="str">
        <f>IF(ABS(C41-D41)&lt;=0.000000001,"OK","CHECK")</f>
        <v>OK</v>
      </c>
      <c r="G41" s="14"/>
    </row>
    <row r="42" spans="2:7" ht="13.95" customHeight="1" x14ac:dyDescent="0.3">
      <c r="B42" s="19" t="s">
        <v>897</v>
      </c>
      <c r="C42" s="31">
        <f>'Box Earnings'!I15*'Box Earnings'!I16</f>
        <v>1</v>
      </c>
      <c r="D42" s="31">
        <f>1</f>
        <v>1</v>
      </c>
      <c r="E42" s="31">
        <f t="shared" si="2"/>
        <v>0</v>
      </c>
      <c r="F42" s="122" t="str">
        <f>"Info"</f>
        <v>Info</v>
      </c>
      <c r="G42" s="14" t="s">
        <v>898</v>
      </c>
    </row>
    <row r="43" spans="2:7" ht="13.95" customHeight="1" x14ac:dyDescent="0.3">
      <c r="B43" s="19" t="s">
        <v>899</v>
      </c>
      <c r="C43" s="31">
        <f>'Box Earnings'!J10</f>
        <v>1.262030214353713</v>
      </c>
      <c r="D43" s="31">
        <f>1</f>
        <v>1</v>
      </c>
      <c r="E43" s="31">
        <f t="shared" si="2"/>
        <v>0.26203021435371299</v>
      </c>
      <c r="F43" s="122" t="str">
        <f>"Info"</f>
        <v>Info</v>
      </c>
      <c r="G43" s="14" t="s">
        <v>885</v>
      </c>
    </row>
    <row r="44" spans="2:7" ht="13.95" customHeight="1" x14ac:dyDescent="0.3">
      <c r="B44" s="19" t="s">
        <v>900</v>
      </c>
      <c r="C44" s="67">
        <f>COUNT('Box Rates'!C32:C151)</f>
        <v>120</v>
      </c>
      <c r="D44" s="67">
        <f>120</f>
        <v>120</v>
      </c>
      <c r="E44" s="67">
        <f t="shared" si="2"/>
        <v>0</v>
      </c>
      <c r="F44" s="120" t="str">
        <f>IF(ABS(C44-D44)&lt;=0,"OK","CHECK")</f>
        <v>OK</v>
      </c>
      <c r="G44" s="14"/>
    </row>
    <row r="45" spans="2:7" ht="13.95" customHeight="1" x14ac:dyDescent="0.3">
      <c r="B45" s="19" t="s">
        <v>901</v>
      </c>
      <c r="C45" s="67">
        <f>BoxRate</f>
        <v>2</v>
      </c>
      <c r="D45" s="67">
        <f>2</f>
        <v>2</v>
      </c>
      <c r="E45" s="67">
        <f t="shared" si="2"/>
        <v>0</v>
      </c>
      <c r="F45" s="122" t="str">
        <f>"Info"</f>
        <v>Info</v>
      </c>
      <c r="G45" s="14" t="s">
        <v>885</v>
      </c>
    </row>
    <row r="46" spans="2:7" ht="13.95" customHeight="1" x14ac:dyDescent="0.3">
      <c r="B46" s="19" t="s">
        <v>902</v>
      </c>
      <c r="C46" s="31">
        <f>'Box Betas'!C16</f>
        <v>1.0031654974990483</v>
      </c>
      <c r="D46" s="31">
        <f>1</f>
        <v>1</v>
      </c>
      <c r="E46" s="31">
        <f t="shared" si="2"/>
        <v>3.1654974990482643E-3</v>
      </c>
      <c r="F46" s="122" t="str">
        <f>"Info"</f>
        <v>Info</v>
      </c>
      <c r="G46" s="14" t="s">
        <v>903</v>
      </c>
    </row>
    <row r="47" spans="2:7" ht="13.95" customHeight="1" x14ac:dyDescent="0.3">
      <c r="B47" s="19" t="s">
        <v>904</v>
      </c>
      <c r="C47" s="123">
        <f>Summary!D26*100</f>
        <v>29.23830845240769</v>
      </c>
      <c r="D47" s="123">
        <f>0</f>
        <v>0</v>
      </c>
      <c r="E47" s="123">
        <f t="shared" si="2"/>
        <v>29.23830845240769</v>
      </c>
      <c r="F47" s="122" t="str">
        <f>"Info"</f>
        <v>Info</v>
      </c>
      <c r="G47" s="14" t="s">
        <v>905</v>
      </c>
    </row>
    <row r="48" spans="2:7" ht="13.95" customHeight="1" x14ac:dyDescent="0.3">
      <c r="B48" s="19" t="s">
        <v>906</v>
      </c>
      <c r="C48" s="123">
        <f>Summary!H26*100</f>
        <v>5.7638239551016381</v>
      </c>
      <c r="D48" s="123">
        <f>0</f>
        <v>0</v>
      </c>
      <c r="E48" s="123">
        <f t="shared" si="2"/>
        <v>5.7638239551016381</v>
      </c>
      <c r="F48" s="122" t="str">
        <f>"Info"</f>
        <v>Info</v>
      </c>
      <c r="G48" s="14" t="s">
        <v>905</v>
      </c>
    </row>
    <row r="49" spans="2:7" ht="13.95" customHeight="1" x14ac:dyDescent="0.3">
      <c r="B49" s="19" t="s">
        <v>907</v>
      </c>
      <c r="C49" s="67">
        <f>COUNTIF(Members!AS6:AS81,"?*")</f>
        <v>12</v>
      </c>
      <c r="D49" s="67">
        <f>0</f>
        <v>0</v>
      </c>
      <c r="E49" s="67">
        <f t="shared" si="2"/>
        <v>12</v>
      </c>
      <c r="F49" s="122" t="str">
        <f>"Info"</f>
        <v>Info</v>
      </c>
      <c r="G49" s="14" t="s">
        <v>908</v>
      </c>
    </row>
    <row r="50" spans="2:7" ht="13.95" customHeight="1" x14ac:dyDescent="0.3">
      <c r="B50" s="119" t="s">
        <v>909</v>
      </c>
      <c r="C50" s="119"/>
      <c r="D50" s="119"/>
      <c r="E50" s="119"/>
      <c r="F50" s="119"/>
      <c r="G50" s="119"/>
    </row>
    <row r="51" spans="2:7" ht="13.95" customHeight="1" x14ac:dyDescent="0.3">
      <c r="B51" s="19" t="s">
        <v>910</v>
      </c>
      <c r="C51" s="89">
        <f>10*DCF!$O$29</f>
        <v>216660</v>
      </c>
      <c r="D51" s="89">
        <f>216660</f>
        <v>216660</v>
      </c>
      <c r="E51" s="89">
        <f t="shared" ref="E51:E63" si="4">IFERROR(C51-D51,"")</f>
        <v>0</v>
      </c>
      <c r="F51" s="120" t="str">
        <f t="shared" ref="F51:F61" si="5">IF(ABS(C51-D51)&lt;=0.01,"OK","CHECK")</f>
        <v>OK</v>
      </c>
      <c r="G51" s="14" t="s">
        <v>857</v>
      </c>
    </row>
    <row r="52" spans="2:7" ht="13.95" customHeight="1" x14ac:dyDescent="0.3">
      <c r="B52" s="19" t="s">
        <v>911</v>
      </c>
      <c r="C52" s="89">
        <f>5.5*DCF!$O$21-1.6*DCF!$M$21</f>
        <v>224861.9</v>
      </c>
      <c r="D52" s="89">
        <f>224861.9</f>
        <v>224861.9</v>
      </c>
      <c r="E52" s="89">
        <f t="shared" si="4"/>
        <v>0</v>
      </c>
      <c r="F52" s="120" t="str">
        <f t="shared" si="5"/>
        <v>OK</v>
      </c>
      <c r="G52" s="14" t="s">
        <v>857</v>
      </c>
    </row>
    <row r="53" spans="2:7" ht="13.95" customHeight="1" x14ac:dyDescent="0.3">
      <c r="B53" s="19" t="s">
        <v>912</v>
      </c>
      <c r="C53" s="89">
        <f>'Multiples by Box'!C27</f>
        <v>162495</v>
      </c>
      <c r="D53" s="89">
        <f>'Multiples by Box'!C9</f>
        <v>162495</v>
      </c>
      <c r="E53" s="89">
        <f t="shared" si="4"/>
        <v>0</v>
      </c>
      <c r="F53" s="120" t="str">
        <f t="shared" si="5"/>
        <v>OK</v>
      </c>
      <c r="G53" s="14"/>
    </row>
    <row r="54" spans="2:7" ht="13.95" customHeight="1" x14ac:dyDescent="0.3">
      <c r="B54" s="19" t="s">
        <v>913</v>
      </c>
      <c r="C54" s="89">
        <f>'Multiples by Box'!C39</f>
        <v>174144.89999999997</v>
      </c>
      <c r="D54" s="89">
        <f>'Multiples by Box'!C13</f>
        <v>174144.9</v>
      </c>
      <c r="E54" s="89">
        <f t="shared" si="4"/>
        <v>-2.9103830456733704E-11</v>
      </c>
      <c r="F54" s="120" t="str">
        <f t="shared" si="5"/>
        <v>OK</v>
      </c>
      <c r="G54" s="14"/>
    </row>
    <row r="55" spans="2:7" ht="13.95" customHeight="1" x14ac:dyDescent="0.3">
      <c r="B55" s="19" t="s">
        <v>914</v>
      </c>
      <c r="C55" s="89">
        <f>'Multiples by Box'!D27</f>
        <v>216660</v>
      </c>
      <c r="D55" s="89">
        <f>'Multiples by Box'!D9</f>
        <v>216660</v>
      </c>
      <c r="E55" s="89">
        <f t="shared" si="4"/>
        <v>0</v>
      </c>
      <c r="F55" s="120" t="str">
        <f t="shared" si="5"/>
        <v>OK</v>
      </c>
      <c r="G55" s="14"/>
    </row>
    <row r="56" spans="2:7" ht="13.95" customHeight="1" x14ac:dyDescent="0.3">
      <c r="B56" s="19" t="s">
        <v>915</v>
      </c>
      <c r="C56" s="89">
        <f>'Multiples by Box'!D39</f>
        <v>224861.89999999997</v>
      </c>
      <c r="D56" s="89">
        <f>'Multiples by Box'!D13</f>
        <v>224861.9</v>
      </c>
      <c r="E56" s="89">
        <f t="shared" si="4"/>
        <v>-2.9103830456733704E-11</v>
      </c>
      <c r="F56" s="120" t="str">
        <f t="shared" si="5"/>
        <v>OK</v>
      </c>
      <c r="G56" s="14"/>
    </row>
    <row r="57" spans="2:7" ht="13.95" customHeight="1" x14ac:dyDescent="0.3">
      <c r="B57" s="19" t="s">
        <v>916</v>
      </c>
      <c r="C57" s="89">
        <f>'Multiples by Box'!E27</f>
        <v>259992</v>
      </c>
      <c r="D57" s="89">
        <f>'Multiples by Box'!E9</f>
        <v>259992</v>
      </c>
      <c r="E57" s="89">
        <f t="shared" si="4"/>
        <v>0</v>
      </c>
      <c r="F57" s="120" t="str">
        <f t="shared" si="5"/>
        <v>OK</v>
      </c>
      <c r="G57" s="14"/>
    </row>
    <row r="58" spans="2:7" ht="13.95" customHeight="1" x14ac:dyDescent="0.3">
      <c r="B58" s="19" t="s">
        <v>917</v>
      </c>
      <c r="C58" s="89">
        <f>'Multiples by Box'!E39</f>
        <v>250220.40000000002</v>
      </c>
      <c r="D58" s="89">
        <f>'Multiples by Box'!E13</f>
        <v>250220.4</v>
      </c>
      <c r="E58" s="89">
        <f t="shared" si="4"/>
        <v>2.9103830456733704E-11</v>
      </c>
      <c r="F58" s="120" t="str">
        <f t="shared" si="5"/>
        <v>OK</v>
      </c>
      <c r="G58" s="14"/>
    </row>
    <row r="59" spans="2:7" ht="13.95" customHeight="1" x14ac:dyDescent="0.3">
      <c r="B59" s="19" t="s">
        <v>918</v>
      </c>
      <c r="C59" s="89">
        <f>'Multiples by Box'!C61</f>
        <v>164452.2306579201</v>
      </c>
      <c r="D59" s="89">
        <f>'Multiples by Box'!C16</f>
        <v>164452.23065792012</v>
      </c>
      <c r="E59" s="89">
        <f t="shared" si="4"/>
        <v>-2.9103830456733704E-11</v>
      </c>
      <c r="F59" s="120" t="str">
        <f t="shared" si="5"/>
        <v>OK</v>
      </c>
      <c r="G59" s="14"/>
    </row>
    <row r="60" spans="2:7" ht="13.95" customHeight="1" x14ac:dyDescent="0.3">
      <c r="B60" s="19" t="s">
        <v>919</v>
      </c>
      <c r="C60" s="89">
        <f>'Multiples by Box'!D61</f>
        <v>222319.30602388934</v>
      </c>
      <c r="D60" s="89">
        <f>'Multiples by Box'!D16</f>
        <v>222319.30602388934</v>
      </c>
      <c r="E60" s="89">
        <f t="shared" si="4"/>
        <v>0</v>
      </c>
      <c r="F60" s="120" t="str">
        <f t="shared" si="5"/>
        <v>OK</v>
      </c>
      <c r="G60" s="14"/>
    </row>
    <row r="61" spans="2:7" ht="13.95" customHeight="1" x14ac:dyDescent="0.3">
      <c r="B61" s="19" t="s">
        <v>920</v>
      </c>
      <c r="C61" s="89">
        <f>'Multiples by Box'!E61</f>
        <v>276518.12201078469</v>
      </c>
      <c r="D61" s="89">
        <f>'Multiples by Box'!E16</f>
        <v>276518.12201078469</v>
      </c>
      <c r="E61" s="89">
        <f t="shared" si="4"/>
        <v>0</v>
      </c>
      <c r="F61" s="120" t="str">
        <f t="shared" si="5"/>
        <v>OK</v>
      </c>
      <c r="G61" s="14"/>
    </row>
    <row r="62" spans="2:7" ht="13.95" customHeight="1" x14ac:dyDescent="0.3">
      <c r="B62" s="19" t="s">
        <v>921</v>
      </c>
      <c r="C62" s="67">
        <f>COUNT('Multiples by Box'!C70:C189)</f>
        <v>120</v>
      </c>
      <c r="D62" s="67">
        <f>120</f>
        <v>120</v>
      </c>
      <c r="E62" s="67">
        <f t="shared" si="4"/>
        <v>0</v>
      </c>
      <c r="F62" s="120" t="str">
        <f>IF(ABS(C62-D62)&lt;=0,"OK","CHECK")</f>
        <v>OK</v>
      </c>
      <c r="G62" s="14"/>
    </row>
    <row r="63" spans="2:7" ht="13.95" customHeight="1" x14ac:dyDescent="0.3">
      <c r="B63" s="19" t="s">
        <v>922</v>
      </c>
      <c r="C63" s="40">
        <f>Members!AV83/Members!J83</f>
        <v>1</v>
      </c>
      <c r="D63" s="40">
        <f>1</f>
        <v>1</v>
      </c>
      <c r="E63" s="40">
        <f t="shared" si="4"/>
        <v>0</v>
      </c>
      <c r="F63" s="122" t="str">
        <f>"Info"</f>
        <v>Info</v>
      </c>
      <c r="G63" s="14" t="s">
        <v>923</v>
      </c>
    </row>
    <row r="64" spans="2:7" ht="13.95" customHeight="1" x14ac:dyDescent="0.3">
      <c r="B64" s="119" t="s">
        <v>924</v>
      </c>
      <c r="C64" s="119"/>
      <c r="D64" s="119"/>
      <c r="E64" s="119"/>
      <c r="F64" s="119"/>
      <c r="G64" s="119"/>
    </row>
    <row r="65" spans="2:7" ht="13.95" customHeight="1" x14ac:dyDescent="0.3">
      <c r="B65" s="19" t="s">
        <v>925</v>
      </c>
      <c r="C65" s="67">
        <f>FixNWC+FixND+FixTV+FixInfl</f>
        <v>0</v>
      </c>
      <c r="D65" s="67">
        <f>0</f>
        <v>0</v>
      </c>
      <c r="E65" s="67">
        <f>IFERROR(C65-D65,"")</f>
        <v>0</v>
      </c>
      <c r="F65" s="122" t="str">
        <f>"Info"</f>
        <v>Info</v>
      </c>
      <c r="G65" s="14" t="s">
        <v>926</v>
      </c>
    </row>
    <row r="66" spans="2:7" ht="13.95" customHeight="1" x14ac:dyDescent="0.3">
      <c r="B66" s="19" t="s">
        <v>927</v>
      </c>
      <c r="C66" s="67">
        <f>Vintage</f>
        <v>2</v>
      </c>
      <c r="D66" s="67">
        <f>2</f>
        <v>2</v>
      </c>
      <c r="E66" s="67">
        <f>IFERROR(C66-D66,"")</f>
        <v>0</v>
      </c>
      <c r="F66" s="122" t="str">
        <f>"Info"</f>
        <v>Info</v>
      </c>
      <c r="G66" s="14" t="s">
        <v>885</v>
      </c>
    </row>
    <row r="67" spans="2:7" ht="13.95" customHeight="1" x14ac:dyDescent="0.3">
      <c r="B67" s="19" t="s">
        <v>928</v>
      </c>
      <c r="C67" s="67">
        <f>SUMPRODUCT(--ISERROR(DCF!C8:S90))+SUMPRODUCT(--ISERROR('DCF by Box'!C5:H305))+SUMPRODUCT(--ISERROR(Summary!C4:L110))+SUMPRODUCT(--ISERROR('Multiples by Box'!C5:Z190))+SUMPRODUCT(--ISERROR('Box Earnings'!C7:AB271))+SUMPRODUCT(--ISERROR('Box Fade'!C5:N198))+SUMPRODUCT(--ISERROR(Sensitivity!C7:G60))+SUMPRODUCT(--ISERROR('Box Shares'!C7:R40))+SUMPRODUCT(--ISERROR('Box Rates'!C7:I151))+SUMPRODUCT(--ISERROR('Box Betas'!C7:Q600))+SUMPRODUCT(--ISERROR(Members!E6:AW83))</f>
        <v>0</v>
      </c>
      <c r="D67" s="67">
        <f>0</f>
        <v>0</v>
      </c>
      <c r="E67" s="67">
        <f>IFERROR(C67-D67,"")</f>
        <v>0</v>
      </c>
      <c r="F67" s="120" t="str">
        <f>IF(ABS(C67-D67)&lt;=0,"OK","CHECK")</f>
        <v>OK</v>
      </c>
      <c r="G67" s="14"/>
    </row>
    <row r="89" spans="2:7" ht="13.95" customHeight="1" x14ac:dyDescent="0.3">
      <c r="B89" s="138" t="s">
        <v>929</v>
      </c>
      <c r="C89" s="138"/>
      <c r="D89" s="138"/>
      <c r="E89" s="138"/>
      <c r="F89" s="138"/>
      <c r="G89" s="138"/>
    </row>
    <row r="90" spans="2:7" ht="13.95" customHeight="1" x14ac:dyDescent="0.3">
      <c r="B90" s="19" t="s">
        <v>930</v>
      </c>
      <c r="C90" s="52">
        <v>7.4200000000000002E-2</v>
      </c>
    </row>
    <row r="91" spans="2:7" ht="13.95" customHeight="1" x14ac:dyDescent="0.3">
      <c r="B91" s="19" t="s">
        <v>931</v>
      </c>
      <c r="C91" s="52">
        <v>0.06</v>
      </c>
    </row>
    <row r="92" spans="2:7" ht="13.95" customHeight="1" x14ac:dyDescent="0.3">
      <c r="B92" s="19" t="s">
        <v>932</v>
      </c>
      <c r="C92" s="52">
        <v>4.7E-2</v>
      </c>
    </row>
    <row r="93" spans="2:7" ht="13.95" customHeight="1" x14ac:dyDescent="0.3">
      <c r="B93" s="19" t="s">
        <v>933</v>
      </c>
      <c r="C93" s="50">
        <v>182419.73</v>
      </c>
    </row>
    <row r="94" spans="2:7" ht="13.95" customHeight="1" x14ac:dyDescent="0.3">
      <c r="B94" s="14" t="s">
        <v>934</v>
      </c>
      <c r="C94" s="20">
        <f>-C93</f>
        <v>-182419.73</v>
      </c>
      <c r="D94" s="20">
        <f>DCF!N35</f>
        <v>15868.960000000003</v>
      </c>
      <c r="E94" s="20">
        <f>DCF!O35</f>
        <v>16461.32</v>
      </c>
      <c r="F94" s="20">
        <f>DCF!P35</f>
        <v>16980.784319999995</v>
      </c>
      <c r="G94" s="20">
        <f>DCF!R35*(1+C92)/(C90+C91-C92)</f>
        <v>278010.77684016712</v>
      </c>
    </row>
  </sheetData>
  <mergeCells count="1">
    <mergeCell ref="B89:G89"/>
  </mergeCells>
  <conditionalFormatting sqref="F8:F68">
    <cfRule type="cellIs" dxfId="0" priority="1" operator="equal">
      <formula>"CHECK"</formula>
    </cfRule>
  </conditionalFormatting>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C33"/>
  <sheetViews>
    <sheetView showGridLines="0" zoomScale="85" zoomScaleNormal="85" workbookViewId="0"/>
  </sheetViews>
  <sheetFormatPr defaultRowHeight="13.95" customHeight="1" x14ac:dyDescent="0.3"/>
  <cols>
    <col min="1" max="1" width="2.6640625" customWidth="1"/>
    <col min="2" max="2" width="26.6640625" customWidth="1"/>
    <col min="3" max="3" width="130.6640625" customWidth="1"/>
  </cols>
  <sheetData>
    <row r="1" spans="2:3" ht="25.95" customHeight="1" x14ac:dyDescent="0.3">
      <c r="B1" s="124" t="s">
        <v>935</v>
      </c>
    </row>
    <row r="2" spans="2:3" ht="13.95" customHeight="1" x14ac:dyDescent="0.3">
      <c r="B2" s="14" t="s">
        <v>936</v>
      </c>
    </row>
    <row r="4" spans="2:3" ht="13.95" customHeight="1" x14ac:dyDescent="0.3">
      <c r="B4" s="138" t="s">
        <v>937</v>
      </c>
      <c r="C4" s="138"/>
    </row>
    <row r="5" spans="2:3" ht="28.05" customHeight="1" x14ac:dyDescent="0.3">
      <c r="B5" s="125" t="s">
        <v>852</v>
      </c>
      <c r="C5" s="126" t="s">
        <v>938</v>
      </c>
    </row>
    <row r="6" spans="2:3" ht="13.95" customHeight="1" x14ac:dyDescent="0.3">
      <c r="B6" s="125" t="s">
        <v>939</v>
      </c>
      <c r="C6" s="126" t="s">
        <v>940</v>
      </c>
    </row>
    <row r="8" spans="2:3" ht="13.95" customHeight="1" x14ac:dyDescent="0.3">
      <c r="B8" s="138" t="s">
        <v>941</v>
      </c>
      <c r="C8" s="138"/>
    </row>
    <row r="9" spans="2:3" ht="28.05" customHeight="1" x14ac:dyDescent="0.3">
      <c r="B9" s="125" t="s">
        <v>942</v>
      </c>
      <c r="C9" s="126" t="s">
        <v>943</v>
      </c>
    </row>
    <row r="10" spans="2:3" ht="28.05" customHeight="1" x14ac:dyDescent="0.3">
      <c r="B10" s="125" t="s">
        <v>944</v>
      </c>
      <c r="C10" s="126" t="s">
        <v>945</v>
      </c>
    </row>
    <row r="11" spans="2:3" ht="28.05" customHeight="1" x14ac:dyDescent="0.3">
      <c r="B11" s="125" t="s">
        <v>220</v>
      </c>
      <c r="C11" s="126" t="s">
        <v>946</v>
      </c>
    </row>
    <row r="12" spans="2:3" ht="28.05" customHeight="1" x14ac:dyDescent="0.3">
      <c r="B12" s="125" t="s">
        <v>947</v>
      </c>
      <c r="C12" s="126" t="s">
        <v>948</v>
      </c>
    </row>
    <row r="13" spans="2:3" ht="40.950000000000003" customHeight="1" x14ac:dyDescent="0.3">
      <c r="B13" s="125" t="s">
        <v>949</v>
      </c>
      <c r="C13" s="126" t="s">
        <v>950</v>
      </c>
    </row>
    <row r="14" spans="2:3" ht="28.05" customHeight="1" x14ac:dyDescent="0.3">
      <c r="B14" s="125" t="s">
        <v>951</v>
      </c>
      <c r="C14" s="126" t="s">
        <v>952</v>
      </c>
    </row>
    <row r="16" spans="2:3" ht="13.95" customHeight="1" x14ac:dyDescent="0.3">
      <c r="B16" s="138" t="s">
        <v>953</v>
      </c>
      <c r="C16" s="138"/>
    </row>
    <row r="17" spans="2:3" ht="28.05" customHeight="1" x14ac:dyDescent="0.3">
      <c r="B17" s="125" t="s">
        <v>801</v>
      </c>
      <c r="C17" s="126" t="s">
        <v>954</v>
      </c>
    </row>
    <row r="18" spans="2:3" ht="28.05" customHeight="1" x14ac:dyDescent="0.3">
      <c r="B18" s="125" t="s">
        <v>802</v>
      </c>
      <c r="C18" s="126" t="s">
        <v>955</v>
      </c>
    </row>
    <row r="19" spans="2:3" ht="13.95" customHeight="1" x14ac:dyDescent="0.3">
      <c r="B19" s="125" t="s">
        <v>803</v>
      </c>
      <c r="C19" s="126" t="s">
        <v>956</v>
      </c>
    </row>
    <row r="20" spans="2:3" ht="13.95" customHeight="1" x14ac:dyDescent="0.3">
      <c r="B20" s="125" t="s">
        <v>957</v>
      </c>
      <c r="C20" s="126" t="s">
        <v>958</v>
      </c>
    </row>
    <row r="22" spans="2:3" ht="13.95" customHeight="1" x14ac:dyDescent="0.3">
      <c r="B22" s="138" t="s">
        <v>959</v>
      </c>
      <c r="C22" s="138"/>
    </row>
    <row r="23" spans="2:3" ht="28.05" customHeight="1" x14ac:dyDescent="0.3">
      <c r="B23" s="125" t="s">
        <v>960</v>
      </c>
      <c r="C23" s="126" t="s">
        <v>961</v>
      </c>
    </row>
    <row r="24" spans="2:3" ht="13.95" customHeight="1" x14ac:dyDescent="0.3">
      <c r="B24" s="125" t="s">
        <v>962</v>
      </c>
      <c r="C24" s="126" t="s">
        <v>963</v>
      </c>
    </row>
    <row r="25" spans="2:3" ht="13.95" customHeight="1" x14ac:dyDescent="0.3">
      <c r="B25" s="125" t="s">
        <v>964</v>
      </c>
      <c r="C25" s="126" t="s">
        <v>965</v>
      </c>
    </row>
    <row r="27" spans="2:3" ht="13.95" customHeight="1" x14ac:dyDescent="0.3">
      <c r="B27" s="138" t="s">
        <v>966</v>
      </c>
      <c r="C27" s="138"/>
    </row>
    <row r="28" spans="2:3" ht="13.95" customHeight="1" x14ac:dyDescent="0.3">
      <c r="B28" s="125" t="s">
        <v>8</v>
      </c>
      <c r="C28" s="126" t="s">
        <v>967</v>
      </c>
    </row>
    <row r="29" spans="2:3" ht="28.05" customHeight="1" x14ac:dyDescent="0.3">
      <c r="B29" s="125" t="s">
        <v>968</v>
      </c>
      <c r="C29" s="126" t="s">
        <v>969</v>
      </c>
    </row>
    <row r="30" spans="2:3" ht="13.95" customHeight="1" x14ac:dyDescent="0.3">
      <c r="B30" s="125" t="s">
        <v>970</v>
      </c>
      <c r="C30" s="126" t="s">
        <v>971</v>
      </c>
    </row>
    <row r="31" spans="2:3" ht="13.95" customHeight="1" x14ac:dyDescent="0.3">
      <c r="B31" s="125" t="s">
        <v>972</v>
      </c>
      <c r="C31" s="126" t="s">
        <v>973</v>
      </c>
    </row>
    <row r="32" spans="2:3" ht="13.95" customHeight="1" x14ac:dyDescent="0.3">
      <c r="B32" s="125" t="s">
        <v>974</v>
      </c>
      <c r="C32" s="126" t="s">
        <v>975</v>
      </c>
    </row>
    <row r="33" spans="2:3" ht="13.95" customHeight="1" x14ac:dyDescent="0.3">
      <c r="B33" s="125" t="s">
        <v>976</v>
      </c>
      <c r="C33" s="126" t="s">
        <v>977</v>
      </c>
    </row>
  </sheetData>
  <mergeCells count="5">
    <mergeCell ref="B4:C4"/>
    <mergeCell ref="B8:C8"/>
    <mergeCell ref="B16:C16"/>
    <mergeCell ref="B22:C22"/>
    <mergeCell ref="B27:C27"/>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35</vt:i4>
      </vt:variant>
    </vt:vector>
  </HeadingPairs>
  <TitlesOfParts>
    <vt:vector size="51" baseType="lpstr">
      <vt:lpstr>Cover</vt:lpstr>
      <vt:lpstr>Summary</vt:lpstr>
      <vt:lpstr>Assumptions</vt:lpstr>
      <vt:lpstr>DCF by Box</vt:lpstr>
      <vt:lpstr>Multiples by Box</vt:lpstr>
      <vt:lpstr>DCF</vt:lpstr>
      <vt:lpstr>Sensitivity</vt:lpstr>
      <vt:lpstr>Support &gt;</vt:lpstr>
      <vt:lpstr>Box Rates</vt:lpstr>
      <vt:lpstr>Box Betas</vt:lpstr>
      <vt:lpstr>Box Earnings</vt:lpstr>
      <vt:lpstr>Box Fade</vt:lpstr>
      <vt:lpstr>Box Shares</vt:lpstr>
      <vt:lpstr>Members</vt:lpstr>
      <vt:lpstr>Checks</vt:lpstr>
      <vt:lpstr>Read Me</vt:lpstr>
      <vt:lpstr>BetaAdj</vt:lpstr>
      <vt:lpstr>BetaYears</vt:lpstr>
      <vt:lpstr>BoxCF</vt:lpstr>
      <vt:lpstr>BoxGrowth</vt:lpstr>
      <vt:lpstr>BoxRate</vt:lpstr>
      <vt:lpstr>EBNorm</vt:lpstr>
      <vt:lpstr>EBStart</vt:lpstr>
      <vt:lpstr>ERPfloor</vt:lpstr>
      <vt:lpstr>FadeMode</vt:lpstr>
      <vt:lpstr>FadeYears</vt:lpstr>
      <vt:lpstr>FinROE</vt:lpstr>
      <vt:lpstr>FinROEovr</vt:lpstr>
      <vt:lpstr>FixInfl</vt:lpstr>
      <vt:lpstr>FixND</vt:lpstr>
      <vt:lpstr>FixNWC</vt:lpstr>
      <vt:lpstr>FixTV</vt:lpstr>
      <vt:lpstr>FV27Base</vt:lpstr>
      <vt:lpstr>FV27Bear</vt:lpstr>
      <vt:lpstr>FV27Bull</vt:lpstr>
      <vt:lpstr>gLT</vt:lpstr>
      <vt:lpstr>GrowthCap</vt:lpstr>
      <vt:lpstr>IbovUsed</vt:lpstr>
      <vt:lpstr>InflLT</vt:lpstr>
      <vt:lpstr>NDmult</vt:lpstr>
      <vt:lpstr>NWCpct</vt:lpstr>
      <vt:lpstr>RateShock</vt:lpstr>
      <vt:lpstr>RelMult</vt:lpstr>
      <vt:lpstr>RRUsed</vt:lpstr>
      <vt:lpstr>ScaleBox</vt:lpstr>
      <vt:lpstr>ScaleScen</vt:lpstr>
      <vt:lpstr>Vintage</vt:lpstr>
      <vt:lpstr>WBU</vt:lpstr>
      <vt:lpstr>WDCF</vt:lpstr>
      <vt:lpstr>WEV</vt:lpstr>
      <vt:lpstr>WPE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Caio Lopes de Souza</cp:lastModifiedBy>
  <dcterms:created xsi:type="dcterms:W3CDTF">2026-10-08T02:10:56Z</dcterms:created>
  <dcterms:modified xsi:type="dcterms:W3CDTF">2026-10-08T02:11:10Z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