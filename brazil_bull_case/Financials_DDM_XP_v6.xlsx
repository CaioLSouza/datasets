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08AC9994-4AD2-4856-8602-E244573B8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M Financials" sheetId="1" r:id="rId1"/>
    <sheet name="Box Consensus" sheetId="2" r:id="rId2"/>
    <sheet name="Analyst Models" sheetId="3" r:id="rId3"/>
    <sheet name="Model Parameters" sheetId="4" r:id="rId4"/>
  </sheets>
  <definedNames>
    <definedName name="BetaAn">'Model Parameters'!$H$13</definedName>
    <definedName name="ERPAn">'Model Parameters'!$G$13</definedName>
    <definedName name="g_">'DDM Financials'!$F$18</definedName>
    <definedName name="gAn">'DDM Financials'!$D$18</definedName>
    <definedName name="NExp">'DDM Financials'!$F$19</definedName>
    <definedName name="TVx">'DDM Financials'!$F$20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I13" i="4"/>
  <c r="H13" i="4"/>
  <c r="G13" i="4"/>
  <c r="F13" i="4"/>
  <c r="D13" i="4"/>
  <c r="C13" i="4"/>
  <c r="E80" i="3"/>
  <c r="D78" i="3"/>
  <c r="D83" i="3" s="1"/>
  <c r="N77" i="3"/>
  <c r="N82" i="3" s="1"/>
  <c r="M77" i="3"/>
  <c r="L77" i="3"/>
  <c r="K77" i="3"/>
  <c r="J77" i="3"/>
  <c r="J82" i="3" s="1"/>
  <c r="I77" i="3"/>
  <c r="H77" i="3"/>
  <c r="G77" i="3"/>
  <c r="F77" i="3"/>
  <c r="E77" i="3"/>
  <c r="D77" i="3"/>
  <c r="D82" i="3" s="1"/>
  <c r="C77" i="3"/>
  <c r="C78" i="3" s="1"/>
  <c r="C79" i="3" s="1"/>
  <c r="M72" i="3"/>
  <c r="J72" i="3"/>
  <c r="I72" i="3"/>
  <c r="H72" i="3"/>
  <c r="G72" i="3"/>
  <c r="F72" i="3"/>
  <c r="D72" i="3"/>
  <c r="M71" i="3"/>
  <c r="L71" i="3"/>
  <c r="K71" i="3"/>
  <c r="H71" i="3"/>
  <c r="G71" i="3"/>
  <c r="F71" i="3"/>
  <c r="E71" i="3"/>
  <c r="D71" i="3"/>
  <c r="E70" i="3"/>
  <c r="C72" i="3" s="1"/>
  <c r="M69" i="3"/>
  <c r="L69" i="3"/>
  <c r="K69" i="3"/>
  <c r="J69" i="3"/>
  <c r="I69" i="3"/>
  <c r="H69" i="3"/>
  <c r="G69" i="3"/>
  <c r="F69" i="3"/>
  <c r="E69" i="3"/>
  <c r="D69" i="3"/>
  <c r="C69" i="3"/>
  <c r="E60" i="3"/>
  <c r="M59" i="3"/>
  <c r="L59" i="3"/>
  <c r="K59" i="3"/>
  <c r="J59" i="3"/>
  <c r="I59" i="3"/>
  <c r="H59" i="3"/>
  <c r="G59" i="3"/>
  <c r="F59" i="3"/>
  <c r="E59" i="3"/>
  <c r="D59" i="3"/>
  <c r="C59" i="3"/>
  <c r="K52" i="3"/>
  <c r="J52" i="3"/>
  <c r="G52" i="3"/>
  <c r="F52" i="3"/>
  <c r="E50" i="3"/>
  <c r="D52" i="3" s="1"/>
  <c r="N47" i="3"/>
  <c r="N51" i="3" s="1"/>
  <c r="M47" i="3"/>
  <c r="L47" i="3"/>
  <c r="L51" i="3" s="1"/>
  <c r="K47" i="3"/>
  <c r="K51" i="3" s="1"/>
  <c r="J47" i="3"/>
  <c r="J51" i="3" s="1"/>
  <c r="I47" i="3"/>
  <c r="I51" i="3" s="1"/>
  <c r="H47" i="3"/>
  <c r="G47" i="3"/>
  <c r="F47" i="3"/>
  <c r="E47" i="3"/>
  <c r="E51" i="3" s="1"/>
  <c r="D47" i="3"/>
  <c r="C47" i="3"/>
  <c r="C51" i="3" s="1"/>
  <c r="M42" i="3"/>
  <c r="H42" i="3"/>
  <c r="G42" i="3"/>
  <c r="F42" i="3"/>
  <c r="F41" i="3"/>
  <c r="E40" i="3"/>
  <c r="E42" i="3" s="1"/>
  <c r="M39" i="3"/>
  <c r="L39" i="3"/>
  <c r="K39" i="3"/>
  <c r="J39" i="3"/>
  <c r="I39" i="3"/>
  <c r="H39" i="3"/>
  <c r="G39" i="3"/>
  <c r="F39" i="3"/>
  <c r="E39" i="3"/>
  <c r="D39" i="3"/>
  <c r="C39" i="3"/>
  <c r="E30" i="3"/>
  <c r="J31" i="3" s="1"/>
  <c r="J29" i="3"/>
  <c r="I29" i="3"/>
  <c r="H29" i="3"/>
  <c r="G29" i="3"/>
  <c r="F29" i="3"/>
  <c r="E29" i="3"/>
  <c r="D29" i="3"/>
  <c r="C29" i="3"/>
  <c r="F22" i="3"/>
  <c r="D22" i="3"/>
  <c r="E20" i="3"/>
  <c r="E22" i="3" s="1"/>
  <c r="N19" i="3"/>
  <c r="M19" i="3"/>
  <c r="L19" i="3"/>
  <c r="K19" i="3"/>
  <c r="J19" i="3"/>
  <c r="I19" i="3"/>
  <c r="H19" i="3"/>
  <c r="G19" i="3"/>
  <c r="F19" i="3"/>
  <c r="E19" i="3"/>
  <c r="D19" i="3"/>
  <c r="C19" i="3"/>
  <c r="M12" i="3"/>
  <c r="L12" i="3"/>
  <c r="E10" i="3"/>
  <c r="F12" i="3" s="1"/>
  <c r="N9" i="3"/>
  <c r="M9" i="3"/>
  <c r="L9" i="3"/>
  <c r="K9" i="3"/>
  <c r="J9" i="3"/>
  <c r="I9" i="3"/>
  <c r="H9" i="3"/>
  <c r="G9" i="3"/>
  <c r="F9" i="3"/>
  <c r="E9" i="3"/>
  <c r="D9" i="3"/>
  <c r="C9" i="3"/>
  <c r="C17" i="2"/>
  <c r="C7" i="1" s="1"/>
  <c r="C92" i="3" s="1"/>
  <c r="N16" i="2"/>
  <c r="Q16" i="2" s="1"/>
  <c r="M16" i="2"/>
  <c r="P16" i="2" s="1"/>
  <c r="L16" i="2"/>
  <c r="O16" i="2" s="1"/>
  <c r="E16" i="2"/>
  <c r="E15" i="2"/>
  <c r="N15" i="2" s="1"/>
  <c r="Q15" i="2" s="1"/>
  <c r="E14" i="2"/>
  <c r="M14" i="2" s="1"/>
  <c r="P14" i="2" s="1"/>
  <c r="E13" i="2"/>
  <c r="M13" i="2" s="1"/>
  <c r="P13" i="2" s="1"/>
  <c r="E12" i="2"/>
  <c r="N12" i="2" s="1"/>
  <c r="Q12" i="2" s="1"/>
  <c r="E11" i="2"/>
  <c r="L11" i="2" s="1"/>
  <c r="O11" i="2" s="1"/>
  <c r="E10" i="2"/>
  <c r="E9" i="2"/>
  <c r="L9" i="2" s="1"/>
  <c r="O9" i="2" s="1"/>
  <c r="E8" i="2"/>
  <c r="L8" i="2" s="1"/>
  <c r="O8" i="2" s="1"/>
  <c r="E7" i="2"/>
  <c r="N7" i="2" s="1"/>
  <c r="Q7" i="2" s="1"/>
  <c r="E55" i="1"/>
  <c r="D55" i="1"/>
  <c r="C55" i="1"/>
  <c r="N38" i="1"/>
  <c r="M38" i="1"/>
  <c r="L38" i="1"/>
  <c r="K38" i="1"/>
  <c r="J38" i="1"/>
  <c r="I38" i="1"/>
  <c r="H38" i="1"/>
  <c r="G38" i="1"/>
  <c r="F38" i="1"/>
  <c r="E38" i="1"/>
  <c r="E32" i="1"/>
  <c r="E33" i="1" s="1"/>
  <c r="E53" i="1" s="1"/>
  <c r="D32" i="1"/>
  <c r="D33" i="1" s="1"/>
  <c r="D53" i="1" s="1"/>
  <c r="C32" i="1"/>
  <c r="C33" i="1" s="1"/>
  <c r="F20" i="1"/>
  <c r="F19" i="1"/>
  <c r="D18" i="1"/>
  <c r="F18" i="1" s="1"/>
  <c r="F17" i="1"/>
  <c r="D17" i="1"/>
  <c r="C21" i="3" l="1"/>
  <c r="H22" i="3"/>
  <c r="K42" i="3"/>
  <c r="E82" i="3"/>
  <c r="C82" i="3"/>
  <c r="M8" i="2"/>
  <c r="P8" i="2" s="1"/>
  <c r="L14" i="2"/>
  <c r="O14" i="2" s="1"/>
  <c r="D21" i="3"/>
  <c r="K22" i="3"/>
  <c r="D41" i="3"/>
  <c r="L42" i="3"/>
  <c r="M51" i="3"/>
  <c r="L52" i="3"/>
  <c r="E72" i="3"/>
  <c r="F78" i="3"/>
  <c r="N13" i="2"/>
  <c r="Q13" i="2" s="1"/>
  <c r="N8" i="2"/>
  <c r="Q8" i="2" s="1"/>
  <c r="F21" i="3"/>
  <c r="H21" i="3"/>
  <c r="D51" i="3"/>
  <c r="I82" i="3"/>
  <c r="L15" i="2"/>
  <c r="O15" i="2" s="1"/>
  <c r="L11" i="3"/>
  <c r="K21" i="3"/>
  <c r="K41" i="3"/>
  <c r="J78" i="3"/>
  <c r="J79" i="3" s="1"/>
  <c r="N14" i="2"/>
  <c r="Q14" i="2" s="1"/>
  <c r="G21" i="3"/>
  <c r="L7" i="2"/>
  <c r="O7" i="2" s="1"/>
  <c r="M11" i="3"/>
  <c r="L21" i="3"/>
  <c r="F51" i="3"/>
  <c r="K78" i="3"/>
  <c r="K79" i="3" s="1"/>
  <c r="G22" i="3"/>
  <c r="G11" i="3"/>
  <c r="M22" i="3"/>
  <c r="G41" i="3"/>
  <c r="H11" i="3"/>
  <c r="N9" i="2"/>
  <c r="Q9" i="2" s="1"/>
  <c r="M15" i="2"/>
  <c r="P15" i="2" s="1"/>
  <c r="L41" i="3"/>
  <c r="M7" i="2"/>
  <c r="P7" i="2" s="1"/>
  <c r="G12" i="3"/>
  <c r="M21" i="3"/>
  <c r="M41" i="3"/>
  <c r="G51" i="3"/>
  <c r="C52" i="3"/>
  <c r="I71" i="3"/>
  <c r="K72" i="3"/>
  <c r="L82" i="3"/>
  <c r="L22" i="3"/>
  <c r="G82" i="3"/>
  <c r="H82" i="3"/>
  <c r="M9" i="2"/>
  <c r="P9" i="2" s="1"/>
  <c r="H41" i="3"/>
  <c r="H12" i="3"/>
  <c r="C22" i="3"/>
  <c r="D42" i="3"/>
  <c r="H51" i="3"/>
  <c r="E52" i="3"/>
  <c r="J71" i="3"/>
  <c r="L72" i="3"/>
  <c r="L40" i="1"/>
  <c r="E34" i="1"/>
  <c r="M40" i="1"/>
  <c r="M62" i="3"/>
  <c r="M61" i="3"/>
  <c r="I62" i="3"/>
  <c r="L62" i="3"/>
  <c r="L61" i="3"/>
  <c r="I61" i="3"/>
  <c r="K62" i="3"/>
  <c r="K61" i="3"/>
  <c r="J62" i="3"/>
  <c r="J61" i="3"/>
  <c r="H62" i="3"/>
  <c r="H61" i="3"/>
  <c r="F62" i="3"/>
  <c r="F61" i="3"/>
  <c r="D62" i="3"/>
  <c r="D61" i="3"/>
  <c r="E62" i="3"/>
  <c r="E61" i="3"/>
  <c r="K40" i="1"/>
  <c r="M10" i="2"/>
  <c r="P10" i="2" s="1"/>
  <c r="N10" i="2"/>
  <c r="Q10" i="2" s="1"/>
  <c r="L10" i="2"/>
  <c r="O10" i="2" s="1"/>
  <c r="C61" i="3"/>
  <c r="K82" i="3"/>
  <c r="M11" i="2"/>
  <c r="P11" i="2" s="1"/>
  <c r="P17" i="2" s="1"/>
  <c r="D42" i="1" s="1"/>
  <c r="N11" i="2"/>
  <c r="Q11" i="2" s="1"/>
  <c r="G61" i="3"/>
  <c r="M78" i="3"/>
  <c r="C83" i="3"/>
  <c r="L78" i="3"/>
  <c r="I40" i="1"/>
  <c r="H32" i="3"/>
  <c r="H31" i="3"/>
  <c r="D32" i="3"/>
  <c r="G32" i="3"/>
  <c r="G31" i="3"/>
  <c r="F32" i="3"/>
  <c r="F31" i="3"/>
  <c r="E32" i="3"/>
  <c r="E31" i="3"/>
  <c r="D31" i="3"/>
  <c r="C32" i="3"/>
  <c r="C31" i="3"/>
  <c r="I31" i="3"/>
  <c r="N67" i="3"/>
  <c r="F83" i="3"/>
  <c r="F79" i="3"/>
  <c r="D79" i="3"/>
  <c r="C53" i="1"/>
  <c r="C34" i="1"/>
  <c r="G88" i="3"/>
  <c r="C62" i="3"/>
  <c r="I32" i="3"/>
  <c r="J32" i="3"/>
  <c r="D34" i="1"/>
  <c r="G62" i="3"/>
  <c r="N57" i="3"/>
  <c r="K27" i="3"/>
  <c r="N37" i="3"/>
  <c r="H40" i="1"/>
  <c r="L13" i="2"/>
  <c r="O13" i="2" s="1"/>
  <c r="J11" i="3"/>
  <c r="J12" i="3"/>
  <c r="I21" i="3"/>
  <c r="I22" i="3"/>
  <c r="I41" i="3"/>
  <c r="I42" i="3"/>
  <c r="H52" i="3"/>
  <c r="N78" i="3"/>
  <c r="M82" i="3"/>
  <c r="N40" i="1"/>
  <c r="I11" i="3"/>
  <c r="I12" i="3"/>
  <c r="K11" i="3"/>
  <c r="K12" i="3"/>
  <c r="J21" i="3"/>
  <c r="J22" i="3"/>
  <c r="J41" i="3"/>
  <c r="J42" i="3"/>
  <c r="I52" i="3"/>
  <c r="C71" i="3"/>
  <c r="E78" i="3"/>
  <c r="L12" i="2"/>
  <c r="O12" i="2" s="1"/>
  <c r="C11" i="3"/>
  <c r="C12" i="3"/>
  <c r="N21" i="3"/>
  <c r="N22" i="3"/>
  <c r="M52" i="3"/>
  <c r="G78" i="3"/>
  <c r="F82" i="3"/>
  <c r="N11" i="3"/>
  <c r="M12" i="2"/>
  <c r="P12" i="2" s="1"/>
  <c r="D11" i="3"/>
  <c r="D12" i="3"/>
  <c r="C41" i="3"/>
  <c r="C42" i="3"/>
  <c r="N52" i="3"/>
  <c r="H78" i="3"/>
  <c r="N12" i="3"/>
  <c r="J40" i="1"/>
  <c r="E11" i="3"/>
  <c r="E12" i="3"/>
  <c r="I78" i="3"/>
  <c r="F11" i="3"/>
  <c r="E21" i="3"/>
  <c r="E41" i="3"/>
  <c r="F89" i="3" l="1"/>
  <c r="J88" i="3"/>
  <c r="C89" i="3"/>
  <c r="I88" i="3"/>
  <c r="K83" i="3"/>
  <c r="O17" i="2"/>
  <c r="C42" i="1" s="1"/>
  <c r="H88" i="3"/>
  <c r="H90" i="3" s="1"/>
  <c r="H45" i="1" s="1"/>
  <c r="D89" i="3"/>
  <c r="Q17" i="2"/>
  <c r="E42" i="1" s="1"/>
  <c r="J83" i="3"/>
  <c r="J89" i="3" s="1"/>
  <c r="J91" i="3" s="1"/>
  <c r="J46" i="1" s="1"/>
  <c r="N17" i="2"/>
  <c r="D88" i="3"/>
  <c r="D90" i="3" s="1"/>
  <c r="D45" i="1" s="1"/>
  <c r="F88" i="3"/>
  <c r="G90" i="3" s="1"/>
  <c r="G45" i="1" s="1"/>
  <c r="L27" i="3"/>
  <c r="K31" i="3"/>
  <c r="K28" i="3"/>
  <c r="N58" i="3"/>
  <c r="N61" i="3"/>
  <c r="N83" i="3"/>
  <c r="N79" i="3"/>
  <c r="L83" i="3"/>
  <c r="L79" i="3"/>
  <c r="G83" i="3"/>
  <c r="G89" i="3" s="1"/>
  <c r="G91" i="3" s="1"/>
  <c r="G46" i="1" s="1"/>
  <c r="G79" i="3"/>
  <c r="L17" i="2"/>
  <c r="E88" i="3"/>
  <c r="C88" i="3"/>
  <c r="C91" i="3" s="1"/>
  <c r="C46" i="1" s="1"/>
  <c r="M17" i="2"/>
  <c r="E83" i="3"/>
  <c r="E89" i="3" s="1"/>
  <c r="E91" i="3" s="1"/>
  <c r="E46" i="1" s="1"/>
  <c r="E79" i="3"/>
  <c r="M79" i="3"/>
  <c r="M83" i="3"/>
  <c r="K88" i="3"/>
  <c r="K90" i="3" s="1"/>
  <c r="K45" i="1" s="1"/>
  <c r="N68" i="3"/>
  <c r="N71" i="3"/>
  <c r="I83" i="3"/>
  <c r="I89" i="3" s="1"/>
  <c r="I79" i="3"/>
  <c r="N38" i="3"/>
  <c r="N41" i="3"/>
  <c r="H83" i="3"/>
  <c r="H89" i="3" s="1"/>
  <c r="H79" i="3"/>
  <c r="D91" i="3" l="1"/>
  <c r="D46" i="1" s="1"/>
  <c r="I90" i="3"/>
  <c r="I45" i="1" s="1"/>
  <c r="J90" i="3"/>
  <c r="J45" i="1" s="1"/>
  <c r="H91" i="3"/>
  <c r="H46" i="1" s="1"/>
  <c r="I91" i="3"/>
  <c r="I46" i="1" s="1"/>
  <c r="E90" i="3"/>
  <c r="E45" i="1" s="1"/>
  <c r="K32" i="3"/>
  <c r="K89" i="3" s="1"/>
  <c r="K91" i="3" s="1"/>
  <c r="K46" i="1" s="1"/>
  <c r="K29" i="3"/>
  <c r="N69" i="3"/>
  <c r="N72" i="3"/>
  <c r="M27" i="3"/>
  <c r="L28" i="3"/>
  <c r="L31" i="3"/>
  <c r="L88" i="3" s="1"/>
  <c r="L90" i="3" s="1"/>
  <c r="L45" i="1" s="1"/>
  <c r="N59" i="3"/>
  <c r="N62" i="3"/>
  <c r="N18" i="2"/>
  <c r="K17" i="2"/>
  <c r="E41" i="1" s="1"/>
  <c r="E39" i="1"/>
  <c r="J17" i="2"/>
  <c r="D41" i="1" s="1"/>
  <c r="D39" i="1"/>
  <c r="M18" i="2"/>
  <c r="I17" i="2"/>
  <c r="C41" i="1" s="1"/>
  <c r="L18" i="2"/>
  <c r="C39" i="1"/>
  <c r="C47" i="1" s="1"/>
  <c r="C48" i="1" s="1"/>
  <c r="F90" i="3"/>
  <c r="F45" i="1" s="1"/>
  <c r="N42" i="3"/>
  <c r="N39" i="3"/>
  <c r="F91" i="3"/>
  <c r="F46" i="1" s="1"/>
  <c r="K41" i="1" l="1"/>
  <c r="J41" i="1"/>
  <c r="G41" i="1"/>
  <c r="I41" i="1"/>
  <c r="H41" i="1"/>
  <c r="N41" i="1"/>
  <c r="L41" i="1"/>
  <c r="M41" i="1"/>
  <c r="F41" i="1"/>
  <c r="M31" i="3"/>
  <c r="M88" i="3" s="1"/>
  <c r="M90" i="3" s="1"/>
  <c r="M45" i="1" s="1"/>
  <c r="M28" i="3"/>
  <c r="N27" i="3"/>
  <c r="D40" i="1"/>
  <c r="D43" i="1"/>
  <c r="D47" i="1"/>
  <c r="D48" i="1" s="1"/>
  <c r="E43" i="1"/>
  <c r="E47" i="1"/>
  <c r="E40" i="1"/>
  <c r="L29" i="3"/>
  <c r="L32" i="3"/>
  <c r="L89" i="3" s="1"/>
  <c r="L91" i="3" s="1"/>
  <c r="L46" i="1" s="1"/>
  <c r="M32" i="3" l="1"/>
  <c r="M89" i="3" s="1"/>
  <c r="M91" i="3" s="1"/>
  <c r="M46" i="1" s="1"/>
  <c r="M29" i="3"/>
  <c r="E48" i="1"/>
  <c r="F47" i="1"/>
  <c r="F40" i="1"/>
  <c r="F39" i="1" s="1"/>
  <c r="G40" i="1"/>
  <c r="N28" i="3"/>
  <c r="N31" i="3"/>
  <c r="N88" i="3" s="1"/>
  <c r="N90" i="3" s="1"/>
  <c r="N45" i="1" s="1"/>
  <c r="E44" i="1"/>
  <c r="E49" i="1"/>
  <c r="D44" i="1"/>
  <c r="D49" i="1"/>
  <c r="G39" i="1" l="1"/>
  <c r="F42" i="1"/>
  <c r="F43" i="1" s="1"/>
  <c r="G47" i="1"/>
  <c r="F48" i="1"/>
  <c r="N29" i="3"/>
  <c r="N32" i="3"/>
  <c r="N89" i="3" s="1"/>
  <c r="N91" i="3" s="1"/>
  <c r="N46" i="1" s="1"/>
  <c r="F44" i="1" l="1"/>
  <c r="F49" i="1"/>
  <c r="G48" i="1"/>
  <c r="H47" i="1"/>
  <c r="G42" i="1"/>
  <c r="G43" i="1"/>
  <c r="H39" i="1"/>
  <c r="I39" i="1" l="1"/>
  <c r="H42" i="1"/>
  <c r="H43" i="1" s="1"/>
  <c r="G49" i="1"/>
  <c r="G44" i="1"/>
  <c r="I47" i="1"/>
  <c r="H48" i="1"/>
  <c r="H49" i="1" l="1"/>
  <c r="H44" i="1"/>
  <c r="I48" i="1"/>
  <c r="J47" i="1"/>
  <c r="J39" i="1"/>
  <c r="I42" i="1"/>
  <c r="I43" i="1"/>
  <c r="J48" i="1" l="1"/>
  <c r="K47" i="1"/>
  <c r="I44" i="1"/>
  <c r="I49" i="1"/>
  <c r="J42" i="1"/>
  <c r="J43" i="1"/>
  <c r="K39" i="1"/>
  <c r="D57" i="1"/>
  <c r="D58" i="1" s="1"/>
  <c r="E57" i="1"/>
  <c r="E58" i="1" s="1"/>
  <c r="C57" i="1"/>
  <c r="C58" i="1" s="1"/>
  <c r="K42" i="1" l="1"/>
  <c r="K43" i="1" s="1"/>
  <c r="L39" i="1"/>
  <c r="J49" i="1"/>
  <c r="J44" i="1"/>
  <c r="L47" i="1"/>
  <c r="K48" i="1"/>
  <c r="K49" i="1" l="1"/>
  <c r="K44" i="1"/>
  <c r="M47" i="1"/>
  <c r="L48" i="1"/>
  <c r="M39" i="1"/>
  <c r="L42" i="1"/>
  <c r="L43" i="1" s="1"/>
  <c r="L44" i="1" l="1"/>
  <c r="L49" i="1"/>
  <c r="N39" i="1"/>
  <c r="M42" i="1"/>
  <c r="M43" i="1" s="1"/>
  <c r="N47" i="1"/>
  <c r="N48" i="1" s="1"/>
  <c r="M48" i="1"/>
  <c r="M44" i="1" l="1"/>
  <c r="M49" i="1"/>
  <c r="C62" i="1"/>
  <c r="E62" i="1"/>
  <c r="D62" i="1"/>
  <c r="N42" i="1"/>
  <c r="N43" i="1"/>
  <c r="N49" i="1" l="1"/>
  <c r="N44" i="1"/>
  <c r="C70" i="1" l="1"/>
  <c r="D56" i="1"/>
  <c r="D59" i="1" s="1"/>
  <c r="E72" i="1"/>
  <c r="G67" i="1"/>
  <c r="D69" i="1"/>
  <c r="E69" i="1"/>
  <c r="F71" i="1"/>
  <c r="G71" i="1"/>
  <c r="E71" i="1"/>
  <c r="F70" i="1"/>
  <c r="G72" i="1"/>
  <c r="C72" i="1"/>
  <c r="G69" i="1"/>
  <c r="E56" i="1"/>
  <c r="E59" i="1" s="1"/>
  <c r="C67" i="1"/>
  <c r="D71" i="1"/>
  <c r="C68" i="1"/>
  <c r="D67" i="1"/>
  <c r="D72" i="1"/>
  <c r="C71" i="1"/>
  <c r="C69" i="1"/>
  <c r="F68" i="1"/>
  <c r="E70" i="1"/>
  <c r="G70" i="1"/>
  <c r="C56" i="1"/>
  <c r="C59" i="1" s="1"/>
  <c r="F72" i="1"/>
  <c r="E67" i="1"/>
  <c r="D70" i="1"/>
  <c r="F69" i="1"/>
  <c r="G68" i="1"/>
  <c r="E68" i="1"/>
  <c r="D68" i="1"/>
  <c r="F67" i="1"/>
  <c r="E60" i="1" l="1"/>
  <c r="E61" i="1"/>
  <c r="D60" i="1"/>
  <c r="D61" i="1"/>
  <c r="C60" i="1"/>
  <c r="C61" i="1"/>
</calcChain>
</file>

<file path=xl/sharedStrings.xml><?xml version="1.0" encoding="utf-8"?>
<sst xmlns="http://schemas.openxmlformats.org/spreadsheetml/2006/main" count="431" uniqueCount="222">
  <si>
    <t>Financials - analysts' projections, aggregated (index points)</t>
  </si>
  <si>
    <t>Net income and dividends of the XP Financials models (R$ mn, files in inputs/analyst_models/Financials/). After a model's last year: net income grows at g and the payout stays at its last value, as the model's own perpetuity. Index points = R$ x the member's index points / market cap (Members sheet of the main model, Oct-5-2026).</t>
  </si>
  <si>
    <t>Legend:</t>
  </si>
  <si>
    <t>input</t>
  </si>
  <si>
    <t>assumption</t>
  </si>
  <si>
    <t>formula</t>
  </si>
  <si>
    <t>Itaú Unibanco (ITUB4)  |  ITUB Model Official 2Q26_vCSStrategy.xlsx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</si>
  <si>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</si>
  <si>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</si>
  <si>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</si>
  <si>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</si>
  <si>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</si>
  <si>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</si>
  <si>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</si>
  <si>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</si>
  <si>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</si>
  <si>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</si>
  <si>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</si>
  <si>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</si>
  <si>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</si>
  <si>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How it is calculated / source</t>
  </si>
  <si>
    <t>Net income (R$ mn)</t>
  </si>
  <si>
    <t xml:space="preserve">Model: Income Statement r61 Recurring Net Income. </t>
  </si>
  <si>
    <t>Dividends + IoC (R$ mn)</t>
  </si>
  <si>
    <t xml:space="preserve">Model: Income Statement r66 Dividends/IoC Provisioned. </t>
  </si>
  <si>
    <t>Payout</t>
  </si>
  <si>
    <t>Dividends / net income.</t>
  </si>
  <si>
    <t>Index points / market cap (R$ mn)</t>
  </si>
  <si>
    <t>C: index points (Members); D: market cap (Members); E: factor that turns R$ mn into index points.</t>
  </si>
  <si>
    <t>Net income (index pts)</t>
  </si>
  <si>
    <t>Dividends (index pts)</t>
  </si>
  <si>
    <t>Bradesco (BBDC4 + BBDC3)  |  BBDC Model Official 2Q26_vCSStrategy.xlsx</t>
  </si>
  <si>
    <t xml:space="preserve">Model: Income Statement r73 Recurring Net Income. </t>
  </si>
  <si>
    <t xml:space="preserve">Model: Income Statement r78 Dividends/IoC Provisioned - Net. </t>
  </si>
  <si>
    <t>B3 (B3SA3)  |  B3SA3 Model Official 3Q25_vCSStrategy.xlsx</t>
  </si>
  <si>
    <t>Model: Income Statement r52 Recurring Net Income. After 2033: x (1 + g).</t>
  </si>
  <si>
    <t>Model: Income Statement r58 Dividends/IoC. After 2033: net income x the 2033 payout.</t>
  </si>
  <si>
    <t>BTG Pactual (BPAC11)  |  BPAC Model Official 3Q25_vCSStrategy.xlsx</t>
  </si>
  <si>
    <t>Model: Income Statement r50 Net Income. After 2036: x (1 + g).</t>
  </si>
  <si>
    <t>Model: Income Statement r56 Dividends/IoC. After 2036: net income x the 2036 payout.</t>
  </si>
  <si>
    <t>Banco do Brasil (BBAS3)  |  BBAS Model Official 2Q26_vCSStrategy.xlsx</t>
  </si>
  <si>
    <t xml:space="preserve">Model: = dividends / payout. </t>
  </si>
  <si>
    <t xml:space="preserve">Model: Valuation r5 Total Return; payout: Model r26. </t>
  </si>
  <si>
    <t>Model: Model r26 (input).</t>
  </si>
  <si>
    <t>Caixa Seguridade (CXSE3)  |  CXSE3 Model Official 3Q25_vCSStrategy.xlsx</t>
  </si>
  <si>
    <t>Model: Income Statement r54 Managerial Net Income (R$ thousand / 1,000). After 2036: x (1 + g).</t>
  </si>
  <si>
    <t>Model: Valuation r2 Dividend. After 2036: net income x the 2036 payout.</t>
  </si>
  <si>
    <t>Santander (SANB11)  |  SANB Model Official 4Q25_vCSStrategy.xlsx</t>
  </si>
  <si>
    <t>Model: IS r95 Recurring Net Income. After 2036: x (1 + g).</t>
  </si>
  <si>
    <t>Model: IS r103 Dividends/IoC Provisioned. After 2036: net income x the 2036 payout.</t>
  </si>
  <si>
    <t>Itaúsa (ITSA4)  |  no model: Itaú's net income path and payout (holding of Itaú)</t>
  </si>
  <si>
    <t>Net income (R$ mn) = consensus FY28 x Itaú's net income / Itaú's 2028</t>
  </si>
  <si>
    <t>Itaú's path scaled to Itaúsa's FY28 consensus (Members).</t>
  </si>
  <si>
    <t>Dividends (R$ mn) = net income x Itaú's payout</t>
  </si>
  <si>
    <t>Itaúsa net income FY28, Bloomberg consensus (R$ mn)</t>
  </si>
  <si>
    <t>Aggregate of the modeled members (index points): what the box takes from the analysts</t>
  </si>
  <si>
    <t>Net income growth</t>
  </si>
  <si>
    <t>Used for the box from 2029.</t>
  </si>
  <si>
    <t>Payout = dividends / net income</t>
  </si>
  <si>
    <t>Used for the box in every year.</t>
  </si>
  <si>
    <t>Coverage: index points of the modeled members / Financials box</t>
  </si>
  <si>
    <t>BB Seguridade and Porto Seguro have no model: they take the aggregate path.</t>
  </si>
  <si>
    <t>Financials - valuation parameters of the analysts' models</t>
  </si>
  <si>
    <t>Valuation sheet of each model. Ke = (NTN-B + long-term IPCA) x 0.85 + beta x ERP; g = long-term IPCA + real GDP (Macro sheet).</t>
  </si>
  <si>
    <t>Member</t>
  </si>
  <si>
    <t>Ke</t>
  </si>
  <si>
    <t>NTN-B</t>
  </si>
  <si>
    <t>IPCA LT</t>
  </si>
  <si>
    <t>Risk free = (NTN-B + IPCA) x 0.85</t>
  </si>
  <si>
    <t>ERP</t>
  </si>
  <si>
    <t>Beta</t>
  </si>
  <si>
    <t>g</t>
  </si>
  <si>
    <t>Perpetuity share of value</t>
  </si>
  <si>
    <t>Last explicit year</t>
  </si>
  <si>
    <t>Value date</t>
  </si>
  <si>
    <t>Index points</t>
  </si>
  <si>
    <t>ITUB4 + ITSA4</t>
  </si>
  <si>
    <t>End-2027</t>
  </si>
  <si>
    <t>BBDC4 + BBDC3</t>
  </si>
  <si>
    <t>B3SA3</t>
  </si>
  <si>
    <t>n/a</t>
  </si>
  <si>
    <t>BPAC11</t>
  </si>
  <si>
    <t>End-2026</t>
  </si>
  <si>
    <t>BBAS3</t>
  </si>
  <si>
    <t>CXSE3</t>
  </si>
  <si>
    <t>SANB11</t>
  </si>
  <si>
    <t>Weighted by index points</t>
  </si>
  <si>
    <t>Itaúsa takes Itaú's parameters; Bradesco's two share classes are added. Source: Valuation sheet of each file (Ke, NTN-B, risk free, ERP, beta, g, 'Perpetuity' = PV of the terminal value / fair equity value).</t>
  </si>
  <si>
    <t>Financials - consensus 2026-28 of the members, summed into the box (index points)</t>
  </si>
  <si>
    <t>Bloomberg BEST consensus (Oct-7-2026): net income (BEST_NET_INCOME, Members sheet of the main model) and ROE (BEST_ROE, dcf_members.parquet). Book value = net income / ROE. Index points = R$ mn x points / market cap. Only the actuals and consensus years are built from the members; the projection is done for the box.</t>
  </si>
  <si>
    <t>Market cap (R$ mn)</t>
  </si>
  <si>
    <t>Points / market cap</t>
  </si>
  <si>
    <t>Net income 2026 (R$ mn)</t>
  </si>
  <si>
    <t>Net income 2027 (R$ mn)</t>
  </si>
  <si>
    <t>Net income 2028 (R$ mn)</t>
  </si>
  <si>
    <t>ROE 2026</t>
  </si>
  <si>
    <t>ROE 2027</t>
  </si>
  <si>
    <t>ROE 2028</t>
  </si>
  <si>
    <t>Net income 2026 (pts)</t>
  </si>
  <si>
    <t>Net income 2027 (pts)</t>
  </si>
  <si>
    <t>Net income 2028 (pts)</t>
  </si>
  <si>
    <t>Book value 2026 (pts)</t>
  </si>
  <si>
    <t>Book value 2027 (pts)</t>
  </si>
  <si>
    <t>Book value 2028 (pts)</t>
  </si>
  <si>
    <t>Itaú Unibanco (ITUB4)</t>
  </si>
  <si>
    <t>Bradesco (BBDC4 + BBDC3)</t>
  </si>
  <si>
    <t>B3 (B3SA3)</t>
  </si>
  <si>
    <t>Itausa (ITSA4)</t>
  </si>
  <si>
    <t>BTG Pactual (BPAC11)</t>
  </si>
  <si>
    <t>Banco do Brasil (BBAS3)</t>
  </si>
  <si>
    <t>BBSeguridade (BBSE3)</t>
  </si>
  <si>
    <t>Caixa Seguridade (CXSE3)</t>
  </si>
  <si>
    <t>Santander (SANB11)</t>
  </si>
  <si>
    <t>Porto Seguro (PSSA3)</t>
  </si>
  <si>
    <t>Financials box</t>
  </si>
  <si>
    <t>Check: net income vs. Box Shares!M7:O7 of the main model</t>
  </si>
  <si>
    <t>Box ROE = sum of net income / sum of book value (row total).</t>
  </si>
  <si>
    <t>Itaúsa: no BEST_ROE for the holding; Itaú's consensus ROE as a proxy (pink, editable).</t>
  </si>
  <si>
    <t>Bradesco: BBDC4 and BBDC3 points added (same company figures).</t>
  </si>
  <si>
    <t>Financials - FCFE / bank DDM, the analysts' logic on the box consensus (end-2027)</t>
  </si>
  <si>
    <t>Consensus 2026-28 summed from the members (Box Consensus); the projection is done for the box: ROE held, growth fading to g, cash to shareholders = net income - the increase in book value; Gordon perpetuity on the last explicit year.</t>
  </si>
  <si>
    <t>1. Inputs</t>
  </si>
  <si>
    <t>Item</t>
  </si>
  <si>
    <t>Value</t>
  </si>
  <si>
    <t>Source / note</t>
  </si>
  <si>
    <t>Financials, index points today</t>
  </si>
  <si>
    <t>Members' weight x Ibovespa close of Oct-5-2026 (Box Consensus; Box Shares!C7 of the main model).</t>
  </si>
  <si>
    <t>Long-term IPCA</t>
  </si>
  <si>
    <t>Analysts' Macro sheet and the house (Target!B63).</t>
  </si>
  <si>
    <t>Long-term real GDP growth</t>
  </si>
  <si>
    <t>Analysts' Macro sheet.</t>
  </si>
  <si>
    <t>Share of the risk free kept after tax</t>
  </si>
  <si>
    <t>As the analysts: risk free = (NTN-B + IPCA) x 0.85 (15% income tax on fixed income).</t>
  </si>
  <si>
    <t>Earnings beta x normalization (domestic cycle)</t>
  </si>
  <si>
    <t>Box Earnings!I7 and I16 of the main model: shock of Financials = C x D x the Ibovespa ex-Commodities shock.</t>
  </si>
  <si>
    <t>Projection: 1 = box consensus with the analysts' logic; 2 = the analysts' own growth and payout (memo)</t>
  </si>
  <si>
    <t>2 applies the analysts' aggregate growth and payout (Analyst Models) to the box consensus of 2026-28.</t>
  </si>
  <si>
    <t>Box ROE from 2029 (blank = consensus FY28 of the box)</t>
  </si>
  <si>
    <t>Typed value replaces the FY28 box ROE after 2028.</t>
  </si>
  <si>
    <t>Equity risk premium, the same for every box</t>
  </si>
  <si>
    <t>Caio, Oct-8-2026: 5.5%, the standard of most XP Financials models. Implied ERP of the Ibovespa in this convention: 4.8% (10y average), 4.2% now.</t>
  </si>
  <si>
    <t>2. House vs. analysts, variable by variable (choice: 1 = house, 2 = analysts)</t>
  </si>
  <si>
    <t>Variable</t>
  </si>
  <si>
    <t>House</t>
  </si>
  <si>
    <t>Analysts</t>
  </si>
  <si>
    <t>Choice</t>
  </si>
  <si>
    <t>Used</t>
  </si>
  <si>
    <t>House / analysts</t>
  </si>
  <si>
    <t>House: the box beta, weekly 5 years vs. the Ibovespa from the local box index (Box Betas). Analysts: each model's beta, weighted.</t>
  </si>
  <si>
    <t>Perpetuity growth (g)</t>
  </si>
  <si>
    <t>House: 4.7% (Target!B54). Analysts: long-term IPCA + real GDP.</t>
  </si>
  <si>
    <t>Explicit years after the value date</t>
  </si>
  <si>
    <t>House: 2028-31 (4 years after end-2027). Analysts: 10-11 years (to 2036-37). Growth fades to g by the last explicit year.</t>
  </si>
  <si>
    <t>Extra periods in the discount of the terminal value</t>
  </si>
  <si>
    <t>House: the TV is discounted one period more than the last flow (Target sheet, NPV layout). Analysts: the last year's factor.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</si>
  <si>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</si>
  <si>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</si>
  <si>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</si>
  <si>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</si>
  <si>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</si>
  <si>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</si>
  <si>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</si>
  <si>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nominal = (NTN-B + long-term IPCA) x share kept after tax</t>
  </si>
  <si>
    <t>Nominal, because the flows are nominal (consensus in current R$, growth with inflation). Not a choice.</t>
  </si>
  <si>
    <t>Ke = risk free + beta x ERP</t>
  </si>
  <si>
    <t>Ke - g</t>
  </si>
  <si>
    <t>4. Box projection (index points): consensus 2026-28, box-level projection after 2028</t>
  </si>
  <si>
    <t>Years after end-2027 (1 = explicit, grey = after the explicit years)</t>
  </si>
  <si>
    <t>Flows after the last explicit year are not used.</t>
  </si>
  <si>
    <t>Net income: 2026-28 consensus (sum of the members); then previous x (1 + growth)</t>
  </si>
  <si>
    <t>Box Consensus.</t>
  </si>
  <si>
    <t>Net income growth: 2027-28 consensus; then linear from the 2028 growth to g in the last explicit year</t>
  </si>
  <si>
    <t>As the analysts: growth slows to about the perpetuity growth by the last explicit year.</t>
  </si>
  <si>
    <t>ROE: 2026-28 consensus of the box; then held at FY28</t>
  </si>
  <si>
    <t>Box ROE = sum of net income / sum of book value. The analysts keep ROE about flat (ITUB 25%, BBDC 17%).</t>
  </si>
  <si>
    <t>Book value: 2026-28 consensus (net income / ROE, summed); then net income / ROE</t>
  </si>
  <si>
    <t>Cash to shareholders = net income - increase in book value (dividends + buybacks)</t>
  </si>
  <si>
    <t>FCFE of a bank; as the analysts' equity roll-forward (equity = previous + net income - dividends).</t>
  </si>
  <si>
    <t>Converges to about 1 - g / ROE as growth reaches g.</t>
  </si>
  <si>
    <t>Memo: analysts' aggregate net income growth</t>
  </si>
  <si>
    <t>Analyst Models.</t>
  </si>
  <si>
    <t>Memo: analysts' aggregate payout</t>
  </si>
  <si>
    <t>Memo: net income on the analysts' path (consensus 2026-28, then their growth)</t>
  </si>
  <si>
    <t>Memo: dividends on the analysts' path</t>
  </si>
  <si>
    <t>Cash to shareholders used (switch in row 12)</t>
  </si>
  <si>
    <t>5. Valuation at the end of 2027</t>
  </si>
  <si>
    <t>Earnings shock of the Ibovespa ex-Commodities</t>
  </si>
  <si>
    <t>Symmetric +/-20%, as the other boxes.</t>
  </si>
  <si>
    <t>Earnings shock of Financials = beta x normalization x shock</t>
  </si>
  <si>
    <t>Moves the cash to shareholders of every year.</t>
  </si>
  <si>
    <t>PV of the explicit flows = (1 + shock) x sum of flow / (1 + Ke) ^ t</t>
  </si>
  <si>
    <t>t = 1 for 2028 (value at end-2027); only the explicit years.</t>
  </si>
  <si>
    <t>Terminal value = last explicit flow x (1 + shock) x (1 + g) / (Ke - g)</t>
  </si>
  <si>
    <t>Gordon on the last explicit flow.</t>
  </si>
  <si>
    <t>PV of the terminal value = TV / (1 + Ke) ^ (explicit years + extra periods)</t>
  </si>
  <si>
    <t>Fair value of Financials at the end of 2027 (index pts)</t>
  </si>
  <si>
    <t>Upside vs. today</t>
  </si>
  <si>
    <t>Perpetuity share of the value</t>
  </si>
  <si>
    <t>Analysts' models: 42-52% (Model Parameters).</t>
  </si>
  <si>
    <t>Memo: upside with the analysts' own growth and payout (row 48), same choices</t>
  </si>
  <si>
    <t>Memo: upside in the unified DCF by box (main model, v7b)</t>
  </si>
  <si>
    <t>Ibov_house_2027_by_box_XP.xlsx, DCF by Box row 63 (FCFE, 4 explicit years, house g and rate).</t>
  </si>
  <si>
    <t>6. Base upside (no earnings shock): Ke (rows) x perpetuity g (columns); flows as projected</t>
  </si>
  <si>
    <t>Ke \ g</t>
  </si>
  <si>
    <t>15.47% = Ke in the base ((6.76% + 4%) x 0.85 + 1.149 x 5.5%). 4.7% = house g; 6.0% = analysts' g.</t>
  </si>
  <si>
    <t>7. What is fixed (not switchable) and where it comes from</t>
  </si>
  <si>
    <t>Risk free nominal: (NTN-B + IPCA) x 0.85</t>
  </si>
  <si>
    <t>Required by the nominal flows; the tax haircut as the analysts</t>
  </si>
  <si>
    <t>Equity risk premium 5.5%, the same for every box</t>
  </si>
  <si>
    <t>Unified (Caio); standard of most XP Financials models</t>
  </si>
  <si>
    <t>Content of 2026-28: Bloomberg consensus of the members, summed</t>
  </si>
  <si>
    <t>Strategy (unified with the other boxes)</t>
  </si>
  <si>
    <t>Projection for the box only: ROE held at FY28, growth fading to g</t>
  </si>
  <si>
    <t>Analysts' logic</t>
  </si>
  <si>
    <t>Cash to shareholders = net income - increase in book value</t>
  </si>
  <si>
    <t>Analysts' equity roll-forward (= house FCFE)</t>
  </si>
  <si>
    <t>Gordon perpetuity on the last explicit flow</t>
  </si>
  <si>
    <t>Both</t>
  </si>
  <si>
    <t>Scenario real rates 8.5% / today / 5.5%</t>
  </si>
  <si>
    <t>House (unified with the other boxes)</t>
  </si>
  <si>
    <t>Earnings shock +/-20% x earnings beta</t>
  </si>
  <si>
    <t>Value at end-2027, compared with today's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</si>
</sst>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&quot; pp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66" fontId="7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0" fontId="10" fillId="0" borderId="2" xfId="0" applyNumberFormat="1" applyFont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1"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7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6" width="13.6640625" customWidth="1"/>
    <col min="7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119</v>
      </c>
    </row>
    <row r="2" spans="2:16" ht="13.95" customHeight="1" x14ac:dyDescent="0.3">
      <c r="B2" s="2" t="s">
        <v>120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5" t="s">
        <v>121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2:16" ht="13.95" customHeight="1" x14ac:dyDescent="0.3">
      <c r="B6" s="6" t="s">
        <v>122</v>
      </c>
      <c r="C6" s="7" t="s">
        <v>123</v>
      </c>
      <c r="D6" s="7"/>
      <c r="P6" s="7" t="s">
        <v>124</v>
      </c>
    </row>
    <row r="7" spans="2:16" ht="13.95" customHeight="1" x14ac:dyDescent="0.3">
      <c r="B7" s="8" t="s">
        <v>125</v>
      </c>
      <c r="C7" s="9">
        <f>'Box Consensus'!C17</f>
        <v>60927.303521809401</v>
      </c>
      <c r="P7" s="2" t="s">
        <v>126</v>
      </c>
    </row>
    <row r="8" spans="2:16" ht="13.95" customHeight="1" x14ac:dyDescent="0.3">
      <c r="B8" s="8" t="s">
        <v>127</v>
      </c>
      <c r="C8" s="10">
        <v>0.04</v>
      </c>
      <c r="P8" s="2" t="s">
        <v>128</v>
      </c>
    </row>
    <row r="9" spans="2:16" ht="13.95" customHeight="1" x14ac:dyDescent="0.3">
      <c r="B9" s="8" t="s">
        <v>129</v>
      </c>
      <c r="C9" s="10">
        <v>0.02</v>
      </c>
      <c r="P9" s="2" t="s">
        <v>130</v>
      </c>
    </row>
    <row r="10" spans="2:16" ht="13.95" customHeight="1" x14ac:dyDescent="0.3">
      <c r="B10" s="8" t="s">
        <v>131</v>
      </c>
      <c r="C10" s="11">
        <v>0.85</v>
      </c>
      <c r="P10" s="2" t="s">
        <v>132</v>
      </c>
    </row>
    <row r="11" spans="2:16" ht="13.95" customHeight="1" x14ac:dyDescent="0.3">
      <c r="B11" s="8" t="s">
        <v>133</v>
      </c>
      <c r="C11" s="12">
        <v>0.73279099999999997</v>
      </c>
      <c r="D11" s="12">
        <v>1.186858777515015</v>
      </c>
      <c r="P11" s="2" t="s">
        <v>134</v>
      </c>
    </row>
    <row r="12" spans="2:16" ht="13.95" customHeight="1" x14ac:dyDescent="0.3">
      <c r="B12" s="8" t="s">
        <v>135</v>
      </c>
      <c r="C12" s="13">
        <v>1</v>
      </c>
      <c r="P12" s="2" t="s">
        <v>136</v>
      </c>
    </row>
    <row r="13" spans="2:16" ht="13.95" customHeight="1" x14ac:dyDescent="0.3">
      <c r="B13" s="8" t="s">
        <v>137</v>
      </c>
      <c r="C13" s="10"/>
      <c r="P13" s="2" t="s">
        <v>138</v>
      </c>
    </row>
    <row r="14" spans="2:16" ht="13.95" customHeight="1" x14ac:dyDescent="0.3">
      <c r="B14" s="8" t="s">
        <v>139</v>
      </c>
      <c r="C14" s="14">
        <v>5.5E-2</v>
      </c>
      <c r="P14" s="2" t="s">
        <v>140</v>
      </c>
    </row>
    <row r="15" spans="2:16" ht="13.95" customHeight="1" x14ac:dyDescent="0.3">
      <c r="B15" s="55" t="s">
        <v>141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2:16" ht="30" customHeight="1" x14ac:dyDescent="0.3">
      <c r="B16" s="6" t="s">
        <v>142</v>
      </c>
      <c r="C16" s="7" t="s">
        <v>143</v>
      </c>
      <c r="D16" s="7" t="s">
        <v>144</v>
      </c>
      <c r="E16" s="7" t="s">
        <v>145</v>
      </c>
      <c r="F16" s="7" t="s">
        <v>146</v>
      </c>
      <c r="P16" s="7" t="s">
        <v>147</v>
      </c>
    </row>
    <row r="17" spans="2:16" ht="13.95" customHeight="1" x14ac:dyDescent="0.3">
      <c r="B17" s="8" t="s">
        <v>70</v>
      </c>
      <c r="C17" s="15">
        <v>1.1490636583839999</v>
      </c>
      <c r="D17" s="16">
        <f>BetaAn</f>
        <v>1.0747442657540422</v>
      </c>
      <c r="E17" s="17">
        <v>1</v>
      </c>
      <c r="F17" s="18">
        <f>IF(E17=1,C17,D17)</f>
        <v>1.1490636583839999</v>
      </c>
      <c r="P17" s="2" t="s">
        <v>148</v>
      </c>
    </row>
    <row r="18" spans="2:16" ht="13.95" customHeight="1" x14ac:dyDescent="0.3">
      <c r="B18" s="8" t="s">
        <v>149</v>
      </c>
      <c r="C18" s="10">
        <v>4.7E-2</v>
      </c>
      <c r="D18" s="19">
        <f>C8+C9</f>
        <v>0.06</v>
      </c>
      <c r="E18" s="17">
        <v>2</v>
      </c>
      <c r="F18" s="20">
        <f>IF(E18=1,C18,D18)</f>
        <v>0.06</v>
      </c>
      <c r="P18" s="2" t="s">
        <v>150</v>
      </c>
    </row>
    <row r="19" spans="2:16" ht="13.95" customHeight="1" x14ac:dyDescent="0.3">
      <c r="B19" s="8" t="s">
        <v>151</v>
      </c>
      <c r="C19" s="13">
        <v>4</v>
      </c>
      <c r="D19" s="13">
        <v>10</v>
      </c>
      <c r="E19" s="17">
        <v>1</v>
      </c>
      <c r="F19" s="21">
        <f>IF(E19=1,C19,D19)</f>
        <v>4</v>
      </c>
      <c r="P19" s="2" t="s">
        <v>152</v>
      </c>
    </row>
    <row r="20" spans="2:16" ht="13.95" customHeight="1" x14ac:dyDescent="0.3">
      <c r="B20" s="8" t="s">
        <v>153</v>
      </c>
      <c r="C20" s="13">
        <v>1</v>
      </c>
      <c r="D20" s="13">
        <v>0</v>
      </c>
      <c r="E20" s="17">
        <v>2</v>
      </c>
      <c r="F20" s="21">
        <f>IF(E20=1,C20,D20)</f>
        <v>0</v>
      </c>
      <c r="P20" s="2" t="s">
        <v>154</v>
      </c>
    </row>
    <row r="29" spans="2:16" ht="13.95" customHeight="1" x14ac:dyDescent="0.3">
      <c r="B29" s="55" t="s">
        <v>155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2:16" ht="13.95" customHeight="1" x14ac:dyDescent="0.3">
      <c r="B30" s="6" t="s">
        <v>122</v>
      </c>
      <c r="C30" s="7" t="s">
        <v>156</v>
      </c>
      <c r="D30" s="7" t="s">
        <v>157</v>
      </c>
      <c r="E30" s="7" t="s">
        <v>158</v>
      </c>
      <c r="P30" s="7" t="s">
        <v>159</v>
      </c>
    </row>
    <row r="31" spans="2:16" ht="13.95" customHeight="1" x14ac:dyDescent="0.3">
      <c r="B31" s="8" t="s">
        <v>160</v>
      </c>
      <c r="C31" s="14">
        <v>8.5000000000000006E-2</v>
      </c>
      <c r="D31" s="14">
        <v>6.7599999999999993E-2</v>
      </c>
      <c r="E31" s="14">
        <v>5.5E-2</v>
      </c>
      <c r="P31" s="2" t="s">
        <v>161</v>
      </c>
    </row>
    <row r="32" spans="2:16" ht="13.95" customHeight="1" x14ac:dyDescent="0.3">
      <c r="B32" s="8" t="s">
        <v>162</v>
      </c>
      <c r="C32" s="22">
        <f>(C31+$C$8)*$C$10</f>
        <v>0.10625</v>
      </c>
      <c r="D32" s="22">
        <f>(D31+$C$8)*$C$10</f>
        <v>9.146E-2</v>
      </c>
      <c r="E32" s="22">
        <f>(E31+$C$8)*$C$10</f>
        <v>8.0750000000000002E-2</v>
      </c>
      <c r="P32" s="2" t="s">
        <v>163</v>
      </c>
    </row>
    <row r="33" spans="2:16" ht="13.95" customHeight="1" x14ac:dyDescent="0.3">
      <c r="B33" s="23" t="s">
        <v>164</v>
      </c>
      <c r="C33" s="24">
        <f>C32+$F$17*$C$14</f>
        <v>0.16944850121111998</v>
      </c>
      <c r="D33" s="24">
        <f>D32+$F$17*$C$14</f>
        <v>0.15465850121112001</v>
      </c>
      <c r="E33" s="24">
        <f>E32+$F$17*$C$14</f>
        <v>0.14394850121112002</v>
      </c>
    </row>
    <row r="34" spans="2:16" ht="13.95" customHeight="1" x14ac:dyDescent="0.3">
      <c r="B34" s="8" t="s">
        <v>165</v>
      </c>
      <c r="C34" s="25">
        <f>(C33-g_)*100</f>
        <v>10.944850121111999</v>
      </c>
      <c r="D34" s="25">
        <f>(D33-g_)*100</f>
        <v>9.4658501211120019</v>
      </c>
      <c r="E34" s="25">
        <f>(E33-g_)*100</f>
        <v>8.3948501211120021</v>
      </c>
    </row>
    <row r="36" spans="2:16" ht="13.95" customHeight="1" x14ac:dyDescent="0.3">
      <c r="B36" s="55" t="s">
        <v>166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2:16" ht="13.95" customHeight="1" x14ac:dyDescent="0.3">
      <c r="B37" s="6" t="s">
        <v>7</v>
      </c>
      <c r="C37" s="7" t="s">
        <v>8</v>
      </c>
      <c r="D37" s="7" t="s">
        <v>9</v>
      </c>
      <c r="E37" s="7" t="s">
        <v>10</v>
      </c>
      <c r="F37" s="7" t="s">
        <v>11</v>
      </c>
      <c r="G37" s="7" t="s">
        <v>12</v>
      </c>
      <c r="H37" s="7" t="s">
        <v>13</v>
      </c>
      <c r="I37" s="7" t="s">
        <v>14</v>
      </c>
      <c r="J37" s="7" t="s">
        <v>15</v>
      </c>
      <c r="K37" s="7" t="s">
        <v>16</v>
      </c>
      <c r="L37" s="7" t="s">
        <v>17</v>
      </c>
      <c r="M37" s="7" t="s">
        <v>18</v>
      </c>
      <c r="N37" s="7" t="s">
        <v>19</v>
      </c>
      <c r="P37" s="7" t="s">
        <v>20</v>
      </c>
    </row>
    <row r="38" spans="2:16" ht="13.95" customHeight="1" x14ac:dyDescent="0.3">
      <c r="B38" s="8" t="s">
        <v>167</v>
      </c>
      <c r="E38" s="26">
        <f>2028-2027</f>
        <v>1</v>
      </c>
      <c r="F38" s="26">
        <f>2029-2027</f>
        <v>2</v>
      </c>
      <c r="G38" s="26">
        <f>2030-2027</f>
        <v>3</v>
      </c>
      <c r="H38" s="26">
        <f>2031-2027</f>
        <v>4</v>
      </c>
      <c r="I38" s="26">
        <f>2032-2027</f>
        <v>5</v>
      </c>
      <c r="J38" s="26">
        <f>2033-2027</f>
        <v>6</v>
      </c>
      <c r="K38" s="26">
        <f>2034-2027</f>
        <v>7</v>
      </c>
      <c r="L38" s="26">
        <f>2035-2027</f>
        <v>8</v>
      </c>
      <c r="M38" s="26">
        <f>2036-2027</f>
        <v>9</v>
      </c>
      <c r="N38" s="26">
        <f>2037-2027</f>
        <v>10</v>
      </c>
      <c r="P38" s="2" t="s">
        <v>168</v>
      </c>
    </row>
    <row r="39" spans="2:16" ht="13.95" customHeight="1" x14ac:dyDescent="0.3">
      <c r="B39" s="23" t="s">
        <v>169</v>
      </c>
      <c r="C39" s="27">
        <f>'Box Consensus'!L17</f>
        <v>5708.1180707928843</v>
      </c>
      <c r="D39" s="27">
        <f>'Box Consensus'!M17</f>
        <v>6447.8434518249705</v>
      </c>
      <c r="E39" s="27">
        <f>'Box Consensus'!N17</f>
        <v>7167.1074217837477</v>
      </c>
      <c r="F39" s="27">
        <f t="shared" ref="F39:N39" si="0">E39*(1+F40)</f>
        <v>7843.4486704435585</v>
      </c>
      <c r="G39" s="27">
        <f t="shared" si="0"/>
        <v>8448.8350353730639</v>
      </c>
      <c r="H39" s="27">
        <f t="shared" si="0"/>
        <v>8955.7651374954476</v>
      </c>
      <c r="I39" s="27">
        <f t="shared" si="0"/>
        <v>9493.1110457451741</v>
      </c>
      <c r="J39" s="27">
        <f t="shared" si="0"/>
        <v>10062.697708489884</v>
      </c>
      <c r="K39" s="27">
        <f t="shared" si="0"/>
        <v>10666.459570999277</v>
      </c>
      <c r="L39" s="27">
        <f t="shared" si="0"/>
        <v>11306.447145259235</v>
      </c>
      <c r="M39" s="27">
        <f t="shared" si="0"/>
        <v>11984.83397397479</v>
      </c>
      <c r="N39" s="27">
        <f t="shared" si="0"/>
        <v>12703.924012413278</v>
      </c>
      <c r="P39" s="2" t="s">
        <v>170</v>
      </c>
    </row>
    <row r="40" spans="2:16" ht="13.95" customHeight="1" x14ac:dyDescent="0.3">
      <c r="B40" s="8" t="s">
        <v>171</v>
      </c>
      <c r="D40" s="19">
        <f>D39/C39-1</f>
        <v>0.12959181500065475</v>
      </c>
      <c r="E40" s="19">
        <f>E39/D39-1</f>
        <v>0.11155109073797376</v>
      </c>
      <c r="F40" s="19">
        <f t="shared" ref="F40:N40" si="1">IF(F38&gt;=NExp,g_,$E$40+(g_-$E$40)*(F38-1)/(NExp-1))</f>
        <v>9.4367393825315837E-2</v>
      </c>
      <c r="G40" s="19">
        <f t="shared" si="1"/>
        <v>7.7183696912657918E-2</v>
      </c>
      <c r="H40" s="19">
        <f t="shared" si="1"/>
        <v>0.06</v>
      </c>
      <c r="I40" s="19">
        <f t="shared" si="1"/>
        <v>0.06</v>
      </c>
      <c r="J40" s="19">
        <f t="shared" si="1"/>
        <v>0.06</v>
      </c>
      <c r="K40" s="19">
        <f t="shared" si="1"/>
        <v>0.06</v>
      </c>
      <c r="L40" s="19">
        <f t="shared" si="1"/>
        <v>0.06</v>
      </c>
      <c r="M40" s="19">
        <f t="shared" si="1"/>
        <v>0.06</v>
      </c>
      <c r="N40" s="19">
        <f t="shared" si="1"/>
        <v>0.06</v>
      </c>
      <c r="P40" s="2" t="s">
        <v>172</v>
      </c>
    </row>
    <row r="41" spans="2:16" ht="13.95" customHeight="1" x14ac:dyDescent="0.3">
      <c r="B41" s="8" t="s">
        <v>173</v>
      </c>
      <c r="C41" s="19">
        <f>'Box Consensus'!I17</f>
        <v>0.18878721216154329</v>
      </c>
      <c r="D41" s="19">
        <f>'Box Consensus'!J17</f>
        <v>0.19933653535492896</v>
      </c>
      <c r="E41" s="19">
        <f>'Box Consensus'!K17</f>
        <v>0.2034070756073702</v>
      </c>
      <c r="F41" s="19">
        <f t="shared" ref="F41:N41" si="2">IF(ISNUMBER($C$13),$C$13,$E$41)</f>
        <v>0.2034070756073702</v>
      </c>
      <c r="G41" s="19">
        <f t="shared" si="2"/>
        <v>0.2034070756073702</v>
      </c>
      <c r="H41" s="19">
        <f t="shared" si="2"/>
        <v>0.2034070756073702</v>
      </c>
      <c r="I41" s="19">
        <f t="shared" si="2"/>
        <v>0.2034070756073702</v>
      </c>
      <c r="J41" s="19">
        <f t="shared" si="2"/>
        <v>0.2034070756073702</v>
      </c>
      <c r="K41" s="19">
        <f t="shared" si="2"/>
        <v>0.2034070756073702</v>
      </c>
      <c r="L41" s="19">
        <f t="shared" si="2"/>
        <v>0.2034070756073702</v>
      </c>
      <c r="M41" s="19">
        <f t="shared" si="2"/>
        <v>0.2034070756073702</v>
      </c>
      <c r="N41" s="19">
        <f t="shared" si="2"/>
        <v>0.2034070756073702</v>
      </c>
      <c r="P41" s="2" t="s">
        <v>174</v>
      </c>
    </row>
    <row r="42" spans="2:16" ht="13.95" customHeight="1" x14ac:dyDescent="0.3">
      <c r="B42" s="8" t="s">
        <v>175</v>
      </c>
      <c r="C42" s="9">
        <f>'Box Consensus'!O17</f>
        <v>30235.724154390849</v>
      </c>
      <c r="D42" s="9">
        <f>'Box Consensus'!P17</f>
        <v>32346.521124911967</v>
      </c>
      <c r="E42" s="9">
        <f>'Box Consensus'!Q17</f>
        <v>35235.290613086501</v>
      </c>
      <c r="F42" s="9">
        <f t="shared" ref="F42:N42" si="3">F39/F41</f>
        <v>38560.353158921091</v>
      </c>
      <c r="G42" s="9">
        <f t="shared" si="3"/>
        <v>41536.583769984303</v>
      </c>
      <c r="H42" s="9">
        <f t="shared" si="3"/>
        <v>44028.778796183367</v>
      </c>
      <c r="I42" s="9">
        <f t="shared" si="3"/>
        <v>46670.505523954365</v>
      </c>
      <c r="J42" s="9">
        <f t="shared" si="3"/>
        <v>49470.735855391627</v>
      </c>
      <c r="K42" s="9">
        <f t="shared" si="3"/>
        <v>52438.980006715123</v>
      </c>
      <c r="L42" s="9">
        <f t="shared" si="3"/>
        <v>55585.318807118034</v>
      </c>
      <c r="M42" s="9">
        <f t="shared" si="3"/>
        <v>58920.437935545124</v>
      </c>
      <c r="N42" s="9">
        <f t="shared" si="3"/>
        <v>62455.664211677831</v>
      </c>
    </row>
    <row r="43" spans="2:16" ht="13.95" customHeight="1" x14ac:dyDescent="0.3">
      <c r="B43" s="23" t="s">
        <v>176</v>
      </c>
      <c r="D43" s="27">
        <f t="shared" ref="D43:N43" si="4">D39-(D42-C42)</f>
        <v>4337.0464813038525</v>
      </c>
      <c r="E43" s="27">
        <f t="shared" si="4"/>
        <v>4278.3379336092139</v>
      </c>
      <c r="F43" s="27">
        <f t="shared" si="4"/>
        <v>4518.3861246089691</v>
      </c>
      <c r="G43" s="27">
        <f t="shared" si="4"/>
        <v>5472.6044243098513</v>
      </c>
      <c r="H43" s="27">
        <f t="shared" si="4"/>
        <v>6463.5701112963834</v>
      </c>
      <c r="I43" s="27">
        <f t="shared" si="4"/>
        <v>6851.3843179741762</v>
      </c>
      <c r="J43" s="27">
        <f t="shared" si="4"/>
        <v>7262.4673770526224</v>
      </c>
      <c r="K43" s="27">
        <f t="shared" si="4"/>
        <v>7698.215419675782</v>
      </c>
      <c r="L43" s="27">
        <f t="shared" si="4"/>
        <v>8160.108344856324</v>
      </c>
      <c r="M43" s="27">
        <f t="shared" si="4"/>
        <v>8649.7148455477</v>
      </c>
      <c r="N43" s="27">
        <f t="shared" si="4"/>
        <v>9168.6977362805701</v>
      </c>
      <c r="P43" s="2" t="s">
        <v>177</v>
      </c>
    </row>
    <row r="44" spans="2:16" ht="13.95" customHeight="1" x14ac:dyDescent="0.3">
      <c r="B44" s="8" t="s">
        <v>25</v>
      </c>
      <c r="D44" s="19">
        <f t="shared" ref="D44:N44" si="5">D43/D39</f>
        <v>0.67263520178615888</v>
      </c>
      <c r="E44" s="19">
        <f t="shared" si="5"/>
        <v>0.59694067380734506</v>
      </c>
      <c r="F44" s="19">
        <f t="shared" si="5"/>
        <v>0.57607135769697693</v>
      </c>
      <c r="G44" s="19">
        <f t="shared" si="5"/>
        <v>0.64773479437076087</v>
      </c>
      <c r="H44" s="19">
        <f t="shared" si="5"/>
        <v>0.72172170797948965</v>
      </c>
      <c r="I44" s="19">
        <f t="shared" si="5"/>
        <v>0.72172170797949076</v>
      </c>
      <c r="J44" s="19">
        <f t="shared" si="5"/>
        <v>0.72172170797949031</v>
      </c>
      <c r="K44" s="19">
        <f t="shared" si="5"/>
        <v>0.72172170797949053</v>
      </c>
      <c r="L44" s="19">
        <f t="shared" si="5"/>
        <v>0.72172170797948998</v>
      </c>
      <c r="M44" s="19">
        <f t="shared" si="5"/>
        <v>0.72172170797948965</v>
      </c>
      <c r="N44" s="19">
        <f t="shared" si="5"/>
        <v>0.72172170797949031</v>
      </c>
      <c r="P44" s="2" t="s">
        <v>178</v>
      </c>
    </row>
    <row r="45" spans="2:16" ht="13.95" customHeight="1" x14ac:dyDescent="0.3">
      <c r="B45" s="8" t="s">
        <v>179</v>
      </c>
      <c r="D45" s="19">
        <f>'Analyst Models'!D90</f>
        <v>0.14209295780432374</v>
      </c>
      <c r="E45" s="19">
        <f>'Analyst Models'!E90</f>
        <v>0.1249803450302498</v>
      </c>
      <c r="F45" s="19">
        <f>'Analyst Models'!F90</f>
        <v>9.9600602883443301E-2</v>
      </c>
      <c r="G45" s="19">
        <f>'Analyst Models'!G90</f>
        <v>9.1378031628795542E-2</v>
      </c>
      <c r="H45" s="19">
        <f>'Analyst Models'!H90</f>
        <v>8.316831344706288E-2</v>
      </c>
      <c r="I45" s="19">
        <f>'Analyst Models'!I90</f>
        <v>7.5274289376243253E-2</v>
      </c>
      <c r="J45" s="19">
        <f>'Analyst Models'!J90</f>
        <v>7.1817703499477359E-2</v>
      </c>
      <c r="K45" s="19">
        <f>'Analyst Models'!K90</f>
        <v>6.6585953907854822E-2</v>
      </c>
      <c r="L45" s="19">
        <f>'Analyst Models'!L90</f>
        <v>6.4567095497408022E-2</v>
      </c>
      <c r="M45" s="19">
        <f>'Analyst Models'!M90</f>
        <v>6.3364142854655192E-2</v>
      </c>
      <c r="N45" s="19">
        <f>'Analyst Models'!N90</f>
        <v>5.951570540510609E-2</v>
      </c>
      <c r="P45" s="2" t="s">
        <v>180</v>
      </c>
    </row>
    <row r="46" spans="2:16" ht="13.95" customHeight="1" x14ac:dyDescent="0.3">
      <c r="B46" s="8" t="s">
        <v>181</v>
      </c>
      <c r="C46" s="19">
        <f>'Analyst Models'!C91</f>
        <v>0.5367714771455705</v>
      </c>
      <c r="D46" s="19">
        <f>'Analyst Models'!D91</f>
        <v>0.57363999368809671</v>
      </c>
      <c r="E46" s="19">
        <f>'Analyst Models'!E91</f>
        <v>0.59896640001400203</v>
      </c>
      <c r="F46" s="19">
        <f>'Analyst Models'!F91</f>
        <v>0.61404933224697422</v>
      </c>
      <c r="G46" s="19">
        <f>'Analyst Models'!G91</f>
        <v>0.6378509727349887</v>
      </c>
      <c r="H46" s="19">
        <f>'Analyst Models'!H91</f>
        <v>0.66424495794785632</v>
      </c>
      <c r="I46" s="19">
        <f>'Analyst Models'!I91</f>
        <v>0.68240720305221214</v>
      </c>
      <c r="J46" s="19">
        <f>'Analyst Models'!J91</f>
        <v>0.69850556566222011</v>
      </c>
      <c r="K46" s="19">
        <f>'Analyst Models'!K91</f>
        <v>0.72440608889612867</v>
      </c>
      <c r="L46" s="19">
        <f>'Analyst Models'!L91</f>
        <v>0.74045947740463314</v>
      </c>
      <c r="M46" s="19">
        <f>'Analyst Models'!M91</f>
        <v>0.75250459780364076</v>
      </c>
      <c r="N46" s="19">
        <f>'Analyst Models'!N91</f>
        <v>0.75906369110010363</v>
      </c>
      <c r="P46" s="2" t="s">
        <v>180</v>
      </c>
    </row>
    <row r="47" spans="2:16" ht="13.95" customHeight="1" x14ac:dyDescent="0.3">
      <c r="B47" s="8" t="s">
        <v>182</v>
      </c>
      <c r="C47" s="9">
        <f>C39</f>
        <v>5708.1180707928843</v>
      </c>
      <c r="D47" s="9">
        <f>D39</f>
        <v>6447.8434518249705</v>
      </c>
      <c r="E47" s="9">
        <f>E39</f>
        <v>7167.1074217837477</v>
      </c>
      <c r="F47" s="9">
        <f t="shared" ref="F47:N47" si="6">E47*(1+F45)</f>
        <v>7880.9556419238097</v>
      </c>
      <c r="G47" s="9">
        <f t="shared" si="6"/>
        <v>8601.1018558366577</v>
      </c>
      <c r="H47" s="9">
        <f t="shared" si="6"/>
        <v>9316.4409909729948</v>
      </c>
      <c r="I47" s="9">
        <f t="shared" si="6"/>
        <v>10017.729466084191</v>
      </c>
      <c r="J47" s="9">
        <f t="shared" si="6"/>
        <v>10737.179790617403</v>
      </c>
      <c r="K47" s="9">
        <f t="shared" si="6"/>
        <v>11452.125149255804</v>
      </c>
      <c r="L47" s="9">
        <f t="shared" si="6"/>
        <v>12191.555607416072</v>
      </c>
      <c r="M47" s="9">
        <f t="shared" si="6"/>
        <v>12964.063078544857</v>
      </c>
      <c r="N47" s="9">
        <f t="shared" si="6"/>
        <v>13735.628437580746</v>
      </c>
    </row>
    <row r="48" spans="2:16" ht="13.95" customHeight="1" x14ac:dyDescent="0.3">
      <c r="B48" s="8" t="s">
        <v>183</v>
      </c>
      <c r="C48" s="9">
        <f t="shared" ref="C48:N48" si="7">C47*C46</f>
        <v>3063.9549685808206</v>
      </c>
      <c r="D48" s="9">
        <f t="shared" si="7"/>
        <v>3698.7408770067118</v>
      </c>
      <c r="E48" s="9">
        <f t="shared" si="7"/>
        <v>4292.8565309394471</v>
      </c>
      <c r="F48" s="9">
        <f t="shared" si="7"/>
        <v>4839.2955493913396</v>
      </c>
      <c r="G48" s="9">
        <f t="shared" si="7"/>
        <v>5486.2211853381286</v>
      </c>
      <c r="H48" s="9">
        <f t="shared" si="7"/>
        <v>6188.3989542725421</v>
      </c>
      <c r="I48" s="9">
        <f t="shared" si="7"/>
        <v>6836.1707458842429</v>
      </c>
      <c r="J48" s="9">
        <f t="shared" si="7"/>
        <v>7499.9798432621674</v>
      </c>
      <c r="K48" s="9">
        <f t="shared" si="7"/>
        <v>8295.9891889213905</v>
      </c>
      <c r="L48" s="9">
        <f t="shared" si="7"/>
        <v>9027.3528938168292</v>
      </c>
      <c r="M48" s="9">
        <f t="shared" si="7"/>
        <v>9755.5170728214271</v>
      </c>
      <c r="N48" s="9">
        <f t="shared" si="7"/>
        <v>10426.216821409591</v>
      </c>
    </row>
    <row r="49" spans="2:16" ht="13.95" customHeight="1" x14ac:dyDescent="0.3">
      <c r="B49" s="23" t="s">
        <v>184</v>
      </c>
      <c r="D49" s="27">
        <f t="shared" ref="D49:N49" si="8">IF($C$12=1,D43,D48)</f>
        <v>4337.0464813038525</v>
      </c>
      <c r="E49" s="27">
        <f t="shared" si="8"/>
        <v>4278.3379336092139</v>
      </c>
      <c r="F49" s="27">
        <f t="shared" si="8"/>
        <v>4518.3861246089691</v>
      </c>
      <c r="G49" s="27">
        <f t="shared" si="8"/>
        <v>5472.6044243098513</v>
      </c>
      <c r="H49" s="27">
        <f t="shared" si="8"/>
        <v>6463.5701112963834</v>
      </c>
      <c r="I49" s="27">
        <f t="shared" si="8"/>
        <v>6851.3843179741762</v>
      </c>
      <c r="J49" s="27">
        <f t="shared" si="8"/>
        <v>7262.4673770526224</v>
      </c>
      <c r="K49" s="27">
        <f t="shared" si="8"/>
        <v>7698.215419675782</v>
      </c>
      <c r="L49" s="27">
        <f t="shared" si="8"/>
        <v>8160.108344856324</v>
      </c>
      <c r="M49" s="27">
        <f t="shared" si="8"/>
        <v>8649.7148455477</v>
      </c>
      <c r="N49" s="27">
        <f t="shared" si="8"/>
        <v>9168.6977362805701</v>
      </c>
    </row>
    <row r="51" spans="2:16" ht="13.95" customHeight="1" x14ac:dyDescent="0.3">
      <c r="B51" s="55" t="s">
        <v>185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  <row r="52" spans="2:16" ht="13.95" customHeight="1" x14ac:dyDescent="0.3">
      <c r="B52" s="6" t="s">
        <v>122</v>
      </c>
      <c r="C52" s="7" t="s">
        <v>156</v>
      </c>
      <c r="D52" s="7" t="s">
        <v>157</v>
      </c>
      <c r="E52" s="7" t="s">
        <v>158</v>
      </c>
      <c r="P52" s="7" t="s">
        <v>159</v>
      </c>
    </row>
    <row r="53" spans="2:16" ht="13.95" customHeight="1" x14ac:dyDescent="0.3">
      <c r="B53" s="8" t="s">
        <v>65</v>
      </c>
      <c r="C53" s="22">
        <f>C33</f>
        <v>0.16944850121111998</v>
      </c>
      <c r="D53" s="22">
        <f>D33</f>
        <v>0.15465850121112001</v>
      </c>
      <c r="E53" s="22">
        <f>E33</f>
        <v>0.14394850121112002</v>
      </c>
    </row>
    <row r="54" spans="2:16" ht="13.95" customHeight="1" x14ac:dyDescent="0.3">
      <c r="B54" s="8" t="s">
        <v>186</v>
      </c>
      <c r="C54" s="28">
        <v>-0.2</v>
      </c>
      <c r="D54" s="28">
        <v>0</v>
      </c>
      <c r="E54" s="28">
        <v>0.2</v>
      </c>
      <c r="P54" s="2" t="s">
        <v>187</v>
      </c>
    </row>
    <row r="55" spans="2:16" ht="13.95" customHeight="1" x14ac:dyDescent="0.3">
      <c r="B55" s="8" t="s">
        <v>188</v>
      </c>
      <c r="C55" s="29">
        <f>$C$11*$D$11*C54</f>
        <v>-0.17394388608680109</v>
      </c>
      <c r="D55" s="29">
        <f>$C$11*$D$11*D54</f>
        <v>0</v>
      </c>
      <c r="E55" s="29">
        <f>$C$11*$D$11*E54</f>
        <v>0.17394388608680109</v>
      </c>
      <c r="P55" s="2" t="s">
        <v>189</v>
      </c>
    </row>
    <row r="56" spans="2:16" ht="13.95" customHeight="1" x14ac:dyDescent="0.3">
      <c r="B56" s="8" t="s">
        <v>190</v>
      </c>
      <c r="C56" s="9">
        <f>(1+C55)*SUMPRODUCT($E$49:$N$49,--($E$38:$N$38&lt;=NExp),1/(1+C53)^$E$38:$N$38)</f>
        <v>11432.48853854747</v>
      </c>
      <c r="D56" s="9">
        <f>(1+D55)*SUMPRODUCT($E$49:$N$49,--($E$38:$N$38&lt;=NExp),1/(1+D53)^$E$38:$N$38)</f>
        <v>14285.557337941005</v>
      </c>
      <c r="E56" s="9">
        <f>(1+E55)*SUMPRODUCT($E$49:$N$49,--($E$38:$N$38&lt;=NExp),1/(1+E53)^$E$38:$N$38)</f>
        <v>17166.450793278022</v>
      </c>
      <c r="P56" s="2" t="s">
        <v>191</v>
      </c>
    </row>
    <row r="57" spans="2:16" ht="13.95" customHeight="1" x14ac:dyDescent="0.3">
      <c r="B57" s="8" t="s">
        <v>192</v>
      </c>
      <c r="C57" s="9">
        <f>INDEX($E$49:$N$49,NExp)*(1+C55)*(1+g_)/(C53-g_)</f>
        <v>51710.419439316662</v>
      </c>
      <c r="D57" s="9">
        <f>INDEX($E$49:$N$49,NExp)*(1+D55)*(1+g_)/(D53-g_)</f>
        <v>72380.021131892805</v>
      </c>
      <c r="E57" s="9">
        <f>INDEX($E$49:$N$49,NExp)*(1+E55)*(1+g_)/(E53-g_)</f>
        <v>95810.414900550328</v>
      </c>
      <c r="P57" s="2" t="s">
        <v>193</v>
      </c>
    </row>
    <row r="58" spans="2:16" ht="13.95" customHeight="1" x14ac:dyDescent="0.3">
      <c r="B58" s="8" t="s">
        <v>194</v>
      </c>
      <c r="C58" s="9">
        <f>C57/(1+C53)^(NExp+TVx)</f>
        <v>27647.359136449664</v>
      </c>
      <c r="D58" s="9">
        <f>D57/(1+D53)^(NExp+TVx)</f>
        <v>40719.691205942043</v>
      </c>
      <c r="E58" s="9">
        <f>E57/(1+E53)^(NExp+TVx)</f>
        <v>55948.29116006913</v>
      </c>
    </row>
    <row r="59" spans="2:16" ht="13.95" customHeight="1" x14ac:dyDescent="0.3">
      <c r="B59" s="23" t="s">
        <v>195</v>
      </c>
      <c r="C59" s="27">
        <f>C56+C58</f>
        <v>39079.847674997131</v>
      </c>
      <c r="D59" s="27">
        <f>D56+D58</f>
        <v>55005.248543883048</v>
      </c>
      <c r="E59" s="27">
        <f>E56+E58</f>
        <v>73114.741953347155</v>
      </c>
    </row>
    <row r="60" spans="2:16" ht="13.95" customHeight="1" x14ac:dyDescent="0.3">
      <c r="B60" s="23" t="s">
        <v>196</v>
      </c>
      <c r="C60" s="30">
        <f>C59/$C$7-1</f>
        <v>-0.35858235280331752</v>
      </c>
      <c r="D60" s="30">
        <f>D59/$C$7-1</f>
        <v>-9.7198704613712383E-2</v>
      </c>
      <c r="E60" s="30">
        <f>E59/$C$7-1</f>
        <v>0.20003246044156819</v>
      </c>
    </row>
    <row r="61" spans="2:16" ht="13.95" customHeight="1" x14ac:dyDescent="0.3">
      <c r="B61" s="8" t="s">
        <v>197</v>
      </c>
      <c r="C61" s="19">
        <f>C58/C59</f>
        <v>0.70745821136191755</v>
      </c>
      <c r="D61" s="19">
        <f>D58/D59</f>
        <v>0.74028737773007203</v>
      </c>
      <c r="E61" s="19">
        <f>E58/E59</f>
        <v>0.76521218109158418</v>
      </c>
      <c r="P61" s="2" t="s">
        <v>198</v>
      </c>
    </row>
    <row r="62" spans="2:16" ht="13.95" customHeight="1" x14ac:dyDescent="0.3">
      <c r="B62" s="8" t="s">
        <v>199</v>
      </c>
      <c r="C62" s="29">
        <f>((1+C55)*SUMPRODUCT($E$48:$N$48,--($E$38:$N$38&lt;=NExp),1/(1+C53)^$E$38:$N$38)+INDEX($E$48:$N$48,NExp)*(1+C55)*(1+g_)/(C53-g_)/(1+C53)^(NExp+TVx))/$C$7-1</f>
        <v>-0.37643033833571293</v>
      </c>
      <c r="D62" s="29">
        <f>((1+D55)*SUMPRODUCT($E$48:$N$48,--($E$38:$N$38&lt;=NExp),1/(1+D53)^$E$38:$N$38)+INDEX($E$48:$N$48,NExp)*(1+D55)*(1+g_)/(D53-g_)/(1+D53)^(NExp+TVx))/$C$7-1</f>
        <v>-0.1238900498132256</v>
      </c>
      <c r="E62" s="29">
        <f>((1+E55)*SUMPRODUCT($E$48:$N$48,--($E$38:$N$38&lt;=NExp),1/(1+E53)^$E$38:$N$38)+INDEX($E$48:$N$48,NExp)*(1+E55)*(1+g_)/(E53-g_)/(1+E53)^(NExp+TVx))/$C$7-1</f>
        <v>0.16298764893910289</v>
      </c>
    </row>
    <row r="63" spans="2:16" ht="13.95" customHeight="1" x14ac:dyDescent="0.3">
      <c r="B63" s="8" t="s">
        <v>200</v>
      </c>
      <c r="C63" s="31">
        <v>-0.35434754943115032</v>
      </c>
      <c r="D63" s="31">
        <v>-6.0999999999999999E-2</v>
      </c>
      <c r="E63" s="31">
        <v>0.28808083496318693</v>
      </c>
      <c r="P63" s="2" t="s">
        <v>201</v>
      </c>
    </row>
    <row r="65" spans="2:16" ht="13.95" customHeight="1" x14ac:dyDescent="0.3">
      <c r="B65" s="55" t="s">
        <v>202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2:16" ht="13.95" customHeight="1" x14ac:dyDescent="0.3">
      <c r="B66" s="6" t="s">
        <v>203</v>
      </c>
      <c r="C66" s="32">
        <v>0.04</v>
      </c>
      <c r="D66" s="32">
        <v>4.7E-2</v>
      </c>
      <c r="E66" s="32">
        <v>0.05</v>
      </c>
      <c r="F66" s="32">
        <v>5.5E-2</v>
      </c>
      <c r="G66" s="32">
        <v>0.06</v>
      </c>
    </row>
    <row r="67" spans="2:16" ht="13.95" customHeight="1" x14ac:dyDescent="0.3">
      <c r="B67" s="33">
        <v>0.13</v>
      </c>
      <c r="C67" s="34">
        <f t="shared" ref="C67:G72" si="9">(SUMPRODUCT($E$49:$N$49,--($E$38:$N$38&lt;=NExp),1/(1+$B67)^$E$38:$N$38)+INDEX($E$49:$N$49,NExp)*(1+C$66)/($B67-C$66)/(1+$B67)^(NExp+TVx))/$C$7-1</f>
        <v>-6.0273276110478502E-4</v>
      </c>
      <c r="D67" s="34">
        <f t="shared" si="9"/>
        <v>6.8294632464563243E-2</v>
      </c>
      <c r="E67" s="34">
        <f t="shared" si="9"/>
        <v>0.10151300498408178</v>
      </c>
      <c r="F67" s="34">
        <f t="shared" si="9"/>
        <v>0.16278244763119343</v>
      </c>
      <c r="G67" s="34">
        <f t="shared" si="9"/>
        <v>0.23280466779932185</v>
      </c>
    </row>
    <row r="68" spans="2:16" ht="13.95" customHeight="1" x14ac:dyDescent="0.3">
      <c r="B68" s="33">
        <v>0.14000000000000001</v>
      </c>
      <c r="C68" s="34">
        <f t="shared" si="9"/>
        <v>-0.10465775523388798</v>
      </c>
      <c r="D68" s="34">
        <f t="shared" si="9"/>
        <v>-5.076119562812631E-2</v>
      </c>
      <c r="E68" s="34">
        <f t="shared" si="9"/>
        <v>-2.5096167244430312E-2</v>
      </c>
      <c r="F68" s="34">
        <f t="shared" si="9"/>
        <v>2.1704766867015168E-2</v>
      </c>
      <c r="G68" s="34">
        <f t="shared" si="9"/>
        <v>7.435581774239175E-2</v>
      </c>
    </row>
    <row r="69" spans="2:16" ht="13.95" customHeight="1" x14ac:dyDescent="0.3">
      <c r="B69" s="33">
        <v>0.15</v>
      </c>
      <c r="C69" s="34">
        <f t="shared" si="9"/>
        <v>-0.18967947932920759</v>
      </c>
      <c r="D69" s="34">
        <f t="shared" si="9"/>
        <v>-0.14658366263739797</v>
      </c>
      <c r="E69" s="34">
        <f t="shared" si="9"/>
        <v>-0.12626706333983051</v>
      </c>
      <c r="F69" s="34">
        <f t="shared" si="9"/>
        <v>-8.9554611977559873E-2</v>
      </c>
      <c r="G69" s="34">
        <f t="shared" si="9"/>
        <v>-4.8762999352814362E-2</v>
      </c>
    </row>
    <row r="70" spans="2:16" ht="13.95" customHeight="1" x14ac:dyDescent="0.3">
      <c r="B70" s="33">
        <v>0.1547</v>
      </c>
      <c r="C70" s="34">
        <f t="shared" si="9"/>
        <v>-0.22448177620296972</v>
      </c>
      <c r="D70" s="34">
        <f t="shared" si="9"/>
        <v>-0.18543619178504767</v>
      </c>
      <c r="E70" s="34">
        <f t="shared" si="9"/>
        <v>-0.16710410610049709</v>
      </c>
      <c r="F70" s="34">
        <f t="shared" si="9"/>
        <v>-0.13409899696933592</v>
      </c>
      <c r="G70" s="34">
        <f t="shared" si="9"/>
        <v>-9.7608659841219358E-2</v>
      </c>
    </row>
    <row r="71" spans="2:16" ht="13.95" customHeight="1" x14ac:dyDescent="0.3">
      <c r="B71" s="33">
        <v>0.16</v>
      </c>
      <c r="C71" s="34">
        <f t="shared" si="9"/>
        <v>-0.26043036595239233</v>
      </c>
      <c r="D71" s="34">
        <f t="shared" si="9"/>
        <v>-0.22534509062253816</v>
      </c>
      <c r="E71" s="34">
        <f t="shared" si="9"/>
        <v>-0.20894158527351536</v>
      </c>
      <c r="F71" s="34">
        <f t="shared" si="9"/>
        <v>-0.1795194248855857</v>
      </c>
      <c r="G71" s="34">
        <f t="shared" si="9"/>
        <v>-0.14715504845886296</v>
      </c>
    </row>
    <row r="72" spans="2:16" ht="13.95" customHeight="1" x14ac:dyDescent="0.3">
      <c r="B72" s="33">
        <v>0.17</v>
      </c>
      <c r="C72" s="34">
        <f t="shared" si="9"/>
        <v>-0.32020731968002125</v>
      </c>
      <c r="D72" s="34">
        <f t="shared" si="9"/>
        <v>-0.29121035782800786</v>
      </c>
      <c r="E72" s="34">
        <f t="shared" si="9"/>
        <v>-0.2777474826824301</v>
      </c>
      <c r="F72" s="34">
        <f t="shared" si="9"/>
        <v>-0.25374844437944399</v>
      </c>
      <c r="G72" s="34">
        <f t="shared" si="9"/>
        <v>-0.22756767532164057</v>
      </c>
    </row>
    <row r="74" spans="2:16" ht="13.95" customHeight="1" x14ac:dyDescent="0.3">
      <c r="B74" s="2" t="s">
        <v>204</v>
      </c>
    </row>
    <row r="78" spans="2:16" ht="13.95" customHeight="1" x14ac:dyDescent="0.3">
      <c r="B78" s="55" t="s">
        <v>205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</row>
    <row r="79" spans="2:16" ht="13.95" customHeight="1" x14ac:dyDescent="0.3">
      <c r="B79" s="35" t="s">
        <v>206</v>
      </c>
      <c r="P79" s="2" t="s">
        <v>207</v>
      </c>
    </row>
    <row r="80" spans="2:16" ht="13.95" customHeight="1" x14ac:dyDescent="0.3">
      <c r="B80" s="35" t="s">
        <v>208</v>
      </c>
      <c r="P80" s="2" t="s">
        <v>209</v>
      </c>
    </row>
    <row r="81" spans="2:16" ht="13.95" customHeight="1" x14ac:dyDescent="0.3">
      <c r="B81" s="35" t="s">
        <v>210</v>
      </c>
      <c r="P81" s="2" t="s">
        <v>211</v>
      </c>
    </row>
    <row r="82" spans="2:16" ht="13.95" customHeight="1" x14ac:dyDescent="0.3">
      <c r="B82" s="35" t="s">
        <v>212</v>
      </c>
      <c r="P82" s="2" t="s">
        <v>213</v>
      </c>
    </row>
    <row r="83" spans="2:16" ht="13.95" customHeight="1" x14ac:dyDescent="0.3">
      <c r="B83" s="35" t="s">
        <v>214</v>
      </c>
      <c r="P83" s="2" t="s">
        <v>215</v>
      </c>
    </row>
    <row r="84" spans="2:16" ht="13.95" customHeight="1" x14ac:dyDescent="0.3">
      <c r="B84" s="35" t="s">
        <v>216</v>
      </c>
      <c r="P84" s="2" t="s">
        <v>217</v>
      </c>
    </row>
    <row r="85" spans="2:16" ht="13.95" customHeight="1" x14ac:dyDescent="0.3">
      <c r="B85" s="35" t="s">
        <v>218</v>
      </c>
      <c r="P85" s="2" t="s">
        <v>219</v>
      </c>
    </row>
    <row r="86" spans="2:16" ht="13.95" customHeight="1" x14ac:dyDescent="0.3">
      <c r="B86" s="35" t="s">
        <v>220</v>
      </c>
      <c r="P86" s="2" t="s">
        <v>211</v>
      </c>
    </row>
    <row r="87" spans="2:16" ht="13.95" customHeight="1" x14ac:dyDescent="0.3">
      <c r="B87" s="35" t="s">
        <v>221</v>
      </c>
      <c r="P87" s="2" t="s">
        <v>143</v>
      </c>
    </row>
  </sheetData>
  <mergeCells count="7">
    <mergeCell ref="B65:P65"/>
    <mergeCell ref="B78:P78"/>
    <mergeCell ref="B5:P5"/>
    <mergeCell ref="B15:P15"/>
    <mergeCell ref="B29:P29"/>
    <mergeCell ref="B36:P36"/>
    <mergeCell ref="B51:P51"/>
  </mergeCells>
  <conditionalFormatting sqref="C67:G72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E38:N38">
    <cfRule type="expression" dxfId="0" priority="1">
      <formula>E$38&gt;NExp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22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3.95" customHeight="1" x14ac:dyDescent="0.3"/>
  <cols>
    <col min="1" max="1" width="2.6640625" customWidth="1"/>
    <col min="2" max="2" width="34.6640625" customWidth="1"/>
    <col min="3" max="21" width="11.33203125" customWidth="1"/>
  </cols>
  <sheetData>
    <row r="1" spans="2:17" ht="30" customHeight="1" x14ac:dyDescent="0.3">
      <c r="B1" s="1" t="s">
        <v>88</v>
      </c>
    </row>
    <row r="2" spans="2:17" ht="13.95" customHeight="1" x14ac:dyDescent="0.3">
      <c r="B2" s="2" t="s">
        <v>89</v>
      </c>
    </row>
    <row r="3" spans="2:17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6" spans="2:17" ht="43.95" customHeight="1" x14ac:dyDescent="0.3">
      <c r="B6" s="6" t="s">
        <v>64</v>
      </c>
      <c r="C6" s="7" t="s">
        <v>75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94</v>
      </c>
      <c r="I6" s="7" t="s">
        <v>95</v>
      </c>
      <c r="J6" s="7" t="s">
        <v>96</v>
      </c>
      <c r="K6" s="7" t="s">
        <v>97</v>
      </c>
      <c r="L6" s="7" t="s">
        <v>98</v>
      </c>
      <c r="M6" s="7" t="s">
        <v>99</v>
      </c>
      <c r="N6" s="7" t="s">
        <v>100</v>
      </c>
      <c r="O6" s="7" t="s">
        <v>101</v>
      </c>
      <c r="P6" s="7" t="s">
        <v>102</v>
      </c>
      <c r="Q6" s="7" t="s">
        <v>103</v>
      </c>
    </row>
    <row r="7" spans="2:17" ht="13.95" customHeight="1" x14ac:dyDescent="0.3">
      <c r="B7" s="35" t="s">
        <v>104</v>
      </c>
      <c r="C7" s="36">
        <v>19089.265090629371</v>
      </c>
      <c r="D7" s="37">
        <v>564225.22764619999</v>
      </c>
      <c r="E7" s="38">
        <f t="shared" ref="E7:E16" si="0">C7/D7</f>
        <v>3.3832703954526797E-2</v>
      </c>
      <c r="F7" s="37">
        <v>50677.332999999999</v>
      </c>
      <c r="G7" s="37">
        <v>55448.917000000001</v>
      </c>
      <c r="H7" s="37">
        <v>60687.635999999999</v>
      </c>
      <c r="I7" s="39">
        <v>0.24573999999999999</v>
      </c>
      <c r="J7" s="39">
        <v>0.24478</v>
      </c>
      <c r="K7" s="39">
        <v>0.24343000000000001</v>
      </c>
      <c r="L7" s="40">
        <f t="shared" ref="L7:L16" si="1">F7*$E7</f>
        <v>1714.5512045939713</v>
      </c>
      <c r="M7" s="40">
        <f t="shared" ref="M7:M16" si="2">G7*$E7</f>
        <v>1875.9867934601282</v>
      </c>
      <c r="N7" s="40">
        <f t="shared" ref="N7:N16" si="3">H7*$E7</f>
        <v>2053.2268224880827</v>
      </c>
      <c r="O7" s="40">
        <f t="shared" ref="O7:O16" si="4">L7/I7</f>
        <v>6977.0945088059389</v>
      </c>
      <c r="P7" s="40">
        <f t="shared" ref="P7:P16" si="5">M7/J7</f>
        <v>7663.9708859389175</v>
      </c>
      <c r="Q7" s="40">
        <f t="shared" ref="Q7:Q16" si="6">N7/K7</f>
        <v>8434.5677298939427</v>
      </c>
    </row>
    <row r="8" spans="2:17" ht="13.95" customHeight="1" x14ac:dyDescent="0.3">
      <c r="B8" s="35" t="s">
        <v>105</v>
      </c>
      <c r="C8" s="36">
        <v>10039.70324411161</v>
      </c>
      <c r="D8" s="37">
        <v>226447.75534606999</v>
      </c>
      <c r="E8" s="38">
        <f t="shared" si="0"/>
        <v>4.4335627124094827E-2</v>
      </c>
      <c r="F8" s="37">
        <v>27739.922999999999</v>
      </c>
      <c r="G8" s="37">
        <v>30648.077000000001</v>
      </c>
      <c r="H8" s="37">
        <v>33619.082999999999</v>
      </c>
      <c r="I8" s="39">
        <v>0.15379000000000001</v>
      </c>
      <c r="J8" s="39">
        <v>0.15855</v>
      </c>
      <c r="K8" s="39">
        <v>0.1615</v>
      </c>
      <c r="L8" s="40">
        <f t="shared" si="1"/>
        <v>1229.8668825791019</v>
      </c>
      <c r="M8" s="40">
        <f t="shared" si="2"/>
        <v>1358.8017139425469</v>
      </c>
      <c r="N8" s="40">
        <f t="shared" si="3"/>
        <v>1490.5231281419951</v>
      </c>
      <c r="O8" s="40">
        <f t="shared" si="4"/>
        <v>7997.0536613505546</v>
      </c>
      <c r="P8" s="40">
        <f t="shared" si="5"/>
        <v>8570.1779498110809</v>
      </c>
      <c r="Q8" s="40">
        <f t="shared" si="6"/>
        <v>9229.2453754922299</v>
      </c>
    </row>
    <row r="9" spans="2:17" ht="13.95" customHeight="1" x14ac:dyDescent="0.3">
      <c r="B9" s="35" t="s">
        <v>106</v>
      </c>
      <c r="C9" s="36">
        <v>8337.4034514344039</v>
      </c>
      <c r="D9" s="37">
        <v>112688.345</v>
      </c>
      <c r="E9" s="38">
        <f t="shared" si="0"/>
        <v>7.398638653744008E-2</v>
      </c>
      <c r="F9" s="37">
        <v>5982</v>
      </c>
      <c r="G9" s="37">
        <v>6425.4000000000005</v>
      </c>
      <c r="H9" s="37">
        <v>6561.2219999999998</v>
      </c>
      <c r="I9" s="39">
        <v>0.33629999999999999</v>
      </c>
      <c r="J9" s="39">
        <v>0.34744000000000003</v>
      </c>
      <c r="K9" s="39">
        <v>0.37808999999999998</v>
      </c>
      <c r="L9" s="40">
        <f t="shared" si="1"/>
        <v>442.58656426696655</v>
      </c>
      <c r="M9" s="40">
        <f t="shared" si="2"/>
        <v>475.39212805766755</v>
      </c>
      <c r="N9" s="40">
        <f t="shared" si="3"/>
        <v>485.44110704995563</v>
      </c>
      <c r="O9" s="40">
        <f t="shared" si="4"/>
        <v>1316.0468756079886</v>
      </c>
      <c r="P9" s="40">
        <f t="shared" si="5"/>
        <v>1368.2711491413411</v>
      </c>
      <c r="Q9" s="40">
        <f t="shared" si="6"/>
        <v>1283.9300353089361</v>
      </c>
    </row>
    <row r="10" spans="2:17" ht="13.95" customHeight="1" x14ac:dyDescent="0.3">
      <c r="B10" s="35" t="s">
        <v>107</v>
      </c>
      <c r="C10" s="36">
        <v>7020.6235863480097</v>
      </c>
      <c r="D10" s="37">
        <v>179573.1348910488</v>
      </c>
      <c r="E10" s="38">
        <f t="shared" si="0"/>
        <v>3.9096179896884825E-2</v>
      </c>
      <c r="F10" s="37">
        <v>19414</v>
      </c>
      <c r="G10" s="37">
        <v>20412</v>
      </c>
      <c r="H10" s="37">
        <v>23060</v>
      </c>
      <c r="I10" s="10">
        <v>0.24573999999999999</v>
      </c>
      <c r="J10" s="10">
        <v>0.24478</v>
      </c>
      <c r="K10" s="10">
        <v>0.24343000000000001</v>
      </c>
      <c r="L10" s="40">
        <f t="shared" si="1"/>
        <v>759.01323651812197</v>
      </c>
      <c r="M10" s="40">
        <f t="shared" si="2"/>
        <v>798.0312240552131</v>
      </c>
      <c r="N10" s="40">
        <f t="shared" si="3"/>
        <v>901.55790842216402</v>
      </c>
      <c r="O10" s="40">
        <f t="shared" si="4"/>
        <v>3088.6841235375682</v>
      </c>
      <c r="P10" s="40">
        <f t="shared" si="5"/>
        <v>3260.197826845384</v>
      </c>
      <c r="Q10" s="40">
        <f t="shared" si="6"/>
        <v>3703.5612226190856</v>
      </c>
    </row>
    <row r="11" spans="2:17" ht="13.95" customHeight="1" x14ac:dyDescent="0.3">
      <c r="B11" s="35" t="s">
        <v>108</v>
      </c>
      <c r="C11" s="36">
        <v>6925.2188861408813</v>
      </c>
      <c r="D11" s="37">
        <v>305584.14447699999</v>
      </c>
      <c r="E11" s="38">
        <f t="shared" si="0"/>
        <v>2.2662232354997439E-2</v>
      </c>
      <c r="F11" s="37">
        <v>20474.182000000001</v>
      </c>
      <c r="G11" s="37">
        <v>23359.364000000001</v>
      </c>
      <c r="H11" s="37">
        <v>26673.599999999999</v>
      </c>
      <c r="I11" s="39">
        <v>0.26550000000000001</v>
      </c>
      <c r="J11" s="39">
        <v>0.25530000000000003</v>
      </c>
      <c r="K11" s="39">
        <v>0.24859999999999999</v>
      </c>
      <c r="L11" s="40">
        <f t="shared" si="1"/>
        <v>463.99066976250617</v>
      </c>
      <c r="M11" s="40">
        <f t="shared" si="2"/>
        <v>529.37533463296245</v>
      </c>
      <c r="N11" s="40">
        <f t="shared" si="3"/>
        <v>604.48332094425962</v>
      </c>
      <c r="O11" s="40">
        <f t="shared" si="4"/>
        <v>1747.6108088983283</v>
      </c>
      <c r="P11" s="40">
        <f t="shared" si="5"/>
        <v>2073.5422429806595</v>
      </c>
      <c r="Q11" s="40">
        <f t="shared" si="6"/>
        <v>2431.5499635730475</v>
      </c>
    </row>
    <row r="12" spans="2:17" ht="13.95" customHeight="1" x14ac:dyDescent="0.3">
      <c r="B12" s="35" t="s">
        <v>109</v>
      </c>
      <c r="C12" s="36">
        <v>5397.3180436384264</v>
      </c>
      <c r="D12" s="37">
        <v>138571.5670872</v>
      </c>
      <c r="E12" s="38">
        <f t="shared" si="0"/>
        <v>3.8949678906654885E-2</v>
      </c>
      <c r="F12" s="37">
        <v>17093.5</v>
      </c>
      <c r="G12" s="37">
        <v>24478.75</v>
      </c>
      <c r="H12" s="37">
        <v>29169</v>
      </c>
      <c r="I12" s="39">
        <v>8.5909999999999986E-2</v>
      </c>
      <c r="J12" s="39">
        <v>0.11989</v>
      </c>
      <c r="K12" s="39">
        <v>0.13250999999999999</v>
      </c>
      <c r="L12" s="40">
        <f t="shared" si="1"/>
        <v>665.78633639090526</v>
      </c>
      <c r="M12" s="40">
        <f t="shared" si="2"/>
        <v>953.43945253627828</v>
      </c>
      <c r="N12" s="40">
        <f t="shared" si="3"/>
        <v>1136.1231840282164</v>
      </c>
      <c r="O12" s="40">
        <f t="shared" si="4"/>
        <v>7749.8118541602298</v>
      </c>
      <c r="P12" s="40">
        <f t="shared" si="5"/>
        <v>7952.6186715846052</v>
      </c>
      <c r="Q12" s="40">
        <f t="shared" si="6"/>
        <v>8573.8675120988337</v>
      </c>
    </row>
    <row r="13" spans="2:17" ht="13.95" customHeight="1" x14ac:dyDescent="0.3">
      <c r="B13" s="35" t="s">
        <v>110</v>
      </c>
      <c r="C13" s="36">
        <v>1823.555711161205</v>
      </c>
      <c r="D13" s="37">
        <v>78199.592000000004</v>
      </c>
      <c r="E13" s="38">
        <f t="shared" si="0"/>
        <v>2.3319248406835739E-2</v>
      </c>
      <c r="F13" s="37">
        <v>8662.5</v>
      </c>
      <c r="G13" s="37">
        <v>8582.6</v>
      </c>
      <c r="H13" s="37">
        <v>8977.125</v>
      </c>
      <c r="I13" s="39">
        <v>0.91299000000000008</v>
      </c>
      <c r="J13" s="39">
        <v>0.85076000000000007</v>
      </c>
      <c r="K13" s="39">
        <v>0.81662999999999997</v>
      </c>
      <c r="L13" s="40">
        <f t="shared" si="1"/>
        <v>202.00298932421458</v>
      </c>
      <c r="M13" s="40">
        <f t="shared" si="2"/>
        <v>200.13978137650844</v>
      </c>
      <c r="N13" s="40">
        <f t="shared" si="3"/>
        <v>209.33980785421528</v>
      </c>
      <c r="O13" s="40">
        <f t="shared" si="4"/>
        <v>221.2543284419485</v>
      </c>
      <c r="P13" s="40">
        <f t="shared" si="5"/>
        <v>235.24822673434156</v>
      </c>
      <c r="Q13" s="40">
        <f t="shared" si="6"/>
        <v>256.34596800780685</v>
      </c>
    </row>
    <row r="14" spans="2:17" ht="13.95" customHeight="1" x14ac:dyDescent="0.3">
      <c r="B14" s="35" t="s">
        <v>111</v>
      </c>
      <c r="C14" s="36">
        <v>895.11912301518612</v>
      </c>
      <c r="D14" s="37">
        <v>63090</v>
      </c>
      <c r="E14" s="38">
        <f t="shared" si="0"/>
        <v>1.4187971517121352E-2</v>
      </c>
      <c r="F14" s="37">
        <v>4676.4440000000004</v>
      </c>
      <c r="G14" s="37">
        <v>5099.8890000000001</v>
      </c>
      <c r="H14" s="37">
        <v>5562.143</v>
      </c>
      <c r="I14" s="39">
        <v>0.39160000000000011</v>
      </c>
      <c r="J14" s="39">
        <v>0.41010000000000002</v>
      </c>
      <c r="K14" s="39">
        <v>0.42340000000000011</v>
      </c>
      <c r="L14" s="40">
        <f t="shared" si="1"/>
        <v>66.349254273413052</v>
      </c>
      <c r="M14" s="40">
        <f t="shared" si="2"/>
        <v>72.357079872480497</v>
      </c>
      <c r="N14" s="40">
        <f t="shared" si="3"/>
        <v>78.915526458155909</v>
      </c>
      <c r="O14" s="40">
        <f t="shared" si="4"/>
        <v>169.43119068798018</v>
      </c>
      <c r="P14" s="40">
        <f t="shared" si="5"/>
        <v>176.4376490428688</v>
      </c>
      <c r="Q14" s="40">
        <f t="shared" si="6"/>
        <v>186.38527741652311</v>
      </c>
    </row>
    <row r="15" spans="2:17" ht="13.95" customHeight="1" x14ac:dyDescent="0.3">
      <c r="B15" s="35" t="s">
        <v>112</v>
      </c>
      <c r="C15" s="36">
        <v>735.15957581862858</v>
      </c>
      <c r="D15" s="37">
        <v>109308.4474447</v>
      </c>
      <c r="E15" s="38">
        <f t="shared" si="0"/>
        <v>6.7255513457965049E-3</v>
      </c>
      <c r="F15" s="37">
        <v>13604.778</v>
      </c>
      <c r="G15" s="37">
        <v>15814.1</v>
      </c>
      <c r="H15" s="37">
        <v>18082.900000000001</v>
      </c>
      <c r="I15" s="39">
        <v>0.13896</v>
      </c>
      <c r="J15" s="39">
        <v>0.15057999999999999</v>
      </c>
      <c r="K15" s="39">
        <v>0.15956999999999999</v>
      </c>
      <c r="L15" s="40">
        <f t="shared" si="1"/>
        <v>91.499632987162684</v>
      </c>
      <c r="M15" s="40">
        <f t="shared" si="2"/>
        <v>106.35854153756051</v>
      </c>
      <c r="N15" s="40">
        <f t="shared" si="3"/>
        <v>121.61747243090363</v>
      </c>
      <c r="O15" s="40">
        <f t="shared" si="4"/>
        <v>658.46022587192488</v>
      </c>
      <c r="P15" s="40">
        <f t="shared" si="5"/>
        <v>706.32581709098497</v>
      </c>
      <c r="Q15" s="40">
        <f t="shared" si="6"/>
        <v>762.15750097702346</v>
      </c>
    </row>
    <row r="16" spans="2:17" ht="13.95" customHeight="1" x14ac:dyDescent="0.3">
      <c r="B16" s="35" t="s">
        <v>113</v>
      </c>
      <c r="C16" s="36">
        <v>663.936809511673</v>
      </c>
      <c r="D16" s="37">
        <v>34042.756059000007</v>
      </c>
      <c r="E16" s="38">
        <f t="shared" si="0"/>
        <v>1.950302755631754E-2</v>
      </c>
      <c r="F16" s="37">
        <v>3715.9</v>
      </c>
      <c r="G16" s="37">
        <v>3997.4</v>
      </c>
      <c r="H16" s="37">
        <v>4403.375</v>
      </c>
      <c r="I16" s="39">
        <v>0.23357</v>
      </c>
      <c r="J16" s="39">
        <v>0.22947999999999999</v>
      </c>
      <c r="K16" s="39">
        <v>0.22982</v>
      </c>
      <c r="L16" s="40">
        <f t="shared" si="1"/>
        <v>72.471300096520352</v>
      </c>
      <c r="M16" s="40">
        <f t="shared" si="2"/>
        <v>77.96140235362374</v>
      </c>
      <c r="N16" s="40">
        <f t="shared" si="3"/>
        <v>85.879143965799742</v>
      </c>
      <c r="O16" s="40">
        <f t="shared" si="4"/>
        <v>310.27657702838701</v>
      </c>
      <c r="P16" s="40">
        <f t="shared" si="5"/>
        <v>339.7307057417803</v>
      </c>
      <c r="Q16" s="40">
        <f t="shared" si="6"/>
        <v>373.68002769906769</v>
      </c>
    </row>
    <row r="17" spans="2:17" ht="13.95" customHeight="1" x14ac:dyDescent="0.3">
      <c r="B17" s="41" t="s">
        <v>114</v>
      </c>
      <c r="C17" s="42">
        <f>SUM(C7:C16)</f>
        <v>60927.303521809401</v>
      </c>
      <c r="D17" s="43"/>
      <c r="E17" s="43"/>
      <c r="F17" s="43"/>
      <c r="G17" s="43"/>
      <c r="H17" s="43"/>
      <c r="I17" s="44">
        <f>L17/O17</f>
        <v>0.18878721216154329</v>
      </c>
      <c r="J17" s="44">
        <f>M17/P17</f>
        <v>0.19933653535492896</v>
      </c>
      <c r="K17" s="44">
        <f>N17/Q17</f>
        <v>0.2034070756073702</v>
      </c>
      <c r="L17" s="42">
        <f t="shared" ref="L17:Q17" si="7">SUM(L7:L16)</f>
        <v>5708.1180707928843</v>
      </c>
      <c r="M17" s="42">
        <f t="shared" si="7"/>
        <v>6447.8434518249705</v>
      </c>
      <c r="N17" s="42">
        <f t="shared" si="7"/>
        <v>7167.1074217837477</v>
      </c>
      <c r="O17" s="42">
        <f t="shared" si="7"/>
        <v>30235.724154390849</v>
      </c>
      <c r="P17" s="42">
        <f t="shared" si="7"/>
        <v>32346.521124911967</v>
      </c>
      <c r="Q17" s="42">
        <f t="shared" si="7"/>
        <v>35235.290613086501</v>
      </c>
    </row>
    <row r="18" spans="2:17" ht="13.95" customHeight="1" x14ac:dyDescent="0.3">
      <c r="B18" s="35" t="s">
        <v>115</v>
      </c>
      <c r="L18" s="40">
        <f>L17-5708.11810081707</f>
        <v>-3.0024185434740502E-5</v>
      </c>
      <c r="M18" s="40">
        <f>M17-6447.84351004962</f>
        <v>-5.8224649365001824E-5</v>
      </c>
      <c r="N18" s="40">
        <f>N17-7167.10743501159</f>
        <v>-1.3227841918705963E-5</v>
      </c>
    </row>
    <row r="20" spans="2:17" ht="13.95" customHeight="1" x14ac:dyDescent="0.3">
      <c r="B20" s="2" t="s">
        <v>116</v>
      </c>
    </row>
    <row r="21" spans="2:17" ht="13.95" customHeight="1" x14ac:dyDescent="0.3">
      <c r="B21" s="2" t="s">
        <v>117</v>
      </c>
    </row>
    <row r="22" spans="2:17" ht="13.95" customHeight="1" x14ac:dyDescent="0.3">
      <c r="B22" s="2" t="s">
        <v>118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9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0</v>
      </c>
    </row>
    <row r="2" spans="2:16" ht="13.95" customHeight="1" x14ac:dyDescent="0.3">
      <c r="B2" s="2" t="s">
        <v>1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5" t="s">
        <v>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2:16" ht="13.95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P6" s="7" t="s">
        <v>20</v>
      </c>
    </row>
    <row r="7" spans="2:16" ht="13.95" customHeight="1" x14ac:dyDescent="0.3">
      <c r="B7" s="8" t="s">
        <v>21</v>
      </c>
      <c r="C7" s="45">
        <v>50922</v>
      </c>
      <c r="D7" s="45">
        <v>56028</v>
      </c>
      <c r="E7" s="45">
        <v>61318</v>
      </c>
      <c r="F7" s="45">
        <v>66407</v>
      </c>
      <c r="G7" s="45">
        <v>71853</v>
      </c>
      <c r="H7" s="45">
        <v>76890</v>
      </c>
      <c r="I7" s="45">
        <v>81937</v>
      </c>
      <c r="J7" s="45">
        <v>87124</v>
      </c>
      <c r="K7" s="45">
        <v>92891</v>
      </c>
      <c r="L7" s="45">
        <v>99086</v>
      </c>
      <c r="M7" s="45">
        <v>105569</v>
      </c>
      <c r="N7" s="45">
        <v>112362</v>
      </c>
      <c r="P7" s="2" t="s">
        <v>22</v>
      </c>
    </row>
    <row r="8" spans="2:16" ht="13.95" customHeight="1" x14ac:dyDescent="0.3">
      <c r="B8" s="8" t="s">
        <v>23</v>
      </c>
      <c r="C8" s="45">
        <v>29433</v>
      </c>
      <c r="D8" s="45">
        <v>36310</v>
      </c>
      <c r="E8" s="45">
        <v>42954</v>
      </c>
      <c r="F8" s="45">
        <v>47031</v>
      </c>
      <c r="G8" s="45">
        <v>52633</v>
      </c>
      <c r="H8" s="45">
        <v>58205</v>
      </c>
      <c r="I8" s="45">
        <v>62018</v>
      </c>
      <c r="J8" s="45">
        <v>65938</v>
      </c>
      <c r="K8" s="45">
        <v>72614</v>
      </c>
      <c r="L8" s="45">
        <v>77433</v>
      </c>
      <c r="M8" s="45">
        <v>83534</v>
      </c>
      <c r="N8" s="45">
        <v>90010</v>
      </c>
      <c r="P8" s="2" t="s">
        <v>24</v>
      </c>
    </row>
    <row r="9" spans="2:16" ht="13.95" customHeight="1" x14ac:dyDescent="0.3">
      <c r="B9" s="8" t="s">
        <v>25</v>
      </c>
      <c r="C9" s="19">
        <f t="shared" ref="C9:N9" si="0">C8/C7</f>
        <v>0.57800164958171318</v>
      </c>
      <c r="D9" s="19">
        <f t="shared" si="0"/>
        <v>0.64806882273149136</v>
      </c>
      <c r="E9" s="19">
        <f t="shared" si="0"/>
        <v>0.70051208454287484</v>
      </c>
      <c r="F9" s="19">
        <f t="shared" si="0"/>
        <v>0.70822353065188914</v>
      </c>
      <c r="G9" s="19">
        <f t="shared" si="0"/>
        <v>0.73250942897304216</v>
      </c>
      <c r="H9" s="19">
        <f t="shared" si="0"/>
        <v>0.75699050591754458</v>
      </c>
      <c r="I9" s="19">
        <f t="shared" si="0"/>
        <v>0.75689859282131389</v>
      </c>
      <c r="J9" s="19">
        <f t="shared" si="0"/>
        <v>0.7568293466782976</v>
      </c>
      <c r="K9" s="19">
        <f t="shared" si="0"/>
        <v>0.78171189889225001</v>
      </c>
      <c r="L9" s="19">
        <f t="shared" si="0"/>
        <v>0.78147266011343686</v>
      </c>
      <c r="M9" s="19">
        <f t="shared" si="0"/>
        <v>0.79127395352802432</v>
      </c>
      <c r="N9" s="19">
        <f t="shared" si="0"/>
        <v>0.80107153664050124</v>
      </c>
      <c r="P9" s="2" t="s">
        <v>26</v>
      </c>
    </row>
    <row r="10" spans="2:16" ht="13.95" customHeight="1" x14ac:dyDescent="0.3">
      <c r="B10" s="35" t="s">
        <v>27</v>
      </c>
      <c r="C10" s="36">
        <v>19089.265090629371</v>
      </c>
      <c r="D10" s="37">
        <v>564225.22764619999</v>
      </c>
      <c r="E10" s="38">
        <f>C10/D10</f>
        <v>3.3832703954526797E-2</v>
      </c>
      <c r="P10" s="2" t="s">
        <v>28</v>
      </c>
    </row>
    <row r="11" spans="2:16" ht="13.95" customHeight="1" x14ac:dyDescent="0.3">
      <c r="B11" s="8" t="s">
        <v>29</v>
      </c>
      <c r="C11" s="9">
        <f t="shared" ref="C11:N11" si="1">C7*$E$10</f>
        <v>1722.8289507724135</v>
      </c>
      <c r="D11" s="9">
        <f t="shared" si="1"/>
        <v>1895.5787371642273</v>
      </c>
      <c r="E11" s="9">
        <f t="shared" si="1"/>
        <v>2074.5537410836741</v>
      </c>
      <c r="F11" s="9">
        <f t="shared" si="1"/>
        <v>2246.7283715082608</v>
      </c>
      <c r="G11" s="9">
        <f t="shared" si="1"/>
        <v>2430.9812772446139</v>
      </c>
      <c r="H11" s="9">
        <f t="shared" si="1"/>
        <v>2601.3966070635652</v>
      </c>
      <c r="I11" s="9">
        <f t="shared" si="1"/>
        <v>2772.1502639220621</v>
      </c>
      <c r="J11" s="9">
        <f t="shared" si="1"/>
        <v>2947.6404993341926</v>
      </c>
      <c r="K11" s="9">
        <f t="shared" si="1"/>
        <v>3142.7537030399485</v>
      </c>
      <c r="L11" s="9">
        <f t="shared" si="1"/>
        <v>3352.3473040382423</v>
      </c>
      <c r="M11" s="9">
        <f t="shared" si="1"/>
        <v>3571.6847237754396</v>
      </c>
      <c r="N11" s="9">
        <f t="shared" si="1"/>
        <v>3801.51028173854</v>
      </c>
    </row>
    <row r="12" spans="2:16" ht="13.95" customHeight="1" x14ac:dyDescent="0.3">
      <c r="B12" s="8" t="s">
        <v>30</v>
      </c>
      <c r="C12" s="9">
        <f t="shared" ref="C12:N12" si="2">C8*$E$10</f>
        <v>995.79797549358716</v>
      </c>
      <c r="D12" s="9">
        <f t="shared" si="2"/>
        <v>1228.4654805888679</v>
      </c>
      <c r="E12" s="9">
        <f t="shared" si="2"/>
        <v>1453.249965662744</v>
      </c>
      <c r="F12" s="9">
        <f t="shared" si="2"/>
        <v>1591.1858996853498</v>
      </c>
      <c r="G12" s="9">
        <f t="shared" si="2"/>
        <v>1780.7167072386089</v>
      </c>
      <c r="H12" s="9">
        <f t="shared" si="2"/>
        <v>1969.2325336732322</v>
      </c>
      <c r="I12" s="9">
        <f t="shared" si="2"/>
        <v>2098.2366338518427</v>
      </c>
      <c r="J12" s="9">
        <f t="shared" si="2"/>
        <v>2230.8608333535881</v>
      </c>
      <c r="K12" s="9">
        <f t="shared" si="2"/>
        <v>2456.7279649540087</v>
      </c>
      <c r="L12" s="9">
        <f t="shared" si="2"/>
        <v>2619.7677653108735</v>
      </c>
      <c r="M12" s="9">
        <f t="shared" si="2"/>
        <v>2826.1810921374413</v>
      </c>
      <c r="N12" s="9">
        <f t="shared" si="2"/>
        <v>3045.2816829469571</v>
      </c>
    </row>
    <row r="15" spans="2:16" ht="13.95" customHeight="1" x14ac:dyDescent="0.3">
      <c r="B15" s="55" t="s">
        <v>31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2:16" ht="13.95" customHeight="1" x14ac:dyDescent="0.3">
      <c r="B16" s="6" t="s">
        <v>7</v>
      </c>
      <c r="C16" s="7" t="s">
        <v>8</v>
      </c>
      <c r="D16" s="7" t="s">
        <v>9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14</v>
      </c>
      <c r="J16" s="7" t="s">
        <v>15</v>
      </c>
      <c r="K16" s="7" t="s">
        <v>16</v>
      </c>
      <c r="L16" s="7" t="s">
        <v>17</v>
      </c>
      <c r="M16" s="7" t="s">
        <v>18</v>
      </c>
      <c r="N16" s="7" t="s">
        <v>19</v>
      </c>
      <c r="P16" s="7" t="s">
        <v>20</v>
      </c>
    </row>
    <row r="17" spans="2:16" ht="13.95" customHeight="1" x14ac:dyDescent="0.3">
      <c r="B17" s="8" t="s">
        <v>21</v>
      </c>
      <c r="C17" s="45">
        <v>28221</v>
      </c>
      <c r="D17" s="45">
        <v>31178</v>
      </c>
      <c r="E17" s="45">
        <v>34548</v>
      </c>
      <c r="F17" s="45">
        <v>37971</v>
      </c>
      <c r="G17" s="45">
        <v>41533</v>
      </c>
      <c r="H17" s="45">
        <v>44699</v>
      </c>
      <c r="I17" s="45">
        <v>47964</v>
      </c>
      <c r="J17" s="45">
        <v>51319</v>
      </c>
      <c r="K17" s="45">
        <v>54749</v>
      </c>
      <c r="L17" s="45">
        <v>58243</v>
      </c>
      <c r="M17" s="45">
        <v>61788</v>
      </c>
      <c r="N17" s="45">
        <v>65372</v>
      </c>
      <c r="P17" s="2" t="s">
        <v>32</v>
      </c>
    </row>
    <row r="18" spans="2:16" ht="13.95" customHeight="1" x14ac:dyDescent="0.3">
      <c r="B18" s="8" t="s">
        <v>23</v>
      </c>
      <c r="C18" s="45">
        <v>13727</v>
      </c>
      <c r="D18" s="45">
        <v>15095</v>
      </c>
      <c r="E18" s="45">
        <v>16726</v>
      </c>
      <c r="F18" s="45">
        <v>19903</v>
      </c>
      <c r="G18" s="45">
        <v>23431</v>
      </c>
      <c r="H18" s="45">
        <v>26111</v>
      </c>
      <c r="I18" s="45">
        <v>28978</v>
      </c>
      <c r="J18" s="45">
        <v>31517</v>
      </c>
      <c r="K18" s="45">
        <v>34171</v>
      </c>
      <c r="L18" s="45">
        <v>36934</v>
      </c>
      <c r="M18" s="45">
        <v>39801</v>
      </c>
      <c r="N18" s="45">
        <v>42763</v>
      </c>
      <c r="P18" s="2" t="s">
        <v>33</v>
      </c>
    </row>
    <row r="19" spans="2:16" ht="13.95" customHeight="1" x14ac:dyDescent="0.3">
      <c r="B19" s="8" t="s">
        <v>25</v>
      </c>
      <c r="C19" s="19">
        <f t="shared" ref="C19:N19" si="3">C18/C17</f>
        <v>0.48641082881542114</v>
      </c>
      <c r="D19" s="19">
        <f t="shared" si="3"/>
        <v>0.48415549425877219</v>
      </c>
      <c r="E19" s="19">
        <f t="shared" si="3"/>
        <v>0.48413801088340858</v>
      </c>
      <c r="F19" s="19">
        <f t="shared" si="3"/>
        <v>0.52416317716151795</v>
      </c>
      <c r="G19" s="19">
        <f t="shared" si="3"/>
        <v>0.56415380540774807</v>
      </c>
      <c r="H19" s="19">
        <f t="shared" si="3"/>
        <v>0.58415177073312607</v>
      </c>
      <c r="I19" s="19">
        <f t="shared" si="3"/>
        <v>0.60416145442415148</v>
      </c>
      <c r="J19" s="19">
        <f t="shared" si="3"/>
        <v>0.61413901284124783</v>
      </c>
      <c r="K19" s="19">
        <f t="shared" si="3"/>
        <v>0.62413925368499878</v>
      </c>
      <c r="L19" s="19">
        <f t="shared" si="3"/>
        <v>0.63413629105643599</v>
      </c>
      <c r="M19" s="19">
        <f t="shared" si="3"/>
        <v>0.64415420469994178</v>
      </c>
      <c r="N19" s="19">
        <f t="shared" si="3"/>
        <v>0.65414856513492015</v>
      </c>
      <c r="P19" s="2" t="s">
        <v>26</v>
      </c>
    </row>
    <row r="20" spans="2:16" ht="13.95" customHeight="1" x14ac:dyDescent="0.3">
      <c r="B20" s="35" t="s">
        <v>27</v>
      </c>
      <c r="C20" s="36">
        <v>10039.70324411161</v>
      </c>
      <c r="D20" s="37">
        <v>226447.75534606999</v>
      </c>
      <c r="E20" s="38">
        <f>C20/D20</f>
        <v>4.4335627124094827E-2</v>
      </c>
      <c r="P20" s="2" t="s">
        <v>28</v>
      </c>
    </row>
    <row r="21" spans="2:16" ht="13.95" customHeight="1" x14ac:dyDescent="0.3">
      <c r="B21" s="8" t="s">
        <v>29</v>
      </c>
      <c r="C21" s="9">
        <f t="shared" ref="C21:N21" si="4">C17*$E$20</f>
        <v>1251.19573306908</v>
      </c>
      <c r="D21" s="9">
        <f t="shared" si="4"/>
        <v>1382.2961824750284</v>
      </c>
      <c r="E21" s="9">
        <f t="shared" si="4"/>
        <v>1531.7072458832281</v>
      </c>
      <c r="F21" s="9">
        <f t="shared" si="4"/>
        <v>1683.4680975290046</v>
      </c>
      <c r="G21" s="9">
        <f t="shared" si="4"/>
        <v>1841.3916013450305</v>
      </c>
      <c r="H21" s="9">
        <f t="shared" si="4"/>
        <v>1981.7581968199147</v>
      </c>
      <c r="I21" s="9">
        <f t="shared" si="4"/>
        <v>2126.5140193800844</v>
      </c>
      <c r="J21" s="9">
        <f t="shared" si="4"/>
        <v>2275.2600483814226</v>
      </c>
      <c r="K21" s="9">
        <f t="shared" si="4"/>
        <v>2427.3312494170677</v>
      </c>
      <c r="L21" s="9">
        <f t="shared" si="4"/>
        <v>2582.2399305886552</v>
      </c>
      <c r="M21" s="9">
        <f t="shared" si="4"/>
        <v>2739.4097287435711</v>
      </c>
      <c r="N21" s="9">
        <f t="shared" si="4"/>
        <v>2898.3086163563271</v>
      </c>
    </row>
    <row r="22" spans="2:16" ht="13.95" customHeight="1" x14ac:dyDescent="0.3">
      <c r="B22" s="8" t="s">
        <v>30</v>
      </c>
      <c r="C22" s="9">
        <f t="shared" ref="C22:N22" si="5">C18*$E$20</f>
        <v>608.59515353244967</v>
      </c>
      <c r="D22" s="9">
        <f t="shared" si="5"/>
        <v>669.24629143821141</v>
      </c>
      <c r="E22" s="9">
        <f t="shared" si="5"/>
        <v>741.55769927761003</v>
      </c>
      <c r="F22" s="9">
        <f t="shared" si="5"/>
        <v>882.41198665085938</v>
      </c>
      <c r="G22" s="9">
        <f t="shared" si="5"/>
        <v>1038.8280791446659</v>
      </c>
      <c r="H22" s="9">
        <f t="shared" si="5"/>
        <v>1157.6475598372401</v>
      </c>
      <c r="I22" s="9">
        <f t="shared" si="5"/>
        <v>1284.7578028020198</v>
      </c>
      <c r="J22" s="9">
        <f t="shared" si="5"/>
        <v>1397.3259600700967</v>
      </c>
      <c r="K22" s="9">
        <f t="shared" si="5"/>
        <v>1514.9927144574444</v>
      </c>
      <c r="L22" s="9">
        <f t="shared" si="5"/>
        <v>1637.4920522013183</v>
      </c>
      <c r="M22" s="9">
        <f t="shared" si="5"/>
        <v>1764.6022951660982</v>
      </c>
      <c r="N22" s="9">
        <f t="shared" si="5"/>
        <v>1895.9244227076672</v>
      </c>
    </row>
    <row r="25" spans="2:16" ht="13.95" customHeight="1" x14ac:dyDescent="0.3">
      <c r="B25" s="55" t="s">
        <v>34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2:16" ht="13.95" customHeight="1" x14ac:dyDescent="0.3">
      <c r="B26" s="6" t="s">
        <v>7</v>
      </c>
      <c r="C26" s="7" t="s">
        <v>8</v>
      </c>
      <c r="D26" s="7" t="s">
        <v>9</v>
      </c>
      <c r="E26" s="7" t="s">
        <v>10</v>
      </c>
      <c r="F26" s="7" t="s">
        <v>11</v>
      </c>
      <c r="G26" s="7" t="s">
        <v>12</v>
      </c>
      <c r="H26" s="7" t="s">
        <v>13</v>
      </c>
      <c r="I26" s="7" t="s">
        <v>14</v>
      </c>
      <c r="J26" s="7" t="s">
        <v>15</v>
      </c>
      <c r="K26" s="7" t="s">
        <v>16</v>
      </c>
      <c r="L26" s="7" t="s">
        <v>17</v>
      </c>
      <c r="M26" s="7" t="s">
        <v>18</v>
      </c>
      <c r="N26" s="7" t="s">
        <v>19</v>
      </c>
      <c r="P26" s="7" t="s">
        <v>20</v>
      </c>
    </row>
    <row r="27" spans="2:16" ht="13.95" customHeight="1" x14ac:dyDescent="0.3">
      <c r="B27" s="8" t="s">
        <v>21</v>
      </c>
      <c r="C27" s="45">
        <v>6537</v>
      </c>
      <c r="D27" s="45">
        <v>7215</v>
      </c>
      <c r="E27" s="45">
        <v>7971</v>
      </c>
      <c r="F27" s="45">
        <v>8876</v>
      </c>
      <c r="G27" s="45">
        <v>9881</v>
      </c>
      <c r="H27" s="45">
        <v>10905</v>
      </c>
      <c r="I27" s="45">
        <v>11848</v>
      </c>
      <c r="J27" s="45">
        <v>13062</v>
      </c>
      <c r="K27" s="46">
        <f>J27*(1+gAn)</f>
        <v>13845.720000000001</v>
      </c>
      <c r="L27" s="46">
        <f>K27*(1+gAn)</f>
        <v>14676.463200000002</v>
      </c>
      <c r="M27" s="46">
        <f>L27*(1+gAn)</f>
        <v>15557.050992000002</v>
      </c>
      <c r="N27" s="46">
        <f>M27*(1+gAn)</f>
        <v>16490.474051520003</v>
      </c>
      <c r="P27" s="2" t="s">
        <v>35</v>
      </c>
    </row>
    <row r="28" spans="2:16" ht="13.95" customHeight="1" x14ac:dyDescent="0.3">
      <c r="B28" s="8" t="s">
        <v>23</v>
      </c>
      <c r="C28" s="45">
        <v>6203</v>
      </c>
      <c r="D28" s="45">
        <v>6859</v>
      </c>
      <c r="E28" s="45">
        <v>7612</v>
      </c>
      <c r="F28" s="45">
        <v>8513</v>
      </c>
      <c r="G28" s="45">
        <v>9413</v>
      </c>
      <c r="H28" s="45">
        <v>10358</v>
      </c>
      <c r="I28" s="45">
        <v>11364</v>
      </c>
      <c r="J28" s="45">
        <v>12526</v>
      </c>
      <c r="K28" s="46">
        <f>K27*J29</f>
        <v>13277.560000000001</v>
      </c>
      <c r="L28" s="46">
        <f>L27*J29</f>
        <v>14074.213600000001</v>
      </c>
      <c r="M28" s="46">
        <f>M27*J29</f>
        <v>14918.666416000002</v>
      </c>
      <c r="N28" s="46">
        <f>N27*J29</f>
        <v>15813.786400960002</v>
      </c>
      <c r="P28" s="2" t="s">
        <v>36</v>
      </c>
    </row>
    <row r="29" spans="2:16" ht="13.95" customHeight="1" x14ac:dyDescent="0.3">
      <c r="B29" s="8" t="s">
        <v>25</v>
      </c>
      <c r="C29" s="19">
        <f t="shared" ref="C29:N29" si="6">C28/C27</f>
        <v>0.94890622609759834</v>
      </c>
      <c r="D29" s="19">
        <f t="shared" si="6"/>
        <v>0.95065835065835069</v>
      </c>
      <c r="E29" s="19">
        <f t="shared" si="6"/>
        <v>0.954961736294066</v>
      </c>
      <c r="F29" s="19">
        <f t="shared" si="6"/>
        <v>0.95910319963947721</v>
      </c>
      <c r="G29" s="19">
        <f t="shared" si="6"/>
        <v>0.95263637283675739</v>
      </c>
      <c r="H29" s="19">
        <f t="shared" si="6"/>
        <v>0.94983952315451625</v>
      </c>
      <c r="I29" s="19">
        <f t="shared" si="6"/>
        <v>0.95914922349763676</v>
      </c>
      <c r="J29" s="19">
        <f t="shared" si="6"/>
        <v>0.95896493645689784</v>
      </c>
      <c r="K29" s="19">
        <f t="shared" si="6"/>
        <v>0.95896493645689784</v>
      </c>
      <c r="L29" s="19">
        <f t="shared" si="6"/>
        <v>0.95896493645689784</v>
      </c>
      <c r="M29" s="19">
        <f t="shared" si="6"/>
        <v>0.95896493645689784</v>
      </c>
      <c r="N29" s="19">
        <f t="shared" si="6"/>
        <v>0.95896493645689784</v>
      </c>
      <c r="P29" s="2" t="s">
        <v>26</v>
      </c>
    </row>
    <row r="30" spans="2:16" ht="13.95" customHeight="1" x14ac:dyDescent="0.3">
      <c r="B30" s="35" t="s">
        <v>27</v>
      </c>
      <c r="C30" s="36">
        <v>8337.4034514344039</v>
      </c>
      <c r="D30" s="37">
        <v>112688.345</v>
      </c>
      <c r="E30" s="38">
        <f>C30/D30</f>
        <v>7.398638653744008E-2</v>
      </c>
      <c r="P30" s="2" t="s">
        <v>28</v>
      </c>
    </row>
    <row r="31" spans="2:16" ht="13.95" customHeight="1" x14ac:dyDescent="0.3">
      <c r="B31" s="8" t="s">
        <v>29</v>
      </c>
      <c r="C31" s="9">
        <f t="shared" ref="C31:N31" si="7">C27*$E$30</f>
        <v>483.64900879524578</v>
      </c>
      <c r="D31" s="9">
        <f t="shared" si="7"/>
        <v>533.81177886763021</v>
      </c>
      <c r="E31" s="9">
        <f t="shared" si="7"/>
        <v>589.74548708993484</v>
      </c>
      <c r="F31" s="9">
        <f t="shared" si="7"/>
        <v>656.70316690631819</v>
      </c>
      <c r="G31" s="9">
        <f t="shared" si="7"/>
        <v>731.05948537644542</v>
      </c>
      <c r="H31" s="9">
        <f t="shared" si="7"/>
        <v>806.82154519078404</v>
      </c>
      <c r="I31" s="9">
        <f t="shared" si="7"/>
        <v>876.59070769559003</v>
      </c>
      <c r="J31" s="9">
        <f t="shared" si="7"/>
        <v>966.41018095204231</v>
      </c>
      <c r="K31" s="9">
        <f t="shared" si="7"/>
        <v>1024.3947918091649</v>
      </c>
      <c r="L31" s="9">
        <f t="shared" si="7"/>
        <v>1085.8584793177149</v>
      </c>
      <c r="M31" s="9">
        <f t="shared" si="7"/>
        <v>1151.0099880767777</v>
      </c>
      <c r="N31" s="9">
        <f t="shared" si="7"/>
        <v>1220.0705873613845</v>
      </c>
    </row>
    <row r="32" spans="2:16" ht="13.95" customHeight="1" x14ac:dyDescent="0.3">
      <c r="B32" s="8" t="s">
        <v>30</v>
      </c>
      <c r="C32" s="9">
        <f t="shared" ref="C32:N32" si="8">C28*$E$30</f>
        <v>458.93755569174084</v>
      </c>
      <c r="D32" s="9">
        <f t="shared" si="8"/>
        <v>507.47262526030153</v>
      </c>
      <c r="E32" s="9">
        <f t="shared" si="8"/>
        <v>563.1843743229939</v>
      </c>
      <c r="F32" s="9">
        <f t="shared" si="8"/>
        <v>629.84610859322743</v>
      </c>
      <c r="G32" s="9">
        <f t="shared" si="8"/>
        <v>696.43385647692344</v>
      </c>
      <c r="H32" s="9">
        <f t="shared" si="8"/>
        <v>766.35099175480434</v>
      </c>
      <c r="I32" s="9">
        <f t="shared" si="8"/>
        <v>840.78129661146909</v>
      </c>
      <c r="J32" s="9">
        <f t="shared" si="8"/>
        <v>926.75347776797446</v>
      </c>
      <c r="K32" s="9">
        <f t="shared" si="8"/>
        <v>982.35868643405297</v>
      </c>
      <c r="L32" s="9">
        <f t="shared" si="8"/>
        <v>1041.3002076200962</v>
      </c>
      <c r="M32" s="9">
        <f t="shared" si="8"/>
        <v>1103.778220077302</v>
      </c>
      <c r="N32" s="9">
        <f t="shared" si="8"/>
        <v>1170.0049132819402</v>
      </c>
    </row>
    <row r="35" spans="2:16" ht="13.95" customHeight="1" x14ac:dyDescent="0.3">
      <c r="B35" s="55" t="s">
        <v>37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2:16" ht="13.95" customHeight="1" x14ac:dyDescent="0.3">
      <c r="B36" s="6" t="s">
        <v>7</v>
      </c>
      <c r="C36" s="7" t="s">
        <v>8</v>
      </c>
      <c r="D36" s="7" t="s">
        <v>9</v>
      </c>
      <c r="E36" s="7" t="s">
        <v>10</v>
      </c>
      <c r="F36" s="7" t="s">
        <v>11</v>
      </c>
      <c r="G36" s="7" t="s">
        <v>12</v>
      </c>
      <c r="H36" s="7" t="s">
        <v>13</v>
      </c>
      <c r="I36" s="7" t="s">
        <v>14</v>
      </c>
      <c r="J36" s="7" t="s">
        <v>15</v>
      </c>
      <c r="K36" s="7" t="s">
        <v>16</v>
      </c>
      <c r="L36" s="7" t="s">
        <v>17</v>
      </c>
      <c r="M36" s="7" t="s">
        <v>18</v>
      </c>
      <c r="N36" s="7" t="s">
        <v>19</v>
      </c>
      <c r="P36" s="7" t="s">
        <v>20</v>
      </c>
    </row>
    <row r="37" spans="2:16" ht="13.95" customHeight="1" x14ac:dyDescent="0.3">
      <c r="B37" s="8" t="s">
        <v>21</v>
      </c>
      <c r="C37" s="45">
        <v>19103</v>
      </c>
      <c r="D37" s="45">
        <v>21961</v>
      </c>
      <c r="E37" s="45">
        <v>25043</v>
      </c>
      <c r="F37" s="45">
        <v>28704</v>
      </c>
      <c r="G37" s="45">
        <v>32446</v>
      </c>
      <c r="H37" s="45">
        <v>36374</v>
      </c>
      <c r="I37" s="45">
        <v>40448</v>
      </c>
      <c r="J37" s="45">
        <v>44253</v>
      </c>
      <c r="K37" s="45">
        <v>48504</v>
      </c>
      <c r="L37" s="45">
        <v>52818</v>
      </c>
      <c r="M37" s="45">
        <v>57507</v>
      </c>
      <c r="N37" s="46">
        <f>M37*(1+gAn)</f>
        <v>60957.420000000006</v>
      </c>
      <c r="P37" s="2" t="s">
        <v>38</v>
      </c>
    </row>
    <row r="38" spans="2:16" ht="13.95" customHeight="1" x14ac:dyDescent="0.3">
      <c r="B38" s="8" t="s">
        <v>23</v>
      </c>
      <c r="C38" s="45">
        <v>6686</v>
      </c>
      <c r="D38" s="45">
        <v>9882</v>
      </c>
      <c r="E38" s="45">
        <v>13774</v>
      </c>
      <c r="F38" s="45">
        <v>17222</v>
      </c>
      <c r="G38" s="45">
        <v>21090</v>
      </c>
      <c r="H38" s="45">
        <v>25462</v>
      </c>
      <c r="I38" s="45">
        <v>30336</v>
      </c>
      <c r="J38" s="45">
        <v>35403</v>
      </c>
      <c r="K38" s="45">
        <v>41228</v>
      </c>
      <c r="L38" s="45">
        <v>47536</v>
      </c>
      <c r="M38" s="45">
        <v>54632</v>
      </c>
      <c r="N38" s="46">
        <f>N37*M39</f>
        <v>57909.920000000006</v>
      </c>
      <c r="P38" s="2" t="s">
        <v>39</v>
      </c>
    </row>
    <row r="39" spans="2:16" ht="13.95" customHeight="1" x14ac:dyDescent="0.3">
      <c r="B39" s="8" t="s">
        <v>25</v>
      </c>
      <c r="C39" s="19">
        <f t="shared" ref="C39:N39" si="9">C38/C37</f>
        <v>0.34999738261006125</v>
      </c>
      <c r="D39" s="19">
        <f t="shared" si="9"/>
        <v>0.44997950912982104</v>
      </c>
      <c r="E39" s="19">
        <f t="shared" si="9"/>
        <v>0.55001397596134649</v>
      </c>
      <c r="F39" s="19">
        <f t="shared" si="9"/>
        <v>0.59998606465997772</v>
      </c>
      <c r="G39" s="19">
        <f t="shared" si="9"/>
        <v>0.65000308204401158</v>
      </c>
      <c r="H39" s="19">
        <f t="shared" si="9"/>
        <v>0.70000549843294657</v>
      </c>
      <c r="I39" s="19">
        <f t="shared" si="9"/>
        <v>0.75</v>
      </c>
      <c r="J39" s="19">
        <f t="shared" si="9"/>
        <v>0.80001355840282018</v>
      </c>
      <c r="K39" s="19">
        <f t="shared" si="9"/>
        <v>0.84999175325746334</v>
      </c>
      <c r="L39" s="19">
        <f t="shared" si="9"/>
        <v>0.89999621341209435</v>
      </c>
      <c r="M39" s="19">
        <f t="shared" si="9"/>
        <v>0.95000608621559113</v>
      </c>
      <c r="N39" s="19">
        <f t="shared" si="9"/>
        <v>0.95000608621559113</v>
      </c>
      <c r="P39" s="2" t="s">
        <v>26</v>
      </c>
    </row>
    <row r="40" spans="2:16" ht="13.95" customHeight="1" x14ac:dyDescent="0.3">
      <c r="B40" s="35" t="s">
        <v>27</v>
      </c>
      <c r="C40" s="36">
        <v>6925.2188861408813</v>
      </c>
      <c r="D40" s="37">
        <v>305584.14447699999</v>
      </c>
      <c r="E40" s="38">
        <f>C40/D40</f>
        <v>2.2662232354997439E-2</v>
      </c>
      <c r="P40" s="2" t="s">
        <v>28</v>
      </c>
    </row>
    <row r="41" spans="2:16" ht="13.95" customHeight="1" x14ac:dyDescent="0.3">
      <c r="B41" s="8" t="s">
        <v>29</v>
      </c>
      <c r="C41" s="9">
        <f t="shared" ref="C41:N41" si="10">C37*$E$40</f>
        <v>432.9166246775161</v>
      </c>
      <c r="D41" s="9">
        <f t="shared" si="10"/>
        <v>497.68528474809875</v>
      </c>
      <c r="E41" s="9">
        <f t="shared" si="10"/>
        <v>567.53028486620087</v>
      </c>
      <c r="F41" s="9">
        <f t="shared" si="10"/>
        <v>650.49671751784649</v>
      </c>
      <c r="G41" s="9">
        <f t="shared" si="10"/>
        <v>735.29879099024686</v>
      </c>
      <c r="H41" s="9">
        <f t="shared" si="10"/>
        <v>824.31603968067679</v>
      </c>
      <c r="I41" s="9">
        <f t="shared" si="10"/>
        <v>916.6419742949364</v>
      </c>
      <c r="J41" s="9">
        <f t="shared" si="10"/>
        <v>1002.8717684057017</v>
      </c>
      <c r="K41" s="9">
        <f t="shared" si="10"/>
        <v>1099.2089181467957</v>
      </c>
      <c r="L41" s="9">
        <f t="shared" si="10"/>
        <v>1196.9737885262548</v>
      </c>
      <c r="M41" s="9">
        <f t="shared" si="10"/>
        <v>1303.2369960388378</v>
      </c>
      <c r="N41" s="9">
        <f t="shared" si="10"/>
        <v>1381.431215801168</v>
      </c>
    </row>
    <row r="42" spans="2:16" ht="13.95" customHeight="1" x14ac:dyDescent="0.3">
      <c r="B42" s="8" t="s">
        <v>30</v>
      </c>
      <c r="C42" s="9">
        <f t="shared" ref="C42:N42" si="11">C38*$E$40</f>
        <v>151.51968552551287</v>
      </c>
      <c r="D42" s="9">
        <f t="shared" si="11"/>
        <v>223.9481801320847</v>
      </c>
      <c r="E42" s="9">
        <f t="shared" si="11"/>
        <v>312.14958845773469</v>
      </c>
      <c r="F42" s="9">
        <f t="shared" si="11"/>
        <v>390.28896561776588</v>
      </c>
      <c r="G42" s="9">
        <f t="shared" si="11"/>
        <v>477.94648036689597</v>
      </c>
      <c r="H42" s="9">
        <f t="shared" si="11"/>
        <v>577.02576022294477</v>
      </c>
      <c r="I42" s="9">
        <f t="shared" si="11"/>
        <v>687.48148072120227</v>
      </c>
      <c r="J42" s="9">
        <f t="shared" si="11"/>
        <v>802.31101206397432</v>
      </c>
      <c r="K42" s="9">
        <f t="shared" si="11"/>
        <v>934.31851553183435</v>
      </c>
      <c r="L42" s="9">
        <f t="shared" si="11"/>
        <v>1077.2718772271583</v>
      </c>
      <c r="M42" s="9">
        <f t="shared" si="11"/>
        <v>1238.08307801822</v>
      </c>
      <c r="N42" s="9">
        <f t="shared" si="11"/>
        <v>1312.3680626993134</v>
      </c>
    </row>
    <row r="45" spans="2:16" ht="13.95" customHeight="1" x14ac:dyDescent="0.3">
      <c r="B45" s="55" t="s">
        <v>40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</row>
    <row r="46" spans="2:16" ht="13.95" customHeight="1" x14ac:dyDescent="0.3">
      <c r="B46" s="6" t="s">
        <v>7</v>
      </c>
      <c r="C46" s="7" t="s">
        <v>8</v>
      </c>
      <c r="D46" s="7" t="s">
        <v>9</v>
      </c>
      <c r="E46" s="7" t="s">
        <v>10</v>
      </c>
      <c r="F46" s="7" t="s">
        <v>11</v>
      </c>
      <c r="G46" s="7" t="s">
        <v>12</v>
      </c>
      <c r="H46" s="7" t="s">
        <v>13</v>
      </c>
      <c r="I46" s="7" t="s">
        <v>14</v>
      </c>
      <c r="J46" s="7" t="s">
        <v>15</v>
      </c>
      <c r="K46" s="7" t="s">
        <v>16</v>
      </c>
      <c r="L46" s="7" t="s">
        <v>17</v>
      </c>
      <c r="M46" s="7" t="s">
        <v>18</v>
      </c>
      <c r="N46" s="7" t="s">
        <v>19</v>
      </c>
      <c r="P46" s="7" t="s">
        <v>20</v>
      </c>
    </row>
    <row r="47" spans="2:16" ht="13.95" customHeight="1" x14ac:dyDescent="0.3">
      <c r="B47" s="8" t="s">
        <v>21</v>
      </c>
      <c r="C47" s="46">
        <f t="shared" ref="C47:N47" si="12">C48/C49</f>
        <v>16916.666666666668</v>
      </c>
      <c r="D47" s="46">
        <f t="shared" si="12"/>
        <v>23713.333333333336</v>
      </c>
      <c r="E47" s="46">
        <f t="shared" si="12"/>
        <v>29783.333333333336</v>
      </c>
      <c r="F47" s="46">
        <f t="shared" si="12"/>
        <v>33300</v>
      </c>
      <c r="G47" s="46">
        <f t="shared" si="12"/>
        <v>36153.333333333336</v>
      </c>
      <c r="H47" s="46">
        <f t="shared" si="12"/>
        <v>39662.857142857145</v>
      </c>
      <c r="I47" s="46">
        <f t="shared" si="12"/>
        <v>42732.5</v>
      </c>
      <c r="J47" s="46">
        <f t="shared" si="12"/>
        <v>45604.444444444445</v>
      </c>
      <c r="K47" s="46">
        <f t="shared" si="12"/>
        <v>48112</v>
      </c>
      <c r="L47" s="46">
        <f t="shared" si="12"/>
        <v>50492.727272727272</v>
      </c>
      <c r="M47" s="46">
        <f t="shared" si="12"/>
        <v>52981.818181818177</v>
      </c>
      <c r="N47" s="46">
        <f t="shared" si="12"/>
        <v>55570.909090909088</v>
      </c>
      <c r="P47" s="2" t="s">
        <v>41</v>
      </c>
    </row>
    <row r="48" spans="2:16" ht="13.95" customHeight="1" x14ac:dyDescent="0.3">
      <c r="B48" s="8" t="s">
        <v>23</v>
      </c>
      <c r="C48" s="45">
        <v>4060</v>
      </c>
      <c r="D48" s="45">
        <v>7114</v>
      </c>
      <c r="E48" s="45">
        <v>8935</v>
      </c>
      <c r="F48" s="45">
        <v>9990</v>
      </c>
      <c r="G48" s="45">
        <v>10846</v>
      </c>
      <c r="H48" s="45">
        <v>13882</v>
      </c>
      <c r="I48" s="45">
        <v>17093</v>
      </c>
      <c r="J48" s="45">
        <v>20522</v>
      </c>
      <c r="K48" s="45">
        <v>24056</v>
      </c>
      <c r="L48" s="45">
        <v>27771</v>
      </c>
      <c r="M48" s="45">
        <v>29140</v>
      </c>
      <c r="N48" s="45">
        <v>30564</v>
      </c>
      <c r="P48" s="2" t="s">
        <v>42</v>
      </c>
    </row>
    <row r="49" spans="2:16" ht="13.95" customHeight="1" x14ac:dyDescent="0.3">
      <c r="B49" s="8" t="s">
        <v>25</v>
      </c>
      <c r="C49" s="47">
        <v>0.24</v>
      </c>
      <c r="D49" s="47">
        <v>0.3</v>
      </c>
      <c r="E49" s="47">
        <v>0.3</v>
      </c>
      <c r="F49" s="47">
        <v>0.3</v>
      </c>
      <c r="G49" s="47">
        <v>0.3</v>
      </c>
      <c r="H49" s="47">
        <v>0.35</v>
      </c>
      <c r="I49" s="47">
        <v>0.4</v>
      </c>
      <c r="J49" s="47">
        <v>0.45</v>
      </c>
      <c r="K49" s="47">
        <v>0.5</v>
      </c>
      <c r="L49" s="47">
        <v>0.55000000000000004</v>
      </c>
      <c r="M49" s="47">
        <v>0.55000000000000004</v>
      </c>
      <c r="N49" s="47">
        <v>0.55000000000000004</v>
      </c>
      <c r="P49" s="2" t="s">
        <v>43</v>
      </c>
    </row>
    <row r="50" spans="2:16" ht="13.95" customHeight="1" x14ac:dyDescent="0.3">
      <c r="B50" s="35" t="s">
        <v>27</v>
      </c>
      <c r="C50" s="36">
        <v>5397.3180436384264</v>
      </c>
      <c r="D50" s="37">
        <v>138571.5670872</v>
      </c>
      <c r="E50" s="38">
        <f>C50/D50</f>
        <v>3.8949678906654885E-2</v>
      </c>
      <c r="P50" s="2" t="s">
        <v>28</v>
      </c>
    </row>
    <row r="51" spans="2:16" ht="13.95" customHeight="1" x14ac:dyDescent="0.3">
      <c r="B51" s="8" t="s">
        <v>29</v>
      </c>
      <c r="C51" s="9">
        <f t="shared" ref="C51:N51" si="13">C47*$E$50</f>
        <v>658.89873483757856</v>
      </c>
      <c r="D51" s="9">
        <f t="shared" si="13"/>
        <v>923.62671913980955</v>
      </c>
      <c r="E51" s="9">
        <f t="shared" si="13"/>
        <v>1160.0512701032048</v>
      </c>
      <c r="F51" s="9">
        <f t="shared" si="13"/>
        <v>1297.0243075916076</v>
      </c>
      <c r="G51" s="9">
        <f t="shared" si="13"/>
        <v>1408.1607247385964</v>
      </c>
      <c r="H51" s="9">
        <f t="shared" si="13"/>
        <v>1544.855550234809</v>
      </c>
      <c r="I51" s="9">
        <f t="shared" si="13"/>
        <v>1664.41715387863</v>
      </c>
      <c r="J51" s="9">
        <f t="shared" si="13"/>
        <v>1776.2784678274922</v>
      </c>
      <c r="K51" s="9">
        <f t="shared" si="13"/>
        <v>1873.9469515569799</v>
      </c>
      <c r="L51" s="9">
        <f t="shared" si="13"/>
        <v>1966.6755143940231</v>
      </c>
      <c r="M51" s="9">
        <f t="shared" si="13"/>
        <v>2063.6248060725875</v>
      </c>
      <c r="N51" s="9">
        <f t="shared" si="13"/>
        <v>2164.4690656418179</v>
      </c>
    </row>
    <row r="52" spans="2:16" ht="13.95" customHeight="1" x14ac:dyDescent="0.3">
      <c r="B52" s="8" t="s">
        <v>30</v>
      </c>
      <c r="C52" s="9">
        <f t="shared" ref="C52:N52" si="14">C48*$E$50</f>
        <v>158.13569636101883</v>
      </c>
      <c r="D52" s="9">
        <f t="shared" si="14"/>
        <v>277.08801574194285</v>
      </c>
      <c r="E52" s="9">
        <f t="shared" si="14"/>
        <v>348.01538103096141</v>
      </c>
      <c r="F52" s="9">
        <f t="shared" si="14"/>
        <v>389.10729227748232</v>
      </c>
      <c r="G52" s="9">
        <f t="shared" si="14"/>
        <v>422.44821742157887</v>
      </c>
      <c r="H52" s="9">
        <f t="shared" si="14"/>
        <v>540.69944258218311</v>
      </c>
      <c r="I52" s="9">
        <f t="shared" si="14"/>
        <v>665.76686155145194</v>
      </c>
      <c r="J52" s="9">
        <f t="shared" si="14"/>
        <v>799.32531052237152</v>
      </c>
      <c r="K52" s="9">
        <f t="shared" si="14"/>
        <v>936.97347577848996</v>
      </c>
      <c r="L52" s="9">
        <f t="shared" si="14"/>
        <v>1081.6715329167127</v>
      </c>
      <c r="M52" s="9">
        <f t="shared" si="14"/>
        <v>1134.9936433399234</v>
      </c>
      <c r="N52" s="9">
        <f t="shared" si="14"/>
        <v>1190.4579861029999</v>
      </c>
    </row>
    <row r="55" spans="2:16" ht="13.95" customHeight="1" x14ac:dyDescent="0.3">
      <c r="B55" s="55" t="s">
        <v>44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</row>
    <row r="56" spans="2:16" ht="13.95" customHeight="1" x14ac:dyDescent="0.3">
      <c r="B56" s="6" t="s">
        <v>7</v>
      </c>
      <c r="C56" s="7" t="s">
        <v>8</v>
      </c>
      <c r="D56" s="7" t="s">
        <v>9</v>
      </c>
      <c r="E56" s="7" t="s">
        <v>10</v>
      </c>
      <c r="F56" s="7" t="s">
        <v>11</v>
      </c>
      <c r="G56" s="7" t="s">
        <v>12</v>
      </c>
      <c r="H56" s="7" t="s">
        <v>13</v>
      </c>
      <c r="I56" s="7" t="s">
        <v>14</v>
      </c>
      <c r="J56" s="7" t="s">
        <v>15</v>
      </c>
      <c r="K56" s="7" t="s">
        <v>16</v>
      </c>
      <c r="L56" s="7" t="s">
        <v>17</v>
      </c>
      <c r="M56" s="7" t="s">
        <v>18</v>
      </c>
      <c r="N56" s="7" t="s">
        <v>19</v>
      </c>
      <c r="P56" s="7" t="s">
        <v>20</v>
      </c>
    </row>
    <row r="57" spans="2:16" ht="13.95" customHeight="1" x14ac:dyDescent="0.3">
      <c r="B57" s="8" t="s">
        <v>21</v>
      </c>
      <c r="C57" s="45">
        <v>4565.5379999999996</v>
      </c>
      <c r="D57" s="45">
        <v>4903.6729999999998</v>
      </c>
      <c r="E57" s="45">
        <v>5256.8029999999999</v>
      </c>
      <c r="F57" s="45">
        <v>5652.2529999999997</v>
      </c>
      <c r="G57" s="45">
        <v>6018.7139999999999</v>
      </c>
      <c r="H57" s="45">
        <v>6421.6580000000004</v>
      </c>
      <c r="I57" s="45">
        <v>6858</v>
      </c>
      <c r="J57" s="45">
        <v>7330.5460000000003</v>
      </c>
      <c r="K57" s="45">
        <v>7842.3429999999998</v>
      </c>
      <c r="L57" s="45">
        <v>8396.7090000000007</v>
      </c>
      <c r="M57" s="45">
        <v>8997.2530000000006</v>
      </c>
      <c r="N57" s="46">
        <f>M57*(1+gAn)</f>
        <v>9537.0881800000006</v>
      </c>
      <c r="P57" s="2" t="s">
        <v>45</v>
      </c>
    </row>
    <row r="58" spans="2:16" ht="13.95" customHeight="1" x14ac:dyDescent="0.3">
      <c r="B58" s="8" t="s">
        <v>23</v>
      </c>
      <c r="C58" s="45">
        <v>4208</v>
      </c>
      <c r="D58" s="45">
        <v>4520</v>
      </c>
      <c r="E58" s="45">
        <v>4845</v>
      </c>
      <c r="F58" s="45">
        <v>5210</v>
      </c>
      <c r="G58" s="45">
        <v>5547</v>
      </c>
      <c r="H58" s="45">
        <v>5919</v>
      </c>
      <c r="I58" s="45">
        <v>6321</v>
      </c>
      <c r="J58" s="45">
        <v>6756</v>
      </c>
      <c r="K58" s="45">
        <v>7228</v>
      </c>
      <c r="L58" s="45">
        <v>7739</v>
      </c>
      <c r="M58" s="45">
        <v>8293</v>
      </c>
      <c r="N58" s="46">
        <f>N57*M59</f>
        <v>8790.58</v>
      </c>
      <c r="P58" s="2" t="s">
        <v>46</v>
      </c>
    </row>
    <row r="59" spans="2:16" ht="13.95" customHeight="1" x14ac:dyDescent="0.3">
      <c r="B59" s="8" t="s">
        <v>25</v>
      </c>
      <c r="C59" s="19">
        <f t="shared" ref="C59:N59" si="15">C58/C57</f>
        <v>0.92168765214526749</v>
      </c>
      <c r="D59" s="19">
        <f t="shared" si="15"/>
        <v>0.92175803729163841</v>
      </c>
      <c r="E59" s="19">
        <f t="shared" si="15"/>
        <v>0.92166284336696658</v>
      </c>
      <c r="F59" s="19">
        <f t="shared" si="15"/>
        <v>0.92175633327099837</v>
      </c>
      <c r="G59" s="19">
        <f t="shared" si="15"/>
        <v>0.92162545022076148</v>
      </c>
      <c r="H59" s="19">
        <f t="shared" si="15"/>
        <v>0.92172457642558969</v>
      </c>
      <c r="I59" s="19">
        <f t="shared" si="15"/>
        <v>0.92169728783902016</v>
      </c>
      <c r="J59" s="19">
        <f t="shared" si="15"/>
        <v>0.92162302780720562</v>
      </c>
      <c r="K59" s="19">
        <f t="shared" si="15"/>
        <v>0.92166333454173077</v>
      </c>
      <c r="L59" s="19">
        <f t="shared" si="15"/>
        <v>0.92167062119218368</v>
      </c>
      <c r="M59" s="19">
        <f t="shared" si="15"/>
        <v>0.92172577563396285</v>
      </c>
      <c r="N59" s="19">
        <f t="shared" si="15"/>
        <v>0.92172577563396285</v>
      </c>
      <c r="P59" s="2" t="s">
        <v>26</v>
      </c>
    </row>
    <row r="60" spans="2:16" ht="13.95" customHeight="1" x14ac:dyDescent="0.3">
      <c r="B60" s="35" t="s">
        <v>27</v>
      </c>
      <c r="C60" s="36">
        <v>895.11912301518612</v>
      </c>
      <c r="D60" s="37">
        <v>63090</v>
      </c>
      <c r="E60" s="38">
        <f>C60/D60</f>
        <v>1.4187971517121352E-2</v>
      </c>
      <c r="P60" s="2" t="s">
        <v>28</v>
      </c>
    </row>
    <row r="61" spans="2:16" ht="13.95" customHeight="1" x14ac:dyDescent="0.3">
      <c r="B61" s="8" t="s">
        <v>29</v>
      </c>
      <c r="C61" s="9">
        <f t="shared" ref="C61:N61" si="16">C57*$E$60</f>
        <v>64.775723104335171</v>
      </c>
      <c r="D61" s="9">
        <f t="shared" si="16"/>
        <v>69.573172853277001</v>
      </c>
      <c r="E61" s="9">
        <f t="shared" si="16"/>
        <v>74.583371235118065</v>
      </c>
      <c r="F61" s="9">
        <f t="shared" si="16"/>
        <v>80.19400457156371</v>
      </c>
      <c r="G61" s="9">
        <f t="shared" si="16"/>
        <v>85.393342801699518</v>
      </c>
      <c r="H61" s="9">
        <f t="shared" si="16"/>
        <v>91.110300796694474</v>
      </c>
      <c r="I61" s="9">
        <f t="shared" si="16"/>
        <v>97.301108664418223</v>
      </c>
      <c r="J61" s="9">
        <f t="shared" si="16"/>
        <v>104.00557785294787</v>
      </c>
      <c r="K61" s="9">
        <f t="shared" si="16"/>
        <v>111.26693911149601</v>
      </c>
      <c r="L61" s="9">
        <f t="shared" si="16"/>
        <v>119.13226812955652</v>
      </c>
      <c r="M61" s="9">
        <f t="shared" si="16"/>
        <v>127.65276929633464</v>
      </c>
      <c r="N61" s="9">
        <f t="shared" si="16"/>
        <v>135.31193545411472</v>
      </c>
    </row>
    <row r="62" spans="2:16" ht="13.95" customHeight="1" x14ac:dyDescent="0.3">
      <c r="B62" s="8" t="s">
        <v>30</v>
      </c>
      <c r="C62" s="9">
        <f t="shared" ref="C62:N62" si="17">C58*$E$60</f>
        <v>59.702984144046646</v>
      </c>
      <c r="D62" s="9">
        <f t="shared" si="17"/>
        <v>64.12963125738851</v>
      </c>
      <c r="E62" s="9">
        <f t="shared" si="17"/>
        <v>68.740722000452948</v>
      </c>
      <c r="F62" s="9">
        <f t="shared" si="17"/>
        <v>73.919331604202242</v>
      </c>
      <c r="G62" s="9">
        <f t="shared" si="17"/>
        <v>78.700678005472142</v>
      </c>
      <c r="H62" s="9">
        <f t="shared" si="17"/>
        <v>83.978603409841284</v>
      </c>
      <c r="I62" s="9">
        <f t="shared" si="17"/>
        <v>89.682167959724069</v>
      </c>
      <c r="J62" s="9">
        <f t="shared" si="17"/>
        <v>95.853935569671847</v>
      </c>
      <c r="K62" s="9">
        <f t="shared" si="17"/>
        <v>102.55065812575313</v>
      </c>
      <c r="L62" s="9">
        <f t="shared" si="17"/>
        <v>109.80071157100214</v>
      </c>
      <c r="M62" s="9">
        <f t="shared" si="17"/>
        <v>117.66084779148737</v>
      </c>
      <c r="N62" s="9">
        <f t="shared" si="17"/>
        <v>124.72049865897661</v>
      </c>
    </row>
    <row r="65" spans="2:16" ht="13.95" customHeight="1" x14ac:dyDescent="0.3">
      <c r="B65" s="55" t="s">
        <v>47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2:16" ht="13.95" customHeight="1" x14ac:dyDescent="0.3">
      <c r="B66" s="6" t="s">
        <v>7</v>
      </c>
      <c r="C66" s="7" t="s">
        <v>8</v>
      </c>
      <c r="D66" s="7" t="s">
        <v>9</v>
      </c>
      <c r="E66" s="7" t="s">
        <v>10</v>
      </c>
      <c r="F66" s="7" t="s">
        <v>11</v>
      </c>
      <c r="G66" s="7" t="s">
        <v>12</v>
      </c>
      <c r="H66" s="7" t="s">
        <v>13</v>
      </c>
      <c r="I66" s="7" t="s">
        <v>14</v>
      </c>
      <c r="J66" s="7" t="s">
        <v>15</v>
      </c>
      <c r="K66" s="7" t="s">
        <v>16</v>
      </c>
      <c r="L66" s="7" t="s">
        <v>17</v>
      </c>
      <c r="M66" s="7" t="s">
        <v>18</v>
      </c>
      <c r="N66" s="7" t="s">
        <v>19</v>
      </c>
      <c r="P66" s="7" t="s">
        <v>20</v>
      </c>
    </row>
    <row r="67" spans="2:16" ht="13.95" customHeight="1" x14ac:dyDescent="0.3">
      <c r="B67" s="8" t="s">
        <v>21</v>
      </c>
      <c r="C67" s="45">
        <v>17399</v>
      </c>
      <c r="D67" s="45">
        <v>19672</v>
      </c>
      <c r="E67" s="45">
        <v>20985</v>
      </c>
      <c r="F67" s="45">
        <v>22473</v>
      </c>
      <c r="G67" s="45">
        <v>23918</v>
      </c>
      <c r="H67" s="45">
        <v>25510</v>
      </c>
      <c r="I67" s="45">
        <v>27201</v>
      </c>
      <c r="J67" s="45">
        <v>28935</v>
      </c>
      <c r="K67" s="45">
        <v>30589</v>
      </c>
      <c r="L67" s="45">
        <v>32224</v>
      </c>
      <c r="M67" s="45">
        <v>33739</v>
      </c>
      <c r="N67" s="46">
        <f>M67*(1+gAn)</f>
        <v>35763.340000000004</v>
      </c>
      <c r="P67" s="2" t="s">
        <v>48</v>
      </c>
    </row>
    <row r="68" spans="2:16" ht="13.95" customHeight="1" x14ac:dyDescent="0.3">
      <c r="B68" s="8" t="s">
        <v>23</v>
      </c>
      <c r="C68" s="45">
        <v>11309</v>
      </c>
      <c r="D68" s="45">
        <v>12787</v>
      </c>
      <c r="E68" s="45">
        <v>14689</v>
      </c>
      <c r="F68" s="45">
        <v>15731</v>
      </c>
      <c r="G68" s="45">
        <v>17939</v>
      </c>
      <c r="H68" s="45">
        <v>19132</v>
      </c>
      <c r="I68" s="45">
        <v>20400</v>
      </c>
      <c r="J68" s="45">
        <v>21702</v>
      </c>
      <c r="K68" s="45">
        <v>22942</v>
      </c>
      <c r="L68" s="45">
        <v>24168</v>
      </c>
      <c r="M68" s="45">
        <v>25304</v>
      </c>
      <c r="N68" s="46">
        <f>N67*M69</f>
        <v>26822.240000000005</v>
      </c>
      <c r="P68" s="2" t="s">
        <v>49</v>
      </c>
    </row>
    <row r="69" spans="2:16" ht="13.95" customHeight="1" x14ac:dyDescent="0.3">
      <c r="B69" s="8" t="s">
        <v>25</v>
      </c>
      <c r="C69" s="19">
        <f t="shared" ref="C69:N69" si="18">C68/C67</f>
        <v>0.64997988390137362</v>
      </c>
      <c r="D69" s="19">
        <f t="shared" si="18"/>
        <v>0.65001016673444489</v>
      </c>
      <c r="E69" s="19">
        <f t="shared" si="18"/>
        <v>0.6999761734572314</v>
      </c>
      <c r="F69" s="19">
        <f t="shared" si="18"/>
        <v>0.6999955502158145</v>
      </c>
      <c r="G69" s="19">
        <f t="shared" si="18"/>
        <v>0.75002090475792293</v>
      </c>
      <c r="H69" s="19">
        <f t="shared" si="18"/>
        <v>0.74998039984319875</v>
      </c>
      <c r="I69" s="19">
        <f t="shared" si="18"/>
        <v>0.74997242748428372</v>
      </c>
      <c r="J69" s="19">
        <f t="shared" si="18"/>
        <v>0.75002592016588909</v>
      </c>
      <c r="K69" s="19">
        <f t="shared" si="18"/>
        <v>0.75000817287260124</v>
      </c>
      <c r="L69" s="19">
        <f t="shared" si="18"/>
        <v>0.75</v>
      </c>
      <c r="M69" s="19">
        <f t="shared" si="18"/>
        <v>0.74999259017753939</v>
      </c>
      <c r="N69" s="19">
        <f t="shared" si="18"/>
        <v>0.74999259017753939</v>
      </c>
      <c r="P69" s="2" t="s">
        <v>26</v>
      </c>
    </row>
    <row r="70" spans="2:16" ht="13.95" customHeight="1" x14ac:dyDescent="0.3">
      <c r="B70" s="35" t="s">
        <v>27</v>
      </c>
      <c r="C70" s="36">
        <v>735.15957581862858</v>
      </c>
      <c r="D70" s="37">
        <v>109308.4474447</v>
      </c>
      <c r="E70" s="38">
        <f>C70/D70</f>
        <v>6.7255513457965049E-3</v>
      </c>
      <c r="P70" s="2" t="s">
        <v>28</v>
      </c>
    </row>
    <row r="71" spans="2:16" ht="13.95" customHeight="1" x14ac:dyDescent="0.3">
      <c r="B71" s="8" t="s">
        <v>29</v>
      </c>
      <c r="C71" s="9">
        <f t="shared" ref="C71:N71" si="19">C67*$E$70</f>
        <v>117.0178678655134</v>
      </c>
      <c r="D71" s="9">
        <f t="shared" si="19"/>
        <v>132.30504607450885</v>
      </c>
      <c r="E71" s="9">
        <f t="shared" si="19"/>
        <v>141.13569499153965</v>
      </c>
      <c r="F71" s="9">
        <f t="shared" si="19"/>
        <v>151.14331539408485</v>
      </c>
      <c r="G71" s="9">
        <f t="shared" si="19"/>
        <v>160.8617370887608</v>
      </c>
      <c r="H71" s="9">
        <f t="shared" si="19"/>
        <v>171.56881483126884</v>
      </c>
      <c r="I71" s="9">
        <f t="shared" si="19"/>
        <v>182.94172215701073</v>
      </c>
      <c r="J71" s="9">
        <f t="shared" si="19"/>
        <v>194.60382819062187</v>
      </c>
      <c r="K71" s="9">
        <f t="shared" si="19"/>
        <v>205.72789011656928</v>
      </c>
      <c r="L71" s="9">
        <f t="shared" si="19"/>
        <v>216.72416656694656</v>
      </c>
      <c r="M71" s="9">
        <f t="shared" si="19"/>
        <v>226.91337685582829</v>
      </c>
      <c r="N71" s="9">
        <f t="shared" si="19"/>
        <v>240.52817946717801</v>
      </c>
    </row>
    <row r="72" spans="2:16" ht="13.95" customHeight="1" x14ac:dyDescent="0.3">
      <c r="B72" s="8" t="s">
        <v>30</v>
      </c>
      <c r="C72" s="9">
        <f t="shared" ref="C72:N72" si="20">C68*$E$70</f>
        <v>76.059260169612671</v>
      </c>
      <c r="D72" s="9">
        <f t="shared" si="20"/>
        <v>85.999625058699905</v>
      </c>
      <c r="E72" s="9">
        <f t="shared" si="20"/>
        <v>98.791623718404864</v>
      </c>
      <c r="F72" s="9">
        <f t="shared" si="20"/>
        <v>105.79964822072482</v>
      </c>
      <c r="G72" s="9">
        <f t="shared" si="20"/>
        <v>120.64966559224351</v>
      </c>
      <c r="H72" s="9">
        <f t="shared" si="20"/>
        <v>128.67324834777872</v>
      </c>
      <c r="I72" s="9">
        <f t="shared" si="20"/>
        <v>137.20124745424869</v>
      </c>
      <c r="J72" s="9">
        <f t="shared" si="20"/>
        <v>145.95791530647574</v>
      </c>
      <c r="K72" s="9">
        <f t="shared" si="20"/>
        <v>154.29759897526341</v>
      </c>
      <c r="L72" s="9">
        <f t="shared" si="20"/>
        <v>162.54312492520992</v>
      </c>
      <c r="M72" s="9">
        <f t="shared" si="20"/>
        <v>170.18335125403476</v>
      </c>
      <c r="N72" s="9">
        <f t="shared" si="20"/>
        <v>180.39435232927687</v>
      </c>
    </row>
    <row r="75" spans="2:16" ht="13.95" customHeight="1" x14ac:dyDescent="0.3">
      <c r="B75" s="55" t="s">
        <v>50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</row>
    <row r="76" spans="2:16" ht="13.95" customHeight="1" x14ac:dyDescent="0.3">
      <c r="B76" s="6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  <c r="K76" s="7" t="s">
        <v>16</v>
      </c>
      <c r="L76" s="7" t="s">
        <v>17</v>
      </c>
      <c r="M76" s="7" t="s">
        <v>18</v>
      </c>
      <c r="N76" s="7" t="s">
        <v>19</v>
      </c>
      <c r="P76" s="7" t="s">
        <v>20</v>
      </c>
    </row>
    <row r="77" spans="2:16" ht="13.95" customHeight="1" x14ac:dyDescent="0.3">
      <c r="B77" s="8" t="s">
        <v>51</v>
      </c>
      <c r="C77" s="46">
        <f t="shared" ref="C77:N77" si="21">$C$81*C7/$E$7</f>
        <v>19150.352588147038</v>
      </c>
      <c r="D77" s="46">
        <f t="shared" si="21"/>
        <v>21070.577644411103</v>
      </c>
      <c r="E77" s="46">
        <f t="shared" si="21"/>
        <v>23060</v>
      </c>
      <c r="F77" s="46">
        <f t="shared" si="21"/>
        <v>24973.831827522099</v>
      </c>
      <c r="G77" s="46">
        <f t="shared" si="21"/>
        <v>27021.921458625526</v>
      </c>
      <c r="H77" s="46">
        <f t="shared" si="21"/>
        <v>28916.19752764278</v>
      </c>
      <c r="I77" s="46">
        <f t="shared" si="21"/>
        <v>30814.234319449428</v>
      </c>
      <c r="J77" s="46">
        <f t="shared" si="21"/>
        <v>32764.921230307576</v>
      </c>
      <c r="K77" s="46">
        <f t="shared" si="21"/>
        <v>34933.730062950519</v>
      </c>
      <c r="L77" s="46">
        <f t="shared" si="21"/>
        <v>37263.497830979482</v>
      </c>
      <c r="M77" s="46">
        <f t="shared" si="21"/>
        <v>39701.57441534297</v>
      </c>
      <c r="N77" s="46">
        <f t="shared" si="21"/>
        <v>42256.233406177635</v>
      </c>
      <c r="P77" s="2" t="s">
        <v>52</v>
      </c>
    </row>
    <row r="78" spans="2:16" ht="13.95" customHeight="1" x14ac:dyDescent="0.3">
      <c r="B78" s="8" t="s">
        <v>53</v>
      </c>
      <c r="C78" s="46">
        <f t="shared" ref="C78:N78" si="22">C77*C9</f>
        <v>11068.935386020417</v>
      </c>
      <c r="D78" s="46">
        <f t="shared" si="22"/>
        <v>13655.184448285983</v>
      </c>
      <c r="E78" s="46">
        <f t="shared" si="22"/>
        <v>16153.808669558694</v>
      </c>
      <c r="F78" s="46">
        <f t="shared" si="22"/>
        <v>17687.05535079422</v>
      </c>
      <c r="G78" s="46">
        <f t="shared" si="22"/>
        <v>19793.812257412177</v>
      </c>
      <c r="H78" s="46">
        <f t="shared" si="22"/>
        <v>21889.286995661962</v>
      </c>
      <c r="I78" s="46">
        <f t="shared" si="22"/>
        <v>23323.250595257508</v>
      </c>
      <c r="J78" s="46">
        <f t="shared" si="22"/>
        <v>24797.453928699564</v>
      </c>
      <c r="K78" s="46">
        <f t="shared" si="22"/>
        <v>27308.112462898331</v>
      </c>
      <c r="L78" s="46">
        <f t="shared" si="22"/>
        <v>29120.404775106821</v>
      </c>
      <c r="M78" s="46">
        <f t="shared" si="22"/>
        <v>31414.821748915492</v>
      </c>
      <c r="N78" s="46">
        <f t="shared" si="22"/>
        <v>33850.265827326402</v>
      </c>
    </row>
    <row r="79" spans="2:16" ht="13.95" customHeight="1" x14ac:dyDescent="0.3">
      <c r="B79" s="8" t="s">
        <v>25</v>
      </c>
      <c r="C79" s="19">
        <f t="shared" ref="C79:N79" si="23">C78/C77</f>
        <v>0.57800164958171318</v>
      </c>
      <c r="D79" s="19">
        <f t="shared" si="23"/>
        <v>0.64806882273149136</v>
      </c>
      <c r="E79" s="19">
        <f t="shared" si="23"/>
        <v>0.70051208454287484</v>
      </c>
      <c r="F79" s="19">
        <f t="shared" si="23"/>
        <v>0.70822353065188903</v>
      </c>
      <c r="G79" s="19">
        <f t="shared" si="23"/>
        <v>0.73250942897304216</v>
      </c>
      <c r="H79" s="19">
        <f t="shared" si="23"/>
        <v>0.75699050591754469</v>
      </c>
      <c r="I79" s="19">
        <f t="shared" si="23"/>
        <v>0.75689859282131389</v>
      </c>
      <c r="J79" s="19">
        <f t="shared" si="23"/>
        <v>0.7568293466782976</v>
      </c>
      <c r="K79" s="19">
        <f t="shared" si="23"/>
        <v>0.78171189889225001</v>
      </c>
      <c r="L79" s="19">
        <f t="shared" si="23"/>
        <v>0.78147266011343686</v>
      </c>
      <c r="M79" s="19">
        <f t="shared" si="23"/>
        <v>0.79127395352802432</v>
      </c>
      <c r="N79" s="19">
        <f t="shared" si="23"/>
        <v>0.80107153664050135</v>
      </c>
    </row>
    <row r="80" spans="2:16" ht="13.95" customHeight="1" x14ac:dyDescent="0.3">
      <c r="B80" s="35" t="s">
        <v>27</v>
      </c>
      <c r="C80" s="36">
        <v>7020.6235863480097</v>
      </c>
      <c r="D80" s="37">
        <v>179573.1348910488</v>
      </c>
      <c r="E80" s="38">
        <f>C80/D80</f>
        <v>3.9096179896884825E-2</v>
      </c>
    </row>
    <row r="81" spans="2:16" ht="13.95" customHeight="1" x14ac:dyDescent="0.3">
      <c r="B81" s="35" t="s">
        <v>54</v>
      </c>
      <c r="C81" s="37">
        <v>23060</v>
      </c>
    </row>
    <row r="82" spans="2:16" ht="13.95" customHeight="1" x14ac:dyDescent="0.3">
      <c r="B82" s="8" t="s">
        <v>29</v>
      </c>
      <c r="C82" s="9">
        <f t="shared" ref="C82:N82" si="24">C77*$E$80</f>
        <v>748.70562987497044</v>
      </c>
      <c r="D82" s="9">
        <f t="shared" si="24"/>
        <v>823.77909411717621</v>
      </c>
      <c r="E82" s="9">
        <f t="shared" si="24"/>
        <v>901.55790842216402</v>
      </c>
      <c r="F82" s="9">
        <f t="shared" si="24"/>
        <v>976.38142184335186</v>
      </c>
      <c r="G82" s="9">
        <f t="shared" si="24"/>
        <v>1056.4539025059159</v>
      </c>
      <c r="H82" s="9">
        <f t="shared" si="24"/>
        <v>1130.5128604745782</v>
      </c>
      <c r="I82" s="9">
        <f t="shared" si="24"/>
        <v>1204.7188483379571</v>
      </c>
      <c r="J82" s="9">
        <f t="shared" si="24"/>
        <v>1280.9832547273659</v>
      </c>
      <c r="K82" s="9">
        <f t="shared" si="24"/>
        <v>1365.7753950103272</v>
      </c>
      <c r="L82" s="9">
        <f t="shared" si="24"/>
        <v>1456.8604147871513</v>
      </c>
      <c r="M82" s="9">
        <f t="shared" si="24"/>
        <v>1552.1798955318086</v>
      </c>
      <c r="N82" s="9">
        <f t="shared" si="24"/>
        <v>1652.057303012675</v>
      </c>
    </row>
    <row r="83" spans="2:16" ht="13.95" customHeight="1" x14ac:dyDescent="0.3">
      <c r="B83" s="8" t="s">
        <v>30</v>
      </c>
      <c r="C83" s="9">
        <f t="shared" ref="C83:N83" si="25">C78*$E$80</f>
        <v>432.75308911884849</v>
      </c>
      <c r="D83" s="9">
        <f t="shared" si="25"/>
        <v>533.86554771533281</v>
      </c>
      <c r="E83" s="9">
        <f t="shared" si="25"/>
        <v>631.55220976492444</v>
      </c>
      <c r="F83" s="9">
        <f t="shared" si="25"/>
        <v>691.49629784081014</v>
      </c>
      <c r="G83" s="9">
        <f t="shared" si="25"/>
        <v>773.8624448609504</v>
      </c>
      <c r="H83" s="9">
        <f t="shared" si="25"/>
        <v>855.78750219694166</v>
      </c>
      <c r="I83" s="9">
        <f t="shared" si="25"/>
        <v>911.85000105231359</v>
      </c>
      <c r="J83" s="9">
        <f t="shared" si="25"/>
        <v>969.48571978115149</v>
      </c>
      <c r="K83" s="9">
        <f t="shared" si="25"/>
        <v>1067.6428774938356</v>
      </c>
      <c r="L83" s="9">
        <f t="shared" si="25"/>
        <v>1138.4965837576801</v>
      </c>
      <c r="M83" s="9">
        <f t="shared" si="25"/>
        <v>1228.1995225241701</v>
      </c>
      <c r="N83" s="9">
        <f t="shared" si="25"/>
        <v>1323.4160823425259</v>
      </c>
    </row>
    <row r="86" spans="2:16" ht="13.95" customHeight="1" x14ac:dyDescent="0.3">
      <c r="B86" s="55" t="s">
        <v>55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</row>
    <row r="87" spans="2:16" ht="13.95" customHeight="1" x14ac:dyDescent="0.3">
      <c r="B87" s="6" t="s">
        <v>7</v>
      </c>
      <c r="C87" s="7" t="s">
        <v>8</v>
      </c>
      <c r="D87" s="7" t="s">
        <v>9</v>
      </c>
      <c r="E87" s="7" t="s">
        <v>10</v>
      </c>
      <c r="F87" s="7" t="s">
        <v>11</v>
      </c>
      <c r="G87" s="7" t="s">
        <v>12</v>
      </c>
      <c r="H87" s="7" t="s">
        <v>13</v>
      </c>
      <c r="I87" s="7" t="s">
        <v>14</v>
      </c>
      <c r="J87" s="7" t="s">
        <v>15</v>
      </c>
      <c r="K87" s="7" t="s">
        <v>16</v>
      </c>
      <c r="L87" s="7" t="s">
        <v>17</v>
      </c>
      <c r="M87" s="7" t="s">
        <v>18</v>
      </c>
      <c r="N87" s="7" t="s">
        <v>19</v>
      </c>
      <c r="P87" s="7" t="s">
        <v>20</v>
      </c>
    </row>
    <row r="88" spans="2:16" ht="13.95" customHeight="1" x14ac:dyDescent="0.3">
      <c r="B88" s="8" t="s">
        <v>29</v>
      </c>
      <c r="C88" s="9">
        <f t="shared" ref="C88:N88" si="26">C11+C21+C31+C41+C51+C61+C71+C82</f>
        <v>5479.988272996653</v>
      </c>
      <c r="D88" s="9">
        <f t="shared" si="26"/>
        <v>6258.6560154397557</v>
      </c>
      <c r="E88" s="9">
        <f t="shared" si="26"/>
        <v>7040.8650036750641</v>
      </c>
      <c r="F88" s="9">
        <f t="shared" si="26"/>
        <v>7742.139402862038</v>
      </c>
      <c r="G88" s="9">
        <f t="shared" si="26"/>
        <v>8449.600862091309</v>
      </c>
      <c r="H88" s="9">
        <f t="shared" si="26"/>
        <v>9152.3399150922924</v>
      </c>
      <c r="I88" s="9">
        <f t="shared" si="26"/>
        <v>9841.275798330691</v>
      </c>
      <c r="J88" s="9">
        <f t="shared" si="26"/>
        <v>10548.053625671788</v>
      </c>
      <c r="K88" s="9">
        <f t="shared" si="26"/>
        <v>11250.405838208349</v>
      </c>
      <c r="L88" s="9">
        <f t="shared" si="26"/>
        <v>11976.811866348546</v>
      </c>
      <c r="M88" s="9">
        <f t="shared" si="26"/>
        <v>12735.712284391186</v>
      </c>
      <c r="N88" s="9">
        <f t="shared" si="26"/>
        <v>13493.687184833203</v>
      </c>
    </row>
    <row r="89" spans="2:16" ht="13.95" customHeight="1" x14ac:dyDescent="0.3">
      <c r="B89" s="8" t="s">
        <v>30</v>
      </c>
      <c r="C89" s="9">
        <f t="shared" ref="C89:N89" si="27">C12+C22+C32+C42+C52+C62+C72+C83</f>
        <v>2941.5014000368174</v>
      </c>
      <c r="D89" s="9">
        <f t="shared" si="27"/>
        <v>3590.2153971928301</v>
      </c>
      <c r="E89" s="9">
        <f t="shared" si="27"/>
        <v>4217.2415642358264</v>
      </c>
      <c r="F89" s="9">
        <f t="shared" si="27"/>
        <v>4754.0555304904219</v>
      </c>
      <c r="G89" s="9">
        <f t="shared" si="27"/>
        <v>5389.5861291073406</v>
      </c>
      <c r="H89" s="9">
        <f t="shared" si="27"/>
        <v>6079.3956420249669</v>
      </c>
      <c r="I89" s="9">
        <f t="shared" si="27"/>
        <v>6715.7574920042734</v>
      </c>
      <c r="J89" s="9">
        <f t="shared" si="27"/>
        <v>7367.874164435304</v>
      </c>
      <c r="K89" s="9">
        <f t="shared" si="27"/>
        <v>8149.8624917506822</v>
      </c>
      <c r="L89" s="9">
        <f t="shared" si="27"/>
        <v>8868.3438555300527</v>
      </c>
      <c r="M89" s="9">
        <f t="shared" si="27"/>
        <v>9583.6820503086765</v>
      </c>
      <c r="N89" s="9">
        <f t="shared" si="27"/>
        <v>10242.568001069658</v>
      </c>
    </row>
    <row r="90" spans="2:16" ht="13.95" customHeight="1" x14ac:dyDescent="0.3">
      <c r="B90" s="23" t="s">
        <v>56</v>
      </c>
      <c r="D90" s="20">
        <f t="shared" ref="D90:N90" si="28">D88/C88-1</f>
        <v>0.14209295780432374</v>
      </c>
      <c r="E90" s="20">
        <f t="shared" si="28"/>
        <v>0.1249803450302498</v>
      </c>
      <c r="F90" s="20">
        <f t="shared" si="28"/>
        <v>9.9600602883443301E-2</v>
      </c>
      <c r="G90" s="20">
        <f t="shared" si="28"/>
        <v>9.1378031628795542E-2</v>
      </c>
      <c r="H90" s="20">
        <f t="shared" si="28"/>
        <v>8.316831344706288E-2</v>
      </c>
      <c r="I90" s="20">
        <f t="shared" si="28"/>
        <v>7.5274289376243253E-2</v>
      </c>
      <c r="J90" s="20">
        <f t="shared" si="28"/>
        <v>7.1817703499477359E-2</v>
      </c>
      <c r="K90" s="20">
        <f t="shared" si="28"/>
        <v>6.6585953907854822E-2</v>
      </c>
      <c r="L90" s="20">
        <f t="shared" si="28"/>
        <v>6.4567095497408022E-2</v>
      </c>
      <c r="M90" s="20">
        <f t="shared" si="28"/>
        <v>6.3364142854655192E-2</v>
      </c>
      <c r="N90" s="20">
        <f t="shared" si="28"/>
        <v>5.951570540510609E-2</v>
      </c>
      <c r="P90" s="2" t="s">
        <v>57</v>
      </c>
    </row>
    <row r="91" spans="2:16" ht="13.95" customHeight="1" x14ac:dyDescent="0.3">
      <c r="B91" s="23" t="s">
        <v>58</v>
      </c>
      <c r="C91" s="20">
        <f t="shared" ref="C91:N91" si="29">C89/C88</f>
        <v>0.5367714771455705</v>
      </c>
      <c r="D91" s="20">
        <f t="shared" si="29"/>
        <v>0.57363999368809671</v>
      </c>
      <c r="E91" s="20">
        <f t="shared" si="29"/>
        <v>0.59896640001400203</v>
      </c>
      <c r="F91" s="20">
        <f t="shared" si="29"/>
        <v>0.61404933224697422</v>
      </c>
      <c r="G91" s="20">
        <f t="shared" si="29"/>
        <v>0.6378509727349887</v>
      </c>
      <c r="H91" s="20">
        <f t="shared" si="29"/>
        <v>0.66424495794785632</v>
      </c>
      <c r="I91" s="20">
        <f t="shared" si="29"/>
        <v>0.68240720305221214</v>
      </c>
      <c r="J91" s="20">
        <f t="shared" si="29"/>
        <v>0.69850556566222011</v>
      </c>
      <c r="K91" s="20">
        <f t="shared" si="29"/>
        <v>0.72440608889612867</v>
      </c>
      <c r="L91" s="20">
        <f t="shared" si="29"/>
        <v>0.74045947740463314</v>
      </c>
      <c r="M91" s="20">
        <f t="shared" si="29"/>
        <v>0.75250459780364076</v>
      </c>
      <c r="N91" s="20">
        <f t="shared" si="29"/>
        <v>0.75906369110010363</v>
      </c>
      <c r="P91" s="2" t="s">
        <v>59</v>
      </c>
    </row>
    <row r="92" spans="2:16" ht="13.95" customHeight="1" x14ac:dyDescent="0.3">
      <c r="B92" s="35" t="s">
        <v>60</v>
      </c>
      <c r="C92" s="48">
        <f>(C10+C20+C30+C40+C50+C60+C70+C80)/'DDM Financials'!$C$7</f>
        <v>0.95917277842794302</v>
      </c>
      <c r="P92" s="2" t="s">
        <v>61</v>
      </c>
    </row>
  </sheetData>
  <mergeCells count="9">
    <mergeCell ref="B55:P55"/>
    <mergeCell ref="B65:P65"/>
    <mergeCell ref="B75:P75"/>
    <mergeCell ref="B86:P86"/>
    <mergeCell ref="B5:P5"/>
    <mergeCell ref="B15:P15"/>
    <mergeCell ref="B25:P25"/>
    <mergeCell ref="B35:P35"/>
    <mergeCell ref="B45:P4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15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18.6640625" customWidth="1"/>
    <col min="3" max="14" width="11.6640625" customWidth="1"/>
  </cols>
  <sheetData>
    <row r="1" spans="2:13" ht="30" customHeight="1" x14ac:dyDescent="0.3">
      <c r="B1" s="1" t="s">
        <v>62</v>
      </c>
    </row>
    <row r="2" spans="2:13" ht="13.95" customHeight="1" x14ac:dyDescent="0.3">
      <c r="B2" s="2" t="s">
        <v>63</v>
      </c>
    </row>
    <row r="3" spans="2:13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3" ht="43.95" customHeight="1" x14ac:dyDescent="0.3">
      <c r="B5" s="6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75</v>
      </c>
    </row>
    <row r="6" spans="2:13" ht="13.95" customHeight="1" x14ac:dyDescent="0.3">
      <c r="B6" s="35" t="s">
        <v>76</v>
      </c>
      <c r="C6" s="49">
        <v>0.15129999999999999</v>
      </c>
      <c r="D6" s="49">
        <v>7.5999999999999998E-2</v>
      </c>
      <c r="E6" s="39">
        <v>0.04</v>
      </c>
      <c r="F6" s="49">
        <v>9.8599999999999993E-2</v>
      </c>
      <c r="G6" s="39">
        <v>5.5E-2</v>
      </c>
      <c r="H6" s="50">
        <v>0.95799999999999996</v>
      </c>
      <c r="I6" s="39">
        <v>0.06</v>
      </c>
      <c r="J6" s="39">
        <v>0.46229999999999999</v>
      </c>
      <c r="K6" s="51">
        <v>2037</v>
      </c>
      <c r="L6" s="52" t="s">
        <v>77</v>
      </c>
      <c r="M6" s="36">
        <v>26109.888999999999</v>
      </c>
    </row>
    <row r="7" spans="2:13" ht="13.95" customHeight="1" x14ac:dyDescent="0.3">
      <c r="B7" s="35" t="s">
        <v>78</v>
      </c>
      <c r="C7" s="49">
        <v>0.16189999999999999</v>
      </c>
      <c r="D7" s="49">
        <v>7.5999999999999998E-2</v>
      </c>
      <c r="E7" s="39">
        <v>0.04</v>
      </c>
      <c r="F7" s="49">
        <v>9.8599999999999993E-2</v>
      </c>
      <c r="G7" s="39">
        <v>5.5E-2</v>
      </c>
      <c r="H7" s="50">
        <v>1.1499999999999999</v>
      </c>
      <c r="I7" s="39">
        <v>0.06</v>
      </c>
      <c r="J7" s="39">
        <v>0.43709999999999999</v>
      </c>
      <c r="K7" s="51">
        <v>2037</v>
      </c>
      <c r="L7" s="52" t="s">
        <v>77</v>
      </c>
      <c r="M7" s="36">
        <v>10039.703</v>
      </c>
    </row>
    <row r="8" spans="2:13" ht="13.95" customHeight="1" x14ac:dyDescent="0.3">
      <c r="B8" s="35" t="s">
        <v>79</v>
      </c>
      <c r="C8" s="49">
        <v>0.1583</v>
      </c>
      <c r="D8" s="49">
        <v>7.3200000000000001E-2</v>
      </c>
      <c r="E8" s="39">
        <v>0.04</v>
      </c>
      <c r="F8" s="49">
        <v>9.6199999999999994E-2</v>
      </c>
      <c r="G8" s="39">
        <v>5.5E-2</v>
      </c>
      <c r="H8" s="50">
        <v>1.129</v>
      </c>
      <c r="I8" s="39">
        <v>0.06</v>
      </c>
      <c r="J8" s="39">
        <v>0.43580000000000002</v>
      </c>
      <c r="K8" s="51">
        <v>2033</v>
      </c>
      <c r="L8" s="52" t="s">
        <v>80</v>
      </c>
      <c r="M8" s="36">
        <v>8337.4030000000002</v>
      </c>
    </row>
    <row r="9" spans="2:13" ht="13.95" customHeight="1" x14ac:dyDescent="0.3">
      <c r="B9" s="35" t="s">
        <v>81</v>
      </c>
      <c r="C9" s="49">
        <v>0.16370000000000001</v>
      </c>
      <c r="D9" s="49">
        <v>7.4099999999999999E-2</v>
      </c>
      <c r="E9" s="39">
        <v>0.04</v>
      </c>
      <c r="F9" s="49">
        <v>9.7000000000000003E-2</v>
      </c>
      <c r="G9" s="39">
        <v>5.5E-2</v>
      </c>
      <c r="H9" s="50">
        <v>1.2130000000000001</v>
      </c>
      <c r="I9" s="39">
        <v>0.06</v>
      </c>
      <c r="J9" s="39">
        <v>0.51829999999999998</v>
      </c>
      <c r="K9" s="51">
        <v>2036</v>
      </c>
      <c r="L9" s="52" t="s">
        <v>82</v>
      </c>
      <c r="M9" s="36">
        <v>6925.2190000000001</v>
      </c>
    </row>
    <row r="10" spans="2:13" ht="13.95" customHeight="1" x14ac:dyDescent="0.3">
      <c r="B10" s="35" t="s">
        <v>83</v>
      </c>
      <c r="C10" s="49">
        <v>0.18090000000000001</v>
      </c>
      <c r="D10" s="49">
        <v>8.1000000000000003E-2</v>
      </c>
      <c r="E10" s="39">
        <v>0.04</v>
      </c>
      <c r="F10" s="49">
        <v>0.10290000000000001</v>
      </c>
      <c r="G10" s="39">
        <v>0.06</v>
      </c>
      <c r="H10" s="50">
        <v>1.3</v>
      </c>
      <c r="I10" s="39">
        <v>0.06</v>
      </c>
      <c r="J10" s="39">
        <v>0.41849999999999998</v>
      </c>
      <c r="K10" s="51">
        <v>2037</v>
      </c>
      <c r="L10" s="52" t="s">
        <v>77</v>
      </c>
      <c r="M10" s="36">
        <v>5397.3180000000002</v>
      </c>
    </row>
    <row r="11" spans="2:13" ht="13.95" customHeight="1" x14ac:dyDescent="0.3">
      <c r="B11" s="35" t="s">
        <v>84</v>
      </c>
      <c r="C11" s="49">
        <v>0.1386</v>
      </c>
      <c r="D11" s="49">
        <v>7.51E-2</v>
      </c>
      <c r="E11" s="39">
        <v>0.04</v>
      </c>
      <c r="F11" s="49">
        <v>9.7799999999999998E-2</v>
      </c>
      <c r="G11" s="39">
        <v>5.5E-2</v>
      </c>
      <c r="H11" s="50">
        <v>0.74199999999999999</v>
      </c>
      <c r="I11" s="39">
        <v>0.06</v>
      </c>
      <c r="J11" s="39">
        <v>0.50029999999999997</v>
      </c>
      <c r="K11" s="51">
        <v>2036</v>
      </c>
      <c r="L11" s="52" t="s">
        <v>82</v>
      </c>
      <c r="M11" s="36">
        <v>895.11900000000003</v>
      </c>
    </row>
    <row r="12" spans="2:13" ht="13.95" customHeight="1" x14ac:dyDescent="0.3">
      <c r="B12" s="35" t="s">
        <v>85</v>
      </c>
      <c r="C12" s="49">
        <v>0.14899999999999999</v>
      </c>
      <c r="D12" s="49">
        <v>7.4899999999999994E-2</v>
      </c>
      <c r="E12" s="39">
        <v>0.04</v>
      </c>
      <c r="F12" s="49">
        <v>9.7699999999999995E-2</v>
      </c>
      <c r="G12" s="39">
        <v>0.05</v>
      </c>
      <c r="H12" s="50">
        <v>1.0269999999999999</v>
      </c>
      <c r="I12" s="39">
        <v>0.06</v>
      </c>
      <c r="J12" s="39">
        <v>0.4541</v>
      </c>
      <c r="K12" s="51">
        <v>2036</v>
      </c>
      <c r="L12" s="52" t="s">
        <v>82</v>
      </c>
      <c r="M12" s="36">
        <v>735.16</v>
      </c>
    </row>
    <row r="13" spans="2:13" ht="13.95" customHeight="1" x14ac:dyDescent="0.3">
      <c r="B13" s="41" t="s">
        <v>86</v>
      </c>
      <c r="C13" s="53">
        <f>SUMPRODUCT(C6:C12,$M$6:$M$12)/SUM($M$6:$M$12)</f>
        <v>0.15809942517096781</v>
      </c>
      <c r="D13" s="53">
        <f>SUMPRODUCT(D6:D12,$M$6:$M$12)/SUM($M$6:$M$12)</f>
        <v>7.5809541861796934E-2</v>
      </c>
      <c r="E13" s="43"/>
      <c r="F13" s="53">
        <f>SUMPRODUCT(F6:F12,$M$6:$M$12)/SUM($M$6:$M$12)</f>
        <v>9.8441556821598872E-2</v>
      </c>
      <c r="G13" s="53">
        <f>SUMPRODUCT(G6:G12,$M$6:$M$12)/SUM($M$6:$M$12)</f>
        <v>5.5398885444718507E-2</v>
      </c>
      <c r="H13" s="54">
        <f>SUMPRODUCT(H6:H12,$M$6:$M$12)/SUM($M$6:$M$12)</f>
        <v>1.0747442657540422</v>
      </c>
      <c r="I13" s="44">
        <f>SUMPRODUCT(I6:I12,$M$6:$M$12)/SUM($M$6:$M$12)</f>
        <v>6.0000000000000005E-2</v>
      </c>
      <c r="J13" s="44">
        <f>SUMPRODUCT(J6:J12,$M$6:$M$12)/SUM($M$6:$M$12)</f>
        <v>0.45725984424898297</v>
      </c>
      <c r="K13" s="43"/>
      <c r="L13" s="43"/>
      <c r="M13" s="43"/>
    </row>
    <row r="15" spans="2:13" ht="13.95" customHeight="1" x14ac:dyDescent="0.3">
      <c r="B15" s="2" t="s">
        <v>87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DDM Financials</vt:lpstr>
      <vt:lpstr>Box Consensus</vt:lpstr>
      <vt:lpstr>Analyst Models</vt:lpstr>
      <vt:lpstr>Model Parameters</vt:lpstr>
      <vt:lpstr>BetaAn</vt:lpstr>
      <vt:lpstr>ERPAn</vt:lpstr>
      <vt:lpstr>g_</vt:lpstr>
      <vt:lpstr>gAn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2026-10-08T17:41:22Z</dcterms:created>
  <dcterms:modified xsi:type="dcterms:W3CDTF">2026-10-08T17:41:43Z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