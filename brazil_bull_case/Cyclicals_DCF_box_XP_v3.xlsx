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25500" windowHeight="15750"/>
  </bookViews>
  <sheets>
    <sheet name="DCF Cyclicals" sheetId="1" r:id="rId1"/>
    <sheet name="Box Consensus" sheetId="2" r:id="rId2"/>
    <sheet name="Analyst Models" sheetId="3" r:id="rId3"/>
  </sheets>
  <definedNames>
    <definedName name="FleetRatio">'Box Consensus'!$D$4</definedName>
    <definedName name="NExp">'DCF Cyclicals'!$H$23</definedName>
    <definedName name="TVx">'DCF Cyclicals'!$H$24</definedName>
  </definedNames>
  <calcPr calcId="124519" fullCalcOnLoad="1"/>
</workbook>
</file>

<file path=xl/sharedStrings.xml><?xml version="1.0" encoding="utf-8"?>
<sst xmlns="http://schemas.openxmlformats.org/spreadsheetml/2006/main" count="383" uniqueCount="258">
  <si>
    <t>Cyclicals - consensus 2026-28 of the members, summed into the two sub-boxes</t>
  </si>
  <si>
    <t>Bloomberg BEST consensus (Oct-7-2026, company totals in R$ mn; Members sheet of the main model; ROE from dcf_members.parquet). Index points = R$ mn x points / market cap. Only 2026-28 are built from the members.</t>
  </si>
  <si>
    <t>Legend:</t>
  </si>
  <si>
    <t>input</t>
  </si>
  <si>
    <t>assumption</t>
  </si>
  <si>
    <t>formula</t>
  </si>
  <si>
    <t>Fleet sales / gross capex (Localiza model, 2028)</t>
  </si>
  <si>
    <t>0 = consensus only (Caio, Oct-8-2026: no company-specific adjustments). Memo: in the Localiza model the book value of cars sold is 73% of gross capex (2028); typing it here nets Localiza and Vamos.</t>
  </si>
  <si>
    <t>1. Consensus by member (R$ mn; ROE in %)</t>
  </si>
  <si>
    <t>Member</t>
  </si>
  <si>
    <t>Sub-box</t>
  </si>
  <si>
    <t>Index points</t>
  </si>
  <si>
    <t>Points / market cap</t>
  </si>
  <si>
    <t>Sales 2026</t>
  </si>
  <si>
    <t>Sales 2027</t>
  </si>
  <si>
    <t>Sales 2028</t>
  </si>
  <si>
    <t>EBITDA 2026</t>
  </si>
  <si>
    <t>EBITDA 2027</t>
  </si>
  <si>
    <t>EBITDA 2028</t>
  </si>
  <si>
    <t>EBIT 2026</t>
  </si>
  <si>
    <t>EBIT 2027</t>
  </si>
  <si>
    <t>EBIT 2028</t>
  </si>
  <si>
    <t>Net income 2026</t>
  </si>
  <si>
    <t>Net income 2027</t>
  </si>
  <si>
    <t>Net income 2028</t>
  </si>
  <si>
    <t>Capex 2026</t>
  </si>
  <si>
    <t>Capex 2027</t>
  </si>
  <si>
    <t>Capex 2028</t>
  </si>
  <si>
    <t>Fleet sales 2026</t>
  </si>
  <si>
    <t>Fleet sales 2027</t>
  </si>
  <si>
    <t>Fleet sales 2028</t>
  </si>
  <si>
    <t>ROE 2026</t>
  </si>
  <si>
    <t>ROE 2027</t>
  </si>
  <si>
    <t>ROE 2028</t>
  </si>
  <si>
    <t>Weg (WEGE3)</t>
  </si>
  <si>
    <t>WEG &amp; Embraer</t>
  </si>
  <si>
    <t>Embraer (EMBJ3)</t>
  </si>
  <si>
    <t>Localiza (RENT3)</t>
  </si>
  <si>
    <t>Cyclicals ex-WEG &amp; Embraer</t>
  </si>
  <si>
    <t>Rumo (RAIL3)</t>
  </si>
  <si>
    <t>Motiva (MOTV3)</t>
  </si>
  <si>
    <t>TOTVS (TOTS3)</t>
  </si>
  <si>
    <t>Allos (ALOS3)</t>
  </si>
  <si>
    <t>Lojas Renner (LREN3)</t>
  </si>
  <si>
    <t>Multiplan (MULT3)</t>
  </si>
  <si>
    <t>Smart Fit (SMFT3)</t>
  </si>
  <si>
    <t>Cyrela (CYRE3)</t>
  </si>
  <si>
    <t>Iguatemi (IGTI11)</t>
  </si>
  <si>
    <t>Cogna (COGN3)</t>
  </si>
  <si>
    <t>Cury (CURY3)</t>
  </si>
  <si>
    <t>Direcional (DIRR3)</t>
  </si>
  <si>
    <t>Magazine Luiza (MGLU3)</t>
  </si>
  <si>
    <t>Tenda (TEND3)</t>
  </si>
  <si>
    <t>Marcopolo (POMO4)</t>
  </si>
  <si>
    <t>Vivara (VIVA3)</t>
  </si>
  <si>
    <t>YDUQS (YDUQ3)</t>
  </si>
  <si>
    <t>Vamos (VAMO3)</t>
  </si>
  <si>
    <t>Azzas 2154 (AZZA3)</t>
  </si>
  <si>
    <t>C&amp;A Modas (CEAB3)</t>
  </si>
  <si>
    <t>MRV (MRVE3)</t>
  </si>
  <si>
    <t>2. In index points (= R$ mn x points / market cap); book value = net income / ROE</t>
  </si>
  <si>
    <t>Book value 2026</t>
  </si>
  <si>
    <t>Book value 2027</t>
  </si>
  <si>
    <t>Book value 2028</t>
  </si>
  <si>
    <t>Cyclicals</t>
  </si>
  <si>
    <t>Check: net income vs. Box Shares!M9:O9 (Cyclicals) of the main model</t>
  </si>
  <si>
    <t>Members without a BEST_ROE get book value 0: the sub-box ROE uses the members with an ROE (box ROE = sum of net income with ROE / sum of book value; see DCF Cyclicals). Leases (IFRS 16) and concession fees are not in the consensus: pending the Bloomberg pull.</t>
  </si>
  <si>
    <t>Cyclicals - how the XP Cyclicals analysts value their companies (memo)</t>
  </si>
  <si>
    <t>Files in inputs/analyst_models/Cyclicals (DCF &amp; Sensitivity / Valuation sheets), read on Oct-8-2026.</t>
  </si>
  <si>
    <t>Model (weight in the box)</t>
  </si>
  <si>
    <t>Currency / method</t>
  </si>
  <si>
    <t>Explicit to</t>
  </si>
  <si>
    <t>Perpetuity g</t>
  </si>
  <si>
    <t>Ke (beta)</t>
  </si>
  <si>
    <t>WACC</t>
  </si>
  <si>
    <t>Cash flow</t>
  </si>
  <si>
    <t>Note</t>
  </si>
  <si>
    <t>WEG (20.5%)</t>
  </si>
  <si>
    <t>BRL; FCFF - net debt</t>
  </si>
  <si>
    <t>2035</t>
  </si>
  <si>
    <t>7.6% (about 3.4% real)</t>
  </si>
  <si>
    <t>11.4% (0.8)</t>
  </si>
  <si>
    <t>11.2%</t>
  </si>
  <si>
    <t>NOPAT + D&amp;A - capex +/- NWC</t>
  </si>
  <si>
    <t>Permanent real growth</t>
  </si>
  <si>
    <t>Embraer (18.3%)</t>
  </si>
  <si>
    <t>USD; FCFF - net debt</t>
  </si>
  <si>
    <t>~2035</t>
  </si>
  <si>
    <t>2.4% (real 0%)</t>
  </si>
  <si>
    <t>10.6% (1.0)</t>
  </si>
  <si>
    <t>9.8%</t>
  </si>
  <si>
    <t>Exporter</t>
  </si>
  <si>
    <t>Localiza (13.4%)</t>
  </si>
  <si>
    <t>BRL; FCFF / FCFE</t>
  </si>
  <si>
    <t>6.1% (about 2% real, GDP-linked)</t>
  </si>
  <si>
    <t>15.2% (0.95)</t>
  </si>
  <si>
    <t>12.3%</t>
  </si>
  <si>
    <t>NOPAT + D&amp;A - capex + BV of cars sold +/- NWC</t>
  </si>
  <si>
    <t>Fleet net of used-car sales (resale at 79% of purchase price)</t>
  </si>
  <si>
    <t>Rumo (7.2%)</t>
  </si>
  <si>
    <t>BRL; FCFE to concession end</t>
  </si>
  <si>
    <t>~2070</t>
  </si>
  <si>
    <t>4.0% (real 0%)</t>
  </si>
  <si>
    <t>15.3% (1.0)</t>
  </si>
  <si>
    <t>11.7%</t>
  </si>
  <si>
    <t>FCFF - concession fees + net funding</t>
  </si>
  <si>
    <t>Lucas do Rio Verde project apart</t>
  </si>
  <si>
    <t>Motiva (5.4%)</t>
  </si>
  <si>
    <t>BRL; sum of concessions</t>
  </si>
  <si>
    <t>Each contract</t>
  </si>
  <si>
    <t>0% (finite lives)</t>
  </si>
  <si>
    <t>14.7% (0.92)</t>
  </si>
  <si>
    <t>10.8%</t>
  </si>
  <si>
    <t>FCFF by concession</t>
  </si>
  <si>
    <t>No perpetuity</t>
  </si>
  <si>
    <t>Totvs (5.2%)</t>
  </si>
  <si>
    <t>BRL; FCFE</t>
  </si>
  <si>
    <t>Exit multiple on 2035 FCFE</t>
  </si>
  <si>
    <t>14.4% (0.8)</t>
  </si>
  <si>
    <t>-</t>
  </si>
  <si>
    <t>Operating cash flow - capex - lease principal</t>
  </si>
  <si>
    <t>Ke without the 0.85</t>
  </si>
  <si>
    <t>Lojas Renner (3.6%)</t>
  </si>
  <si>
    <t>BRL; FCFF</t>
  </si>
  <si>
    <t>14.1% (0.95)</t>
  </si>
  <si>
    <t>13.4%</t>
  </si>
  <si>
    <t>EBIT - taxes + D&amp;A - capex +/- NWC</t>
  </si>
  <si>
    <t>USD + country-risk Ke</t>
  </si>
  <si>
    <t>Cyrela (2.3%)</t>
  </si>
  <si>
    <t>4.5% (real 0%)</t>
  </si>
  <si>
    <t>20.0% (1.46)</t>
  </si>
  <si>
    <t>17.5%</t>
  </si>
  <si>
    <t>ERP 7.7%</t>
  </si>
  <si>
    <t>Cyclicals - DCF by sub-box with the analysts' cash-flow method (end-2027)</t>
  </si>
  <si>
    <t>2026-28: net income + D&amp;A - capex (+ fleet sales) +/- NWC from the consensus; from 2029: growth paid at the sub-box ROE. Two sub-boxes, summed. Ke unified with the other boxes.</t>
  </si>
  <si>
    <t>1. Inputs</t>
  </si>
  <si>
    <t>Item</t>
  </si>
  <si>
    <t>W&amp;E</t>
  </si>
  <si>
    <t>Ex</t>
  </si>
  <si>
    <t>Source / note</t>
  </si>
  <si>
    <t>Index points today</t>
  </si>
  <si>
    <t>W&amp;E = WEG &amp; Embraer; Ex = Cyclicals ex-WEG &amp; Embraer (Box Consensus).</t>
  </si>
  <si>
    <t>Long-term IPCA</t>
  </si>
  <si>
    <t>House and the analysts' Macro sheets.</t>
  </si>
  <si>
    <t>Share of the risk free kept after tax</t>
  </si>
  <si>
    <t>As the analysts: risk free = (NTN-B + IPCA) x 0.85.</t>
  </si>
  <si>
    <t>Equity risk premium, the same for every box</t>
  </si>
  <si>
    <t>Unified (Caio, Oct-8-2026).</t>
  </si>
  <si>
    <t>Earnings shock per 1% of the Ibovespa ex-Commodities shock (beta x normalization)</t>
  </si>
  <si>
    <t>Box Earnings!I13:I14 x I16 of the main model (WEG &amp; Embraer 0.13, ex 1.51, normalized by 1.19).</t>
  </si>
  <si>
    <t>Working capital, % of sales</t>
  </si>
  <si>
    <t>House assumption.</t>
  </si>
  <si>
    <t>ROE for the growth from 2029 (blank = FY28 consensus of the sub-box)</t>
  </si>
  <si>
    <t>Typed value replaces the sub-box ROE.</t>
  </si>
  <si>
    <t>Growth paid from 2029: 1 = all the growth of the year; 2 = only the long-term growth g (the excess comes from margins)</t>
  </si>
  <si>
    <t>1: cash = net income x (1 - growth / ROE). 2: cash = net income x (1 - g / ROE): the consensus growth above g is a recovery of margins (the 2026-28 consensus already shows cash at ~75-80% of net income while net income grows ~20% a year).</t>
  </si>
  <si>
    <t>Growth after 2028 starts from: 1 = the 2028 book value growth (consensus-consistent); 2 = the 2028 net income growth</t>
  </si>
  <si>
    <t>1: with ROE held at FY28, net income grows as the book value; the consensus 2026-28 net income growth comes mostly from ROE rising (ex-WEG &amp; Embraer: ROE 13% &gt; 17%, book value +3% in 2028), which cannot be extrapolated at a constant ROE.</t>
  </si>
  <si>
    <t>Cash to shareholders 2027-28: 1 = net income - increase in book value (consensus); 2 = analysts' bridge (NI + D&amp;A + capex + NWC)</t>
  </si>
  <si>
    <t>1 uses only consensus net income and ROE (book value = net income / ROE), as Financials. 2 uses consensus D&amp;A, capex and sales (gross fleet capex for Localiza and Vamos).</t>
  </si>
  <si>
    <t>WEG &amp; Embraer (global part): Brazil share of the real risk free</t>
  </si>
  <si>
    <t>Analysts' weights by revenue geography: WEG 35% Brazil (DCF &amp; Sensitivity C55), Embraer 20% (C66); weighted by index points.</t>
  </si>
  <si>
    <t>US real risk free</t>
  </si>
  <si>
    <t>Analysts: WEG 2.08% (F56), Embraer 2.51% (F69).</t>
  </si>
  <si>
    <t>2. House vs. analysts, variable by variable (choice: 1 = house, 2 = analysts)</t>
  </si>
  <si>
    <t>Variable</t>
  </si>
  <si>
    <t>House W&amp;E</t>
  </si>
  <si>
    <t>House Ex</t>
  </si>
  <si>
    <t>Analysts W&amp;E</t>
  </si>
  <si>
    <t>Analysts Ex</t>
  </si>
  <si>
    <t>Choice</t>
  </si>
  <si>
    <t>Used W&amp;E</t>
  </si>
  <si>
    <t>Used Ex</t>
  </si>
  <si>
    <t>House / analysts</t>
  </si>
  <si>
    <t>Beta</t>
  </si>
  <si>
    <t>House: sub-box betas, weekly 5 years from the local indices (Box Betas). Analysts: WEG 0.8 / Embraer 1.0; ex: Localiza 0.95, Rumo 1.0, Motiva 0.92, Renner 0.95, Totvs 0.8, Cyrela 1.46.</t>
  </si>
  <si>
    <t>Long-term real growth (g = (1 + IPCA) x (1 + real) - 1)</t>
  </si>
  <si>
    <t>Long-term real growth. House: g 4.7% = about 0.7% real over a 4% IPCA. Analysts, weighted: WEG 3.4% and Embraer 0% -&gt; 1.8%; Localiza ~2%, the rest 0% -&gt; 0.7%.</t>
  </si>
  <si>
    <t>Explicit years after the value date</t>
  </si>
  <si>
    <t>Explicit years after end-2027. House: 2028-31. Analysts: to 2035.</t>
  </si>
  <si>
    <t>Extra periods in the discount of the terminal value</t>
  </si>
  <si>
    <t>Extra periods in the discount of the terminal value. House: one more than the last flow. Analysts: none.</t>
  </si>
  <si>
    <t>g used = (1 + IPCA) x (1 + real growth) - 1</t>
  </si>
  <si>
    <t>3. Cost of equity by scenario</t>
  </si>
  <si>
    <t>Bear</t>
  </si>
  <si>
    <t>Base</t>
  </si>
  <si>
    <t>Bull</t>
  </si>
  <si>
    <t>How it is calculated</t>
  </si>
  <si>
    <t>5-year real rate (NTN-B)</t>
  </si>
  <si>
    <t>Same scenarios as the other boxes.</t>
  </si>
  <si>
    <t>Risk free, Brazil = (NTN-B + IPCA) x share kept after tax</t>
  </si>
  <si>
    <t>The rest of the index (unified).</t>
  </si>
  <si>
    <t>Risk free, global (WEG &amp; Embraer) = (Brazil share x NTN-B + US share x US real + IPCA) x share kept</t>
  </si>
  <si>
    <t>As the WEG and Embraer analysts: real risk free weighted by revenue geography; nominal in R$ with the IPCA.</t>
  </si>
  <si>
    <t>Ke, WEG &amp; Embraer = global risk free + beta x ERP</t>
  </si>
  <si>
    <t>Ke, Cyclicals ex-WEG &amp; Embraer = Brazil risk free + beta x ERP</t>
  </si>
  <si>
    <t>4a. WEG &amp; Embraer: projection (index points)</t>
  </si>
  <si>
    <t>Line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</si>
  <si>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</si>
  <si>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</si>
  <si>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</si>
  <si>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</si>
  <si>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</si>
  <si>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</si>
  <si>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</si>
  <si>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</si>
  <si>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</si>
  <si>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2036</t>
  </si>
  <si>
    <t>2037</t>
  </si>
  <si>
    <t>How it is calculated / source</t>
  </si>
  <si>
    <t>Years after end-2027 (grey = after the explicit years)</t>
  </si>
  <si>
    <t>Net income growth: 2027-28 consensus; then from the 2028 book value growth (switch C15) linearly to g in the last explicit year</t>
  </si>
  <si>
    <t>Net income</t>
  </si>
  <si>
    <t>Box Consensus (sum of the members).</t>
  </si>
  <si>
    <t>ROE (consensus; held at FY28): the return on the reinvestment that funds growth</t>
  </si>
  <si>
    <t>Sum of net income / sum of book value (net income / BEST_ROE) of the sub-box members.</t>
  </si>
  <si>
    <t>Book value: 2026-28 consensus (net income / ROE, summed); then net income / ROE</t>
  </si>
  <si>
    <t>Sales (consensus)</t>
  </si>
  <si>
    <t>(+) D&amp;A = EBITDA - EBIT (consensus)</t>
  </si>
  <si>
    <t>(-) Capex (consensus)</t>
  </si>
  <si>
    <t>(+/-) Change in working capital = -NWC % x change in sales</t>
  </si>
  <si>
    <t>Cash to shareholders = net income - increase in book value (growth paid at the ROE)</t>
  </si>
  <si>
    <t>From 2029 the growth is paid for at the sub-box ROE (the analysts' long-term logic); leases pending.</t>
  </si>
  <si>
    <t>Cash to shareholders / net income</t>
  </si>
  <si>
    <t>4b. Cyclicals ex-WEG &amp; Embraer: projection (index points)</t>
  </si>
  <si>
    <t>5. Valuation at the end of 2027</t>
  </si>
  <si>
    <t>Earnings shock of the Ibovespa ex-Commodities</t>
  </si>
  <si>
    <t>Symmetric +/-20%, as the other boxes.</t>
  </si>
  <si>
    <t>WEG &amp; Embraer: earnings shock = beta x normalization x shock</t>
  </si>
  <si>
    <t>WEG &amp; Embraer: PV of the explicit flows (+ shock x PV of net income)</t>
  </si>
  <si>
    <t>WEG &amp; Embraer: PV of the terminal value</t>
  </si>
  <si>
    <t>Gordon on the last explicit flow.</t>
  </si>
  <si>
    <t>WEG &amp; Embraer: fair value (index pts)</t>
  </si>
  <si>
    <t>WEG &amp; Embraer: upside</t>
  </si>
  <si>
    <t>Cyclicals ex-WEG &amp; Embraer: earnings shock = beta x normalization x shock</t>
  </si>
  <si>
    <t>Cyclicals ex-WEG &amp; Embraer: PV of the explicit flows (+ shock x PV of net income)</t>
  </si>
  <si>
    <t>Cyclicals ex-WEG &amp; Embraer: PV of the terminal value</t>
  </si>
  <si>
    <t>Cyclicals ex-WEG &amp; Embraer: fair value (index pts)</t>
  </si>
  <si>
    <t>Cyclicals ex-WEG &amp; Embraer: upside</t>
  </si>
  <si>
    <t>Cyclicals: fair value (index pts) = sum of the parts (WEG &amp; Embraer, global + the rest, unified)</t>
  </si>
  <si>
    <t>Cyclicals: upside vs. today</t>
  </si>
  <si>
    <t>Memo: upside in the unified DCF by box (main model, v7b)</t>
  </si>
  <si>
    <t>Cyclicals_DCF_XP.xlsx.</t>
  </si>
  <si>
    <t>Memo: upside in the multiples model (Oct-6)</t>
  </si>
  <si>
    <t>Ibov_valuation_by_box_model_XP.xlsx.</t>
  </si>
  <si>
    <t>6. What is fixed (not switchable) and where it comes from</t>
  </si>
  <si>
    <t>Risk free nominal: (NTN-B + IPCA) x 0.85; ERP 5.5% for every box</t>
  </si>
  <si>
    <t>Unified (Caio)</t>
  </si>
  <si>
    <t>Sum of the parts: WEG &amp; Embraer valued as a global part (risk free by revenue geography, as their analysts); the rest unified</t>
  </si>
  <si>
    <t>Caio, Oct-8-2026</t>
  </si>
  <si>
    <t>Consensus only: net income and ROE 2026-28; cash to shareholders = net income - increase in book value</t>
  </si>
  <si>
    <t>Caio (no company-specific adjustments)</t>
  </si>
  <si>
    <t>ROE held at FY28; growth from the 2028 book value growth to g; perpetuity on the last explicit flow</t>
  </si>
  <si>
    <t>Consistent with the consensus</t>
  </si>
  <si>
    <t>Scenario real rates 8.5% / today / 5.5%; earnings shock +/-20% x earnings beta, on net income</t>
  </si>
  <si>
    <t>House / main model</t>
  </si>
  <si>
    <t>Pending the Bloomberg pull: leases (IFRS 16) and concession fees</t>
  </si>
  <si>
    <t>Not in the consensus</t>
  </si>
</sst>
</file>

<file path=xl/styles.xml><?xml version="1.0" encoding="utf-8"?>
<styleSheet xmlns="http://schemas.openxmlformats.org/spreadsheetml/2006/main">
  <numFmts count="9">
    <numFmt numFmtId="164" formatCode="#,##0.0"/>
    <numFmt numFmtId="165" formatCode="0.0%"/>
    <numFmt numFmtId="166" formatCode="0.00"/>
    <numFmt numFmtId="167" formatCode="0.00%"/>
    <numFmt numFmtId="168" formatCode="0.000"/>
    <numFmt numFmtId="169" formatCode="0%"/>
    <numFmt numFmtId="170" formatCode="+0.0%;-0.0%;0.0%"/>
    <numFmt numFmtId="171" formatCode="0.000000"/>
    <numFmt numFmtId="172" formatCode="#,##0"/>
  </numFmts>
  <fonts count="13">
    <font>
      <sz val="11"/>
      <color theme="1"/>
      <name val="Calibri"/>
      <family val="2"/>
      <scheme val="minor"/>
    </font>
    <font>
      <b/>
      <sz val="18"/>
      <color rgb="FF1D1E1F"/>
      <name val="Roboto"/>
      <family val="2"/>
    </font>
    <font>
      <i/>
      <sz val="10"/>
      <color rgb="FF74797C"/>
      <name val="Roboto"/>
      <family val="2"/>
    </font>
    <font>
      <i/>
      <sz val="10"/>
      <color rgb="FF0070C0"/>
      <name val="Roboto"/>
      <family val="2"/>
    </font>
    <font>
      <b/>
      <i/>
      <sz val="10"/>
      <color rgb="FF0070C0"/>
      <name val="Roboto"/>
      <family val="2"/>
    </font>
    <font>
      <i/>
      <sz val="10"/>
      <color rgb="FF18191A"/>
      <name val="Roboto"/>
      <family val="2"/>
    </font>
    <font>
      <b/>
      <sz val="10"/>
      <color rgb="FFFFFFFF"/>
      <name val="Roboto"/>
      <family val="2"/>
    </font>
    <font>
      <sz val="10"/>
      <color rgb="FF18191A"/>
      <name val="Roboto"/>
      <family val="2"/>
    </font>
    <font>
      <b/>
      <sz val="10"/>
      <color rgb="FF0070C0"/>
      <name val="Roboto"/>
      <family val="2"/>
    </font>
    <font>
      <sz val="10"/>
      <color rgb="FF0070C0"/>
      <name val="Roboto"/>
      <family val="2"/>
    </font>
    <font>
      <sz val="10"/>
      <color rgb="FF18191A"/>
      <name val="Roboto"/>
      <family val="2"/>
    </font>
    <font>
      <b/>
      <sz val="10"/>
      <color rgb="FF18191A"/>
      <name val="Roboto"/>
      <family val="2"/>
    </font>
    <font>
      <sz val="10"/>
      <color rgb="FF0070C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1F2F44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8" fillId="2" borderId="1" xfId="0" applyNumberFormat="1" applyFont="1" applyFill="1" applyBorder="1" applyAlignment="1">
      <alignment vertical="center"/>
    </xf>
    <xf numFmtId="166" fontId="8" fillId="2" borderId="1" xfId="0" applyNumberFormat="1" applyFont="1" applyFill="1" applyBorder="1" applyAlignment="1">
      <alignment vertical="center"/>
    </xf>
    <xf numFmtId="167" fontId="8" fillId="2" borderId="1" xfId="0" applyNumberFormat="1" applyFont="1" applyFill="1" applyBorder="1" applyAlignment="1">
      <alignment vertical="center"/>
    </xf>
    <xf numFmtId="168" fontId="9" fillId="0" borderId="0" xfId="0" applyNumberFormat="1" applyFont="1" applyAlignment="1">
      <alignment vertical="center"/>
    </xf>
    <xf numFmtId="1" fontId="8" fillId="2" borderId="1" xfId="0" applyNumberFormat="1" applyFont="1" applyFill="1" applyBorder="1" applyAlignment="1">
      <alignment vertical="center"/>
    </xf>
    <xf numFmtId="169" fontId="8" fillId="2" borderId="1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168" fontId="8" fillId="2" borderId="1" xfId="0" applyNumberFormat="1" applyFont="1" applyFill="1" applyBorder="1" applyAlignment="1">
      <alignment vertical="center"/>
    </xf>
    <xf numFmtId="1" fontId="8" fillId="2" borderId="1" xfId="0" applyNumberFormat="1" applyFont="1" applyFill="1" applyBorder="1" applyAlignment="1">
      <alignment horizontal="center" vertical="center"/>
    </xf>
    <xf numFmtId="168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7" fontId="7" fillId="0" borderId="0" xfId="0" applyNumberFormat="1" applyFont="1" applyAlignment="1">
      <alignment vertical="center"/>
    </xf>
    <xf numFmtId="167" fontId="11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170" fontId="8" fillId="2" borderId="1" xfId="0" applyNumberFormat="1" applyFont="1" applyFill="1" applyBorder="1" applyAlignment="1">
      <alignment vertical="center"/>
    </xf>
    <xf numFmtId="170" fontId="7" fillId="0" borderId="0" xfId="0" applyNumberFormat="1" applyFont="1" applyAlignment="1">
      <alignment vertical="center"/>
    </xf>
    <xf numFmtId="170" fontId="11" fillId="0" borderId="0" xfId="0" applyNumberFormat="1" applyFont="1" applyAlignment="1">
      <alignment vertical="center"/>
    </xf>
    <xf numFmtId="170" fontId="9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171" fontId="10" fillId="0" borderId="0" xfId="0" applyNumberFormat="1" applyFont="1" applyAlignment="1">
      <alignment vertical="center"/>
    </xf>
    <xf numFmtId="172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172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2" xfId="0" applyFont="1" applyBorder="1" applyAlignment="1">
      <alignment vertical="center"/>
    </xf>
    <xf numFmtId="164" fontId="11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color rgb="FFA6A6A6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89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4" customHeight="1"/>
  <cols>
    <col min="1" max="1" width="2.7109375" customWidth="1"/>
    <col min="2" max="2" width="66.7109375" customWidth="1"/>
    <col min="3" max="9" width="11.7109375" customWidth="1"/>
    <col min="10" max="14" width="11.28515625" customWidth="1"/>
    <col min="15" max="15" width="2.7109375" customWidth="1"/>
    <col min="16" max="16" width="90.7109375" customWidth="1"/>
  </cols>
  <sheetData>
    <row r="1" spans="2:16" ht="30" customHeight="1">
      <c r="B1" s="1" t="s">
        <v>133</v>
      </c>
    </row>
    <row r="2" spans="2:16" ht="14" customHeight="1">
      <c r="B2" s="2" t="s">
        <v>134</v>
      </c>
    </row>
    <row r="3" spans="2:16" ht="14" customHeight="1">
      <c r="B3" s="2" t="s">
        <v>2</v>
      </c>
      <c r="C3" s="3" t="s">
        <v>3</v>
      </c>
      <c r="D3" s="4" t="s">
        <v>4</v>
      </c>
      <c r="E3" s="5" t="s">
        <v>5</v>
      </c>
    </row>
    <row r="5" spans="2:16" ht="14" customHeight="1">
      <c r="B5" s="6" t="s">
        <v>135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2:16" ht="14" customHeight="1">
      <c r="B6" s="7" t="s">
        <v>136</v>
      </c>
      <c r="C6" s="8" t="s">
        <v>137</v>
      </c>
      <c r="D6" s="8" t="s">
        <v>138</v>
      </c>
      <c r="P6" s="8" t="s">
        <v>139</v>
      </c>
    </row>
    <row r="7" spans="2:16" ht="14" customHeight="1">
      <c r="B7" s="9" t="s">
        <v>140</v>
      </c>
      <c r="C7" s="10">
        <f>'Box Consensus'!D61</f>
        <v>0</v>
      </c>
      <c r="D7" s="10">
        <f>'Box Consensus'!D62</f>
        <v>0</v>
      </c>
      <c r="P7" s="2" t="s">
        <v>141</v>
      </c>
    </row>
    <row r="8" spans="2:16" ht="14" customHeight="1">
      <c r="B8" s="9" t="s">
        <v>142</v>
      </c>
      <c r="C8" s="11">
        <v>0.04</v>
      </c>
      <c r="P8" s="2" t="s">
        <v>143</v>
      </c>
    </row>
    <row r="9" spans="2:16" ht="14" customHeight="1">
      <c r="B9" s="9" t="s">
        <v>144</v>
      </c>
      <c r="C9" s="12">
        <v>0.85</v>
      </c>
      <c r="P9" s="2" t="s">
        <v>145</v>
      </c>
    </row>
    <row r="10" spans="2:16" ht="14" customHeight="1">
      <c r="B10" s="9" t="s">
        <v>146</v>
      </c>
      <c r="C10" s="13">
        <v>0.055</v>
      </c>
      <c r="P10" s="2" t="s">
        <v>147</v>
      </c>
    </row>
    <row r="11" spans="2:16" ht="14" customHeight="1">
      <c r="B11" s="9" t="s">
        <v>148</v>
      </c>
      <c r="C11" s="14">
        <v>0.1508580614916</v>
      </c>
      <c r="D11" s="14">
        <v>1.7925092850636</v>
      </c>
      <c r="P11" s="2" t="s">
        <v>149</v>
      </c>
    </row>
    <row r="12" spans="2:16" ht="14" customHeight="1">
      <c r="B12" s="9" t="s">
        <v>150</v>
      </c>
      <c r="C12" s="11">
        <v>0.04</v>
      </c>
      <c r="P12" s="2" t="s">
        <v>151</v>
      </c>
    </row>
    <row r="13" spans="2:16" ht="14" customHeight="1">
      <c r="B13" s="9" t="s">
        <v>152</v>
      </c>
      <c r="C13" s="11"/>
      <c r="D13" s="11"/>
      <c r="P13" s="2" t="s">
        <v>153</v>
      </c>
    </row>
    <row r="14" spans="2:16" ht="14" customHeight="1">
      <c r="B14" s="9" t="s">
        <v>154</v>
      </c>
      <c r="C14" s="15">
        <v>1</v>
      </c>
      <c r="P14" s="2" t="s">
        <v>155</v>
      </c>
    </row>
    <row r="15" spans="2:16" ht="14" customHeight="1">
      <c r="B15" s="9" t="s">
        <v>156</v>
      </c>
      <c r="C15" s="15">
        <v>1</v>
      </c>
      <c r="P15" s="2" t="s">
        <v>157</v>
      </c>
    </row>
    <row r="16" spans="2:16" ht="14" customHeight="1">
      <c r="B16" s="9" t="s">
        <v>158</v>
      </c>
      <c r="C16" s="15">
        <v>1</v>
      </c>
      <c r="P16" s="2" t="s">
        <v>159</v>
      </c>
    </row>
    <row r="17" spans="2:16" ht="14" customHeight="1">
      <c r="B17" s="9" t="s">
        <v>160</v>
      </c>
      <c r="C17" s="16">
        <v>0.2791760578562609</v>
      </c>
      <c r="P17" s="2" t="s">
        <v>161</v>
      </c>
    </row>
    <row r="18" spans="2:16" ht="14" customHeight="1">
      <c r="B18" s="9" t="s">
        <v>162</v>
      </c>
      <c r="C18" s="13">
        <v>0.021</v>
      </c>
      <c r="P18" s="2" t="s">
        <v>163</v>
      </c>
    </row>
    <row r="19" spans="2:16" ht="14" customHeight="1">
      <c r="B19" s="6" t="s">
        <v>164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2:16" ht="30" customHeight="1">
      <c r="B20" s="7" t="s">
        <v>165</v>
      </c>
      <c r="C20" s="8" t="s">
        <v>166</v>
      </c>
      <c r="D20" s="8" t="s">
        <v>167</v>
      </c>
      <c r="E20" s="8" t="s">
        <v>168</v>
      </c>
      <c r="F20" s="8" t="s">
        <v>169</v>
      </c>
      <c r="G20" s="8" t="s">
        <v>170</v>
      </c>
      <c r="H20" s="8" t="s">
        <v>171</v>
      </c>
      <c r="I20" s="8" t="s">
        <v>172</v>
      </c>
      <c r="P20" s="8" t="s">
        <v>173</v>
      </c>
    </row>
    <row r="21" spans="2:16" ht="14" customHeight="1">
      <c r="B21" s="17" t="s">
        <v>174</v>
      </c>
      <c r="C21" s="18">
        <v>0.7214</v>
      </c>
      <c r="D21" s="18">
        <v>1.324</v>
      </c>
      <c r="E21" s="18">
        <v>0.89</v>
      </c>
      <c r="F21" s="18">
        <v>1.02</v>
      </c>
      <c r="G21" s="19">
        <v>1</v>
      </c>
      <c r="H21" s="20">
        <f>IF($G21=1,C21,E21)</f>
        <v>0</v>
      </c>
      <c r="I21" s="20">
        <f>IF($G21=1,D21,F21)</f>
        <v>0</v>
      </c>
      <c r="P21" s="2" t="s">
        <v>175</v>
      </c>
    </row>
    <row r="22" spans="2:16" ht="14" customHeight="1">
      <c r="B22" s="17" t="s">
        <v>176</v>
      </c>
      <c r="C22" s="11">
        <v>0.0067</v>
      </c>
      <c r="D22" s="11">
        <v>0.0067</v>
      </c>
      <c r="E22" s="11">
        <v>0.018</v>
      </c>
      <c r="F22" s="11">
        <v>0.007</v>
      </c>
      <c r="G22" s="19">
        <v>2</v>
      </c>
      <c r="H22" s="21">
        <f>IF($G22=1,C22,E22)</f>
        <v>0</v>
      </c>
      <c r="I22" s="21">
        <f>IF($G22=1,D22,F22)</f>
        <v>0</v>
      </c>
      <c r="P22" s="2" t="s">
        <v>177</v>
      </c>
    </row>
    <row r="23" spans="2:16" ht="14" customHeight="1">
      <c r="B23" s="17" t="s">
        <v>178</v>
      </c>
      <c r="C23" s="15">
        <v>4</v>
      </c>
      <c r="D23" s="15">
        <v>4</v>
      </c>
      <c r="E23" s="15">
        <v>8</v>
      </c>
      <c r="F23" s="15">
        <v>8</v>
      </c>
      <c r="G23" s="19">
        <v>2</v>
      </c>
      <c r="H23" s="22">
        <f>IF($G23=1,C23,E23)</f>
        <v>0</v>
      </c>
      <c r="I23" s="22">
        <f>IF($G23=1,D23,F23)</f>
        <v>0</v>
      </c>
      <c r="P23" s="2" t="s">
        <v>179</v>
      </c>
    </row>
    <row r="24" spans="2:16" ht="14" customHeight="1">
      <c r="B24" s="17" t="s">
        <v>180</v>
      </c>
      <c r="C24" s="15">
        <v>1</v>
      </c>
      <c r="D24" s="15">
        <v>1</v>
      </c>
      <c r="E24" s="15">
        <v>0</v>
      </c>
      <c r="F24" s="15">
        <v>0</v>
      </c>
      <c r="G24" s="19">
        <v>2</v>
      </c>
      <c r="H24" s="22">
        <f>IF($G24=1,C24,E24)</f>
        <v>0</v>
      </c>
      <c r="I24" s="22">
        <f>IF($G24=1,D24,F24)</f>
        <v>0</v>
      </c>
      <c r="P24" s="2" t="s">
        <v>181</v>
      </c>
    </row>
    <row r="25" spans="2:16" ht="14" customHeight="1">
      <c r="B25" s="23" t="s">
        <v>182</v>
      </c>
      <c r="H25" s="21">
        <f>(1+$C$8)*(1+H22)-1</f>
        <v>0</v>
      </c>
      <c r="I25" s="21">
        <f>(1+$C$8)*(1+I22)-1</f>
        <v>0</v>
      </c>
    </row>
    <row r="27" spans="2:16" ht="14" customHeight="1">
      <c r="B27" s="6" t="s">
        <v>183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2:16" ht="14" customHeight="1">
      <c r="B28" s="7" t="s">
        <v>136</v>
      </c>
      <c r="C28" s="8" t="s">
        <v>184</v>
      </c>
      <c r="D28" s="8" t="s">
        <v>185</v>
      </c>
      <c r="E28" s="8" t="s">
        <v>186</v>
      </c>
      <c r="P28" s="8" t="s">
        <v>187</v>
      </c>
    </row>
    <row r="29" spans="2:16" ht="14" customHeight="1">
      <c r="B29" s="9" t="s">
        <v>188</v>
      </c>
      <c r="C29" s="13">
        <v>0.08500000000000001</v>
      </c>
      <c r="D29" s="13">
        <v>0.06759999999999999</v>
      </c>
      <c r="E29" s="13">
        <v>0.055</v>
      </c>
      <c r="P29" s="2" t="s">
        <v>189</v>
      </c>
    </row>
    <row r="30" spans="2:16" ht="14" customHeight="1">
      <c r="B30" s="9" t="s">
        <v>190</v>
      </c>
      <c r="C30" s="24">
        <f>(C29+$C$8)*$C$9</f>
        <v>0</v>
      </c>
      <c r="D30" s="24">
        <f>(D29+$C$8)*$C$9</f>
        <v>0</v>
      </c>
      <c r="E30" s="24">
        <f>(E29+$C$8)*$C$9</f>
        <v>0</v>
      </c>
      <c r="P30" s="2" t="s">
        <v>191</v>
      </c>
    </row>
    <row r="31" spans="2:16" ht="14" customHeight="1">
      <c r="B31" s="9" t="s">
        <v>192</v>
      </c>
      <c r="C31" s="24">
        <f>($C$17*C29+(1-$C$17)*$C$18+$C$8)*$C$9</f>
        <v>0</v>
      </c>
      <c r="D31" s="24">
        <f>($C$17*D29+(1-$C$17)*$C$18+$C$8)*$C$9</f>
        <v>0</v>
      </c>
      <c r="E31" s="24">
        <f>($C$17*E29+(1-$C$17)*$C$18+$C$8)*$C$9</f>
        <v>0</v>
      </c>
      <c r="P31" s="2" t="s">
        <v>193</v>
      </c>
    </row>
    <row r="32" spans="2:16" ht="14" customHeight="1">
      <c r="B32" s="23" t="s">
        <v>194</v>
      </c>
      <c r="C32" s="25">
        <f>C31+$H$21*$C$10</f>
        <v>0</v>
      </c>
      <c r="D32" s="25">
        <f>D31+$H$21*$C$10</f>
        <v>0</v>
      </c>
      <c r="E32" s="25">
        <f>E31+$H$21*$C$10</f>
        <v>0</v>
      </c>
    </row>
    <row r="33" spans="2:16" ht="14" customHeight="1">
      <c r="B33" s="23" t="s">
        <v>195</v>
      </c>
      <c r="C33" s="25">
        <f>C30+$I$21*$C$10</f>
        <v>0</v>
      </c>
      <c r="D33" s="25">
        <f>D30+$I$21*$C$10</f>
        <v>0</v>
      </c>
      <c r="E33" s="25">
        <f>E30+$I$21*$C$10</f>
        <v>0</v>
      </c>
    </row>
    <row r="35" spans="2:16" ht="14" customHeight="1">
      <c r="B35" s="6" t="s">
        <v>196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2:16" ht="14" customHeight="1">
      <c r="B36" s="7" t="s">
        <v>197</v>
      </c>
      <c r="C36" s="8" t="s">
        <v>198</v>
      </c>
      <c r="D36" s="8" t="s">
        <v>199</v>
      </c>
      <c r="E36" s="8" t="s">
        <v>200</v>
      </c>
      <c r="F36" s="8" t="s">
        <v>201</v>
      </c>
      <c r="G36" s="8" t="s">
        <v>202</v>
      </c>
      <c r="H36" s="8" t="s">
        <v>203</v>
      </c>
      <c r="I36" s="8" t="s">
        <v>204</v>
      </c>
      <c r="J36" s="8" t="s">
        <v>205</v>
      </c>
      <c r="K36" s="8" t="s">
        <v>206</v>
      </c>
      <c r="L36" s="8" t="s">
        <v>79</v>
      </c>
      <c r="M36" s="8" t="s">
        <v>207</v>
      </c>
      <c r="N36" s="8" t="s">
        <v>208</v>
      </c>
      <c r="P36" s="8" t="s">
        <v>209</v>
      </c>
    </row>
    <row r="37" spans="2:16" ht="14" customHeight="1">
      <c r="B37" s="9" t="s">
        <v>210</v>
      </c>
      <c r="E37" s="26">
        <f>2028-2027</f>
        <v>0</v>
      </c>
      <c r="F37" s="26">
        <f>2029-2027</f>
        <v>0</v>
      </c>
      <c r="G37" s="26">
        <f>2030-2027</f>
        <v>0</v>
      </c>
      <c r="H37" s="26">
        <f>2031-2027</f>
        <v>0</v>
      </c>
      <c r="I37" s="26">
        <f>2032-2027</f>
        <v>0</v>
      </c>
      <c r="J37" s="26">
        <f>2033-2027</f>
        <v>0</v>
      </c>
      <c r="K37" s="26">
        <f>2034-2027</f>
        <v>0</v>
      </c>
      <c r="L37" s="26">
        <f>2035-2027</f>
        <v>0</v>
      </c>
      <c r="M37" s="26">
        <f>2036-2027</f>
        <v>0</v>
      </c>
      <c r="N37" s="26">
        <f>2037-2027</f>
        <v>0</v>
      </c>
    </row>
    <row r="38" spans="2:16" ht="14" customHeight="1">
      <c r="B38" s="9" t="s">
        <v>211</v>
      </c>
      <c r="D38" s="27">
        <f>D39/C39-1</f>
        <v>0</v>
      </c>
      <c r="E38" s="27">
        <f>E39/D39-1</f>
        <v>0</v>
      </c>
      <c r="F38" s="27">
        <f>IF(F37&gt;=NExp,$H$25,IF($C$15=1,$E$41/$D$41-1,$E$38)+($H$25-IF($C$15=1,$E$41/$D$41-1,$E$38))*(F37-1)/(NExp-1))</f>
        <v>0</v>
      </c>
      <c r="G38" s="27">
        <f>IF(G37&gt;=NExp,$H$25,IF($C$15=1,$E$41/$D$41-1,$E$38)+($H$25-IF($C$15=1,$E$41/$D$41-1,$E$38))*(G37-1)/(NExp-1))</f>
        <v>0</v>
      </c>
      <c r="H38" s="27">
        <f>IF(H37&gt;=NExp,$H$25,IF($C$15=1,$E$41/$D$41-1,$E$38)+($H$25-IF($C$15=1,$E$41/$D$41-1,$E$38))*(H37-1)/(NExp-1))</f>
        <v>0</v>
      </c>
      <c r="I38" s="27">
        <f>IF(I37&gt;=NExp,$H$25,IF($C$15=1,$E$41/$D$41-1,$E$38)+($H$25-IF($C$15=1,$E$41/$D$41-1,$E$38))*(I37-1)/(NExp-1))</f>
        <v>0</v>
      </c>
      <c r="J38" s="27">
        <f>IF(J37&gt;=NExp,$H$25,IF($C$15=1,$E$41/$D$41-1,$E$38)+($H$25-IF($C$15=1,$E$41/$D$41-1,$E$38))*(J37-1)/(NExp-1))</f>
        <v>0</v>
      </c>
      <c r="K38" s="27">
        <f>IF(K37&gt;=NExp,$H$25,IF($C$15=1,$E$41/$D$41-1,$E$38)+($H$25-IF($C$15=1,$E$41/$D$41-1,$E$38))*(K37-1)/(NExp-1))</f>
        <v>0</v>
      </c>
      <c r="L38" s="27">
        <f>IF(L37&gt;=NExp,$H$25,IF($C$15=1,$E$41/$D$41-1,$E$38)+($H$25-IF($C$15=1,$E$41/$D$41-1,$E$38))*(L37-1)/(NExp-1))</f>
        <v>0</v>
      </c>
      <c r="M38" s="27">
        <f>IF(M37&gt;=NExp,$H$25,IF($C$15=1,$E$41/$D$41-1,$E$38)+($H$25-IF($C$15=1,$E$41/$D$41-1,$E$38))*(M37-1)/(NExp-1))</f>
        <v>0</v>
      </c>
      <c r="N38" s="27">
        <f>IF(N37&gt;=NExp,$H$25,IF($C$15=1,$E$41/$D$41-1,$E$38)+($H$25-IF($C$15=1,$E$41/$D$41-1,$E$38))*(N37-1)/(NExp-1))</f>
        <v>0</v>
      </c>
    </row>
    <row r="39" spans="2:16" ht="14" customHeight="1">
      <c r="B39" s="23" t="s">
        <v>212</v>
      </c>
      <c r="C39" s="28">
        <f>'Box Consensus'!O61</f>
        <v>0</v>
      </c>
      <c r="D39" s="28">
        <f>'Box Consensus'!P61</f>
        <v>0</v>
      </c>
      <c r="E39" s="28">
        <f>'Box Consensus'!Q61</f>
        <v>0</v>
      </c>
      <c r="F39" s="28">
        <f>E39*(1+F38)</f>
        <v>0</v>
      </c>
      <c r="G39" s="28">
        <f>F39*(1+G38)</f>
        <v>0</v>
      </c>
      <c r="H39" s="28">
        <f>G39*(1+H38)</f>
        <v>0</v>
      </c>
      <c r="I39" s="28">
        <f>H39*(1+I38)</f>
        <v>0</v>
      </c>
      <c r="J39" s="28">
        <f>I39*(1+J38)</f>
        <v>0</v>
      </c>
      <c r="K39" s="28">
        <f>J39*(1+K38)</f>
        <v>0</v>
      </c>
      <c r="L39" s="28">
        <f>K39*(1+L38)</f>
        <v>0</v>
      </c>
      <c r="M39" s="28">
        <f>L39*(1+M38)</f>
        <v>0</v>
      </c>
      <c r="N39" s="28">
        <f>M39*(1+N38)</f>
        <v>0</v>
      </c>
      <c r="P39" s="2" t="s">
        <v>213</v>
      </c>
    </row>
    <row r="40" spans="2:16" ht="14" customHeight="1">
      <c r="B40" s="9" t="s">
        <v>214</v>
      </c>
      <c r="C40" s="27">
        <f>'Box Consensus'!O61/'Box Consensus'!X61</f>
        <v>0</v>
      </c>
      <c r="D40" s="27">
        <f>'Box Consensus'!P61/'Box Consensus'!Y61</f>
        <v>0</v>
      </c>
      <c r="E40" s="27">
        <f>'Box Consensus'!Q61/'Box Consensus'!Z61</f>
        <v>0</v>
      </c>
      <c r="F40" s="27">
        <f>IF(ISNUMBER($C$13),$C$13,$E$40)</f>
        <v>0</v>
      </c>
      <c r="G40" s="27">
        <f>IF(ISNUMBER($C$13),$C$13,$E$40)</f>
        <v>0</v>
      </c>
      <c r="H40" s="27">
        <f>IF(ISNUMBER($C$13),$C$13,$E$40)</f>
        <v>0</v>
      </c>
      <c r="I40" s="27">
        <f>IF(ISNUMBER($C$13),$C$13,$E$40)</f>
        <v>0</v>
      </c>
      <c r="J40" s="27">
        <f>IF(ISNUMBER($C$13),$C$13,$E$40)</f>
        <v>0</v>
      </c>
      <c r="K40" s="27">
        <f>IF(ISNUMBER($C$13),$C$13,$E$40)</f>
        <v>0</v>
      </c>
      <c r="L40" s="27">
        <f>IF(ISNUMBER($C$13),$C$13,$E$40)</f>
        <v>0</v>
      </c>
      <c r="M40" s="27">
        <f>IF(ISNUMBER($C$13),$C$13,$E$40)</f>
        <v>0</v>
      </c>
      <c r="N40" s="27">
        <f>IF(ISNUMBER($C$13),$C$13,$E$40)</f>
        <v>0</v>
      </c>
      <c r="P40" s="2" t="s">
        <v>215</v>
      </c>
    </row>
    <row r="41" spans="2:16" ht="14" customHeight="1">
      <c r="B41" s="9" t="s">
        <v>216</v>
      </c>
      <c r="C41" s="10">
        <f>'Box Consensus'!X61</f>
        <v>0</v>
      </c>
      <c r="D41" s="10">
        <f>'Box Consensus'!Y61</f>
        <v>0</v>
      </c>
      <c r="E41" s="10">
        <f>'Box Consensus'!Z61</f>
        <v>0</v>
      </c>
      <c r="F41" s="10">
        <f>F39/F40</f>
        <v>0</v>
      </c>
      <c r="G41" s="10">
        <f>G39/G40</f>
        <v>0</v>
      </c>
      <c r="H41" s="10">
        <f>H39/H40</f>
        <v>0</v>
      </c>
      <c r="I41" s="10">
        <f>I39/I40</f>
        <v>0</v>
      </c>
      <c r="J41" s="10">
        <f>J39/J40</f>
        <v>0</v>
      </c>
      <c r="K41" s="10">
        <f>K39/K40</f>
        <v>0</v>
      </c>
      <c r="L41" s="10">
        <f>L39/L40</f>
        <v>0</v>
      </c>
      <c r="M41" s="10">
        <f>M39/M40</f>
        <v>0</v>
      </c>
      <c r="N41" s="10">
        <f>N39/N40</f>
        <v>0</v>
      </c>
    </row>
    <row r="42" spans="2:16" ht="14" customHeight="1">
      <c r="B42" s="9" t="s">
        <v>217</v>
      </c>
      <c r="C42" s="10">
        <f>'Box Consensus'!F61</f>
        <v>0</v>
      </c>
      <c r="D42" s="10">
        <f>'Box Consensus'!G61</f>
        <v>0</v>
      </c>
      <c r="E42" s="10">
        <f>'Box Consensus'!H61</f>
        <v>0</v>
      </c>
    </row>
    <row r="43" spans="2:16" ht="14" customHeight="1">
      <c r="B43" s="9" t="s">
        <v>218</v>
      </c>
      <c r="C43" s="10">
        <f>'Box Consensus'!I61-'Box Consensus'!L61</f>
        <v>0</v>
      </c>
      <c r="D43" s="10">
        <f>'Box Consensus'!J61-'Box Consensus'!M61</f>
        <v>0</v>
      </c>
      <c r="E43" s="10">
        <f>'Box Consensus'!K61-'Box Consensus'!N61</f>
        <v>0</v>
      </c>
    </row>
    <row r="44" spans="2:16" ht="14" customHeight="1">
      <c r="B44" s="9" t="s">
        <v>219</v>
      </c>
      <c r="C44" s="10">
        <f>'Box Consensus'!R61+'Box Consensus'!U61</f>
        <v>0</v>
      </c>
      <c r="D44" s="10">
        <f>'Box Consensus'!S61+'Box Consensus'!V61</f>
        <v>0</v>
      </c>
      <c r="E44" s="10">
        <f>'Box Consensus'!T61+'Box Consensus'!W61</f>
        <v>0</v>
      </c>
    </row>
    <row r="45" spans="2:16" ht="14" customHeight="1">
      <c r="B45" s="9" t="s">
        <v>220</v>
      </c>
      <c r="D45" s="10">
        <f>-$C$12*(D42-C42)</f>
        <v>0</v>
      </c>
      <c r="E45" s="10">
        <f>-$C$12*(E42-D42)</f>
        <v>0</v>
      </c>
    </row>
    <row r="46" spans="2:16" ht="14" customHeight="1">
      <c r="B46" s="23" t="s">
        <v>221</v>
      </c>
      <c r="D46" s="28">
        <f>IF($C$16=1,D39-(D41-C41),D39+D43+D44+D45)</f>
        <v>0</v>
      </c>
      <c r="E46" s="28">
        <f>IF($C$16=1,E39-(E41-D41),E39+E43+E44+E45)</f>
        <v>0</v>
      </c>
      <c r="F46" s="28">
        <f>IF($C$14=1,F39-(F41-E41),F39*(1-$H$25/F40))</f>
        <v>0</v>
      </c>
      <c r="G46" s="28">
        <f>IF($C$14=1,G39-(G41-F41),G39*(1-$H$25/G40))</f>
        <v>0</v>
      </c>
      <c r="H46" s="28">
        <f>IF($C$14=1,H39-(H41-G41),H39*(1-$H$25/H40))</f>
        <v>0</v>
      </c>
      <c r="I46" s="28">
        <f>IF($C$14=1,I39-(I41-H41),I39*(1-$H$25/I40))</f>
        <v>0</v>
      </c>
      <c r="J46" s="28">
        <f>IF($C$14=1,J39-(J41-I41),J39*(1-$H$25/J40))</f>
        <v>0</v>
      </c>
      <c r="K46" s="28">
        <f>IF($C$14=1,K39-(K41-J41),K39*(1-$H$25/K40))</f>
        <v>0</v>
      </c>
      <c r="L46" s="28">
        <f>IF($C$14=1,L39-(L41-K41),L39*(1-$H$25/L40))</f>
        <v>0</v>
      </c>
      <c r="M46" s="28">
        <f>IF($C$14=1,M39-(M41-L41),M39*(1-$H$25/M40))</f>
        <v>0</v>
      </c>
      <c r="N46" s="28">
        <f>IF($C$14=1,N39-(N41-M41),N39*(1-$H$25/N40))</f>
        <v>0</v>
      </c>
      <c r="P46" s="2" t="s">
        <v>222</v>
      </c>
    </row>
    <row r="47" spans="2:16" ht="14" customHeight="1">
      <c r="B47" s="9" t="s">
        <v>223</v>
      </c>
      <c r="D47" s="27">
        <f>D46/D39</f>
        <v>0</v>
      </c>
      <c r="E47" s="27">
        <f>E46/E39</f>
        <v>0</v>
      </c>
      <c r="F47" s="27">
        <f>F46/F39</f>
        <v>0</v>
      </c>
      <c r="G47" s="27">
        <f>G46/G39</f>
        <v>0</v>
      </c>
      <c r="H47" s="27">
        <f>H46/H39</f>
        <v>0</v>
      </c>
      <c r="I47" s="27">
        <f>I46/I39</f>
        <v>0</v>
      </c>
      <c r="J47" s="27">
        <f>J46/J39</f>
        <v>0</v>
      </c>
      <c r="K47" s="27">
        <f>K46/K39</f>
        <v>0</v>
      </c>
      <c r="L47" s="27">
        <f>L46/L39</f>
        <v>0</v>
      </c>
      <c r="M47" s="27">
        <f>M46/M39</f>
        <v>0</v>
      </c>
      <c r="N47" s="27">
        <f>N46/N39</f>
        <v>0</v>
      </c>
    </row>
    <row r="49" spans="2:16" ht="14" customHeight="1">
      <c r="B49" s="6" t="s">
        <v>224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2:16" ht="14" customHeight="1">
      <c r="B50" s="7" t="s">
        <v>197</v>
      </c>
      <c r="C50" s="8" t="s">
        <v>198</v>
      </c>
      <c r="D50" s="8" t="s">
        <v>199</v>
      </c>
      <c r="E50" s="8" t="s">
        <v>200</v>
      </c>
      <c r="F50" s="8" t="s">
        <v>201</v>
      </c>
      <c r="G50" s="8" t="s">
        <v>202</v>
      </c>
      <c r="H50" s="8" t="s">
        <v>203</v>
      </c>
      <c r="I50" s="8" t="s">
        <v>204</v>
      </c>
      <c r="J50" s="8" t="s">
        <v>205</v>
      </c>
      <c r="K50" s="8" t="s">
        <v>206</v>
      </c>
      <c r="L50" s="8" t="s">
        <v>79</v>
      </c>
      <c r="M50" s="8" t="s">
        <v>207</v>
      </c>
      <c r="N50" s="8" t="s">
        <v>208</v>
      </c>
      <c r="P50" s="8" t="s">
        <v>209</v>
      </c>
    </row>
    <row r="51" spans="2:16" ht="14" customHeight="1">
      <c r="B51" s="9" t="s">
        <v>210</v>
      </c>
      <c r="E51" s="26">
        <f>2028-2027</f>
        <v>0</v>
      </c>
      <c r="F51" s="26">
        <f>2029-2027</f>
        <v>0</v>
      </c>
      <c r="G51" s="26">
        <f>2030-2027</f>
        <v>0</v>
      </c>
      <c r="H51" s="26">
        <f>2031-2027</f>
        <v>0</v>
      </c>
      <c r="I51" s="26">
        <f>2032-2027</f>
        <v>0</v>
      </c>
      <c r="J51" s="26">
        <f>2033-2027</f>
        <v>0</v>
      </c>
      <c r="K51" s="26">
        <f>2034-2027</f>
        <v>0</v>
      </c>
      <c r="L51" s="26">
        <f>2035-2027</f>
        <v>0</v>
      </c>
      <c r="M51" s="26">
        <f>2036-2027</f>
        <v>0</v>
      </c>
      <c r="N51" s="26">
        <f>2037-2027</f>
        <v>0</v>
      </c>
    </row>
    <row r="52" spans="2:16" ht="14" customHeight="1">
      <c r="B52" s="9" t="s">
        <v>211</v>
      </c>
      <c r="D52" s="27">
        <f>D53/C53-1</f>
        <v>0</v>
      </c>
      <c r="E52" s="27">
        <f>E53/D53-1</f>
        <v>0</v>
      </c>
      <c r="F52" s="27">
        <f>IF(F51&gt;=NExp,$I$25,IF($C$15=1,$E$55/$D$55-1,$E$52)+($I$25-IF($C$15=1,$E$55/$D$55-1,$E$52))*(F51-1)/(NExp-1))</f>
        <v>0</v>
      </c>
      <c r="G52" s="27">
        <f>IF(G51&gt;=NExp,$I$25,IF($C$15=1,$E$55/$D$55-1,$E$52)+($I$25-IF($C$15=1,$E$55/$D$55-1,$E$52))*(G51-1)/(NExp-1))</f>
        <v>0</v>
      </c>
      <c r="H52" s="27">
        <f>IF(H51&gt;=NExp,$I$25,IF($C$15=1,$E$55/$D$55-1,$E$52)+($I$25-IF($C$15=1,$E$55/$D$55-1,$E$52))*(H51-1)/(NExp-1))</f>
        <v>0</v>
      </c>
      <c r="I52" s="27">
        <f>IF(I51&gt;=NExp,$I$25,IF($C$15=1,$E$55/$D$55-1,$E$52)+($I$25-IF($C$15=1,$E$55/$D$55-1,$E$52))*(I51-1)/(NExp-1))</f>
        <v>0</v>
      </c>
      <c r="J52" s="27">
        <f>IF(J51&gt;=NExp,$I$25,IF($C$15=1,$E$55/$D$55-1,$E$52)+($I$25-IF($C$15=1,$E$55/$D$55-1,$E$52))*(J51-1)/(NExp-1))</f>
        <v>0</v>
      </c>
      <c r="K52" s="27">
        <f>IF(K51&gt;=NExp,$I$25,IF($C$15=1,$E$55/$D$55-1,$E$52)+($I$25-IF($C$15=1,$E$55/$D$55-1,$E$52))*(K51-1)/(NExp-1))</f>
        <v>0</v>
      </c>
      <c r="L52" s="27">
        <f>IF(L51&gt;=NExp,$I$25,IF($C$15=1,$E$55/$D$55-1,$E$52)+($I$25-IF($C$15=1,$E$55/$D$55-1,$E$52))*(L51-1)/(NExp-1))</f>
        <v>0</v>
      </c>
      <c r="M52" s="27">
        <f>IF(M51&gt;=NExp,$I$25,IF($C$15=1,$E$55/$D$55-1,$E$52)+($I$25-IF($C$15=1,$E$55/$D$55-1,$E$52))*(M51-1)/(NExp-1))</f>
        <v>0</v>
      </c>
      <c r="N52" s="27">
        <f>IF(N51&gt;=NExp,$I$25,IF($C$15=1,$E$55/$D$55-1,$E$52)+($I$25-IF($C$15=1,$E$55/$D$55-1,$E$52))*(N51-1)/(NExp-1))</f>
        <v>0</v>
      </c>
    </row>
    <row r="53" spans="2:16" ht="14" customHeight="1">
      <c r="B53" s="23" t="s">
        <v>212</v>
      </c>
      <c r="C53" s="28">
        <f>'Box Consensus'!O62</f>
        <v>0</v>
      </c>
      <c r="D53" s="28">
        <f>'Box Consensus'!P62</f>
        <v>0</v>
      </c>
      <c r="E53" s="28">
        <f>'Box Consensus'!Q62</f>
        <v>0</v>
      </c>
      <c r="F53" s="28">
        <f>E53*(1+F52)</f>
        <v>0</v>
      </c>
      <c r="G53" s="28">
        <f>F53*(1+G52)</f>
        <v>0</v>
      </c>
      <c r="H53" s="28">
        <f>G53*(1+H52)</f>
        <v>0</v>
      </c>
      <c r="I53" s="28">
        <f>H53*(1+I52)</f>
        <v>0</v>
      </c>
      <c r="J53" s="28">
        <f>I53*(1+J52)</f>
        <v>0</v>
      </c>
      <c r="K53" s="28">
        <f>J53*(1+K52)</f>
        <v>0</v>
      </c>
      <c r="L53" s="28">
        <f>K53*(1+L52)</f>
        <v>0</v>
      </c>
      <c r="M53" s="28">
        <f>L53*(1+M52)</f>
        <v>0</v>
      </c>
      <c r="N53" s="28">
        <f>M53*(1+N52)</f>
        <v>0</v>
      </c>
      <c r="P53" s="2" t="s">
        <v>213</v>
      </c>
    </row>
    <row r="54" spans="2:16" ht="14" customHeight="1">
      <c r="B54" s="9" t="s">
        <v>214</v>
      </c>
      <c r="C54" s="27">
        <f>'Box Consensus'!O62/'Box Consensus'!X62</f>
        <v>0</v>
      </c>
      <c r="D54" s="27">
        <f>'Box Consensus'!P62/'Box Consensus'!Y62</f>
        <v>0</v>
      </c>
      <c r="E54" s="27">
        <f>'Box Consensus'!Q62/'Box Consensus'!Z62</f>
        <v>0</v>
      </c>
      <c r="F54" s="27">
        <f>IF(ISNUMBER($D$13),$D$13,$E$54)</f>
        <v>0</v>
      </c>
      <c r="G54" s="27">
        <f>IF(ISNUMBER($D$13),$D$13,$E$54)</f>
        <v>0</v>
      </c>
      <c r="H54" s="27">
        <f>IF(ISNUMBER($D$13),$D$13,$E$54)</f>
        <v>0</v>
      </c>
      <c r="I54" s="27">
        <f>IF(ISNUMBER($D$13),$D$13,$E$54)</f>
        <v>0</v>
      </c>
      <c r="J54" s="27">
        <f>IF(ISNUMBER($D$13),$D$13,$E$54)</f>
        <v>0</v>
      </c>
      <c r="K54" s="27">
        <f>IF(ISNUMBER($D$13),$D$13,$E$54)</f>
        <v>0</v>
      </c>
      <c r="L54" s="27">
        <f>IF(ISNUMBER($D$13),$D$13,$E$54)</f>
        <v>0</v>
      </c>
      <c r="M54" s="27">
        <f>IF(ISNUMBER($D$13),$D$13,$E$54)</f>
        <v>0</v>
      </c>
      <c r="N54" s="27">
        <f>IF(ISNUMBER($D$13),$D$13,$E$54)</f>
        <v>0</v>
      </c>
      <c r="P54" s="2" t="s">
        <v>215</v>
      </c>
    </row>
    <row r="55" spans="2:16" ht="14" customHeight="1">
      <c r="B55" s="9" t="s">
        <v>216</v>
      </c>
      <c r="C55" s="10">
        <f>'Box Consensus'!X62</f>
        <v>0</v>
      </c>
      <c r="D55" s="10">
        <f>'Box Consensus'!Y62</f>
        <v>0</v>
      </c>
      <c r="E55" s="10">
        <f>'Box Consensus'!Z62</f>
        <v>0</v>
      </c>
      <c r="F55" s="10">
        <f>F53/F54</f>
        <v>0</v>
      </c>
      <c r="G55" s="10">
        <f>G53/G54</f>
        <v>0</v>
      </c>
      <c r="H55" s="10">
        <f>H53/H54</f>
        <v>0</v>
      </c>
      <c r="I55" s="10">
        <f>I53/I54</f>
        <v>0</v>
      </c>
      <c r="J55" s="10">
        <f>J53/J54</f>
        <v>0</v>
      </c>
      <c r="K55" s="10">
        <f>K53/K54</f>
        <v>0</v>
      </c>
      <c r="L55" s="10">
        <f>L53/L54</f>
        <v>0</v>
      </c>
      <c r="M55" s="10">
        <f>M53/M54</f>
        <v>0</v>
      </c>
      <c r="N55" s="10">
        <f>N53/N54</f>
        <v>0</v>
      </c>
    </row>
    <row r="56" spans="2:16" ht="14" customHeight="1">
      <c r="B56" s="9" t="s">
        <v>217</v>
      </c>
      <c r="C56" s="10">
        <f>'Box Consensus'!F62</f>
        <v>0</v>
      </c>
      <c r="D56" s="10">
        <f>'Box Consensus'!G62</f>
        <v>0</v>
      </c>
      <c r="E56" s="10">
        <f>'Box Consensus'!H62</f>
        <v>0</v>
      </c>
    </row>
    <row r="57" spans="2:16" ht="14" customHeight="1">
      <c r="B57" s="9" t="s">
        <v>218</v>
      </c>
      <c r="C57" s="10">
        <f>'Box Consensus'!I62-'Box Consensus'!L62</f>
        <v>0</v>
      </c>
      <c r="D57" s="10">
        <f>'Box Consensus'!J62-'Box Consensus'!M62</f>
        <v>0</v>
      </c>
      <c r="E57" s="10">
        <f>'Box Consensus'!K62-'Box Consensus'!N62</f>
        <v>0</v>
      </c>
    </row>
    <row r="58" spans="2:16" ht="14" customHeight="1">
      <c r="B58" s="9" t="s">
        <v>219</v>
      </c>
      <c r="C58" s="10">
        <f>'Box Consensus'!R62+'Box Consensus'!U62</f>
        <v>0</v>
      </c>
      <c r="D58" s="10">
        <f>'Box Consensus'!S62+'Box Consensus'!V62</f>
        <v>0</v>
      </c>
      <c r="E58" s="10">
        <f>'Box Consensus'!T62+'Box Consensus'!W62</f>
        <v>0</v>
      </c>
    </row>
    <row r="59" spans="2:16" ht="14" customHeight="1">
      <c r="B59" s="9" t="s">
        <v>220</v>
      </c>
      <c r="D59" s="10">
        <f>-$C$12*(D56-C56)</f>
        <v>0</v>
      </c>
      <c r="E59" s="10">
        <f>-$C$12*(E56-D56)</f>
        <v>0</v>
      </c>
    </row>
    <row r="60" spans="2:16" ht="14" customHeight="1">
      <c r="B60" s="23" t="s">
        <v>221</v>
      </c>
      <c r="D60" s="28">
        <f>IF($C$16=1,D53-(D55-C55),D53+D57+D58+D59)</f>
        <v>0</v>
      </c>
      <c r="E60" s="28">
        <f>IF($C$16=1,E53-(E55-D55),E53+E57+E58+E59)</f>
        <v>0</v>
      </c>
      <c r="F60" s="28">
        <f>IF($C$14=1,F53-(F55-E55),F53*(1-$I$25/F54))</f>
        <v>0</v>
      </c>
      <c r="G60" s="28">
        <f>IF($C$14=1,G53-(G55-F55),G53*(1-$I$25/G54))</f>
        <v>0</v>
      </c>
      <c r="H60" s="28">
        <f>IF($C$14=1,H53-(H55-G55),H53*(1-$I$25/H54))</f>
        <v>0</v>
      </c>
      <c r="I60" s="28">
        <f>IF($C$14=1,I53-(I55-H55),I53*(1-$I$25/I54))</f>
        <v>0</v>
      </c>
      <c r="J60" s="28">
        <f>IF($C$14=1,J53-(J55-I55),J53*(1-$I$25/J54))</f>
        <v>0</v>
      </c>
      <c r="K60" s="28">
        <f>IF($C$14=1,K53-(K55-J55),K53*(1-$I$25/K54))</f>
        <v>0</v>
      </c>
      <c r="L60" s="28">
        <f>IF($C$14=1,L53-(L55-K55),L53*(1-$I$25/L54))</f>
        <v>0</v>
      </c>
      <c r="M60" s="28">
        <f>IF($C$14=1,M53-(M55-L55),M53*(1-$I$25/M54))</f>
        <v>0</v>
      </c>
      <c r="N60" s="28">
        <f>IF($C$14=1,N53-(N55-M55),N53*(1-$I$25/N54))</f>
        <v>0</v>
      </c>
      <c r="P60" s="2" t="s">
        <v>222</v>
      </c>
    </row>
    <row r="61" spans="2:16" ht="14" customHeight="1">
      <c r="B61" s="9" t="s">
        <v>223</v>
      </c>
      <c r="D61" s="27">
        <f>D60/D53</f>
        <v>0</v>
      </c>
      <c r="E61" s="27">
        <f>E60/E53</f>
        <v>0</v>
      </c>
      <c r="F61" s="27">
        <f>F60/F53</f>
        <v>0</v>
      </c>
      <c r="G61" s="27">
        <f>G60/G53</f>
        <v>0</v>
      </c>
      <c r="H61" s="27">
        <f>H60/H53</f>
        <v>0</v>
      </c>
      <c r="I61" s="27">
        <f>I60/I53</f>
        <v>0</v>
      </c>
      <c r="J61" s="27">
        <f>J60/J53</f>
        <v>0</v>
      </c>
      <c r="K61" s="27">
        <f>K60/K53</f>
        <v>0</v>
      </c>
      <c r="L61" s="27">
        <f>L60/L53</f>
        <v>0</v>
      </c>
      <c r="M61" s="27">
        <f>M60/M53</f>
        <v>0</v>
      </c>
      <c r="N61" s="27">
        <f>N60/N53</f>
        <v>0</v>
      </c>
    </row>
    <row r="63" spans="2:16" ht="14" customHeight="1">
      <c r="B63" s="6" t="s">
        <v>225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2:16" ht="14" customHeight="1">
      <c r="B64" s="7" t="s">
        <v>136</v>
      </c>
      <c r="C64" s="8" t="s">
        <v>184</v>
      </c>
      <c r="D64" s="8" t="s">
        <v>185</v>
      </c>
      <c r="E64" s="8" t="s">
        <v>186</v>
      </c>
      <c r="P64" s="8" t="s">
        <v>187</v>
      </c>
    </row>
    <row r="65" spans="2:16" ht="14" customHeight="1">
      <c r="B65" s="9" t="s">
        <v>226</v>
      </c>
      <c r="C65" s="29">
        <v>-0.2</v>
      </c>
      <c r="D65" s="29">
        <v>0</v>
      </c>
      <c r="E65" s="29">
        <v>0.2</v>
      </c>
      <c r="P65" s="2" t="s">
        <v>227</v>
      </c>
    </row>
    <row r="66" spans="2:16" ht="14" customHeight="1">
      <c r="B66" s="9" t="s">
        <v>228</v>
      </c>
      <c r="C66" s="30">
        <f>$C$11*C$65</f>
        <v>0</v>
      </c>
      <c r="D66" s="30">
        <f>$C$11*D$65</f>
        <v>0</v>
      </c>
      <c r="E66" s="30">
        <f>$C$11*E$65</f>
        <v>0</v>
      </c>
    </row>
    <row r="67" spans="2:16" ht="14" customHeight="1">
      <c r="B67" s="9" t="s">
        <v>229</v>
      </c>
      <c r="C67" s="10">
        <f>SUMPRODUCT($E$46:$N$46,--($E$37:$N$37&lt;=NExp),1/(1+C32)^$E$37:$N$37)+C66*SUMPRODUCT($E$39:$N$39,--($E$37:$N$37&lt;=NExp),1/(1+C32)^$E$37:$N$37)</f>
        <v>0</v>
      </c>
      <c r="D67" s="10">
        <f>SUMPRODUCT($E$46:$N$46,--($E$37:$N$37&lt;=NExp),1/(1+D32)^$E$37:$N$37)+D66*SUMPRODUCT($E$39:$N$39,--($E$37:$N$37&lt;=NExp),1/(1+D32)^$E$37:$N$37)</f>
        <v>0</v>
      </c>
      <c r="E67" s="10">
        <f>SUMPRODUCT($E$46:$N$46,--($E$37:$N$37&lt;=NExp),1/(1+E32)^$E$37:$N$37)+E66*SUMPRODUCT($E$39:$N$39,--($E$37:$N$37&lt;=NExp),1/(1+E32)^$E$37:$N$37)</f>
        <v>0</v>
      </c>
    </row>
    <row r="68" spans="2:16" ht="14" customHeight="1">
      <c r="B68" s="9" t="s">
        <v>230</v>
      </c>
      <c r="C68" s="10">
        <f>(INDEX($E$46:$N$46,NExp)+C66*INDEX($E$39:$N$39,NExp))*(1+$H$25)/(C32-$H$25)/(1+C32)^(NExp+TVx)</f>
        <v>0</v>
      </c>
      <c r="D68" s="10">
        <f>(INDEX($E$46:$N$46,NExp)+D66*INDEX($E$39:$N$39,NExp))*(1+$H$25)/(D32-$H$25)/(1+D32)^(NExp+TVx)</f>
        <v>0</v>
      </c>
      <c r="E68" s="10">
        <f>(INDEX($E$46:$N$46,NExp)+E66*INDEX($E$39:$N$39,NExp))*(1+$H$25)/(E32-$H$25)/(1+E32)^(NExp+TVx)</f>
        <v>0</v>
      </c>
      <c r="P68" s="2" t="s">
        <v>231</v>
      </c>
    </row>
    <row r="69" spans="2:16" ht="14" customHeight="1">
      <c r="B69" s="23" t="s">
        <v>232</v>
      </c>
      <c r="C69" s="28">
        <f>C67+C68</f>
        <v>0</v>
      </c>
      <c r="D69" s="28">
        <f>D67+D68</f>
        <v>0</v>
      </c>
      <c r="E69" s="28">
        <f>E67+E68</f>
        <v>0</v>
      </c>
    </row>
    <row r="70" spans="2:16" ht="14" customHeight="1">
      <c r="B70" s="23" t="s">
        <v>233</v>
      </c>
      <c r="C70" s="31">
        <f>C69/$C$7-1</f>
        <v>0</v>
      </c>
      <c r="D70" s="31">
        <f>D69/$C$7-1</f>
        <v>0</v>
      </c>
      <c r="E70" s="31">
        <f>E69/$C$7-1</f>
        <v>0</v>
      </c>
    </row>
    <row r="72" spans="2:16" ht="14" customHeight="1">
      <c r="B72" s="9" t="s">
        <v>234</v>
      </c>
      <c r="C72" s="30">
        <f>$D$11*C$65</f>
        <v>0</v>
      </c>
      <c r="D72" s="30">
        <f>$D$11*D$65</f>
        <v>0</v>
      </c>
      <c r="E72" s="30">
        <f>$D$11*E$65</f>
        <v>0</v>
      </c>
    </row>
    <row r="73" spans="2:16" ht="14" customHeight="1">
      <c r="B73" s="9" t="s">
        <v>235</v>
      </c>
      <c r="C73" s="10">
        <f>SUMPRODUCT($E$60:$N$60,--($E$51:$N$51&lt;=NExp),1/(1+C33)^$E$51:$N$51)+C72*SUMPRODUCT($E$53:$N$53,--($E$51:$N$51&lt;=NExp),1/(1+C33)^$E$51:$N$51)</f>
        <v>0</v>
      </c>
      <c r="D73" s="10">
        <f>SUMPRODUCT($E$60:$N$60,--($E$51:$N$51&lt;=NExp),1/(1+D33)^$E$51:$N$51)+D72*SUMPRODUCT($E$53:$N$53,--($E$51:$N$51&lt;=NExp),1/(1+D33)^$E$51:$N$51)</f>
        <v>0</v>
      </c>
      <c r="E73" s="10">
        <f>SUMPRODUCT($E$60:$N$60,--($E$51:$N$51&lt;=NExp),1/(1+E33)^$E$51:$N$51)+E72*SUMPRODUCT($E$53:$N$53,--($E$51:$N$51&lt;=NExp),1/(1+E33)^$E$51:$N$51)</f>
        <v>0</v>
      </c>
    </row>
    <row r="74" spans="2:16" ht="14" customHeight="1">
      <c r="B74" s="9" t="s">
        <v>236</v>
      </c>
      <c r="C74" s="10">
        <f>(INDEX($E$60:$N$60,NExp)+C72*INDEX($E$53:$N$53,NExp))*(1+$I$25)/(C33-$I$25)/(1+C33)^(NExp+TVx)</f>
        <v>0</v>
      </c>
      <c r="D74" s="10">
        <f>(INDEX($E$60:$N$60,NExp)+D72*INDEX($E$53:$N$53,NExp))*(1+$I$25)/(D33-$I$25)/(1+D33)^(NExp+TVx)</f>
        <v>0</v>
      </c>
      <c r="E74" s="10">
        <f>(INDEX($E$60:$N$60,NExp)+E72*INDEX($E$53:$N$53,NExp))*(1+$I$25)/(E33-$I$25)/(1+E33)^(NExp+TVx)</f>
        <v>0</v>
      </c>
      <c r="P74" s="2" t="s">
        <v>231</v>
      </c>
    </row>
    <row r="75" spans="2:16" ht="14" customHeight="1">
      <c r="B75" s="23" t="s">
        <v>237</v>
      </c>
      <c r="C75" s="28">
        <f>C73+C74</f>
        <v>0</v>
      </c>
      <c r="D75" s="28">
        <f>D73+D74</f>
        <v>0</v>
      </c>
      <c r="E75" s="28">
        <f>E73+E74</f>
        <v>0</v>
      </c>
    </row>
    <row r="76" spans="2:16" ht="14" customHeight="1">
      <c r="B76" s="23" t="s">
        <v>238</v>
      </c>
      <c r="C76" s="31">
        <f>C75/$D$7-1</f>
        <v>0</v>
      </c>
      <c r="D76" s="31">
        <f>D75/$D$7-1</f>
        <v>0</v>
      </c>
      <c r="E76" s="31">
        <f>E75/$D$7-1</f>
        <v>0</v>
      </c>
    </row>
    <row r="78" spans="2:16" ht="14" customHeight="1">
      <c r="B78" s="23" t="s">
        <v>239</v>
      </c>
      <c r="C78" s="28">
        <f>C69+C75</f>
        <v>0</v>
      </c>
      <c r="D78" s="28">
        <f>D69+D75</f>
        <v>0</v>
      </c>
      <c r="E78" s="28">
        <f>E69+E75</f>
        <v>0</v>
      </c>
    </row>
    <row r="79" spans="2:16" ht="14" customHeight="1">
      <c r="B79" s="23" t="s">
        <v>240</v>
      </c>
      <c r="C79" s="31">
        <f>C78/($C$7+$D$7)-1</f>
        <v>0</v>
      </c>
      <c r="D79" s="31">
        <f>D78/($C$7+$D$7)-1</f>
        <v>0</v>
      </c>
      <c r="E79" s="31">
        <f>E78/($C$7+$D$7)-1</f>
        <v>0</v>
      </c>
    </row>
    <row r="80" spans="2:16" ht="14" customHeight="1">
      <c r="B80" s="9" t="s">
        <v>241</v>
      </c>
      <c r="C80" s="32">
        <v>-0.5810999999999999</v>
      </c>
      <c r="D80" s="32">
        <v>-0.2218</v>
      </c>
      <c r="E80" s="32">
        <v>0.2317</v>
      </c>
      <c r="P80" s="2" t="s">
        <v>242</v>
      </c>
    </row>
    <row r="81" spans="2:16" ht="14" customHeight="1">
      <c r="B81" s="9" t="s">
        <v>243</v>
      </c>
      <c r="C81" s="32">
        <v>0.02</v>
      </c>
      <c r="D81" s="32">
        <v>0.4</v>
      </c>
      <c r="E81" s="32">
        <v>0.85</v>
      </c>
      <c r="P81" s="2" t="s">
        <v>244</v>
      </c>
    </row>
    <row r="83" spans="2:16" ht="14" customHeight="1">
      <c r="B83" s="6" t="s">
        <v>245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2:16" ht="14" customHeight="1">
      <c r="B84" s="17" t="s">
        <v>246</v>
      </c>
      <c r="P84" s="2" t="s">
        <v>247</v>
      </c>
    </row>
    <row r="85" spans="2:16" ht="14" customHeight="1">
      <c r="B85" s="17" t="s">
        <v>248</v>
      </c>
      <c r="P85" s="2" t="s">
        <v>249</v>
      </c>
    </row>
    <row r="86" spans="2:16" ht="14" customHeight="1">
      <c r="B86" s="17" t="s">
        <v>250</v>
      </c>
      <c r="P86" s="2" t="s">
        <v>251</v>
      </c>
    </row>
    <row r="87" spans="2:16" ht="14" customHeight="1">
      <c r="B87" s="17" t="s">
        <v>252</v>
      </c>
      <c r="P87" s="2" t="s">
        <v>253</v>
      </c>
    </row>
    <row r="88" spans="2:16" ht="14" customHeight="1">
      <c r="B88" s="17" t="s">
        <v>254</v>
      </c>
      <c r="P88" s="2" t="s">
        <v>255</v>
      </c>
    </row>
    <row r="89" spans="2:16" ht="14" customHeight="1">
      <c r="B89" s="17" t="s">
        <v>256</v>
      </c>
      <c r="P89" s="2" t="s">
        <v>257</v>
      </c>
    </row>
  </sheetData>
  <mergeCells count="7">
    <mergeCell ref="B5:P5"/>
    <mergeCell ref="B19:P19"/>
    <mergeCell ref="B27:P27"/>
    <mergeCell ref="B35:P35"/>
    <mergeCell ref="B49:P49"/>
    <mergeCell ref="B63:P63"/>
    <mergeCell ref="B83:P83"/>
  </mergeCells>
  <conditionalFormatting sqref="E37:N37">
    <cfRule type="expression" dxfId="0" priority="1">
      <formula>E$37&gt;NExp</formula>
    </cfRule>
  </conditionalFormatting>
  <conditionalFormatting sqref="E51:N51">
    <cfRule type="expression" dxfId="0" priority="2">
      <formula>E$51&gt;NExp</formula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66"/>
  <sheetViews>
    <sheetView showGridLines="0" zoomScale="85" zoomScaleNormal="85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4" customHeight="1"/>
  <cols>
    <col min="1" max="1" width="2.7109375" customWidth="1"/>
    <col min="2" max="2" width="30.7109375" customWidth="1"/>
    <col min="3" max="3" width="22.7109375" customWidth="1"/>
    <col min="4" max="25" width="10.28515625" customWidth="1"/>
  </cols>
  <sheetData>
    <row r="1" spans="2:26" ht="30" customHeight="1">
      <c r="B1" s="1" t="s">
        <v>0</v>
      </c>
    </row>
    <row r="2" spans="2:26" ht="14" customHeight="1">
      <c r="B2" s="2" t="s">
        <v>1</v>
      </c>
    </row>
    <row r="3" spans="2:26" ht="14" customHeight="1">
      <c r="B3" s="2" t="s">
        <v>2</v>
      </c>
      <c r="C3" s="3" t="s">
        <v>3</v>
      </c>
      <c r="D3" s="4" t="s">
        <v>4</v>
      </c>
      <c r="E3" s="5" t="s">
        <v>5</v>
      </c>
    </row>
    <row r="4" spans="2:26" ht="14" customHeight="1">
      <c r="B4" s="17" t="s">
        <v>6</v>
      </c>
      <c r="D4" s="11">
        <v>0</v>
      </c>
      <c r="E4" s="2" t="s">
        <v>7</v>
      </c>
    </row>
    <row r="7" spans="2:26" ht="14" customHeight="1">
      <c r="B7" s="6" t="s">
        <v>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2:26" ht="44" customHeight="1">
      <c r="B8" s="7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  <c r="J8" s="8" t="s">
        <v>17</v>
      </c>
      <c r="K8" s="8" t="s">
        <v>18</v>
      </c>
      <c r="L8" s="8" t="s">
        <v>19</v>
      </c>
      <c r="M8" s="8" t="s">
        <v>20</v>
      </c>
      <c r="N8" s="8" t="s">
        <v>21</v>
      </c>
      <c r="O8" s="8" t="s">
        <v>22</v>
      </c>
      <c r="P8" s="8" t="s">
        <v>23</v>
      </c>
      <c r="Q8" s="8" t="s">
        <v>24</v>
      </c>
      <c r="R8" s="8" t="s">
        <v>25</v>
      </c>
      <c r="S8" s="8" t="s">
        <v>26</v>
      </c>
      <c r="T8" s="8" t="s">
        <v>27</v>
      </c>
      <c r="U8" s="8" t="s">
        <v>28</v>
      </c>
      <c r="V8" s="8" t="s">
        <v>29</v>
      </c>
      <c r="W8" s="8" t="s">
        <v>30</v>
      </c>
      <c r="X8" s="8" t="s">
        <v>31</v>
      </c>
      <c r="Y8" s="8" t="s">
        <v>32</v>
      </c>
      <c r="Z8" s="8" t="s">
        <v>33</v>
      </c>
    </row>
    <row r="9" spans="2:26" ht="14" customHeight="1">
      <c r="B9" s="17" t="s">
        <v>34</v>
      </c>
      <c r="C9" s="17" t="s">
        <v>35</v>
      </c>
      <c r="D9" s="33">
        <v>5386.722224352483</v>
      </c>
      <c r="E9" s="34">
        <f>D9/215196.49375746</f>
        <v>0</v>
      </c>
      <c r="F9" s="35">
        <v>41713.1875</v>
      </c>
      <c r="G9" s="35">
        <v>48520.5</v>
      </c>
      <c r="H9" s="35">
        <v>56448.21428571429</v>
      </c>
      <c r="I9" s="35">
        <v>9170.466666666665</v>
      </c>
      <c r="J9" s="35">
        <v>10852.26666666667</v>
      </c>
      <c r="K9" s="35">
        <v>12863.5</v>
      </c>
      <c r="L9" s="35">
        <v>8084.6</v>
      </c>
      <c r="M9" s="35">
        <v>9588.066666666666</v>
      </c>
      <c r="N9" s="35">
        <v>11394.53333333333</v>
      </c>
      <c r="O9" s="35">
        <v>6440.25</v>
      </c>
      <c r="P9" s="35">
        <v>7619.5</v>
      </c>
      <c r="Q9" s="35">
        <v>8928.143</v>
      </c>
      <c r="R9" s="35">
        <v>-3553</v>
      </c>
      <c r="S9" s="35">
        <v>-3328</v>
      </c>
      <c r="T9" s="35">
        <v>-3328.111111111111</v>
      </c>
      <c r="U9" s="35">
        <v>0</v>
      </c>
      <c r="V9" s="35">
        <v>0</v>
      </c>
      <c r="W9" s="35">
        <v>0</v>
      </c>
      <c r="X9" s="36">
        <v>0.3417</v>
      </c>
      <c r="Y9" s="36">
        <v>0.32072</v>
      </c>
      <c r="Z9" s="36">
        <v>0.31405</v>
      </c>
    </row>
    <row r="10" spans="2:26" ht="14" customHeight="1">
      <c r="B10" s="17" t="s">
        <v>36</v>
      </c>
      <c r="C10" s="17" t="s">
        <v>35</v>
      </c>
      <c r="D10" s="33">
        <v>4817.832884930571</v>
      </c>
      <c r="E10" s="34">
        <f>D10/66153.14703096</f>
        <v>0</v>
      </c>
      <c r="F10" s="35">
        <v>44422.53846153846</v>
      </c>
      <c r="G10" s="35">
        <v>49697.91666666666</v>
      </c>
      <c r="H10" s="35">
        <v>55109.09090909091</v>
      </c>
      <c r="I10" s="35">
        <v>5802.583333333333</v>
      </c>
      <c r="J10" s="35">
        <v>6596.083333333333</v>
      </c>
      <c r="K10" s="35">
        <v>7501.454545454545</v>
      </c>
      <c r="L10" s="35">
        <v>4537.666666666667</v>
      </c>
      <c r="M10" s="35">
        <v>5299.75</v>
      </c>
      <c r="N10" s="35">
        <v>6049.272727272727</v>
      </c>
      <c r="O10" s="35">
        <v>2943.462</v>
      </c>
      <c r="P10" s="35">
        <v>3584.455</v>
      </c>
      <c r="Q10" s="35">
        <v>4315.4</v>
      </c>
      <c r="R10" s="35">
        <v>-1794.666666666667</v>
      </c>
      <c r="S10" s="35">
        <v>-1916.333333333333</v>
      </c>
      <c r="T10" s="35">
        <v>-2050.833333333333</v>
      </c>
      <c r="U10" s="35">
        <v>0</v>
      </c>
      <c r="V10" s="35">
        <v>0</v>
      </c>
      <c r="W10" s="35">
        <v>0</v>
      </c>
      <c r="X10" s="36">
        <v>0.15725</v>
      </c>
      <c r="Y10" s="36">
        <v>0.1695</v>
      </c>
      <c r="Z10" s="36">
        <v>0.17658</v>
      </c>
    </row>
    <row r="11" spans="2:26" ht="14" customHeight="1">
      <c r="B11" s="17" t="s">
        <v>37</v>
      </c>
      <c r="C11" s="17" t="s">
        <v>38</v>
      </c>
      <c r="D11" s="33">
        <v>3528.927701246436</v>
      </c>
      <c r="E11" s="34">
        <f>D11/56927.4969252</f>
        <v>0</v>
      </c>
      <c r="F11" s="35">
        <v>50013.25</v>
      </c>
      <c r="G11" s="35">
        <v>53487.75</v>
      </c>
      <c r="H11" s="35">
        <v>57020.16666666666</v>
      </c>
      <c r="I11" s="35">
        <v>15815.75</v>
      </c>
      <c r="J11" s="35">
        <v>17033.5</v>
      </c>
      <c r="K11" s="35">
        <v>18414.66666666667</v>
      </c>
      <c r="L11" s="35">
        <v>10127</v>
      </c>
      <c r="M11" s="35">
        <v>10959.09090909091</v>
      </c>
      <c r="N11" s="35">
        <v>12195.63636363636</v>
      </c>
      <c r="O11" s="35">
        <v>4288.833000000001</v>
      </c>
      <c r="P11" s="35">
        <v>4771.273</v>
      </c>
      <c r="Q11" s="35">
        <v>5818.455</v>
      </c>
      <c r="R11" s="35">
        <v>-23848</v>
      </c>
      <c r="S11" s="35">
        <v>-26666.8</v>
      </c>
      <c r="T11" s="35">
        <v>-26482.5</v>
      </c>
      <c r="U11" s="37">
        <f>-R11*FleetRatio</f>
        <v>0</v>
      </c>
      <c r="V11" s="37">
        <f>-S11*FleetRatio</f>
        <v>0</v>
      </c>
      <c r="W11" s="37">
        <f>-T11*FleetRatio</f>
        <v>0</v>
      </c>
      <c r="X11" s="36">
        <v>0.15723</v>
      </c>
      <c r="Y11" s="36">
        <v>0.16306</v>
      </c>
      <c r="Z11" s="36">
        <v>0.18642</v>
      </c>
    </row>
    <row r="12" spans="2:26" ht="14" customHeight="1">
      <c r="B12" s="17" t="s">
        <v>39</v>
      </c>
      <c r="C12" s="17" t="s">
        <v>38</v>
      </c>
      <c r="D12" s="33">
        <v>1897.638742182528</v>
      </c>
      <c r="E12" s="34">
        <f>D12/34406.91770067</f>
        <v>0</v>
      </c>
      <c r="F12" s="35">
        <v>14779.91666666667</v>
      </c>
      <c r="G12" s="35">
        <v>15642.18181818182</v>
      </c>
      <c r="H12" s="35">
        <v>16416.5</v>
      </c>
      <c r="I12" s="35">
        <v>8140.181818181818</v>
      </c>
      <c r="J12" s="35">
        <v>8991.9</v>
      </c>
      <c r="K12" s="35">
        <v>9504.777777777779</v>
      </c>
      <c r="L12" s="35">
        <v>5803.1</v>
      </c>
      <c r="M12" s="35">
        <v>6618</v>
      </c>
      <c r="N12" s="35">
        <v>6974.8</v>
      </c>
      <c r="O12" s="35">
        <v>1917.727</v>
      </c>
      <c r="P12" s="35">
        <v>2669.7</v>
      </c>
      <c r="Q12" s="35">
        <v>3229.4</v>
      </c>
      <c r="R12" s="35">
        <v>-5817.666666666667</v>
      </c>
      <c r="S12" s="35">
        <v>-4786.5</v>
      </c>
      <c r="T12" s="35">
        <v>-4930.833333333333</v>
      </c>
      <c r="U12" s="35">
        <v>0</v>
      </c>
      <c r="V12" s="35">
        <v>0</v>
      </c>
      <c r="W12" s="35">
        <v>0</v>
      </c>
      <c r="X12" s="36">
        <v>0.12653</v>
      </c>
      <c r="Y12" s="36">
        <v>0.15813</v>
      </c>
      <c r="Z12" s="36">
        <v>0.16495</v>
      </c>
    </row>
    <row r="13" spans="2:26" ht="14" customHeight="1">
      <c r="B13" s="17" t="s">
        <v>40</v>
      </c>
      <c r="C13" s="17" t="s">
        <v>38</v>
      </c>
      <c r="D13" s="33">
        <v>1406.978438577922</v>
      </c>
      <c r="E13" s="34">
        <f>D13/39895</f>
        <v>0</v>
      </c>
      <c r="F13" s="35">
        <v>18179.28571428571</v>
      </c>
      <c r="G13" s="35">
        <v>19255</v>
      </c>
      <c r="H13" s="35">
        <v>21238.66666666667</v>
      </c>
      <c r="I13" s="35">
        <v>10278.11111111111</v>
      </c>
      <c r="J13" s="35">
        <v>11125.22222222222</v>
      </c>
      <c r="K13" s="35">
        <v>12640.57142857143</v>
      </c>
      <c r="L13" s="35">
        <v>7972.11111111111</v>
      </c>
      <c r="M13" s="35">
        <v>8459.888888888889</v>
      </c>
      <c r="N13" s="35">
        <v>9510.75</v>
      </c>
      <c r="O13" s="35">
        <v>2759.5</v>
      </c>
      <c r="P13" s="35">
        <v>2858.556</v>
      </c>
      <c r="Q13" s="35">
        <v>3504.429</v>
      </c>
      <c r="R13" s="35">
        <v>-9351</v>
      </c>
      <c r="S13" s="35">
        <v>-7625</v>
      </c>
      <c r="T13" s="35">
        <v>-8095</v>
      </c>
      <c r="U13" s="35">
        <v>0</v>
      </c>
      <c r="V13" s="35">
        <v>0</v>
      </c>
      <c r="W13" s="35">
        <v>0</v>
      </c>
      <c r="X13" s="36">
        <v>0.14718</v>
      </c>
      <c r="Y13" s="36">
        <v>0.14652</v>
      </c>
      <c r="Z13" s="36">
        <v>0.17485</v>
      </c>
    </row>
    <row r="14" spans="2:26" ht="14" customHeight="1">
      <c r="B14" s="17" t="s">
        <v>41</v>
      </c>
      <c r="C14" s="17" t="s">
        <v>38</v>
      </c>
      <c r="D14" s="33">
        <v>1378.357107600811</v>
      </c>
      <c r="E14" s="34">
        <f>D14/23568.47016492</f>
        <v>0</v>
      </c>
      <c r="F14" s="35">
        <v>7675.846153846154</v>
      </c>
      <c r="G14" s="35">
        <v>8856.5</v>
      </c>
      <c r="H14" s="35">
        <v>9997.75</v>
      </c>
      <c r="I14" s="35">
        <v>2001.909090909091</v>
      </c>
      <c r="J14" s="35">
        <v>2357.083333333333</v>
      </c>
      <c r="K14" s="35">
        <v>2763.714285714286</v>
      </c>
      <c r="L14" s="35">
        <v>1487.2</v>
      </c>
      <c r="M14" s="35">
        <v>1881.818181818182</v>
      </c>
      <c r="N14" s="35">
        <v>2259.5</v>
      </c>
      <c r="O14" s="35">
        <v>1078</v>
      </c>
      <c r="P14" s="35">
        <v>1223.182</v>
      </c>
      <c r="Q14" s="35">
        <v>1570.5</v>
      </c>
      <c r="R14" s="35">
        <v>-393.3333333333333</v>
      </c>
      <c r="S14" s="35">
        <v>-432.3333333333333</v>
      </c>
      <c r="T14" s="35">
        <v>-473.6666666666667</v>
      </c>
      <c r="U14" s="35">
        <v>0</v>
      </c>
      <c r="V14" s="35">
        <v>0</v>
      </c>
      <c r="W14" s="35">
        <v>0</v>
      </c>
      <c r="X14" s="36">
        <v>0.21023</v>
      </c>
      <c r="Y14" s="36">
        <v>0.18546</v>
      </c>
      <c r="Z14" s="36">
        <v>0.22057</v>
      </c>
    </row>
    <row r="15" spans="2:26" ht="14" customHeight="1">
      <c r="B15" s="17" t="s">
        <v>42</v>
      </c>
      <c r="C15" s="17" t="s">
        <v>38</v>
      </c>
      <c r="D15" s="33">
        <v>1141.495657726939</v>
      </c>
      <c r="E15" s="34">
        <f>D15/17374.42003362</f>
        <v>0</v>
      </c>
      <c r="F15" s="35">
        <v>2994.875</v>
      </c>
      <c r="G15" s="35">
        <v>3153</v>
      </c>
      <c r="H15" s="35">
        <v>3296</v>
      </c>
      <c r="I15" s="35">
        <v>2219.4</v>
      </c>
      <c r="J15" s="35">
        <v>2344.6</v>
      </c>
      <c r="K15" s="35">
        <v>2453.25</v>
      </c>
      <c r="L15" s="35">
        <v>1619.25</v>
      </c>
      <c r="M15" s="35">
        <v>1754.75</v>
      </c>
      <c r="N15" s="35">
        <v>1841.857142857143</v>
      </c>
      <c r="O15" s="35">
        <v>916.222</v>
      </c>
      <c r="P15" s="35">
        <v>960</v>
      </c>
      <c r="Q15" s="35">
        <v>1078.714</v>
      </c>
      <c r="R15" s="35">
        <v>-331</v>
      </c>
      <c r="S15" s="35">
        <v>-436</v>
      </c>
      <c r="T15" s="35">
        <v>-257</v>
      </c>
      <c r="U15" s="35">
        <v>0</v>
      </c>
      <c r="V15" s="35">
        <v>0</v>
      </c>
      <c r="W15" s="35">
        <v>0</v>
      </c>
      <c r="X15" s="36">
        <v>0.07269</v>
      </c>
      <c r="Y15" s="36">
        <v>0.07893</v>
      </c>
      <c r="Z15" s="36">
        <v>0.09390000000000001</v>
      </c>
    </row>
    <row r="16" spans="2:26" ht="14" customHeight="1">
      <c r="B16" s="17" t="s">
        <v>43</v>
      </c>
      <c r="C16" s="17" t="s">
        <v>38</v>
      </c>
      <c r="D16" s="33">
        <v>951.1213897350399</v>
      </c>
      <c r="E16" s="34">
        <f>D16/13521.92962585</f>
        <v>0</v>
      </c>
      <c r="F16" s="35">
        <v>16650.07692307692</v>
      </c>
      <c r="G16" s="35">
        <v>17782.57142857143</v>
      </c>
      <c r="H16" s="35">
        <v>19255.38461538462</v>
      </c>
      <c r="I16" s="35">
        <v>3261.3</v>
      </c>
      <c r="J16" s="35">
        <v>3505.9</v>
      </c>
      <c r="K16" s="35">
        <v>3808.4</v>
      </c>
      <c r="L16" s="35">
        <v>1955.466666666667</v>
      </c>
      <c r="M16" s="35">
        <v>2136.333333333333</v>
      </c>
      <c r="N16" s="35">
        <v>2373.066666666667</v>
      </c>
      <c r="O16" s="35">
        <v>1553.2</v>
      </c>
      <c r="P16" s="35">
        <v>1645</v>
      </c>
      <c r="Q16" s="35">
        <v>1797.143</v>
      </c>
      <c r="R16" s="35">
        <v>-968.4444444444445</v>
      </c>
      <c r="S16" s="35">
        <v>-1016.333333333333</v>
      </c>
      <c r="T16" s="35">
        <v>-1078</v>
      </c>
      <c r="U16" s="35">
        <v>0</v>
      </c>
      <c r="V16" s="35">
        <v>0</v>
      </c>
      <c r="W16" s="35">
        <v>0</v>
      </c>
      <c r="X16" s="36">
        <v>0.14433</v>
      </c>
      <c r="Y16" s="36">
        <v>0.14791</v>
      </c>
      <c r="Z16" s="36">
        <v>0.15145</v>
      </c>
    </row>
    <row r="17" spans="2:26" ht="14" customHeight="1">
      <c r="B17" s="17" t="s">
        <v>44</v>
      </c>
      <c r="C17" s="17" t="s">
        <v>38</v>
      </c>
      <c r="D17" s="33">
        <v>831.7458092033328</v>
      </c>
      <c r="E17" s="34">
        <f>D17/18807.44964165</f>
        <v>0</v>
      </c>
      <c r="F17" s="35">
        <v>2912.363636363636</v>
      </c>
      <c r="G17" s="35">
        <v>2769.545454545455</v>
      </c>
      <c r="H17" s="35">
        <v>2903.272727272727</v>
      </c>
      <c r="I17" s="35">
        <v>2158.166666666667</v>
      </c>
      <c r="J17" s="35">
        <v>2094.166666666667</v>
      </c>
      <c r="K17" s="35">
        <v>2243.909090909091</v>
      </c>
      <c r="L17" s="35">
        <v>2057.090909090909</v>
      </c>
      <c r="M17" s="35">
        <v>1940.272727272727</v>
      </c>
      <c r="N17" s="35">
        <v>2066.727272727273</v>
      </c>
      <c r="O17" s="35">
        <v>1249.909</v>
      </c>
      <c r="P17" s="35">
        <v>1304.182</v>
      </c>
      <c r="Q17" s="35">
        <v>1490</v>
      </c>
      <c r="R17" s="35">
        <v>-358.25</v>
      </c>
      <c r="S17" s="35">
        <v>-317.50125</v>
      </c>
      <c r="T17" s="35">
        <v>-320.6875</v>
      </c>
      <c r="U17" s="35">
        <v>0</v>
      </c>
      <c r="V17" s="35">
        <v>0</v>
      </c>
      <c r="W17" s="35">
        <v>0</v>
      </c>
      <c r="X17" s="36">
        <v>0.18429</v>
      </c>
      <c r="Y17" s="36">
        <v>0.1665</v>
      </c>
      <c r="Z17" s="36">
        <v>0.18486</v>
      </c>
    </row>
    <row r="18" spans="2:26" ht="14" customHeight="1">
      <c r="B18" s="17" t="s">
        <v>45</v>
      </c>
      <c r="C18" s="17" t="s">
        <v>38</v>
      </c>
      <c r="D18" s="33">
        <v>831.7271519642463</v>
      </c>
      <c r="E18" s="34">
        <f>D18/13764.34071496</f>
        <v>0</v>
      </c>
      <c r="F18" s="35">
        <v>8963.363636363636</v>
      </c>
      <c r="G18" s="35">
        <v>10786.36363636364</v>
      </c>
      <c r="H18" s="35">
        <v>12481.2</v>
      </c>
      <c r="I18" s="35">
        <v>2917.8</v>
      </c>
      <c r="J18" s="35">
        <v>3546.7</v>
      </c>
      <c r="K18" s="35">
        <v>4144.444444444444</v>
      </c>
      <c r="L18" s="35">
        <v>1845.636363636364</v>
      </c>
      <c r="M18" s="35">
        <v>2303</v>
      </c>
      <c r="N18" s="35">
        <v>2748</v>
      </c>
      <c r="O18" s="35">
        <v>945.636</v>
      </c>
      <c r="P18" s="35">
        <v>1245.455</v>
      </c>
      <c r="Q18" s="35">
        <v>1540</v>
      </c>
      <c r="R18" s="35">
        <v>-2710.5</v>
      </c>
      <c r="S18" s="35">
        <v>-2494.5</v>
      </c>
      <c r="T18" s="35">
        <v>-2363.75</v>
      </c>
      <c r="U18" s="35">
        <v>0</v>
      </c>
      <c r="V18" s="35">
        <v>0</v>
      </c>
      <c r="W18" s="35">
        <v>0</v>
      </c>
      <c r="X18" s="36">
        <v>0.14806</v>
      </c>
      <c r="Y18" s="36">
        <v>0.17758</v>
      </c>
      <c r="Z18" s="36">
        <v>0.20321</v>
      </c>
    </row>
    <row r="19" spans="2:26" ht="14" customHeight="1">
      <c r="B19" s="17" t="s">
        <v>46</v>
      </c>
      <c r="C19" s="17" t="s">
        <v>38</v>
      </c>
      <c r="D19" s="33">
        <v>614.6409763782917</v>
      </c>
      <c r="E19" s="34">
        <f>D19/14967.384</f>
        <v>0</v>
      </c>
      <c r="F19" s="35">
        <v>10125</v>
      </c>
      <c r="G19" s="35">
        <v>11799.8</v>
      </c>
      <c r="H19" s="35">
        <v>12516.77777777778</v>
      </c>
      <c r="I19" s="35">
        <v>2474.125</v>
      </c>
      <c r="J19" s="35">
        <v>2797.333333333333</v>
      </c>
      <c r="K19" s="35">
        <v>3031.625</v>
      </c>
      <c r="L19" s="35">
        <v>2099.333333333333</v>
      </c>
      <c r="M19" s="35">
        <v>2576.111111111111</v>
      </c>
      <c r="N19" s="35">
        <v>2830.555555555555</v>
      </c>
      <c r="O19" s="35">
        <v>1949.111</v>
      </c>
      <c r="P19" s="35">
        <v>2310.5</v>
      </c>
      <c r="Q19" s="35">
        <v>2554.111</v>
      </c>
      <c r="R19" s="35">
        <v>-162</v>
      </c>
      <c r="S19" s="35">
        <v>-229</v>
      </c>
      <c r="T19" s="35">
        <v>-235</v>
      </c>
      <c r="U19" s="35">
        <v>0</v>
      </c>
      <c r="V19" s="35">
        <v>0</v>
      </c>
      <c r="W19" s="35">
        <v>0</v>
      </c>
      <c r="X19" s="36">
        <v>0.18201</v>
      </c>
      <c r="Y19" s="36">
        <v>0.18853</v>
      </c>
      <c r="Z19" s="36">
        <v>0.18666</v>
      </c>
    </row>
    <row r="20" spans="2:26" ht="14" customHeight="1">
      <c r="B20" s="17" t="s">
        <v>47</v>
      </c>
      <c r="C20" s="17" t="s">
        <v>38</v>
      </c>
      <c r="D20" s="33">
        <v>488.8239775351038</v>
      </c>
      <c r="E20" s="34">
        <f>D20/9053.50892735</f>
        <v>0</v>
      </c>
      <c r="F20" s="35">
        <v>1645.5</v>
      </c>
      <c r="G20" s="35">
        <v>1822.75</v>
      </c>
      <c r="H20" s="35">
        <v>2047.5</v>
      </c>
      <c r="I20" s="35">
        <v>1242.5</v>
      </c>
      <c r="J20" s="35">
        <v>1361.5</v>
      </c>
      <c r="K20" s="35">
        <v>1524</v>
      </c>
      <c r="L20" s="35">
        <v>1048.333333333333</v>
      </c>
      <c r="M20" s="35">
        <v>1132.333333333333</v>
      </c>
      <c r="N20" s="35">
        <v>1345</v>
      </c>
      <c r="O20" s="35">
        <v>576.857</v>
      </c>
      <c r="P20" s="35">
        <v>672.143</v>
      </c>
      <c r="Q20" s="35">
        <v>778.6</v>
      </c>
      <c r="R20" s="35">
        <v>-512.5</v>
      </c>
      <c r="S20" s="35">
        <v>-343</v>
      </c>
      <c r="T20" s="35">
        <v>-255</v>
      </c>
      <c r="U20" s="35">
        <v>0</v>
      </c>
      <c r="V20" s="35">
        <v>0</v>
      </c>
      <c r="W20" s="35">
        <v>0</v>
      </c>
      <c r="X20" s="36">
        <v>0.11978</v>
      </c>
      <c r="Y20" s="36">
        <v>0.126</v>
      </c>
      <c r="Z20" s="36">
        <v>0.1411</v>
      </c>
    </row>
    <row r="21" spans="2:26" ht="14" customHeight="1">
      <c r="B21" s="17" t="s">
        <v>48</v>
      </c>
      <c r="C21" s="17" t="s">
        <v>38</v>
      </c>
      <c r="D21" s="33">
        <v>373.0924051838798</v>
      </c>
      <c r="E21" s="34">
        <f>D21/6048.30181483</f>
        <v>0</v>
      </c>
      <c r="F21" s="35">
        <v>7984.727272727273</v>
      </c>
      <c r="G21" s="35">
        <v>8404</v>
      </c>
      <c r="H21" s="35">
        <v>8772.222222222221</v>
      </c>
      <c r="I21" s="35">
        <v>2465.181818181818</v>
      </c>
      <c r="J21" s="35">
        <v>2553.545454545455</v>
      </c>
      <c r="K21" s="35">
        <v>2652.333333333333</v>
      </c>
      <c r="L21" s="35">
        <v>1460.6</v>
      </c>
      <c r="M21" s="35">
        <v>1530.4</v>
      </c>
      <c r="N21" s="35">
        <v>1659</v>
      </c>
      <c r="O21" s="35">
        <v>724.909</v>
      </c>
      <c r="P21" s="35">
        <v>877.182</v>
      </c>
      <c r="Q21" s="35">
        <v>978.778</v>
      </c>
      <c r="R21" s="35">
        <v>-580</v>
      </c>
      <c r="S21" s="35">
        <v>-597.1666666666666</v>
      </c>
      <c r="T21" s="35">
        <v>-580.4</v>
      </c>
      <c r="U21" s="35">
        <v>0</v>
      </c>
      <c r="V21" s="35">
        <v>0</v>
      </c>
      <c r="W21" s="35">
        <v>0</v>
      </c>
      <c r="X21" s="36">
        <v>0.05468</v>
      </c>
      <c r="Y21" s="36">
        <v>0.0553</v>
      </c>
      <c r="Z21" s="36">
        <v>0.10336</v>
      </c>
    </row>
    <row r="22" spans="2:26" ht="14" customHeight="1">
      <c r="B22" s="17" t="s">
        <v>49</v>
      </c>
      <c r="C22" s="17" t="s">
        <v>38</v>
      </c>
      <c r="D22" s="33">
        <v>351.6706505408619</v>
      </c>
      <c r="E22" s="34">
        <f>D22/9940.69585838</f>
        <v>0</v>
      </c>
      <c r="F22" s="35">
        <v>6833.818181818182</v>
      </c>
      <c r="G22" s="35">
        <v>7942.090909090909</v>
      </c>
      <c r="H22" s="35">
        <v>8683.799999999999</v>
      </c>
      <c r="I22" s="35">
        <v>1644.2</v>
      </c>
      <c r="J22" s="35">
        <v>1920.1</v>
      </c>
      <c r="K22" s="35">
        <v>2066.555555555556</v>
      </c>
      <c r="L22" s="35">
        <v>1626.1</v>
      </c>
      <c r="M22" s="35">
        <v>1893.3</v>
      </c>
      <c r="N22" s="35">
        <v>2037.2</v>
      </c>
      <c r="O22" s="35">
        <v>1230.182</v>
      </c>
      <c r="P22" s="35">
        <v>1453.909</v>
      </c>
      <c r="Q22" s="35">
        <v>1584.5</v>
      </c>
      <c r="R22" s="35">
        <v>-54.66666666666666</v>
      </c>
      <c r="S22" s="35">
        <v>-89.46666666666667</v>
      </c>
      <c r="T22" s="35">
        <v>-94.40000000000001</v>
      </c>
      <c r="U22" s="35">
        <v>0</v>
      </c>
      <c r="V22" s="35">
        <v>0</v>
      </c>
      <c r="W22" s="35">
        <v>0</v>
      </c>
      <c r="X22" s="36">
        <v>0.79447</v>
      </c>
      <c r="Y22" s="36">
        <v>0.76168</v>
      </c>
      <c r="Z22" s="36">
        <v>0.71634</v>
      </c>
    </row>
    <row r="23" spans="2:26" ht="14" customHeight="1">
      <c r="B23" s="17" t="s">
        <v>50</v>
      </c>
      <c r="C23" s="17" t="s">
        <v>38</v>
      </c>
      <c r="D23" s="33">
        <v>268.238312489383</v>
      </c>
      <c r="E23" s="34">
        <f>D23/6063.825</f>
        <v>0</v>
      </c>
      <c r="F23" s="35">
        <v>5291.181818181818</v>
      </c>
      <c r="G23" s="35">
        <v>6236.363636363636</v>
      </c>
      <c r="H23" s="35">
        <v>6622.8</v>
      </c>
      <c r="I23" s="35">
        <v>1398.9</v>
      </c>
      <c r="J23" s="35">
        <v>1624.6</v>
      </c>
      <c r="K23" s="35">
        <v>1709.333333333333</v>
      </c>
      <c r="L23" s="35">
        <v>1275.3</v>
      </c>
      <c r="M23" s="35">
        <v>1497.1</v>
      </c>
      <c r="N23" s="35">
        <v>1584.9</v>
      </c>
      <c r="O23" s="35">
        <v>919.818</v>
      </c>
      <c r="P23" s="35">
        <v>1113.364</v>
      </c>
      <c r="Q23" s="35">
        <v>1200</v>
      </c>
      <c r="R23" s="35">
        <v>-115.8</v>
      </c>
      <c r="S23" s="35">
        <v>-122.5</v>
      </c>
      <c r="T23" s="35">
        <v>-128.75</v>
      </c>
      <c r="U23" s="35">
        <v>0</v>
      </c>
      <c r="V23" s="35">
        <v>0</v>
      </c>
      <c r="W23" s="35">
        <v>0</v>
      </c>
      <c r="X23" s="36">
        <v>0.40789</v>
      </c>
      <c r="Y23" s="36">
        <v>0.39338</v>
      </c>
      <c r="Z23" s="36">
        <v>0.36248</v>
      </c>
    </row>
    <row r="24" spans="2:26" ht="14" customHeight="1">
      <c r="B24" s="17" t="s">
        <v>51</v>
      </c>
      <c r="C24" s="17" t="s">
        <v>38</v>
      </c>
      <c r="D24" s="33">
        <v>262.4933427871425</v>
      </c>
      <c r="E24" s="34">
        <f>D24/7911.148704000002</f>
        <v>0</v>
      </c>
      <c r="F24" s="35">
        <v>39297.83333333334</v>
      </c>
      <c r="G24" s="35">
        <v>41804.84615384616</v>
      </c>
      <c r="H24" s="35">
        <v>43576.54545454546</v>
      </c>
      <c r="I24" s="35">
        <v>2989.777777777778</v>
      </c>
      <c r="J24" s="35">
        <v>3277.333333333333</v>
      </c>
      <c r="K24" s="35">
        <v>3455</v>
      </c>
      <c r="L24" s="35">
        <v>1760.5</v>
      </c>
      <c r="M24" s="35">
        <v>1983.75</v>
      </c>
      <c r="N24" s="35">
        <v>2157.333333333333</v>
      </c>
      <c r="O24" s="35">
        <v>151.825</v>
      </c>
      <c r="P24" s="35">
        <v>437.5</v>
      </c>
      <c r="Q24" s="35">
        <v>651.273</v>
      </c>
      <c r="R24" s="35">
        <v>-914.8571428571428</v>
      </c>
      <c r="S24" s="35">
        <v>-975</v>
      </c>
      <c r="T24" s="35">
        <v>-1019.428571428571</v>
      </c>
      <c r="U24" s="35">
        <v>0</v>
      </c>
      <c r="V24" s="35">
        <v>0</v>
      </c>
      <c r="W24" s="35">
        <v>0</v>
      </c>
      <c r="X24" s="36">
        <v>0.009260000000000001</v>
      </c>
      <c r="Y24" s="36">
        <v>0.03424</v>
      </c>
      <c r="Z24" s="36">
        <v>0.04905</v>
      </c>
    </row>
    <row r="25" spans="2:26" ht="14" customHeight="1">
      <c r="B25" s="17" t="s">
        <v>52</v>
      </c>
      <c r="C25" s="17" t="s">
        <v>38</v>
      </c>
      <c r="D25" s="33">
        <v>251.0845965359437</v>
      </c>
      <c r="E25" s="34">
        <f>D25/3709.21487952</f>
        <v>0</v>
      </c>
      <c r="F25" s="35">
        <v>5199.75</v>
      </c>
      <c r="G25" s="35">
        <v>6120.75</v>
      </c>
      <c r="H25" s="35">
        <v>6827</v>
      </c>
      <c r="I25" s="35">
        <v>910.1428571428572</v>
      </c>
      <c r="J25" s="35">
        <v>1107.571428571428</v>
      </c>
      <c r="K25" s="35">
        <v>1252.166666666667</v>
      </c>
      <c r="L25" s="35">
        <v>835.4285714285714</v>
      </c>
      <c r="M25" s="35">
        <v>1018.285714285714</v>
      </c>
      <c r="N25" s="35">
        <v>1164.142857142857</v>
      </c>
      <c r="O25" s="35">
        <v>665.125</v>
      </c>
      <c r="P25" s="35">
        <v>839</v>
      </c>
      <c r="Q25" s="35">
        <v>978.857</v>
      </c>
      <c r="R25" s="35">
        <v>-96.40000000000001</v>
      </c>
      <c r="S25" s="35">
        <v>-93.06666666666668</v>
      </c>
      <c r="T25" s="35">
        <v>-104.2666666666667</v>
      </c>
      <c r="U25" s="35">
        <v>0</v>
      </c>
      <c r="V25" s="35">
        <v>0</v>
      </c>
      <c r="W25" s="35">
        <v>0</v>
      </c>
      <c r="X25" s="36">
        <v>0.45619</v>
      </c>
      <c r="Y25" s="36">
        <v>0.40308</v>
      </c>
      <c r="Z25" s="36">
        <v>0.38014</v>
      </c>
    </row>
    <row r="26" spans="2:26" ht="14" customHeight="1">
      <c r="B26" s="17" t="s">
        <v>53</v>
      </c>
      <c r="C26" s="17" t="s">
        <v>38</v>
      </c>
      <c r="D26" s="33">
        <v>246.6334378859011</v>
      </c>
      <c r="E26" s="34">
        <f>D26/5792.715650009999</f>
        <v>0</v>
      </c>
      <c r="F26" s="35">
        <v>8959.125</v>
      </c>
      <c r="G26" s="35">
        <v>9651.75</v>
      </c>
      <c r="H26" s="35">
        <v>10269.875</v>
      </c>
      <c r="I26" s="35">
        <v>1432.875</v>
      </c>
      <c r="J26" s="35">
        <v>1585.625</v>
      </c>
      <c r="K26" s="35">
        <v>1695.625</v>
      </c>
      <c r="L26" s="35">
        <v>1239.125</v>
      </c>
      <c r="M26" s="35">
        <v>1366.625</v>
      </c>
      <c r="N26" s="35">
        <v>1460</v>
      </c>
      <c r="O26" s="35">
        <v>1081.5</v>
      </c>
      <c r="P26" s="35">
        <v>1122.5</v>
      </c>
      <c r="Q26" s="35">
        <v>1198.625</v>
      </c>
      <c r="R26" s="35">
        <v>-307.8571428571429</v>
      </c>
      <c r="S26" s="35">
        <v>-327.5714285714286</v>
      </c>
      <c r="T26" s="35">
        <v>-352.4285714285714</v>
      </c>
      <c r="U26" s="35">
        <v>0</v>
      </c>
      <c r="V26" s="35">
        <v>0</v>
      </c>
      <c r="W26" s="35">
        <v>0</v>
      </c>
      <c r="X26" s="36">
        <v>0.26397</v>
      </c>
      <c r="Y26" s="36">
        <v>0.24368</v>
      </c>
      <c r="Z26" s="36">
        <v>0.23972</v>
      </c>
    </row>
    <row r="27" spans="2:26" ht="14" customHeight="1">
      <c r="B27" s="17" t="s">
        <v>54</v>
      </c>
      <c r="C27" s="17" t="s">
        <v>38</v>
      </c>
      <c r="D27" s="33">
        <v>246.6287855865928</v>
      </c>
      <c r="E27" s="34">
        <f>D27/6632.433353519999</f>
        <v>0</v>
      </c>
      <c r="F27" s="35">
        <v>3356.428571428571</v>
      </c>
      <c r="G27" s="35">
        <v>3771.142857142857</v>
      </c>
      <c r="H27" s="35">
        <v>4169.23076923077</v>
      </c>
      <c r="I27" s="35">
        <v>904.0769230769231</v>
      </c>
      <c r="J27" s="35">
        <v>1020.384615384615</v>
      </c>
      <c r="K27" s="35">
        <v>1169.5</v>
      </c>
      <c r="L27" s="35">
        <v>788.0769230769231</v>
      </c>
      <c r="M27" s="35">
        <v>895.0769230769231</v>
      </c>
      <c r="N27" s="35">
        <v>1003.846153846154</v>
      </c>
      <c r="O27" s="35">
        <v>623.143</v>
      </c>
      <c r="P27" s="35">
        <v>735.143</v>
      </c>
      <c r="Q27" s="35">
        <v>843.923</v>
      </c>
      <c r="R27" s="35">
        <v>-128.3</v>
      </c>
      <c r="S27" s="35">
        <v>-142</v>
      </c>
      <c r="T27" s="35">
        <v>-141.9</v>
      </c>
      <c r="U27" s="35">
        <v>0</v>
      </c>
      <c r="V27" s="35">
        <v>0</v>
      </c>
      <c r="W27" s="35">
        <v>0</v>
      </c>
      <c r="X27" s="36">
        <v>0.19397</v>
      </c>
      <c r="Y27" s="36">
        <v>0.19895</v>
      </c>
      <c r="Z27" s="36">
        <v>0.20181</v>
      </c>
    </row>
    <row r="28" spans="2:26" ht="14" customHeight="1">
      <c r="B28" s="17" t="s">
        <v>55</v>
      </c>
      <c r="C28" s="17" t="s">
        <v>38</v>
      </c>
      <c r="D28" s="33">
        <v>219.6442081177084</v>
      </c>
      <c r="E28" s="34">
        <f>D28/3626.19549873</f>
        <v>0</v>
      </c>
      <c r="F28" s="35">
        <v>5699.076923076924</v>
      </c>
      <c r="G28" s="35">
        <v>5999.23076923077</v>
      </c>
      <c r="H28" s="35">
        <v>6283.5</v>
      </c>
      <c r="I28" s="35">
        <v>1850.461538461539</v>
      </c>
      <c r="J28" s="35">
        <v>1932.153846153846</v>
      </c>
      <c r="K28" s="35">
        <v>2008.166666666667</v>
      </c>
      <c r="L28" s="35">
        <v>1008.4</v>
      </c>
      <c r="M28" s="35">
        <v>1148.818181818182</v>
      </c>
      <c r="N28" s="35">
        <v>1231.818181818182</v>
      </c>
      <c r="O28" s="35">
        <v>354.222</v>
      </c>
      <c r="P28" s="35">
        <v>515.273</v>
      </c>
      <c r="Q28" s="35">
        <v>637.364</v>
      </c>
      <c r="R28" s="35">
        <v>-427.4</v>
      </c>
      <c r="S28" s="35">
        <v>-429.8</v>
      </c>
      <c r="T28" s="35">
        <v>-441.8</v>
      </c>
      <c r="U28" s="35">
        <v>0</v>
      </c>
      <c r="V28" s="35">
        <v>0</v>
      </c>
      <c r="W28" s="35">
        <v>0</v>
      </c>
      <c r="X28" s="36">
        <v>0.10645</v>
      </c>
      <c r="Y28" s="36">
        <v>0.14985</v>
      </c>
      <c r="Z28" s="36">
        <v>0.16766</v>
      </c>
    </row>
    <row r="29" spans="2:26" ht="14" customHeight="1">
      <c r="B29" s="17" t="s">
        <v>56</v>
      </c>
      <c r="C29" s="17" t="s">
        <v>38</v>
      </c>
      <c r="D29" s="33">
        <v>218.8623857380225</v>
      </c>
      <c r="E29" s="34">
        <f>D29/7404.270801899999</f>
        <v>0</v>
      </c>
      <c r="F29" s="35">
        <v>6636.1</v>
      </c>
      <c r="G29" s="35">
        <v>7336.2</v>
      </c>
      <c r="H29" s="35">
        <v>7785.11111111111</v>
      </c>
      <c r="I29" s="35">
        <v>3936.9</v>
      </c>
      <c r="J29" s="35">
        <v>4261.8</v>
      </c>
      <c r="K29" s="35">
        <v>4599.555555555556</v>
      </c>
      <c r="L29" s="35">
        <v>2732.777777777778</v>
      </c>
      <c r="M29" s="35">
        <v>2898.111111111111</v>
      </c>
      <c r="N29" s="35">
        <v>3023.222222222222</v>
      </c>
      <c r="O29" s="35">
        <v>473.2</v>
      </c>
      <c r="P29" s="35">
        <v>731.9</v>
      </c>
      <c r="Q29" s="35">
        <v>1081.333</v>
      </c>
      <c r="R29" s="35">
        <v>-2967.833333333333</v>
      </c>
      <c r="S29" s="35">
        <v>-3416.5</v>
      </c>
      <c r="T29" s="35">
        <v>-3910.833333333333</v>
      </c>
      <c r="U29" s="37">
        <f>-R29*FleetRatio</f>
        <v>0</v>
      </c>
      <c r="V29" s="37">
        <f>-S29*FleetRatio</f>
        <v>0</v>
      </c>
      <c r="W29" s="37">
        <f>-T29*FleetRatio</f>
        <v>0</v>
      </c>
      <c r="X29" s="36">
        <v>0.15723</v>
      </c>
      <c r="Y29" s="36">
        <v>0.2093</v>
      </c>
      <c r="Z29" s="36">
        <v>0.26423</v>
      </c>
    </row>
    <row r="30" spans="2:26" ht="14" customHeight="1">
      <c r="B30" s="17" t="s">
        <v>57</v>
      </c>
      <c r="C30" s="17" t="s">
        <v>38</v>
      </c>
      <c r="D30" s="33">
        <v>208.3372722940134</v>
      </c>
      <c r="E30" s="34">
        <f>D30/4846.315911109999</f>
        <v>0</v>
      </c>
      <c r="F30" s="35">
        <v>11464</v>
      </c>
      <c r="G30" s="35">
        <v>12169.77777777778</v>
      </c>
      <c r="H30" s="35">
        <v>12871.625</v>
      </c>
      <c r="I30" s="35">
        <v>1614.428571428572</v>
      </c>
      <c r="J30" s="35">
        <v>1817.285714285714</v>
      </c>
      <c r="K30" s="35">
        <v>1959.5</v>
      </c>
      <c r="L30" s="35">
        <v>1049.333333333333</v>
      </c>
      <c r="M30" s="35">
        <v>1218.375</v>
      </c>
      <c r="N30" s="35">
        <v>1417.375</v>
      </c>
      <c r="O30" s="35">
        <v>399.1</v>
      </c>
      <c r="P30" s="35">
        <v>575.9</v>
      </c>
      <c r="Q30" s="35">
        <v>710.556</v>
      </c>
      <c r="R30" s="35">
        <v>-375.5</v>
      </c>
      <c r="S30" s="35">
        <v>-375</v>
      </c>
      <c r="T30" s="35">
        <v>-407</v>
      </c>
      <c r="U30" s="35">
        <v>0</v>
      </c>
      <c r="V30" s="35">
        <v>0</v>
      </c>
      <c r="W30" s="35">
        <v>0</v>
      </c>
      <c r="X30" s="36">
        <v>0.05738000000000001</v>
      </c>
      <c r="Y30" s="36">
        <v>0.07530000000000001</v>
      </c>
      <c r="Z30" s="36">
        <v>0.09115999999999999</v>
      </c>
    </row>
    <row r="31" spans="2:26" ht="14" customHeight="1">
      <c r="B31" s="17" t="s">
        <v>58</v>
      </c>
      <c r="C31" s="17" t="s">
        <v>38</v>
      </c>
      <c r="D31" s="33">
        <v>180.4923640015382</v>
      </c>
      <c r="E31" s="34">
        <f>D31/3868.4756034</f>
        <v>0</v>
      </c>
      <c r="F31" s="35">
        <v>8396.75</v>
      </c>
      <c r="G31" s="35">
        <v>9055.75</v>
      </c>
      <c r="H31" s="35">
        <v>9749.5</v>
      </c>
      <c r="I31" s="35">
        <v>1651.222222222222</v>
      </c>
      <c r="J31" s="35">
        <v>1699.545454545455</v>
      </c>
      <c r="K31" s="35">
        <v>1842.090909090909</v>
      </c>
      <c r="L31" s="35">
        <v>955.1</v>
      </c>
      <c r="M31" s="35">
        <v>1021.7</v>
      </c>
      <c r="N31" s="35">
        <v>1110.6</v>
      </c>
      <c r="O31" s="35">
        <v>517.636</v>
      </c>
      <c r="P31" s="35">
        <v>547.6</v>
      </c>
      <c r="Q31" s="35">
        <v>586.1</v>
      </c>
      <c r="R31" s="35">
        <v>-632.1428571428572</v>
      </c>
      <c r="S31" s="35">
        <v>-701.25</v>
      </c>
      <c r="T31" s="35">
        <v>-751.125</v>
      </c>
      <c r="U31" s="35">
        <v>0</v>
      </c>
      <c r="V31" s="35">
        <v>0</v>
      </c>
      <c r="W31" s="35">
        <v>0</v>
      </c>
      <c r="X31" s="36">
        <v>0.13163</v>
      </c>
      <c r="Y31" s="36">
        <v>0.12885</v>
      </c>
      <c r="Z31" s="36">
        <v>0.12423</v>
      </c>
    </row>
    <row r="32" spans="2:26" ht="14" customHeight="1">
      <c r="B32" s="17" t="s">
        <v>59</v>
      </c>
      <c r="C32" s="17" t="s">
        <v>38</v>
      </c>
      <c r="D32" s="33">
        <v>167.884823677313</v>
      </c>
      <c r="E32" s="34">
        <f>D32/3574.00714585</f>
        <v>0</v>
      </c>
      <c r="F32" s="35">
        <v>11757.5</v>
      </c>
      <c r="G32" s="35">
        <v>11928.28571428572</v>
      </c>
      <c r="H32" s="35">
        <v>12097.71428571428</v>
      </c>
      <c r="I32" s="35">
        <v>1198.857142857143</v>
      </c>
      <c r="J32" s="35">
        <v>2156.333333333333</v>
      </c>
      <c r="K32" s="35">
        <v>2112.333333333333</v>
      </c>
      <c r="L32" s="35">
        <v>819.3333333333334</v>
      </c>
      <c r="M32" s="35">
        <v>1769</v>
      </c>
      <c r="N32" s="35">
        <v>1803.5</v>
      </c>
      <c r="O32" s="35">
        <v>-394.6</v>
      </c>
      <c r="P32" s="35">
        <v>649.2860000000001</v>
      </c>
      <c r="Q32" s="35">
        <v>870.2860000000001</v>
      </c>
      <c r="R32" s="35">
        <v>-146.7</v>
      </c>
      <c r="S32" s="35">
        <v>-229.55</v>
      </c>
      <c r="T32" s="35">
        <v>-270.05</v>
      </c>
      <c r="U32" s="35">
        <v>0</v>
      </c>
      <c r="V32" s="35">
        <v>0</v>
      </c>
      <c r="W32" s="35">
        <v>0</v>
      </c>
      <c r="X32" s="36">
        <v>-0.08019999999999999</v>
      </c>
      <c r="Y32" s="36">
        <v>0.1406</v>
      </c>
      <c r="Z32" s="36">
        <v>0.14758</v>
      </c>
    </row>
    <row r="35" spans="2:26" ht="14" customHeight="1">
      <c r="B35" s="6" t="s">
        <v>60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2:26" ht="44" customHeight="1">
      <c r="B36" s="7" t="s">
        <v>9</v>
      </c>
      <c r="C36" s="8" t="s">
        <v>10</v>
      </c>
      <c r="D36" s="8" t="s">
        <v>11</v>
      </c>
      <c r="E36" s="8" t="s">
        <v>12</v>
      </c>
      <c r="F36" s="8" t="s">
        <v>13</v>
      </c>
      <c r="G36" s="8" t="s">
        <v>14</v>
      </c>
      <c r="H36" s="8" t="s">
        <v>15</v>
      </c>
      <c r="I36" s="8" t="s">
        <v>16</v>
      </c>
      <c r="J36" s="8" t="s">
        <v>17</v>
      </c>
      <c r="K36" s="8" t="s">
        <v>18</v>
      </c>
      <c r="L36" s="8" t="s">
        <v>19</v>
      </c>
      <c r="M36" s="8" t="s">
        <v>20</v>
      </c>
      <c r="N36" s="8" t="s">
        <v>21</v>
      </c>
      <c r="O36" s="8" t="s">
        <v>22</v>
      </c>
      <c r="P36" s="8" t="s">
        <v>23</v>
      </c>
      <c r="Q36" s="8" t="s">
        <v>24</v>
      </c>
      <c r="R36" s="8" t="s">
        <v>25</v>
      </c>
      <c r="S36" s="8" t="s">
        <v>26</v>
      </c>
      <c r="T36" s="8" t="s">
        <v>27</v>
      </c>
      <c r="U36" s="8" t="s">
        <v>28</v>
      </c>
      <c r="V36" s="8" t="s">
        <v>29</v>
      </c>
      <c r="W36" s="8" t="s">
        <v>30</v>
      </c>
      <c r="X36" s="8" t="s">
        <v>61</v>
      </c>
      <c r="Y36" s="8" t="s">
        <v>62</v>
      </c>
      <c r="Z36" s="8" t="s">
        <v>63</v>
      </c>
    </row>
    <row r="37" spans="2:26" ht="14" customHeight="1">
      <c r="B37" s="17" t="s">
        <v>34</v>
      </c>
      <c r="C37" s="17">
        <f>C9</f>
        <v>0</v>
      </c>
      <c r="D37" s="38">
        <f>D9</f>
        <v>0</v>
      </c>
      <c r="F37" s="38">
        <f>F9*$E$9</f>
        <v>0</v>
      </c>
      <c r="G37" s="38">
        <f>G9*$E$9</f>
        <v>0</v>
      </c>
      <c r="H37" s="38">
        <f>H9*$E$9</f>
        <v>0</v>
      </c>
      <c r="I37" s="38">
        <f>I9*$E$9</f>
        <v>0</v>
      </c>
      <c r="J37" s="38">
        <f>J9*$E$9</f>
        <v>0</v>
      </c>
      <c r="K37" s="38">
        <f>K9*$E$9</f>
        <v>0</v>
      </c>
      <c r="L37" s="38">
        <f>L9*$E$9</f>
        <v>0</v>
      </c>
      <c r="M37" s="38">
        <f>M9*$E$9</f>
        <v>0</v>
      </c>
      <c r="N37" s="38">
        <f>N9*$E$9</f>
        <v>0</v>
      </c>
      <c r="O37" s="38">
        <f>O9*$E$9</f>
        <v>0</v>
      </c>
      <c r="P37" s="38">
        <f>P9*$E$9</f>
        <v>0</v>
      </c>
      <c r="Q37" s="38">
        <f>Q9*$E$9</f>
        <v>0</v>
      </c>
      <c r="R37" s="38">
        <f>R9*$E$9</f>
        <v>0</v>
      </c>
      <c r="S37" s="38">
        <f>S9*$E$9</f>
        <v>0</v>
      </c>
      <c r="T37" s="38">
        <f>T9*$E$9</f>
        <v>0</v>
      </c>
      <c r="U37" s="38">
        <f>U9*$E$9</f>
        <v>0</v>
      </c>
      <c r="V37" s="38">
        <f>V9*$E$9</f>
        <v>0</v>
      </c>
      <c r="W37" s="38">
        <f>W9*$E$9</f>
        <v>0</v>
      </c>
      <c r="X37" s="38">
        <f>IF(ISNUMBER(X9),O9*$E$9/X9,0)</f>
        <v>0</v>
      </c>
      <c r="Y37" s="38">
        <f>IF(ISNUMBER(Y9),P9*$E$9/Y9,0)</f>
        <v>0</v>
      </c>
      <c r="Z37" s="38">
        <f>IF(ISNUMBER(Z9),Q9*$E$9/Z9,0)</f>
        <v>0</v>
      </c>
    </row>
    <row r="38" spans="2:26" ht="14" customHeight="1">
      <c r="B38" s="17" t="s">
        <v>36</v>
      </c>
      <c r="C38" s="17">
        <f>C10</f>
        <v>0</v>
      </c>
      <c r="D38" s="38">
        <f>D10</f>
        <v>0</v>
      </c>
      <c r="F38" s="38">
        <f>F10*$E$10</f>
        <v>0</v>
      </c>
      <c r="G38" s="38">
        <f>G10*$E$10</f>
        <v>0</v>
      </c>
      <c r="H38" s="38">
        <f>H10*$E$10</f>
        <v>0</v>
      </c>
      <c r="I38" s="38">
        <f>I10*$E$10</f>
        <v>0</v>
      </c>
      <c r="J38" s="38">
        <f>J10*$E$10</f>
        <v>0</v>
      </c>
      <c r="K38" s="38">
        <f>K10*$E$10</f>
        <v>0</v>
      </c>
      <c r="L38" s="38">
        <f>L10*$E$10</f>
        <v>0</v>
      </c>
      <c r="M38" s="38">
        <f>M10*$E$10</f>
        <v>0</v>
      </c>
      <c r="N38" s="38">
        <f>N10*$E$10</f>
        <v>0</v>
      </c>
      <c r="O38" s="38">
        <f>O10*$E$10</f>
        <v>0</v>
      </c>
      <c r="P38" s="38">
        <f>P10*$E$10</f>
        <v>0</v>
      </c>
      <c r="Q38" s="38">
        <f>Q10*$E$10</f>
        <v>0</v>
      </c>
      <c r="R38" s="38">
        <f>R10*$E$10</f>
        <v>0</v>
      </c>
      <c r="S38" s="38">
        <f>S10*$E$10</f>
        <v>0</v>
      </c>
      <c r="T38" s="38">
        <f>T10*$E$10</f>
        <v>0</v>
      </c>
      <c r="U38" s="38">
        <f>U10*$E$10</f>
        <v>0</v>
      </c>
      <c r="V38" s="38">
        <f>V10*$E$10</f>
        <v>0</v>
      </c>
      <c r="W38" s="38">
        <f>W10*$E$10</f>
        <v>0</v>
      </c>
      <c r="X38" s="38">
        <f>IF(ISNUMBER(X10),O10*$E$10/X10,0)</f>
        <v>0</v>
      </c>
      <c r="Y38" s="38">
        <f>IF(ISNUMBER(Y10),P10*$E$10/Y10,0)</f>
        <v>0</v>
      </c>
      <c r="Z38" s="38">
        <f>IF(ISNUMBER(Z10),Q10*$E$10/Z10,0)</f>
        <v>0</v>
      </c>
    </row>
    <row r="39" spans="2:26" ht="14" customHeight="1">
      <c r="B39" s="17" t="s">
        <v>37</v>
      </c>
      <c r="C39" s="17">
        <f>C11</f>
        <v>0</v>
      </c>
      <c r="D39" s="38">
        <f>D11</f>
        <v>0</v>
      </c>
      <c r="F39" s="38">
        <f>F11*$E$11</f>
        <v>0</v>
      </c>
      <c r="G39" s="38">
        <f>G11*$E$11</f>
        <v>0</v>
      </c>
      <c r="H39" s="38">
        <f>H11*$E$11</f>
        <v>0</v>
      </c>
      <c r="I39" s="38">
        <f>I11*$E$11</f>
        <v>0</v>
      </c>
      <c r="J39" s="38">
        <f>J11*$E$11</f>
        <v>0</v>
      </c>
      <c r="K39" s="38">
        <f>K11*$E$11</f>
        <v>0</v>
      </c>
      <c r="L39" s="38">
        <f>L11*$E$11</f>
        <v>0</v>
      </c>
      <c r="M39" s="38">
        <f>M11*$E$11</f>
        <v>0</v>
      </c>
      <c r="N39" s="38">
        <f>N11*$E$11</f>
        <v>0</v>
      </c>
      <c r="O39" s="38">
        <f>O11*$E$11</f>
        <v>0</v>
      </c>
      <c r="P39" s="38">
        <f>P11*$E$11</f>
        <v>0</v>
      </c>
      <c r="Q39" s="38">
        <f>Q11*$E$11</f>
        <v>0</v>
      </c>
      <c r="R39" s="38">
        <f>R11*$E$11</f>
        <v>0</v>
      </c>
      <c r="S39" s="38">
        <f>S11*$E$11</f>
        <v>0</v>
      </c>
      <c r="T39" s="38">
        <f>T11*$E$11</f>
        <v>0</v>
      </c>
      <c r="U39" s="38">
        <f>U11*$E$11</f>
        <v>0</v>
      </c>
      <c r="V39" s="38">
        <f>V11*$E$11</f>
        <v>0</v>
      </c>
      <c r="W39" s="38">
        <f>W11*$E$11</f>
        <v>0</v>
      </c>
      <c r="X39" s="38">
        <f>IF(ISNUMBER(X11),O11*$E$11/X11,0)</f>
        <v>0</v>
      </c>
      <c r="Y39" s="38">
        <f>IF(ISNUMBER(Y11),P11*$E$11/Y11,0)</f>
        <v>0</v>
      </c>
      <c r="Z39" s="38">
        <f>IF(ISNUMBER(Z11),Q11*$E$11/Z11,0)</f>
        <v>0</v>
      </c>
    </row>
    <row r="40" spans="2:26" ht="14" customHeight="1">
      <c r="B40" s="17" t="s">
        <v>39</v>
      </c>
      <c r="C40" s="17">
        <f>C12</f>
        <v>0</v>
      </c>
      <c r="D40" s="38">
        <f>D12</f>
        <v>0</v>
      </c>
      <c r="F40" s="38">
        <f>F12*$E$12</f>
        <v>0</v>
      </c>
      <c r="G40" s="38">
        <f>G12*$E$12</f>
        <v>0</v>
      </c>
      <c r="H40" s="38">
        <f>H12*$E$12</f>
        <v>0</v>
      </c>
      <c r="I40" s="38">
        <f>I12*$E$12</f>
        <v>0</v>
      </c>
      <c r="J40" s="38">
        <f>J12*$E$12</f>
        <v>0</v>
      </c>
      <c r="K40" s="38">
        <f>K12*$E$12</f>
        <v>0</v>
      </c>
      <c r="L40" s="38">
        <f>L12*$E$12</f>
        <v>0</v>
      </c>
      <c r="M40" s="38">
        <f>M12*$E$12</f>
        <v>0</v>
      </c>
      <c r="N40" s="38">
        <f>N12*$E$12</f>
        <v>0</v>
      </c>
      <c r="O40" s="38">
        <f>O12*$E$12</f>
        <v>0</v>
      </c>
      <c r="P40" s="38">
        <f>P12*$E$12</f>
        <v>0</v>
      </c>
      <c r="Q40" s="38">
        <f>Q12*$E$12</f>
        <v>0</v>
      </c>
      <c r="R40" s="38">
        <f>R12*$E$12</f>
        <v>0</v>
      </c>
      <c r="S40" s="38">
        <f>S12*$E$12</f>
        <v>0</v>
      </c>
      <c r="T40" s="38">
        <f>T12*$E$12</f>
        <v>0</v>
      </c>
      <c r="U40" s="38">
        <f>U12*$E$12</f>
        <v>0</v>
      </c>
      <c r="V40" s="38">
        <f>V12*$E$12</f>
        <v>0</v>
      </c>
      <c r="W40" s="38">
        <f>W12*$E$12</f>
        <v>0</v>
      </c>
      <c r="X40" s="38">
        <f>IF(ISNUMBER(X12),O12*$E$12/X12,0)</f>
        <v>0</v>
      </c>
      <c r="Y40" s="38">
        <f>IF(ISNUMBER(Y12),P12*$E$12/Y12,0)</f>
        <v>0</v>
      </c>
      <c r="Z40" s="38">
        <f>IF(ISNUMBER(Z12),Q12*$E$12/Z12,0)</f>
        <v>0</v>
      </c>
    </row>
    <row r="41" spans="2:26" ht="14" customHeight="1">
      <c r="B41" s="17" t="s">
        <v>40</v>
      </c>
      <c r="C41" s="17">
        <f>C13</f>
        <v>0</v>
      </c>
      <c r="D41" s="38">
        <f>D13</f>
        <v>0</v>
      </c>
      <c r="F41" s="38">
        <f>F13*$E$13</f>
        <v>0</v>
      </c>
      <c r="G41" s="38">
        <f>G13*$E$13</f>
        <v>0</v>
      </c>
      <c r="H41" s="38">
        <f>H13*$E$13</f>
        <v>0</v>
      </c>
      <c r="I41" s="38">
        <f>I13*$E$13</f>
        <v>0</v>
      </c>
      <c r="J41" s="38">
        <f>J13*$E$13</f>
        <v>0</v>
      </c>
      <c r="K41" s="38">
        <f>K13*$E$13</f>
        <v>0</v>
      </c>
      <c r="L41" s="38">
        <f>L13*$E$13</f>
        <v>0</v>
      </c>
      <c r="M41" s="38">
        <f>M13*$E$13</f>
        <v>0</v>
      </c>
      <c r="N41" s="38">
        <f>N13*$E$13</f>
        <v>0</v>
      </c>
      <c r="O41" s="38">
        <f>O13*$E$13</f>
        <v>0</v>
      </c>
      <c r="P41" s="38">
        <f>P13*$E$13</f>
        <v>0</v>
      </c>
      <c r="Q41" s="38">
        <f>Q13*$E$13</f>
        <v>0</v>
      </c>
      <c r="R41" s="38">
        <f>R13*$E$13</f>
        <v>0</v>
      </c>
      <c r="S41" s="38">
        <f>S13*$E$13</f>
        <v>0</v>
      </c>
      <c r="T41" s="38">
        <f>T13*$E$13</f>
        <v>0</v>
      </c>
      <c r="U41" s="38">
        <f>U13*$E$13</f>
        <v>0</v>
      </c>
      <c r="V41" s="38">
        <f>V13*$E$13</f>
        <v>0</v>
      </c>
      <c r="W41" s="38">
        <f>W13*$E$13</f>
        <v>0</v>
      </c>
      <c r="X41" s="38">
        <f>IF(ISNUMBER(X13),O13*$E$13/X13,0)</f>
        <v>0</v>
      </c>
      <c r="Y41" s="38">
        <f>IF(ISNUMBER(Y13),P13*$E$13/Y13,0)</f>
        <v>0</v>
      </c>
      <c r="Z41" s="38">
        <f>IF(ISNUMBER(Z13),Q13*$E$13/Z13,0)</f>
        <v>0</v>
      </c>
    </row>
    <row r="42" spans="2:26" ht="14" customHeight="1">
      <c r="B42" s="17" t="s">
        <v>41</v>
      </c>
      <c r="C42" s="17">
        <f>C14</f>
        <v>0</v>
      </c>
      <c r="D42" s="38">
        <f>D14</f>
        <v>0</v>
      </c>
      <c r="F42" s="38">
        <f>F14*$E$14</f>
        <v>0</v>
      </c>
      <c r="G42" s="38">
        <f>G14*$E$14</f>
        <v>0</v>
      </c>
      <c r="H42" s="38">
        <f>H14*$E$14</f>
        <v>0</v>
      </c>
      <c r="I42" s="38">
        <f>I14*$E$14</f>
        <v>0</v>
      </c>
      <c r="J42" s="38">
        <f>J14*$E$14</f>
        <v>0</v>
      </c>
      <c r="K42" s="38">
        <f>K14*$E$14</f>
        <v>0</v>
      </c>
      <c r="L42" s="38">
        <f>L14*$E$14</f>
        <v>0</v>
      </c>
      <c r="M42" s="38">
        <f>M14*$E$14</f>
        <v>0</v>
      </c>
      <c r="N42" s="38">
        <f>N14*$E$14</f>
        <v>0</v>
      </c>
      <c r="O42" s="38">
        <f>O14*$E$14</f>
        <v>0</v>
      </c>
      <c r="P42" s="38">
        <f>P14*$E$14</f>
        <v>0</v>
      </c>
      <c r="Q42" s="38">
        <f>Q14*$E$14</f>
        <v>0</v>
      </c>
      <c r="R42" s="38">
        <f>R14*$E$14</f>
        <v>0</v>
      </c>
      <c r="S42" s="38">
        <f>S14*$E$14</f>
        <v>0</v>
      </c>
      <c r="T42" s="38">
        <f>T14*$E$14</f>
        <v>0</v>
      </c>
      <c r="U42" s="38">
        <f>U14*$E$14</f>
        <v>0</v>
      </c>
      <c r="V42" s="38">
        <f>V14*$E$14</f>
        <v>0</v>
      </c>
      <c r="W42" s="38">
        <f>W14*$E$14</f>
        <v>0</v>
      </c>
      <c r="X42" s="38">
        <f>IF(ISNUMBER(X14),O14*$E$14/X14,0)</f>
        <v>0</v>
      </c>
      <c r="Y42" s="38">
        <f>IF(ISNUMBER(Y14),P14*$E$14/Y14,0)</f>
        <v>0</v>
      </c>
      <c r="Z42" s="38">
        <f>IF(ISNUMBER(Z14),Q14*$E$14/Z14,0)</f>
        <v>0</v>
      </c>
    </row>
    <row r="43" spans="2:26" ht="14" customHeight="1">
      <c r="B43" s="17" t="s">
        <v>42</v>
      </c>
      <c r="C43" s="17">
        <f>C15</f>
        <v>0</v>
      </c>
      <c r="D43" s="38">
        <f>D15</f>
        <v>0</v>
      </c>
      <c r="F43" s="38">
        <f>F15*$E$15</f>
        <v>0</v>
      </c>
      <c r="G43" s="38">
        <f>G15*$E$15</f>
        <v>0</v>
      </c>
      <c r="H43" s="38">
        <f>H15*$E$15</f>
        <v>0</v>
      </c>
      <c r="I43" s="38">
        <f>I15*$E$15</f>
        <v>0</v>
      </c>
      <c r="J43" s="38">
        <f>J15*$E$15</f>
        <v>0</v>
      </c>
      <c r="K43" s="38">
        <f>K15*$E$15</f>
        <v>0</v>
      </c>
      <c r="L43" s="38">
        <f>L15*$E$15</f>
        <v>0</v>
      </c>
      <c r="M43" s="38">
        <f>M15*$E$15</f>
        <v>0</v>
      </c>
      <c r="N43" s="38">
        <f>N15*$E$15</f>
        <v>0</v>
      </c>
      <c r="O43" s="38">
        <f>O15*$E$15</f>
        <v>0</v>
      </c>
      <c r="P43" s="38">
        <f>P15*$E$15</f>
        <v>0</v>
      </c>
      <c r="Q43" s="38">
        <f>Q15*$E$15</f>
        <v>0</v>
      </c>
      <c r="R43" s="38">
        <f>R15*$E$15</f>
        <v>0</v>
      </c>
      <c r="S43" s="38">
        <f>S15*$E$15</f>
        <v>0</v>
      </c>
      <c r="T43" s="38">
        <f>T15*$E$15</f>
        <v>0</v>
      </c>
      <c r="U43" s="38">
        <f>U15*$E$15</f>
        <v>0</v>
      </c>
      <c r="V43" s="38">
        <f>V15*$E$15</f>
        <v>0</v>
      </c>
      <c r="W43" s="38">
        <f>W15*$E$15</f>
        <v>0</v>
      </c>
      <c r="X43" s="38">
        <f>IF(ISNUMBER(X15),O15*$E$15/X15,0)</f>
        <v>0</v>
      </c>
      <c r="Y43" s="38">
        <f>IF(ISNUMBER(Y15),P15*$E$15/Y15,0)</f>
        <v>0</v>
      </c>
      <c r="Z43" s="38">
        <f>IF(ISNUMBER(Z15),Q15*$E$15/Z15,0)</f>
        <v>0</v>
      </c>
    </row>
    <row r="44" spans="2:26" ht="14" customHeight="1">
      <c r="B44" s="17" t="s">
        <v>43</v>
      </c>
      <c r="C44" s="17">
        <f>C16</f>
        <v>0</v>
      </c>
      <c r="D44" s="38">
        <f>D16</f>
        <v>0</v>
      </c>
      <c r="F44" s="38">
        <f>F16*$E$16</f>
        <v>0</v>
      </c>
      <c r="G44" s="38">
        <f>G16*$E$16</f>
        <v>0</v>
      </c>
      <c r="H44" s="38">
        <f>H16*$E$16</f>
        <v>0</v>
      </c>
      <c r="I44" s="38">
        <f>I16*$E$16</f>
        <v>0</v>
      </c>
      <c r="J44" s="38">
        <f>J16*$E$16</f>
        <v>0</v>
      </c>
      <c r="K44" s="38">
        <f>K16*$E$16</f>
        <v>0</v>
      </c>
      <c r="L44" s="38">
        <f>L16*$E$16</f>
        <v>0</v>
      </c>
      <c r="M44" s="38">
        <f>M16*$E$16</f>
        <v>0</v>
      </c>
      <c r="N44" s="38">
        <f>N16*$E$16</f>
        <v>0</v>
      </c>
      <c r="O44" s="38">
        <f>O16*$E$16</f>
        <v>0</v>
      </c>
      <c r="P44" s="38">
        <f>P16*$E$16</f>
        <v>0</v>
      </c>
      <c r="Q44" s="38">
        <f>Q16*$E$16</f>
        <v>0</v>
      </c>
      <c r="R44" s="38">
        <f>R16*$E$16</f>
        <v>0</v>
      </c>
      <c r="S44" s="38">
        <f>S16*$E$16</f>
        <v>0</v>
      </c>
      <c r="T44" s="38">
        <f>T16*$E$16</f>
        <v>0</v>
      </c>
      <c r="U44" s="38">
        <f>U16*$E$16</f>
        <v>0</v>
      </c>
      <c r="V44" s="38">
        <f>V16*$E$16</f>
        <v>0</v>
      </c>
      <c r="W44" s="38">
        <f>W16*$E$16</f>
        <v>0</v>
      </c>
      <c r="X44" s="38">
        <f>IF(ISNUMBER(X16),O16*$E$16/X16,0)</f>
        <v>0</v>
      </c>
      <c r="Y44" s="38">
        <f>IF(ISNUMBER(Y16),P16*$E$16/Y16,0)</f>
        <v>0</v>
      </c>
      <c r="Z44" s="38">
        <f>IF(ISNUMBER(Z16),Q16*$E$16/Z16,0)</f>
        <v>0</v>
      </c>
    </row>
    <row r="45" spans="2:26" ht="14" customHeight="1">
      <c r="B45" s="17" t="s">
        <v>44</v>
      </c>
      <c r="C45" s="17">
        <f>C17</f>
        <v>0</v>
      </c>
      <c r="D45" s="38">
        <f>D17</f>
        <v>0</v>
      </c>
      <c r="F45" s="38">
        <f>F17*$E$17</f>
        <v>0</v>
      </c>
      <c r="G45" s="38">
        <f>G17*$E$17</f>
        <v>0</v>
      </c>
      <c r="H45" s="38">
        <f>H17*$E$17</f>
        <v>0</v>
      </c>
      <c r="I45" s="38">
        <f>I17*$E$17</f>
        <v>0</v>
      </c>
      <c r="J45" s="38">
        <f>J17*$E$17</f>
        <v>0</v>
      </c>
      <c r="K45" s="38">
        <f>K17*$E$17</f>
        <v>0</v>
      </c>
      <c r="L45" s="38">
        <f>L17*$E$17</f>
        <v>0</v>
      </c>
      <c r="M45" s="38">
        <f>M17*$E$17</f>
        <v>0</v>
      </c>
      <c r="N45" s="38">
        <f>N17*$E$17</f>
        <v>0</v>
      </c>
      <c r="O45" s="38">
        <f>O17*$E$17</f>
        <v>0</v>
      </c>
      <c r="P45" s="38">
        <f>P17*$E$17</f>
        <v>0</v>
      </c>
      <c r="Q45" s="38">
        <f>Q17*$E$17</f>
        <v>0</v>
      </c>
      <c r="R45" s="38">
        <f>R17*$E$17</f>
        <v>0</v>
      </c>
      <c r="S45" s="38">
        <f>S17*$E$17</f>
        <v>0</v>
      </c>
      <c r="T45" s="38">
        <f>T17*$E$17</f>
        <v>0</v>
      </c>
      <c r="U45" s="38">
        <f>U17*$E$17</f>
        <v>0</v>
      </c>
      <c r="V45" s="38">
        <f>V17*$E$17</f>
        <v>0</v>
      </c>
      <c r="W45" s="38">
        <f>W17*$E$17</f>
        <v>0</v>
      </c>
      <c r="X45" s="38">
        <f>IF(ISNUMBER(X17),O17*$E$17/X17,0)</f>
        <v>0</v>
      </c>
      <c r="Y45" s="38">
        <f>IF(ISNUMBER(Y17),P17*$E$17/Y17,0)</f>
        <v>0</v>
      </c>
      <c r="Z45" s="38">
        <f>IF(ISNUMBER(Z17),Q17*$E$17/Z17,0)</f>
        <v>0</v>
      </c>
    </row>
    <row r="46" spans="2:26" ht="14" customHeight="1">
      <c r="B46" s="17" t="s">
        <v>45</v>
      </c>
      <c r="C46" s="17">
        <f>C18</f>
        <v>0</v>
      </c>
      <c r="D46" s="38">
        <f>D18</f>
        <v>0</v>
      </c>
      <c r="F46" s="38">
        <f>F18*$E$18</f>
        <v>0</v>
      </c>
      <c r="G46" s="38">
        <f>G18*$E$18</f>
        <v>0</v>
      </c>
      <c r="H46" s="38">
        <f>H18*$E$18</f>
        <v>0</v>
      </c>
      <c r="I46" s="38">
        <f>I18*$E$18</f>
        <v>0</v>
      </c>
      <c r="J46" s="38">
        <f>J18*$E$18</f>
        <v>0</v>
      </c>
      <c r="K46" s="38">
        <f>K18*$E$18</f>
        <v>0</v>
      </c>
      <c r="L46" s="38">
        <f>L18*$E$18</f>
        <v>0</v>
      </c>
      <c r="M46" s="38">
        <f>M18*$E$18</f>
        <v>0</v>
      </c>
      <c r="N46" s="38">
        <f>N18*$E$18</f>
        <v>0</v>
      </c>
      <c r="O46" s="38">
        <f>O18*$E$18</f>
        <v>0</v>
      </c>
      <c r="P46" s="38">
        <f>P18*$E$18</f>
        <v>0</v>
      </c>
      <c r="Q46" s="38">
        <f>Q18*$E$18</f>
        <v>0</v>
      </c>
      <c r="R46" s="38">
        <f>R18*$E$18</f>
        <v>0</v>
      </c>
      <c r="S46" s="38">
        <f>S18*$E$18</f>
        <v>0</v>
      </c>
      <c r="T46" s="38">
        <f>T18*$E$18</f>
        <v>0</v>
      </c>
      <c r="U46" s="38">
        <f>U18*$E$18</f>
        <v>0</v>
      </c>
      <c r="V46" s="38">
        <f>V18*$E$18</f>
        <v>0</v>
      </c>
      <c r="W46" s="38">
        <f>W18*$E$18</f>
        <v>0</v>
      </c>
      <c r="X46" s="38">
        <f>IF(ISNUMBER(X18),O18*$E$18/X18,0)</f>
        <v>0</v>
      </c>
      <c r="Y46" s="38">
        <f>IF(ISNUMBER(Y18),P18*$E$18/Y18,0)</f>
        <v>0</v>
      </c>
      <c r="Z46" s="38">
        <f>IF(ISNUMBER(Z18),Q18*$E$18/Z18,0)</f>
        <v>0</v>
      </c>
    </row>
    <row r="47" spans="2:26" ht="14" customHeight="1">
      <c r="B47" s="17" t="s">
        <v>46</v>
      </c>
      <c r="C47" s="17">
        <f>C19</f>
        <v>0</v>
      </c>
      <c r="D47" s="38">
        <f>D19</f>
        <v>0</v>
      </c>
      <c r="F47" s="38">
        <f>F19*$E$19</f>
        <v>0</v>
      </c>
      <c r="G47" s="38">
        <f>G19*$E$19</f>
        <v>0</v>
      </c>
      <c r="H47" s="38">
        <f>H19*$E$19</f>
        <v>0</v>
      </c>
      <c r="I47" s="38">
        <f>I19*$E$19</f>
        <v>0</v>
      </c>
      <c r="J47" s="38">
        <f>J19*$E$19</f>
        <v>0</v>
      </c>
      <c r="K47" s="38">
        <f>K19*$E$19</f>
        <v>0</v>
      </c>
      <c r="L47" s="38">
        <f>L19*$E$19</f>
        <v>0</v>
      </c>
      <c r="M47" s="38">
        <f>M19*$E$19</f>
        <v>0</v>
      </c>
      <c r="N47" s="38">
        <f>N19*$E$19</f>
        <v>0</v>
      </c>
      <c r="O47" s="38">
        <f>O19*$E$19</f>
        <v>0</v>
      </c>
      <c r="P47" s="38">
        <f>P19*$E$19</f>
        <v>0</v>
      </c>
      <c r="Q47" s="38">
        <f>Q19*$E$19</f>
        <v>0</v>
      </c>
      <c r="R47" s="38">
        <f>R19*$E$19</f>
        <v>0</v>
      </c>
      <c r="S47" s="38">
        <f>S19*$E$19</f>
        <v>0</v>
      </c>
      <c r="T47" s="38">
        <f>T19*$E$19</f>
        <v>0</v>
      </c>
      <c r="U47" s="38">
        <f>U19*$E$19</f>
        <v>0</v>
      </c>
      <c r="V47" s="38">
        <f>V19*$E$19</f>
        <v>0</v>
      </c>
      <c r="W47" s="38">
        <f>W19*$E$19</f>
        <v>0</v>
      </c>
      <c r="X47" s="38">
        <f>IF(ISNUMBER(X19),O19*$E$19/X19,0)</f>
        <v>0</v>
      </c>
      <c r="Y47" s="38">
        <f>IF(ISNUMBER(Y19),P19*$E$19/Y19,0)</f>
        <v>0</v>
      </c>
      <c r="Z47" s="38">
        <f>IF(ISNUMBER(Z19),Q19*$E$19/Z19,0)</f>
        <v>0</v>
      </c>
    </row>
    <row r="48" spans="2:26" ht="14" customHeight="1">
      <c r="B48" s="17" t="s">
        <v>47</v>
      </c>
      <c r="C48" s="17">
        <f>C20</f>
        <v>0</v>
      </c>
      <c r="D48" s="38">
        <f>D20</f>
        <v>0</v>
      </c>
      <c r="F48" s="38">
        <f>F20*$E$20</f>
        <v>0</v>
      </c>
      <c r="G48" s="38">
        <f>G20*$E$20</f>
        <v>0</v>
      </c>
      <c r="H48" s="38">
        <f>H20*$E$20</f>
        <v>0</v>
      </c>
      <c r="I48" s="38">
        <f>I20*$E$20</f>
        <v>0</v>
      </c>
      <c r="J48" s="38">
        <f>J20*$E$20</f>
        <v>0</v>
      </c>
      <c r="K48" s="38">
        <f>K20*$E$20</f>
        <v>0</v>
      </c>
      <c r="L48" s="38">
        <f>L20*$E$20</f>
        <v>0</v>
      </c>
      <c r="M48" s="38">
        <f>M20*$E$20</f>
        <v>0</v>
      </c>
      <c r="N48" s="38">
        <f>N20*$E$20</f>
        <v>0</v>
      </c>
      <c r="O48" s="38">
        <f>O20*$E$20</f>
        <v>0</v>
      </c>
      <c r="P48" s="38">
        <f>P20*$E$20</f>
        <v>0</v>
      </c>
      <c r="Q48" s="38">
        <f>Q20*$E$20</f>
        <v>0</v>
      </c>
      <c r="R48" s="38">
        <f>R20*$E$20</f>
        <v>0</v>
      </c>
      <c r="S48" s="38">
        <f>S20*$E$20</f>
        <v>0</v>
      </c>
      <c r="T48" s="38">
        <f>T20*$E$20</f>
        <v>0</v>
      </c>
      <c r="U48" s="38">
        <f>U20*$E$20</f>
        <v>0</v>
      </c>
      <c r="V48" s="38">
        <f>V20*$E$20</f>
        <v>0</v>
      </c>
      <c r="W48" s="38">
        <f>W20*$E$20</f>
        <v>0</v>
      </c>
      <c r="X48" s="38">
        <f>IF(ISNUMBER(X20),O20*$E$20/X20,0)</f>
        <v>0</v>
      </c>
      <c r="Y48" s="38">
        <f>IF(ISNUMBER(Y20),P20*$E$20/Y20,0)</f>
        <v>0</v>
      </c>
      <c r="Z48" s="38">
        <f>IF(ISNUMBER(Z20),Q20*$E$20/Z20,0)</f>
        <v>0</v>
      </c>
    </row>
    <row r="49" spans="2:26" ht="14" customHeight="1">
      <c r="B49" s="17" t="s">
        <v>48</v>
      </c>
      <c r="C49" s="17">
        <f>C21</f>
        <v>0</v>
      </c>
      <c r="D49" s="38">
        <f>D21</f>
        <v>0</v>
      </c>
      <c r="F49" s="38">
        <f>F21*$E$21</f>
        <v>0</v>
      </c>
      <c r="G49" s="38">
        <f>G21*$E$21</f>
        <v>0</v>
      </c>
      <c r="H49" s="38">
        <f>H21*$E$21</f>
        <v>0</v>
      </c>
      <c r="I49" s="38">
        <f>I21*$E$21</f>
        <v>0</v>
      </c>
      <c r="J49" s="38">
        <f>J21*$E$21</f>
        <v>0</v>
      </c>
      <c r="K49" s="38">
        <f>K21*$E$21</f>
        <v>0</v>
      </c>
      <c r="L49" s="38">
        <f>L21*$E$21</f>
        <v>0</v>
      </c>
      <c r="M49" s="38">
        <f>M21*$E$21</f>
        <v>0</v>
      </c>
      <c r="N49" s="38">
        <f>N21*$E$21</f>
        <v>0</v>
      </c>
      <c r="O49" s="38">
        <f>O21*$E$21</f>
        <v>0</v>
      </c>
      <c r="P49" s="38">
        <f>P21*$E$21</f>
        <v>0</v>
      </c>
      <c r="Q49" s="38">
        <f>Q21*$E$21</f>
        <v>0</v>
      </c>
      <c r="R49" s="38">
        <f>R21*$E$21</f>
        <v>0</v>
      </c>
      <c r="S49" s="38">
        <f>S21*$E$21</f>
        <v>0</v>
      </c>
      <c r="T49" s="38">
        <f>T21*$E$21</f>
        <v>0</v>
      </c>
      <c r="U49" s="38">
        <f>U21*$E$21</f>
        <v>0</v>
      </c>
      <c r="V49" s="38">
        <f>V21*$E$21</f>
        <v>0</v>
      </c>
      <c r="W49" s="38">
        <f>W21*$E$21</f>
        <v>0</v>
      </c>
      <c r="X49" s="38">
        <f>IF(ISNUMBER(X21),O21*$E$21/X21,0)</f>
        <v>0</v>
      </c>
      <c r="Y49" s="38">
        <f>IF(ISNUMBER(Y21),P21*$E$21/Y21,0)</f>
        <v>0</v>
      </c>
      <c r="Z49" s="38">
        <f>IF(ISNUMBER(Z21),Q21*$E$21/Z21,0)</f>
        <v>0</v>
      </c>
    </row>
    <row r="50" spans="2:26" ht="14" customHeight="1">
      <c r="B50" s="17" t="s">
        <v>49</v>
      </c>
      <c r="C50" s="17">
        <f>C22</f>
        <v>0</v>
      </c>
      <c r="D50" s="38">
        <f>D22</f>
        <v>0</v>
      </c>
      <c r="F50" s="38">
        <f>F22*$E$22</f>
        <v>0</v>
      </c>
      <c r="G50" s="38">
        <f>G22*$E$22</f>
        <v>0</v>
      </c>
      <c r="H50" s="38">
        <f>H22*$E$22</f>
        <v>0</v>
      </c>
      <c r="I50" s="38">
        <f>I22*$E$22</f>
        <v>0</v>
      </c>
      <c r="J50" s="38">
        <f>J22*$E$22</f>
        <v>0</v>
      </c>
      <c r="K50" s="38">
        <f>K22*$E$22</f>
        <v>0</v>
      </c>
      <c r="L50" s="38">
        <f>L22*$E$22</f>
        <v>0</v>
      </c>
      <c r="M50" s="38">
        <f>M22*$E$22</f>
        <v>0</v>
      </c>
      <c r="N50" s="38">
        <f>N22*$E$22</f>
        <v>0</v>
      </c>
      <c r="O50" s="38">
        <f>O22*$E$22</f>
        <v>0</v>
      </c>
      <c r="P50" s="38">
        <f>P22*$E$22</f>
        <v>0</v>
      </c>
      <c r="Q50" s="38">
        <f>Q22*$E$22</f>
        <v>0</v>
      </c>
      <c r="R50" s="38">
        <f>R22*$E$22</f>
        <v>0</v>
      </c>
      <c r="S50" s="38">
        <f>S22*$E$22</f>
        <v>0</v>
      </c>
      <c r="T50" s="38">
        <f>T22*$E$22</f>
        <v>0</v>
      </c>
      <c r="U50" s="38">
        <f>U22*$E$22</f>
        <v>0</v>
      </c>
      <c r="V50" s="38">
        <f>V22*$E$22</f>
        <v>0</v>
      </c>
      <c r="W50" s="38">
        <f>W22*$E$22</f>
        <v>0</v>
      </c>
      <c r="X50" s="38">
        <f>IF(ISNUMBER(X22),O22*$E$22/X22,0)</f>
        <v>0</v>
      </c>
      <c r="Y50" s="38">
        <f>IF(ISNUMBER(Y22),P22*$E$22/Y22,0)</f>
        <v>0</v>
      </c>
      <c r="Z50" s="38">
        <f>IF(ISNUMBER(Z22),Q22*$E$22/Z22,0)</f>
        <v>0</v>
      </c>
    </row>
    <row r="51" spans="2:26" ht="14" customHeight="1">
      <c r="B51" s="17" t="s">
        <v>50</v>
      </c>
      <c r="C51" s="17">
        <f>C23</f>
        <v>0</v>
      </c>
      <c r="D51" s="38">
        <f>D23</f>
        <v>0</v>
      </c>
      <c r="F51" s="38">
        <f>F23*$E$23</f>
        <v>0</v>
      </c>
      <c r="G51" s="38">
        <f>G23*$E$23</f>
        <v>0</v>
      </c>
      <c r="H51" s="38">
        <f>H23*$E$23</f>
        <v>0</v>
      </c>
      <c r="I51" s="38">
        <f>I23*$E$23</f>
        <v>0</v>
      </c>
      <c r="J51" s="38">
        <f>J23*$E$23</f>
        <v>0</v>
      </c>
      <c r="K51" s="38">
        <f>K23*$E$23</f>
        <v>0</v>
      </c>
      <c r="L51" s="38">
        <f>L23*$E$23</f>
        <v>0</v>
      </c>
      <c r="M51" s="38">
        <f>M23*$E$23</f>
        <v>0</v>
      </c>
      <c r="N51" s="38">
        <f>N23*$E$23</f>
        <v>0</v>
      </c>
      <c r="O51" s="38">
        <f>O23*$E$23</f>
        <v>0</v>
      </c>
      <c r="P51" s="38">
        <f>P23*$E$23</f>
        <v>0</v>
      </c>
      <c r="Q51" s="38">
        <f>Q23*$E$23</f>
        <v>0</v>
      </c>
      <c r="R51" s="38">
        <f>R23*$E$23</f>
        <v>0</v>
      </c>
      <c r="S51" s="38">
        <f>S23*$E$23</f>
        <v>0</v>
      </c>
      <c r="T51" s="38">
        <f>T23*$E$23</f>
        <v>0</v>
      </c>
      <c r="U51" s="38">
        <f>U23*$E$23</f>
        <v>0</v>
      </c>
      <c r="V51" s="38">
        <f>V23*$E$23</f>
        <v>0</v>
      </c>
      <c r="W51" s="38">
        <f>W23*$E$23</f>
        <v>0</v>
      </c>
      <c r="X51" s="38">
        <f>IF(ISNUMBER(X23),O23*$E$23/X23,0)</f>
        <v>0</v>
      </c>
      <c r="Y51" s="38">
        <f>IF(ISNUMBER(Y23),P23*$E$23/Y23,0)</f>
        <v>0</v>
      </c>
      <c r="Z51" s="38">
        <f>IF(ISNUMBER(Z23),Q23*$E$23/Z23,0)</f>
        <v>0</v>
      </c>
    </row>
    <row r="52" spans="2:26" ht="14" customHeight="1">
      <c r="B52" s="17" t="s">
        <v>51</v>
      </c>
      <c r="C52" s="17">
        <f>C24</f>
        <v>0</v>
      </c>
      <c r="D52" s="38">
        <f>D24</f>
        <v>0</v>
      </c>
      <c r="F52" s="38">
        <f>F24*$E$24</f>
        <v>0</v>
      </c>
      <c r="G52" s="38">
        <f>G24*$E$24</f>
        <v>0</v>
      </c>
      <c r="H52" s="38">
        <f>H24*$E$24</f>
        <v>0</v>
      </c>
      <c r="I52" s="38">
        <f>I24*$E$24</f>
        <v>0</v>
      </c>
      <c r="J52" s="38">
        <f>J24*$E$24</f>
        <v>0</v>
      </c>
      <c r="K52" s="38">
        <f>K24*$E$24</f>
        <v>0</v>
      </c>
      <c r="L52" s="38">
        <f>L24*$E$24</f>
        <v>0</v>
      </c>
      <c r="M52" s="38">
        <f>M24*$E$24</f>
        <v>0</v>
      </c>
      <c r="N52" s="38">
        <f>N24*$E$24</f>
        <v>0</v>
      </c>
      <c r="O52" s="38">
        <f>O24*$E$24</f>
        <v>0</v>
      </c>
      <c r="P52" s="38">
        <f>P24*$E$24</f>
        <v>0</v>
      </c>
      <c r="Q52" s="38">
        <f>Q24*$E$24</f>
        <v>0</v>
      </c>
      <c r="R52" s="38">
        <f>R24*$E$24</f>
        <v>0</v>
      </c>
      <c r="S52" s="38">
        <f>S24*$E$24</f>
        <v>0</v>
      </c>
      <c r="T52" s="38">
        <f>T24*$E$24</f>
        <v>0</v>
      </c>
      <c r="U52" s="38">
        <f>U24*$E$24</f>
        <v>0</v>
      </c>
      <c r="V52" s="38">
        <f>V24*$E$24</f>
        <v>0</v>
      </c>
      <c r="W52" s="38">
        <f>W24*$E$24</f>
        <v>0</v>
      </c>
      <c r="X52" s="38">
        <f>IF(ISNUMBER(X24),O24*$E$24/X24,0)</f>
        <v>0</v>
      </c>
      <c r="Y52" s="38">
        <f>IF(ISNUMBER(Y24),P24*$E$24/Y24,0)</f>
        <v>0</v>
      </c>
      <c r="Z52" s="38">
        <f>IF(ISNUMBER(Z24),Q24*$E$24/Z24,0)</f>
        <v>0</v>
      </c>
    </row>
    <row r="53" spans="2:26" ht="14" customHeight="1">
      <c r="B53" s="17" t="s">
        <v>52</v>
      </c>
      <c r="C53" s="17">
        <f>C25</f>
        <v>0</v>
      </c>
      <c r="D53" s="38">
        <f>D25</f>
        <v>0</v>
      </c>
      <c r="F53" s="38">
        <f>F25*$E$25</f>
        <v>0</v>
      </c>
      <c r="G53" s="38">
        <f>G25*$E$25</f>
        <v>0</v>
      </c>
      <c r="H53" s="38">
        <f>H25*$E$25</f>
        <v>0</v>
      </c>
      <c r="I53" s="38">
        <f>I25*$E$25</f>
        <v>0</v>
      </c>
      <c r="J53" s="38">
        <f>J25*$E$25</f>
        <v>0</v>
      </c>
      <c r="K53" s="38">
        <f>K25*$E$25</f>
        <v>0</v>
      </c>
      <c r="L53" s="38">
        <f>L25*$E$25</f>
        <v>0</v>
      </c>
      <c r="M53" s="38">
        <f>M25*$E$25</f>
        <v>0</v>
      </c>
      <c r="N53" s="38">
        <f>N25*$E$25</f>
        <v>0</v>
      </c>
      <c r="O53" s="38">
        <f>O25*$E$25</f>
        <v>0</v>
      </c>
      <c r="P53" s="38">
        <f>P25*$E$25</f>
        <v>0</v>
      </c>
      <c r="Q53" s="38">
        <f>Q25*$E$25</f>
        <v>0</v>
      </c>
      <c r="R53" s="38">
        <f>R25*$E$25</f>
        <v>0</v>
      </c>
      <c r="S53" s="38">
        <f>S25*$E$25</f>
        <v>0</v>
      </c>
      <c r="T53" s="38">
        <f>T25*$E$25</f>
        <v>0</v>
      </c>
      <c r="U53" s="38">
        <f>U25*$E$25</f>
        <v>0</v>
      </c>
      <c r="V53" s="38">
        <f>V25*$E$25</f>
        <v>0</v>
      </c>
      <c r="W53" s="38">
        <f>W25*$E$25</f>
        <v>0</v>
      </c>
      <c r="X53" s="38">
        <f>IF(ISNUMBER(X25),O25*$E$25/X25,0)</f>
        <v>0</v>
      </c>
      <c r="Y53" s="38">
        <f>IF(ISNUMBER(Y25),P25*$E$25/Y25,0)</f>
        <v>0</v>
      </c>
      <c r="Z53" s="38">
        <f>IF(ISNUMBER(Z25),Q25*$E$25/Z25,0)</f>
        <v>0</v>
      </c>
    </row>
    <row r="54" spans="2:26" ht="14" customHeight="1">
      <c r="B54" s="17" t="s">
        <v>53</v>
      </c>
      <c r="C54" s="17">
        <f>C26</f>
        <v>0</v>
      </c>
      <c r="D54" s="38">
        <f>D26</f>
        <v>0</v>
      </c>
      <c r="F54" s="38">
        <f>F26*$E$26</f>
        <v>0</v>
      </c>
      <c r="G54" s="38">
        <f>G26*$E$26</f>
        <v>0</v>
      </c>
      <c r="H54" s="38">
        <f>H26*$E$26</f>
        <v>0</v>
      </c>
      <c r="I54" s="38">
        <f>I26*$E$26</f>
        <v>0</v>
      </c>
      <c r="J54" s="38">
        <f>J26*$E$26</f>
        <v>0</v>
      </c>
      <c r="K54" s="38">
        <f>K26*$E$26</f>
        <v>0</v>
      </c>
      <c r="L54" s="38">
        <f>L26*$E$26</f>
        <v>0</v>
      </c>
      <c r="M54" s="38">
        <f>M26*$E$26</f>
        <v>0</v>
      </c>
      <c r="N54" s="38">
        <f>N26*$E$26</f>
        <v>0</v>
      </c>
      <c r="O54" s="38">
        <f>O26*$E$26</f>
        <v>0</v>
      </c>
      <c r="P54" s="38">
        <f>P26*$E$26</f>
        <v>0</v>
      </c>
      <c r="Q54" s="38">
        <f>Q26*$E$26</f>
        <v>0</v>
      </c>
      <c r="R54" s="38">
        <f>R26*$E$26</f>
        <v>0</v>
      </c>
      <c r="S54" s="38">
        <f>S26*$E$26</f>
        <v>0</v>
      </c>
      <c r="T54" s="38">
        <f>T26*$E$26</f>
        <v>0</v>
      </c>
      <c r="U54" s="38">
        <f>U26*$E$26</f>
        <v>0</v>
      </c>
      <c r="V54" s="38">
        <f>V26*$E$26</f>
        <v>0</v>
      </c>
      <c r="W54" s="38">
        <f>W26*$E$26</f>
        <v>0</v>
      </c>
      <c r="X54" s="38">
        <f>IF(ISNUMBER(X26),O26*$E$26/X26,0)</f>
        <v>0</v>
      </c>
      <c r="Y54" s="38">
        <f>IF(ISNUMBER(Y26),P26*$E$26/Y26,0)</f>
        <v>0</v>
      </c>
      <c r="Z54" s="38">
        <f>IF(ISNUMBER(Z26),Q26*$E$26/Z26,0)</f>
        <v>0</v>
      </c>
    </row>
    <row r="55" spans="2:26" ht="14" customHeight="1">
      <c r="B55" s="17" t="s">
        <v>54</v>
      </c>
      <c r="C55" s="17">
        <f>C27</f>
        <v>0</v>
      </c>
      <c r="D55" s="38">
        <f>D27</f>
        <v>0</v>
      </c>
      <c r="F55" s="38">
        <f>F27*$E$27</f>
        <v>0</v>
      </c>
      <c r="G55" s="38">
        <f>G27*$E$27</f>
        <v>0</v>
      </c>
      <c r="H55" s="38">
        <f>H27*$E$27</f>
        <v>0</v>
      </c>
      <c r="I55" s="38">
        <f>I27*$E$27</f>
        <v>0</v>
      </c>
      <c r="J55" s="38">
        <f>J27*$E$27</f>
        <v>0</v>
      </c>
      <c r="K55" s="38">
        <f>K27*$E$27</f>
        <v>0</v>
      </c>
      <c r="L55" s="38">
        <f>L27*$E$27</f>
        <v>0</v>
      </c>
      <c r="M55" s="38">
        <f>M27*$E$27</f>
        <v>0</v>
      </c>
      <c r="N55" s="38">
        <f>N27*$E$27</f>
        <v>0</v>
      </c>
      <c r="O55" s="38">
        <f>O27*$E$27</f>
        <v>0</v>
      </c>
      <c r="P55" s="38">
        <f>P27*$E$27</f>
        <v>0</v>
      </c>
      <c r="Q55" s="38">
        <f>Q27*$E$27</f>
        <v>0</v>
      </c>
      <c r="R55" s="38">
        <f>R27*$E$27</f>
        <v>0</v>
      </c>
      <c r="S55" s="38">
        <f>S27*$E$27</f>
        <v>0</v>
      </c>
      <c r="T55" s="38">
        <f>T27*$E$27</f>
        <v>0</v>
      </c>
      <c r="U55" s="38">
        <f>U27*$E$27</f>
        <v>0</v>
      </c>
      <c r="V55" s="38">
        <f>V27*$E$27</f>
        <v>0</v>
      </c>
      <c r="W55" s="38">
        <f>W27*$E$27</f>
        <v>0</v>
      </c>
      <c r="X55" s="38">
        <f>IF(ISNUMBER(X27),O27*$E$27/X27,0)</f>
        <v>0</v>
      </c>
      <c r="Y55" s="38">
        <f>IF(ISNUMBER(Y27),P27*$E$27/Y27,0)</f>
        <v>0</v>
      </c>
      <c r="Z55" s="38">
        <f>IF(ISNUMBER(Z27),Q27*$E$27/Z27,0)</f>
        <v>0</v>
      </c>
    </row>
    <row r="56" spans="2:26" ht="14" customHeight="1">
      <c r="B56" s="17" t="s">
        <v>55</v>
      </c>
      <c r="C56" s="17">
        <f>C28</f>
        <v>0</v>
      </c>
      <c r="D56" s="38">
        <f>D28</f>
        <v>0</v>
      </c>
      <c r="F56" s="38">
        <f>F28*$E$28</f>
        <v>0</v>
      </c>
      <c r="G56" s="38">
        <f>G28*$E$28</f>
        <v>0</v>
      </c>
      <c r="H56" s="38">
        <f>H28*$E$28</f>
        <v>0</v>
      </c>
      <c r="I56" s="38">
        <f>I28*$E$28</f>
        <v>0</v>
      </c>
      <c r="J56" s="38">
        <f>J28*$E$28</f>
        <v>0</v>
      </c>
      <c r="K56" s="38">
        <f>K28*$E$28</f>
        <v>0</v>
      </c>
      <c r="L56" s="38">
        <f>L28*$E$28</f>
        <v>0</v>
      </c>
      <c r="M56" s="38">
        <f>M28*$E$28</f>
        <v>0</v>
      </c>
      <c r="N56" s="38">
        <f>N28*$E$28</f>
        <v>0</v>
      </c>
      <c r="O56" s="38">
        <f>O28*$E$28</f>
        <v>0</v>
      </c>
      <c r="P56" s="38">
        <f>P28*$E$28</f>
        <v>0</v>
      </c>
      <c r="Q56" s="38">
        <f>Q28*$E$28</f>
        <v>0</v>
      </c>
      <c r="R56" s="38">
        <f>R28*$E$28</f>
        <v>0</v>
      </c>
      <c r="S56" s="38">
        <f>S28*$E$28</f>
        <v>0</v>
      </c>
      <c r="T56" s="38">
        <f>T28*$E$28</f>
        <v>0</v>
      </c>
      <c r="U56" s="38">
        <f>U28*$E$28</f>
        <v>0</v>
      </c>
      <c r="V56" s="38">
        <f>V28*$E$28</f>
        <v>0</v>
      </c>
      <c r="W56" s="38">
        <f>W28*$E$28</f>
        <v>0</v>
      </c>
      <c r="X56" s="38">
        <f>IF(ISNUMBER(X28),O28*$E$28/X28,0)</f>
        <v>0</v>
      </c>
      <c r="Y56" s="38">
        <f>IF(ISNUMBER(Y28),P28*$E$28/Y28,0)</f>
        <v>0</v>
      </c>
      <c r="Z56" s="38">
        <f>IF(ISNUMBER(Z28),Q28*$E$28/Z28,0)</f>
        <v>0</v>
      </c>
    </row>
    <row r="57" spans="2:26" ht="14" customHeight="1">
      <c r="B57" s="17" t="s">
        <v>56</v>
      </c>
      <c r="C57" s="17">
        <f>C29</f>
        <v>0</v>
      </c>
      <c r="D57" s="38">
        <f>D29</f>
        <v>0</v>
      </c>
      <c r="F57" s="38">
        <f>F29*$E$29</f>
        <v>0</v>
      </c>
      <c r="G57" s="38">
        <f>G29*$E$29</f>
        <v>0</v>
      </c>
      <c r="H57" s="38">
        <f>H29*$E$29</f>
        <v>0</v>
      </c>
      <c r="I57" s="38">
        <f>I29*$E$29</f>
        <v>0</v>
      </c>
      <c r="J57" s="38">
        <f>J29*$E$29</f>
        <v>0</v>
      </c>
      <c r="K57" s="38">
        <f>K29*$E$29</f>
        <v>0</v>
      </c>
      <c r="L57" s="38">
        <f>L29*$E$29</f>
        <v>0</v>
      </c>
      <c r="M57" s="38">
        <f>M29*$E$29</f>
        <v>0</v>
      </c>
      <c r="N57" s="38">
        <f>N29*$E$29</f>
        <v>0</v>
      </c>
      <c r="O57" s="38">
        <f>O29*$E$29</f>
        <v>0</v>
      </c>
      <c r="P57" s="38">
        <f>P29*$E$29</f>
        <v>0</v>
      </c>
      <c r="Q57" s="38">
        <f>Q29*$E$29</f>
        <v>0</v>
      </c>
      <c r="R57" s="38">
        <f>R29*$E$29</f>
        <v>0</v>
      </c>
      <c r="S57" s="38">
        <f>S29*$E$29</f>
        <v>0</v>
      </c>
      <c r="T57" s="38">
        <f>T29*$E$29</f>
        <v>0</v>
      </c>
      <c r="U57" s="38">
        <f>U29*$E$29</f>
        <v>0</v>
      </c>
      <c r="V57" s="38">
        <f>V29*$E$29</f>
        <v>0</v>
      </c>
      <c r="W57" s="38">
        <f>W29*$E$29</f>
        <v>0</v>
      </c>
      <c r="X57" s="38">
        <f>IF(ISNUMBER(X29),O29*$E$29/X29,0)</f>
        <v>0</v>
      </c>
      <c r="Y57" s="38">
        <f>IF(ISNUMBER(Y29),P29*$E$29/Y29,0)</f>
        <v>0</v>
      </c>
      <c r="Z57" s="38">
        <f>IF(ISNUMBER(Z29),Q29*$E$29/Z29,0)</f>
        <v>0</v>
      </c>
    </row>
    <row r="58" spans="2:26" ht="14" customHeight="1">
      <c r="B58" s="17" t="s">
        <v>57</v>
      </c>
      <c r="C58" s="17">
        <f>C30</f>
        <v>0</v>
      </c>
      <c r="D58" s="38">
        <f>D30</f>
        <v>0</v>
      </c>
      <c r="F58" s="38">
        <f>F30*$E$30</f>
        <v>0</v>
      </c>
      <c r="G58" s="38">
        <f>G30*$E$30</f>
        <v>0</v>
      </c>
      <c r="H58" s="38">
        <f>H30*$E$30</f>
        <v>0</v>
      </c>
      <c r="I58" s="38">
        <f>I30*$E$30</f>
        <v>0</v>
      </c>
      <c r="J58" s="38">
        <f>J30*$E$30</f>
        <v>0</v>
      </c>
      <c r="K58" s="38">
        <f>K30*$E$30</f>
        <v>0</v>
      </c>
      <c r="L58" s="38">
        <f>L30*$E$30</f>
        <v>0</v>
      </c>
      <c r="M58" s="38">
        <f>M30*$E$30</f>
        <v>0</v>
      </c>
      <c r="N58" s="38">
        <f>N30*$E$30</f>
        <v>0</v>
      </c>
      <c r="O58" s="38">
        <f>O30*$E$30</f>
        <v>0</v>
      </c>
      <c r="P58" s="38">
        <f>P30*$E$30</f>
        <v>0</v>
      </c>
      <c r="Q58" s="38">
        <f>Q30*$E$30</f>
        <v>0</v>
      </c>
      <c r="R58" s="38">
        <f>R30*$E$30</f>
        <v>0</v>
      </c>
      <c r="S58" s="38">
        <f>S30*$E$30</f>
        <v>0</v>
      </c>
      <c r="T58" s="38">
        <f>T30*$E$30</f>
        <v>0</v>
      </c>
      <c r="U58" s="38">
        <f>U30*$E$30</f>
        <v>0</v>
      </c>
      <c r="V58" s="38">
        <f>V30*$E$30</f>
        <v>0</v>
      </c>
      <c r="W58" s="38">
        <f>W30*$E$30</f>
        <v>0</v>
      </c>
      <c r="X58" s="38">
        <f>IF(ISNUMBER(X30),O30*$E$30/X30,0)</f>
        <v>0</v>
      </c>
      <c r="Y58" s="38">
        <f>IF(ISNUMBER(Y30),P30*$E$30/Y30,0)</f>
        <v>0</v>
      </c>
      <c r="Z58" s="38">
        <f>IF(ISNUMBER(Z30),Q30*$E$30/Z30,0)</f>
        <v>0</v>
      </c>
    </row>
    <row r="59" spans="2:26" ht="14" customHeight="1">
      <c r="B59" s="17" t="s">
        <v>58</v>
      </c>
      <c r="C59" s="17">
        <f>C31</f>
        <v>0</v>
      </c>
      <c r="D59" s="38">
        <f>D31</f>
        <v>0</v>
      </c>
      <c r="F59" s="38">
        <f>F31*$E$31</f>
        <v>0</v>
      </c>
      <c r="G59" s="38">
        <f>G31*$E$31</f>
        <v>0</v>
      </c>
      <c r="H59" s="38">
        <f>H31*$E$31</f>
        <v>0</v>
      </c>
      <c r="I59" s="38">
        <f>I31*$E$31</f>
        <v>0</v>
      </c>
      <c r="J59" s="38">
        <f>J31*$E$31</f>
        <v>0</v>
      </c>
      <c r="K59" s="38">
        <f>K31*$E$31</f>
        <v>0</v>
      </c>
      <c r="L59" s="38">
        <f>L31*$E$31</f>
        <v>0</v>
      </c>
      <c r="M59" s="38">
        <f>M31*$E$31</f>
        <v>0</v>
      </c>
      <c r="N59" s="38">
        <f>N31*$E$31</f>
        <v>0</v>
      </c>
      <c r="O59" s="38">
        <f>O31*$E$31</f>
        <v>0</v>
      </c>
      <c r="P59" s="38">
        <f>P31*$E$31</f>
        <v>0</v>
      </c>
      <c r="Q59" s="38">
        <f>Q31*$E$31</f>
        <v>0</v>
      </c>
      <c r="R59" s="38">
        <f>R31*$E$31</f>
        <v>0</v>
      </c>
      <c r="S59" s="38">
        <f>S31*$E$31</f>
        <v>0</v>
      </c>
      <c r="T59" s="38">
        <f>T31*$E$31</f>
        <v>0</v>
      </c>
      <c r="U59" s="38">
        <f>U31*$E$31</f>
        <v>0</v>
      </c>
      <c r="V59" s="38">
        <f>V31*$E$31</f>
        <v>0</v>
      </c>
      <c r="W59" s="38">
        <f>W31*$E$31</f>
        <v>0</v>
      </c>
      <c r="X59" s="38">
        <f>IF(ISNUMBER(X31),O31*$E$31/X31,0)</f>
        <v>0</v>
      </c>
      <c r="Y59" s="38">
        <f>IF(ISNUMBER(Y31),P31*$E$31/Y31,0)</f>
        <v>0</v>
      </c>
      <c r="Z59" s="38">
        <f>IF(ISNUMBER(Z31),Q31*$E$31/Z31,0)</f>
        <v>0</v>
      </c>
    </row>
    <row r="60" spans="2:26" ht="14" customHeight="1">
      <c r="B60" s="17" t="s">
        <v>59</v>
      </c>
      <c r="C60" s="17">
        <f>C32</f>
        <v>0</v>
      </c>
      <c r="D60" s="38">
        <f>D32</f>
        <v>0</v>
      </c>
      <c r="F60" s="38">
        <f>F32*$E$32</f>
        <v>0</v>
      </c>
      <c r="G60" s="38">
        <f>G32*$E$32</f>
        <v>0</v>
      </c>
      <c r="H60" s="38">
        <f>H32*$E$32</f>
        <v>0</v>
      </c>
      <c r="I60" s="38">
        <f>I32*$E$32</f>
        <v>0</v>
      </c>
      <c r="J60" s="38">
        <f>J32*$E$32</f>
        <v>0</v>
      </c>
      <c r="K60" s="38">
        <f>K32*$E$32</f>
        <v>0</v>
      </c>
      <c r="L60" s="38">
        <f>L32*$E$32</f>
        <v>0</v>
      </c>
      <c r="M60" s="38">
        <f>M32*$E$32</f>
        <v>0</v>
      </c>
      <c r="N60" s="38">
        <f>N32*$E$32</f>
        <v>0</v>
      </c>
      <c r="O60" s="38">
        <f>O32*$E$32</f>
        <v>0</v>
      </c>
      <c r="P60" s="38">
        <f>P32*$E$32</f>
        <v>0</v>
      </c>
      <c r="Q60" s="38">
        <f>Q32*$E$32</f>
        <v>0</v>
      </c>
      <c r="R60" s="38">
        <f>R32*$E$32</f>
        <v>0</v>
      </c>
      <c r="S60" s="38">
        <f>S32*$E$32</f>
        <v>0</v>
      </c>
      <c r="T60" s="38">
        <f>T32*$E$32</f>
        <v>0</v>
      </c>
      <c r="U60" s="38">
        <f>U32*$E$32</f>
        <v>0</v>
      </c>
      <c r="V60" s="38">
        <f>V32*$E$32</f>
        <v>0</v>
      </c>
      <c r="W60" s="38">
        <f>W32*$E$32</f>
        <v>0</v>
      </c>
      <c r="X60" s="38">
        <f>IF(ISNUMBER(X32),O32*$E$32/X32,0)</f>
        <v>0</v>
      </c>
      <c r="Y60" s="38">
        <f>IF(ISNUMBER(Y32),P32*$E$32/Y32,0)</f>
        <v>0</v>
      </c>
      <c r="Z60" s="38">
        <f>IF(ISNUMBER(Z32),Q32*$E$32/Z32,0)</f>
        <v>0</v>
      </c>
    </row>
    <row r="61" spans="2:26" ht="14" customHeight="1">
      <c r="B61" s="39" t="s">
        <v>35</v>
      </c>
      <c r="D61" s="40">
        <f>SUMIFS(D37:D60,$C$37:$C$60,"WEG &amp; Embraer")</f>
        <v>0</v>
      </c>
      <c r="F61" s="40">
        <f>SUMIFS(F37:F60,$C$37:$C$60,"WEG &amp; Embraer")</f>
        <v>0</v>
      </c>
      <c r="G61" s="40">
        <f>SUMIFS(G37:G60,$C$37:$C$60,"WEG &amp; Embraer")</f>
        <v>0</v>
      </c>
      <c r="H61" s="40">
        <f>SUMIFS(H37:H60,$C$37:$C$60,"WEG &amp; Embraer")</f>
        <v>0</v>
      </c>
      <c r="I61" s="40">
        <f>SUMIFS(I37:I60,$C$37:$C$60,"WEG &amp; Embraer")</f>
        <v>0</v>
      </c>
      <c r="J61" s="40">
        <f>SUMIFS(J37:J60,$C$37:$C$60,"WEG &amp; Embraer")</f>
        <v>0</v>
      </c>
      <c r="K61" s="40">
        <f>SUMIFS(K37:K60,$C$37:$C$60,"WEG &amp; Embraer")</f>
        <v>0</v>
      </c>
      <c r="L61" s="40">
        <f>SUMIFS(L37:L60,$C$37:$C$60,"WEG &amp; Embraer")</f>
        <v>0</v>
      </c>
      <c r="M61" s="40">
        <f>SUMIFS(M37:M60,$C$37:$C$60,"WEG &amp; Embraer")</f>
        <v>0</v>
      </c>
      <c r="N61" s="40">
        <f>SUMIFS(N37:N60,$C$37:$C$60,"WEG &amp; Embraer")</f>
        <v>0</v>
      </c>
      <c r="O61" s="40">
        <f>SUMIFS(O37:O60,$C$37:$C$60,"WEG &amp; Embraer")</f>
        <v>0</v>
      </c>
      <c r="P61" s="40">
        <f>SUMIFS(P37:P60,$C$37:$C$60,"WEG &amp; Embraer")</f>
        <v>0</v>
      </c>
      <c r="Q61" s="40">
        <f>SUMIFS(Q37:Q60,$C$37:$C$60,"WEG &amp; Embraer")</f>
        <v>0</v>
      </c>
      <c r="R61" s="40">
        <f>SUMIFS(R37:R60,$C$37:$C$60,"WEG &amp; Embraer")</f>
        <v>0</v>
      </c>
      <c r="S61" s="40">
        <f>SUMIFS(S37:S60,$C$37:$C$60,"WEG &amp; Embraer")</f>
        <v>0</v>
      </c>
      <c r="T61" s="40">
        <f>SUMIFS(T37:T60,$C$37:$C$60,"WEG &amp; Embraer")</f>
        <v>0</v>
      </c>
      <c r="U61" s="40">
        <f>SUMIFS(U37:U60,$C$37:$C$60,"WEG &amp; Embraer")</f>
        <v>0</v>
      </c>
      <c r="V61" s="40">
        <f>SUMIFS(V37:V60,$C$37:$C$60,"WEG &amp; Embraer")</f>
        <v>0</v>
      </c>
      <c r="W61" s="40">
        <f>SUMIFS(W37:W60,$C$37:$C$60,"WEG &amp; Embraer")</f>
        <v>0</v>
      </c>
      <c r="X61" s="40">
        <f>SUMIFS(X37:X60,$C$37:$C$60,"WEG &amp; Embraer")</f>
        <v>0</v>
      </c>
      <c r="Y61" s="40">
        <f>SUMIFS(Y37:Y60,$C$37:$C$60,"WEG &amp; Embraer")</f>
        <v>0</v>
      </c>
      <c r="Z61" s="40">
        <f>SUMIFS(Z37:Z60,$C$37:$C$60,"WEG &amp; Embraer")</f>
        <v>0</v>
      </c>
    </row>
    <row r="62" spans="2:26" ht="14" customHeight="1">
      <c r="B62" s="23" t="s">
        <v>38</v>
      </c>
      <c r="D62" s="28">
        <f>SUMIFS(D37:D60,$C$37:$C$60,"Cyclicals ex-WEG &amp; Embraer")</f>
        <v>0</v>
      </c>
      <c r="F62" s="28">
        <f>SUMIFS(F37:F60,$C$37:$C$60,"Cyclicals ex-WEG &amp; Embraer")</f>
        <v>0</v>
      </c>
      <c r="G62" s="28">
        <f>SUMIFS(G37:G60,$C$37:$C$60,"Cyclicals ex-WEG &amp; Embraer")</f>
        <v>0</v>
      </c>
      <c r="H62" s="28">
        <f>SUMIFS(H37:H60,$C$37:$C$60,"Cyclicals ex-WEG &amp; Embraer")</f>
        <v>0</v>
      </c>
      <c r="I62" s="28">
        <f>SUMIFS(I37:I60,$C$37:$C$60,"Cyclicals ex-WEG &amp; Embraer")</f>
        <v>0</v>
      </c>
      <c r="J62" s="28">
        <f>SUMIFS(J37:J60,$C$37:$C$60,"Cyclicals ex-WEG &amp; Embraer")</f>
        <v>0</v>
      </c>
      <c r="K62" s="28">
        <f>SUMIFS(K37:K60,$C$37:$C$60,"Cyclicals ex-WEG &amp; Embraer")</f>
        <v>0</v>
      </c>
      <c r="L62" s="28">
        <f>SUMIFS(L37:L60,$C$37:$C$60,"Cyclicals ex-WEG &amp; Embraer")</f>
        <v>0</v>
      </c>
      <c r="M62" s="28">
        <f>SUMIFS(M37:M60,$C$37:$C$60,"Cyclicals ex-WEG &amp; Embraer")</f>
        <v>0</v>
      </c>
      <c r="N62" s="28">
        <f>SUMIFS(N37:N60,$C$37:$C$60,"Cyclicals ex-WEG &amp; Embraer")</f>
        <v>0</v>
      </c>
      <c r="O62" s="28">
        <f>SUMIFS(O37:O60,$C$37:$C$60,"Cyclicals ex-WEG &amp; Embraer")</f>
        <v>0</v>
      </c>
      <c r="P62" s="28">
        <f>SUMIFS(P37:P60,$C$37:$C$60,"Cyclicals ex-WEG &amp; Embraer")</f>
        <v>0</v>
      </c>
      <c r="Q62" s="28">
        <f>SUMIFS(Q37:Q60,$C$37:$C$60,"Cyclicals ex-WEG &amp; Embraer")</f>
        <v>0</v>
      </c>
      <c r="R62" s="28">
        <f>SUMIFS(R37:R60,$C$37:$C$60,"Cyclicals ex-WEG &amp; Embraer")</f>
        <v>0</v>
      </c>
      <c r="S62" s="28">
        <f>SUMIFS(S37:S60,$C$37:$C$60,"Cyclicals ex-WEG &amp; Embraer")</f>
        <v>0</v>
      </c>
      <c r="T62" s="28">
        <f>SUMIFS(T37:T60,$C$37:$C$60,"Cyclicals ex-WEG &amp; Embraer")</f>
        <v>0</v>
      </c>
      <c r="U62" s="28">
        <f>SUMIFS(U37:U60,$C$37:$C$60,"Cyclicals ex-WEG &amp; Embraer")</f>
        <v>0</v>
      </c>
      <c r="V62" s="28">
        <f>SUMIFS(V37:V60,$C$37:$C$60,"Cyclicals ex-WEG &amp; Embraer")</f>
        <v>0</v>
      </c>
      <c r="W62" s="28">
        <f>SUMIFS(W37:W60,$C$37:$C$60,"Cyclicals ex-WEG &amp; Embraer")</f>
        <v>0</v>
      </c>
      <c r="X62" s="28">
        <f>SUMIFS(X37:X60,$C$37:$C$60,"Cyclicals ex-WEG &amp; Embraer")</f>
        <v>0</v>
      </c>
      <c r="Y62" s="28">
        <f>SUMIFS(Y37:Y60,$C$37:$C$60,"Cyclicals ex-WEG &amp; Embraer")</f>
        <v>0</v>
      </c>
      <c r="Z62" s="28">
        <f>SUMIFS(Z37:Z60,$C$37:$C$60,"Cyclicals ex-WEG &amp; Embraer")</f>
        <v>0</v>
      </c>
    </row>
    <row r="63" spans="2:26" ht="14" customHeight="1">
      <c r="B63" s="23" t="s">
        <v>64</v>
      </c>
      <c r="D63" s="28">
        <f>SUM(D37:D60)</f>
        <v>0</v>
      </c>
      <c r="F63" s="28">
        <f>SUM(F37:F60)</f>
        <v>0</v>
      </c>
      <c r="G63" s="28">
        <f>SUM(G37:G60)</f>
        <v>0</v>
      </c>
      <c r="H63" s="28">
        <f>SUM(H37:H60)</f>
        <v>0</v>
      </c>
      <c r="I63" s="28">
        <f>SUM(I37:I60)</f>
        <v>0</v>
      </c>
      <c r="J63" s="28">
        <f>SUM(J37:J60)</f>
        <v>0</v>
      </c>
      <c r="K63" s="28">
        <f>SUM(K37:K60)</f>
        <v>0</v>
      </c>
      <c r="L63" s="28">
        <f>SUM(L37:L60)</f>
        <v>0</v>
      </c>
      <c r="M63" s="28">
        <f>SUM(M37:M60)</f>
        <v>0</v>
      </c>
      <c r="N63" s="28">
        <f>SUM(N37:N60)</f>
        <v>0</v>
      </c>
      <c r="O63" s="28">
        <f>SUM(O37:O60)</f>
        <v>0</v>
      </c>
      <c r="P63" s="28">
        <f>SUM(P37:P60)</f>
        <v>0</v>
      </c>
      <c r="Q63" s="28">
        <f>SUM(Q37:Q60)</f>
        <v>0</v>
      </c>
      <c r="R63" s="28">
        <f>SUM(R37:R60)</f>
        <v>0</v>
      </c>
      <c r="S63" s="28">
        <f>SUM(S37:S60)</f>
        <v>0</v>
      </c>
      <c r="T63" s="28">
        <f>SUM(T37:T60)</f>
        <v>0</v>
      </c>
      <c r="U63" s="28">
        <f>SUM(U37:U60)</f>
        <v>0</v>
      </c>
      <c r="V63" s="28">
        <f>SUM(V37:V60)</f>
        <v>0</v>
      </c>
      <c r="W63" s="28">
        <f>SUM(W37:W60)</f>
        <v>0</v>
      </c>
      <c r="X63" s="28">
        <f>SUM(X37:X60)</f>
        <v>0</v>
      </c>
      <c r="Y63" s="28">
        <f>SUM(Y37:Y60)</f>
        <v>0</v>
      </c>
      <c r="Z63" s="28">
        <f>SUM(Z37:Z60)</f>
        <v>0</v>
      </c>
    </row>
    <row r="64" spans="2:26" ht="14" customHeight="1">
      <c r="B64" s="17" t="s">
        <v>65</v>
      </c>
      <c r="O64" s="38">
        <f>O63-1607.0455</f>
        <v>0</v>
      </c>
      <c r="P64" s="38">
        <f>P63-1944.9107</f>
        <v>0</v>
      </c>
      <c r="Q64" s="38">
        <f>Q63-2304.3006</f>
        <v>0</v>
      </c>
    </row>
    <row r="66" spans="2:2" ht="14" customHeight="1">
      <c r="B66" s="2" t="s">
        <v>66</v>
      </c>
    </row>
  </sheetData>
  <mergeCells count="2">
    <mergeCell ref="B7:Z7"/>
    <mergeCell ref="B35:Z35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3"/>
  <sheetViews>
    <sheetView showGridLines="0" zoomScale="85" zoomScaleNormal="85" workbookViewId="0"/>
  </sheetViews>
  <sheetFormatPr defaultRowHeight="14" customHeight="1"/>
  <cols>
    <col min="1" max="1" width="2.7109375" customWidth="1"/>
    <col min="2" max="2" width="20.7109375" customWidth="1"/>
    <col min="3" max="9" width="18.7109375" customWidth="1"/>
  </cols>
  <sheetData>
    <row r="1" spans="2:9" ht="30" customHeight="1">
      <c r="B1" s="1" t="s">
        <v>67</v>
      </c>
    </row>
    <row r="2" spans="2:9" ht="14" customHeight="1">
      <c r="B2" s="2" t="s">
        <v>68</v>
      </c>
    </row>
    <row r="3" spans="2:9" ht="14" customHeight="1">
      <c r="B3" s="2" t="s">
        <v>2</v>
      </c>
      <c r="C3" s="3" t="s">
        <v>3</v>
      </c>
      <c r="D3" s="4" t="s">
        <v>4</v>
      </c>
      <c r="E3" s="5" t="s">
        <v>5</v>
      </c>
    </row>
    <row r="5" spans="2:9" ht="30" customHeight="1">
      <c r="B5" s="7" t="s">
        <v>69</v>
      </c>
      <c r="C5" s="8" t="s">
        <v>70</v>
      </c>
      <c r="D5" s="8" t="s">
        <v>71</v>
      </c>
      <c r="E5" s="8" t="s">
        <v>72</v>
      </c>
      <c r="F5" s="8" t="s">
        <v>73</v>
      </c>
      <c r="G5" s="8" t="s">
        <v>74</v>
      </c>
      <c r="H5" s="8" t="s">
        <v>75</v>
      </c>
      <c r="I5" s="8" t="s">
        <v>76</v>
      </c>
    </row>
    <row r="6" spans="2:9" ht="32" customHeight="1">
      <c r="B6" s="41" t="s">
        <v>77</v>
      </c>
      <c r="C6" s="42" t="s">
        <v>78</v>
      </c>
      <c r="D6" s="42" t="s">
        <v>79</v>
      </c>
      <c r="E6" s="42" t="s">
        <v>80</v>
      </c>
      <c r="F6" s="42" t="s">
        <v>81</v>
      </c>
      <c r="G6" s="42" t="s">
        <v>82</v>
      </c>
      <c r="H6" s="42" t="s">
        <v>83</v>
      </c>
      <c r="I6" s="42" t="s">
        <v>84</v>
      </c>
    </row>
    <row r="7" spans="2:9" ht="32" customHeight="1">
      <c r="B7" s="41" t="s">
        <v>85</v>
      </c>
      <c r="C7" s="42" t="s">
        <v>86</v>
      </c>
      <c r="D7" s="42" t="s">
        <v>87</v>
      </c>
      <c r="E7" s="42" t="s">
        <v>88</v>
      </c>
      <c r="F7" s="42" t="s">
        <v>89</v>
      </c>
      <c r="G7" s="42" t="s">
        <v>90</v>
      </c>
      <c r="H7" s="42" t="s">
        <v>83</v>
      </c>
      <c r="I7" s="42" t="s">
        <v>91</v>
      </c>
    </row>
    <row r="8" spans="2:9" ht="32" customHeight="1">
      <c r="B8" s="41" t="s">
        <v>92</v>
      </c>
      <c r="C8" s="42" t="s">
        <v>93</v>
      </c>
      <c r="D8" s="42" t="s">
        <v>79</v>
      </c>
      <c r="E8" s="42" t="s">
        <v>94</v>
      </c>
      <c r="F8" s="42" t="s">
        <v>95</v>
      </c>
      <c r="G8" s="42" t="s">
        <v>96</v>
      </c>
      <c r="H8" s="42" t="s">
        <v>97</v>
      </c>
      <c r="I8" s="42" t="s">
        <v>98</v>
      </c>
    </row>
    <row r="9" spans="2:9" ht="32" customHeight="1">
      <c r="B9" s="41" t="s">
        <v>99</v>
      </c>
      <c r="C9" s="42" t="s">
        <v>100</v>
      </c>
      <c r="D9" s="42" t="s">
        <v>101</v>
      </c>
      <c r="E9" s="42" t="s">
        <v>102</v>
      </c>
      <c r="F9" s="42" t="s">
        <v>103</v>
      </c>
      <c r="G9" s="42" t="s">
        <v>104</v>
      </c>
      <c r="H9" s="42" t="s">
        <v>105</v>
      </c>
      <c r="I9" s="42" t="s">
        <v>106</v>
      </c>
    </row>
    <row r="10" spans="2:9" ht="32" customHeight="1">
      <c r="B10" s="41" t="s">
        <v>107</v>
      </c>
      <c r="C10" s="42" t="s">
        <v>108</v>
      </c>
      <c r="D10" s="42" t="s">
        <v>109</v>
      </c>
      <c r="E10" s="42" t="s">
        <v>110</v>
      </c>
      <c r="F10" s="42" t="s">
        <v>111</v>
      </c>
      <c r="G10" s="42" t="s">
        <v>112</v>
      </c>
      <c r="H10" s="42" t="s">
        <v>113</v>
      </c>
      <c r="I10" s="42" t="s">
        <v>114</v>
      </c>
    </row>
    <row r="11" spans="2:9" ht="32" customHeight="1">
      <c r="B11" s="41" t="s">
        <v>115</v>
      </c>
      <c r="C11" s="42" t="s">
        <v>116</v>
      </c>
      <c r="D11" s="42" t="s">
        <v>79</v>
      </c>
      <c r="E11" s="42" t="s">
        <v>117</v>
      </c>
      <c r="F11" s="42" t="s">
        <v>118</v>
      </c>
      <c r="G11" s="42" t="s">
        <v>119</v>
      </c>
      <c r="H11" s="42" t="s">
        <v>120</v>
      </c>
      <c r="I11" s="42" t="s">
        <v>121</v>
      </c>
    </row>
    <row r="12" spans="2:9" ht="32" customHeight="1">
      <c r="B12" s="41" t="s">
        <v>122</v>
      </c>
      <c r="C12" s="42" t="s">
        <v>123</v>
      </c>
      <c r="D12" s="42" t="s">
        <v>87</v>
      </c>
      <c r="E12" s="42" t="s">
        <v>102</v>
      </c>
      <c r="F12" s="42" t="s">
        <v>124</v>
      </c>
      <c r="G12" s="42" t="s">
        <v>125</v>
      </c>
      <c r="H12" s="42" t="s">
        <v>126</v>
      </c>
      <c r="I12" s="42" t="s">
        <v>127</v>
      </c>
    </row>
    <row r="13" spans="2:9" ht="32" customHeight="1">
      <c r="B13" s="41" t="s">
        <v>128</v>
      </c>
      <c r="C13" s="42" t="s">
        <v>123</v>
      </c>
      <c r="D13" s="42" t="s">
        <v>119</v>
      </c>
      <c r="E13" s="42" t="s">
        <v>129</v>
      </c>
      <c r="F13" s="42" t="s">
        <v>130</v>
      </c>
      <c r="G13" s="42" t="s">
        <v>131</v>
      </c>
      <c r="H13" s="42" t="s">
        <v>83</v>
      </c>
      <c r="I13" s="42" t="s">
        <v>132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DCF Cyclicals</vt:lpstr>
      <vt:lpstr>Box Consensus</vt:lpstr>
      <vt:lpstr>Analyst Models</vt:lpstr>
      <vt:lpstr>FleetRatio</vt:lpstr>
      <vt:lpstr>NExp</vt:lpstr>
      <vt:lpstr>TVx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2026-10-08T21:54:26Z</dcterms:created>
  <dcterms:modified xsi:type="dcterms:W3CDTF">2026-10-08T21:54:26Z</dcterms:modified>
</cp:coreProperties>
</file>